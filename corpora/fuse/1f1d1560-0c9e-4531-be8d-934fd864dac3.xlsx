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dmin\LesLee\AnnualReport\2012-2013\files\filesfinal\"/>
    </mc:Choice>
  </mc:AlternateContent>
  <bookViews>
    <workbookView xWindow="240" yWindow="135" windowWidth="19440" windowHeight="7935"/>
  </bookViews>
  <sheets>
    <sheet name="ChartersElem" sheetId="7" r:id="rId1"/>
    <sheet name="ChartersMidJrHigh" sheetId="8" r:id="rId2"/>
    <sheet name="ChartersHighSchool" sheetId="2" r:id="rId3"/>
    <sheet name="DistrictsElem" sheetId="3" r:id="rId4"/>
    <sheet name="DistrictsMidJrHigh" sheetId="5" r:id="rId5"/>
    <sheet name="DistrictsHigh" sheetId="6" r:id="rId6"/>
  </sheets>
  <calcPr calcId="152511" calcOnSave="0"/>
</workbook>
</file>

<file path=xl/calcChain.xml><?xml version="1.0" encoding="utf-8"?>
<calcChain xmlns="http://schemas.openxmlformats.org/spreadsheetml/2006/main">
  <c r="M36" i="8" l="1"/>
  <c r="M3" i="6" l="1"/>
  <c r="M3" i="2" l="1"/>
  <c r="A33" i="7" l="1"/>
  <c r="A29" i="7"/>
  <c r="A25" i="7"/>
  <c r="A21" i="7"/>
  <c r="A17" i="7"/>
  <c r="A13" i="7"/>
  <c r="A9" i="7"/>
  <c r="A5" i="7"/>
  <c r="A6" i="7"/>
  <c r="A7" i="7"/>
  <c r="A8" i="7"/>
  <c r="A10" i="7"/>
  <c r="A11" i="7"/>
  <c r="A12" i="7"/>
  <c r="A14" i="7"/>
  <c r="A15" i="7"/>
  <c r="A16" i="7"/>
  <c r="A18" i="7"/>
  <c r="A19" i="7"/>
  <c r="A20" i="7"/>
  <c r="A22" i="7"/>
  <c r="A23" i="7"/>
  <c r="A24" i="7"/>
  <c r="A26" i="7"/>
  <c r="A27" i="7"/>
  <c r="A28" i="7"/>
  <c r="A30" i="7"/>
  <c r="A31" i="7"/>
  <c r="A32" i="7"/>
  <c r="A34" i="7"/>
  <c r="A37" i="7"/>
  <c r="A35" i="7"/>
  <c r="A4" i="7"/>
  <c r="C44" i="6" l="1"/>
  <c r="D44" i="6"/>
  <c r="E44" i="6"/>
  <c r="F44" i="6"/>
  <c r="G44" i="6"/>
  <c r="H44" i="6"/>
  <c r="I44" i="6"/>
  <c r="J44" i="6"/>
  <c r="K44" i="6"/>
  <c r="L44" i="6"/>
  <c r="B44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C44" i="5"/>
  <c r="D44" i="5"/>
  <c r="E44" i="5"/>
  <c r="F44" i="5"/>
  <c r="G44" i="5"/>
  <c r="H44" i="5"/>
  <c r="I44" i="5"/>
  <c r="J44" i="5"/>
  <c r="K44" i="5"/>
  <c r="L44" i="5"/>
  <c r="B44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3" i="5"/>
  <c r="C44" i="3"/>
  <c r="D44" i="3"/>
  <c r="E44" i="3"/>
  <c r="F44" i="3"/>
  <c r="G44" i="3"/>
  <c r="H44" i="3"/>
  <c r="I44" i="3"/>
  <c r="J44" i="3"/>
  <c r="K44" i="3"/>
  <c r="L44" i="3"/>
  <c r="B44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3" i="3"/>
  <c r="F36" i="7"/>
  <c r="H36" i="7"/>
  <c r="I36" i="7"/>
  <c r="L36" i="7"/>
  <c r="M36" i="7"/>
  <c r="C36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7" i="7"/>
  <c r="N35" i="7"/>
  <c r="N4" i="7"/>
  <c r="C35" i="8"/>
  <c r="D35" i="8"/>
  <c r="E35" i="8"/>
  <c r="F35" i="8"/>
  <c r="G35" i="8"/>
  <c r="H35" i="8"/>
  <c r="I35" i="8"/>
  <c r="J35" i="8"/>
  <c r="K35" i="8"/>
  <c r="L35" i="8"/>
  <c r="B35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C35" i="2"/>
  <c r="D35" i="2"/>
  <c r="E35" i="2"/>
  <c r="F35" i="2"/>
  <c r="G35" i="2"/>
  <c r="H35" i="2"/>
  <c r="I35" i="2"/>
  <c r="J35" i="2"/>
  <c r="K35" i="2"/>
  <c r="L35" i="2"/>
  <c r="B35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6" i="2"/>
  <c r="M34" i="2"/>
  <c r="M35" i="8" l="1"/>
  <c r="M44" i="6"/>
  <c r="M44" i="5"/>
  <c r="M44" i="3"/>
  <c r="M35" i="2"/>
  <c r="N36" i="7"/>
</calcChain>
</file>

<file path=xl/sharedStrings.xml><?xml version="1.0" encoding="utf-8"?>
<sst xmlns="http://schemas.openxmlformats.org/spreadsheetml/2006/main" count="2212" uniqueCount="140">
  <si>
    <t>Alpine</t>
  </si>
  <si>
    <t>Box Elder</t>
  </si>
  <si>
    <t>Cache</t>
  </si>
  <si>
    <t>Canyons</t>
  </si>
  <si>
    <t>Carbon</t>
  </si>
  <si>
    <t>Duchesne</t>
  </si>
  <si>
    <t>Emery</t>
  </si>
  <si>
    <t>Grand</t>
  </si>
  <si>
    <t>Iron</t>
  </si>
  <si>
    <t>Jordan</t>
  </si>
  <si>
    <t>Juab</t>
  </si>
  <si>
    <t>Kane</t>
  </si>
  <si>
    <t>Logan</t>
  </si>
  <si>
    <t>Millard</t>
  </si>
  <si>
    <t>Morgan</t>
  </si>
  <si>
    <t>Murray</t>
  </si>
  <si>
    <t>Nebo</t>
  </si>
  <si>
    <t>North Sanpete</t>
  </si>
  <si>
    <t>North Summit</t>
  </si>
  <si>
    <t>Ogden</t>
  </si>
  <si>
    <t>Park City</t>
  </si>
  <si>
    <t>Piute</t>
  </si>
  <si>
    <t>Provo</t>
  </si>
  <si>
    <t>Rich</t>
  </si>
  <si>
    <t>San Juan</t>
  </si>
  <si>
    <t>Sevier</t>
  </si>
  <si>
    <t>South Sanpete</t>
  </si>
  <si>
    <t>Tintic</t>
  </si>
  <si>
    <t>Tooele</t>
  </si>
  <si>
    <t>Uintah</t>
  </si>
  <si>
    <t>Wasatch</t>
  </si>
  <si>
    <t>Washington</t>
  </si>
  <si>
    <t>Weber</t>
  </si>
  <si>
    <t>Bullying</t>
  </si>
  <si>
    <t>AMERICAN PREPARATORY ACADEMY</t>
  </si>
  <si>
    <t>ARISTOTLE ACADEMY</t>
  </si>
  <si>
    <t>CANYON GROVE ACADEMY</t>
  </si>
  <si>
    <t>DAVINCI ACADEMY</t>
  </si>
  <si>
    <t>DUAL IMMERSION ACADEMY</t>
  </si>
  <si>
    <t>HAWTHORN ACADEMY</t>
  </si>
  <si>
    <t>INTECH COLLEGIATE HIGH SCHOOL</t>
  </si>
  <si>
    <t>LINCOLN ACADEMY</t>
  </si>
  <si>
    <t>MERIT COLLEGE PREPARATORY ACADEMY</t>
  </si>
  <si>
    <t>ODYSSEY CHARTER SCHOOL</t>
  </si>
  <si>
    <t>PACIFIC HERITAGE ACADEMY</t>
  </si>
  <si>
    <t>PROVIDENCE HALL</t>
  </si>
  <si>
    <t>SPECTRUM ACADEMY</t>
  </si>
  <si>
    <t>SYRACUSE ARTS ACADEMY</t>
  </si>
  <si>
    <t>UTAH SCHOOLS FOR DEAF &amp; BLIND</t>
  </si>
  <si>
    <t>Total</t>
  </si>
  <si>
    <t>Alcohol</t>
  </si>
  <si>
    <t>SALT LAKE CENTER FOR SCIENCE EDUCATION</t>
  </si>
  <si>
    <t>Tobacco</t>
  </si>
  <si>
    <t>SUMMIT ACADEMY HIGH SCHOOL</t>
  </si>
  <si>
    <t>EAST HOLLYWOOD HIGH</t>
  </si>
  <si>
    <t>Other Drugs</t>
  </si>
  <si>
    <t>UINTAH RIVER HIGH</t>
  </si>
  <si>
    <t>KARL G MAESER PREPARATORY ACADEMY</t>
  </si>
  <si>
    <t>EARLY LIGHT ACADEMY AT DAYBREAK</t>
  </si>
  <si>
    <t xml:space="preserve">Distribution </t>
  </si>
  <si>
    <t>Assaults</t>
  </si>
  <si>
    <t>QUEST ACADEMY</t>
  </si>
  <si>
    <t>ENTHEOS ACADEMY</t>
  </si>
  <si>
    <t>ENDEAVOR HALL</t>
  </si>
  <si>
    <t>LAKEVIEW ACADEMY</t>
  </si>
  <si>
    <t>MARIA MONTESSORI ACADEMY</t>
  </si>
  <si>
    <t>MONTICELLO ACADEMY</t>
  </si>
  <si>
    <t>GATEWAY PREPARATORY ACADEMY</t>
  </si>
  <si>
    <t>ALIANZA ACADEMY</t>
  </si>
  <si>
    <t>Arson</t>
  </si>
  <si>
    <t>Handgun</t>
  </si>
  <si>
    <t>Rifle</t>
  </si>
  <si>
    <t>Other Firearm</t>
  </si>
  <si>
    <t>Other Weapon</t>
  </si>
  <si>
    <t>GEORGE WASHINGTON ACADEMY</t>
  </si>
  <si>
    <t xml:space="preserve">ACADEMY FOR MATH ENGINEERING &amp; SCIENCE </t>
  </si>
  <si>
    <t xml:space="preserve">VISTA SHOOL </t>
  </si>
  <si>
    <t>TUACAHN HS FOR THE PERFORMING ARTS</t>
  </si>
  <si>
    <t>-</t>
  </si>
  <si>
    <t>Charter School Totals</t>
  </si>
  <si>
    <t>Alianza Academy</t>
  </si>
  <si>
    <t>American Preparatory Academy</t>
  </si>
  <si>
    <t>Aristotle Academy</t>
  </si>
  <si>
    <t>Canyon Grove Academy</t>
  </si>
  <si>
    <t>Davinci Academy</t>
  </si>
  <si>
    <t>Dual Immersion Academy</t>
  </si>
  <si>
    <t>Early Light Academy At Daybreak</t>
  </si>
  <si>
    <t>East Hollywood High</t>
  </si>
  <si>
    <t>Endeavor Hall</t>
  </si>
  <si>
    <t>Entheos Academy</t>
  </si>
  <si>
    <t>Gateway Preparatory Academy</t>
  </si>
  <si>
    <t>George Washington Academy</t>
  </si>
  <si>
    <t>Hawthorn Academy</t>
  </si>
  <si>
    <t>Intech Collegiate High School</t>
  </si>
  <si>
    <t>Karl G Maeser Preparatory Academy</t>
  </si>
  <si>
    <t>Lakeview Academy</t>
  </si>
  <si>
    <t>Lincoln Academy</t>
  </si>
  <si>
    <t>Maria Montessori Academy</t>
  </si>
  <si>
    <t>Merit College Preparatory Academy</t>
  </si>
  <si>
    <t>Monticello Academy</t>
  </si>
  <si>
    <t>Odyssey Charter School</t>
  </si>
  <si>
    <t>Pacific Heritage Academy</t>
  </si>
  <si>
    <t>Providence Hall</t>
  </si>
  <si>
    <t>Quest Academy</t>
  </si>
  <si>
    <t>Spectrum Academy</t>
  </si>
  <si>
    <t>Syracuse Arts Academy</t>
  </si>
  <si>
    <t>Salt Lake Center For Science Education</t>
  </si>
  <si>
    <t>Summit Academy High School</t>
  </si>
  <si>
    <t>Uintah River High</t>
  </si>
  <si>
    <t xml:space="preserve">Vista Shool </t>
  </si>
  <si>
    <t xml:space="preserve">                                                  Elementary</t>
  </si>
  <si>
    <t xml:space="preserve">                                                                                                                                            </t>
  </si>
  <si>
    <t>Academy for Math Science &amp; Engineering</t>
  </si>
  <si>
    <t>Beaver</t>
  </si>
  <si>
    <t>Garfield</t>
  </si>
  <si>
    <t>Granite</t>
  </si>
  <si>
    <t>Salt Lake</t>
  </si>
  <si>
    <t>South Summit</t>
  </si>
  <si>
    <t>Wayne</t>
  </si>
  <si>
    <t>District School Totals</t>
  </si>
  <si>
    <t>Daggett</t>
  </si>
  <si>
    <t>Davis</t>
  </si>
  <si>
    <t>3-</t>
  </si>
  <si>
    <t>6-</t>
  </si>
  <si>
    <t>5-</t>
  </si>
  <si>
    <t>4-</t>
  </si>
  <si>
    <t>1-</t>
  </si>
  <si>
    <t>2-</t>
  </si>
  <si>
    <t>7-</t>
  </si>
  <si>
    <t>Middle School</t>
  </si>
  <si>
    <t>High School</t>
  </si>
  <si>
    <t xml:space="preserve">Charter </t>
  </si>
  <si>
    <t xml:space="preserve">District </t>
  </si>
  <si>
    <t xml:space="preserve">                  Elementary School</t>
  </si>
  <si>
    <t xml:space="preserve">      Middle School</t>
  </si>
  <si>
    <t>DaVinci Academy</t>
  </si>
  <si>
    <t>Early Light Academy at Daybreak</t>
  </si>
  <si>
    <t>Karl G. Maeser Preparatory Academy</t>
  </si>
  <si>
    <t>Tuacahn H.S. for the Performing Arts</t>
  </si>
  <si>
    <t>Utah Schools for the Deaf &amp; Blind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</si>
</sst>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3" fillId="0" borderId="9" xfId="0" applyFont="1" applyFill="1" applyBorder="1" applyAlignment="1"/>
    <xf numFmtId="0" fontId="3" fillId="0" borderId="11" xfId="0" applyFont="1" applyFill="1" applyBorder="1" applyAlignment="1"/>
    <xf numFmtId="0" fontId="4" fillId="0" borderId="11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wrapText="1"/>
    </xf>
    <xf numFmtId="0" fontId="3" fillId="0" borderId="8" xfId="0" applyFont="1" applyFill="1" applyBorder="1" applyAlignment="1">
      <alignment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/>
    <xf numFmtId="0" fontId="3" fillId="0" borderId="10" xfId="0" applyFont="1" applyFill="1" applyBorder="1" applyAlignment="1"/>
    <xf numFmtId="0" fontId="3" fillId="0" borderId="7" xfId="0" applyFont="1" applyFill="1" applyBorder="1" applyAlignment="1">
      <alignment horizontal="center" vertical="center"/>
    </xf>
    <xf numFmtId="0" fontId="3" fillId="0" borderId="5" xfId="0" applyFont="1" applyFill="1" applyBorder="1" applyAlignment="1"/>
    <xf numFmtId="0" fontId="3" fillId="0" borderId="0" xfId="0" applyFont="1" applyFill="1" applyBorder="1" applyAlignment="1"/>
    <xf numFmtId="0" fontId="3" fillId="0" borderId="1" xfId="0" applyFont="1" applyFill="1" applyBorder="1" applyAlignment="1">
      <alignment horizontal="center" vertical="center"/>
    </xf>
    <xf numFmtId="0" fontId="3" fillId="0" borderId="6" xfId="0" applyFont="1" applyFill="1" applyBorder="1" applyAlignment="1"/>
    <xf numFmtId="0" fontId="3" fillId="0" borderId="8" xfId="0" applyFont="1" applyFill="1" applyBorder="1" applyAlignment="1"/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9" xfId="0" applyFont="1" applyFill="1" applyBorder="1" applyAlignment="1"/>
    <xf numFmtId="0" fontId="4" fillId="0" borderId="9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/>
    </xf>
    <xf numFmtId="0" fontId="4" fillId="0" borderId="9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vertical="center"/>
    </xf>
    <xf numFmtId="0" fontId="3" fillId="0" borderId="4" xfId="0" applyNumberFormat="1" applyFont="1" applyFill="1" applyBorder="1" applyAlignment="1">
      <alignment horizontal="center" vertical="top"/>
    </xf>
    <xf numFmtId="0" fontId="3" fillId="0" borderId="4" xfId="0" applyFont="1" applyFill="1" applyBorder="1" applyAlignment="1">
      <alignment horizontal="center" vertical="top"/>
    </xf>
    <xf numFmtId="0" fontId="3" fillId="0" borderId="5" xfId="0" applyFont="1" applyFill="1" applyBorder="1" applyAlignment="1">
      <alignment horizontal="center" vertical="top"/>
    </xf>
    <xf numFmtId="0" fontId="3" fillId="0" borderId="6" xfId="0" applyFont="1" applyFill="1" applyBorder="1" applyAlignment="1">
      <alignment horizontal="center" vertical="top"/>
    </xf>
    <xf numFmtId="0" fontId="4" fillId="0" borderId="3" xfId="0" applyFont="1" applyFill="1" applyBorder="1" applyAlignment="1">
      <alignment horizontal="center" vertical="top"/>
    </xf>
    <xf numFmtId="0" fontId="4" fillId="0" borderId="3" xfId="0" applyFont="1" applyFill="1" applyBorder="1" applyAlignment="1">
      <alignment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  <xf numFmtId="0" fontId="4" fillId="0" borderId="9" xfId="0" applyFont="1" applyFill="1" applyBorder="1" applyAlignment="1">
      <alignment horizontal="center" vertical="top"/>
    </xf>
    <xf numFmtId="0" fontId="3" fillId="0" borderId="9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8"/>
  <sheetViews>
    <sheetView tabSelected="1" view="pageLayout" zoomScaleNormal="100" workbookViewId="0">
      <selection activeCell="F21" sqref="F21"/>
    </sheetView>
  </sheetViews>
  <sheetFormatPr defaultColWidth="9.140625" defaultRowHeight="15.75" x14ac:dyDescent="0.25"/>
  <cols>
    <col min="1" max="1" width="42.7109375" style="1" customWidth="1"/>
    <col min="2" max="2" width="42.5703125" style="1" hidden="1" customWidth="1"/>
    <col min="3" max="6" width="11.28515625" style="1" customWidth="1"/>
    <col min="7" max="7" width="13.7109375" style="1" customWidth="1"/>
    <col min="8" max="14" width="11.28515625" style="1" customWidth="1"/>
    <col min="15" max="16384" width="9.140625" style="1"/>
  </cols>
  <sheetData>
    <row r="1" spans="1:15" ht="16.5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5" x14ac:dyDescent="0.25">
      <c r="A2" s="51"/>
      <c r="B2" s="53"/>
      <c r="C2" s="6"/>
      <c r="D2" s="6"/>
      <c r="E2" s="6"/>
      <c r="F2" s="6"/>
      <c r="G2" s="6" t="s">
        <v>110</v>
      </c>
      <c r="H2" s="6"/>
      <c r="I2" s="6"/>
      <c r="J2" s="6"/>
      <c r="K2" s="6"/>
      <c r="L2" s="6"/>
      <c r="M2" s="6"/>
      <c r="N2" s="7"/>
      <c r="O2" s="2"/>
    </row>
    <row r="3" spans="1:15" ht="31.5" x14ac:dyDescent="0.25">
      <c r="A3" s="8" t="s">
        <v>131</v>
      </c>
      <c r="B3" s="9"/>
      <c r="C3" s="10" t="s">
        <v>33</v>
      </c>
      <c r="D3" s="10" t="s">
        <v>50</v>
      </c>
      <c r="E3" s="10" t="s">
        <v>52</v>
      </c>
      <c r="F3" s="11" t="s">
        <v>55</v>
      </c>
      <c r="G3" s="10" t="s">
        <v>59</v>
      </c>
      <c r="H3" s="10" t="s">
        <v>60</v>
      </c>
      <c r="I3" s="10" t="s">
        <v>69</v>
      </c>
      <c r="J3" s="10" t="s">
        <v>70</v>
      </c>
      <c r="K3" s="10" t="s">
        <v>71</v>
      </c>
      <c r="L3" s="10" t="s">
        <v>72</v>
      </c>
      <c r="M3" s="11" t="s">
        <v>73</v>
      </c>
      <c r="N3" s="10" t="s">
        <v>49</v>
      </c>
      <c r="O3" s="2"/>
    </row>
    <row r="4" spans="1:15" x14ac:dyDescent="0.25">
      <c r="A4" s="12" t="str">
        <f t="shared" ref="A4:A35" si="0">PROPER(B4)</f>
        <v xml:space="preserve">Academy For Math Engineering &amp; Science </v>
      </c>
      <c r="B4" s="13" t="s">
        <v>75</v>
      </c>
      <c r="C4" s="14" t="s">
        <v>78</v>
      </c>
      <c r="D4" s="14" t="s">
        <v>78</v>
      </c>
      <c r="E4" s="14" t="s">
        <v>78</v>
      </c>
      <c r="F4" s="14" t="s">
        <v>78</v>
      </c>
      <c r="G4" s="14" t="s">
        <v>78</v>
      </c>
      <c r="H4" s="14" t="s">
        <v>78</v>
      </c>
      <c r="I4" s="14" t="s">
        <v>78</v>
      </c>
      <c r="J4" s="14" t="s">
        <v>78</v>
      </c>
      <c r="K4" s="14" t="s">
        <v>78</v>
      </c>
      <c r="L4" s="14" t="s">
        <v>78</v>
      </c>
      <c r="M4" s="14" t="s">
        <v>78</v>
      </c>
      <c r="N4" s="14">
        <f>SUM(C4:M4)</f>
        <v>0</v>
      </c>
    </row>
    <row r="5" spans="1:15" x14ac:dyDescent="0.25">
      <c r="A5" s="15" t="str">
        <f t="shared" si="0"/>
        <v>Alianza Academy</v>
      </c>
      <c r="B5" s="16" t="s">
        <v>68</v>
      </c>
      <c r="C5" s="17" t="s">
        <v>78</v>
      </c>
      <c r="D5" s="17" t="s">
        <v>78</v>
      </c>
      <c r="E5" s="17" t="s">
        <v>78</v>
      </c>
      <c r="F5" s="17" t="s">
        <v>78</v>
      </c>
      <c r="G5" s="17" t="s">
        <v>78</v>
      </c>
      <c r="H5" s="17">
        <v>2</v>
      </c>
      <c r="I5" s="17" t="s">
        <v>78</v>
      </c>
      <c r="J5" s="17" t="s">
        <v>78</v>
      </c>
      <c r="K5" s="17" t="s">
        <v>78</v>
      </c>
      <c r="L5" s="17" t="s">
        <v>78</v>
      </c>
      <c r="M5" s="17" t="s">
        <v>78</v>
      </c>
      <c r="N5" s="17">
        <f t="shared" ref="N5:N35" si="1">SUM(C5:M5)</f>
        <v>2</v>
      </c>
    </row>
    <row r="6" spans="1:15" x14ac:dyDescent="0.25">
      <c r="A6" s="15" t="str">
        <f t="shared" si="0"/>
        <v>American Preparatory Academy</v>
      </c>
      <c r="B6" s="16" t="s">
        <v>34</v>
      </c>
      <c r="C6" s="17">
        <v>7</v>
      </c>
      <c r="D6" s="17" t="s">
        <v>78</v>
      </c>
      <c r="E6" s="17" t="s">
        <v>78</v>
      </c>
      <c r="F6" s="17" t="s">
        <v>78</v>
      </c>
      <c r="G6" s="17" t="s">
        <v>78</v>
      </c>
      <c r="H6" s="17" t="s">
        <v>78</v>
      </c>
      <c r="I6" s="17" t="s">
        <v>78</v>
      </c>
      <c r="J6" s="17" t="s">
        <v>78</v>
      </c>
      <c r="K6" s="17" t="s">
        <v>78</v>
      </c>
      <c r="L6" s="17" t="s">
        <v>78</v>
      </c>
      <c r="M6" s="17" t="s">
        <v>78</v>
      </c>
      <c r="N6" s="17">
        <f t="shared" si="1"/>
        <v>7</v>
      </c>
    </row>
    <row r="7" spans="1:15" x14ac:dyDescent="0.25">
      <c r="A7" s="15" t="str">
        <f t="shared" si="0"/>
        <v>Aristotle Academy</v>
      </c>
      <c r="B7" s="16" t="s">
        <v>35</v>
      </c>
      <c r="C7" s="17">
        <v>6</v>
      </c>
      <c r="D7" s="17" t="s">
        <v>78</v>
      </c>
      <c r="E7" s="17" t="s">
        <v>78</v>
      </c>
      <c r="F7" s="17" t="s">
        <v>78</v>
      </c>
      <c r="G7" s="17" t="s">
        <v>78</v>
      </c>
      <c r="H7" s="17">
        <v>4</v>
      </c>
      <c r="I7" s="17" t="s">
        <v>78</v>
      </c>
      <c r="J7" s="17" t="s">
        <v>78</v>
      </c>
      <c r="K7" s="17" t="s">
        <v>78</v>
      </c>
      <c r="L7" s="17" t="s">
        <v>78</v>
      </c>
      <c r="M7" s="17" t="s">
        <v>78</v>
      </c>
      <c r="N7" s="17">
        <f t="shared" si="1"/>
        <v>10</v>
      </c>
    </row>
    <row r="8" spans="1:15" x14ac:dyDescent="0.25">
      <c r="A8" s="18" t="str">
        <f t="shared" si="0"/>
        <v>Canyon Grove Academy</v>
      </c>
      <c r="B8" s="19" t="s">
        <v>36</v>
      </c>
      <c r="C8" s="20">
        <v>2</v>
      </c>
      <c r="D8" s="20" t="s">
        <v>78</v>
      </c>
      <c r="E8" s="20" t="s">
        <v>78</v>
      </c>
      <c r="F8" s="20" t="s">
        <v>78</v>
      </c>
      <c r="G8" s="20" t="s">
        <v>78</v>
      </c>
      <c r="H8" s="20">
        <v>1</v>
      </c>
      <c r="I8" s="20" t="s">
        <v>78</v>
      </c>
      <c r="J8" s="20" t="s">
        <v>78</v>
      </c>
      <c r="K8" s="20" t="s">
        <v>78</v>
      </c>
      <c r="L8" s="20" t="s">
        <v>78</v>
      </c>
      <c r="M8" s="20" t="s">
        <v>78</v>
      </c>
      <c r="N8" s="20">
        <f t="shared" si="1"/>
        <v>3</v>
      </c>
    </row>
    <row r="9" spans="1:15" x14ac:dyDescent="0.25">
      <c r="A9" s="12" t="str">
        <f t="shared" si="0"/>
        <v>Davinci Academy</v>
      </c>
      <c r="B9" s="13" t="s">
        <v>37</v>
      </c>
      <c r="C9" s="14" t="s">
        <v>78</v>
      </c>
      <c r="D9" s="14" t="s">
        <v>78</v>
      </c>
      <c r="E9" s="14" t="s">
        <v>78</v>
      </c>
      <c r="F9" s="14" t="s">
        <v>78</v>
      </c>
      <c r="G9" s="14" t="s">
        <v>78</v>
      </c>
      <c r="H9" s="14" t="s">
        <v>78</v>
      </c>
      <c r="I9" s="14" t="s">
        <v>78</v>
      </c>
      <c r="J9" s="14" t="s">
        <v>78</v>
      </c>
      <c r="K9" s="14" t="s">
        <v>78</v>
      </c>
      <c r="L9" s="14" t="s">
        <v>78</v>
      </c>
      <c r="M9" s="14" t="s">
        <v>78</v>
      </c>
      <c r="N9" s="14">
        <f t="shared" si="1"/>
        <v>0</v>
      </c>
    </row>
    <row r="10" spans="1:15" x14ac:dyDescent="0.25">
      <c r="A10" s="15" t="str">
        <f t="shared" si="0"/>
        <v>Dual Immersion Academy</v>
      </c>
      <c r="B10" s="16" t="s">
        <v>38</v>
      </c>
      <c r="C10" s="17">
        <v>1</v>
      </c>
      <c r="D10" s="17" t="s">
        <v>78</v>
      </c>
      <c r="E10" s="17" t="s">
        <v>78</v>
      </c>
      <c r="F10" s="17" t="s">
        <v>78</v>
      </c>
      <c r="G10" s="17" t="s">
        <v>78</v>
      </c>
      <c r="H10" s="17">
        <v>13</v>
      </c>
      <c r="I10" s="17" t="s">
        <v>78</v>
      </c>
      <c r="J10" s="17" t="s">
        <v>78</v>
      </c>
      <c r="K10" s="17" t="s">
        <v>78</v>
      </c>
      <c r="L10" s="17" t="s">
        <v>78</v>
      </c>
      <c r="M10" s="17" t="s">
        <v>78</v>
      </c>
      <c r="N10" s="17">
        <f t="shared" si="1"/>
        <v>14</v>
      </c>
    </row>
    <row r="11" spans="1:15" x14ac:dyDescent="0.25">
      <c r="A11" s="15" t="str">
        <f t="shared" si="0"/>
        <v>Early Light Academy At Daybreak</v>
      </c>
      <c r="B11" s="16" t="s">
        <v>58</v>
      </c>
      <c r="C11" s="17" t="s">
        <v>78</v>
      </c>
      <c r="D11" s="17" t="s">
        <v>78</v>
      </c>
      <c r="E11" s="17" t="s">
        <v>78</v>
      </c>
      <c r="F11" s="17" t="s">
        <v>78</v>
      </c>
      <c r="G11" s="17" t="s">
        <v>78</v>
      </c>
      <c r="H11" s="17" t="s">
        <v>78</v>
      </c>
      <c r="I11" s="17" t="s">
        <v>78</v>
      </c>
      <c r="J11" s="17" t="s">
        <v>78</v>
      </c>
      <c r="K11" s="17" t="s">
        <v>78</v>
      </c>
      <c r="L11" s="17" t="s">
        <v>78</v>
      </c>
      <c r="M11" s="17" t="s">
        <v>78</v>
      </c>
      <c r="N11" s="17">
        <f t="shared" si="1"/>
        <v>0</v>
      </c>
    </row>
    <row r="12" spans="1:15" x14ac:dyDescent="0.25">
      <c r="A12" s="15" t="str">
        <f t="shared" si="0"/>
        <v>East Hollywood High</v>
      </c>
      <c r="B12" s="16" t="s">
        <v>54</v>
      </c>
      <c r="C12" s="17" t="s">
        <v>78</v>
      </c>
      <c r="D12" s="17" t="s">
        <v>78</v>
      </c>
      <c r="E12" s="17" t="s">
        <v>78</v>
      </c>
      <c r="F12" s="17" t="s">
        <v>78</v>
      </c>
      <c r="G12" s="17" t="s">
        <v>78</v>
      </c>
      <c r="H12" s="17" t="s">
        <v>78</v>
      </c>
      <c r="I12" s="17" t="s">
        <v>78</v>
      </c>
      <c r="J12" s="17" t="s">
        <v>78</v>
      </c>
      <c r="K12" s="17" t="s">
        <v>78</v>
      </c>
      <c r="L12" s="17" t="s">
        <v>78</v>
      </c>
      <c r="M12" s="17" t="s">
        <v>78</v>
      </c>
      <c r="N12" s="17">
        <f t="shared" si="1"/>
        <v>0</v>
      </c>
    </row>
    <row r="13" spans="1:15" x14ac:dyDescent="0.25">
      <c r="A13" s="18" t="str">
        <f t="shared" si="0"/>
        <v>Endeavor Hall</v>
      </c>
      <c r="B13" s="19" t="s">
        <v>63</v>
      </c>
      <c r="C13" s="20" t="s">
        <v>78</v>
      </c>
      <c r="D13" s="20" t="s">
        <v>78</v>
      </c>
      <c r="E13" s="20" t="s">
        <v>78</v>
      </c>
      <c r="F13" s="20" t="s">
        <v>78</v>
      </c>
      <c r="G13" s="20" t="s">
        <v>78</v>
      </c>
      <c r="H13" s="20">
        <v>1</v>
      </c>
      <c r="I13" s="20" t="s">
        <v>78</v>
      </c>
      <c r="J13" s="20" t="s">
        <v>78</v>
      </c>
      <c r="K13" s="20" t="s">
        <v>78</v>
      </c>
      <c r="L13" s="20" t="s">
        <v>78</v>
      </c>
      <c r="M13" s="20" t="s">
        <v>78</v>
      </c>
      <c r="N13" s="20">
        <f t="shared" si="1"/>
        <v>1</v>
      </c>
    </row>
    <row r="14" spans="1:15" x14ac:dyDescent="0.25">
      <c r="A14" s="12" t="str">
        <f t="shared" si="0"/>
        <v>Entheos Academy</v>
      </c>
      <c r="B14" s="13" t="s">
        <v>62</v>
      </c>
      <c r="C14" s="14" t="s">
        <v>78</v>
      </c>
      <c r="D14" s="14" t="s">
        <v>78</v>
      </c>
      <c r="E14" s="14" t="s">
        <v>78</v>
      </c>
      <c r="F14" s="14" t="s">
        <v>78</v>
      </c>
      <c r="G14" s="14" t="s">
        <v>78</v>
      </c>
      <c r="H14" s="14">
        <v>14</v>
      </c>
      <c r="I14" s="14" t="s">
        <v>78</v>
      </c>
      <c r="J14" s="14" t="s">
        <v>78</v>
      </c>
      <c r="K14" s="14" t="s">
        <v>78</v>
      </c>
      <c r="L14" s="14">
        <v>2</v>
      </c>
      <c r="M14" s="14">
        <v>6</v>
      </c>
      <c r="N14" s="14">
        <f t="shared" si="1"/>
        <v>22</v>
      </c>
    </row>
    <row r="15" spans="1:15" x14ac:dyDescent="0.25">
      <c r="A15" s="15" t="str">
        <f t="shared" si="0"/>
        <v>Gateway Preparatory Academy</v>
      </c>
      <c r="B15" s="16" t="s">
        <v>67</v>
      </c>
      <c r="C15" s="17" t="s">
        <v>78</v>
      </c>
      <c r="D15" s="17" t="s">
        <v>78</v>
      </c>
      <c r="E15" s="17" t="s">
        <v>78</v>
      </c>
      <c r="F15" s="17" t="s">
        <v>78</v>
      </c>
      <c r="G15" s="17" t="s">
        <v>78</v>
      </c>
      <c r="H15" s="17">
        <v>1</v>
      </c>
      <c r="I15" s="17" t="s">
        <v>78</v>
      </c>
      <c r="J15" s="17" t="s">
        <v>78</v>
      </c>
      <c r="K15" s="17" t="s">
        <v>78</v>
      </c>
      <c r="L15" s="17" t="s">
        <v>78</v>
      </c>
      <c r="M15" s="17" t="s">
        <v>78</v>
      </c>
      <c r="N15" s="17">
        <f t="shared" si="1"/>
        <v>1</v>
      </c>
    </row>
    <row r="16" spans="1:15" x14ac:dyDescent="0.25">
      <c r="A16" s="15" t="str">
        <f t="shared" si="0"/>
        <v>George Washington Academy</v>
      </c>
      <c r="B16" s="16" t="s">
        <v>74</v>
      </c>
      <c r="C16" s="17" t="s">
        <v>78</v>
      </c>
      <c r="D16" s="17" t="s">
        <v>78</v>
      </c>
      <c r="E16" s="17" t="s">
        <v>78</v>
      </c>
      <c r="F16" s="17" t="s">
        <v>78</v>
      </c>
      <c r="G16" s="17" t="s">
        <v>78</v>
      </c>
      <c r="H16" s="17" t="s">
        <v>78</v>
      </c>
      <c r="I16" s="17" t="s">
        <v>78</v>
      </c>
      <c r="J16" s="17" t="s">
        <v>78</v>
      </c>
      <c r="K16" s="17" t="s">
        <v>78</v>
      </c>
      <c r="L16" s="17" t="s">
        <v>78</v>
      </c>
      <c r="M16" s="17">
        <v>1</v>
      </c>
      <c r="N16" s="17">
        <f t="shared" si="1"/>
        <v>1</v>
      </c>
    </row>
    <row r="17" spans="1:29" x14ac:dyDescent="0.25">
      <c r="A17" s="15" t="str">
        <f t="shared" si="0"/>
        <v>Hawthorn Academy</v>
      </c>
      <c r="B17" s="16" t="s">
        <v>39</v>
      </c>
      <c r="C17" s="17">
        <v>1</v>
      </c>
      <c r="D17" s="17" t="s">
        <v>78</v>
      </c>
      <c r="E17" s="17" t="s">
        <v>78</v>
      </c>
      <c r="F17" s="17" t="s">
        <v>78</v>
      </c>
      <c r="G17" s="17" t="s">
        <v>78</v>
      </c>
      <c r="H17" s="17" t="s">
        <v>78</v>
      </c>
      <c r="I17" s="17" t="s">
        <v>78</v>
      </c>
      <c r="J17" s="17" t="s">
        <v>78</v>
      </c>
      <c r="K17" s="17" t="s">
        <v>78</v>
      </c>
      <c r="L17" s="17" t="s">
        <v>78</v>
      </c>
      <c r="M17" s="17" t="s">
        <v>78</v>
      </c>
      <c r="N17" s="17">
        <f t="shared" si="1"/>
        <v>1</v>
      </c>
    </row>
    <row r="18" spans="1:29" x14ac:dyDescent="0.25">
      <c r="A18" s="18" t="str">
        <f t="shared" si="0"/>
        <v>Intech Collegiate High School</v>
      </c>
      <c r="B18" s="19" t="s">
        <v>40</v>
      </c>
      <c r="C18" s="20">
        <v>0</v>
      </c>
      <c r="D18" s="20" t="s">
        <v>78</v>
      </c>
      <c r="E18" s="20" t="s">
        <v>78</v>
      </c>
      <c r="F18" s="20" t="s">
        <v>78</v>
      </c>
      <c r="G18" s="20" t="s">
        <v>78</v>
      </c>
      <c r="H18" s="20" t="s">
        <v>78</v>
      </c>
      <c r="I18" s="20" t="s">
        <v>78</v>
      </c>
      <c r="J18" s="20" t="s">
        <v>78</v>
      </c>
      <c r="K18" s="20">
        <v>0</v>
      </c>
      <c r="L18" s="20" t="s">
        <v>78</v>
      </c>
      <c r="M18" s="20" t="s">
        <v>78</v>
      </c>
      <c r="N18" s="20">
        <f t="shared" si="1"/>
        <v>0</v>
      </c>
    </row>
    <row r="19" spans="1:29" x14ac:dyDescent="0.25">
      <c r="A19" s="12" t="str">
        <f t="shared" si="0"/>
        <v>Karl G Maeser Preparatory Academy</v>
      </c>
      <c r="B19" s="13" t="s">
        <v>57</v>
      </c>
      <c r="C19" s="14">
        <v>0</v>
      </c>
      <c r="D19" s="14" t="s">
        <v>78</v>
      </c>
      <c r="E19" s="14" t="s">
        <v>78</v>
      </c>
      <c r="F19" s="14" t="s">
        <v>78</v>
      </c>
      <c r="G19" s="14" t="s">
        <v>78</v>
      </c>
      <c r="H19" s="14" t="s">
        <v>78</v>
      </c>
      <c r="I19" s="14" t="s">
        <v>78</v>
      </c>
      <c r="J19" s="14" t="s">
        <v>78</v>
      </c>
      <c r="K19" s="14" t="s">
        <v>78</v>
      </c>
      <c r="L19" s="14" t="s">
        <v>78</v>
      </c>
      <c r="M19" s="14" t="s">
        <v>78</v>
      </c>
      <c r="N19" s="14">
        <f t="shared" si="1"/>
        <v>0</v>
      </c>
    </row>
    <row r="20" spans="1:29" x14ac:dyDescent="0.25">
      <c r="A20" s="15" t="str">
        <f t="shared" si="0"/>
        <v>Lakeview Academy</v>
      </c>
      <c r="B20" s="16" t="s">
        <v>64</v>
      </c>
      <c r="C20" s="17"/>
      <c r="D20" s="17" t="s">
        <v>78</v>
      </c>
      <c r="E20" s="17" t="s">
        <v>78</v>
      </c>
      <c r="F20" s="17" t="s">
        <v>78</v>
      </c>
      <c r="G20" s="17" t="s">
        <v>78</v>
      </c>
      <c r="H20" s="17">
        <v>1</v>
      </c>
      <c r="I20" s="17" t="s">
        <v>78</v>
      </c>
      <c r="J20" s="17" t="s">
        <v>78</v>
      </c>
      <c r="K20" s="17" t="s">
        <v>78</v>
      </c>
      <c r="L20" s="17" t="s">
        <v>78</v>
      </c>
      <c r="M20" s="17" t="s">
        <v>78</v>
      </c>
      <c r="N20" s="17">
        <f t="shared" si="1"/>
        <v>1</v>
      </c>
    </row>
    <row r="21" spans="1:29" x14ac:dyDescent="0.25">
      <c r="A21" s="15" t="str">
        <f t="shared" si="0"/>
        <v>Lincoln Academy</v>
      </c>
      <c r="B21" s="16" t="s">
        <v>41</v>
      </c>
      <c r="C21" s="17">
        <v>2</v>
      </c>
      <c r="D21" s="17" t="s">
        <v>78</v>
      </c>
      <c r="E21" s="17" t="s">
        <v>78</v>
      </c>
      <c r="F21" s="17" t="s">
        <v>78</v>
      </c>
      <c r="G21" s="17" t="s">
        <v>78</v>
      </c>
      <c r="H21" s="17">
        <v>1</v>
      </c>
      <c r="I21" s="17" t="s">
        <v>78</v>
      </c>
      <c r="J21" s="17" t="s">
        <v>78</v>
      </c>
      <c r="K21" s="17" t="s">
        <v>78</v>
      </c>
      <c r="L21" s="17" t="s">
        <v>78</v>
      </c>
      <c r="M21" s="17" t="s">
        <v>78</v>
      </c>
      <c r="N21" s="17">
        <f t="shared" si="1"/>
        <v>3</v>
      </c>
    </row>
    <row r="22" spans="1:29" x14ac:dyDescent="0.25">
      <c r="A22" s="15" t="str">
        <f t="shared" si="0"/>
        <v>Maria Montessori Academy</v>
      </c>
      <c r="B22" s="16" t="s">
        <v>65</v>
      </c>
      <c r="C22" s="17"/>
      <c r="D22" s="17" t="s">
        <v>78</v>
      </c>
      <c r="E22" s="17" t="s">
        <v>78</v>
      </c>
      <c r="F22" s="17" t="s">
        <v>78</v>
      </c>
      <c r="G22" s="17" t="s">
        <v>78</v>
      </c>
      <c r="H22" s="17">
        <v>1</v>
      </c>
      <c r="I22" s="17" t="s">
        <v>78</v>
      </c>
      <c r="J22" s="17" t="s">
        <v>78</v>
      </c>
      <c r="K22" s="17" t="s">
        <v>78</v>
      </c>
      <c r="L22" s="17" t="s">
        <v>78</v>
      </c>
      <c r="M22" s="17" t="s">
        <v>78</v>
      </c>
      <c r="N22" s="17">
        <f t="shared" si="1"/>
        <v>1</v>
      </c>
    </row>
    <row r="23" spans="1:29" x14ac:dyDescent="0.25">
      <c r="A23" s="18" t="str">
        <f t="shared" si="0"/>
        <v>Merit College Preparatory Academy</v>
      </c>
      <c r="B23" s="19" t="s">
        <v>42</v>
      </c>
      <c r="C23" s="20">
        <v>0</v>
      </c>
      <c r="D23" s="20" t="s">
        <v>78</v>
      </c>
      <c r="E23" s="20" t="s">
        <v>78</v>
      </c>
      <c r="F23" s="20" t="s">
        <v>78</v>
      </c>
      <c r="G23" s="20" t="s">
        <v>78</v>
      </c>
      <c r="H23" s="20" t="s">
        <v>78</v>
      </c>
      <c r="I23" s="20" t="s">
        <v>78</v>
      </c>
      <c r="J23" s="20" t="s">
        <v>78</v>
      </c>
      <c r="K23" s="20" t="s">
        <v>78</v>
      </c>
      <c r="L23" s="20" t="s">
        <v>78</v>
      </c>
      <c r="M23" s="20" t="s">
        <v>78</v>
      </c>
      <c r="N23" s="20">
        <f t="shared" si="1"/>
        <v>0</v>
      </c>
    </row>
    <row r="24" spans="1:29" x14ac:dyDescent="0.25">
      <c r="A24" s="12" t="str">
        <f t="shared" si="0"/>
        <v>Monticello Academy</v>
      </c>
      <c r="B24" s="13" t="s">
        <v>66</v>
      </c>
      <c r="C24" s="14"/>
      <c r="D24" s="14" t="s">
        <v>78</v>
      </c>
      <c r="E24" s="14" t="s">
        <v>78</v>
      </c>
      <c r="F24" s="14" t="s">
        <v>78</v>
      </c>
      <c r="G24" s="14" t="s">
        <v>78</v>
      </c>
      <c r="H24" s="14">
        <v>2</v>
      </c>
      <c r="I24" s="14" t="s">
        <v>78</v>
      </c>
      <c r="J24" s="14" t="s">
        <v>78</v>
      </c>
      <c r="K24" s="14" t="s">
        <v>78</v>
      </c>
      <c r="L24" s="14" t="s">
        <v>78</v>
      </c>
      <c r="M24" s="14">
        <v>1</v>
      </c>
      <c r="N24" s="14">
        <f t="shared" si="1"/>
        <v>3</v>
      </c>
    </row>
    <row r="25" spans="1:29" x14ac:dyDescent="0.25">
      <c r="A25" s="15" t="str">
        <f t="shared" si="0"/>
        <v>Odyssey Charter School</v>
      </c>
      <c r="B25" s="16" t="s">
        <v>43</v>
      </c>
      <c r="C25" s="17">
        <v>2</v>
      </c>
      <c r="D25" s="17" t="s">
        <v>78</v>
      </c>
      <c r="E25" s="17" t="s">
        <v>78</v>
      </c>
      <c r="F25" s="17" t="s">
        <v>78</v>
      </c>
      <c r="G25" s="17" t="s">
        <v>78</v>
      </c>
      <c r="H25" s="17">
        <v>4</v>
      </c>
      <c r="I25" s="17" t="s">
        <v>78</v>
      </c>
      <c r="J25" s="17" t="s">
        <v>78</v>
      </c>
      <c r="K25" s="17" t="s">
        <v>78</v>
      </c>
      <c r="L25" s="17" t="s">
        <v>78</v>
      </c>
      <c r="M25" s="17" t="s">
        <v>78</v>
      </c>
      <c r="N25" s="17">
        <f t="shared" si="1"/>
        <v>6</v>
      </c>
    </row>
    <row r="26" spans="1:29" x14ac:dyDescent="0.25">
      <c r="A26" s="15" t="str">
        <f t="shared" si="0"/>
        <v>Pacific Heritage Academy</v>
      </c>
      <c r="B26" s="16" t="s">
        <v>44</v>
      </c>
      <c r="C26" s="17">
        <v>2</v>
      </c>
      <c r="D26" s="17" t="s">
        <v>78</v>
      </c>
      <c r="E26" s="17" t="s">
        <v>78</v>
      </c>
      <c r="F26" s="17" t="s">
        <v>78</v>
      </c>
      <c r="G26" s="17" t="s">
        <v>78</v>
      </c>
      <c r="H26" s="17" t="s">
        <v>78</v>
      </c>
      <c r="I26" s="17">
        <v>1</v>
      </c>
      <c r="J26" s="17" t="s">
        <v>78</v>
      </c>
      <c r="K26" s="17" t="s">
        <v>78</v>
      </c>
      <c r="L26" s="17" t="s">
        <v>78</v>
      </c>
      <c r="M26" s="17" t="s">
        <v>78</v>
      </c>
      <c r="N26" s="17">
        <f t="shared" si="1"/>
        <v>3</v>
      </c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</row>
    <row r="27" spans="1:29" x14ac:dyDescent="0.25">
      <c r="A27" s="15" t="str">
        <f t="shared" si="0"/>
        <v>Providence Hall</v>
      </c>
      <c r="B27" s="16" t="s">
        <v>45</v>
      </c>
      <c r="C27" s="17">
        <v>6</v>
      </c>
      <c r="D27" s="17" t="s">
        <v>78</v>
      </c>
      <c r="E27" s="17" t="s">
        <v>78</v>
      </c>
      <c r="F27" s="17" t="s">
        <v>78</v>
      </c>
      <c r="G27" s="17" t="s">
        <v>78</v>
      </c>
      <c r="H27" s="17" t="s">
        <v>78</v>
      </c>
      <c r="I27" s="17" t="s">
        <v>78</v>
      </c>
      <c r="J27" s="17" t="s">
        <v>78</v>
      </c>
      <c r="K27" s="17" t="s">
        <v>78</v>
      </c>
      <c r="L27" s="17" t="s">
        <v>78</v>
      </c>
      <c r="M27" s="17" t="s">
        <v>78</v>
      </c>
      <c r="N27" s="17">
        <f t="shared" si="1"/>
        <v>6</v>
      </c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</row>
    <row r="28" spans="1:29" x14ac:dyDescent="0.25">
      <c r="A28" s="18" t="str">
        <f t="shared" si="0"/>
        <v>Quest Academy</v>
      </c>
      <c r="B28" s="19" t="s">
        <v>61</v>
      </c>
      <c r="C28" s="20"/>
      <c r="D28" s="20" t="s">
        <v>78</v>
      </c>
      <c r="E28" s="20" t="s">
        <v>78</v>
      </c>
      <c r="F28" s="20" t="s">
        <v>78</v>
      </c>
      <c r="G28" s="20" t="s">
        <v>78</v>
      </c>
      <c r="H28" s="20">
        <v>1</v>
      </c>
      <c r="I28" s="20" t="s">
        <v>78</v>
      </c>
      <c r="J28" s="20" t="s">
        <v>78</v>
      </c>
      <c r="K28" s="20" t="s">
        <v>78</v>
      </c>
      <c r="L28" s="20" t="s">
        <v>78</v>
      </c>
      <c r="M28" s="20" t="s">
        <v>78</v>
      </c>
      <c r="N28" s="20">
        <f t="shared" si="1"/>
        <v>1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</row>
    <row r="29" spans="1:29" x14ac:dyDescent="0.25">
      <c r="A29" s="12" t="str">
        <f t="shared" si="0"/>
        <v>Spectrum Academy</v>
      </c>
      <c r="B29" s="13" t="s">
        <v>46</v>
      </c>
      <c r="C29" s="14">
        <v>2</v>
      </c>
      <c r="D29" s="14" t="s">
        <v>78</v>
      </c>
      <c r="E29" s="14" t="s">
        <v>78</v>
      </c>
      <c r="F29" s="14">
        <v>3</v>
      </c>
      <c r="G29" s="14" t="s">
        <v>78</v>
      </c>
      <c r="H29" s="14">
        <v>13</v>
      </c>
      <c r="I29" s="14" t="s">
        <v>78</v>
      </c>
      <c r="J29" s="14" t="s">
        <v>78</v>
      </c>
      <c r="K29" s="14" t="s">
        <v>78</v>
      </c>
      <c r="L29" s="14" t="s">
        <v>78</v>
      </c>
      <c r="M29" s="14" t="s">
        <v>78</v>
      </c>
      <c r="N29" s="14">
        <f t="shared" si="1"/>
        <v>18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</row>
    <row r="30" spans="1:29" x14ac:dyDescent="0.25">
      <c r="A30" s="15" t="str">
        <f t="shared" si="0"/>
        <v>Syracuse Arts Academy</v>
      </c>
      <c r="B30" s="16" t="s">
        <v>47</v>
      </c>
      <c r="C30" s="17">
        <v>3</v>
      </c>
      <c r="D30" s="17" t="s">
        <v>78</v>
      </c>
      <c r="E30" s="17" t="s">
        <v>78</v>
      </c>
      <c r="F30" s="17" t="s">
        <v>78</v>
      </c>
      <c r="G30" s="17" t="s">
        <v>78</v>
      </c>
      <c r="H30" s="17" t="s">
        <v>78</v>
      </c>
      <c r="I30" s="17" t="s">
        <v>78</v>
      </c>
      <c r="J30" s="17" t="s">
        <v>78</v>
      </c>
      <c r="K30" s="17" t="s">
        <v>78</v>
      </c>
      <c r="L30" s="17" t="s">
        <v>78</v>
      </c>
      <c r="M30" s="17" t="s">
        <v>78</v>
      </c>
      <c r="N30" s="17">
        <f t="shared" si="1"/>
        <v>3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</row>
    <row r="31" spans="1:29" x14ac:dyDescent="0.25">
      <c r="A31" s="15" t="str">
        <f t="shared" si="0"/>
        <v>Salt Lake Center For Science Education</v>
      </c>
      <c r="B31" s="16" t="s">
        <v>51</v>
      </c>
      <c r="C31" s="17">
        <v>0</v>
      </c>
      <c r="D31" s="17" t="s">
        <v>78</v>
      </c>
      <c r="E31" s="17" t="s">
        <v>78</v>
      </c>
      <c r="F31" s="17" t="s">
        <v>78</v>
      </c>
      <c r="G31" s="17" t="s">
        <v>78</v>
      </c>
      <c r="H31" s="17" t="s">
        <v>78</v>
      </c>
      <c r="I31" s="17" t="s">
        <v>78</v>
      </c>
      <c r="J31" s="17" t="s">
        <v>78</v>
      </c>
      <c r="K31" s="17" t="s">
        <v>78</v>
      </c>
      <c r="L31" s="17" t="s">
        <v>78</v>
      </c>
      <c r="M31" s="17" t="s">
        <v>78</v>
      </c>
      <c r="N31" s="17">
        <f t="shared" si="1"/>
        <v>0</v>
      </c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</row>
    <row r="32" spans="1:29" x14ac:dyDescent="0.25">
      <c r="A32" s="15" t="str">
        <f t="shared" si="0"/>
        <v>Summit Academy High School</v>
      </c>
      <c r="B32" s="16" t="s">
        <v>53</v>
      </c>
      <c r="C32" s="17">
        <v>0</v>
      </c>
      <c r="D32" s="17" t="s">
        <v>78</v>
      </c>
      <c r="E32" s="17" t="s">
        <v>78</v>
      </c>
      <c r="F32" s="17" t="s">
        <v>78</v>
      </c>
      <c r="G32" s="17" t="s">
        <v>78</v>
      </c>
      <c r="H32" s="17" t="s">
        <v>78</v>
      </c>
      <c r="I32" s="17" t="s">
        <v>78</v>
      </c>
      <c r="J32" s="17" t="s">
        <v>78</v>
      </c>
      <c r="K32" s="17" t="s">
        <v>78</v>
      </c>
      <c r="L32" s="17" t="s">
        <v>78</v>
      </c>
      <c r="M32" s="17" t="s">
        <v>78</v>
      </c>
      <c r="N32" s="17">
        <f t="shared" si="1"/>
        <v>0</v>
      </c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</row>
    <row r="33" spans="1:29" x14ac:dyDescent="0.25">
      <c r="A33" s="15" t="str">
        <f t="shared" si="0"/>
        <v>Tuacahn Hs For The Performing Arts</v>
      </c>
      <c r="B33" s="16" t="s">
        <v>77</v>
      </c>
      <c r="C33" s="17">
        <v>0</v>
      </c>
      <c r="D33" s="17" t="s">
        <v>78</v>
      </c>
      <c r="E33" s="17" t="s">
        <v>78</v>
      </c>
      <c r="F33" s="17" t="s">
        <v>78</v>
      </c>
      <c r="G33" s="17" t="s">
        <v>78</v>
      </c>
      <c r="H33" s="17" t="s">
        <v>78</v>
      </c>
      <c r="I33" s="17" t="s">
        <v>78</v>
      </c>
      <c r="J33" s="17" t="s">
        <v>78</v>
      </c>
      <c r="K33" s="17" t="s">
        <v>78</v>
      </c>
      <c r="L33" s="17" t="s">
        <v>78</v>
      </c>
      <c r="M33" s="17" t="s">
        <v>78</v>
      </c>
      <c r="N33" s="17">
        <f t="shared" si="1"/>
        <v>0</v>
      </c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</row>
    <row r="34" spans="1:29" x14ac:dyDescent="0.25">
      <c r="A34" s="15" t="str">
        <f t="shared" si="0"/>
        <v>Uintah River High</v>
      </c>
      <c r="B34" s="16" t="s">
        <v>56</v>
      </c>
      <c r="C34" s="17">
        <v>0</v>
      </c>
      <c r="D34" s="17" t="s">
        <v>78</v>
      </c>
      <c r="E34" s="17" t="s">
        <v>78</v>
      </c>
      <c r="F34" s="17" t="s">
        <v>78</v>
      </c>
      <c r="G34" s="17" t="s">
        <v>78</v>
      </c>
      <c r="H34" s="17" t="s">
        <v>78</v>
      </c>
      <c r="I34" s="17" t="s">
        <v>78</v>
      </c>
      <c r="J34" s="17" t="s">
        <v>78</v>
      </c>
      <c r="K34" s="17" t="s">
        <v>78</v>
      </c>
      <c r="L34" s="17" t="s">
        <v>78</v>
      </c>
      <c r="M34" s="17" t="s">
        <v>78</v>
      </c>
      <c r="N34" s="17">
        <f t="shared" si="1"/>
        <v>0</v>
      </c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</row>
    <row r="35" spans="1:29" x14ac:dyDescent="0.25">
      <c r="A35" s="15" t="str">
        <f t="shared" si="0"/>
        <v xml:space="preserve">Vista Shool </v>
      </c>
      <c r="B35" s="16" t="s">
        <v>76</v>
      </c>
      <c r="C35" s="17">
        <v>1</v>
      </c>
      <c r="D35" s="17" t="s">
        <v>78</v>
      </c>
      <c r="E35" s="17" t="s">
        <v>78</v>
      </c>
      <c r="F35" s="17" t="s">
        <v>78</v>
      </c>
      <c r="G35" s="17" t="s">
        <v>78</v>
      </c>
      <c r="H35" s="17" t="s">
        <v>78</v>
      </c>
      <c r="I35" s="17" t="s">
        <v>78</v>
      </c>
      <c r="J35" s="17" t="s">
        <v>78</v>
      </c>
      <c r="K35" s="17" t="s">
        <v>78</v>
      </c>
      <c r="L35" s="17" t="s">
        <v>78</v>
      </c>
      <c r="M35" s="17" t="s">
        <v>78</v>
      </c>
      <c r="N35" s="17">
        <f t="shared" si="1"/>
        <v>1</v>
      </c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</row>
    <row r="36" spans="1:29" x14ac:dyDescent="0.25">
      <c r="A36" s="22" t="s">
        <v>79</v>
      </c>
      <c r="B36" s="22"/>
      <c r="C36" s="23">
        <f>SUM(C4:C35)</f>
        <v>35</v>
      </c>
      <c r="D36" s="23" t="s">
        <v>78</v>
      </c>
      <c r="E36" s="23" t="s">
        <v>78</v>
      </c>
      <c r="F36" s="23">
        <f>SUM(F4:F35)</f>
        <v>3</v>
      </c>
      <c r="G36" s="23" t="s">
        <v>78</v>
      </c>
      <c r="H36" s="23">
        <f>SUM(H4:H35)</f>
        <v>59</v>
      </c>
      <c r="I36" s="23">
        <f>SUM(I4:I35)</f>
        <v>1</v>
      </c>
      <c r="J36" s="23" t="s">
        <v>78</v>
      </c>
      <c r="K36" s="23" t="s">
        <v>78</v>
      </c>
      <c r="L36" s="23">
        <f>SUM(L4:L35)</f>
        <v>2</v>
      </c>
      <c r="M36" s="23">
        <f>SUM(M4:M35)</f>
        <v>8</v>
      </c>
      <c r="N36" s="23">
        <f>SUM(N4:N35)</f>
        <v>108</v>
      </c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</row>
    <row r="37" spans="1:29" x14ac:dyDescent="0.25">
      <c r="A37" s="4" t="str">
        <f>PROPER(B37)</f>
        <v>Utah Schools For Deaf &amp; Blind</v>
      </c>
      <c r="B37" s="5" t="s">
        <v>48</v>
      </c>
      <c r="C37" s="21">
        <v>0</v>
      </c>
      <c r="D37" s="21" t="s">
        <v>78</v>
      </c>
      <c r="E37" s="21" t="s">
        <v>78</v>
      </c>
      <c r="F37" s="21" t="s">
        <v>78</v>
      </c>
      <c r="G37" s="21" t="s">
        <v>78</v>
      </c>
      <c r="H37" s="21" t="s">
        <v>78</v>
      </c>
      <c r="I37" s="21" t="s">
        <v>78</v>
      </c>
      <c r="J37" s="21" t="s">
        <v>78</v>
      </c>
      <c r="K37" s="21" t="s">
        <v>78</v>
      </c>
      <c r="L37" s="21" t="s">
        <v>78</v>
      </c>
      <c r="M37" s="21" t="s">
        <v>78</v>
      </c>
      <c r="N37" s="21">
        <f>SUM(C37:M37)</f>
        <v>0</v>
      </c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</row>
    <row r="38" spans="1:29" x14ac:dyDescent="0.25">
      <c r="A38" s="16"/>
      <c r="B38" s="16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</row>
    <row r="39" spans="1:29" x14ac:dyDescent="0.25">
      <c r="A39" s="16"/>
      <c r="B39" s="16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</row>
    <row r="40" spans="1:29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</row>
    <row r="41" spans="1:29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</row>
    <row r="42" spans="1:29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</row>
    <row r="43" spans="1:29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</row>
    <row r="44" spans="1:29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</row>
    <row r="45" spans="1:29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</row>
    <row r="46" spans="1:29" x14ac:dyDescent="0.25"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</row>
    <row r="47" spans="1:29" x14ac:dyDescent="0.25"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</row>
    <row r="48" spans="1:29" x14ac:dyDescent="0.25"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</row>
    <row r="49" spans="17:29" x14ac:dyDescent="0.25"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</row>
    <row r="50" spans="17:29" x14ac:dyDescent="0.25"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</row>
    <row r="51" spans="17:29" x14ac:dyDescent="0.25"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</row>
    <row r="52" spans="17:29" x14ac:dyDescent="0.25"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</row>
    <row r="53" spans="17:29" x14ac:dyDescent="0.25"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</row>
    <row r="54" spans="17:29" x14ac:dyDescent="0.25"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</row>
    <row r="55" spans="17:29" x14ac:dyDescent="0.25"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</row>
    <row r="56" spans="17:29" x14ac:dyDescent="0.25"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</row>
    <row r="57" spans="17:29" x14ac:dyDescent="0.25"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</row>
    <row r="58" spans="17:29" x14ac:dyDescent="0.25"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</row>
    <row r="59" spans="17:29" x14ac:dyDescent="0.25"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</row>
    <row r="60" spans="17:29" x14ac:dyDescent="0.25"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</row>
    <row r="61" spans="17:29" x14ac:dyDescent="0.25"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</row>
    <row r="62" spans="17:29" x14ac:dyDescent="0.25"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</row>
    <row r="63" spans="17:29" x14ac:dyDescent="0.25"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</row>
    <row r="64" spans="17:29" x14ac:dyDescent="0.25"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</row>
    <row r="65" spans="17:29" x14ac:dyDescent="0.25"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</row>
    <row r="66" spans="17:29" x14ac:dyDescent="0.25"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</row>
    <row r="67" spans="17:29" x14ac:dyDescent="0.25"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</row>
    <row r="68" spans="17:29" x14ac:dyDescent="0.25"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</row>
  </sheetData>
  <sheetProtection password="EB3F" sheet="1" objects="1" scenarios="1"/>
  <pageMargins left="0.25" right="0.25" top="0.75" bottom="0.75" header="0.3" footer="0.3"/>
  <pageSetup scale="74" fitToHeight="0" orientation="landscape" r:id="rId1"/>
  <headerFooter>
    <oddHeader>&amp;C&amp;"-,Bold"&amp;14Incidents of Prohibited Behavior in School or School-Related Activities by Charter,  
2012-2013</oddHeader>
    <oddFooter>&amp;L&amp;8Complier: USOE/Career, Techincial, and Adult Education/Verne Larsen
Source: Warehouse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Views>
    <sheetView showWhiteSpace="0" view="pageLayout" zoomScaleNormal="100" workbookViewId="0">
      <selection activeCell="H3" sqref="H3"/>
    </sheetView>
  </sheetViews>
  <sheetFormatPr defaultColWidth="9.140625" defaultRowHeight="15.75" x14ac:dyDescent="0.25"/>
  <cols>
    <col min="1" max="1" width="42.7109375" style="1" customWidth="1"/>
    <col min="2" max="5" width="11.28515625" style="1" customWidth="1"/>
    <col min="6" max="6" width="13.7109375" style="1" customWidth="1"/>
    <col min="7" max="8" width="11.28515625" style="1" customWidth="1"/>
    <col min="9" max="10" width="9.140625" style="1"/>
    <col min="11" max="11" width="11.140625" style="1" customWidth="1"/>
    <col min="12" max="12" width="12.28515625" style="1" customWidth="1"/>
    <col min="13" max="13" width="13.140625" style="1" customWidth="1"/>
    <col min="14" max="16384" width="9.140625" style="1"/>
  </cols>
  <sheetData>
    <row r="1" spans="1:13" ht="16.5" customHeight="1" x14ac:dyDescent="0.25">
      <c r="A1" s="45"/>
      <c r="B1" s="52" t="s">
        <v>111</v>
      </c>
      <c r="C1" s="6"/>
      <c r="D1" s="6"/>
      <c r="E1" s="6"/>
      <c r="F1" s="6"/>
      <c r="G1" s="6" t="s">
        <v>134</v>
      </c>
      <c r="H1" s="6"/>
      <c r="I1" s="6"/>
      <c r="J1" s="6"/>
      <c r="K1" s="6"/>
      <c r="L1" s="6"/>
      <c r="M1" s="7"/>
    </row>
    <row r="2" spans="1:13" ht="15.75" customHeight="1" x14ac:dyDescent="0.25">
      <c r="A2" s="25" t="s">
        <v>131</v>
      </c>
      <c r="B2" s="26" t="s">
        <v>33</v>
      </c>
      <c r="C2" s="26" t="s">
        <v>50</v>
      </c>
      <c r="D2" s="26" t="s">
        <v>52</v>
      </c>
      <c r="E2" s="27" t="s">
        <v>55</v>
      </c>
      <c r="F2" s="26" t="s">
        <v>59</v>
      </c>
      <c r="G2" s="26" t="s">
        <v>60</v>
      </c>
      <c r="H2" s="26" t="s">
        <v>69</v>
      </c>
      <c r="I2" s="26" t="s">
        <v>70</v>
      </c>
      <c r="J2" s="26" t="s">
        <v>71</v>
      </c>
      <c r="K2" s="26" t="s">
        <v>72</v>
      </c>
      <c r="L2" s="27" t="s">
        <v>73</v>
      </c>
      <c r="M2" s="26" t="s">
        <v>49</v>
      </c>
    </row>
    <row r="3" spans="1:13" x14ac:dyDescent="0.25">
      <c r="A3" s="12" t="s">
        <v>112</v>
      </c>
      <c r="B3" s="28" t="s">
        <v>78</v>
      </c>
      <c r="C3" s="28" t="s">
        <v>78</v>
      </c>
      <c r="D3" s="28" t="s">
        <v>78</v>
      </c>
      <c r="E3" s="29" t="s">
        <v>78</v>
      </c>
      <c r="F3" s="28" t="s">
        <v>78</v>
      </c>
      <c r="G3" s="28" t="s">
        <v>78</v>
      </c>
      <c r="H3" s="28" t="s">
        <v>78</v>
      </c>
      <c r="I3" s="28" t="s">
        <v>78</v>
      </c>
      <c r="J3" s="29" t="s">
        <v>78</v>
      </c>
      <c r="K3" s="29" t="s">
        <v>78</v>
      </c>
      <c r="L3" s="29" t="s">
        <v>78</v>
      </c>
      <c r="M3" s="14">
        <v>0</v>
      </c>
    </row>
    <row r="4" spans="1:13" x14ac:dyDescent="0.25">
      <c r="A4" s="15" t="s">
        <v>80</v>
      </c>
      <c r="B4" s="28"/>
      <c r="C4" s="28"/>
      <c r="D4" s="28"/>
      <c r="E4" s="28"/>
      <c r="F4" s="28"/>
      <c r="G4" s="28" t="s">
        <v>78</v>
      </c>
      <c r="H4" s="28" t="s">
        <v>78</v>
      </c>
      <c r="I4" s="28" t="s">
        <v>78</v>
      </c>
      <c r="J4" s="29" t="s">
        <v>78</v>
      </c>
      <c r="K4" s="29" t="s">
        <v>78</v>
      </c>
      <c r="L4" s="29" t="s">
        <v>78</v>
      </c>
      <c r="M4" s="17">
        <f t="shared" ref="M4:M34" si="0">SUM(B4:L4)</f>
        <v>0</v>
      </c>
    </row>
    <row r="5" spans="1:13" x14ac:dyDescent="0.25">
      <c r="A5" s="15" t="s">
        <v>81</v>
      </c>
      <c r="B5" s="28" t="s">
        <v>78</v>
      </c>
      <c r="C5" s="28" t="s">
        <v>78</v>
      </c>
      <c r="D5" s="28" t="s">
        <v>78</v>
      </c>
      <c r="E5" s="28" t="s">
        <v>78</v>
      </c>
      <c r="F5" s="28" t="s">
        <v>78</v>
      </c>
      <c r="G5" s="28" t="s">
        <v>78</v>
      </c>
      <c r="H5" s="28" t="s">
        <v>78</v>
      </c>
      <c r="I5" s="28" t="s">
        <v>78</v>
      </c>
      <c r="J5" s="29" t="s">
        <v>78</v>
      </c>
      <c r="K5" s="29" t="s">
        <v>78</v>
      </c>
      <c r="L5" s="29" t="s">
        <v>78</v>
      </c>
      <c r="M5" s="17">
        <f t="shared" si="0"/>
        <v>0</v>
      </c>
    </row>
    <row r="6" spans="1:13" x14ac:dyDescent="0.25">
      <c r="A6" s="15" t="s">
        <v>82</v>
      </c>
      <c r="B6" s="28" t="s">
        <v>78</v>
      </c>
      <c r="C6" s="28" t="s">
        <v>78</v>
      </c>
      <c r="D6" s="28" t="s">
        <v>78</v>
      </c>
      <c r="E6" s="28" t="s">
        <v>78</v>
      </c>
      <c r="F6" s="28" t="s">
        <v>78</v>
      </c>
      <c r="G6" s="28" t="s">
        <v>78</v>
      </c>
      <c r="H6" s="28" t="s">
        <v>78</v>
      </c>
      <c r="I6" s="28" t="s">
        <v>78</v>
      </c>
      <c r="J6" s="29" t="s">
        <v>78</v>
      </c>
      <c r="K6" s="29" t="s">
        <v>78</v>
      </c>
      <c r="L6" s="29" t="s">
        <v>78</v>
      </c>
      <c r="M6" s="17">
        <f t="shared" si="0"/>
        <v>0</v>
      </c>
    </row>
    <row r="7" spans="1:13" x14ac:dyDescent="0.25">
      <c r="A7" s="15" t="s">
        <v>83</v>
      </c>
      <c r="B7" s="28" t="s">
        <v>78</v>
      </c>
      <c r="C7" s="28" t="s">
        <v>78</v>
      </c>
      <c r="D7" s="28" t="s">
        <v>78</v>
      </c>
      <c r="E7" s="28" t="s">
        <v>78</v>
      </c>
      <c r="F7" s="28" t="s">
        <v>78</v>
      </c>
      <c r="G7" s="28" t="s">
        <v>78</v>
      </c>
      <c r="H7" s="28" t="s">
        <v>78</v>
      </c>
      <c r="I7" s="28" t="s">
        <v>78</v>
      </c>
      <c r="J7" s="29" t="s">
        <v>78</v>
      </c>
      <c r="K7" s="29" t="s">
        <v>78</v>
      </c>
      <c r="L7" s="29" t="s">
        <v>78</v>
      </c>
      <c r="M7" s="17">
        <f t="shared" si="0"/>
        <v>0</v>
      </c>
    </row>
    <row r="8" spans="1:13" x14ac:dyDescent="0.25">
      <c r="A8" s="18" t="s">
        <v>135</v>
      </c>
      <c r="B8" s="30" t="s">
        <v>78</v>
      </c>
      <c r="C8" s="30" t="s">
        <v>78</v>
      </c>
      <c r="D8" s="30" t="s">
        <v>78</v>
      </c>
      <c r="E8" s="30" t="s">
        <v>78</v>
      </c>
      <c r="F8" s="30" t="s">
        <v>78</v>
      </c>
      <c r="G8" s="30" t="s">
        <v>78</v>
      </c>
      <c r="H8" s="30" t="s">
        <v>78</v>
      </c>
      <c r="I8" s="30" t="s">
        <v>78</v>
      </c>
      <c r="J8" s="31" t="s">
        <v>78</v>
      </c>
      <c r="K8" s="31" t="s">
        <v>78</v>
      </c>
      <c r="L8" s="31" t="s">
        <v>78</v>
      </c>
      <c r="M8" s="20">
        <f t="shared" si="0"/>
        <v>0</v>
      </c>
    </row>
    <row r="9" spans="1:13" x14ac:dyDescent="0.25">
      <c r="A9" s="12" t="s">
        <v>85</v>
      </c>
      <c r="B9" s="32" t="s">
        <v>78</v>
      </c>
      <c r="C9" s="32" t="s">
        <v>78</v>
      </c>
      <c r="D9" s="32" t="s">
        <v>78</v>
      </c>
      <c r="E9" s="32" t="s">
        <v>78</v>
      </c>
      <c r="F9" s="32" t="s">
        <v>78</v>
      </c>
      <c r="G9" s="32" t="s">
        <v>78</v>
      </c>
      <c r="H9" s="32" t="s">
        <v>78</v>
      </c>
      <c r="I9" s="32" t="s">
        <v>78</v>
      </c>
      <c r="J9" s="33" t="s">
        <v>78</v>
      </c>
      <c r="K9" s="33" t="s">
        <v>78</v>
      </c>
      <c r="L9" s="33" t="s">
        <v>78</v>
      </c>
      <c r="M9" s="14">
        <f t="shared" si="0"/>
        <v>0</v>
      </c>
    </row>
    <row r="10" spans="1:13" x14ac:dyDescent="0.25">
      <c r="A10" s="15" t="s">
        <v>136</v>
      </c>
      <c r="B10" s="28" t="s">
        <v>78</v>
      </c>
      <c r="C10" s="28" t="s">
        <v>78</v>
      </c>
      <c r="D10" s="28" t="s">
        <v>78</v>
      </c>
      <c r="E10" s="28">
        <v>1</v>
      </c>
      <c r="F10" s="28" t="s">
        <v>78</v>
      </c>
      <c r="G10" s="28" t="s">
        <v>78</v>
      </c>
      <c r="H10" s="28" t="s">
        <v>78</v>
      </c>
      <c r="I10" s="28" t="s">
        <v>78</v>
      </c>
      <c r="J10" s="29" t="s">
        <v>78</v>
      </c>
      <c r="K10" s="29" t="s">
        <v>78</v>
      </c>
      <c r="L10" s="29" t="s">
        <v>78</v>
      </c>
      <c r="M10" s="17">
        <f t="shared" si="0"/>
        <v>1</v>
      </c>
    </row>
    <row r="11" spans="1:13" x14ac:dyDescent="0.25">
      <c r="A11" s="15" t="s">
        <v>87</v>
      </c>
      <c r="B11" s="28" t="s">
        <v>78</v>
      </c>
      <c r="C11" s="28" t="s">
        <v>78</v>
      </c>
      <c r="D11" s="28" t="s">
        <v>78</v>
      </c>
      <c r="E11" s="28" t="s">
        <v>78</v>
      </c>
      <c r="F11" s="28" t="s">
        <v>78</v>
      </c>
      <c r="G11" s="28" t="s">
        <v>78</v>
      </c>
      <c r="H11" s="28" t="s">
        <v>78</v>
      </c>
      <c r="I11" s="28" t="s">
        <v>78</v>
      </c>
      <c r="J11" s="29" t="s">
        <v>78</v>
      </c>
      <c r="K11" s="29" t="s">
        <v>78</v>
      </c>
      <c r="L11" s="29" t="s">
        <v>78</v>
      </c>
      <c r="M11" s="17">
        <f t="shared" si="0"/>
        <v>0</v>
      </c>
    </row>
    <row r="12" spans="1:13" x14ac:dyDescent="0.25">
      <c r="A12" s="15" t="s">
        <v>88</v>
      </c>
      <c r="B12" s="28"/>
      <c r="C12" s="28"/>
      <c r="D12" s="28"/>
      <c r="E12" s="28"/>
      <c r="F12" s="28"/>
      <c r="G12" s="28" t="s">
        <v>78</v>
      </c>
      <c r="H12" s="28" t="s">
        <v>78</v>
      </c>
      <c r="I12" s="28" t="s">
        <v>78</v>
      </c>
      <c r="J12" s="29" t="s">
        <v>78</v>
      </c>
      <c r="K12" s="29" t="s">
        <v>78</v>
      </c>
      <c r="L12" s="29" t="s">
        <v>78</v>
      </c>
      <c r="M12" s="17">
        <f t="shared" si="0"/>
        <v>0</v>
      </c>
    </row>
    <row r="13" spans="1:13" x14ac:dyDescent="0.25">
      <c r="A13" s="18" t="s">
        <v>89</v>
      </c>
      <c r="B13" s="30" t="s">
        <v>78</v>
      </c>
      <c r="C13" s="30" t="s">
        <v>78</v>
      </c>
      <c r="D13" s="30" t="s">
        <v>78</v>
      </c>
      <c r="E13" s="30" t="s">
        <v>78</v>
      </c>
      <c r="F13" s="30" t="s">
        <v>78</v>
      </c>
      <c r="G13" s="30" t="s">
        <v>78</v>
      </c>
      <c r="H13" s="30" t="s">
        <v>78</v>
      </c>
      <c r="I13" s="30" t="s">
        <v>78</v>
      </c>
      <c r="J13" s="31" t="s">
        <v>78</v>
      </c>
      <c r="K13" s="31" t="s">
        <v>78</v>
      </c>
      <c r="L13" s="31" t="s">
        <v>78</v>
      </c>
      <c r="M13" s="20">
        <f t="shared" si="0"/>
        <v>0</v>
      </c>
    </row>
    <row r="14" spans="1:13" x14ac:dyDescent="0.25">
      <c r="A14" s="12" t="s">
        <v>90</v>
      </c>
      <c r="B14" s="32"/>
      <c r="C14" s="32"/>
      <c r="D14" s="32"/>
      <c r="E14" s="32"/>
      <c r="F14" s="32"/>
      <c r="G14" s="32" t="s">
        <v>78</v>
      </c>
      <c r="H14" s="32" t="s">
        <v>78</v>
      </c>
      <c r="I14" s="32" t="s">
        <v>78</v>
      </c>
      <c r="J14" s="33" t="s">
        <v>78</v>
      </c>
      <c r="K14" s="33" t="s">
        <v>78</v>
      </c>
      <c r="L14" s="33"/>
      <c r="M14" s="14">
        <f t="shared" si="0"/>
        <v>0</v>
      </c>
    </row>
    <row r="15" spans="1:13" x14ac:dyDescent="0.25">
      <c r="A15" s="15" t="s">
        <v>91</v>
      </c>
      <c r="B15" s="28"/>
      <c r="C15" s="28"/>
      <c r="D15" s="28"/>
      <c r="E15" s="28"/>
      <c r="F15" s="28"/>
      <c r="G15" s="28"/>
      <c r="H15" s="28" t="s">
        <v>78</v>
      </c>
      <c r="I15" s="28"/>
      <c r="J15" s="29"/>
      <c r="K15" s="29"/>
      <c r="L15" s="29" t="s">
        <v>78</v>
      </c>
      <c r="M15" s="17">
        <f t="shared" si="0"/>
        <v>0</v>
      </c>
    </row>
    <row r="16" spans="1:13" x14ac:dyDescent="0.25">
      <c r="A16" s="15" t="s">
        <v>92</v>
      </c>
      <c r="B16" s="28" t="s">
        <v>78</v>
      </c>
      <c r="C16" s="28" t="s">
        <v>78</v>
      </c>
      <c r="D16" s="28" t="s">
        <v>78</v>
      </c>
      <c r="E16" s="28" t="s">
        <v>78</v>
      </c>
      <c r="F16" s="28" t="s">
        <v>78</v>
      </c>
      <c r="G16" s="28"/>
      <c r="H16" s="28" t="s">
        <v>78</v>
      </c>
      <c r="I16" s="28" t="s">
        <v>78</v>
      </c>
      <c r="J16" s="29" t="s">
        <v>78</v>
      </c>
      <c r="K16" s="29" t="s">
        <v>78</v>
      </c>
      <c r="L16" s="29"/>
      <c r="M16" s="17">
        <f t="shared" si="0"/>
        <v>0</v>
      </c>
    </row>
    <row r="17" spans="1:13" x14ac:dyDescent="0.25">
      <c r="A17" s="15" t="s">
        <v>93</v>
      </c>
      <c r="B17" s="28" t="s">
        <v>78</v>
      </c>
      <c r="C17" s="28" t="s">
        <v>78</v>
      </c>
      <c r="D17" s="28" t="s">
        <v>78</v>
      </c>
      <c r="E17" s="28" t="s">
        <v>78</v>
      </c>
      <c r="F17" s="28" t="s">
        <v>78</v>
      </c>
      <c r="G17" s="28"/>
      <c r="H17" s="28" t="s">
        <v>78</v>
      </c>
      <c r="I17" s="28" t="s">
        <v>78</v>
      </c>
      <c r="J17" s="29" t="s">
        <v>78</v>
      </c>
      <c r="K17" s="29" t="s">
        <v>78</v>
      </c>
      <c r="L17" s="29" t="s">
        <v>78</v>
      </c>
      <c r="M17" s="17">
        <f t="shared" si="0"/>
        <v>0</v>
      </c>
    </row>
    <row r="18" spans="1:13" x14ac:dyDescent="0.25">
      <c r="A18" s="18" t="s">
        <v>137</v>
      </c>
      <c r="B18" s="30" t="s">
        <v>78</v>
      </c>
      <c r="C18" s="30" t="s">
        <v>78</v>
      </c>
      <c r="D18" s="30" t="s">
        <v>78</v>
      </c>
      <c r="E18" s="30" t="s">
        <v>78</v>
      </c>
      <c r="F18" s="30" t="s">
        <v>78</v>
      </c>
      <c r="G18" s="30" t="s">
        <v>78</v>
      </c>
      <c r="H18" s="30" t="s">
        <v>78</v>
      </c>
      <c r="I18" s="30" t="s">
        <v>78</v>
      </c>
      <c r="J18" s="31" t="s">
        <v>78</v>
      </c>
      <c r="K18" s="31" t="s">
        <v>78</v>
      </c>
      <c r="L18" s="31" t="s">
        <v>78</v>
      </c>
      <c r="M18" s="20">
        <f t="shared" si="0"/>
        <v>0</v>
      </c>
    </row>
    <row r="19" spans="1:13" x14ac:dyDescent="0.25">
      <c r="A19" s="12" t="s">
        <v>95</v>
      </c>
      <c r="B19" s="32"/>
      <c r="C19" s="32"/>
      <c r="D19" s="32"/>
      <c r="E19" s="32"/>
      <c r="F19" s="32"/>
      <c r="G19" s="32" t="s">
        <v>78</v>
      </c>
      <c r="H19" s="32" t="s">
        <v>78</v>
      </c>
      <c r="I19" s="32" t="s">
        <v>78</v>
      </c>
      <c r="J19" s="33" t="s">
        <v>78</v>
      </c>
      <c r="K19" s="33" t="s">
        <v>78</v>
      </c>
      <c r="L19" s="33" t="s">
        <v>78</v>
      </c>
      <c r="M19" s="14">
        <f t="shared" si="0"/>
        <v>0</v>
      </c>
    </row>
    <row r="20" spans="1:13" x14ac:dyDescent="0.25">
      <c r="A20" s="15" t="s">
        <v>96</v>
      </c>
      <c r="B20" s="28" t="s">
        <v>78</v>
      </c>
      <c r="C20" s="28" t="s">
        <v>78</v>
      </c>
      <c r="D20" s="28" t="s">
        <v>78</v>
      </c>
      <c r="E20" s="28" t="s">
        <v>78</v>
      </c>
      <c r="F20" s="28" t="s">
        <v>78</v>
      </c>
      <c r="G20" s="28" t="s">
        <v>78</v>
      </c>
      <c r="H20" s="28" t="s">
        <v>78</v>
      </c>
      <c r="I20" s="28" t="s">
        <v>78</v>
      </c>
      <c r="J20" s="29" t="s">
        <v>78</v>
      </c>
      <c r="K20" s="29" t="s">
        <v>78</v>
      </c>
      <c r="L20" s="29" t="s">
        <v>78</v>
      </c>
      <c r="M20" s="17">
        <f t="shared" si="0"/>
        <v>0</v>
      </c>
    </row>
    <row r="21" spans="1:13" x14ac:dyDescent="0.25">
      <c r="A21" s="15" t="s">
        <v>97</v>
      </c>
      <c r="B21" s="28"/>
      <c r="C21" s="28"/>
      <c r="D21" s="28"/>
      <c r="E21" s="28"/>
      <c r="F21" s="28"/>
      <c r="G21" s="28" t="s">
        <v>78</v>
      </c>
      <c r="H21" s="28" t="s">
        <v>78</v>
      </c>
      <c r="I21" s="28" t="s">
        <v>78</v>
      </c>
      <c r="J21" s="29" t="s">
        <v>78</v>
      </c>
      <c r="K21" s="29" t="s">
        <v>78</v>
      </c>
      <c r="L21" s="29" t="s">
        <v>78</v>
      </c>
      <c r="M21" s="17">
        <f t="shared" si="0"/>
        <v>0</v>
      </c>
    </row>
    <row r="22" spans="1:13" x14ac:dyDescent="0.25">
      <c r="A22" s="15" t="s">
        <v>98</v>
      </c>
      <c r="B22" s="28" t="s">
        <v>78</v>
      </c>
      <c r="C22" s="28" t="s">
        <v>78</v>
      </c>
      <c r="D22" s="28" t="s">
        <v>78</v>
      </c>
      <c r="E22" s="28" t="s">
        <v>78</v>
      </c>
      <c r="F22" s="28" t="s">
        <v>78</v>
      </c>
      <c r="G22" s="28"/>
      <c r="H22" s="28" t="s">
        <v>78</v>
      </c>
      <c r="I22" s="28" t="s">
        <v>78</v>
      </c>
      <c r="J22" s="29" t="s">
        <v>78</v>
      </c>
      <c r="K22" s="29" t="s">
        <v>78</v>
      </c>
      <c r="L22" s="29" t="s">
        <v>78</v>
      </c>
      <c r="M22" s="17">
        <f t="shared" si="0"/>
        <v>0</v>
      </c>
    </row>
    <row r="23" spans="1:13" x14ac:dyDescent="0.25">
      <c r="A23" s="18" t="s">
        <v>99</v>
      </c>
      <c r="B23" s="30"/>
      <c r="C23" s="30"/>
      <c r="D23" s="30"/>
      <c r="E23" s="30"/>
      <c r="F23" s="30"/>
      <c r="G23" s="30" t="s">
        <v>78</v>
      </c>
      <c r="H23" s="30" t="s">
        <v>78</v>
      </c>
      <c r="I23" s="30" t="s">
        <v>78</v>
      </c>
      <c r="J23" s="31" t="s">
        <v>78</v>
      </c>
      <c r="K23" s="31" t="s">
        <v>78</v>
      </c>
      <c r="L23" s="31" t="s">
        <v>78</v>
      </c>
      <c r="M23" s="20">
        <f t="shared" si="0"/>
        <v>0</v>
      </c>
    </row>
    <row r="24" spans="1:13" x14ac:dyDescent="0.25">
      <c r="A24" s="12" t="s">
        <v>100</v>
      </c>
      <c r="B24" s="32" t="s">
        <v>78</v>
      </c>
      <c r="C24" s="32" t="s">
        <v>78</v>
      </c>
      <c r="D24" s="32" t="s">
        <v>78</v>
      </c>
      <c r="E24" s="32" t="s">
        <v>78</v>
      </c>
      <c r="F24" s="32" t="s">
        <v>78</v>
      </c>
      <c r="G24" s="32" t="s">
        <v>78</v>
      </c>
      <c r="H24" s="32" t="s">
        <v>78</v>
      </c>
      <c r="I24" s="32" t="s">
        <v>78</v>
      </c>
      <c r="J24" s="33" t="s">
        <v>78</v>
      </c>
      <c r="K24" s="33" t="s">
        <v>78</v>
      </c>
      <c r="L24" s="33" t="s">
        <v>78</v>
      </c>
      <c r="M24" s="14">
        <f t="shared" si="0"/>
        <v>0</v>
      </c>
    </row>
    <row r="25" spans="1:13" x14ac:dyDescent="0.25">
      <c r="A25" s="15" t="s">
        <v>101</v>
      </c>
      <c r="B25" s="28" t="s">
        <v>78</v>
      </c>
      <c r="C25" s="28" t="s">
        <v>78</v>
      </c>
      <c r="D25" s="28" t="s">
        <v>78</v>
      </c>
      <c r="E25" s="28" t="s">
        <v>78</v>
      </c>
      <c r="F25" s="28" t="s">
        <v>78</v>
      </c>
      <c r="G25" s="28"/>
      <c r="H25" s="28" t="s">
        <v>78</v>
      </c>
      <c r="I25" s="28" t="s">
        <v>78</v>
      </c>
      <c r="J25" s="29" t="s">
        <v>78</v>
      </c>
      <c r="K25" s="29" t="s">
        <v>78</v>
      </c>
      <c r="L25" s="29" t="s">
        <v>78</v>
      </c>
      <c r="M25" s="17">
        <f t="shared" si="0"/>
        <v>0</v>
      </c>
    </row>
    <row r="26" spans="1:13" x14ac:dyDescent="0.25">
      <c r="A26" s="15" t="s">
        <v>102</v>
      </c>
      <c r="B26" s="28" t="s">
        <v>78</v>
      </c>
      <c r="C26" s="28" t="s">
        <v>78</v>
      </c>
      <c r="D26" s="28" t="s">
        <v>78</v>
      </c>
      <c r="E26" s="28" t="s">
        <v>78</v>
      </c>
      <c r="F26" s="28" t="s">
        <v>78</v>
      </c>
      <c r="G26" s="28"/>
      <c r="H26" s="28" t="s">
        <v>78</v>
      </c>
      <c r="I26" s="28" t="s">
        <v>78</v>
      </c>
      <c r="J26" s="29" t="s">
        <v>78</v>
      </c>
      <c r="K26" s="29" t="s">
        <v>78</v>
      </c>
      <c r="L26" s="29" t="s">
        <v>78</v>
      </c>
      <c r="M26" s="17">
        <f t="shared" si="0"/>
        <v>0</v>
      </c>
    </row>
    <row r="27" spans="1:13" x14ac:dyDescent="0.25">
      <c r="A27" s="15" t="s">
        <v>103</v>
      </c>
      <c r="B27" s="28"/>
      <c r="C27" s="28"/>
      <c r="D27" s="28" t="s">
        <v>78</v>
      </c>
      <c r="E27" s="28" t="s">
        <v>78</v>
      </c>
      <c r="F27" s="28" t="s">
        <v>78</v>
      </c>
      <c r="G27" s="28" t="s">
        <v>78</v>
      </c>
      <c r="H27" s="28" t="s">
        <v>78</v>
      </c>
      <c r="I27" s="28" t="s">
        <v>78</v>
      </c>
      <c r="J27" s="29" t="s">
        <v>78</v>
      </c>
      <c r="K27" s="29" t="s">
        <v>78</v>
      </c>
      <c r="L27" s="29" t="s">
        <v>78</v>
      </c>
      <c r="M27" s="17">
        <f t="shared" si="0"/>
        <v>0</v>
      </c>
    </row>
    <row r="28" spans="1:13" x14ac:dyDescent="0.25">
      <c r="A28" s="18" t="s">
        <v>104</v>
      </c>
      <c r="B28" s="30" t="s">
        <v>78</v>
      </c>
      <c r="C28" s="30" t="s">
        <v>78</v>
      </c>
      <c r="D28" s="30" t="s">
        <v>78</v>
      </c>
      <c r="E28" s="30" t="s">
        <v>78</v>
      </c>
      <c r="F28" s="30" t="s">
        <v>78</v>
      </c>
      <c r="G28" s="30" t="s">
        <v>78</v>
      </c>
      <c r="H28" s="30" t="s">
        <v>78</v>
      </c>
      <c r="I28" s="30" t="s">
        <v>78</v>
      </c>
      <c r="J28" s="31" t="s">
        <v>78</v>
      </c>
      <c r="K28" s="31" t="s">
        <v>78</v>
      </c>
      <c r="L28" s="31" t="s">
        <v>78</v>
      </c>
      <c r="M28" s="20">
        <f t="shared" si="0"/>
        <v>0</v>
      </c>
    </row>
    <row r="29" spans="1:13" x14ac:dyDescent="0.25">
      <c r="A29" s="12" t="s">
        <v>105</v>
      </c>
      <c r="B29" s="32" t="s">
        <v>78</v>
      </c>
      <c r="C29" s="32" t="s">
        <v>78</v>
      </c>
      <c r="D29" s="32" t="s">
        <v>78</v>
      </c>
      <c r="E29" s="32" t="s">
        <v>78</v>
      </c>
      <c r="F29" s="32" t="s">
        <v>78</v>
      </c>
      <c r="G29" s="32"/>
      <c r="H29" s="32" t="s">
        <v>78</v>
      </c>
      <c r="I29" s="32" t="s">
        <v>78</v>
      </c>
      <c r="J29" s="33" t="s">
        <v>78</v>
      </c>
      <c r="K29" s="33" t="s">
        <v>78</v>
      </c>
      <c r="L29" s="33" t="s">
        <v>78</v>
      </c>
      <c r="M29" s="14">
        <f t="shared" si="0"/>
        <v>0</v>
      </c>
    </row>
    <row r="30" spans="1:13" x14ac:dyDescent="0.25">
      <c r="A30" s="15" t="s">
        <v>106</v>
      </c>
      <c r="B30" s="28" t="s">
        <v>78</v>
      </c>
      <c r="C30" s="28">
        <v>1</v>
      </c>
      <c r="D30" s="28" t="s">
        <v>78</v>
      </c>
      <c r="E30" s="28" t="s">
        <v>78</v>
      </c>
      <c r="F30" s="28" t="s">
        <v>78</v>
      </c>
      <c r="G30" s="28"/>
      <c r="H30" s="28" t="s">
        <v>78</v>
      </c>
      <c r="I30" s="28" t="s">
        <v>78</v>
      </c>
      <c r="J30" s="29" t="s">
        <v>78</v>
      </c>
      <c r="K30" s="29" t="s">
        <v>78</v>
      </c>
      <c r="L30" s="29" t="s">
        <v>78</v>
      </c>
      <c r="M30" s="17">
        <f t="shared" si="0"/>
        <v>1</v>
      </c>
    </row>
    <row r="31" spans="1:13" x14ac:dyDescent="0.25">
      <c r="A31" s="15" t="s">
        <v>107</v>
      </c>
      <c r="B31" s="28" t="s">
        <v>78</v>
      </c>
      <c r="C31" s="28" t="s">
        <v>78</v>
      </c>
      <c r="D31" s="28" t="s">
        <v>78</v>
      </c>
      <c r="E31" s="28" t="s">
        <v>78</v>
      </c>
      <c r="F31" s="28" t="s">
        <v>78</v>
      </c>
      <c r="G31" s="28"/>
      <c r="H31" s="28" t="s">
        <v>78</v>
      </c>
      <c r="I31" s="28" t="s">
        <v>78</v>
      </c>
      <c r="J31" s="29" t="s">
        <v>78</v>
      </c>
      <c r="K31" s="29" t="s">
        <v>78</v>
      </c>
      <c r="L31" s="29" t="s">
        <v>78</v>
      </c>
      <c r="M31" s="17">
        <f t="shared" si="0"/>
        <v>0</v>
      </c>
    </row>
    <row r="32" spans="1:13" x14ac:dyDescent="0.25">
      <c r="A32" s="15" t="s">
        <v>138</v>
      </c>
      <c r="B32" s="28" t="s">
        <v>78</v>
      </c>
      <c r="C32" s="28" t="s">
        <v>78</v>
      </c>
      <c r="D32" s="28" t="s">
        <v>78</v>
      </c>
      <c r="E32" s="28" t="s">
        <v>78</v>
      </c>
      <c r="F32" s="28" t="s">
        <v>78</v>
      </c>
      <c r="G32" s="28"/>
      <c r="H32" s="28" t="s">
        <v>78</v>
      </c>
      <c r="I32" s="28" t="s">
        <v>78</v>
      </c>
      <c r="J32" s="29" t="s">
        <v>78</v>
      </c>
      <c r="K32" s="29" t="s">
        <v>78</v>
      </c>
      <c r="L32" s="29" t="s">
        <v>78</v>
      </c>
      <c r="M32" s="17">
        <f t="shared" si="0"/>
        <v>0</v>
      </c>
    </row>
    <row r="33" spans="1:13" x14ac:dyDescent="0.25">
      <c r="A33" s="15" t="s">
        <v>108</v>
      </c>
      <c r="B33" s="28" t="s">
        <v>78</v>
      </c>
      <c r="C33" s="28" t="s">
        <v>78</v>
      </c>
      <c r="D33" s="28" t="s">
        <v>78</v>
      </c>
      <c r="E33" s="28" t="s">
        <v>78</v>
      </c>
      <c r="F33" s="28" t="s">
        <v>78</v>
      </c>
      <c r="G33" s="28"/>
      <c r="H33" s="28" t="s">
        <v>78</v>
      </c>
      <c r="I33" s="28" t="s">
        <v>78</v>
      </c>
      <c r="J33" s="29" t="s">
        <v>78</v>
      </c>
      <c r="K33" s="29" t="s">
        <v>78</v>
      </c>
      <c r="L33" s="29" t="s">
        <v>78</v>
      </c>
      <c r="M33" s="17">
        <f t="shared" si="0"/>
        <v>0</v>
      </c>
    </row>
    <row r="34" spans="1:13" x14ac:dyDescent="0.25">
      <c r="A34" s="18" t="s">
        <v>109</v>
      </c>
      <c r="B34" s="34" t="s">
        <v>78</v>
      </c>
      <c r="C34" s="34" t="s">
        <v>78</v>
      </c>
      <c r="D34" s="34" t="s">
        <v>78</v>
      </c>
      <c r="E34" s="34" t="s">
        <v>78</v>
      </c>
      <c r="F34" s="34" t="s">
        <v>78</v>
      </c>
      <c r="G34" s="34"/>
      <c r="H34" s="34" t="s">
        <v>78</v>
      </c>
      <c r="I34" s="34" t="s">
        <v>78</v>
      </c>
      <c r="J34" s="20" t="s">
        <v>78</v>
      </c>
      <c r="K34" s="20" t="s">
        <v>78</v>
      </c>
      <c r="L34" s="20" t="s">
        <v>78</v>
      </c>
      <c r="M34" s="20">
        <f t="shared" si="0"/>
        <v>0</v>
      </c>
    </row>
    <row r="35" spans="1:13" x14ac:dyDescent="0.25">
      <c r="A35" s="22" t="s">
        <v>79</v>
      </c>
      <c r="B35" s="23">
        <f t="shared" ref="B35:L35" si="1">SUM(B2:B34)</f>
        <v>0</v>
      </c>
      <c r="C35" s="23">
        <f t="shared" si="1"/>
        <v>1</v>
      </c>
      <c r="D35" s="23">
        <f t="shared" si="1"/>
        <v>0</v>
      </c>
      <c r="E35" s="23">
        <f t="shared" si="1"/>
        <v>1</v>
      </c>
      <c r="F35" s="7">
        <f t="shared" si="1"/>
        <v>0</v>
      </c>
      <c r="G35" s="23">
        <f t="shared" si="1"/>
        <v>0</v>
      </c>
      <c r="H35" s="23">
        <f t="shared" si="1"/>
        <v>0</v>
      </c>
      <c r="I35" s="23">
        <f t="shared" si="1"/>
        <v>0</v>
      </c>
      <c r="J35" s="23">
        <f t="shared" si="1"/>
        <v>0</v>
      </c>
      <c r="K35" s="23">
        <f t="shared" si="1"/>
        <v>0</v>
      </c>
      <c r="L35" s="23">
        <f t="shared" si="1"/>
        <v>0</v>
      </c>
      <c r="M35" s="23">
        <f>SUM(M3:M34)</f>
        <v>2</v>
      </c>
    </row>
    <row r="36" spans="1:13" x14ac:dyDescent="0.25">
      <c r="A36" s="4" t="s">
        <v>139</v>
      </c>
      <c r="B36" s="45">
        <v>1</v>
      </c>
      <c r="C36" s="45" t="s">
        <v>78</v>
      </c>
      <c r="D36" s="45" t="s">
        <v>78</v>
      </c>
      <c r="E36" s="45" t="s">
        <v>78</v>
      </c>
      <c r="F36" s="45" t="s">
        <v>78</v>
      </c>
      <c r="G36" s="45"/>
      <c r="H36" s="45" t="s">
        <v>78</v>
      </c>
      <c r="I36" s="45" t="s">
        <v>78</v>
      </c>
      <c r="J36" s="21" t="s">
        <v>78</v>
      </c>
      <c r="K36" s="21" t="s">
        <v>78</v>
      </c>
      <c r="L36" s="21" t="s">
        <v>78</v>
      </c>
      <c r="M36" s="21">
        <f>SUM(B36:L36)</f>
        <v>1</v>
      </c>
    </row>
    <row r="37" spans="1:13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</row>
    <row r="38" spans="1:13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</row>
    <row r="39" spans="1:13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</row>
    <row r="40" spans="1:13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</row>
    <row r="41" spans="1:13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</row>
    <row r="42" spans="1:13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</row>
    <row r="43" spans="1:13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</row>
    <row r="44" spans="1:13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</row>
  </sheetData>
  <sheetProtection password="EB3F" sheet="1" objects="1" scenarios="1"/>
  <pageMargins left="0.25" right="0.25" top="0.75" bottom="0.75" header="0.3" footer="0.3"/>
  <pageSetup scale="75" fitToHeight="0" orientation="landscape" r:id="rId1"/>
  <headerFooter>
    <oddHeader>&amp;C&amp;"-,Bold"&amp;14Incidents of Prohibited Behavior in School or School-Related Activities by Charter, 2012-2013</oddHeader>
    <oddFooter>&amp;L&amp;8Complier: USOE/Career, Techincial, and Adult Education/Verne Larsen
Source: Warehouse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Views>
    <sheetView zoomScaleNormal="100" workbookViewId="0">
      <selection activeCell="C1" sqref="C1"/>
    </sheetView>
  </sheetViews>
  <sheetFormatPr defaultColWidth="9.140625" defaultRowHeight="15.75" x14ac:dyDescent="0.25"/>
  <cols>
    <col min="1" max="1" width="42.7109375" style="1" customWidth="1"/>
    <col min="2" max="5" width="11.28515625" style="1" customWidth="1"/>
    <col min="6" max="6" width="13.28515625" style="1" customWidth="1"/>
    <col min="7" max="13" width="11.28515625" style="1" customWidth="1"/>
    <col min="14" max="16384" width="9.140625" style="1"/>
  </cols>
  <sheetData>
    <row r="1" spans="1:13" ht="16.5" customHeight="1" x14ac:dyDescent="0.25">
      <c r="A1" s="51"/>
      <c r="B1" s="53" t="s">
        <v>111</v>
      </c>
      <c r="C1" s="6"/>
      <c r="D1" s="6"/>
      <c r="E1" s="6"/>
      <c r="F1" s="6"/>
      <c r="G1" s="6" t="s">
        <v>130</v>
      </c>
      <c r="H1" s="6"/>
      <c r="I1" s="6"/>
      <c r="J1" s="6"/>
      <c r="K1" s="6"/>
      <c r="L1" s="6"/>
      <c r="M1" s="7"/>
    </row>
    <row r="2" spans="1:13" ht="15.75" customHeight="1" x14ac:dyDescent="0.25">
      <c r="A2" s="8" t="s">
        <v>131</v>
      </c>
      <c r="B2" s="10" t="s">
        <v>33</v>
      </c>
      <c r="C2" s="10" t="s">
        <v>50</v>
      </c>
      <c r="D2" s="10" t="s">
        <v>52</v>
      </c>
      <c r="E2" s="11" t="s">
        <v>55</v>
      </c>
      <c r="F2" s="10" t="s">
        <v>59</v>
      </c>
      <c r="G2" s="10" t="s">
        <v>60</v>
      </c>
      <c r="H2" s="10" t="s">
        <v>69</v>
      </c>
      <c r="I2" s="10" t="s">
        <v>70</v>
      </c>
      <c r="J2" s="36" t="s">
        <v>71</v>
      </c>
      <c r="K2" s="11" t="s">
        <v>72</v>
      </c>
      <c r="L2" s="11" t="s">
        <v>73</v>
      </c>
      <c r="M2" s="36" t="s">
        <v>49</v>
      </c>
    </row>
    <row r="3" spans="1:13" x14ac:dyDescent="0.25">
      <c r="A3" s="12" t="s">
        <v>112</v>
      </c>
      <c r="B3" s="35" t="s">
        <v>78</v>
      </c>
      <c r="C3" s="35" t="s">
        <v>78</v>
      </c>
      <c r="D3" s="35" t="s">
        <v>78</v>
      </c>
      <c r="E3" s="35">
        <v>5</v>
      </c>
      <c r="F3" s="35" t="s">
        <v>78</v>
      </c>
      <c r="G3" s="35" t="s">
        <v>78</v>
      </c>
      <c r="H3" s="35" t="s">
        <v>78</v>
      </c>
      <c r="I3" s="35" t="s">
        <v>78</v>
      </c>
      <c r="J3" s="35" t="s">
        <v>78</v>
      </c>
      <c r="K3" s="35" t="s">
        <v>78</v>
      </c>
      <c r="L3" s="14" t="s">
        <v>78</v>
      </c>
      <c r="M3" s="14">
        <f>SUM(B3:L3)</f>
        <v>5</v>
      </c>
    </row>
    <row r="4" spans="1:13" x14ac:dyDescent="0.25">
      <c r="A4" s="15" t="s">
        <v>80</v>
      </c>
      <c r="B4" s="44"/>
      <c r="C4" s="44"/>
      <c r="D4" s="44"/>
      <c r="E4" s="44"/>
      <c r="F4" s="44"/>
      <c r="G4" s="44" t="s">
        <v>78</v>
      </c>
      <c r="H4" s="44" t="s">
        <v>78</v>
      </c>
      <c r="I4" s="44" t="s">
        <v>78</v>
      </c>
      <c r="J4" s="44" t="s">
        <v>78</v>
      </c>
      <c r="K4" s="44" t="s">
        <v>78</v>
      </c>
      <c r="L4" s="17" t="s">
        <v>78</v>
      </c>
      <c r="M4" s="17">
        <f t="shared" ref="M4:M34" si="0">SUM(B4:L4)</f>
        <v>0</v>
      </c>
    </row>
    <row r="5" spans="1:13" x14ac:dyDescent="0.25">
      <c r="A5" s="15" t="s">
        <v>81</v>
      </c>
      <c r="B5" s="44" t="s">
        <v>78</v>
      </c>
      <c r="C5" s="44" t="s">
        <v>78</v>
      </c>
      <c r="D5" s="44" t="s">
        <v>78</v>
      </c>
      <c r="E5" s="44" t="s">
        <v>78</v>
      </c>
      <c r="F5" s="44" t="s">
        <v>78</v>
      </c>
      <c r="G5" s="44" t="s">
        <v>78</v>
      </c>
      <c r="H5" s="44" t="s">
        <v>78</v>
      </c>
      <c r="I5" s="44" t="s">
        <v>78</v>
      </c>
      <c r="J5" s="44" t="s">
        <v>78</v>
      </c>
      <c r="K5" s="44" t="s">
        <v>78</v>
      </c>
      <c r="L5" s="17" t="s">
        <v>78</v>
      </c>
      <c r="M5" s="17">
        <f t="shared" si="0"/>
        <v>0</v>
      </c>
    </row>
    <row r="6" spans="1:13" x14ac:dyDescent="0.25">
      <c r="A6" s="15" t="s">
        <v>82</v>
      </c>
      <c r="B6" s="44" t="s">
        <v>78</v>
      </c>
      <c r="C6" s="44" t="s">
        <v>78</v>
      </c>
      <c r="D6" s="44" t="s">
        <v>78</v>
      </c>
      <c r="E6" s="44" t="s">
        <v>78</v>
      </c>
      <c r="F6" s="44" t="s">
        <v>78</v>
      </c>
      <c r="G6" s="44" t="s">
        <v>78</v>
      </c>
      <c r="H6" s="44" t="s">
        <v>78</v>
      </c>
      <c r="I6" s="44" t="s">
        <v>78</v>
      </c>
      <c r="J6" s="44" t="s">
        <v>78</v>
      </c>
      <c r="K6" s="44" t="s">
        <v>78</v>
      </c>
      <c r="L6" s="17" t="s">
        <v>78</v>
      </c>
      <c r="M6" s="17">
        <f t="shared" si="0"/>
        <v>0</v>
      </c>
    </row>
    <row r="7" spans="1:13" x14ac:dyDescent="0.25">
      <c r="A7" s="18" t="s">
        <v>83</v>
      </c>
      <c r="B7" s="34" t="s">
        <v>78</v>
      </c>
      <c r="C7" s="34" t="s">
        <v>78</v>
      </c>
      <c r="D7" s="34" t="s">
        <v>78</v>
      </c>
      <c r="E7" s="34" t="s">
        <v>78</v>
      </c>
      <c r="F7" s="34" t="s">
        <v>78</v>
      </c>
      <c r="G7" s="34" t="s">
        <v>78</v>
      </c>
      <c r="H7" s="34" t="s">
        <v>78</v>
      </c>
      <c r="I7" s="34" t="s">
        <v>78</v>
      </c>
      <c r="J7" s="34" t="s">
        <v>78</v>
      </c>
      <c r="K7" s="34" t="s">
        <v>78</v>
      </c>
      <c r="L7" s="20" t="s">
        <v>78</v>
      </c>
      <c r="M7" s="20">
        <f t="shared" si="0"/>
        <v>0</v>
      </c>
    </row>
    <row r="8" spans="1:13" x14ac:dyDescent="0.25">
      <c r="A8" s="12" t="s">
        <v>84</v>
      </c>
      <c r="B8" s="35">
        <v>1</v>
      </c>
      <c r="C8" s="35" t="s">
        <v>78</v>
      </c>
      <c r="D8" s="35" t="s">
        <v>78</v>
      </c>
      <c r="E8" s="35">
        <v>1</v>
      </c>
      <c r="F8" s="35" t="s">
        <v>78</v>
      </c>
      <c r="G8" s="35" t="s">
        <v>78</v>
      </c>
      <c r="H8" s="35" t="s">
        <v>78</v>
      </c>
      <c r="I8" s="35" t="s">
        <v>78</v>
      </c>
      <c r="J8" s="35" t="s">
        <v>78</v>
      </c>
      <c r="K8" s="35" t="s">
        <v>78</v>
      </c>
      <c r="L8" s="14" t="s">
        <v>78</v>
      </c>
      <c r="M8" s="14">
        <f t="shared" si="0"/>
        <v>2</v>
      </c>
    </row>
    <row r="9" spans="1:13" x14ac:dyDescent="0.25">
      <c r="A9" s="15" t="s">
        <v>85</v>
      </c>
      <c r="B9" s="44" t="s">
        <v>78</v>
      </c>
      <c r="C9" s="44" t="s">
        <v>78</v>
      </c>
      <c r="D9" s="44" t="s">
        <v>78</v>
      </c>
      <c r="E9" s="44" t="s">
        <v>78</v>
      </c>
      <c r="F9" s="44" t="s">
        <v>78</v>
      </c>
      <c r="G9" s="44" t="s">
        <v>78</v>
      </c>
      <c r="H9" s="44" t="s">
        <v>78</v>
      </c>
      <c r="I9" s="44" t="s">
        <v>78</v>
      </c>
      <c r="J9" s="44" t="s">
        <v>78</v>
      </c>
      <c r="K9" s="44" t="s">
        <v>78</v>
      </c>
      <c r="L9" s="17" t="s">
        <v>78</v>
      </c>
      <c r="M9" s="17">
        <f t="shared" si="0"/>
        <v>0</v>
      </c>
    </row>
    <row r="10" spans="1:13" x14ac:dyDescent="0.25">
      <c r="A10" s="15" t="s">
        <v>86</v>
      </c>
      <c r="B10" s="44" t="s">
        <v>78</v>
      </c>
      <c r="C10" s="44" t="s">
        <v>78</v>
      </c>
      <c r="D10" s="44" t="s">
        <v>78</v>
      </c>
      <c r="E10" s="44" t="s">
        <v>78</v>
      </c>
      <c r="F10" s="44" t="s">
        <v>78</v>
      </c>
      <c r="G10" s="44" t="s">
        <v>78</v>
      </c>
      <c r="H10" s="44" t="s">
        <v>78</v>
      </c>
      <c r="I10" s="44" t="s">
        <v>78</v>
      </c>
      <c r="J10" s="44" t="s">
        <v>78</v>
      </c>
      <c r="K10" s="44" t="s">
        <v>78</v>
      </c>
      <c r="L10" s="17" t="s">
        <v>78</v>
      </c>
      <c r="M10" s="17">
        <f t="shared" si="0"/>
        <v>0</v>
      </c>
    </row>
    <row r="11" spans="1:13" x14ac:dyDescent="0.25">
      <c r="A11" s="15" t="s">
        <v>87</v>
      </c>
      <c r="B11" s="44" t="s">
        <v>78</v>
      </c>
      <c r="C11" s="44" t="s">
        <v>78</v>
      </c>
      <c r="D11" s="44">
        <v>2</v>
      </c>
      <c r="E11" s="44">
        <v>16</v>
      </c>
      <c r="F11" s="44">
        <v>1</v>
      </c>
      <c r="G11" s="44">
        <v>4</v>
      </c>
      <c r="H11" s="44" t="s">
        <v>78</v>
      </c>
      <c r="I11" s="44" t="s">
        <v>78</v>
      </c>
      <c r="J11" s="44" t="s">
        <v>78</v>
      </c>
      <c r="K11" s="44" t="s">
        <v>78</v>
      </c>
      <c r="L11" s="17" t="s">
        <v>78</v>
      </c>
      <c r="M11" s="17">
        <f t="shared" si="0"/>
        <v>23</v>
      </c>
    </row>
    <row r="12" spans="1:13" x14ac:dyDescent="0.25">
      <c r="A12" s="18" t="s">
        <v>88</v>
      </c>
      <c r="B12" s="34"/>
      <c r="C12" s="34"/>
      <c r="D12" s="34"/>
      <c r="E12" s="34"/>
      <c r="F12" s="34"/>
      <c r="G12" s="34" t="s">
        <v>78</v>
      </c>
      <c r="H12" s="34" t="s">
        <v>78</v>
      </c>
      <c r="I12" s="34" t="s">
        <v>78</v>
      </c>
      <c r="J12" s="34" t="s">
        <v>78</v>
      </c>
      <c r="K12" s="34" t="s">
        <v>78</v>
      </c>
      <c r="L12" s="20" t="s">
        <v>78</v>
      </c>
      <c r="M12" s="20">
        <f t="shared" si="0"/>
        <v>0</v>
      </c>
    </row>
    <row r="13" spans="1:13" x14ac:dyDescent="0.25">
      <c r="A13" s="12" t="s">
        <v>89</v>
      </c>
      <c r="B13" s="35" t="s">
        <v>78</v>
      </c>
      <c r="C13" s="35" t="s">
        <v>78</v>
      </c>
      <c r="D13" s="35" t="s">
        <v>78</v>
      </c>
      <c r="E13" s="35" t="s">
        <v>78</v>
      </c>
      <c r="F13" s="35" t="s">
        <v>78</v>
      </c>
      <c r="G13" s="35" t="s">
        <v>78</v>
      </c>
      <c r="H13" s="35" t="s">
        <v>78</v>
      </c>
      <c r="I13" s="35" t="s">
        <v>78</v>
      </c>
      <c r="J13" s="35" t="s">
        <v>78</v>
      </c>
      <c r="K13" s="35" t="s">
        <v>78</v>
      </c>
      <c r="L13" s="14" t="s">
        <v>78</v>
      </c>
      <c r="M13" s="14">
        <f t="shared" si="0"/>
        <v>0</v>
      </c>
    </row>
    <row r="14" spans="1:13" x14ac:dyDescent="0.25">
      <c r="A14" s="15" t="s">
        <v>90</v>
      </c>
      <c r="B14" s="44"/>
      <c r="C14" s="44"/>
      <c r="D14" s="44"/>
      <c r="E14" s="44"/>
      <c r="F14" s="44"/>
      <c r="G14" s="44" t="s">
        <v>78</v>
      </c>
      <c r="H14" s="44" t="s">
        <v>78</v>
      </c>
      <c r="I14" s="44" t="s">
        <v>78</v>
      </c>
      <c r="J14" s="44" t="s">
        <v>78</v>
      </c>
      <c r="K14" s="44" t="s">
        <v>78</v>
      </c>
      <c r="L14" s="17"/>
      <c r="M14" s="17">
        <f t="shared" si="0"/>
        <v>0</v>
      </c>
    </row>
    <row r="15" spans="1:13" x14ac:dyDescent="0.25">
      <c r="A15" s="15" t="s">
        <v>91</v>
      </c>
      <c r="B15" s="44"/>
      <c r="C15" s="44"/>
      <c r="D15" s="44"/>
      <c r="E15" s="44"/>
      <c r="F15" s="44"/>
      <c r="G15" s="44"/>
      <c r="H15" s="44" t="s">
        <v>78</v>
      </c>
      <c r="I15" s="44"/>
      <c r="J15" s="44"/>
      <c r="K15" s="44"/>
      <c r="L15" s="17" t="s">
        <v>78</v>
      </c>
      <c r="M15" s="17">
        <f t="shared" si="0"/>
        <v>0</v>
      </c>
    </row>
    <row r="16" spans="1:13" x14ac:dyDescent="0.25">
      <c r="A16" s="15" t="s">
        <v>92</v>
      </c>
      <c r="B16" s="44" t="s">
        <v>78</v>
      </c>
      <c r="C16" s="44" t="s">
        <v>78</v>
      </c>
      <c r="D16" s="44" t="s">
        <v>78</v>
      </c>
      <c r="E16" s="44" t="s">
        <v>78</v>
      </c>
      <c r="F16" s="44" t="s">
        <v>78</v>
      </c>
      <c r="G16" s="44"/>
      <c r="H16" s="44" t="s">
        <v>78</v>
      </c>
      <c r="I16" s="44" t="s">
        <v>78</v>
      </c>
      <c r="J16" s="44" t="s">
        <v>78</v>
      </c>
      <c r="K16" s="44" t="s">
        <v>78</v>
      </c>
      <c r="L16" s="17"/>
      <c r="M16" s="17">
        <f t="shared" si="0"/>
        <v>0</v>
      </c>
    </row>
    <row r="17" spans="1:13" x14ac:dyDescent="0.25">
      <c r="A17" s="18" t="s">
        <v>93</v>
      </c>
      <c r="B17" s="34">
        <v>1</v>
      </c>
      <c r="C17" s="34" t="s">
        <v>78</v>
      </c>
      <c r="D17" s="34" t="s">
        <v>78</v>
      </c>
      <c r="E17" s="34" t="s">
        <v>78</v>
      </c>
      <c r="F17" s="34" t="s">
        <v>78</v>
      </c>
      <c r="G17" s="34"/>
      <c r="H17" s="34" t="s">
        <v>78</v>
      </c>
      <c r="I17" s="34" t="s">
        <v>78</v>
      </c>
      <c r="J17" s="34" t="s">
        <v>78</v>
      </c>
      <c r="K17" s="34" t="s">
        <v>78</v>
      </c>
      <c r="L17" s="20" t="s">
        <v>78</v>
      </c>
      <c r="M17" s="20">
        <f t="shared" si="0"/>
        <v>1</v>
      </c>
    </row>
    <row r="18" spans="1:13" x14ac:dyDescent="0.25">
      <c r="A18" s="12" t="s">
        <v>94</v>
      </c>
      <c r="B18" s="14" t="s">
        <v>78</v>
      </c>
      <c r="C18" s="35" t="s">
        <v>78</v>
      </c>
      <c r="D18" s="35" t="s">
        <v>78</v>
      </c>
      <c r="E18" s="35">
        <v>2</v>
      </c>
      <c r="F18" s="35" t="s">
        <v>78</v>
      </c>
      <c r="G18" s="35">
        <v>2</v>
      </c>
      <c r="H18" s="35" t="s">
        <v>78</v>
      </c>
      <c r="I18" s="35" t="s">
        <v>78</v>
      </c>
      <c r="J18" s="35" t="s">
        <v>78</v>
      </c>
      <c r="K18" s="35" t="s">
        <v>78</v>
      </c>
      <c r="L18" s="14" t="s">
        <v>78</v>
      </c>
      <c r="M18" s="14">
        <f t="shared" si="0"/>
        <v>4</v>
      </c>
    </row>
    <row r="19" spans="1:13" x14ac:dyDescent="0.25">
      <c r="A19" s="15" t="s">
        <v>95</v>
      </c>
      <c r="B19" s="17"/>
      <c r="C19" s="44"/>
      <c r="D19" s="44"/>
      <c r="E19" s="44"/>
      <c r="F19" s="44"/>
      <c r="G19" s="44" t="s">
        <v>78</v>
      </c>
      <c r="H19" s="44" t="s">
        <v>78</v>
      </c>
      <c r="I19" s="44" t="s">
        <v>78</v>
      </c>
      <c r="J19" s="44" t="s">
        <v>78</v>
      </c>
      <c r="K19" s="44" t="s">
        <v>78</v>
      </c>
      <c r="L19" s="17" t="s">
        <v>78</v>
      </c>
      <c r="M19" s="17">
        <f t="shared" si="0"/>
        <v>0</v>
      </c>
    </row>
    <row r="20" spans="1:13" x14ac:dyDescent="0.25">
      <c r="A20" s="15" t="s">
        <v>96</v>
      </c>
      <c r="B20" s="17" t="s">
        <v>78</v>
      </c>
      <c r="C20" s="44" t="s">
        <v>78</v>
      </c>
      <c r="D20" s="44" t="s">
        <v>78</v>
      </c>
      <c r="E20" s="44" t="s">
        <v>78</v>
      </c>
      <c r="F20" s="44" t="s">
        <v>78</v>
      </c>
      <c r="G20" s="44" t="s">
        <v>78</v>
      </c>
      <c r="H20" s="44" t="s">
        <v>78</v>
      </c>
      <c r="I20" s="44" t="s">
        <v>78</v>
      </c>
      <c r="J20" s="44" t="s">
        <v>78</v>
      </c>
      <c r="K20" s="44" t="s">
        <v>78</v>
      </c>
      <c r="L20" s="17" t="s">
        <v>78</v>
      </c>
      <c r="M20" s="17">
        <f t="shared" si="0"/>
        <v>0</v>
      </c>
    </row>
    <row r="21" spans="1:13" x14ac:dyDescent="0.25">
      <c r="A21" s="15" t="s">
        <v>97</v>
      </c>
      <c r="B21" s="17"/>
      <c r="C21" s="44"/>
      <c r="D21" s="44"/>
      <c r="E21" s="44"/>
      <c r="F21" s="44"/>
      <c r="G21" s="44" t="s">
        <v>78</v>
      </c>
      <c r="H21" s="44" t="s">
        <v>78</v>
      </c>
      <c r="I21" s="44" t="s">
        <v>78</v>
      </c>
      <c r="J21" s="44" t="s">
        <v>78</v>
      </c>
      <c r="K21" s="44" t="s">
        <v>78</v>
      </c>
      <c r="L21" s="17" t="s">
        <v>78</v>
      </c>
      <c r="M21" s="17">
        <f t="shared" si="0"/>
        <v>0</v>
      </c>
    </row>
    <row r="22" spans="1:13" x14ac:dyDescent="0.25">
      <c r="A22" s="18" t="s">
        <v>98</v>
      </c>
      <c r="B22" s="20">
        <v>1</v>
      </c>
      <c r="C22" s="34" t="s">
        <v>78</v>
      </c>
      <c r="D22" s="34" t="s">
        <v>78</v>
      </c>
      <c r="E22" s="34" t="s">
        <v>78</v>
      </c>
      <c r="F22" s="34" t="s">
        <v>78</v>
      </c>
      <c r="G22" s="34"/>
      <c r="H22" s="34" t="s">
        <v>78</v>
      </c>
      <c r="I22" s="34" t="s">
        <v>78</v>
      </c>
      <c r="J22" s="34" t="s">
        <v>78</v>
      </c>
      <c r="K22" s="34" t="s">
        <v>78</v>
      </c>
      <c r="L22" s="20" t="s">
        <v>78</v>
      </c>
      <c r="M22" s="20">
        <f t="shared" si="0"/>
        <v>1</v>
      </c>
    </row>
    <row r="23" spans="1:13" x14ac:dyDescent="0.25">
      <c r="A23" s="12" t="s">
        <v>99</v>
      </c>
      <c r="B23" s="35"/>
      <c r="C23" s="35"/>
      <c r="D23" s="35"/>
      <c r="E23" s="35"/>
      <c r="F23" s="35"/>
      <c r="G23" s="35" t="s">
        <v>78</v>
      </c>
      <c r="H23" s="35" t="s">
        <v>78</v>
      </c>
      <c r="I23" s="35" t="s">
        <v>78</v>
      </c>
      <c r="J23" s="35" t="s">
        <v>78</v>
      </c>
      <c r="K23" s="35" t="s">
        <v>78</v>
      </c>
      <c r="L23" s="14" t="s">
        <v>78</v>
      </c>
      <c r="M23" s="14">
        <f t="shared" si="0"/>
        <v>0</v>
      </c>
    </row>
    <row r="24" spans="1:13" x14ac:dyDescent="0.25">
      <c r="A24" s="15" t="s">
        <v>100</v>
      </c>
      <c r="B24" s="44" t="s">
        <v>78</v>
      </c>
      <c r="C24" s="44" t="s">
        <v>78</v>
      </c>
      <c r="D24" s="44" t="s">
        <v>78</v>
      </c>
      <c r="E24" s="44" t="s">
        <v>78</v>
      </c>
      <c r="F24" s="44" t="s">
        <v>78</v>
      </c>
      <c r="G24" s="44" t="s">
        <v>78</v>
      </c>
      <c r="H24" s="44" t="s">
        <v>78</v>
      </c>
      <c r="I24" s="44" t="s">
        <v>78</v>
      </c>
      <c r="J24" s="44" t="s">
        <v>78</v>
      </c>
      <c r="K24" s="44" t="s">
        <v>78</v>
      </c>
      <c r="L24" s="17" t="s">
        <v>78</v>
      </c>
      <c r="M24" s="17">
        <f t="shared" si="0"/>
        <v>0</v>
      </c>
    </row>
    <row r="25" spans="1:13" x14ac:dyDescent="0.25">
      <c r="A25" s="15" t="s">
        <v>101</v>
      </c>
      <c r="B25" s="44" t="s">
        <v>78</v>
      </c>
      <c r="C25" s="44" t="s">
        <v>78</v>
      </c>
      <c r="D25" s="44" t="s">
        <v>78</v>
      </c>
      <c r="E25" s="44" t="s">
        <v>78</v>
      </c>
      <c r="F25" s="44" t="s">
        <v>78</v>
      </c>
      <c r="G25" s="44"/>
      <c r="H25" s="44" t="s">
        <v>78</v>
      </c>
      <c r="I25" s="44" t="s">
        <v>78</v>
      </c>
      <c r="J25" s="44" t="s">
        <v>78</v>
      </c>
      <c r="K25" s="44" t="s">
        <v>78</v>
      </c>
      <c r="L25" s="17" t="s">
        <v>78</v>
      </c>
      <c r="M25" s="17">
        <f t="shared" si="0"/>
        <v>0</v>
      </c>
    </row>
    <row r="26" spans="1:13" x14ac:dyDescent="0.25">
      <c r="A26" s="15" t="s">
        <v>102</v>
      </c>
      <c r="B26" s="44" t="s">
        <v>78</v>
      </c>
      <c r="C26" s="44" t="s">
        <v>78</v>
      </c>
      <c r="D26" s="44" t="s">
        <v>78</v>
      </c>
      <c r="E26" s="44" t="s">
        <v>78</v>
      </c>
      <c r="F26" s="44" t="s">
        <v>78</v>
      </c>
      <c r="G26" s="44"/>
      <c r="H26" s="44" t="s">
        <v>78</v>
      </c>
      <c r="I26" s="44" t="s">
        <v>78</v>
      </c>
      <c r="J26" s="44" t="s">
        <v>78</v>
      </c>
      <c r="K26" s="44" t="s">
        <v>78</v>
      </c>
      <c r="L26" s="17" t="s">
        <v>78</v>
      </c>
      <c r="M26" s="17">
        <f t="shared" si="0"/>
        <v>0</v>
      </c>
    </row>
    <row r="27" spans="1:13" x14ac:dyDescent="0.25">
      <c r="A27" s="18" t="s">
        <v>103</v>
      </c>
      <c r="B27" s="34"/>
      <c r="C27" s="34" t="s">
        <v>78</v>
      </c>
      <c r="D27" s="34" t="s">
        <v>78</v>
      </c>
      <c r="E27" s="34" t="s">
        <v>78</v>
      </c>
      <c r="F27" s="34" t="s">
        <v>78</v>
      </c>
      <c r="G27" s="34" t="s">
        <v>78</v>
      </c>
      <c r="H27" s="34" t="s">
        <v>78</v>
      </c>
      <c r="I27" s="34" t="s">
        <v>78</v>
      </c>
      <c r="J27" s="34" t="s">
        <v>78</v>
      </c>
      <c r="K27" s="34" t="s">
        <v>78</v>
      </c>
      <c r="L27" s="20" t="s">
        <v>78</v>
      </c>
      <c r="M27" s="20">
        <f t="shared" si="0"/>
        <v>0</v>
      </c>
    </row>
    <row r="28" spans="1:13" x14ac:dyDescent="0.25">
      <c r="A28" s="12" t="s">
        <v>104</v>
      </c>
      <c r="B28" s="35" t="s">
        <v>78</v>
      </c>
      <c r="C28" s="35" t="s">
        <v>78</v>
      </c>
      <c r="D28" s="35" t="s">
        <v>78</v>
      </c>
      <c r="E28" s="35" t="s">
        <v>78</v>
      </c>
      <c r="F28" s="35" t="s">
        <v>78</v>
      </c>
      <c r="G28" s="35" t="s">
        <v>78</v>
      </c>
      <c r="H28" s="35" t="s">
        <v>78</v>
      </c>
      <c r="I28" s="35" t="s">
        <v>78</v>
      </c>
      <c r="J28" s="35" t="s">
        <v>78</v>
      </c>
      <c r="K28" s="35" t="s">
        <v>78</v>
      </c>
      <c r="L28" s="14" t="s">
        <v>78</v>
      </c>
      <c r="M28" s="14">
        <f t="shared" si="0"/>
        <v>0</v>
      </c>
    </row>
    <row r="29" spans="1:13" x14ac:dyDescent="0.25">
      <c r="A29" s="15" t="s">
        <v>105</v>
      </c>
      <c r="B29" s="44" t="s">
        <v>78</v>
      </c>
      <c r="C29" s="44" t="s">
        <v>78</v>
      </c>
      <c r="D29" s="44" t="s">
        <v>78</v>
      </c>
      <c r="E29" s="44" t="s">
        <v>78</v>
      </c>
      <c r="F29" s="44" t="s">
        <v>78</v>
      </c>
      <c r="G29" s="44"/>
      <c r="H29" s="44" t="s">
        <v>78</v>
      </c>
      <c r="I29" s="44" t="s">
        <v>78</v>
      </c>
      <c r="J29" s="44" t="s">
        <v>78</v>
      </c>
      <c r="K29" s="44" t="s">
        <v>78</v>
      </c>
      <c r="L29" s="17" t="s">
        <v>78</v>
      </c>
      <c r="M29" s="17">
        <f t="shared" si="0"/>
        <v>0</v>
      </c>
    </row>
    <row r="30" spans="1:13" x14ac:dyDescent="0.25">
      <c r="A30" s="15" t="s">
        <v>106</v>
      </c>
      <c r="B30" s="44" t="s">
        <v>78</v>
      </c>
      <c r="C30" s="44" t="s">
        <v>78</v>
      </c>
      <c r="D30" s="44" t="s">
        <v>78</v>
      </c>
      <c r="E30" s="44" t="s">
        <v>78</v>
      </c>
      <c r="F30" s="44" t="s">
        <v>78</v>
      </c>
      <c r="G30" s="44"/>
      <c r="H30" s="44" t="s">
        <v>78</v>
      </c>
      <c r="I30" s="44" t="s">
        <v>78</v>
      </c>
      <c r="J30" s="44" t="s">
        <v>78</v>
      </c>
      <c r="K30" s="44" t="s">
        <v>78</v>
      </c>
      <c r="L30" s="17" t="s">
        <v>78</v>
      </c>
      <c r="M30" s="17">
        <f t="shared" si="0"/>
        <v>0</v>
      </c>
    </row>
    <row r="31" spans="1:13" x14ac:dyDescent="0.25">
      <c r="A31" s="15" t="s">
        <v>107</v>
      </c>
      <c r="B31" s="44" t="s">
        <v>78</v>
      </c>
      <c r="C31" s="44" t="s">
        <v>78</v>
      </c>
      <c r="D31" s="44">
        <v>1</v>
      </c>
      <c r="E31" s="44" t="s">
        <v>78</v>
      </c>
      <c r="F31" s="44" t="s">
        <v>78</v>
      </c>
      <c r="G31" s="44"/>
      <c r="H31" s="44" t="s">
        <v>78</v>
      </c>
      <c r="I31" s="44" t="s">
        <v>78</v>
      </c>
      <c r="J31" s="44" t="s">
        <v>78</v>
      </c>
      <c r="K31" s="44" t="s">
        <v>78</v>
      </c>
      <c r="L31" s="17" t="s">
        <v>78</v>
      </c>
      <c r="M31" s="17">
        <f t="shared" si="0"/>
        <v>1</v>
      </c>
    </row>
    <row r="32" spans="1:13" x14ac:dyDescent="0.25">
      <c r="A32" s="15" t="s">
        <v>138</v>
      </c>
      <c r="B32" s="44" t="s">
        <v>78</v>
      </c>
      <c r="C32" s="44">
        <v>1</v>
      </c>
      <c r="D32" s="44">
        <v>2</v>
      </c>
      <c r="E32" s="44">
        <v>3</v>
      </c>
      <c r="F32" s="44" t="s">
        <v>78</v>
      </c>
      <c r="G32" s="44"/>
      <c r="H32" s="44" t="s">
        <v>78</v>
      </c>
      <c r="I32" s="44" t="s">
        <v>78</v>
      </c>
      <c r="J32" s="44" t="s">
        <v>78</v>
      </c>
      <c r="K32" s="44" t="s">
        <v>78</v>
      </c>
      <c r="L32" s="17" t="s">
        <v>78</v>
      </c>
      <c r="M32" s="17">
        <f t="shared" si="0"/>
        <v>6</v>
      </c>
    </row>
    <row r="33" spans="1:13" x14ac:dyDescent="0.25">
      <c r="A33" s="15" t="s">
        <v>108</v>
      </c>
      <c r="B33" s="44" t="s">
        <v>78</v>
      </c>
      <c r="C33" s="44" t="s">
        <v>78</v>
      </c>
      <c r="D33" s="44" t="s">
        <v>78</v>
      </c>
      <c r="E33" s="44">
        <v>7</v>
      </c>
      <c r="F33" s="44" t="s">
        <v>78</v>
      </c>
      <c r="G33" s="44"/>
      <c r="H33" s="44" t="s">
        <v>78</v>
      </c>
      <c r="I33" s="44" t="s">
        <v>78</v>
      </c>
      <c r="J33" s="44" t="s">
        <v>78</v>
      </c>
      <c r="K33" s="44" t="s">
        <v>78</v>
      </c>
      <c r="L33" s="17" t="s">
        <v>78</v>
      </c>
      <c r="M33" s="17">
        <f t="shared" si="0"/>
        <v>7</v>
      </c>
    </row>
    <row r="34" spans="1:13" x14ac:dyDescent="0.25">
      <c r="A34" s="18" t="s">
        <v>109</v>
      </c>
      <c r="B34" s="34" t="s">
        <v>78</v>
      </c>
      <c r="C34" s="34" t="s">
        <v>78</v>
      </c>
      <c r="D34" s="34" t="s">
        <v>78</v>
      </c>
      <c r="E34" s="34" t="s">
        <v>78</v>
      </c>
      <c r="F34" s="34" t="s">
        <v>78</v>
      </c>
      <c r="G34" s="34"/>
      <c r="H34" s="34" t="s">
        <v>78</v>
      </c>
      <c r="I34" s="34" t="s">
        <v>78</v>
      </c>
      <c r="J34" s="34" t="s">
        <v>78</v>
      </c>
      <c r="K34" s="34" t="s">
        <v>78</v>
      </c>
      <c r="L34" s="20" t="s">
        <v>78</v>
      </c>
      <c r="M34" s="20">
        <f t="shared" si="0"/>
        <v>0</v>
      </c>
    </row>
    <row r="35" spans="1:13" x14ac:dyDescent="0.25">
      <c r="A35" s="22" t="s">
        <v>79</v>
      </c>
      <c r="B35" s="7">
        <f t="shared" ref="B35:M35" si="1">SUM(B3:B34)</f>
        <v>3</v>
      </c>
      <c r="C35" s="23">
        <f t="shared" si="1"/>
        <v>1</v>
      </c>
      <c r="D35" s="23">
        <f t="shared" si="1"/>
        <v>5</v>
      </c>
      <c r="E35" s="23">
        <f t="shared" si="1"/>
        <v>34</v>
      </c>
      <c r="F35" s="23">
        <f t="shared" si="1"/>
        <v>1</v>
      </c>
      <c r="G35" s="23">
        <f t="shared" si="1"/>
        <v>6</v>
      </c>
      <c r="H35" s="23">
        <f t="shared" si="1"/>
        <v>0</v>
      </c>
      <c r="I35" s="46">
        <f t="shared" si="1"/>
        <v>0</v>
      </c>
      <c r="J35" s="23">
        <f t="shared" si="1"/>
        <v>0</v>
      </c>
      <c r="K35" s="23">
        <f t="shared" si="1"/>
        <v>0</v>
      </c>
      <c r="L35" s="7">
        <f t="shared" si="1"/>
        <v>0</v>
      </c>
      <c r="M35" s="7">
        <f t="shared" si="1"/>
        <v>50</v>
      </c>
    </row>
    <row r="36" spans="1:13" x14ac:dyDescent="0.25">
      <c r="A36" s="4" t="s">
        <v>139</v>
      </c>
      <c r="B36" s="21" t="s">
        <v>78</v>
      </c>
      <c r="C36" s="45" t="s">
        <v>78</v>
      </c>
      <c r="D36" s="45" t="s">
        <v>78</v>
      </c>
      <c r="E36" s="45" t="s">
        <v>78</v>
      </c>
      <c r="F36" s="45" t="s">
        <v>78</v>
      </c>
      <c r="G36" s="45"/>
      <c r="H36" s="45" t="s">
        <v>78</v>
      </c>
      <c r="I36" s="45" t="s">
        <v>78</v>
      </c>
      <c r="J36" s="45" t="s">
        <v>78</v>
      </c>
      <c r="K36" s="45" t="s">
        <v>78</v>
      </c>
      <c r="L36" s="21" t="s">
        <v>78</v>
      </c>
      <c r="M36" s="45">
        <f>SUM(B36:L36)</f>
        <v>0</v>
      </c>
    </row>
    <row r="37" spans="1:13" x14ac:dyDescent="0.25">
      <c r="A37" s="16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</row>
    <row r="38" spans="1:13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</row>
    <row r="39" spans="1:13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</row>
    <row r="40" spans="1:13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</row>
    <row r="41" spans="1:13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</row>
    <row r="42" spans="1:13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</row>
    <row r="43" spans="1:13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</row>
    <row r="44" spans="1:13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</row>
  </sheetData>
  <sheetProtection password="EB3F" sheet="1" objects="1" scenarios="1"/>
  <pageMargins left="0.25" right="0.25" top="0.75" bottom="0.75" header="0.3" footer="0.3"/>
  <pageSetup scale="74" fitToHeight="0" orientation="landscape" r:id="rId1"/>
  <headerFooter>
    <oddHeader>&amp;C&amp;"-,Bold"&amp;14Incidents of Prohibited Behavior in School or School-Related Activities by Charter, 2012-2013</oddHeader>
    <oddFooter>&amp;L&amp;8Complier: USOE/Career, Techincial, and Adult Education/Verne Larsen
Source: Warehouse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Views>
    <sheetView view="pageLayout" zoomScaleNormal="100" workbookViewId="0"/>
  </sheetViews>
  <sheetFormatPr defaultColWidth="9.140625" defaultRowHeight="15.75" x14ac:dyDescent="0.25"/>
  <cols>
    <col min="1" max="1" width="42.7109375" style="1" customWidth="1"/>
    <col min="2" max="2" width="11.28515625" style="1" customWidth="1"/>
    <col min="3" max="3" width="11.140625" style="1" customWidth="1"/>
    <col min="4" max="5" width="11.28515625" style="1" customWidth="1"/>
    <col min="6" max="6" width="13.7109375" style="1" customWidth="1"/>
    <col min="7" max="12" width="11.28515625" style="1" customWidth="1"/>
    <col min="13" max="13" width="11.28515625" style="3" customWidth="1"/>
    <col min="14" max="16384" width="9.140625" style="1"/>
  </cols>
  <sheetData>
    <row r="1" spans="1:13" ht="16.5" customHeight="1" x14ac:dyDescent="0.25">
      <c r="A1" s="51"/>
      <c r="B1" s="53" t="s">
        <v>111</v>
      </c>
      <c r="C1" s="6"/>
      <c r="D1" s="6"/>
      <c r="E1" s="6"/>
      <c r="F1" s="6"/>
      <c r="G1" s="6" t="s">
        <v>133</v>
      </c>
      <c r="H1" s="6"/>
      <c r="I1" s="6"/>
      <c r="J1" s="6"/>
      <c r="K1" s="6"/>
      <c r="L1" s="6"/>
      <c r="M1" s="7"/>
    </row>
    <row r="2" spans="1:13" ht="15.75" customHeight="1" x14ac:dyDescent="0.25">
      <c r="A2" s="25" t="s">
        <v>132</v>
      </c>
      <c r="B2" s="10" t="s">
        <v>33</v>
      </c>
      <c r="C2" s="10" t="s">
        <v>50</v>
      </c>
      <c r="D2" s="10" t="s">
        <v>52</v>
      </c>
      <c r="E2" s="11" t="s">
        <v>55</v>
      </c>
      <c r="F2" s="10" t="s">
        <v>59</v>
      </c>
      <c r="G2" s="10" t="s">
        <v>60</v>
      </c>
      <c r="H2" s="10" t="s">
        <v>69</v>
      </c>
      <c r="I2" s="10" t="s">
        <v>70</v>
      </c>
      <c r="J2" s="36" t="s">
        <v>71</v>
      </c>
      <c r="K2" s="11" t="s">
        <v>72</v>
      </c>
      <c r="L2" s="11" t="s">
        <v>73</v>
      </c>
      <c r="M2" s="36" t="s">
        <v>49</v>
      </c>
    </row>
    <row r="3" spans="1:13" x14ac:dyDescent="0.25">
      <c r="A3" s="12" t="s">
        <v>0</v>
      </c>
      <c r="B3" s="38">
        <v>107</v>
      </c>
      <c r="C3" s="39" t="s">
        <v>78</v>
      </c>
      <c r="D3" s="39" t="s">
        <v>78</v>
      </c>
      <c r="E3" s="39" t="s">
        <v>78</v>
      </c>
      <c r="F3" s="39" t="s">
        <v>78</v>
      </c>
      <c r="G3" s="39">
        <v>6</v>
      </c>
      <c r="H3" s="39" t="s">
        <v>78</v>
      </c>
      <c r="I3" s="39" t="s">
        <v>78</v>
      </c>
      <c r="J3" s="39" t="s">
        <v>78</v>
      </c>
      <c r="K3" s="39">
        <v>2</v>
      </c>
      <c r="L3" s="39">
        <v>6</v>
      </c>
      <c r="M3" s="35">
        <f>SUM(B3:L3)</f>
        <v>121</v>
      </c>
    </row>
    <row r="4" spans="1:13" x14ac:dyDescent="0.25">
      <c r="A4" s="15" t="s">
        <v>113</v>
      </c>
      <c r="B4" s="40" t="s">
        <v>78</v>
      </c>
      <c r="C4" s="40" t="s">
        <v>78</v>
      </c>
      <c r="D4" s="40" t="s">
        <v>78</v>
      </c>
      <c r="E4" s="40" t="s">
        <v>78</v>
      </c>
      <c r="F4" s="40" t="s">
        <v>78</v>
      </c>
      <c r="G4" s="40" t="s">
        <v>78</v>
      </c>
      <c r="H4" s="40" t="s">
        <v>78</v>
      </c>
      <c r="I4" s="40" t="s">
        <v>78</v>
      </c>
      <c r="J4" s="40" t="s">
        <v>78</v>
      </c>
      <c r="K4" s="40" t="s">
        <v>78</v>
      </c>
      <c r="L4" s="40" t="s">
        <v>78</v>
      </c>
      <c r="M4" s="44">
        <f t="shared" ref="M4:M43" si="0">SUM(B4:L4)</f>
        <v>0</v>
      </c>
    </row>
    <row r="5" spans="1:13" x14ac:dyDescent="0.25">
      <c r="A5" s="15" t="s">
        <v>1</v>
      </c>
      <c r="B5" s="40">
        <v>1</v>
      </c>
      <c r="C5" s="40" t="s">
        <v>78</v>
      </c>
      <c r="D5" s="40" t="s">
        <v>78</v>
      </c>
      <c r="E5" s="40" t="s">
        <v>78</v>
      </c>
      <c r="F5" s="40" t="s">
        <v>78</v>
      </c>
      <c r="G5" s="40">
        <v>17</v>
      </c>
      <c r="H5" s="40" t="s">
        <v>78</v>
      </c>
      <c r="I5" s="40" t="s">
        <v>78</v>
      </c>
      <c r="J5" s="40" t="s">
        <v>78</v>
      </c>
      <c r="K5" s="40" t="s">
        <v>78</v>
      </c>
      <c r="L5" s="40" t="s">
        <v>78</v>
      </c>
      <c r="M5" s="44">
        <f t="shared" si="0"/>
        <v>18</v>
      </c>
    </row>
    <row r="6" spans="1:13" x14ac:dyDescent="0.25">
      <c r="A6" s="15" t="s">
        <v>2</v>
      </c>
      <c r="B6" s="40" t="s">
        <v>78</v>
      </c>
      <c r="C6" s="40" t="s">
        <v>78</v>
      </c>
      <c r="D6" s="40" t="s">
        <v>78</v>
      </c>
      <c r="E6" s="40" t="s">
        <v>78</v>
      </c>
      <c r="F6" s="40" t="s">
        <v>78</v>
      </c>
      <c r="G6" s="40">
        <v>8</v>
      </c>
      <c r="H6" s="40">
        <v>1</v>
      </c>
      <c r="I6" s="40" t="s">
        <v>78</v>
      </c>
      <c r="J6" s="40" t="s">
        <v>78</v>
      </c>
      <c r="K6" s="40" t="s">
        <v>78</v>
      </c>
      <c r="L6" s="40" t="s">
        <v>78</v>
      </c>
      <c r="M6" s="44">
        <f t="shared" si="0"/>
        <v>9</v>
      </c>
    </row>
    <row r="7" spans="1:13" x14ac:dyDescent="0.25">
      <c r="A7" s="18" t="s">
        <v>3</v>
      </c>
      <c r="B7" s="41">
        <v>43</v>
      </c>
      <c r="C7" s="41">
        <v>1</v>
      </c>
      <c r="D7" s="41" t="s">
        <v>78</v>
      </c>
      <c r="E7" s="41">
        <v>3</v>
      </c>
      <c r="F7" s="41" t="s">
        <v>78</v>
      </c>
      <c r="G7" s="41" t="s">
        <v>122</v>
      </c>
      <c r="H7" s="41" t="s">
        <v>78</v>
      </c>
      <c r="I7" s="41" t="s">
        <v>78</v>
      </c>
      <c r="J7" s="41" t="s">
        <v>78</v>
      </c>
      <c r="K7" s="41">
        <v>12</v>
      </c>
      <c r="L7" s="41">
        <v>38</v>
      </c>
      <c r="M7" s="34">
        <f t="shared" si="0"/>
        <v>97</v>
      </c>
    </row>
    <row r="8" spans="1:13" x14ac:dyDescent="0.25">
      <c r="A8" s="12" t="s">
        <v>4</v>
      </c>
      <c r="B8" s="39" t="s">
        <v>78</v>
      </c>
      <c r="C8" s="39" t="s">
        <v>78</v>
      </c>
      <c r="D8" s="39" t="s">
        <v>78</v>
      </c>
      <c r="E8" s="39" t="s">
        <v>78</v>
      </c>
      <c r="F8" s="39" t="s">
        <v>78</v>
      </c>
      <c r="G8" s="39" t="s">
        <v>78</v>
      </c>
      <c r="H8" s="39" t="s">
        <v>78</v>
      </c>
      <c r="I8" s="39" t="s">
        <v>78</v>
      </c>
      <c r="J8" s="39" t="s">
        <v>78</v>
      </c>
      <c r="K8" s="39" t="s">
        <v>78</v>
      </c>
      <c r="L8" s="39" t="s">
        <v>78</v>
      </c>
      <c r="M8" s="35">
        <f t="shared" si="0"/>
        <v>0</v>
      </c>
    </row>
    <row r="9" spans="1:13" x14ac:dyDescent="0.25">
      <c r="A9" s="15" t="s">
        <v>120</v>
      </c>
      <c r="B9" s="40">
        <v>1</v>
      </c>
      <c r="C9" s="40" t="s">
        <v>78</v>
      </c>
      <c r="D9" s="40" t="s">
        <v>78</v>
      </c>
      <c r="E9" s="40" t="s">
        <v>78</v>
      </c>
      <c r="F9" s="40" t="s">
        <v>78</v>
      </c>
      <c r="G9" s="40">
        <v>1</v>
      </c>
      <c r="H9" s="40" t="s">
        <v>78</v>
      </c>
      <c r="I9" s="40" t="s">
        <v>78</v>
      </c>
      <c r="J9" s="40" t="s">
        <v>78</v>
      </c>
      <c r="K9" s="40" t="s">
        <v>78</v>
      </c>
      <c r="L9" s="40">
        <v>1</v>
      </c>
      <c r="M9" s="44">
        <f t="shared" si="0"/>
        <v>3</v>
      </c>
    </row>
    <row r="10" spans="1:13" x14ac:dyDescent="0.25">
      <c r="A10" s="15" t="s">
        <v>121</v>
      </c>
      <c r="B10" s="40">
        <v>34</v>
      </c>
      <c r="C10" s="40" t="s">
        <v>78</v>
      </c>
      <c r="D10" s="40">
        <v>2</v>
      </c>
      <c r="E10" s="40">
        <v>1</v>
      </c>
      <c r="F10" s="40" t="s">
        <v>78</v>
      </c>
      <c r="G10" s="40">
        <v>62</v>
      </c>
      <c r="H10" s="40" t="s">
        <v>78</v>
      </c>
      <c r="I10" s="40" t="s">
        <v>78</v>
      </c>
      <c r="J10" s="40" t="s">
        <v>78</v>
      </c>
      <c r="K10" s="40">
        <v>8</v>
      </c>
      <c r="L10" s="40">
        <v>26</v>
      </c>
      <c r="M10" s="44">
        <f t="shared" si="0"/>
        <v>133</v>
      </c>
    </row>
    <row r="11" spans="1:13" x14ac:dyDescent="0.25">
      <c r="A11" s="15" t="s">
        <v>5</v>
      </c>
      <c r="B11" s="40">
        <v>1</v>
      </c>
      <c r="C11" s="40" t="s">
        <v>78</v>
      </c>
      <c r="D11" s="40" t="s">
        <v>78</v>
      </c>
      <c r="E11" s="40" t="s">
        <v>78</v>
      </c>
      <c r="F11" s="40" t="s">
        <v>78</v>
      </c>
      <c r="G11" s="40">
        <v>3</v>
      </c>
      <c r="H11" s="40" t="s">
        <v>78</v>
      </c>
      <c r="I11" s="40" t="s">
        <v>78</v>
      </c>
      <c r="J11" s="40" t="s">
        <v>78</v>
      </c>
      <c r="K11" s="40" t="s">
        <v>78</v>
      </c>
      <c r="L11" s="40">
        <v>2</v>
      </c>
      <c r="M11" s="44">
        <f t="shared" si="0"/>
        <v>6</v>
      </c>
    </row>
    <row r="12" spans="1:13" x14ac:dyDescent="0.25">
      <c r="A12" s="18" t="s">
        <v>6</v>
      </c>
      <c r="B12" s="41" t="s">
        <v>78</v>
      </c>
      <c r="C12" s="41" t="s">
        <v>78</v>
      </c>
      <c r="D12" s="41" t="s">
        <v>78</v>
      </c>
      <c r="E12" s="41" t="s">
        <v>78</v>
      </c>
      <c r="F12" s="41" t="s">
        <v>78</v>
      </c>
      <c r="G12" s="41" t="s">
        <v>78</v>
      </c>
      <c r="H12" s="41" t="s">
        <v>78</v>
      </c>
      <c r="I12" s="41" t="s">
        <v>78</v>
      </c>
      <c r="J12" s="41" t="s">
        <v>78</v>
      </c>
      <c r="K12" s="41" t="s">
        <v>78</v>
      </c>
      <c r="L12" s="41" t="s">
        <v>78</v>
      </c>
      <c r="M12" s="34">
        <f t="shared" si="0"/>
        <v>0</v>
      </c>
    </row>
    <row r="13" spans="1:13" x14ac:dyDescent="0.25">
      <c r="A13" s="12" t="s">
        <v>114</v>
      </c>
      <c r="B13" s="39"/>
      <c r="C13" s="39" t="s">
        <v>78</v>
      </c>
      <c r="D13" s="39" t="s">
        <v>78</v>
      </c>
      <c r="E13" s="39" t="s">
        <v>78</v>
      </c>
      <c r="F13" s="39" t="s">
        <v>78</v>
      </c>
      <c r="G13" s="39" t="s">
        <v>78</v>
      </c>
      <c r="H13" s="39" t="s">
        <v>78</v>
      </c>
      <c r="I13" s="39" t="s">
        <v>78</v>
      </c>
      <c r="J13" s="39" t="s">
        <v>78</v>
      </c>
      <c r="K13" s="39" t="s">
        <v>78</v>
      </c>
      <c r="L13" s="39" t="s">
        <v>78</v>
      </c>
      <c r="M13" s="35">
        <f t="shared" si="0"/>
        <v>0</v>
      </c>
    </row>
    <row r="14" spans="1:13" x14ac:dyDescent="0.25">
      <c r="A14" s="15" t="s">
        <v>7</v>
      </c>
      <c r="B14" s="40">
        <v>6</v>
      </c>
      <c r="C14" s="40" t="s">
        <v>78</v>
      </c>
      <c r="D14" s="40" t="s">
        <v>78</v>
      </c>
      <c r="E14" s="40" t="s">
        <v>78</v>
      </c>
      <c r="F14" s="40" t="s">
        <v>78</v>
      </c>
      <c r="G14" s="40">
        <v>3</v>
      </c>
      <c r="H14" s="40" t="s">
        <v>78</v>
      </c>
      <c r="I14" s="40" t="s">
        <v>78</v>
      </c>
      <c r="J14" s="40" t="s">
        <v>78</v>
      </c>
      <c r="K14" s="40" t="s">
        <v>78</v>
      </c>
      <c r="L14" s="40" t="s">
        <v>78</v>
      </c>
      <c r="M14" s="44">
        <f t="shared" si="0"/>
        <v>9</v>
      </c>
    </row>
    <row r="15" spans="1:13" x14ac:dyDescent="0.25">
      <c r="A15" s="15" t="s">
        <v>115</v>
      </c>
      <c r="B15" s="40">
        <v>189</v>
      </c>
      <c r="C15" s="40" t="s">
        <v>78</v>
      </c>
      <c r="D15" s="40">
        <v>15</v>
      </c>
      <c r="E15" s="40">
        <v>4</v>
      </c>
      <c r="F15" s="40">
        <v>12</v>
      </c>
      <c r="G15" s="40">
        <v>211</v>
      </c>
      <c r="H15" s="40" t="s">
        <v>78</v>
      </c>
      <c r="I15" s="40">
        <v>1</v>
      </c>
      <c r="J15" s="40" t="s">
        <v>78</v>
      </c>
      <c r="K15" s="40">
        <v>44</v>
      </c>
      <c r="L15" s="40">
        <v>56</v>
      </c>
      <c r="M15" s="44">
        <f t="shared" si="0"/>
        <v>532</v>
      </c>
    </row>
    <row r="16" spans="1:13" x14ac:dyDescent="0.25">
      <c r="A16" s="15" t="s">
        <v>8</v>
      </c>
      <c r="B16" s="40" t="s">
        <v>78</v>
      </c>
      <c r="C16" s="40" t="s">
        <v>78</v>
      </c>
      <c r="D16" s="40" t="s">
        <v>78</v>
      </c>
      <c r="E16" s="40" t="s">
        <v>78</v>
      </c>
      <c r="F16" s="40" t="s">
        <v>78</v>
      </c>
      <c r="G16" s="40" t="s">
        <v>78</v>
      </c>
      <c r="H16" s="40" t="s">
        <v>78</v>
      </c>
      <c r="I16" s="40" t="s">
        <v>78</v>
      </c>
      <c r="J16" s="40" t="s">
        <v>78</v>
      </c>
      <c r="K16" s="40" t="s">
        <v>78</v>
      </c>
      <c r="L16" s="40" t="s">
        <v>78</v>
      </c>
      <c r="M16" s="44">
        <f t="shared" si="0"/>
        <v>0</v>
      </c>
    </row>
    <row r="17" spans="1:13" x14ac:dyDescent="0.25">
      <c r="A17" s="18" t="s">
        <v>9</v>
      </c>
      <c r="B17" s="41">
        <v>65</v>
      </c>
      <c r="C17" s="41" t="s">
        <v>78</v>
      </c>
      <c r="D17" s="41" t="s">
        <v>78</v>
      </c>
      <c r="E17" s="41">
        <v>2</v>
      </c>
      <c r="F17" s="41" t="s">
        <v>78</v>
      </c>
      <c r="G17" s="41">
        <v>145</v>
      </c>
      <c r="H17" s="41" t="s">
        <v>78</v>
      </c>
      <c r="I17" s="41" t="s">
        <v>78</v>
      </c>
      <c r="J17" s="41" t="s">
        <v>78</v>
      </c>
      <c r="K17" s="41" t="s">
        <v>78</v>
      </c>
      <c r="L17" s="41" t="s">
        <v>78</v>
      </c>
      <c r="M17" s="34">
        <f t="shared" si="0"/>
        <v>212</v>
      </c>
    </row>
    <row r="18" spans="1:13" x14ac:dyDescent="0.25">
      <c r="A18" s="12" t="s">
        <v>10</v>
      </c>
      <c r="B18" s="39" t="s">
        <v>78</v>
      </c>
      <c r="C18" s="39" t="s">
        <v>78</v>
      </c>
      <c r="D18" s="39" t="s">
        <v>78</v>
      </c>
      <c r="E18" s="39" t="s">
        <v>78</v>
      </c>
      <c r="F18" s="39" t="s">
        <v>78</v>
      </c>
      <c r="G18" s="39" t="s">
        <v>78</v>
      </c>
      <c r="H18" s="39" t="s">
        <v>78</v>
      </c>
      <c r="I18" s="39" t="s">
        <v>78</v>
      </c>
      <c r="J18" s="39" t="s">
        <v>78</v>
      </c>
      <c r="K18" s="39" t="s">
        <v>78</v>
      </c>
      <c r="L18" s="39" t="s">
        <v>78</v>
      </c>
      <c r="M18" s="35">
        <f t="shared" si="0"/>
        <v>0</v>
      </c>
    </row>
    <row r="19" spans="1:13" x14ac:dyDescent="0.25">
      <c r="A19" s="15" t="s">
        <v>11</v>
      </c>
      <c r="B19" s="40" t="s">
        <v>78</v>
      </c>
      <c r="C19" s="40" t="s">
        <v>78</v>
      </c>
      <c r="D19" s="40" t="s">
        <v>78</v>
      </c>
      <c r="E19" s="40" t="s">
        <v>78</v>
      </c>
      <c r="F19" s="40" t="s">
        <v>78</v>
      </c>
      <c r="G19" s="40" t="s">
        <v>78</v>
      </c>
      <c r="H19" s="40" t="s">
        <v>78</v>
      </c>
      <c r="I19" s="40" t="s">
        <v>78</v>
      </c>
      <c r="J19" s="40" t="s">
        <v>78</v>
      </c>
      <c r="K19" s="40" t="s">
        <v>78</v>
      </c>
      <c r="L19" s="40" t="s">
        <v>78</v>
      </c>
      <c r="M19" s="44">
        <f t="shared" si="0"/>
        <v>0</v>
      </c>
    </row>
    <row r="20" spans="1:13" x14ac:dyDescent="0.25">
      <c r="A20" s="15" t="s">
        <v>12</v>
      </c>
      <c r="B20" s="40">
        <v>8</v>
      </c>
      <c r="C20" s="40" t="s">
        <v>78</v>
      </c>
      <c r="D20" s="40" t="s">
        <v>78</v>
      </c>
      <c r="E20" s="40" t="s">
        <v>78</v>
      </c>
      <c r="F20" s="40" t="s">
        <v>78</v>
      </c>
      <c r="G20" s="40">
        <v>31</v>
      </c>
      <c r="H20" s="40" t="s">
        <v>78</v>
      </c>
      <c r="I20" s="40" t="s">
        <v>78</v>
      </c>
      <c r="J20" s="40" t="s">
        <v>78</v>
      </c>
      <c r="K20" s="40">
        <v>5</v>
      </c>
      <c r="L20" s="40">
        <v>5</v>
      </c>
      <c r="M20" s="44">
        <f t="shared" si="0"/>
        <v>49</v>
      </c>
    </row>
    <row r="21" spans="1:13" x14ac:dyDescent="0.25">
      <c r="A21" s="15" t="s">
        <v>13</v>
      </c>
      <c r="B21" s="40">
        <v>2</v>
      </c>
      <c r="C21" s="40" t="s">
        <v>78</v>
      </c>
      <c r="D21" s="40" t="s">
        <v>78</v>
      </c>
      <c r="E21" s="40" t="s">
        <v>78</v>
      </c>
      <c r="F21" s="40" t="s">
        <v>78</v>
      </c>
      <c r="G21" s="40">
        <v>5</v>
      </c>
      <c r="H21" s="40" t="s">
        <v>78</v>
      </c>
      <c r="I21" s="40" t="s">
        <v>78</v>
      </c>
      <c r="J21" s="40" t="s">
        <v>78</v>
      </c>
      <c r="K21" s="40" t="s">
        <v>78</v>
      </c>
      <c r="L21" s="40">
        <v>1</v>
      </c>
      <c r="M21" s="44">
        <f t="shared" si="0"/>
        <v>8</v>
      </c>
    </row>
    <row r="22" spans="1:13" x14ac:dyDescent="0.25">
      <c r="A22" s="18" t="s">
        <v>14</v>
      </c>
      <c r="B22" s="41">
        <v>1</v>
      </c>
      <c r="C22" s="41" t="s">
        <v>78</v>
      </c>
      <c r="D22" s="41" t="s">
        <v>78</v>
      </c>
      <c r="E22" s="41" t="s">
        <v>78</v>
      </c>
      <c r="F22" s="41" t="s">
        <v>78</v>
      </c>
      <c r="G22" s="41" t="s">
        <v>78</v>
      </c>
      <c r="H22" s="41" t="s">
        <v>78</v>
      </c>
      <c r="I22" s="41" t="s">
        <v>78</v>
      </c>
      <c r="J22" s="41" t="s">
        <v>78</v>
      </c>
      <c r="K22" s="41" t="s">
        <v>78</v>
      </c>
      <c r="L22" s="41" t="s">
        <v>78</v>
      </c>
      <c r="M22" s="34">
        <f t="shared" si="0"/>
        <v>1</v>
      </c>
    </row>
    <row r="23" spans="1:13" x14ac:dyDescent="0.25">
      <c r="A23" s="12" t="s">
        <v>15</v>
      </c>
      <c r="B23" s="39">
        <v>2</v>
      </c>
      <c r="C23" s="39" t="s">
        <v>78</v>
      </c>
      <c r="D23" s="39" t="s">
        <v>78</v>
      </c>
      <c r="E23" s="39">
        <v>1</v>
      </c>
      <c r="F23" s="39">
        <v>1</v>
      </c>
      <c r="G23" s="39" t="s">
        <v>78</v>
      </c>
      <c r="H23" s="39" t="s">
        <v>78</v>
      </c>
      <c r="I23" s="39" t="s">
        <v>78</v>
      </c>
      <c r="J23" s="39" t="s">
        <v>78</v>
      </c>
      <c r="K23" s="39">
        <v>1</v>
      </c>
      <c r="L23" s="39">
        <v>5</v>
      </c>
      <c r="M23" s="35">
        <f t="shared" si="0"/>
        <v>10</v>
      </c>
    </row>
    <row r="24" spans="1:13" x14ac:dyDescent="0.25">
      <c r="A24" s="15" t="s">
        <v>16</v>
      </c>
      <c r="B24" s="40">
        <v>11</v>
      </c>
      <c r="C24" s="40" t="s">
        <v>78</v>
      </c>
      <c r="D24" s="40">
        <v>1</v>
      </c>
      <c r="E24" s="40" t="s">
        <v>78</v>
      </c>
      <c r="F24" s="40" t="s">
        <v>78</v>
      </c>
      <c r="G24" s="40">
        <v>15</v>
      </c>
      <c r="H24" s="40">
        <v>2</v>
      </c>
      <c r="I24" s="40" t="s">
        <v>78</v>
      </c>
      <c r="J24" s="40" t="s">
        <v>78</v>
      </c>
      <c r="K24" s="40">
        <v>1</v>
      </c>
      <c r="L24" s="40">
        <v>2</v>
      </c>
      <c r="M24" s="44">
        <f t="shared" si="0"/>
        <v>32</v>
      </c>
    </row>
    <row r="25" spans="1:13" x14ac:dyDescent="0.25">
      <c r="A25" s="15" t="s">
        <v>17</v>
      </c>
      <c r="B25" s="40" t="s">
        <v>78</v>
      </c>
      <c r="C25" s="40" t="s">
        <v>78</v>
      </c>
      <c r="D25" s="40" t="s">
        <v>78</v>
      </c>
      <c r="E25" s="40" t="s">
        <v>78</v>
      </c>
      <c r="F25" s="40" t="s">
        <v>78</v>
      </c>
      <c r="G25" s="40" t="s">
        <v>78</v>
      </c>
      <c r="H25" s="40" t="s">
        <v>78</v>
      </c>
      <c r="I25" s="40" t="s">
        <v>78</v>
      </c>
      <c r="J25" s="40" t="s">
        <v>78</v>
      </c>
      <c r="K25" s="40">
        <v>2</v>
      </c>
      <c r="L25" s="40" t="s">
        <v>78</v>
      </c>
      <c r="M25" s="44">
        <f t="shared" si="0"/>
        <v>2</v>
      </c>
    </row>
    <row r="26" spans="1:13" x14ac:dyDescent="0.25">
      <c r="A26" s="15" t="s">
        <v>18</v>
      </c>
      <c r="B26" s="40" t="s">
        <v>78</v>
      </c>
      <c r="C26" s="40" t="s">
        <v>78</v>
      </c>
      <c r="D26" s="40" t="s">
        <v>78</v>
      </c>
      <c r="E26" s="40" t="s">
        <v>78</v>
      </c>
      <c r="F26" s="40" t="s">
        <v>78</v>
      </c>
      <c r="G26" s="40" t="s">
        <v>78</v>
      </c>
      <c r="H26" s="40" t="s">
        <v>78</v>
      </c>
      <c r="I26" s="40" t="s">
        <v>78</v>
      </c>
      <c r="J26" s="40" t="s">
        <v>78</v>
      </c>
      <c r="K26" s="40" t="s">
        <v>78</v>
      </c>
      <c r="L26" s="40" t="s">
        <v>78</v>
      </c>
      <c r="M26" s="44">
        <f t="shared" si="0"/>
        <v>0</v>
      </c>
    </row>
    <row r="27" spans="1:13" x14ac:dyDescent="0.25">
      <c r="A27" s="18" t="s">
        <v>19</v>
      </c>
      <c r="B27" s="41">
        <v>1</v>
      </c>
      <c r="C27" s="41" t="s">
        <v>78</v>
      </c>
      <c r="D27" s="41" t="s">
        <v>78</v>
      </c>
      <c r="E27" s="41" t="s">
        <v>78</v>
      </c>
      <c r="F27" s="41" t="s">
        <v>78</v>
      </c>
      <c r="G27" s="41">
        <v>11</v>
      </c>
      <c r="H27" s="41" t="s">
        <v>78</v>
      </c>
      <c r="I27" s="41" t="s">
        <v>78</v>
      </c>
      <c r="J27" s="41" t="s">
        <v>78</v>
      </c>
      <c r="K27" s="41">
        <v>3</v>
      </c>
      <c r="L27" s="41">
        <v>4</v>
      </c>
      <c r="M27" s="34">
        <f t="shared" si="0"/>
        <v>19</v>
      </c>
    </row>
    <row r="28" spans="1:13" x14ac:dyDescent="0.25">
      <c r="A28" s="12" t="s">
        <v>20</v>
      </c>
      <c r="B28" s="39" t="s">
        <v>78</v>
      </c>
      <c r="C28" s="39" t="s">
        <v>78</v>
      </c>
      <c r="D28" s="39" t="s">
        <v>78</v>
      </c>
      <c r="E28" s="39" t="s">
        <v>78</v>
      </c>
      <c r="F28" s="39" t="s">
        <v>78</v>
      </c>
      <c r="G28" s="39" t="s">
        <v>78</v>
      </c>
      <c r="H28" s="39" t="s">
        <v>78</v>
      </c>
      <c r="I28" s="39" t="s">
        <v>78</v>
      </c>
      <c r="J28" s="39" t="s">
        <v>78</v>
      </c>
      <c r="K28" s="39" t="s">
        <v>78</v>
      </c>
      <c r="L28" s="39" t="s">
        <v>78</v>
      </c>
      <c r="M28" s="35">
        <f t="shared" si="0"/>
        <v>0</v>
      </c>
    </row>
    <row r="29" spans="1:13" x14ac:dyDescent="0.25">
      <c r="A29" s="15" t="s">
        <v>21</v>
      </c>
      <c r="B29" s="40" t="s">
        <v>78</v>
      </c>
      <c r="C29" s="40" t="s">
        <v>78</v>
      </c>
      <c r="D29" s="40" t="s">
        <v>78</v>
      </c>
      <c r="E29" s="40" t="s">
        <v>78</v>
      </c>
      <c r="F29" s="40" t="s">
        <v>78</v>
      </c>
      <c r="G29" s="40" t="s">
        <v>78</v>
      </c>
      <c r="H29" s="40" t="s">
        <v>78</v>
      </c>
      <c r="I29" s="40" t="s">
        <v>78</v>
      </c>
      <c r="J29" s="40" t="s">
        <v>78</v>
      </c>
      <c r="K29" s="40" t="s">
        <v>78</v>
      </c>
      <c r="L29" s="40" t="s">
        <v>78</v>
      </c>
      <c r="M29" s="44">
        <f t="shared" si="0"/>
        <v>0</v>
      </c>
    </row>
    <row r="30" spans="1:13" x14ac:dyDescent="0.25">
      <c r="A30" s="15" t="s">
        <v>22</v>
      </c>
      <c r="B30" s="40">
        <v>13</v>
      </c>
      <c r="C30" s="40" t="s">
        <v>78</v>
      </c>
      <c r="D30" s="40" t="s">
        <v>78</v>
      </c>
      <c r="E30" s="40" t="s">
        <v>78</v>
      </c>
      <c r="F30" s="40" t="s">
        <v>78</v>
      </c>
      <c r="G30" s="40">
        <v>3</v>
      </c>
      <c r="H30" s="40" t="s">
        <v>78</v>
      </c>
      <c r="I30" s="40" t="s">
        <v>78</v>
      </c>
      <c r="J30" s="40" t="s">
        <v>78</v>
      </c>
      <c r="K30" s="40" t="s">
        <v>78</v>
      </c>
      <c r="L30" s="40">
        <v>2</v>
      </c>
      <c r="M30" s="44">
        <f t="shared" si="0"/>
        <v>18</v>
      </c>
    </row>
    <row r="31" spans="1:13" x14ac:dyDescent="0.25">
      <c r="A31" s="15" t="s">
        <v>23</v>
      </c>
      <c r="B31" s="40" t="s">
        <v>78</v>
      </c>
      <c r="C31" s="40" t="s">
        <v>78</v>
      </c>
      <c r="D31" s="40" t="s">
        <v>78</v>
      </c>
      <c r="E31" s="40" t="s">
        <v>78</v>
      </c>
      <c r="F31" s="40" t="s">
        <v>78</v>
      </c>
      <c r="G31" s="40" t="s">
        <v>78</v>
      </c>
      <c r="H31" s="40" t="s">
        <v>78</v>
      </c>
      <c r="I31" s="40" t="s">
        <v>78</v>
      </c>
      <c r="J31" s="40" t="s">
        <v>78</v>
      </c>
      <c r="K31" s="40" t="s">
        <v>78</v>
      </c>
      <c r="L31" s="40" t="s">
        <v>78</v>
      </c>
      <c r="M31" s="44">
        <f t="shared" si="0"/>
        <v>0</v>
      </c>
    </row>
    <row r="32" spans="1:13" x14ac:dyDescent="0.25">
      <c r="A32" s="18" t="s">
        <v>116</v>
      </c>
      <c r="B32" s="41">
        <v>29</v>
      </c>
      <c r="C32" s="41" t="s">
        <v>78</v>
      </c>
      <c r="D32" s="41" t="s">
        <v>78</v>
      </c>
      <c r="E32" s="41">
        <v>8</v>
      </c>
      <c r="F32" s="41">
        <v>1</v>
      </c>
      <c r="G32" s="41">
        <v>128</v>
      </c>
      <c r="H32" s="41" t="s">
        <v>78</v>
      </c>
      <c r="I32" s="41" t="s">
        <v>78</v>
      </c>
      <c r="J32" s="41" t="s">
        <v>78</v>
      </c>
      <c r="K32" s="41">
        <v>11</v>
      </c>
      <c r="L32" s="41">
        <v>4</v>
      </c>
      <c r="M32" s="34">
        <f t="shared" si="0"/>
        <v>181</v>
      </c>
    </row>
    <row r="33" spans="1:13" x14ac:dyDescent="0.25">
      <c r="A33" s="12" t="s">
        <v>24</v>
      </c>
      <c r="B33" s="39" t="s">
        <v>78</v>
      </c>
      <c r="C33" s="47" t="s">
        <v>78</v>
      </c>
      <c r="D33" s="39" t="s">
        <v>78</v>
      </c>
      <c r="E33" s="39" t="s">
        <v>78</v>
      </c>
      <c r="F33" s="39" t="s">
        <v>78</v>
      </c>
      <c r="G33" s="39">
        <v>6</v>
      </c>
      <c r="H33" s="39" t="s">
        <v>78</v>
      </c>
      <c r="I33" s="39" t="s">
        <v>78</v>
      </c>
      <c r="J33" s="39" t="s">
        <v>78</v>
      </c>
      <c r="K33" s="39">
        <v>1</v>
      </c>
      <c r="L33" s="39" t="s">
        <v>78</v>
      </c>
      <c r="M33" s="35">
        <f t="shared" si="0"/>
        <v>7</v>
      </c>
    </row>
    <row r="34" spans="1:13" x14ac:dyDescent="0.25">
      <c r="A34" s="15" t="s">
        <v>25</v>
      </c>
      <c r="B34" s="40" t="s">
        <v>78</v>
      </c>
      <c r="C34" s="48" t="s">
        <v>78</v>
      </c>
      <c r="D34" s="40" t="s">
        <v>78</v>
      </c>
      <c r="E34" s="40" t="s">
        <v>78</v>
      </c>
      <c r="F34" s="40" t="s">
        <v>78</v>
      </c>
      <c r="G34" s="40" t="s">
        <v>78</v>
      </c>
      <c r="H34" s="40" t="s">
        <v>78</v>
      </c>
      <c r="I34" s="40" t="s">
        <v>78</v>
      </c>
      <c r="J34" s="40" t="s">
        <v>78</v>
      </c>
      <c r="K34" s="40" t="s">
        <v>78</v>
      </c>
      <c r="L34" s="40" t="s">
        <v>78</v>
      </c>
      <c r="M34" s="44">
        <f t="shared" si="0"/>
        <v>0</v>
      </c>
    </row>
    <row r="35" spans="1:13" x14ac:dyDescent="0.25">
      <c r="A35" s="15" t="s">
        <v>26</v>
      </c>
      <c r="B35" s="40" t="s">
        <v>78</v>
      </c>
      <c r="C35" s="48" t="s">
        <v>78</v>
      </c>
      <c r="D35" s="40" t="s">
        <v>78</v>
      </c>
      <c r="E35" s="40" t="s">
        <v>78</v>
      </c>
      <c r="F35" s="40" t="s">
        <v>78</v>
      </c>
      <c r="G35" s="40" t="s">
        <v>78</v>
      </c>
      <c r="H35" s="40" t="s">
        <v>78</v>
      </c>
      <c r="I35" s="40" t="s">
        <v>78</v>
      </c>
      <c r="J35" s="40" t="s">
        <v>78</v>
      </c>
      <c r="K35" s="40" t="s">
        <v>78</v>
      </c>
      <c r="L35" s="40" t="s">
        <v>78</v>
      </c>
      <c r="M35" s="44">
        <f t="shared" si="0"/>
        <v>0</v>
      </c>
    </row>
    <row r="36" spans="1:13" x14ac:dyDescent="0.25">
      <c r="A36" s="15" t="s">
        <v>117</v>
      </c>
      <c r="B36" s="40" t="s">
        <v>78</v>
      </c>
      <c r="C36" s="48" t="s">
        <v>78</v>
      </c>
      <c r="D36" s="40" t="s">
        <v>78</v>
      </c>
      <c r="E36" s="40" t="s">
        <v>78</v>
      </c>
      <c r="F36" s="40" t="s">
        <v>78</v>
      </c>
      <c r="G36" s="40" t="s">
        <v>78</v>
      </c>
      <c r="H36" s="40" t="s">
        <v>78</v>
      </c>
      <c r="I36" s="40" t="s">
        <v>78</v>
      </c>
      <c r="J36" s="40" t="s">
        <v>78</v>
      </c>
      <c r="K36" s="40" t="s">
        <v>78</v>
      </c>
      <c r="L36" s="40" t="s">
        <v>78</v>
      </c>
      <c r="M36" s="44">
        <f t="shared" si="0"/>
        <v>0</v>
      </c>
    </row>
    <row r="37" spans="1:13" x14ac:dyDescent="0.25">
      <c r="A37" s="18" t="s">
        <v>27</v>
      </c>
      <c r="B37" s="41" t="s">
        <v>78</v>
      </c>
      <c r="C37" s="49" t="s">
        <v>78</v>
      </c>
      <c r="D37" s="41" t="s">
        <v>78</v>
      </c>
      <c r="E37" s="41" t="s">
        <v>78</v>
      </c>
      <c r="F37" s="41" t="s">
        <v>78</v>
      </c>
      <c r="G37" s="41" t="s">
        <v>78</v>
      </c>
      <c r="H37" s="41" t="s">
        <v>78</v>
      </c>
      <c r="I37" s="41" t="s">
        <v>78</v>
      </c>
      <c r="J37" s="41" t="s">
        <v>78</v>
      </c>
      <c r="K37" s="41" t="s">
        <v>78</v>
      </c>
      <c r="L37" s="41" t="s">
        <v>78</v>
      </c>
      <c r="M37" s="34">
        <f t="shared" si="0"/>
        <v>0</v>
      </c>
    </row>
    <row r="38" spans="1:13" x14ac:dyDescent="0.25">
      <c r="A38" s="12" t="s">
        <v>28</v>
      </c>
      <c r="B38" s="39">
        <v>2</v>
      </c>
      <c r="C38" s="47" t="s">
        <v>78</v>
      </c>
      <c r="D38" s="39" t="s">
        <v>78</v>
      </c>
      <c r="E38" s="39" t="s">
        <v>78</v>
      </c>
      <c r="F38" s="39" t="s">
        <v>78</v>
      </c>
      <c r="G38" s="39">
        <v>2</v>
      </c>
      <c r="H38" s="39">
        <v>1</v>
      </c>
      <c r="I38" s="39" t="s">
        <v>78</v>
      </c>
      <c r="J38" s="39" t="s">
        <v>78</v>
      </c>
      <c r="K38" s="39" t="s">
        <v>78</v>
      </c>
      <c r="L38" s="39">
        <v>2</v>
      </c>
      <c r="M38" s="35">
        <f t="shared" si="0"/>
        <v>7</v>
      </c>
    </row>
    <row r="39" spans="1:13" x14ac:dyDescent="0.25">
      <c r="A39" s="15" t="s">
        <v>29</v>
      </c>
      <c r="B39" s="40" t="s">
        <v>78</v>
      </c>
      <c r="C39" s="48" t="s">
        <v>78</v>
      </c>
      <c r="D39" s="40" t="s">
        <v>78</v>
      </c>
      <c r="E39" s="40" t="s">
        <v>78</v>
      </c>
      <c r="F39" s="40" t="s">
        <v>78</v>
      </c>
      <c r="G39" s="40">
        <v>4</v>
      </c>
      <c r="H39" s="40" t="s">
        <v>78</v>
      </c>
      <c r="I39" s="40" t="s">
        <v>78</v>
      </c>
      <c r="J39" s="40" t="s">
        <v>78</v>
      </c>
      <c r="K39" s="40">
        <v>1</v>
      </c>
      <c r="L39" s="40">
        <v>3</v>
      </c>
      <c r="M39" s="44">
        <f t="shared" si="0"/>
        <v>8</v>
      </c>
    </row>
    <row r="40" spans="1:13" x14ac:dyDescent="0.25">
      <c r="A40" s="15" t="s">
        <v>30</v>
      </c>
      <c r="B40" s="40" t="s">
        <v>78</v>
      </c>
      <c r="C40" s="48" t="s">
        <v>78</v>
      </c>
      <c r="D40" s="40" t="s">
        <v>78</v>
      </c>
      <c r="E40" s="40" t="s">
        <v>78</v>
      </c>
      <c r="F40" s="40" t="s">
        <v>78</v>
      </c>
      <c r="G40" s="40">
        <v>4</v>
      </c>
      <c r="H40" s="40" t="s">
        <v>78</v>
      </c>
      <c r="I40" s="40" t="s">
        <v>78</v>
      </c>
      <c r="J40" s="40" t="s">
        <v>78</v>
      </c>
      <c r="K40" s="40">
        <v>1</v>
      </c>
      <c r="L40" s="40" t="s">
        <v>78</v>
      </c>
      <c r="M40" s="44">
        <f t="shared" si="0"/>
        <v>5</v>
      </c>
    </row>
    <row r="41" spans="1:13" x14ac:dyDescent="0.25">
      <c r="A41" s="15" t="s">
        <v>31</v>
      </c>
      <c r="B41" s="40" t="s">
        <v>78</v>
      </c>
      <c r="C41" s="48" t="s">
        <v>78</v>
      </c>
      <c r="D41" s="40">
        <v>1</v>
      </c>
      <c r="E41" s="40">
        <v>1</v>
      </c>
      <c r="F41" s="40" t="s">
        <v>78</v>
      </c>
      <c r="G41" s="40">
        <v>5</v>
      </c>
      <c r="H41" s="40" t="s">
        <v>78</v>
      </c>
      <c r="I41" s="40" t="s">
        <v>78</v>
      </c>
      <c r="J41" s="40" t="s">
        <v>78</v>
      </c>
      <c r="K41" s="40" t="s">
        <v>78</v>
      </c>
      <c r="L41" s="40">
        <v>1</v>
      </c>
      <c r="M41" s="44">
        <f t="shared" si="0"/>
        <v>8</v>
      </c>
    </row>
    <row r="42" spans="1:13" x14ac:dyDescent="0.25">
      <c r="A42" s="15" t="s">
        <v>118</v>
      </c>
      <c r="B42" s="40">
        <v>15</v>
      </c>
      <c r="C42" s="48" t="s">
        <v>78</v>
      </c>
      <c r="D42" s="40" t="s">
        <v>78</v>
      </c>
      <c r="E42" s="40" t="s">
        <v>78</v>
      </c>
      <c r="F42" s="40" t="s">
        <v>78</v>
      </c>
      <c r="G42" s="40" t="s">
        <v>78</v>
      </c>
      <c r="H42" s="40" t="s">
        <v>78</v>
      </c>
      <c r="I42" s="40" t="s">
        <v>78</v>
      </c>
      <c r="J42" s="40" t="s">
        <v>78</v>
      </c>
      <c r="K42" s="40" t="s">
        <v>78</v>
      </c>
      <c r="L42" s="40" t="s">
        <v>78</v>
      </c>
      <c r="M42" s="44">
        <f t="shared" si="0"/>
        <v>15</v>
      </c>
    </row>
    <row r="43" spans="1:13" x14ac:dyDescent="0.25">
      <c r="A43" s="18" t="s">
        <v>32</v>
      </c>
      <c r="B43" s="41">
        <v>7</v>
      </c>
      <c r="C43" s="49" t="s">
        <v>78</v>
      </c>
      <c r="D43" s="41">
        <v>2</v>
      </c>
      <c r="E43" s="41">
        <v>7</v>
      </c>
      <c r="F43" s="41" t="s">
        <v>78</v>
      </c>
      <c r="G43" s="41">
        <v>61</v>
      </c>
      <c r="H43" s="41">
        <v>1</v>
      </c>
      <c r="I43" s="41" t="s">
        <v>78</v>
      </c>
      <c r="J43" s="41" t="s">
        <v>78</v>
      </c>
      <c r="K43" s="41">
        <v>8</v>
      </c>
      <c r="L43" s="41">
        <v>38</v>
      </c>
      <c r="M43" s="34">
        <f t="shared" si="0"/>
        <v>124</v>
      </c>
    </row>
    <row r="44" spans="1:13" x14ac:dyDescent="0.25">
      <c r="A44" s="22" t="s">
        <v>119</v>
      </c>
      <c r="B44" s="42">
        <f>SUM(B3:B43)</f>
        <v>538</v>
      </c>
      <c r="C44" s="50">
        <f t="shared" ref="C44:M44" si="1">SUM(C3:C43)</f>
        <v>1</v>
      </c>
      <c r="D44" s="50">
        <f t="shared" si="1"/>
        <v>21</v>
      </c>
      <c r="E44" s="50">
        <f t="shared" si="1"/>
        <v>27</v>
      </c>
      <c r="F44" s="50">
        <f t="shared" si="1"/>
        <v>14</v>
      </c>
      <c r="G44" s="50">
        <f t="shared" si="1"/>
        <v>731</v>
      </c>
      <c r="H44" s="50">
        <f t="shared" si="1"/>
        <v>5</v>
      </c>
      <c r="I44" s="50">
        <f t="shared" si="1"/>
        <v>1</v>
      </c>
      <c r="J44" s="50">
        <f t="shared" si="1"/>
        <v>0</v>
      </c>
      <c r="K44" s="50">
        <f t="shared" si="1"/>
        <v>100</v>
      </c>
      <c r="L44" s="50">
        <f t="shared" si="1"/>
        <v>196</v>
      </c>
      <c r="M44" s="23">
        <f t="shared" si="1"/>
        <v>1634</v>
      </c>
    </row>
  </sheetData>
  <sheetProtection password="EB3F" sheet="1" objects="1" scenarios="1"/>
  <pageMargins left="0.25" right="0.25" top="0.75" bottom="0.75" header="0.3" footer="0.3"/>
  <pageSetup scale="74" fitToHeight="0" orientation="landscape" r:id="rId1"/>
  <headerFooter>
    <oddHeader>&amp;C&amp;"-,Bold"&amp;14Incidents of Prohibited Behavior in School or School-Related Activities by District,  2012-2013</oddHeader>
    <oddFooter>&amp;L&amp;8Complier: USOE/Career, Techincial, and Adult Education/Verne Larsen
Source: Warehouse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Views>
    <sheetView view="pageLayout" zoomScaleNormal="100" workbookViewId="0">
      <selection activeCell="G7" sqref="G7"/>
    </sheetView>
  </sheetViews>
  <sheetFormatPr defaultColWidth="9.140625" defaultRowHeight="15.75" x14ac:dyDescent="0.25"/>
  <cols>
    <col min="1" max="1" width="42.7109375" style="1" customWidth="1"/>
    <col min="2" max="5" width="11.28515625" style="1" customWidth="1"/>
    <col min="6" max="6" width="13.7109375" style="1" customWidth="1"/>
    <col min="7" max="9" width="11.28515625" style="1" customWidth="1"/>
    <col min="10" max="10" width="11" style="1" customWidth="1"/>
    <col min="11" max="13" width="11.28515625" style="1" customWidth="1"/>
    <col min="14" max="16384" width="9.140625" style="1"/>
  </cols>
  <sheetData>
    <row r="1" spans="1:13" ht="16.5" customHeight="1" x14ac:dyDescent="0.25">
      <c r="A1" s="4"/>
      <c r="B1" s="5" t="s">
        <v>111</v>
      </c>
      <c r="C1" s="37"/>
      <c r="D1" s="37"/>
      <c r="E1" s="37"/>
      <c r="F1" s="37"/>
      <c r="G1" s="37" t="s">
        <v>129</v>
      </c>
      <c r="H1" s="37"/>
      <c r="I1" s="37"/>
      <c r="J1" s="37"/>
      <c r="K1" s="37"/>
      <c r="L1" s="37"/>
      <c r="M1" s="43"/>
    </row>
    <row r="2" spans="1:13" ht="15.75" customHeight="1" x14ac:dyDescent="0.25">
      <c r="A2" s="25" t="s">
        <v>132</v>
      </c>
      <c r="B2" s="10" t="s">
        <v>33</v>
      </c>
      <c r="C2" s="10" t="s">
        <v>50</v>
      </c>
      <c r="D2" s="10" t="s">
        <v>52</v>
      </c>
      <c r="E2" s="11" t="s">
        <v>55</v>
      </c>
      <c r="F2" s="10" t="s">
        <v>59</v>
      </c>
      <c r="G2" s="10" t="s">
        <v>60</v>
      </c>
      <c r="H2" s="10" t="s">
        <v>69</v>
      </c>
      <c r="I2" s="10" t="s">
        <v>70</v>
      </c>
      <c r="J2" s="36" t="s">
        <v>71</v>
      </c>
      <c r="K2" s="11" t="s">
        <v>72</v>
      </c>
      <c r="L2" s="11" t="s">
        <v>73</v>
      </c>
      <c r="M2" s="36" t="s">
        <v>49</v>
      </c>
    </row>
    <row r="3" spans="1:13" x14ac:dyDescent="0.25">
      <c r="A3" s="12" t="s">
        <v>0</v>
      </c>
      <c r="B3" s="35">
        <v>118</v>
      </c>
      <c r="C3" s="14">
        <v>2</v>
      </c>
      <c r="D3" s="35">
        <v>15</v>
      </c>
      <c r="E3" s="35">
        <v>62</v>
      </c>
      <c r="F3" s="14">
        <v>12</v>
      </c>
      <c r="G3" s="35">
        <v>36</v>
      </c>
      <c r="H3" s="35" t="s">
        <v>78</v>
      </c>
      <c r="I3" s="35" t="s">
        <v>78</v>
      </c>
      <c r="J3" s="35" t="s">
        <v>78</v>
      </c>
      <c r="K3" s="35">
        <v>6</v>
      </c>
      <c r="L3" s="35">
        <v>26</v>
      </c>
      <c r="M3" s="14">
        <f>SUM(B3:L3)</f>
        <v>277</v>
      </c>
    </row>
    <row r="4" spans="1:13" x14ac:dyDescent="0.25">
      <c r="A4" s="15" t="s">
        <v>113</v>
      </c>
      <c r="B4" s="44" t="s">
        <v>78</v>
      </c>
      <c r="C4" s="17" t="s">
        <v>78</v>
      </c>
      <c r="D4" s="44" t="s">
        <v>78</v>
      </c>
      <c r="E4" s="44" t="s">
        <v>78</v>
      </c>
      <c r="F4" s="17" t="s">
        <v>78</v>
      </c>
      <c r="G4" s="44" t="s">
        <v>78</v>
      </c>
      <c r="H4" s="44" t="s">
        <v>78</v>
      </c>
      <c r="I4" s="44" t="s">
        <v>78</v>
      </c>
      <c r="J4" s="44" t="s">
        <v>78</v>
      </c>
      <c r="K4" s="44" t="s">
        <v>78</v>
      </c>
      <c r="L4" s="44" t="s">
        <v>78</v>
      </c>
      <c r="M4" s="17">
        <f t="shared" ref="M4:M43" si="0">SUM(B4:L4)</f>
        <v>0</v>
      </c>
    </row>
    <row r="5" spans="1:13" x14ac:dyDescent="0.25">
      <c r="A5" s="15" t="s">
        <v>1</v>
      </c>
      <c r="B5" s="44">
        <v>1</v>
      </c>
      <c r="C5" s="17" t="s">
        <v>78</v>
      </c>
      <c r="D5" s="44">
        <v>8</v>
      </c>
      <c r="E5" s="44">
        <v>5</v>
      </c>
      <c r="F5" s="17" t="s">
        <v>78</v>
      </c>
      <c r="G5" s="44">
        <v>4</v>
      </c>
      <c r="H5" s="44">
        <v>1</v>
      </c>
      <c r="I5" s="44" t="s">
        <v>78</v>
      </c>
      <c r="J5" s="44" t="s">
        <v>78</v>
      </c>
      <c r="K5" s="44" t="s">
        <v>78</v>
      </c>
      <c r="L5" s="44">
        <v>3</v>
      </c>
      <c r="M5" s="17">
        <f t="shared" si="0"/>
        <v>22</v>
      </c>
    </row>
    <row r="6" spans="1:13" x14ac:dyDescent="0.25">
      <c r="A6" s="15" t="s">
        <v>2</v>
      </c>
      <c r="B6" s="44">
        <v>28</v>
      </c>
      <c r="C6" s="17">
        <v>1</v>
      </c>
      <c r="D6" s="44">
        <v>2</v>
      </c>
      <c r="E6" s="44">
        <v>9</v>
      </c>
      <c r="F6" s="17" t="s">
        <v>78</v>
      </c>
      <c r="G6" s="44">
        <v>17</v>
      </c>
      <c r="H6" s="44">
        <v>2</v>
      </c>
      <c r="I6" s="44" t="s">
        <v>78</v>
      </c>
      <c r="J6" s="44" t="s">
        <v>78</v>
      </c>
      <c r="K6" s="44" t="s">
        <v>78</v>
      </c>
      <c r="L6" s="44">
        <v>1</v>
      </c>
      <c r="M6" s="17">
        <f t="shared" si="0"/>
        <v>60</v>
      </c>
    </row>
    <row r="7" spans="1:13" x14ac:dyDescent="0.25">
      <c r="A7" s="18" t="s">
        <v>3</v>
      </c>
      <c r="B7" s="34" t="s">
        <v>122</v>
      </c>
      <c r="C7" s="20">
        <v>4</v>
      </c>
      <c r="D7" s="34">
        <v>11</v>
      </c>
      <c r="E7" s="34">
        <v>37</v>
      </c>
      <c r="F7" s="20">
        <v>11</v>
      </c>
      <c r="G7" s="34">
        <v>23</v>
      </c>
      <c r="H7" s="34" t="s">
        <v>78</v>
      </c>
      <c r="I7" s="34" t="s">
        <v>78</v>
      </c>
      <c r="J7" s="34" t="s">
        <v>78</v>
      </c>
      <c r="K7" s="34">
        <v>6</v>
      </c>
      <c r="L7" s="34">
        <v>16</v>
      </c>
      <c r="M7" s="20">
        <f t="shared" si="0"/>
        <v>108</v>
      </c>
    </row>
    <row r="8" spans="1:13" x14ac:dyDescent="0.25">
      <c r="A8" s="12" t="s">
        <v>4</v>
      </c>
      <c r="B8" s="35" t="s">
        <v>78</v>
      </c>
      <c r="C8" s="14" t="s">
        <v>78</v>
      </c>
      <c r="D8" s="35" t="s">
        <v>78</v>
      </c>
      <c r="E8" s="35" t="s">
        <v>78</v>
      </c>
      <c r="F8" s="14" t="s">
        <v>78</v>
      </c>
      <c r="G8" s="35" t="s">
        <v>78</v>
      </c>
      <c r="H8" s="35" t="s">
        <v>78</v>
      </c>
      <c r="I8" s="35" t="s">
        <v>78</v>
      </c>
      <c r="J8" s="35" t="s">
        <v>78</v>
      </c>
      <c r="K8" s="35" t="s">
        <v>78</v>
      </c>
      <c r="L8" s="35" t="s">
        <v>78</v>
      </c>
      <c r="M8" s="14">
        <f t="shared" si="0"/>
        <v>0</v>
      </c>
    </row>
    <row r="9" spans="1:13" x14ac:dyDescent="0.25">
      <c r="A9" s="15" t="s">
        <v>120</v>
      </c>
      <c r="B9" s="44" t="s">
        <v>78</v>
      </c>
      <c r="C9" s="17" t="s">
        <v>78</v>
      </c>
      <c r="D9" s="44" t="s">
        <v>78</v>
      </c>
      <c r="E9" s="44" t="s">
        <v>78</v>
      </c>
      <c r="F9" s="17" t="s">
        <v>78</v>
      </c>
      <c r="G9" s="44" t="s">
        <v>78</v>
      </c>
      <c r="H9" s="44" t="s">
        <v>78</v>
      </c>
      <c r="I9" s="44" t="s">
        <v>78</v>
      </c>
      <c r="J9" s="44" t="s">
        <v>78</v>
      </c>
      <c r="K9" s="44" t="s">
        <v>78</v>
      </c>
      <c r="L9" s="44" t="s">
        <v>78</v>
      </c>
      <c r="M9" s="17">
        <f t="shared" si="0"/>
        <v>0</v>
      </c>
    </row>
    <row r="10" spans="1:13" x14ac:dyDescent="0.25">
      <c r="A10" s="15" t="s">
        <v>121</v>
      </c>
      <c r="B10" s="44">
        <v>24</v>
      </c>
      <c r="C10" s="17">
        <v>14</v>
      </c>
      <c r="D10" s="44">
        <v>49</v>
      </c>
      <c r="E10" s="44" t="s">
        <v>123</v>
      </c>
      <c r="F10" s="17" t="s">
        <v>78</v>
      </c>
      <c r="G10" s="44">
        <v>36</v>
      </c>
      <c r="H10" s="44" t="s">
        <v>78</v>
      </c>
      <c r="I10" s="44" t="s">
        <v>78</v>
      </c>
      <c r="J10" s="44" t="s">
        <v>78</v>
      </c>
      <c r="K10" s="44">
        <v>5</v>
      </c>
      <c r="L10" s="44">
        <v>14</v>
      </c>
      <c r="M10" s="17">
        <f t="shared" si="0"/>
        <v>142</v>
      </c>
    </row>
    <row r="11" spans="1:13" x14ac:dyDescent="0.25">
      <c r="A11" s="15" t="s">
        <v>5</v>
      </c>
      <c r="B11" s="44">
        <v>1</v>
      </c>
      <c r="C11" s="17" t="s">
        <v>78</v>
      </c>
      <c r="D11" s="44">
        <v>2</v>
      </c>
      <c r="E11" s="44">
        <v>1</v>
      </c>
      <c r="F11" s="17" t="s">
        <v>78</v>
      </c>
      <c r="G11" s="44">
        <v>1</v>
      </c>
      <c r="H11" s="44" t="s">
        <v>78</v>
      </c>
      <c r="I11" s="44" t="s">
        <v>78</v>
      </c>
      <c r="J11" s="44" t="s">
        <v>78</v>
      </c>
      <c r="K11" s="44" t="s">
        <v>78</v>
      </c>
      <c r="L11" s="44">
        <v>1</v>
      </c>
      <c r="M11" s="17">
        <f t="shared" si="0"/>
        <v>6</v>
      </c>
    </row>
    <row r="12" spans="1:13" x14ac:dyDescent="0.25">
      <c r="A12" s="18" t="s">
        <v>6</v>
      </c>
      <c r="B12" s="34" t="s">
        <v>78</v>
      </c>
      <c r="C12" s="20" t="s">
        <v>78</v>
      </c>
      <c r="D12" s="34" t="s">
        <v>78</v>
      </c>
      <c r="E12" s="34" t="s">
        <v>78</v>
      </c>
      <c r="F12" s="20" t="s">
        <v>78</v>
      </c>
      <c r="G12" s="34" t="s">
        <v>78</v>
      </c>
      <c r="H12" s="34" t="s">
        <v>78</v>
      </c>
      <c r="I12" s="34" t="s">
        <v>78</v>
      </c>
      <c r="J12" s="34" t="s">
        <v>78</v>
      </c>
      <c r="K12" s="34" t="s">
        <v>78</v>
      </c>
      <c r="L12" s="34" t="s">
        <v>78</v>
      </c>
      <c r="M12" s="20">
        <f t="shared" si="0"/>
        <v>0</v>
      </c>
    </row>
    <row r="13" spans="1:13" x14ac:dyDescent="0.25">
      <c r="A13" s="12" t="s">
        <v>114</v>
      </c>
      <c r="B13" s="35" t="s">
        <v>78</v>
      </c>
      <c r="C13" s="14" t="s">
        <v>78</v>
      </c>
      <c r="D13" s="35" t="s">
        <v>78</v>
      </c>
      <c r="E13" s="35" t="s">
        <v>78</v>
      </c>
      <c r="F13" s="14" t="s">
        <v>78</v>
      </c>
      <c r="G13" s="35" t="s">
        <v>78</v>
      </c>
      <c r="H13" s="35" t="s">
        <v>78</v>
      </c>
      <c r="I13" s="35" t="s">
        <v>78</v>
      </c>
      <c r="J13" s="35" t="s">
        <v>78</v>
      </c>
      <c r="K13" s="35" t="s">
        <v>78</v>
      </c>
      <c r="L13" s="35" t="s">
        <v>78</v>
      </c>
      <c r="M13" s="14">
        <f t="shared" si="0"/>
        <v>0</v>
      </c>
    </row>
    <row r="14" spans="1:13" x14ac:dyDescent="0.25">
      <c r="A14" s="15" t="s">
        <v>7</v>
      </c>
      <c r="B14" s="44" t="s">
        <v>78</v>
      </c>
      <c r="C14" s="17" t="s">
        <v>78</v>
      </c>
      <c r="D14" s="44" t="s">
        <v>78</v>
      </c>
      <c r="E14" s="44" t="s">
        <v>78</v>
      </c>
      <c r="F14" s="17" t="s">
        <v>78</v>
      </c>
      <c r="G14" s="44" t="s">
        <v>78</v>
      </c>
      <c r="H14" s="44" t="s">
        <v>78</v>
      </c>
      <c r="I14" s="44" t="s">
        <v>78</v>
      </c>
      <c r="J14" s="44" t="s">
        <v>78</v>
      </c>
      <c r="K14" s="44" t="s">
        <v>78</v>
      </c>
      <c r="L14" s="44" t="s">
        <v>78</v>
      </c>
      <c r="M14" s="17">
        <f t="shared" si="0"/>
        <v>0</v>
      </c>
    </row>
    <row r="15" spans="1:13" x14ac:dyDescent="0.25">
      <c r="A15" s="15" t="s">
        <v>115</v>
      </c>
      <c r="B15" s="44">
        <v>54</v>
      </c>
      <c r="C15" s="17">
        <v>31</v>
      </c>
      <c r="D15" s="44">
        <v>21</v>
      </c>
      <c r="E15" s="44">
        <v>151</v>
      </c>
      <c r="F15" s="17">
        <v>7</v>
      </c>
      <c r="G15" s="44">
        <v>121</v>
      </c>
      <c r="H15" s="44" t="s">
        <v>78</v>
      </c>
      <c r="I15" s="44">
        <v>1</v>
      </c>
      <c r="J15" s="44" t="s">
        <v>78</v>
      </c>
      <c r="K15" s="44">
        <v>1</v>
      </c>
      <c r="L15" s="44" t="s">
        <v>124</v>
      </c>
      <c r="M15" s="17">
        <f t="shared" si="0"/>
        <v>387</v>
      </c>
    </row>
    <row r="16" spans="1:13" x14ac:dyDescent="0.25">
      <c r="A16" s="15" t="s">
        <v>8</v>
      </c>
      <c r="B16" s="44">
        <v>6</v>
      </c>
      <c r="C16" s="17">
        <v>1</v>
      </c>
      <c r="D16" s="44">
        <v>1</v>
      </c>
      <c r="E16" s="44">
        <v>1</v>
      </c>
      <c r="F16" s="17" t="s">
        <v>78</v>
      </c>
      <c r="G16" s="44">
        <v>14</v>
      </c>
      <c r="H16" s="44" t="s">
        <v>78</v>
      </c>
      <c r="I16" s="44" t="s">
        <v>78</v>
      </c>
      <c r="J16" s="44" t="s">
        <v>78</v>
      </c>
      <c r="K16" s="44" t="s">
        <v>78</v>
      </c>
      <c r="L16" s="44">
        <v>1</v>
      </c>
      <c r="M16" s="17">
        <f t="shared" si="0"/>
        <v>24</v>
      </c>
    </row>
    <row r="17" spans="1:13" x14ac:dyDescent="0.25">
      <c r="A17" s="18" t="s">
        <v>9</v>
      </c>
      <c r="B17" s="34">
        <v>48</v>
      </c>
      <c r="C17" s="20">
        <v>1</v>
      </c>
      <c r="D17" s="34">
        <v>9</v>
      </c>
      <c r="E17" s="34" t="s">
        <v>125</v>
      </c>
      <c r="F17" s="20">
        <v>16</v>
      </c>
      <c r="G17" s="34">
        <v>22</v>
      </c>
      <c r="H17" s="34" t="s">
        <v>78</v>
      </c>
      <c r="I17" s="34" t="s">
        <v>78</v>
      </c>
      <c r="J17" s="34" t="s">
        <v>78</v>
      </c>
      <c r="K17" s="34" t="s">
        <v>78</v>
      </c>
      <c r="L17" s="34" t="s">
        <v>78</v>
      </c>
      <c r="M17" s="20">
        <f t="shared" si="0"/>
        <v>96</v>
      </c>
    </row>
    <row r="18" spans="1:13" x14ac:dyDescent="0.25">
      <c r="A18" s="12" t="s">
        <v>10</v>
      </c>
      <c r="B18" s="35" t="s">
        <v>78</v>
      </c>
      <c r="C18" s="14" t="s">
        <v>78</v>
      </c>
      <c r="D18" s="35" t="s">
        <v>78</v>
      </c>
      <c r="E18" s="35" t="s">
        <v>78</v>
      </c>
      <c r="F18" s="14" t="s">
        <v>78</v>
      </c>
      <c r="G18" s="35" t="s">
        <v>78</v>
      </c>
      <c r="H18" s="35" t="s">
        <v>78</v>
      </c>
      <c r="I18" s="35" t="s">
        <v>78</v>
      </c>
      <c r="J18" s="35" t="s">
        <v>78</v>
      </c>
      <c r="K18" s="35" t="s">
        <v>78</v>
      </c>
      <c r="L18" s="35" t="s">
        <v>78</v>
      </c>
      <c r="M18" s="14">
        <f t="shared" si="0"/>
        <v>0</v>
      </c>
    </row>
    <row r="19" spans="1:13" x14ac:dyDescent="0.25">
      <c r="A19" s="15" t="s">
        <v>11</v>
      </c>
      <c r="B19" s="44" t="s">
        <v>78</v>
      </c>
      <c r="C19" s="17" t="s">
        <v>78</v>
      </c>
      <c r="D19" s="44" t="s">
        <v>78</v>
      </c>
      <c r="E19" s="44" t="s">
        <v>78</v>
      </c>
      <c r="F19" s="17" t="s">
        <v>78</v>
      </c>
      <c r="G19" s="44" t="s">
        <v>78</v>
      </c>
      <c r="H19" s="44" t="s">
        <v>78</v>
      </c>
      <c r="I19" s="44" t="s">
        <v>78</v>
      </c>
      <c r="J19" s="44" t="s">
        <v>78</v>
      </c>
      <c r="K19" s="44" t="s">
        <v>78</v>
      </c>
      <c r="L19" s="44" t="s">
        <v>78</v>
      </c>
      <c r="M19" s="17">
        <f t="shared" si="0"/>
        <v>0</v>
      </c>
    </row>
    <row r="20" spans="1:13" x14ac:dyDescent="0.25">
      <c r="A20" s="15" t="s">
        <v>12</v>
      </c>
      <c r="B20" s="44" t="s">
        <v>78</v>
      </c>
      <c r="C20" s="17" t="s">
        <v>78</v>
      </c>
      <c r="D20" s="44" t="s">
        <v>78</v>
      </c>
      <c r="E20" s="44" t="s">
        <v>78</v>
      </c>
      <c r="F20" s="17" t="s">
        <v>78</v>
      </c>
      <c r="G20" s="44">
        <v>2</v>
      </c>
      <c r="H20" s="44" t="s">
        <v>78</v>
      </c>
      <c r="I20" s="44" t="s">
        <v>78</v>
      </c>
      <c r="J20" s="44" t="s">
        <v>78</v>
      </c>
      <c r="K20" s="44" t="s">
        <v>78</v>
      </c>
      <c r="L20" s="44">
        <v>1</v>
      </c>
      <c r="M20" s="17">
        <f t="shared" si="0"/>
        <v>3</v>
      </c>
    </row>
    <row r="21" spans="1:13" x14ac:dyDescent="0.25">
      <c r="A21" s="15" t="s">
        <v>13</v>
      </c>
      <c r="B21" s="44" t="s">
        <v>78</v>
      </c>
      <c r="C21" s="17" t="s">
        <v>78</v>
      </c>
      <c r="D21" s="44" t="s">
        <v>78</v>
      </c>
      <c r="E21" s="44" t="s">
        <v>78</v>
      </c>
      <c r="F21" s="17" t="s">
        <v>78</v>
      </c>
      <c r="G21" s="44">
        <v>5</v>
      </c>
      <c r="H21" s="44" t="s">
        <v>78</v>
      </c>
      <c r="I21" s="44" t="s">
        <v>78</v>
      </c>
      <c r="J21" s="44" t="s">
        <v>78</v>
      </c>
      <c r="K21" s="44" t="s">
        <v>78</v>
      </c>
      <c r="L21" s="44" t="s">
        <v>78</v>
      </c>
      <c r="M21" s="17">
        <f t="shared" si="0"/>
        <v>5</v>
      </c>
    </row>
    <row r="22" spans="1:13" x14ac:dyDescent="0.25">
      <c r="A22" s="18" t="s">
        <v>14</v>
      </c>
      <c r="B22" s="34">
        <v>1</v>
      </c>
      <c r="C22" s="20" t="s">
        <v>78</v>
      </c>
      <c r="D22" s="34" t="s">
        <v>78</v>
      </c>
      <c r="E22" s="34">
        <v>1</v>
      </c>
      <c r="F22" s="20" t="s">
        <v>78</v>
      </c>
      <c r="G22" s="34" t="s">
        <v>78</v>
      </c>
      <c r="H22" s="34" t="s">
        <v>78</v>
      </c>
      <c r="I22" s="34" t="s">
        <v>78</v>
      </c>
      <c r="J22" s="34" t="s">
        <v>78</v>
      </c>
      <c r="K22" s="34" t="s">
        <v>78</v>
      </c>
      <c r="L22" s="34" t="s">
        <v>78</v>
      </c>
      <c r="M22" s="20">
        <f t="shared" si="0"/>
        <v>2</v>
      </c>
    </row>
    <row r="23" spans="1:13" x14ac:dyDescent="0.25">
      <c r="A23" s="12" t="s">
        <v>15</v>
      </c>
      <c r="B23" s="35" t="s">
        <v>126</v>
      </c>
      <c r="C23" s="14">
        <v>2</v>
      </c>
      <c r="D23" s="35">
        <v>3</v>
      </c>
      <c r="E23" s="35">
        <v>9</v>
      </c>
      <c r="F23" s="14" t="s">
        <v>78</v>
      </c>
      <c r="G23" s="35">
        <v>4</v>
      </c>
      <c r="H23" s="35" t="s">
        <v>78</v>
      </c>
      <c r="I23" s="35" t="s">
        <v>78</v>
      </c>
      <c r="J23" s="35" t="s">
        <v>78</v>
      </c>
      <c r="K23" s="35">
        <v>2</v>
      </c>
      <c r="L23" s="35">
        <v>5</v>
      </c>
      <c r="M23" s="14">
        <f t="shared" si="0"/>
        <v>25</v>
      </c>
    </row>
    <row r="24" spans="1:13" x14ac:dyDescent="0.25">
      <c r="A24" s="15" t="s">
        <v>16</v>
      </c>
      <c r="B24" s="44">
        <v>19</v>
      </c>
      <c r="C24" s="17" t="s">
        <v>126</v>
      </c>
      <c r="D24" s="44">
        <v>17</v>
      </c>
      <c r="E24" s="44">
        <v>12</v>
      </c>
      <c r="F24" s="17">
        <v>3</v>
      </c>
      <c r="G24" s="44">
        <v>32</v>
      </c>
      <c r="H24" s="44">
        <v>4</v>
      </c>
      <c r="I24" s="44" t="s">
        <v>78</v>
      </c>
      <c r="J24" s="44" t="s">
        <v>78</v>
      </c>
      <c r="K24" s="44">
        <v>2</v>
      </c>
      <c r="L24" s="44">
        <v>18</v>
      </c>
      <c r="M24" s="17">
        <f t="shared" si="0"/>
        <v>107</v>
      </c>
    </row>
    <row r="25" spans="1:13" x14ac:dyDescent="0.25">
      <c r="A25" s="15" t="s">
        <v>17</v>
      </c>
      <c r="B25" s="44">
        <v>4</v>
      </c>
      <c r="C25" s="17" t="s">
        <v>78</v>
      </c>
      <c r="D25" s="44" t="s">
        <v>78</v>
      </c>
      <c r="E25" s="44" t="s">
        <v>78</v>
      </c>
      <c r="F25" s="17" t="s">
        <v>78</v>
      </c>
      <c r="G25" s="44">
        <v>12</v>
      </c>
      <c r="H25" s="44" t="s">
        <v>78</v>
      </c>
      <c r="I25" s="44" t="s">
        <v>78</v>
      </c>
      <c r="J25" s="44" t="s">
        <v>78</v>
      </c>
      <c r="K25" s="44">
        <v>1</v>
      </c>
      <c r="L25" s="44">
        <v>1</v>
      </c>
      <c r="M25" s="17">
        <f t="shared" si="0"/>
        <v>18</v>
      </c>
    </row>
    <row r="26" spans="1:13" x14ac:dyDescent="0.25">
      <c r="A26" s="15" t="s">
        <v>18</v>
      </c>
      <c r="B26" s="44" t="s">
        <v>78</v>
      </c>
      <c r="C26" s="17" t="s">
        <v>78</v>
      </c>
      <c r="D26" s="44" t="s">
        <v>78</v>
      </c>
      <c r="E26" s="44" t="s">
        <v>78</v>
      </c>
      <c r="F26" s="17" t="s">
        <v>78</v>
      </c>
      <c r="G26" s="44" t="s">
        <v>78</v>
      </c>
      <c r="H26" s="44" t="s">
        <v>78</v>
      </c>
      <c r="I26" s="44" t="s">
        <v>78</v>
      </c>
      <c r="J26" s="44" t="s">
        <v>78</v>
      </c>
      <c r="K26" s="44" t="s">
        <v>78</v>
      </c>
      <c r="L26" s="44" t="s">
        <v>78</v>
      </c>
      <c r="M26" s="17">
        <f t="shared" si="0"/>
        <v>0</v>
      </c>
    </row>
    <row r="27" spans="1:13" x14ac:dyDescent="0.25">
      <c r="A27" s="18" t="s">
        <v>19</v>
      </c>
      <c r="B27" s="34">
        <v>4</v>
      </c>
      <c r="C27" s="20">
        <v>1</v>
      </c>
      <c r="D27" s="34">
        <v>5</v>
      </c>
      <c r="E27" s="34">
        <v>14</v>
      </c>
      <c r="F27" s="20">
        <v>1</v>
      </c>
      <c r="G27" s="34">
        <v>13</v>
      </c>
      <c r="H27" s="34" t="s">
        <v>78</v>
      </c>
      <c r="I27" s="34">
        <v>1</v>
      </c>
      <c r="J27" s="34" t="s">
        <v>78</v>
      </c>
      <c r="K27" s="34" t="s">
        <v>78</v>
      </c>
      <c r="L27" s="34">
        <v>4</v>
      </c>
      <c r="M27" s="20">
        <f t="shared" si="0"/>
        <v>43</v>
      </c>
    </row>
    <row r="28" spans="1:13" x14ac:dyDescent="0.25">
      <c r="A28" s="12" t="s">
        <v>20</v>
      </c>
      <c r="B28" s="35">
        <v>2</v>
      </c>
      <c r="C28" s="14" t="s">
        <v>78</v>
      </c>
      <c r="D28" s="35">
        <v>1</v>
      </c>
      <c r="E28" s="35">
        <v>8</v>
      </c>
      <c r="F28" s="14" t="s">
        <v>78</v>
      </c>
      <c r="G28" s="35">
        <v>2</v>
      </c>
      <c r="H28" s="35" t="s">
        <v>78</v>
      </c>
      <c r="I28" s="35" t="s">
        <v>78</v>
      </c>
      <c r="J28" s="35" t="s">
        <v>78</v>
      </c>
      <c r="K28" s="35" t="s">
        <v>78</v>
      </c>
      <c r="L28" s="35">
        <v>2</v>
      </c>
      <c r="M28" s="14">
        <f t="shared" si="0"/>
        <v>15</v>
      </c>
    </row>
    <row r="29" spans="1:13" x14ac:dyDescent="0.25">
      <c r="A29" s="15" t="s">
        <v>21</v>
      </c>
      <c r="B29" s="44" t="s">
        <v>78</v>
      </c>
      <c r="C29" s="17" t="s">
        <v>78</v>
      </c>
      <c r="D29" s="44" t="s">
        <v>78</v>
      </c>
      <c r="E29" s="44" t="s">
        <v>78</v>
      </c>
      <c r="F29" s="17" t="s">
        <v>78</v>
      </c>
      <c r="G29" s="44" t="s">
        <v>78</v>
      </c>
      <c r="H29" s="44" t="s">
        <v>78</v>
      </c>
      <c r="I29" s="44" t="s">
        <v>78</v>
      </c>
      <c r="J29" s="44" t="s">
        <v>78</v>
      </c>
      <c r="K29" s="44" t="s">
        <v>78</v>
      </c>
      <c r="L29" s="44" t="s">
        <v>78</v>
      </c>
      <c r="M29" s="17">
        <f t="shared" si="0"/>
        <v>0</v>
      </c>
    </row>
    <row r="30" spans="1:13" x14ac:dyDescent="0.25">
      <c r="A30" s="15" t="s">
        <v>22</v>
      </c>
      <c r="B30" s="44" t="s">
        <v>78</v>
      </c>
      <c r="C30" s="17" t="s">
        <v>78</v>
      </c>
      <c r="D30" s="44">
        <v>1</v>
      </c>
      <c r="E30" s="44">
        <v>8</v>
      </c>
      <c r="F30" s="17">
        <v>3</v>
      </c>
      <c r="G30" s="44">
        <v>7</v>
      </c>
      <c r="H30" s="44" t="s">
        <v>78</v>
      </c>
      <c r="I30" s="44" t="s">
        <v>78</v>
      </c>
      <c r="J30" s="44" t="s">
        <v>78</v>
      </c>
      <c r="K30" s="44" t="s">
        <v>78</v>
      </c>
      <c r="L30" s="44">
        <v>1</v>
      </c>
      <c r="M30" s="17">
        <f t="shared" si="0"/>
        <v>20</v>
      </c>
    </row>
    <row r="31" spans="1:13" x14ac:dyDescent="0.25">
      <c r="A31" s="15" t="s">
        <v>23</v>
      </c>
      <c r="B31" s="44" t="s">
        <v>78</v>
      </c>
      <c r="C31" s="17" t="s">
        <v>78</v>
      </c>
      <c r="D31" s="44" t="s">
        <v>78</v>
      </c>
      <c r="E31" s="44" t="s">
        <v>78</v>
      </c>
      <c r="F31" s="17" t="s">
        <v>78</v>
      </c>
      <c r="G31" s="44" t="s">
        <v>78</v>
      </c>
      <c r="H31" s="44" t="s">
        <v>78</v>
      </c>
      <c r="I31" s="44" t="s">
        <v>78</v>
      </c>
      <c r="J31" s="44" t="s">
        <v>78</v>
      </c>
      <c r="K31" s="44" t="s">
        <v>78</v>
      </c>
      <c r="L31" s="44" t="s">
        <v>78</v>
      </c>
      <c r="M31" s="17">
        <f t="shared" si="0"/>
        <v>0</v>
      </c>
    </row>
    <row r="32" spans="1:13" x14ac:dyDescent="0.25">
      <c r="A32" s="18" t="s">
        <v>116</v>
      </c>
      <c r="B32" s="34">
        <v>4</v>
      </c>
      <c r="C32" s="20" t="s">
        <v>78</v>
      </c>
      <c r="D32" s="34" t="s">
        <v>78</v>
      </c>
      <c r="E32" s="34">
        <v>15</v>
      </c>
      <c r="F32" s="20">
        <v>3</v>
      </c>
      <c r="G32" s="34">
        <v>14</v>
      </c>
      <c r="H32" s="34" t="s">
        <v>78</v>
      </c>
      <c r="I32" s="34">
        <v>1</v>
      </c>
      <c r="J32" s="34" t="s">
        <v>78</v>
      </c>
      <c r="K32" s="34" t="s">
        <v>78</v>
      </c>
      <c r="L32" s="34">
        <v>1</v>
      </c>
      <c r="M32" s="20">
        <f t="shared" si="0"/>
        <v>38</v>
      </c>
    </row>
    <row r="33" spans="1:13" x14ac:dyDescent="0.25">
      <c r="A33" s="12" t="s">
        <v>24</v>
      </c>
      <c r="B33" s="35" t="s">
        <v>78</v>
      </c>
      <c r="C33" s="14" t="s">
        <v>78</v>
      </c>
      <c r="D33" s="35" t="s">
        <v>78</v>
      </c>
      <c r="E33" s="35" t="s">
        <v>78</v>
      </c>
      <c r="F33" s="14">
        <v>1</v>
      </c>
      <c r="G33" s="35">
        <v>5</v>
      </c>
      <c r="H33" s="35" t="s">
        <v>78</v>
      </c>
      <c r="I33" s="35" t="s">
        <v>78</v>
      </c>
      <c r="J33" s="35" t="s">
        <v>78</v>
      </c>
      <c r="K33" s="35" t="s">
        <v>78</v>
      </c>
      <c r="L33" s="35">
        <v>2</v>
      </c>
      <c r="M33" s="14">
        <f t="shared" si="0"/>
        <v>8</v>
      </c>
    </row>
    <row r="34" spans="1:13" x14ac:dyDescent="0.25">
      <c r="A34" s="15" t="s">
        <v>25</v>
      </c>
      <c r="B34" s="44" t="s">
        <v>78</v>
      </c>
      <c r="C34" s="17" t="s">
        <v>78</v>
      </c>
      <c r="D34" s="44" t="s">
        <v>78</v>
      </c>
      <c r="E34" s="44">
        <v>7</v>
      </c>
      <c r="F34" s="17" t="s">
        <v>78</v>
      </c>
      <c r="G34" s="44" t="s">
        <v>78</v>
      </c>
      <c r="H34" s="44" t="s">
        <v>78</v>
      </c>
      <c r="I34" s="44" t="s">
        <v>78</v>
      </c>
      <c r="J34" s="44" t="s">
        <v>78</v>
      </c>
      <c r="K34" s="44" t="s">
        <v>78</v>
      </c>
      <c r="L34" s="44" t="s">
        <v>78</v>
      </c>
      <c r="M34" s="17">
        <f t="shared" si="0"/>
        <v>7</v>
      </c>
    </row>
    <row r="35" spans="1:13" x14ac:dyDescent="0.25">
      <c r="A35" s="15" t="s">
        <v>26</v>
      </c>
      <c r="B35" s="44" t="s">
        <v>78</v>
      </c>
      <c r="C35" s="17" t="s">
        <v>78</v>
      </c>
      <c r="D35" s="44" t="s">
        <v>78</v>
      </c>
      <c r="E35" s="44" t="s">
        <v>78</v>
      </c>
      <c r="F35" s="17" t="s">
        <v>78</v>
      </c>
      <c r="G35" s="44">
        <v>1</v>
      </c>
      <c r="H35" s="44" t="s">
        <v>78</v>
      </c>
      <c r="I35" s="44" t="s">
        <v>78</v>
      </c>
      <c r="J35" s="44" t="s">
        <v>78</v>
      </c>
      <c r="K35" s="44">
        <v>1</v>
      </c>
      <c r="L35" s="44" t="s">
        <v>78</v>
      </c>
      <c r="M35" s="17">
        <f t="shared" si="0"/>
        <v>2</v>
      </c>
    </row>
    <row r="36" spans="1:13" x14ac:dyDescent="0.25">
      <c r="A36" s="15" t="s">
        <v>117</v>
      </c>
      <c r="B36" s="44" t="s">
        <v>78</v>
      </c>
      <c r="C36" s="17" t="s">
        <v>78</v>
      </c>
      <c r="D36" s="44">
        <v>1</v>
      </c>
      <c r="E36" s="44" t="s">
        <v>78</v>
      </c>
      <c r="F36" s="17" t="s">
        <v>78</v>
      </c>
      <c r="G36" s="44" t="s">
        <v>78</v>
      </c>
      <c r="H36" s="44" t="s">
        <v>78</v>
      </c>
      <c r="I36" s="44" t="s">
        <v>78</v>
      </c>
      <c r="J36" s="44" t="s">
        <v>78</v>
      </c>
      <c r="K36" s="44" t="s">
        <v>78</v>
      </c>
      <c r="L36" s="44" t="s">
        <v>78</v>
      </c>
      <c r="M36" s="17">
        <f t="shared" si="0"/>
        <v>1</v>
      </c>
    </row>
    <row r="37" spans="1:13" x14ac:dyDescent="0.25">
      <c r="A37" s="18" t="s">
        <v>27</v>
      </c>
      <c r="B37" s="34" t="s">
        <v>78</v>
      </c>
      <c r="C37" s="20" t="s">
        <v>78</v>
      </c>
      <c r="D37" s="34" t="s">
        <v>78</v>
      </c>
      <c r="E37" s="34" t="s">
        <v>78</v>
      </c>
      <c r="F37" s="20" t="s">
        <v>78</v>
      </c>
      <c r="G37" s="34" t="s">
        <v>78</v>
      </c>
      <c r="H37" s="34" t="s">
        <v>78</v>
      </c>
      <c r="I37" s="34" t="s">
        <v>78</v>
      </c>
      <c r="J37" s="34" t="s">
        <v>78</v>
      </c>
      <c r="K37" s="34" t="s">
        <v>78</v>
      </c>
      <c r="L37" s="34" t="s">
        <v>78</v>
      </c>
      <c r="M37" s="20">
        <f t="shared" si="0"/>
        <v>0</v>
      </c>
    </row>
    <row r="38" spans="1:13" x14ac:dyDescent="0.25">
      <c r="A38" s="12" t="s">
        <v>28</v>
      </c>
      <c r="B38" s="35" t="s">
        <v>78</v>
      </c>
      <c r="C38" s="14" t="s">
        <v>78</v>
      </c>
      <c r="D38" s="35" t="s">
        <v>78</v>
      </c>
      <c r="E38" s="35">
        <v>1</v>
      </c>
      <c r="F38" s="14" t="s">
        <v>78</v>
      </c>
      <c r="G38" s="35">
        <v>6</v>
      </c>
      <c r="H38" s="35" t="s">
        <v>78</v>
      </c>
      <c r="I38" s="35" t="s">
        <v>78</v>
      </c>
      <c r="J38" s="35" t="s">
        <v>78</v>
      </c>
      <c r="K38" s="35" t="s">
        <v>78</v>
      </c>
      <c r="L38" s="35">
        <v>2</v>
      </c>
      <c r="M38" s="14">
        <f t="shared" si="0"/>
        <v>9</v>
      </c>
    </row>
    <row r="39" spans="1:13" x14ac:dyDescent="0.25">
      <c r="A39" s="15" t="s">
        <v>29</v>
      </c>
      <c r="B39" s="44" t="s">
        <v>78</v>
      </c>
      <c r="C39" s="17">
        <v>1</v>
      </c>
      <c r="D39" s="44" t="s">
        <v>78</v>
      </c>
      <c r="E39" s="44">
        <v>5</v>
      </c>
      <c r="F39" s="17" t="s">
        <v>78</v>
      </c>
      <c r="G39" s="44">
        <v>4</v>
      </c>
      <c r="H39" s="44">
        <v>1</v>
      </c>
      <c r="I39" s="44" t="s">
        <v>78</v>
      </c>
      <c r="J39" s="44" t="s">
        <v>78</v>
      </c>
      <c r="K39" s="44" t="s">
        <v>78</v>
      </c>
      <c r="L39" s="44">
        <v>3</v>
      </c>
      <c r="M39" s="17">
        <f t="shared" si="0"/>
        <v>14</v>
      </c>
    </row>
    <row r="40" spans="1:13" x14ac:dyDescent="0.25">
      <c r="A40" s="15" t="s">
        <v>30</v>
      </c>
      <c r="B40" s="44">
        <v>4</v>
      </c>
      <c r="C40" s="17" t="s">
        <v>78</v>
      </c>
      <c r="D40" s="44">
        <v>3</v>
      </c>
      <c r="E40" s="44" t="s">
        <v>78</v>
      </c>
      <c r="F40" s="17" t="s">
        <v>78</v>
      </c>
      <c r="G40" s="44">
        <v>1</v>
      </c>
      <c r="H40" s="44" t="s">
        <v>78</v>
      </c>
      <c r="I40" s="44" t="s">
        <v>78</v>
      </c>
      <c r="J40" s="44" t="s">
        <v>78</v>
      </c>
      <c r="K40" s="44" t="s">
        <v>78</v>
      </c>
      <c r="L40" s="44" t="s">
        <v>78</v>
      </c>
      <c r="M40" s="17">
        <f t="shared" si="0"/>
        <v>8</v>
      </c>
    </row>
    <row r="41" spans="1:13" x14ac:dyDescent="0.25">
      <c r="A41" s="15" t="s">
        <v>31</v>
      </c>
      <c r="B41" s="44" t="s">
        <v>78</v>
      </c>
      <c r="C41" s="17" t="s">
        <v>78</v>
      </c>
      <c r="D41" s="44" t="s">
        <v>78</v>
      </c>
      <c r="E41" s="44">
        <v>5</v>
      </c>
      <c r="F41" s="17" t="s">
        <v>78</v>
      </c>
      <c r="G41" s="44" t="s">
        <v>78</v>
      </c>
      <c r="H41" s="44" t="s">
        <v>78</v>
      </c>
      <c r="I41" s="44" t="s">
        <v>78</v>
      </c>
      <c r="J41" s="44" t="s">
        <v>78</v>
      </c>
      <c r="K41" s="44" t="s">
        <v>78</v>
      </c>
      <c r="L41" s="44">
        <v>3</v>
      </c>
      <c r="M41" s="17">
        <f t="shared" si="0"/>
        <v>8</v>
      </c>
    </row>
    <row r="42" spans="1:13" x14ac:dyDescent="0.25">
      <c r="A42" s="15" t="s">
        <v>118</v>
      </c>
      <c r="B42" s="44">
        <v>9</v>
      </c>
      <c r="C42" s="17">
        <v>1</v>
      </c>
      <c r="D42" s="44" t="s">
        <v>78</v>
      </c>
      <c r="E42" s="44" t="s">
        <v>78</v>
      </c>
      <c r="F42" s="17" t="s">
        <v>78</v>
      </c>
      <c r="G42" s="44" t="s">
        <v>78</v>
      </c>
      <c r="H42" s="44" t="s">
        <v>78</v>
      </c>
      <c r="I42" s="44" t="s">
        <v>78</v>
      </c>
      <c r="J42" s="44" t="s">
        <v>78</v>
      </c>
      <c r="K42" s="44" t="s">
        <v>78</v>
      </c>
      <c r="L42" s="44" t="s">
        <v>78</v>
      </c>
      <c r="M42" s="17">
        <f t="shared" si="0"/>
        <v>10</v>
      </c>
    </row>
    <row r="43" spans="1:13" x14ac:dyDescent="0.25">
      <c r="A43" s="15" t="s">
        <v>32</v>
      </c>
      <c r="B43" s="34">
        <v>12</v>
      </c>
      <c r="C43" s="17">
        <v>3</v>
      </c>
      <c r="D43" s="44">
        <v>44</v>
      </c>
      <c r="E43" s="44">
        <v>27</v>
      </c>
      <c r="F43" s="17" t="s">
        <v>78</v>
      </c>
      <c r="G43" s="44">
        <v>32</v>
      </c>
      <c r="H43" s="44">
        <v>4</v>
      </c>
      <c r="I43" s="44" t="s">
        <v>78</v>
      </c>
      <c r="J43" s="44" t="s">
        <v>78</v>
      </c>
      <c r="K43" s="44">
        <v>12</v>
      </c>
      <c r="L43" s="44">
        <v>32</v>
      </c>
      <c r="M43" s="17">
        <f t="shared" si="0"/>
        <v>166</v>
      </c>
    </row>
    <row r="44" spans="1:13" x14ac:dyDescent="0.25">
      <c r="A44" s="22" t="s">
        <v>119</v>
      </c>
      <c r="B44" s="7">
        <f>SUM(B3:B43)</f>
        <v>339</v>
      </c>
      <c r="C44" s="7">
        <f t="shared" ref="C44:M44" si="1">SUM(C3:C43)</f>
        <v>62</v>
      </c>
      <c r="D44" s="23">
        <f t="shared" si="1"/>
        <v>193</v>
      </c>
      <c r="E44" s="23">
        <f t="shared" si="1"/>
        <v>378</v>
      </c>
      <c r="F44" s="7">
        <f t="shared" si="1"/>
        <v>57</v>
      </c>
      <c r="G44" s="23">
        <f t="shared" si="1"/>
        <v>414</v>
      </c>
      <c r="H44" s="23">
        <f t="shared" si="1"/>
        <v>12</v>
      </c>
      <c r="I44" s="23">
        <f t="shared" si="1"/>
        <v>3</v>
      </c>
      <c r="J44" s="23">
        <f t="shared" si="1"/>
        <v>0</v>
      </c>
      <c r="K44" s="23">
        <f t="shared" si="1"/>
        <v>36</v>
      </c>
      <c r="L44" s="23">
        <f t="shared" si="1"/>
        <v>137</v>
      </c>
      <c r="M44" s="7">
        <f t="shared" si="1"/>
        <v>1631</v>
      </c>
    </row>
  </sheetData>
  <sheetProtection password="EB3F" sheet="1" objects="1" scenarios="1"/>
  <pageMargins left="0.25" right="0.25" top="0.75" bottom="0.75" header="0.3" footer="0.3"/>
  <pageSetup scale="74" fitToHeight="0" orientation="landscape" r:id="rId1"/>
  <headerFooter>
    <oddHeader>&amp;C&amp;"-,Bold"&amp;14Incidents of Prohibited Behavior in School or School-Related Activities by District, 2012-2013</oddHeader>
    <oddFooter>&amp;L&amp;8Complier: USOE/Career, Techincial, and Adult Education/Verne Larsen
Source: Warehouse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Views>
    <sheetView view="pageLayout" zoomScaleNormal="100" workbookViewId="0">
      <selection activeCell="A47" sqref="A47"/>
    </sheetView>
  </sheetViews>
  <sheetFormatPr defaultColWidth="9.140625" defaultRowHeight="15.75" x14ac:dyDescent="0.25"/>
  <cols>
    <col min="1" max="1" width="42.7109375" style="1" customWidth="1"/>
    <col min="2" max="5" width="11.28515625" style="1" customWidth="1"/>
    <col min="6" max="6" width="13.7109375" style="1" customWidth="1"/>
    <col min="7" max="7" width="11.28515625" style="1" customWidth="1"/>
    <col min="8" max="8" width="11.140625" style="1" customWidth="1"/>
    <col min="9" max="11" width="11.28515625" style="1" customWidth="1"/>
    <col min="12" max="12" width="11.140625" style="1" customWidth="1"/>
    <col min="13" max="13" width="11.28515625" style="1" customWidth="1"/>
    <col min="14" max="16384" width="9.140625" style="1"/>
  </cols>
  <sheetData>
    <row r="1" spans="1:13" ht="16.5" customHeight="1" x14ac:dyDescent="0.25">
      <c r="A1" s="51"/>
      <c r="B1" s="53" t="s">
        <v>111</v>
      </c>
      <c r="C1" s="6"/>
      <c r="D1" s="6"/>
      <c r="E1" s="6"/>
      <c r="F1" s="6"/>
      <c r="G1" s="6" t="s">
        <v>130</v>
      </c>
      <c r="H1" s="6"/>
      <c r="I1" s="6"/>
      <c r="J1" s="6"/>
      <c r="K1" s="6"/>
      <c r="L1" s="6"/>
      <c r="M1" s="7"/>
    </row>
    <row r="2" spans="1:13" ht="15.75" customHeight="1" x14ac:dyDescent="0.25">
      <c r="A2" s="25" t="s">
        <v>132</v>
      </c>
      <c r="B2" s="10" t="s">
        <v>33</v>
      </c>
      <c r="C2" s="10" t="s">
        <v>50</v>
      </c>
      <c r="D2" s="10" t="s">
        <v>52</v>
      </c>
      <c r="E2" s="11" t="s">
        <v>55</v>
      </c>
      <c r="F2" s="10" t="s">
        <v>59</v>
      </c>
      <c r="G2" s="10" t="s">
        <v>60</v>
      </c>
      <c r="H2" s="10" t="s">
        <v>69</v>
      </c>
      <c r="I2" s="10" t="s">
        <v>70</v>
      </c>
      <c r="J2" s="36" t="s">
        <v>71</v>
      </c>
      <c r="K2" s="11" t="s">
        <v>72</v>
      </c>
      <c r="L2" s="11" t="s">
        <v>73</v>
      </c>
      <c r="M2" s="36" t="s">
        <v>49</v>
      </c>
    </row>
    <row r="3" spans="1:13" x14ac:dyDescent="0.25">
      <c r="A3" s="12" t="s">
        <v>0</v>
      </c>
      <c r="B3" s="35">
        <v>29</v>
      </c>
      <c r="C3" s="35">
        <v>7</v>
      </c>
      <c r="D3" s="35">
        <v>41</v>
      </c>
      <c r="E3" s="35">
        <v>76</v>
      </c>
      <c r="F3" s="35">
        <v>11</v>
      </c>
      <c r="G3" s="35">
        <v>16</v>
      </c>
      <c r="H3" s="35" t="s">
        <v>78</v>
      </c>
      <c r="I3" s="14" t="s">
        <v>78</v>
      </c>
      <c r="J3" s="35" t="s">
        <v>78</v>
      </c>
      <c r="K3" s="35" t="s">
        <v>78</v>
      </c>
      <c r="L3" s="35">
        <v>7</v>
      </c>
      <c r="M3" s="14">
        <f>SUM(B3:L3)</f>
        <v>187</v>
      </c>
    </row>
    <row r="4" spans="1:13" x14ac:dyDescent="0.25">
      <c r="A4" s="15" t="s">
        <v>113</v>
      </c>
      <c r="B4" s="44">
        <v>25</v>
      </c>
      <c r="C4" s="44" t="s">
        <v>78</v>
      </c>
      <c r="D4" s="44">
        <v>1</v>
      </c>
      <c r="E4" s="44" t="s">
        <v>78</v>
      </c>
      <c r="F4" s="44" t="s">
        <v>78</v>
      </c>
      <c r="G4" s="44" t="s">
        <v>78</v>
      </c>
      <c r="H4" s="44" t="s">
        <v>78</v>
      </c>
      <c r="I4" s="17" t="s">
        <v>78</v>
      </c>
      <c r="J4" s="44" t="s">
        <v>78</v>
      </c>
      <c r="K4" s="44" t="s">
        <v>78</v>
      </c>
      <c r="L4" s="44" t="s">
        <v>78</v>
      </c>
      <c r="M4" s="17">
        <f t="shared" ref="M4:M43" si="0">SUM(B4:L4)</f>
        <v>26</v>
      </c>
    </row>
    <row r="5" spans="1:13" x14ac:dyDescent="0.25">
      <c r="A5" s="15" t="s">
        <v>1</v>
      </c>
      <c r="B5" s="44" t="s">
        <v>78</v>
      </c>
      <c r="C5" s="44" t="s">
        <v>78</v>
      </c>
      <c r="D5" s="44">
        <v>2</v>
      </c>
      <c r="E5" s="44">
        <v>3</v>
      </c>
      <c r="F5" s="44" t="s">
        <v>78</v>
      </c>
      <c r="G5" s="44">
        <v>2</v>
      </c>
      <c r="H5" s="44" t="s">
        <v>78</v>
      </c>
      <c r="I5" s="17" t="s">
        <v>78</v>
      </c>
      <c r="J5" s="44" t="s">
        <v>78</v>
      </c>
      <c r="K5" s="44" t="s">
        <v>78</v>
      </c>
      <c r="L5" s="44" t="s">
        <v>78</v>
      </c>
      <c r="M5" s="17">
        <f t="shared" si="0"/>
        <v>7</v>
      </c>
    </row>
    <row r="6" spans="1:13" x14ac:dyDescent="0.25">
      <c r="A6" s="15" t="s">
        <v>2</v>
      </c>
      <c r="B6" s="44" t="s">
        <v>127</v>
      </c>
      <c r="C6" s="44">
        <v>2</v>
      </c>
      <c r="D6" s="44">
        <v>2</v>
      </c>
      <c r="E6" s="44">
        <v>7</v>
      </c>
      <c r="F6" s="44">
        <v>1</v>
      </c>
      <c r="G6" s="44">
        <v>2</v>
      </c>
      <c r="H6" s="44" t="s">
        <v>78</v>
      </c>
      <c r="I6" s="17" t="s">
        <v>78</v>
      </c>
      <c r="J6" s="44" t="s">
        <v>78</v>
      </c>
      <c r="K6" s="44" t="s">
        <v>78</v>
      </c>
      <c r="L6" s="44">
        <v>1</v>
      </c>
      <c r="M6" s="17">
        <f t="shared" si="0"/>
        <v>15</v>
      </c>
    </row>
    <row r="7" spans="1:13" x14ac:dyDescent="0.25">
      <c r="A7" s="18" t="s">
        <v>3</v>
      </c>
      <c r="B7" s="34">
        <v>4</v>
      </c>
      <c r="C7" s="34">
        <v>4</v>
      </c>
      <c r="D7" s="34" t="s">
        <v>78</v>
      </c>
      <c r="E7" s="34">
        <v>36</v>
      </c>
      <c r="F7" s="34" t="s">
        <v>78</v>
      </c>
      <c r="G7" s="34">
        <v>5</v>
      </c>
      <c r="H7" s="34" t="s">
        <v>78</v>
      </c>
      <c r="I7" s="20" t="s">
        <v>78</v>
      </c>
      <c r="J7" s="34" t="s">
        <v>78</v>
      </c>
      <c r="K7" s="34">
        <v>1</v>
      </c>
      <c r="L7" s="34">
        <v>6</v>
      </c>
      <c r="M7" s="20">
        <f t="shared" si="0"/>
        <v>56</v>
      </c>
    </row>
    <row r="8" spans="1:13" x14ac:dyDescent="0.25">
      <c r="A8" s="12" t="s">
        <v>4</v>
      </c>
      <c r="B8" s="35" t="s">
        <v>78</v>
      </c>
      <c r="C8" s="35" t="s">
        <v>78</v>
      </c>
      <c r="D8" s="35" t="s">
        <v>78</v>
      </c>
      <c r="E8" s="35">
        <v>1</v>
      </c>
      <c r="F8" s="35">
        <v>1</v>
      </c>
      <c r="G8" s="35">
        <v>1</v>
      </c>
      <c r="H8" s="44" t="s">
        <v>78</v>
      </c>
      <c r="I8" s="17">
        <v>1</v>
      </c>
      <c r="J8" s="35">
        <v>1</v>
      </c>
      <c r="K8" s="35" t="s">
        <v>78</v>
      </c>
      <c r="L8" s="35" t="s">
        <v>78</v>
      </c>
      <c r="M8" s="14">
        <f t="shared" si="0"/>
        <v>5</v>
      </c>
    </row>
    <row r="9" spans="1:13" x14ac:dyDescent="0.25">
      <c r="A9" s="15" t="s">
        <v>120</v>
      </c>
      <c r="B9" s="44" t="s">
        <v>78</v>
      </c>
      <c r="C9" s="44" t="s">
        <v>78</v>
      </c>
      <c r="D9" s="44" t="s">
        <v>78</v>
      </c>
      <c r="E9" s="44" t="s">
        <v>78</v>
      </c>
      <c r="F9" s="44" t="s">
        <v>78</v>
      </c>
      <c r="G9" s="44" t="s">
        <v>78</v>
      </c>
      <c r="H9" s="44" t="s">
        <v>78</v>
      </c>
      <c r="I9" s="17" t="s">
        <v>78</v>
      </c>
      <c r="J9" s="44" t="s">
        <v>78</v>
      </c>
      <c r="K9" s="44" t="s">
        <v>78</v>
      </c>
      <c r="L9" s="44" t="s">
        <v>78</v>
      </c>
      <c r="M9" s="17">
        <f t="shared" si="0"/>
        <v>0</v>
      </c>
    </row>
    <row r="10" spans="1:13" x14ac:dyDescent="0.25">
      <c r="A10" s="15" t="s">
        <v>121</v>
      </c>
      <c r="B10" s="44">
        <v>9</v>
      </c>
      <c r="C10" s="44">
        <v>22</v>
      </c>
      <c r="D10" s="44">
        <v>72</v>
      </c>
      <c r="E10" s="44">
        <v>58</v>
      </c>
      <c r="F10" s="44" t="s">
        <v>78</v>
      </c>
      <c r="G10" s="44">
        <v>9</v>
      </c>
      <c r="H10" s="44" t="s">
        <v>78</v>
      </c>
      <c r="I10" s="17" t="s">
        <v>78</v>
      </c>
      <c r="J10" s="44" t="s">
        <v>78</v>
      </c>
      <c r="K10" s="44">
        <v>1</v>
      </c>
      <c r="L10" s="44">
        <v>13</v>
      </c>
      <c r="M10" s="17">
        <f t="shared" si="0"/>
        <v>184</v>
      </c>
    </row>
    <row r="11" spans="1:13" x14ac:dyDescent="0.25">
      <c r="A11" s="15" t="s">
        <v>5</v>
      </c>
      <c r="B11" s="44" t="s">
        <v>78</v>
      </c>
      <c r="C11" s="44">
        <v>3</v>
      </c>
      <c r="D11" s="44" t="s">
        <v>126</v>
      </c>
      <c r="E11" s="44" t="s">
        <v>78</v>
      </c>
      <c r="F11" s="44" t="s">
        <v>78</v>
      </c>
      <c r="G11" s="44">
        <v>2</v>
      </c>
      <c r="H11" s="44" t="s">
        <v>78</v>
      </c>
      <c r="I11" s="17" t="s">
        <v>78</v>
      </c>
      <c r="J11" s="44" t="s">
        <v>78</v>
      </c>
      <c r="K11" s="44" t="s">
        <v>78</v>
      </c>
      <c r="L11" s="44" t="s">
        <v>78</v>
      </c>
      <c r="M11" s="17">
        <f t="shared" si="0"/>
        <v>5</v>
      </c>
    </row>
    <row r="12" spans="1:13" x14ac:dyDescent="0.25">
      <c r="A12" s="18" t="s">
        <v>6</v>
      </c>
      <c r="B12" s="34" t="s">
        <v>78</v>
      </c>
      <c r="C12" s="34" t="s">
        <v>78</v>
      </c>
      <c r="D12" s="34" t="s">
        <v>78</v>
      </c>
      <c r="E12" s="34" t="s">
        <v>78</v>
      </c>
      <c r="F12" s="34" t="s">
        <v>78</v>
      </c>
      <c r="G12" s="34">
        <v>2</v>
      </c>
      <c r="H12" s="34" t="s">
        <v>78</v>
      </c>
      <c r="I12" s="20" t="s">
        <v>78</v>
      </c>
      <c r="J12" s="34" t="s">
        <v>78</v>
      </c>
      <c r="K12" s="34" t="s">
        <v>78</v>
      </c>
      <c r="L12" s="34" t="s">
        <v>78</v>
      </c>
      <c r="M12" s="20">
        <f t="shared" si="0"/>
        <v>2</v>
      </c>
    </row>
    <row r="13" spans="1:13" x14ac:dyDescent="0.25">
      <c r="A13" s="12" t="s">
        <v>114</v>
      </c>
      <c r="B13" s="35">
        <v>14</v>
      </c>
      <c r="C13" s="35" t="s">
        <v>78</v>
      </c>
      <c r="D13" s="35">
        <v>1</v>
      </c>
      <c r="E13" s="35">
        <v>2</v>
      </c>
      <c r="F13" s="35" t="s">
        <v>78</v>
      </c>
      <c r="G13" s="35" t="s">
        <v>78</v>
      </c>
      <c r="H13" s="44" t="s">
        <v>78</v>
      </c>
      <c r="I13" s="17" t="s">
        <v>78</v>
      </c>
      <c r="J13" s="35">
        <v>1</v>
      </c>
      <c r="K13" s="35" t="s">
        <v>78</v>
      </c>
      <c r="L13" s="35">
        <v>2</v>
      </c>
      <c r="M13" s="14">
        <f t="shared" si="0"/>
        <v>20</v>
      </c>
    </row>
    <row r="14" spans="1:13" x14ac:dyDescent="0.25">
      <c r="A14" s="15" t="s">
        <v>7</v>
      </c>
      <c r="B14" s="44">
        <v>2</v>
      </c>
      <c r="C14" s="44" t="s">
        <v>78</v>
      </c>
      <c r="D14" s="44" t="s">
        <v>78</v>
      </c>
      <c r="E14" s="44" t="s">
        <v>78</v>
      </c>
      <c r="F14" s="44" t="s">
        <v>78</v>
      </c>
      <c r="G14" s="44">
        <v>2</v>
      </c>
      <c r="H14" s="44" t="s">
        <v>78</v>
      </c>
      <c r="I14" s="17" t="s">
        <v>78</v>
      </c>
      <c r="J14" s="44" t="s">
        <v>78</v>
      </c>
      <c r="K14" s="44" t="s">
        <v>78</v>
      </c>
      <c r="L14" s="44">
        <v>1</v>
      </c>
      <c r="M14" s="17">
        <f t="shared" si="0"/>
        <v>5</v>
      </c>
    </row>
    <row r="15" spans="1:13" x14ac:dyDescent="0.25">
      <c r="A15" s="15" t="s">
        <v>115</v>
      </c>
      <c r="B15" s="44">
        <v>43</v>
      </c>
      <c r="C15" s="44">
        <v>46</v>
      </c>
      <c r="D15" s="44">
        <v>21</v>
      </c>
      <c r="E15" s="44">
        <v>218</v>
      </c>
      <c r="F15" s="44">
        <v>17</v>
      </c>
      <c r="G15" s="44">
        <v>64</v>
      </c>
      <c r="H15" s="44" t="s">
        <v>78</v>
      </c>
      <c r="I15" s="17" t="s">
        <v>78</v>
      </c>
      <c r="J15" s="44" t="s">
        <v>78</v>
      </c>
      <c r="K15" s="44">
        <v>2</v>
      </c>
      <c r="L15" s="44">
        <v>24</v>
      </c>
      <c r="M15" s="17">
        <f t="shared" si="0"/>
        <v>435</v>
      </c>
    </row>
    <row r="16" spans="1:13" x14ac:dyDescent="0.25">
      <c r="A16" s="15" t="s">
        <v>8</v>
      </c>
      <c r="B16" s="44">
        <v>1</v>
      </c>
      <c r="C16" s="44" t="s">
        <v>78</v>
      </c>
      <c r="D16" s="44">
        <v>2</v>
      </c>
      <c r="E16" s="44">
        <v>6</v>
      </c>
      <c r="F16" s="44" t="s">
        <v>78</v>
      </c>
      <c r="G16" s="44">
        <v>9</v>
      </c>
      <c r="H16" s="44" t="s">
        <v>78</v>
      </c>
      <c r="I16" s="17" t="s">
        <v>78</v>
      </c>
      <c r="J16" s="44" t="s">
        <v>78</v>
      </c>
      <c r="K16" s="44" t="s">
        <v>78</v>
      </c>
      <c r="L16" s="44">
        <v>1</v>
      </c>
      <c r="M16" s="17">
        <f t="shared" si="0"/>
        <v>19</v>
      </c>
    </row>
    <row r="17" spans="1:13" x14ac:dyDescent="0.25">
      <c r="A17" s="18" t="s">
        <v>9</v>
      </c>
      <c r="B17" s="34">
        <v>2</v>
      </c>
      <c r="C17" s="34">
        <v>2</v>
      </c>
      <c r="D17" s="34">
        <v>2</v>
      </c>
      <c r="E17" s="34">
        <v>17</v>
      </c>
      <c r="F17" s="34">
        <v>3</v>
      </c>
      <c r="G17" s="34">
        <v>5</v>
      </c>
      <c r="H17" s="34" t="s">
        <v>78</v>
      </c>
      <c r="I17" s="20" t="s">
        <v>78</v>
      </c>
      <c r="J17" s="34" t="s">
        <v>78</v>
      </c>
      <c r="K17" s="34" t="s">
        <v>78</v>
      </c>
      <c r="L17" s="34" t="s">
        <v>78</v>
      </c>
      <c r="M17" s="20">
        <f t="shared" si="0"/>
        <v>31</v>
      </c>
    </row>
    <row r="18" spans="1:13" x14ac:dyDescent="0.25">
      <c r="A18" s="12" t="s">
        <v>10</v>
      </c>
      <c r="B18" s="35" t="s">
        <v>78</v>
      </c>
      <c r="C18" s="35" t="s">
        <v>78</v>
      </c>
      <c r="D18" s="35" t="s">
        <v>78</v>
      </c>
      <c r="E18" s="35" t="s">
        <v>78</v>
      </c>
      <c r="F18" s="35" t="s">
        <v>78</v>
      </c>
      <c r="G18" s="35">
        <v>2</v>
      </c>
      <c r="H18" s="44" t="s">
        <v>78</v>
      </c>
      <c r="I18" s="17" t="s">
        <v>78</v>
      </c>
      <c r="J18" s="35" t="s">
        <v>78</v>
      </c>
      <c r="K18" s="35" t="s">
        <v>78</v>
      </c>
      <c r="L18" s="35" t="s">
        <v>78</v>
      </c>
      <c r="M18" s="14">
        <f t="shared" si="0"/>
        <v>2</v>
      </c>
    </row>
    <row r="19" spans="1:13" x14ac:dyDescent="0.25">
      <c r="A19" s="15" t="s">
        <v>11</v>
      </c>
      <c r="B19" s="44" t="s">
        <v>78</v>
      </c>
      <c r="C19" s="44" t="s">
        <v>78</v>
      </c>
      <c r="D19" s="44" t="s">
        <v>78</v>
      </c>
      <c r="E19" s="44" t="s">
        <v>78</v>
      </c>
      <c r="F19" s="44" t="s">
        <v>78</v>
      </c>
      <c r="G19" s="44" t="s">
        <v>78</v>
      </c>
      <c r="H19" s="44" t="s">
        <v>78</v>
      </c>
      <c r="I19" s="17" t="s">
        <v>78</v>
      </c>
      <c r="J19" s="44" t="s">
        <v>78</v>
      </c>
      <c r="K19" s="44" t="s">
        <v>78</v>
      </c>
      <c r="L19" s="44" t="s">
        <v>78</v>
      </c>
      <c r="M19" s="17">
        <f t="shared" si="0"/>
        <v>0</v>
      </c>
    </row>
    <row r="20" spans="1:13" x14ac:dyDescent="0.25">
      <c r="A20" s="15" t="s">
        <v>12</v>
      </c>
      <c r="B20" s="44" t="s">
        <v>78</v>
      </c>
      <c r="C20" s="44" t="s">
        <v>78</v>
      </c>
      <c r="D20" s="44" t="s">
        <v>78</v>
      </c>
      <c r="E20" s="44" t="s">
        <v>78</v>
      </c>
      <c r="F20" s="44" t="s">
        <v>78</v>
      </c>
      <c r="G20" s="44" t="s">
        <v>78</v>
      </c>
      <c r="H20" s="44" t="s">
        <v>78</v>
      </c>
      <c r="I20" s="17" t="s">
        <v>78</v>
      </c>
      <c r="J20" s="44" t="s">
        <v>78</v>
      </c>
      <c r="K20" s="44" t="s">
        <v>78</v>
      </c>
      <c r="L20" s="44" t="s">
        <v>78</v>
      </c>
      <c r="M20" s="17">
        <f t="shared" si="0"/>
        <v>0</v>
      </c>
    </row>
    <row r="21" spans="1:13" x14ac:dyDescent="0.25">
      <c r="A21" s="15" t="s">
        <v>13</v>
      </c>
      <c r="B21" s="44">
        <v>2</v>
      </c>
      <c r="C21" s="44" t="s">
        <v>78</v>
      </c>
      <c r="D21" s="44">
        <v>4</v>
      </c>
      <c r="E21" s="44">
        <v>1</v>
      </c>
      <c r="F21" s="44" t="s">
        <v>78</v>
      </c>
      <c r="G21" s="44" t="s">
        <v>78</v>
      </c>
      <c r="H21" s="44" t="s">
        <v>78</v>
      </c>
      <c r="I21" s="17" t="s">
        <v>78</v>
      </c>
      <c r="J21" s="44" t="s">
        <v>78</v>
      </c>
      <c r="K21" s="44">
        <v>1</v>
      </c>
      <c r="L21" s="44">
        <v>2</v>
      </c>
      <c r="M21" s="17">
        <f t="shared" si="0"/>
        <v>10</v>
      </c>
    </row>
    <row r="22" spans="1:13" x14ac:dyDescent="0.25">
      <c r="A22" s="18" t="s">
        <v>14</v>
      </c>
      <c r="B22" s="34">
        <v>12</v>
      </c>
      <c r="C22" s="34" t="s">
        <v>78</v>
      </c>
      <c r="D22" s="34">
        <v>1</v>
      </c>
      <c r="E22" s="34" t="s">
        <v>78</v>
      </c>
      <c r="F22" s="34" t="s">
        <v>78</v>
      </c>
      <c r="G22" s="34" t="s">
        <v>78</v>
      </c>
      <c r="H22" s="34" t="s">
        <v>78</v>
      </c>
      <c r="I22" s="20" t="s">
        <v>78</v>
      </c>
      <c r="J22" s="34" t="s">
        <v>78</v>
      </c>
      <c r="K22" s="34" t="s">
        <v>78</v>
      </c>
      <c r="L22" s="34">
        <v>5</v>
      </c>
      <c r="M22" s="20">
        <f t="shared" si="0"/>
        <v>18</v>
      </c>
    </row>
    <row r="23" spans="1:13" x14ac:dyDescent="0.25">
      <c r="A23" s="12" t="s">
        <v>15</v>
      </c>
      <c r="B23" s="35" t="s">
        <v>78</v>
      </c>
      <c r="C23" s="35">
        <v>1</v>
      </c>
      <c r="D23" s="35" t="s">
        <v>78</v>
      </c>
      <c r="E23" s="35">
        <v>13</v>
      </c>
      <c r="F23" s="35">
        <v>1</v>
      </c>
      <c r="G23" s="35">
        <v>3</v>
      </c>
      <c r="H23" s="44" t="s">
        <v>78</v>
      </c>
      <c r="I23" s="17" t="s">
        <v>78</v>
      </c>
      <c r="J23" s="35" t="s">
        <v>78</v>
      </c>
      <c r="K23" s="35" t="s">
        <v>78</v>
      </c>
      <c r="L23" s="35">
        <v>1</v>
      </c>
      <c r="M23" s="14">
        <f t="shared" si="0"/>
        <v>19</v>
      </c>
    </row>
    <row r="24" spans="1:13" x14ac:dyDescent="0.25">
      <c r="A24" s="15" t="s">
        <v>16</v>
      </c>
      <c r="B24" s="44" t="s">
        <v>126</v>
      </c>
      <c r="C24" s="44">
        <v>7</v>
      </c>
      <c r="D24" s="44" t="s">
        <v>122</v>
      </c>
      <c r="E24" s="44">
        <v>23</v>
      </c>
      <c r="F24" s="44">
        <v>2</v>
      </c>
      <c r="G24" s="44">
        <v>8</v>
      </c>
      <c r="H24" s="44">
        <v>1</v>
      </c>
      <c r="I24" s="17" t="s">
        <v>78</v>
      </c>
      <c r="J24" s="44" t="s">
        <v>78</v>
      </c>
      <c r="K24" s="44">
        <v>1</v>
      </c>
      <c r="L24" s="44">
        <v>13</v>
      </c>
      <c r="M24" s="17">
        <f t="shared" si="0"/>
        <v>55</v>
      </c>
    </row>
    <row r="25" spans="1:13" x14ac:dyDescent="0.25">
      <c r="A25" s="15" t="s">
        <v>17</v>
      </c>
      <c r="B25" s="44" t="s">
        <v>78</v>
      </c>
      <c r="C25" s="44" t="s">
        <v>78</v>
      </c>
      <c r="D25" s="44">
        <v>2</v>
      </c>
      <c r="E25" s="44">
        <v>4</v>
      </c>
      <c r="F25" s="44" t="s">
        <v>78</v>
      </c>
      <c r="G25" s="44">
        <v>9</v>
      </c>
      <c r="H25" s="44" t="s">
        <v>78</v>
      </c>
      <c r="I25" s="17" t="s">
        <v>78</v>
      </c>
      <c r="J25" s="44" t="s">
        <v>78</v>
      </c>
      <c r="K25" s="44" t="s">
        <v>78</v>
      </c>
      <c r="L25" s="44">
        <v>3</v>
      </c>
      <c r="M25" s="17">
        <f t="shared" si="0"/>
        <v>18</v>
      </c>
    </row>
    <row r="26" spans="1:13" x14ac:dyDescent="0.25">
      <c r="A26" s="15" t="s">
        <v>18</v>
      </c>
      <c r="B26" s="44" t="s">
        <v>78</v>
      </c>
      <c r="C26" s="44" t="s">
        <v>78</v>
      </c>
      <c r="D26" s="44" t="s">
        <v>78</v>
      </c>
      <c r="E26" s="44" t="s">
        <v>78</v>
      </c>
      <c r="F26" s="44" t="s">
        <v>78</v>
      </c>
      <c r="G26" s="44" t="s">
        <v>78</v>
      </c>
      <c r="H26" s="44" t="s">
        <v>78</v>
      </c>
      <c r="I26" s="17" t="s">
        <v>78</v>
      </c>
      <c r="J26" s="44" t="s">
        <v>78</v>
      </c>
      <c r="K26" s="44" t="s">
        <v>78</v>
      </c>
      <c r="L26" s="44" t="s">
        <v>78</v>
      </c>
      <c r="M26" s="17">
        <f t="shared" si="0"/>
        <v>0</v>
      </c>
    </row>
    <row r="27" spans="1:13" x14ac:dyDescent="0.25">
      <c r="A27" s="18" t="s">
        <v>19</v>
      </c>
      <c r="B27" s="34">
        <v>1</v>
      </c>
      <c r="C27" s="34">
        <v>6</v>
      </c>
      <c r="D27" s="34">
        <v>18</v>
      </c>
      <c r="E27" s="34" t="s">
        <v>122</v>
      </c>
      <c r="F27" s="34" t="s">
        <v>78</v>
      </c>
      <c r="G27" s="34">
        <v>8</v>
      </c>
      <c r="H27" s="34" t="s">
        <v>78</v>
      </c>
      <c r="I27" s="20">
        <v>1</v>
      </c>
      <c r="J27" s="34" t="s">
        <v>78</v>
      </c>
      <c r="K27" s="34" t="s">
        <v>78</v>
      </c>
      <c r="L27" s="34" t="s">
        <v>126</v>
      </c>
      <c r="M27" s="20">
        <f t="shared" si="0"/>
        <v>34</v>
      </c>
    </row>
    <row r="28" spans="1:13" x14ac:dyDescent="0.25">
      <c r="A28" s="12" t="s">
        <v>20</v>
      </c>
      <c r="B28" s="35">
        <v>3</v>
      </c>
      <c r="C28" s="35">
        <v>5</v>
      </c>
      <c r="D28" s="35">
        <v>3</v>
      </c>
      <c r="E28" s="35">
        <v>13</v>
      </c>
      <c r="F28" s="35" t="s">
        <v>78</v>
      </c>
      <c r="G28" s="35" t="s">
        <v>78</v>
      </c>
      <c r="H28" s="44" t="s">
        <v>78</v>
      </c>
      <c r="I28" s="17" t="s">
        <v>78</v>
      </c>
      <c r="J28" s="35" t="s">
        <v>78</v>
      </c>
      <c r="K28" s="35" t="s">
        <v>78</v>
      </c>
      <c r="L28" s="35">
        <v>1</v>
      </c>
      <c r="M28" s="14">
        <f t="shared" si="0"/>
        <v>25</v>
      </c>
    </row>
    <row r="29" spans="1:13" x14ac:dyDescent="0.25">
      <c r="A29" s="15" t="s">
        <v>21</v>
      </c>
      <c r="B29" s="44" t="s">
        <v>78</v>
      </c>
      <c r="C29" s="44" t="s">
        <v>78</v>
      </c>
      <c r="D29" s="44" t="s">
        <v>78</v>
      </c>
      <c r="E29" s="44" t="s">
        <v>78</v>
      </c>
      <c r="F29" s="44" t="s">
        <v>78</v>
      </c>
      <c r="G29" s="44" t="s">
        <v>78</v>
      </c>
      <c r="H29" s="44" t="s">
        <v>78</v>
      </c>
      <c r="I29" s="17" t="s">
        <v>78</v>
      </c>
      <c r="J29" s="44" t="s">
        <v>78</v>
      </c>
      <c r="K29" s="44" t="s">
        <v>78</v>
      </c>
      <c r="L29" s="44" t="s">
        <v>78</v>
      </c>
      <c r="M29" s="17">
        <f t="shared" si="0"/>
        <v>0</v>
      </c>
    </row>
    <row r="30" spans="1:13" x14ac:dyDescent="0.25">
      <c r="A30" s="15" t="s">
        <v>22</v>
      </c>
      <c r="B30" s="44" t="s">
        <v>78</v>
      </c>
      <c r="C30" s="44" t="s">
        <v>78</v>
      </c>
      <c r="D30" s="44" t="s">
        <v>78</v>
      </c>
      <c r="E30" s="44" t="s">
        <v>126</v>
      </c>
      <c r="F30" s="44" t="s">
        <v>78</v>
      </c>
      <c r="G30" s="44">
        <v>5</v>
      </c>
      <c r="H30" s="44" t="s">
        <v>78</v>
      </c>
      <c r="I30" s="17" t="s">
        <v>78</v>
      </c>
      <c r="J30" s="44" t="s">
        <v>78</v>
      </c>
      <c r="K30" s="44" t="s">
        <v>78</v>
      </c>
      <c r="L30" s="44" t="s">
        <v>78</v>
      </c>
      <c r="M30" s="17">
        <f t="shared" si="0"/>
        <v>5</v>
      </c>
    </row>
    <row r="31" spans="1:13" x14ac:dyDescent="0.25">
      <c r="A31" s="15" t="s">
        <v>23</v>
      </c>
      <c r="B31" s="44" t="s">
        <v>78</v>
      </c>
      <c r="C31" s="44" t="s">
        <v>78</v>
      </c>
      <c r="D31" s="44" t="s">
        <v>78</v>
      </c>
      <c r="E31" s="44" t="s">
        <v>78</v>
      </c>
      <c r="F31" s="44" t="s">
        <v>78</v>
      </c>
      <c r="G31" s="44" t="s">
        <v>78</v>
      </c>
      <c r="H31" s="44" t="s">
        <v>78</v>
      </c>
      <c r="I31" s="17" t="s">
        <v>78</v>
      </c>
      <c r="J31" s="44" t="s">
        <v>78</v>
      </c>
      <c r="K31" s="44" t="s">
        <v>78</v>
      </c>
      <c r="L31" s="44" t="s">
        <v>78</v>
      </c>
      <c r="M31" s="17">
        <f t="shared" si="0"/>
        <v>0</v>
      </c>
    </row>
    <row r="32" spans="1:13" x14ac:dyDescent="0.25">
      <c r="A32" s="18" t="s">
        <v>116</v>
      </c>
      <c r="B32" s="34">
        <v>6</v>
      </c>
      <c r="C32" s="34">
        <v>17</v>
      </c>
      <c r="D32" s="34">
        <v>4</v>
      </c>
      <c r="E32" s="34" t="s">
        <v>128</v>
      </c>
      <c r="F32" s="34">
        <v>2</v>
      </c>
      <c r="G32" s="34" t="s">
        <v>122</v>
      </c>
      <c r="H32" s="34">
        <v>1</v>
      </c>
      <c r="I32" s="20">
        <v>1</v>
      </c>
      <c r="J32" s="34" t="s">
        <v>78</v>
      </c>
      <c r="K32" s="34" t="s">
        <v>78</v>
      </c>
      <c r="L32" s="34">
        <v>3</v>
      </c>
      <c r="M32" s="20">
        <f t="shared" si="0"/>
        <v>34</v>
      </c>
    </row>
    <row r="33" spans="1:13" x14ac:dyDescent="0.25">
      <c r="A33" s="12" t="s">
        <v>24</v>
      </c>
      <c r="B33" s="35">
        <v>1</v>
      </c>
      <c r="C33" s="35">
        <v>5</v>
      </c>
      <c r="D33" s="35">
        <v>6</v>
      </c>
      <c r="E33" s="35" t="s">
        <v>127</v>
      </c>
      <c r="F33" s="35" t="s">
        <v>78</v>
      </c>
      <c r="G33" s="35">
        <v>3</v>
      </c>
      <c r="H33" s="44" t="s">
        <v>78</v>
      </c>
      <c r="I33" s="17" t="s">
        <v>78</v>
      </c>
      <c r="J33" s="35" t="s">
        <v>78</v>
      </c>
      <c r="K33" s="35">
        <v>1</v>
      </c>
      <c r="L33" s="35">
        <v>2</v>
      </c>
      <c r="M33" s="14">
        <f t="shared" si="0"/>
        <v>18</v>
      </c>
    </row>
    <row r="34" spans="1:13" x14ac:dyDescent="0.25">
      <c r="A34" s="15" t="s">
        <v>25</v>
      </c>
      <c r="B34" s="44" t="s">
        <v>78</v>
      </c>
      <c r="C34" s="44" t="s">
        <v>78</v>
      </c>
      <c r="D34" s="44">
        <v>1</v>
      </c>
      <c r="E34" s="44" t="s">
        <v>78</v>
      </c>
      <c r="F34" s="44" t="s">
        <v>78</v>
      </c>
      <c r="G34" s="44" t="s">
        <v>78</v>
      </c>
      <c r="H34" s="44" t="s">
        <v>78</v>
      </c>
      <c r="I34" s="17" t="s">
        <v>78</v>
      </c>
      <c r="J34" s="44" t="s">
        <v>78</v>
      </c>
      <c r="K34" s="44" t="s">
        <v>78</v>
      </c>
      <c r="L34" s="44">
        <v>1</v>
      </c>
      <c r="M34" s="17">
        <f t="shared" si="0"/>
        <v>2</v>
      </c>
    </row>
    <row r="35" spans="1:13" x14ac:dyDescent="0.25">
      <c r="A35" s="15" t="s">
        <v>26</v>
      </c>
      <c r="B35" s="44" t="s">
        <v>78</v>
      </c>
      <c r="C35" s="44" t="s">
        <v>78</v>
      </c>
      <c r="D35" s="44" t="s">
        <v>78</v>
      </c>
      <c r="E35" s="44" t="s">
        <v>78</v>
      </c>
      <c r="F35" s="44" t="s">
        <v>78</v>
      </c>
      <c r="G35" s="44" t="s">
        <v>78</v>
      </c>
      <c r="H35" s="44" t="s">
        <v>78</v>
      </c>
      <c r="I35" s="17" t="s">
        <v>78</v>
      </c>
      <c r="J35" s="44" t="s">
        <v>78</v>
      </c>
      <c r="K35" s="44" t="s">
        <v>78</v>
      </c>
      <c r="L35" s="44">
        <v>1</v>
      </c>
      <c r="M35" s="17">
        <f t="shared" si="0"/>
        <v>1</v>
      </c>
    </row>
    <row r="36" spans="1:13" x14ac:dyDescent="0.25">
      <c r="A36" s="15" t="s">
        <v>117</v>
      </c>
      <c r="B36" s="44">
        <v>3</v>
      </c>
      <c r="C36" s="44" t="s">
        <v>78</v>
      </c>
      <c r="D36" s="44">
        <v>6</v>
      </c>
      <c r="E36" s="44">
        <v>3</v>
      </c>
      <c r="F36" s="44" t="s">
        <v>78</v>
      </c>
      <c r="G36" s="44">
        <v>2</v>
      </c>
      <c r="H36" s="44" t="s">
        <v>78</v>
      </c>
      <c r="I36" s="17" t="s">
        <v>78</v>
      </c>
      <c r="J36" s="44" t="s">
        <v>78</v>
      </c>
      <c r="K36" s="44" t="s">
        <v>78</v>
      </c>
      <c r="L36" s="44">
        <v>1</v>
      </c>
      <c r="M36" s="17">
        <f t="shared" si="0"/>
        <v>15</v>
      </c>
    </row>
    <row r="37" spans="1:13" x14ac:dyDescent="0.25">
      <c r="A37" s="18" t="s">
        <v>27</v>
      </c>
      <c r="B37" s="34" t="s">
        <v>78</v>
      </c>
      <c r="C37" s="34" t="s">
        <v>78</v>
      </c>
      <c r="D37" s="34" t="s">
        <v>78</v>
      </c>
      <c r="E37" s="34" t="s">
        <v>78</v>
      </c>
      <c r="F37" s="34" t="s">
        <v>78</v>
      </c>
      <c r="G37" s="34" t="s">
        <v>78</v>
      </c>
      <c r="H37" s="34" t="s">
        <v>78</v>
      </c>
      <c r="I37" s="20" t="s">
        <v>78</v>
      </c>
      <c r="J37" s="34" t="s">
        <v>78</v>
      </c>
      <c r="K37" s="34" t="s">
        <v>78</v>
      </c>
      <c r="L37" s="34" t="s">
        <v>78</v>
      </c>
      <c r="M37" s="20">
        <f t="shared" si="0"/>
        <v>0</v>
      </c>
    </row>
    <row r="38" spans="1:13" x14ac:dyDescent="0.25">
      <c r="A38" s="12" t="s">
        <v>28</v>
      </c>
      <c r="B38" s="35">
        <v>1</v>
      </c>
      <c r="C38" s="35" t="s">
        <v>78</v>
      </c>
      <c r="D38" s="35">
        <v>4</v>
      </c>
      <c r="E38" s="35">
        <v>5</v>
      </c>
      <c r="F38" s="35" t="s">
        <v>78</v>
      </c>
      <c r="G38" s="35">
        <v>1</v>
      </c>
      <c r="H38" s="44" t="s">
        <v>78</v>
      </c>
      <c r="I38" s="17" t="s">
        <v>78</v>
      </c>
      <c r="J38" s="35" t="s">
        <v>78</v>
      </c>
      <c r="K38" s="35" t="s">
        <v>78</v>
      </c>
      <c r="L38" s="35">
        <v>3</v>
      </c>
      <c r="M38" s="14">
        <f t="shared" si="0"/>
        <v>14</v>
      </c>
    </row>
    <row r="39" spans="1:13" x14ac:dyDescent="0.25">
      <c r="A39" s="15" t="s">
        <v>29</v>
      </c>
      <c r="B39" s="44" t="s">
        <v>78</v>
      </c>
      <c r="C39" s="44" t="s">
        <v>78</v>
      </c>
      <c r="D39" s="44" t="s">
        <v>78</v>
      </c>
      <c r="E39" s="44">
        <v>2</v>
      </c>
      <c r="F39" s="44" t="s">
        <v>78</v>
      </c>
      <c r="G39" s="44">
        <v>1</v>
      </c>
      <c r="H39" s="44" t="s">
        <v>78</v>
      </c>
      <c r="I39" s="17" t="s">
        <v>78</v>
      </c>
      <c r="J39" s="44" t="s">
        <v>78</v>
      </c>
      <c r="K39" s="44">
        <v>1</v>
      </c>
      <c r="L39" s="44">
        <v>1</v>
      </c>
      <c r="M39" s="17">
        <f t="shared" si="0"/>
        <v>5</v>
      </c>
    </row>
    <row r="40" spans="1:13" x14ac:dyDescent="0.25">
      <c r="A40" s="15" t="s">
        <v>30</v>
      </c>
      <c r="B40" s="44" t="s">
        <v>78</v>
      </c>
      <c r="C40" s="44" t="s">
        <v>78</v>
      </c>
      <c r="D40" s="44">
        <v>1</v>
      </c>
      <c r="E40" s="44">
        <v>1</v>
      </c>
      <c r="F40" s="44" t="s">
        <v>78</v>
      </c>
      <c r="G40" s="44">
        <v>7</v>
      </c>
      <c r="H40" s="44" t="s">
        <v>78</v>
      </c>
      <c r="I40" s="17" t="s">
        <v>78</v>
      </c>
      <c r="J40" s="44" t="s">
        <v>78</v>
      </c>
      <c r="K40" s="44" t="s">
        <v>78</v>
      </c>
      <c r="L40" s="44">
        <v>1</v>
      </c>
      <c r="M40" s="17">
        <f t="shared" si="0"/>
        <v>10</v>
      </c>
    </row>
    <row r="41" spans="1:13" x14ac:dyDescent="0.25">
      <c r="A41" s="15" t="s">
        <v>31</v>
      </c>
      <c r="B41" s="44" t="s">
        <v>78</v>
      </c>
      <c r="C41" s="44">
        <v>2</v>
      </c>
      <c r="D41" s="44">
        <v>5</v>
      </c>
      <c r="E41" s="44" t="s">
        <v>126</v>
      </c>
      <c r="F41" s="44" t="s">
        <v>78</v>
      </c>
      <c r="G41" s="44">
        <v>3</v>
      </c>
      <c r="H41" s="44" t="s">
        <v>78</v>
      </c>
      <c r="I41" s="17">
        <v>1</v>
      </c>
      <c r="J41" s="44" t="s">
        <v>78</v>
      </c>
      <c r="K41" s="44" t="s">
        <v>78</v>
      </c>
      <c r="L41" s="44">
        <v>1</v>
      </c>
      <c r="M41" s="17">
        <f t="shared" si="0"/>
        <v>12</v>
      </c>
    </row>
    <row r="42" spans="1:13" x14ac:dyDescent="0.25">
      <c r="A42" s="15" t="s">
        <v>118</v>
      </c>
      <c r="B42" s="44">
        <v>5</v>
      </c>
      <c r="C42" s="44" t="s">
        <v>78</v>
      </c>
      <c r="D42" s="44" t="s">
        <v>78</v>
      </c>
      <c r="E42" s="44" t="s">
        <v>78</v>
      </c>
      <c r="F42" s="44" t="s">
        <v>78</v>
      </c>
      <c r="G42" s="44" t="s">
        <v>78</v>
      </c>
      <c r="H42" s="44" t="s">
        <v>78</v>
      </c>
      <c r="I42" s="17" t="s">
        <v>78</v>
      </c>
      <c r="J42" s="44" t="s">
        <v>78</v>
      </c>
      <c r="K42" s="44" t="s">
        <v>78</v>
      </c>
      <c r="L42" s="44">
        <v>1</v>
      </c>
      <c r="M42" s="17">
        <f t="shared" si="0"/>
        <v>6</v>
      </c>
    </row>
    <row r="43" spans="1:13" x14ac:dyDescent="0.25">
      <c r="A43" s="15" t="s">
        <v>32</v>
      </c>
      <c r="B43" s="44">
        <v>1</v>
      </c>
      <c r="C43" s="44">
        <v>7</v>
      </c>
      <c r="D43" s="44">
        <v>91</v>
      </c>
      <c r="E43" s="44">
        <v>54</v>
      </c>
      <c r="F43" s="44" t="s">
        <v>78</v>
      </c>
      <c r="G43" s="44" t="s">
        <v>126</v>
      </c>
      <c r="H43" s="34" t="s">
        <v>78</v>
      </c>
      <c r="I43" s="20" t="s">
        <v>78</v>
      </c>
      <c r="J43" s="44" t="s">
        <v>78</v>
      </c>
      <c r="K43" s="44">
        <v>2</v>
      </c>
      <c r="L43" s="44">
        <v>18</v>
      </c>
      <c r="M43" s="17">
        <f t="shared" si="0"/>
        <v>173</v>
      </c>
    </row>
    <row r="44" spans="1:13" x14ac:dyDescent="0.25">
      <c r="A44" s="22" t="s">
        <v>119</v>
      </c>
      <c r="B44" s="7">
        <f>SUM(B3:B43)</f>
        <v>164</v>
      </c>
      <c r="C44" s="23">
        <f t="shared" ref="C44:M44" si="1">SUM(C3:C43)</f>
        <v>136</v>
      </c>
      <c r="D44" s="23">
        <f t="shared" si="1"/>
        <v>290</v>
      </c>
      <c r="E44" s="23">
        <f t="shared" si="1"/>
        <v>543</v>
      </c>
      <c r="F44" s="23">
        <f t="shared" si="1"/>
        <v>38</v>
      </c>
      <c r="G44" s="23">
        <f t="shared" si="1"/>
        <v>171</v>
      </c>
      <c r="H44" s="46">
        <f t="shared" si="1"/>
        <v>2</v>
      </c>
      <c r="I44" s="54">
        <f t="shared" si="1"/>
        <v>4</v>
      </c>
      <c r="J44" s="23">
        <f t="shared" si="1"/>
        <v>2</v>
      </c>
      <c r="K44" s="23">
        <f t="shared" si="1"/>
        <v>10</v>
      </c>
      <c r="L44" s="23">
        <f t="shared" si="1"/>
        <v>113</v>
      </c>
      <c r="M44" s="7">
        <f t="shared" si="1"/>
        <v>1473</v>
      </c>
    </row>
  </sheetData>
  <sheetProtection password="EB3F" sheet="1" objects="1" scenarios="1"/>
  <pageMargins left="0.25" right="0.25" top="0.75" bottom="0.75" header="0.3" footer="0.3"/>
  <pageSetup scale="74" fitToHeight="0" orientation="landscape" r:id="rId1"/>
  <headerFooter>
    <oddHeader xml:space="preserve">&amp;C&amp;"-,Bold"&amp;14Incidents of Prohibited Behavior in School or School-Related Activities by District, 2012-2013  </oddHeader>
    <oddFooter>&amp;L&amp;8Complier: USOE/Career, Techincial, and Adult Education/Verne Larsen
Source: Warehouse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ChartersElem</vt:lpstr>
      <vt:lpstr>ChartersMidJrHigh</vt:lpstr>
      <vt:lpstr>ChartersHighSchool</vt:lpstr>
      <vt:lpstr>DistrictsElem</vt:lpstr>
      <vt:lpstr>DistrictsMidJrHigh</vt:lpstr>
      <vt:lpstr>DistrictsHigh</vt:lpstr>
    </vt:vector>
  </TitlesOfParts>
  <Company>Utah State Office of Education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Larsen, Verne</dc:creator>
  <cp:lastModifiedBy>Morandy, Tina</cp:lastModifiedBy>
  <cp:lastPrinted>2013-12-19T21:15:55Z</cp:lastPrinted>
  <dcterms:created xsi:type="dcterms:W3CDTF">2013-10-11T17:57:28Z</dcterms:created>
  <dcterms:modified xsi:type="dcterms:W3CDTF">2013-12-20T17:46:48Z</dcterms:modified>
</cp:coreProperties>
</file>