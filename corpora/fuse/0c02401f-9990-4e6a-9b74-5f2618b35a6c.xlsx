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we578\Desktop\"/>
    </mc:Choice>
  </mc:AlternateContent>
  <bookViews>
    <workbookView xWindow="7755" yWindow="1845" windowWidth="11400" windowHeight="10185"/>
  </bookViews>
  <sheets>
    <sheet name="Scores" sheetId="1" r:id="rId1"/>
    <sheet name="Individual Divisions" sheetId="4" r:id="rId2"/>
    <sheet name="Team Ranking" sheetId="11" r:id="rId3"/>
    <sheet name="Tailgunner" sheetId="10" r:id="rId4"/>
  </sheets>
  <definedNames>
    <definedName name="Titles">Scores!$B$1:$W$2</definedName>
  </definedNames>
  <calcPr calcId="152511"/>
</workbook>
</file>

<file path=xl/calcChain.xml><?xml version="1.0" encoding="utf-8"?>
<calcChain xmlns="http://schemas.openxmlformats.org/spreadsheetml/2006/main">
  <c r="T37" i="11" l="1"/>
  <c r="T7" i="11"/>
  <c r="T51" i="11" s="1"/>
  <c r="T50" i="11"/>
  <c r="T42" i="11"/>
  <c r="T47" i="11"/>
  <c r="T32" i="11"/>
  <c r="T12" i="11"/>
  <c r="T27" i="11"/>
  <c r="T17" i="11"/>
  <c r="T22" i="11"/>
  <c r="V152" i="10"/>
  <c r="Q152" i="10"/>
  <c r="P152" i="10"/>
  <c r="K152" i="10"/>
  <c r="J152" i="10"/>
  <c r="V151" i="10"/>
  <c r="Q151" i="10"/>
  <c r="P151" i="10"/>
  <c r="K151" i="10"/>
  <c r="J151" i="10"/>
  <c r="V150" i="10"/>
  <c r="Q150" i="10"/>
  <c r="P150" i="10"/>
  <c r="K150" i="10"/>
  <c r="J150" i="10"/>
  <c r="V149" i="10"/>
  <c r="Q149" i="10"/>
  <c r="P149" i="10"/>
  <c r="K149" i="10"/>
  <c r="J149" i="10"/>
  <c r="V148" i="10"/>
  <c r="Q148" i="10"/>
  <c r="P148" i="10"/>
  <c r="K148" i="10"/>
  <c r="J148" i="10"/>
  <c r="V123" i="10"/>
  <c r="Q123" i="10"/>
  <c r="P123" i="10"/>
  <c r="K123" i="10"/>
  <c r="J123" i="10"/>
  <c r="V134" i="10"/>
  <c r="Q134" i="10"/>
  <c r="P134" i="10"/>
  <c r="K134" i="10"/>
  <c r="J134" i="10"/>
  <c r="V139" i="10"/>
  <c r="Q139" i="10"/>
  <c r="P139" i="10"/>
  <c r="K139" i="10"/>
  <c r="J139" i="10"/>
  <c r="V60" i="10"/>
  <c r="Q60" i="10"/>
  <c r="P60" i="10"/>
  <c r="K60" i="10"/>
  <c r="J60" i="10"/>
  <c r="V144" i="10"/>
  <c r="Q144" i="10"/>
  <c r="P144" i="10"/>
  <c r="K144" i="10"/>
  <c r="J144" i="10"/>
  <c r="V22" i="10"/>
  <c r="Q22" i="10"/>
  <c r="P22" i="10"/>
  <c r="K22" i="10"/>
  <c r="J22" i="10"/>
  <c r="V135" i="10"/>
  <c r="Q135" i="10"/>
  <c r="P135" i="10"/>
  <c r="K135" i="10"/>
  <c r="J135" i="10"/>
  <c r="V17" i="10"/>
  <c r="Q17" i="10"/>
  <c r="P17" i="10"/>
  <c r="K17" i="10"/>
  <c r="J17" i="10"/>
  <c r="V124" i="10"/>
  <c r="Q124" i="10"/>
  <c r="P124" i="10"/>
  <c r="K124" i="10"/>
  <c r="J124" i="10"/>
  <c r="V66" i="10"/>
  <c r="Q66" i="10"/>
  <c r="P66" i="10"/>
  <c r="K66" i="10"/>
  <c r="J66" i="10"/>
  <c r="V128" i="10"/>
  <c r="Q128" i="10"/>
  <c r="P128" i="10"/>
  <c r="K128" i="10"/>
  <c r="J128" i="10"/>
  <c r="V130" i="10"/>
  <c r="Q130" i="10"/>
  <c r="P130" i="10"/>
  <c r="K130" i="10"/>
  <c r="J130" i="10"/>
  <c r="V126" i="10"/>
  <c r="Q126" i="10"/>
  <c r="P126" i="10"/>
  <c r="K126" i="10"/>
  <c r="J126" i="10"/>
  <c r="V101" i="10"/>
  <c r="Q101" i="10"/>
  <c r="P101" i="10"/>
  <c r="K101" i="10"/>
  <c r="J101" i="10"/>
  <c r="V102" i="10"/>
  <c r="Q102" i="10"/>
  <c r="P102" i="10"/>
  <c r="K102" i="10"/>
  <c r="J102" i="10"/>
  <c r="V70" i="10"/>
  <c r="Q70" i="10"/>
  <c r="P70" i="10"/>
  <c r="K70" i="10"/>
  <c r="J70" i="10"/>
  <c r="V131" i="10"/>
  <c r="Q131" i="10"/>
  <c r="P131" i="10"/>
  <c r="K131" i="10"/>
  <c r="J131" i="10"/>
  <c r="V86" i="10"/>
  <c r="Q86" i="10"/>
  <c r="P86" i="10"/>
  <c r="K86" i="10"/>
  <c r="J86" i="10"/>
  <c r="V27" i="10"/>
  <c r="Q27" i="10"/>
  <c r="P27" i="10"/>
  <c r="K27" i="10"/>
  <c r="J27" i="10"/>
  <c r="V43" i="10"/>
  <c r="Q43" i="10"/>
  <c r="P43" i="10"/>
  <c r="K43" i="10"/>
  <c r="J43" i="10"/>
  <c r="V77" i="10"/>
  <c r="Q77" i="10"/>
  <c r="P77" i="10"/>
  <c r="K77" i="10"/>
  <c r="J77" i="10"/>
  <c r="V99" i="10"/>
  <c r="Q99" i="10"/>
  <c r="P99" i="10"/>
  <c r="K99" i="10"/>
  <c r="J99" i="10"/>
  <c r="V55" i="10"/>
  <c r="Q55" i="10"/>
  <c r="P55" i="10"/>
  <c r="K55" i="10"/>
  <c r="J55" i="10"/>
  <c r="V73" i="10"/>
  <c r="Q73" i="10"/>
  <c r="P73" i="10"/>
  <c r="K73" i="10"/>
  <c r="J73" i="10"/>
  <c r="V129" i="10"/>
  <c r="Q129" i="10"/>
  <c r="P129" i="10"/>
  <c r="K129" i="10"/>
  <c r="J129" i="10"/>
  <c r="V100" i="10"/>
  <c r="Q100" i="10"/>
  <c r="P100" i="10"/>
  <c r="K100" i="10"/>
  <c r="J100" i="10"/>
  <c r="V121" i="10"/>
  <c r="Q121" i="10"/>
  <c r="P121" i="10"/>
  <c r="K121" i="10"/>
  <c r="J121" i="10"/>
  <c r="V120" i="10"/>
  <c r="Q120" i="10"/>
  <c r="P120" i="10"/>
  <c r="K120" i="10"/>
  <c r="J120" i="10"/>
  <c r="V16" i="10"/>
  <c r="Q16" i="10"/>
  <c r="P16" i="10"/>
  <c r="K16" i="10"/>
  <c r="J16" i="10"/>
  <c r="V147" i="10"/>
  <c r="Q147" i="10"/>
  <c r="P147" i="10"/>
  <c r="K147" i="10"/>
  <c r="J147" i="10"/>
  <c r="V146" i="10"/>
  <c r="Q146" i="10"/>
  <c r="P146" i="10"/>
  <c r="K146" i="10"/>
  <c r="J146" i="10"/>
  <c r="V142" i="10"/>
  <c r="Q142" i="10"/>
  <c r="P142" i="10"/>
  <c r="K142" i="10"/>
  <c r="J142" i="10"/>
  <c r="V116" i="10"/>
  <c r="Q116" i="10"/>
  <c r="P116" i="10"/>
  <c r="K116" i="10"/>
  <c r="J116" i="10"/>
  <c r="V114" i="10"/>
  <c r="Q114" i="10"/>
  <c r="P114" i="10"/>
  <c r="K114" i="10"/>
  <c r="J114" i="10"/>
  <c r="V113" i="10"/>
  <c r="Q113" i="10"/>
  <c r="P113" i="10"/>
  <c r="K113" i="10"/>
  <c r="J113" i="10"/>
  <c r="V93" i="10"/>
  <c r="Q93" i="10"/>
  <c r="P93" i="10"/>
  <c r="K93" i="10"/>
  <c r="J93" i="10"/>
  <c r="V38" i="10"/>
  <c r="Q38" i="10"/>
  <c r="P38" i="10"/>
  <c r="K38" i="10"/>
  <c r="J38" i="10"/>
  <c r="V63" i="10"/>
  <c r="Q63" i="10"/>
  <c r="P63" i="10"/>
  <c r="K63" i="10"/>
  <c r="J63" i="10"/>
  <c r="V19" i="10"/>
  <c r="Q19" i="10"/>
  <c r="P19" i="10"/>
  <c r="K19" i="10"/>
  <c r="J19" i="10"/>
  <c r="V71" i="10"/>
  <c r="Q71" i="10"/>
  <c r="P71" i="10"/>
  <c r="K71" i="10"/>
  <c r="J71" i="10"/>
  <c r="V26" i="10"/>
  <c r="Q26" i="10"/>
  <c r="P26" i="10"/>
  <c r="K26" i="10"/>
  <c r="J26" i="10"/>
  <c r="V6" i="10"/>
  <c r="Q6" i="10"/>
  <c r="P6" i="10"/>
  <c r="K6" i="10"/>
  <c r="J6" i="10"/>
  <c r="V87" i="10"/>
  <c r="Q87" i="10"/>
  <c r="P87" i="10"/>
  <c r="K87" i="10"/>
  <c r="J87" i="10"/>
  <c r="V49" i="10"/>
  <c r="Q49" i="10"/>
  <c r="P49" i="10"/>
  <c r="K49" i="10"/>
  <c r="J49" i="10"/>
  <c r="V45" i="10"/>
  <c r="Q45" i="10"/>
  <c r="P45" i="10"/>
  <c r="K45" i="10"/>
  <c r="J45" i="10"/>
  <c r="V98" i="10"/>
  <c r="Q98" i="10"/>
  <c r="P98" i="10"/>
  <c r="K98" i="10"/>
  <c r="J98" i="10"/>
  <c r="V90" i="10"/>
  <c r="Q90" i="10"/>
  <c r="P90" i="10"/>
  <c r="K90" i="10"/>
  <c r="J90" i="10"/>
  <c r="V106" i="10"/>
  <c r="Q106" i="10"/>
  <c r="P106" i="10"/>
  <c r="K106" i="10"/>
  <c r="J106" i="10"/>
  <c r="V18" i="10"/>
  <c r="Q18" i="10"/>
  <c r="P18" i="10"/>
  <c r="K18" i="10"/>
  <c r="J18" i="10"/>
  <c r="V136" i="10"/>
  <c r="Q136" i="10"/>
  <c r="P136" i="10"/>
  <c r="K136" i="10"/>
  <c r="J136" i="10"/>
  <c r="V68" i="10"/>
  <c r="Q68" i="10"/>
  <c r="P68" i="10"/>
  <c r="K68" i="10"/>
  <c r="J68" i="10"/>
  <c r="V4" i="10"/>
  <c r="Q4" i="10"/>
  <c r="P4" i="10"/>
  <c r="K4" i="10"/>
  <c r="J4" i="10"/>
  <c r="V138" i="10"/>
  <c r="Q138" i="10"/>
  <c r="P138" i="10"/>
  <c r="K138" i="10"/>
  <c r="J138" i="10"/>
  <c r="V36" i="10"/>
  <c r="Q36" i="10"/>
  <c r="P36" i="10"/>
  <c r="K36" i="10"/>
  <c r="J36" i="10"/>
  <c r="V89" i="10"/>
  <c r="Q89" i="10"/>
  <c r="P89" i="10"/>
  <c r="K89" i="10"/>
  <c r="J89" i="10"/>
  <c r="V145" i="10"/>
  <c r="Q145" i="10"/>
  <c r="P145" i="10"/>
  <c r="K145" i="10"/>
  <c r="J145" i="10"/>
  <c r="V115" i="10"/>
  <c r="Q115" i="10"/>
  <c r="P115" i="10"/>
  <c r="K115" i="10"/>
  <c r="J115" i="10"/>
  <c r="V143" i="10"/>
  <c r="Q143" i="10"/>
  <c r="P143" i="10"/>
  <c r="K143" i="10"/>
  <c r="J143" i="10"/>
  <c r="V84" i="10"/>
  <c r="Q84" i="10"/>
  <c r="P84" i="10"/>
  <c r="K84" i="10"/>
  <c r="J84" i="10"/>
  <c r="V117" i="10"/>
  <c r="Q117" i="10"/>
  <c r="P117" i="10"/>
  <c r="K117" i="10"/>
  <c r="J117" i="10"/>
  <c r="V41" i="10"/>
  <c r="Q41" i="10"/>
  <c r="P41" i="10"/>
  <c r="K41" i="10"/>
  <c r="J41" i="10"/>
  <c r="V92" i="10"/>
  <c r="Q92" i="10"/>
  <c r="P92" i="10"/>
  <c r="K92" i="10"/>
  <c r="J92" i="10"/>
  <c r="V72" i="10"/>
  <c r="Q72" i="10"/>
  <c r="P72" i="10"/>
  <c r="K72" i="10"/>
  <c r="J72" i="10"/>
  <c r="V79" i="10"/>
  <c r="Q79" i="10"/>
  <c r="P79" i="10"/>
  <c r="K79" i="10"/>
  <c r="J79" i="10"/>
  <c r="V88" i="10"/>
  <c r="Q88" i="10"/>
  <c r="P88" i="10"/>
  <c r="K88" i="10"/>
  <c r="J88" i="10"/>
  <c r="V76" i="10"/>
  <c r="Q76" i="10"/>
  <c r="P76" i="10"/>
  <c r="K76" i="10"/>
  <c r="J76" i="10"/>
  <c r="V85" i="10"/>
  <c r="Q85" i="10"/>
  <c r="P85" i="10"/>
  <c r="K85" i="10"/>
  <c r="J85" i="10"/>
  <c r="V35" i="10"/>
  <c r="Q35" i="10"/>
  <c r="P35" i="10"/>
  <c r="K35" i="10"/>
  <c r="J35" i="10"/>
  <c r="V31" i="10"/>
  <c r="Q31" i="10"/>
  <c r="P31" i="10"/>
  <c r="K31" i="10"/>
  <c r="J31" i="10"/>
  <c r="V78" i="10"/>
  <c r="Q78" i="10"/>
  <c r="P78" i="10"/>
  <c r="K78" i="10"/>
  <c r="J78" i="10"/>
  <c r="V104" i="10"/>
  <c r="Q104" i="10"/>
  <c r="P104" i="10"/>
  <c r="K104" i="10"/>
  <c r="J104" i="10"/>
  <c r="V122" i="10"/>
  <c r="Q122" i="10"/>
  <c r="P122" i="10"/>
  <c r="K122" i="10"/>
  <c r="J122" i="10"/>
  <c r="V109" i="10"/>
  <c r="Q109" i="10"/>
  <c r="P109" i="10"/>
  <c r="K109" i="10"/>
  <c r="J109" i="10"/>
  <c r="V7" i="10"/>
  <c r="Q7" i="10"/>
  <c r="P7" i="10"/>
  <c r="K7" i="10"/>
  <c r="J7" i="10"/>
  <c r="V11" i="10"/>
  <c r="Q11" i="10"/>
  <c r="P11" i="10"/>
  <c r="K11" i="10"/>
  <c r="J11" i="10"/>
  <c r="V74" i="10"/>
  <c r="Q74" i="10"/>
  <c r="P74" i="10"/>
  <c r="K74" i="10"/>
  <c r="J74" i="10"/>
  <c r="V14" i="10"/>
  <c r="Q14" i="10"/>
  <c r="P14" i="10"/>
  <c r="K14" i="10"/>
  <c r="J14" i="10"/>
  <c r="V25" i="10"/>
  <c r="Q25" i="10"/>
  <c r="P25" i="10"/>
  <c r="K25" i="10"/>
  <c r="J25" i="10"/>
  <c r="V69" i="10"/>
  <c r="Q69" i="10"/>
  <c r="P69" i="10"/>
  <c r="K69" i="10"/>
  <c r="J69" i="10"/>
  <c r="V110" i="10"/>
  <c r="Q110" i="10"/>
  <c r="P110" i="10"/>
  <c r="K110" i="10"/>
  <c r="J110" i="10"/>
  <c r="V125" i="10"/>
  <c r="Q125" i="10"/>
  <c r="P125" i="10"/>
  <c r="K125" i="10"/>
  <c r="J125" i="10"/>
  <c r="V48" i="10"/>
  <c r="Q48" i="10"/>
  <c r="P48" i="10"/>
  <c r="K48" i="10"/>
  <c r="J48" i="10"/>
  <c r="V42" i="10"/>
  <c r="Q42" i="10"/>
  <c r="P42" i="10"/>
  <c r="K42" i="10"/>
  <c r="J42" i="10"/>
  <c r="V28" i="10"/>
  <c r="Q28" i="10"/>
  <c r="P28" i="10"/>
  <c r="K28" i="10"/>
  <c r="J28" i="10"/>
  <c r="V119" i="10"/>
  <c r="Q119" i="10"/>
  <c r="P119" i="10"/>
  <c r="K119" i="10"/>
  <c r="J119" i="10"/>
  <c r="V62" i="10"/>
  <c r="Q62" i="10"/>
  <c r="P62" i="10"/>
  <c r="K62" i="10"/>
  <c r="J62" i="10"/>
  <c r="V33" i="10"/>
  <c r="Q33" i="10"/>
  <c r="P33" i="10"/>
  <c r="K33" i="10"/>
  <c r="J33" i="10"/>
  <c r="V83" i="10"/>
  <c r="Q83" i="10"/>
  <c r="P83" i="10"/>
  <c r="K83" i="10"/>
  <c r="J83" i="10"/>
  <c r="V54" i="10"/>
  <c r="Q54" i="10"/>
  <c r="P54" i="10"/>
  <c r="K54" i="10"/>
  <c r="J54" i="10"/>
  <c r="V127" i="10"/>
  <c r="Q127" i="10"/>
  <c r="P127" i="10"/>
  <c r="K127" i="10"/>
  <c r="J127" i="10"/>
  <c r="V103" i="10"/>
  <c r="Q103" i="10"/>
  <c r="P103" i="10"/>
  <c r="K103" i="10"/>
  <c r="J103" i="10"/>
  <c r="V140" i="10"/>
  <c r="Q140" i="10"/>
  <c r="P140" i="10"/>
  <c r="K140" i="10"/>
  <c r="J140" i="10"/>
  <c r="V39" i="10"/>
  <c r="Q39" i="10"/>
  <c r="P39" i="10"/>
  <c r="K39" i="10"/>
  <c r="J39" i="10"/>
  <c r="V64" i="10"/>
  <c r="Q64" i="10"/>
  <c r="P64" i="10"/>
  <c r="K64" i="10"/>
  <c r="J64" i="10"/>
  <c r="V53" i="10"/>
  <c r="Q53" i="10"/>
  <c r="P53" i="10"/>
  <c r="K53" i="10"/>
  <c r="J53" i="10"/>
  <c r="V32" i="10"/>
  <c r="Q32" i="10"/>
  <c r="P32" i="10"/>
  <c r="K32" i="10"/>
  <c r="J32" i="10"/>
  <c r="V51" i="10"/>
  <c r="Q51" i="10"/>
  <c r="P51" i="10"/>
  <c r="K51" i="10"/>
  <c r="J51" i="10"/>
  <c r="V91" i="10"/>
  <c r="Q91" i="10"/>
  <c r="P91" i="10"/>
  <c r="K91" i="10"/>
  <c r="J91" i="10"/>
  <c r="V111" i="10"/>
  <c r="Q111" i="10"/>
  <c r="P111" i="10"/>
  <c r="K111" i="10"/>
  <c r="J111" i="10"/>
  <c r="V56" i="10"/>
  <c r="Q56" i="10"/>
  <c r="P56" i="10"/>
  <c r="K56" i="10"/>
  <c r="J56" i="10"/>
  <c r="V47" i="10"/>
  <c r="Q47" i="10"/>
  <c r="P47" i="10"/>
  <c r="K47" i="10"/>
  <c r="J47" i="10"/>
  <c r="V46" i="10"/>
  <c r="Q46" i="10"/>
  <c r="P46" i="10"/>
  <c r="K46" i="10"/>
  <c r="J46" i="10"/>
  <c r="V75" i="10"/>
  <c r="Q75" i="10"/>
  <c r="P75" i="10"/>
  <c r="K75" i="10"/>
  <c r="J75" i="10"/>
  <c r="V105" i="10"/>
  <c r="Q105" i="10"/>
  <c r="P105" i="10"/>
  <c r="K105" i="10"/>
  <c r="J105" i="10"/>
  <c r="V94" i="10"/>
  <c r="Q94" i="10"/>
  <c r="P94" i="10"/>
  <c r="K94" i="10"/>
  <c r="J94" i="10"/>
  <c r="V13" i="10"/>
  <c r="Q13" i="10"/>
  <c r="P13" i="10"/>
  <c r="K13" i="10"/>
  <c r="J13" i="10"/>
  <c r="V108" i="10"/>
  <c r="Q108" i="10"/>
  <c r="P108" i="10"/>
  <c r="K108" i="10"/>
  <c r="J108" i="10"/>
  <c r="V112" i="10"/>
  <c r="Q112" i="10"/>
  <c r="P112" i="10"/>
  <c r="K112" i="10"/>
  <c r="J112" i="10"/>
  <c r="V44" i="10"/>
  <c r="Q44" i="10"/>
  <c r="P44" i="10"/>
  <c r="K44" i="10"/>
  <c r="J44" i="10"/>
  <c r="V95" i="10"/>
  <c r="Q95" i="10"/>
  <c r="P95" i="10"/>
  <c r="K95" i="10"/>
  <c r="J95" i="10"/>
  <c r="V37" i="10"/>
  <c r="Q37" i="10"/>
  <c r="P37" i="10"/>
  <c r="K37" i="10"/>
  <c r="J37" i="10"/>
  <c r="V24" i="10"/>
  <c r="Q24" i="10"/>
  <c r="P24" i="10"/>
  <c r="K24" i="10"/>
  <c r="J24" i="10"/>
  <c r="V107" i="10"/>
  <c r="Q107" i="10"/>
  <c r="P107" i="10"/>
  <c r="K107" i="10"/>
  <c r="J107" i="10"/>
  <c r="V34" i="10"/>
  <c r="Q34" i="10"/>
  <c r="P34" i="10"/>
  <c r="K34" i="10"/>
  <c r="J34" i="10"/>
  <c r="V50" i="10"/>
  <c r="Q50" i="10"/>
  <c r="P50" i="10"/>
  <c r="K50" i="10"/>
  <c r="J50" i="10"/>
  <c r="V15" i="10"/>
  <c r="Q15" i="10"/>
  <c r="P15" i="10"/>
  <c r="K15" i="10"/>
  <c r="J15" i="10"/>
  <c r="V82" i="10"/>
  <c r="Q82" i="10"/>
  <c r="P82" i="10"/>
  <c r="K82" i="10"/>
  <c r="J82" i="10"/>
  <c r="V30" i="10"/>
  <c r="Q30" i="10"/>
  <c r="P30" i="10"/>
  <c r="K30" i="10"/>
  <c r="J30" i="10"/>
  <c r="V29" i="10"/>
  <c r="Q29" i="10"/>
  <c r="P29" i="10"/>
  <c r="K29" i="10"/>
  <c r="J29" i="10"/>
  <c r="V12" i="10"/>
  <c r="Q12" i="10"/>
  <c r="P12" i="10"/>
  <c r="K12" i="10"/>
  <c r="J12" i="10"/>
  <c r="V21" i="10"/>
  <c r="Q21" i="10"/>
  <c r="P21" i="10"/>
  <c r="K21" i="10"/>
  <c r="J21" i="10"/>
  <c r="V132" i="10"/>
  <c r="Q132" i="10"/>
  <c r="P132" i="10"/>
  <c r="K132" i="10"/>
  <c r="J132" i="10"/>
  <c r="V67" i="10"/>
  <c r="Q67" i="10"/>
  <c r="P67" i="10"/>
  <c r="K67" i="10"/>
  <c r="J67" i="10"/>
  <c r="V58" i="10"/>
  <c r="Q58" i="10"/>
  <c r="P58" i="10"/>
  <c r="K58" i="10"/>
  <c r="J58" i="10"/>
  <c r="V97" i="10"/>
  <c r="Q97" i="10"/>
  <c r="P97" i="10"/>
  <c r="K97" i="10"/>
  <c r="J97" i="10"/>
  <c r="V141" i="10"/>
  <c r="Q141" i="10"/>
  <c r="P141" i="10"/>
  <c r="K141" i="10"/>
  <c r="J141" i="10"/>
  <c r="V118" i="10"/>
  <c r="Q118" i="10"/>
  <c r="P118" i="10"/>
  <c r="K118" i="10"/>
  <c r="J118" i="10"/>
  <c r="V137" i="10"/>
  <c r="Q137" i="10"/>
  <c r="P137" i="10"/>
  <c r="K137" i="10"/>
  <c r="J137" i="10"/>
  <c r="V8" i="10"/>
  <c r="Q8" i="10"/>
  <c r="P8" i="10"/>
  <c r="K8" i="10"/>
  <c r="J8" i="10"/>
  <c r="V20" i="10"/>
  <c r="Q20" i="10"/>
  <c r="P20" i="10"/>
  <c r="K20" i="10"/>
  <c r="J20" i="10"/>
  <c r="V65" i="10"/>
  <c r="Q65" i="10"/>
  <c r="P65" i="10"/>
  <c r="K65" i="10"/>
  <c r="J65" i="10"/>
  <c r="V23" i="10"/>
  <c r="Q23" i="10"/>
  <c r="P23" i="10"/>
  <c r="K23" i="10"/>
  <c r="J23" i="10"/>
  <c r="V96" i="10"/>
  <c r="Q96" i="10"/>
  <c r="P96" i="10"/>
  <c r="K96" i="10"/>
  <c r="J96" i="10"/>
  <c r="V57" i="10"/>
  <c r="Q57" i="10"/>
  <c r="P57" i="10"/>
  <c r="K57" i="10"/>
  <c r="J57" i="10"/>
  <c r="V133" i="10"/>
  <c r="Q133" i="10"/>
  <c r="P133" i="10"/>
  <c r="K133" i="10"/>
  <c r="J133" i="10"/>
  <c r="V81" i="10"/>
  <c r="Q81" i="10"/>
  <c r="P81" i="10"/>
  <c r="K81" i="10"/>
  <c r="J81" i="10"/>
  <c r="V5" i="10"/>
  <c r="Q5" i="10"/>
  <c r="P5" i="10"/>
  <c r="K5" i="10"/>
  <c r="J5" i="10"/>
  <c r="V10" i="10"/>
  <c r="Q10" i="10"/>
  <c r="P10" i="10"/>
  <c r="K10" i="10"/>
  <c r="J10" i="10"/>
  <c r="V52" i="10"/>
  <c r="Q52" i="10"/>
  <c r="P52" i="10"/>
  <c r="K52" i="10"/>
  <c r="J52" i="10"/>
  <c r="V80" i="10"/>
  <c r="Q80" i="10"/>
  <c r="P80" i="10"/>
  <c r="K80" i="10"/>
  <c r="J80" i="10"/>
  <c r="V61" i="10"/>
  <c r="Q61" i="10"/>
  <c r="P61" i="10"/>
  <c r="K61" i="10"/>
  <c r="J61" i="10"/>
  <c r="V3" i="10"/>
  <c r="Q3" i="10"/>
  <c r="P3" i="10"/>
  <c r="K3" i="10"/>
  <c r="J3" i="10"/>
  <c r="V59" i="10"/>
  <c r="Q59" i="10"/>
  <c r="P59" i="10"/>
  <c r="K59" i="10"/>
  <c r="J59" i="10"/>
  <c r="V9" i="10"/>
  <c r="Q9" i="10"/>
  <c r="P9" i="10"/>
  <c r="K9" i="10"/>
  <c r="J9" i="10"/>
  <c r="V40" i="10"/>
  <c r="Q40" i="10"/>
  <c r="P40" i="10"/>
  <c r="K40" i="10"/>
  <c r="J40" i="10"/>
  <c r="V86" i="4"/>
  <c r="Q86" i="4"/>
  <c r="P86" i="4"/>
  <c r="K86" i="4"/>
  <c r="J86" i="4"/>
  <c r="V64" i="4"/>
  <c r="Q64" i="4"/>
  <c r="P64" i="4"/>
  <c r="K64" i="4"/>
  <c r="J64" i="4"/>
  <c r="V80" i="4"/>
  <c r="Q80" i="4"/>
  <c r="P80" i="4"/>
  <c r="K80" i="4"/>
  <c r="J80" i="4"/>
  <c r="V13" i="4"/>
  <c r="Q13" i="4"/>
  <c r="P13" i="4"/>
  <c r="K13" i="4"/>
  <c r="J13" i="4"/>
  <c r="V22" i="4"/>
  <c r="Q22" i="4"/>
  <c r="P22" i="4"/>
  <c r="K22" i="4"/>
  <c r="J22" i="4"/>
  <c r="V50" i="4"/>
  <c r="Q50" i="4"/>
  <c r="P50" i="4"/>
  <c r="K50" i="4"/>
  <c r="J50" i="4"/>
  <c r="V3" i="4"/>
  <c r="Q3" i="4"/>
  <c r="P3" i="4"/>
  <c r="K3" i="4"/>
  <c r="J3" i="4"/>
  <c r="V53" i="4"/>
  <c r="Q53" i="4"/>
  <c r="P53" i="4"/>
  <c r="K53" i="4"/>
  <c r="J53" i="4"/>
  <c r="V72" i="4"/>
  <c r="Q72" i="4"/>
  <c r="P72" i="4"/>
  <c r="K72" i="4"/>
  <c r="J72" i="4"/>
  <c r="V37" i="4"/>
  <c r="Q37" i="4"/>
  <c r="P37" i="4"/>
  <c r="K37" i="4"/>
  <c r="J37" i="4"/>
  <c r="V25" i="4"/>
  <c r="Q25" i="4"/>
  <c r="P25" i="4"/>
  <c r="K25" i="4"/>
  <c r="J25" i="4"/>
  <c r="V65" i="4"/>
  <c r="Q65" i="4"/>
  <c r="P65" i="4"/>
  <c r="K65" i="4"/>
  <c r="J65" i="4"/>
  <c r="V26" i="4"/>
  <c r="Q26" i="4"/>
  <c r="P26" i="4"/>
  <c r="K26" i="4"/>
  <c r="J26" i="4"/>
  <c r="V6" i="4"/>
  <c r="Q6" i="4"/>
  <c r="P6" i="4"/>
  <c r="K6" i="4"/>
  <c r="J6" i="4"/>
  <c r="V29" i="4"/>
  <c r="Q29" i="4"/>
  <c r="P29" i="4"/>
  <c r="K29" i="4"/>
  <c r="J29" i="4"/>
  <c r="V35" i="4"/>
  <c r="Q35" i="4"/>
  <c r="P35" i="4"/>
  <c r="K35" i="4"/>
  <c r="J35" i="4"/>
  <c r="V104" i="4"/>
  <c r="Q104" i="4"/>
  <c r="P104" i="4"/>
  <c r="K104" i="4"/>
  <c r="J104" i="4"/>
  <c r="V128" i="4"/>
  <c r="Q128" i="4"/>
  <c r="P128" i="4"/>
  <c r="K128" i="4"/>
  <c r="J128" i="4"/>
  <c r="V123" i="4"/>
  <c r="Q123" i="4"/>
  <c r="P123" i="4"/>
  <c r="K123" i="4"/>
  <c r="J123" i="4"/>
  <c r="V109" i="4"/>
  <c r="Q109" i="4"/>
  <c r="P109" i="4"/>
  <c r="K109" i="4"/>
  <c r="J109" i="4"/>
  <c r="V98" i="4"/>
  <c r="Q98" i="4"/>
  <c r="P98" i="4"/>
  <c r="K98" i="4"/>
  <c r="J98" i="4"/>
  <c r="V118" i="4"/>
  <c r="Q118" i="4"/>
  <c r="P118" i="4"/>
  <c r="K118" i="4"/>
  <c r="J118" i="4"/>
  <c r="V112" i="4"/>
  <c r="Q112" i="4"/>
  <c r="P112" i="4"/>
  <c r="K112" i="4"/>
  <c r="J112" i="4"/>
  <c r="V83" i="4"/>
  <c r="Q83" i="4"/>
  <c r="P83" i="4"/>
  <c r="K83" i="4"/>
  <c r="J83" i="4"/>
  <c r="V97" i="4"/>
  <c r="Q97" i="4"/>
  <c r="P97" i="4"/>
  <c r="K97" i="4"/>
  <c r="J97" i="4"/>
  <c r="V130" i="4"/>
  <c r="Q130" i="4"/>
  <c r="P130" i="4"/>
  <c r="K130" i="4"/>
  <c r="J130" i="4"/>
  <c r="V75" i="4"/>
  <c r="Q75" i="4"/>
  <c r="P75" i="4"/>
  <c r="K75" i="4"/>
  <c r="J75" i="4"/>
  <c r="V76" i="4"/>
  <c r="Q76" i="4"/>
  <c r="P76" i="4"/>
  <c r="K76" i="4"/>
  <c r="J76" i="4"/>
  <c r="V77" i="4"/>
  <c r="Q77" i="4"/>
  <c r="P77" i="4"/>
  <c r="K77" i="4"/>
  <c r="J77" i="4"/>
  <c r="V90" i="4"/>
  <c r="Q90" i="4"/>
  <c r="P90" i="4"/>
  <c r="K90" i="4"/>
  <c r="J90" i="4"/>
  <c r="V8" i="4"/>
  <c r="Q8" i="4"/>
  <c r="P8" i="4"/>
  <c r="K8" i="4"/>
  <c r="J8" i="4"/>
  <c r="V68" i="4"/>
  <c r="Q68" i="4"/>
  <c r="P68" i="4"/>
  <c r="K68" i="4"/>
  <c r="J68" i="4"/>
  <c r="V115" i="4"/>
  <c r="Q115" i="4"/>
  <c r="P115" i="4"/>
  <c r="K115" i="4"/>
  <c r="J115" i="4"/>
  <c r="V52" i="4"/>
  <c r="Q52" i="4"/>
  <c r="P52" i="4"/>
  <c r="K52" i="4"/>
  <c r="J52" i="4"/>
  <c r="V34" i="4"/>
  <c r="Q34" i="4"/>
  <c r="P34" i="4"/>
  <c r="K34" i="4"/>
  <c r="J34" i="4"/>
  <c r="V47" i="4"/>
  <c r="Q47" i="4"/>
  <c r="P47" i="4"/>
  <c r="K47" i="4"/>
  <c r="J47" i="4"/>
  <c r="V61" i="4"/>
  <c r="Q61" i="4"/>
  <c r="P61" i="4"/>
  <c r="K61" i="4"/>
  <c r="J61" i="4"/>
  <c r="V103" i="4"/>
  <c r="Q103" i="4"/>
  <c r="P103" i="4"/>
  <c r="K103" i="4"/>
  <c r="J103" i="4"/>
  <c r="V14" i="4"/>
  <c r="Q14" i="4"/>
  <c r="P14" i="4"/>
  <c r="K14" i="4"/>
  <c r="J14" i="4"/>
  <c r="V42" i="4"/>
  <c r="Q42" i="4"/>
  <c r="P42" i="4"/>
  <c r="K42" i="4"/>
  <c r="J42" i="4"/>
  <c r="V18" i="4"/>
  <c r="Q18" i="4"/>
  <c r="P18" i="4"/>
  <c r="K18" i="4"/>
  <c r="J18" i="4"/>
  <c r="V73" i="4"/>
  <c r="Q73" i="4"/>
  <c r="P73" i="4"/>
  <c r="K73" i="4"/>
  <c r="J73" i="4"/>
  <c r="V4" i="4"/>
  <c r="Q4" i="4"/>
  <c r="P4" i="4"/>
  <c r="K4" i="4"/>
  <c r="J4" i="4"/>
  <c r="V70" i="4"/>
  <c r="Q70" i="4"/>
  <c r="P70" i="4"/>
  <c r="K70" i="4"/>
  <c r="J70" i="4"/>
  <c r="V81" i="4"/>
  <c r="Q81" i="4"/>
  <c r="P81" i="4"/>
  <c r="K81" i="4"/>
  <c r="J81" i="4"/>
  <c r="V36" i="4"/>
  <c r="Q36" i="4"/>
  <c r="P36" i="4"/>
  <c r="K36" i="4"/>
  <c r="J36" i="4"/>
  <c r="V62" i="4"/>
  <c r="Q62" i="4"/>
  <c r="P62" i="4"/>
  <c r="K62" i="4"/>
  <c r="J62" i="4"/>
  <c r="V23" i="4"/>
  <c r="Q23" i="4"/>
  <c r="P23" i="4"/>
  <c r="K23" i="4"/>
  <c r="J23" i="4"/>
  <c r="V15" i="4"/>
  <c r="Q15" i="4"/>
  <c r="P15" i="4"/>
  <c r="K15" i="4"/>
  <c r="J15" i="4"/>
  <c r="V30" i="4"/>
  <c r="Q30" i="4"/>
  <c r="P30" i="4"/>
  <c r="K30" i="4"/>
  <c r="J30" i="4"/>
  <c r="V19" i="4"/>
  <c r="Q19" i="4"/>
  <c r="P19" i="4"/>
  <c r="K19" i="4"/>
  <c r="J19" i="4"/>
  <c r="V27" i="4"/>
  <c r="Q27" i="4"/>
  <c r="P27" i="4"/>
  <c r="K27" i="4"/>
  <c r="J27" i="4"/>
  <c r="V17" i="4"/>
  <c r="Q17" i="4"/>
  <c r="P17" i="4"/>
  <c r="K17" i="4"/>
  <c r="J17" i="4"/>
  <c r="V10" i="4"/>
  <c r="Q10" i="4"/>
  <c r="P10" i="4"/>
  <c r="K10" i="4"/>
  <c r="J10" i="4"/>
  <c r="V89" i="4"/>
  <c r="Q89" i="4"/>
  <c r="P89" i="4"/>
  <c r="K89" i="4"/>
  <c r="J89" i="4"/>
  <c r="V67" i="4"/>
  <c r="Q67" i="4"/>
  <c r="P67" i="4"/>
  <c r="K67" i="4"/>
  <c r="J67" i="4"/>
  <c r="V9" i="4"/>
  <c r="Q9" i="4"/>
  <c r="P9" i="4"/>
  <c r="K9" i="4"/>
  <c r="J9" i="4"/>
  <c r="V33" i="4"/>
  <c r="Q33" i="4"/>
  <c r="P33" i="4"/>
  <c r="K33" i="4"/>
  <c r="J33" i="4"/>
  <c r="V108" i="4"/>
  <c r="Q108" i="4"/>
  <c r="P108" i="4"/>
  <c r="K108" i="4"/>
  <c r="J108" i="4"/>
  <c r="V31" i="4"/>
  <c r="Q31" i="4"/>
  <c r="P31" i="4"/>
  <c r="K31" i="4"/>
  <c r="J31" i="4"/>
  <c r="V110" i="4"/>
  <c r="Q110" i="4"/>
  <c r="P110" i="4"/>
  <c r="K110" i="4"/>
  <c r="J110" i="4"/>
  <c r="V105" i="4"/>
  <c r="Q105" i="4"/>
  <c r="P105" i="4"/>
  <c r="K105" i="4"/>
  <c r="J105" i="4"/>
  <c r="V44" i="4"/>
  <c r="Q44" i="4"/>
  <c r="P44" i="4"/>
  <c r="K44" i="4"/>
  <c r="J44" i="4"/>
  <c r="V46" i="4"/>
  <c r="Q46" i="4"/>
  <c r="P46" i="4"/>
  <c r="K46" i="4"/>
  <c r="J46" i="4"/>
  <c r="V95" i="4"/>
  <c r="Q95" i="4"/>
  <c r="P95" i="4"/>
  <c r="K95" i="4"/>
  <c r="J95" i="4"/>
  <c r="V87" i="4"/>
  <c r="Q87" i="4"/>
  <c r="P87" i="4"/>
  <c r="K87" i="4"/>
  <c r="J87" i="4"/>
  <c r="V28" i="4"/>
  <c r="Q28" i="4"/>
  <c r="P28" i="4"/>
  <c r="K28" i="4"/>
  <c r="J28" i="4"/>
  <c r="V60" i="4"/>
  <c r="Q60" i="4"/>
  <c r="P60" i="4"/>
  <c r="K60" i="4"/>
  <c r="J60" i="4"/>
  <c r="V57" i="4"/>
  <c r="Q57" i="4"/>
  <c r="P57" i="4"/>
  <c r="K57" i="4"/>
  <c r="J57" i="4"/>
  <c r="V111" i="4"/>
  <c r="Q111" i="4"/>
  <c r="P111" i="4"/>
  <c r="K111" i="4"/>
  <c r="J111" i="4"/>
  <c r="V55" i="4"/>
  <c r="Q55" i="4"/>
  <c r="P55" i="4"/>
  <c r="K55" i="4"/>
  <c r="J55" i="4"/>
  <c r="V48" i="4"/>
  <c r="Q48" i="4"/>
  <c r="P48" i="4"/>
  <c r="K48" i="4"/>
  <c r="J48" i="4"/>
  <c r="V93" i="4"/>
  <c r="Q93" i="4"/>
  <c r="P93" i="4"/>
  <c r="K93" i="4"/>
  <c r="J93" i="4"/>
  <c r="V85" i="4"/>
  <c r="Q85" i="4"/>
  <c r="P85" i="4"/>
  <c r="K85" i="4"/>
  <c r="J85" i="4"/>
  <c r="V121" i="4"/>
  <c r="Q121" i="4"/>
  <c r="P121" i="4"/>
  <c r="K121" i="4"/>
  <c r="J121" i="4"/>
  <c r="V124" i="4"/>
  <c r="Q124" i="4"/>
  <c r="P124" i="4"/>
  <c r="K124" i="4"/>
  <c r="J124" i="4"/>
  <c r="V127" i="4"/>
  <c r="Q127" i="4"/>
  <c r="P127" i="4"/>
  <c r="K127" i="4"/>
  <c r="J127" i="4"/>
  <c r="V88" i="4"/>
  <c r="Q88" i="4"/>
  <c r="P88" i="4"/>
  <c r="K88" i="4"/>
  <c r="J88" i="4"/>
  <c r="V45" i="4"/>
  <c r="Q45" i="4"/>
  <c r="P45" i="4"/>
  <c r="K45" i="4"/>
  <c r="J45" i="4"/>
  <c r="V32" i="4"/>
  <c r="Q32" i="4"/>
  <c r="P32" i="4"/>
  <c r="K32" i="4"/>
  <c r="J32" i="4"/>
  <c r="V119" i="4"/>
  <c r="Q119" i="4"/>
  <c r="P119" i="4"/>
  <c r="K119" i="4"/>
  <c r="J119" i="4"/>
  <c r="V84" i="4"/>
  <c r="Q84" i="4"/>
  <c r="P84" i="4"/>
  <c r="K84" i="4"/>
  <c r="J84" i="4"/>
  <c r="V96" i="4"/>
  <c r="Q96" i="4"/>
  <c r="P96" i="4"/>
  <c r="K96" i="4"/>
  <c r="J96" i="4"/>
  <c r="V79" i="4"/>
  <c r="Q79" i="4"/>
  <c r="P79" i="4"/>
  <c r="K79" i="4"/>
  <c r="J79" i="4"/>
  <c r="V125" i="4"/>
  <c r="Q125" i="4"/>
  <c r="P125" i="4"/>
  <c r="K125" i="4"/>
  <c r="J125" i="4"/>
  <c r="V114" i="4"/>
  <c r="Q114" i="4"/>
  <c r="P114" i="4"/>
  <c r="K114" i="4"/>
  <c r="J114" i="4"/>
  <c r="V126" i="4"/>
  <c r="Q126" i="4"/>
  <c r="P126" i="4"/>
  <c r="K126" i="4"/>
  <c r="J126" i="4"/>
  <c r="V102" i="4"/>
  <c r="Q102" i="4"/>
  <c r="P102" i="4"/>
  <c r="K102" i="4"/>
  <c r="J102" i="4"/>
  <c r="V92" i="4"/>
  <c r="Q92" i="4"/>
  <c r="P92" i="4"/>
  <c r="K92" i="4"/>
  <c r="J92" i="4"/>
  <c r="V40" i="4"/>
  <c r="Q40" i="4"/>
  <c r="P40" i="4"/>
  <c r="K40" i="4"/>
  <c r="J40" i="4"/>
  <c r="V11" i="4"/>
  <c r="Q11" i="4"/>
  <c r="P11" i="4"/>
  <c r="K11" i="4"/>
  <c r="J11" i="4"/>
  <c r="V5" i="4"/>
  <c r="Q5" i="4"/>
  <c r="P5" i="4"/>
  <c r="K5" i="4"/>
  <c r="J5" i="4"/>
  <c r="V7" i="4"/>
  <c r="Q7" i="4"/>
  <c r="P7" i="4"/>
  <c r="K7" i="4"/>
  <c r="J7" i="4"/>
  <c r="V16" i="4"/>
  <c r="Q16" i="4"/>
  <c r="P16" i="4"/>
  <c r="K16" i="4"/>
  <c r="J16" i="4"/>
  <c r="V94" i="4"/>
  <c r="Q94" i="4"/>
  <c r="P94" i="4"/>
  <c r="K94" i="4"/>
  <c r="J94" i="4"/>
  <c r="V91" i="4"/>
  <c r="Q91" i="4"/>
  <c r="P91" i="4"/>
  <c r="K91" i="4"/>
  <c r="J91" i="4"/>
  <c r="V122" i="4"/>
  <c r="Q122" i="4"/>
  <c r="P122" i="4"/>
  <c r="K122" i="4"/>
  <c r="J122" i="4"/>
  <c r="V101" i="4"/>
  <c r="Q101" i="4"/>
  <c r="P101" i="4"/>
  <c r="K101" i="4"/>
  <c r="J101" i="4"/>
  <c r="V49" i="4"/>
  <c r="Q49" i="4"/>
  <c r="P49" i="4"/>
  <c r="K49" i="4"/>
  <c r="J49" i="4"/>
  <c r="V21" i="4"/>
  <c r="Q21" i="4"/>
  <c r="P21" i="4"/>
  <c r="K21" i="4"/>
  <c r="J21" i="4"/>
  <c r="V41" i="4"/>
  <c r="Q41" i="4"/>
  <c r="P41" i="4"/>
  <c r="K41" i="4"/>
  <c r="J41" i="4"/>
  <c r="V54" i="4"/>
  <c r="Q54" i="4"/>
  <c r="P54" i="4"/>
  <c r="K54" i="4"/>
  <c r="J54" i="4"/>
  <c r="V66" i="4"/>
  <c r="Q66" i="4"/>
  <c r="P66" i="4"/>
  <c r="K66" i="4"/>
  <c r="J66" i="4"/>
  <c r="V56" i="4"/>
  <c r="Q56" i="4"/>
  <c r="P56" i="4"/>
  <c r="K56" i="4"/>
  <c r="J56" i="4"/>
  <c r="V51" i="4"/>
  <c r="Q51" i="4"/>
  <c r="P51" i="4"/>
  <c r="K51" i="4"/>
  <c r="J51" i="4"/>
  <c r="V20" i="4"/>
  <c r="Q20" i="4"/>
  <c r="P20" i="4"/>
  <c r="K20" i="4"/>
  <c r="J20" i="4"/>
  <c r="V113" i="4"/>
  <c r="Q113" i="4"/>
  <c r="P113" i="4"/>
  <c r="K113" i="4"/>
  <c r="J113" i="4"/>
  <c r="V39" i="4"/>
  <c r="Q39" i="4"/>
  <c r="P39" i="4"/>
  <c r="K39" i="4"/>
  <c r="J39" i="4"/>
  <c r="V99" i="4"/>
  <c r="Q99" i="4"/>
  <c r="P99" i="4"/>
  <c r="K99" i="4"/>
  <c r="J99" i="4"/>
  <c r="V78" i="4"/>
  <c r="Q78" i="4"/>
  <c r="P78" i="4"/>
  <c r="K78" i="4"/>
  <c r="J78" i="4"/>
  <c r="V74" i="4"/>
  <c r="Q74" i="4"/>
  <c r="P74" i="4"/>
  <c r="K74" i="4"/>
  <c r="J74" i="4"/>
  <c r="V24" i="4"/>
  <c r="Q24" i="4"/>
  <c r="P24" i="4"/>
  <c r="K24" i="4"/>
  <c r="J24" i="4"/>
  <c r="V59" i="4"/>
  <c r="Q59" i="4"/>
  <c r="P59" i="4"/>
  <c r="K59" i="4"/>
  <c r="J59" i="4"/>
  <c r="V69" i="4"/>
  <c r="Q69" i="4"/>
  <c r="P69" i="4"/>
  <c r="K69" i="4"/>
  <c r="J69" i="4"/>
  <c r="V12" i="4"/>
  <c r="Q12" i="4"/>
  <c r="P12" i="4"/>
  <c r="K12" i="4"/>
  <c r="J12" i="4"/>
  <c r="V129" i="4"/>
  <c r="Q129" i="4"/>
  <c r="P129" i="4"/>
  <c r="K129" i="4"/>
  <c r="J129" i="4"/>
  <c r="V100" i="4"/>
  <c r="Q100" i="4"/>
  <c r="P100" i="4"/>
  <c r="K100" i="4"/>
  <c r="J100" i="4"/>
  <c r="V117" i="4"/>
  <c r="Q117" i="4"/>
  <c r="P117" i="4"/>
  <c r="K117" i="4"/>
  <c r="J117" i="4"/>
  <c r="V82" i="4"/>
  <c r="Q82" i="4"/>
  <c r="P82" i="4"/>
  <c r="K82" i="4"/>
  <c r="J82" i="4"/>
  <c r="V106" i="4"/>
  <c r="Q106" i="4"/>
  <c r="P106" i="4"/>
  <c r="K106" i="4"/>
  <c r="J106" i="4"/>
  <c r="V71" i="4"/>
  <c r="Q71" i="4"/>
  <c r="P71" i="4"/>
  <c r="K71" i="4"/>
  <c r="J71" i="4"/>
  <c r="V120" i="4"/>
  <c r="Q120" i="4"/>
  <c r="P120" i="4"/>
  <c r="K120" i="4"/>
  <c r="J120" i="4"/>
  <c r="V107" i="4"/>
  <c r="Q107" i="4"/>
  <c r="P107" i="4"/>
  <c r="K107" i="4"/>
  <c r="J107" i="4"/>
  <c r="V116" i="4"/>
  <c r="Q116" i="4"/>
  <c r="P116" i="4"/>
  <c r="K116" i="4"/>
  <c r="J116" i="4"/>
  <c r="V63" i="4"/>
  <c r="Q63" i="4"/>
  <c r="P63" i="4"/>
  <c r="K63" i="4"/>
  <c r="J63" i="4"/>
  <c r="V38" i="4"/>
  <c r="Q38" i="4"/>
  <c r="P38" i="4"/>
  <c r="K38" i="4"/>
  <c r="J38" i="4"/>
  <c r="V58" i="4"/>
  <c r="Q58" i="4"/>
  <c r="P58" i="4"/>
  <c r="K58" i="4"/>
  <c r="J58" i="4"/>
  <c r="V43" i="4"/>
  <c r="Q43" i="4"/>
  <c r="P43" i="4"/>
  <c r="K43" i="4"/>
  <c r="J43" i="4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0" i="1"/>
  <c r="K9" i="1"/>
  <c r="K8" i="1"/>
  <c r="K7" i="1"/>
  <c r="K6" i="1"/>
  <c r="K5" i="1"/>
  <c r="K4" i="1"/>
  <c r="K3" i="1"/>
  <c r="K11" i="1"/>
  <c r="W52" i="10" l="1"/>
  <c r="W65" i="10"/>
  <c r="W67" i="10"/>
  <c r="W50" i="10"/>
  <c r="W108" i="10"/>
  <c r="W111" i="10"/>
  <c r="W103" i="10"/>
  <c r="W42" i="10"/>
  <c r="W11" i="10"/>
  <c r="W85" i="10"/>
  <c r="W84" i="10"/>
  <c r="W68" i="10"/>
  <c r="W87" i="10"/>
  <c r="W113" i="10"/>
  <c r="W121" i="10"/>
  <c r="W27" i="10"/>
  <c r="W128" i="10"/>
  <c r="W139" i="10"/>
  <c r="W3" i="10"/>
  <c r="W57" i="10"/>
  <c r="W141" i="10"/>
  <c r="W30" i="10"/>
  <c r="W95" i="10"/>
  <c r="W46" i="10"/>
  <c r="W64" i="10"/>
  <c r="W62" i="10"/>
  <c r="W25" i="10"/>
  <c r="W78" i="10"/>
  <c r="W92" i="10"/>
  <c r="W36" i="10"/>
  <c r="W98" i="10"/>
  <c r="W63" i="10"/>
  <c r="W147" i="10"/>
  <c r="W99" i="10"/>
  <c r="W101" i="10"/>
  <c r="W22" i="10"/>
  <c r="W150" i="10"/>
  <c r="W61" i="10"/>
  <c r="W96" i="10"/>
  <c r="W97" i="10"/>
  <c r="W82" i="10"/>
  <c r="W44" i="10"/>
  <c r="W47" i="10"/>
  <c r="W39" i="10"/>
  <c r="W119" i="10"/>
  <c r="W14" i="10"/>
  <c r="W31" i="10"/>
  <c r="W41" i="10"/>
  <c r="W138" i="10"/>
  <c r="W45" i="10"/>
  <c r="W38" i="10"/>
  <c r="W16" i="10"/>
  <c r="W77" i="10"/>
  <c r="W126" i="10"/>
  <c r="W144" i="10"/>
  <c r="W151" i="10"/>
  <c r="W80" i="10"/>
  <c r="W23" i="10"/>
  <c r="W58" i="10"/>
  <c r="W15" i="10"/>
  <c r="W112" i="10"/>
  <c r="W56" i="10"/>
  <c r="W140" i="10"/>
  <c r="W28" i="10"/>
  <c r="W74" i="10"/>
  <c r="W35" i="10"/>
  <c r="W117" i="10"/>
  <c r="W4" i="10"/>
  <c r="W49" i="10"/>
  <c r="W93" i="10"/>
  <c r="W120" i="10"/>
  <c r="W43" i="10"/>
  <c r="W130" i="10"/>
  <c r="W60" i="10"/>
  <c r="W152" i="10"/>
  <c r="W75" i="10"/>
  <c r="W33" i="10"/>
  <c r="W69" i="10"/>
  <c r="W72" i="10"/>
  <c r="W55" i="10"/>
  <c r="W10" i="10"/>
  <c r="W20" i="10"/>
  <c r="W132" i="10"/>
  <c r="W34" i="10"/>
  <c r="W13" i="10"/>
  <c r="W91" i="10"/>
  <c r="W127" i="10"/>
  <c r="W48" i="10"/>
  <c r="W7" i="10"/>
  <c r="W76" i="10"/>
  <c r="W143" i="10"/>
  <c r="W136" i="10"/>
  <c r="W6" i="10"/>
  <c r="W114" i="10"/>
  <c r="W100" i="10"/>
  <c r="W86" i="10"/>
  <c r="W66" i="10"/>
  <c r="W134" i="10"/>
  <c r="W59" i="10"/>
  <c r="W133" i="10"/>
  <c r="W29" i="10"/>
  <c r="W53" i="10"/>
  <c r="W89" i="10"/>
  <c r="W146" i="10"/>
  <c r="W102" i="10"/>
  <c r="W135" i="10"/>
  <c r="W40" i="10"/>
  <c r="W5" i="10"/>
  <c r="W8" i="10"/>
  <c r="W21" i="10"/>
  <c r="W107" i="10"/>
  <c r="W94" i="10"/>
  <c r="W51" i="10"/>
  <c r="W54" i="10"/>
  <c r="W125" i="10"/>
  <c r="W109" i="10"/>
  <c r="W88" i="10"/>
  <c r="W115" i="10"/>
  <c r="W18" i="10"/>
  <c r="W26" i="10"/>
  <c r="W129" i="10"/>
  <c r="W131" i="10"/>
  <c r="W124" i="10"/>
  <c r="W123" i="10"/>
  <c r="W118" i="10"/>
  <c r="W37" i="10"/>
  <c r="W104" i="10"/>
  <c r="W90" i="10"/>
  <c r="W19" i="10"/>
  <c r="W149" i="10"/>
  <c r="W9" i="10"/>
  <c r="W81" i="10"/>
  <c r="W137" i="10"/>
  <c r="W12" i="10"/>
  <c r="W24" i="10"/>
  <c r="W105" i="10"/>
  <c r="W32" i="10"/>
  <c r="W83" i="10"/>
  <c r="W110" i="10"/>
  <c r="W122" i="10"/>
  <c r="W79" i="10"/>
  <c r="W145" i="10"/>
  <c r="W106" i="10"/>
  <c r="W71" i="10"/>
  <c r="W142" i="10"/>
  <c r="W73" i="10"/>
  <c r="W70" i="10"/>
  <c r="W17" i="10"/>
  <c r="W148" i="10"/>
  <c r="W116" i="10"/>
  <c r="W82" i="4"/>
  <c r="W74" i="4"/>
  <c r="W38" i="4"/>
  <c r="W58" i="4"/>
  <c r="W11" i="4"/>
  <c r="W45" i="4"/>
  <c r="W43" i="4"/>
  <c r="W71" i="4"/>
  <c r="W59" i="4"/>
  <c r="W51" i="4"/>
  <c r="W85" i="4"/>
  <c r="W28" i="4"/>
  <c r="W105" i="4"/>
  <c r="W86" i="4"/>
  <c r="W63" i="4"/>
  <c r="W117" i="4"/>
  <c r="W78" i="4"/>
  <c r="W101" i="4"/>
  <c r="W114" i="4"/>
  <c r="W48" i="4"/>
  <c r="W9" i="4"/>
  <c r="W15" i="4"/>
  <c r="W18" i="4"/>
  <c r="W115" i="4"/>
  <c r="W75" i="4"/>
  <c r="W98" i="4"/>
  <c r="W6" i="4"/>
  <c r="W50" i="4"/>
  <c r="W103" i="4"/>
  <c r="W128" i="4"/>
  <c r="W25" i="4"/>
  <c r="W80" i="4"/>
  <c r="W106" i="4"/>
  <c r="W24" i="4"/>
  <c r="W56" i="4"/>
  <c r="W49" i="4"/>
  <c r="W5" i="4"/>
  <c r="W126" i="4"/>
  <c r="W32" i="4"/>
  <c r="W93" i="4"/>
  <c r="W87" i="4"/>
  <c r="W108" i="4"/>
  <c r="W19" i="4"/>
  <c r="W4" i="4"/>
  <c r="W34" i="4"/>
  <c r="W77" i="4"/>
  <c r="W112" i="4"/>
  <c r="W35" i="4"/>
  <c r="W53" i="4"/>
  <c r="W64" i="4"/>
  <c r="W116" i="4"/>
  <c r="W69" i="4"/>
  <c r="W20" i="4"/>
  <c r="W16" i="4"/>
  <c r="W102" i="4"/>
  <c r="W84" i="4"/>
  <c r="W121" i="4"/>
  <c r="W60" i="4"/>
  <c r="W110" i="4"/>
  <c r="W17" i="4"/>
  <c r="W81" i="4"/>
  <c r="W61" i="4"/>
  <c r="W97" i="4"/>
  <c r="W104" i="4"/>
  <c r="W37" i="4"/>
  <c r="W33" i="4"/>
  <c r="W30" i="4"/>
  <c r="W73" i="4"/>
  <c r="W52" i="4"/>
  <c r="W76" i="4"/>
  <c r="W118" i="4"/>
  <c r="W29" i="4"/>
  <c r="W3" i="4"/>
  <c r="W107" i="4"/>
  <c r="W129" i="4"/>
  <c r="W39" i="4"/>
  <c r="W54" i="4"/>
  <c r="W91" i="4"/>
  <c r="W40" i="4"/>
  <c r="W79" i="4"/>
  <c r="W127" i="4"/>
  <c r="W111" i="4"/>
  <c r="W44" i="4"/>
  <c r="W89" i="4"/>
  <c r="W62" i="4"/>
  <c r="W14" i="4"/>
  <c r="W8" i="4"/>
  <c r="W123" i="4"/>
  <c r="W65" i="4"/>
  <c r="W13" i="4"/>
  <c r="W21" i="4"/>
  <c r="W7" i="4"/>
  <c r="W119" i="4"/>
  <c r="W31" i="4"/>
  <c r="W10" i="4"/>
  <c r="W27" i="4"/>
  <c r="W36" i="4"/>
  <c r="W70" i="4"/>
  <c r="W47" i="4"/>
  <c r="W90" i="4"/>
  <c r="W83" i="4"/>
  <c r="W72" i="4"/>
  <c r="W120" i="4"/>
  <c r="W12" i="4"/>
  <c r="W113" i="4"/>
  <c r="W41" i="4"/>
  <c r="W94" i="4"/>
  <c r="W92" i="4"/>
  <c r="W96" i="4"/>
  <c r="W124" i="4"/>
  <c r="W57" i="4"/>
  <c r="W100" i="4"/>
  <c r="W99" i="4"/>
  <c r="W66" i="4"/>
  <c r="W122" i="4"/>
  <c r="W125" i="4"/>
  <c r="W88" i="4"/>
  <c r="W55" i="4"/>
  <c r="W95" i="4"/>
  <c r="W46" i="4"/>
  <c r="W67" i="4"/>
  <c r="W23" i="4"/>
  <c r="W42" i="4"/>
  <c r="W68" i="4"/>
  <c r="W130" i="4"/>
  <c r="W109" i="4"/>
  <c r="W26" i="4"/>
  <c r="W22" i="4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W131" i="1" s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W148" i="1" s="1"/>
  <c r="J149" i="1"/>
  <c r="W149" i="1" s="1"/>
  <c r="J150" i="1"/>
  <c r="J151" i="1"/>
  <c r="J152" i="1"/>
  <c r="W152" i="1" l="1"/>
  <c r="W151" i="1"/>
  <c r="W150" i="1"/>
  <c r="W80" i="1"/>
  <c r="W78" i="1"/>
  <c r="W62" i="1"/>
  <c r="W120" i="1"/>
  <c r="W114" i="1"/>
  <c r="W115" i="1"/>
  <c r="W51" i="1"/>
  <c r="W130" i="1"/>
  <c r="W82" i="1"/>
  <c r="W66" i="1"/>
  <c r="W121" i="1"/>
  <c r="W113" i="1"/>
  <c r="W58" i="1"/>
  <c r="W69" i="1"/>
  <c r="W53" i="1"/>
  <c r="W37" i="1"/>
  <c r="W47" i="1"/>
  <c r="W46" i="1"/>
  <c r="W126" i="1"/>
  <c r="W118" i="1"/>
  <c r="W102" i="1"/>
  <c r="W54" i="1"/>
  <c r="W38" i="1"/>
  <c r="W125" i="1"/>
  <c r="W109" i="1"/>
  <c r="W45" i="1"/>
  <c r="W108" i="1"/>
  <c r="W44" i="1"/>
  <c r="W123" i="1"/>
  <c r="W143" i="1"/>
  <c r="W95" i="1"/>
  <c r="W129" i="1"/>
  <c r="W57" i="1"/>
  <c r="W110" i="1"/>
  <c r="W117" i="1"/>
  <c r="W74" i="1"/>
  <c r="W146" i="1"/>
  <c r="W106" i="1"/>
  <c r="W139" i="1"/>
  <c r="W137" i="1"/>
  <c r="W52" i="1"/>
  <c r="W70" i="1"/>
  <c r="W144" i="1"/>
  <c r="W140" i="1"/>
  <c r="W119" i="1"/>
  <c r="W133" i="1"/>
  <c r="W112" i="1"/>
  <c r="W89" i="1"/>
  <c r="W90" i="1"/>
  <c r="W107" i="1"/>
  <c r="W99" i="1"/>
  <c r="W73" i="1"/>
  <c r="W42" i="1"/>
  <c r="W101" i="1"/>
  <c r="W79" i="1"/>
  <c r="W100" i="1"/>
  <c r="W124" i="1"/>
  <c r="W72" i="1"/>
  <c r="W127" i="1"/>
  <c r="W128" i="1"/>
  <c r="W50" i="1"/>
  <c r="W43" i="1"/>
  <c r="W86" i="1"/>
  <c r="W87" i="1"/>
  <c r="W134" i="1"/>
  <c r="W85" i="1"/>
  <c r="W97" i="1"/>
  <c r="W138" i="1"/>
  <c r="W136" i="1"/>
  <c r="W63" i="1"/>
  <c r="W83" i="1"/>
  <c r="W142" i="1"/>
  <c r="W48" i="1"/>
  <c r="W65" i="1"/>
  <c r="W64" i="1"/>
  <c r="W104" i="1"/>
  <c r="W111" i="1"/>
  <c r="W103" i="1"/>
  <c r="W68" i="1"/>
  <c r="W67" i="1"/>
  <c r="W56" i="1"/>
  <c r="W105" i="1"/>
  <c r="W122" i="1"/>
  <c r="W55" i="1"/>
  <c r="W59" i="1"/>
  <c r="W132" i="1"/>
  <c r="W81" i="1"/>
  <c r="W49" i="1"/>
  <c r="W91" i="1"/>
  <c r="W96" i="1"/>
  <c r="W92" i="1"/>
  <c r="W39" i="1"/>
  <c r="W40" i="1"/>
  <c r="W41" i="1"/>
  <c r="W93" i="1"/>
  <c r="W60" i="1"/>
  <c r="W88" i="1"/>
  <c r="W71" i="1"/>
  <c r="W76" i="1"/>
  <c r="W77" i="1"/>
  <c r="W84" i="1"/>
  <c r="W36" i="1"/>
  <c r="W141" i="1"/>
  <c r="W94" i="1"/>
  <c r="W75" i="1"/>
  <c r="W61" i="1"/>
  <c r="W135" i="1"/>
  <c r="W147" i="1"/>
  <c r="W116" i="1"/>
  <c r="W98" i="1"/>
  <c r="W145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" i="1"/>
  <c r="W29" i="1" l="1"/>
  <c r="W15" i="1"/>
  <c r="W13" i="1"/>
  <c r="W35" i="1"/>
  <c r="W19" i="1"/>
  <c r="W31" i="1"/>
  <c r="W27" i="1"/>
  <c r="W33" i="1"/>
  <c r="W9" i="1"/>
  <c r="W17" i="1"/>
  <c r="W23" i="1"/>
  <c r="W25" i="1"/>
  <c r="W11" i="1"/>
  <c r="W21" i="1"/>
  <c r="W7" i="1"/>
  <c r="W5" i="1"/>
  <c r="W34" i="1"/>
  <c r="W32" i="1"/>
  <c r="W30" i="1"/>
  <c r="W28" i="1"/>
  <c r="W26" i="1"/>
  <c r="W24" i="1"/>
  <c r="W22" i="1"/>
  <c r="W20" i="1"/>
  <c r="W18" i="1"/>
  <c r="W16" i="1"/>
  <c r="W14" i="1"/>
  <c r="W12" i="1"/>
  <c r="W10" i="1"/>
  <c r="W8" i="1"/>
  <c r="W6" i="1"/>
  <c r="W4" i="1"/>
  <c r="W3" i="1"/>
</calcChain>
</file>

<file path=xl/sharedStrings.xml><?xml version="1.0" encoding="utf-8"?>
<sst xmlns="http://schemas.openxmlformats.org/spreadsheetml/2006/main" count="1578" uniqueCount="195">
  <si>
    <t>Name</t>
  </si>
  <si>
    <t>ID</t>
  </si>
  <si>
    <t>Stage 1 Total</t>
  </si>
  <si>
    <t>Stage 2 Total</t>
  </si>
  <si>
    <t>Stage 3 Total</t>
  </si>
  <si>
    <t>Grand Total</t>
  </si>
  <si>
    <t>Stage 3 Steel Targets</t>
  </si>
  <si>
    <t>Team</t>
  </si>
  <si>
    <t>Time 1</t>
  </si>
  <si>
    <t>Time 2</t>
  </si>
  <si>
    <t>10's</t>
  </si>
  <si>
    <t>8's</t>
  </si>
  <si>
    <t>6's</t>
  </si>
  <si>
    <t>4's</t>
  </si>
  <si>
    <t>Stage 1 Whole Target (36 rds)</t>
  </si>
  <si>
    <t>Stage 2 Half Target (36 rds)</t>
  </si>
  <si>
    <t>Round Count</t>
  </si>
  <si>
    <t>Reload Pen.</t>
  </si>
  <si>
    <t>Plate Pen.</t>
  </si>
  <si>
    <t>Mann, Richard</t>
  </si>
  <si>
    <t>Hamm, Tim</t>
  </si>
  <si>
    <t>Honn, Garen</t>
  </si>
  <si>
    <t>Holmes, Brian</t>
  </si>
  <si>
    <t>Fox, Mark</t>
  </si>
  <si>
    <t>Randolph, James</t>
  </si>
  <si>
    <t>Satchell, Kelly</t>
  </si>
  <si>
    <t>Satchell, Todd</t>
  </si>
  <si>
    <t>Widebrook, Mike</t>
  </si>
  <si>
    <t>Herrman, Jeff</t>
  </si>
  <si>
    <t>Hanson, Bruce</t>
  </si>
  <si>
    <t>Metz, Boyd</t>
  </si>
  <si>
    <t>Grabbe, Victor</t>
  </si>
  <si>
    <t>West, Chuck</t>
  </si>
  <si>
    <t>Totzke, Lee</t>
  </si>
  <si>
    <t>Totzke, John</t>
  </si>
  <si>
    <t>Hernandez, Tony</t>
  </si>
  <si>
    <t>Smith, Ward</t>
  </si>
  <si>
    <t>Fowler, Eben</t>
  </si>
  <si>
    <t>Copp, Terry</t>
  </si>
  <si>
    <t>Deeds, Glenn</t>
  </si>
  <si>
    <t>Sweat, LeRoy</t>
  </si>
  <si>
    <t>Hodges, Glenn</t>
  </si>
  <si>
    <t>Gibson, Christopher</t>
  </si>
  <si>
    <t>Barker, Ben</t>
  </si>
  <si>
    <t>Edenstein, Donald</t>
  </si>
  <si>
    <t>Hudson, Zach</t>
  </si>
  <si>
    <t>Stahl, Marvin</t>
  </si>
  <si>
    <t>Kaminski, Philip</t>
  </si>
  <si>
    <t>Martin, Bob</t>
  </si>
  <si>
    <t>Park, Jim</t>
  </si>
  <si>
    <t>Reed, Perry</t>
  </si>
  <si>
    <t>Schmidt, John</t>
  </si>
  <si>
    <t>Prech, John</t>
  </si>
  <si>
    <t>Cronin, Tim</t>
  </si>
  <si>
    <t>Taylor, Rob</t>
  </si>
  <si>
    <t>Holder, Mike</t>
  </si>
  <si>
    <t>McCue, Tim</t>
  </si>
  <si>
    <t>Zadgyan, Sargis</t>
  </si>
  <si>
    <t>Roberson, Byron</t>
  </si>
  <si>
    <t>Sullivan, Brady</t>
  </si>
  <si>
    <t>Campbell, Jeremy</t>
  </si>
  <si>
    <t>Armstrong, Josh</t>
  </si>
  <si>
    <t>Cruz, Jordan</t>
  </si>
  <si>
    <t>Spiechinger, Kyle</t>
  </si>
  <si>
    <t>Babcock, Scott</t>
  </si>
  <si>
    <t>Buck, Gary</t>
  </si>
  <si>
    <t>Broughton, Todd</t>
  </si>
  <si>
    <t>Bradley, Walt</t>
  </si>
  <si>
    <t>Armitage, Robert</t>
  </si>
  <si>
    <t>Hamilton, Michael</t>
  </si>
  <si>
    <t>Reischman, Joshua</t>
  </si>
  <si>
    <t>Northcott, Chuck</t>
  </si>
  <si>
    <t>Chambers, Shane</t>
  </si>
  <si>
    <t>Baker, Don</t>
  </si>
  <si>
    <t>Addessi, John</t>
  </si>
  <si>
    <t>Freese, Kevin</t>
  </si>
  <si>
    <t>Hollingshead, Kurt</t>
  </si>
  <si>
    <t>Hyland, Michael</t>
  </si>
  <si>
    <t>Skinner, Delbert</t>
  </si>
  <si>
    <t>Leatherberry, Wayne</t>
  </si>
  <si>
    <t>Cutshaw, Jake</t>
  </si>
  <si>
    <t>Johnson, Skyler</t>
  </si>
  <si>
    <t>Worden, Chris</t>
  </si>
  <si>
    <t>Paulsen, Jake</t>
  </si>
  <si>
    <t>Seibert, John</t>
  </si>
  <si>
    <t>Catsimanes, Michael</t>
  </si>
  <si>
    <t>Marin, Charles</t>
  </si>
  <si>
    <t>Suzuki, Riichiro</t>
  </si>
  <si>
    <t>Bueker, Jacob</t>
  </si>
  <si>
    <t>Strayer, Ryan</t>
  </si>
  <si>
    <t>Strayer, Sheryl</t>
  </si>
  <si>
    <t>Wood, Jesse</t>
  </si>
  <si>
    <t>Byfield, Rick</t>
  </si>
  <si>
    <t>Snyder, John</t>
  </si>
  <si>
    <t>Moore, Warren</t>
  </si>
  <si>
    <t>Purinton, Jason</t>
  </si>
  <si>
    <t>Todd, Jimmie</t>
  </si>
  <si>
    <t>Flyntz, Josh</t>
  </si>
  <si>
    <t>Drake, Frank</t>
  </si>
  <si>
    <t>Conyers, Andrew</t>
  </si>
  <si>
    <t>Hall, Curtis</t>
  </si>
  <si>
    <t>Mason, Jeanie</t>
  </si>
  <si>
    <t>Gillespie, Joe</t>
  </si>
  <si>
    <t>Lopez, Joe</t>
  </si>
  <si>
    <t>Haldiman, Bernie</t>
  </si>
  <si>
    <t>McGuire, Jason</t>
  </si>
  <si>
    <t>McGuire, Shannon</t>
  </si>
  <si>
    <t>Stewart, Daniel</t>
  </si>
  <si>
    <t>Kupperman, Paul</t>
  </si>
  <si>
    <t>Tobias, Jayson</t>
  </si>
  <si>
    <t>Salts, Alan</t>
  </si>
  <si>
    <t>Everhart, Daniel</t>
  </si>
  <si>
    <t>Mitchell, Dale</t>
  </si>
  <si>
    <t>Stewart, Kim</t>
  </si>
  <si>
    <t>Hober, Michael</t>
  </si>
  <si>
    <t>Riggs, Scott</t>
  </si>
  <si>
    <t>Copeland, Matthew</t>
  </si>
  <si>
    <t>Branner, Justin</t>
  </si>
  <si>
    <t>Johnson, Dave</t>
  </si>
  <si>
    <t>Morris, Justin</t>
  </si>
  <si>
    <t>Drake, Larry</t>
  </si>
  <si>
    <t>Crabtree, Rebecca</t>
  </si>
  <si>
    <t>Quigg, Steve</t>
  </si>
  <si>
    <t>Shipman, John</t>
  </si>
  <si>
    <t>Moore, Brent</t>
  </si>
  <si>
    <t>Category</t>
  </si>
  <si>
    <t>LE - Civ - F</t>
  </si>
  <si>
    <t>R</t>
  </si>
  <si>
    <t>Grimes, Wilson</t>
  </si>
  <si>
    <t>Civ</t>
  </si>
  <si>
    <t>Seibolt, Sean</t>
  </si>
  <si>
    <t>Grimes, Dustin</t>
  </si>
  <si>
    <t>Grimes, Travis</t>
  </si>
  <si>
    <t>JOCO Police Academy</t>
  </si>
  <si>
    <t>Winter, Jonathon</t>
  </si>
  <si>
    <t>LE</t>
  </si>
  <si>
    <t>Weller, Robert</t>
  </si>
  <si>
    <t>Boland, Douglas</t>
  </si>
  <si>
    <t>S/P</t>
  </si>
  <si>
    <t>L/E</t>
  </si>
  <si>
    <t>Gardner PD 1</t>
  </si>
  <si>
    <t>Smith, Greg A</t>
  </si>
  <si>
    <t>Atchison, Lynn</t>
  </si>
  <si>
    <t>Krout, Harry</t>
  </si>
  <si>
    <t>Fulks, Ryan</t>
  </si>
  <si>
    <t>Hays, Brett</t>
  </si>
  <si>
    <t>Gardner PD 2</t>
  </si>
  <si>
    <t>Garcia, Anthony</t>
  </si>
  <si>
    <t>Hofer, Scott</t>
  </si>
  <si>
    <t>Burnett, John</t>
  </si>
  <si>
    <t>Edington, Dianne</t>
  </si>
  <si>
    <t>F</t>
  </si>
  <si>
    <t>Estes, Bill</t>
  </si>
  <si>
    <t>Murphy, John</t>
  </si>
  <si>
    <t>Albracht, Donald</t>
  </si>
  <si>
    <t>Sell, Logan</t>
  </si>
  <si>
    <t>Freeman, Bill</t>
  </si>
  <si>
    <t>Woodward, Matt</t>
  </si>
  <si>
    <t>Mosher, Corinne</t>
  </si>
  <si>
    <t>Franklin County Gold</t>
  </si>
  <si>
    <t>Nolan, May</t>
  </si>
  <si>
    <t>Mendiaz, Greg</t>
  </si>
  <si>
    <t>Staples, Rick</t>
  </si>
  <si>
    <t>Newson, Logan</t>
  </si>
  <si>
    <t>High, Brian</t>
  </si>
  <si>
    <t>Snyder, Scot</t>
  </si>
  <si>
    <t>Hopkins, Matt</t>
  </si>
  <si>
    <t>Brown, Dennis</t>
  </si>
  <si>
    <t>Bueker</t>
  </si>
  <si>
    <t>Court Security</t>
  </si>
  <si>
    <t>Prairie Village Police</t>
  </si>
  <si>
    <t>Hontz, Chris</t>
  </si>
  <si>
    <t>KHP</t>
  </si>
  <si>
    <t>Atwell, Teri</t>
  </si>
  <si>
    <t>Newson, Rick</t>
  </si>
  <si>
    <t>Shires, Bobby</t>
  </si>
  <si>
    <t>Little, Kristen</t>
  </si>
  <si>
    <t>Whisenhunt, Dave</t>
  </si>
  <si>
    <t>O</t>
  </si>
  <si>
    <t>LE Team</t>
  </si>
  <si>
    <t>10's2</t>
  </si>
  <si>
    <t>8's3</t>
  </si>
  <si>
    <t>6's4</t>
  </si>
  <si>
    <t>4's5</t>
  </si>
  <si>
    <t>Round Count6</t>
  </si>
  <si>
    <t>Bueker Total</t>
  </si>
  <si>
    <t>Court Security Total</t>
  </si>
  <si>
    <t>Franklin County Gold Total</t>
  </si>
  <si>
    <t>Gardner PD 1 Total</t>
  </si>
  <si>
    <t>Gardner PD 2 Total</t>
  </si>
  <si>
    <t>JOCO Police Academy Total</t>
  </si>
  <si>
    <t>KHP Total</t>
  </si>
  <si>
    <t>LE Team Total</t>
  </si>
  <si>
    <t>Prairie Village Police Total</t>
  </si>
  <si>
    <t>Patrol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</si>
</sst>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84">
    <xf numFmtId="0" fontId="0" fillId="0" borderId="0" xfId="0"/>
    <xf numFmtId="0" fontId="1" fillId="0" borderId="0" xfId="0" applyFont="1"/>
    <xf numFmtId="2" fontId="1" fillId="2" borderId="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 applyProtection="1">
      <alignment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9" xfId="0" applyFont="1" applyBorder="1" applyAlignment="1" applyProtection="1">
      <alignment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2" fontId="1" fillId="2" borderId="9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1" fillId="3" borderId="5" xfId="0" applyNumberFormat="1" applyFont="1" applyFill="1" applyBorder="1" applyAlignment="1">
      <alignment horizontal="center"/>
    </xf>
    <xf numFmtId="49" fontId="1" fillId="3" borderId="8" xfId="0" applyNumberFormat="1" applyFont="1" applyFill="1" applyBorder="1" applyAlignment="1">
      <alignment horizontal="center"/>
    </xf>
    <xf numFmtId="49" fontId="1" fillId="3" borderId="10" xfId="0" applyNumberFormat="1" applyFont="1" applyFill="1" applyBorder="1" applyAlignment="1">
      <alignment horizontal="center" vertical="center" wrapText="1"/>
    </xf>
    <xf numFmtId="1" fontId="1" fillId="3" borderId="9" xfId="0" applyNumberFormat="1" applyFont="1" applyFill="1" applyBorder="1" applyAlignment="1" applyProtection="1">
      <alignment horizontal="center" vertical="center"/>
      <protection locked="0"/>
    </xf>
    <xf numFmtId="1" fontId="1" fillId="3" borderId="6" xfId="0" applyNumberFormat="1" applyFont="1" applyFill="1" applyBorder="1" applyAlignment="1" applyProtection="1">
      <alignment horizontal="center" vertical="center"/>
      <protection locked="0"/>
    </xf>
    <xf numFmtId="1" fontId="1" fillId="3" borderId="9" xfId="0" applyNumberFormat="1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 applyProtection="1">
      <alignment horizontal="center" vertical="center"/>
      <protection locked="0"/>
    </xf>
    <xf numFmtId="1" fontId="1" fillId="3" borderId="6" xfId="0" applyNumberFormat="1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49" fontId="1" fillId="4" borderId="5" xfId="0" applyNumberFormat="1" applyFont="1" applyFill="1" applyBorder="1" applyAlignment="1">
      <alignment horizontal="center"/>
    </xf>
    <xf numFmtId="49" fontId="1" fillId="4" borderId="10" xfId="0" applyNumberFormat="1" applyFont="1" applyFill="1" applyBorder="1" applyAlignment="1">
      <alignment horizontal="center" vertical="center" wrapText="1"/>
    </xf>
    <xf numFmtId="1" fontId="1" fillId="4" borderId="9" xfId="0" applyNumberFormat="1" applyFont="1" applyFill="1" applyBorder="1" applyAlignment="1" applyProtection="1">
      <alignment horizontal="center" vertical="center"/>
      <protection locked="0"/>
    </xf>
    <xf numFmtId="1" fontId="1" fillId="4" borderId="9" xfId="0" applyNumberFormat="1" applyFont="1" applyFill="1" applyBorder="1" applyAlignment="1">
      <alignment horizontal="center" vertical="center"/>
    </xf>
    <xf numFmtId="1" fontId="1" fillId="4" borderId="11" xfId="0" applyNumberFormat="1" applyFont="1" applyFill="1" applyBorder="1" applyAlignment="1">
      <alignment horizontal="center" vertical="center"/>
    </xf>
    <xf numFmtId="1" fontId="1" fillId="4" borderId="1" xfId="0" applyNumberFormat="1" applyFont="1" applyFill="1" applyBorder="1" applyAlignment="1" applyProtection="1">
      <alignment horizontal="center" vertical="center"/>
      <protection locked="0"/>
    </xf>
    <xf numFmtId="1" fontId="1" fillId="4" borderId="6" xfId="0" applyNumberFormat="1" applyFont="1" applyFill="1" applyBorder="1" applyAlignment="1">
      <alignment horizontal="center" vertical="center"/>
    </xf>
    <xf numFmtId="1" fontId="1" fillId="4" borderId="1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/>
    </xf>
    <xf numFmtId="49" fontId="1" fillId="5" borderId="5" xfId="0" applyNumberFormat="1" applyFont="1" applyFill="1" applyBorder="1" applyAlignment="1">
      <alignment horizontal="center"/>
    </xf>
    <xf numFmtId="49" fontId="1" fillId="5" borderId="8" xfId="0" applyNumberFormat="1" applyFont="1" applyFill="1" applyBorder="1" applyAlignment="1">
      <alignment horizontal="center"/>
    </xf>
    <xf numFmtId="2" fontId="1" fillId="5" borderId="9" xfId="0" applyNumberFormat="1" applyFont="1" applyFill="1" applyBorder="1" applyAlignment="1" applyProtection="1">
      <alignment horizontal="center" vertical="center"/>
      <protection locked="0"/>
    </xf>
    <xf numFmtId="0" fontId="1" fillId="5" borderId="9" xfId="0" applyFont="1" applyFill="1" applyBorder="1" applyAlignment="1" applyProtection="1">
      <alignment horizontal="center" vertical="center"/>
      <protection locked="0"/>
    </xf>
    <xf numFmtId="2" fontId="1" fillId="5" borderId="6" xfId="0" applyNumberFormat="1" applyFont="1" applyFill="1" applyBorder="1" applyAlignment="1">
      <alignment horizontal="center" vertical="center"/>
    </xf>
    <xf numFmtId="2" fontId="1" fillId="5" borderId="1" xfId="0" applyNumberFormat="1" applyFont="1" applyFill="1" applyBorder="1" applyAlignment="1" applyProtection="1">
      <alignment horizontal="center" vertical="center"/>
      <protection locked="0"/>
    </xf>
    <xf numFmtId="0" fontId="1" fillId="5" borderId="1" xfId="0" applyFont="1" applyFill="1" applyBorder="1" applyAlignment="1" applyProtection="1">
      <alignment horizontal="center" vertical="center"/>
      <protection locked="0"/>
    </xf>
    <xf numFmtId="2" fontId="1" fillId="5" borderId="1" xfId="0" applyNumberFormat="1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 applyProtection="1">
      <alignment vertical="center"/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vertical="center"/>
    </xf>
    <xf numFmtId="1" fontId="1" fillId="6" borderId="1" xfId="0" applyNumberFormat="1" applyFont="1" applyFill="1" applyBorder="1" applyAlignment="1">
      <alignment horizontal="center" vertical="center"/>
    </xf>
    <xf numFmtId="2" fontId="1" fillId="6" borderId="6" xfId="0" applyNumberFormat="1" applyFont="1" applyFill="1" applyBorder="1" applyAlignment="1">
      <alignment horizontal="center" vertical="center"/>
    </xf>
    <xf numFmtId="1" fontId="1" fillId="3" borderId="12" xfId="0" applyNumberFormat="1" applyFont="1" applyFill="1" applyBorder="1" applyAlignment="1">
      <alignment horizontal="center" vertical="center"/>
    </xf>
    <xf numFmtId="2" fontId="1" fillId="5" borderId="9" xfId="0" applyNumberFormat="1" applyFont="1" applyFill="1" applyBorder="1" applyAlignment="1">
      <alignment horizontal="center" vertical="center"/>
    </xf>
    <xf numFmtId="1" fontId="1" fillId="4" borderId="12" xfId="0" applyNumberFormat="1" applyFont="1" applyFill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/>
    </xf>
    <xf numFmtId="0" fontId="1" fillId="0" borderId="4" xfId="0" applyFont="1" applyBorder="1" applyAlignment="1" applyProtection="1">
      <alignment horizontal="center" vertical="center"/>
      <protection locked="0"/>
    </xf>
    <xf numFmtId="2" fontId="1" fillId="2" borderId="18" xfId="0" applyNumberFormat="1" applyFont="1" applyFill="1" applyBorder="1" applyAlignment="1">
      <alignment horizontal="center" vertical="center"/>
    </xf>
    <xf numFmtId="0" fontId="1" fillId="0" borderId="13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1" fontId="1" fillId="3" borderId="5" xfId="0" applyNumberFormat="1" applyFont="1" applyFill="1" applyBorder="1" applyAlignment="1" applyProtection="1">
      <alignment horizontal="center" vertical="center"/>
      <protection locked="0"/>
    </xf>
    <xf numFmtId="1" fontId="1" fillId="3" borderId="7" xfId="0" applyNumberFormat="1" applyFont="1" applyFill="1" applyBorder="1" applyAlignment="1">
      <alignment horizontal="center" vertical="center"/>
    </xf>
    <xf numFmtId="1" fontId="1" fillId="3" borderId="5" xfId="0" applyNumberFormat="1" applyFont="1" applyFill="1" applyBorder="1" applyAlignment="1">
      <alignment horizontal="center" vertical="center"/>
    </xf>
    <xf numFmtId="1" fontId="1" fillId="4" borderId="5" xfId="0" applyNumberFormat="1" applyFont="1" applyFill="1" applyBorder="1" applyAlignment="1" applyProtection="1">
      <alignment horizontal="center" vertical="center"/>
      <protection locked="0"/>
    </xf>
    <xf numFmtId="1" fontId="1" fillId="4" borderId="7" xfId="0" applyNumberFormat="1" applyFont="1" applyFill="1" applyBorder="1" applyAlignment="1">
      <alignment horizontal="center" vertical="center"/>
    </xf>
    <xf numFmtId="1" fontId="1" fillId="4" borderId="5" xfId="0" applyNumberFormat="1" applyFont="1" applyFill="1" applyBorder="1" applyAlignment="1">
      <alignment horizontal="center" vertical="center"/>
    </xf>
    <xf numFmtId="2" fontId="1" fillId="5" borderId="5" xfId="0" applyNumberFormat="1" applyFont="1" applyFill="1" applyBorder="1" applyAlignment="1" applyProtection="1">
      <alignment horizontal="center" vertical="center"/>
      <protection locked="0"/>
    </xf>
    <xf numFmtId="0" fontId="1" fillId="5" borderId="5" xfId="0" applyFont="1" applyFill="1" applyBorder="1" applyAlignment="1" applyProtection="1">
      <alignment horizontal="center" vertical="center"/>
      <protection locked="0"/>
    </xf>
    <xf numFmtId="2" fontId="1" fillId="5" borderId="5" xfId="0" applyNumberFormat="1" applyFont="1" applyFill="1" applyBorder="1" applyAlignment="1">
      <alignment horizontal="center" vertical="center"/>
    </xf>
    <xf numFmtId="2" fontId="1" fillId="2" borderId="16" xfId="0" applyNumberFormat="1" applyFont="1" applyFill="1" applyBorder="1" applyAlignment="1">
      <alignment horizontal="center" vertical="center"/>
    </xf>
    <xf numFmtId="0" fontId="1" fillId="0" borderId="0" xfId="0" applyFont="1" applyBorder="1" applyAlignment="1" applyProtection="1">
      <alignment vertical="center"/>
      <protection locked="0"/>
    </xf>
    <xf numFmtId="1" fontId="1" fillId="3" borderId="10" xfId="0" applyNumberFormat="1" applyFont="1" applyFill="1" applyBorder="1" applyAlignment="1">
      <alignment horizontal="center" vertical="center"/>
    </xf>
    <xf numFmtId="1" fontId="1" fillId="4" borderId="10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49" fontId="1" fillId="3" borderId="5" xfId="0" applyNumberFormat="1" applyFont="1" applyFill="1" applyBorder="1" applyAlignment="1">
      <alignment vertical="center" wrapText="1"/>
    </xf>
    <xf numFmtId="49" fontId="1" fillId="4" borderId="5" xfId="0" applyNumberFormat="1" applyFont="1" applyFill="1" applyBorder="1" applyAlignment="1">
      <alignment vertical="center" wrapText="1"/>
    </xf>
    <xf numFmtId="49" fontId="1" fillId="2" borderId="7" xfId="0" applyNumberFormat="1" applyFont="1" applyFill="1" applyBorder="1" applyAlignment="1">
      <alignment vertical="center"/>
    </xf>
    <xf numFmtId="49" fontId="1" fillId="0" borderId="5" xfId="0" applyNumberFormat="1" applyFont="1" applyBorder="1" applyAlignment="1">
      <alignment horizontal="left" vertical="center"/>
    </xf>
    <xf numFmtId="2" fontId="1" fillId="2" borderId="12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2" fillId="0" borderId="0" xfId="0" applyFont="1" applyFill="1"/>
    <xf numFmtId="49" fontId="4" fillId="3" borderId="5" xfId="0" applyNumberFormat="1" applyFont="1" applyFill="1" applyBorder="1" applyAlignment="1">
      <alignment horizontal="center"/>
    </xf>
    <xf numFmtId="49" fontId="4" fillId="3" borderId="8" xfId="0" applyNumberFormat="1" applyFont="1" applyFill="1" applyBorder="1" applyAlignment="1">
      <alignment horizontal="center"/>
    </xf>
    <xf numFmtId="49" fontId="4" fillId="3" borderId="10" xfId="0" applyNumberFormat="1" applyFont="1" applyFill="1" applyBorder="1" applyAlignment="1">
      <alignment horizontal="center" vertical="center" wrapText="1"/>
    </xf>
    <xf numFmtId="49" fontId="4" fillId="4" borderId="5" xfId="0" applyNumberFormat="1" applyFont="1" applyFill="1" applyBorder="1" applyAlignment="1">
      <alignment horizontal="center"/>
    </xf>
    <xf numFmtId="49" fontId="4" fillId="4" borderId="10" xfId="0" applyNumberFormat="1" applyFont="1" applyFill="1" applyBorder="1" applyAlignment="1">
      <alignment horizontal="center" vertical="center" wrapText="1"/>
    </xf>
    <xf numFmtId="49" fontId="4" fillId="5" borderId="5" xfId="0" applyNumberFormat="1" applyFont="1" applyFill="1" applyBorder="1" applyAlignment="1">
      <alignment horizontal="center"/>
    </xf>
    <xf numFmtId="49" fontId="4" fillId="5" borderId="8" xfId="0" applyNumberFormat="1" applyFont="1" applyFill="1" applyBorder="1" applyAlignment="1">
      <alignment horizontal="center"/>
    </xf>
    <xf numFmtId="49" fontId="4" fillId="2" borderId="19" xfId="0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 applyProtection="1">
      <alignment horizontal="center" vertical="center"/>
      <protection locked="0"/>
    </xf>
    <xf numFmtId="0" fontId="1" fillId="6" borderId="15" xfId="0" applyFont="1" applyFill="1" applyBorder="1" applyAlignment="1" applyProtection="1">
      <alignment horizontal="center" vertical="center"/>
      <protection locked="0"/>
    </xf>
    <xf numFmtId="0" fontId="1" fillId="6" borderId="9" xfId="0" applyFont="1" applyFill="1" applyBorder="1" applyAlignment="1" applyProtection="1">
      <alignment vertical="center"/>
      <protection locked="0"/>
    </xf>
    <xf numFmtId="0" fontId="1" fillId="6" borderId="9" xfId="0" applyFont="1" applyFill="1" applyBorder="1" applyAlignment="1" applyProtection="1">
      <alignment horizontal="center" vertical="center"/>
      <protection locked="0"/>
    </xf>
    <xf numFmtId="2" fontId="1" fillId="6" borderId="17" xfId="0" applyNumberFormat="1" applyFont="1" applyFill="1" applyBorder="1" applyAlignment="1">
      <alignment horizontal="center" vertical="center"/>
    </xf>
    <xf numFmtId="0" fontId="0" fillId="0" borderId="0" xfId="0" applyFill="1" applyBorder="1"/>
    <xf numFmtId="49" fontId="1" fillId="0" borderId="14" xfId="0" applyNumberFormat="1" applyFont="1" applyFill="1" applyBorder="1" applyAlignment="1">
      <alignment vertical="center"/>
    </xf>
    <xf numFmtId="49" fontId="1" fillId="0" borderId="0" xfId="0" applyNumberFormat="1" applyFont="1" applyFill="1" applyBorder="1" applyAlignment="1"/>
    <xf numFmtId="49" fontId="1" fillId="0" borderId="0" xfId="0" applyNumberFormat="1" applyFont="1" applyFill="1" applyBorder="1" applyAlignment="1">
      <alignment horizontal="center"/>
    </xf>
    <xf numFmtId="49" fontId="1" fillId="0" borderId="16" xfId="0" applyNumberFormat="1" applyFont="1" applyFill="1" applyBorder="1" applyAlignment="1"/>
    <xf numFmtId="49" fontId="1" fillId="0" borderId="16" xfId="0" applyNumberFormat="1" applyFont="1" applyFill="1" applyBorder="1" applyAlignment="1">
      <alignment horizontal="center"/>
    </xf>
    <xf numFmtId="49" fontId="1" fillId="2" borderId="20" xfId="0" applyNumberFormat="1" applyFont="1" applyFill="1" applyBorder="1" applyAlignment="1">
      <alignment horizontal="center" vertical="center"/>
    </xf>
    <xf numFmtId="49" fontId="1" fillId="0" borderId="20" xfId="0" applyNumberFormat="1" applyFont="1" applyBorder="1" applyAlignment="1">
      <alignment horizontal="center" vertical="center"/>
    </xf>
    <xf numFmtId="49" fontId="1" fillId="0" borderId="20" xfId="0" applyNumberFormat="1" applyFont="1" applyBorder="1" applyAlignment="1">
      <alignment horizontal="left" vertical="center"/>
    </xf>
    <xf numFmtId="49" fontId="1" fillId="3" borderId="20" xfId="0" applyNumberFormat="1" applyFont="1" applyFill="1" applyBorder="1" applyAlignment="1">
      <alignment horizontal="center"/>
    </xf>
    <xf numFmtId="49" fontId="1" fillId="4" borderId="20" xfId="0" applyNumberFormat="1" applyFont="1" applyFill="1" applyBorder="1" applyAlignment="1">
      <alignment horizontal="center"/>
    </xf>
    <xf numFmtId="49" fontId="1" fillId="5" borderId="20" xfId="0" applyNumberFormat="1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 vertical="center"/>
    </xf>
    <xf numFmtId="1" fontId="1" fillId="6" borderId="9" xfId="0" applyNumberFormat="1" applyFont="1" applyFill="1" applyBorder="1" applyAlignment="1" applyProtection="1">
      <alignment horizontal="center" vertical="center"/>
      <protection locked="0"/>
    </xf>
    <xf numFmtId="1" fontId="1" fillId="6" borderId="6" xfId="0" applyNumberFormat="1" applyFont="1" applyFill="1" applyBorder="1" applyAlignment="1" applyProtection="1">
      <alignment horizontal="center" vertical="center"/>
      <protection locked="0"/>
    </xf>
    <xf numFmtId="1" fontId="1" fillId="6" borderId="9" xfId="0" applyNumberFormat="1" applyFont="1" applyFill="1" applyBorder="1" applyAlignment="1">
      <alignment horizontal="center" vertical="center"/>
    </xf>
    <xf numFmtId="1" fontId="1" fillId="6" borderId="11" xfId="0" applyNumberFormat="1" applyFont="1" applyFill="1" applyBorder="1" applyAlignment="1">
      <alignment horizontal="center" vertical="center"/>
    </xf>
    <xf numFmtId="2" fontId="1" fillId="6" borderId="9" xfId="0" applyNumberFormat="1" applyFont="1" applyFill="1" applyBorder="1" applyAlignment="1" applyProtection="1">
      <alignment horizontal="center" vertical="center"/>
      <protection locked="0"/>
    </xf>
    <xf numFmtId="0" fontId="1" fillId="0" borderId="21" xfId="0" applyFont="1" applyBorder="1" applyAlignment="1" applyProtection="1">
      <alignment horizontal="center" vertical="center"/>
      <protection locked="0"/>
    </xf>
    <xf numFmtId="2" fontId="1" fillId="2" borderId="22" xfId="0" applyNumberFormat="1" applyFont="1" applyFill="1" applyBorder="1" applyAlignment="1">
      <alignment horizontal="center" vertical="center"/>
    </xf>
    <xf numFmtId="0" fontId="1" fillId="0" borderId="23" xfId="0" applyFont="1" applyBorder="1" applyAlignment="1" applyProtection="1">
      <alignment horizontal="center" vertical="center"/>
      <protection locked="0"/>
    </xf>
    <xf numFmtId="2" fontId="1" fillId="2" borderId="24" xfId="0" applyNumberFormat="1" applyFont="1" applyFill="1" applyBorder="1" applyAlignment="1">
      <alignment horizontal="center" vertical="center"/>
    </xf>
    <xf numFmtId="0" fontId="1" fillId="0" borderId="25" xfId="0" applyFont="1" applyBorder="1" applyAlignment="1" applyProtection="1">
      <alignment horizontal="center" vertical="center"/>
      <protection locked="0"/>
    </xf>
    <xf numFmtId="0" fontId="1" fillId="0" borderId="20" xfId="0" applyFont="1" applyBorder="1" applyAlignment="1" applyProtection="1">
      <alignment vertical="center"/>
      <protection locked="0"/>
    </xf>
    <xf numFmtId="0" fontId="1" fillId="0" borderId="20" xfId="0" applyFont="1" applyBorder="1" applyAlignment="1" applyProtection="1">
      <alignment horizontal="center" vertical="center"/>
      <protection locked="0"/>
    </xf>
    <xf numFmtId="1" fontId="1" fillId="3" borderId="20" xfId="0" applyNumberFormat="1" applyFont="1" applyFill="1" applyBorder="1" applyAlignment="1" applyProtection="1">
      <alignment horizontal="center" vertical="center"/>
      <protection locked="0"/>
    </xf>
    <xf numFmtId="1" fontId="1" fillId="3" borderId="20" xfId="0" applyNumberFormat="1" applyFont="1" applyFill="1" applyBorder="1" applyAlignment="1">
      <alignment horizontal="center" vertical="center"/>
    </xf>
    <xf numFmtId="1" fontId="1" fillId="4" borderId="20" xfId="0" applyNumberFormat="1" applyFont="1" applyFill="1" applyBorder="1" applyAlignment="1" applyProtection="1">
      <alignment horizontal="center" vertical="center"/>
      <protection locked="0"/>
    </xf>
    <xf numFmtId="1" fontId="1" fillId="4" borderId="20" xfId="0" applyNumberFormat="1" applyFont="1" applyFill="1" applyBorder="1" applyAlignment="1">
      <alignment horizontal="center" vertical="center"/>
    </xf>
    <xf numFmtId="2" fontId="1" fillId="5" borderId="20" xfId="0" applyNumberFormat="1" applyFont="1" applyFill="1" applyBorder="1" applyAlignment="1" applyProtection="1">
      <alignment horizontal="center" vertical="center"/>
      <protection locked="0"/>
    </xf>
    <xf numFmtId="0" fontId="1" fillId="5" borderId="20" xfId="0" applyFont="1" applyFill="1" applyBorder="1" applyAlignment="1" applyProtection="1">
      <alignment horizontal="center" vertical="center"/>
      <protection locked="0"/>
    </xf>
    <xf numFmtId="2" fontId="1" fillId="5" borderId="20" xfId="0" applyNumberFormat="1" applyFont="1" applyFill="1" applyBorder="1" applyAlignment="1">
      <alignment horizontal="center" vertical="center"/>
    </xf>
    <xf numFmtId="2" fontId="1" fillId="2" borderId="26" xfId="0" applyNumberFormat="1" applyFont="1" applyFill="1" applyBorder="1" applyAlignment="1">
      <alignment horizontal="center" vertical="center"/>
    </xf>
    <xf numFmtId="0" fontId="1" fillId="0" borderId="27" xfId="0" applyFont="1" applyBorder="1" applyAlignment="1" applyProtection="1">
      <alignment vertical="center"/>
      <protection locked="0"/>
    </xf>
    <xf numFmtId="0" fontId="1" fillId="0" borderId="28" xfId="0" applyFont="1" applyBorder="1" applyAlignment="1" applyProtection="1">
      <alignment horizontal="center" vertical="center"/>
      <protection locked="0"/>
    </xf>
    <xf numFmtId="0" fontId="1" fillId="0" borderId="29" xfId="0" applyFont="1" applyBorder="1" applyAlignment="1" applyProtection="1">
      <alignment vertical="center"/>
      <protection locked="0"/>
    </xf>
    <xf numFmtId="0" fontId="1" fillId="0" borderId="29" xfId="0" applyFont="1" applyBorder="1" applyAlignment="1" applyProtection="1">
      <alignment horizontal="center" vertical="center"/>
      <protection locked="0"/>
    </xf>
    <xf numFmtId="1" fontId="1" fillId="3" borderId="29" xfId="0" applyNumberFormat="1" applyFont="1" applyFill="1" applyBorder="1" applyAlignment="1" applyProtection="1">
      <alignment horizontal="center" vertical="center"/>
      <protection locked="0"/>
    </xf>
    <xf numFmtId="1" fontId="1" fillId="3" borderId="29" xfId="0" applyNumberFormat="1" applyFont="1" applyFill="1" applyBorder="1" applyAlignment="1">
      <alignment horizontal="center" vertical="center"/>
    </xf>
    <xf numFmtId="1" fontId="1" fillId="4" borderId="29" xfId="0" applyNumberFormat="1" applyFont="1" applyFill="1" applyBorder="1" applyAlignment="1" applyProtection="1">
      <alignment horizontal="center" vertical="center"/>
      <protection locked="0"/>
    </xf>
    <xf numFmtId="1" fontId="1" fillId="4" borderId="29" xfId="0" applyNumberFormat="1" applyFont="1" applyFill="1" applyBorder="1" applyAlignment="1">
      <alignment horizontal="center" vertical="center"/>
    </xf>
    <xf numFmtId="2" fontId="1" fillId="5" borderId="29" xfId="0" applyNumberFormat="1" applyFont="1" applyFill="1" applyBorder="1" applyAlignment="1" applyProtection="1">
      <alignment horizontal="center" vertical="center"/>
      <protection locked="0"/>
    </xf>
    <xf numFmtId="0" fontId="1" fillId="5" borderId="29" xfId="0" applyFont="1" applyFill="1" applyBorder="1" applyAlignment="1" applyProtection="1">
      <alignment horizontal="center" vertical="center"/>
      <protection locked="0"/>
    </xf>
    <xf numFmtId="2" fontId="1" fillId="5" borderId="29" xfId="0" applyNumberFormat="1" applyFont="1" applyFill="1" applyBorder="1" applyAlignment="1">
      <alignment horizontal="center" vertical="center"/>
    </xf>
    <xf numFmtId="2" fontId="1" fillId="2" borderId="30" xfId="0" applyNumberFormat="1" applyFont="1" applyFill="1" applyBorder="1" applyAlignment="1">
      <alignment horizontal="center" vertical="center"/>
    </xf>
    <xf numFmtId="0" fontId="1" fillId="8" borderId="21" xfId="0" applyFont="1" applyFill="1" applyBorder="1" applyAlignment="1" applyProtection="1">
      <alignment horizontal="center" vertical="center"/>
      <protection locked="0"/>
    </xf>
    <xf numFmtId="0" fontId="1" fillId="8" borderId="9" xfId="0" applyFont="1" applyFill="1" applyBorder="1" applyAlignment="1" applyProtection="1">
      <alignment vertical="center"/>
      <protection locked="0"/>
    </xf>
    <xf numFmtId="0" fontId="1" fillId="8" borderId="9" xfId="0" applyFont="1" applyFill="1" applyBorder="1" applyAlignment="1" applyProtection="1">
      <alignment horizontal="center" vertical="center"/>
      <protection locked="0"/>
    </xf>
    <xf numFmtId="0" fontId="1" fillId="8" borderId="23" xfId="0" applyFont="1" applyFill="1" applyBorder="1" applyAlignment="1" applyProtection="1">
      <alignment horizontal="center" vertical="center"/>
      <protection locked="0"/>
    </xf>
    <xf numFmtId="0" fontId="1" fillId="8" borderId="1" xfId="0" applyFont="1" applyFill="1" applyBorder="1" applyAlignment="1" applyProtection="1">
      <alignment vertical="center"/>
      <protection locked="0"/>
    </xf>
    <xf numFmtId="0" fontId="1" fillId="8" borderId="1" xfId="0" applyFont="1" applyFill="1" applyBorder="1" applyAlignment="1" applyProtection="1">
      <alignment horizontal="center" vertical="center"/>
      <protection locked="0"/>
    </xf>
    <xf numFmtId="0" fontId="1" fillId="8" borderId="25" xfId="0" applyFont="1" applyFill="1" applyBorder="1" applyAlignment="1" applyProtection="1">
      <alignment horizontal="center" vertical="center"/>
      <protection locked="0"/>
    </xf>
    <xf numFmtId="0" fontId="1" fillId="8" borderId="20" xfId="0" applyFont="1" applyFill="1" applyBorder="1" applyAlignment="1" applyProtection="1">
      <alignment vertical="center"/>
      <protection locked="0"/>
    </xf>
    <xf numFmtId="0" fontId="1" fillId="8" borderId="20" xfId="0" applyFont="1" applyFill="1" applyBorder="1" applyAlignment="1" applyProtection="1">
      <alignment horizontal="center" vertical="center"/>
      <protection locked="0"/>
    </xf>
    <xf numFmtId="0" fontId="1" fillId="8" borderId="28" xfId="0" applyFont="1" applyFill="1" applyBorder="1" applyAlignment="1" applyProtection="1">
      <alignment horizontal="center" vertical="center"/>
      <protection locked="0"/>
    </xf>
    <xf numFmtId="0" fontId="1" fillId="8" borderId="29" xfId="0" applyFont="1" applyFill="1" applyBorder="1" applyAlignment="1" applyProtection="1">
      <alignment vertical="center"/>
      <protection locked="0"/>
    </xf>
    <xf numFmtId="0" fontId="1" fillId="8" borderId="29" xfId="0" applyFont="1" applyFill="1" applyBorder="1" applyAlignment="1" applyProtection="1">
      <alignment horizontal="center" vertical="center"/>
      <protection locked="0"/>
    </xf>
    <xf numFmtId="0" fontId="1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vertical="center"/>
    </xf>
    <xf numFmtId="0" fontId="3" fillId="0" borderId="0" xfId="0" applyFont="1"/>
    <xf numFmtId="0" fontId="3" fillId="0" borderId="0" xfId="0" applyFont="1" applyFill="1"/>
    <xf numFmtId="2" fontId="3" fillId="0" borderId="0" xfId="0" applyNumberFormat="1" applyFont="1" applyFill="1"/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vertical="center"/>
    </xf>
    <xf numFmtId="1" fontId="5" fillId="6" borderId="1" xfId="0" applyNumberFormat="1" applyFont="1" applyFill="1" applyBorder="1" applyAlignment="1">
      <alignment horizontal="center" vertical="center"/>
    </xf>
    <xf numFmtId="2" fontId="5" fillId="6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1" fontId="5" fillId="0" borderId="1" xfId="0" applyNumberFormat="1" applyFont="1" applyFill="1" applyBorder="1" applyAlignment="1">
      <alignment horizontal="center" vertical="center"/>
    </xf>
    <xf numFmtId="2" fontId="5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5" fillId="7" borderId="0" xfId="0" applyFont="1" applyFill="1" applyBorder="1" applyAlignment="1">
      <alignment horizontal="center" vertical="center"/>
    </xf>
    <xf numFmtId="0" fontId="5" fillId="7" borderId="0" xfId="0" applyFont="1" applyFill="1" applyBorder="1" applyAlignment="1">
      <alignment vertical="center"/>
    </xf>
    <xf numFmtId="1" fontId="5" fillId="8" borderId="0" xfId="0" applyNumberFormat="1" applyFont="1" applyFill="1" applyBorder="1" applyAlignment="1">
      <alignment horizontal="center" vertical="center"/>
    </xf>
    <xf numFmtId="2" fontId="5" fillId="8" borderId="0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49" fontId="1" fillId="5" borderId="2" xfId="0" applyNumberFormat="1" applyFont="1" applyFill="1" applyBorder="1" applyAlignment="1">
      <alignment horizontal="center"/>
    </xf>
    <xf numFmtId="49" fontId="1" fillId="5" borderId="3" xfId="0" applyNumberFormat="1" applyFont="1" applyFill="1" applyBorder="1" applyAlignment="1">
      <alignment horizontal="center"/>
    </xf>
    <xf numFmtId="49" fontId="1" fillId="5" borderId="4" xfId="0" applyNumberFormat="1" applyFont="1" applyFill="1" applyBorder="1" applyAlignment="1">
      <alignment horizont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10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/>
    </xf>
    <xf numFmtId="49" fontId="1" fillId="3" borderId="3" xfId="0" applyNumberFormat="1" applyFont="1" applyFill="1" applyBorder="1" applyAlignment="1">
      <alignment horizontal="center"/>
    </xf>
    <xf numFmtId="49" fontId="1" fillId="3" borderId="4" xfId="0" applyNumberFormat="1" applyFon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1" fillId="4" borderId="3" xfId="0" applyNumberFormat="1" applyFont="1" applyFill="1" applyBorder="1" applyAlignment="1">
      <alignment horizontal="center"/>
    </xf>
    <xf numFmtId="49" fontId="1" fillId="4" borderId="4" xfId="0" applyNumberFormat="1" applyFont="1" applyFill="1" applyBorder="1" applyAlignment="1">
      <alignment horizontal="center"/>
    </xf>
    <xf numFmtId="49" fontId="1" fillId="3" borderId="5" xfId="0" applyNumberFormat="1" applyFont="1" applyFill="1" applyBorder="1" applyAlignment="1">
      <alignment horizontal="center" vertical="center" wrapText="1"/>
    </xf>
    <xf numFmtId="49" fontId="1" fillId="3" borderId="10" xfId="0" applyNumberFormat="1" applyFont="1" applyFill="1" applyBorder="1" applyAlignment="1">
      <alignment horizontal="center" vertical="center" wrapText="1"/>
    </xf>
    <xf numFmtId="49" fontId="1" fillId="4" borderId="5" xfId="0" applyNumberFormat="1" applyFont="1" applyFill="1" applyBorder="1" applyAlignment="1">
      <alignment horizontal="center" vertical="center" wrapText="1"/>
    </xf>
    <xf numFmtId="49" fontId="1" fillId="4" borderId="10" xfId="0" applyNumberFormat="1" applyFont="1" applyFill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/>
    </xf>
    <xf numFmtId="49" fontId="1" fillId="3" borderId="7" xfId="0" applyNumberFormat="1" applyFont="1" applyFill="1" applyBorder="1" applyAlignment="1">
      <alignment horizontal="center" vertical="center" wrapText="1"/>
    </xf>
    <xf numFmtId="49" fontId="1" fillId="4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" formatCode="0.00"/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" formatCode="0.0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" formatCode="0.0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" formatCode="0.0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" formatCode="0.0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fill>
        <patternFill patternType="solid">
          <fgColor indexed="64"/>
          <bgColor rgb="FFFF66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fill>
        <patternFill patternType="solid">
          <fgColor indexed="64"/>
          <bgColor rgb="FFFF66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fill>
        <patternFill patternType="solid">
          <fgColor indexed="64"/>
          <bgColor rgb="FFFF66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fill>
        <patternFill patternType="solid">
          <fgColor indexed="64"/>
          <bgColor rgb="FFFF66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fill>
        <patternFill patternType="solid">
          <fgColor indexed="64"/>
          <bgColor rgb="FFFF66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fill>
        <patternFill patternType="solid">
          <fgColor indexed="64"/>
          <bgColor rgb="FFFF66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</dxfs>
  <tableStyles count="0" defaultTableStyle="TableStyleMedium9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6" name="Table47" displayName="Table47" ref="A2:W152" totalsRowShown="0" headerRowDxfId="24" tableBorderDxfId="23">
  <autoFilter ref="A2:W152">
    <filterColumn colId="22">
      <filters>
        <filter val="165.60"/>
        <filter val="211.78"/>
        <filter val="260.22"/>
        <filter val="265.83"/>
        <filter val="280.30"/>
        <filter val="286.89"/>
        <filter val="290.57"/>
        <filter val="322.05"/>
        <filter val="324.53"/>
        <filter val="330.37"/>
        <filter val="337.76"/>
        <filter val="345.73"/>
        <filter val="359.96"/>
        <filter val="368.00"/>
        <filter val="379.32"/>
        <filter val="382.25"/>
        <filter val="401.69"/>
        <filter val="413.21"/>
        <filter val="418.62"/>
        <filter val="428.50"/>
        <filter val="433.43"/>
        <filter val="434.42"/>
        <filter val="435.18"/>
        <filter val="437.58"/>
        <filter val="437.89"/>
        <filter val="437.91"/>
        <filter val="447.13"/>
        <filter val="454.30"/>
        <filter val="457.48"/>
        <filter val="470.65"/>
        <filter val="471.46"/>
        <filter val="472.07"/>
        <filter val="476.31"/>
        <filter val="479.48"/>
        <filter val="479.87"/>
        <filter val="480.35"/>
        <filter val="480.83"/>
        <filter val="482.44"/>
        <filter val="491.50"/>
        <filter val="494.19"/>
        <filter val="496.19"/>
        <filter val="497.53"/>
        <filter val="498.39"/>
        <filter val="505.50"/>
        <filter val="507.93"/>
        <filter val="511.87"/>
        <filter val="518.11"/>
        <filter val="518.57"/>
        <filter val="534.57"/>
        <filter val="542.52"/>
        <filter val="545.45"/>
        <filter val="547.60"/>
        <filter val="553.12"/>
        <filter val="553.78"/>
        <filter val="559.10"/>
        <filter val="560.53"/>
        <filter val="562.04"/>
        <filter val="567.65"/>
        <filter val="567.70"/>
        <filter val="571.01"/>
        <filter val="572.80"/>
        <filter val="573.51"/>
        <filter val="579.88"/>
        <filter val="582.48"/>
        <filter val="585.23"/>
        <filter val="592.93"/>
        <filter val="593.24"/>
        <filter val="595.61"/>
        <filter val="598.30"/>
        <filter val="599.19"/>
        <filter val="601.29"/>
        <filter val="602.95"/>
        <filter val="604.26"/>
        <filter val="607.32"/>
        <filter val="615.06"/>
        <filter val="618.77"/>
        <filter val="618.84"/>
        <filter val="621.37"/>
        <filter val="622.59"/>
        <filter val="625.42"/>
        <filter val="625.89"/>
        <filter val="629.35"/>
        <filter val="631.63"/>
        <filter val="633.82"/>
        <filter val="634.43"/>
        <filter val="634.53"/>
        <filter val="636.92"/>
        <filter val="637.33"/>
        <filter val="638.35"/>
        <filter val="638.74"/>
        <filter val="639.65"/>
        <filter val="647.56"/>
        <filter val="648.30"/>
        <filter val="648.86"/>
        <filter val="650.84"/>
        <filter val="651.43"/>
        <filter val="654.17"/>
        <filter val="654.82"/>
        <filter val="656.11"/>
        <filter val="656.12"/>
        <filter val="657.39"/>
        <filter val="658.77"/>
        <filter val="659.41"/>
        <filter val="661.33"/>
        <filter val="664.04"/>
        <filter val="664.45"/>
        <filter val="666.85"/>
        <filter val="672.48"/>
        <filter val="673.69"/>
        <filter val="679.68"/>
        <filter val="682.84"/>
        <filter val="683.93"/>
        <filter val="684.11"/>
        <filter val="686.75"/>
        <filter val="695.19"/>
        <filter val="695.83"/>
        <filter val="705.02"/>
        <filter val="705.63"/>
        <filter val="706.74"/>
        <filter val="710.46"/>
        <filter val="717.87"/>
        <filter val="719.40"/>
        <filter val="721.09"/>
        <filter val="738.51"/>
        <filter val="740.80"/>
        <filter val="745.92"/>
        <filter val="781.49"/>
        <filter val="795.27"/>
      </filters>
    </filterColumn>
  </autoFilter>
  <sortState ref="A3:W147">
    <sortCondition ref="W2:W152"/>
  </sortState>
  <tableColumns count="23">
    <tableColumn id="1" name="ID" dataDxfId="22"/>
    <tableColumn id="2" name="Name" dataDxfId="21"/>
    <tableColumn id="3" name="LE - Civ - F" dataDxfId="20"/>
    <tableColumn id="4" name="Category" dataDxfId="19"/>
    <tableColumn id="5" name="Team" dataDxfId="18"/>
    <tableColumn id="6" name="10's" dataDxfId="17"/>
    <tableColumn id="7" name="8's" dataDxfId="16"/>
    <tableColumn id="8" name="6's" dataDxfId="15"/>
    <tableColumn id="9" name="4's" dataDxfId="14"/>
    <tableColumn id="10" name="Stage 1 Total" dataDxfId="13"/>
    <tableColumn id="11" name="Round Count" dataDxfId="12">
      <calculatedColumnFormula>SUM(F3:I3)</calculatedColumnFormula>
    </tableColumn>
    <tableColumn id="12" name="10's2" dataDxfId="11"/>
    <tableColumn id="13" name="8's3" dataDxfId="10"/>
    <tableColumn id="14" name="6's4" dataDxfId="9"/>
    <tableColumn id="15" name="4's5" dataDxfId="8"/>
    <tableColumn id="16" name="Stage 2 Total" dataDxfId="7"/>
    <tableColumn id="17" name="Round Count6" dataDxfId="6">
      <calculatedColumnFormula>SUM(L3:O3)</calculatedColumnFormula>
    </tableColumn>
    <tableColumn id="18" name="Time 1" dataDxfId="5"/>
    <tableColumn id="19" name="Time 2" dataDxfId="4"/>
    <tableColumn id="20" name="Reload Pen." dataDxfId="3"/>
    <tableColumn id="21" name="Plate Pen." dataDxfId="2"/>
    <tableColumn id="22" name="Stage 3 Total" dataDxfId="1">
      <calculatedColumnFormula>100-(R3+S3+(U3*10)+(T3*20))</calculatedColumnFormula>
    </tableColumn>
    <tableColumn id="23" name="Grand Total" dataDxfId="0">
      <calculatedColumnFormula>J3+P3+V3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52"/>
  <sheetViews>
    <sheetView tabSelected="1" zoomScaleNormal="100" workbookViewId="0">
      <pane xSplit="1" ySplit="2" topLeftCell="B45" activePane="bottomRight" state="frozen"/>
      <selection pane="topRight" activeCell="B1" sqref="B1"/>
      <selection pane="bottomLeft" activeCell="A3" sqref="A3"/>
      <selection pane="bottomRight" activeCell="E57" sqref="E57"/>
    </sheetView>
  </sheetViews>
  <sheetFormatPr defaultColWidth="9.140625" defaultRowHeight="12.75" x14ac:dyDescent="0.2"/>
  <cols>
    <col min="1" max="1" width="7.140625" style="7" customWidth="1"/>
    <col min="2" max="2" width="23.85546875" style="6" bestFit="1" customWidth="1"/>
    <col min="3" max="3" width="13.42578125" style="7" bestFit="1" customWidth="1"/>
    <col min="4" max="4" width="11.140625" style="7" bestFit="1" customWidth="1"/>
    <col min="5" max="5" width="25.7109375" style="7" bestFit="1" customWidth="1"/>
    <col min="6" max="9" width="6.28515625" style="21" customWidth="1"/>
    <col min="10" max="10" width="15" style="21" customWidth="1"/>
    <col min="11" max="11" width="9.85546875" style="21" customWidth="1"/>
    <col min="12" max="15" width="6.28515625" style="30" customWidth="1"/>
    <col min="16" max="16" width="15.28515625" style="30" customWidth="1"/>
    <col min="17" max="17" width="10" style="30" customWidth="1"/>
    <col min="18" max="18" width="11.42578125" style="39" customWidth="1"/>
    <col min="19" max="19" width="11.42578125" style="39" hidden="1" customWidth="1"/>
    <col min="20" max="20" width="13.28515625" style="39" hidden="1" customWidth="1"/>
    <col min="21" max="21" width="12.7109375" style="39" hidden="1" customWidth="1"/>
    <col min="22" max="22" width="15.7109375" style="39" bestFit="1" customWidth="1"/>
    <col min="23" max="23" width="20.42578125" style="7" customWidth="1"/>
    <col min="24" max="16384" width="9.140625" style="6"/>
  </cols>
  <sheetData>
    <row r="1" spans="1:23" s="1" customFormat="1" ht="17.25" customHeight="1" x14ac:dyDescent="0.2">
      <c r="A1" s="164" t="s">
        <v>1</v>
      </c>
      <c r="B1" s="164" t="s">
        <v>0</v>
      </c>
      <c r="C1" s="164" t="s">
        <v>126</v>
      </c>
      <c r="D1" s="164" t="s">
        <v>125</v>
      </c>
      <c r="E1" s="164" t="s">
        <v>7</v>
      </c>
      <c r="F1" s="171" t="s">
        <v>14</v>
      </c>
      <c r="G1" s="172"/>
      <c r="H1" s="172"/>
      <c r="I1" s="172"/>
      <c r="J1" s="173"/>
      <c r="K1" s="177" t="s">
        <v>16</v>
      </c>
      <c r="L1" s="174" t="s">
        <v>15</v>
      </c>
      <c r="M1" s="175"/>
      <c r="N1" s="175"/>
      <c r="O1" s="175"/>
      <c r="P1" s="176"/>
      <c r="Q1" s="179" t="s">
        <v>16</v>
      </c>
      <c r="R1" s="166" t="s">
        <v>6</v>
      </c>
      <c r="S1" s="167"/>
      <c r="T1" s="167"/>
      <c r="U1" s="167"/>
      <c r="V1" s="168"/>
      <c r="W1" s="169" t="s">
        <v>5</v>
      </c>
    </row>
    <row r="2" spans="1:23" s="1" customFormat="1" ht="18" customHeight="1" thickBot="1" x14ac:dyDescent="0.25">
      <c r="A2" s="165"/>
      <c r="B2" s="165"/>
      <c r="C2" s="165"/>
      <c r="D2" s="165"/>
      <c r="E2" s="165"/>
      <c r="F2" s="12" t="s">
        <v>10</v>
      </c>
      <c r="G2" s="12" t="s">
        <v>11</v>
      </c>
      <c r="H2" s="12" t="s">
        <v>12</v>
      </c>
      <c r="I2" s="13" t="s">
        <v>13</v>
      </c>
      <c r="J2" s="12" t="s">
        <v>2</v>
      </c>
      <c r="K2" s="178"/>
      <c r="L2" s="22" t="s">
        <v>10</v>
      </c>
      <c r="M2" s="22" t="s">
        <v>11</v>
      </c>
      <c r="N2" s="22" t="s">
        <v>12</v>
      </c>
      <c r="O2" s="22" t="s">
        <v>13</v>
      </c>
      <c r="P2" s="22" t="s">
        <v>3</v>
      </c>
      <c r="Q2" s="180"/>
      <c r="R2" s="31" t="s">
        <v>8</v>
      </c>
      <c r="S2" s="31" t="s">
        <v>9</v>
      </c>
      <c r="T2" s="31" t="s">
        <v>17</v>
      </c>
      <c r="U2" s="31" t="s">
        <v>18</v>
      </c>
      <c r="V2" s="32" t="s">
        <v>4</v>
      </c>
      <c r="W2" s="170"/>
    </row>
    <row r="3" spans="1:23" s="3" customFormat="1" ht="22.5" customHeight="1" thickTop="1" x14ac:dyDescent="0.25">
      <c r="A3" s="9">
        <v>1</v>
      </c>
      <c r="B3" s="8" t="s">
        <v>128</v>
      </c>
      <c r="C3" s="9" t="s">
        <v>129</v>
      </c>
      <c r="D3" s="9" t="s">
        <v>138</v>
      </c>
      <c r="E3" s="9"/>
      <c r="F3" s="15">
        <v>4</v>
      </c>
      <c r="G3" s="15">
        <v>4</v>
      </c>
      <c r="H3" s="15">
        <v>9</v>
      </c>
      <c r="I3" s="16">
        <v>14</v>
      </c>
      <c r="J3" s="17">
        <f t="shared" ref="J3:J34" si="0">SUM(F3*10)+(G3*8)+(H3*6)+(I3*4)</f>
        <v>182</v>
      </c>
      <c r="K3" s="20">
        <f t="shared" ref="K3:K34" si="1">SUM(F3:I3)</f>
        <v>31</v>
      </c>
      <c r="L3" s="24">
        <v>12</v>
      </c>
      <c r="M3" s="24">
        <v>9</v>
      </c>
      <c r="N3" s="24">
        <v>4</v>
      </c>
      <c r="O3" s="24"/>
      <c r="P3" s="25">
        <f t="shared" ref="P3:P34" si="2">SUM(L3*10)+(M3*8)+(N3*6)+(O3*4)</f>
        <v>216</v>
      </c>
      <c r="Q3" s="26">
        <f t="shared" ref="Q3:Q34" si="3">SUM(L3:O3)</f>
        <v>25</v>
      </c>
      <c r="R3" s="33">
        <v>21.69</v>
      </c>
      <c r="S3" s="33"/>
      <c r="T3" s="33"/>
      <c r="U3" s="34"/>
      <c r="V3" s="35">
        <f t="shared" ref="V3:V34" si="4">100-(R3+S3+(U3*10)+(T3*20))</f>
        <v>78.31</v>
      </c>
      <c r="W3" s="10">
        <f t="shared" ref="W3:W34" si="5">J3+P3+V3</f>
        <v>476.31</v>
      </c>
    </row>
    <row r="4" spans="1:23" s="3" customFormat="1" ht="22.5" customHeight="1" x14ac:dyDescent="0.25">
      <c r="A4" s="5">
        <v>2</v>
      </c>
      <c r="B4" s="4" t="s">
        <v>130</v>
      </c>
      <c r="C4" s="5" t="s">
        <v>129</v>
      </c>
      <c r="D4" s="5" t="s">
        <v>138</v>
      </c>
      <c r="E4" s="5"/>
      <c r="F4" s="18">
        <v>1</v>
      </c>
      <c r="G4" s="18">
        <v>3</v>
      </c>
      <c r="H4" s="18">
        <v>4</v>
      </c>
      <c r="I4" s="18">
        <v>11</v>
      </c>
      <c r="J4" s="19">
        <f t="shared" si="0"/>
        <v>102</v>
      </c>
      <c r="K4" s="20">
        <f t="shared" si="1"/>
        <v>19</v>
      </c>
      <c r="L4" s="27">
        <v>7</v>
      </c>
      <c r="M4" s="27">
        <v>5</v>
      </c>
      <c r="N4" s="27">
        <v>5</v>
      </c>
      <c r="O4" s="27"/>
      <c r="P4" s="28">
        <f t="shared" si="2"/>
        <v>140</v>
      </c>
      <c r="Q4" s="29">
        <f t="shared" si="3"/>
        <v>17</v>
      </c>
      <c r="R4" s="36">
        <v>51.43</v>
      </c>
      <c r="S4" s="36"/>
      <c r="T4" s="36"/>
      <c r="U4" s="37"/>
      <c r="V4" s="38">
        <f t="shared" si="4"/>
        <v>48.57</v>
      </c>
      <c r="W4" s="2">
        <f t="shared" si="5"/>
        <v>290.57</v>
      </c>
    </row>
    <row r="5" spans="1:23" s="3" customFormat="1" ht="22.5" customHeight="1" x14ac:dyDescent="0.25">
      <c r="A5" s="5">
        <v>3</v>
      </c>
      <c r="B5" s="4" t="s">
        <v>131</v>
      </c>
      <c r="C5" s="5" t="s">
        <v>129</v>
      </c>
      <c r="D5" s="5" t="s">
        <v>138</v>
      </c>
      <c r="E5" s="5"/>
      <c r="F5" s="18">
        <v>3</v>
      </c>
      <c r="G5" s="18">
        <v>6</v>
      </c>
      <c r="H5" s="18">
        <v>8</v>
      </c>
      <c r="I5" s="18">
        <v>15</v>
      </c>
      <c r="J5" s="19">
        <f t="shared" si="0"/>
        <v>186</v>
      </c>
      <c r="K5" s="20">
        <f t="shared" si="1"/>
        <v>32</v>
      </c>
      <c r="L5" s="27">
        <v>16</v>
      </c>
      <c r="M5" s="27">
        <v>8</v>
      </c>
      <c r="N5" s="27">
        <v>6</v>
      </c>
      <c r="O5" s="27"/>
      <c r="P5" s="28">
        <f t="shared" si="2"/>
        <v>260</v>
      </c>
      <c r="Q5" s="29">
        <f t="shared" si="3"/>
        <v>30</v>
      </c>
      <c r="R5" s="36">
        <v>27.43</v>
      </c>
      <c r="S5" s="36"/>
      <c r="T5" s="36"/>
      <c r="U5" s="37"/>
      <c r="V5" s="38">
        <f t="shared" si="4"/>
        <v>72.569999999999993</v>
      </c>
      <c r="W5" s="2">
        <f t="shared" si="5"/>
        <v>518.56999999999994</v>
      </c>
    </row>
    <row r="6" spans="1:23" s="3" customFormat="1" ht="22.5" customHeight="1" x14ac:dyDescent="0.25">
      <c r="A6" s="5">
        <v>4</v>
      </c>
      <c r="B6" s="4" t="s">
        <v>132</v>
      </c>
      <c r="C6" s="5" t="s">
        <v>129</v>
      </c>
      <c r="D6" s="5" t="s">
        <v>138</v>
      </c>
      <c r="E6" s="5"/>
      <c r="F6" s="18">
        <v>0</v>
      </c>
      <c r="G6" s="18">
        <v>4</v>
      </c>
      <c r="H6" s="18">
        <v>4</v>
      </c>
      <c r="I6" s="18">
        <v>10</v>
      </c>
      <c r="J6" s="19">
        <f t="shared" si="0"/>
        <v>96</v>
      </c>
      <c r="K6" s="20">
        <f t="shared" si="1"/>
        <v>18</v>
      </c>
      <c r="L6" s="27">
        <v>0</v>
      </c>
      <c r="M6" s="27">
        <v>0</v>
      </c>
      <c r="N6" s="27">
        <v>0</v>
      </c>
      <c r="O6" s="27">
        <v>0</v>
      </c>
      <c r="P6" s="28">
        <f t="shared" si="2"/>
        <v>0</v>
      </c>
      <c r="Q6" s="29">
        <f t="shared" si="3"/>
        <v>0</v>
      </c>
      <c r="R6" s="36">
        <v>30.4</v>
      </c>
      <c r="S6" s="36"/>
      <c r="T6" s="36"/>
      <c r="U6" s="37"/>
      <c r="V6" s="38">
        <f t="shared" si="4"/>
        <v>69.599999999999994</v>
      </c>
      <c r="W6" s="2">
        <f t="shared" si="5"/>
        <v>165.6</v>
      </c>
    </row>
    <row r="7" spans="1:23" s="3" customFormat="1" ht="22.5" customHeight="1" x14ac:dyDescent="0.25">
      <c r="A7" s="5">
        <v>5</v>
      </c>
      <c r="B7" s="4" t="s">
        <v>134</v>
      </c>
      <c r="C7" s="5" t="s">
        <v>135</v>
      </c>
      <c r="D7" s="5" t="s">
        <v>138</v>
      </c>
      <c r="E7" s="5" t="s">
        <v>133</v>
      </c>
      <c r="F7" s="18">
        <v>3</v>
      </c>
      <c r="G7" s="18">
        <v>5</v>
      </c>
      <c r="H7" s="18">
        <v>7</v>
      </c>
      <c r="I7" s="18">
        <v>15</v>
      </c>
      <c r="J7" s="19">
        <f t="shared" si="0"/>
        <v>172</v>
      </c>
      <c r="K7" s="20">
        <f t="shared" si="1"/>
        <v>30</v>
      </c>
      <c r="L7" s="27">
        <v>17</v>
      </c>
      <c r="M7" s="27">
        <v>12</v>
      </c>
      <c r="N7" s="27">
        <v>3</v>
      </c>
      <c r="O7" s="27"/>
      <c r="P7" s="28">
        <f t="shared" si="2"/>
        <v>284</v>
      </c>
      <c r="Q7" s="29">
        <f t="shared" si="3"/>
        <v>32</v>
      </c>
      <c r="R7" s="36">
        <v>13.48</v>
      </c>
      <c r="S7" s="36"/>
      <c r="T7" s="36"/>
      <c r="U7" s="37"/>
      <c r="V7" s="38">
        <f t="shared" si="4"/>
        <v>86.52</v>
      </c>
      <c r="W7" s="2">
        <f t="shared" si="5"/>
        <v>542.52</v>
      </c>
    </row>
    <row r="8" spans="1:23" s="3" customFormat="1" ht="22.5" customHeight="1" x14ac:dyDescent="0.25">
      <c r="A8" s="5">
        <v>6</v>
      </c>
      <c r="B8" s="4" t="s">
        <v>136</v>
      </c>
      <c r="C8" s="5" t="s">
        <v>135</v>
      </c>
      <c r="D8" s="5" t="s">
        <v>138</v>
      </c>
      <c r="E8" s="5" t="s">
        <v>133</v>
      </c>
      <c r="F8" s="18">
        <v>5</v>
      </c>
      <c r="G8" s="18">
        <v>10</v>
      </c>
      <c r="H8" s="18">
        <v>10</v>
      </c>
      <c r="I8" s="18">
        <v>10</v>
      </c>
      <c r="J8" s="19">
        <f t="shared" si="0"/>
        <v>230</v>
      </c>
      <c r="K8" s="20">
        <f t="shared" si="1"/>
        <v>35</v>
      </c>
      <c r="L8" s="27">
        <v>18</v>
      </c>
      <c r="M8" s="27">
        <v>9</v>
      </c>
      <c r="N8" s="27">
        <v>5</v>
      </c>
      <c r="O8" s="27"/>
      <c r="P8" s="28">
        <f t="shared" si="2"/>
        <v>282</v>
      </c>
      <c r="Q8" s="29">
        <f t="shared" si="3"/>
        <v>32</v>
      </c>
      <c r="R8" s="36">
        <v>19.07</v>
      </c>
      <c r="S8" s="36"/>
      <c r="T8" s="36"/>
      <c r="U8" s="37"/>
      <c r="V8" s="38">
        <f t="shared" si="4"/>
        <v>80.930000000000007</v>
      </c>
      <c r="W8" s="2">
        <f t="shared" si="5"/>
        <v>592.93000000000006</v>
      </c>
    </row>
    <row r="9" spans="1:23" s="3" customFormat="1" ht="22.5" customHeight="1" x14ac:dyDescent="0.25">
      <c r="A9" s="5">
        <v>7</v>
      </c>
      <c r="B9" s="4" t="s">
        <v>137</v>
      </c>
      <c r="C9" s="5" t="s">
        <v>135</v>
      </c>
      <c r="D9" s="5" t="s">
        <v>138</v>
      </c>
      <c r="E9" s="5" t="s">
        <v>133</v>
      </c>
      <c r="F9" s="18">
        <v>3</v>
      </c>
      <c r="G9" s="18">
        <v>6</v>
      </c>
      <c r="H9" s="18">
        <v>8</v>
      </c>
      <c r="I9" s="18">
        <v>14</v>
      </c>
      <c r="J9" s="19">
        <f t="shared" si="0"/>
        <v>182</v>
      </c>
      <c r="K9" s="20">
        <f t="shared" si="1"/>
        <v>31</v>
      </c>
      <c r="L9" s="27">
        <v>18</v>
      </c>
      <c r="M9" s="27">
        <v>6</v>
      </c>
      <c r="N9" s="27">
        <v>3</v>
      </c>
      <c r="O9" s="27"/>
      <c r="P9" s="28">
        <f t="shared" si="2"/>
        <v>246</v>
      </c>
      <c r="Q9" s="29">
        <f t="shared" si="3"/>
        <v>27</v>
      </c>
      <c r="R9" s="36">
        <v>30.47</v>
      </c>
      <c r="S9" s="36"/>
      <c r="T9" s="36"/>
      <c r="U9" s="37"/>
      <c r="V9" s="38">
        <f t="shared" si="4"/>
        <v>69.53</v>
      </c>
      <c r="W9" s="2">
        <f t="shared" si="5"/>
        <v>497.53</v>
      </c>
    </row>
    <row r="10" spans="1:23" s="3" customFormat="1" ht="22.5" customHeight="1" x14ac:dyDescent="0.25">
      <c r="A10" s="5">
        <v>8</v>
      </c>
      <c r="B10" s="4" t="s">
        <v>141</v>
      </c>
      <c r="C10" s="5" t="s">
        <v>135</v>
      </c>
      <c r="D10" s="5" t="s">
        <v>138</v>
      </c>
      <c r="E10" s="5"/>
      <c r="F10" s="18"/>
      <c r="G10" s="18"/>
      <c r="H10" s="18"/>
      <c r="I10" s="18"/>
      <c r="J10" s="19">
        <f t="shared" si="0"/>
        <v>0</v>
      </c>
      <c r="K10" s="20">
        <f t="shared" si="1"/>
        <v>0</v>
      </c>
      <c r="L10" s="27"/>
      <c r="M10" s="27"/>
      <c r="N10" s="27"/>
      <c r="O10" s="27"/>
      <c r="P10" s="28">
        <f t="shared" si="2"/>
        <v>0</v>
      </c>
      <c r="Q10" s="29">
        <f t="shared" si="3"/>
        <v>0</v>
      </c>
      <c r="R10" s="36"/>
      <c r="S10" s="36"/>
      <c r="T10" s="36"/>
      <c r="U10" s="37"/>
      <c r="V10" s="38">
        <f t="shared" si="4"/>
        <v>100</v>
      </c>
      <c r="W10" s="2">
        <f t="shared" si="5"/>
        <v>100</v>
      </c>
    </row>
    <row r="11" spans="1:23" s="3" customFormat="1" ht="22.5" customHeight="1" x14ac:dyDescent="0.25">
      <c r="A11" s="5">
        <v>9</v>
      </c>
      <c r="B11" s="4" t="s">
        <v>173</v>
      </c>
      <c r="C11" s="5" t="s">
        <v>151</v>
      </c>
      <c r="D11" s="5" t="s">
        <v>138</v>
      </c>
      <c r="E11" s="5"/>
      <c r="F11" s="18"/>
      <c r="G11" s="18">
        <v>5</v>
      </c>
      <c r="H11" s="18">
        <v>3</v>
      </c>
      <c r="I11" s="18">
        <v>17</v>
      </c>
      <c r="J11" s="19">
        <f t="shared" si="0"/>
        <v>126</v>
      </c>
      <c r="K11" s="20">
        <f t="shared" si="1"/>
        <v>25</v>
      </c>
      <c r="L11" s="27">
        <v>2</v>
      </c>
      <c r="M11" s="27">
        <v>7</v>
      </c>
      <c r="N11" s="27"/>
      <c r="O11" s="27"/>
      <c r="P11" s="28">
        <f t="shared" si="2"/>
        <v>76</v>
      </c>
      <c r="Q11" s="29">
        <f t="shared" si="3"/>
        <v>9</v>
      </c>
      <c r="R11" s="36">
        <v>41.78</v>
      </c>
      <c r="S11" s="36"/>
      <c r="T11" s="36"/>
      <c r="U11" s="37"/>
      <c r="V11" s="38">
        <f t="shared" si="4"/>
        <v>58.22</v>
      </c>
      <c r="W11" s="2">
        <f t="shared" si="5"/>
        <v>260.22000000000003</v>
      </c>
    </row>
    <row r="12" spans="1:23" s="3" customFormat="1" ht="22.5" customHeight="1" x14ac:dyDescent="0.25">
      <c r="A12" s="5">
        <v>10</v>
      </c>
      <c r="B12" s="4" t="s">
        <v>19</v>
      </c>
      <c r="C12" s="5" t="s">
        <v>135</v>
      </c>
      <c r="D12" s="5" t="s">
        <v>138</v>
      </c>
      <c r="E12" s="5"/>
      <c r="F12" s="18">
        <v>5</v>
      </c>
      <c r="G12" s="18">
        <v>14</v>
      </c>
      <c r="H12" s="18">
        <v>10</v>
      </c>
      <c r="I12" s="18">
        <v>6</v>
      </c>
      <c r="J12" s="19">
        <f t="shared" si="0"/>
        <v>246</v>
      </c>
      <c r="K12" s="20">
        <f t="shared" si="1"/>
        <v>35</v>
      </c>
      <c r="L12" s="27">
        <v>17</v>
      </c>
      <c r="M12" s="27">
        <v>10</v>
      </c>
      <c r="N12" s="27">
        <v>2</v>
      </c>
      <c r="O12" s="27"/>
      <c r="P12" s="28">
        <f t="shared" si="2"/>
        <v>262</v>
      </c>
      <c r="Q12" s="29">
        <f t="shared" si="3"/>
        <v>29</v>
      </c>
      <c r="R12" s="36">
        <v>14.76</v>
      </c>
      <c r="S12" s="36"/>
      <c r="T12" s="36"/>
      <c r="U12" s="37"/>
      <c r="V12" s="38">
        <f t="shared" si="4"/>
        <v>85.24</v>
      </c>
      <c r="W12" s="2">
        <f t="shared" si="5"/>
        <v>593.24</v>
      </c>
    </row>
    <row r="13" spans="1:23" s="3" customFormat="1" ht="22.5" customHeight="1" x14ac:dyDescent="0.25">
      <c r="A13" s="5">
        <v>11</v>
      </c>
      <c r="B13" s="4" t="s">
        <v>20</v>
      </c>
      <c r="C13" s="5" t="s">
        <v>135</v>
      </c>
      <c r="D13" s="5" t="s">
        <v>138</v>
      </c>
      <c r="E13" s="5"/>
      <c r="F13" s="18">
        <v>9</v>
      </c>
      <c r="G13" s="18">
        <v>11</v>
      </c>
      <c r="H13" s="18">
        <v>9</v>
      </c>
      <c r="I13" s="18">
        <v>7</v>
      </c>
      <c r="J13" s="19">
        <f t="shared" si="0"/>
        <v>260</v>
      </c>
      <c r="K13" s="20">
        <f t="shared" si="1"/>
        <v>36</v>
      </c>
      <c r="L13" s="27">
        <v>29</v>
      </c>
      <c r="M13" s="27">
        <v>6</v>
      </c>
      <c r="N13" s="27"/>
      <c r="O13" s="27"/>
      <c r="P13" s="28">
        <f t="shared" si="2"/>
        <v>338</v>
      </c>
      <c r="Q13" s="29">
        <f t="shared" si="3"/>
        <v>35</v>
      </c>
      <c r="R13" s="36">
        <v>11.25</v>
      </c>
      <c r="S13" s="36"/>
      <c r="T13" s="36"/>
      <c r="U13" s="37"/>
      <c r="V13" s="38">
        <f t="shared" si="4"/>
        <v>88.75</v>
      </c>
      <c r="W13" s="2">
        <f t="shared" si="5"/>
        <v>686.75</v>
      </c>
    </row>
    <row r="14" spans="1:23" s="3" customFormat="1" ht="22.5" customHeight="1" x14ac:dyDescent="0.25">
      <c r="A14" s="5">
        <v>12</v>
      </c>
      <c r="B14" s="4" t="s">
        <v>21</v>
      </c>
      <c r="C14" s="5" t="s">
        <v>135</v>
      </c>
      <c r="D14" s="5" t="s">
        <v>138</v>
      </c>
      <c r="E14" s="5"/>
      <c r="F14" s="18">
        <v>3</v>
      </c>
      <c r="G14" s="18">
        <v>10</v>
      </c>
      <c r="H14" s="18">
        <v>14</v>
      </c>
      <c r="I14" s="18">
        <v>1</v>
      </c>
      <c r="J14" s="19">
        <f t="shared" si="0"/>
        <v>198</v>
      </c>
      <c r="K14" s="20">
        <f t="shared" si="1"/>
        <v>28</v>
      </c>
      <c r="L14" s="27">
        <v>16</v>
      </c>
      <c r="M14" s="27">
        <v>8</v>
      </c>
      <c r="N14" s="27">
        <v>1</v>
      </c>
      <c r="O14" s="27"/>
      <c r="P14" s="28">
        <f t="shared" si="2"/>
        <v>230</v>
      </c>
      <c r="Q14" s="29">
        <f t="shared" si="3"/>
        <v>25</v>
      </c>
      <c r="R14" s="36">
        <v>16.13</v>
      </c>
      <c r="S14" s="36"/>
      <c r="T14" s="36"/>
      <c r="U14" s="37"/>
      <c r="V14" s="38">
        <f t="shared" si="4"/>
        <v>83.87</v>
      </c>
      <c r="W14" s="2">
        <f t="shared" si="5"/>
        <v>511.87</v>
      </c>
    </row>
    <row r="15" spans="1:23" s="3" customFormat="1" ht="22.5" customHeight="1" x14ac:dyDescent="0.25">
      <c r="A15" s="5">
        <v>13</v>
      </c>
      <c r="B15" s="4" t="s">
        <v>22</v>
      </c>
      <c r="C15" s="5" t="s">
        <v>135</v>
      </c>
      <c r="D15" s="5" t="s">
        <v>138</v>
      </c>
      <c r="E15" s="5"/>
      <c r="F15" s="18">
        <v>12</v>
      </c>
      <c r="G15" s="18">
        <v>12</v>
      </c>
      <c r="H15" s="18">
        <v>7</v>
      </c>
      <c r="I15" s="18">
        <v>5</v>
      </c>
      <c r="J15" s="19">
        <f t="shared" si="0"/>
        <v>278</v>
      </c>
      <c r="K15" s="20">
        <f t="shared" si="1"/>
        <v>36</v>
      </c>
      <c r="L15" s="27">
        <v>17</v>
      </c>
      <c r="M15" s="27">
        <v>8</v>
      </c>
      <c r="N15" s="27">
        <v>5</v>
      </c>
      <c r="O15" s="27"/>
      <c r="P15" s="28">
        <f t="shared" si="2"/>
        <v>264</v>
      </c>
      <c r="Q15" s="29">
        <f t="shared" si="3"/>
        <v>30</v>
      </c>
      <c r="R15" s="36">
        <v>12.65</v>
      </c>
      <c r="S15" s="36"/>
      <c r="T15" s="36"/>
      <c r="U15" s="37"/>
      <c r="V15" s="38">
        <f t="shared" si="4"/>
        <v>87.35</v>
      </c>
      <c r="W15" s="2">
        <f t="shared" si="5"/>
        <v>629.35</v>
      </c>
    </row>
    <row r="16" spans="1:23" s="3" customFormat="1" ht="22.5" customHeight="1" x14ac:dyDescent="0.25">
      <c r="A16" s="5">
        <v>14</v>
      </c>
      <c r="B16" s="4" t="s">
        <v>23</v>
      </c>
      <c r="C16" s="5" t="s">
        <v>135</v>
      </c>
      <c r="D16" s="5" t="s">
        <v>138</v>
      </c>
      <c r="E16" s="5"/>
      <c r="F16" s="18">
        <v>4</v>
      </c>
      <c r="G16" s="18">
        <v>9</v>
      </c>
      <c r="H16" s="18">
        <v>9</v>
      </c>
      <c r="I16" s="18">
        <v>10</v>
      </c>
      <c r="J16" s="19">
        <f t="shared" si="0"/>
        <v>206</v>
      </c>
      <c r="K16" s="20">
        <f t="shared" si="1"/>
        <v>32</v>
      </c>
      <c r="L16" s="27">
        <v>8</v>
      </c>
      <c r="M16" s="27">
        <v>8</v>
      </c>
      <c r="N16" s="27"/>
      <c r="O16" s="27"/>
      <c r="P16" s="28">
        <f t="shared" si="2"/>
        <v>144</v>
      </c>
      <c r="Q16" s="29">
        <f t="shared" si="3"/>
        <v>16</v>
      </c>
      <c r="R16" s="36">
        <v>21.5</v>
      </c>
      <c r="S16" s="36"/>
      <c r="T16" s="36"/>
      <c r="U16" s="37"/>
      <c r="V16" s="38">
        <f t="shared" si="4"/>
        <v>78.5</v>
      </c>
      <c r="W16" s="2">
        <f t="shared" si="5"/>
        <v>428.5</v>
      </c>
    </row>
    <row r="17" spans="1:23" s="3" customFormat="1" ht="22.5" customHeight="1" x14ac:dyDescent="0.25">
      <c r="A17" s="5">
        <v>15</v>
      </c>
      <c r="B17" s="4" t="s">
        <v>24</v>
      </c>
      <c r="C17" s="5" t="s">
        <v>129</v>
      </c>
      <c r="D17" s="5" t="s">
        <v>139</v>
      </c>
      <c r="E17" s="5"/>
      <c r="F17" s="18">
        <v>7</v>
      </c>
      <c r="G17" s="18">
        <v>7</v>
      </c>
      <c r="H17" s="18">
        <v>8</v>
      </c>
      <c r="I17" s="18">
        <v>8</v>
      </c>
      <c r="J17" s="19">
        <f t="shared" si="0"/>
        <v>206</v>
      </c>
      <c r="K17" s="20">
        <f t="shared" si="1"/>
        <v>30</v>
      </c>
      <c r="L17" s="27">
        <v>22</v>
      </c>
      <c r="M17" s="27">
        <v>5</v>
      </c>
      <c r="N17" s="27">
        <v>1</v>
      </c>
      <c r="O17" s="27"/>
      <c r="P17" s="28">
        <f t="shared" si="2"/>
        <v>266</v>
      </c>
      <c r="Q17" s="29">
        <f t="shared" si="3"/>
        <v>28</v>
      </c>
      <c r="R17" s="36">
        <v>18.88</v>
      </c>
      <c r="S17" s="36"/>
      <c r="T17" s="36"/>
      <c r="U17" s="37"/>
      <c r="V17" s="38">
        <f t="shared" si="4"/>
        <v>81.12</v>
      </c>
      <c r="W17" s="2">
        <f t="shared" si="5"/>
        <v>553.12</v>
      </c>
    </row>
    <row r="18" spans="1:23" s="3" customFormat="1" ht="22.5" customHeight="1" x14ac:dyDescent="0.25">
      <c r="A18" s="5">
        <v>16</v>
      </c>
      <c r="B18" s="4" t="s">
        <v>25</v>
      </c>
      <c r="C18" s="5" t="s">
        <v>151</v>
      </c>
      <c r="D18" s="5" t="s">
        <v>138</v>
      </c>
      <c r="E18" s="5"/>
      <c r="F18" s="18">
        <v>2</v>
      </c>
      <c r="G18" s="18">
        <v>4</v>
      </c>
      <c r="H18" s="18">
        <v>6</v>
      </c>
      <c r="I18" s="18">
        <v>16</v>
      </c>
      <c r="J18" s="19">
        <f t="shared" si="0"/>
        <v>152</v>
      </c>
      <c r="K18" s="20">
        <f t="shared" si="1"/>
        <v>28</v>
      </c>
      <c r="L18" s="27">
        <v>7</v>
      </c>
      <c r="M18" s="27">
        <v>9</v>
      </c>
      <c r="N18" s="27">
        <v>6</v>
      </c>
      <c r="O18" s="27"/>
      <c r="P18" s="28">
        <f t="shared" si="2"/>
        <v>178</v>
      </c>
      <c r="Q18" s="29">
        <f t="shared" si="3"/>
        <v>22</v>
      </c>
      <c r="R18" s="36">
        <v>28.31</v>
      </c>
      <c r="S18" s="36"/>
      <c r="T18" s="36"/>
      <c r="U18" s="37"/>
      <c r="V18" s="38">
        <f t="shared" si="4"/>
        <v>71.69</v>
      </c>
      <c r="W18" s="2">
        <f t="shared" si="5"/>
        <v>401.69</v>
      </c>
    </row>
    <row r="19" spans="1:23" s="3" customFormat="1" ht="22.5" customHeight="1" x14ac:dyDescent="0.25">
      <c r="A19" s="5">
        <v>17</v>
      </c>
      <c r="B19" s="4" t="s">
        <v>26</v>
      </c>
      <c r="C19" s="5" t="s">
        <v>129</v>
      </c>
      <c r="D19" s="5" t="s">
        <v>138</v>
      </c>
      <c r="E19" s="5"/>
      <c r="F19" s="18"/>
      <c r="G19" s="18">
        <v>2</v>
      </c>
      <c r="H19" s="18">
        <v>2</v>
      </c>
      <c r="I19" s="18">
        <v>13</v>
      </c>
      <c r="J19" s="19">
        <f t="shared" si="0"/>
        <v>80</v>
      </c>
      <c r="K19" s="20">
        <f t="shared" si="1"/>
        <v>17</v>
      </c>
      <c r="L19" s="27">
        <v>8</v>
      </c>
      <c r="M19" s="27">
        <v>3</v>
      </c>
      <c r="N19" s="27">
        <v>4</v>
      </c>
      <c r="O19" s="27"/>
      <c r="P19" s="28">
        <f t="shared" si="2"/>
        <v>128</v>
      </c>
      <c r="Q19" s="29">
        <f t="shared" si="3"/>
        <v>15</v>
      </c>
      <c r="R19" s="36">
        <v>21.11</v>
      </c>
      <c r="S19" s="36"/>
      <c r="T19" s="36"/>
      <c r="U19" s="37"/>
      <c r="V19" s="38">
        <f t="shared" si="4"/>
        <v>78.89</v>
      </c>
      <c r="W19" s="2">
        <f t="shared" si="5"/>
        <v>286.89</v>
      </c>
    </row>
    <row r="20" spans="1:23" s="3" customFormat="1" ht="22.5" customHeight="1" x14ac:dyDescent="0.25">
      <c r="A20" s="5">
        <v>18</v>
      </c>
      <c r="B20" s="4" t="s">
        <v>27</v>
      </c>
      <c r="C20" s="5" t="s">
        <v>129</v>
      </c>
      <c r="D20" s="5" t="s">
        <v>138</v>
      </c>
      <c r="E20" s="5"/>
      <c r="F20" s="18">
        <v>7</v>
      </c>
      <c r="G20" s="18">
        <v>20</v>
      </c>
      <c r="H20" s="18">
        <v>4</v>
      </c>
      <c r="I20" s="18">
        <v>5</v>
      </c>
      <c r="J20" s="19">
        <f t="shared" si="0"/>
        <v>274</v>
      </c>
      <c r="K20" s="20">
        <f t="shared" si="1"/>
        <v>36</v>
      </c>
      <c r="L20" s="27">
        <v>29</v>
      </c>
      <c r="M20" s="27">
        <v>7</v>
      </c>
      <c r="N20" s="27"/>
      <c r="O20" s="27"/>
      <c r="P20" s="28">
        <f t="shared" si="2"/>
        <v>346</v>
      </c>
      <c r="Q20" s="29">
        <f t="shared" si="3"/>
        <v>36</v>
      </c>
      <c r="R20" s="36">
        <v>14.37</v>
      </c>
      <c r="S20" s="36"/>
      <c r="T20" s="36"/>
      <c r="U20" s="37"/>
      <c r="V20" s="38">
        <f t="shared" si="4"/>
        <v>85.63</v>
      </c>
      <c r="W20" s="2">
        <f t="shared" si="5"/>
        <v>705.63</v>
      </c>
    </row>
    <row r="21" spans="1:23" s="3" customFormat="1" ht="22.5" customHeight="1" x14ac:dyDescent="0.25">
      <c r="A21" s="5">
        <v>19</v>
      </c>
      <c r="B21" s="4" t="s">
        <v>28</v>
      </c>
      <c r="C21" s="5" t="s">
        <v>135</v>
      </c>
      <c r="D21" s="5" t="s">
        <v>127</v>
      </c>
      <c r="E21" s="5" t="s">
        <v>159</v>
      </c>
      <c r="F21" s="18">
        <v>11</v>
      </c>
      <c r="G21" s="18">
        <v>14</v>
      </c>
      <c r="H21" s="18">
        <v>4</v>
      </c>
      <c r="I21" s="18">
        <v>6</v>
      </c>
      <c r="J21" s="19">
        <f t="shared" si="0"/>
        <v>270</v>
      </c>
      <c r="K21" s="20">
        <f t="shared" si="1"/>
        <v>35</v>
      </c>
      <c r="L21" s="27">
        <v>22</v>
      </c>
      <c r="M21" s="27">
        <v>10</v>
      </c>
      <c r="N21" s="27">
        <v>1</v>
      </c>
      <c r="O21" s="27"/>
      <c r="P21" s="28">
        <f t="shared" si="2"/>
        <v>306</v>
      </c>
      <c r="Q21" s="29">
        <f t="shared" si="3"/>
        <v>33</v>
      </c>
      <c r="R21" s="36">
        <v>17.23</v>
      </c>
      <c r="S21" s="36"/>
      <c r="T21" s="36"/>
      <c r="U21" s="37"/>
      <c r="V21" s="38">
        <f t="shared" si="4"/>
        <v>82.77</v>
      </c>
      <c r="W21" s="2">
        <f t="shared" si="5"/>
        <v>658.77</v>
      </c>
    </row>
    <row r="22" spans="1:23" s="3" customFormat="1" ht="22.5" customHeight="1" x14ac:dyDescent="0.25">
      <c r="A22" s="5">
        <v>20</v>
      </c>
      <c r="B22" s="4" t="s">
        <v>29</v>
      </c>
      <c r="C22" s="5" t="s">
        <v>135</v>
      </c>
      <c r="D22" s="5" t="s">
        <v>138</v>
      </c>
      <c r="E22" s="5" t="s">
        <v>159</v>
      </c>
      <c r="F22" s="18">
        <v>12</v>
      </c>
      <c r="G22" s="18">
        <v>16</v>
      </c>
      <c r="H22" s="18">
        <v>6</v>
      </c>
      <c r="I22" s="18">
        <v>2</v>
      </c>
      <c r="J22" s="19">
        <f t="shared" si="0"/>
        <v>292</v>
      </c>
      <c r="K22" s="20">
        <f t="shared" si="1"/>
        <v>36</v>
      </c>
      <c r="L22" s="27">
        <v>28</v>
      </c>
      <c r="M22" s="27">
        <v>5</v>
      </c>
      <c r="N22" s="27">
        <v>3</v>
      </c>
      <c r="O22" s="27"/>
      <c r="P22" s="28">
        <f t="shared" si="2"/>
        <v>338</v>
      </c>
      <c r="Q22" s="29">
        <f t="shared" si="3"/>
        <v>36</v>
      </c>
      <c r="R22" s="36">
        <v>10.6</v>
      </c>
      <c r="S22" s="36"/>
      <c r="T22" s="36"/>
      <c r="U22" s="37"/>
      <c r="V22" s="38">
        <f t="shared" si="4"/>
        <v>89.4</v>
      </c>
      <c r="W22" s="2">
        <f t="shared" si="5"/>
        <v>719.4</v>
      </c>
    </row>
    <row r="23" spans="1:23" s="3" customFormat="1" ht="22.5" customHeight="1" x14ac:dyDescent="0.25">
      <c r="A23" s="5">
        <v>21</v>
      </c>
      <c r="B23" s="4" t="s">
        <v>30</v>
      </c>
      <c r="C23" s="5" t="s">
        <v>135</v>
      </c>
      <c r="D23" s="5" t="s">
        <v>138</v>
      </c>
      <c r="E23" s="5"/>
      <c r="F23" s="18">
        <v>11</v>
      </c>
      <c r="G23" s="18">
        <v>13</v>
      </c>
      <c r="H23" s="18">
        <v>4</v>
      </c>
      <c r="I23" s="18">
        <v>6</v>
      </c>
      <c r="J23" s="19">
        <f t="shared" si="0"/>
        <v>262</v>
      </c>
      <c r="K23" s="20">
        <f t="shared" si="1"/>
        <v>34</v>
      </c>
      <c r="L23" s="27">
        <v>21</v>
      </c>
      <c r="M23" s="27">
        <v>7</v>
      </c>
      <c r="N23" s="27">
        <v>3</v>
      </c>
      <c r="O23" s="27"/>
      <c r="P23" s="28">
        <f t="shared" si="2"/>
        <v>284</v>
      </c>
      <c r="Q23" s="29">
        <f t="shared" si="3"/>
        <v>31</v>
      </c>
      <c r="R23" s="36">
        <v>14.37</v>
      </c>
      <c r="S23" s="36"/>
      <c r="T23" s="36"/>
      <c r="U23" s="37"/>
      <c r="V23" s="38">
        <f t="shared" si="4"/>
        <v>85.63</v>
      </c>
      <c r="W23" s="2">
        <f t="shared" si="5"/>
        <v>631.63</v>
      </c>
    </row>
    <row r="24" spans="1:23" s="3" customFormat="1" ht="22.5" customHeight="1" x14ac:dyDescent="0.25">
      <c r="A24" s="5">
        <v>22</v>
      </c>
      <c r="B24" s="68" t="s">
        <v>171</v>
      </c>
      <c r="C24" s="40" t="s">
        <v>129</v>
      </c>
      <c r="D24" s="40" t="s">
        <v>138</v>
      </c>
      <c r="E24" s="5"/>
      <c r="F24" s="18">
        <v>6</v>
      </c>
      <c r="G24" s="18">
        <v>7</v>
      </c>
      <c r="H24" s="18">
        <v>12</v>
      </c>
      <c r="I24" s="18">
        <v>6</v>
      </c>
      <c r="J24" s="19">
        <f t="shared" si="0"/>
        <v>212</v>
      </c>
      <c r="K24" s="20">
        <f t="shared" si="1"/>
        <v>31</v>
      </c>
      <c r="L24" s="27">
        <v>13</v>
      </c>
      <c r="M24" s="27">
        <v>8</v>
      </c>
      <c r="N24" s="27">
        <v>6</v>
      </c>
      <c r="O24" s="27"/>
      <c r="P24" s="28">
        <f t="shared" si="2"/>
        <v>230</v>
      </c>
      <c r="Q24" s="29">
        <f t="shared" si="3"/>
        <v>27</v>
      </c>
      <c r="R24" s="36">
        <v>23.89</v>
      </c>
      <c r="S24" s="36"/>
      <c r="T24" s="36"/>
      <c r="U24" s="37"/>
      <c r="V24" s="38">
        <f t="shared" si="4"/>
        <v>76.11</v>
      </c>
      <c r="W24" s="2">
        <f t="shared" si="5"/>
        <v>518.11</v>
      </c>
    </row>
    <row r="25" spans="1:23" s="3" customFormat="1" ht="22.5" customHeight="1" x14ac:dyDescent="0.25">
      <c r="A25" s="5">
        <v>23</v>
      </c>
      <c r="B25" s="4" t="s">
        <v>31</v>
      </c>
      <c r="C25" s="5" t="s">
        <v>135</v>
      </c>
      <c r="D25" s="5" t="s">
        <v>138</v>
      </c>
      <c r="E25" s="5"/>
      <c r="F25" s="18">
        <v>5</v>
      </c>
      <c r="G25" s="18">
        <v>7</v>
      </c>
      <c r="H25" s="18">
        <v>8</v>
      </c>
      <c r="I25" s="18">
        <v>8</v>
      </c>
      <c r="J25" s="19">
        <f t="shared" si="0"/>
        <v>186</v>
      </c>
      <c r="K25" s="20">
        <f t="shared" si="1"/>
        <v>28</v>
      </c>
      <c r="L25" s="27">
        <v>19</v>
      </c>
      <c r="M25" s="27">
        <v>7</v>
      </c>
      <c r="N25" s="27">
        <v>7</v>
      </c>
      <c r="O25" s="27"/>
      <c r="P25" s="28">
        <f t="shared" si="2"/>
        <v>288</v>
      </c>
      <c r="Q25" s="29">
        <f t="shared" si="3"/>
        <v>33</v>
      </c>
      <c r="R25" s="36">
        <v>14.9</v>
      </c>
      <c r="S25" s="36"/>
      <c r="T25" s="36"/>
      <c r="U25" s="37"/>
      <c r="V25" s="38">
        <f t="shared" si="4"/>
        <v>85.1</v>
      </c>
      <c r="W25" s="2">
        <f t="shared" si="5"/>
        <v>559.1</v>
      </c>
    </row>
    <row r="26" spans="1:23" s="3" customFormat="1" ht="22.5" customHeight="1" x14ac:dyDescent="0.25">
      <c r="A26" s="5">
        <v>24</v>
      </c>
      <c r="B26" s="4" t="s">
        <v>32</v>
      </c>
      <c r="C26" s="5" t="s">
        <v>129</v>
      </c>
      <c r="D26" s="5" t="s">
        <v>127</v>
      </c>
      <c r="E26" s="5"/>
      <c r="F26" s="18">
        <v>11</v>
      </c>
      <c r="G26" s="18">
        <v>12</v>
      </c>
      <c r="H26" s="18">
        <v>8</v>
      </c>
      <c r="I26" s="18">
        <v>5</v>
      </c>
      <c r="J26" s="19">
        <f t="shared" si="0"/>
        <v>274</v>
      </c>
      <c r="K26" s="20">
        <f t="shared" si="1"/>
        <v>36</v>
      </c>
      <c r="L26" s="27">
        <v>26</v>
      </c>
      <c r="M26" s="27">
        <v>5</v>
      </c>
      <c r="N26" s="27">
        <v>4</v>
      </c>
      <c r="O26" s="27"/>
      <c r="P26" s="28">
        <f t="shared" si="2"/>
        <v>324</v>
      </c>
      <c r="Q26" s="29">
        <f t="shared" si="3"/>
        <v>35</v>
      </c>
      <c r="R26" s="36">
        <v>13.89</v>
      </c>
      <c r="S26" s="36"/>
      <c r="T26" s="36"/>
      <c r="U26" s="37"/>
      <c r="V26" s="38">
        <f t="shared" si="4"/>
        <v>86.11</v>
      </c>
      <c r="W26" s="2">
        <f t="shared" si="5"/>
        <v>684.11</v>
      </c>
    </row>
    <row r="27" spans="1:23" s="3" customFormat="1" ht="22.5" customHeight="1" x14ac:dyDescent="0.25">
      <c r="A27" s="5">
        <v>25</v>
      </c>
      <c r="B27" s="4" t="s">
        <v>33</v>
      </c>
      <c r="C27" s="5" t="s">
        <v>129</v>
      </c>
      <c r="D27" s="5" t="s">
        <v>138</v>
      </c>
      <c r="E27" s="5"/>
      <c r="F27" s="18">
        <v>4</v>
      </c>
      <c r="G27" s="18">
        <v>7</v>
      </c>
      <c r="H27" s="18">
        <v>8</v>
      </c>
      <c r="I27" s="18">
        <v>14</v>
      </c>
      <c r="J27" s="19">
        <f t="shared" si="0"/>
        <v>200</v>
      </c>
      <c r="K27" s="20">
        <f t="shared" si="1"/>
        <v>33</v>
      </c>
      <c r="L27" s="27">
        <v>6</v>
      </c>
      <c r="M27" s="27">
        <v>8</v>
      </c>
      <c r="N27" s="27">
        <v>6</v>
      </c>
      <c r="O27" s="27"/>
      <c r="P27" s="28">
        <f t="shared" si="2"/>
        <v>160</v>
      </c>
      <c r="Q27" s="29">
        <f t="shared" si="3"/>
        <v>20</v>
      </c>
      <c r="R27" s="36">
        <v>46.79</v>
      </c>
      <c r="S27" s="36"/>
      <c r="T27" s="36"/>
      <c r="U27" s="37"/>
      <c r="V27" s="38">
        <f t="shared" si="4"/>
        <v>53.21</v>
      </c>
      <c r="W27" s="2">
        <f t="shared" si="5"/>
        <v>413.21</v>
      </c>
    </row>
    <row r="28" spans="1:23" s="3" customFormat="1" ht="22.5" customHeight="1" x14ac:dyDescent="0.25">
      <c r="A28" s="5">
        <v>26</v>
      </c>
      <c r="B28" s="4" t="s">
        <v>34</v>
      </c>
      <c r="C28" s="5" t="s">
        <v>129</v>
      </c>
      <c r="D28" s="5" t="s">
        <v>138</v>
      </c>
      <c r="E28" s="5"/>
      <c r="F28" s="18">
        <v>1</v>
      </c>
      <c r="G28" s="18">
        <v>7</v>
      </c>
      <c r="H28" s="18">
        <v>7</v>
      </c>
      <c r="I28" s="18">
        <v>13</v>
      </c>
      <c r="J28" s="19">
        <f t="shared" si="0"/>
        <v>160</v>
      </c>
      <c r="K28" s="20">
        <f t="shared" si="1"/>
        <v>28</v>
      </c>
      <c r="L28" s="27">
        <v>5</v>
      </c>
      <c r="M28" s="27">
        <v>2</v>
      </c>
      <c r="N28" s="27">
        <v>4</v>
      </c>
      <c r="O28" s="27"/>
      <c r="P28" s="28">
        <f t="shared" si="2"/>
        <v>90</v>
      </c>
      <c r="Q28" s="29">
        <f t="shared" si="3"/>
        <v>11</v>
      </c>
      <c r="R28" s="36">
        <v>25.47</v>
      </c>
      <c r="S28" s="36"/>
      <c r="T28" s="36"/>
      <c r="U28" s="37"/>
      <c r="V28" s="38">
        <f t="shared" si="4"/>
        <v>74.53</v>
      </c>
      <c r="W28" s="2">
        <f t="shared" si="5"/>
        <v>324.52999999999997</v>
      </c>
    </row>
    <row r="29" spans="1:23" s="3" customFormat="1" ht="22.5" customHeight="1" x14ac:dyDescent="0.25">
      <c r="A29" s="5">
        <v>27</v>
      </c>
      <c r="B29" s="4" t="s">
        <v>35</v>
      </c>
      <c r="C29" s="5"/>
      <c r="D29" s="5"/>
      <c r="E29" s="5"/>
      <c r="F29" s="18"/>
      <c r="G29" s="18"/>
      <c r="H29" s="18"/>
      <c r="I29" s="18"/>
      <c r="J29" s="19">
        <f t="shared" si="0"/>
        <v>0</v>
      </c>
      <c r="K29" s="20">
        <f t="shared" si="1"/>
        <v>0</v>
      </c>
      <c r="L29" s="27"/>
      <c r="M29" s="27"/>
      <c r="N29" s="27"/>
      <c r="O29" s="27"/>
      <c r="P29" s="28">
        <f t="shared" si="2"/>
        <v>0</v>
      </c>
      <c r="Q29" s="29">
        <f t="shared" si="3"/>
        <v>0</v>
      </c>
      <c r="R29" s="36"/>
      <c r="S29" s="36"/>
      <c r="T29" s="36"/>
      <c r="U29" s="37"/>
      <c r="V29" s="38">
        <f t="shared" si="4"/>
        <v>100</v>
      </c>
      <c r="W29" s="2">
        <f t="shared" si="5"/>
        <v>100</v>
      </c>
    </row>
    <row r="30" spans="1:23" s="3" customFormat="1" ht="22.5" customHeight="1" x14ac:dyDescent="0.25">
      <c r="A30" s="5">
        <v>28</v>
      </c>
      <c r="B30" s="4" t="s">
        <v>36</v>
      </c>
      <c r="C30" s="5"/>
      <c r="D30" s="5"/>
      <c r="E30" s="5"/>
      <c r="F30" s="18"/>
      <c r="G30" s="18"/>
      <c r="H30" s="18"/>
      <c r="I30" s="18"/>
      <c r="J30" s="19">
        <f t="shared" si="0"/>
        <v>0</v>
      </c>
      <c r="K30" s="20">
        <f t="shared" si="1"/>
        <v>0</v>
      </c>
      <c r="L30" s="27"/>
      <c r="M30" s="27"/>
      <c r="N30" s="27"/>
      <c r="O30" s="27"/>
      <c r="P30" s="28">
        <f t="shared" si="2"/>
        <v>0</v>
      </c>
      <c r="Q30" s="29">
        <f t="shared" si="3"/>
        <v>0</v>
      </c>
      <c r="R30" s="36"/>
      <c r="S30" s="36"/>
      <c r="T30" s="36"/>
      <c r="U30" s="37"/>
      <c r="V30" s="38">
        <f t="shared" si="4"/>
        <v>100</v>
      </c>
      <c r="W30" s="2">
        <f t="shared" si="5"/>
        <v>100</v>
      </c>
    </row>
    <row r="31" spans="1:23" s="3" customFormat="1" ht="22.5" customHeight="1" x14ac:dyDescent="0.25">
      <c r="A31" s="5">
        <v>29</v>
      </c>
      <c r="B31" s="4" t="s">
        <v>150</v>
      </c>
      <c r="C31" s="5" t="s">
        <v>151</v>
      </c>
      <c r="D31" s="5" t="s">
        <v>138</v>
      </c>
      <c r="E31" s="5"/>
      <c r="F31" s="18">
        <v>4</v>
      </c>
      <c r="G31" s="18">
        <v>12</v>
      </c>
      <c r="H31" s="18">
        <v>7</v>
      </c>
      <c r="I31" s="18">
        <v>13</v>
      </c>
      <c r="J31" s="19">
        <f t="shared" si="0"/>
        <v>230</v>
      </c>
      <c r="K31" s="20">
        <f t="shared" si="1"/>
        <v>36</v>
      </c>
      <c r="L31" s="27">
        <v>17</v>
      </c>
      <c r="M31" s="27">
        <v>12</v>
      </c>
      <c r="N31" s="27">
        <v>3</v>
      </c>
      <c r="O31" s="27"/>
      <c r="P31" s="28">
        <f t="shared" si="2"/>
        <v>284</v>
      </c>
      <c r="Q31" s="29">
        <f t="shared" si="3"/>
        <v>32</v>
      </c>
      <c r="R31" s="36">
        <v>18.39</v>
      </c>
      <c r="S31" s="36"/>
      <c r="T31" s="36"/>
      <c r="U31" s="37"/>
      <c r="V31" s="38">
        <f t="shared" si="4"/>
        <v>81.61</v>
      </c>
      <c r="W31" s="2">
        <f t="shared" si="5"/>
        <v>595.61</v>
      </c>
    </row>
    <row r="32" spans="1:23" s="3" customFormat="1" ht="22.5" customHeight="1" x14ac:dyDescent="0.25">
      <c r="A32" s="5">
        <v>30</v>
      </c>
      <c r="B32" s="4" t="s">
        <v>152</v>
      </c>
      <c r="C32" s="5" t="s">
        <v>129</v>
      </c>
      <c r="D32" s="5" t="s">
        <v>138</v>
      </c>
      <c r="E32" s="5"/>
      <c r="F32" s="18">
        <v>1</v>
      </c>
      <c r="G32" s="18">
        <v>4</v>
      </c>
      <c r="H32" s="18">
        <v>6</v>
      </c>
      <c r="I32" s="18">
        <v>16</v>
      </c>
      <c r="J32" s="19">
        <f t="shared" si="0"/>
        <v>142</v>
      </c>
      <c r="K32" s="20">
        <f t="shared" si="1"/>
        <v>27</v>
      </c>
      <c r="L32" s="27">
        <v>5</v>
      </c>
      <c r="M32" s="27">
        <v>6</v>
      </c>
      <c r="N32" s="27">
        <v>6</v>
      </c>
      <c r="O32" s="27"/>
      <c r="P32" s="28">
        <f t="shared" si="2"/>
        <v>134</v>
      </c>
      <c r="Q32" s="29">
        <f t="shared" si="3"/>
        <v>17</v>
      </c>
      <c r="R32" s="36">
        <v>30.27</v>
      </c>
      <c r="S32" s="36"/>
      <c r="T32" s="36"/>
      <c r="U32" s="37"/>
      <c r="V32" s="38">
        <f t="shared" si="4"/>
        <v>69.73</v>
      </c>
      <c r="W32" s="2">
        <f t="shared" si="5"/>
        <v>345.73</v>
      </c>
    </row>
    <row r="33" spans="1:23" s="3" customFormat="1" ht="22.5" customHeight="1" x14ac:dyDescent="0.25">
      <c r="A33" s="5">
        <v>31</v>
      </c>
      <c r="B33" s="4" t="s">
        <v>37</v>
      </c>
      <c r="C33" s="5" t="s">
        <v>129</v>
      </c>
      <c r="D33" s="5" t="s">
        <v>138</v>
      </c>
      <c r="E33" s="5"/>
      <c r="F33" s="18">
        <v>4</v>
      </c>
      <c r="G33" s="18">
        <v>3</v>
      </c>
      <c r="H33" s="18">
        <v>11</v>
      </c>
      <c r="I33" s="18">
        <v>16</v>
      </c>
      <c r="J33" s="19">
        <f t="shared" si="0"/>
        <v>194</v>
      </c>
      <c r="K33" s="20">
        <f t="shared" si="1"/>
        <v>34</v>
      </c>
      <c r="L33" s="27">
        <v>20</v>
      </c>
      <c r="M33" s="27">
        <v>4</v>
      </c>
      <c r="N33" s="27"/>
      <c r="O33" s="27"/>
      <c r="P33" s="28">
        <f t="shared" si="2"/>
        <v>232</v>
      </c>
      <c r="Q33" s="29">
        <f t="shared" si="3"/>
        <v>24</v>
      </c>
      <c r="R33" s="36">
        <v>29.81</v>
      </c>
      <c r="S33" s="36"/>
      <c r="T33" s="36"/>
      <c r="U33" s="37"/>
      <c r="V33" s="38">
        <f t="shared" si="4"/>
        <v>70.19</v>
      </c>
      <c r="W33" s="2">
        <f t="shared" si="5"/>
        <v>496.19</v>
      </c>
    </row>
    <row r="34" spans="1:23" s="3" customFormat="1" ht="22.5" customHeight="1" x14ac:dyDescent="0.25">
      <c r="A34" s="5">
        <v>32</v>
      </c>
      <c r="B34" s="4" t="s">
        <v>38</v>
      </c>
      <c r="C34" s="5"/>
      <c r="D34" s="5"/>
      <c r="E34" s="5"/>
      <c r="F34" s="18"/>
      <c r="G34" s="18"/>
      <c r="H34" s="18"/>
      <c r="I34" s="18"/>
      <c r="J34" s="19">
        <f t="shared" si="0"/>
        <v>0</v>
      </c>
      <c r="K34" s="20">
        <f t="shared" si="1"/>
        <v>0</v>
      </c>
      <c r="L34" s="27"/>
      <c r="M34" s="27"/>
      <c r="N34" s="27"/>
      <c r="O34" s="27"/>
      <c r="P34" s="28">
        <f t="shared" si="2"/>
        <v>0</v>
      </c>
      <c r="Q34" s="29">
        <f t="shared" si="3"/>
        <v>0</v>
      </c>
      <c r="R34" s="36"/>
      <c r="S34" s="36"/>
      <c r="T34" s="36"/>
      <c r="U34" s="37"/>
      <c r="V34" s="38">
        <f t="shared" si="4"/>
        <v>100</v>
      </c>
      <c r="W34" s="2">
        <f t="shared" si="5"/>
        <v>100</v>
      </c>
    </row>
    <row r="35" spans="1:23" s="3" customFormat="1" ht="22.5" customHeight="1" x14ac:dyDescent="0.25">
      <c r="A35" s="5">
        <v>33</v>
      </c>
      <c r="B35" s="4" t="s">
        <v>39</v>
      </c>
      <c r="C35" s="5" t="s">
        <v>129</v>
      </c>
      <c r="D35" s="5" t="s">
        <v>127</v>
      </c>
      <c r="E35" s="5"/>
      <c r="F35" s="18">
        <v>8</v>
      </c>
      <c r="G35" s="18">
        <v>13</v>
      </c>
      <c r="H35" s="18">
        <v>12</v>
      </c>
      <c r="I35" s="18">
        <v>3</v>
      </c>
      <c r="J35" s="19">
        <f t="shared" ref="J35:J66" si="6">SUM(F35*10)+(G35*8)+(H35*6)+(I35*4)</f>
        <v>268</v>
      </c>
      <c r="K35" s="20">
        <f t="shared" ref="K35:K66" si="7">SUM(F35:I35)</f>
        <v>36</v>
      </c>
      <c r="L35" s="27">
        <v>19</v>
      </c>
      <c r="M35" s="27">
        <v>12</v>
      </c>
      <c r="N35" s="27">
        <v>3</v>
      </c>
      <c r="O35" s="27"/>
      <c r="P35" s="28">
        <f t="shared" ref="P35:P66" si="8">SUM(L35*10)+(M35*8)+(N35*6)+(O35*4)</f>
        <v>304</v>
      </c>
      <c r="Q35" s="29">
        <f t="shared" ref="Q35:Q66" si="9">SUM(L35:O35)</f>
        <v>34</v>
      </c>
      <c r="R35" s="36">
        <v>23.7</v>
      </c>
      <c r="S35" s="36"/>
      <c r="T35" s="36"/>
      <c r="U35" s="37"/>
      <c r="V35" s="38">
        <f t="shared" ref="V35:V66" si="10">100-(R35+S35+(U35*10)+(T35*20))</f>
        <v>76.3</v>
      </c>
      <c r="W35" s="2">
        <f t="shared" ref="W35:W66" si="11">J35+P35+V35</f>
        <v>648.29999999999995</v>
      </c>
    </row>
    <row r="36" spans="1:23" s="3" customFormat="1" ht="22.5" customHeight="1" x14ac:dyDescent="0.25">
      <c r="A36" s="5">
        <v>34</v>
      </c>
      <c r="B36" s="4" t="s">
        <v>40</v>
      </c>
      <c r="C36" s="5" t="s">
        <v>129</v>
      </c>
      <c r="D36" s="5" t="s">
        <v>138</v>
      </c>
      <c r="E36" s="5"/>
      <c r="F36" s="18">
        <v>5</v>
      </c>
      <c r="G36" s="18">
        <v>6</v>
      </c>
      <c r="H36" s="18">
        <v>4</v>
      </c>
      <c r="I36" s="18">
        <v>12</v>
      </c>
      <c r="J36" s="19">
        <f t="shared" si="6"/>
        <v>170</v>
      </c>
      <c r="K36" s="20">
        <f t="shared" si="7"/>
        <v>27</v>
      </c>
      <c r="L36" s="27">
        <v>7</v>
      </c>
      <c r="M36" s="27">
        <v>5</v>
      </c>
      <c r="N36" s="27">
        <v>12</v>
      </c>
      <c r="O36" s="27"/>
      <c r="P36" s="28">
        <f t="shared" si="8"/>
        <v>182</v>
      </c>
      <c r="Q36" s="29">
        <f t="shared" si="9"/>
        <v>24</v>
      </c>
      <c r="R36" s="36">
        <v>18.57</v>
      </c>
      <c r="S36" s="36"/>
      <c r="T36" s="36"/>
      <c r="U36" s="37"/>
      <c r="V36" s="38">
        <f t="shared" si="10"/>
        <v>81.430000000000007</v>
      </c>
      <c r="W36" s="2">
        <f t="shared" si="11"/>
        <v>433.43</v>
      </c>
    </row>
    <row r="37" spans="1:23" s="3" customFormat="1" ht="22.5" customHeight="1" x14ac:dyDescent="0.25">
      <c r="A37" s="5">
        <v>35</v>
      </c>
      <c r="B37" s="4" t="s">
        <v>41</v>
      </c>
      <c r="C37" s="5"/>
      <c r="D37" s="5"/>
      <c r="E37" s="5"/>
      <c r="F37" s="18"/>
      <c r="G37" s="18"/>
      <c r="H37" s="18"/>
      <c r="I37" s="18"/>
      <c r="J37" s="19">
        <f t="shared" si="6"/>
        <v>0</v>
      </c>
      <c r="K37" s="20">
        <f t="shared" si="7"/>
        <v>0</v>
      </c>
      <c r="L37" s="27"/>
      <c r="M37" s="27"/>
      <c r="N37" s="27"/>
      <c r="O37" s="27"/>
      <c r="P37" s="28">
        <f t="shared" si="8"/>
        <v>0</v>
      </c>
      <c r="Q37" s="29">
        <f t="shared" si="9"/>
        <v>0</v>
      </c>
      <c r="R37" s="36"/>
      <c r="S37" s="36"/>
      <c r="T37" s="36"/>
      <c r="U37" s="37"/>
      <c r="V37" s="38">
        <f t="shared" si="10"/>
        <v>100</v>
      </c>
      <c r="W37" s="2">
        <f t="shared" si="11"/>
        <v>100</v>
      </c>
    </row>
    <row r="38" spans="1:23" s="3" customFormat="1" ht="22.5" customHeight="1" x14ac:dyDescent="0.25">
      <c r="A38" s="5">
        <v>36</v>
      </c>
      <c r="B38" s="4" t="s">
        <v>42</v>
      </c>
      <c r="C38" s="5" t="s">
        <v>135</v>
      </c>
      <c r="D38" s="5" t="s">
        <v>138</v>
      </c>
      <c r="E38" s="5" t="s">
        <v>169</v>
      </c>
      <c r="F38" s="18">
        <v>8</v>
      </c>
      <c r="G38" s="18">
        <v>11</v>
      </c>
      <c r="H38" s="18">
        <v>7</v>
      </c>
      <c r="I38" s="18">
        <v>8</v>
      </c>
      <c r="J38" s="19">
        <f t="shared" si="6"/>
        <v>242</v>
      </c>
      <c r="K38" s="20">
        <f t="shared" si="7"/>
        <v>34</v>
      </c>
      <c r="L38" s="27">
        <v>24</v>
      </c>
      <c r="M38" s="27">
        <v>7</v>
      </c>
      <c r="N38" s="27"/>
      <c r="O38" s="27"/>
      <c r="P38" s="28">
        <f t="shared" si="8"/>
        <v>296</v>
      </c>
      <c r="Q38" s="29">
        <f t="shared" si="9"/>
        <v>31</v>
      </c>
      <c r="R38" s="36">
        <v>12.11</v>
      </c>
      <c r="S38" s="36"/>
      <c r="T38" s="36"/>
      <c r="U38" s="37"/>
      <c r="V38" s="38">
        <f t="shared" si="10"/>
        <v>87.89</v>
      </c>
      <c r="W38" s="2">
        <f t="shared" si="11"/>
        <v>625.89</v>
      </c>
    </row>
    <row r="39" spans="1:23" s="3" customFormat="1" ht="22.5" customHeight="1" x14ac:dyDescent="0.25">
      <c r="A39" s="5">
        <v>37</v>
      </c>
      <c r="B39" s="4" t="s">
        <v>43</v>
      </c>
      <c r="C39" s="5" t="s">
        <v>135</v>
      </c>
      <c r="D39" s="5" t="s">
        <v>138</v>
      </c>
      <c r="E39" s="5" t="s">
        <v>169</v>
      </c>
      <c r="F39" s="18">
        <v>3</v>
      </c>
      <c r="G39" s="18">
        <v>10</v>
      </c>
      <c r="H39" s="18">
        <v>8</v>
      </c>
      <c r="I39" s="18">
        <v>12</v>
      </c>
      <c r="J39" s="19">
        <f t="shared" si="6"/>
        <v>206</v>
      </c>
      <c r="K39" s="20">
        <f t="shared" si="7"/>
        <v>33</v>
      </c>
      <c r="L39" s="27">
        <v>9</v>
      </c>
      <c r="M39" s="27">
        <v>10</v>
      </c>
      <c r="N39" s="27">
        <v>4</v>
      </c>
      <c r="O39" s="27"/>
      <c r="P39" s="28">
        <f t="shared" si="8"/>
        <v>194</v>
      </c>
      <c r="Q39" s="29">
        <f t="shared" si="9"/>
        <v>23</v>
      </c>
      <c r="R39" s="36">
        <v>19.170000000000002</v>
      </c>
      <c r="S39" s="36"/>
      <c r="T39" s="36"/>
      <c r="U39" s="37"/>
      <c r="V39" s="38">
        <f t="shared" si="10"/>
        <v>80.83</v>
      </c>
      <c r="W39" s="2">
        <f t="shared" si="11"/>
        <v>480.83</v>
      </c>
    </row>
    <row r="40" spans="1:23" s="3" customFormat="1" ht="22.5" customHeight="1" x14ac:dyDescent="0.25">
      <c r="A40" s="5">
        <v>38</v>
      </c>
      <c r="B40" s="4" t="s">
        <v>44</v>
      </c>
      <c r="C40" s="5" t="s">
        <v>135</v>
      </c>
      <c r="D40" s="5" t="s">
        <v>138</v>
      </c>
      <c r="E40" s="5" t="s">
        <v>169</v>
      </c>
      <c r="F40" s="18">
        <v>6</v>
      </c>
      <c r="G40" s="18">
        <v>15</v>
      </c>
      <c r="H40" s="18">
        <v>10</v>
      </c>
      <c r="I40" s="18">
        <v>5</v>
      </c>
      <c r="J40" s="19">
        <f t="shared" si="6"/>
        <v>260</v>
      </c>
      <c r="K40" s="20">
        <f t="shared" si="7"/>
        <v>36</v>
      </c>
      <c r="L40" s="27">
        <v>23</v>
      </c>
      <c r="M40" s="27">
        <v>8</v>
      </c>
      <c r="N40" s="27">
        <v>2</v>
      </c>
      <c r="O40" s="27"/>
      <c r="P40" s="28">
        <f t="shared" si="8"/>
        <v>306</v>
      </c>
      <c r="Q40" s="29">
        <f t="shared" si="9"/>
        <v>33</v>
      </c>
      <c r="R40" s="36">
        <v>11.18</v>
      </c>
      <c r="S40" s="36"/>
      <c r="T40" s="36"/>
      <c r="U40" s="37"/>
      <c r="V40" s="38">
        <f t="shared" si="10"/>
        <v>88.82</v>
      </c>
      <c r="W40" s="2">
        <f t="shared" si="11"/>
        <v>654.81999999999994</v>
      </c>
    </row>
    <row r="41" spans="1:23" s="3" customFormat="1" ht="22.5" customHeight="1" x14ac:dyDescent="0.25">
      <c r="A41" s="5">
        <v>39</v>
      </c>
      <c r="B41" s="4" t="s">
        <v>45</v>
      </c>
      <c r="C41" s="5" t="s">
        <v>135</v>
      </c>
      <c r="D41" s="5" t="s">
        <v>138</v>
      </c>
      <c r="E41" s="5" t="s">
        <v>169</v>
      </c>
      <c r="F41" s="18">
        <v>7</v>
      </c>
      <c r="G41" s="18">
        <v>12</v>
      </c>
      <c r="H41" s="18">
        <v>11</v>
      </c>
      <c r="I41" s="18">
        <v>5</v>
      </c>
      <c r="J41" s="19">
        <f t="shared" si="6"/>
        <v>252</v>
      </c>
      <c r="K41" s="20">
        <f t="shared" si="7"/>
        <v>35</v>
      </c>
      <c r="L41" s="27">
        <v>27</v>
      </c>
      <c r="M41" s="27">
        <v>4</v>
      </c>
      <c r="N41" s="27">
        <v>1</v>
      </c>
      <c r="O41" s="27"/>
      <c r="P41" s="28">
        <f t="shared" si="8"/>
        <v>308</v>
      </c>
      <c r="Q41" s="29">
        <f t="shared" si="9"/>
        <v>32</v>
      </c>
      <c r="R41" s="36">
        <v>11.14</v>
      </c>
      <c r="S41" s="36"/>
      <c r="T41" s="36"/>
      <c r="U41" s="37"/>
      <c r="V41" s="38">
        <f t="shared" si="10"/>
        <v>88.86</v>
      </c>
      <c r="W41" s="2">
        <f t="shared" si="11"/>
        <v>648.86</v>
      </c>
    </row>
    <row r="42" spans="1:23" s="3" customFormat="1" ht="22.5" customHeight="1" x14ac:dyDescent="0.25">
      <c r="A42" s="5">
        <v>40</v>
      </c>
      <c r="B42" s="4" t="s">
        <v>46</v>
      </c>
      <c r="C42" s="5" t="s">
        <v>129</v>
      </c>
      <c r="D42" s="5" t="s">
        <v>139</v>
      </c>
      <c r="E42" s="5"/>
      <c r="F42" s="18">
        <v>1</v>
      </c>
      <c r="G42" s="18">
        <v>2</v>
      </c>
      <c r="H42" s="18">
        <v>4</v>
      </c>
      <c r="I42" s="18">
        <v>15</v>
      </c>
      <c r="J42" s="19">
        <f t="shared" si="6"/>
        <v>110</v>
      </c>
      <c r="K42" s="20">
        <f t="shared" si="7"/>
        <v>22</v>
      </c>
      <c r="L42" s="27">
        <v>8</v>
      </c>
      <c r="M42" s="27">
        <v>5</v>
      </c>
      <c r="N42" s="27">
        <v>4</v>
      </c>
      <c r="O42" s="27"/>
      <c r="P42" s="28">
        <f t="shared" si="8"/>
        <v>144</v>
      </c>
      <c r="Q42" s="29">
        <f t="shared" si="9"/>
        <v>17</v>
      </c>
      <c r="R42" s="36">
        <v>23.63</v>
      </c>
      <c r="S42" s="36"/>
      <c r="T42" s="36"/>
      <c r="U42" s="37"/>
      <c r="V42" s="38">
        <f t="shared" si="10"/>
        <v>76.37</v>
      </c>
      <c r="W42" s="2">
        <f t="shared" si="11"/>
        <v>330.37</v>
      </c>
    </row>
    <row r="43" spans="1:23" s="3" customFormat="1" ht="22.5" customHeight="1" x14ac:dyDescent="0.25">
      <c r="A43" s="5">
        <v>41</v>
      </c>
      <c r="B43" s="4" t="s">
        <v>47</v>
      </c>
      <c r="C43" s="5" t="s">
        <v>129</v>
      </c>
      <c r="D43" s="5" t="s">
        <v>139</v>
      </c>
      <c r="E43" s="5"/>
      <c r="F43" s="18">
        <v>8</v>
      </c>
      <c r="G43" s="18">
        <v>11</v>
      </c>
      <c r="H43" s="18">
        <v>9</v>
      </c>
      <c r="I43" s="18">
        <v>8</v>
      </c>
      <c r="J43" s="19">
        <f t="shared" si="6"/>
        <v>254</v>
      </c>
      <c r="K43" s="20">
        <f t="shared" si="7"/>
        <v>36</v>
      </c>
      <c r="L43" s="27">
        <v>21</v>
      </c>
      <c r="M43" s="27">
        <v>8</v>
      </c>
      <c r="N43" s="27">
        <v>2</v>
      </c>
      <c r="O43" s="27"/>
      <c r="P43" s="28">
        <f t="shared" si="8"/>
        <v>286</v>
      </c>
      <c r="Q43" s="29">
        <f t="shared" si="9"/>
        <v>31</v>
      </c>
      <c r="R43" s="36">
        <v>14.58</v>
      </c>
      <c r="S43" s="36"/>
      <c r="T43" s="36"/>
      <c r="U43" s="37"/>
      <c r="V43" s="38">
        <f t="shared" si="10"/>
        <v>85.42</v>
      </c>
      <c r="W43" s="2">
        <f t="shared" si="11"/>
        <v>625.41999999999996</v>
      </c>
    </row>
    <row r="44" spans="1:23" s="3" customFormat="1" ht="22.5" customHeight="1" x14ac:dyDescent="0.25">
      <c r="A44" s="5">
        <v>42</v>
      </c>
      <c r="B44" s="4" t="s">
        <v>48</v>
      </c>
      <c r="C44" s="5" t="s">
        <v>129</v>
      </c>
      <c r="D44" s="5" t="s">
        <v>139</v>
      </c>
      <c r="E44" s="5"/>
      <c r="F44" s="18">
        <v>7</v>
      </c>
      <c r="G44" s="18">
        <v>9</v>
      </c>
      <c r="H44" s="18">
        <v>13</v>
      </c>
      <c r="I44" s="18">
        <v>7</v>
      </c>
      <c r="J44" s="19">
        <f t="shared" si="6"/>
        <v>248</v>
      </c>
      <c r="K44" s="20">
        <f t="shared" si="7"/>
        <v>36</v>
      </c>
      <c r="L44" s="27">
        <v>22</v>
      </c>
      <c r="M44" s="27">
        <v>9</v>
      </c>
      <c r="N44" s="27">
        <v>3</v>
      </c>
      <c r="O44" s="27"/>
      <c r="P44" s="28">
        <f t="shared" si="8"/>
        <v>310</v>
      </c>
      <c r="Q44" s="29">
        <f t="shared" si="9"/>
        <v>34</v>
      </c>
      <c r="R44" s="36">
        <v>18.350000000000001</v>
      </c>
      <c r="S44" s="36"/>
      <c r="T44" s="36"/>
      <c r="U44" s="37"/>
      <c r="V44" s="38">
        <f t="shared" si="10"/>
        <v>81.650000000000006</v>
      </c>
      <c r="W44" s="2">
        <f t="shared" si="11"/>
        <v>639.65</v>
      </c>
    </row>
    <row r="45" spans="1:23" s="3" customFormat="1" ht="22.5" customHeight="1" x14ac:dyDescent="0.25">
      <c r="A45" s="5">
        <v>43</v>
      </c>
      <c r="B45" s="41" t="s">
        <v>49</v>
      </c>
      <c r="C45" s="42" t="s">
        <v>129</v>
      </c>
      <c r="D45" s="42" t="s">
        <v>139</v>
      </c>
      <c r="E45" s="42"/>
      <c r="F45" s="18">
        <v>4</v>
      </c>
      <c r="G45" s="18">
        <v>9</v>
      </c>
      <c r="H45" s="18">
        <v>9</v>
      </c>
      <c r="I45" s="18">
        <v>5</v>
      </c>
      <c r="J45" s="19">
        <f t="shared" si="6"/>
        <v>186</v>
      </c>
      <c r="K45" s="20">
        <f t="shared" si="7"/>
        <v>27</v>
      </c>
      <c r="L45" s="27">
        <v>17</v>
      </c>
      <c r="M45" s="27">
        <v>14</v>
      </c>
      <c r="N45" s="27">
        <v>4</v>
      </c>
      <c r="O45" s="27"/>
      <c r="P45" s="28">
        <f t="shared" si="8"/>
        <v>306</v>
      </c>
      <c r="Q45" s="29">
        <f t="shared" si="9"/>
        <v>35</v>
      </c>
      <c r="R45" s="36">
        <v>18.489999999999998</v>
      </c>
      <c r="S45" s="36"/>
      <c r="T45" s="36"/>
      <c r="U45" s="37"/>
      <c r="V45" s="38">
        <f t="shared" si="10"/>
        <v>81.510000000000005</v>
      </c>
      <c r="W45" s="2">
        <f t="shared" si="11"/>
        <v>573.51</v>
      </c>
    </row>
    <row r="46" spans="1:23" s="3" customFormat="1" ht="22.5" customHeight="1" x14ac:dyDescent="0.25">
      <c r="A46" s="5">
        <v>44</v>
      </c>
      <c r="B46" s="41" t="s">
        <v>50</v>
      </c>
      <c r="C46" s="42" t="s">
        <v>129</v>
      </c>
      <c r="D46" s="42" t="s">
        <v>139</v>
      </c>
      <c r="E46" s="42"/>
      <c r="F46" s="18"/>
      <c r="G46" s="18"/>
      <c r="H46" s="18"/>
      <c r="I46" s="18"/>
      <c r="J46" s="19">
        <f t="shared" si="6"/>
        <v>0</v>
      </c>
      <c r="K46" s="20">
        <f t="shared" si="7"/>
        <v>0</v>
      </c>
      <c r="L46" s="27"/>
      <c r="M46" s="27"/>
      <c r="N46" s="27"/>
      <c r="O46" s="27"/>
      <c r="P46" s="28">
        <f t="shared" si="8"/>
        <v>0</v>
      </c>
      <c r="Q46" s="29">
        <f t="shared" si="9"/>
        <v>0</v>
      </c>
      <c r="R46" s="36"/>
      <c r="S46" s="36"/>
      <c r="T46" s="36"/>
      <c r="U46" s="37"/>
      <c r="V46" s="38">
        <f t="shared" si="10"/>
        <v>100</v>
      </c>
      <c r="W46" s="2">
        <f t="shared" si="11"/>
        <v>100</v>
      </c>
    </row>
    <row r="47" spans="1:23" s="3" customFormat="1" ht="22.5" customHeight="1" x14ac:dyDescent="0.25">
      <c r="A47" s="5">
        <v>45</v>
      </c>
      <c r="B47" s="41" t="s">
        <v>51</v>
      </c>
      <c r="C47" s="42" t="s">
        <v>129</v>
      </c>
      <c r="D47" s="42"/>
      <c r="E47" s="42"/>
      <c r="F47" s="18"/>
      <c r="G47" s="18"/>
      <c r="H47" s="18"/>
      <c r="I47" s="18"/>
      <c r="J47" s="19">
        <f t="shared" si="6"/>
        <v>0</v>
      </c>
      <c r="K47" s="20">
        <f t="shared" si="7"/>
        <v>0</v>
      </c>
      <c r="L47" s="27"/>
      <c r="M47" s="27"/>
      <c r="N47" s="27"/>
      <c r="O47" s="27"/>
      <c r="P47" s="28">
        <f t="shared" si="8"/>
        <v>0</v>
      </c>
      <c r="Q47" s="29">
        <f t="shared" si="9"/>
        <v>0</v>
      </c>
      <c r="R47" s="36"/>
      <c r="S47" s="36"/>
      <c r="T47" s="36"/>
      <c r="U47" s="37"/>
      <c r="V47" s="38">
        <f t="shared" si="10"/>
        <v>100</v>
      </c>
      <c r="W47" s="2">
        <f t="shared" si="11"/>
        <v>100</v>
      </c>
    </row>
    <row r="48" spans="1:23" s="3" customFormat="1" ht="22.5" customHeight="1" x14ac:dyDescent="0.25">
      <c r="A48" s="5">
        <v>46</v>
      </c>
      <c r="B48" s="41" t="s">
        <v>52</v>
      </c>
      <c r="C48" s="42" t="s">
        <v>129</v>
      </c>
      <c r="D48" s="42" t="s">
        <v>138</v>
      </c>
      <c r="E48" s="42"/>
      <c r="F48" s="18">
        <v>4</v>
      </c>
      <c r="G48" s="18">
        <v>3</v>
      </c>
      <c r="H48" s="18">
        <v>10</v>
      </c>
      <c r="I48" s="18">
        <v>11</v>
      </c>
      <c r="J48" s="19">
        <f t="shared" si="6"/>
        <v>168</v>
      </c>
      <c r="K48" s="20">
        <f t="shared" si="7"/>
        <v>28</v>
      </c>
      <c r="L48" s="27">
        <v>15</v>
      </c>
      <c r="M48" s="27">
        <v>10</v>
      </c>
      <c r="N48" s="27">
        <v>5</v>
      </c>
      <c r="O48" s="27"/>
      <c r="P48" s="28">
        <f t="shared" si="8"/>
        <v>260</v>
      </c>
      <c r="Q48" s="29">
        <f t="shared" si="9"/>
        <v>30</v>
      </c>
      <c r="R48" s="36">
        <v>20.07</v>
      </c>
      <c r="S48" s="36"/>
      <c r="T48" s="36"/>
      <c r="U48" s="37"/>
      <c r="V48" s="38">
        <f t="shared" si="10"/>
        <v>79.930000000000007</v>
      </c>
      <c r="W48" s="2">
        <f t="shared" si="11"/>
        <v>507.93</v>
      </c>
    </row>
    <row r="49" spans="1:23" s="3" customFormat="1" ht="22.5" customHeight="1" x14ac:dyDescent="0.25">
      <c r="A49" s="5">
        <v>47</v>
      </c>
      <c r="B49" s="4" t="s">
        <v>53</v>
      </c>
      <c r="C49" s="5" t="s">
        <v>135</v>
      </c>
      <c r="D49" s="5" t="s">
        <v>138</v>
      </c>
      <c r="E49" s="5" t="s">
        <v>159</v>
      </c>
      <c r="F49" s="18">
        <v>5</v>
      </c>
      <c r="G49" s="18">
        <v>19</v>
      </c>
      <c r="H49" s="18">
        <v>7</v>
      </c>
      <c r="I49" s="18">
        <v>5</v>
      </c>
      <c r="J49" s="19">
        <f t="shared" si="6"/>
        <v>264</v>
      </c>
      <c r="K49" s="20">
        <f t="shared" si="7"/>
        <v>36</v>
      </c>
      <c r="L49" s="27">
        <v>25</v>
      </c>
      <c r="M49" s="27">
        <v>5</v>
      </c>
      <c r="N49" s="27">
        <v>2</v>
      </c>
      <c r="O49" s="27"/>
      <c r="P49" s="28">
        <f t="shared" si="8"/>
        <v>302</v>
      </c>
      <c r="Q49" s="29">
        <f t="shared" si="9"/>
        <v>32</v>
      </c>
      <c r="R49" s="36">
        <v>11.83</v>
      </c>
      <c r="S49" s="36"/>
      <c r="T49" s="36"/>
      <c r="U49" s="37"/>
      <c r="V49" s="38">
        <f t="shared" si="10"/>
        <v>88.17</v>
      </c>
      <c r="W49" s="2">
        <f t="shared" si="11"/>
        <v>654.16999999999996</v>
      </c>
    </row>
    <row r="50" spans="1:23" s="3" customFormat="1" ht="22.5" customHeight="1" x14ac:dyDescent="0.25">
      <c r="A50" s="5">
        <v>48</v>
      </c>
      <c r="B50" s="4" t="s">
        <v>54</v>
      </c>
      <c r="C50" s="5" t="s">
        <v>135</v>
      </c>
      <c r="D50" s="5" t="s">
        <v>138</v>
      </c>
      <c r="E50" s="5"/>
      <c r="F50" s="18">
        <v>9</v>
      </c>
      <c r="G50" s="18">
        <v>12</v>
      </c>
      <c r="H50" s="18">
        <v>4</v>
      </c>
      <c r="I50" s="18">
        <v>10</v>
      </c>
      <c r="J50" s="19">
        <f t="shared" si="6"/>
        <v>250</v>
      </c>
      <c r="K50" s="20">
        <f t="shared" si="7"/>
        <v>35</v>
      </c>
      <c r="L50" s="27">
        <v>19</v>
      </c>
      <c r="M50" s="27">
        <v>10</v>
      </c>
      <c r="N50" s="27">
        <v>2</v>
      </c>
      <c r="O50" s="27"/>
      <c r="P50" s="28">
        <f t="shared" si="8"/>
        <v>282</v>
      </c>
      <c r="Q50" s="29">
        <f t="shared" si="9"/>
        <v>31</v>
      </c>
      <c r="R50" s="36">
        <v>13.16</v>
      </c>
      <c r="S50" s="36"/>
      <c r="T50" s="36"/>
      <c r="U50" s="37"/>
      <c r="V50" s="38">
        <f t="shared" si="10"/>
        <v>86.84</v>
      </c>
      <c r="W50" s="2">
        <f t="shared" si="11"/>
        <v>618.84</v>
      </c>
    </row>
    <row r="51" spans="1:23" s="3" customFormat="1" ht="22.5" customHeight="1" x14ac:dyDescent="0.25">
      <c r="A51" s="5">
        <v>49</v>
      </c>
      <c r="B51" s="4" t="s">
        <v>55</v>
      </c>
      <c r="C51" s="5"/>
      <c r="D51" s="5"/>
      <c r="E51" s="5"/>
      <c r="F51" s="18"/>
      <c r="G51" s="18"/>
      <c r="H51" s="18"/>
      <c r="I51" s="18"/>
      <c r="J51" s="19">
        <f t="shared" si="6"/>
        <v>0</v>
      </c>
      <c r="K51" s="20">
        <f t="shared" si="7"/>
        <v>0</v>
      </c>
      <c r="L51" s="27"/>
      <c r="M51" s="27"/>
      <c r="N51" s="27"/>
      <c r="O51" s="27"/>
      <c r="P51" s="28">
        <f t="shared" si="8"/>
        <v>0</v>
      </c>
      <c r="Q51" s="29">
        <f t="shared" si="9"/>
        <v>0</v>
      </c>
      <c r="R51" s="36"/>
      <c r="S51" s="36"/>
      <c r="T51" s="36"/>
      <c r="U51" s="37"/>
      <c r="V51" s="38">
        <f t="shared" si="10"/>
        <v>100</v>
      </c>
      <c r="W51" s="2">
        <f t="shared" si="11"/>
        <v>100</v>
      </c>
    </row>
    <row r="52" spans="1:23" s="3" customFormat="1" ht="22.5" customHeight="1" x14ac:dyDescent="0.25">
      <c r="A52" s="5">
        <v>50</v>
      </c>
      <c r="B52" s="4" t="s">
        <v>56</v>
      </c>
      <c r="C52" s="5" t="s">
        <v>135</v>
      </c>
      <c r="D52" s="5" t="s">
        <v>138</v>
      </c>
      <c r="E52" s="5"/>
      <c r="F52" s="18">
        <v>11</v>
      </c>
      <c r="G52" s="18">
        <v>7</v>
      </c>
      <c r="H52" s="18">
        <v>8</v>
      </c>
      <c r="I52" s="18">
        <v>6</v>
      </c>
      <c r="J52" s="19">
        <f t="shared" si="6"/>
        <v>238</v>
      </c>
      <c r="K52" s="20">
        <f t="shared" si="7"/>
        <v>32</v>
      </c>
      <c r="L52" s="27">
        <v>8</v>
      </c>
      <c r="M52" s="27">
        <v>7</v>
      </c>
      <c r="N52" s="27"/>
      <c r="O52" s="27"/>
      <c r="P52" s="28">
        <f t="shared" si="8"/>
        <v>136</v>
      </c>
      <c r="Q52" s="29">
        <f t="shared" si="9"/>
        <v>15</v>
      </c>
      <c r="R52" s="36">
        <v>26.87</v>
      </c>
      <c r="S52" s="36"/>
      <c r="T52" s="36"/>
      <c r="U52" s="37"/>
      <c r="V52" s="38">
        <f t="shared" si="10"/>
        <v>73.13</v>
      </c>
      <c r="W52" s="2">
        <f t="shared" si="11"/>
        <v>447.13</v>
      </c>
    </row>
    <row r="53" spans="1:23" s="3" customFormat="1" ht="22.5" customHeight="1" x14ac:dyDescent="0.25">
      <c r="A53" s="5">
        <v>51</v>
      </c>
      <c r="B53" s="4" t="s">
        <v>57</v>
      </c>
      <c r="C53" s="5"/>
      <c r="D53" s="5"/>
      <c r="E53" s="5"/>
      <c r="F53" s="18"/>
      <c r="G53" s="18"/>
      <c r="H53" s="18"/>
      <c r="I53" s="18"/>
      <c r="J53" s="19">
        <f t="shared" si="6"/>
        <v>0</v>
      </c>
      <c r="K53" s="20">
        <f t="shared" si="7"/>
        <v>0</v>
      </c>
      <c r="L53" s="27"/>
      <c r="M53" s="27"/>
      <c r="N53" s="27"/>
      <c r="O53" s="27"/>
      <c r="P53" s="28">
        <f t="shared" si="8"/>
        <v>0</v>
      </c>
      <c r="Q53" s="29">
        <f t="shared" si="9"/>
        <v>0</v>
      </c>
      <c r="R53" s="36"/>
      <c r="S53" s="36"/>
      <c r="T53" s="36"/>
      <c r="U53" s="37"/>
      <c r="V53" s="38">
        <f t="shared" si="10"/>
        <v>100</v>
      </c>
      <c r="W53" s="2">
        <f t="shared" si="11"/>
        <v>100</v>
      </c>
    </row>
    <row r="54" spans="1:23" s="3" customFormat="1" ht="22.5" customHeight="1" x14ac:dyDescent="0.25">
      <c r="A54" s="5">
        <v>52</v>
      </c>
      <c r="B54" s="4" t="s">
        <v>58</v>
      </c>
      <c r="C54" s="5" t="s">
        <v>135</v>
      </c>
      <c r="D54" s="5" t="s">
        <v>138</v>
      </c>
      <c r="E54" s="5" t="s">
        <v>170</v>
      </c>
      <c r="F54" s="18">
        <v>9</v>
      </c>
      <c r="G54" s="18">
        <v>7</v>
      </c>
      <c r="H54" s="18">
        <v>9</v>
      </c>
      <c r="I54" s="18">
        <v>7</v>
      </c>
      <c r="J54" s="19">
        <f t="shared" si="6"/>
        <v>228</v>
      </c>
      <c r="K54" s="20">
        <f t="shared" si="7"/>
        <v>32</v>
      </c>
      <c r="L54" s="27">
        <v>19</v>
      </c>
      <c r="M54" s="27">
        <v>7</v>
      </c>
      <c r="N54" s="27"/>
      <c r="O54" s="27"/>
      <c r="P54" s="28">
        <f t="shared" si="8"/>
        <v>246</v>
      </c>
      <c r="Q54" s="29">
        <f t="shared" si="9"/>
        <v>26</v>
      </c>
      <c r="R54" s="36">
        <v>26.4</v>
      </c>
      <c r="S54" s="36"/>
      <c r="T54" s="36"/>
      <c r="U54" s="37"/>
      <c r="V54" s="38">
        <f t="shared" si="10"/>
        <v>73.599999999999994</v>
      </c>
      <c r="W54" s="2">
        <f t="shared" si="11"/>
        <v>547.6</v>
      </c>
    </row>
    <row r="55" spans="1:23" s="3" customFormat="1" ht="22.5" customHeight="1" x14ac:dyDescent="0.25">
      <c r="A55" s="5">
        <v>53</v>
      </c>
      <c r="B55" s="4" t="s">
        <v>59</v>
      </c>
      <c r="C55" s="5" t="s">
        <v>135</v>
      </c>
      <c r="D55" s="5" t="s">
        <v>138</v>
      </c>
      <c r="E55" s="5" t="s">
        <v>170</v>
      </c>
      <c r="F55" s="18">
        <v>5</v>
      </c>
      <c r="G55" s="18">
        <v>8</v>
      </c>
      <c r="H55" s="18">
        <v>8</v>
      </c>
      <c r="I55" s="18">
        <v>11</v>
      </c>
      <c r="J55" s="19">
        <f t="shared" si="6"/>
        <v>206</v>
      </c>
      <c r="K55" s="20">
        <f t="shared" si="7"/>
        <v>32</v>
      </c>
      <c r="L55" s="27">
        <v>6</v>
      </c>
      <c r="M55" s="27">
        <v>14</v>
      </c>
      <c r="N55" s="27">
        <v>3</v>
      </c>
      <c r="O55" s="27"/>
      <c r="P55" s="28">
        <f t="shared" si="8"/>
        <v>190</v>
      </c>
      <c r="Q55" s="29">
        <f t="shared" si="9"/>
        <v>23</v>
      </c>
      <c r="R55" s="36">
        <v>23.93</v>
      </c>
      <c r="S55" s="36"/>
      <c r="T55" s="36"/>
      <c r="U55" s="37"/>
      <c r="V55" s="38">
        <f t="shared" si="10"/>
        <v>76.069999999999993</v>
      </c>
      <c r="W55" s="2">
        <f t="shared" si="11"/>
        <v>472.07</v>
      </c>
    </row>
    <row r="56" spans="1:23" s="3" customFormat="1" ht="22.5" customHeight="1" x14ac:dyDescent="0.25">
      <c r="A56" s="5">
        <v>54</v>
      </c>
      <c r="B56" s="4" t="s">
        <v>60</v>
      </c>
      <c r="C56" s="5" t="s">
        <v>135</v>
      </c>
      <c r="D56" s="5" t="s">
        <v>138</v>
      </c>
      <c r="E56" s="5" t="s">
        <v>194</v>
      </c>
      <c r="F56" s="18">
        <v>13</v>
      </c>
      <c r="G56" s="18">
        <v>11</v>
      </c>
      <c r="H56" s="18">
        <v>9</v>
      </c>
      <c r="I56" s="18">
        <v>3</v>
      </c>
      <c r="J56" s="19">
        <f t="shared" si="6"/>
        <v>284</v>
      </c>
      <c r="K56" s="20">
        <f t="shared" si="7"/>
        <v>36</v>
      </c>
      <c r="L56" s="27">
        <v>31</v>
      </c>
      <c r="M56" s="27">
        <v>4</v>
      </c>
      <c r="N56" s="27">
        <v>1</v>
      </c>
      <c r="O56" s="27"/>
      <c r="P56" s="28">
        <f t="shared" si="8"/>
        <v>348</v>
      </c>
      <c r="Q56" s="29">
        <f t="shared" si="9"/>
        <v>36</v>
      </c>
      <c r="R56" s="36">
        <v>14.13</v>
      </c>
      <c r="S56" s="36"/>
      <c r="T56" s="36"/>
      <c r="U56" s="37"/>
      <c r="V56" s="38">
        <f t="shared" si="10"/>
        <v>85.87</v>
      </c>
      <c r="W56" s="2">
        <f t="shared" si="11"/>
        <v>717.87</v>
      </c>
    </row>
    <row r="57" spans="1:23" s="3" customFormat="1" ht="22.5" customHeight="1" x14ac:dyDescent="0.25">
      <c r="A57" s="5">
        <v>55</v>
      </c>
      <c r="B57" s="4" t="s">
        <v>61</v>
      </c>
      <c r="C57" s="5" t="s">
        <v>135</v>
      </c>
      <c r="D57" s="5" t="s">
        <v>138</v>
      </c>
      <c r="E57" s="5" t="s">
        <v>194</v>
      </c>
      <c r="F57" s="18">
        <v>6</v>
      </c>
      <c r="G57" s="18">
        <v>13</v>
      </c>
      <c r="H57" s="18">
        <v>7</v>
      </c>
      <c r="I57" s="18">
        <v>10</v>
      </c>
      <c r="J57" s="19">
        <f t="shared" si="6"/>
        <v>246</v>
      </c>
      <c r="K57" s="20">
        <f t="shared" si="7"/>
        <v>36</v>
      </c>
      <c r="L57" s="27">
        <v>25</v>
      </c>
      <c r="M57" s="27">
        <v>6</v>
      </c>
      <c r="N57" s="27">
        <v>1</v>
      </c>
      <c r="O57" s="27"/>
      <c r="P57" s="28">
        <f t="shared" si="8"/>
        <v>304</v>
      </c>
      <c r="Q57" s="29">
        <f t="shared" si="9"/>
        <v>32</v>
      </c>
      <c r="R57" s="36">
        <v>11.65</v>
      </c>
      <c r="S57" s="36"/>
      <c r="T57" s="36"/>
      <c r="U57" s="37"/>
      <c r="V57" s="38">
        <f t="shared" si="10"/>
        <v>88.35</v>
      </c>
      <c r="W57" s="2">
        <f t="shared" si="11"/>
        <v>638.35</v>
      </c>
    </row>
    <row r="58" spans="1:23" s="3" customFormat="1" ht="22.5" customHeight="1" x14ac:dyDescent="0.25">
      <c r="A58" s="5">
        <v>56</v>
      </c>
      <c r="B58" s="4" t="s">
        <v>62</v>
      </c>
      <c r="C58" s="5" t="s">
        <v>135</v>
      </c>
      <c r="D58" s="5" t="s">
        <v>138</v>
      </c>
      <c r="E58" s="5" t="s">
        <v>194</v>
      </c>
      <c r="F58" s="18">
        <v>7</v>
      </c>
      <c r="G58" s="18">
        <v>12</v>
      </c>
      <c r="H58" s="18">
        <v>12</v>
      </c>
      <c r="I58" s="18">
        <v>5</v>
      </c>
      <c r="J58" s="19">
        <f t="shared" si="6"/>
        <v>258</v>
      </c>
      <c r="K58" s="20">
        <f t="shared" si="7"/>
        <v>36</v>
      </c>
      <c r="L58" s="27">
        <v>28</v>
      </c>
      <c r="M58" s="27">
        <v>3</v>
      </c>
      <c r="N58" s="27">
        <v>4</v>
      </c>
      <c r="O58" s="27"/>
      <c r="P58" s="28">
        <f t="shared" si="8"/>
        <v>328</v>
      </c>
      <c r="Q58" s="29">
        <f t="shared" si="9"/>
        <v>35</v>
      </c>
      <c r="R58" s="36">
        <v>12.31</v>
      </c>
      <c r="S58" s="36"/>
      <c r="T58" s="36"/>
      <c r="U58" s="37"/>
      <c r="V58" s="38">
        <f t="shared" si="10"/>
        <v>87.69</v>
      </c>
      <c r="W58" s="2">
        <f t="shared" si="11"/>
        <v>673.69</v>
      </c>
    </row>
    <row r="59" spans="1:23" s="3" customFormat="1" ht="22.5" customHeight="1" x14ac:dyDescent="0.25">
      <c r="A59" s="5">
        <v>57</v>
      </c>
      <c r="B59" s="4" t="s">
        <v>63</v>
      </c>
      <c r="C59" s="5" t="s">
        <v>135</v>
      </c>
      <c r="D59" s="5" t="s">
        <v>138</v>
      </c>
      <c r="E59" s="5" t="s">
        <v>194</v>
      </c>
      <c r="F59" s="18">
        <v>4</v>
      </c>
      <c r="G59" s="18">
        <v>13</v>
      </c>
      <c r="H59" s="18">
        <v>5</v>
      </c>
      <c r="I59" s="18">
        <v>9</v>
      </c>
      <c r="J59" s="19">
        <f t="shared" si="6"/>
        <v>210</v>
      </c>
      <c r="K59" s="20">
        <f t="shared" si="7"/>
        <v>31</v>
      </c>
      <c r="L59" s="27">
        <v>11</v>
      </c>
      <c r="M59" s="27">
        <v>11</v>
      </c>
      <c r="N59" s="27">
        <v>2</v>
      </c>
      <c r="O59" s="27"/>
      <c r="P59" s="28">
        <f t="shared" si="8"/>
        <v>210</v>
      </c>
      <c r="Q59" s="29">
        <f t="shared" si="9"/>
        <v>24</v>
      </c>
      <c r="R59" s="36">
        <v>21.61</v>
      </c>
      <c r="S59" s="36"/>
      <c r="T59" s="36"/>
      <c r="U59" s="37"/>
      <c r="V59" s="38">
        <f t="shared" si="10"/>
        <v>78.39</v>
      </c>
      <c r="W59" s="2">
        <f t="shared" si="11"/>
        <v>498.39</v>
      </c>
    </row>
    <row r="60" spans="1:23" s="3" customFormat="1" ht="22.5" customHeight="1" x14ac:dyDescent="0.25">
      <c r="A60" s="5">
        <v>58</v>
      </c>
      <c r="B60" s="4" t="s">
        <v>64</v>
      </c>
      <c r="C60" s="5" t="s">
        <v>129</v>
      </c>
      <c r="D60" s="5" t="s">
        <v>138</v>
      </c>
      <c r="E60" s="5"/>
      <c r="F60" s="18">
        <v>4</v>
      </c>
      <c r="G60" s="18">
        <v>7</v>
      </c>
      <c r="H60" s="18">
        <v>13</v>
      </c>
      <c r="I60" s="18">
        <v>11</v>
      </c>
      <c r="J60" s="19">
        <f t="shared" si="6"/>
        <v>218</v>
      </c>
      <c r="K60" s="20">
        <f t="shared" si="7"/>
        <v>35</v>
      </c>
      <c r="L60" s="27">
        <v>12</v>
      </c>
      <c r="M60" s="27">
        <v>22</v>
      </c>
      <c r="N60" s="27">
        <v>1</v>
      </c>
      <c r="O60" s="27"/>
      <c r="P60" s="28">
        <f t="shared" si="8"/>
        <v>302</v>
      </c>
      <c r="Q60" s="29">
        <f t="shared" si="9"/>
        <v>35</v>
      </c>
      <c r="R60" s="36">
        <v>21.7</v>
      </c>
      <c r="S60" s="36"/>
      <c r="T60" s="36"/>
      <c r="U60" s="37"/>
      <c r="V60" s="38">
        <f t="shared" si="10"/>
        <v>78.3</v>
      </c>
      <c r="W60" s="2">
        <f t="shared" si="11"/>
        <v>598.29999999999995</v>
      </c>
    </row>
    <row r="61" spans="1:23" s="3" customFormat="1" ht="22.5" customHeight="1" x14ac:dyDescent="0.25">
      <c r="A61" s="5">
        <v>59</v>
      </c>
      <c r="B61" s="4" t="s">
        <v>65</v>
      </c>
      <c r="C61" s="5" t="s">
        <v>129</v>
      </c>
      <c r="D61" s="5" t="s">
        <v>138</v>
      </c>
      <c r="E61" s="5"/>
      <c r="F61" s="18">
        <v>5</v>
      </c>
      <c r="G61" s="18">
        <v>3</v>
      </c>
      <c r="H61" s="18">
        <v>10</v>
      </c>
      <c r="I61" s="18">
        <v>14</v>
      </c>
      <c r="J61" s="19">
        <f t="shared" si="6"/>
        <v>190</v>
      </c>
      <c r="K61" s="20">
        <f t="shared" si="7"/>
        <v>32</v>
      </c>
      <c r="L61" s="27">
        <v>9</v>
      </c>
      <c r="M61" s="27">
        <v>7</v>
      </c>
      <c r="N61" s="27">
        <v>7</v>
      </c>
      <c r="O61" s="27"/>
      <c r="P61" s="28">
        <f t="shared" si="8"/>
        <v>188</v>
      </c>
      <c r="Q61" s="29">
        <f t="shared" si="9"/>
        <v>23</v>
      </c>
      <c r="R61" s="36">
        <v>23.7</v>
      </c>
      <c r="S61" s="36"/>
      <c r="T61" s="36"/>
      <c r="U61" s="37"/>
      <c r="V61" s="38">
        <f t="shared" si="10"/>
        <v>76.3</v>
      </c>
      <c r="W61" s="2">
        <f t="shared" si="11"/>
        <v>454.3</v>
      </c>
    </row>
    <row r="62" spans="1:23" s="3" customFormat="1" ht="22.5" customHeight="1" x14ac:dyDescent="0.25">
      <c r="A62" s="5">
        <v>60</v>
      </c>
      <c r="B62" s="4" t="s">
        <v>66</v>
      </c>
      <c r="C62" s="5"/>
      <c r="D62" s="5"/>
      <c r="E62" s="5"/>
      <c r="F62" s="18"/>
      <c r="G62" s="18"/>
      <c r="H62" s="18"/>
      <c r="I62" s="18"/>
      <c r="J62" s="19">
        <f t="shared" si="6"/>
        <v>0</v>
      </c>
      <c r="K62" s="20">
        <f t="shared" si="7"/>
        <v>0</v>
      </c>
      <c r="L62" s="27"/>
      <c r="M62" s="27"/>
      <c r="N62" s="27"/>
      <c r="O62" s="27"/>
      <c r="P62" s="28">
        <f t="shared" si="8"/>
        <v>0</v>
      </c>
      <c r="Q62" s="29">
        <f t="shared" si="9"/>
        <v>0</v>
      </c>
      <c r="R62" s="36"/>
      <c r="S62" s="36"/>
      <c r="T62" s="36"/>
      <c r="U62" s="37"/>
      <c r="V62" s="38">
        <f t="shared" si="10"/>
        <v>100</v>
      </c>
      <c r="W62" s="2">
        <f t="shared" si="11"/>
        <v>100</v>
      </c>
    </row>
    <row r="63" spans="1:23" s="3" customFormat="1" ht="22.5" customHeight="1" x14ac:dyDescent="0.25">
      <c r="A63" s="5">
        <v>61</v>
      </c>
      <c r="B63" s="4" t="s">
        <v>67</v>
      </c>
      <c r="C63" s="5" t="s">
        <v>135</v>
      </c>
      <c r="D63" s="5" t="s">
        <v>138</v>
      </c>
      <c r="E63" s="5"/>
      <c r="F63" s="18">
        <v>11</v>
      </c>
      <c r="G63" s="18">
        <v>15</v>
      </c>
      <c r="H63" s="18">
        <v>6</v>
      </c>
      <c r="I63" s="18">
        <v>3</v>
      </c>
      <c r="J63" s="19">
        <f t="shared" si="6"/>
        <v>278</v>
      </c>
      <c r="K63" s="20">
        <f t="shared" si="7"/>
        <v>35</v>
      </c>
      <c r="L63" s="27">
        <v>21</v>
      </c>
      <c r="M63" s="27">
        <v>8</v>
      </c>
      <c r="N63" s="27">
        <v>4</v>
      </c>
      <c r="O63" s="27"/>
      <c r="P63" s="28">
        <f t="shared" si="8"/>
        <v>298</v>
      </c>
      <c r="Q63" s="29">
        <f t="shared" si="9"/>
        <v>33</v>
      </c>
      <c r="R63" s="36">
        <v>16.59</v>
      </c>
      <c r="S63" s="36"/>
      <c r="T63" s="36"/>
      <c r="U63" s="37"/>
      <c r="V63" s="38">
        <f t="shared" si="10"/>
        <v>83.41</v>
      </c>
      <c r="W63" s="2">
        <f t="shared" si="11"/>
        <v>659.41</v>
      </c>
    </row>
    <row r="64" spans="1:23" s="3" customFormat="1" ht="22.5" customHeight="1" x14ac:dyDescent="0.25">
      <c r="A64" s="5">
        <v>62</v>
      </c>
      <c r="B64" s="4" t="s">
        <v>68</v>
      </c>
      <c r="C64" s="5" t="s">
        <v>135</v>
      </c>
      <c r="D64" s="5" t="s">
        <v>138</v>
      </c>
      <c r="E64" s="5" t="s">
        <v>172</v>
      </c>
      <c r="F64" s="18">
        <v>3</v>
      </c>
      <c r="G64" s="18">
        <v>10</v>
      </c>
      <c r="H64" s="18">
        <v>8</v>
      </c>
      <c r="I64" s="18">
        <v>8</v>
      </c>
      <c r="J64" s="19">
        <f t="shared" si="6"/>
        <v>190</v>
      </c>
      <c r="K64" s="20">
        <f t="shared" si="7"/>
        <v>29</v>
      </c>
      <c r="L64" s="27">
        <v>10</v>
      </c>
      <c r="M64" s="27">
        <v>6</v>
      </c>
      <c r="N64" s="27">
        <v>3</v>
      </c>
      <c r="O64" s="27"/>
      <c r="P64" s="28">
        <f t="shared" si="8"/>
        <v>166</v>
      </c>
      <c r="Q64" s="29">
        <f t="shared" si="9"/>
        <v>19</v>
      </c>
      <c r="R64" s="36">
        <v>18.11</v>
      </c>
      <c r="S64" s="36"/>
      <c r="T64" s="36"/>
      <c r="U64" s="37"/>
      <c r="V64" s="38">
        <f t="shared" si="10"/>
        <v>81.89</v>
      </c>
      <c r="W64" s="2">
        <f t="shared" si="11"/>
        <v>437.89</v>
      </c>
    </row>
    <row r="65" spans="1:23" s="3" customFormat="1" ht="22.5" customHeight="1" x14ac:dyDescent="0.25">
      <c r="A65" s="5">
        <v>63</v>
      </c>
      <c r="B65" s="4" t="s">
        <v>69</v>
      </c>
      <c r="C65" s="5" t="s">
        <v>135</v>
      </c>
      <c r="D65" s="5" t="s">
        <v>138</v>
      </c>
      <c r="E65" s="5" t="s">
        <v>172</v>
      </c>
      <c r="F65" s="18">
        <v>3</v>
      </c>
      <c r="G65" s="18">
        <v>3</v>
      </c>
      <c r="H65" s="18">
        <v>8</v>
      </c>
      <c r="I65" s="18">
        <v>14</v>
      </c>
      <c r="J65" s="19">
        <f t="shared" si="6"/>
        <v>158</v>
      </c>
      <c r="K65" s="20">
        <f t="shared" si="7"/>
        <v>28</v>
      </c>
      <c r="L65" s="27">
        <v>17</v>
      </c>
      <c r="M65" s="27">
        <v>8</v>
      </c>
      <c r="N65" s="27">
        <v>2</v>
      </c>
      <c r="O65" s="27"/>
      <c r="P65" s="28">
        <f t="shared" si="8"/>
        <v>246</v>
      </c>
      <c r="Q65" s="29">
        <f t="shared" si="9"/>
        <v>27</v>
      </c>
      <c r="R65" s="36">
        <v>24.13</v>
      </c>
      <c r="S65" s="36"/>
      <c r="T65" s="36"/>
      <c r="U65" s="37"/>
      <c r="V65" s="38">
        <f t="shared" si="10"/>
        <v>75.87</v>
      </c>
      <c r="W65" s="2">
        <f t="shared" si="11"/>
        <v>479.87</v>
      </c>
    </row>
    <row r="66" spans="1:23" s="3" customFormat="1" ht="22.5" customHeight="1" x14ac:dyDescent="0.25">
      <c r="A66" s="5">
        <v>64</v>
      </c>
      <c r="B66" s="4" t="s">
        <v>70</v>
      </c>
      <c r="C66" s="5" t="s">
        <v>135</v>
      </c>
      <c r="D66" s="5" t="s">
        <v>138</v>
      </c>
      <c r="E66" s="5"/>
      <c r="F66" s="18">
        <v>4</v>
      </c>
      <c r="G66" s="18">
        <v>3</v>
      </c>
      <c r="H66" s="18">
        <v>6</v>
      </c>
      <c r="I66" s="18">
        <v>9</v>
      </c>
      <c r="J66" s="19">
        <f t="shared" si="6"/>
        <v>136</v>
      </c>
      <c r="K66" s="20">
        <f t="shared" si="7"/>
        <v>22</v>
      </c>
      <c r="L66" s="27">
        <v>21</v>
      </c>
      <c r="M66" s="27">
        <v>6</v>
      </c>
      <c r="N66" s="27">
        <v>2</v>
      </c>
      <c r="O66" s="27"/>
      <c r="P66" s="28">
        <f t="shared" si="8"/>
        <v>270</v>
      </c>
      <c r="Q66" s="29">
        <f t="shared" si="9"/>
        <v>29</v>
      </c>
      <c r="R66" s="36">
        <v>14.5</v>
      </c>
      <c r="S66" s="36"/>
      <c r="T66" s="36"/>
      <c r="U66" s="37"/>
      <c r="V66" s="38">
        <f t="shared" si="10"/>
        <v>85.5</v>
      </c>
      <c r="W66" s="2">
        <f t="shared" si="11"/>
        <v>491.5</v>
      </c>
    </row>
    <row r="67" spans="1:23" s="3" customFormat="1" ht="22.5" customHeight="1" x14ac:dyDescent="0.25">
      <c r="A67" s="5">
        <v>65</v>
      </c>
      <c r="B67" s="4" t="s">
        <v>71</v>
      </c>
      <c r="C67" s="5" t="s">
        <v>135</v>
      </c>
      <c r="D67" s="5" t="s">
        <v>138</v>
      </c>
      <c r="E67" s="5"/>
      <c r="F67" s="18">
        <v>12</v>
      </c>
      <c r="G67" s="18">
        <v>10</v>
      </c>
      <c r="H67" s="18">
        <v>7</v>
      </c>
      <c r="I67" s="18">
        <v>6</v>
      </c>
      <c r="J67" s="19">
        <f t="shared" ref="J67:J98" si="12">SUM(F67*10)+(G67*8)+(H67*6)+(I67*4)</f>
        <v>266</v>
      </c>
      <c r="K67" s="20">
        <f t="shared" ref="K67:K98" si="13">SUM(F67:I67)</f>
        <v>35</v>
      </c>
      <c r="L67" s="27">
        <v>21</v>
      </c>
      <c r="M67" s="27">
        <v>11</v>
      </c>
      <c r="N67" s="27">
        <v>3</v>
      </c>
      <c r="O67" s="27"/>
      <c r="P67" s="28">
        <f t="shared" ref="P67:P98" si="14">SUM(L67*10)+(M67*8)+(N67*6)+(O67*4)</f>
        <v>316</v>
      </c>
      <c r="Q67" s="29">
        <f t="shared" ref="Q67:Q98" si="15">SUM(L67:O67)</f>
        <v>35</v>
      </c>
      <c r="R67" s="36">
        <v>15.15</v>
      </c>
      <c r="S67" s="36"/>
      <c r="T67" s="36"/>
      <c r="U67" s="37"/>
      <c r="V67" s="38">
        <f t="shared" ref="V67:V98" si="16">100-(R67+S67+(U67*10)+(T67*20))</f>
        <v>84.85</v>
      </c>
      <c r="W67" s="2">
        <f t="shared" ref="W67:W98" si="17">J67+P67+V67</f>
        <v>666.85</v>
      </c>
    </row>
    <row r="68" spans="1:23" s="3" customFormat="1" ht="22.5" customHeight="1" x14ac:dyDescent="0.25">
      <c r="A68" s="5">
        <v>66</v>
      </c>
      <c r="B68" s="4" t="s">
        <v>72</v>
      </c>
      <c r="C68" s="5" t="s">
        <v>135</v>
      </c>
      <c r="D68" s="5" t="s">
        <v>138</v>
      </c>
      <c r="E68" s="5"/>
      <c r="F68" s="18">
        <v>24</v>
      </c>
      <c r="G68" s="18">
        <v>5</v>
      </c>
      <c r="H68" s="18">
        <v>1</v>
      </c>
      <c r="I68" s="18"/>
      <c r="J68" s="19">
        <f t="shared" si="12"/>
        <v>286</v>
      </c>
      <c r="K68" s="20">
        <f t="shared" si="13"/>
        <v>30</v>
      </c>
      <c r="L68" s="27">
        <v>11</v>
      </c>
      <c r="M68" s="27">
        <v>12</v>
      </c>
      <c r="N68" s="27">
        <v>11</v>
      </c>
      <c r="O68" s="27">
        <v>2</v>
      </c>
      <c r="P68" s="28">
        <f t="shared" si="14"/>
        <v>280</v>
      </c>
      <c r="Q68" s="29">
        <f t="shared" si="15"/>
        <v>36</v>
      </c>
      <c r="R68" s="36">
        <v>14.57</v>
      </c>
      <c r="S68" s="36"/>
      <c r="T68" s="36"/>
      <c r="U68" s="37"/>
      <c r="V68" s="38">
        <f t="shared" si="16"/>
        <v>85.43</v>
      </c>
      <c r="W68" s="2">
        <f t="shared" si="17"/>
        <v>651.43000000000006</v>
      </c>
    </row>
    <row r="69" spans="1:23" s="3" customFormat="1" ht="22.5" customHeight="1" x14ac:dyDescent="0.25">
      <c r="A69" s="5">
        <v>67</v>
      </c>
      <c r="B69" s="4" t="s">
        <v>73</v>
      </c>
      <c r="C69" s="5"/>
      <c r="D69" s="5"/>
      <c r="E69" s="5"/>
      <c r="F69" s="18"/>
      <c r="G69" s="18"/>
      <c r="H69" s="18"/>
      <c r="I69" s="18"/>
      <c r="J69" s="19">
        <f t="shared" si="12"/>
        <v>0</v>
      </c>
      <c r="K69" s="20">
        <f t="shared" si="13"/>
        <v>0</v>
      </c>
      <c r="L69" s="27"/>
      <c r="M69" s="27"/>
      <c r="N69" s="27"/>
      <c r="O69" s="27"/>
      <c r="P69" s="28">
        <f t="shared" si="14"/>
        <v>0</v>
      </c>
      <c r="Q69" s="29">
        <f t="shared" si="15"/>
        <v>0</v>
      </c>
      <c r="R69" s="36"/>
      <c r="S69" s="36"/>
      <c r="T69" s="36"/>
      <c r="U69" s="37"/>
      <c r="V69" s="38">
        <f t="shared" si="16"/>
        <v>100</v>
      </c>
      <c r="W69" s="2">
        <f t="shared" si="17"/>
        <v>100</v>
      </c>
    </row>
    <row r="70" spans="1:23" s="3" customFormat="1" ht="22.5" customHeight="1" x14ac:dyDescent="0.25">
      <c r="A70" s="5">
        <v>68</v>
      </c>
      <c r="B70" s="4" t="s">
        <v>74</v>
      </c>
      <c r="C70" s="5" t="s">
        <v>129</v>
      </c>
      <c r="D70" s="5" t="s">
        <v>138</v>
      </c>
      <c r="E70" s="5"/>
      <c r="F70" s="18">
        <v>6</v>
      </c>
      <c r="G70" s="18">
        <v>4</v>
      </c>
      <c r="H70" s="18">
        <v>7</v>
      </c>
      <c r="I70" s="18">
        <v>16</v>
      </c>
      <c r="J70" s="19">
        <f t="shared" si="12"/>
        <v>198</v>
      </c>
      <c r="K70" s="20">
        <f t="shared" si="13"/>
        <v>33</v>
      </c>
      <c r="L70" s="27">
        <v>11</v>
      </c>
      <c r="M70" s="27">
        <v>3</v>
      </c>
      <c r="N70" s="27">
        <v>5</v>
      </c>
      <c r="O70" s="27"/>
      <c r="P70" s="28">
        <f t="shared" si="14"/>
        <v>164</v>
      </c>
      <c r="Q70" s="29">
        <f t="shared" si="15"/>
        <v>19</v>
      </c>
      <c r="R70" s="36">
        <v>27.58</v>
      </c>
      <c r="S70" s="36"/>
      <c r="T70" s="36"/>
      <c r="U70" s="37"/>
      <c r="V70" s="38">
        <f t="shared" si="16"/>
        <v>72.42</v>
      </c>
      <c r="W70" s="2">
        <f t="shared" si="17"/>
        <v>434.42</v>
      </c>
    </row>
    <row r="71" spans="1:23" s="3" customFormat="1" ht="22.5" customHeight="1" x14ac:dyDescent="0.25">
      <c r="A71" s="5">
        <v>69</v>
      </c>
      <c r="B71" s="4" t="s">
        <v>75</v>
      </c>
      <c r="C71" s="5" t="s">
        <v>129</v>
      </c>
      <c r="D71" s="5" t="s">
        <v>138</v>
      </c>
      <c r="E71" s="5"/>
      <c r="F71" s="18"/>
      <c r="G71" s="18">
        <v>2</v>
      </c>
      <c r="H71" s="18">
        <v>6</v>
      </c>
      <c r="I71" s="18">
        <v>14</v>
      </c>
      <c r="J71" s="19">
        <f t="shared" si="12"/>
        <v>108</v>
      </c>
      <c r="K71" s="20">
        <f t="shared" si="13"/>
        <v>22</v>
      </c>
      <c r="L71" s="27">
        <v>10</v>
      </c>
      <c r="M71" s="27">
        <v>6</v>
      </c>
      <c r="N71" s="27">
        <v>1</v>
      </c>
      <c r="O71" s="27"/>
      <c r="P71" s="28">
        <f t="shared" si="14"/>
        <v>154</v>
      </c>
      <c r="Q71" s="29">
        <f t="shared" si="15"/>
        <v>17</v>
      </c>
      <c r="R71" s="36">
        <v>24.24</v>
      </c>
      <c r="S71" s="36"/>
      <c r="T71" s="36"/>
      <c r="U71" s="37"/>
      <c r="V71" s="38">
        <f t="shared" si="16"/>
        <v>75.760000000000005</v>
      </c>
      <c r="W71" s="2">
        <f t="shared" si="17"/>
        <v>337.76</v>
      </c>
    </row>
    <row r="72" spans="1:23" s="3" customFormat="1" ht="22.5" customHeight="1" x14ac:dyDescent="0.25">
      <c r="A72" s="5">
        <v>70</v>
      </c>
      <c r="B72" s="4" t="s">
        <v>76</v>
      </c>
      <c r="C72" s="5" t="s">
        <v>135</v>
      </c>
      <c r="D72" s="5" t="s">
        <v>138</v>
      </c>
      <c r="E72" s="5" t="s">
        <v>140</v>
      </c>
      <c r="F72" s="18">
        <v>6</v>
      </c>
      <c r="G72" s="18">
        <v>10</v>
      </c>
      <c r="H72" s="18">
        <v>6</v>
      </c>
      <c r="I72" s="18">
        <v>9</v>
      </c>
      <c r="J72" s="19">
        <f t="shared" si="12"/>
        <v>212</v>
      </c>
      <c r="K72" s="20">
        <f t="shared" si="13"/>
        <v>31</v>
      </c>
      <c r="L72" s="27">
        <v>15</v>
      </c>
      <c r="M72" s="27">
        <v>14</v>
      </c>
      <c r="N72" s="27">
        <v>5</v>
      </c>
      <c r="O72" s="27"/>
      <c r="P72" s="28">
        <f t="shared" si="14"/>
        <v>292</v>
      </c>
      <c r="Q72" s="29">
        <f t="shared" si="15"/>
        <v>34</v>
      </c>
      <c r="R72" s="36">
        <v>31.2</v>
      </c>
      <c r="S72" s="36"/>
      <c r="T72" s="36"/>
      <c r="U72" s="37"/>
      <c r="V72" s="38">
        <f t="shared" si="16"/>
        <v>68.8</v>
      </c>
      <c r="W72" s="2">
        <f t="shared" si="17"/>
        <v>572.79999999999995</v>
      </c>
    </row>
    <row r="73" spans="1:23" s="3" customFormat="1" ht="22.5" customHeight="1" x14ac:dyDescent="0.25">
      <c r="A73" s="5">
        <v>71</v>
      </c>
      <c r="B73" s="4" t="s">
        <v>77</v>
      </c>
      <c r="C73" s="5" t="s">
        <v>129</v>
      </c>
      <c r="D73" s="5" t="s">
        <v>138</v>
      </c>
      <c r="E73" s="5"/>
      <c r="F73" s="18"/>
      <c r="G73" s="18">
        <v>3</v>
      </c>
      <c r="H73" s="18">
        <v>8</v>
      </c>
      <c r="I73" s="18">
        <v>16</v>
      </c>
      <c r="J73" s="19">
        <f t="shared" si="12"/>
        <v>136</v>
      </c>
      <c r="K73" s="20">
        <f t="shared" si="13"/>
        <v>27</v>
      </c>
      <c r="L73" s="27">
        <v>2</v>
      </c>
      <c r="M73" s="27">
        <v>6</v>
      </c>
      <c r="N73" s="27">
        <v>6</v>
      </c>
      <c r="O73" s="27"/>
      <c r="P73" s="28">
        <f t="shared" si="14"/>
        <v>104</v>
      </c>
      <c r="Q73" s="29">
        <f t="shared" si="15"/>
        <v>14</v>
      </c>
      <c r="R73" s="36">
        <v>17.95</v>
      </c>
      <c r="S73" s="36"/>
      <c r="T73" s="36"/>
      <c r="U73" s="37"/>
      <c r="V73" s="38">
        <f t="shared" si="16"/>
        <v>82.05</v>
      </c>
      <c r="W73" s="2">
        <f t="shared" si="17"/>
        <v>322.05</v>
      </c>
    </row>
    <row r="74" spans="1:23" s="3" customFormat="1" ht="22.5" customHeight="1" x14ac:dyDescent="0.25">
      <c r="A74" s="5">
        <v>72</v>
      </c>
      <c r="B74" s="4" t="s">
        <v>78</v>
      </c>
      <c r="C74" s="5" t="s">
        <v>129</v>
      </c>
      <c r="D74" s="5" t="s">
        <v>138</v>
      </c>
      <c r="E74" s="5"/>
      <c r="F74" s="18"/>
      <c r="G74" s="18">
        <v>5</v>
      </c>
      <c r="H74" s="18">
        <v>2</v>
      </c>
      <c r="I74" s="18">
        <v>19</v>
      </c>
      <c r="J74" s="19">
        <f t="shared" si="12"/>
        <v>128</v>
      </c>
      <c r="K74" s="20">
        <f t="shared" si="13"/>
        <v>26</v>
      </c>
      <c r="L74" s="27">
        <v>5</v>
      </c>
      <c r="M74" s="27">
        <v>3</v>
      </c>
      <c r="N74" s="27">
        <v>5</v>
      </c>
      <c r="O74" s="27"/>
      <c r="P74" s="28">
        <f t="shared" si="14"/>
        <v>104</v>
      </c>
      <c r="Q74" s="29">
        <f t="shared" si="15"/>
        <v>13</v>
      </c>
      <c r="R74" s="36">
        <v>51.7</v>
      </c>
      <c r="S74" s="36"/>
      <c r="T74" s="36"/>
      <c r="U74" s="37"/>
      <c r="V74" s="38">
        <f t="shared" si="16"/>
        <v>48.3</v>
      </c>
      <c r="W74" s="2">
        <f t="shared" si="17"/>
        <v>280.3</v>
      </c>
    </row>
    <row r="75" spans="1:23" s="3" customFormat="1" ht="22.5" customHeight="1" x14ac:dyDescent="0.25">
      <c r="A75" s="5">
        <v>73</v>
      </c>
      <c r="B75" s="4" t="s">
        <v>79</v>
      </c>
      <c r="C75" s="5" t="s">
        <v>129</v>
      </c>
      <c r="D75" s="5" t="s">
        <v>138</v>
      </c>
      <c r="E75" s="5"/>
      <c r="F75" s="18">
        <v>11</v>
      </c>
      <c r="G75" s="18">
        <v>4</v>
      </c>
      <c r="H75" s="18">
        <v>10</v>
      </c>
      <c r="I75" s="18">
        <v>8</v>
      </c>
      <c r="J75" s="19">
        <f t="shared" si="12"/>
        <v>234</v>
      </c>
      <c r="K75" s="20">
        <f t="shared" si="13"/>
        <v>33</v>
      </c>
      <c r="L75" s="27">
        <v>24</v>
      </c>
      <c r="M75" s="27">
        <v>11</v>
      </c>
      <c r="N75" s="27">
        <v>1</v>
      </c>
      <c r="O75" s="27"/>
      <c r="P75" s="28">
        <f t="shared" si="14"/>
        <v>334</v>
      </c>
      <c r="Q75" s="29">
        <f t="shared" si="15"/>
        <v>36</v>
      </c>
      <c r="R75" s="36">
        <v>17.16</v>
      </c>
      <c r="S75" s="36"/>
      <c r="T75" s="36"/>
      <c r="U75" s="37"/>
      <c r="V75" s="38">
        <f t="shared" si="16"/>
        <v>82.84</v>
      </c>
      <c r="W75" s="2">
        <f t="shared" si="17"/>
        <v>650.84</v>
      </c>
    </row>
    <row r="76" spans="1:23" s="3" customFormat="1" ht="22.5" customHeight="1" x14ac:dyDescent="0.25">
      <c r="A76" s="5">
        <v>74</v>
      </c>
      <c r="B76" s="4" t="s">
        <v>80</v>
      </c>
      <c r="C76" s="5" t="s">
        <v>135</v>
      </c>
      <c r="D76" s="5" t="s">
        <v>138</v>
      </c>
      <c r="E76" s="5" t="s">
        <v>168</v>
      </c>
      <c r="F76" s="18">
        <v>9</v>
      </c>
      <c r="G76" s="18">
        <v>16</v>
      </c>
      <c r="H76" s="18">
        <v>6</v>
      </c>
      <c r="I76" s="18">
        <v>4</v>
      </c>
      <c r="J76" s="19">
        <f t="shared" si="12"/>
        <v>270</v>
      </c>
      <c r="K76" s="20">
        <f t="shared" si="13"/>
        <v>35</v>
      </c>
      <c r="L76" s="27">
        <v>20</v>
      </c>
      <c r="M76" s="27">
        <v>11</v>
      </c>
      <c r="N76" s="27">
        <v>3</v>
      </c>
      <c r="O76" s="27"/>
      <c r="P76" s="28">
        <f t="shared" si="14"/>
        <v>306</v>
      </c>
      <c r="Q76" s="29">
        <f t="shared" si="15"/>
        <v>34</v>
      </c>
      <c r="R76" s="36">
        <v>14.67</v>
      </c>
      <c r="S76" s="36"/>
      <c r="T76" s="36"/>
      <c r="U76" s="37"/>
      <c r="V76" s="38">
        <f t="shared" si="16"/>
        <v>85.33</v>
      </c>
      <c r="W76" s="2">
        <f t="shared" si="17"/>
        <v>661.33</v>
      </c>
    </row>
    <row r="77" spans="1:23" s="3" customFormat="1" ht="22.5" customHeight="1" x14ac:dyDescent="0.25">
      <c r="A77" s="5">
        <v>75</v>
      </c>
      <c r="B77" s="4" t="s">
        <v>81</v>
      </c>
      <c r="C77" s="5" t="s">
        <v>135</v>
      </c>
      <c r="D77" s="5" t="s">
        <v>138</v>
      </c>
      <c r="E77" s="5" t="s">
        <v>168</v>
      </c>
      <c r="F77" s="18">
        <v>12</v>
      </c>
      <c r="G77" s="18">
        <v>13</v>
      </c>
      <c r="H77" s="18">
        <v>6</v>
      </c>
      <c r="I77" s="18">
        <v>5</v>
      </c>
      <c r="J77" s="19">
        <f t="shared" si="12"/>
        <v>280</v>
      </c>
      <c r="K77" s="20">
        <f t="shared" si="13"/>
        <v>36</v>
      </c>
      <c r="L77" s="27">
        <v>14</v>
      </c>
      <c r="M77" s="27">
        <v>12</v>
      </c>
      <c r="N77" s="27">
        <v>6</v>
      </c>
      <c r="O77" s="27"/>
      <c r="P77" s="28">
        <f t="shared" si="14"/>
        <v>272</v>
      </c>
      <c r="Q77" s="29">
        <f t="shared" si="15"/>
        <v>32</v>
      </c>
      <c r="R77" s="36">
        <v>13.26</v>
      </c>
      <c r="S77" s="36"/>
      <c r="T77" s="36"/>
      <c r="U77" s="37"/>
      <c r="V77" s="38">
        <f t="shared" si="16"/>
        <v>86.74</v>
      </c>
      <c r="W77" s="2">
        <f t="shared" si="17"/>
        <v>638.74</v>
      </c>
    </row>
    <row r="78" spans="1:23" s="3" customFormat="1" ht="22.5" customHeight="1" x14ac:dyDescent="0.25">
      <c r="A78" s="5">
        <v>76</v>
      </c>
      <c r="B78" s="4" t="s">
        <v>82</v>
      </c>
      <c r="C78" s="5"/>
      <c r="D78" s="5"/>
      <c r="E78" s="5"/>
      <c r="F78" s="18"/>
      <c r="G78" s="18"/>
      <c r="H78" s="18"/>
      <c r="I78" s="18"/>
      <c r="J78" s="19">
        <f t="shared" si="12"/>
        <v>0</v>
      </c>
      <c r="K78" s="20">
        <f t="shared" si="13"/>
        <v>0</v>
      </c>
      <c r="L78" s="27"/>
      <c r="M78" s="27"/>
      <c r="N78" s="27"/>
      <c r="O78" s="27"/>
      <c r="P78" s="28">
        <f t="shared" si="14"/>
        <v>0</v>
      </c>
      <c r="Q78" s="29">
        <f t="shared" si="15"/>
        <v>0</v>
      </c>
      <c r="R78" s="36"/>
      <c r="S78" s="36"/>
      <c r="T78" s="36"/>
      <c r="U78" s="37"/>
      <c r="V78" s="38">
        <f t="shared" si="16"/>
        <v>100</v>
      </c>
      <c r="W78" s="2">
        <f t="shared" si="17"/>
        <v>100</v>
      </c>
    </row>
    <row r="79" spans="1:23" s="3" customFormat="1" ht="22.5" customHeight="1" x14ac:dyDescent="0.25">
      <c r="A79" s="5">
        <v>77</v>
      </c>
      <c r="B79" s="4" t="s">
        <v>83</v>
      </c>
      <c r="C79" s="5" t="s">
        <v>129</v>
      </c>
      <c r="D79" s="5" t="s">
        <v>138</v>
      </c>
      <c r="E79" s="5"/>
      <c r="F79" s="18">
        <v>2</v>
      </c>
      <c r="G79" s="18">
        <v>9</v>
      </c>
      <c r="H79" s="18">
        <v>8</v>
      </c>
      <c r="I79" s="18">
        <v>15</v>
      </c>
      <c r="J79" s="19">
        <f t="shared" si="12"/>
        <v>200</v>
      </c>
      <c r="K79" s="20">
        <f t="shared" si="13"/>
        <v>34</v>
      </c>
      <c r="L79" s="27">
        <v>8</v>
      </c>
      <c r="M79" s="27">
        <v>7</v>
      </c>
      <c r="N79" s="27">
        <v>3</v>
      </c>
      <c r="O79" s="27"/>
      <c r="P79" s="28">
        <f t="shared" si="14"/>
        <v>154</v>
      </c>
      <c r="Q79" s="29">
        <f t="shared" si="15"/>
        <v>18</v>
      </c>
      <c r="R79" s="36">
        <v>16.09</v>
      </c>
      <c r="S79" s="36"/>
      <c r="T79" s="36"/>
      <c r="U79" s="37"/>
      <c r="V79" s="38">
        <f t="shared" si="16"/>
        <v>83.91</v>
      </c>
      <c r="W79" s="2">
        <f t="shared" si="17"/>
        <v>437.90999999999997</v>
      </c>
    </row>
    <row r="80" spans="1:23" s="3" customFormat="1" ht="22.5" customHeight="1" x14ac:dyDescent="0.25">
      <c r="A80" s="5">
        <v>78</v>
      </c>
      <c r="B80" s="4" t="s">
        <v>84</v>
      </c>
      <c r="C80" s="5" t="s">
        <v>129</v>
      </c>
      <c r="D80" s="5" t="s">
        <v>138</v>
      </c>
      <c r="E80" s="5"/>
      <c r="F80" s="18">
        <v>2</v>
      </c>
      <c r="G80" s="18">
        <v>7</v>
      </c>
      <c r="H80" s="18">
        <v>11</v>
      </c>
      <c r="I80" s="18">
        <v>7</v>
      </c>
      <c r="J80" s="19">
        <f t="shared" si="12"/>
        <v>170</v>
      </c>
      <c r="K80" s="20">
        <f t="shared" si="13"/>
        <v>27</v>
      </c>
      <c r="L80" s="27">
        <v>12</v>
      </c>
      <c r="M80" s="27">
        <v>9</v>
      </c>
      <c r="N80" s="27">
        <v>4</v>
      </c>
      <c r="O80" s="27"/>
      <c r="P80" s="28">
        <f t="shared" si="14"/>
        <v>216</v>
      </c>
      <c r="Q80" s="29">
        <f t="shared" si="15"/>
        <v>25</v>
      </c>
      <c r="R80" s="36">
        <v>28.52</v>
      </c>
      <c r="S80" s="36"/>
      <c r="T80" s="36"/>
      <c r="U80" s="37"/>
      <c r="V80" s="38">
        <f t="shared" si="16"/>
        <v>71.48</v>
      </c>
      <c r="W80" s="2">
        <f t="shared" si="17"/>
        <v>457.48</v>
      </c>
    </row>
    <row r="81" spans="1:23" s="3" customFormat="1" ht="22.5" customHeight="1" x14ac:dyDescent="0.25">
      <c r="A81" s="5">
        <v>79</v>
      </c>
      <c r="B81" s="4" t="s">
        <v>85</v>
      </c>
      <c r="C81" s="5" t="s">
        <v>135</v>
      </c>
      <c r="D81" s="5" t="s">
        <v>138</v>
      </c>
      <c r="E81" s="5" t="s">
        <v>133</v>
      </c>
      <c r="F81" s="18">
        <v>5</v>
      </c>
      <c r="G81" s="18">
        <v>10</v>
      </c>
      <c r="H81" s="18">
        <v>9</v>
      </c>
      <c r="I81" s="18">
        <v>12</v>
      </c>
      <c r="J81" s="19">
        <f t="shared" si="12"/>
        <v>232</v>
      </c>
      <c r="K81" s="20">
        <f t="shared" si="13"/>
        <v>36</v>
      </c>
      <c r="L81" s="27">
        <v>17</v>
      </c>
      <c r="M81" s="27">
        <v>8</v>
      </c>
      <c r="N81" s="27">
        <v>9</v>
      </c>
      <c r="O81" s="27"/>
      <c r="P81" s="28">
        <f t="shared" si="14"/>
        <v>288</v>
      </c>
      <c r="Q81" s="29">
        <f t="shared" si="15"/>
        <v>34</v>
      </c>
      <c r="R81" s="36">
        <v>18.71</v>
      </c>
      <c r="S81" s="36"/>
      <c r="T81" s="36"/>
      <c r="U81" s="37"/>
      <c r="V81" s="38">
        <f t="shared" si="16"/>
        <v>81.289999999999992</v>
      </c>
      <c r="W81" s="2">
        <f t="shared" si="17"/>
        <v>601.29</v>
      </c>
    </row>
    <row r="82" spans="1:23" s="3" customFormat="1" ht="22.5" customHeight="1" x14ac:dyDescent="0.25">
      <c r="A82" s="5">
        <v>80</v>
      </c>
      <c r="B82" s="4" t="s">
        <v>86</v>
      </c>
      <c r="C82" s="5" t="s">
        <v>135</v>
      </c>
      <c r="D82" s="5" t="s">
        <v>138</v>
      </c>
      <c r="E82" s="5" t="s">
        <v>168</v>
      </c>
      <c r="F82" s="18">
        <v>7</v>
      </c>
      <c r="G82" s="18">
        <v>9</v>
      </c>
      <c r="H82" s="18">
        <v>9</v>
      </c>
      <c r="I82" s="18">
        <v>11</v>
      </c>
      <c r="J82" s="19">
        <f t="shared" si="12"/>
        <v>240</v>
      </c>
      <c r="K82" s="20">
        <f t="shared" si="13"/>
        <v>36</v>
      </c>
      <c r="L82" s="27">
        <v>19</v>
      </c>
      <c r="M82" s="27">
        <v>5</v>
      </c>
      <c r="N82" s="27">
        <v>4</v>
      </c>
      <c r="O82" s="27"/>
      <c r="P82" s="28">
        <f t="shared" si="14"/>
        <v>254</v>
      </c>
      <c r="Q82" s="29">
        <f t="shared" si="15"/>
        <v>28</v>
      </c>
      <c r="R82" s="36">
        <v>14.12</v>
      </c>
      <c r="S82" s="36"/>
      <c r="T82" s="36"/>
      <c r="U82" s="37"/>
      <c r="V82" s="38">
        <f t="shared" si="16"/>
        <v>85.88</v>
      </c>
      <c r="W82" s="2">
        <f t="shared" si="17"/>
        <v>579.88</v>
      </c>
    </row>
    <row r="83" spans="1:23" s="3" customFormat="1" ht="22.5" customHeight="1" x14ac:dyDescent="0.25">
      <c r="A83" s="5">
        <v>81</v>
      </c>
      <c r="B83" s="4" t="s">
        <v>87</v>
      </c>
      <c r="C83" s="5" t="s">
        <v>129</v>
      </c>
      <c r="D83" s="5" t="s">
        <v>138</v>
      </c>
      <c r="E83" s="5"/>
      <c r="F83" s="18">
        <v>6</v>
      </c>
      <c r="G83" s="18">
        <v>20</v>
      </c>
      <c r="H83" s="18">
        <v>4</v>
      </c>
      <c r="I83" s="18">
        <v>3</v>
      </c>
      <c r="J83" s="19">
        <f t="shared" si="12"/>
        <v>256</v>
      </c>
      <c r="K83" s="20">
        <f t="shared" si="13"/>
        <v>33</v>
      </c>
      <c r="L83" s="27">
        <v>12</v>
      </c>
      <c r="M83" s="27">
        <v>16</v>
      </c>
      <c r="N83" s="27">
        <v>3</v>
      </c>
      <c r="O83" s="27"/>
      <c r="P83" s="28">
        <f t="shared" si="14"/>
        <v>266</v>
      </c>
      <c r="Q83" s="29">
        <f t="shared" si="15"/>
        <v>31</v>
      </c>
      <c r="R83" s="36">
        <v>14.68</v>
      </c>
      <c r="S83" s="36"/>
      <c r="T83" s="36"/>
      <c r="U83" s="37"/>
      <c r="V83" s="38">
        <f t="shared" si="16"/>
        <v>85.32</v>
      </c>
      <c r="W83" s="2">
        <f t="shared" si="17"/>
        <v>607.31999999999994</v>
      </c>
    </row>
    <row r="84" spans="1:23" s="3" customFormat="1" ht="22.5" customHeight="1" x14ac:dyDescent="0.25">
      <c r="A84" s="5">
        <v>82</v>
      </c>
      <c r="B84" s="4" t="s">
        <v>88</v>
      </c>
      <c r="C84" s="5" t="s">
        <v>135</v>
      </c>
      <c r="D84" s="5" t="s">
        <v>138</v>
      </c>
      <c r="E84" s="5" t="s">
        <v>168</v>
      </c>
      <c r="F84" s="18">
        <v>3</v>
      </c>
      <c r="G84" s="18">
        <v>10</v>
      </c>
      <c r="H84" s="18">
        <v>12</v>
      </c>
      <c r="I84" s="18">
        <v>9</v>
      </c>
      <c r="J84" s="19">
        <f t="shared" si="12"/>
        <v>218</v>
      </c>
      <c r="K84" s="20">
        <f t="shared" si="13"/>
        <v>34</v>
      </c>
      <c r="L84" s="27">
        <v>17</v>
      </c>
      <c r="M84" s="27">
        <v>9</v>
      </c>
      <c r="N84" s="27">
        <v>8</v>
      </c>
      <c r="O84" s="27"/>
      <c r="P84" s="28">
        <f t="shared" si="14"/>
        <v>290</v>
      </c>
      <c r="Q84" s="29">
        <f t="shared" si="15"/>
        <v>34</v>
      </c>
      <c r="R84" s="36">
        <v>22.77</v>
      </c>
      <c r="S84" s="36"/>
      <c r="T84" s="36"/>
      <c r="U84" s="37"/>
      <c r="V84" s="38">
        <f t="shared" si="16"/>
        <v>77.23</v>
      </c>
      <c r="W84" s="2">
        <f t="shared" si="17"/>
        <v>585.23</v>
      </c>
    </row>
    <row r="85" spans="1:23" s="3" customFormat="1" ht="22.5" customHeight="1" x14ac:dyDescent="0.25">
      <c r="A85" s="5">
        <v>83</v>
      </c>
      <c r="B85" s="4" t="s">
        <v>34</v>
      </c>
      <c r="C85" s="5" t="s">
        <v>129</v>
      </c>
      <c r="D85" s="5" t="s">
        <v>138</v>
      </c>
      <c r="E85" s="5"/>
      <c r="F85" s="18">
        <v>4</v>
      </c>
      <c r="G85" s="18">
        <v>12</v>
      </c>
      <c r="H85" s="18">
        <v>4</v>
      </c>
      <c r="I85" s="18">
        <v>13</v>
      </c>
      <c r="J85" s="19">
        <f t="shared" si="12"/>
        <v>212</v>
      </c>
      <c r="K85" s="20">
        <f t="shared" si="13"/>
        <v>33</v>
      </c>
      <c r="L85" s="27">
        <v>24</v>
      </c>
      <c r="M85" s="27">
        <v>3</v>
      </c>
      <c r="N85" s="27">
        <v>1</v>
      </c>
      <c r="O85" s="27"/>
      <c r="P85" s="28">
        <f t="shared" si="14"/>
        <v>270</v>
      </c>
      <c r="Q85" s="29">
        <f t="shared" si="15"/>
        <v>28</v>
      </c>
      <c r="R85" s="36">
        <v>14.3</v>
      </c>
      <c r="S85" s="36"/>
      <c r="T85" s="36"/>
      <c r="U85" s="37"/>
      <c r="V85" s="38">
        <f t="shared" si="16"/>
        <v>85.7</v>
      </c>
      <c r="W85" s="2">
        <f t="shared" si="17"/>
        <v>567.70000000000005</v>
      </c>
    </row>
    <row r="86" spans="1:23" s="3" customFormat="1" ht="22.5" customHeight="1" x14ac:dyDescent="0.25">
      <c r="A86" s="5">
        <v>84</v>
      </c>
      <c r="B86" s="4" t="s">
        <v>89</v>
      </c>
      <c r="C86" s="5" t="s">
        <v>129</v>
      </c>
      <c r="D86" s="5" t="s">
        <v>139</v>
      </c>
      <c r="E86" s="5"/>
      <c r="F86" s="18">
        <v>5</v>
      </c>
      <c r="G86" s="18">
        <v>10</v>
      </c>
      <c r="H86" s="18">
        <v>11</v>
      </c>
      <c r="I86" s="18">
        <v>9</v>
      </c>
      <c r="J86" s="19">
        <f t="shared" si="12"/>
        <v>232</v>
      </c>
      <c r="K86" s="20">
        <f t="shared" si="13"/>
        <v>35</v>
      </c>
      <c r="L86" s="27">
        <v>20</v>
      </c>
      <c r="M86" s="27">
        <v>12</v>
      </c>
      <c r="N86" s="27">
        <v>2</v>
      </c>
      <c r="O86" s="27"/>
      <c r="P86" s="28">
        <f t="shared" si="14"/>
        <v>308</v>
      </c>
      <c r="Q86" s="29">
        <f t="shared" si="15"/>
        <v>34</v>
      </c>
      <c r="R86" s="36">
        <v>18.63</v>
      </c>
      <c r="S86" s="36"/>
      <c r="T86" s="36"/>
      <c r="U86" s="37"/>
      <c r="V86" s="38">
        <f t="shared" si="16"/>
        <v>81.37</v>
      </c>
      <c r="W86" s="2">
        <f t="shared" si="17"/>
        <v>621.37</v>
      </c>
    </row>
    <row r="87" spans="1:23" s="3" customFormat="1" ht="22.5" customHeight="1" x14ac:dyDescent="0.25">
      <c r="A87" s="5">
        <v>85</v>
      </c>
      <c r="B87" s="4" t="s">
        <v>90</v>
      </c>
      <c r="C87" s="5" t="s">
        <v>151</v>
      </c>
      <c r="D87" s="5" t="s">
        <v>138</v>
      </c>
      <c r="E87" s="5"/>
      <c r="F87" s="18">
        <v>4</v>
      </c>
      <c r="G87" s="18">
        <v>9</v>
      </c>
      <c r="H87" s="18">
        <v>8</v>
      </c>
      <c r="I87" s="18">
        <v>10</v>
      </c>
      <c r="J87" s="19">
        <f t="shared" si="12"/>
        <v>200</v>
      </c>
      <c r="K87" s="20">
        <f t="shared" si="13"/>
        <v>31</v>
      </c>
      <c r="L87" s="27">
        <v>7</v>
      </c>
      <c r="M87" s="27">
        <v>12</v>
      </c>
      <c r="N87" s="27">
        <v>5</v>
      </c>
      <c r="O87" s="27"/>
      <c r="P87" s="28">
        <f t="shared" si="14"/>
        <v>196</v>
      </c>
      <c r="Q87" s="29">
        <f t="shared" si="15"/>
        <v>24</v>
      </c>
      <c r="R87" s="36">
        <v>16.52</v>
      </c>
      <c r="S87" s="36"/>
      <c r="T87" s="36"/>
      <c r="U87" s="37"/>
      <c r="V87" s="38">
        <f t="shared" si="16"/>
        <v>83.48</v>
      </c>
      <c r="W87" s="2">
        <f t="shared" si="17"/>
        <v>479.48</v>
      </c>
    </row>
    <row r="88" spans="1:23" s="3" customFormat="1" ht="22.5" customHeight="1" x14ac:dyDescent="0.25">
      <c r="A88" s="5">
        <v>86</v>
      </c>
      <c r="B88" s="4" t="s">
        <v>91</v>
      </c>
      <c r="C88" s="5" t="s">
        <v>135</v>
      </c>
      <c r="D88" s="5" t="s">
        <v>138</v>
      </c>
      <c r="E88" s="5"/>
      <c r="F88" s="18">
        <v>10</v>
      </c>
      <c r="G88" s="18">
        <v>13</v>
      </c>
      <c r="H88" s="18">
        <v>8</v>
      </c>
      <c r="I88" s="18">
        <v>5</v>
      </c>
      <c r="J88" s="19">
        <f t="shared" si="12"/>
        <v>272</v>
      </c>
      <c r="K88" s="20">
        <f t="shared" si="13"/>
        <v>36</v>
      </c>
      <c r="L88" s="27">
        <v>14</v>
      </c>
      <c r="M88" s="27">
        <v>14</v>
      </c>
      <c r="N88" s="27">
        <v>8</v>
      </c>
      <c r="O88" s="27"/>
      <c r="P88" s="28">
        <f t="shared" si="14"/>
        <v>300</v>
      </c>
      <c r="Q88" s="29">
        <f t="shared" si="15"/>
        <v>36</v>
      </c>
      <c r="R88" s="36">
        <v>14.61</v>
      </c>
      <c r="S88" s="36"/>
      <c r="T88" s="36"/>
      <c r="U88" s="37"/>
      <c r="V88" s="38">
        <f t="shared" si="16"/>
        <v>85.39</v>
      </c>
      <c r="W88" s="2">
        <f t="shared" si="17"/>
        <v>657.39</v>
      </c>
    </row>
    <row r="89" spans="1:23" s="3" customFormat="1" ht="22.5" customHeight="1" x14ac:dyDescent="0.25">
      <c r="A89" s="5">
        <v>87</v>
      </c>
      <c r="B89" s="4" t="s">
        <v>82</v>
      </c>
      <c r="C89" s="5" t="s">
        <v>129</v>
      </c>
      <c r="D89" s="5" t="s">
        <v>139</v>
      </c>
      <c r="E89" s="5"/>
      <c r="F89" s="18">
        <v>8</v>
      </c>
      <c r="G89" s="18">
        <v>9</v>
      </c>
      <c r="H89" s="18">
        <v>14</v>
      </c>
      <c r="I89" s="18">
        <v>5</v>
      </c>
      <c r="J89" s="19">
        <f t="shared" si="12"/>
        <v>256</v>
      </c>
      <c r="K89" s="20">
        <f t="shared" si="13"/>
        <v>36</v>
      </c>
      <c r="L89" s="27">
        <v>14</v>
      </c>
      <c r="M89" s="27">
        <v>13</v>
      </c>
      <c r="N89" s="27">
        <v>3</v>
      </c>
      <c r="O89" s="27"/>
      <c r="P89" s="28">
        <f t="shared" si="14"/>
        <v>262</v>
      </c>
      <c r="Q89" s="29">
        <f t="shared" si="15"/>
        <v>30</v>
      </c>
      <c r="R89" s="36">
        <v>18.809999999999999</v>
      </c>
      <c r="S89" s="36"/>
      <c r="T89" s="36"/>
      <c r="U89" s="37"/>
      <c r="V89" s="38">
        <f t="shared" si="16"/>
        <v>81.19</v>
      </c>
      <c r="W89" s="2">
        <f t="shared" si="17"/>
        <v>599.19000000000005</v>
      </c>
    </row>
    <row r="90" spans="1:23" s="3" customFormat="1" ht="22.5" customHeight="1" x14ac:dyDescent="0.25">
      <c r="A90" s="5">
        <v>88</v>
      </c>
      <c r="B90" s="4" t="s">
        <v>92</v>
      </c>
      <c r="C90" s="5" t="s">
        <v>129</v>
      </c>
      <c r="D90" s="5" t="s">
        <v>178</v>
      </c>
      <c r="E90" s="5"/>
      <c r="F90" s="18">
        <v>21</v>
      </c>
      <c r="G90" s="18">
        <v>12</v>
      </c>
      <c r="H90" s="18">
        <v>2</v>
      </c>
      <c r="I90" s="18">
        <v>1</v>
      </c>
      <c r="J90" s="19">
        <f t="shared" si="12"/>
        <v>322</v>
      </c>
      <c r="K90" s="20">
        <f t="shared" si="13"/>
        <v>36</v>
      </c>
      <c r="L90" s="27">
        <v>32</v>
      </c>
      <c r="M90" s="27">
        <v>1</v>
      </c>
      <c r="N90" s="27"/>
      <c r="O90" s="27"/>
      <c r="P90" s="28">
        <f t="shared" si="14"/>
        <v>328</v>
      </c>
      <c r="Q90" s="29">
        <f t="shared" si="15"/>
        <v>33</v>
      </c>
      <c r="R90" s="36">
        <v>11.49</v>
      </c>
      <c r="S90" s="36"/>
      <c r="T90" s="36"/>
      <c r="U90" s="37"/>
      <c r="V90" s="38">
        <f t="shared" si="16"/>
        <v>88.51</v>
      </c>
      <c r="W90" s="2">
        <f t="shared" si="17"/>
        <v>738.51</v>
      </c>
    </row>
    <row r="91" spans="1:23" s="3" customFormat="1" ht="22.5" customHeight="1" x14ac:dyDescent="0.25">
      <c r="A91" s="5">
        <v>89</v>
      </c>
      <c r="B91" s="4" t="s">
        <v>93</v>
      </c>
      <c r="C91" s="5" t="s">
        <v>129</v>
      </c>
      <c r="D91" s="5" t="s">
        <v>138</v>
      </c>
      <c r="E91" s="5"/>
      <c r="F91" s="18">
        <v>9</v>
      </c>
      <c r="G91" s="18">
        <v>11</v>
      </c>
      <c r="H91" s="18">
        <v>10</v>
      </c>
      <c r="I91" s="18">
        <v>4</v>
      </c>
      <c r="J91" s="19">
        <f t="shared" si="12"/>
        <v>254</v>
      </c>
      <c r="K91" s="20">
        <f t="shared" si="13"/>
        <v>34</v>
      </c>
      <c r="L91" s="27">
        <v>24</v>
      </c>
      <c r="M91" s="27">
        <v>9</v>
      </c>
      <c r="N91" s="27">
        <v>1</v>
      </c>
      <c r="O91" s="27"/>
      <c r="P91" s="28">
        <f t="shared" si="14"/>
        <v>318</v>
      </c>
      <c r="Q91" s="29">
        <f t="shared" si="15"/>
        <v>34</v>
      </c>
      <c r="R91" s="36">
        <v>15.89</v>
      </c>
      <c r="S91" s="36"/>
      <c r="T91" s="36"/>
      <c r="U91" s="37"/>
      <c r="V91" s="38">
        <f t="shared" si="16"/>
        <v>84.11</v>
      </c>
      <c r="W91" s="2">
        <f t="shared" si="17"/>
        <v>656.11</v>
      </c>
    </row>
    <row r="92" spans="1:23" s="3" customFormat="1" ht="22.5" customHeight="1" x14ac:dyDescent="0.25">
      <c r="A92" s="5">
        <v>90</v>
      </c>
      <c r="B92" s="4" t="s">
        <v>94</v>
      </c>
      <c r="C92" s="5" t="s">
        <v>129</v>
      </c>
      <c r="D92" s="5" t="s">
        <v>127</v>
      </c>
      <c r="E92" s="5"/>
      <c r="F92" s="18">
        <v>15</v>
      </c>
      <c r="G92" s="18">
        <v>19</v>
      </c>
      <c r="H92" s="18">
        <v>2</v>
      </c>
      <c r="I92" s="18"/>
      <c r="J92" s="19">
        <f t="shared" si="12"/>
        <v>314</v>
      </c>
      <c r="K92" s="20">
        <f t="shared" si="13"/>
        <v>36</v>
      </c>
      <c r="L92" s="27">
        <v>31</v>
      </c>
      <c r="M92" s="27">
        <v>5</v>
      </c>
      <c r="N92" s="27"/>
      <c r="O92" s="27"/>
      <c r="P92" s="28">
        <f t="shared" si="14"/>
        <v>350</v>
      </c>
      <c r="Q92" s="29">
        <f t="shared" si="15"/>
        <v>36</v>
      </c>
      <c r="R92" s="36">
        <v>18.079999999999998</v>
      </c>
      <c r="S92" s="36"/>
      <c r="T92" s="36"/>
      <c r="U92" s="37"/>
      <c r="V92" s="38">
        <f t="shared" si="16"/>
        <v>81.92</v>
      </c>
      <c r="W92" s="2">
        <f t="shared" si="17"/>
        <v>745.92</v>
      </c>
    </row>
    <row r="93" spans="1:23" s="3" customFormat="1" ht="22.5" customHeight="1" x14ac:dyDescent="0.25">
      <c r="A93" s="5">
        <v>91</v>
      </c>
      <c r="B93" s="4" t="s">
        <v>95</v>
      </c>
      <c r="C93" s="5" t="s">
        <v>129</v>
      </c>
      <c r="D93" s="5" t="s">
        <v>138</v>
      </c>
      <c r="E93" s="5"/>
      <c r="F93" s="18">
        <v>6</v>
      </c>
      <c r="G93" s="18">
        <v>8</v>
      </c>
      <c r="H93" s="18">
        <v>10</v>
      </c>
      <c r="I93" s="18">
        <v>9</v>
      </c>
      <c r="J93" s="19">
        <f t="shared" si="12"/>
        <v>220</v>
      </c>
      <c r="K93" s="20">
        <f t="shared" si="13"/>
        <v>33</v>
      </c>
      <c r="L93" s="27">
        <v>24</v>
      </c>
      <c r="M93" s="27">
        <v>7</v>
      </c>
      <c r="N93" s="27">
        <v>3</v>
      </c>
      <c r="O93" s="27"/>
      <c r="P93" s="28">
        <f t="shared" si="14"/>
        <v>314</v>
      </c>
      <c r="Q93" s="29">
        <f t="shared" si="15"/>
        <v>34</v>
      </c>
      <c r="R93" s="36">
        <v>18.940000000000001</v>
      </c>
      <c r="S93" s="36"/>
      <c r="T93" s="36"/>
      <c r="U93" s="37"/>
      <c r="V93" s="38">
        <f t="shared" si="16"/>
        <v>81.06</v>
      </c>
      <c r="W93" s="2">
        <f t="shared" si="17"/>
        <v>615.05999999999995</v>
      </c>
    </row>
    <row r="94" spans="1:23" s="3" customFormat="1" ht="22.5" customHeight="1" x14ac:dyDescent="0.25">
      <c r="A94" s="5">
        <v>92</v>
      </c>
      <c r="B94" s="4" t="s">
        <v>96</v>
      </c>
      <c r="C94" s="5" t="s">
        <v>129</v>
      </c>
      <c r="D94" s="5" t="s">
        <v>139</v>
      </c>
      <c r="E94" s="5"/>
      <c r="F94" s="18"/>
      <c r="G94" s="18">
        <v>7</v>
      </c>
      <c r="H94" s="18">
        <v>10</v>
      </c>
      <c r="I94" s="18">
        <v>7</v>
      </c>
      <c r="J94" s="19">
        <f t="shared" si="12"/>
        <v>144</v>
      </c>
      <c r="K94" s="20">
        <f t="shared" si="13"/>
        <v>24</v>
      </c>
      <c r="L94" s="27">
        <v>15</v>
      </c>
      <c r="M94" s="27">
        <v>9</v>
      </c>
      <c r="N94" s="27">
        <v>5</v>
      </c>
      <c r="O94" s="27"/>
      <c r="P94" s="28">
        <f t="shared" si="14"/>
        <v>252</v>
      </c>
      <c r="Q94" s="29">
        <f t="shared" si="15"/>
        <v>29</v>
      </c>
      <c r="R94" s="36">
        <v>25.35</v>
      </c>
      <c r="S94" s="36"/>
      <c r="T94" s="36"/>
      <c r="U94" s="37"/>
      <c r="V94" s="38">
        <f t="shared" si="16"/>
        <v>74.650000000000006</v>
      </c>
      <c r="W94" s="2">
        <f t="shared" si="17"/>
        <v>470.65</v>
      </c>
    </row>
    <row r="95" spans="1:23" s="3" customFormat="1" ht="22.5" customHeight="1" x14ac:dyDescent="0.25">
      <c r="A95" s="5">
        <v>93</v>
      </c>
      <c r="B95" s="4" t="s">
        <v>97</v>
      </c>
      <c r="C95" s="5" t="s">
        <v>129</v>
      </c>
      <c r="D95" s="5" t="s">
        <v>138</v>
      </c>
      <c r="E95" s="5"/>
      <c r="F95" s="18">
        <v>10</v>
      </c>
      <c r="G95" s="18">
        <v>15</v>
      </c>
      <c r="H95" s="18">
        <v>8</v>
      </c>
      <c r="I95" s="18">
        <v>3</v>
      </c>
      <c r="J95" s="19">
        <f t="shared" si="12"/>
        <v>280</v>
      </c>
      <c r="K95" s="20">
        <f t="shared" si="13"/>
        <v>36</v>
      </c>
      <c r="L95" s="27">
        <v>31</v>
      </c>
      <c r="M95" s="27">
        <v>3</v>
      </c>
      <c r="N95" s="27"/>
      <c r="O95" s="27"/>
      <c r="P95" s="28">
        <f t="shared" si="14"/>
        <v>334</v>
      </c>
      <c r="Q95" s="29">
        <f t="shared" si="15"/>
        <v>34</v>
      </c>
      <c r="R95" s="36">
        <v>7.26</v>
      </c>
      <c r="S95" s="36"/>
      <c r="T95" s="36"/>
      <c r="U95" s="37"/>
      <c r="V95" s="38">
        <f t="shared" si="16"/>
        <v>92.74</v>
      </c>
      <c r="W95" s="2">
        <f t="shared" si="17"/>
        <v>706.74</v>
      </c>
    </row>
    <row r="96" spans="1:23" s="3" customFormat="1" ht="22.5" customHeight="1" x14ac:dyDescent="0.25">
      <c r="A96" s="5">
        <v>94</v>
      </c>
      <c r="B96" s="4" t="s">
        <v>98</v>
      </c>
      <c r="C96" s="5" t="s">
        <v>129</v>
      </c>
      <c r="D96" s="5" t="s">
        <v>138</v>
      </c>
      <c r="E96" s="5"/>
      <c r="F96" s="18">
        <v>1</v>
      </c>
      <c r="G96" s="18">
        <v>1</v>
      </c>
      <c r="H96" s="18">
        <v>2</v>
      </c>
      <c r="I96" s="18">
        <v>11</v>
      </c>
      <c r="J96" s="19">
        <f t="shared" si="12"/>
        <v>74</v>
      </c>
      <c r="K96" s="20">
        <f t="shared" si="13"/>
        <v>15</v>
      </c>
      <c r="L96" s="27">
        <v>5</v>
      </c>
      <c r="M96" s="27">
        <v>3</v>
      </c>
      <c r="N96" s="27">
        <v>2</v>
      </c>
      <c r="O96" s="27"/>
      <c r="P96" s="28">
        <f t="shared" si="14"/>
        <v>86</v>
      </c>
      <c r="Q96" s="29">
        <f t="shared" si="15"/>
        <v>10</v>
      </c>
      <c r="R96" s="36">
        <v>48.22</v>
      </c>
      <c r="S96" s="36"/>
      <c r="T96" s="36"/>
      <c r="U96" s="37"/>
      <c r="V96" s="38">
        <f t="shared" si="16"/>
        <v>51.78</v>
      </c>
      <c r="W96" s="2">
        <f t="shared" si="17"/>
        <v>211.78</v>
      </c>
    </row>
    <row r="97" spans="1:23" s="3" customFormat="1" ht="22.5" customHeight="1" x14ac:dyDescent="0.25">
      <c r="A97" s="5">
        <v>95</v>
      </c>
      <c r="B97" s="4" t="s">
        <v>99</v>
      </c>
      <c r="C97" s="5" t="s">
        <v>129</v>
      </c>
      <c r="D97" s="5" t="s">
        <v>138</v>
      </c>
      <c r="E97" s="5"/>
      <c r="F97" s="18">
        <v>9</v>
      </c>
      <c r="G97" s="18">
        <v>9</v>
      </c>
      <c r="H97" s="18">
        <v>11</v>
      </c>
      <c r="I97" s="18">
        <v>2</v>
      </c>
      <c r="J97" s="19">
        <f t="shared" si="12"/>
        <v>236</v>
      </c>
      <c r="K97" s="20">
        <f t="shared" si="13"/>
        <v>31</v>
      </c>
      <c r="L97" s="27">
        <v>20</v>
      </c>
      <c r="M97" s="27">
        <v>5</v>
      </c>
      <c r="N97" s="27"/>
      <c r="O97" s="27"/>
      <c r="P97" s="28">
        <f t="shared" si="14"/>
        <v>240</v>
      </c>
      <c r="Q97" s="29">
        <f t="shared" si="15"/>
        <v>25</v>
      </c>
      <c r="R97" s="36">
        <v>15.47</v>
      </c>
      <c r="S97" s="36"/>
      <c r="T97" s="36"/>
      <c r="U97" s="37"/>
      <c r="V97" s="38">
        <f t="shared" si="16"/>
        <v>84.53</v>
      </c>
      <c r="W97" s="2">
        <f t="shared" si="17"/>
        <v>560.53</v>
      </c>
    </row>
    <row r="98" spans="1:23" s="3" customFormat="1" ht="22.5" customHeight="1" x14ac:dyDescent="0.25">
      <c r="A98" s="5">
        <v>96</v>
      </c>
      <c r="B98" s="4" t="s">
        <v>100</v>
      </c>
      <c r="C98" s="5" t="s">
        <v>135</v>
      </c>
      <c r="D98" s="5" t="s">
        <v>138</v>
      </c>
      <c r="E98" s="5" t="s">
        <v>159</v>
      </c>
      <c r="F98" s="18">
        <v>8</v>
      </c>
      <c r="G98" s="18">
        <v>19</v>
      </c>
      <c r="H98" s="18">
        <v>7</v>
      </c>
      <c r="I98" s="18">
        <v>2</v>
      </c>
      <c r="J98" s="19">
        <f t="shared" si="12"/>
        <v>282</v>
      </c>
      <c r="K98" s="20">
        <f t="shared" si="13"/>
        <v>36</v>
      </c>
      <c r="L98" s="27">
        <v>30</v>
      </c>
      <c r="M98" s="27">
        <v>4</v>
      </c>
      <c r="N98" s="27"/>
      <c r="O98" s="27"/>
      <c r="P98" s="28">
        <f t="shared" si="14"/>
        <v>332</v>
      </c>
      <c r="Q98" s="29">
        <f t="shared" si="15"/>
        <v>34</v>
      </c>
      <c r="R98" s="36">
        <v>8.98</v>
      </c>
      <c r="S98" s="36"/>
      <c r="T98" s="36"/>
      <c r="U98" s="37"/>
      <c r="V98" s="38">
        <f t="shared" si="16"/>
        <v>91.02</v>
      </c>
      <c r="W98" s="2">
        <f t="shared" si="17"/>
        <v>705.02</v>
      </c>
    </row>
    <row r="99" spans="1:23" s="3" customFormat="1" ht="22.5" customHeight="1" x14ac:dyDescent="0.25">
      <c r="A99" s="5">
        <v>97</v>
      </c>
      <c r="B99" s="4" t="s">
        <v>101</v>
      </c>
      <c r="C99" s="5" t="s">
        <v>151</v>
      </c>
      <c r="D99" s="5" t="s">
        <v>138</v>
      </c>
      <c r="E99" s="5"/>
      <c r="F99" s="18">
        <v>2</v>
      </c>
      <c r="G99" s="18">
        <v>4</v>
      </c>
      <c r="H99" s="18">
        <v>8</v>
      </c>
      <c r="I99" s="18">
        <v>15</v>
      </c>
      <c r="J99" s="19">
        <f t="shared" ref="J99:J130" si="18">SUM(F99*10)+(G99*8)+(H99*6)+(I99*4)</f>
        <v>160</v>
      </c>
      <c r="K99" s="20">
        <f t="shared" ref="K99:K130" si="19">SUM(F99:I99)</f>
        <v>29</v>
      </c>
      <c r="L99" s="27">
        <v>9</v>
      </c>
      <c r="M99" s="27">
        <v>3</v>
      </c>
      <c r="N99" s="27">
        <v>6</v>
      </c>
      <c r="O99" s="27"/>
      <c r="P99" s="28">
        <f t="shared" ref="P99:P130" si="20">SUM(L99*10)+(M99*8)+(N99*6)+(O99*4)</f>
        <v>150</v>
      </c>
      <c r="Q99" s="29">
        <f t="shared" ref="Q99:Q130" si="21">SUM(L99:O99)</f>
        <v>18</v>
      </c>
      <c r="R99" s="36">
        <v>30.68</v>
      </c>
      <c r="S99" s="36"/>
      <c r="T99" s="36"/>
      <c r="U99" s="37"/>
      <c r="V99" s="38">
        <f t="shared" ref="V99:V130" si="22">100-(R99+S99+(U99*10)+(T99*20))</f>
        <v>69.319999999999993</v>
      </c>
      <c r="W99" s="2">
        <f t="shared" ref="W99:W130" si="23">J99+P99+V99</f>
        <v>379.32</v>
      </c>
    </row>
    <row r="100" spans="1:23" s="3" customFormat="1" ht="22.5" customHeight="1" x14ac:dyDescent="0.25">
      <c r="A100" s="5">
        <v>98</v>
      </c>
      <c r="B100" s="4" t="s">
        <v>102</v>
      </c>
      <c r="C100" s="5" t="s">
        <v>129</v>
      </c>
      <c r="D100" s="5" t="s">
        <v>139</v>
      </c>
      <c r="E100" s="5"/>
      <c r="F100" s="18">
        <v>13</v>
      </c>
      <c r="G100" s="18">
        <v>10</v>
      </c>
      <c r="H100" s="18">
        <v>5</v>
      </c>
      <c r="I100" s="18">
        <v>6</v>
      </c>
      <c r="J100" s="19">
        <f t="shared" si="18"/>
        <v>264</v>
      </c>
      <c r="K100" s="20">
        <f t="shared" si="19"/>
        <v>34</v>
      </c>
      <c r="L100" s="27">
        <v>25</v>
      </c>
      <c r="M100" s="27">
        <v>5</v>
      </c>
      <c r="N100" s="27">
        <v>2</v>
      </c>
      <c r="O100" s="27"/>
      <c r="P100" s="28">
        <f t="shared" si="20"/>
        <v>302</v>
      </c>
      <c r="Q100" s="29">
        <f t="shared" si="21"/>
        <v>32</v>
      </c>
      <c r="R100" s="36">
        <v>18.440000000000001</v>
      </c>
      <c r="S100" s="36"/>
      <c r="T100" s="36"/>
      <c r="U100" s="37"/>
      <c r="V100" s="38">
        <f t="shared" si="22"/>
        <v>81.56</v>
      </c>
      <c r="W100" s="2">
        <f t="shared" si="23"/>
        <v>647.55999999999995</v>
      </c>
    </row>
    <row r="101" spans="1:23" s="3" customFormat="1" ht="22.5" customHeight="1" x14ac:dyDescent="0.25">
      <c r="A101" s="5">
        <v>99</v>
      </c>
      <c r="B101" s="4" t="s">
        <v>103</v>
      </c>
      <c r="C101" s="5" t="s">
        <v>135</v>
      </c>
      <c r="D101" s="5" t="s">
        <v>139</v>
      </c>
      <c r="E101" s="5"/>
      <c r="F101" s="18">
        <v>4</v>
      </c>
      <c r="G101" s="18">
        <v>9</v>
      </c>
      <c r="H101" s="18">
        <v>9</v>
      </c>
      <c r="I101" s="18">
        <v>14</v>
      </c>
      <c r="J101" s="19">
        <f t="shared" si="18"/>
        <v>222</v>
      </c>
      <c r="K101" s="20">
        <f t="shared" si="19"/>
        <v>36</v>
      </c>
      <c r="L101" s="27">
        <v>25</v>
      </c>
      <c r="M101" s="27">
        <v>5</v>
      </c>
      <c r="N101" s="27">
        <v>4</v>
      </c>
      <c r="O101" s="27"/>
      <c r="P101" s="28">
        <f t="shared" si="20"/>
        <v>314</v>
      </c>
      <c r="Q101" s="29">
        <f t="shared" si="21"/>
        <v>34</v>
      </c>
      <c r="R101" s="36">
        <v>17.23</v>
      </c>
      <c r="S101" s="36"/>
      <c r="T101" s="36"/>
      <c r="U101" s="37"/>
      <c r="V101" s="38">
        <f t="shared" si="22"/>
        <v>82.77</v>
      </c>
      <c r="W101" s="2">
        <f t="shared" si="23"/>
        <v>618.77</v>
      </c>
    </row>
    <row r="102" spans="1:23" s="3" customFormat="1" ht="22.5" customHeight="1" x14ac:dyDescent="0.25">
      <c r="A102" s="5">
        <v>100</v>
      </c>
      <c r="B102" s="4" t="s">
        <v>104</v>
      </c>
      <c r="C102" s="5" t="s">
        <v>129</v>
      </c>
      <c r="D102" s="5" t="s">
        <v>178</v>
      </c>
      <c r="E102" s="5"/>
      <c r="F102" s="18">
        <v>10</v>
      </c>
      <c r="G102" s="18">
        <v>10</v>
      </c>
      <c r="H102" s="18">
        <v>7</v>
      </c>
      <c r="I102" s="18">
        <v>3</v>
      </c>
      <c r="J102" s="19">
        <f t="shared" si="18"/>
        <v>234</v>
      </c>
      <c r="K102" s="20">
        <f t="shared" si="19"/>
        <v>30</v>
      </c>
      <c r="L102" s="27">
        <v>27</v>
      </c>
      <c r="M102" s="27">
        <v>4</v>
      </c>
      <c r="N102" s="27">
        <v>1</v>
      </c>
      <c r="O102" s="27"/>
      <c r="P102" s="28">
        <f t="shared" si="20"/>
        <v>308</v>
      </c>
      <c r="Q102" s="29">
        <f t="shared" si="21"/>
        <v>32</v>
      </c>
      <c r="R102" s="36">
        <v>8.18</v>
      </c>
      <c r="S102" s="36"/>
      <c r="T102" s="36"/>
      <c r="U102" s="37"/>
      <c r="V102" s="38">
        <f t="shared" si="22"/>
        <v>91.82</v>
      </c>
      <c r="W102" s="2">
        <f t="shared" si="23"/>
        <v>633.81999999999994</v>
      </c>
    </row>
    <row r="103" spans="1:23" s="3" customFormat="1" ht="22.5" customHeight="1" x14ac:dyDescent="0.25">
      <c r="A103" s="5">
        <v>101</v>
      </c>
      <c r="B103" s="4" t="s">
        <v>105</v>
      </c>
      <c r="C103" s="5" t="s">
        <v>129</v>
      </c>
      <c r="D103" s="5" t="s">
        <v>138</v>
      </c>
      <c r="E103" s="5"/>
      <c r="F103" s="18">
        <v>2</v>
      </c>
      <c r="G103" s="18">
        <v>9</v>
      </c>
      <c r="H103" s="18">
        <v>9</v>
      </c>
      <c r="I103" s="18">
        <v>11</v>
      </c>
      <c r="J103" s="19">
        <f t="shared" si="18"/>
        <v>190</v>
      </c>
      <c r="K103" s="20">
        <f t="shared" si="19"/>
        <v>31</v>
      </c>
      <c r="L103" s="27">
        <v>6</v>
      </c>
      <c r="M103" s="27">
        <v>13</v>
      </c>
      <c r="N103" s="27">
        <v>9</v>
      </c>
      <c r="O103" s="27"/>
      <c r="P103" s="28">
        <f t="shared" si="20"/>
        <v>218</v>
      </c>
      <c r="Q103" s="29">
        <f t="shared" si="21"/>
        <v>28</v>
      </c>
      <c r="R103" s="36">
        <v>25.56</v>
      </c>
      <c r="S103" s="36"/>
      <c r="T103" s="36"/>
      <c r="U103" s="37"/>
      <c r="V103" s="38">
        <f t="shared" si="22"/>
        <v>74.44</v>
      </c>
      <c r="W103" s="2">
        <f t="shared" si="23"/>
        <v>482.44</v>
      </c>
    </row>
    <row r="104" spans="1:23" s="3" customFormat="1" ht="22.5" customHeight="1" x14ac:dyDescent="0.25">
      <c r="A104" s="5">
        <v>102</v>
      </c>
      <c r="B104" s="4" t="s">
        <v>106</v>
      </c>
      <c r="C104" s="5" t="s">
        <v>129</v>
      </c>
      <c r="D104" s="5" t="s">
        <v>139</v>
      </c>
      <c r="E104" s="5"/>
      <c r="F104" s="18">
        <v>4</v>
      </c>
      <c r="G104" s="18">
        <v>8</v>
      </c>
      <c r="H104" s="18">
        <v>6</v>
      </c>
      <c r="I104" s="18">
        <v>17</v>
      </c>
      <c r="J104" s="19">
        <f t="shared" si="18"/>
        <v>208</v>
      </c>
      <c r="K104" s="20">
        <f t="shared" si="19"/>
        <v>35</v>
      </c>
      <c r="L104" s="27">
        <v>12</v>
      </c>
      <c r="M104" s="27">
        <v>9</v>
      </c>
      <c r="N104" s="27">
        <v>2</v>
      </c>
      <c r="O104" s="27"/>
      <c r="P104" s="28">
        <f t="shared" si="20"/>
        <v>204</v>
      </c>
      <c r="Q104" s="29">
        <f t="shared" si="21"/>
        <v>23</v>
      </c>
      <c r="R104" s="36">
        <v>17.809999999999999</v>
      </c>
      <c r="S104" s="36"/>
      <c r="T104" s="36"/>
      <c r="U104" s="37"/>
      <c r="V104" s="38">
        <f t="shared" si="22"/>
        <v>82.19</v>
      </c>
      <c r="W104" s="2">
        <f t="shared" si="23"/>
        <v>494.19</v>
      </c>
    </row>
    <row r="105" spans="1:23" s="3" customFormat="1" ht="22.5" customHeight="1" x14ac:dyDescent="0.25">
      <c r="A105" s="5">
        <v>103</v>
      </c>
      <c r="B105" s="4" t="s">
        <v>107</v>
      </c>
      <c r="C105" s="5" t="s">
        <v>135</v>
      </c>
      <c r="D105" s="5" t="s">
        <v>138</v>
      </c>
      <c r="E105" s="5" t="s">
        <v>170</v>
      </c>
      <c r="F105" s="18">
        <v>5</v>
      </c>
      <c r="G105" s="18">
        <v>8</v>
      </c>
      <c r="H105" s="18">
        <v>12</v>
      </c>
      <c r="I105" s="18">
        <v>8</v>
      </c>
      <c r="J105" s="19">
        <f t="shared" si="18"/>
        <v>218</v>
      </c>
      <c r="K105" s="20">
        <f t="shared" si="19"/>
        <v>33</v>
      </c>
      <c r="L105" s="27">
        <v>19</v>
      </c>
      <c r="M105" s="27">
        <v>12</v>
      </c>
      <c r="N105" s="27"/>
      <c r="O105" s="27">
        <v>4</v>
      </c>
      <c r="P105" s="28">
        <f t="shared" si="20"/>
        <v>302</v>
      </c>
      <c r="Q105" s="29">
        <f t="shared" si="21"/>
        <v>35</v>
      </c>
      <c r="R105" s="36">
        <v>15.74</v>
      </c>
      <c r="S105" s="36"/>
      <c r="T105" s="36"/>
      <c r="U105" s="37"/>
      <c r="V105" s="38">
        <f t="shared" si="22"/>
        <v>84.26</v>
      </c>
      <c r="W105" s="2">
        <f t="shared" si="23"/>
        <v>604.26</v>
      </c>
    </row>
    <row r="106" spans="1:23" s="3" customFormat="1" ht="22.5" customHeight="1" x14ac:dyDescent="0.25">
      <c r="A106" s="5">
        <v>104</v>
      </c>
      <c r="B106" s="4" t="s">
        <v>108</v>
      </c>
      <c r="C106" s="5" t="s">
        <v>129</v>
      </c>
      <c r="D106" s="5" t="s">
        <v>138</v>
      </c>
      <c r="E106" s="5"/>
      <c r="F106" s="18">
        <v>6</v>
      </c>
      <c r="G106" s="18">
        <v>6</v>
      </c>
      <c r="H106" s="18">
        <v>3</v>
      </c>
      <c r="I106" s="18"/>
      <c r="J106" s="19">
        <f t="shared" si="18"/>
        <v>126</v>
      </c>
      <c r="K106" s="20">
        <f t="shared" si="19"/>
        <v>15</v>
      </c>
      <c r="L106" s="27">
        <v>1</v>
      </c>
      <c r="M106" s="27">
        <v>4</v>
      </c>
      <c r="N106" s="27">
        <v>3</v>
      </c>
      <c r="O106" s="27">
        <v>10</v>
      </c>
      <c r="P106" s="28">
        <f t="shared" si="20"/>
        <v>100</v>
      </c>
      <c r="Q106" s="29">
        <f t="shared" si="21"/>
        <v>18</v>
      </c>
      <c r="R106" s="36">
        <v>60.17</v>
      </c>
      <c r="S106" s="36"/>
      <c r="T106" s="36"/>
      <c r="U106" s="37"/>
      <c r="V106" s="38">
        <f t="shared" si="22"/>
        <v>39.83</v>
      </c>
      <c r="W106" s="2">
        <f t="shared" si="23"/>
        <v>265.83</v>
      </c>
    </row>
    <row r="107" spans="1:23" s="3" customFormat="1" ht="22.5" customHeight="1" x14ac:dyDescent="0.25">
      <c r="A107" s="5">
        <v>105</v>
      </c>
      <c r="B107" s="4" t="s">
        <v>109</v>
      </c>
      <c r="C107" s="5" t="s">
        <v>129</v>
      </c>
      <c r="D107" s="5" t="s">
        <v>138</v>
      </c>
      <c r="E107" s="5"/>
      <c r="F107" s="18">
        <v>3</v>
      </c>
      <c r="G107" s="18">
        <v>11</v>
      </c>
      <c r="H107" s="18">
        <v>4</v>
      </c>
      <c r="I107" s="18">
        <v>13</v>
      </c>
      <c r="J107" s="19">
        <f t="shared" si="18"/>
        <v>194</v>
      </c>
      <c r="K107" s="20">
        <f t="shared" si="19"/>
        <v>31</v>
      </c>
      <c r="L107" s="27">
        <v>9</v>
      </c>
      <c r="M107" s="27">
        <v>4</v>
      </c>
      <c r="N107" s="27">
        <v>6</v>
      </c>
      <c r="O107" s="27"/>
      <c r="P107" s="28">
        <f t="shared" si="20"/>
        <v>158</v>
      </c>
      <c r="Q107" s="29">
        <f t="shared" si="21"/>
        <v>19</v>
      </c>
      <c r="R107" s="36">
        <v>16.82</v>
      </c>
      <c r="S107" s="36"/>
      <c r="T107" s="36"/>
      <c r="U107" s="37"/>
      <c r="V107" s="38">
        <f t="shared" si="22"/>
        <v>83.18</v>
      </c>
      <c r="W107" s="2">
        <f t="shared" si="23"/>
        <v>435.18</v>
      </c>
    </row>
    <row r="108" spans="1:23" s="3" customFormat="1" ht="22.5" customHeight="1" x14ac:dyDescent="0.25">
      <c r="A108" s="5">
        <v>106</v>
      </c>
      <c r="B108" s="4" t="s">
        <v>110</v>
      </c>
      <c r="C108" s="5" t="s">
        <v>129</v>
      </c>
      <c r="D108" s="5" t="s">
        <v>138</v>
      </c>
      <c r="E108" s="5"/>
      <c r="F108" s="18">
        <v>3</v>
      </c>
      <c r="G108" s="18">
        <v>7</v>
      </c>
      <c r="H108" s="18">
        <v>8</v>
      </c>
      <c r="I108" s="18">
        <v>15</v>
      </c>
      <c r="J108" s="19">
        <f t="shared" si="18"/>
        <v>194</v>
      </c>
      <c r="K108" s="20">
        <f t="shared" si="19"/>
        <v>33</v>
      </c>
      <c r="L108" s="27">
        <v>22</v>
      </c>
      <c r="M108" s="27">
        <v>8</v>
      </c>
      <c r="N108" s="27">
        <v>1</v>
      </c>
      <c r="O108" s="27"/>
      <c r="P108" s="28">
        <f t="shared" si="20"/>
        <v>290</v>
      </c>
      <c r="Q108" s="29">
        <f t="shared" si="21"/>
        <v>31</v>
      </c>
      <c r="R108" s="36">
        <v>16.350000000000001</v>
      </c>
      <c r="S108" s="36"/>
      <c r="T108" s="36"/>
      <c r="U108" s="37"/>
      <c r="V108" s="38">
        <f t="shared" si="22"/>
        <v>83.65</v>
      </c>
      <c r="W108" s="2">
        <f t="shared" si="23"/>
        <v>567.65</v>
      </c>
    </row>
    <row r="109" spans="1:23" s="3" customFormat="1" ht="22.5" customHeight="1" x14ac:dyDescent="0.25">
      <c r="A109" s="5">
        <v>107</v>
      </c>
      <c r="B109" s="4" t="s">
        <v>111</v>
      </c>
      <c r="C109" s="5" t="s">
        <v>129</v>
      </c>
      <c r="D109" s="5" t="s">
        <v>138</v>
      </c>
      <c r="E109" s="5"/>
      <c r="F109" s="18">
        <v>2</v>
      </c>
      <c r="G109" s="18">
        <v>4</v>
      </c>
      <c r="H109" s="18">
        <v>6</v>
      </c>
      <c r="I109" s="18">
        <v>12</v>
      </c>
      <c r="J109" s="19">
        <f t="shared" si="18"/>
        <v>136</v>
      </c>
      <c r="K109" s="20">
        <f t="shared" si="19"/>
        <v>24</v>
      </c>
      <c r="L109" s="27">
        <v>9</v>
      </c>
      <c r="M109" s="27">
        <v>8</v>
      </c>
      <c r="N109" s="27">
        <v>5</v>
      </c>
      <c r="O109" s="27"/>
      <c r="P109" s="28">
        <f t="shared" si="20"/>
        <v>184</v>
      </c>
      <c r="Q109" s="29">
        <f t="shared" si="21"/>
        <v>22</v>
      </c>
      <c r="R109" s="36">
        <v>37.75</v>
      </c>
      <c r="S109" s="36"/>
      <c r="T109" s="36"/>
      <c r="U109" s="37"/>
      <c r="V109" s="38">
        <f t="shared" si="22"/>
        <v>62.25</v>
      </c>
      <c r="W109" s="2">
        <f t="shared" si="23"/>
        <v>382.25</v>
      </c>
    </row>
    <row r="110" spans="1:23" s="3" customFormat="1" ht="22.5" customHeight="1" x14ac:dyDescent="0.25">
      <c r="A110" s="5">
        <v>108</v>
      </c>
      <c r="B110" s="4" t="s">
        <v>112</v>
      </c>
      <c r="C110" s="5" t="s">
        <v>135</v>
      </c>
      <c r="D110" s="5" t="s">
        <v>138</v>
      </c>
      <c r="E110" s="5"/>
      <c r="F110" s="18">
        <v>15</v>
      </c>
      <c r="G110" s="18">
        <v>9</v>
      </c>
      <c r="H110" s="18">
        <v>2</v>
      </c>
      <c r="I110" s="18">
        <v>3</v>
      </c>
      <c r="J110" s="19">
        <f t="shared" si="18"/>
        <v>246</v>
      </c>
      <c r="K110" s="20">
        <f t="shared" si="19"/>
        <v>29</v>
      </c>
      <c r="L110" s="27">
        <v>18</v>
      </c>
      <c r="M110" s="27">
        <v>4</v>
      </c>
      <c r="N110" s="27"/>
      <c r="O110" s="27"/>
      <c r="P110" s="28">
        <f t="shared" si="20"/>
        <v>212</v>
      </c>
      <c r="Q110" s="29">
        <f t="shared" si="21"/>
        <v>22</v>
      </c>
      <c r="R110" s="36">
        <v>12.55</v>
      </c>
      <c r="S110" s="36"/>
      <c r="T110" s="36"/>
      <c r="U110" s="37"/>
      <c r="V110" s="38">
        <f t="shared" si="22"/>
        <v>87.45</v>
      </c>
      <c r="W110" s="2">
        <f t="shared" si="23"/>
        <v>545.45000000000005</v>
      </c>
    </row>
    <row r="111" spans="1:23" s="3" customFormat="1" ht="22.5" customHeight="1" x14ac:dyDescent="0.25">
      <c r="A111" s="5">
        <v>109</v>
      </c>
      <c r="B111" s="4" t="s">
        <v>113</v>
      </c>
      <c r="C111" s="5" t="s">
        <v>151</v>
      </c>
      <c r="D111" s="5" t="s">
        <v>138</v>
      </c>
      <c r="E111" s="5"/>
      <c r="F111" s="18">
        <v>3</v>
      </c>
      <c r="G111" s="18">
        <v>6</v>
      </c>
      <c r="H111" s="18">
        <v>8</v>
      </c>
      <c r="I111" s="18">
        <v>14</v>
      </c>
      <c r="J111" s="19">
        <f t="shared" si="18"/>
        <v>182</v>
      </c>
      <c r="K111" s="20">
        <f t="shared" si="19"/>
        <v>31</v>
      </c>
      <c r="L111" s="27">
        <v>9</v>
      </c>
      <c r="M111" s="27">
        <v>9</v>
      </c>
      <c r="N111" s="27">
        <v>8</v>
      </c>
      <c r="O111" s="27"/>
      <c r="P111" s="28">
        <f t="shared" si="20"/>
        <v>210</v>
      </c>
      <c r="Q111" s="29">
        <f t="shared" si="21"/>
        <v>26</v>
      </c>
      <c r="R111" s="36">
        <v>20.54</v>
      </c>
      <c r="S111" s="36"/>
      <c r="T111" s="36"/>
      <c r="U111" s="37"/>
      <c r="V111" s="38">
        <f t="shared" si="22"/>
        <v>79.460000000000008</v>
      </c>
      <c r="W111" s="2">
        <f t="shared" si="23"/>
        <v>471.46000000000004</v>
      </c>
    </row>
    <row r="112" spans="1:23" s="3" customFormat="1" ht="22.5" customHeight="1" x14ac:dyDescent="0.25">
      <c r="A112" s="5">
        <v>110</v>
      </c>
      <c r="B112" s="4" t="s">
        <v>114</v>
      </c>
      <c r="C112" s="5" t="s">
        <v>129</v>
      </c>
      <c r="D112" s="5" t="s">
        <v>139</v>
      </c>
      <c r="E112" s="5"/>
      <c r="F112" s="18">
        <v>6</v>
      </c>
      <c r="G112" s="18">
        <v>11</v>
      </c>
      <c r="H112" s="18">
        <v>10</v>
      </c>
      <c r="I112" s="18">
        <v>9</v>
      </c>
      <c r="J112" s="19">
        <f t="shared" si="18"/>
        <v>244</v>
      </c>
      <c r="K112" s="20">
        <f t="shared" si="19"/>
        <v>36</v>
      </c>
      <c r="L112" s="27">
        <v>20</v>
      </c>
      <c r="M112" s="27">
        <v>9</v>
      </c>
      <c r="N112" s="27">
        <v>3</v>
      </c>
      <c r="O112" s="27"/>
      <c r="P112" s="28">
        <f t="shared" si="20"/>
        <v>290</v>
      </c>
      <c r="Q112" s="29">
        <f t="shared" si="21"/>
        <v>32</v>
      </c>
      <c r="R112" s="36">
        <v>11.41</v>
      </c>
      <c r="S112" s="36"/>
      <c r="T112" s="36"/>
      <c r="U112" s="37"/>
      <c r="V112" s="38">
        <f t="shared" si="22"/>
        <v>88.59</v>
      </c>
      <c r="W112" s="2">
        <f t="shared" si="23"/>
        <v>622.59</v>
      </c>
    </row>
    <row r="113" spans="1:23" s="3" customFormat="1" ht="22.5" customHeight="1" x14ac:dyDescent="0.25">
      <c r="A113" s="5">
        <v>111</v>
      </c>
      <c r="B113" s="4" t="s">
        <v>115</v>
      </c>
      <c r="C113" s="5"/>
      <c r="D113" s="5"/>
      <c r="E113" s="5"/>
      <c r="F113" s="18"/>
      <c r="G113" s="18"/>
      <c r="H113" s="18"/>
      <c r="I113" s="18"/>
      <c r="J113" s="19">
        <f t="shared" si="18"/>
        <v>0</v>
      </c>
      <c r="K113" s="20">
        <f t="shared" si="19"/>
        <v>0</v>
      </c>
      <c r="L113" s="27"/>
      <c r="M113" s="27"/>
      <c r="N113" s="27"/>
      <c r="O113" s="27"/>
      <c r="P113" s="28">
        <f t="shared" si="20"/>
        <v>0</v>
      </c>
      <c r="Q113" s="29">
        <f t="shared" si="21"/>
        <v>0</v>
      </c>
      <c r="R113" s="36"/>
      <c r="S113" s="36"/>
      <c r="T113" s="36"/>
      <c r="U113" s="37"/>
      <c r="V113" s="38">
        <f t="shared" si="22"/>
        <v>100</v>
      </c>
      <c r="W113" s="2">
        <f t="shared" si="23"/>
        <v>100</v>
      </c>
    </row>
    <row r="114" spans="1:23" s="3" customFormat="1" ht="22.5" customHeight="1" x14ac:dyDescent="0.25">
      <c r="A114" s="5">
        <v>112</v>
      </c>
      <c r="B114" s="4" t="s">
        <v>116</v>
      </c>
      <c r="C114" s="5"/>
      <c r="D114" s="5"/>
      <c r="E114" s="5"/>
      <c r="F114" s="18"/>
      <c r="G114" s="18"/>
      <c r="H114" s="18"/>
      <c r="I114" s="18"/>
      <c r="J114" s="19">
        <f t="shared" si="18"/>
        <v>0</v>
      </c>
      <c r="K114" s="20">
        <f t="shared" si="19"/>
        <v>0</v>
      </c>
      <c r="L114" s="27"/>
      <c r="M114" s="27"/>
      <c r="N114" s="27"/>
      <c r="O114" s="27"/>
      <c r="P114" s="28">
        <f t="shared" si="20"/>
        <v>0</v>
      </c>
      <c r="Q114" s="29">
        <f t="shared" si="21"/>
        <v>0</v>
      </c>
      <c r="R114" s="36"/>
      <c r="S114" s="36"/>
      <c r="T114" s="36"/>
      <c r="U114" s="37"/>
      <c r="V114" s="38">
        <f t="shared" si="22"/>
        <v>100</v>
      </c>
      <c r="W114" s="2">
        <f t="shared" si="23"/>
        <v>100</v>
      </c>
    </row>
    <row r="115" spans="1:23" s="3" customFormat="1" ht="22.5" customHeight="1" x14ac:dyDescent="0.25">
      <c r="A115" s="5">
        <v>113</v>
      </c>
      <c r="B115" s="4" t="s">
        <v>117</v>
      </c>
      <c r="C115" s="5" t="s">
        <v>135</v>
      </c>
      <c r="D115" s="5" t="s">
        <v>138</v>
      </c>
      <c r="E115" s="5" t="s">
        <v>179</v>
      </c>
      <c r="F115" s="18">
        <v>5</v>
      </c>
      <c r="G115" s="18">
        <v>18</v>
      </c>
      <c r="H115" s="18">
        <v>10</v>
      </c>
      <c r="I115" s="18">
        <v>3</v>
      </c>
      <c r="J115" s="19">
        <f t="shared" si="18"/>
        <v>266</v>
      </c>
      <c r="K115" s="20">
        <f t="shared" si="19"/>
        <v>36</v>
      </c>
      <c r="L115" s="84">
        <v>22</v>
      </c>
      <c r="M115" s="27">
        <v>9</v>
      </c>
      <c r="N115" s="27">
        <v>2</v>
      </c>
      <c r="O115" s="27"/>
      <c r="P115" s="28">
        <f t="shared" si="20"/>
        <v>304</v>
      </c>
      <c r="Q115" s="29">
        <f t="shared" si="21"/>
        <v>33</v>
      </c>
      <c r="R115" s="36">
        <v>13.88</v>
      </c>
      <c r="S115" s="36"/>
      <c r="T115" s="36"/>
      <c r="U115" s="37"/>
      <c r="V115" s="38">
        <f t="shared" si="22"/>
        <v>86.12</v>
      </c>
      <c r="W115" s="2">
        <f t="shared" si="23"/>
        <v>656.12</v>
      </c>
    </row>
    <row r="116" spans="1:23" s="3" customFormat="1" ht="22.5" customHeight="1" x14ac:dyDescent="0.25">
      <c r="A116" s="5">
        <v>114</v>
      </c>
      <c r="B116" s="4" t="s">
        <v>118</v>
      </c>
      <c r="C116" s="5" t="s">
        <v>135</v>
      </c>
      <c r="D116" s="5" t="s">
        <v>138</v>
      </c>
      <c r="E116" s="5" t="s">
        <v>179</v>
      </c>
      <c r="F116" s="18">
        <v>13</v>
      </c>
      <c r="G116" s="18">
        <v>14</v>
      </c>
      <c r="H116" s="18">
        <v>7</v>
      </c>
      <c r="I116" s="18">
        <v>2</v>
      </c>
      <c r="J116" s="19">
        <f t="shared" si="18"/>
        <v>292</v>
      </c>
      <c r="K116" s="20">
        <f t="shared" si="19"/>
        <v>36</v>
      </c>
      <c r="L116" s="27">
        <v>28</v>
      </c>
      <c r="M116" s="27">
        <v>6</v>
      </c>
      <c r="N116" s="27">
        <v>2</v>
      </c>
      <c r="O116" s="27"/>
      <c r="P116" s="28">
        <f t="shared" si="20"/>
        <v>340</v>
      </c>
      <c r="Q116" s="29">
        <f t="shared" si="21"/>
        <v>36</v>
      </c>
      <c r="R116" s="36">
        <v>10.91</v>
      </c>
      <c r="S116" s="36"/>
      <c r="T116" s="36"/>
      <c r="U116" s="37"/>
      <c r="V116" s="38">
        <f t="shared" si="22"/>
        <v>89.09</v>
      </c>
      <c r="W116" s="2">
        <f t="shared" si="23"/>
        <v>721.09</v>
      </c>
    </row>
    <row r="117" spans="1:23" s="3" customFormat="1" ht="22.5" customHeight="1" x14ac:dyDescent="0.25">
      <c r="A117" s="5">
        <v>115</v>
      </c>
      <c r="B117" s="4" t="s">
        <v>119</v>
      </c>
      <c r="C117" s="5" t="s">
        <v>135</v>
      </c>
      <c r="D117" s="5" t="s">
        <v>138</v>
      </c>
      <c r="E117" s="5" t="s">
        <v>179</v>
      </c>
      <c r="F117" s="18">
        <v>32</v>
      </c>
      <c r="G117" s="18">
        <v>4</v>
      </c>
      <c r="H117" s="18"/>
      <c r="I117" s="18"/>
      <c r="J117" s="19">
        <f t="shared" si="18"/>
        <v>352</v>
      </c>
      <c r="K117" s="20">
        <f t="shared" si="19"/>
        <v>36</v>
      </c>
      <c r="L117" s="27">
        <v>25</v>
      </c>
      <c r="M117" s="27">
        <v>11</v>
      </c>
      <c r="N117" s="27"/>
      <c r="O117" s="27"/>
      <c r="P117" s="28">
        <f t="shared" si="20"/>
        <v>338</v>
      </c>
      <c r="Q117" s="29">
        <f t="shared" si="21"/>
        <v>36</v>
      </c>
      <c r="R117" s="36">
        <v>8.51</v>
      </c>
      <c r="S117" s="36"/>
      <c r="T117" s="36"/>
      <c r="U117" s="37"/>
      <c r="V117" s="38">
        <f t="shared" si="22"/>
        <v>91.49</v>
      </c>
      <c r="W117" s="2">
        <f t="shared" si="23"/>
        <v>781.49</v>
      </c>
    </row>
    <row r="118" spans="1:23" s="3" customFormat="1" ht="22.5" customHeight="1" x14ac:dyDescent="0.25">
      <c r="A118" s="5">
        <v>116</v>
      </c>
      <c r="B118" s="4" t="s">
        <v>120</v>
      </c>
      <c r="C118" s="5" t="s">
        <v>135</v>
      </c>
      <c r="D118" s="5" t="s">
        <v>138</v>
      </c>
      <c r="E118" s="5" t="s">
        <v>179</v>
      </c>
      <c r="F118" s="18">
        <v>36</v>
      </c>
      <c r="G118" s="18"/>
      <c r="H118" s="18"/>
      <c r="I118" s="18"/>
      <c r="J118" s="19">
        <f t="shared" si="18"/>
        <v>360</v>
      </c>
      <c r="K118" s="20">
        <f t="shared" si="19"/>
        <v>36</v>
      </c>
      <c r="L118" s="27">
        <v>28</v>
      </c>
      <c r="M118" s="27">
        <v>8</v>
      </c>
      <c r="N118" s="27"/>
      <c r="O118" s="27"/>
      <c r="P118" s="28">
        <f t="shared" si="20"/>
        <v>344</v>
      </c>
      <c r="Q118" s="29">
        <f t="shared" si="21"/>
        <v>36</v>
      </c>
      <c r="R118" s="36">
        <v>8.73</v>
      </c>
      <c r="S118" s="36"/>
      <c r="T118" s="36"/>
      <c r="U118" s="37"/>
      <c r="V118" s="38">
        <f t="shared" si="22"/>
        <v>91.27</v>
      </c>
      <c r="W118" s="2">
        <f t="shared" si="23"/>
        <v>795.27</v>
      </c>
    </row>
    <row r="119" spans="1:23" s="3" customFormat="1" ht="22.5" customHeight="1" x14ac:dyDescent="0.25">
      <c r="A119" s="5">
        <v>117</v>
      </c>
      <c r="B119" s="4" t="s">
        <v>174</v>
      </c>
      <c r="C119" s="5" t="s">
        <v>135</v>
      </c>
      <c r="D119" s="5" t="s">
        <v>138</v>
      </c>
      <c r="E119" s="5"/>
      <c r="F119" s="18">
        <v>1</v>
      </c>
      <c r="G119" s="18">
        <v>6</v>
      </c>
      <c r="H119" s="18">
        <v>9</v>
      </c>
      <c r="I119" s="18">
        <v>14</v>
      </c>
      <c r="J119" s="19">
        <f t="shared" si="18"/>
        <v>168</v>
      </c>
      <c r="K119" s="20">
        <f t="shared" si="19"/>
        <v>30</v>
      </c>
      <c r="L119" s="27">
        <v>8</v>
      </c>
      <c r="M119" s="27">
        <v>3</v>
      </c>
      <c r="N119" s="27">
        <v>2</v>
      </c>
      <c r="O119" s="27"/>
      <c r="P119" s="28">
        <f t="shared" si="20"/>
        <v>116</v>
      </c>
      <c r="Q119" s="29">
        <f t="shared" si="21"/>
        <v>13</v>
      </c>
      <c r="R119" s="36">
        <v>24.04</v>
      </c>
      <c r="S119" s="36"/>
      <c r="T119" s="36"/>
      <c r="U119" s="37"/>
      <c r="V119" s="38">
        <f t="shared" si="22"/>
        <v>75.960000000000008</v>
      </c>
      <c r="W119" s="2">
        <f t="shared" si="23"/>
        <v>359.96000000000004</v>
      </c>
    </row>
    <row r="120" spans="1:23" s="3" customFormat="1" ht="22.5" customHeight="1" x14ac:dyDescent="0.25">
      <c r="A120" s="5">
        <v>118</v>
      </c>
      <c r="B120" s="4" t="s">
        <v>121</v>
      </c>
      <c r="C120" s="5"/>
      <c r="D120" s="5"/>
      <c r="E120" s="5"/>
      <c r="F120" s="18"/>
      <c r="G120" s="18"/>
      <c r="H120" s="18"/>
      <c r="I120" s="18"/>
      <c r="J120" s="19">
        <f t="shared" si="18"/>
        <v>0</v>
      </c>
      <c r="K120" s="20">
        <f t="shared" si="19"/>
        <v>0</v>
      </c>
      <c r="L120" s="27"/>
      <c r="M120" s="27"/>
      <c r="N120" s="27"/>
      <c r="O120" s="27"/>
      <c r="P120" s="28">
        <f t="shared" si="20"/>
        <v>0</v>
      </c>
      <c r="Q120" s="29">
        <f t="shared" si="21"/>
        <v>0</v>
      </c>
      <c r="R120" s="36"/>
      <c r="S120" s="36"/>
      <c r="T120" s="36"/>
      <c r="U120" s="37"/>
      <c r="V120" s="38">
        <f t="shared" si="22"/>
        <v>100</v>
      </c>
      <c r="W120" s="2">
        <f t="shared" si="23"/>
        <v>100</v>
      </c>
    </row>
    <row r="121" spans="1:23" s="3" customFormat="1" ht="22.5" customHeight="1" x14ac:dyDescent="0.25">
      <c r="A121" s="5">
        <v>119</v>
      </c>
      <c r="B121" s="4" t="s">
        <v>122</v>
      </c>
      <c r="C121" s="5"/>
      <c r="D121" s="5"/>
      <c r="E121" s="5"/>
      <c r="F121" s="18"/>
      <c r="G121" s="18"/>
      <c r="H121" s="18"/>
      <c r="I121" s="18"/>
      <c r="J121" s="19">
        <f t="shared" si="18"/>
        <v>0</v>
      </c>
      <c r="K121" s="20">
        <f t="shared" si="19"/>
        <v>0</v>
      </c>
      <c r="L121" s="27"/>
      <c r="M121" s="27"/>
      <c r="N121" s="27"/>
      <c r="O121" s="27"/>
      <c r="P121" s="28">
        <f t="shared" si="20"/>
        <v>0</v>
      </c>
      <c r="Q121" s="29">
        <f t="shared" si="21"/>
        <v>0</v>
      </c>
      <c r="R121" s="36"/>
      <c r="S121" s="36"/>
      <c r="T121" s="36"/>
      <c r="U121" s="37"/>
      <c r="V121" s="38">
        <f t="shared" si="22"/>
        <v>100</v>
      </c>
      <c r="W121" s="2">
        <f t="shared" si="23"/>
        <v>100</v>
      </c>
    </row>
    <row r="122" spans="1:23" s="3" customFormat="1" ht="22.5" customHeight="1" x14ac:dyDescent="0.25">
      <c r="A122" s="5">
        <v>120</v>
      </c>
      <c r="B122" s="4" t="s">
        <v>123</v>
      </c>
      <c r="C122" s="5" t="s">
        <v>135</v>
      </c>
      <c r="D122" s="5" t="s">
        <v>138</v>
      </c>
      <c r="E122" s="5" t="s">
        <v>170</v>
      </c>
      <c r="F122" s="18">
        <v>7</v>
      </c>
      <c r="G122" s="18">
        <v>13</v>
      </c>
      <c r="H122" s="18">
        <v>11</v>
      </c>
      <c r="I122" s="18">
        <v>4</v>
      </c>
      <c r="J122" s="19">
        <f t="shared" si="18"/>
        <v>256</v>
      </c>
      <c r="K122" s="20">
        <f t="shared" si="19"/>
        <v>35</v>
      </c>
      <c r="L122" s="27">
        <v>20</v>
      </c>
      <c r="M122" s="27">
        <v>8</v>
      </c>
      <c r="N122" s="27">
        <v>4</v>
      </c>
      <c r="O122" s="27"/>
      <c r="P122" s="28">
        <f t="shared" si="20"/>
        <v>288</v>
      </c>
      <c r="Q122" s="29">
        <f t="shared" si="21"/>
        <v>32</v>
      </c>
      <c r="R122" s="36">
        <v>9.4700000000000006</v>
      </c>
      <c r="S122" s="36"/>
      <c r="T122" s="36"/>
      <c r="U122" s="37"/>
      <c r="V122" s="38">
        <f t="shared" si="22"/>
        <v>90.53</v>
      </c>
      <c r="W122" s="2">
        <f t="shared" si="23"/>
        <v>634.53</v>
      </c>
    </row>
    <row r="123" spans="1:23" s="3" customFormat="1" ht="22.5" customHeight="1" x14ac:dyDescent="0.25">
      <c r="A123" s="5">
        <v>121</v>
      </c>
      <c r="B123" s="4" t="s">
        <v>124</v>
      </c>
      <c r="C123" s="5" t="s">
        <v>135</v>
      </c>
      <c r="D123" s="5" t="s">
        <v>138</v>
      </c>
      <c r="E123" s="5"/>
      <c r="F123" s="18">
        <v>7</v>
      </c>
      <c r="G123" s="18">
        <v>17</v>
      </c>
      <c r="H123" s="18">
        <v>11</v>
      </c>
      <c r="I123" s="18">
        <v>1</v>
      </c>
      <c r="J123" s="19">
        <f t="shared" si="18"/>
        <v>276</v>
      </c>
      <c r="K123" s="20">
        <f t="shared" si="19"/>
        <v>36</v>
      </c>
      <c r="L123" s="27">
        <v>28</v>
      </c>
      <c r="M123" s="27">
        <v>4</v>
      </c>
      <c r="N123" s="27">
        <v>1</v>
      </c>
      <c r="O123" s="27"/>
      <c r="P123" s="28">
        <f t="shared" si="20"/>
        <v>318</v>
      </c>
      <c r="Q123" s="29">
        <f t="shared" si="21"/>
        <v>33</v>
      </c>
      <c r="R123" s="36">
        <v>11.16</v>
      </c>
      <c r="S123" s="36"/>
      <c r="T123" s="36"/>
      <c r="U123" s="37"/>
      <c r="V123" s="38">
        <f t="shared" si="22"/>
        <v>88.84</v>
      </c>
      <c r="W123" s="2">
        <f t="shared" si="23"/>
        <v>682.84</v>
      </c>
    </row>
    <row r="124" spans="1:23" s="3" customFormat="1" ht="22.5" customHeight="1" x14ac:dyDescent="0.25">
      <c r="A124" s="5">
        <v>122</v>
      </c>
      <c r="B124" s="4" t="s">
        <v>142</v>
      </c>
      <c r="C124" s="5" t="s">
        <v>135</v>
      </c>
      <c r="D124" s="5" t="s">
        <v>138</v>
      </c>
      <c r="E124" s="5" t="s">
        <v>140</v>
      </c>
      <c r="F124" s="18">
        <v>6</v>
      </c>
      <c r="G124" s="18">
        <v>8</v>
      </c>
      <c r="H124" s="18">
        <v>8</v>
      </c>
      <c r="I124" s="18">
        <v>12</v>
      </c>
      <c r="J124" s="19">
        <f t="shared" si="18"/>
        <v>220</v>
      </c>
      <c r="K124" s="20">
        <f t="shared" si="19"/>
        <v>34</v>
      </c>
      <c r="L124" s="27">
        <v>18</v>
      </c>
      <c r="M124" s="27">
        <v>9</v>
      </c>
      <c r="N124" s="27">
        <v>3</v>
      </c>
      <c r="O124" s="27"/>
      <c r="P124" s="28">
        <f t="shared" si="20"/>
        <v>270</v>
      </c>
      <c r="Q124" s="29">
        <f t="shared" si="21"/>
        <v>30</v>
      </c>
      <c r="R124" s="36">
        <v>18.989999999999998</v>
      </c>
      <c r="S124" s="36"/>
      <c r="T124" s="36"/>
      <c r="U124" s="37"/>
      <c r="V124" s="38">
        <f t="shared" si="22"/>
        <v>81.010000000000005</v>
      </c>
      <c r="W124" s="2">
        <f t="shared" si="23"/>
        <v>571.01</v>
      </c>
    </row>
    <row r="125" spans="1:23" s="3" customFormat="1" ht="22.5" customHeight="1" x14ac:dyDescent="0.25">
      <c r="A125" s="5">
        <v>123</v>
      </c>
      <c r="B125" s="4" t="s">
        <v>143</v>
      </c>
      <c r="C125" s="5" t="s">
        <v>135</v>
      </c>
      <c r="D125" s="5" t="s">
        <v>138</v>
      </c>
      <c r="E125" s="5" t="s">
        <v>140</v>
      </c>
      <c r="F125" s="18">
        <v>3</v>
      </c>
      <c r="G125" s="18">
        <v>10</v>
      </c>
      <c r="H125" s="18">
        <v>9</v>
      </c>
      <c r="I125" s="18">
        <v>8</v>
      </c>
      <c r="J125" s="19">
        <f t="shared" si="18"/>
        <v>196</v>
      </c>
      <c r="K125" s="20">
        <f t="shared" si="19"/>
        <v>30</v>
      </c>
      <c r="L125" s="27">
        <v>16</v>
      </c>
      <c r="M125" s="27">
        <v>6</v>
      </c>
      <c r="N125" s="27">
        <v>3</v>
      </c>
      <c r="O125" s="27"/>
      <c r="P125" s="28">
        <f t="shared" si="20"/>
        <v>226</v>
      </c>
      <c r="Q125" s="29">
        <f t="shared" si="21"/>
        <v>25</v>
      </c>
      <c r="R125" s="36">
        <v>16.5</v>
      </c>
      <c r="S125" s="36"/>
      <c r="T125" s="36"/>
      <c r="U125" s="37"/>
      <c r="V125" s="38">
        <f t="shared" si="22"/>
        <v>83.5</v>
      </c>
      <c r="W125" s="2">
        <f t="shared" si="23"/>
        <v>505.5</v>
      </c>
    </row>
    <row r="126" spans="1:23" s="3" customFormat="1" ht="22.5" customHeight="1" x14ac:dyDescent="0.25">
      <c r="A126" s="5">
        <v>124</v>
      </c>
      <c r="B126" s="4" t="s">
        <v>144</v>
      </c>
      <c r="C126" s="5" t="s">
        <v>135</v>
      </c>
      <c r="D126" s="5" t="s">
        <v>138</v>
      </c>
      <c r="E126" s="5" t="s">
        <v>140</v>
      </c>
      <c r="F126" s="18">
        <v>5</v>
      </c>
      <c r="G126" s="18">
        <v>14</v>
      </c>
      <c r="H126" s="18">
        <v>4</v>
      </c>
      <c r="I126" s="18">
        <v>13</v>
      </c>
      <c r="J126" s="19">
        <f t="shared" si="18"/>
        <v>238</v>
      </c>
      <c r="K126" s="20">
        <f t="shared" si="19"/>
        <v>36</v>
      </c>
      <c r="L126" s="27">
        <v>24</v>
      </c>
      <c r="M126" s="27">
        <v>8</v>
      </c>
      <c r="N126" s="27">
        <v>1</v>
      </c>
      <c r="O126" s="27"/>
      <c r="P126" s="28">
        <f t="shared" si="20"/>
        <v>310</v>
      </c>
      <c r="Q126" s="29">
        <f t="shared" si="21"/>
        <v>33</v>
      </c>
      <c r="R126" s="36">
        <v>13.57</v>
      </c>
      <c r="S126" s="36"/>
      <c r="T126" s="36"/>
      <c r="U126" s="37"/>
      <c r="V126" s="38">
        <f t="shared" si="22"/>
        <v>86.43</v>
      </c>
      <c r="W126" s="2">
        <f t="shared" si="23"/>
        <v>634.43000000000006</v>
      </c>
    </row>
    <row r="127" spans="1:23" s="3" customFormat="1" ht="22.5" customHeight="1" x14ac:dyDescent="0.25">
      <c r="A127" s="5">
        <v>125</v>
      </c>
      <c r="B127" s="4" t="s">
        <v>145</v>
      </c>
      <c r="C127" s="5" t="s">
        <v>135</v>
      </c>
      <c r="D127" s="5" t="s">
        <v>138</v>
      </c>
      <c r="E127" s="5" t="s">
        <v>146</v>
      </c>
      <c r="F127" s="18">
        <v>7</v>
      </c>
      <c r="G127" s="18">
        <v>10</v>
      </c>
      <c r="H127" s="18">
        <v>7</v>
      </c>
      <c r="I127" s="18">
        <v>12</v>
      </c>
      <c r="J127" s="19">
        <f t="shared" si="18"/>
        <v>240</v>
      </c>
      <c r="K127" s="20">
        <f t="shared" si="19"/>
        <v>36</v>
      </c>
      <c r="L127" s="27">
        <v>17</v>
      </c>
      <c r="M127" s="27">
        <v>10</v>
      </c>
      <c r="N127" s="27">
        <v>3</v>
      </c>
      <c r="O127" s="27"/>
      <c r="P127" s="28">
        <f t="shared" si="20"/>
        <v>268</v>
      </c>
      <c r="Q127" s="29">
        <f t="shared" si="21"/>
        <v>30</v>
      </c>
      <c r="R127" s="36">
        <v>25.52</v>
      </c>
      <c r="S127" s="36"/>
      <c r="T127" s="36"/>
      <c r="U127" s="37"/>
      <c r="V127" s="38">
        <f t="shared" si="22"/>
        <v>74.48</v>
      </c>
      <c r="W127" s="2">
        <f t="shared" si="23"/>
        <v>582.48</v>
      </c>
    </row>
    <row r="128" spans="1:23" s="3" customFormat="1" ht="22.5" customHeight="1" x14ac:dyDescent="0.25">
      <c r="A128" s="5">
        <v>126</v>
      </c>
      <c r="B128" s="4" t="s">
        <v>147</v>
      </c>
      <c r="C128" s="5" t="s">
        <v>135</v>
      </c>
      <c r="D128" s="5" t="s">
        <v>138</v>
      </c>
      <c r="E128" s="5" t="s">
        <v>146</v>
      </c>
      <c r="F128" s="18">
        <v>3</v>
      </c>
      <c r="G128" s="18">
        <v>5</v>
      </c>
      <c r="H128" s="18">
        <v>8</v>
      </c>
      <c r="I128" s="18">
        <v>17</v>
      </c>
      <c r="J128" s="19">
        <f t="shared" si="18"/>
        <v>186</v>
      </c>
      <c r="K128" s="20">
        <f t="shared" si="19"/>
        <v>33</v>
      </c>
      <c r="L128" s="27">
        <v>13</v>
      </c>
      <c r="M128" s="27">
        <v>8</v>
      </c>
      <c r="N128" s="27">
        <v>3</v>
      </c>
      <c r="O128" s="27"/>
      <c r="P128" s="28">
        <f t="shared" si="20"/>
        <v>212</v>
      </c>
      <c r="Q128" s="29">
        <f t="shared" si="21"/>
        <v>24</v>
      </c>
      <c r="R128" s="36">
        <v>17.649999999999999</v>
      </c>
      <c r="S128" s="36"/>
      <c r="T128" s="36"/>
      <c r="U128" s="37"/>
      <c r="V128" s="38">
        <f t="shared" si="22"/>
        <v>82.35</v>
      </c>
      <c r="W128" s="2">
        <f t="shared" si="23"/>
        <v>480.35</v>
      </c>
    </row>
    <row r="129" spans="1:23" s="3" customFormat="1" ht="22.5" customHeight="1" x14ac:dyDescent="0.25">
      <c r="A129" s="5">
        <v>127</v>
      </c>
      <c r="B129" s="4" t="s">
        <v>148</v>
      </c>
      <c r="C129" s="5" t="s">
        <v>135</v>
      </c>
      <c r="D129" s="5" t="s">
        <v>138</v>
      </c>
      <c r="E129" s="5" t="s">
        <v>146</v>
      </c>
      <c r="F129" s="18">
        <v>2</v>
      </c>
      <c r="G129" s="18">
        <v>6</v>
      </c>
      <c r="H129" s="18">
        <v>9</v>
      </c>
      <c r="I129" s="18">
        <v>12</v>
      </c>
      <c r="J129" s="19">
        <f t="shared" si="18"/>
        <v>170</v>
      </c>
      <c r="K129" s="20">
        <f t="shared" si="19"/>
        <v>29</v>
      </c>
      <c r="L129" s="27">
        <v>9</v>
      </c>
      <c r="M129" s="27">
        <v>10</v>
      </c>
      <c r="N129" s="27">
        <v>4</v>
      </c>
      <c r="O129" s="27"/>
      <c r="P129" s="28">
        <f t="shared" si="20"/>
        <v>194</v>
      </c>
      <c r="Q129" s="29">
        <f t="shared" si="21"/>
        <v>23</v>
      </c>
      <c r="R129" s="36">
        <v>26.42</v>
      </c>
      <c r="S129" s="36"/>
      <c r="T129" s="36"/>
      <c r="U129" s="37"/>
      <c r="V129" s="38">
        <f t="shared" si="22"/>
        <v>73.58</v>
      </c>
      <c r="W129" s="2">
        <f t="shared" si="23"/>
        <v>437.58</v>
      </c>
    </row>
    <row r="130" spans="1:23" s="3" customFormat="1" ht="22.5" customHeight="1" x14ac:dyDescent="0.25">
      <c r="A130" s="5">
        <v>128</v>
      </c>
      <c r="B130" s="4" t="s">
        <v>149</v>
      </c>
      <c r="C130" s="5" t="s">
        <v>135</v>
      </c>
      <c r="D130" s="5" t="s">
        <v>138</v>
      </c>
      <c r="E130" s="5" t="s">
        <v>146</v>
      </c>
      <c r="F130" s="18">
        <v>4</v>
      </c>
      <c r="G130" s="18">
        <v>11</v>
      </c>
      <c r="H130" s="18">
        <v>13</v>
      </c>
      <c r="I130" s="18">
        <v>5</v>
      </c>
      <c r="J130" s="19">
        <f t="shared" si="18"/>
        <v>226</v>
      </c>
      <c r="K130" s="20">
        <f t="shared" si="19"/>
        <v>33</v>
      </c>
      <c r="L130" s="27">
        <v>15</v>
      </c>
      <c r="M130" s="27">
        <v>14</v>
      </c>
      <c r="N130" s="27">
        <v>6</v>
      </c>
      <c r="O130" s="27"/>
      <c r="P130" s="28">
        <f t="shared" si="20"/>
        <v>298</v>
      </c>
      <c r="Q130" s="29">
        <f t="shared" si="21"/>
        <v>35</v>
      </c>
      <c r="R130" s="36">
        <v>21.05</v>
      </c>
      <c r="S130" s="36"/>
      <c r="T130" s="36"/>
      <c r="U130" s="37"/>
      <c r="V130" s="38">
        <f t="shared" si="22"/>
        <v>78.95</v>
      </c>
      <c r="W130" s="2">
        <f t="shared" si="23"/>
        <v>602.95000000000005</v>
      </c>
    </row>
    <row r="131" spans="1:23" s="3" customFormat="1" ht="22.5" customHeight="1" x14ac:dyDescent="0.25">
      <c r="A131" s="5">
        <v>129</v>
      </c>
      <c r="B131" s="4" t="s">
        <v>153</v>
      </c>
      <c r="C131" s="5" t="s">
        <v>129</v>
      </c>
      <c r="D131" s="5" t="s">
        <v>139</v>
      </c>
      <c r="E131" s="5"/>
      <c r="F131" s="18"/>
      <c r="G131" s="18"/>
      <c r="H131" s="18"/>
      <c r="I131" s="18"/>
      <c r="J131" s="19">
        <f t="shared" ref="J131:J147" si="24">SUM(F131*10)+(G131*8)+(H131*6)+(I131*4)</f>
        <v>0</v>
      </c>
      <c r="K131" s="20">
        <f t="shared" ref="K131:K147" si="25">SUM(F131:I131)</f>
        <v>0</v>
      </c>
      <c r="L131" s="27"/>
      <c r="M131" s="27"/>
      <c r="N131" s="27"/>
      <c r="O131" s="27"/>
      <c r="P131" s="28">
        <f t="shared" ref="P131:P147" si="26">SUM(L131*10)+(M131*8)+(N131*6)+(O131*4)</f>
        <v>0</v>
      </c>
      <c r="Q131" s="29">
        <f t="shared" ref="Q131:Q147" si="27">SUM(L131:O131)</f>
        <v>0</v>
      </c>
      <c r="R131" s="36"/>
      <c r="S131" s="36"/>
      <c r="T131" s="36"/>
      <c r="U131" s="37"/>
      <c r="V131" s="38">
        <f t="shared" ref="V131:V147" si="28">100-(R131+S131+(U131*10)+(T131*20))</f>
        <v>100</v>
      </c>
      <c r="W131" s="2">
        <f t="shared" ref="W131:W147" si="29">J131+P131+V131</f>
        <v>100</v>
      </c>
    </row>
    <row r="132" spans="1:23" s="3" customFormat="1" ht="22.5" customHeight="1" x14ac:dyDescent="0.25">
      <c r="A132" s="5">
        <v>130</v>
      </c>
      <c r="B132" s="4" t="s">
        <v>154</v>
      </c>
      <c r="C132" s="5" t="s">
        <v>129</v>
      </c>
      <c r="D132" s="5" t="s">
        <v>138</v>
      </c>
      <c r="E132" s="5"/>
      <c r="F132" s="18">
        <v>5</v>
      </c>
      <c r="G132" s="18">
        <v>10</v>
      </c>
      <c r="H132" s="18">
        <v>5</v>
      </c>
      <c r="I132" s="18">
        <v>11</v>
      </c>
      <c r="J132" s="19">
        <f t="shared" si="24"/>
        <v>204</v>
      </c>
      <c r="K132" s="20">
        <f t="shared" si="25"/>
        <v>31</v>
      </c>
      <c r="L132" s="27">
        <v>20</v>
      </c>
      <c r="M132" s="27">
        <v>8</v>
      </c>
      <c r="N132" s="27">
        <v>2</v>
      </c>
      <c r="O132" s="27"/>
      <c r="P132" s="28">
        <f t="shared" si="26"/>
        <v>276</v>
      </c>
      <c r="Q132" s="29">
        <f t="shared" si="27"/>
        <v>30</v>
      </c>
      <c r="R132" s="36">
        <v>17.96</v>
      </c>
      <c r="S132" s="36"/>
      <c r="T132" s="36"/>
      <c r="U132" s="37"/>
      <c r="V132" s="38">
        <f t="shared" si="28"/>
        <v>82.039999999999992</v>
      </c>
      <c r="W132" s="2">
        <f t="shared" si="29"/>
        <v>562.04</v>
      </c>
    </row>
    <row r="133" spans="1:23" s="3" customFormat="1" ht="22.5" customHeight="1" x14ac:dyDescent="0.25">
      <c r="A133" s="5">
        <v>131</v>
      </c>
      <c r="B133" s="4" t="s">
        <v>155</v>
      </c>
      <c r="C133" s="5" t="s">
        <v>129</v>
      </c>
      <c r="D133" s="5" t="s">
        <v>138</v>
      </c>
      <c r="E133" s="5"/>
      <c r="F133" s="18">
        <v>26</v>
      </c>
      <c r="G133" s="18">
        <v>9</v>
      </c>
      <c r="H133" s="18"/>
      <c r="I133" s="18"/>
      <c r="J133" s="19">
        <f t="shared" si="24"/>
        <v>332</v>
      </c>
      <c r="K133" s="20">
        <f t="shared" si="25"/>
        <v>35</v>
      </c>
      <c r="L133" s="27">
        <v>2</v>
      </c>
      <c r="M133" s="27">
        <v>11</v>
      </c>
      <c r="N133" s="27">
        <v>10</v>
      </c>
      <c r="O133" s="27">
        <v>12</v>
      </c>
      <c r="P133" s="28">
        <f t="shared" si="26"/>
        <v>216</v>
      </c>
      <c r="Q133" s="29">
        <f t="shared" si="27"/>
        <v>35</v>
      </c>
      <c r="R133" s="36">
        <v>10.67</v>
      </c>
      <c r="S133" s="36"/>
      <c r="T133" s="36"/>
      <c r="U133" s="37"/>
      <c r="V133" s="38">
        <f t="shared" si="28"/>
        <v>89.33</v>
      </c>
      <c r="W133" s="2">
        <f t="shared" si="29"/>
        <v>637.33000000000004</v>
      </c>
    </row>
    <row r="134" spans="1:23" s="3" customFormat="1" ht="22.5" customHeight="1" x14ac:dyDescent="0.25">
      <c r="A134" s="5">
        <v>132</v>
      </c>
      <c r="B134" s="4" t="s">
        <v>156</v>
      </c>
      <c r="C134" s="5" t="s">
        <v>129</v>
      </c>
      <c r="D134" s="5" t="s">
        <v>139</v>
      </c>
      <c r="E134" s="5"/>
      <c r="F134" s="18">
        <v>4</v>
      </c>
      <c r="G134" s="18">
        <v>16</v>
      </c>
      <c r="H134" s="18">
        <v>8</v>
      </c>
      <c r="I134" s="18">
        <v>6</v>
      </c>
      <c r="J134" s="19">
        <f t="shared" si="24"/>
        <v>240</v>
      </c>
      <c r="K134" s="20">
        <f t="shared" si="25"/>
        <v>34</v>
      </c>
      <c r="L134" s="27">
        <v>24</v>
      </c>
      <c r="M134" s="27">
        <v>7</v>
      </c>
      <c r="N134" s="27">
        <v>3</v>
      </c>
      <c r="O134" s="27"/>
      <c r="P134" s="28">
        <f t="shared" si="26"/>
        <v>314</v>
      </c>
      <c r="Q134" s="29">
        <f t="shared" si="27"/>
        <v>34</v>
      </c>
      <c r="R134" s="36">
        <v>17.079999999999998</v>
      </c>
      <c r="S134" s="36"/>
      <c r="T134" s="36"/>
      <c r="U134" s="37"/>
      <c r="V134" s="38">
        <f t="shared" si="28"/>
        <v>82.92</v>
      </c>
      <c r="W134" s="2">
        <f t="shared" si="29"/>
        <v>636.91999999999996</v>
      </c>
    </row>
    <row r="135" spans="1:23" s="3" customFormat="1" ht="22.5" customHeight="1" x14ac:dyDescent="0.25">
      <c r="A135" s="5">
        <v>133</v>
      </c>
      <c r="B135" s="4" t="s">
        <v>157</v>
      </c>
      <c r="C135" s="5" t="s">
        <v>129</v>
      </c>
      <c r="D135" s="5" t="s">
        <v>138</v>
      </c>
      <c r="E135" s="5"/>
      <c r="F135" s="18">
        <v>10</v>
      </c>
      <c r="G135" s="18">
        <v>10</v>
      </c>
      <c r="H135" s="18">
        <v>9</v>
      </c>
      <c r="I135" s="18">
        <v>7</v>
      </c>
      <c r="J135" s="19">
        <f t="shared" si="24"/>
        <v>262</v>
      </c>
      <c r="K135" s="20">
        <f t="shared" si="25"/>
        <v>36</v>
      </c>
      <c r="L135" s="27">
        <v>19</v>
      </c>
      <c r="M135" s="27">
        <v>15</v>
      </c>
      <c r="N135" s="27">
        <v>2</v>
      </c>
      <c r="O135" s="27"/>
      <c r="P135" s="28">
        <f t="shared" si="26"/>
        <v>322</v>
      </c>
      <c r="Q135" s="29">
        <f t="shared" si="27"/>
        <v>36</v>
      </c>
      <c r="R135" s="36">
        <v>11.52</v>
      </c>
      <c r="S135" s="36"/>
      <c r="T135" s="36"/>
      <c r="U135" s="37"/>
      <c r="V135" s="38">
        <f t="shared" si="28"/>
        <v>88.48</v>
      </c>
      <c r="W135" s="2">
        <f t="shared" si="29"/>
        <v>672.48</v>
      </c>
    </row>
    <row r="136" spans="1:23" s="3" customFormat="1" ht="22.5" customHeight="1" x14ac:dyDescent="0.25">
      <c r="A136" s="5">
        <v>134</v>
      </c>
      <c r="B136" s="4" t="s">
        <v>158</v>
      </c>
      <c r="C136" s="5" t="s">
        <v>151</v>
      </c>
      <c r="D136" s="5" t="s">
        <v>138</v>
      </c>
      <c r="E136" s="5"/>
      <c r="F136" s="18">
        <v>9</v>
      </c>
      <c r="G136" s="18">
        <v>12</v>
      </c>
      <c r="H136" s="18">
        <v>9</v>
      </c>
      <c r="I136" s="18">
        <v>6</v>
      </c>
      <c r="J136" s="19">
        <f t="shared" si="24"/>
        <v>264</v>
      </c>
      <c r="K136" s="20">
        <f t="shared" si="25"/>
        <v>36</v>
      </c>
      <c r="L136" s="27">
        <v>28</v>
      </c>
      <c r="M136" s="27">
        <v>3</v>
      </c>
      <c r="N136" s="27">
        <v>5</v>
      </c>
      <c r="O136" s="27"/>
      <c r="P136" s="28">
        <f t="shared" si="26"/>
        <v>334</v>
      </c>
      <c r="Q136" s="29">
        <f t="shared" si="27"/>
        <v>36</v>
      </c>
      <c r="R136" s="36">
        <v>14.07</v>
      </c>
      <c r="S136" s="36"/>
      <c r="T136" s="36"/>
      <c r="U136" s="37"/>
      <c r="V136" s="38">
        <f t="shared" si="28"/>
        <v>85.93</v>
      </c>
      <c r="W136" s="2">
        <f t="shared" si="29"/>
        <v>683.93000000000006</v>
      </c>
    </row>
    <row r="137" spans="1:23" s="3" customFormat="1" ht="22.5" customHeight="1" x14ac:dyDescent="0.25">
      <c r="A137" s="5">
        <v>135</v>
      </c>
      <c r="B137" s="4" t="s">
        <v>160</v>
      </c>
      <c r="C137" s="5" t="s">
        <v>129</v>
      </c>
      <c r="D137" s="5" t="s">
        <v>138</v>
      </c>
      <c r="E137" s="5"/>
      <c r="F137" s="18">
        <v>10</v>
      </c>
      <c r="G137" s="18">
        <v>15</v>
      </c>
      <c r="H137" s="18">
        <v>8</v>
      </c>
      <c r="I137" s="18">
        <v>2</v>
      </c>
      <c r="J137" s="19">
        <f t="shared" si="24"/>
        <v>276</v>
      </c>
      <c r="K137" s="20">
        <f t="shared" si="25"/>
        <v>35</v>
      </c>
      <c r="L137" s="27">
        <v>25</v>
      </c>
      <c r="M137" s="27">
        <v>8</v>
      </c>
      <c r="N137" s="27"/>
      <c r="O137" s="27"/>
      <c r="P137" s="28">
        <f t="shared" si="26"/>
        <v>314</v>
      </c>
      <c r="Q137" s="29">
        <f t="shared" si="27"/>
        <v>33</v>
      </c>
      <c r="R137" s="36">
        <v>10.32</v>
      </c>
      <c r="S137" s="36"/>
      <c r="T137" s="36"/>
      <c r="U137" s="37"/>
      <c r="V137" s="38">
        <f t="shared" si="28"/>
        <v>89.68</v>
      </c>
      <c r="W137" s="2">
        <f t="shared" si="29"/>
        <v>679.68000000000006</v>
      </c>
    </row>
    <row r="138" spans="1:23" s="3" customFormat="1" ht="22.5" customHeight="1" x14ac:dyDescent="0.25">
      <c r="A138" s="5">
        <v>136</v>
      </c>
      <c r="B138" s="4" t="s">
        <v>161</v>
      </c>
      <c r="C138" s="5" t="s">
        <v>129</v>
      </c>
      <c r="D138" s="5" t="s">
        <v>138</v>
      </c>
      <c r="E138" s="5"/>
      <c r="F138" s="18">
        <v>7</v>
      </c>
      <c r="G138" s="18">
        <v>9</v>
      </c>
      <c r="H138" s="18">
        <v>8</v>
      </c>
      <c r="I138" s="18">
        <v>9</v>
      </c>
      <c r="J138" s="19">
        <f t="shared" si="24"/>
        <v>226</v>
      </c>
      <c r="K138" s="20">
        <f t="shared" si="25"/>
        <v>33</v>
      </c>
      <c r="L138" s="27">
        <v>20</v>
      </c>
      <c r="M138" s="27">
        <v>4</v>
      </c>
      <c r="N138" s="27">
        <v>2</v>
      </c>
      <c r="O138" s="27"/>
      <c r="P138" s="28">
        <f t="shared" si="26"/>
        <v>244</v>
      </c>
      <c r="Q138" s="29">
        <f t="shared" si="27"/>
        <v>26</v>
      </c>
      <c r="R138" s="36">
        <v>16.22</v>
      </c>
      <c r="S138" s="36"/>
      <c r="T138" s="36"/>
      <c r="U138" s="37"/>
      <c r="V138" s="38">
        <f t="shared" si="28"/>
        <v>83.78</v>
      </c>
      <c r="W138" s="2">
        <f t="shared" si="29"/>
        <v>553.78</v>
      </c>
    </row>
    <row r="139" spans="1:23" s="3" customFormat="1" ht="22.5" customHeight="1" x14ac:dyDescent="0.25">
      <c r="A139" s="5">
        <v>137</v>
      </c>
      <c r="B139" s="4" t="s">
        <v>162</v>
      </c>
      <c r="C139" s="5" t="s">
        <v>135</v>
      </c>
      <c r="D139" s="5" t="s">
        <v>139</v>
      </c>
      <c r="E139" s="5"/>
      <c r="F139" s="18">
        <v>8</v>
      </c>
      <c r="G139" s="18">
        <v>11</v>
      </c>
      <c r="H139" s="18">
        <v>11</v>
      </c>
      <c r="I139" s="18">
        <v>4</v>
      </c>
      <c r="J139" s="19">
        <f t="shared" si="24"/>
        <v>250</v>
      </c>
      <c r="K139" s="20">
        <f t="shared" si="25"/>
        <v>34</v>
      </c>
      <c r="L139" s="27">
        <v>26</v>
      </c>
      <c r="M139" s="27">
        <v>8</v>
      </c>
      <c r="N139" s="27">
        <v>1</v>
      </c>
      <c r="O139" s="27"/>
      <c r="P139" s="28">
        <f t="shared" si="26"/>
        <v>330</v>
      </c>
      <c r="Q139" s="29">
        <f t="shared" si="27"/>
        <v>35</v>
      </c>
      <c r="R139" s="36">
        <v>15.55</v>
      </c>
      <c r="S139" s="36"/>
      <c r="T139" s="36"/>
      <c r="U139" s="37"/>
      <c r="V139" s="38">
        <f t="shared" si="28"/>
        <v>84.45</v>
      </c>
      <c r="W139" s="2">
        <f t="shared" si="29"/>
        <v>664.45</v>
      </c>
    </row>
    <row r="140" spans="1:23" s="3" customFormat="1" ht="22.5" customHeight="1" x14ac:dyDescent="0.25">
      <c r="A140" s="5">
        <v>138</v>
      </c>
      <c r="B140" s="4" t="s">
        <v>163</v>
      </c>
      <c r="C140" s="5" t="s">
        <v>129</v>
      </c>
      <c r="D140" s="5" t="s">
        <v>138</v>
      </c>
      <c r="E140" s="5"/>
      <c r="F140" s="18">
        <v>3</v>
      </c>
      <c r="G140" s="18">
        <v>5</v>
      </c>
      <c r="H140" s="18">
        <v>4</v>
      </c>
      <c r="I140" s="18">
        <v>18</v>
      </c>
      <c r="J140" s="19">
        <f t="shared" si="24"/>
        <v>166</v>
      </c>
      <c r="K140" s="20">
        <f t="shared" si="25"/>
        <v>30</v>
      </c>
      <c r="L140" s="27">
        <v>6</v>
      </c>
      <c r="M140" s="27">
        <v>5</v>
      </c>
      <c r="N140" s="27">
        <v>5</v>
      </c>
      <c r="O140" s="27"/>
      <c r="P140" s="28">
        <f t="shared" si="26"/>
        <v>130</v>
      </c>
      <c r="Q140" s="29">
        <f t="shared" si="27"/>
        <v>16</v>
      </c>
      <c r="R140" s="36">
        <v>28</v>
      </c>
      <c r="S140" s="36"/>
      <c r="T140" s="36"/>
      <c r="U140" s="37"/>
      <c r="V140" s="38">
        <f t="shared" si="28"/>
        <v>72</v>
      </c>
      <c r="W140" s="2">
        <f t="shared" si="29"/>
        <v>368</v>
      </c>
    </row>
    <row r="141" spans="1:23" s="3" customFormat="1" ht="22.5" customHeight="1" x14ac:dyDescent="0.25">
      <c r="A141" s="5">
        <v>139</v>
      </c>
      <c r="B141" s="4" t="s">
        <v>164</v>
      </c>
      <c r="C141" s="5" t="s">
        <v>129</v>
      </c>
      <c r="D141" s="5" t="s">
        <v>139</v>
      </c>
      <c r="E141" s="5"/>
      <c r="F141" s="18">
        <v>26</v>
      </c>
      <c r="G141" s="18">
        <v>9</v>
      </c>
      <c r="H141" s="18"/>
      <c r="I141" s="18"/>
      <c r="J141" s="19">
        <f t="shared" si="24"/>
        <v>332</v>
      </c>
      <c r="K141" s="20">
        <f t="shared" si="25"/>
        <v>35</v>
      </c>
      <c r="L141" s="27">
        <v>8</v>
      </c>
      <c r="M141" s="27">
        <v>17</v>
      </c>
      <c r="N141" s="27">
        <v>7</v>
      </c>
      <c r="O141" s="27">
        <v>4</v>
      </c>
      <c r="P141" s="28">
        <f t="shared" si="26"/>
        <v>274</v>
      </c>
      <c r="Q141" s="29">
        <f t="shared" si="27"/>
        <v>36</v>
      </c>
      <c r="R141" s="36">
        <v>10.17</v>
      </c>
      <c r="S141" s="36"/>
      <c r="T141" s="36"/>
      <c r="U141" s="37"/>
      <c r="V141" s="38">
        <f t="shared" si="28"/>
        <v>89.83</v>
      </c>
      <c r="W141" s="2">
        <f t="shared" si="29"/>
        <v>695.83</v>
      </c>
    </row>
    <row r="142" spans="1:23" s="3" customFormat="1" ht="22.5" customHeight="1" x14ac:dyDescent="0.25">
      <c r="A142" s="5">
        <v>140</v>
      </c>
      <c r="B142" s="4" t="s">
        <v>165</v>
      </c>
      <c r="C142" s="5" t="s">
        <v>129</v>
      </c>
      <c r="D142" s="5" t="s">
        <v>138</v>
      </c>
      <c r="E142" s="5"/>
      <c r="F142" s="18">
        <v>1</v>
      </c>
      <c r="G142" s="18">
        <v>6</v>
      </c>
      <c r="H142" s="18">
        <v>11</v>
      </c>
      <c r="I142" s="18">
        <v>9</v>
      </c>
      <c r="J142" s="19">
        <f t="shared" si="24"/>
        <v>160</v>
      </c>
      <c r="K142" s="20">
        <f t="shared" si="25"/>
        <v>27</v>
      </c>
      <c r="L142" s="27">
        <v>10</v>
      </c>
      <c r="M142" s="27">
        <v>4</v>
      </c>
      <c r="N142" s="27">
        <v>9</v>
      </c>
      <c r="O142" s="27"/>
      <c r="P142" s="28">
        <f t="shared" si="26"/>
        <v>186</v>
      </c>
      <c r="Q142" s="29">
        <f t="shared" si="27"/>
        <v>23</v>
      </c>
      <c r="R142" s="36">
        <v>27.38</v>
      </c>
      <c r="S142" s="36"/>
      <c r="T142" s="36"/>
      <c r="U142" s="37"/>
      <c r="V142" s="38">
        <f t="shared" si="28"/>
        <v>72.62</v>
      </c>
      <c r="W142" s="2">
        <f t="shared" si="29"/>
        <v>418.62</v>
      </c>
    </row>
    <row r="143" spans="1:23" s="3" customFormat="1" ht="22.5" customHeight="1" x14ac:dyDescent="0.25">
      <c r="A143" s="5">
        <v>141</v>
      </c>
      <c r="B143" s="4" t="s">
        <v>166</v>
      </c>
      <c r="C143" s="5" t="s">
        <v>129</v>
      </c>
      <c r="D143" s="5" t="s">
        <v>138</v>
      </c>
      <c r="E143" s="5"/>
      <c r="F143" s="18">
        <v>16</v>
      </c>
      <c r="G143" s="18">
        <v>13</v>
      </c>
      <c r="H143" s="18">
        <v>5</v>
      </c>
      <c r="I143" s="18">
        <v>2</v>
      </c>
      <c r="J143" s="19">
        <f t="shared" si="24"/>
        <v>302</v>
      </c>
      <c r="K143" s="20">
        <f t="shared" si="25"/>
        <v>36</v>
      </c>
      <c r="L143" s="27">
        <v>29</v>
      </c>
      <c r="M143" s="27">
        <v>7</v>
      </c>
      <c r="N143" s="27"/>
      <c r="O143" s="27"/>
      <c r="P143" s="28">
        <f t="shared" si="26"/>
        <v>346</v>
      </c>
      <c r="Q143" s="29">
        <f t="shared" si="27"/>
        <v>36</v>
      </c>
      <c r="R143" s="36">
        <v>7.2</v>
      </c>
      <c r="S143" s="36"/>
      <c r="T143" s="36"/>
      <c r="U143" s="37"/>
      <c r="V143" s="38">
        <f t="shared" si="28"/>
        <v>92.8</v>
      </c>
      <c r="W143" s="2">
        <f t="shared" si="29"/>
        <v>740.8</v>
      </c>
    </row>
    <row r="144" spans="1:23" s="3" customFormat="1" ht="22.5" customHeight="1" x14ac:dyDescent="0.25">
      <c r="A144" s="5">
        <v>142</v>
      </c>
      <c r="B144" s="4" t="s">
        <v>167</v>
      </c>
      <c r="C144" s="5" t="s">
        <v>129</v>
      </c>
      <c r="D144" s="5" t="s">
        <v>139</v>
      </c>
      <c r="E144" s="5"/>
      <c r="F144" s="18">
        <v>4</v>
      </c>
      <c r="G144" s="18">
        <v>9</v>
      </c>
      <c r="H144" s="18">
        <v>8</v>
      </c>
      <c r="I144" s="18">
        <v>13</v>
      </c>
      <c r="J144" s="19">
        <f t="shared" si="24"/>
        <v>212</v>
      </c>
      <c r="K144" s="20">
        <f t="shared" si="25"/>
        <v>34</v>
      </c>
      <c r="L144" s="27">
        <v>12</v>
      </c>
      <c r="M144" s="27">
        <v>12</v>
      </c>
      <c r="N144" s="27">
        <v>4</v>
      </c>
      <c r="O144" s="27"/>
      <c r="P144" s="28">
        <f t="shared" si="26"/>
        <v>240</v>
      </c>
      <c r="Q144" s="29">
        <f t="shared" si="27"/>
        <v>28</v>
      </c>
      <c r="R144" s="36">
        <v>17.43</v>
      </c>
      <c r="S144" s="36"/>
      <c r="T144" s="36"/>
      <c r="U144" s="37"/>
      <c r="V144" s="38">
        <f t="shared" si="28"/>
        <v>82.57</v>
      </c>
      <c r="W144" s="2">
        <f t="shared" si="29"/>
        <v>534.56999999999994</v>
      </c>
    </row>
    <row r="145" spans="1:23" s="3" customFormat="1" ht="22.5" customHeight="1" x14ac:dyDescent="0.25">
      <c r="A145" s="5">
        <v>143</v>
      </c>
      <c r="B145" s="4" t="s">
        <v>175</v>
      </c>
      <c r="C145" s="5" t="s">
        <v>135</v>
      </c>
      <c r="D145" s="5" t="s">
        <v>138</v>
      </c>
      <c r="E145" s="5"/>
      <c r="F145" s="18">
        <v>15</v>
      </c>
      <c r="G145" s="18">
        <v>16</v>
      </c>
      <c r="H145" s="18">
        <v>2</v>
      </c>
      <c r="I145" s="18">
        <v>3</v>
      </c>
      <c r="J145" s="19">
        <f t="shared" si="24"/>
        <v>302</v>
      </c>
      <c r="K145" s="20">
        <f t="shared" si="25"/>
        <v>36</v>
      </c>
      <c r="L145" s="27">
        <v>24</v>
      </c>
      <c r="M145" s="27">
        <v>9</v>
      </c>
      <c r="N145" s="27">
        <v>2</v>
      </c>
      <c r="O145" s="27"/>
      <c r="P145" s="28">
        <f t="shared" si="26"/>
        <v>324</v>
      </c>
      <c r="Q145" s="29">
        <f t="shared" si="27"/>
        <v>35</v>
      </c>
      <c r="R145" s="36">
        <v>15.54</v>
      </c>
      <c r="S145" s="36"/>
      <c r="T145" s="36"/>
      <c r="U145" s="37"/>
      <c r="V145" s="38">
        <f t="shared" si="28"/>
        <v>84.460000000000008</v>
      </c>
      <c r="W145" s="2">
        <f t="shared" si="29"/>
        <v>710.46</v>
      </c>
    </row>
    <row r="146" spans="1:23" s="3" customFormat="1" ht="22.5" customHeight="1" x14ac:dyDescent="0.25">
      <c r="A146" s="5">
        <v>144</v>
      </c>
      <c r="B146" s="4" t="s">
        <v>176</v>
      </c>
      <c r="C146" s="5" t="s">
        <v>151</v>
      </c>
      <c r="D146" s="5" t="s">
        <v>138</v>
      </c>
      <c r="E146" s="5"/>
      <c r="F146" s="18">
        <v>7</v>
      </c>
      <c r="G146" s="18">
        <v>15</v>
      </c>
      <c r="H146" s="18">
        <v>11</v>
      </c>
      <c r="I146" s="18">
        <v>3</v>
      </c>
      <c r="J146" s="19">
        <f t="shared" si="24"/>
        <v>268</v>
      </c>
      <c r="K146" s="20">
        <f t="shared" si="25"/>
        <v>36</v>
      </c>
      <c r="L146" s="27">
        <v>28</v>
      </c>
      <c r="M146" s="27">
        <v>7</v>
      </c>
      <c r="N146" s="27">
        <v>1</v>
      </c>
      <c r="O146" s="27"/>
      <c r="P146" s="28">
        <f t="shared" si="26"/>
        <v>342</v>
      </c>
      <c r="Q146" s="29">
        <f t="shared" si="27"/>
        <v>36</v>
      </c>
      <c r="R146" s="36">
        <v>14.81</v>
      </c>
      <c r="S146" s="36"/>
      <c r="T146" s="36"/>
      <c r="U146" s="37"/>
      <c r="V146" s="38">
        <f t="shared" si="28"/>
        <v>85.19</v>
      </c>
      <c r="W146" s="2">
        <f t="shared" si="29"/>
        <v>695.19</v>
      </c>
    </row>
    <row r="147" spans="1:23" s="3" customFormat="1" ht="22.5" customHeight="1" x14ac:dyDescent="0.25">
      <c r="A147" s="5">
        <v>145</v>
      </c>
      <c r="B147" s="4" t="s">
        <v>177</v>
      </c>
      <c r="C147" s="5" t="s">
        <v>135</v>
      </c>
      <c r="D147" s="5" t="s">
        <v>138</v>
      </c>
      <c r="E147" s="5"/>
      <c r="F147" s="18">
        <v>11</v>
      </c>
      <c r="G147" s="18">
        <v>13</v>
      </c>
      <c r="H147" s="18">
        <v>6</v>
      </c>
      <c r="I147" s="18">
        <v>6</v>
      </c>
      <c r="J147" s="19">
        <f t="shared" si="24"/>
        <v>274</v>
      </c>
      <c r="K147" s="20">
        <f t="shared" si="25"/>
        <v>36</v>
      </c>
      <c r="L147" s="27">
        <v>22</v>
      </c>
      <c r="M147" s="27">
        <v>11</v>
      </c>
      <c r="N147" s="27"/>
      <c r="O147" s="27"/>
      <c r="P147" s="28">
        <f t="shared" si="26"/>
        <v>308</v>
      </c>
      <c r="Q147" s="29">
        <f t="shared" si="27"/>
        <v>33</v>
      </c>
      <c r="R147" s="36">
        <v>17.96</v>
      </c>
      <c r="S147" s="36"/>
      <c r="T147" s="36"/>
      <c r="U147" s="37"/>
      <c r="V147" s="38">
        <f t="shared" si="28"/>
        <v>82.039999999999992</v>
      </c>
      <c r="W147" s="2">
        <f t="shared" si="29"/>
        <v>664.04</v>
      </c>
    </row>
    <row r="148" spans="1:23" s="3" customFormat="1" ht="22.5" customHeight="1" x14ac:dyDescent="0.25">
      <c r="A148" s="5">
        <v>146</v>
      </c>
      <c r="B148" s="4"/>
      <c r="C148" s="5"/>
      <c r="D148" s="5"/>
      <c r="E148" s="5"/>
      <c r="F148" s="18"/>
      <c r="G148" s="18"/>
      <c r="H148" s="18"/>
      <c r="I148" s="18"/>
      <c r="J148" s="19">
        <f t="shared" ref="J148:J151" si="30">SUM(F148*10)+(G148*8)+(H148*6)+(I148*4)</f>
        <v>0</v>
      </c>
      <c r="K148" s="20">
        <f t="shared" ref="K148:K152" si="31">SUM(F148:I148)</f>
        <v>0</v>
      </c>
      <c r="L148" s="27"/>
      <c r="M148" s="27"/>
      <c r="N148" s="27"/>
      <c r="O148" s="27"/>
      <c r="P148" s="28">
        <f t="shared" ref="P148:P151" si="32">SUM(L148*10)+(M148*8)+(N148*6)+(O148*4)</f>
        <v>0</v>
      </c>
      <c r="Q148" s="29">
        <f t="shared" ref="Q148:Q151" si="33">SUM(L148:O148)</f>
        <v>0</v>
      </c>
      <c r="R148" s="36"/>
      <c r="S148" s="36"/>
      <c r="T148" s="36"/>
      <c r="U148" s="37"/>
      <c r="V148" s="38">
        <f t="shared" ref="V148:V152" si="34">100-(R148+S148+(U148*10)+(T148*20))</f>
        <v>100</v>
      </c>
      <c r="W148" s="2">
        <f t="shared" ref="W148:W152" si="35">J148+P148+V148</f>
        <v>100</v>
      </c>
    </row>
    <row r="149" spans="1:23" s="3" customFormat="1" ht="22.5" customHeight="1" x14ac:dyDescent="0.25">
      <c r="A149" s="5">
        <v>147</v>
      </c>
      <c r="B149" s="4"/>
      <c r="C149" s="5"/>
      <c r="D149" s="5"/>
      <c r="E149" s="5"/>
      <c r="F149" s="18"/>
      <c r="G149" s="18"/>
      <c r="H149" s="18"/>
      <c r="I149" s="18"/>
      <c r="J149" s="19">
        <f t="shared" si="30"/>
        <v>0</v>
      </c>
      <c r="K149" s="20">
        <f t="shared" si="31"/>
        <v>0</v>
      </c>
      <c r="L149" s="27"/>
      <c r="M149" s="27"/>
      <c r="N149" s="27"/>
      <c r="O149" s="27"/>
      <c r="P149" s="28">
        <f t="shared" si="32"/>
        <v>0</v>
      </c>
      <c r="Q149" s="29">
        <f t="shared" si="33"/>
        <v>0</v>
      </c>
      <c r="R149" s="36"/>
      <c r="S149" s="36"/>
      <c r="T149" s="36"/>
      <c r="U149" s="37"/>
      <c r="V149" s="38">
        <f t="shared" si="34"/>
        <v>100</v>
      </c>
      <c r="W149" s="2">
        <f t="shared" si="35"/>
        <v>100</v>
      </c>
    </row>
    <row r="150" spans="1:23" s="3" customFormat="1" ht="22.5" customHeight="1" x14ac:dyDescent="0.25">
      <c r="A150" s="5">
        <v>148</v>
      </c>
      <c r="B150" s="4"/>
      <c r="C150" s="5"/>
      <c r="D150" s="5"/>
      <c r="E150" s="5"/>
      <c r="F150" s="18"/>
      <c r="G150" s="18"/>
      <c r="H150" s="18"/>
      <c r="I150" s="18"/>
      <c r="J150" s="19">
        <f t="shared" si="30"/>
        <v>0</v>
      </c>
      <c r="K150" s="20">
        <f t="shared" si="31"/>
        <v>0</v>
      </c>
      <c r="L150" s="27"/>
      <c r="M150" s="27"/>
      <c r="N150" s="27"/>
      <c r="O150" s="27"/>
      <c r="P150" s="28">
        <f t="shared" si="32"/>
        <v>0</v>
      </c>
      <c r="Q150" s="29">
        <f t="shared" si="33"/>
        <v>0</v>
      </c>
      <c r="R150" s="36"/>
      <c r="S150" s="36"/>
      <c r="T150" s="36"/>
      <c r="U150" s="37"/>
      <c r="V150" s="38">
        <f t="shared" si="34"/>
        <v>100</v>
      </c>
      <c r="W150" s="2">
        <f t="shared" si="35"/>
        <v>100</v>
      </c>
    </row>
    <row r="151" spans="1:23" s="3" customFormat="1" ht="22.5" customHeight="1" x14ac:dyDescent="0.25">
      <c r="A151" s="5">
        <v>149</v>
      </c>
      <c r="B151" s="4"/>
      <c r="C151" s="5"/>
      <c r="D151" s="5"/>
      <c r="E151" s="5"/>
      <c r="F151" s="18"/>
      <c r="G151" s="18"/>
      <c r="H151" s="18"/>
      <c r="I151" s="18"/>
      <c r="J151" s="19">
        <f t="shared" si="30"/>
        <v>0</v>
      </c>
      <c r="K151" s="20">
        <f t="shared" si="31"/>
        <v>0</v>
      </c>
      <c r="L151" s="27"/>
      <c r="M151" s="27"/>
      <c r="N151" s="27"/>
      <c r="O151" s="27"/>
      <c r="P151" s="28">
        <f t="shared" si="32"/>
        <v>0</v>
      </c>
      <c r="Q151" s="29">
        <f t="shared" si="33"/>
        <v>0</v>
      </c>
      <c r="R151" s="36"/>
      <c r="S151" s="36"/>
      <c r="T151" s="36"/>
      <c r="U151" s="37"/>
      <c r="V151" s="38">
        <f t="shared" si="34"/>
        <v>100</v>
      </c>
      <c r="W151" s="2">
        <f t="shared" si="35"/>
        <v>100</v>
      </c>
    </row>
    <row r="152" spans="1:23" s="3" customFormat="1" ht="22.5" customHeight="1" x14ac:dyDescent="0.25">
      <c r="A152" s="5">
        <v>150</v>
      </c>
      <c r="B152" s="4"/>
      <c r="C152" s="5"/>
      <c r="D152" s="5"/>
      <c r="E152" s="5"/>
      <c r="F152" s="18"/>
      <c r="G152" s="18"/>
      <c r="H152" s="18"/>
      <c r="I152" s="18"/>
      <c r="J152" s="19">
        <f t="shared" ref="J152" si="36">SUM(F152*10)+(G152*8)+(H152*6)+(I152*4)</f>
        <v>0</v>
      </c>
      <c r="K152" s="20">
        <f t="shared" si="31"/>
        <v>0</v>
      </c>
      <c r="L152" s="27"/>
      <c r="M152" s="27"/>
      <c r="N152" s="27"/>
      <c r="O152" s="27"/>
      <c r="P152" s="28">
        <f t="shared" ref="P152" si="37">SUM(L152*10)+(M152*8)+(N152*6)+(O152*4)</f>
        <v>0</v>
      </c>
      <c r="Q152" s="29">
        <f t="shared" ref="Q152" si="38">SUM(L152:O152)</f>
        <v>0</v>
      </c>
      <c r="R152" s="36"/>
      <c r="S152" s="36"/>
      <c r="T152" s="36"/>
      <c r="U152" s="37"/>
      <c r="V152" s="38">
        <f t="shared" si="34"/>
        <v>100</v>
      </c>
      <c r="W152" s="2">
        <f t="shared" si="35"/>
        <v>100</v>
      </c>
    </row>
  </sheetData>
  <sheetProtection selectLockedCells="1" sort="0" autoFilter="0" pivotTables="0"/>
  <mergeCells count="11">
    <mergeCell ref="A1:A2"/>
    <mergeCell ref="R1:V1"/>
    <mergeCell ref="W1:W2"/>
    <mergeCell ref="E1:E2"/>
    <mergeCell ref="F1:J1"/>
    <mergeCell ref="L1:P1"/>
    <mergeCell ref="B1:B2"/>
    <mergeCell ref="K1:K2"/>
    <mergeCell ref="Q1:Q2"/>
    <mergeCell ref="D1:D2"/>
    <mergeCell ref="C1:C2"/>
  </mergeCells>
  <conditionalFormatting sqref="K3:K152">
    <cfRule type="cellIs" dxfId="33" priority="2" operator="greaterThan">
      <formula>36</formula>
    </cfRule>
  </conditionalFormatting>
  <conditionalFormatting sqref="Q3:Q152">
    <cfRule type="cellIs" dxfId="32" priority="1" operator="greaterThan">
      <formula>36</formula>
    </cfRule>
  </conditionalFormatting>
  <pageMargins left="0.7" right="0.7" top="0.75" bottom="0.75" header="0.3" footer="0.3"/>
  <pageSetup paperSize="179"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79"/>
  <sheetViews>
    <sheetView zoomScaleNormal="100" workbookViewId="0">
      <selection activeCell="E79" sqref="E79"/>
    </sheetView>
  </sheetViews>
  <sheetFormatPr defaultColWidth="9.140625" defaultRowHeight="12.75" x14ac:dyDescent="0.2"/>
  <cols>
    <col min="1" max="1" width="8.85546875" style="7" customWidth="1"/>
    <col min="2" max="2" width="23.85546875" style="6" bestFit="1" customWidth="1"/>
    <col min="3" max="3" width="13.42578125" style="7" bestFit="1" customWidth="1"/>
    <col min="4" max="4" width="11.140625" style="7" bestFit="1" customWidth="1"/>
    <col min="5" max="5" width="25.7109375" style="7" bestFit="1" customWidth="1"/>
    <col min="6" max="9" width="6.28515625" style="21" customWidth="1"/>
    <col min="10" max="10" width="15" style="21" customWidth="1"/>
    <col min="11" max="11" width="9.85546875" style="21" customWidth="1"/>
    <col min="12" max="15" width="6.28515625" style="30" customWidth="1"/>
    <col min="16" max="16" width="15.28515625" style="30" customWidth="1"/>
    <col min="17" max="17" width="10" style="30" customWidth="1"/>
    <col min="18" max="18" width="11.42578125" style="39" customWidth="1"/>
    <col min="19" max="19" width="11.42578125" style="39" hidden="1" customWidth="1"/>
    <col min="20" max="20" width="13.28515625" style="39" hidden="1" customWidth="1"/>
    <col min="21" max="21" width="12.7109375" style="39" hidden="1" customWidth="1"/>
    <col min="22" max="22" width="13.5703125" style="39" customWidth="1"/>
    <col min="23" max="23" width="20.42578125" style="7" customWidth="1"/>
    <col min="24" max="16384" width="9.140625" style="6"/>
  </cols>
  <sheetData>
    <row r="1" spans="1:23" s="1" customFormat="1" ht="17.25" customHeight="1" x14ac:dyDescent="0.2">
      <c r="A1" s="164" t="s">
        <v>1</v>
      </c>
      <c r="B1" s="164" t="s">
        <v>0</v>
      </c>
      <c r="C1" s="164" t="s">
        <v>126</v>
      </c>
      <c r="D1" s="164" t="s">
        <v>125</v>
      </c>
      <c r="E1" s="164" t="s">
        <v>7</v>
      </c>
      <c r="F1" s="171" t="s">
        <v>14</v>
      </c>
      <c r="G1" s="172"/>
      <c r="H1" s="172"/>
      <c r="I1" s="172"/>
      <c r="J1" s="173"/>
      <c r="K1" s="177" t="s">
        <v>16</v>
      </c>
      <c r="L1" s="174" t="s">
        <v>15</v>
      </c>
      <c r="M1" s="175"/>
      <c r="N1" s="175"/>
      <c r="O1" s="175"/>
      <c r="P1" s="176"/>
      <c r="Q1" s="179" t="s">
        <v>16</v>
      </c>
      <c r="R1" s="166" t="s">
        <v>6</v>
      </c>
      <c r="S1" s="167"/>
      <c r="T1" s="167"/>
      <c r="U1" s="167"/>
      <c r="V1" s="168"/>
      <c r="W1" s="169" t="s">
        <v>5</v>
      </c>
    </row>
    <row r="2" spans="1:23" s="1" customFormat="1" ht="18" customHeight="1" thickBot="1" x14ac:dyDescent="0.25">
      <c r="A2" s="181"/>
      <c r="B2" s="181"/>
      <c r="C2" s="181"/>
      <c r="D2" s="181"/>
      <c r="E2" s="181"/>
      <c r="F2" s="12" t="s">
        <v>10</v>
      </c>
      <c r="G2" s="12" t="s">
        <v>11</v>
      </c>
      <c r="H2" s="12" t="s">
        <v>12</v>
      </c>
      <c r="I2" s="12" t="s">
        <v>13</v>
      </c>
      <c r="J2" s="12" t="s">
        <v>2</v>
      </c>
      <c r="K2" s="182"/>
      <c r="L2" s="22" t="s">
        <v>10</v>
      </c>
      <c r="M2" s="22" t="s">
        <v>11</v>
      </c>
      <c r="N2" s="22" t="s">
        <v>12</v>
      </c>
      <c r="O2" s="22" t="s">
        <v>13</v>
      </c>
      <c r="P2" s="22" t="s">
        <v>3</v>
      </c>
      <c r="Q2" s="183"/>
      <c r="R2" s="31" t="s">
        <v>8</v>
      </c>
      <c r="S2" s="31" t="s">
        <v>9</v>
      </c>
      <c r="T2" s="31" t="s">
        <v>17</v>
      </c>
      <c r="U2" s="31" t="s">
        <v>18</v>
      </c>
      <c r="V2" s="31" t="s">
        <v>4</v>
      </c>
      <c r="W2" s="169"/>
    </row>
    <row r="3" spans="1:23" s="3" customFormat="1" ht="22.5" customHeight="1" thickTop="1" x14ac:dyDescent="0.25">
      <c r="A3" s="134">
        <v>139</v>
      </c>
      <c r="B3" s="135" t="s">
        <v>164</v>
      </c>
      <c r="C3" s="136" t="s">
        <v>129</v>
      </c>
      <c r="D3" s="136" t="s">
        <v>139</v>
      </c>
      <c r="E3" s="136"/>
      <c r="F3" s="15">
        <v>26</v>
      </c>
      <c r="G3" s="15">
        <v>9</v>
      </c>
      <c r="H3" s="15"/>
      <c r="I3" s="15"/>
      <c r="J3" s="17">
        <f t="shared" ref="J3:J32" si="0">SUM(F3*10)+(G3*8)+(H3*6)+(I3*4)</f>
        <v>332</v>
      </c>
      <c r="K3" s="17">
        <f t="shared" ref="K3:K32" si="1">SUM(F3:I3)</f>
        <v>35</v>
      </c>
      <c r="L3" s="24">
        <v>8</v>
      </c>
      <c r="M3" s="24">
        <v>17</v>
      </c>
      <c r="N3" s="24">
        <v>7</v>
      </c>
      <c r="O3" s="24">
        <v>4</v>
      </c>
      <c r="P3" s="25">
        <f t="shared" ref="P3:P32" si="2">SUM(L3*10)+(M3*8)+(N3*6)+(O3*4)</f>
        <v>274</v>
      </c>
      <c r="Q3" s="26">
        <f t="shared" ref="Q3:Q32" si="3">SUM(L3:O3)</f>
        <v>36</v>
      </c>
      <c r="R3" s="33">
        <v>10.17</v>
      </c>
      <c r="S3" s="33"/>
      <c r="T3" s="33"/>
      <c r="U3" s="34"/>
      <c r="V3" s="47">
        <f t="shared" ref="V3:V32" si="4">100-(R3+S3+(U3*10)+(T3*20))</f>
        <v>89.83</v>
      </c>
      <c r="W3" s="108">
        <f t="shared" ref="W3:W32" si="5">J3+P3+V3</f>
        <v>695.83</v>
      </c>
    </row>
    <row r="4" spans="1:23" s="3" customFormat="1" ht="22.5" customHeight="1" x14ac:dyDescent="0.25">
      <c r="A4" s="137">
        <v>98</v>
      </c>
      <c r="B4" s="138" t="s">
        <v>102</v>
      </c>
      <c r="C4" s="139" t="s">
        <v>129</v>
      </c>
      <c r="D4" s="139" t="s">
        <v>139</v>
      </c>
      <c r="E4" s="139"/>
      <c r="F4" s="18">
        <v>13</v>
      </c>
      <c r="G4" s="18">
        <v>10</v>
      </c>
      <c r="H4" s="18">
        <v>5</v>
      </c>
      <c r="I4" s="18">
        <v>6</v>
      </c>
      <c r="J4" s="19">
        <f t="shared" si="0"/>
        <v>264</v>
      </c>
      <c r="K4" s="20">
        <f t="shared" si="1"/>
        <v>34</v>
      </c>
      <c r="L4" s="27">
        <v>25</v>
      </c>
      <c r="M4" s="27">
        <v>5</v>
      </c>
      <c r="N4" s="27">
        <v>2</v>
      </c>
      <c r="O4" s="27"/>
      <c r="P4" s="28">
        <f t="shared" si="2"/>
        <v>302</v>
      </c>
      <c r="Q4" s="29">
        <f t="shared" si="3"/>
        <v>32</v>
      </c>
      <c r="R4" s="36">
        <v>18.440000000000001</v>
      </c>
      <c r="S4" s="36"/>
      <c r="T4" s="36"/>
      <c r="U4" s="37"/>
      <c r="V4" s="38">
        <f t="shared" si="4"/>
        <v>81.56</v>
      </c>
      <c r="W4" s="110">
        <f t="shared" si="5"/>
        <v>647.55999999999995</v>
      </c>
    </row>
    <row r="5" spans="1:23" s="3" customFormat="1" ht="22.5" customHeight="1" x14ac:dyDescent="0.25">
      <c r="A5" s="137">
        <v>42</v>
      </c>
      <c r="B5" s="138" t="s">
        <v>48</v>
      </c>
      <c r="C5" s="139" t="s">
        <v>129</v>
      </c>
      <c r="D5" s="139" t="s">
        <v>139</v>
      </c>
      <c r="E5" s="139"/>
      <c r="F5" s="18">
        <v>7</v>
      </c>
      <c r="G5" s="18">
        <v>9</v>
      </c>
      <c r="H5" s="18">
        <v>13</v>
      </c>
      <c r="I5" s="18">
        <v>7</v>
      </c>
      <c r="J5" s="19">
        <f t="shared" si="0"/>
        <v>248</v>
      </c>
      <c r="K5" s="20">
        <f t="shared" si="1"/>
        <v>36</v>
      </c>
      <c r="L5" s="27">
        <v>22</v>
      </c>
      <c r="M5" s="27">
        <v>9</v>
      </c>
      <c r="N5" s="27">
        <v>3</v>
      </c>
      <c r="O5" s="27"/>
      <c r="P5" s="28">
        <f t="shared" si="2"/>
        <v>310</v>
      </c>
      <c r="Q5" s="29">
        <f t="shared" si="3"/>
        <v>34</v>
      </c>
      <c r="R5" s="36">
        <v>18.350000000000001</v>
      </c>
      <c r="S5" s="36"/>
      <c r="T5" s="36"/>
      <c r="U5" s="37"/>
      <c r="V5" s="38">
        <f t="shared" si="4"/>
        <v>81.650000000000006</v>
      </c>
      <c r="W5" s="110">
        <f t="shared" si="5"/>
        <v>639.65</v>
      </c>
    </row>
    <row r="6" spans="1:23" s="3" customFormat="1" ht="22.5" customHeight="1" x14ac:dyDescent="0.25">
      <c r="A6" s="137">
        <v>132</v>
      </c>
      <c r="B6" s="138" t="s">
        <v>156</v>
      </c>
      <c r="C6" s="139" t="s">
        <v>129</v>
      </c>
      <c r="D6" s="139" t="s">
        <v>139</v>
      </c>
      <c r="E6" s="139"/>
      <c r="F6" s="18">
        <v>4</v>
      </c>
      <c r="G6" s="18">
        <v>16</v>
      </c>
      <c r="H6" s="18">
        <v>8</v>
      </c>
      <c r="I6" s="18">
        <v>6</v>
      </c>
      <c r="J6" s="19">
        <f t="shared" si="0"/>
        <v>240</v>
      </c>
      <c r="K6" s="20">
        <f t="shared" si="1"/>
        <v>34</v>
      </c>
      <c r="L6" s="27">
        <v>24</v>
      </c>
      <c r="M6" s="27">
        <v>7</v>
      </c>
      <c r="N6" s="27">
        <v>3</v>
      </c>
      <c r="O6" s="27"/>
      <c r="P6" s="28">
        <f t="shared" si="2"/>
        <v>314</v>
      </c>
      <c r="Q6" s="29">
        <f t="shared" si="3"/>
        <v>34</v>
      </c>
      <c r="R6" s="36">
        <v>17.079999999999998</v>
      </c>
      <c r="S6" s="36"/>
      <c r="T6" s="36"/>
      <c r="U6" s="37"/>
      <c r="V6" s="38">
        <f t="shared" si="4"/>
        <v>82.92</v>
      </c>
      <c r="W6" s="110">
        <f t="shared" si="5"/>
        <v>636.91999999999996</v>
      </c>
    </row>
    <row r="7" spans="1:23" s="3" customFormat="1" ht="22.5" customHeight="1" x14ac:dyDescent="0.25">
      <c r="A7" s="137">
        <v>41</v>
      </c>
      <c r="B7" s="138" t="s">
        <v>47</v>
      </c>
      <c r="C7" s="139" t="s">
        <v>129</v>
      </c>
      <c r="D7" s="139" t="s">
        <v>139</v>
      </c>
      <c r="E7" s="139"/>
      <c r="F7" s="18">
        <v>8</v>
      </c>
      <c r="G7" s="18">
        <v>11</v>
      </c>
      <c r="H7" s="18">
        <v>9</v>
      </c>
      <c r="I7" s="18">
        <v>8</v>
      </c>
      <c r="J7" s="19">
        <f t="shared" si="0"/>
        <v>254</v>
      </c>
      <c r="K7" s="20">
        <f t="shared" si="1"/>
        <v>36</v>
      </c>
      <c r="L7" s="27">
        <v>21</v>
      </c>
      <c r="M7" s="27">
        <v>8</v>
      </c>
      <c r="N7" s="27">
        <v>2</v>
      </c>
      <c r="O7" s="27"/>
      <c r="P7" s="28">
        <f t="shared" si="2"/>
        <v>286</v>
      </c>
      <c r="Q7" s="29">
        <f t="shared" si="3"/>
        <v>31</v>
      </c>
      <c r="R7" s="36">
        <v>14.58</v>
      </c>
      <c r="S7" s="36"/>
      <c r="T7" s="36"/>
      <c r="U7" s="37"/>
      <c r="V7" s="38">
        <f t="shared" si="4"/>
        <v>85.42</v>
      </c>
      <c r="W7" s="110">
        <f t="shared" si="5"/>
        <v>625.41999999999996</v>
      </c>
    </row>
    <row r="8" spans="1:23" s="3" customFormat="1" ht="22.5" customHeight="1" x14ac:dyDescent="0.25">
      <c r="A8" s="137">
        <v>110</v>
      </c>
      <c r="B8" s="138" t="s">
        <v>114</v>
      </c>
      <c r="C8" s="139" t="s">
        <v>129</v>
      </c>
      <c r="D8" s="139" t="s">
        <v>139</v>
      </c>
      <c r="E8" s="139"/>
      <c r="F8" s="18">
        <v>6</v>
      </c>
      <c r="G8" s="18">
        <v>11</v>
      </c>
      <c r="H8" s="18">
        <v>10</v>
      </c>
      <c r="I8" s="18">
        <v>9</v>
      </c>
      <c r="J8" s="19">
        <f t="shared" si="0"/>
        <v>244</v>
      </c>
      <c r="K8" s="20">
        <f t="shared" si="1"/>
        <v>36</v>
      </c>
      <c r="L8" s="27">
        <v>20</v>
      </c>
      <c r="M8" s="27">
        <v>9</v>
      </c>
      <c r="N8" s="27">
        <v>3</v>
      </c>
      <c r="O8" s="27"/>
      <c r="P8" s="28">
        <f t="shared" si="2"/>
        <v>290</v>
      </c>
      <c r="Q8" s="29">
        <f t="shared" si="3"/>
        <v>32</v>
      </c>
      <c r="R8" s="36">
        <v>11.41</v>
      </c>
      <c r="S8" s="36"/>
      <c r="T8" s="36"/>
      <c r="U8" s="37"/>
      <c r="V8" s="38">
        <f t="shared" si="4"/>
        <v>88.59</v>
      </c>
      <c r="W8" s="110">
        <f t="shared" si="5"/>
        <v>622.59</v>
      </c>
    </row>
    <row r="9" spans="1:23" s="3" customFormat="1" ht="22.5" customHeight="1" x14ac:dyDescent="0.25">
      <c r="A9" s="137">
        <v>84</v>
      </c>
      <c r="B9" s="138" t="s">
        <v>89</v>
      </c>
      <c r="C9" s="139" t="s">
        <v>129</v>
      </c>
      <c r="D9" s="139" t="s">
        <v>139</v>
      </c>
      <c r="E9" s="139"/>
      <c r="F9" s="18">
        <v>5</v>
      </c>
      <c r="G9" s="18">
        <v>10</v>
      </c>
      <c r="H9" s="18">
        <v>11</v>
      </c>
      <c r="I9" s="18">
        <v>9</v>
      </c>
      <c r="J9" s="19">
        <f t="shared" si="0"/>
        <v>232</v>
      </c>
      <c r="K9" s="20">
        <f t="shared" si="1"/>
        <v>35</v>
      </c>
      <c r="L9" s="27">
        <v>20</v>
      </c>
      <c r="M9" s="27">
        <v>12</v>
      </c>
      <c r="N9" s="27">
        <v>2</v>
      </c>
      <c r="O9" s="27"/>
      <c r="P9" s="28">
        <f t="shared" si="2"/>
        <v>308</v>
      </c>
      <c r="Q9" s="29">
        <f t="shared" si="3"/>
        <v>34</v>
      </c>
      <c r="R9" s="36">
        <v>18.63</v>
      </c>
      <c r="S9" s="36"/>
      <c r="T9" s="36"/>
      <c r="U9" s="37"/>
      <c r="V9" s="38">
        <f t="shared" si="4"/>
        <v>81.37</v>
      </c>
      <c r="W9" s="110">
        <f t="shared" si="5"/>
        <v>621.37</v>
      </c>
    </row>
    <row r="10" spans="1:23" s="3" customFormat="1" ht="22.5" customHeight="1" x14ac:dyDescent="0.25">
      <c r="A10" s="137">
        <v>87</v>
      </c>
      <c r="B10" s="138" t="s">
        <v>82</v>
      </c>
      <c r="C10" s="139" t="s">
        <v>129</v>
      </c>
      <c r="D10" s="139" t="s">
        <v>139</v>
      </c>
      <c r="E10" s="139"/>
      <c r="F10" s="18">
        <v>8</v>
      </c>
      <c r="G10" s="18">
        <v>9</v>
      </c>
      <c r="H10" s="18">
        <v>14</v>
      </c>
      <c r="I10" s="18">
        <v>5</v>
      </c>
      <c r="J10" s="19">
        <f t="shared" si="0"/>
        <v>256</v>
      </c>
      <c r="K10" s="20">
        <f t="shared" si="1"/>
        <v>36</v>
      </c>
      <c r="L10" s="27">
        <v>14</v>
      </c>
      <c r="M10" s="27">
        <v>13</v>
      </c>
      <c r="N10" s="27">
        <v>3</v>
      </c>
      <c r="O10" s="27"/>
      <c r="P10" s="28">
        <f t="shared" si="2"/>
        <v>262</v>
      </c>
      <c r="Q10" s="29">
        <f t="shared" si="3"/>
        <v>30</v>
      </c>
      <c r="R10" s="36">
        <v>18.809999999999999</v>
      </c>
      <c r="S10" s="36"/>
      <c r="T10" s="36"/>
      <c r="U10" s="37"/>
      <c r="V10" s="38">
        <f t="shared" si="4"/>
        <v>81.19</v>
      </c>
      <c r="W10" s="110">
        <f t="shared" si="5"/>
        <v>599.19000000000005</v>
      </c>
    </row>
    <row r="11" spans="1:23" s="3" customFormat="1" ht="22.5" customHeight="1" x14ac:dyDescent="0.25">
      <c r="A11" s="137">
        <v>43</v>
      </c>
      <c r="B11" s="138" t="s">
        <v>49</v>
      </c>
      <c r="C11" s="139" t="s">
        <v>129</v>
      </c>
      <c r="D11" s="139" t="s">
        <v>139</v>
      </c>
      <c r="E11" s="139"/>
      <c r="F11" s="18">
        <v>4</v>
      </c>
      <c r="G11" s="18">
        <v>9</v>
      </c>
      <c r="H11" s="18">
        <v>9</v>
      </c>
      <c r="I11" s="18">
        <v>5</v>
      </c>
      <c r="J11" s="19">
        <f t="shared" si="0"/>
        <v>186</v>
      </c>
      <c r="K11" s="20">
        <f t="shared" si="1"/>
        <v>27</v>
      </c>
      <c r="L11" s="27">
        <v>17</v>
      </c>
      <c r="M11" s="27">
        <v>14</v>
      </c>
      <c r="N11" s="27">
        <v>4</v>
      </c>
      <c r="O11" s="27"/>
      <c r="P11" s="28">
        <f t="shared" si="2"/>
        <v>306</v>
      </c>
      <c r="Q11" s="29">
        <f t="shared" si="3"/>
        <v>35</v>
      </c>
      <c r="R11" s="36">
        <v>18.489999999999998</v>
      </c>
      <c r="S11" s="36"/>
      <c r="T11" s="36"/>
      <c r="U11" s="37"/>
      <c r="V11" s="38">
        <f t="shared" si="4"/>
        <v>81.510000000000005</v>
      </c>
      <c r="W11" s="110">
        <f t="shared" si="5"/>
        <v>573.51</v>
      </c>
    </row>
    <row r="12" spans="1:23" s="3" customFormat="1" ht="22.5" customHeight="1" x14ac:dyDescent="0.25">
      <c r="A12" s="137">
        <v>15</v>
      </c>
      <c r="B12" s="138" t="s">
        <v>24</v>
      </c>
      <c r="C12" s="139" t="s">
        <v>129</v>
      </c>
      <c r="D12" s="139" t="s">
        <v>139</v>
      </c>
      <c r="E12" s="139"/>
      <c r="F12" s="18">
        <v>7</v>
      </c>
      <c r="G12" s="18">
        <v>7</v>
      </c>
      <c r="H12" s="18">
        <v>8</v>
      </c>
      <c r="I12" s="18">
        <v>8</v>
      </c>
      <c r="J12" s="19">
        <f t="shared" si="0"/>
        <v>206</v>
      </c>
      <c r="K12" s="20">
        <f t="shared" si="1"/>
        <v>30</v>
      </c>
      <c r="L12" s="27">
        <v>22</v>
      </c>
      <c r="M12" s="27">
        <v>5</v>
      </c>
      <c r="N12" s="27">
        <v>1</v>
      </c>
      <c r="O12" s="27"/>
      <c r="P12" s="28">
        <f t="shared" si="2"/>
        <v>266</v>
      </c>
      <c r="Q12" s="29">
        <f t="shared" si="3"/>
        <v>28</v>
      </c>
      <c r="R12" s="36">
        <v>18.88</v>
      </c>
      <c r="S12" s="36"/>
      <c r="T12" s="36"/>
      <c r="U12" s="37"/>
      <c r="V12" s="38">
        <f t="shared" si="4"/>
        <v>81.12</v>
      </c>
      <c r="W12" s="110">
        <f t="shared" si="5"/>
        <v>553.12</v>
      </c>
    </row>
    <row r="13" spans="1:23" s="3" customFormat="1" ht="22.5" customHeight="1" x14ac:dyDescent="0.25">
      <c r="A13" s="137">
        <v>142</v>
      </c>
      <c r="B13" s="138" t="s">
        <v>167</v>
      </c>
      <c r="C13" s="139" t="s">
        <v>129</v>
      </c>
      <c r="D13" s="139" t="s">
        <v>139</v>
      </c>
      <c r="E13" s="139"/>
      <c r="F13" s="18">
        <v>4</v>
      </c>
      <c r="G13" s="18">
        <v>9</v>
      </c>
      <c r="H13" s="18">
        <v>8</v>
      </c>
      <c r="I13" s="18">
        <v>13</v>
      </c>
      <c r="J13" s="19">
        <f t="shared" si="0"/>
        <v>212</v>
      </c>
      <c r="K13" s="20">
        <f t="shared" si="1"/>
        <v>34</v>
      </c>
      <c r="L13" s="27">
        <v>12</v>
      </c>
      <c r="M13" s="27">
        <v>12</v>
      </c>
      <c r="N13" s="27">
        <v>4</v>
      </c>
      <c r="O13" s="27"/>
      <c r="P13" s="28">
        <f t="shared" si="2"/>
        <v>240</v>
      </c>
      <c r="Q13" s="29">
        <f t="shared" si="3"/>
        <v>28</v>
      </c>
      <c r="R13" s="36">
        <v>17.43</v>
      </c>
      <c r="S13" s="36"/>
      <c r="T13" s="36"/>
      <c r="U13" s="37"/>
      <c r="V13" s="38">
        <f t="shared" si="4"/>
        <v>82.57</v>
      </c>
      <c r="W13" s="110">
        <f t="shared" si="5"/>
        <v>534.56999999999994</v>
      </c>
    </row>
    <row r="14" spans="1:23" s="3" customFormat="1" ht="22.5" customHeight="1" x14ac:dyDescent="0.25">
      <c r="A14" s="137">
        <v>102</v>
      </c>
      <c r="B14" s="138" t="s">
        <v>106</v>
      </c>
      <c r="C14" s="139" t="s">
        <v>129</v>
      </c>
      <c r="D14" s="139" t="s">
        <v>139</v>
      </c>
      <c r="E14" s="139"/>
      <c r="F14" s="18">
        <v>4</v>
      </c>
      <c r="G14" s="18">
        <v>8</v>
      </c>
      <c r="H14" s="18">
        <v>6</v>
      </c>
      <c r="I14" s="18">
        <v>17</v>
      </c>
      <c r="J14" s="19">
        <f t="shared" si="0"/>
        <v>208</v>
      </c>
      <c r="K14" s="20">
        <f t="shared" si="1"/>
        <v>35</v>
      </c>
      <c r="L14" s="27">
        <v>12</v>
      </c>
      <c r="M14" s="27">
        <v>9</v>
      </c>
      <c r="N14" s="27">
        <v>2</v>
      </c>
      <c r="O14" s="27"/>
      <c r="P14" s="28">
        <f t="shared" si="2"/>
        <v>204</v>
      </c>
      <c r="Q14" s="29">
        <f t="shared" si="3"/>
        <v>23</v>
      </c>
      <c r="R14" s="36">
        <v>17.809999999999999</v>
      </c>
      <c r="S14" s="36"/>
      <c r="T14" s="36"/>
      <c r="U14" s="37"/>
      <c r="V14" s="38">
        <f t="shared" si="4"/>
        <v>82.19</v>
      </c>
      <c r="W14" s="110">
        <f t="shared" si="5"/>
        <v>494.19</v>
      </c>
    </row>
    <row r="15" spans="1:23" s="3" customFormat="1" ht="22.5" customHeight="1" x14ac:dyDescent="0.25">
      <c r="A15" s="137">
        <v>92</v>
      </c>
      <c r="B15" s="138" t="s">
        <v>96</v>
      </c>
      <c r="C15" s="139" t="s">
        <v>129</v>
      </c>
      <c r="D15" s="139" t="s">
        <v>139</v>
      </c>
      <c r="E15" s="139"/>
      <c r="F15" s="18"/>
      <c r="G15" s="18">
        <v>7</v>
      </c>
      <c r="H15" s="18">
        <v>10</v>
      </c>
      <c r="I15" s="18">
        <v>7</v>
      </c>
      <c r="J15" s="19">
        <f t="shared" si="0"/>
        <v>144</v>
      </c>
      <c r="K15" s="20">
        <f t="shared" si="1"/>
        <v>24</v>
      </c>
      <c r="L15" s="27">
        <v>15</v>
      </c>
      <c r="M15" s="27">
        <v>9</v>
      </c>
      <c r="N15" s="27">
        <v>5</v>
      </c>
      <c r="O15" s="27"/>
      <c r="P15" s="28">
        <f t="shared" si="2"/>
        <v>252</v>
      </c>
      <c r="Q15" s="29">
        <f t="shared" si="3"/>
        <v>29</v>
      </c>
      <c r="R15" s="36">
        <v>25.35</v>
      </c>
      <c r="S15" s="36"/>
      <c r="T15" s="36"/>
      <c r="U15" s="37"/>
      <c r="V15" s="38">
        <f t="shared" si="4"/>
        <v>74.650000000000006</v>
      </c>
      <c r="W15" s="110">
        <f t="shared" si="5"/>
        <v>470.65</v>
      </c>
    </row>
    <row r="16" spans="1:23" s="3" customFormat="1" ht="22.5" customHeight="1" thickBot="1" x14ac:dyDescent="0.3">
      <c r="A16" s="140">
        <v>40</v>
      </c>
      <c r="B16" s="141" t="s">
        <v>46</v>
      </c>
      <c r="C16" s="142" t="s">
        <v>129</v>
      </c>
      <c r="D16" s="142" t="s">
        <v>139</v>
      </c>
      <c r="E16" s="142"/>
      <c r="F16" s="114">
        <v>1</v>
      </c>
      <c r="G16" s="114">
        <v>2</v>
      </c>
      <c r="H16" s="114">
        <v>4</v>
      </c>
      <c r="I16" s="114">
        <v>15</v>
      </c>
      <c r="J16" s="66">
        <f t="shared" si="0"/>
        <v>110</v>
      </c>
      <c r="K16" s="115">
        <f t="shared" si="1"/>
        <v>22</v>
      </c>
      <c r="L16" s="116">
        <v>8</v>
      </c>
      <c r="M16" s="116">
        <v>5</v>
      </c>
      <c r="N16" s="116">
        <v>4</v>
      </c>
      <c r="O16" s="116"/>
      <c r="P16" s="67">
        <f t="shared" si="2"/>
        <v>144</v>
      </c>
      <c r="Q16" s="117">
        <f t="shared" si="3"/>
        <v>17</v>
      </c>
      <c r="R16" s="118">
        <v>23.63</v>
      </c>
      <c r="S16" s="118"/>
      <c r="T16" s="118"/>
      <c r="U16" s="119"/>
      <c r="V16" s="120">
        <f t="shared" si="4"/>
        <v>76.37</v>
      </c>
      <c r="W16" s="121">
        <f t="shared" si="5"/>
        <v>330.37</v>
      </c>
    </row>
    <row r="17" spans="1:23" s="3" customFormat="1" ht="22.5" customHeight="1" thickTop="1" x14ac:dyDescent="0.25">
      <c r="A17" s="107">
        <v>88</v>
      </c>
      <c r="B17" s="8" t="s">
        <v>92</v>
      </c>
      <c r="C17" s="9" t="s">
        <v>129</v>
      </c>
      <c r="D17" s="9" t="s">
        <v>178</v>
      </c>
      <c r="E17" s="9"/>
      <c r="F17" s="15">
        <v>21</v>
      </c>
      <c r="G17" s="15">
        <v>12</v>
      </c>
      <c r="H17" s="15">
        <v>2</v>
      </c>
      <c r="I17" s="15">
        <v>1</v>
      </c>
      <c r="J17" s="17">
        <f t="shared" si="0"/>
        <v>322</v>
      </c>
      <c r="K17" s="17">
        <f t="shared" si="1"/>
        <v>36</v>
      </c>
      <c r="L17" s="24">
        <v>32</v>
      </c>
      <c r="M17" s="24">
        <v>1</v>
      </c>
      <c r="N17" s="24"/>
      <c r="O17" s="24"/>
      <c r="P17" s="25">
        <f t="shared" si="2"/>
        <v>328</v>
      </c>
      <c r="Q17" s="25">
        <f t="shared" si="3"/>
        <v>33</v>
      </c>
      <c r="R17" s="33">
        <v>11.49</v>
      </c>
      <c r="S17" s="33"/>
      <c r="T17" s="33"/>
      <c r="U17" s="34"/>
      <c r="V17" s="47">
        <f t="shared" si="4"/>
        <v>88.51</v>
      </c>
      <c r="W17" s="108">
        <f t="shared" si="5"/>
        <v>738.51</v>
      </c>
    </row>
    <row r="18" spans="1:23" s="3" customFormat="1" ht="22.5" customHeight="1" thickBot="1" x14ac:dyDescent="0.3">
      <c r="A18" s="111">
        <v>100</v>
      </c>
      <c r="B18" s="112" t="s">
        <v>104</v>
      </c>
      <c r="C18" s="113" t="s">
        <v>129</v>
      </c>
      <c r="D18" s="113" t="s">
        <v>178</v>
      </c>
      <c r="E18" s="113"/>
      <c r="F18" s="114">
        <v>10</v>
      </c>
      <c r="G18" s="114">
        <v>10</v>
      </c>
      <c r="H18" s="114">
        <v>7</v>
      </c>
      <c r="I18" s="114">
        <v>3</v>
      </c>
      <c r="J18" s="66">
        <f t="shared" si="0"/>
        <v>234</v>
      </c>
      <c r="K18" s="115">
        <f t="shared" si="1"/>
        <v>30</v>
      </c>
      <c r="L18" s="116">
        <v>27</v>
      </c>
      <c r="M18" s="116">
        <v>4</v>
      </c>
      <c r="N18" s="116">
        <v>1</v>
      </c>
      <c r="O18" s="116"/>
      <c r="P18" s="67">
        <f t="shared" si="2"/>
        <v>308</v>
      </c>
      <c r="Q18" s="117">
        <f t="shared" si="3"/>
        <v>32</v>
      </c>
      <c r="R18" s="118">
        <v>8.18</v>
      </c>
      <c r="S18" s="118"/>
      <c r="T18" s="118"/>
      <c r="U18" s="119"/>
      <c r="V18" s="120">
        <f t="shared" si="4"/>
        <v>91.82</v>
      </c>
      <c r="W18" s="121">
        <f t="shared" si="5"/>
        <v>633.81999999999994</v>
      </c>
    </row>
    <row r="19" spans="1:23" s="3" customFormat="1" ht="22.5" customHeight="1" thickTop="1" x14ac:dyDescent="0.25">
      <c r="A19" s="134">
        <v>90</v>
      </c>
      <c r="B19" s="135" t="s">
        <v>94</v>
      </c>
      <c r="C19" s="136" t="s">
        <v>129</v>
      </c>
      <c r="D19" s="136" t="s">
        <v>127</v>
      </c>
      <c r="E19" s="136"/>
      <c r="F19" s="15">
        <v>15</v>
      </c>
      <c r="G19" s="15">
        <v>19</v>
      </c>
      <c r="H19" s="15">
        <v>2</v>
      </c>
      <c r="I19" s="15"/>
      <c r="J19" s="17">
        <f t="shared" si="0"/>
        <v>314</v>
      </c>
      <c r="K19" s="17">
        <f t="shared" si="1"/>
        <v>36</v>
      </c>
      <c r="L19" s="24">
        <v>31</v>
      </c>
      <c r="M19" s="24">
        <v>5</v>
      </c>
      <c r="N19" s="24"/>
      <c r="O19" s="24"/>
      <c r="P19" s="25">
        <f t="shared" si="2"/>
        <v>350</v>
      </c>
      <c r="Q19" s="25">
        <f t="shared" si="3"/>
        <v>36</v>
      </c>
      <c r="R19" s="33">
        <v>18.079999999999998</v>
      </c>
      <c r="S19" s="33"/>
      <c r="T19" s="33"/>
      <c r="U19" s="34"/>
      <c r="V19" s="47">
        <f t="shared" si="4"/>
        <v>81.92</v>
      </c>
      <c r="W19" s="108">
        <f t="shared" si="5"/>
        <v>745.92</v>
      </c>
    </row>
    <row r="20" spans="1:23" s="3" customFormat="1" ht="22.5" customHeight="1" x14ac:dyDescent="0.25">
      <c r="A20" s="137">
        <v>24</v>
      </c>
      <c r="B20" s="138" t="s">
        <v>32</v>
      </c>
      <c r="C20" s="139" t="s">
        <v>129</v>
      </c>
      <c r="D20" s="139" t="s">
        <v>127</v>
      </c>
      <c r="E20" s="139"/>
      <c r="F20" s="18">
        <v>11</v>
      </c>
      <c r="G20" s="18">
        <v>12</v>
      </c>
      <c r="H20" s="18">
        <v>8</v>
      </c>
      <c r="I20" s="18">
        <v>5</v>
      </c>
      <c r="J20" s="19">
        <f t="shared" si="0"/>
        <v>274</v>
      </c>
      <c r="K20" s="20">
        <f t="shared" si="1"/>
        <v>36</v>
      </c>
      <c r="L20" s="27">
        <v>26</v>
      </c>
      <c r="M20" s="27">
        <v>5</v>
      </c>
      <c r="N20" s="27">
        <v>4</v>
      </c>
      <c r="O20" s="27"/>
      <c r="P20" s="28">
        <f t="shared" si="2"/>
        <v>324</v>
      </c>
      <c r="Q20" s="29">
        <f t="shared" si="3"/>
        <v>35</v>
      </c>
      <c r="R20" s="36">
        <v>13.89</v>
      </c>
      <c r="S20" s="36"/>
      <c r="T20" s="36"/>
      <c r="U20" s="37"/>
      <c r="V20" s="38">
        <f t="shared" si="4"/>
        <v>86.11</v>
      </c>
      <c r="W20" s="110">
        <f t="shared" si="5"/>
        <v>684.11</v>
      </c>
    </row>
    <row r="21" spans="1:23" s="3" customFormat="1" ht="22.5" customHeight="1" thickBot="1" x14ac:dyDescent="0.3">
      <c r="A21" s="140">
        <v>33</v>
      </c>
      <c r="B21" s="141" t="s">
        <v>39</v>
      </c>
      <c r="C21" s="142" t="s">
        <v>129</v>
      </c>
      <c r="D21" s="142" t="s">
        <v>127</v>
      </c>
      <c r="E21" s="142"/>
      <c r="F21" s="114">
        <v>8</v>
      </c>
      <c r="G21" s="114">
        <v>13</v>
      </c>
      <c r="H21" s="114">
        <v>12</v>
      </c>
      <c r="I21" s="114">
        <v>3</v>
      </c>
      <c r="J21" s="66">
        <f t="shared" si="0"/>
        <v>268</v>
      </c>
      <c r="K21" s="115">
        <f t="shared" si="1"/>
        <v>36</v>
      </c>
      <c r="L21" s="116">
        <v>19</v>
      </c>
      <c r="M21" s="116">
        <v>12</v>
      </c>
      <c r="N21" s="116">
        <v>3</v>
      </c>
      <c r="O21" s="116"/>
      <c r="P21" s="67">
        <f t="shared" si="2"/>
        <v>304</v>
      </c>
      <c r="Q21" s="117">
        <f t="shared" si="3"/>
        <v>34</v>
      </c>
      <c r="R21" s="118">
        <v>23.7</v>
      </c>
      <c r="S21" s="118"/>
      <c r="T21" s="118"/>
      <c r="U21" s="119"/>
      <c r="V21" s="120">
        <f t="shared" si="4"/>
        <v>76.3</v>
      </c>
      <c r="W21" s="121">
        <f t="shared" si="5"/>
        <v>648.29999999999995</v>
      </c>
    </row>
    <row r="22" spans="1:23" s="3" customFormat="1" ht="22.5" customHeight="1" thickTop="1" x14ac:dyDescent="0.25">
      <c r="A22" s="107">
        <v>141</v>
      </c>
      <c r="B22" s="122" t="s">
        <v>166</v>
      </c>
      <c r="C22" s="9" t="s">
        <v>129</v>
      </c>
      <c r="D22" s="9" t="s">
        <v>138</v>
      </c>
      <c r="E22" s="9"/>
      <c r="F22" s="15">
        <v>16</v>
      </c>
      <c r="G22" s="15">
        <v>13</v>
      </c>
      <c r="H22" s="15">
        <v>5</v>
      </c>
      <c r="I22" s="15">
        <v>2</v>
      </c>
      <c r="J22" s="17">
        <f t="shared" si="0"/>
        <v>302</v>
      </c>
      <c r="K22" s="17">
        <f t="shared" si="1"/>
        <v>36</v>
      </c>
      <c r="L22" s="24">
        <v>29</v>
      </c>
      <c r="M22" s="24">
        <v>7</v>
      </c>
      <c r="N22" s="24"/>
      <c r="O22" s="24"/>
      <c r="P22" s="25">
        <f t="shared" si="2"/>
        <v>346</v>
      </c>
      <c r="Q22" s="25">
        <f t="shared" si="3"/>
        <v>36</v>
      </c>
      <c r="R22" s="33">
        <v>7.2</v>
      </c>
      <c r="S22" s="33"/>
      <c r="T22" s="33"/>
      <c r="U22" s="34"/>
      <c r="V22" s="47">
        <f t="shared" si="4"/>
        <v>92.8</v>
      </c>
      <c r="W22" s="108">
        <f t="shared" si="5"/>
        <v>740.8</v>
      </c>
    </row>
    <row r="23" spans="1:23" s="3" customFormat="1" ht="22.5" customHeight="1" x14ac:dyDescent="0.25">
      <c r="A23" s="109">
        <v>93</v>
      </c>
      <c r="B23" s="4" t="s">
        <v>97</v>
      </c>
      <c r="C23" s="5" t="s">
        <v>129</v>
      </c>
      <c r="D23" s="5" t="s">
        <v>138</v>
      </c>
      <c r="E23" s="5"/>
      <c r="F23" s="18">
        <v>10</v>
      </c>
      <c r="G23" s="18">
        <v>15</v>
      </c>
      <c r="H23" s="18">
        <v>8</v>
      </c>
      <c r="I23" s="18">
        <v>3</v>
      </c>
      <c r="J23" s="19">
        <f t="shared" si="0"/>
        <v>280</v>
      </c>
      <c r="K23" s="20">
        <f t="shared" si="1"/>
        <v>36</v>
      </c>
      <c r="L23" s="27">
        <v>31</v>
      </c>
      <c r="M23" s="27">
        <v>3</v>
      </c>
      <c r="N23" s="27"/>
      <c r="O23" s="27"/>
      <c r="P23" s="28">
        <f t="shared" si="2"/>
        <v>334</v>
      </c>
      <c r="Q23" s="29">
        <f t="shared" si="3"/>
        <v>34</v>
      </c>
      <c r="R23" s="36">
        <v>7.26</v>
      </c>
      <c r="S23" s="36"/>
      <c r="T23" s="36"/>
      <c r="U23" s="37"/>
      <c r="V23" s="38">
        <f t="shared" si="4"/>
        <v>92.74</v>
      </c>
      <c r="W23" s="110">
        <f t="shared" si="5"/>
        <v>706.74</v>
      </c>
    </row>
    <row r="24" spans="1:23" s="3" customFormat="1" ht="22.5" customHeight="1" x14ac:dyDescent="0.25">
      <c r="A24" s="109">
        <v>18</v>
      </c>
      <c r="B24" s="4" t="s">
        <v>27</v>
      </c>
      <c r="C24" s="5" t="s">
        <v>129</v>
      </c>
      <c r="D24" s="5" t="s">
        <v>138</v>
      </c>
      <c r="E24" s="5"/>
      <c r="F24" s="18">
        <v>7</v>
      </c>
      <c r="G24" s="18">
        <v>20</v>
      </c>
      <c r="H24" s="18">
        <v>4</v>
      </c>
      <c r="I24" s="18">
        <v>5</v>
      </c>
      <c r="J24" s="19">
        <f t="shared" si="0"/>
        <v>274</v>
      </c>
      <c r="K24" s="20">
        <f t="shared" si="1"/>
        <v>36</v>
      </c>
      <c r="L24" s="27">
        <v>29</v>
      </c>
      <c r="M24" s="27">
        <v>7</v>
      </c>
      <c r="N24" s="27"/>
      <c r="O24" s="27"/>
      <c r="P24" s="28">
        <f t="shared" si="2"/>
        <v>346</v>
      </c>
      <c r="Q24" s="29">
        <f t="shared" si="3"/>
        <v>36</v>
      </c>
      <c r="R24" s="36">
        <v>14.37</v>
      </c>
      <c r="S24" s="36"/>
      <c r="T24" s="36"/>
      <c r="U24" s="37"/>
      <c r="V24" s="38">
        <f t="shared" si="4"/>
        <v>85.63</v>
      </c>
      <c r="W24" s="110">
        <f t="shared" si="5"/>
        <v>705.63</v>
      </c>
    </row>
    <row r="25" spans="1:23" s="3" customFormat="1" ht="22.5" customHeight="1" x14ac:dyDescent="0.25">
      <c r="A25" s="109">
        <v>135</v>
      </c>
      <c r="B25" s="4" t="s">
        <v>160</v>
      </c>
      <c r="C25" s="5" t="s">
        <v>129</v>
      </c>
      <c r="D25" s="5" t="s">
        <v>138</v>
      </c>
      <c r="E25" s="5"/>
      <c r="F25" s="18">
        <v>10</v>
      </c>
      <c r="G25" s="18">
        <v>15</v>
      </c>
      <c r="H25" s="18">
        <v>8</v>
      </c>
      <c r="I25" s="18">
        <v>2</v>
      </c>
      <c r="J25" s="19">
        <f t="shared" si="0"/>
        <v>276</v>
      </c>
      <c r="K25" s="20">
        <f t="shared" si="1"/>
        <v>35</v>
      </c>
      <c r="L25" s="27">
        <v>25</v>
      </c>
      <c r="M25" s="27">
        <v>8</v>
      </c>
      <c r="N25" s="27"/>
      <c r="O25" s="27"/>
      <c r="P25" s="28">
        <f t="shared" si="2"/>
        <v>314</v>
      </c>
      <c r="Q25" s="29">
        <f t="shared" si="3"/>
        <v>33</v>
      </c>
      <c r="R25" s="36">
        <v>10.32</v>
      </c>
      <c r="S25" s="36"/>
      <c r="T25" s="36"/>
      <c r="U25" s="37"/>
      <c r="V25" s="38">
        <f t="shared" si="4"/>
        <v>89.68</v>
      </c>
      <c r="W25" s="110">
        <f t="shared" si="5"/>
        <v>679.68000000000006</v>
      </c>
    </row>
    <row r="26" spans="1:23" s="3" customFormat="1" ht="22.5" customHeight="1" x14ac:dyDescent="0.25">
      <c r="A26" s="109">
        <v>133</v>
      </c>
      <c r="B26" s="4" t="s">
        <v>157</v>
      </c>
      <c r="C26" s="5" t="s">
        <v>129</v>
      </c>
      <c r="D26" s="5" t="s">
        <v>138</v>
      </c>
      <c r="E26" s="5"/>
      <c r="F26" s="18">
        <v>10</v>
      </c>
      <c r="G26" s="18">
        <v>10</v>
      </c>
      <c r="H26" s="18">
        <v>9</v>
      </c>
      <c r="I26" s="18">
        <v>7</v>
      </c>
      <c r="J26" s="19">
        <f t="shared" si="0"/>
        <v>262</v>
      </c>
      <c r="K26" s="20">
        <f t="shared" si="1"/>
        <v>36</v>
      </c>
      <c r="L26" s="27">
        <v>19</v>
      </c>
      <c r="M26" s="27">
        <v>15</v>
      </c>
      <c r="N26" s="27">
        <v>2</v>
      </c>
      <c r="O26" s="27"/>
      <c r="P26" s="28">
        <f t="shared" si="2"/>
        <v>322</v>
      </c>
      <c r="Q26" s="29">
        <f t="shared" si="3"/>
        <v>36</v>
      </c>
      <c r="R26" s="36">
        <v>11.52</v>
      </c>
      <c r="S26" s="36"/>
      <c r="T26" s="36"/>
      <c r="U26" s="37"/>
      <c r="V26" s="38">
        <f t="shared" si="4"/>
        <v>88.48</v>
      </c>
      <c r="W26" s="110">
        <f t="shared" si="5"/>
        <v>672.48</v>
      </c>
    </row>
    <row r="27" spans="1:23" s="3" customFormat="1" ht="22.5" customHeight="1" x14ac:dyDescent="0.25">
      <c r="A27" s="109">
        <v>89</v>
      </c>
      <c r="B27" s="4" t="s">
        <v>93</v>
      </c>
      <c r="C27" s="5" t="s">
        <v>129</v>
      </c>
      <c r="D27" s="5" t="s">
        <v>138</v>
      </c>
      <c r="E27" s="5"/>
      <c r="F27" s="18">
        <v>9</v>
      </c>
      <c r="G27" s="18">
        <v>11</v>
      </c>
      <c r="H27" s="18">
        <v>10</v>
      </c>
      <c r="I27" s="18">
        <v>4</v>
      </c>
      <c r="J27" s="19">
        <f t="shared" si="0"/>
        <v>254</v>
      </c>
      <c r="K27" s="20">
        <f t="shared" si="1"/>
        <v>34</v>
      </c>
      <c r="L27" s="27">
        <v>24</v>
      </c>
      <c r="M27" s="27">
        <v>9</v>
      </c>
      <c r="N27" s="27">
        <v>1</v>
      </c>
      <c r="O27" s="27"/>
      <c r="P27" s="28">
        <f t="shared" si="2"/>
        <v>318</v>
      </c>
      <c r="Q27" s="29">
        <f t="shared" si="3"/>
        <v>34</v>
      </c>
      <c r="R27" s="36">
        <v>15.89</v>
      </c>
      <c r="S27" s="36"/>
      <c r="T27" s="36"/>
      <c r="U27" s="37"/>
      <c r="V27" s="38">
        <f t="shared" si="4"/>
        <v>84.11</v>
      </c>
      <c r="W27" s="110">
        <f t="shared" si="5"/>
        <v>656.11</v>
      </c>
    </row>
    <row r="28" spans="1:23" s="3" customFormat="1" ht="22.5" customHeight="1" x14ac:dyDescent="0.25">
      <c r="A28" s="109">
        <v>73</v>
      </c>
      <c r="B28" s="4" t="s">
        <v>79</v>
      </c>
      <c r="C28" s="5" t="s">
        <v>129</v>
      </c>
      <c r="D28" s="5" t="s">
        <v>138</v>
      </c>
      <c r="E28" s="5"/>
      <c r="F28" s="18">
        <v>11</v>
      </c>
      <c r="G28" s="18">
        <v>4</v>
      </c>
      <c r="H28" s="18">
        <v>10</v>
      </c>
      <c r="I28" s="18">
        <v>8</v>
      </c>
      <c r="J28" s="19">
        <f t="shared" si="0"/>
        <v>234</v>
      </c>
      <c r="K28" s="20">
        <f t="shared" si="1"/>
        <v>33</v>
      </c>
      <c r="L28" s="27">
        <v>24</v>
      </c>
      <c r="M28" s="27">
        <v>11</v>
      </c>
      <c r="N28" s="27">
        <v>1</v>
      </c>
      <c r="O28" s="27"/>
      <c r="P28" s="28">
        <f t="shared" si="2"/>
        <v>334</v>
      </c>
      <c r="Q28" s="29">
        <f t="shared" si="3"/>
        <v>36</v>
      </c>
      <c r="R28" s="36">
        <v>17.16</v>
      </c>
      <c r="S28" s="36"/>
      <c r="T28" s="36"/>
      <c r="U28" s="37"/>
      <c r="V28" s="38">
        <f t="shared" si="4"/>
        <v>82.84</v>
      </c>
      <c r="W28" s="110">
        <f t="shared" si="5"/>
        <v>650.84</v>
      </c>
    </row>
    <row r="29" spans="1:23" s="3" customFormat="1" ht="22.5" customHeight="1" x14ac:dyDescent="0.25">
      <c r="A29" s="109">
        <v>131</v>
      </c>
      <c r="B29" s="4" t="s">
        <v>155</v>
      </c>
      <c r="C29" s="5" t="s">
        <v>129</v>
      </c>
      <c r="D29" s="5" t="s">
        <v>138</v>
      </c>
      <c r="E29" s="5"/>
      <c r="F29" s="18">
        <v>26</v>
      </c>
      <c r="G29" s="18">
        <v>9</v>
      </c>
      <c r="H29" s="18"/>
      <c r="I29" s="18"/>
      <c r="J29" s="19">
        <f t="shared" si="0"/>
        <v>332</v>
      </c>
      <c r="K29" s="20">
        <f t="shared" si="1"/>
        <v>35</v>
      </c>
      <c r="L29" s="27">
        <v>2</v>
      </c>
      <c r="M29" s="27">
        <v>11</v>
      </c>
      <c r="N29" s="27">
        <v>10</v>
      </c>
      <c r="O29" s="27">
        <v>12</v>
      </c>
      <c r="P29" s="28">
        <f t="shared" si="2"/>
        <v>216</v>
      </c>
      <c r="Q29" s="29">
        <f t="shared" si="3"/>
        <v>35</v>
      </c>
      <c r="R29" s="36">
        <v>10.67</v>
      </c>
      <c r="S29" s="36"/>
      <c r="T29" s="36"/>
      <c r="U29" s="37"/>
      <c r="V29" s="38">
        <f t="shared" si="4"/>
        <v>89.33</v>
      </c>
      <c r="W29" s="110">
        <f t="shared" si="5"/>
        <v>637.33000000000004</v>
      </c>
    </row>
    <row r="30" spans="1:23" s="3" customFormat="1" ht="22.5" customHeight="1" x14ac:dyDescent="0.25">
      <c r="A30" s="109">
        <v>91</v>
      </c>
      <c r="B30" s="4" t="s">
        <v>95</v>
      </c>
      <c r="C30" s="5" t="s">
        <v>129</v>
      </c>
      <c r="D30" s="5" t="s">
        <v>138</v>
      </c>
      <c r="E30" s="5"/>
      <c r="F30" s="18">
        <v>6</v>
      </c>
      <c r="G30" s="18">
        <v>8</v>
      </c>
      <c r="H30" s="18">
        <v>10</v>
      </c>
      <c r="I30" s="18">
        <v>9</v>
      </c>
      <c r="J30" s="19">
        <f t="shared" si="0"/>
        <v>220</v>
      </c>
      <c r="K30" s="20">
        <f t="shared" si="1"/>
        <v>33</v>
      </c>
      <c r="L30" s="27">
        <v>24</v>
      </c>
      <c r="M30" s="27">
        <v>7</v>
      </c>
      <c r="N30" s="27">
        <v>3</v>
      </c>
      <c r="O30" s="27"/>
      <c r="P30" s="28">
        <f t="shared" si="2"/>
        <v>314</v>
      </c>
      <c r="Q30" s="29">
        <f t="shared" si="3"/>
        <v>34</v>
      </c>
      <c r="R30" s="36">
        <v>18.940000000000001</v>
      </c>
      <c r="S30" s="36"/>
      <c r="T30" s="36"/>
      <c r="U30" s="37"/>
      <c r="V30" s="38">
        <f t="shared" si="4"/>
        <v>81.06</v>
      </c>
      <c r="W30" s="110">
        <f t="shared" si="5"/>
        <v>615.05999999999995</v>
      </c>
    </row>
    <row r="31" spans="1:23" s="3" customFormat="1" ht="22.5" customHeight="1" x14ac:dyDescent="0.25">
      <c r="A31" s="109">
        <v>81</v>
      </c>
      <c r="B31" s="4" t="s">
        <v>87</v>
      </c>
      <c r="C31" s="5" t="s">
        <v>129</v>
      </c>
      <c r="D31" s="5" t="s">
        <v>138</v>
      </c>
      <c r="E31" s="5"/>
      <c r="F31" s="18">
        <v>6</v>
      </c>
      <c r="G31" s="18">
        <v>20</v>
      </c>
      <c r="H31" s="18">
        <v>4</v>
      </c>
      <c r="I31" s="18">
        <v>3</v>
      </c>
      <c r="J31" s="19">
        <f t="shared" si="0"/>
        <v>256</v>
      </c>
      <c r="K31" s="20">
        <f t="shared" si="1"/>
        <v>33</v>
      </c>
      <c r="L31" s="27">
        <v>12</v>
      </c>
      <c r="M31" s="27">
        <v>16</v>
      </c>
      <c r="N31" s="27">
        <v>3</v>
      </c>
      <c r="O31" s="27"/>
      <c r="P31" s="28">
        <f t="shared" si="2"/>
        <v>266</v>
      </c>
      <c r="Q31" s="29">
        <f t="shared" si="3"/>
        <v>31</v>
      </c>
      <c r="R31" s="36">
        <v>14.68</v>
      </c>
      <c r="S31" s="36"/>
      <c r="T31" s="36"/>
      <c r="U31" s="37"/>
      <c r="V31" s="38">
        <f t="shared" si="4"/>
        <v>85.32</v>
      </c>
      <c r="W31" s="110">
        <f t="shared" si="5"/>
        <v>607.31999999999994</v>
      </c>
    </row>
    <row r="32" spans="1:23" s="3" customFormat="1" ht="22.5" customHeight="1" x14ac:dyDescent="0.25">
      <c r="A32" s="109">
        <v>58</v>
      </c>
      <c r="B32" s="4" t="s">
        <v>64</v>
      </c>
      <c r="C32" s="5" t="s">
        <v>129</v>
      </c>
      <c r="D32" s="5" t="s">
        <v>138</v>
      </c>
      <c r="E32" s="5"/>
      <c r="F32" s="18">
        <v>4</v>
      </c>
      <c r="G32" s="18">
        <v>7</v>
      </c>
      <c r="H32" s="18">
        <v>13</v>
      </c>
      <c r="I32" s="18">
        <v>11</v>
      </c>
      <c r="J32" s="19">
        <f t="shared" si="0"/>
        <v>218</v>
      </c>
      <c r="K32" s="20">
        <f t="shared" si="1"/>
        <v>35</v>
      </c>
      <c r="L32" s="27">
        <v>12</v>
      </c>
      <c r="M32" s="27">
        <v>22</v>
      </c>
      <c r="N32" s="27">
        <v>1</v>
      </c>
      <c r="O32" s="27"/>
      <c r="P32" s="28">
        <f t="shared" si="2"/>
        <v>302</v>
      </c>
      <c r="Q32" s="29">
        <f t="shared" si="3"/>
        <v>35</v>
      </c>
      <c r="R32" s="36">
        <v>21.7</v>
      </c>
      <c r="S32" s="36"/>
      <c r="T32" s="36"/>
      <c r="U32" s="37"/>
      <c r="V32" s="38">
        <f t="shared" si="4"/>
        <v>78.3</v>
      </c>
      <c r="W32" s="110">
        <f t="shared" si="5"/>
        <v>598.29999999999995</v>
      </c>
    </row>
    <row r="33" spans="1:23" s="3" customFormat="1" ht="22.5" customHeight="1" x14ac:dyDescent="0.25">
      <c r="A33" s="109">
        <v>83</v>
      </c>
      <c r="B33" s="4" t="s">
        <v>34</v>
      </c>
      <c r="C33" s="5" t="s">
        <v>129</v>
      </c>
      <c r="D33" s="5" t="s">
        <v>138</v>
      </c>
      <c r="E33" s="5"/>
      <c r="F33" s="18">
        <v>4</v>
      </c>
      <c r="G33" s="18">
        <v>12</v>
      </c>
      <c r="H33" s="18">
        <v>4</v>
      </c>
      <c r="I33" s="18">
        <v>13</v>
      </c>
      <c r="J33" s="19">
        <f t="shared" ref="J33:J63" si="6">SUM(F33*10)+(G33*8)+(H33*6)+(I33*4)</f>
        <v>212</v>
      </c>
      <c r="K33" s="20">
        <f t="shared" ref="K33:K63" si="7">SUM(F33:I33)</f>
        <v>33</v>
      </c>
      <c r="L33" s="27">
        <v>24</v>
      </c>
      <c r="M33" s="27">
        <v>3</v>
      </c>
      <c r="N33" s="27">
        <v>1</v>
      </c>
      <c r="O33" s="27"/>
      <c r="P33" s="28">
        <f t="shared" ref="P33:P63" si="8">SUM(L33*10)+(M33*8)+(N33*6)+(O33*4)</f>
        <v>270</v>
      </c>
      <c r="Q33" s="29">
        <f t="shared" ref="Q33:Q63" si="9">SUM(L33:O33)</f>
        <v>28</v>
      </c>
      <c r="R33" s="36">
        <v>14.3</v>
      </c>
      <c r="S33" s="36"/>
      <c r="T33" s="36"/>
      <c r="U33" s="37"/>
      <c r="V33" s="38">
        <f t="shared" ref="V33:V63" si="10">100-(R33+S33+(U33*10)+(T33*20))</f>
        <v>85.7</v>
      </c>
      <c r="W33" s="110">
        <f t="shared" ref="W33:W63" si="11">J33+P33+V33</f>
        <v>567.70000000000005</v>
      </c>
    </row>
    <row r="34" spans="1:23" s="3" customFormat="1" ht="22.5" customHeight="1" x14ac:dyDescent="0.25">
      <c r="A34" s="109">
        <v>106</v>
      </c>
      <c r="B34" s="4" t="s">
        <v>110</v>
      </c>
      <c r="C34" s="5" t="s">
        <v>129</v>
      </c>
      <c r="D34" s="5" t="s">
        <v>138</v>
      </c>
      <c r="E34" s="5"/>
      <c r="F34" s="18">
        <v>3</v>
      </c>
      <c r="G34" s="18">
        <v>7</v>
      </c>
      <c r="H34" s="18">
        <v>8</v>
      </c>
      <c r="I34" s="18">
        <v>15</v>
      </c>
      <c r="J34" s="19">
        <f t="shared" si="6"/>
        <v>194</v>
      </c>
      <c r="K34" s="20">
        <f t="shared" si="7"/>
        <v>33</v>
      </c>
      <c r="L34" s="27">
        <v>22</v>
      </c>
      <c r="M34" s="27">
        <v>8</v>
      </c>
      <c r="N34" s="27">
        <v>1</v>
      </c>
      <c r="O34" s="27"/>
      <c r="P34" s="28">
        <f t="shared" si="8"/>
        <v>290</v>
      </c>
      <c r="Q34" s="29">
        <f t="shared" si="9"/>
        <v>31</v>
      </c>
      <c r="R34" s="36">
        <v>16.350000000000001</v>
      </c>
      <c r="S34" s="36"/>
      <c r="T34" s="36"/>
      <c r="U34" s="37"/>
      <c r="V34" s="38">
        <f t="shared" si="10"/>
        <v>83.65</v>
      </c>
      <c r="W34" s="110">
        <f t="shared" si="11"/>
        <v>567.65</v>
      </c>
    </row>
    <row r="35" spans="1:23" s="3" customFormat="1" ht="22.5" customHeight="1" x14ac:dyDescent="0.25">
      <c r="A35" s="109">
        <v>130</v>
      </c>
      <c r="B35" s="4" t="s">
        <v>154</v>
      </c>
      <c r="C35" s="5" t="s">
        <v>129</v>
      </c>
      <c r="D35" s="5" t="s">
        <v>138</v>
      </c>
      <c r="E35" s="5"/>
      <c r="F35" s="18">
        <v>5</v>
      </c>
      <c r="G35" s="18">
        <v>10</v>
      </c>
      <c r="H35" s="18">
        <v>5</v>
      </c>
      <c r="I35" s="18">
        <v>11</v>
      </c>
      <c r="J35" s="19">
        <f t="shared" si="6"/>
        <v>204</v>
      </c>
      <c r="K35" s="20">
        <f t="shared" si="7"/>
        <v>31</v>
      </c>
      <c r="L35" s="27">
        <v>20</v>
      </c>
      <c r="M35" s="27">
        <v>8</v>
      </c>
      <c r="N35" s="27">
        <v>2</v>
      </c>
      <c r="O35" s="27"/>
      <c r="P35" s="28">
        <f t="shared" si="8"/>
        <v>276</v>
      </c>
      <c r="Q35" s="29">
        <f t="shared" si="9"/>
        <v>30</v>
      </c>
      <c r="R35" s="36">
        <v>17.96</v>
      </c>
      <c r="S35" s="36"/>
      <c r="T35" s="36"/>
      <c r="U35" s="37"/>
      <c r="V35" s="38">
        <f t="shared" si="10"/>
        <v>82.039999999999992</v>
      </c>
      <c r="W35" s="110">
        <f t="shared" si="11"/>
        <v>562.04</v>
      </c>
    </row>
    <row r="36" spans="1:23" s="3" customFormat="1" ht="22.5" customHeight="1" x14ac:dyDescent="0.25">
      <c r="A36" s="109">
        <v>95</v>
      </c>
      <c r="B36" s="4" t="s">
        <v>99</v>
      </c>
      <c r="C36" s="5" t="s">
        <v>129</v>
      </c>
      <c r="D36" s="5" t="s">
        <v>138</v>
      </c>
      <c r="E36" s="5"/>
      <c r="F36" s="18">
        <v>9</v>
      </c>
      <c r="G36" s="18">
        <v>9</v>
      </c>
      <c r="H36" s="18">
        <v>11</v>
      </c>
      <c r="I36" s="18">
        <v>2</v>
      </c>
      <c r="J36" s="19">
        <f t="shared" si="6"/>
        <v>236</v>
      </c>
      <c r="K36" s="20">
        <f t="shared" si="7"/>
        <v>31</v>
      </c>
      <c r="L36" s="27">
        <v>20</v>
      </c>
      <c r="M36" s="27">
        <v>5</v>
      </c>
      <c r="N36" s="27"/>
      <c r="O36" s="27"/>
      <c r="P36" s="28">
        <f t="shared" si="8"/>
        <v>240</v>
      </c>
      <c r="Q36" s="29">
        <f t="shared" si="9"/>
        <v>25</v>
      </c>
      <c r="R36" s="36">
        <v>15.47</v>
      </c>
      <c r="S36" s="36"/>
      <c r="T36" s="36"/>
      <c r="U36" s="37"/>
      <c r="V36" s="38">
        <f t="shared" si="10"/>
        <v>84.53</v>
      </c>
      <c r="W36" s="110">
        <f t="shared" si="11"/>
        <v>560.53</v>
      </c>
    </row>
    <row r="37" spans="1:23" s="3" customFormat="1" ht="22.5" customHeight="1" x14ac:dyDescent="0.25">
      <c r="A37" s="109">
        <v>136</v>
      </c>
      <c r="B37" s="4" t="s">
        <v>161</v>
      </c>
      <c r="C37" s="5" t="s">
        <v>129</v>
      </c>
      <c r="D37" s="5" t="s">
        <v>138</v>
      </c>
      <c r="E37" s="5"/>
      <c r="F37" s="18">
        <v>7</v>
      </c>
      <c r="G37" s="18">
        <v>9</v>
      </c>
      <c r="H37" s="18">
        <v>8</v>
      </c>
      <c r="I37" s="18">
        <v>9</v>
      </c>
      <c r="J37" s="19">
        <f t="shared" si="6"/>
        <v>226</v>
      </c>
      <c r="K37" s="20">
        <f t="shared" si="7"/>
        <v>33</v>
      </c>
      <c r="L37" s="27">
        <v>20</v>
      </c>
      <c r="M37" s="27">
        <v>4</v>
      </c>
      <c r="N37" s="27">
        <v>2</v>
      </c>
      <c r="O37" s="27"/>
      <c r="P37" s="28">
        <f t="shared" si="8"/>
        <v>244</v>
      </c>
      <c r="Q37" s="29">
        <f t="shared" si="9"/>
        <v>26</v>
      </c>
      <c r="R37" s="36">
        <v>16.22</v>
      </c>
      <c r="S37" s="36"/>
      <c r="T37" s="36"/>
      <c r="U37" s="37"/>
      <c r="V37" s="38">
        <f t="shared" si="10"/>
        <v>83.78</v>
      </c>
      <c r="W37" s="110">
        <f t="shared" si="11"/>
        <v>553.78</v>
      </c>
    </row>
    <row r="38" spans="1:23" s="3" customFormat="1" ht="22.5" customHeight="1" x14ac:dyDescent="0.25">
      <c r="A38" s="109">
        <v>3</v>
      </c>
      <c r="B38" s="4" t="s">
        <v>131</v>
      </c>
      <c r="C38" s="5" t="s">
        <v>129</v>
      </c>
      <c r="D38" s="5" t="s">
        <v>138</v>
      </c>
      <c r="E38" s="5"/>
      <c r="F38" s="18">
        <v>3</v>
      </c>
      <c r="G38" s="18">
        <v>6</v>
      </c>
      <c r="H38" s="18">
        <v>8</v>
      </c>
      <c r="I38" s="18">
        <v>15</v>
      </c>
      <c r="J38" s="19">
        <f t="shared" si="6"/>
        <v>186</v>
      </c>
      <c r="K38" s="20">
        <f t="shared" si="7"/>
        <v>32</v>
      </c>
      <c r="L38" s="27">
        <v>16</v>
      </c>
      <c r="M38" s="27">
        <v>8</v>
      </c>
      <c r="N38" s="27">
        <v>6</v>
      </c>
      <c r="O38" s="27"/>
      <c r="P38" s="28">
        <f t="shared" si="8"/>
        <v>260</v>
      </c>
      <c r="Q38" s="29">
        <f t="shared" si="9"/>
        <v>30</v>
      </c>
      <c r="R38" s="36">
        <v>27.43</v>
      </c>
      <c r="S38" s="36"/>
      <c r="T38" s="36"/>
      <c r="U38" s="37"/>
      <c r="V38" s="38">
        <f t="shared" si="10"/>
        <v>72.569999999999993</v>
      </c>
      <c r="W38" s="110">
        <f t="shared" si="11"/>
        <v>518.56999999999994</v>
      </c>
    </row>
    <row r="39" spans="1:23" s="3" customFormat="1" ht="22.5" customHeight="1" x14ac:dyDescent="0.25">
      <c r="A39" s="109">
        <v>22</v>
      </c>
      <c r="B39" s="43" t="s">
        <v>171</v>
      </c>
      <c r="C39" s="40" t="s">
        <v>129</v>
      </c>
      <c r="D39" s="40" t="s">
        <v>138</v>
      </c>
      <c r="E39" s="5"/>
      <c r="F39" s="18">
        <v>6</v>
      </c>
      <c r="G39" s="18">
        <v>7</v>
      </c>
      <c r="H39" s="18">
        <v>12</v>
      </c>
      <c r="I39" s="18">
        <v>6</v>
      </c>
      <c r="J39" s="19">
        <f t="shared" si="6"/>
        <v>212</v>
      </c>
      <c r="K39" s="20">
        <f t="shared" si="7"/>
        <v>31</v>
      </c>
      <c r="L39" s="27">
        <v>13</v>
      </c>
      <c r="M39" s="27">
        <v>8</v>
      </c>
      <c r="N39" s="27">
        <v>6</v>
      </c>
      <c r="O39" s="27"/>
      <c r="P39" s="28">
        <f t="shared" si="8"/>
        <v>230</v>
      </c>
      <c r="Q39" s="29">
        <f t="shared" si="9"/>
        <v>27</v>
      </c>
      <c r="R39" s="36">
        <v>23.89</v>
      </c>
      <c r="S39" s="36"/>
      <c r="T39" s="36"/>
      <c r="U39" s="37"/>
      <c r="V39" s="38">
        <f t="shared" si="10"/>
        <v>76.11</v>
      </c>
      <c r="W39" s="110">
        <f t="shared" si="11"/>
        <v>518.11</v>
      </c>
    </row>
    <row r="40" spans="1:23" s="3" customFormat="1" ht="22.5" customHeight="1" x14ac:dyDescent="0.25">
      <c r="A40" s="109">
        <v>46</v>
      </c>
      <c r="B40" s="41" t="s">
        <v>52</v>
      </c>
      <c r="C40" s="42" t="s">
        <v>129</v>
      </c>
      <c r="D40" s="42" t="s">
        <v>138</v>
      </c>
      <c r="E40" s="42"/>
      <c r="F40" s="18">
        <v>4</v>
      </c>
      <c r="G40" s="18">
        <v>3</v>
      </c>
      <c r="H40" s="18">
        <v>10</v>
      </c>
      <c r="I40" s="18">
        <v>11</v>
      </c>
      <c r="J40" s="19">
        <f t="shared" si="6"/>
        <v>168</v>
      </c>
      <c r="K40" s="20">
        <f t="shared" si="7"/>
        <v>28</v>
      </c>
      <c r="L40" s="27">
        <v>15</v>
      </c>
      <c r="M40" s="27">
        <v>10</v>
      </c>
      <c r="N40" s="27">
        <v>5</v>
      </c>
      <c r="O40" s="27"/>
      <c r="P40" s="28">
        <f t="shared" si="8"/>
        <v>260</v>
      </c>
      <c r="Q40" s="29">
        <f t="shared" si="9"/>
        <v>30</v>
      </c>
      <c r="R40" s="36">
        <v>20.07</v>
      </c>
      <c r="S40" s="36"/>
      <c r="T40" s="36"/>
      <c r="U40" s="37"/>
      <c r="V40" s="38">
        <f t="shared" si="10"/>
        <v>79.930000000000007</v>
      </c>
      <c r="W40" s="110">
        <f t="shared" si="11"/>
        <v>507.93</v>
      </c>
    </row>
    <row r="41" spans="1:23" s="3" customFormat="1" ht="22.5" customHeight="1" x14ac:dyDescent="0.25">
      <c r="A41" s="109">
        <v>31</v>
      </c>
      <c r="B41" s="4" t="s">
        <v>37</v>
      </c>
      <c r="C41" s="5" t="s">
        <v>129</v>
      </c>
      <c r="D41" s="5" t="s">
        <v>138</v>
      </c>
      <c r="E41" s="5"/>
      <c r="F41" s="18">
        <v>4</v>
      </c>
      <c r="G41" s="18">
        <v>3</v>
      </c>
      <c r="H41" s="18">
        <v>11</v>
      </c>
      <c r="I41" s="18">
        <v>16</v>
      </c>
      <c r="J41" s="19">
        <f t="shared" si="6"/>
        <v>194</v>
      </c>
      <c r="K41" s="20">
        <f t="shared" si="7"/>
        <v>34</v>
      </c>
      <c r="L41" s="27">
        <v>20</v>
      </c>
      <c r="M41" s="27">
        <v>4</v>
      </c>
      <c r="N41" s="27"/>
      <c r="O41" s="27"/>
      <c r="P41" s="28">
        <f t="shared" si="8"/>
        <v>232</v>
      </c>
      <c r="Q41" s="29">
        <f t="shared" si="9"/>
        <v>24</v>
      </c>
      <c r="R41" s="36">
        <v>29.81</v>
      </c>
      <c r="S41" s="36"/>
      <c r="T41" s="36"/>
      <c r="U41" s="37"/>
      <c r="V41" s="38">
        <f t="shared" si="10"/>
        <v>70.19</v>
      </c>
      <c r="W41" s="110">
        <f t="shared" si="11"/>
        <v>496.19</v>
      </c>
    </row>
    <row r="42" spans="1:23" s="3" customFormat="1" ht="22.5" customHeight="1" x14ac:dyDescent="0.25">
      <c r="A42" s="109">
        <v>101</v>
      </c>
      <c r="B42" s="4" t="s">
        <v>105</v>
      </c>
      <c r="C42" s="5" t="s">
        <v>129</v>
      </c>
      <c r="D42" s="5" t="s">
        <v>138</v>
      </c>
      <c r="E42" s="5"/>
      <c r="F42" s="18">
        <v>2</v>
      </c>
      <c r="G42" s="18">
        <v>9</v>
      </c>
      <c r="H42" s="18">
        <v>9</v>
      </c>
      <c r="I42" s="18">
        <v>11</v>
      </c>
      <c r="J42" s="19">
        <f t="shared" si="6"/>
        <v>190</v>
      </c>
      <c r="K42" s="20">
        <f t="shared" si="7"/>
        <v>31</v>
      </c>
      <c r="L42" s="27">
        <v>6</v>
      </c>
      <c r="M42" s="27">
        <v>13</v>
      </c>
      <c r="N42" s="27">
        <v>9</v>
      </c>
      <c r="O42" s="27"/>
      <c r="P42" s="28">
        <f t="shared" si="8"/>
        <v>218</v>
      </c>
      <c r="Q42" s="29">
        <f t="shared" si="9"/>
        <v>28</v>
      </c>
      <c r="R42" s="36">
        <v>25.56</v>
      </c>
      <c r="S42" s="36"/>
      <c r="T42" s="36"/>
      <c r="U42" s="37"/>
      <c r="V42" s="38">
        <f t="shared" si="10"/>
        <v>74.44</v>
      </c>
      <c r="W42" s="110">
        <f t="shared" si="11"/>
        <v>482.44</v>
      </c>
    </row>
    <row r="43" spans="1:23" s="3" customFormat="1" ht="22.5" customHeight="1" x14ac:dyDescent="0.25">
      <c r="A43" s="109">
        <v>1</v>
      </c>
      <c r="B43" s="4" t="s">
        <v>128</v>
      </c>
      <c r="C43" s="5" t="s">
        <v>129</v>
      </c>
      <c r="D43" s="5" t="s">
        <v>138</v>
      </c>
      <c r="E43" s="5"/>
      <c r="F43" s="18">
        <v>4</v>
      </c>
      <c r="G43" s="18">
        <v>4</v>
      </c>
      <c r="H43" s="18">
        <v>9</v>
      </c>
      <c r="I43" s="18">
        <v>14</v>
      </c>
      <c r="J43" s="19">
        <f t="shared" si="6"/>
        <v>182</v>
      </c>
      <c r="K43" s="20">
        <f t="shared" si="7"/>
        <v>31</v>
      </c>
      <c r="L43" s="27">
        <v>12</v>
      </c>
      <c r="M43" s="27">
        <v>9</v>
      </c>
      <c r="N43" s="27">
        <v>4</v>
      </c>
      <c r="O43" s="27"/>
      <c r="P43" s="28">
        <f t="shared" si="8"/>
        <v>216</v>
      </c>
      <c r="Q43" s="29">
        <f t="shared" si="9"/>
        <v>25</v>
      </c>
      <c r="R43" s="36">
        <v>21.69</v>
      </c>
      <c r="S43" s="36"/>
      <c r="T43" s="36"/>
      <c r="U43" s="37"/>
      <c r="V43" s="38">
        <f t="shared" si="10"/>
        <v>78.31</v>
      </c>
      <c r="W43" s="110">
        <f t="shared" si="11"/>
        <v>476.31</v>
      </c>
    </row>
    <row r="44" spans="1:23" s="3" customFormat="1" ht="22.5" customHeight="1" x14ac:dyDescent="0.25">
      <c r="A44" s="109">
        <v>78</v>
      </c>
      <c r="B44" s="4" t="s">
        <v>84</v>
      </c>
      <c r="C44" s="5" t="s">
        <v>129</v>
      </c>
      <c r="D44" s="5" t="s">
        <v>138</v>
      </c>
      <c r="E44" s="5"/>
      <c r="F44" s="18">
        <v>2</v>
      </c>
      <c r="G44" s="18">
        <v>7</v>
      </c>
      <c r="H44" s="18">
        <v>11</v>
      </c>
      <c r="I44" s="18">
        <v>7</v>
      </c>
      <c r="J44" s="19">
        <f t="shared" si="6"/>
        <v>170</v>
      </c>
      <c r="K44" s="20">
        <f t="shared" si="7"/>
        <v>27</v>
      </c>
      <c r="L44" s="27">
        <v>12</v>
      </c>
      <c r="M44" s="27">
        <v>9</v>
      </c>
      <c r="N44" s="27">
        <v>4</v>
      </c>
      <c r="O44" s="27"/>
      <c r="P44" s="28">
        <f t="shared" si="8"/>
        <v>216</v>
      </c>
      <c r="Q44" s="29">
        <f t="shared" si="9"/>
        <v>25</v>
      </c>
      <c r="R44" s="36">
        <v>28.52</v>
      </c>
      <c r="S44" s="36"/>
      <c r="T44" s="36"/>
      <c r="U44" s="37"/>
      <c r="V44" s="38">
        <f t="shared" si="10"/>
        <v>71.48</v>
      </c>
      <c r="W44" s="110">
        <f t="shared" si="11"/>
        <v>457.48</v>
      </c>
    </row>
    <row r="45" spans="1:23" s="3" customFormat="1" ht="22.5" customHeight="1" x14ac:dyDescent="0.25">
      <c r="A45" s="109">
        <v>59</v>
      </c>
      <c r="B45" s="4" t="s">
        <v>65</v>
      </c>
      <c r="C45" s="5" t="s">
        <v>129</v>
      </c>
      <c r="D45" s="5" t="s">
        <v>138</v>
      </c>
      <c r="E45" s="5"/>
      <c r="F45" s="18">
        <v>5</v>
      </c>
      <c r="G45" s="18">
        <v>3</v>
      </c>
      <c r="H45" s="18">
        <v>10</v>
      </c>
      <c r="I45" s="18">
        <v>14</v>
      </c>
      <c r="J45" s="19">
        <f t="shared" si="6"/>
        <v>190</v>
      </c>
      <c r="K45" s="20">
        <f t="shared" si="7"/>
        <v>32</v>
      </c>
      <c r="L45" s="27">
        <v>9</v>
      </c>
      <c r="M45" s="27">
        <v>7</v>
      </c>
      <c r="N45" s="27">
        <v>7</v>
      </c>
      <c r="O45" s="27"/>
      <c r="P45" s="28">
        <f t="shared" si="8"/>
        <v>188</v>
      </c>
      <c r="Q45" s="29">
        <f t="shared" si="9"/>
        <v>23</v>
      </c>
      <c r="R45" s="36">
        <v>23.7</v>
      </c>
      <c r="S45" s="36"/>
      <c r="T45" s="36"/>
      <c r="U45" s="37"/>
      <c r="V45" s="38">
        <f t="shared" si="10"/>
        <v>76.3</v>
      </c>
      <c r="W45" s="110">
        <f t="shared" si="11"/>
        <v>454.3</v>
      </c>
    </row>
    <row r="46" spans="1:23" s="3" customFormat="1" ht="22.5" customHeight="1" x14ac:dyDescent="0.25">
      <c r="A46" s="109">
        <v>77</v>
      </c>
      <c r="B46" s="4" t="s">
        <v>83</v>
      </c>
      <c r="C46" s="5" t="s">
        <v>129</v>
      </c>
      <c r="D46" s="5" t="s">
        <v>138</v>
      </c>
      <c r="E46" s="5"/>
      <c r="F46" s="18">
        <v>2</v>
      </c>
      <c r="G46" s="18">
        <v>9</v>
      </c>
      <c r="H46" s="18">
        <v>8</v>
      </c>
      <c r="I46" s="18">
        <v>15</v>
      </c>
      <c r="J46" s="19">
        <f t="shared" si="6"/>
        <v>200</v>
      </c>
      <c r="K46" s="20">
        <f t="shared" si="7"/>
        <v>34</v>
      </c>
      <c r="L46" s="27">
        <v>8</v>
      </c>
      <c r="M46" s="27">
        <v>7</v>
      </c>
      <c r="N46" s="27">
        <v>3</v>
      </c>
      <c r="O46" s="27"/>
      <c r="P46" s="28">
        <f t="shared" si="8"/>
        <v>154</v>
      </c>
      <c r="Q46" s="29">
        <f t="shared" si="9"/>
        <v>18</v>
      </c>
      <c r="R46" s="36">
        <v>16.09</v>
      </c>
      <c r="S46" s="36"/>
      <c r="T46" s="36"/>
      <c r="U46" s="37"/>
      <c r="V46" s="38">
        <f t="shared" si="10"/>
        <v>83.91</v>
      </c>
      <c r="W46" s="110">
        <f t="shared" si="11"/>
        <v>437.90999999999997</v>
      </c>
    </row>
    <row r="47" spans="1:23" s="3" customFormat="1" ht="22.5" customHeight="1" x14ac:dyDescent="0.25">
      <c r="A47" s="109">
        <v>105</v>
      </c>
      <c r="B47" s="4" t="s">
        <v>109</v>
      </c>
      <c r="C47" s="5" t="s">
        <v>129</v>
      </c>
      <c r="D47" s="5" t="s">
        <v>138</v>
      </c>
      <c r="E47" s="5"/>
      <c r="F47" s="18">
        <v>3</v>
      </c>
      <c r="G47" s="18">
        <v>11</v>
      </c>
      <c r="H47" s="18">
        <v>4</v>
      </c>
      <c r="I47" s="18">
        <v>13</v>
      </c>
      <c r="J47" s="19">
        <f t="shared" si="6"/>
        <v>194</v>
      </c>
      <c r="K47" s="20">
        <f t="shared" si="7"/>
        <v>31</v>
      </c>
      <c r="L47" s="27">
        <v>9</v>
      </c>
      <c r="M47" s="27">
        <v>4</v>
      </c>
      <c r="N47" s="27">
        <v>6</v>
      </c>
      <c r="O47" s="27"/>
      <c r="P47" s="28">
        <f t="shared" si="8"/>
        <v>158</v>
      </c>
      <c r="Q47" s="29">
        <f t="shared" si="9"/>
        <v>19</v>
      </c>
      <c r="R47" s="36">
        <v>16.82</v>
      </c>
      <c r="S47" s="36"/>
      <c r="T47" s="36"/>
      <c r="U47" s="37"/>
      <c r="V47" s="38">
        <f t="shared" si="10"/>
        <v>83.18</v>
      </c>
      <c r="W47" s="110">
        <f t="shared" si="11"/>
        <v>435.18</v>
      </c>
    </row>
    <row r="48" spans="1:23" s="3" customFormat="1" ht="22.5" customHeight="1" x14ac:dyDescent="0.25">
      <c r="A48" s="109">
        <v>68</v>
      </c>
      <c r="B48" s="4" t="s">
        <v>74</v>
      </c>
      <c r="C48" s="5" t="s">
        <v>129</v>
      </c>
      <c r="D48" s="5" t="s">
        <v>138</v>
      </c>
      <c r="E48" s="5"/>
      <c r="F48" s="18">
        <v>6</v>
      </c>
      <c r="G48" s="18">
        <v>4</v>
      </c>
      <c r="H48" s="18">
        <v>7</v>
      </c>
      <c r="I48" s="18">
        <v>16</v>
      </c>
      <c r="J48" s="19">
        <f t="shared" si="6"/>
        <v>198</v>
      </c>
      <c r="K48" s="20">
        <f t="shared" si="7"/>
        <v>33</v>
      </c>
      <c r="L48" s="27">
        <v>11</v>
      </c>
      <c r="M48" s="27">
        <v>3</v>
      </c>
      <c r="N48" s="27">
        <v>5</v>
      </c>
      <c r="O48" s="27"/>
      <c r="P48" s="28">
        <f t="shared" si="8"/>
        <v>164</v>
      </c>
      <c r="Q48" s="29">
        <f t="shared" si="9"/>
        <v>19</v>
      </c>
      <c r="R48" s="36">
        <v>27.58</v>
      </c>
      <c r="S48" s="36"/>
      <c r="T48" s="36"/>
      <c r="U48" s="37"/>
      <c r="V48" s="38">
        <f t="shared" si="10"/>
        <v>72.42</v>
      </c>
      <c r="W48" s="110">
        <f t="shared" si="11"/>
        <v>434.42</v>
      </c>
    </row>
    <row r="49" spans="1:23" s="3" customFormat="1" ht="22.5" customHeight="1" x14ac:dyDescent="0.25">
      <c r="A49" s="109">
        <v>34</v>
      </c>
      <c r="B49" s="4" t="s">
        <v>40</v>
      </c>
      <c r="C49" s="5" t="s">
        <v>129</v>
      </c>
      <c r="D49" s="5" t="s">
        <v>138</v>
      </c>
      <c r="E49" s="5"/>
      <c r="F49" s="18">
        <v>5</v>
      </c>
      <c r="G49" s="18">
        <v>6</v>
      </c>
      <c r="H49" s="18">
        <v>4</v>
      </c>
      <c r="I49" s="18">
        <v>12</v>
      </c>
      <c r="J49" s="19">
        <f t="shared" si="6"/>
        <v>170</v>
      </c>
      <c r="K49" s="20">
        <f t="shared" si="7"/>
        <v>27</v>
      </c>
      <c r="L49" s="27">
        <v>7</v>
      </c>
      <c r="M49" s="27">
        <v>5</v>
      </c>
      <c r="N49" s="27">
        <v>12</v>
      </c>
      <c r="O49" s="27"/>
      <c r="P49" s="28">
        <f t="shared" si="8"/>
        <v>182</v>
      </c>
      <c r="Q49" s="29">
        <f t="shared" si="9"/>
        <v>24</v>
      </c>
      <c r="R49" s="36">
        <v>18.57</v>
      </c>
      <c r="S49" s="36"/>
      <c r="T49" s="36"/>
      <c r="U49" s="37"/>
      <c r="V49" s="38">
        <f t="shared" si="10"/>
        <v>81.430000000000007</v>
      </c>
      <c r="W49" s="110">
        <f t="shared" si="11"/>
        <v>433.43</v>
      </c>
    </row>
    <row r="50" spans="1:23" s="3" customFormat="1" ht="22.5" customHeight="1" x14ac:dyDescent="0.25">
      <c r="A50" s="109">
        <v>140</v>
      </c>
      <c r="B50" s="4" t="s">
        <v>165</v>
      </c>
      <c r="C50" s="5" t="s">
        <v>129</v>
      </c>
      <c r="D50" s="5" t="s">
        <v>138</v>
      </c>
      <c r="E50" s="5"/>
      <c r="F50" s="18">
        <v>1</v>
      </c>
      <c r="G50" s="18">
        <v>6</v>
      </c>
      <c r="H50" s="18">
        <v>11</v>
      </c>
      <c r="I50" s="18">
        <v>9</v>
      </c>
      <c r="J50" s="19">
        <f t="shared" si="6"/>
        <v>160</v>
      </c>
      <c r="K50" s="20">
        <f t="shared" si="7"/>
        <v>27</v>
      </c>
      <c r="L50" s="27">
        <v>10</v>
      </c>
      <c r="M50" s="27">
        <v>4</v>
      </c>
      <c r="N50" s="27">
        <v>9</v>
      </c>
      <c r="O50" s="27"/>
      <c r="P50" s="28">
        <f t="shared" si="8"/>
        <v>186</v>
      </c>
      <c r="Q50" s="29">
        <f t="shared" si="9"/>
        <v>23</v>
      </c>
      <c r="R50" s="36">
        <v>27.38</v>
      </c>
      <c r="S50" s="36"/>
      <c r="T50" s="36"/>
      <c r="U50" s="37"/>
      <c r="V50" s="38">
        <f t="shared" si="10"/>
        <v>72.62</v>
      </c>
      <c r="W50" s="110">
        <f t="shared" si="11"/>
        <v>418.62</v>
      </c>
    </row>
    <row r="51" spans="1:23" s="3" customFormat="1" ht="22.5" customHeight="1" x14ac:dyDescent="0.25">
      <c r="A51" s="109">
        <v>25</v>
      </c>
      <c r="B51" s="4" t="s">
        <v>33</v>
      </c>
      <c r="C51" s="5" t="s">
        <v>129</v>
      </c>
      <c r="D51" s="5" t="s">
        <v>138</v>
      </c>
      <c r="E51" s="5"/>
      <c r="F51" s="18">
        <v>4</v>
      </c>
      <c r="G51" s="18">
        <v>7</v>
      </c>
      <c r="H51" s="18">
        <v>8</v>
      </c>
      <c r="I51" s="18">
        <v>14</v>
      </c>
      <c r="J51" s="19">
        <f t="shared" si="6"/>
        <v>200</v>
      </c>
      <c r="K51" s="20">
        <f t="shared" si="7"/>
        <v>33</v>
      </c>
      <c r="L51" s="27">
        <v>6</v>
      </c>
      <c r="M51" s="27">
        <v>8</v>
      </c>
      <c r="N51" s="27">
        <v>6</v>
      </c>
      <c r="O51" s="27"/>
      <c r="P51" s="28">
        <f t="shared" si="8"/>
        <v>160</v>
      </c>
      <c r="Q51" s="29">
        <f t="shared" si="9"/>
        <v>20</v>
      </c>
      <c r="R51" s="36">
        <v>46.79</v>
      </c>
      <c r="S51" s="36"/>
      <c r="T51" s="36"/>
      <c r="U51" s="37"/>
      <c r="V51" s="38">
        <f t="shared" si="10"/>
        <v>53.21</v>
      </c>
      <c r="W51" s="110">
        <f t="shared" si="11"/>
        <v>413.21</v>
      </c>
    </row>
    <row r="52" spans="1:23" s="3" customFormat="1" ht="22.5" customHeight="1" x14ac:dyDescent="0.25">
      <c r="A52" s="109">
        <v>107</v>
      </c>
      <c r="B52" s="4" t="s">
        <v>111</v>
      </c>
      <c r="C52" s="5" t="s">
        <v>129</v>
      </c>
      <c r="D52" s="5" t="s">
        <v>138</v>
      </c>
      <c r="E52" s="5"/>
      <c r="F52" s="18">
        <v>2</v>
      </c>
      <c r="G52" s="18">
        <v>4</v>
      </c>
      <c r="H52" s="18">
        <v>6</v>
      </c>
      <c r="I52" s="18">
        <v>12</v>
      </c>
      <c r="J52" s="19">
        <f t="shared" si="6"/>
        <v>136</v>
      </c>
      <c r="K52" s="20">
        <f t="shared" si="7"/>
        <v>24</v>
      </c>
      <c r="L52" s="27">
        <v>9</v>
      </c>
      <c r="M52" s="27">
        <v>8</v>
      </c>
      <c r="N52" s="27">
        <v>5</v>
      </c>
      <c r="O52" s="27"/>
      <c r="P52" s="28">
        <f t="shared" si="8"/>
        <v>184</v>
      </c>
      <c r="Q52" s="29">
        <f t="shared" si="9"/>
        <v>22</v>
      </c>
      <c r="R52" s="36">
        <v>37.75</v>
      </c>
      <c r="S52" s="36"/>
      <c r="T52" s="36"/>
      <c r="U52" s="37"/>
      <c r="V52" s="38">
        <f t="shared" si="10"/>
        <v>62.25</v>
      </c>
      <c r="W52" s="110">
        <f t="shared" si="11"/>
        <v>382.25</v>
      </c>
    </row>
    <row r="53" spans="1:23" s="3" customFormat="1" ht="22.5" customHeight="1" x14ac:dyDescent="0.25">
      <c r="A53" s="109">
        <v>138</v>
      </c>
      <c r="B53" s="4" t="s">
        <v>163</v>
      </c>
      <c r="C53" s="5" t="s">
        <v>129</v>
      </c>
      <c r="D53" s="5" t="s">
        <v>138</v>
      </c>
      <c r="E53" s="5"/>
      <c r="F53" s="18">
        <v>3</v>
      </c>
      <c r="G53" s="18">
        <v>5</v>
      </c>
      <c r="H53" s="18">
        <v>4</v>
      </c>
      <c r="I53" s="18">
        <v>18</v>
      </c>
      <c r="J53" s="19">
        <f t="shared" si="6"/>
        <v>166</v>
      </c>
      <c r="K53" s="20">
        <f t="shared" si="7"/>
        <v>30</v>
      </c>
      <c r="L53" s="27">
        <v>6</v>
      </c>
      <c r="M53" s="27">
        <v>5</v>
      </c>
      <c r="N53" s="27">
        <v>5</v>
      </c>
      <c r="O53" s="27"/>
      <c r="P53" s="28">
        <f t="shared" si="8"/>
        <v>130</v>
      </c>
      <c r="Q53" s="29">
        <f t="shared" si="9"/>
        <v>16</v>
      </c>
      <c r="R53" s="36">
        <v>28</v>
      </c>
      <c r="S53" s="36"/>
      <c r="T53" s="36"/>
      <c r="U53" s="37"/>
      <c r="V53" s="38">
        <f t="shared" si="10"/>
        <v>72</v>
      </c>
      <c r="W53" s="110">
        <f t="shared" si="11"/>
        <v>368</v>
      </c>
    </row>
    <row r="54" spans="1:23" s="3" customFormat="1" ht="22.5" customHeight="1" x14ac:dyDescent="0.25">
      <c r="A54" s="109">
        <v>30</v>
      </c>
      <c r="B54" s="4" t="s">
        <v>152</v>
      </c>
      <c r="C54" s="5" t="s">
        <v>129</v>
      </c>
      <c r="D54" s="5" t="s">
        <v>138</v>
      </c>
      <c r="E54" s="5"/>
      <c r="F54" s="18">
        <v>1</v>
      </c>
      <c r="G54" s="18">
        <v>4</v>
      </c>
      <c r="H54" s="18">
        <v>6</v>
      </c>
      <c r="I54" s="18">
        <v>16</v>
      </c>
      <c r="J54" s="19">
        <f t="shared" si="6"/>
        <v>142</v>
      </c>
      <c r="K54" s="20">
        <f t="shared" si="7"/>
        <v>27</v>
      </c>
      <c r="L54" s="27">
        <v>5</v>
      </c>
      <c r="M54" s="27">
        <v>6</v>
      </c>
      <c r="N54" s="27">
        <v>6</v>
      </c>
      <c r="O54" s="27"/>
      <c r="P54" s="28">
        <f t="shared" si="8"/>
        <v>134</v>
      </c>
      <c r="Q54" s="29">
        <f t="shared" si="9"/>
        <v>17</v>
      </c>
      <c r="R54" s="36">
        <v>30.27</v>
      </c>
      <c r="S54" s="36"/>
      <c r="T54" s="36"/>
      <c r="U54" s="37"/>
      <c r="V54" s="38">
        <f t="shared" si="10"/>
        <v>69.73</v>
      </c>
      <c r="W54" s="110">
        <f t="shared" si="11"/>
        <v>345.73</v>
      </c>
    </row>
    <row r="55" spans="1:23" s="3" customFormat="1" ht="22.5" customHeight="1" x14ac:dyDescent="0.25">
      <c r="A55" s="109">
        <v>69</v>
      </c>
      <c r="B55" s="4" t="s">
        <v>75</v>
      </c>
      <c r="C55" s="5" t="s">
        <v>129</v>
      </c>
      <c r="D55" s="5" t="s">
        <v>138</v>
      </c>
      <c r="E55" s="5"/>
      <c r="F55" s="18"/>
      <c r="G55" s="18">
        <v>2</v>
      </c>
      <c r="H55" s="18">
        <v>6</v>
      </c>
      <c r="I55" s="18">
        <v>14</v>
      </c>
      <c r="J55" s="19">
        <f t="shared" si="6"/>
        <v>108</v>
      </c>
      <c r="K55" s="20">
        <f t="shared" si="7"/>
        <v>22</v>
      </c>
      <c r="L55" s="27">
        <v>10</v>
      </c>
      <c r="M55" s="27">
        <v>6</v>
      </c>
      <c r="N55" s="27">
        <v>1</v>
      </c>
      <c r="O55" s="27"/>
      <c r="P55" s="28">
        <f t="shared" si="8"/>
        <v>154</v>
      </c>
      <c r="Q55" s="29">
        <f t="shared" si="9"/>
        <v>17</v>
      </c>
      <c r="R55" s="36">
        <v>24.24</v>
      </c>
      <c r="S55" s="36"/>
      <c r="T55" s="36"/>
      <c r="U55" s="37"/>
      <c r="V55" s="38">
        <f t="shared" si="10"/>
        <v>75.760000000000005</v>
      </c>
      <c r="W55" s="110">
        <f t="shared" si="11"/>
        <v>337.76</v>
      </c>
    </row>
    <row r="56" spans="1:23" s="3" customFormat="1" ht="22.5" customHeight="1" x14ac:dyDescent="0.25">
      <c r="A56" s="109">
        <v>26</v>
      </c>
      <c r="B56" s="4" t="s">
        <v>34</v>
      </c>
      <c r="C56" s="5" t="s">
        <v>129</v>
      </c>
      <c r="D56" s="5" t="s">
        <v>138</v>
      </c>
      <c r="E56" s="5"/>
      <c r="F56" s="18">
        <v>1</v>
      </c>
      <c r="G56" s="18">
        <v>7</v>
      </c>
      <c r="H56" s="18">
        <v>7</v>
      </c>
      <c r="I56" s="18">
        <v>13</v>
      </c>
      <c r="J56" s="19">
        <f t="shared" si="6"/>
        <v>160</v>
      </c>
      <c r="K56" s="20">
        <f t="shared" si="7"/>
        <v>28</v>
      </c>
      <c r="L56" s="27">
        <v>5</v>
      </c>
      <c r="M56" s="27">
        <v>2</v>
      </c>
      <c r="N56" s="27">
        <v>4</v>
      </c>
      <c r="O56" s="27"/>
      <c r="P56" s="28">
        <f t="shared" si="8"/>
        <v>90</v>
      </c>
      <c r="Q56" s="29">
        <f t="shared" si="9"/>
        <v>11</v>
      </c>
      <c r="R56" s="36">
        <v>25.47</v>
      </c>
      <c r="S56" s="36"/>
      <c r="T56" s="36"/>
      <c r="U56" s="37"/>
      <c r="V56" s="38">
        <f t="shared" si="10"/>
        <v>74.53</v>
      </c>
      <c r="W56" s="110">
        <f t="shared" si="11"/>
        <v>324.52999999999997</v>
      </c>
    </row>
    <row r="57" spans="1:23" s="3" customFormat="1" ht="22.5" customHeight="1" x14ac:dyDescent="0.25">
      <c r="A57" s="109">
        <v>71</v>
      </c>
      <c r="B57" s="4" t="s">
        <v>77</v>
      </c>
      <c r="C57" s="5" t="s">
        <v>129</v>
      </c>
      <c r="D57" s="5" t="s">
        <v>138</v>
      </c>
      <c r="E57" s="5"/>
      <c r="F57" s="18"/>
      <c r="G57" s="18">
        <v>3</v>
      </c>
      <c r="H57" s="18">
        <v>8</v>
      </c>
      <c r="I57" s="18">
        <v>16</v>
      </c>
      <c r="J57" s="19">
        <f t="shared" si="6"/>
        <v>136</v>
      </c>
      <c r="K57" s="20">
        <f t="shared" si="7"/>
        <v>27</v>
      </c>
      <c r="L57" s="27">
        <v>2</v>
      </c>
      <c r="M57" s="27">
        <v>6</v>
      </c>
      <c r="N57" s="27">
        <v>6</v>
      </c>
      <c r="O57" s="27"/>
      <c r="P57" s="28">
        <f t="shared" si="8"/>
        <v>104</v>
      </c>
      <c r="Q57" s="29">
        <f t="shared" si="9"/>
        <v>14</v>
      </c>
      <c r="R57" s="36">
        <v>17.95</v>
      </c>
      <c r="S57" s="36"/>
      <c r="T57" s="36"/>
      <c r="U57" s="37"/>
      <c r="V57" s="38">
        <f t="shared" si="10"/>
        <v>82.05</v>
      </c>
      <c r="W57" s="110">
        <f t="shared" si="11"/>
        <v>322.05</v>
      </c>
    </row>
    <row r="58" spans="1:23" s="3" customFormat="1" ht="22.5" customHeight="1" x14ac:dyDescent="0.25">
      <c r="A58" s="109">
        <v>2</v>
      </c>
      <c r="B58" s="4" t="s">
        <v>130</v>
      </c>
      <c r="C58" s="5" t="s">
        <v>129</v>
      </c>
      <c r="D58" s="5" t="s">
        <v>138</v>
      </c>
      <c r="E58" s="5"/>
      <c r="F58" s="18">
        <v>1</v>
      </c>
      <c r="G58" s="18">
        <v>3</v>
      </c>
      <c r="H58" s="18">
        <v>4</v>
      </c>
      <c r="I58" s="18">
        <v>11</v>
      </c>
      <c r="J58" s="19">
        <f t="shared" si="6"/>
        <v>102</v>
      </c>
      <c r="K58" s="20">
        <f t="shared" si="7"/>
        <v>19</v>
      </c>
      <c r="L58" s="27">
        <v>7</v>
      </c>
      <c r="M58" s="27">
        <v>5</v>
      </c>
      <c r="N58" s="27">
        <v>5</v>
      </c>
      <c r="O58" s="27"/>
      <c r="P58" s="28">
        <f t="shared" si="8"/>
        <v>140</v>
      </c>
      <c r="Q58" s="29">
        <f t="shared" si="9"/>
        <v>17</v>
      </c>
      <c r="R58" s="36">
        <v>51.43</v>
      </c>
      <c r="S58" s="36"/>
      <c r="T58" s="36"/>
      <c r="U58" s="37"/>
      <c r="V58" s="38">
        <f t="shared" si="10"/>
        <v>48.57</v>
      </c>
      <c r="W58" s="110">
        <f t="shared" si="11"/>
        <v>290.57</v>
      </c>
    </row>
    <row r="59" spans="1:23" s="3" customFormat="1" ht="22.5" customHeight="1" x14ac:dyDescent="0.25">
      <c r="A59" s="109">
        <v>17</v>
      </c>
      <c r="B59" s="4" t="s">
        <v>26</v>
      </c>
      <c r="C59" s="5" t="s">
        <v>129</v>
      </c>
      <c r="D59" s="5" t="s">
        <v>138</v>
      </c>
      <c r="E59" s="5"/>
      <c r="F59" s="18"/>
      <c r="G59" s="18">
        <v>2</v>
      </c>
      <c r="H59" s="18">
        <v>2</v>
      </c>
      <c r="I59" s="18">
        <v>13</v>
      </c>
      <c r="J59" s="19">
        <f t="shared" si="6"/>
        <v>80</v>
      </c>
      <c r="K59" s="20">
        <f t="shared" si="7"/>
        <v>17</v>
      </c>
      <c r="L59" s="27">
        <v>8</v>
      </c>
      <c r="M59" s="27">
        <v>3</v>
      </c>
      <c r="N59" s="27">
        <v>4</v>
      </c>
      <c r="O59" s="27"/>
      <c r="P59" s="28">
        <f t="shared" si="8"/>
        <v>128</v>
      </c>
      <c r="Q59" s="29">
        <f t="shared" si="9"/>
        <v>15</v>
      </c>
      <c r="R59" s="36">
        <v>21.11</v>
      </c>
      <c r="S59" s="36"/>
      <c r="T59" s="36"/>
      <c r="U59" s="37"/>
      <c r="V59" s="38">
        <f t="shared" si="10"/>
        <v>78.89</v>
      </c>
      <c r="W59" s="110">
        <f t="shared" si="11"/>
        <v>286.89</v>
      </c>
    </row>
    <row r="60" spans="1:23" s="3" customFormat="1" ht="22.5" customHeight="1" x14ac:dyDescent="0.25">
      <c r="A60" s="109">
        <v>72</v>
      </c>
      <c r="B60" s="4" t="s">
        <v>78</v>
      </c>
      <c r="C60" s="5" t="s">
        <v>129</v>
      </c>
      <c r="D60" s="5" t="s">
        <v>138</v>
      </c>
      <c r="E60" s="5"/>
      <c r="F60" s="18"/>
      <c r="G60" s="18">
        <v>5</v>
      </c>
      <c r="H60" s="18">
        <v>2</v>
      </c>
      <c r="I60" s="18">
        <v>19</v>
      </c>
      <c r="J60" s="19">
        <f t="shared" si="6"/>
        <v>128</v>
      </c>
      <c r="K60" s="20">
        <f t="shared" si="7"/>
        <v>26</v>
      </c>
      <c r="L60" s="27">
        <v>5</v>
      </c>
      <c r="M60" s="27">
        <v>3</v>
      </c>
      <c r="N60" s="27">
        <v>5</v>
      </c>
      <c r="O60" s="27"/>
      <c r="P60" s="28">
        <f t="shared" si="8"/>
        <v>104</v>
      </c>
      <c r="Q60" s="29">
        <f t="shared" si="9"/>
        <v>13</v>
      </c>
      <c r="R60" s="36">
        <v>51.7</v>
      </c>
      <c r="S60" s="36"/>
      <c r="T60" s="36"/>
      <c r="U60" s="37"/>
      <c r="V60" s="38">
        <f t="shared" si="10"/>
        <v>48.3</v>
      </c>
      <c r="W60" s="110">
        <f t="shared" si="11"/>
        <v>280.3</v>
      </c>
    </row>
    <row r="61" spans="1:23" s="3" customFormat="1" ht="22.5" customHeight="1" x14ac:dyDescent="0.25">
      <c r="A61" s="109">
        <v>104</v>
      </c>
      <c r="B61" s="4" t="s">
        <v>108</v>
      </c>
      <c r="C61" s="5" t="s">
        <v>129</v>
      </c>
      <c r="D61" s="5" t="s">
        <v>138</v>
      </c>
      <c r="E61" s="5"/>
      <c r="F61" s="18">
        <v>6</v>
      </c>
      <c r="G61" s="18">
        <v>6</v>
      </c>
      <c r="H61" s="18">
        <v>3</v>
      </c>
      <c r="I61" s="18"/>
      <c r="J61" s="19">
        <f t="shared" si="6"/>
        <v>126</v>
      </c>
      <c r="K61" s="20">
        <f t="shared" si="7"/>
        <v>15</v>
      </c>
      <c r="L61" s="27">
        <v>1</v>
      </c>
      <c r="M61" s="27">
        <v>4</v>
      </c>
      <c r="N61" s="27">
        <v>3</v>
      </c>
      <c r="O61" s="27">
        <v>10</v>
      </c>
      <c r="P61" s="28">
        <f t="shared" si="8"/>
        <v>100</v>
      </c>
      <c r="Q61" s="29">
        <f t="shared" si="9"/>
        <v>18</v>
      </c>
      <c r="R61" s="36">
        <v>60.17</v>
      </c>
      <c r="S61" s="36"/>
      <c r="T61" s="36"/>
      <c r="U61" s="37"/>
      <c r="V61" s="38">
        <f t="shared" si="10"/>
        <v>39.83</v>
      </c>
      <c r="W61" s="110">
        <f t="shared" si="11"/>
        <v>265.83</v>
      </c>
    </row>
    <row r="62" spans="1:23" s="3" customFormat="1" ht="22.5" customHeight="1" x14ac:dyDescent="0.25">
      <c r="A62" s="109">
        <v>94</v>
      </c>
      <c r="B62" s="4" t="s">
        <v>98</v>
      </c>
      <c r="C62" s="5" t="s">
        <v>129</v>
      </c>
      <c r="D62" s="5" t="s">
        <v>138</v>
      </c>
      <c r="E62" s="5"/>
      <c r="F62" s="18">
        <v>1</v>
      </c>
      <c r="G62" s="18">
        <v>1</v>
      </c>
      <c r="H62" s="18">
        <v>2</v>
      </c>
      <c r="I62" s="18">
        <v>11</v>
      </c>
      <c r="J62" s="19">
        <f t="shared" si="6"/>
        <v>74</v>
      </c>
      <c r="K62" s="20">
        <f t="shared" si="7"/>
        <v>15</v>
      </c>
      <c r="L62" s="27">
        <v>5</v>
      </c>
      <c r="M62" s="27">
        <v>3</v>
      </c>
      <c r="N62" s="27">
        <v>2</v>
      </c>
      <c r="O62" s="27"/>
      <c r="P62" s="28">
        <f t="shared" si="8"/>
        <v>86</v>
      </c>
      <c r="Q62" s="29">
        <f t="shared" si="9"/>
        <v>10</v>
      </c>
      <c r="R62" s="36">
        <v>48.22</v>
      </c>
      <c r="S62" s="36"/>
      <c r="T62" s="36"/>
      <c r="U62" s="37"/>
      <c r="V62" s="38">
        <f t="shared" si="10"/>
        <v>51.78</v>
      </c>
      <c r="W62" s="110">
        <f t="shared" si="11"/>
        <v>211.78</v>
      </c>
    </row>
    <row r="63" spans="1:23" s="3" customFormat="1" ht="22.5" customHeight="1" thickBot="1" x14ac:dyDescent="0.3">
      <c r="A63" s="111">
        <v>4</v>
      </c>
      <c r="B63" s="112" t="s">
        <v>132</v>
      </c>
      <c r="C63" s="113" t="s">
        <v>129</v>
      </c>
      <c r="D63" s="113" t="s">
        <v>138</v>
      </c>
      <c r="E63" s="113"/>
      <c r="F63" s="114">
        <v>0</v>
      </c>
      <c r="G63" s="114">
        <v>4</v>
      </c>
      <c r="H63" s="114">
        <v>4</v>
      </c>
      <c r="I63" s="114">
        <v>10</v>
      </c>
      <c r="J63" s="66">
        <f t="shared" si="6"/>
        <v>96</v>
      </c>
      <c r="K63" s="115">
        <f t="shared" si="7"/>
        <v>18</v>
      </c>
      <c r="L63" s="116">
        <v>0</v>
      </c>
      <c r="M63" s="116">
        <v>0</v>
      </c>
      <c r="N63" s="116">
        <v>0</v>
      </c>
      <c r="O63" s="116">
        <v>0</v>
      </c>
      <c r="P63" s="67">
        <f t="shared" si="8"/>
        <v>0</v>
      </c>
      <c r="Q63" s="117">
        <f t="shared" si="9"/>
        <v>0</v>
      </c>
      <c r="R63" s="118">
        <v>30.4</v>
      </c>
      <c r="S63" s="118"/>
      <c r="T63" s="118"/>
      <c r="U63" s="119"/>
      <c r="V63" s="120">
        <f t="shared" si="10"/>
        <v>69.599999999999994</v>
      </c>
      <c r="W63" s="121">
        <f t="shared" si="11"/>
        <v>165.6</v>
      </c>
    </row>
    <row r="64" spans="1:23" s="3" customFormat="1" ht="22.5" customHeight="1" thickTop="1" x14ac:dyDescent="0.25">
      <c r="A64" s="134">
        <v>144</v>
      </c>
      <c r="B64" s="135" t="s">
        <v>176</v>
      </c>
      <c r="C64" s="136" t="s">
        <v>151</v>
      </c>
      <c r="D64" s="136" t="s">
        <v>138</v>
      </c>
      <c r="E64" s="136"/>
      <c r="F64" s="15">
        <v>7</v>
      </c>
      <c r="G64" s="15">
        <v>15</v>
      </c>
      <c r="H64" s="15">
        <v>11</v>
      </c>
      <c r="I64" s="15">
        <v>3</v>
      </c>
      <c r="J64" s="17">
        <f t="shared" ref="J64:J95" si="12">SUM(F64*10)+(G64*8)+(H64*6)+(I64*4)</f>
        <v>268</v>
      </c>
      <c r="K64" s="17">
        <f t="shared" ref="K64:K95" si="13">SUM(F64:I64)</f>
        <v>36</v>
      </c>
      <c r="L64" s="24">
        <v>28</v>
      </c>
      <c r="M64" s="24">
        <v>7</v>
      </c>
      <c r="N64" s="24">
        <v>1</v>
      </c>
      <c r="O64" s="24"/>
      <c r="P64" s="25">
        <f t="shared" ref="P64:P95" si="14">SUM(L64*10)+(M64*8)+(N64*6)+(O64*4)</f>
        <v>342</v>
      </c>
      <c r="Q64" s="25">
        <f t="shared" ref="Q64:Q95" si="15">SUM(L64:O64)</f>
        <v>36</v>
      </c>
      <c r="R64" s="33">
        <v>14.81</v>
      </c>
      <c r="S64" s="33"/>
      <c r="T64" s="33"/>
      <c r="U64" s="34"/>
      <c r="V64" s="47">
        <f t="shared" ref="V64:V95" si="16">100-(R64+S64+(U64*10)+(T64*20))</f>
        <v>85.19</v>
      </c>
      <c r="W64" s="108">
        <f t="shared" ref="W64:W95" si="17">J64+P64+V64</f>
        <v>695.19</v>
      </c>
    </row>
    <row r="65" spans="1:23" s="3" customFormat="1" ht="22.5" customHeight="1" x14ac:dyDescent="0.25">
      <c r="A65" s="137">
        <v>134</v>
      </c>
      <c r="B65" s="138" t="s">
        <v>158</v>
      </c>
      <c r="C65" s="139" t="s">
        <v>151</v>
      </c>
      <c r="D65" s="139" t="s">
        <v>138</v>
      </c>
      <c r="E65" s="139"/>
      <c r="F65" s="18">
        <v>9</v>
      </c>
      <c r="G65" s="18">
        <v>12</v>
      </c>
      <c r="H65" s="18">
        <v>9</v>
      </c>
      <c r="I65" s="18">
        <v>6</v>
      </c>
      <c r="J65" s="19">
        <f t="shared" si="12"/>
        <v>264</v>
      </c>
      <c r="K65" s="20">
        <f t="shared" si="13"/>
        <v>36</v>
      </c>
      <c r="L65" s="27">
        <v>28</v>
      </c>
      <c r="M65" s="27">
        <v>3</v>
      </c>
      <c r="N65" s="27">
        <v>5</v>
      </c>
      <c r="O65" s="27"/>
      <c r="P65" s="28">
        <f t="shared" si="14"/>
        <v>334</v>
      </c>
      <c r="Q65" s="29">
        <f t="shared" si="15"/>
        <v>36</v>
      </c>
      <c r="R65" s="36">
        <v>14.07</v>
      </c>
      <c r="S65" s="36"/>
      <c r="T65" s="36"/>
      <c r="U65" s="37"/>
      <c r="V65" s="38">
        <f t="shared" si="16"/>
        <v>85.93</v>
      </c>
      <c r="W65" s="110">
        <f t="shared" si="17"/>
        <v>683.93000000000006</v>
      </c>
    </row>
    <row r="66" spans="1:23" s="3" customFormat="1" ht="22.5" customHeight="1" x14ac:dyDescent="0.25">
      <c r="A66" s="137">
        <v>29</v>
      </c>
      <c r="B66" s="138" t="s">
        <v>150</v>
      </c>
      <c r="C66" s="139" t="s">
        <v>151</v>
      </c>
      <c r="D66" s="139" t="s">
        <v>138</v>
      </c>
      <c r="E66" s="139"/>
      <c r="F66" s="18">
        <v>4</v>
      </c>
      <c r="G66" s="18">
        <v>12</v>
      </c>
      <c r="H66" s="18">
        <v>7</v>
      </c>
      <c r="I66" s="18">
        <v>13</v>
      </c>
      <c r="J66" s="19">
        <f t="shared" si="12"/>
        <v>230</v>
      </c>
      <c r="K66" s="20">
        <f t="shared" si="13"/>
        <v>36</v>
      </c>
      <c r="L66" s="27">
        <v>17</v>
      </c>
      <c r="M66" s="27">
        <v>12</v>
      </c>
      <c r="N66" s="27">
        <v>3</v>
      </c>
      <c r="O66" s="27"/>
      <c r="P66" s="28">
        <f t="shared" si="14"/>
        <v>284</v>
      </c>
      <c r="Q66" s="29">
        <f t="shared" si="15"/>
        <v>32</v>
      </c>
      <c r="R66" s="36">
        <v>18.39</v>
      </c>
      <c r="S66" s="36"/>
      <c r="T66" s="36"/>
      <c r="U66" s="37"/>
      <c r="V66" s="38">
        <f t="shared" si="16"/>
        <v>81.61</v>
      </c>
      <c r="W66" s="110">
        <f t="shared" si="17"/>
        <v>595.61</v>
      </c>
    </row>
    <row r="67" spans="1:23" s="3" customFormat="1" ht="22.5" customHeight="1" x14ac:dyDescent="0.25">
      <c r="A67" s="137">
        <v>85</v>
      </c>
      <c r="B67" s="138" t="s">
        <v>90</v>
      </c>
      <c r="C67" s="139" t="s">
        <v>151</v>
      </c>
      <c r="D67" s="139" t="s">
        <v>138</v>
      </c>
      <c r="E67" s="139"/>
      <c r="F67" s="18">
        <v>4</v>
      </c>
      <c r="G67" s="18">
        <v>9</v>
      </c>
      <c r="H67" s="18">
        <v>8</v>
      </c>
      <c r="I67" s="18">
        <v>10</v>
      </c>
      <c r="J67" s="19">
        <f t="shared" si="12"/>
        <v>200</v>
      </c>
      <c r="K67" s="20">
        <f t="shared" si="13"/>
        <v>31</v>
      </c>
      <c r="L67" s="27">
        <v>7</v>
      </c>
      <c r="M67" s="27">
        <v>12</v>
      </c>
      <c r="N67" s="27">
        <v>5</v>
      </c>
      <c r="O67" s="27"/>
      <c r="P67" s="28">
        <f t="shared" si="14"/>
        <v>196</v>
      </c>
      <c r="Q67" s="29">
        <f t="shared" si="15"/>
        <v>24</v>
      </c>
      <c r="R67" s="36">
        <v>16.52</v>
      </c>
      <c r="S67" s="36"/>
      <c r="T67" s="36"/>
      <c r="U67" s="37"/>
      <c r="V67" s="38">
        <f t="shared" si="16"/>
        <v>83.48</v>
      </c>
      <c r="W67" s="110">
        <f t="shared" si="17"/>
        <v>479.48</v>
      </c>
    </row>
    <row r="68" spans="1:23" s="3" customFormat="1" ht="22.5" customHeight="1" x14ac:dyDescent="0.25">
      <c r="A68" s="137">
        <v>109</v>
      </c>
      <c r="B68" s="138" t="s">
        <v>113</v>
      </c>
      <c r="C68" s="139" t="s">
        <v>151</v>
      </c>
      <c r="D68" s="139" t="s">
        <v>138</v>
      </c>
      <c r="E68" s="139"/>
      <c r="F68" s="18">
        <v>3</v>
      </c>
      <c r="G68" s="18">
        <v>6</v>
      </c>
      <c r="H68" s="18">
        <v>8</v>
      </c>
      <c r="I68" s="18">
        <v>14</v>
      </c>
      <c r="J68" s="19">
        <f t="shared" si="12"/>
        <v>182</v>
      </c>
      <c r="K68" s="20">
        <f t="shared" si="13"/>
        <v>31</v>
      </c>
      <c r="L68" s="27">
        <v>9</v>
      </c>
      <c r="M68" s="27">
        <v>9</v>
      </c>
      <c r="N68" s="27">
        <v>8</v>
      </c>
      <c r="O68" s="27"/>
      <c r="P68" s="28">
        <f t="shared" si="14"/>
        <v>210</v>
      </c>
      <c r="Q68" s="29">
        <f t="shared" si="15"/>
        <v>26</v>
      </c>
      <c r="R68" s="36">
        <v>20.54</v>
      </c>
      <c r="S68" s="36"/>
      <c r="T68" s="36"/>
      <c r="U68" s="37"/>
      <c r="V68" s="38">
        <f t="shared" si="16"/>
        <v>79.460000000000008</v>
      </c>
      <c r="W68" s="110">
        <f t="shared" si="17"/>
        <v>471.46000000000004</v>
      </c>
    </row>
    <row r="69" spans="1:23" s="3" customFormat="1" ht="22.5" customHeight="1" x14ac:dyDescent="0.25">
      <c r="A69" s="137">
        <v>16</v>
      </c>
      <c r="B69" s="138" t="s">
        <v>25</v>
      </c>
      <c r="C69" s="139" t="s">
        <v>151</v>
      </c>
      <c r="D69" s="139" t="s">
        <v>138</v>
      </c>
      <c r="E69" s="139"/>
      <c r="F69" s="18">
        <v>2</v>
      </c>
      <c r="G69" s="18">
        <v>4</v>
      </c>
      <c r="H69" s="18">
        <v>6</v>
      </c>
      <c r="I69" s="18">
        <v>16</v>
      </c>
      <c r="J69" s="19">
        <f t="shared" si="12"/>
        <v>152</v>
      </c>
      <c r="K69" s="20">
        <f t="shared" si="13"/>
        <v>28</v>
      </c>
      <c r="L69" s="27">
        <v>7</v>
      </c>
      <c r="M69" s="27">
        <v>9</v>
      </c>
      <c r="N69" s="27">
        <v>6</v>
      </c>
      <c r="O69" s="27"/>
      <c r="P69" s="28">
        <f t="shared" si="14"/>
        <v>178</v>
      </c>
      <c r="Q69" s="29">
        <f t="shared" si="15"/>
        <v>22</v>
      </c>
      <c r="R69" s="36">
        <v>28.31</v>
      </c>
      <c r="S69" s="36"/>
      <c r="T69" s="36"/>
      <c r="U69" s="37"/>
      <c r="V69" s="38">
        <f t="shared" si="16"/>
        <v>71.69</v>
      </c>
      <c r="W69" s="110">
        <f t="shared" si="17"/>
        <v>401.69</v>
      </c>
    </row>
    <row r="70" spans="1:23" s="3" customFormat="1" ht="22.5" customHeight="1" x14ac:dyDescent="0.25">
      <c r="A70" s="137">
        <v>97</v>
      </c>
      <c r="B70" s="138" t="s">
        <v>101</v>
      </c>
      <c r="C70" s="139" t="s">
        <v>151</v>
      </c>
      <c r="D70" s="139" t="s">
        <v>138</v>
      </c>
      <c r="E70" s="139"/>
      <c r="F70" s="18">
        <v>2</v>
      </c>
      <c r="G70" s="18">
        <v>4</v>
      </c>
      <c r="H70" s="18">
        <v>8</v>
      </c>
      <c r="I70" s="18">
        <v>15</v>
      </c>
      <c r="J70" s="19">
        <f t="shared" si="12"/>
        <v>160</v>
      </c>
      <c r="K70" s="20">
        <f t="shared" si="13"/>
        <v>29</v>
      </c>
      <c r="L70" s="27">
        <v>9</v>
      </c>
      <c r="M70" s="27">
        <v>3</v>
      </c>
      <c r="N70" s="27">
        <v>6</v>
      </c>
      <c r="O70" s="27"/>
      <c r="P70" s="28">
        <f t="shared" si="14"/>
        <v>150</v>
      </c>
      <c r="Q70" s="29">
        <f t="shared" si="15"/>
        <v>18</v>
      </c>
      <c r="R70" s="36">
        <v>30.68</v>
      </c>
      <c r="S70" s="36"/>
      <c r="T70" s="36"/>
      <c r="U70" s="37"/>
      <c r="V70" s="38">
        <f t="shared" si="16"/>
        <v>69.319999999999993</v>
      </c>
      <c r="W70" s="110">
        <f t="shared" si="17"/>
        <v>379.32</v>
      </c>
    </row>
    <row r="71" spans="1:23" s="3" customFormat="1" ht="22.5" customHeight="1" thickBot="1" x14ac:dyDescent="0.3">
      <c r="A71" s="140">
        <v>9</v>
      </c>
      <c r="B71" s="141" t="s">
        <v>173</v>
      </c>
      <c r="C71" s="142" t="s">
        <v>151</v>
      </c>
      <c r="D71" s="142" t="s">
        <v>138</v>
      </c>
      <c r="E71" s="142"/>
      <c r="F71" s="114"/>
      <c r="G71" s="114">
        <v>5</v>
      </c>
      <c r="H71" s="114">
        <v>3</v>
      </c>
      <c r="I71" s="114">
        <v>17</v>
      </c>
      <c r="J71" s="66">
        <f t="shared" si="12"/>
        <v>126</v>
      </c>
      <c r="K71" s="115">
        <f t="shared" si="13"/>
        <v>25</v>
      </c>
      <c r="L71" s="116">
        <v>2</v>
      </c>
      <c r="M71" s="116">
        <v>7</v>
      </c>
      <c r="N71" s="116"/>
      <c r="O71" s="116"/>
      <c r="P71" s="67">
        <f t="shared" si="14"/>
        <v>76</v>
      </c>
      <c r="Q71" s="117">
        <f t="shared" si="15"/>
        <v>9</v>
      </c>
      <c r="R71" s="118">
        <v>41.78</v>
      </c>
      <c r="S71" s="118"/>
      <c r="T71" s="118"/>
      <c r="U71" s="119"/>
      <c r="V71" s="120">
        <f t="shared" si="16"/>
        <v>58.22</v>
      </c>
      <c r="W71" s="121">
        <f t="shared" si="17"/>
        <v>260.22000000000003</v>
      </c>
    </row>
    <row r="72" spans="1:23" s="3" customFormat="1" ht="22.5" customHeight="1" thickTop="1" x14ac:dyDescent="0.25">
      <c r="A72" s="107">
        <v>137</v>
      </c>
      <c r="B72" s="8" t="s">
        <v>162</v>
      </c>
      <c r="C72" s="9" t="s">
        <v>135</v>
      </c>
      <c r="D72" s="9" t="s">
        <v>139</v>
      </c>
      <c r="E72" s="9"/>
      <c r="F72" s="15">
        <v>8</v>
      </c>
      <c r="G72" s="15">
        <v>11</v>
      </c>
      <c r="H72" s="15">
        <v>11</v>
      </c>
      <c r="I72" s="15">
        <v>4</v>
      </c>
      <c r="J72" s="17">
        <f t="shared" si="12"/>
        <v>250</v>
      </c>
      <c r="K72" s="17">
        <f t="shared" si="13"/>
        <v>34</v>
      </c>
      <c r="L72" s="24">
        <v>26</v>
      </c>
      <c r="M72" s="24">
        <v>8</v>
      </c>
      <c r="N72" s="24">
        <v>1</v>
      </c>
      <c r="O72" s="24"/>
      <c r="P72" s="25">
        <f t="shared" si="14"/>
        <v>330</v>
      </c>
      <c r="Q72" s="25">
        <f t="shared" si="15"/>
        <v>35</v>
      </c>
      <c r="R72" s="33">
        <v>15.55</v>
      </c>
      <c r="S72" s="33"/>
      <c r="T72" s="33"/>
      <c r="U72" s="34"/>
      <c r="V72" s="47">
        <f t="shared" si="16"/>
        <v>84.45</v>
      </c>
      <c r="W72" s="108">
        <f t="shared" si="17"/>
        <v>664.45</v>
      </c>
    </row>
    <row r="73" spans="1:23" s="3" customFormat="1" ht="22.5" customHeight="1" thickBot="1" x14ac:dyDescent="0.3">
      <c r="A73" s="111">
        <v>99</v>
      </c>
      <c r="B73" s="112" t="s">
        <v>103</v>
      </c>
      <c r="C73" s="113" t="s">
        <v>135</v>
      </c>
      <c r="D73" s="113" t="s">
        <v>139</v>
      </c>
      <c r="E73" s="113"/>
      <c r="F73" s="114">
        <v>4</v>
      </c>
      <c r="G73" s="114">
        <v>9</v>
      </c>
      <c r="H73" s="114">
        <v>9</v>
      </c>
      <c r="I73" s="114">
        <v>14</v>
      </c>
      <c r="J73" s="66">
        <f t="shared" si="12"/>
        <v>222</v>
      </c>
      <c r="K73" s="115">
        <f t="shared" si="13"/>
        <v>36</v>
      </c>
      <c r="L73" s="116">
        <v>25</v>
      </c>
      <c r="M73" s="116">
        <v>5</v>
      </c>
      <c r="N73" s="116">
        <v>4</v>
      </c>
      <c r="O73" s="116"/>
      <c r="P73" s="67">
        <f t="shared" si="14"/>
        <v>314</v>
      </c>
      <c r="Q73" s="117">
        <f t="shared" si="15"/>
        <v>34</v>
      </c>
      <c r="R73" s="118">
        <v>17.23</v>
      </c>
      <c r="S73" s="118"/>
      <c r="T73" s="118"/>
      <c r="U73" s="119"/>
      <c r="V73" s="120">
        <f t="shared" si="16"/>
        <v>82.77</v>
      </c>
      <c r="W73" s="121">
        <f t="shared" si="17"/>
        <v>618.77</v>
      </c>
    </row>
    <row r="74" spans="1:23" s="3" customFormat="1" ht="22.5" customHeight="1" thickTop="1" thickBot="1" x14ac:dyDescent="0.3">
      <c r="A74" s="143">
        <v>19</v>
      </c>
      <c r="B74" s="144" t="s">
        <v>28</v>
      </c>
      <c r="C74" s="145" t="s">
        <v>135</v>
      </c>
      <c r="D74" s="145" t="s">
        <v>127</v>
      </c>
      <c r="E74" s="145" t="s">
        <v>159</v>
      </c>
      <c r="F74" s="126">
        <v>11</v>
      </c>
      <c r="G74" s="126">
        <v>14</v>
      </c>
      <c r="H74" s="126">
        <v>4</v>
      </c>
      <c r="I74" s="126">
        <v>6</v>
      </c>
      <c r="J74" s="127">
        <f t="shared" si="12"/>
        <v>270</v>
      </c>
      <c r="K74" s="127">
        <f t="shared" si="13"/>
        <v>35</v>
      </c>
      <c r="L74" s="128">
        <v>22</v>
      </c>
      <c r="M74" s="128">
        <v>10</v>
      </c>
      <c r="N74" s="128">
        <v>1</v>
      </c>
      <c r="O74" s="128"/>
      <c r="P74" s="129">
        <f t="shared" si="14"/>
        <v>306</v>
      </c>
      <c r="Q74" s="129">
        <f t="shared" si="15"/>
        <v>33</v>
      </c>
      <c r="R74" s="130">
        <v>17.23</v>
      </c>
      <c r="S74" s="130"/>
      <c r="T74" s="130"/>
      <c r="U74" s="131"/>
      <c r="V74" s="132">
        <f t="shared" si="16"/>
        <v>82.77</v>
      </c>
      <c r="W74" s="133">
        <f t="shared" si="17"/>
        <v>658.77</v>
      </c>
    </row>
    <row r="75" spans="1:23" s="3" customFormat="1" ht="22.5" customHeight="1" thickTop="1" thickBot="1" x14ac:dyDescent="0.3">
      <c r="A75" s="123">
        <v>116</v>
      </c>
      <c r="B75" s="124" t="s">
        <v>120</v>
      </c>
      <c r="C75" s="125" t="s">
        <v>135</v>
      </c>
      <c r="D75" s="125" t="s">
        <v>178</v>
      </c>
      <c r="E75" s="125" t="s">
        <v>179</v>
      </c>
      <c r="F75" s="126">
        <v>36</v>
      </c>
      <c r="G75" s="126"/>
      <c r="H75" s="126"/>
      <c r="I75" s="126"/>
      <c r="J75" s="127">
        <f t="shared" si="12"/>
        <v>360</v>
      </c>
      <c r="K75" s="127">
        <f t="shared" si="13"/>
        <v>36</v>
      </c>
      <c r="L75" s="128">
        <v>28</v>
      </c>
      <c r="M75" s="128">
        <v>8</v>
      </c>
      <c r="N75" s="128"/>
      <c r="O75" s="128"/>
      <c r="P75" s="129">
        <f t="shared" si="14"/>
        <v>344</v>
      </c>
      <c r="Q75" s="129">
        <f t="shared" si="15"/>
        <v>36</v>
      </c>
      <c r="R75" s="130">
        <v>8.73</v>
      </c>
      <c r="S75" s="130"/>
      <c r="T75" s="130"/>
      <c r="U75" s="131"/>
      <c r="V75" s="132">
        <f t="shared" si="16"/>
        <v>91.27</v>
      </c>
      <c r="W75" s="133">
        <f t="shared" si="17"/>
        <v>795.27</v>
      </c>
    </row>
    <row r="76" spans="1:23" s="3" customFormat="1" ht="22.5" customHeight="1" thickTop="1" x14ac:dyDescent="0.25">
      <c r="A76" s="134">
        <v>115</v>
      </c>
      <c r="B76" s="135" t="s">
        <v>119</v>
      </c>
      <c r="C76" s="136" t="s">
        <v>135</v>
      </c>
      <c r="D76" s="136" t="s">
        <v>138</v>
      </c>
      <c r="E76" s="136" t="s">
        <v>179</v>
      </c>
      <c r="F76" s="15">
        <v>32</v>
      </c>
      <c r="G76" s="15">
        <v>4</v>
      </c>
      <c r="H76" s="15"/>
      <c r="I76" s="15"/>
      <c r="J76" s="17">
        <f t="shared" si="12"/>
        <v>352</v>
      </c>
      <c r="K76" s="17">
        <f t="shared" si="13"/>
        <v>36</v>
      </c>
      <c r="L76" s="24">
        <v>25</v>
      </c>
      <c r="M76" s="24">
        <v>11</v>
      </c>
      <c r="N76" s="24"/>
      <c r="O76" s="24"/>
      <c r="P76" s="25">
        <f t="shared" si="14"/>
        <v>338</v>
      </c>
      <c r="Q76" s="25">
        <f t="shared" si="15"/>
        <v>36</v>
      </c>
      <c r="R76" s="33">
        <v>8.51</v>
      </c>
      <c r="S76" s="33"/>
      <c r="T76" s="33"/>
      <c r="U76" s="34"/>
      <c r="V76" s="47">
        <f t="shared" si="16"/>
        <v>91.49</v>
      </c>
      <c r="W76" s="108">
        <f t="shared" si="17"/>
        <v>781.49</v>
      </c>
    </row>
    <row r="77" spans="1:23" s="3" customFormat="1" ht="22.5" customHeight="1" x14ac:dyDescent="0.25">
      <c r="A77" s="137">
        <v>114</v>
      </c>
      <c r="B77" s="138" t="s">
        <v>118</v>
      </c>
      <c r="C77" s="139" t="s">
        <v>135</v>
      </c>
      <c r="D77" s="139" t="s">
        <v>138</v>
      </c>
      <c r="E77" s="139" t="s">
        <v>179</v>
      </c>
      <c r="F77" s="18">
        <v>13</v>
      </c>
      <c r="G77" s="18">
        <v>14</v>
      </c>
      <c r="H77" s="18">
        <v>7</v>
      </c>
      <c r="I77" s="18">
        <v>2</v>
      </c>
      <c r="J77" s="19">
        <f t="shared" si="12"/>
        <v>292</v>
      </c>
      <c r="K77" s="20">
        <f t="shared" si="13"/>
        <v>36</v>
      </c>
      <c r="L77" s="27">
        <v>28</v>
      </c>
      <c r="M77" s="27">
        <v>6</v>
      </c>
      <c r="N77" s="27">
        <v>2</v>
      </c>
      <c r="O77" s="27"/>
      <c r="P77" s="28">
        <f t="shared" si="14"/>
        <v>340</v>
      </c>
      <c r="Q77" s="29">
        <f t="shared" si="15"/>
        <v>36</v>
      </c>
      <c r="R77" s="36">
        <v>10.91</v>
      </c>
      <c r="S77" s="36"/>
      <c r="T77" s="36"/>
      <c r="U77" s="37"/>
      <c r="V77" s="38">
        <f t="shared" si="16"/>
        <v>89.09</v>
      </c>
      <c r="W77" s="110">
        <f t="shared" si="17"/>
        <v>721.09</v>
      </c>
    </row>
    <row r="78" spans="1:23" s="3" customFormat="1" ht="22.5" customHeight="1" x14ac:dyDescent="0.25">
      <c r="A78" s="137">
        <v>20</v>
      </c>
      <c r="B78" s="138" t="s">
        <v>29</v>
      </c>
      <c r="C78" s="139" t="s">
        <v>135</v>
      </c>
      <c r="D78" s="139" t="s">
        <v>138</v>
      </c>
      <c r="E78" s="139" t="s">
        <v>159</v>
      </c>
      <c r="F78" s="18">
        <v>12</v>
      </c>
      <c r="G78" s="18">
        <v>16</v>
      </c>
      <c r="H78" s="18">
        <v>6</v>
      </c>
      <c r="I78" s="18">
        <v>2</v>
      </c>
      <c r="J78" s="19">
        <f t="shared" si="12"/>
        <v>292</v>
      </c>
      <c r="K78" s="20">
        <f t="shared" si="13"/>
        <v>36</v>
      </c>
      <c r="L78" s="27">
        <v>28</v>
      </c>
      <c r="M78" s="27">
        <v>5</v>
      </c>
      <c r="N78" s="27">
        <v>3</v>
      </c>
      <c r="O78" s="27"/>
      <c r="P78" s="28">
        <f t="shared" si="14"/>
        <v>338</v>
      </c>
      <c r="Q78" s="29">
        <f t="shared" si="15"/>
        <v>36</v>
      </c>
      <c r="R78" s="36">
        <v>10.6</v>
      </c>
      <c r="S78" s="36"/>
      <c r="T78" s="36"/>
      <c r="U78" s="37"/>
      <c r="V78" s="38">
        <f t="shared" si="16"/>
        <v>89.4</v>
      </c>
      <c r="W78" s="110">
        <f t="shared" si="17"/>
        <v>719.4</v>
      </c>
    </row>
    <row r="79" spans="1:23" s="3" customFormat="1" ht="22.5" customHeight="1" x14ac:dyDescent="0.25">
      <c r="A79" s="137">
        <v>54</v>
      </c>
      <c r="B79" s="138" t="s">
        <v>60</v>
      </c>
      <c r="C79" s="139" t="s">
        <v>135</v>
      </c>
      <c r="D79" s="139" t="s">
        <v>138</v>
      </c>
      <c r="E79" s="139" t="s">
        <v>194</v>
      </c>
      <c r="F79" s="18">
        <v>13</v>
      </c>
      <c r="G79" s="18">
        <v>11</v>
      </c>
      <c r="H79" s="18">
        <v>9</v>
      </c>
      <c r="I79" s="18">
        <v>3</v>
      </c>
      <c r="J79" s="19">
        <f t="shared" si="12"/>
        <v>284</v>
      </c>
      <c r="K79" s="20">
        <f t="shared" si="13"/>
        <v>36</v>
      </c>
      <c r="L79" s="27">
        <v>31</v>
      </c>
      <c r="M79" s="27">
        <v>4</v>
      </c>
      <c r="N79" s="27">
        <v>1</v>
      </c>
      <c r="O79" s="27"/>
      <c r="P79" s="28">
        <f t="shared" si="14"/>
        <v>348</v>
      </c>
      <c r="Q79" s="29">
        <f t="shared" si="15"/>
        <v>36</v>
      </c>
      <c r="R79" s="36">
        <v>14.13</v>
      </c>
      <c r="S79" s="36"/>
      <c r="T79" s="36"/>
      <c r="U79" s="37"/>
      <c r="V79" s="38">
        <f t="shared" si="16"/>
        <v>85.87</v>
      </c>
      <c r="W79" s="110">
        <f t="shared" si="17"/>
        <v>717.87</v>
      </c>
    </row>
    <row r="80" spans="1:23" s="3" customFormat="1" ht="22.5" customHeight="1" x14ac:dyDescent="0.25">
      <c r="A80" s="137">
        <v>143</v>
      </c>
      <c r="B80" s="138" t="s">
        <v>175</v>
      </c>
      <c r="C80" s="139" t="s">
        <v>135</v>
      </c>
      <c r="D80" s="139" t="s">
        <v>138</v>
      </c>
      <c r="E80" s="139"/>
      <c r="F80" s="18">
        <v>15</v>
      </c>
      <c r="G80" s="18">
        <v>16</v>
      </c>
      <c r="H80" s="18">
        <v>2</v>
      </c>
      <c r="I80" s="18">
        <v>3</v>
      </c>
      <c r="J80" s="19">
        <f t="shared" si="12"/>
        <v>302</v>
      </c>
      <c r="K80" s="20">
        <f t="shared" si="13"/>
        <v>36</v>
      </c>
      <c r="L80" s="27">
        <v>24</v>
      </c>
      <c r="M80" s="27">
        <v>9</v>
      </c>
      <c r="N80" s="27">
        <v>2</v>
      </c>
      <c r="O80" s="27"/>
      <c r="P80" s="28">
        <f t="shared" si="14"/>
        <v>324</v>
      </c>
      <c r="Q80" s="29">
        <f t="shared" si="15"/>
        <v>35</v>
      </c>
      <c r="R80" s="36">
        <v>15.54</v>
      </c>
      <c r="S80" s="36"/>
      <c r="T80" s="36"/>
      <c r="U80" s="37"/>
      <c r="V80" s="38">
        <f t="shared" si="16"/>
        <v>84.460000000000008</v>
      </c>
      <c r="W80" s="110">
        <f t="shared" si="17"/>
        <v>710.46</v>
      </c>
    </row>
    <row r="81" spans="1:23" s="3" customFormat="1" ht="22.5" customHeight="1" x14ac:dyDescent="0.25">
      <c r="A81" s="137">
        <v>96</v>
      </c>
      <c r="B81" s="138" t="s">
        <v>100</v>
      </c>
      <c r="C81" s="139" t="s">
        <v>135</v>
      </c>
      <c r="D81" s="139" t="s">
        <v>138</v>
      </c>
      <c r="E81" s="139" t="s">
        <v>159</v>
      </c>
      <c r="F81" s="18">
        <v>8</v>
      </c>
      <c r="G81" s="18">
        <v>19</v>
      </c>
      <c r="H81" s="18">
        <v>7</v>
      </c>
      <c r="I81" s="18">
        <v>2</v>
      </c>
      <c r="J81" s="19">
        <f t="shared" si="12"/>
        <v>282</v>
      </c>
      <c r="K81" s="20">
        <f t="shared" si="13"/>
        <v>36</v>
      </c>
      <c r="L81" s="27">
        <v>30</v>
      </c>
      <c r="M81" s="27">
        <v>4</v>
      </c>
      <c r="N81" s="27"/>
      <c r="O81" s="27"/>
      <c r="P81" s="28">
        <f t="shared" si="14"/>
        <v>332</v>
      </c>
      <c r="Q81" s="29">
        <f t="shared" si="15"/>
        <v>34</v>
      </c>
      <c r="R81" s="36">
        <v>8.98</v>
      </c>
      <c r="S81" s="36"/>
      <c r="T81" s="36"/>
      <c r="U81" s="37"/>
      <c r="V81" s="38">
        <f t="shared" si="16"/>
        <v>91.02</v>
      </c>
      <c r="W81" s="110">
        <f t="shared" si="17"/>
        <v>705.02</v>
      </c>
    </row>
    <row r="82" spans="1:23" s="3" customFormat="1" ht="22.5" customHeight="1" x14ac:dyDescent="0.25">
      <c r="A82" s="137">
        <v>11</v>
      </c>
      <c r="B82" s="138" t="s">
        <v>20</v>
      </c>
      <c r="C82" s="139" t="s">
        <v>135</v>
      </c>
      <c r="D82" s="139" t="s">
        <v>138</v>
      </c>
      <c r="E82" s="139"/>
      <c r="F82" s="18">
        <v>9</v>
      </c>
      <c r="G82" s="18">
        <v>11</v>
      </c>
      <c r="H82" s="18">
        <v>9</v>
      </c>
      <c r="I82" s="18">
        <v>7</v>
      </c>
      <c r="J82" s="19">
        <f t="shared" si="12"/>
        <v>260</v>
      </c>
      <c r="K82" s="20">
        <f t="shared" si="13"/>
        <v>36</v>
      </c>
      <c r="L82" s="27">
        <v>29</v>
      </c>
      <c r="M82" s="27">
        <v>6</v>
      </c>
      <c r="N82" s="27"/>
      <c r="O82" s="27"/>
      <c r="P82" s="28">
        <f t="shared" si="14"/>
        <v>338</v>
      </c>
      <c r="Q82" s="29">
        <f t="shared" si="15"/>
        <v>35</v>
      </c>
      <c r="R82" s="36">
        <v>11.25</v>
      </c>
      <c r="S82" s="36"/>
      <c r="T82" s="36"/>
      <c r="U82" s="37"/>
      <c r="V82" s="38">
        <f t="shared" si="16"/>
        <v>88.75</v>
      </c>
      <c r="W82" s="110">
        <f t="shared" si="17"/>
        <v>686.75</v>
      </c>
    </row>
    <row r="83" spans="1:23" s="3" customFormat="1" ht="22.5" customHeight="1" x14ac:dyDescent="0.25">
      <c r="A83" s="137">
        <v>121</v>
      </c>
      <c r="B83" s="138" t="s">
        <v>124</v>
      </c>
      <c r="C83" s="139" t="s">
        <v>135</v>
      </c>
      <c r="D83" s="139" t="s">
        <v>138</v>
      </c>
      <c r="E83" s="139"/>
      <c r="F83" s="18">
        <v>7</v>
      </c>
      <c r="G83" s="18">
        <v>17</v>
      </c>
      <c r="H83" s="18">
        <v>11</v>
      </c>
      <c r="I83" s="18">
        <v>1</v>
      </c>
      <c r="J83" s="19">
        <f t="shared" si="12"/>
        <v>276</v>
      </c>
      <c r="K83" s="20">
        <f t="shared" si="13"/>
        <v>36</v>
      </c>
      <c r="L83" s="27">
        <v>28</v>
      </c>
      <c r="M83" s="27">
        <v>4</v>
      </c>
      <c r="N83" s="27">
        <v>1</v>
      </c>
      <c r="O83" s="27"/>
      <c r="P83" s="28">
        <f t="shared" si="14"/>
        <v>318</v>
      </c>
      <c r="Q83" s="29">
        <f t="shared" si="15"/>
        <v>33</v>
      </c>
      <c r="R83" s="36">
        <v>11.16</v>
      </c>
      <c r="S83" s="36"/>
      <c r="T83" s="36"/>
      <c r="U83" s="37"/>
      <c r="V83" s="38">
        <f t="shared" si="16"/>
        <v>88.84</v>
      </c>
      <c r="W83" s="110">
        <f t="shared" si="17"/>
        <v>682.84</v>
      </c>
    </row>
    <row r="84" spans="1:23" s="3" customFormat="1" ht="22.5" customHeight="1" x14ac:dyDescent="0.25">
      <c r="A84" s="137">
        <v>56</v>
      </c>
      <c r="B84" s="138" t="s">
        <v>62</v>
      </c>
      <c r="C84" s="139" t="s">
        <v>135</v>
      </c>
      <c r="D84" s="139" t="s">
        <v>138</v>
      </c>
      <c r="E84" s="139" t="s">
        <v>194</v>
      </c>
      <c r="F84" s="18">
        <v>7</v>
      </c>
      <c r="G84" s="18">
        <v>12</v>
      </c>
      <c r="H84" s="18">
        <v>12</v>
      </c>
      <c r="I84" s="18">
        <v>5</v>
      </c>
      <c r="J84" s="19">
        <f t="shared" si="12"/>
        <v>258</v>
      </c>
      <c r="K84" s="20">
        <f t="shared" si="13"/>
        <v>36</v>
      </c>
      <c r="L84" s="27">
        <v>28</v>
      </c>
      <c r="M84" s="27">
        <v>3</v>
      </c>
      <c r="N84" s="27">
        <v>4</v>
      </c>
      <c r="O84" s="27"/>
      <c r="P84" s="28">
        <f t="shared" si="14"/>
        <v>328</v>
      </c>
      <c r="Q84" s="29">
        <f t="shared" si="15"/>
        <v>35</v>
      </c>
      <c r="R84" s="36">
        <v>12.31</v>
      </c>
      <c r="S84" s="36"/>
      <c r="T84" s="36"/>
      <c r="U84" s="37"/>
      <c r="V84" s="38">
        <f t="shared" si="16"/>
        <v>87.69</v>
      </c>
      <c r="W84" s="110">
        <f t="shared" si="17"/>
        <v>673.69</v>
      </c>
    </row>
    <row r="85" spans="1:23" s="3" customFormat="1" ht="22.5" customHeight="1" x14ac:dyDescent="0.25">
      <c r="A85" s="137">
        <v>65</v>
      </c>
      <c r="B85" s="138" t="s">
        <v>71</v>
      </c>
      <c r="C85" s="139" t="s">
        <v>135</v>
      </c>
      <c r="D85" s="139" t="s">
        <v>138</v>
      </c>
      <c r="E85" s="139"/>
      <c r="F85" s="18">
        <v>12</v>
      </c>
      <c r="G85" s="18">
        <v>10</v>
      </c>
      <c r="H85" s="18">
        <v>7</v>
      </c>
      <c r="I85" s="18">
        <v>6</v>
      </c>
      <c r="J85" s="19">
        <f t="shared" si="12"/>
        <v>266</v>
      </c>
      <c r="K85" s="20">
        <f t="shared" si="13"/>
        <v>35</v>
      </c>
      <c r="L85" s="27">
        <v>21</v>
      </c>
      <c r="M85" s="27">
        <v>11</v>
      </c>
      <c r="N85" s="27">
        <v>3</v>
      </c>
      <c r="O85" s="27"/>
      <c r="P85" s="28">
        <f t="shared" si="14"/>
        <v>316</v>
      </c>
      <c r="Q85" s="29">
        <f t="shared" si="15"/>
        <v>35</v>
      </c>
      <c r="R85" s="36">
        <v>15.15</v>
      </c>
      <c r="S85" s="36"/>
      <c r="T85" s="36"/>
      <c r="U85" s="37"/>
      <c r="V85" s="38">
        <f t="shared" si="16"/>
        <v>84.85</v>
      </c>
      <c r="W85" s="110">
        <f t="shared" si="17"/>
        <v>666.85</v>
      </c>
    </row>
    <row r="86" spans="1:23" s="3" customFormat="1" ht="22.5" customHeight="1" x14ac:dyDescent="0.25">
      <c r="A86" s="137">
        <v>145</v>
      </c>
      <c r="B86" s="138" t="s">
        <v>177</v>
      </c>
      <c r="C86" s="139" t="s">
        <v>135</v>
      </c>
      <c r="D86" s="139" t="s">
        <v>138</v>
      </c>
      <c r="E86" s="139"/>
      <c r="F86" s="18">
        <v>11</v>
      </c>
      <c r="G86" s="18">
        <v>13</v>
      </c>
      <c r="H86" s="18">
        <v>6</v>
      </c>
      <c r="I86" s="18">
        <v>6</v>
      </c>
      <c r="J86" s="19">
        <f t="shared" si="12"/>
        <v>274</v>
      </c>
      <c r="K86" s="20">
        <f t="shared" si="13"/>
        <v>36</v>
      </c>
      <c r="L86" s="27">
        <v>22</v>
      </c>
      <c r="M86" s="27">
        <v>11</v>
      </c>
      <c r="N86" s="27"/>
      <c r="O86" s="27"/>
      <c r="P86" s="28">
        <f t="shared" si="14"/>
        <v>308</v>
      </c>
      <c r="Q86" s="29">
        <f t="shared" si="15"/>
        <v>33</v>
      </c>
      <c r="R86" s="36">
        <v>17.96</v>
      </c>
      <c r="S86" s="36"/>
      <c r="T86" s="36"/>
      <c r="U86" s="37"/>
      <c r="V86" s="38">
        <f t="shared" si="16"/>
        <v>82.039999999999992</v>
      </c>
      <c r="W86" s="110">
        <f t="shared" si="17"/>
        <v>664.04</v>
      </c>
    </row>
    <row r="87" spans="1:23" s="3" customFormat="1" ht="22.5" customHeight="1" x14ac:dyDescent="0.25">
      <c r="A87" s="137">
        <v>74</v>
      </c>
      <c r="B87" s="138" t="s">
        <v>80</v>
      </c>
      <c r="C87" s="139" t="s">
        <v>135</v>
      </c>
      <c r="D87" s="139" t="s">
        <v>138</v>
      </c>
      <c r="E87" s="139" t="s">
        <v>168</v>
      </c>
      <c r="F87" s="18">
        <v>9</v>
      </c>
      <c r="G87" s="18">
        <v>16</v>
      </c>
      <c r="H87" s="18">
        <v>6</v>
      </c>
      <c r="I87" s="18">
        <v>4</v>
      </c>
      <c r="J87" s="19">
        <f t="shared" si="12"/>
        <v>270</v>
      </c>
      <c r="K87" s="20">
        <f t="shared" si="13"/>
        <v>35</v>
      </c>
      <c r="L87" s="27">
        <v>20</v>
      </c>
      <c r="M87" s="27">
        <v>11</v>
      </c>
      <c r="N87" s="27">
        <v>3</v>
      </c>
      <c r="O87" s="27"/>
      <c r="P87" s="28">
        <f t="shared" si="14"/>
        <v>306</v>
      </c>
      <c r="Q87" s="29">
        <f t="shared" si="15"/>
        <v>34</v>
      </c>
      <c r="R87" s="36">
        <v>14.67</v>
      </c>
      <c r="S87" s="36"/>
      <c r="T87" s="36"/>
      <c r="U87" s="37"/>
      <c r="V87" s="38">
        <f t="shared" si="16"/>
        <v>85.33</v>
      </c>
      <c r="W87" s="110">
        <f t="shared" si="17"/>
        <v>661.33</v>
      </c>
    </row>
    <row r="88" spans="1:23" s="3" customFormat="1" ht="22.5" customHeight="1" x14ac:dyDescent="0.25">
      <c r="A88" s="137">
        <v>61</v>
      </c>
      <c r="B88" s="138" t="s">
        <v>67</v>
      </c>
      <c r="C88" s="139" t="s">
        <v>135</v>
      </c>
      <c r="D88" s="139" t="s">
        <v>138</v>
      </c>
      <c r="E88" s="139"/>
      <c r="F88" s="18">
        <v>11</v>
      </c>
      <c r="G88" s="18">
        <v>15</v>
      </c>
      <c r="H88" s="18">
        <v>6</v>
      </c>
      <c r="I88" s="18">
        <v>3</v>
      </c>
      <c r="J88" s="19">
        <f t="shared" si="12"/>
        <v>278</v>
      </c>
      <c r="K88" s="20">
        <f t="shared" si="13"/>
        <v>35</v>
      </c>
      <c r="L88" s="27">
        <v>21</v>
      </c>
      <c r="M88" s="27">
        <v>8</v>
      </c>
      <c r="N88" s="27">
        <v>4</v>
      </c>
      <c r="O88" s="27"/>
      <c r="P88" s="28">
        <f t="shared" si="14"/>
        <v>298</v>
      </c>
      <c r="Q88" s="29">
        <f t="shared" si="15"/>
        <v>33</v>
      </c>
      <c r="R88" s="36">
        <v>16.59</v>
      </c>
      <c r="S88" s="36"/>
      <c r="T88" s="36"/>
      <c r="U88" s="37"/>
      <c r="V88" s="38">
        <f t="shared" si="16"/>
        <v>83.41</v>
      </c>
      <c r="W88" s="110">
        <f t="shared" si="17"/>
        <v>659.41</v>
      </c>
    </row>
    <row r="89" spans="1:23" s="3" customFormat="1" ht="22.5" customHeight="1" x14ac:dyDescent="0.25">
      <c r="A89" s="137">
        <v>86</v>
      </c>
      <c r="B89" s="138" t="s">
        <v>91</v>
      </c>
      <c r="C89" s="139" t="s">
        <v>135</v>
      </c>
      <c r="D89" s="139" t="s">
        <v>138</v>
      </c>
      <c r="E89" s="139"/>
      <c r="F89" s="18">
        <v>10</v>
      </c>
      <c r="G89" s="18">
        <v>13</v>
      </c>
      <c r="H89" s="18">
        <v>8</v>
      </c>
      <c r="I89" s="18">
        <v>5</v>
      </c>
      <c r="J89" s="19">
        <f t="shared" si="12"/>
        <v>272</v>
      </c>
      <c r="K89" s="20">
        <f t="shared" si="13"/>
        <v>36</v>
      </c>
      <c r="L89" s="27">
        <v>14</v>
      </c>
      <c r="M89" s="27">
        <v>14</v>
      </c>
      <c r="N89" s="27">
        <v>8</v>
      </c>
      <c r="O89" s="27"/>
      <c r="P89" s="28">
        <f t="shared" si="14"/>
        <v>300</v>
      </c>
      <c r="Q89" s="29">
        <f t="shared" si="15"/>
        <v>36</v>
      </c>
      <c r="R89" s="36">
        <v>14.61</v>
      </c>
      <c r="S89" s="36"/>
      <c r="T89" s="36"/>
      <c r="U89" s="37"/>
      <c r="V89" s="38">
        <f t="shared" si="16"/>
        <v>85.39</v>
      </c>
      <c r="W89" s="110">
        <f t="shared" si="17"/>
        <v>657.39</v>
      </c>
    </row>
    <row r="90" spans="1:23" s="3" customFormat="1" ht="22.5" customHeight="1" x14ac:dyDescent="0.25">
      <c r="A90" s="137">
        <v>113</v>
      </c>
      <c r="B90" s="138" t="s">
        <v>117</v>
      </c>
      <c r="C90" s="139" t="s">
        <v>135</v>
      </c>
      <c r="D90" s="139" t="s">
        <v>138</v>
      </c>
      <c r="E90" s="139" t="s">
        <v>179</v>
      </c>
      <c r="F90" s="18">
        <v>5</v>
      </c>
      <c r="G90" s="18">
        <v>18</v>
      </c>
      <c r="H90" s="18">
        <v>10</v>
      </c>
      <c r="I90" s="18">
        <v>3</v>
      </c>
      <c r="J90" s="19">
        <f t="shared" si="12"/>
        <v>266</v>
      </c>
      <c r="K90" s="20">
        <f t="shared" si="13"/>
        <v>36</v>
      </c>
      <c r="L90" s="27">
        <v>22</v>
      </c>
      <c r="M90" s="27">
        <v>9</v>
      </c>
      <c r="N90" s="27">
        <v>2</v>
      </c>
      <c r="O90" s="27"/>
      <c r="P90" s="28">
        <f t="shared" si="14"/>
        <v>304</v>
      </c>
      <c r="Q90" s="29">
        <f t="shared" si="15"/>
        <v>33</v>
      </c>
      <c r="R90" s="36">
        <v>13.88</v>
      </c>
      <c r="S90" s="36"/>
      <c r="T90" s="36"/>
      <c r="U90" s="37"/>
      <c r="V90" s="38">
        <f t="shared" si="16"/>
        <v>86.12</v>
      </c>
      <c r="W90" s="110">
        <f t="shared" si="17"/>
        <v>656.12</v>
      </c>
    </row>
    <row r="91" spans="1:23" s="3" customFormat="1" ht="22.5" customHeight="1" x14ac:dyDescent="0.25">
      <c r="A91" s="137">
        <v>38</v>
      </c>
      <c r="B91" s="138" t="s">
        <v>44</v>
      </c>
      <c r="C91" s="139" t="s">
        <v>135</v>
      </c>
      <c r="D91" s="139" t="s">
        <v>138</v>
      </c>
      <c r="E91" s="139" t="s">
        <v>169</v>
      </c>
      <c r="F91" s="18">
        <v>6</v>
      </c>
      <c r="G91" s="18">
        <v>15</v>
      </c>
      <c r="H91" s="18">
        <v>10</v>
      </c>
      <c r="I91" s="18">
        <v>5</v>
      </c>
      <c r="J91" s="19">
        <f t="shared" si="12"/>
        <v>260</v>
      </c>
      <c r="K91" s="20">
        <f t="shared" si="13"/>
        <v>36</v>
      </c>
      <c r="L91" s="27">
        <v>23</v>
      </c>
      <c r="M91" s="27">
        <v>8</v>
      </c>
      <c r="N91" s="27">
        <v>2</v>
      </c>
      <c r="O91" s="27"/>
      <c r="P91" s="28">
        <f t="shared" si="14"/>
        <v>306</v>
      </c>
      <c r="Q91" s="29">
        <f t="shared" si="15"/>
        <v>33</v>
      </c>
      <c r="R91" s="36">
        <v>11.18</v>
      </c>
      <c r="S91" s="36"/>
      <c r="T91" s="36"/>
      <c r="U91" s="37"/>
      <c r="V91" s="38">
        <f t="shared" si="16"/>
        <v>88.82</v>
      </c>
      <c r="W91" s="110">
        <f t="shared" si="17"/>
        <v>654.81999999999994</v>
      </c>
    </row>
    <row r="92" spans="1:23" s="3" customFormat="1" ht="22.5" customHeight="1" x14ac:dyDescent="0.25">
      <c r="A92" s="137">
        <v>47</v>
      </c>
      <c r="B92" s="138" t="s">
        <v>53</v>
      </c>
      <c r="C92" s="139" t="s">
        <v>135</v>
      </c>
      <c r="D92" s="139" t="s">
        <v>138</v>
      </c>
      <c r="E92" s="139" t="s">
        <v>159</v>
      </c>
      <c r="F92" s="18">
        <v>5</v>
      </c>
      <c r="G92" s="18">
        <v>19</v>
      </c>
      <c r="H92" s="18">
        <v>7</v>
      </c>
      <c r="I92" s="18">
        <v>5</v>
      </c>
      <c r="J92" s="19">
        <f t="shared" si="12"/>
        <v>264</v>
      </c>
      <c r="K92" s="20">
        <f t="shared" si="13"/>
        <v>36</v>
      </c>
      <c r="L92" s="27">
        <v>25</v>
      </c>
      <c r="M92" s="27">
        <v>5</v>
      </c>
      <c r="N92" s="27">
        <v>2</v>
      </c>
      <c r="O92" s="27"/>
      <c r="P92" s="28">
        <f t="shared" si="14"/>
        <v>302</v>
      </c>
      <c r="Q92" s="29">
        <f t="shared" si="15"/>
        <v>32</v>
      </c>
      <c r="R92" s="36">
        <v>11.83</v>
      </c>
      <c r="S92" s="36"/>
      <c r="T92" s="36"/>
      <c r="U92" s="37"/>
      <c r="V92" s="38">
        <f t="shared" si="16"/>
        <v>88.17</v>
      </c>
      <c r="W92" s="110">
        <f t="shared" si="17"/>
        <v>654.16999999999996</v>
      </c>
    </row>
    <row r="93" spans="1:23" s="3" customFormat="1" ht="22.5" customHeight="1" x14ac:dyDescent="0.25">
      <c r="A93" s="137">
        <v>66</v>
      </c>
      <c r="B93" s="138" t="s">
        <v>72</v>
      </c>
      <c r="C93" s="139" t="s">
        <v>135</v>
      </c>
      <c r="D93" s="139" t="s">
        <v>138</v>
      </c>
      <c r="E93" s="139"/>
      <c r="F93" s="18">
        <v>24</v>
      </c>
      <c r="G93" s="18">
        <v>5</v>
      </c>
      <c r="H93" s="18">
        <v>1</v>
      </c>
      <c r="I93" s="18"/>
      <c r="J93" s="19">
        <f t="shared" si="12"/>
        <v>286</v>
      </c>
      <c r="K93" s="20">
        <f t="shared" si="13"/>
        <v>30</v>
      </c>
      <c r="L93" s="27">
        <v>11</v>
      </c>
      <c r="M93" s="27">
        <v>12</v>
      </c>
      <c r="N93" s="27">
        <v>11</v>
      </c>
      <c r="O93" s="27">
        <v>2</v>
      </c>
      <c r="P93" s="28">
        <f t="shared" si="14"/>
        <v>280</v>
      </c>
      <c r="Q93" s="29">
        <f t="shared" si="15"/>
        <v>36</v>
      </c>
      <c r="R93" s="36">
        <v>14.57</v>
      </c>
      <c r="S93" s="36"/>
      <c r="T93" s="36"/>
      <c r="U93" s="37"/>
      <c r="V93" s="38">
        <f t="shared" si="16"/>
        <v>85.43</v>
      </c>
      <c r="W93" s="110">
        <f t="shared" si="17"/>
        <v>651.43000000000006</v>
      </c>
    </row>
    <row r="94" spans="1:23" s="3" customFormat="1" ht="22.5" customHeight="1" x14ac:dyDescent="0.25">
      <c r="A94" s="137">
        <v>39</v>
      </c>
      <c r="B94" s="138" t="s">
        <v>45</v>
      </c>
      <c r="C94" s="139" t="s">
        <v>135</v>
      </c>
      <c r="D94" s="139" t="s">
        <v>138</v>
      </c>
      <c r="E94" s="139" t="s">
        <v>169</v>
      </c>
      <c r="F94" s="18">
        <v>7</v>
      </c>
      <c r="G94" s="18">
        <v>12</v>
      </c>
      <c r="H94" s="18">
        <v>11</v>
      </c>
      <c r="I94" s="18">
        <v>5</v>
      </c>
      <c r="J94" s="19">
        <f t="shared" si="12"/>
        <v>252</v>
      </c>
      <c r="K94" s="20">
        <f t="shared" si="13"/>
        <v>35</v>
      </c>
      <c r="L94" s="27">
        <v>27</v>
      </c>
      <c r="M94" s="27">
        <v>4</v>
      </c>
      <c r="N94" s="27">
        <v>1</v>
      </c>
      <c r="O94" s="27"/>
      <c r="P94" s="28">
        <f t="shared" si="14"/>
        <v>308</v>
      </c>
      <c r="Q94" s="29">
        <f t="shared" si="15"/>
        <v>32</v>
      </c>
      <c r="R94" s="36">
        <v>11.14</v>
      </c>
      <c r="S94" s="36"/>
      <c r="T94" s="36"/>
      <c r="U94" s="37"/>
      <c r="V94" s="38">
        <f t="shared" si="16"/>
        <v>88.86</v>
      </c>
      <c r="W94" s="110">
        <f t="shared" si="17"/>
        <v>648.86</v>
      </c>
    </row>
    <row r="95" spans="1:23" s="3" customFormat="1" ht="22.5" customHeight="1" x14ac:dyDescent="0.25">
      <c r="A95" s="137">
        <v>75</v>
      </c>
      <c r="B95" s="138" t="s">
        <v>81</v>
      </c>
      <c r="C95" s="139" t="s">
        <v>135</v>
      </c>
      <c r="D95" s="139" t="s">
        <v>138</v>
      </c>
      <c r="E95" s="139" t="s">
        <v>168</v>
      </c>
      <c r="F95" s="18">
        <v>12</v>
      </c>
      <c r="G95" s="18">
        <v>13</v>
      </c>
      <c r="H95" s="18">
        <v>6</v>
      </c>
      <c r="I95" s="18">
        <v>5</v>
      </c>
      <c r="J95" s="19">
        <f t="shared" si="12"/>
        <v>280</v>
      </c>
      <c r="K95" s="20">
        <f t="shared" si="13"/>
        <v>36</v>
      </c>
      <c r="L95" s="27">
        <v>14</v>
      </c>
      <c r="M95" s="27">
        <v>12</v>
      </c>
      <c r="N95" s="27">
        <v>6</v>
      </c>
      <c r="O95" s="27"/>
      <c r="P95" s="28">
        <f t="shared" si="14"/>
        <v>272</v>
      </c>
      <c r="Q95" s="29">
        <f t="shared" si="15"/>
        <v>32</v>
      </c>
      <c r="R95" s="36">
        <v>13.26</v>
      </c>
      <c r="S95" s="36"/>
      <c r="T95" s="36"/>
      <c r="U95" s="37"/>
      <c r="V95" s="38">
        <f t="shared" si="16"/>
        <v>86.74</v>
      </c>
      <c r="W95" s="110">
        <f t="shared" si="17"/>
        <v>638.74</v>
      </c>
    </row>
    <row r="96" spans="1:23" s="3" customFormat="1" ht="22.5" customHeight="1" x14ac:dyDescent="0.25">
      <c r="A96" s="137">
        <v>55</v>
      </c>
      <c r="B96" s="138" t="s">
        <v>61</v>
      </c>
      <c r="C96" s="139" t="s">
        <v>135</v>
      </c>
      <c r="D96" s="139" t="s">
        <v>138</v>
      </c>
      <c r="E96" s="139" t="s">
        <v>194</v>
      </c>
      <c r="F96" s="18">
        <v>6</v>
      </c>
      <c r="G96" s="18">
        <v>13</v>
      </c>
      <c r="H96" s="18">
        <v>7</v>
      </c>
      <c r="I96" s="18">
        <v>10</v>
      </c>
      <c r="J96" s="19">
        <f t="shared" ref="J96:J127" si="18">SUM(F96*10)+(G96*8)+(H96*6)+(I96*4)</f>
        <v>246</v>
      </c>
      <c r="K96" s="20">
        <f t="shared" ref="K96:K127" si="19">SUM(F96:I96)</f>
        <v>36</v>
      </c>
      <c r="L96" s="27">
        <v>25</v>
      </c>
      <c r="M96" s="27">
        <v>6</v>
      </c>
      <c r="N96" s="27">
        <v>1</v>
      </c>
      <c r="O96" s="27"/>
      <c r="P96" s="28">
        <f t="shared" ref="P96:P127" si="20">SUM(L96*10)+(M96*8)+(N96*6)+(O96*4)</f>
        <v>304</v>
      </c>
      <c r="Q96" s="29">
        <f t="shared" ref="Q96:Q127" si="21">SUM(L96:O96)</f>
        <v>32</v>
      </c>
      <c r="R96" s="36">
        <v>11.65</v>
      </c>
      <c r="S96" s="36"/>
      <c r="T96" s="36"/>
      <c r="U96" s="37"/>
      <c r="V96" s="38">
        <f t="shared" ref="V96:V127" si="22">100-(R96+S96+(U96*10)+(T96*20))</f>
        <v>88.35</v>
      </c>
      <c r="W96" s="110">
        <f t="shared" ref="W96:W127" si="23">J96+P96+V96</f>
        <v>638.35</v>
      </c>
    </row>
    <row r="97" spans="1:23" s="3" customFormat="1" ht="22.5" customHeight="1" x14ac:dyDescent="0.25">
      <c r="A97" s="137">
        <v>120</v>
      </c>
      <c r="B97" s="138" t="s">
        <v>123</v>
      </c>
      <c r="C97" s="139" t="s">
        <v>135</v>
      </c>
      <c r="D97" s="139" t="s">
        <v>138</v>
      </c>
      <c r="E97" s="139" t="s">
        <v>170</v>
      </c>
      <c r="F97" s="18">
        <v>7</v>
      </c>
      <c r="G97" s="18">
        <v>13</v>
      </c>
      <c r="H97" s="18">
        <v>11</v>
      </c>
      <c r="I97" s="18">
        <v>4</v>
      </c>
      <c r="J97" s="19">
        <f t="shared" si="18"/>
        <v>256</v>
      </c>
      <c r="K97" s="20">
        <f t="shared" si="19"/>
        <v>35</v>
      </c>
      <c r="L97" s="27">
        <v>20</v>
      </c>
      <c r="M97" s="27">
        <v>8</v>
      </c>
      <c r="N97" s="27">
        <v>4</v>
      </c>
      <c r="O97" s="27"/>
      <c r="P97" s="28">
        <f t="shared" si="20"/>
        <v>288</v>
      </c>
      <c r="Q97" s="29">
        <f t="shared" si="21"/>
        <v>32</v>
      </c>
      <c r="R97" s="36">
        <v>9.4700000000000006</v>
      </c>
      <c r="S97" s="36"/>
      <c r="T97" s="36"/>
      <c r="U97" s="37"/>
      <c r="V97" s="38">
        <f t="shared" si="22"/>
        <v>90.53</v>
      </c>
      <c r="W97" s="110">
        <f t="shared" si="23"/>
        <v>634.53</v>
      </c>
    </row>
    <row r="98" spans="1:23" s="3" customFormat="1" ht="22.5" customHeight="1" x14ac:dyDescent="0.25">
      <c r="A98" s="137">
        <v>124</v>
      </c>
      <c r="B98" s="138" t="s">
        <v>144</v>
      </c>
      <c r="C98" s="139" t="s">
        <v>135</v>
      </c>
      <c r="D98" s="139" t="s">
        <v>138</v>
      </c>
      <c r="E98" s="139" t="s">
        <v>140</v>
      </c>
      <c r="F98" s="18">
        <v>5</v>
      </c>
      <c r="G98" s="18">
        <v>14</v>
      </c>
      <c r="H98" s="18">
        <v>4</v>
      </c>
      <c r="I98" s="18">
        <v>13</v>
      </c>
      <c r="J98" s="19">
        <f t="shared" si="18"/>
        <v>238</v>
      </c>
      <c r="K98" s="20">
        <f t="shared" si="19"/>
        <v>36</v>
      </c>
      <c r="L98" s="27">
        <v>24</v>
      </c>
      <c r="M98" s="27">
        <v>8</v>
      </c>
      <c r="N98" s="27">
        <v>1</v>
      </c>
      <c r="O98" s="27"/>
      <c r="P98" s="28">
        <f t="shared" si="20"/>
        <v>310</v>
      </c>
      <c r="Q98" s="29">
        <f t="shared" si="21"/>
        <v>33</v>
      </c>
      <c r="R98" s="36">
        <v>13.57</v>
      </c>
      <c r="S98" s="36"/>
      <c r="T98" s="36"/>
      <c r="U98" s="37"/>
      <c r="V98" s="38">
        <f t="shared" si="22"/>
        <v>86.43</v>
      </c>
      <c r="W98" s="110">
        <f t="shared" si="23"/>
        <v>634.43000000000006</v>
      </c>
    </row>
    <row r="99" spans="1:23" s="3" customFormat="1" ht="22.5" customHeight="1" x14ac:dyDescent="0.25">
      <c r="A99" s="137">
        <v>21</v>
      </c>
      <c r="B99" s="138" t="s">
        <v>30</v>
      </c>
      <c r="C99" s="139" t="s">
        <v>135</v>
      </c>
      <c r="D99" s="139" t="s">
        <v>138</v>
      </c>
      <c r="E99" s="139"/>
      <c r="F99" s="18">
        <v>11</v>
      </c>
      <c r="G99" s="18">
        <v>13</v>
      </c>
      <c r="H99" s="18">
        <v>4</v>
      </c>
      <c r="I99" s="18">
        <v>6</v>
      </c>
      <c r="J99" s="19">
        <f t="shared" si="18"/>
        <v>262</v>
      </c>
      <c r="K99" s="20">
        <f t="shared" si="19"/>
        <v>34</v>
      </c>
      <c r="L99" s="27">
        <v>21</v>
      </c>
      <c r="M99" s="27">
        <v>7</v>
      </c>
      <c r="N99" s="27">
        <v>3</v>
      </c>
      <c r="O99" s="27"/>
      <c r="P99" s="28">
        <f t="shared" si="20"/>
        <v>284</v>
      </c>
      <c r="Q99" s="29">
        <f t="shared" si="21"/>
        <v>31</v>
      </c>
      <c r="R99" s="36">
        <v>14.37</v>
      </c>
      <c r="S99" s="36"/>
      <c r="T99" s="36"/>
      <c r="U99" s="37"/>
      <c r="V99" s="38">
        <f t="shared" si="22"/>
        <v>85.63</v>
      </c>
      <c r="W99" s="110">
        <f t="shared" si="23"/>
        <v>631.63</v>
      </c>
    </row>
    <row r="100" spans="1:23" s="3" customFormat="1" ht="22.5" customHeight="1" x14ac:dyDescent="0.25">
      <c r="A100" s="137">
        <v>13</v>
      </c>
      <c r="B100" s="138" t="s">
        <v>22</v>
      </c>
      <c r="C100" s="139" t="s">
        <v>135</v>
      </c>
      <c r="D100" s="139" t="s">
        <v>138</v>
      </c>
      <c r="E100" s="139"/>
      <c r="F100" s="18">
        <v>12</v>
      </c>
      <c r="G100" s="18">
        <v>12</v>
      </c>
      <c r="H100" s="18">
        <v>7</v>
      </c>
      <c r="I100" s="18">
        <v>5</v>
      </c>
      <c r="J100" s="19">
        <f t="shared" si="18"/>
        <v>278</v>
      </c>
      <c r="K100" s="20">
        <f t="shared" si="19"/>
        <v>36</v>
      </c>
      <c r="L100" s="27">
        <v>17</v>
      </c>
      <c r="M100" s="27">
        <v>8</v>
      </c>
      <c r="N100" s="27">
        <v>5</v>
      </c>
      <c r="O100" s="27"/>
      <c r="P100" s="28">
        <f t="shared" si="20"/>
        <v>264</v>
      </c>
      <c r="Q100" s="29">
        <f t="shared" si="21"/>
        <v>30</v>
      </c>
      <c r="R100" s="36">
        <v>12.65</v>
      </c>
      <c r="S100" s="36"/>
      <c r="T100" s="36"/>
      <c r="U100" s="37"/>
      <c r="V100" s="38">
        <f t="shared" si="22"/>
        <v>87.35</v>
      </c>
      <c r="W100" s="110">
        <f t="shared" si="23"/>
        <v>629.35</v>
      </c>
    </row>
    <row r="101" spans="1:23" s="3" customFormat="1" ht="22.5" customHeight="1" x14ac:dyDescent="0.25">
      <c r="A101" s="137">
        <v>36</v>
      </c>
      <c r="B101" s="138" t="s">
        <v>42</v>
      </c>
      <c r="C101" s="139" t="s">
        <v>135</v>
      </c>
      <c r="D101" s="139" t="s">
        <v>138</v>
      </c>
      <c r="E101" s="139" t="s">
        <v>169</v>
      </c>
      <c r="F101" s="18">
        <v>8</v>
      </c>
      <c r="G101" s="18">
        <v>11</v>
      </c>
      <c r="H101" s="18">
        <v>7</v>
      </c>
      <c r="I101" s="18">
        <v>8</v>
      </c>
      <c r="J101" s="19">
        <f t="shared" si="18"/>
        <v>242</v>
      </c>
      <c r="K101" s="20">
        <f t="shared" si="19"/>
        <v>34</v>
      </c>
      <c r="L101" s="27">
        <v>24</v>
      </c>
      <c r="M101" s="27">
        <v>7</v>
      </c>
      <c r="N101" s="27"/>
      <c r="O101" s="27"/>
      <c r="P101" s="28">
        <f t="shared" si="20"/>
        <v>296</v>
      </c>
      <c r="Q101" s="29">
        <f t="shared" si="21"/>
        <v>31</v>
      </c>
      <c r="R101" s="36">
        <v>12.11</v>
      </c>
      <c r="S101" s="36"/>
      <c r="T101" s="36"/>
      <c r="U101" s="37"/>
      <c r="V101" s="38">
        <f t="shared" si="22"/>
        <v>87.89</v>
      </c>
      <c r="W101" s="110">
        <f t="shared" si="23"/>
        <v>625.89</v>
      </c>
    </row>
    <row r="102" spans="1:23" s="3" customFormat="1" ht="22.5" customHeight="1" x14ac:dyDescent="0.25">
      <c r="A102" s="137">
        <v>48</v>
      </c>
      <c r="B102" s="138" t="s">
        <v>54</v>
      </c>
      <c r="C102" s="139" t="s">
        <v>135</v>
      </c>
      <c r="D102" s="139" t="s">
        <v>138</v>
      </c>
      <c r="E102" s="139"/>
      <c r="F102" s="18">
        <v>9</v>
      </c>
      <c r="G102" s="18">
        <v>12</v>
      </c>
      <c r="H102" s="18">
        <v>4</v>
      </c>
      <c r="I102" s="18">
        <v>10</v>
      </c>
      <c r="J102" s="19">
        <f t="shared" si="18"/>
        <v>250</v>
      </c>
      <c r="K102" s="20">
        <f t="shared" si="19"/>
        <v>35</v>
      </c>
      <c r="L102" s="27">
        <v>19</v>
      </c>
      <c r="M102" s="27">
        <v>10</v>
      </c>
      <c r="N102" s="27">
        <v>2</v>
      </c>
      <c r="O102" s="27"/>
      <c r="P102" s="28">
        <f t="shared" si="20"/>
        <v>282</v>
      </c>
      <c r="Q102" s="29">
        <f t="shared" si="21"/>
        <v>31</v>
      </c>
      <c r="R102" s="36">
        <v>13.16</v>
      </c>
      <c r="S102" s="36"/>
      <c r="T102" s="36"/>
      <c r="U102" s="37"/>
      <c r="V102" s="38">
        <f t="shared" si="22"/>
        <v>86.84</v>
      </c>
      <c r="W102" s="110">
        <f t="shared" si="23"/>
        <v>618.84</v>
      </c>
    </row>
    <row r="103" spans="1:23" s="3" customFormat="1" ht="22.5" customHeight="1" x14ac:dyDescent="0.25">
      <c r="A103" s="137">
        <v>103</v>
      </c>
      <c r="B103" s="138" t="s">
        <v>107</v>
      </c>
      <c r="C103" s="139" t="s">
        <v>135</v>
      </c>
      <c r="D103" s="139" t="s">
        <v>138</v>
      </c>
      <c r="E103" s="139" t="s">
        <v>170</v>
      </c>
      <c r="F103" s="18">
        <v>5</v>
      </c>
      <c r="G103" s="18">
        <v>8</v>
      </c>
      <c r="H103" s="18">
        <v>12</v>
      </c>
      <c r="I103" s="18">
        <v>8</v>
      </c>
      <c r="J103" s="19">
        <f t="shared" si="18"/>
        <v>218</v>
      </c>
      <c r="K103" s="20">
        <f t="shared" si="19"/>
        <v>33</v>
      </c>
      <c r="L103" s="27">
        <v>19</v>
      </c>
      <c r="M103" s="27">
        <v>12</v>
      </c>
      <c r="N103" s="27"/>
      <c r="O103" s="27">
        <v>4</v>
      </c>
      <c r="P103" s="28">
        <f t="shared" si="20"/>
        <v>302</v>
      </c>
      <c r="Q103" s="29">
        <f t="shared" si="21"/>
        <v>35</v>
      </c>
      <c r="R103" s="36">
        <v>15.74</v>
      </c>
      <c r="S103" s="36"/>
      <c r="T103" s="36"/>
      <c r="U103" s="37"/>
      <c r="V103" s="38">
        <f t="shared" si="22"/>
        <v>84.26</v>
      </c>
      <c r="W103" s="110">
        <f t="shared" si="23"/>
        <v>604.26</v>
      </c>
    </row>
    <row r="104" spans="1:23" s="3" customFormat="1" ht="22.5" customHeight="1" x14ac:dyDescent="0.25">
      <c r="A104" s="137">
        <v>128</v>
      </c>
      <c r="B104" s="138" t="s">
        <v>149</v>
      </c>
      <c r="C104" s="139" t="s">
        <v>135</v>
      </c>
      <c r="D104" s="139" t="s">
        <v>138</v>
      </c>
      <c r="E104" s="139" t="s">
        <v>146</v>
      </c>
      <c r="F104" s="18">
        <v>4</v>
      </c>
      <c r="G104" s="18">
        <v>11</v>
      </c>
      <c r="H104" s="18">
        <v>13</v>
      </c>
      <c r="I104" s="18">
        <v>5</v>
      </c>
      <c r="J104" s="19">
        <f t="shared" si="18"/>
        <v>226</v>
      </c>
      <c r="K104" s="20">
        <f t="shared" si="19"/>
        <v>33</v>
      </c>
      <c r="L104" s="27">
        <v>15</v>
      </c>
      <c r="M104" s="27">
        <v>14</v>
      </c>
      <c r="N104" s="27">
        <v>6</v>
      </c>
      <c r="O104" s="27"/>
      <c r="P104" s="28">
        <f t="shared" si="20"/>
        <v>298</v>
      </c>
      <c r="Q104" s="29">
        <f t="shared" si="21"/>
        <v>35</v>
      </c>
      <c r="R104" s="36">
        <v>21.05</v>
      </c>
      <c r="S104" s="36"/>
      <c r="T104" s="36"/>
      <c r="U104" s="37"/>
      <c r="V104" s="38">
        <f t="shared" si="22"/>
        <v>78.95</v>
      </c>
      <c r="W104" s="110">
        <f t="shared" si="23"/>
        <v>602.95000000000005</v>
      </c>
    </row>
    <row r="105" spans="1:23" s="3" customFormat="1" ht="22.5" customHeight="1" x14ac:dyDescent="0.25">
      <c r="A105" s="137">
        <v>79</v>
      </c>
      <c r="B105" s="138" t="s">
        <v>85</v>
      </c>
      <c r="C105" s="139" t="s">
        <v>135</v>
      </c>
      <c r="D105" s="139" t="s">
        <v>138</v>
      </c>
      <c r="E105" s="139" t="s">
        <v>133</v>
      </c>
      <c r="F105" s="18">
        <v>5</v>
      </c>
      <c r="G105" s="18">
        <v>10</v>
      </c>
      <c r="H105" s="18">
        <v>9</v>
      </c>
      <c r="I105" s="18">
        <v>12</v>
      </c>
      <c r="J105" s="19">
        <f t="shared" si="18"/>
        <v>232</v>
      </c>
      <c r="K105" s="20">
        <f t="shared" si="19"/>
        <v>36</v>
      </c>
      <c r="L105" s="27">
        <v>17</v>
      </c>
      <c r="M105" s="27">
        <v>8</v>
      </c>
      <c r="N105" s="27">
        <v>9</v>
      </c>
      <c r="O105" s="27"/>
      <c r="P105" s="28">
        <f t="shared" si="20"/>
        <v>288</v>
      </c>
      <c r="Q105" s="29">
        <f t="shared" si="21"/>
        <v>34</v>
      </c>
      <c r="R105" s="36">
        <v>18.71</v>
      </c>
      <c r="S105" s="36"/>
      <c r="T105" s="36"/>
      <c r="U105" s="37"/>
      <c r="V105" s="38">
        <f t="shared" si="22"/>
        <v>81.289999999999992</v>
      </c>
      <c r="W105" s="110">
        <f t="shared" si="23"/>
        <v>601.29</v>
      </c>
    </row>
    <row r="106" spans="1:23" s="3" customFormat="1" ht="22.5" customHeight="1" x14ac:dyDescent="0.25">
      <c r="A106" s="137">
        <v>10</v>
      </c>
      <c r="B106" s="138" t="s">
        <v>19</v>
      </c>
      <c r="C106" s="139" t="s">
        <v>135</v>
      </c>
      <c r="D106" s="139" t="s">
        <v>138</v>
      </c>
      <c r="E106" s="139"/>
      <c r="F106" s="18">
        <v>5</v>
      </c>
      <c r="G106" s="18">
        <v>14</v>
      </c>
      <c r="H106" s="18">
        <v>10</v>
      </c>
      <c r="I106" s="18">
        <v>6</v>
      </c>
      <c r="J106" s="19">
        <f t="shared" si="18"/>
        <v>246</v>
      </c>
      <c r="K106" s="20">
        <f t="shared" si="19"/>
        <v>35</v>
      </c>
      <c r="L106" s="27">
        <v>17</v>
      </c>
      <c r="M106" s="27">
        <v>10</v>
      </c>
      <c r="N106" s="27">
        <v>2</v>
      </c>
      <c r="O106" s="27"/>
      <c r="P106" s="28">
        <f t="shared" si="20"/>
        <v>262</v>
      </c>
      <c r="Q106" s="29">
        <f t="shared" si="21"/>
        <v>29</v>
      </c>
      <c r="R106" s="36">
        <v>14.76</v>
      </c>
      <c r="S106" s="36"/>
      <c r="T106" s="36"/>
      <c r="U106" s="37"/>
      <c r="V106" s="38">
        <f t="shared" si="22"/>
        <v>85.24</v>
      </c>
      <c r="W106" s="110">
        <f t="shared" si="23"/>
        <v>593.24</v>
      </c>
    </row>
    <row r="107" spans="1:23" s="3" customFormat="1" ht="22.5" customHeight="1" x14ac:dyDescent="0.25">
      <c r="A107" s="137">
        <v>6</v>
      </c>
      <c r="B107" s="138" t="s">
        <v>136</v>
      </c>
      <c r="C107" s="139" t="s">
        <v>135</v>
      </c>
      <c r="D107" s="139" t="s">
        <v>138</v>
      </c>
      <c r="E107" s="139" t="s">
        <v>133</v>
      </c>
      <c r="F107" s="18">
        <v>5</v>
      </c>
      <c r="G107" s="18">
        <v>10</v>
      </c>
      <c r="H107" s="18">
        <v>10</v>
      </c>
      <c r="I107" s="18">
        <v>10</v>
      </c>
      <c r="J107" s="19">
        <f t="shared" si="18"/>
        <v>230</v>
      </c>
      <c r="K107" s="20">
        <f t="shared" si="19"/>
        <v>35</v>
      </c>
      <c r="L107" s="27">
        <v>18</v>
      </c>
      <c r="M107" s="27">
        <v>9</v>
      </c>
      <c r="N107" s="27">
        <v>5</v>
      </c>
      <c r="O107" s="27"/>
      <c r="P107" s="28">
        <f t="shared" si="20"/>
        <v>282</v>
      </c>
      <c r="Q107" s="29">
        <f t="shared" si="21"/>
        <v>32</v>
      </c>
      <c r="R107" s="36">
        <v>19.07</v>
      </c>
      <c r="S107" s="36"/>
      <c r="T107" s="36"/>
      <c r="U107" s="37"/>
      <c r="V107" s="38">
        <f t="shared" si="22"/>
        <v>80.930000000000007</v>
      </c>
      <c r="W107" s="110">
        <f t="shared" si="23"/>
        <v>592.93000000000006</v>
      </c>
    </row>
    <row r="108" spans="1:23" s="3" customFormat="1" ht="22.5" customHeight="1" x14ac:dyDescent="0.25">
      <c r="A108" s="137">
        <v>82</v>
      </c>
      <c r="B108" s="138" t="s">
        <v>88</v>
      </c>
      <c r="C108" s="139" t="s">
        <v>135</v>
      </c>
      <c r="D108" s="139" t="s">
        <v>138</v>
      </c>
      <c r="E108" s="139" t="s">
        <v>168</v>
      </c>
      <c r="F108" s="18">
        <v>3</v>
      </c>
      <c r="G108" s="18">
        <v>10</v>
      </c>
      <c r="H108" s="18">
        <v>12</v>
      </c>
      <c r="I108" s="18">
        <v>9</v>
      </c>
      <c r="J108" s="19">
        <f t="shared" si="18"/>
        <v>218</v>
      </c>
      <c r="K108" s="20">
        <f t="shared" si="19"/>
        <v>34</v>
      </c>
      <c r="L108" s="27">
        <v>17</v>
      </c>
      <c r="M108" s="27">
        <v>9</v>
      </c>
      <c r="N108" s="27">
        <v>8</v>
      </c>
      <c r="O108" s="27"/>
      <c r="P108" s="28">
        <f t="shared" si="20"/>
        <v>290</v>
      </c>
      <c r="Q108" s="29">
        <f t="shared" si="21"/>
        <v>34</v>
      </c>
      <c r="R108" s="36">
        <v>22.77</v>
      </c>
      <c r="S108" s="36"/>
      <c r="T108" s="36"/>
      <c r="U108" s="37"/>
      <c r="V108" s="38">
        <f t="shared" si="22"/>
        <v>77.23</v>
      </c>
      <c r="W108" s="110">
        <f t="shared" si="23"/>
        <v>585.23</v>
      </c>
    </row>
    <row r="109" spans="1:23" s="3" customFormat="1" ht="22.5" customHeight="1" x14ac:dyDescent="0.25">
      <c r="A109" s="137">
        <v>125</v>
      </c>
      <c r="B109" s="138" t="s">
        <v>145</v>
      </c>
      <c r="C109" s="139" t="s">
        <v>135</v>
      </c>
      <c r="D109" s="139" t="s">
        <v>138</v>
      </c>
      <c r="E109" s="139" t="s">
        <v>146</v>
      </c>
      <c r="F109" s="18">
        <v>7</v>
      </c>
      <c r="G109" s="18">
        <v>10</v>
      </c>
      <c r="H109" s="18">
        <v>7</v>
      </c>
      <c r="I109" s="18">
        <v>12</v>
      </c>
      <c r="J109" s="19">
        <f t="shared" si="18"/>
        <v>240</v>
      </c>
      <c r="K109" s="20">
        <f t="shared" si="19"/>
        <v>36</v>
      </c>
      <c r="L109" s="27">
        <v>17</v>
      </c>
      <c r="M109" s="27">
        <v>10</v>
      </c>
      <c r="N109" s="27">
        <v>3</v>
      </c>
      <c r="O109" s="27"/>
      <c r="P109" s="28">
        <f t="shared" si="20"/>
        <v>268</v>
      </c>
      <c r="Q109" s="29">
        <f t="shared" si="21"/>
        <v>30</v>
      </c>
      <c r="R109" s="36">
        <v>25.52</v>
      </c>
      <c r="S109" s="36"/>
      <c r="T109" s="36"/>
      <c r="U109" s="37"/>
      <c r="V109" s="38">
        <f t="shared" si="22"/>
        <v>74.48</v>
      </c>
      <c r="W109" s="110">
        <f t="shared" si="23"/>
        <v>582.48</v>
      </c>
    </row>
    <row r="110" spans="1:23" s="3" customFormat="1" ht="22.5" customHeight="1" x14ac:dyDescent="0.25">
      <c r="A110" s="137">
        <v>80</v>
      </c>
      <c r="B110" s="138" t="s">
        <v>86</v>
      </c>
      <c r="C110" s="139" t="s">
        <v>135</v>
      </c>
      <c r="D110" s="139" t="s">
        <v>138</v>
      </c>
      <c r="E110" s="139" t="s">
        <v>168</v>
      </c>
      <c r="F110" s="18">
        <v>7</v>
      </c>
      <c r="G110" s="18">
        <v>9</v>
      </c>
      <c r="H110" s="18">
        <v>9</v>
      </c>
      <c r="I110" s="18">
        <v>11</v>
      </c>
      <c r="J110" s="19">
        <f t="shared" si="18"/>
        <v>240</v>
      </c>
      <c r="K110" s="20">
        <f t="shared" si="19"/>
        <v>36</v>
      </c>
      <c r="L110" s="27">
        <v>19</v>
      </c>
      <c r="M110" s="27">
        <v>5</v>
      </c>
      <c r="N110" s="27">
        <v>4</v>
      </c>
      <c r="O110" s="27"/>
      <c r="P110" s="28">
        <f t="shared" si="20"/>
        <v>254</v>
      </c>
      <c r="Q110" s="29">
        <f t="shared" si="21"/>
        <v>28</v>
      </c>
      <c r="R110" s="36">
        <v>14.12</v>
      </c>
      <c r="S110" s="36"/>
      <c r="T110" s="36"/>
      <c r="U110" s="37"/>
      <c r="V110" s="38">
        <f t="shared" si="22"/>
        <v>85.88</v>
      </c>
      <c r="W110" s="110">
        <f t="shared" si="23"/>
        <v>579.88</v>
      </c>
    </row>
    <row r="111" spans="1:23" s="3" customFormat="1" ht="22.5" customHeight="1" x14ac:dyDescent="0.25">
      <c r="A111" s="137">
        <v>70</v>
      </c>
      <c r="B111" s="138" t="s">
        <v>76</v>
      </c>
      <c r="C111" s="139" t="s">
        <v>135</v>
      </c>
      <c r="D111" s="139" t="s">
        <v>138</v>
      </c>
      <c r="E111" s="139" t="s">
        <v>140</v>
      </c>
      <c r="F111" s="18">
        <v>6</v>
      </c>
      <c r="G111" s="18">
        <v>10</v>
      </c>
      <c r="H111" s="18">
        <v>6</v>
      </c>
      <c r="I111" s="18">
        <v>9</v>
      </c>
      <c r="J111" s="19">
        <f t="shared" si="18"/>
        <v>212</v>
      </c>
      <c r="K111" s="20">
        <f t="shared" si="19"/>
        <v>31</v>
      </c>
      <c r="L111" s="27">
        <v>15</v>
      </c>
      <c r="M111" s="27">
        <v>14</v>
      </c>
      <c r="N111" s="27">
        <v>5</v>
      </c>
      <c r="O111" s="27"/>
      <c r="P111" s="28">
        <f t="shared" si="20"/>
        <v>292</v>
      </c>
      <c r="Q111" s="29">
        <f t="shared" si="21"/>
        <v>34</v>
      </c>
      <c r="R111" s="36">
        <v>31.2</v>
      </c>
      <c r="S111" s="36"/>
      <c r="T111" s="36"/>
      <c r="U111" s="37"/>
      <c r="V111" s="38">
        <f t="shared" si="22"/>
        <v>68.8</v>
      </c>
      <c r="W111" s="110">
        <f t="shared" si="23"/>
        <v>572.79999999999995</v>
      </c>
    </row>
    <row r="112" spans="1:23" s="3" customFormat="1" ht="22.5" customHeight="1" x14ac:dyDescent="0.25">
      <c r="A112" s="137">
        <v>122</v>
      </c>
      <c r="B112" s="138" t="s">
        <v>142</v>
      </c>
      <c r="C112" s="139" t="s">
        <v>135</v>
      </c>
      <c r="D112" s="139" t="s">
        <v>138</v>
      </c>
      <c r="E112" s="139" t="s">
        <v>140</v>
      </c>
      <c r="F112" s="18">
        <v>6</v>
      </c>
      <c r="G112" s="18">
        <v>8</v>
      </c>
      <c r="H112" s="18">
        <v>8</v>
      </c>
      <c r="I112" s="18">
        <v>12</v>
      </c>
      <c r="J112" s="19">
        <f t="shared" si="18"/>
        <v>220</v>
      </c>
      <c r="K112" s="20">
        <f t="shared" si="19"/>
        <v>34</v>
      </c>
      <c r="L112" s="27">
        <v>18</v>
      </c>
      <c r="M112" s="27">
        <v>9</v>
      </c>
      <c r="N112" s="27">
        <v>3</v>
      </c>
      <c r="O112" s="27"/>
      <c r="P112" s="28">
        <f t="shared" si="20"/>
        <v>270</v>
      </c>
      <c r="Q112" s="29">
        <f t="shared" si="21"/>
        <v>30</v>
      </c>
      <c r="R112" s="36">
        <v>18.989999999999998</v>
      </c>
      <c r="S112" s="36"/>
      <c r="T112" s="36"/>
      <c r="U112" s="37"/>
      <c r="V112" s="38">
        <f t="shared" si="22"/>
        <v>81.010000000000005</v>
      </c>
      <c r="W112" s="110">
        <f t="shared" si="23"/>
        <v>571.01</v>
      </c>
    </row>
    <row r="113" spans="1:23" s="3" customFormat="1" ht="22.5" customHeight="1" x14ac:dyDescent="0.25">
      <c r="A113" s="137">
        <v>23</v>
      </c>
      <c r="B113" s="138" t="s">
        <v>31</v>
      </c>
      <c r="C113" s="139" t="s">
        <v>135</v>
      </c>
      <c r="D113" s="139" t="s">
        <v>138</v>
      </c>
      <c r="E113" s="139"/>
      <c r="F113" s="18">
        <v>5</v>
      </c>
      <c r="G113" s="18">
        <v>7</v>
      </c>
      <c r="H113" s="18">
        <v>8</v>
      </c>
      <c r="I113" s="18">
        <v>8</v>
      </c>
      <c r="J113" s="19">
        <f t="shared" si="18"/>
        <v>186</v>
      </c>
      <c r="K113" s="20">
        <f t="shared" si="19"/>
        <v>28</v>
      </c>
      <c r="L113" s="27">
        <v>19</v>
      </c>
      <c r="M113" s="27">
        <v>7</v>
      </c>
      <c r="N113" s="27">
        <v>7</v>
      </c>
      <c r="O113" s="27"/>
      <c r="P113" s="28">
        <f t="shared" si="20"/>
        <v>288</v>
      </c>
      <c r="Q113" s="29">
        <f t="shared" si="21"/>
        <v>33</v>
      </c>
      <c r="R113" s="36">
        <v>14.9</v>
      </c>
      <c r="S113" s="36"/>
      <c r="T113" s="36"/>
      <c r="U113" s="37"/>
      <c r="V113" s="38">
        <f t="shared" si="22"/>
        <v>85.1</v>
      </c>
      <c r="W113" s="110">
        <f t="shared" si="23"/>
        <v>559.1</v>
      </c>
    </row>
    <row r="114" spans="1:23" s="3" customFormat="1" ht="22.5" customHeight="1" x14ac:dyDescent="0.25">
      <c r="A114" s="137">
        <v>52</v>
      </c>
      <c r="B114" s="138" t="s">
        <v>58</v>
      </c>
      <c r="C114" s="139" t="s">
        <v>135</v>
      </c>
      <c r="D114" s="139" t="s">
        <v>138</v>
      </c>
      <c r="E114" s="139" t="s">
        <v>170</v>
      </c>
      <c r="F114" s="18">
        <v>9</v>
      </c>
      <c r="G114" s="18">
        <v>7</v>
      </c>
      <c r="H114" s="18">
        <v>9</v>
      </c>
      <c r="I114" s="18">
        <v>7</v>
      </c>
      <c r="J114" s="19">
        <f t="shared" si="18"/>
        <v>228</v>
      </c>
      <c r="K114" s="20">
        <f t="shared" si="19"/>
        <v>32</v>
      </c>
      <c r="L114" s="27">
        <v>19</v>
      </c>
      <c r="M114" s="27">
        <v>7</v>
      </c>
      <c r="N114" s="27"/>
      <c r="O114" s="27"/>
      <c r="P114" s="28">
        <f t="shared" si="20"/>
        <v>246</v>
      </c>
      <c r="Q114" s="29">
        <f t="shared" si="21"/>
        <v>26</v>
      </c>
      <c r="R114" s="36">
        <v>26.4</v>
      </c>
      <c r="S114" s="36"/>
      <c r="T114" s="36"/>
      <c r="U114" s="37"/>
      <c r="V114" s="38">
        <f t="shared" si="22"/>
        <v>73.599999999999994</v>
      </c>
      <c r="W114" s="110">
        <f t="shared" si="23"/>
        <v>547.6</v>
      </c>
    </row>
    <row r="115" spans="1:23" s="3" customFormat="1" ht="22.5" customHeight="1" x14ac:dyDescent="0.25">
      <c r="A115" s="137">
        <v>108</v>
      </c>
      <c r="B115" s="138" t="s">
        <v>112</v>
      </c>
      <c r="C115" s="139" t="s">
        <v>135</v>
      </c>
      <c r="D115" s="139" t="s">
        <v>138</v>
      </c>
      <c r="E115" s="139"/>
      <c r="F115" s="18">
        <v>15</v>
      </c>
      <c r="G115" s="18">
        <v>9</v>
      </c>
      <c r="H115" s="18">
        <v>2</v>
      </c>
      <c r="I115" s="18">
        <v>3</v>
      </c>
      <c r="J115" s="19">
        <f t="shared" si="18"/>
        <v>246</v>
      </c>
      <c r="K115" s="20">
        <f t="shared" si="19"/>
        <v>29</v>
      </c>
      <c r="L115" s="27">
        <v>18</v>
      </c>
      <c r="M115" s="27">
        <v>4</v>
      </c>
      <c r="N115" s="27"/>
      <c r="O115" s="27"/>
      <c r="P115" s="28">
        <f t="shared" si="20"/>
        <v>212</v>
      </c>
      <c r="Q115" s="29">
        <f t="shared" si="21"/>
        <v>22</v>
      </c>
      <c r="R115" s="36">
        <v>12.55</v>
      </c>
      <c r="S115" s="36"/>
      <c r="T115" s="36"/>
      <c r="U115" s="37"/>
      <c r="V115" s="38">
        <f t="shared" si="22"/>
        <v>87.45</v>
      </c>
      <c r="W115" s="110">
        <f t="shared" si="23"/>
        <v>545.45000000000005</v>
      </c>
    </row>
    <row r="116" spans="1:23" s="3" customFormat="1" ht="22.5" customHeight="1" x14ac:dyDescent="0.25">
      <c r="A116" s="137">
        <v>5</v>
      </c>
      <c r="B116" s="138" t="s">
        <v>134</v>
      </c>
      <c r="C116" s="139" t="s">
        <v>135</v>
      </c>
      <c r="D116" s="139" t="s">
        <v>138</v>
      </c>
      <c r="E116" s="139" t="s">
        <v>133</v>
      </c>
      <c r="F116" s="18">
        <v>3</v>
      </c>
      <c r="G116" s="18">
        <v>5</v>
      </c>
      <c r="H116" s="18">
        <v>7</v>
      </c>
      <c r="I116" s="18">
        <v>15</v>
      </c>
      <c r="J116" s="19">
        <f t="shared" si="18"/>
        <v>172</v>
      </c>
      <c r="K116" s="20">
        <f t="shared" si="19"/>
        <v>30</v>
      </c>
      <c r="L116" s="27">
        <v>17</v>
      </c>
      <c r="M116" s="27">
        <v>12</v>
      </c>
      <c r="N116" s="27">
        <v>3</v>
      </c>
      <c r="O116" s="27"/>
      <c r="P116" s="28">
        <f t="shared" si="20"/>
        <v>284</v>
      </c>
      <c r="Q116" s="29">
        <f t="shared" si="21"/>
        <v>32</v>
      </c>
      <c r="R116" s="36">
        <v>13.48</v>
      </c>
      <c r="S116" s="36"/>
      <c r="T116" s="36"/>
      <c r="U116" s="37"/>
      <c r="V116" s="38">
        <f t="shared" si="22"/>
        <v>86.52</v>
      </c>
      <c r="W116" s="110">
        <f t="shared" si="23"/>
        <v>542.52</v>
      </c>
    </row>
    <row r="117" spans="1:23" s="3" customFormat="1" ht="22.5" customHeight="1" x14ac:dyDescent="0.25">
      <c r="A117" s="137">
        <v>12</v>
      </c>
      <c r="B117" s="138" t="s">
        <v>21</v>
      </c>
      <c r="C117" s="139" t="s">
        <v>135</v>
      </c>
      <c r="D117" s="139" t="s">
        <v>138</v>
      </c>
      <c r="E117" s="139"/>
      <c r="F117" s="18">
        <v>3</v>
      </c>
      <c r="G117" s="18">
        <v>10</v>
      </c>
      <c r="H117" s="18">
        <v>14</v>
      </c>
      <c r="I117" s="18">
        <v>1</v>
      </c>
      <c r="J117" s="19">
        <f t="shared" si="18"/>
        <v>198</v>
      </c>
      <c r="K117" s="20">
        <f t="shared" si="19"/>
        <v>28</v>
      </c>
      <c r="L117" s="27">
        <v>16</v>
      </c>
      <c r="M117" s="27">
        <v>8</v>
      </c>
      <c r="N117" s="27">
        <v>1</v>
      </c>
      <c r="O117" s="27"/>
      <c r="P117" s="28">
        <f t="shared" si="20"/>
        <v>230</v>
      </c>
      <c r="Q117" s="29">
        <f t="shared" si="21"/>
        <v>25</v>
      </c>
      <c r="R117" s="36">
        <v>16.13</v>
      </c>
      <c r="S117" s="36"/>
      <c r="T117" s="36"/>
      <c r="U117" s="37"/>
      <c r="V117" s="38">
        <f t="shared" si="22"/>
        <v>83.87</v>
      </c>
      <c r="W117" s="110">
        <f t="shared" si="23"/>
        <v>511.87</v>
      </c>
    </row>
    <row r="118" spans="1:23" s="3" customFormat="1" ht="22.5" customHeight="1" x14ac:dyDescent="0.25">
      <c r="A118" s="137">
        <v>123</v>
      </c>
      <c r="B118" s="138" t="s">
        <v>143</v>
      </c>
      <c r="C118" s="139" t="s">
        <v>135</v>
      </c>
      <c r="D118" s="139" t="s">
        <v>138</v>
      </c>
      <c r="E118" s="139" t="s">
        <v>140</v>
      </c>
      <c r="F118" s="18">
        <v>3</v>
      </c>
      <c r="G118" s="18">
        <v>10</v>
      </c>
      <c r="H118" s="18">
        <v>9</v>
      </c>
      <c r="I118" s="18">
        <v>8</v>
      </c>
      <c r="J118" s="19">
        <f t="shared" si="18"/>
        <v>196</v>
      </c>
      <c r="K118" s="20">
        <f t="shared" si="19"/>
        <v>30</v>
      </c>
      <c r="L118" s="27">
        <v>16</v>
      </c>
      <c r="M118" s="27">
        <v>6</v>
      </c>
      <c r="N118" s="27">
        <v>3</v>
      </c>
      <c r="O118" s="27"/>
      <c r="P118" s="28">
        <f t="shared" si="20"/>
        <v>226</v>
      </c>
      <c r="Q118" s="29">
        <f t="shared" si="21"/>
        <v>25</v>
      </c>
      <c r="R118" s="36">
        <v>16.5</v>
      </c>
      <c r="S118" s="36"/>
      <c r="T118" s="36"/>
      <c r="U118" s="37"/>
      <c r="V118" s="38">
        <f t="shared" si="22"/>
        <v>83.5</v>
      </c>
      <c r="W118" s="110">
        <f t="shared" si="23"/>
        <v>505.5</v>
      </c>
    </row>
    <row r="119" spans="1:23" s="3" customFormat="1" ht="22.5" customHeight="1" x14ac:dyDescent="0.25">
      <c r="A119" s="137">
        <v>57</v>
      </c>
      <c r="B119" s="138" t="s">
        <v>63</v>
      </c>
      <c r="C119" s="139" t="s">
        <v>135</v>
      </c>
      <c r="D119" s="139" t="s">
        <v>138</v>
      </c>
      <c r="E119" s="139" t="s">
        <v>194</v>
      </c>
      <c r="F119" s="18">
        <v>4</v>
      </c>
      <c r="G119" s="18">
        <v>13</v>
      </c>
      <c r="H119" s="18">
        <v>5</v>
      </c>
      <c r="I119" s="18">
        <v>9</v>
      </c>
      <c r="J119" s="19">
        <f t="shared" si="18"/>
        <v>210</v>
      </c>
      <c r="K119" s="20">
        <f t="shared" si="19"/>
        <v>31</v>
      </c>
      <c r="L119" s="27">
        <v>11</v>
      </c>
      <c r="M119" s="27">
        <v>11</v>
      </c>
      <c r="N119" s="27">
        <v>2</v>
      </c>
      <c r="O119" s="27"/>
      <c r="P119" s="28">
        <f t="shared" si="20"/>
        <v>210</v>
      </c>
      <c r="Q119" s="29">
        <f t="shared" si="21"/>
        <v>24</v>
      </c>
      <c r="R119" s="36">
        <v>21.61</v>
      </c>
      <c r="S119" s="36"/>
      <c r="T119" s="36"/>
      <c r="U119" s="37"/>
      <c r="V119" s="38">
        <f t="shared" si="22"/>
        <v>78.39</v>
      </c>
      <c r="W119" s="110">
        <f t="shared" si="23"/>
        <v>498.39</v>
      </c>
    </row>
    <row r="120" spans="1:23" s="3" customFormat="1" ht="22.5" customHeight="1" x14ac:dyDescent="0.25">
      <c r="A120" s="137">
        <v>7</v>
      </c>
      <c r="B120" s="138" t="s">
        <v>137</v>
      </c>
      <c r="C120" s="139" t="s">
        <v>135</v>
      </c>
      <c r="D120" s="139" t="s">
        <v>138</v>
      </c>
      <c r="E120" s="139" t="s">
        <v>133</v>
      </c>
      <c r="F120" s="18">
        <v>3</v>
      </c>
      <c r="G120" s="18">
        <v>6</v>
      </c>
      <c r="H120" s="18">
        <v>8</v>
      </c>
      <c r="I120" s="18">
        <v>14</v>
      </c>
      <c r="J120" s="19">
        <f t="shared" si="18"/>
        <v>182</v>
      </c>
      <c r="K120" s="20">
        <f t="shared" si="19"/>
        <v>31</v>
      </c>
      <c r="L120" s="27">
        <v>18</v>
      </c>
      <c r="M120" s="27">
        <v>6</v>
      </c>
      <c r="N120" s="27">
        <v>3</v>
      </c>
      <c r="O120" s="27"/>
      <c r="P120" s="28">
        <f t="shared" si="20"/>
        <v>246</v>
      </c>
      <c r="Q120" s="29">
        <f t="shared" si="21"/>
        <v>27</v>
      </c>
      <c r="R120" s="36">
        <v>30.47</v>
      </c>
      <c r="S120" s="36"/>
      <c r="T120" s="36"/>
      <c r="U120" s="37"/>
      <c r="V120" s="38">
        <f t="shared" si="22"/>
        <v>69.53</v>
      </c>
      <c r="W120" s="110">
        <f t="shared" si="23"/>
        <v>497.53</v>
      </c>
    </row>
    <row r="121" spans="1:23" s="3" customFormat="1" ht="22.5" customHeight="1" x14ac:dyDescent="0.25">
      <c r="A121" s="137">
        <v>64</v>
      </c>
      <c r="B121" s="138" t="s">
        <v>70</v>
      </c>
      <c r="C121" s="139" t="s">
        <v>135</v>
      </c>
      <c r="D121" s="139" t="s">
        <v>138</v>
      </c>
      <c r="E121" s="139"/>
      <c r="F121" s="18">
        <v>4</v>
      </c>
      <c r="G121" s="18">
        <v>3</v>
      </c>
      <c r="H121" s="18">
        <v>6</v>
      </c>
      <c r="I121" s="18">
        <v>9</v>
      </c>
      <c r="J121" s="19">
        <f t="shared" si="18"/>
        <v>136</v>
      </c>
      <c r="K121" s="20">
        <f t="shared" si="19"/>
        <v>22</v>
      </c>
      <c r="L121" s="27">
        <v>21</v>
      </c>
      <c r="M121" s="27">
        <v>6</v>
      </c>
      <c r="N121" s="27">
        <v>2</v>
      </c>
      <c r="O121" s="27"/>
      <c r="P121" s="28">
        <f t="shared" si="20"/>
        <v>270</v>
      </c>
      <c r="Q121" s="29">
        <f t="shared" si="21"/>
        <v>29</v>
      </c>
      <c r="R121" s="36">
        <v>14.5</v>
      </c>
      <c r="S121" s="36"/>
      <c r="T121" s="36"/>
      <c r="U121" s="37"/>
      <c r="V121" s="38">
        <f t="shared" si="22"/>
        <v>85.5</v>
      </c>
      <c r="W121" s="110">
        <f t="shared" si="23"/>
        <v>491.5</v>
      </c>
    </row>
    <row r="122" spans="1:23" s="3" customFormat="1" ht="22.5" customHeight="1" x14ac:dyDescent="0.25">
      <c r="A122" s="137">
        <v>37</v>
      </c>
      <c r="B122" s="138" t="s">
        <v>43</v>
      </c>
      <c r="C122" s="139" t="s">
        <v>135</v>
      </c>
      <c r="D122" s="139" t="s">
        <v>138</v>
      </c>
      <c r="E122" s="139" t="s">
        <v>169</v>
      </c>
      <c r="F122" s="18">
        <v>3</v>
      </c>
      <c r="G122" s="18">
        <v>10</v>
      </c>
      <c r="H122" s="18">
        <v>8</v>
      </c>
      <c r="I122" s="18">
        <v>12</v>
      </c>
      <c r="J122" s="19">
        <f t="shared" si="18"/>
        <v>206</v>
      </c>
      <c r="K122" s="20">
        <f t="shared" si="19"/>
        <v>33</v>
      </c>
      <c r="L122" s="27">
        <v>9</v>
      </c>
      <c r="M122" s="27">
        <v>10</v>
      </c>
      <c r="N122" s="27">
        <v>4</v>
      </c>
      <c r="O122" s="27"/>
      <c r="P122" s="28">
        <f t="shared" si="20"/>
        <v>194</v>
      </c>
      <c r="Q122" s="29">
        <f t="shared" si="21"/>
        <v>23</v>
      </c>
      <c r="R122" s="36">
        <v>19.170000000000002</v>
      </c>
      <c r="S122" s="36"/>
      <c r="T122" s="36"/>
      <c r="U122" s="37"/>
      <c r="V122" s="38">
        <f t="shared" si="22"/>
        <v>80.83</v>
      </c>
      <c r="W122" s="110">
        <f t="shared" si="23"/>
        <v>480.83</v>
      </c>
    </row>
    <row r="123" spans="1:23" s="3" customFormat="1" ht="22.5" customHeight="1" x14ac:dyDescent="0.25">
      <c r="A123" s="137">
        <v>126</v>
      </c>
      <c r="B123" s="138" t="s">
        <v>147</v>
      </c>
      <c r="C123" s="139" t="s">
        <v>135</v>
      </c>
      <c r="D123" s="139" t="s">
        <v>138</v>
      </c>
      <c r="E123" s="139" t="s">
        <v>146</v>
      </c>
      <c r="F123" s="18">
        <v>3</v>
      </c>
      <c r="G123" s="18">
        <v>5</v>
      </c>
      <c r="H123" s="18">
        <v>8</v>
      </c>
      <c r="I123" s="18">
        <v>17</v>
      </c>
      <c r="J123" s="19">
        <f t="shared" si="18"/>
        <v>186</v>
      </c>
      <c r="K123" s="20">
        <f t="shared" si="19"/>
        <v>33</v>
      </c>
      <c r="L123" s="27">
        <v>13</v>
      </c>
      <c r="M123" s="27">
        <v>8</v>
      </c>
      <c r="N123" s="27">
        <v>3</v>
      </c>
      <c r="O123" s="27"/>
      <c r="P123" s="28">
        <f t="shared" si="20"/>
        <v>212</v>
      </c>
      <c r="Q123" s="29">
        <f t="shared" si="21"/>
        <v>24</v>
      </c>
      <c r="R123" s="36">
        <v>17.649999999999999</v>
      </c>
      <c r="S123" s="36"/>
      <c r="T123" s="36"/>
      <c r="U123" s="37"/>
      <c r="V123" s="38">
        <f t="shared" si="22"/>
        <v>82.35</v>
      </c>
      <c r="W123" s="110">
        <f t="shared" si="23"/>
        <v>480.35</v>
      </c>
    </row>
    <row r="124" spans="1:23" s="3" customFormat="1" ht="22.5" customHeight="1" x14ac:dyDescent="0.25">
      <c r="A124" s="137">
        <v>63</v>
      </c>
      <c r="B124" s="138" t="s">
        <v>69</v>
      </c>
      <c r="C124" s="139" t="s">
        <v>135</v>
      </c>
      <c r="D124" s="139" t="s">
        <v>138</v>
      </c>
      <c r="E124" s="139" t="s">
        <v>172</v>
      </c>
      <c r="F124" s="18">
        <v>3</v>
      </c>
      <c r="G124" s="18">
        <v>3</v>
      </c>
      <c r="H124" s="18">
        <v>8</v>
      </c>
      <c r="I124" s="18">
        <v>14</v>
      </c>
      <c r="J124" s="19">
        <f t="shared" si="18"/>
        <v>158</v>
      </c>
      <c r="K124" s="20">
        <f t="shared" si="19"/>
        <v>28</v>
      </c>
      <c r="L124" s="27">
        <v>17</v>
      </c>
      <c r="M124" s="27">
        <v>8</v>
      </c>
      <c r="N124" s="27">
        <v>2</v>
      </c>
      <c r="O124" s="27"/>
      <c r="P124" s="28">
        <f t="shared" si="20"/>
        <v>246</v>
      </c>
      <c r="Q124" s="29">
        <f t="shared" si="21"/>
        <v>27</v>
      </c>
      <c r="R124" s="36">
        <v>24.13</v>
      </c>
      <c r="S124" s="36"/>
      <c r="T124" s="36"/>
      <c r="U124" s="37"/>
      <c r="V124" s="38">
        <f t="shared" si="22"/>
        <v>75.87</v>
      </c>
      <c r="W124" s="110">
        <f t="shared" si="23"/>
        <v>479.87</v>
      </c>
    </row>
    <row r="125" spans="1:23" s="3" customFormat="1" ht="22.5" customHeight="1" x14ac:dyDescent="0.25">
      <c r="A125" s="137">
        <v>53</v>
      </c>
      <c r="B125" s="138" t="s">
        <v>59</v>
      </c>
      <c r="C125" s="139" t="s">
        <v>135</v>
      </c>
      <c r="D125" s="139" t="s">
        <v>138</v>
      </c>
      <c r="E125" s="139" t="s">
        <v>170</v>
      </c>
      <c r="F125" s="18">
        <v>5</v>
      </c>
      <c r="G125" s="18">
        <v>8</v>
      </c>
      <c r="H125" s="18">
        <v>8</v>
      </c>
      <c r="I125" s="18">
        <v>11</v>
      </c>
      <c r="J125" s="19">
        <f t="shared" si="18"/>
        <v>206</v>
      </c>
      <c r="K125" s="20">
        <f t="shared" si="19"/>
        <v>32</v>
      </c>
      <c r="L125" s="27">
        <v>6</v>
      </c>
      <c r="M125" s="27">
        <v>14</v>
      </c>
      <c r="N125" s="27">
        <v>3</v>
      </c>
      <c r="O125" s="27"/>
      <c r="P125" s="28">
        <f t="shared" si="20"/>
        <v>190</v>
      </c>
      <c r="Q125" s="29">
        <f t="shared" si="21"/>
        <v>23</v>
      </c>
      <c r="R125" s="36">
        <v>23.93</v>
      </c>
      <c r="S125" s="36"/>
      <c r="T125" s="36"/>
      <c r="U125" s="37"/>
      <c r="V125" s="38">
        <f t="shared" si="22"/>
        <v>76.069999999999993</v>
      </c>
      <c r="W125" s="110">
        <f t="shared" si="23"/>
        <v>472.07</v>
      </c>
    </row>
    <row r="126" spans="1:23" s="3" customFormat="1" ht="22.5" customHeight="1" x14ac:dyDescent="0.25">
      <c r="A126" s="137">
        <v>50</v>
      </c>
      <c r="B126" s="138" t="s">
        <v>56</v>
      </c>
      <c r="C126" s="139" t="s">
        <v>135</v>
      </c>
      <c r="D126" s="139" t="s">
        <v>138</v>
      </c>
      <c r="E126" s="139"/>
      <c r="F126" s="18">
        <v>11</v>
      </c>
      <c r="G126" s="18">
        <v>7</v>
      </c>
      <c r="H126" s="18">
        <v>8</v>
      </c>
      <c r="I126" s="18">
        <v>6</v>
      </c>
      <c r="J126" s="19">
        <f t="shared" si="18"/>
        <v>238</v>
      </c>
      <c r="K126" s="20">
        <f t="shared" si="19"/>
        <v>32</v>
      </c>
      <c r="L126" s="27">
        <v>8</v>
      </c>
      <c r="M126" s="27">
        <v>7</v>
      </c>
      <c r="N126" s="27"/>
      <c r="O126" s="27"/>
      <c r="P126" s="28">
        <f t="shared" si="20"/>
        <v>136</v>
      </c>
      <c r="Q126" s="29">
        <f t="shared" si="21"/>
        <v>15</v>
      </c>
      <c r="R126" s="36">
        <v>26.87</v>
      </c>
      <c r="S126" s="36"/>
      <c r="T126" s="36"/>
      <c r="U126" s="37"/>
      <c r="V126" s="38">
        <f t="shared" si="22"/>
        <v>73.13</v>
      </c>
      <c r="W126" s="110">
        <f t="shared" si="23"/>
        <v>447.13</v>
      </c>
    </row>
    <row r="127" spans="1:23" s="3" customFormat="1" ht="22.5" customHeight="1" x14ac:dyDescent="0.25">
      <c r="A127" s="137">
        <v>62</v>
      </c>
      <c r="B127" s="138" t="s">
        <v>68</v>
      </c>
      <c r="C127" s="139" t="s">
        <v>135</v>
      </c>
      <c r="D127" s="139" t="s">
        <v>138</v>
      </c>
      <c r="E127" s="139" t="s">
        <v>172</v>
      </c>
      <c r="F127" s="18">
        <v>3</v>
      </c>
      <c r="G127" s="18">
        <v>10</v>
      </c>
      <c r="H127" s="18">
        <v>8</v>
      </c>
      <c r="I127" s="18">
        <v>8</v>
      </c>
      <c r="J127" s="19">
        <f t="shared" si="18"/>
        <v>190</v>
      </c>
      <c r="K127" s="20">
        <f t="shared" si="19"/>
        <v>29</v>
      </c>
      <c r="L127" s="27">
        <v>10</v>
      </c>
      <c r="M127" s="27">
        <v>6</v>
      </c>
      <c r="N127" s="27">
        <v>3</v>
      </c>
      <c r="O127" s="27"/>
      <c r="P127" s="28">
        <f t="shared" si="20"/>
        <v>166</v>
      </c>
      <c r="Q127" s="29">
        <f t="shared" si="21"/>
        <v>19</v>
      </c>
      <c r="R127" s="36">
        <v>18.11</v>
      </c>
      <c r="S127" s="36"/>
      <c r="T127" s="36"/>
      <c r="U127" s="37"/>
      <c r="V127" s="38">
        <f t="shared" si="22"/>
        <v>81.89</v>
      </c>
      <c r="W127" s="110">
        <f t="shared" si="23"/>
        <v>437.89</v>
      </c>
    </row>
    <row r="128" spans="1:23" s="3" customFormat="1" ht="22.5" customHeight="1" x14ac:dyDescent="0.25">
      <c r="A128" s="137">
        <v>127</v>
      </c>
      <c r="B128" s="138" t="s">
        <v>148</v>
      </c>
      <c r="C128" s="139" t="s">
        <v>135</v>
      </c>
      <c r="D128" s="139" t="s">
        <v>138</v>
      </c>
      <c r="E128" s="139" t="s">
        <v>146</v>
      </c>
      <c r="F128" s="18">
        <v>2</v>
      </c>
      <c r="G128" s="18">
        <v>6</v>
      </c>
      <c r="H128" s="18">
        <v>9</v>
      </c>
      <c r="I128" s="18">
        <v>12</v>
      </c>
      <c r="J128" s="19">
        <f t="shared" ref="J128:J130" si="24">SUM(F128*10)+(G128*8)+(H128*6)+(I128*4)</f>
        <v>170</v>
      </c>
      <c r="K128" s="20">
        <f t="shared" ref="K128:K130" si="25">SUM(F128:I128)</f>
        <v>29</v>
      </c>
      <c r="L128" s="27">
        <v>9</v>
      </c>
      <c r="M128" s="27">
        <v>10</v>
      </c>
      <c r="N128" s="27">
        <v>4</v>
      </c>
      <c r="O128" s="27"/>
      <c r="P128" s="28">
        <f t="shared" ref="P128:P130" si="26">SUM(L128*10)+(M128*8)+(N128*6)+(O128*4)</f>
        <v>194</v>
      </c>
      <c r="Q128" s="29">
        <f t="shared" ref="Q128:Q130" si="27">SUM(L128:O128)</f>
        <v>23</v>
      </c>
      <c r="R128" s="36">
        <v>26.42</v>
      </c>
      <c r="S128" s="36"/>
      <c r="T128" s="36"/>
      <c r="U128" s="37"/>
      <c r="V128" s="38">
        <f t="shared" ref="V128:V130" si="28">100-(R128+S128+(U128*10)+(T128*20))</f>
        <v>73.58</v>
      </c>
      <c r="W128" s="110">
        <f t="shared" ref="W128:W130" si="29">J128+P128+V128</f>
        <v>437.58</v>
      </c>
    </row>
    <row r="129" spans="1:23" s="3" customFormat="1" ht="22.5" customHeight="1" x14ac:dyDescent="0.25">
      <c r="A129" s="137">
        <v>14</v>
      </c>
      <c r="B129" s="138" t="s">
        <v>23</v>
      </c>
      <c r="C129" s="139" t="s">
        <v>135</v>
      </c>
      <c r="D129" s="139" t="s">
        <v>138</v>
      </c>
      <c r="E129" s="139"/>
      <c r="F129" s="18">
        <v>4</v>
      </c>
      <c r="G129" s="18">
        <v>9</v>
      </c>
      <c r="H129" s="18">
        <v>9</v>
      </c>
      <c r="I129" s="18">
        <v>10</v>
      </c>
      <c r="J129" s="19">
        <f t="shared" si="24"/>
        <v>206</v>
      </c>
      <c r="K129" s="20">
        <f t="shared" si="25"/>
        <v>32</v>
      </c>
      <c r="L129" s="27">
        <v>8</v>
      </c>
      <c r="M129" s="27">
        <v>8</v>
      </c>
      <c r="N129" s="27"/>
      <c r="O129" s="27"/>
      <c r="P129" s="28">
        <f t="shared" si="26"/>
        <v>144</v>
      </c>
      <c r="Q129" s="29">
        <f t="shared" si="27"/>
        <v>16</v>
      </c>
      <c r="R129" s="36">
        <v>21.5</v>
      </c>
      <c r="S129" s="36"/>
      <c r="T129" s="36"/>
      <c r="U129" s="37"/>
      <c r="V129" s="38">
        <f t="shared" si="28"/>
        <v>78.5</v>
      </c>
      <c r="W129" s="110">
        <f t="shared" si="29"/>
        <v>428.5</v>
      </c>
    </row>
    <row r="130" spans="1:23" s="3" customFormat="1" ht="22.5" customHeight="1" thickBot="1" x14ac:dyDescent="0.3">
      <c r="A130" s="140">
        <v>117</v>
      </c>
      <c r="B130" s="141" t="s">
        <v>174</v>
      </c>
      <c r="C130" s="142" t="s">
        <v>135</v>
      </c>
      <c r="D130" s="142" t="s">
        <v>138</v>
      </c>
      <c r="E130" s="142"/>
      <c r="F130" s="114">
        <v>1</v>
      </c>
      <c r="G130" s="114">
        <v>6</v>
      </c>
      <c r="H130" s="114">
        <v>9</v>
      </c>
      <c r="I130" s="114">
        <v>14</v>
      </c>
      <c r="J130" s="66">
        <f t="shared" si="24"/>
        <v>168</v>
      </c>
      <c r="K130" s="115">
        <f t="shared" si="25"/>
        <v>30</v>
      </c>
      <c r="L130" s="116">
        <v>8</v>
      </c>
      <c r="M130" s="116">
        <v>3</v>
      </c>
      <c r="N130" s="116">
        <v>2</v>
      </c>
      <c r="O130" s="116"/>
      <c r="P130" s="67">
        <f t="shared" si="26"/>
        <v>116</v>
      </c>
      <c r="Q130" s="117">
        <f t="shared" si="27"/>
        <v>13</v>
      </c>
      <c r="R130" s="118">
        <v>24.04</v>
      </c>
      <c r="S130" s="118"/>
      <c r="T130" s="118"/>
      <c r="U130" s="119"/>
      <c r="V130" s="120">
        <f t="shared" si="28"/>
        <v>75.960000000000008</v>
      </c>
      <c r="W130" s="121">
        <f t="shared" si="29"/>
        <v>359.96000000000004</v>
      </c>
    </row>
    <row r="131" spans="1:23" ht="13.5" thickTop="1" x14ac:dyDescent="0.2">
      <c r="A131" s="74"/>
      <c r="B131" s="75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</row>
    <row r="132" spans="1:23" x14ac:dyDescent="0.2">
      <c r="A132" s="74"/>
      <c r="B132" s="75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</row>
    <row r="133" spans="1:23" x14ac:dyDescent="0.2">
      <c r="A133" s="74"/>
      <c r="B133" s="75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</row>
    <row r="134" spans="1:23" x14ac:dyDescent="0.2">
      <c r="A134" s="74"/>
      <c r="B134" s="75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</row>
    <row r="135" spans="1:23" x14ac:dyDescent="0.2">
      <c r="A135" s="74"/>
      <c r="B135" s="75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</row>
    <row r="136" spans="1:23" x14ac:dyDescent="0.2">
      <c r="A136" s="74"/>
      <c r="B136" s="75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</row>
    <row r="137" spans="1:23" x14ac:dyDescent="0.2">
      <c r="A137" s="74"/>
      <c r="B137" s="75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</row>
    <row r="138" spans="1:23" x14ac:dyDescent="0.2">
      <c r="A138" s="74"/>
      <c r="B138" s="75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</row>
    <row r="139" spans="1:23" x14ac:dyDescent="0.2">
      <c r="A139" s="74"/>
      <c r="B139" s="75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</row>
    <row r="140" spans="1:23" x14ac:dyDescent="0.2">
      <c r="A140" s="74"/>
      <c r="B140" s="75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</row>
    <row r="141" spans="1:23" x14ac:dyDescent="0.2">
      <c r="A141" s="74"/>
      <c r="B141" s="75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</row>
    <row r="142" spans="1:23" x14ac:dyDescent="0.2">
      <c r="A142" s="74"/>
      <c r="B142" s="75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</row>
    <row r="143" spans="1:23" x14ac:dyDescent="0.2">
      <c r="A143" s="74"/>
      <c r="B143" s="75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</row>
    <row r="144" spans="1:23" x14ac:dyDescent="0.2">
      <c r="A144" s="74"/>
      <c r="B144" s="75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</row>
    <row r="145" spans="1:23" x14ac:dyDescent="0.2">
      <c r="A145" s="74"/>
      <c r="B145" s="75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</row>
    <row r="146" spans="1:23" x14ac:dyDescent="0.2">
      <c r="A146" s="74"/>
      <c r="B146" s="75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</row>
    <row r="147" spans="1:23" x14ac:dyDescent="0.2">
      <c r="A147" s="74"/>
      <c r="B147" s="75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</row>
    <row r="148" spans="1:23" x14ac:dyDescent="0.2">
      <c r="A148" s="74"/>
      <c r="B148" s="75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</row>
    <row r="149" spans="1:23" x14ac:dyDescent="0.2">
      <c r="A149" s="74"/>
      <c r="B149" s="75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</row>
    <row r="150" spans="1:23" x14ac:dyDescent="0.2">
      <c r="A150" s="74"/>
      <c r="B150" s="75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</row>
    <row r="151" spans="1:23" x14ac:dyDescent="0.2">
      <c r="A151" s="74"/>
      <c r="B151" s="75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</row>
    <row r="152" spans="1:23" x14ac:dyDescent="0.2">
      <c r="A152" s="74"/>
      <c r="B152" s="75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</row>
    <row r="153" spans="1:23" x14ac:dyDescent="0.2">
      <c r="A153" s="74"/>
      <c r="B153" s="75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</row>
    <row r="154" spans="1:23" x14ac:dyDescent="0.2">
      <c r="A154" s="74"/>
      <c r="B154" s="75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</row>
    <row r="155" spans="1:23" x14ac:dyDescent="0.2">
      <c r="A155" s="74"/>
      <c r="B155" s="75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</row>
    <row r="156" spans="1:23" x14ac:dyDescent="0.2">
      <c r="A156" s="74"/>
      <c r="B156" s="75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</row>
    <row r="157" spans="1:23" x14ac:dyDescent="0.2">
      <c r="A157" s="74"/>
      <c r="B157" s="75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</row>
    <row r="158" spans="1:23" x14ac:dyDescent="0.2">
      <c r="A158" s="74"/>
      <c r="B158" s="75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</row>
    <row r="159" spans="1:23" x14ac:dyDescent="0.2">
      <c r="A159" s="74"/>
      <c r="B159" s="75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</row>
    <row r="160" spans="1:23" x14ac:dyDescent="0.2">
      <c r="A160" s="74"/>
      <c r="B160" s="75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</row>
    <row r="161" spans="1:23" x14ac:dyDescent="0.2">
      <c r="A161" s="74"/>
      <c r="B161" s="75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</row>
    <row r="162" spans="1:23" x14ac:dyDescent="0.2">
      <c r="A162" s="74"/>
      <c r="B162" s="75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</row>
    <row r="163" spans="1:23" x14ac:dyDescent="0.2">
      <c r="A163" s="74"/>
      <c r="B163" s="75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</row>
    <row r="164" spans="1:23" x14ac:dyDescent="0.2">
      <c r="A164" s="74"/>
      <c r="B164" s="75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</row>
    <row r="165" spans="1:23" x14ac:dyDescent="0.2">
      <c r="A165" s="74"/>
      <c r="B165" s="75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</row>
    <row r="166" spans="1:23" x14ac:dyDescent="0.2">
      <c r="A166" s="74"/>
      <c r="B166" s="75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</row>
    <row r="167" spans="1:23" x14ac:dyDescent="0.2">
      <c r="A167" s="74"/>
      <c r="B167" s="75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</row>
    <row r="168" spans="1:23" x14ac:dyDescent="0.2">
      <c r="A168" s="74"/>
      <c r="B168" s="75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</row>
    <row r="169" spans="1:23" x14ac:dyDescent="0.2">
      <c r="A169" s="74"/>
      <c r="B169" s="75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</row>
    <row r="170" spans="1:23" x14ac:dyDescent="0.2">
      <c r="A170" s="74"/>
      <c r="B170" s="75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</row>
    <row r="171" spans="1:23" x14ac:dyDescent="0.2">
      <c r="A171" s="74"/>
      <c r="B171" s="75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</row>
    <row r="172" spans="1:23" x14ac:dyDescent="0.2">
      <c r="A172" s="74"/>
      <c r="B172" s="75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</row>
    <row r="173" spans="1:23" x14ac:dyDescent="0.2">
      <c r="A173" s="74"/>
      <c r="B173" s="75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</row>
    <row r="174" spans="1:23" x14ac:dyDescent="0.2">
      <c r="A174" s="74"/>
      <c r="B174" s="75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</row>
    <row r="175" spans="1:23" x14ac:dyDescent="0.2">
      <c r="A175" s="74"/>
      <c r="B175" s="75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</row>
    <row r="176" spans="1:23" x14ac:dyDescent="0.2">
      <c r="A176" s="74"/>
      <c r="B176" s="75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</row>
    <row r="177" spans="1:23" x14ac:dyDescent="0.2">
      <c r="A177" s="74"/>
      <c r="B177" s="75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</row>
    <row r="178" spans="1:23" x14ac:dyDescent="0.2">
      <c r="A178" s="74"/>
      <c r="B178" s="75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</row>
    <row r="179" spans="1:23" x14ac:dyDescent="0.2">
      <c r="A179" s="74"/>
      <c r="B179" s="75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</row>
    <row r="180" spans="1:23" x14ac:dyDescent="0.2">
      <c r="A180" s="74"/>
      <c r="B180" s="75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</row>
    <row r="181" spans="1:23" x14ac:dyDescent="0.2">
      <c r="A181" s="74"/>
      <c r="B181" s="75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</row>
    <row r="182" spans="1:23" x14ac:dyDescent="0.2">
      <c r="A182" s="74"/>
      <c r="B182" s="75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</row>
    <row r="183" spans="1:23" x14ac:dyDescent="0.2">
      <c r="A183" s="74"/>
      <c r="B183" s="75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</row>
    <row r="184" spans="1:23" x14ac:dyDescent="0.2">
      <c r="A184" s="74"/>
      <c r="B184" s="75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</row>
    <row r="185" spans="1:23" x14ac:dyDescent="0.2">
      <c r="A185" s="74"/>
      <c r="B185" s="75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</row>
    <row r="186" spans="1:23" x14ac:dyDescent="0.2">
      <c r="A186" s="74"/>
      <c r="B186" s="75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</row>
    <row r="187" spans="1:23" x14ac:dyDescent="0.2">
      <c r="A187" s="74"/>
      <c r="B187" s="75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</row>
    <row r="188" spans="1:23" x14ac:dyDescent="0.2">
      <c r="A188" s="74"/>
      <c r="B188" s="75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</row>
    <row r="189" spans="1:23" x14ac:dyDescent="0.2">
      <c r="A189" s="74"/>
      <c r="B189" s="75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</row>
    <row r="190" spans="1:23" x14ac:dyDescent="0.2">
      <c r="A190" s="74"/>
      <c r="B190" s="75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</row>
    <row r="191" spans="1:23" x14ac:dyDescent="0.2">
      <c r="A191" s="74"/>
      <c r="B191" s="75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</row>
    <row r="192" spans="1:23" x14ac:dyDescent="0.2">
      <c r="A192" s="74"/>
      <c r="B192" s="75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</row>
    <row r="193" spans="1:23" x14ac:dyDescent="0.2">
      <c r="A193" s="74"/>
      <c r="B193" s="75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</row>
    <row r="194" spans="1:23" x14ac:dyDescent="0.2">
      <c r="A194" s="74"/>
      <c r="B194" s="75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</row>
    <row r="195" spans="1:23" x14ac:dyDescent="0.2">
      <c r="A195" s="74"/>
      <c r="B195" s="75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</row>
    <row r="196" spans="1:23" x14ac:dyDescent="0.2">
      <c r="A196" s="74"/>
      <c r="B196" s="75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</row>
    <row r="197" spans="1:23" x14ac:dyDescent="0.2">
      <c r="A197" s="74"/>
      <c r="B197" s="75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</row>
    <row r="198" spans="1:23" x14ac:dyDescent="0.2">
      <c r="A198" s="74"/>
      <c r="B198" s="75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</row>
    <row r="199" spans="1:23" x14ac:dyDescent="0.2">
      <c r="A199" s="74"/>
      <c r="B199" s="75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</row>
    <row r="200" spans="1:23" x14ac:dyDescent="0.2">
      <c r="A200" s="74"/>
      <c r="B200" s="75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</row>
    <row r="201" spans="1:23" x14ac:dyDescent="0.2">
      <c r="A201" s="74"/>
      <c r="B201" s="75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</row>
    <row r="202" spans="1:23" x14ac:dyDescent="0.2">
      <c r="A202" s="74"/>
      <c r="B202" s="75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</row>
    <row r="203" spans="1:23" x14ac:dyDescent="0.2">
      <c r="A203" s="74"/>
      <c r="B203" s="75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</row>
    <row r="204" spans="1:23" x14ac:dyDescent="0.2">
      <c r="A204" s="74"/>
      <c r="B204" s="75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</row>
    <row r="205" spans="1:23" x14ac:dyDescent="0.2">
      <c r="A205" s="74"/>
      <c r="B205" s="75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</row>
    <row r="206" spans="1:23" x14ac:dyDescent="0.2">
      <c r="A206" s="74"/>
      <c r="B206" s="75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</row>
    <row r="207" spans="1:23" x14ac:dyDescent="0.2">
      <c r="A207" s="74"/>
      <c r="B207" s="75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</row>
    <row r="208" spans="1:23" x14ac:dyDescent="0.2">
      <c r="A208" s="74"/>
      <c r="B208" s="75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</row>
    <row r="209" spans="1:23" x14ac:dyDescent="0.2">
      <c r="A209" s="74"/>
      <c r="B209" s="75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</row>
    <row r="210" spans="1:23" x14ac:dyDescent="0.2">
      <c r="A210" s="74"/>
      <c r="B210" s="75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</row>
    <row r="211" spans="1:23" x14ac:dyDescent="0.2">
      <c r="A211" s="74"/>
      <c r="B211" s="75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</row>
    <row r="212" spans="1:23" x14ac:dyDescent="0.2">
      <c r="A212" s="74"/>
      <c r="B212" s="75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</row>
    <row r="213" spans="1:23" x14ac:dyDescent="0.2">
      <c r="A213" s="74"/>
      <c r="B213" s="75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</row>
    <row r="214" spans="1:23" x14ac:dyDescent="0.2">
      <c r="A214" s="74"/>
      <c r="B214" s="75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</row>
    <row r="215" spans="1:23" x14ac:dyDescent="0.2">
      <c r="A215" s="74"/>
      <c r="B215" s="75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</row>
    <row r="216" spans="1:23" x14ac:dyDescent="0.2">
      <c r="A216" s="74"/>
      <c r="B216" s="75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</row>
    <row r="217" spans="1:23" x14ac:dyDescent="0.2">
      <c r="A217" s="74"/>
      <c r="B217" s="75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</row>
    <row r="218" spans="1:23" x14ac:dyDescent="0.2">
      <c r="A218" s="74"/>
      <c r="B218" s="75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</row>
    <row r="219" spans="1:23" x14ac:dyDescent="0.2">
      <c r="A219" s="74"/>
      <c r="B219" s="75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</row>
    <row r="220" spans="1:23" x14ac:dyDescent="0.2">
      <c r="A220" s="74"/>
      <c r="B220" s="75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</row>
    <row r="221" spans="1:23" x14ac:dyDescent="0.2">
      <c r="A221" s="74"/>
      <c r="B221" s="75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</row>
    <row r="222" spans="1:23" x14ac:dyDescent="0.2">
      <c r="A222" s="74"/>
      <c r="B222" s="75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</row>
    <row r="223" spans="1:23" x14ac:dyDescent="0.2">
      <c r="A223" s="74"/>
      <c r="B223" s="75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</row>
    <row r="224" spans="1:23" x14ac:dyDescent="0.2">
      <c r="A224" s="74"/>
      <c r="B224" s="75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</row>
    <row r="225" spans="1:23" x14ac:dyDescent="0.2">
      <c r="A225" s="74"/>
      <c r="B225" s="75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</row>
    <row r="226" spans="1:23" x14ac:dyDescent="0.2">
      <c r="A226" s="74"/>
      <c r="B226" s="75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</row>
    <row r="227" spans="1:23" x14ac:dyDescent="0.2">
      <c r="A227" s="74"/>
      <c r="B227" s="75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</row>
    <row r="228" spans="1:23" x14ac:dyDescent="0.2">
      <c r="A228" s="74"/>
      <c r="B228" s="75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</row>
    <row r="229" spans="1:23" x14ac:dyDescent="0.2">
      <c r="A229" s="74"/>
      <c r="B229" s="75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</row>
    <row r="230" spans="1:23" x14ac:dyDescent="0.2">
      <c r="A230" s="74"/>
      <c r="B230" s="75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</row>
    <row r="231" spans="1:23" x14ac:dyDescent="0.2">
      <c r="A231" s="74"/>
      <c r="B231" s="75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</row>
    <row r="232" spans="1:23" x14ac:dyDescent="0.2">
      <c r="A232" s="74"/>
      <c r="B232" s="75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</row>
    <row r="233" spans="1:23" x14ac:dyDescent="0.2">
      <c r="A233" s="74"/>
      <c r="B233" s="75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</row>
    <row r="234" spans="1:23" x14ac:dyDescent="0.2">
      <c r="A234" s="74"/>
      <c r="B234" s="75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</row>
    <row r="235" spans="1:23" x14ac:dyDescent="0.2">
      <c r="A235" s="74"/>
      <c r="B235" s="75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</row>
    <row r="236" spans="1:23" x14ac:dyDescent="0.2">
      <c r="A236" s="74"/>
      <c r="B236" s="75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</row>
    <row r="237" spans="1:23" x14ac:dyDescent="0.2">
      <c r="A237" s="74"/>
      <c r="B237" s="75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</row>
    <row r="238" spans="1:23" x14ac:dyDescent="0.2">
      <c r="A238" s="74"/>
      <c r="B238" s="75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</row>
    <row r="239" spans="1:23" x14ac:dyDescent="0.2">
      <c r="A239" s="74"/>
      <c r="B239" s="75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</row>
    <row r="240" spans="1:23" x14ac:dyDescent="0.2">
      <c r="A240" s="74"/>
      <c r="B240" s="75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</row>
    <row r="241" spans="1:23" x14ac:dyDescent="0.2">
      <c r="A241" s="74"/>
      <c r="B241" s="75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</row>
    <row r="242" spans="1:23" x14ac:dyDescent="0.2">
      <c r="A242" s="74"/>
      <c r="B242" s="75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</row>
    <row r="243" spans="1:23" x14ac:dyDescent="0.2">
      <c r="A243" s="74"/>
      <c r="B243" s="75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</row>
    <row r="244" spans="1:23" x14ac:dyDescent="0.2">
      <c r="A244" s="74"/>
      <c r="B244" s="75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</row>
    <row r="245" spans="1:23" x14ac:dyDescent="0.2">
      <c r="A245" s="74"/>
      <c r="B245" s="75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</row>
    <row r="246" spans="1:23" x14ac:dyDescent="0.2">
      <c r="A246" s="74"/>
      <c r="B246" s="75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</row>
    <row r="247" spans="1:23" x14ac:dyDescent="0.2">
      <c r="A247" s="74"/>
      <c r="B247" s="75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</row>
    <row r="248" spans="1:23" x14ac:dyDescent="0.2">
      <c r="A248" s="74"/>
      <c r="B248" s="75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</row>
    <row r="249" spans="1:23" x14ac:dyDescent="0.2">
      <c r="A249" s="74"/>
      <c r="B249" s="75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</row>
    <row r="250" spans="1:23" x14ac:dyDescent="0.2">
      <c r="A250" s="74"/>
      <c r="B250" s="75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</row>
    <row r="251" spans="1:23" x14ac:dyDescent="0.2">
      <c r="A251" s="74"/>
      <c r="B251" s="75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</row>
    <row r="252" spans="1:23" x14ac:dyDescent="0.2">
      <c r="A252" s="74"/>
      <c r="B252" s="75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</row>
    <row r="253" spans="1:23" x14ac:dyDescent="0.2">
      <c r="A253" s="74"/>
      <c r="B253" s="75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</row>
    <row r="254" spans="1:23" x14ac:dyDescent="0.2">
      <c r="A254" s="74"/>
      <c r="B254" s="75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</row>
    <row r="255" spans="1:23" x14ac:dyDescent="0.2">
      <c r="A255" s="74"/>
      <c r="B255" s="75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</row>
    <row r="256" spans="1:23" x14ac:dyDescent="0.2">
      <c r="A256" s="74"/>
      <c r="B256" s="75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</row>
    <row r="257" spans="1:23" x14ac:dyDescent="0.2">
      <c r="A257" s="74"/>
      <c r="B257" s="75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</row>
    <row r="258" spans="1:23" x14ac:dyDescent="0.2">
      <c r="A258" s="74"/>
      <c r="B258" s="75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</row>
    <row r="259" spans="1:23" x14ac:dyDescent="0.2">
      <c r="A259" s="74"/>
      <c r="B259" s="75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</row>
    <row r="260" spans="1:23" x14ac:dyDescent="0.2">
      <c r="A260" s="74"/>
      <c r="B260" s="75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</row>
    <row r="261" spans="1:23" x14ac:dyDescent="0.2">
      <c r="A261" s="74"/>
      <c r="B261" s="75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</row>
    <row r="262" spans="1:23" x14ac:dyDescent="0.2">
      <c r="A262" s="74"/>
      <c r="B262" s="75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</row>
    <row r="263" spans="1:23" x14ac:dyDescent="0.2">
      <c r="A263" s="74"/>
      <c r="B263" s="75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</row>
    <row r="264" spans="1:23" x14ac:dyDescent="0.2">
      <c r="A264" s="74"/>
      <c r="B264" s="75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</row>
    <row r="265" spans="1:23" x14ac:dyDescent="0.2">
      <c r="A265" s="74"/>
      <c r="B265" s="75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</row>
    <row r="266" spans="1:23" x14ac:dyDescent="0.2">
      <c r="A266" s="74"/>
      <c r="B266" s="75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</row>
    <row r="267" spans="1:23" x14ac:dyDescent="0.2">
      <c r="A267" s="74"/>
      <c r="B267" s="75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</row>
    <row r="268" spans="1:23" x14ac:dyDescent="0.2">
      <c r="A268" s="74"/>
      <c r="B268" s="75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</row>
    <row r="269" spans="1:23" x14ac:dyDescent="0.2">
      <c r="A269" s="74"/>
      <c r="B269" s="75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</row>
    <row r="270" spans="1:23" x14ac:dyDescent="0.2">
      <c r="A270" s="74"/>
      <c r="B270" s="75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</row>
    <row r="271" spans="1:23" x14ac:dyDescent="0.2">
      <c r="A271" s="74"/>
      <c r="B271" s="75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</row>
    <row r="272" spans="1:23" x14ac:dyDescent="0.2">
      <c r="A272" s="74"/>
      <c r="B272" s="75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</row>
    <row r="273" spans="1:23" x14ac:dyDescent="0.2">
      <c r="A273" s="74"/>
      <c r="B273" s="75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</row>
    <row r="274" spans="1:23" x14ac:dyDescent="0.2">
      <c r="A274" s="74"/>
      <c r="B274" s="75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</row>
    <row r="275" spans="1:23" x14ac:dyDescent="0.2">
      <c r="A275" s="74"/>
      <c r="B275" s="75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</row>
    <row r="276" spans="1:23" x14ac:dyDescent="0.2">
      <c r="A276" s="74"/>
      <c r="B276" s="75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</row>
    <row r="277" spans="1:23" x14ac:dyDescent="0.2">
      <c r="A277" s="74"/>
      <c r="B277" s="75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</row>
    <row r="278" spans="1:23" x14ac:dyDescent="0.2">
      <c r="A278" s="74"/>
      <c r="B278" s="75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</row>
    <row r="279" spans="1:23" x14ac:dyDescent="0.2">
      <c r="A279" s="74"/>
      <c r="B279" s="75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</row>
    <row r="280" spans="1:23" x14ac:dyDescent="0.2">
      <c r="A280" s="74"/>
      <c r="B280" s="75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</row>
    <row r="281" spans="1:23" x14ac:dyDescent="0.2">
      <c r="A281" s="74"/>
      <c r="B281" s="75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</row>
    <row r="282" spans="1:23" x14ac:dyDescent="0.2">
      <c r="A282" s="74"/>
      <c r="B282" s="75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</row>
    <row r="283" spans="1:23" x14ac:dyDescent="0.2">
      <c r="A283" s="74"/>
      <c r="B283" s="75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</row>
    <row r="284" spans="1:23" x14ac:dyDescent="0.2">
      <c r="A284" s="74"/>
      <c r="B284" s="75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</row>
    <row r="285" spans="1:23" x14ac:dyDescent="0.2">
      <c r="A285" s="74"/>
      <c r="B285" s="75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</row>
    <row r="286" spans="1:23" x14ac:dyDescent="0.2">
      <c r="A286" s="74"/>
      <c r="B286" s="75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</row>
    <row r="287" spans="1:23" x14ac:dyDescent="0.2">
      <c r="A287" s="74"/>
      <c r="B287" s="75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</row>
    <row r="288" spans="1:23" x14ac:dyDescent="0.2">
      <c r="A288" s="74"/>
      <c r="B288" s="75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</row>
    <row r="289" spans="1:23" x14ac:dyDescent="0.2">
      <c r="A289" s="74"/>
      <c r="B289" s="75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</row>
    <row r="290" spans="1:23" x14ac:dyDescent="0.2">
      <c r="A290" s="74"/>
      <c r="B290" s="75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</row>
    <row r="291" spans="1:23" x14ac:dyDescent="0.2">
      <c r="A291" s="74"/>
      <c r="B291" s="75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</row>
    <row r="292" spans="1:23" x14ac:dyDescent="0.2">
      <c r="A292" s="74"/>
      <c r="B292" s="75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</row>
    <row r="293" spans="1:23" x14ac:dyDescent="0.2">
      <c r="A293" s="74"/>
      <c r="B293" s="75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</row>
    <row r="294" spans="1:23" x14ac:dyDescent="0.2">
      <c r="A294" s="74"/>
      <c r="B294" s="75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</row>
    <row r="295" spans="1:23" x14ac:dyDescent="0.2">
      <c r="A295" s="74"/>
      <c r="B295" s="75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</row>
    <row r="296" spans="1:23" x14ac:dyDescent="0.2">
      <c r="A296" s="74"/>
      <c r="B296" s="75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</row>
    <row r="297" spans="1:23" x14ac:dyDescent="0.2">
      <c r="A297" s="74"/>
      <c r="B297" s="75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</row>
    <row r="298" spans="1:23" x14ac:dyDescent="0.2">
      <c r="A298" s="74"/>
      <c r="B298" s="75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</row>
    <row r="299" spans="1:23" x14ac:dyDescent="0.2">
      <c r="A299" s="74"/>
      <c r="B299" s="75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</row>
    <row r="300" spans="1:23" x14ac:dyDescent="0.2">
      <c r="A300" s="74"/>
      <c r="B300" s="75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</row>
    <row r="301" spans="1:23" x14ac:dyDescent="0.2">
      <c r="A301" s="74"/>
      <c r="B301" s="75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</row>
    <row r="302" spans="1:23" x14ac:dyDescent="0.2">
      <c r="A302" s="74"/>
      <c r="B302" s="75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</row>
    <row r="303" spans="1:23" x14ac:dyDescent="0.2">
      <c r="A303" s="74"/>
      <c r="B303" s="75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</row>
    <row r="304" spans="1:23" x14ac:dyDescent="0.2">
      <c r="A304" s="74"/>
      <c r="B304" s="75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</row>
    <row r="305" spans="1:23" x14ac:dyDescent="0.2">
      <c r="A305" s="74"/>
      <c r="B305" s="75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</row>
    <row r="306" spans="1:23" x14ac:dyDescent="0.2">
      <c r="A306" s="74"/>
      <c r="B306" s="75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</row>
    <row r="307" spans="1:23" x14ac:dyDescent="0.2">
      <c r="A307" s="74"/>
      <c r="B307" s="75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</row>
    <row r="308" spans="1:23" x14ac:dyDescent="0.2">
      <c r="A308" s="74"/>
      <c r="B308" s="75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</row>
    <row r="309" spans="1:23" x14ac:dyDescent="0.2">
      <c r="A309" s="74"/>
      <c r="B309" s="75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</row>
    <row r="310" spans="1:23" x14ac:dyDescent="0.2">
      <c r="A310" s="74"/>
      <c r="B310" s="75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</row>
    <row r="311" spans="1:23" x14ac:dyDescent="0.2">
      <c r="A311" s="74"/>
      <c r="B311" s="75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</row>
    <row r="312" spans="1:23" x14ac:dyDescent="0.2">
      <c r="A312" s="74"/>
      <c r="B312" s="75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</row>
    <row r="313" spans="1:23" x14ac:dyDescent="0.2">
      <c r="A313" s="74"/>
      <c r="B313" s="75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</row>
    <row r="314" spans="1:23" x14ac:dyDescent="0.2">
      <c r="A314" s="74"/>
      <c r="B314" s="75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</row>
    <row r="315" spans="1:23" x14ac:dyDescent="0.2">
      <c r="A315" s="74"/>
      <c r="B315" s="75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</row>
    <row r="316" spans="1:23" x14ac:dyDescent="0.2">
      <c r="A316" s="74"/>
      <c r="B316" s="75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</row>
    <row r="317" spans="1:23" x14ac:dyDescent="0.2">
      <c r="A317" s="74"/>
      <c r="B317" s="75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</row>
    <row r="318" spans="1:23" x14ac:dyDescent="0.2">
      <c r="A318" s="74"/>
      <c r="B318" s="75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</row>
    <row r="319" spans="1:23" x14ac:dyDescent="0.2">
      <c r="A319" s="74"/>
      <c r="B319" s="75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</row>
    <row r="320" spans="1:23" x14ac:dyDescent="0.2">
      <c r="A320" s="74"/>
      <c r="B320" s="75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</row>
    <row r="321" spans="1:23" x14ac:dyDescent="0.2">
      <c r="A321" s="74"/>
      <c r="B321" s="75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</row>
    <row r="322" spans="1:23" x14ac:dyDescent="0.2">
      <c r="A322" s="74"/>
      <c r="B322" s="75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</row>
    <row r="323" spans="1:23" x14ac:dyDescent="0.2">
      <c r="A323" s="74"/>
      <c r="B323" s="75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</row>
    <row r="324" spans="1:23" x14ac:dyDescent="0.2">
      <c r="A324" s="74"/>
      <c r="B324" s="75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</row>
    <row r="325" spans="1:23" x14ac:dyDescent="0.2">
      <c r="A325" s="74"/>
      <c r="B325" s="75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</row>
    <row r="326" spans="1:23" x14ac:dyDescent="0.2">
      <c r="A326" s="74"/>
      <c r="B326" s="75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</row>
    <row r="327" spans="1:23" x14ac:dyDescent="0.2">
      <c r="A327" s="74"/>
      <c r="B327" s="75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</row>
    <row r="328" spans="1:23" x14ac:dyDescent="0.2">
      <c r="A328" s="74"/>
      <c r="B328" s="75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</row>
    <row r="329" spans="1:23" x14ac:dyDescent="0.2">
      <c r="A329" s="74"/>
      <c r="B329" s="75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</row>
    <row r="330" spans="1:23" x14ac:dyDescent="0.2">
      <c r="A330" s="74"/>
      <c r="B330" s="75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</row>
    <row r="331" spans="1:23" x14ac:dyDescent="0.2">
      <c r="A331" s="74"/>
      <c r="B331" s="75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</row>
    <row r="332" spans="1:23" x14ac:dyDescent="0.2">
      <c r="A332" s="74"/>
      <c r="B332" s="75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</row>
    <row r="333" spans="1:23" x14ac:dyDescent="0.2">
      <c r="A333" s="74"/>
      <c r="B333" s="75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</row>
    <row r="334" spans="1:23" x14ac:dyDescent="0.2">
      <c r="A334" s="74"/>
      <c r="B334" s="75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</row>
    <row r="335" spans="1:23" x14ac:dyDescent="0.2">
      <c r="A335" s="74"/>
      <c r="B335" s="75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</row>
    <row r="336" spans="1:23" x14ac:dyDescent="0.2">
      <c r="A336" s="74"/>
      <c r="B336" s="75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</row>
    <row r="337" spans="1:23" x14ac:dyDescent="0.2">
      <c r="A337" s="74"/>
      <c r="B337" s="75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</row>
    <row r="338" spans="1:23" x14ac:dyDescent="0.2">
      <c r="A338" s="74"/>
      <c r="B338" s="75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</row>
    <row r="339" spans="1:23" x14ac:dyDescent="0.2">
      <c r="A339" s="74"/>
      <c r="B339" s="75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</row>
    <row r="340" spans="1:23" x14ac:dyDescent="0.2">
      <c r="A340" s="74"/>
      <c r="B340" s="75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</row>
    <row r="341" spans="1:23" x14ac:dyDescent="0.2">
      <c r="A341" s="74"/>
      <c r="B341" s="75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</row>
    <row r="342" spans="1:23" x14ac:dyDescent="0.2">
      <c r="A342" s="74"/>
      <c r="B342" s="75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</row>
    <row r="343" spans="1:23" x14ac:dyDescent="0.2">
      <c r="A343" s="74"/>
      <c r="B343" s="75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</row>
    <row r="344" spans="1:23" x14ac:dyDescent="0.2">
      <c r="A344" s="74"/>
      <c r="B344" s="75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</row>
    <row r="345" spans="1:23" x14ac:dyDescent="0.2">
      <c r="A345" s="74"/>
      <c r="B345" s="75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</row>
    <row r="346" spans="1:23" x14ac:dyDescent="0.2">
      <c r="A346" s="74"/>
      <c r="B346" s="75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</row>
    <row r="347" spans="1:23" x14ac:dyDescent="0.2">
      <c r="A347" s="74"/>
      <c r="B347" s="75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</row>
    <row r="348" spans="1:23" x14ac:dyDescent="0.2">
      <c r="A348" s="74"/>
      <c r="B348" s="75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</row>
    <row r="349" spans="1:23" x14ac:dyDescent="0.2">
      <c r="A349" s="74"/>
      <c r="B349" s="75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</row>
    <row r="350" spans="1:23" x14ac:dyDescent="0.2">
      <c r="A350" s="74"/>
      <c r="B350" s="75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</row>
    <row r="351" spans="1:23" x14ac:dyDescent="0.2">
      <c r="A351" s="74"/>
      <c r="B351" s="75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</row>
    <row r="352" spans="1:23" x14ac:dyDescent="0.2">
      <c r="A352" s="74"/>
      <c r="B352" s="75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</row>
    <row r="353" spans="1:23" x14ac:dyDescent="0.2">
      <c r="A353" s="74"/>
      <c r="B353" s="75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</row>
    <row r="354" spans="1:23" x14ac:dyDescent="0.2">
      <c r="A354" s="74"/>
      <c r="B354" s="75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</row>
    <row r="355" spans="1:23" x14ac:dyDescent="0.2">
      <c r="A355" s="74"/>
      <c r="B355" s="75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</row>
    <row r="356" spans="1:23" x14ac:dyDescent="0.2">
      <c r="A356" s="74"/>
      <c r="B356" s="75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</row>
    <row r="357" spans="1:23" x14ac:dyDescent="0.2">
      <c r="A357" s="74"/>
      <c r="B357" s="75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</row>
    <row r="358" spans="1:23" x14ac:dyDescent="0.2">
      <c r="A358" s="74"/>
      <c r="B358" s="75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</row>
    <row r="359" spans="1:23" x14ac:dyDescent="0.2">
      <c r="A359" s="74"/>
      <c r="B359" s="75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</row>
    <row r="360" spans="1:23" x14ac:dyDescent="0.2">
      <c r="A360" s="74"/>
      <c r="B360" s="75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</row>
    <row r="361" spans="1:23" x14ac:dyDescent="0.2">
      <c r="A361" s="74"/>
      <c r="B361" s="75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</row>
    <row r="362" spans="1:23" x14ac:dyDescent="0.2">
      <c r="A362" s="74"/>
      <c r="B362" s="75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</row>
    <row r="363" spans="1:23" x14ac:dyDescent="0.2">
      <c r="A363" s="74"/>
      <c r="B363" s="75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</row>
    <row r="364" spans="1:23" x14ac:dyDescent="0.2">
      <c r="A364" s="74"/>
      <c r="B364" s="75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</row>
    <row r="365" spans="1:23" x14ac:dyDescent="0.2">
      <c r="A365" s="74"/>
      <c r="B365" s="75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</row>
    <row r="366" spans="1:23" x14ac:dyDescent="0.2">
      <c r="A366" s="74"/>
      <c r="B366" s="75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</row>
    <row r="367" spans="1:23" x14ac:dyDescent="0.2">
      <c r="A367" s="74"/>
      <c r="B367" s="75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</row>
    <row r="368" spans="1:23" x14ac:dyDescent="0.2">
      <c r="A368" s="74"/>
      <c r="B368" s="75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</row>
    <row r="369" spans="1:23" x14ac:dyDescent="0.2">
      <c r="A369" s="74"/>
      <c r="B369" s="75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</row>
    <row r="370" spans="1:23" x14ac:dyDescent="0.2">
      <c r="A370" s="74"/>
      <c r="B370" s="75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</row>
    <row r="371" spans="1:23" x14ac:dyDescent="0.2">
      <c r="A371" s="74"/>
      <c r="B371" s="75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</row>
    <row r="372" spans="1:23" x14ac:dyDescent="0.2">
      <c r="A372" s="74"/>
      <c r="B372" s="75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</row>
    <row r="373" spans="1:23" x14ac:dyDescent="0.2">
      <c r="A373" s="74"/>
      <c r="B373" s="75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</row>
    <row r="374" spans="1:23" x14ac:dyDescent="0.2">
      <c r="A374" s="74"/>
      <c r="B374" s="75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</row>
    <row r="375" spans="1:23" x14ac:dyDescent="0.2">
      <c r="A375" s="74"/>
      <c r="B375" s="75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</row>
    <row r="376" spans="1:23" x14ac:dyDescent="0.2">
      <c r="A376" s="74"/>
      <c r="B376" s="75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</row>
    <row r="377" spans="1:23" x14ac:dyDescent="0.2">
      <c r="A377" s="74"/>
      <c r="B377" s="75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</row>
    <row r="378" spans="1:23" x14ac:dyDescent="0.2">
      <c r="A378" s="74"/>
      <c r="B378" s="75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</row>
    <row r="379" spans="1:23" x14ac:dyDescent="0.2">
      <c r="A379" s="74"/>
      <c r="B379" s="75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</row>
    <row r="380" spans="1:23" x14ac:dyDescent="0.2">
      <c r="A380" s="74"/>
      <c r="B380" s="75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</row>
    <row r="381" spans="1:23" x14ac:dyDescent="0.2">
      <c r="A381" s="74"/>
      <c r="B381" s="75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</row>
    <row r="382" spans="1:23" x14ac:dyDescent="0.2">
      <c r="A382" s="74"/>
      <c r="B382" s="75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</row>
    <row r="383" spans="1:23" x14ac:dyDescent="0.2">
      <c r="A383" s="74"/>
      <c r="B383" s="75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</row>
    <row r="384" spans="1:23" x14ac:dyDescent="0.2">
      <c r="A384" s="74"/>
      <c r="B384" s="75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</row>
    <row r="385" spans="1:23" x14ac:dyDescent="0.2">
      <c r="A385" s="74"/>
      <c r="B385" s="75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</row>
    <row r="386" spans="1:23" x14ac:dyDescent="0.2">
      <c r="A386" s="74"/>
      <c r="B386" s="75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</row>
    <row r="387" spans="1:23" x14ac:dyDescent="0.2">
      <c r="A387" s="74"/>
      <c r="B387" s="75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</row>
    <row r="388" spans="1:23" x14ac:dyDescent="0.2">
      <c r="A388" s="74"/>
      <c r="B388" s="75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</row>
    <row r="389" spans="1:23" x14ac:dyDescent="0.2">
      <c r="A389" s="74"/>
      <c r="B389" s="75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</row>
    <row r="390" spans="1:23" x14ac:dyDescent="0.2">
      <c r="A390" s="74"/>
      <c r="B390" s="75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</row>
    <row r="391" spans="1:23" x14ac:dyDescent="0.2">
      <c r="A391" s="74"/>
      <c r="B391" s="75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</row>
    <row r="392" spans="1:23" x14ac:dyDescent="0.2">
      <c r="A392" s="74"/>
      <c r="B392" s="75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</row>
    <row r="393" spans="1:23" x14ac:dyDescent="0.2">
      <c r="A393" s="74"/>
      <c r="B393" s="75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</row>
    <row r="394" spans="1:23" x14ac:dyDescent="0.2">
      <c r="A394" s="74"/>
      <c r="B394" s="75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</row>
    <row r="395" spans="1:23" x14ac:dyDescent="0.2">
      <c r="A395" s="74"/>
      <c r="B395" s="75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</row>
    <row r="396" spans="1:23" x14ac:dyDescent="0.2">
      <c r="A396" s="74"/>
      <c r="B396" s="75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</row>
    <row r="397" spans="1:23" x14ac:dyDescent="0.2">
      <c r="A397" s="74"/>
      <c r="B397" s="75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</row>
    <row r="398" spans="1:23" x14ac:dyDescent="0.2">
      <c r="A398" s="74"/>
      <c r="B398" s="75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</row>
    <row r="399" spans="1:23" x14ac:dyDescent="0.2">
      <c r="A399" s="74"/>
      <c r="B399" s="75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</row>
    <row r="400" spans="1:23" x14ac:dyDescent="0.2">
      <c r="A400" s="74"/>
      <c r="B400" s="75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</row>
    <row r="401" spans="1:23" x14ac:dyDescent="0.2">
      <c r="A401" s="74"/>
      <c r="B401" s="75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</row>
    <row r="402" spans="1:23" x14ac:dyDescent="0.2">
      <c r="A402" s="74"/>
      <c r="B402" s="75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</row>
    <row r="403" spans="1:23" x14ac:dyDescent="0.2">
      <c r="A403" s="74"/>
      <c r="B403" s="75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</row>
    <row r="404" spans="1:23" x14ac:dyDescent="0.2">
      <c r="A404" s="74"/>
      <c r="B404" s="75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</row>
    <row r="405" spans="1:23" x14ac:dyDescent="0.2">
      <c r="A405" s="74"/>
      <c r="B405" s="75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</row>
    <row r="406" spans="1:23" x14ac:dyDescent="0.2">
      <c r="A406" s="74"/>
      <c r="B406" s="75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</row>
    <row r="407" spans="1:23" x14ac:dyDescent="0.2">
      <c r="A407" s="74"/>
      <c r="B407" s="75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</row>
    <row r="408" spans="1:23" x14ac:dyDescent="0.2">
      <c r="A408" s="74"/>
      <c r="B408" s="75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</row>
    <row r="409" spans="1:23" x14ac:dyDescent="0.2">
      <c r="A409" s="74"/>
      <c r="B409" s="75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</row>
    <row r="410" spans="1:23" x14ac:dyDescent="0.2">
      <c r="A410" s="74"/>
      <c r="B410" s="75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</row>
    <row r="411" spans="1:23" x14ac:dyDescent="0.2">
      <c r="A411" s="74"/>
      <c r="B411" s="75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</row>
    <row r="412" spans="1:23" x14ac:dyDescent="0.2">
      <c r="A412" s="74"/>
      <c r="B412" s="75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</row>
    <row r="413" spans="1:23" x14ac:dyDescent="0.2">
      <c r="A413" s="74"/>
      <c r="B413" s="75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</row>
    <row r="414" spans="1:23" x14ac:dyDescent="0.2">
      <c r="A414" s="74"/>
      <c r="B414" s="75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</row>
    <row r="415" spans="1:23" x14ac:dyDescent="0.2">
      <c r="A415" s="74"/>
      <c r="B415" s="75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</row>
    <row r="416" spans="1:23" x14ac:dyDescent="0.2">
      <c r="A416" s="74"/>
      <c r="B416" s="75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</row>
    <row r="417" spans="1:23" x14ac:dyDescent="0.2">
      <c r="A417" s="74"/>
      <c r="B417" s="75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</row>
    <row r="418" spans="1:23" x14ac:dyDescent="0.2">
      <c r="A418" s="74"/>
      <c r="B418" s="75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</row>
    <row r="419" spans="1:23" x14ac:dyDescent="0.2">
      <c r="A419" s="74"/>
      <c r="B419" s="75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</row>
    <row r="420" spans="1:23" x14ac:dyDescent="0.2">
      <c r="A420" s="74"/>
      <c r="B420" s="75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</row>
    <row r="421" spans="1:23" x14ac:dyDescent="0.2">
      <c r="A421" s="74"/>
      <c r="B421" s="75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</row>
    <row r="422" spans="1:23" x14ac:dyDescent="0.2">
      <c r="A422" s="74"/>
      <c r="B422" s="75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</row>
    <row r="423" spans="1:23" x14ac:dyDescent="0.2">
      <c r="A423" s="74"/>
      <c r="B423" s="75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</row>
    <row r="424" spans="1:23" x14ac:dyDescent="0.2">
      <c r="A424" s="74"/>
      <c r="B424" s="75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</row>
    <row r="425" spans="1:23" x14ac:dyDescent="0.2">
      <c r="A425" s="74"/>
      <c r="B425" s="75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</row>
    <row r="426" spans="1:23" x14ac:dyDescent="0.2">
      <c r="A426" s="74"/>
      <c r="B426" s="75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</row>
    <row r="427" spans="1:23" x14ac:dyDescent="0.2">
      <c r="A427" s="74"/>
      <c r="B427" s="75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</row>
    <row r="428" spans="1:23" x14ac:dyDescent="0.2">
      <c r="A428" s="74"/>
      <c r="B428" s="75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</row>
    <row r="429" spans="1:23" x14ac:dyDescent="0.2">
      <c r="A429" s="74"/>
      <c r="B429" s="75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</row>
    <row r="430" spans="1:23" x14ac:dyDescent="0.2">
      <c r="A430" s="74"/>
      <c r="B430" s="75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</row>
    <row r="431" spans="1:23" x14ac:dyDescent="0.2">
      <c r="A431" s="74"/>
      <c r="B431" s="75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</row>
    <row r="432" spans="1:23" x14ac:dyDescent="0.2">
      <c r="A432" s="74"/>
      <c r="B432" s="75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</row>
    <row r="433" spans="1:23" x14ac:dyDescent="0.2">
      <c r="A433" s="74"/>
      <c r="B433" s="75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</row>
    <row r="434" spans="1:23" x14ac:dyDescent="0.2">
      <c r="A434" s="74"/>
      <c r="B434" s="75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</row>
    <row r="435" spans="1:23" x14ac:dyDescent="0.2">
      <c r="A435" s="74"/>
      <c r="B435" s="75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</row>
    <row r="436" spans="1:23" x14ac:dyDescent="0.2">
      <c r="A436" s="74"/>
      <c r="B436" s="75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</row>
    <row r="437" spans="1:23" x14ac:dyDescent="0.2">
      <c r="A437" s="74"/>
      <c r="B437" s="75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</row>
    <row r="438" spans="1:23" x14ac:dyDescent="0.2">
      <c r="A438" s="74"/>
      <c r="B438" s="75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</row>
    <row r="439" spans="1:23" x14ac:dyDescent="0.2">
      <c r="A439" s="74"/>
      <c r="B439" s="75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</row>
    <row r="440" spans="1:23" x14ac:dyDescent="0.2">
      <c r="A440" s="74"/>
      <c r="B440" s="75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</row>
    <row r="441" spans="1:23" x14ac:dyDescent="0.2">
      <c r="A441" s="74"/>
      <c r="B441" s="75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</row>
    <row r="442" spans="1:23" x14ac:dyDescent="0.2">
      <c r="A442" s="74"/>
      <c r="B442" s="75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</row>
    <row r="443" spans="1:23" x14ac:dyDescent="0.2">
      <c r="A443" s="74"/>
      <c r="B443" s="75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</row>
    <row r="444" spans="1:23" x14ac:dyDescent="0.2">
      <c r="A444" s="74"/>
      <c r="B444" s="75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</row>
    <row r="445" spans="1:23" x14ac:dyDescent="0.2">
      <c r="A445" s="74"/>
      <c r="B445" s="75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</row>
    <row r="446" spans="1:23" x14ac:dyDescent="0.2">
      <c r="A446" s="74"/>
      <c r="B446" s="75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</row>
    <row r="447" spans="1:23" x14ac:dyDescent="0.2">
      <c r="A447" s="74"/>
      <c r="B447" s="75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</row>
    <row r="448" spans="1:23" x14ac:dyDescent="0.2">
      <c r="A448" s="74"/>
      <c r="B448" s="75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</row>
    <row r="449" spans="1:23" x14ac:dyDescent="0.2">
      <c r="A449" s="74"/>
      <c r="B449" s="75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</row>
    <row r="450" spans="1:23" x14ac:dyDescent="0.2">
      <c r="A450" s="74"/>
      <c r="B450" s="75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</row>
    <row r="451" spans="1:23" x14ac:dyDescent="0.2">
      <c r="A451" s="74"/>
      <c r="B451" s="75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</row>
    <row r="452" spans="1:23" x14ac:dyDescent="0.2">
      <c r="A452" s="74"/>
      <c r="B452" s="75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</row>
    <row r="453" spans="1:23" x14ac:dyDescent="0.2">
      <c r="A453" s="74"/>
      <c r="B453" s="75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</row>
    <row r="454" spans="1:23" x14ac:dyDescent="0.2">
      <c r="A454" s="74"/>
      <c r="B454" s="75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</row>
    <row r="455" spans="1:23" x14ac:dyDescent="0.2">
      <c r="A455" s="74"/>
      <c r="B455" s="75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</row>
    <row r="456" spans="1:23" x14ac:dyDescent="0.2">
      <c r="A456" s="74"/>
      <c r="B456" s="75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</row>
    <row r="457" spans="1:23" x14ac:dyDescent="0.2">
      <c r="A457" s="74"/>
      <c r="B457" s="75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</row>
    <row r="458" spans="1:23" x14ac:dyDescent="0.2">
      <c r="A458" s="74"/>
      <c r="B458" s="75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</row>
    <row r="459" spans="1:23" x14ac:dyDescent="0.2">
      <c r="A459" s="74"/>
      <c r="B459" s="75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</row>
    <row r="460" spans="1:23" x14ac:dyDescent="0.2">
      <c r="A460" s="74"/>
      <c r="B460" s="75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</row>
    <row r="461" spans="1:23" x14ac:dyDescent="0.2">
      <c r="A461" s="74"/>
      <c r="B461" s="75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</row>
    <row r="462" spans="1:23" x14ac:dyDescent="0.2">
      <c r="A462" s="74"/>
      <c r="B462" s="75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</row>
    <row r="463" spans="1:23" x14ac:dyDescent="0.2">
      <c r="A463" s="74"/>
      <c r="B463" s="75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</row>
    <row r="464" spans="1:23" x14ac:dyDescent="0.2">
      <c r="A464" s="74"/>
      <c r="B464" s="75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</row>
    <row r="465" spans="1:23" x14ac:dyDescent="0.2">
      <c r="A465" s="74"/>
      <c r="B465" s="75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</row>
    <row r="466" spans="1:23" x14ac:dyDescent="0.2">
      <c r="A466" s="74"/>
      <c r="B466" s="75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</row>
    <row r="467" spans="1:23" x14ac:dyDescent="0.2">
      <c r="A467" s="74"/>
      <c r="B467" s="75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</row>
    <row r="468" spans="1:23" x14ac:dyDescent="0.2">
      <c r="A468" s="74"/>
      <c r="B468" s="75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</row>
    <row r="469" spans="1:23" x14ac:dyDescent="0.2">
      <c r="A469" s="74"/>
      <c r="B469" s="75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</row>
    <row r="470" spans="1:23" x14ac:dyDescent="0.2">
      <c r="A470" s="74"/>
      <c r="B470" s="75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</row>
    <row r="471" spans="1:23" x14ac:dyDescent="0.2">
      <c r="A471" s="74"/>
      <c r="B471" s="75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</row>
    <row r="472" spans="1:23" x14ac:dyDescent="0.2">
      <c r="A472" s="74"/>
      <c r="B472" s="75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</row>
    <row r="473" spans="1:23" x14ac:dyDescent="0.2">
      <c r="A473" s="74"/>
      <c r="B473" s="75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</row>
    <row r="474" spans="1:23" x14ac:dyDescent="0.2">
      <c r="A474" s="74"/>
      <c r="B474" s="75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</row>
    <row r="475" spans="1:23" x14ac:dyDescent="0.2">
      <c r="A475" s="74"/>
      <c r="B475" s="75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</row>
    <row r="476" spans="1:23" x14ac:dyDescent="0.2">
      <c r="A476" s="74"/>
      <c r="B476" s="75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</row>
    <row r="477" spans="1:23" x14ac:dyDescent="0.2">
      <c r="A477" s="74"/>
      <c r="B477" s="75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</row>
    <row r="478" spans="1:23" x14ac:dyDescent="0.2">
      <c r="A478" s="74"/>
      <c r="B478" s="75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</row>
    <row r="479" spans="1:23" x14ac:dyDescent="0.2">
      <c r="A479" s="74"/>
      <c r="B479" s="75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</row>
    <row r="480" spans="1:23" x14ac:dyDescent="0.2">
      <c r="A480" s="74"/>
      <c r="B480" s="75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</row>
    <row r="481" spans="1:23" x14ac:dyDescent="0.2">
      <c r="A481" s="74"/>
      <c r="B481" s="75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</row>
    <row r="482" spans="1:23" x14ac:dyDescent="0.2">
      <c r="A482" s="74"/>
      <c r="B482" s="75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</row>
    <row r="483" spans="1:23" x14ac:dyDescent="0.2">
      <c r="A483" s="74"/>
      <c r="B483" s="75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</row>
    <row r="484" spans="1:23" x14ac:dyDescent="0.2">
      <c r="A484" s="74"/>
      <c r="B484" s="75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</row>
    <row r="485" spans="1:23" x14ac:dyDescent="0.2">
      <c r="A485" s="74"/>
      <c r="B485" s="75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</row>
    <row r="486" spans="1:23" x14ac:dyDescent="0.2">
      <c r="A486" s="74"/>
      <c r="B486" s="75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</row>
    <row r="487" spans="1:23" x14ac:dyDescent="0.2">
      <c r="A487" s="74"/>
      <c r="B487" s="75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</row>
    <row r="488" spans="1:23" x14ac:dyDescent="0.2">
      <c r="A488" s="74"/>
      <c r="B488" s="75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</row>
    <row r="489" spans="1:23" x14ac:dyDescent="0.2">
      <c r="A489" s="74"/>
      <c r="B489" s="75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</row>
    <row r="490" spans="1:23" x14ac:dyDescent="0.2">
      <c r="A490" s="74"/>
      <c r="B490" s="75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</row>
    <row r="491" spans="1:23" x14ac:dyDescent="0.2">
      <c r="A491" s="74"/>
      <c r="B491" s="75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</row>
    <row r="492" spans="1:23" x14ac:dyDescent="0.2">
      <c r="A492" s="74"/>
      <c r="B492" s="75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</row>
    <row r="493" spans="1:23" x14ac:dyDescent="0.2">
      <c r="A493" s="74"/>
      <c r="B493" s="75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</row>
    <row r="494" spans="1:23" x14ac:dyDescent="0.2">
      <c r="A494" s="74"/>
      <c r="B494" s="75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</row>
    <row r="495" spans="1:23" x14ac:dyDescent="0.2">
      <c r="A495" s="74"/>
      <c r="B495" s="75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</row>
    <row r="496" spans="1:23" x14ac:dyDescent="0.2">
      <c r="A496" s="74"/>
      <c r="B496" s="75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</row>
    <row r="497" spans="1:23" x14ac:dyDescent="0.2">
      <c r="A497" s="74"/>
      <c r="B497" s="75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</row>
    <row r="498" spans="1:23" x14ac:dyDescent="0.2">
      <c r="A498" s="74"/>
      <c r="B498" s="75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</row>
    <row r="499" spans="1:23" x14ac:dyDescent="0.2">
      <c r="A499" s="74"/>
      <c r="B499" s="75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</row>
    <row r="500" spans="1:23" x14ac:dyDescent="0.2">
      <c r="A500" s="74"/>
      <c r="B500" s="75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</row>
    <row r="501" spans="1:23" x14ac:dyDescent="0.2">
      <c r="A501" s="74"/>
      <c r="B501" s="75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</row>
    <row r="502" spans="1:23" x14ac:dyDescent="0.2">
      <c r="A502" s="74"/>
      <c r="B502" s="75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</row>
    <row r="503" spans="1:23" x14ac:dyDescent="0.2">
      <c r="A503" s="74"/>
      <c r="B503" s="75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</row>
    <row r="504" spans="1:23" x14ac:dyDescent="0.2">
      <c r="A504" s="74"/>
      <c r="B504" s="75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</row>
    <row r="505" spans="1:23" x14ac:dyDescent="0.2">
      <c r="A505" s="74"/>
      <c r="B505" s="75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</row>
    <row r="506" spans="1:23" x14ac:dyDescent="0.2">
      <c r="A506" s="74"/>
      <c r="B506" s="75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</row>
    <row r="507" spans="1:23" x14ac:dyDescent="0.2">
      <c r="A507" s="74"/>
      <c r="B507" s="75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</row>
    <row r="508" spans="1:23" x14ac:dyDescent="0.2">
      <c r="A508" s="74"/>
      <c r="B508" s="75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</row>
    <row r="509" spans="1:23" x14ac:dyDescent="0.2">
      <c r="A509" s="74"/>
      <c r="B509" s="75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</row>
    <row r="510" spans="1:23" x14ac:dyDescent="0.2">
      <c r="A510" s="74"/>
      <c r="B510" s="75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</row>
    <row r="511" spans="1:23" x14ac:dyDescent="0.2">
      <c r="A511" s="74"/>
      <c r="B511" s="75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</row>
    <row r="512" spans="1:23" x14ac:dyDescent="0.2">
      <c r="A512" s="74"/>
      <c r="B512" s="75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</row>
    <row r="513" spans="1:23" x14ac:dyDescent="0.2">
      <c r="A513" s="74"/>
      <c r="B513" s="75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</row>
    <row r="514" spans="1:23" x14ac:dyDescent="0.2">
      <c r="A514" s="74"/>
      <c r="B514" s="75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</row>
    <row r="515" spans="1:23" x14ac:dyDescent="0.2">
      <c r="A515" s="74"/>
      <c r="B515" s="75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</row>
    <row r="516" spans="1:23" x14ac:dyDescent="0.2">
      <c r="A516" s="74"/>
      <c r="B516" s="75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</row>
    <row r="517" spans="1:23" x14ac:dyDescent="0.2">
      <c r="A517" s="74"/>
      <c r="B517" s="75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</row>
    <row r="518" spans="1:23" x14ac:dyDescent="0.2">
      <c r="A518" s="74"/>
      <c r="B518" s="75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</row>
    <row r="519" spans="1:23" x14ac:dyDescent="0.2">
      <c r="A519" s="74"/>
      <c r="B519" s="75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</row>
    <row r="520" spans="1:23" x14ac:dyDescent="0.2">
      <c r="A520" s="74"/>
      <c r="B520" s="75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</row>
    <row r="521" spans="1:23" x14ac:dyDescent="0.2">
      <c r="A521" s="74"/>
      <c r="B521" s="75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</row>
    <row r="522" spans="1:23" x14ac:dyDescent="0.2">
      <c r="A522" s="74"/>
      <c r="B522" s="75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</row>
    <row r="523" spans="1:23" x14ac:dyDescent="0.2">
      <c r="A523" s="74"/>
      <c r="B523" s="75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</row>
    <row r="524" spans="1:23" x14ac:dyDescent="0.2">
      <c r="A524" s="74"/>
      <c r="B524" s="75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</row>
    <row r="525" spans="1:23" x14ac:dyDescent="0.2">
      <c r="A525" s="74"/>
      <c r="B525" s="75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</row>
    <row r="526" spans="1:23" x14ac:dyDescent="0.2">
      <c r="A526" s="74"/>
      <c r="B526" s="75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</row>
    <row r="527" spans="1:23" x14ac:dyDescent="0.2">
      <c r="A527" s="74"/>
      <c r="B527" s="75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</row>
    <row r="528" spans="1:23" x14ac:dyDescent="0.2">
      <c r="A528" s="74"/>
      <c r="B528" s="75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</row>
    <row r="529" spans="1:23" x14ac:dyDescent="0.2">
      <c r="A529" s="74"/>
      <c r="B529" s="75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</row>
    <row r="530" spans="1:23" x14ac:dyDescent="0.2">
      <c r="A530" s="74"/>
      <c r="B530" s="75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</row>
    <row r="531" spans="1:23" x14ac:dyDescent="0.2">
      <c r="A531" s="74"/>
      <c r="B531" s="75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</row>
    <row r="532" spans="1:23" x14ac:dyDescent="0.2">
      <c r="A532" s="74"/>
      <c r="B532" s="75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</row>
    <row r="533" spans="1:23" x14ac:dyDescent="0.2">
      <c r="A533" s="74"/>
      <c r="B533" s="75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</row>
    <row r="534" spans="1:23" x14ac:dyDescent="0.2">
      <c r="A534" s="74"/>
      <c r="B534" s="75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</row>
    <row r="535" spans="1:23" x14ac:dyDescent="0.2">
      <c r="A535" s="74"/>
      <c r="B535" s="75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</row>
    <row r="536" spans="1:23" x14ac:dyDescent="0.2">
      <c r="A536" s="74"/>
      <c r="B536" s="75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</row>
    <row r="537" spans="1:23" x14ac:dyDescent="0.2">
      <c r="A537" s="74"/>
      <c r="B537" s="75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</row>
    <row r="538" spans="1:23" x14ac:dyDescent="0.2">
      <c r="A538" s="74"/>
      <c r="B538" s="75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</row>
    <row r="539" spans="1:23" x14ac:dyDescent="0.2">
      <c r="A539" s="74"/>
      <c r="B539" s="75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</row>
    <row r="540" spans="1:23" x14ac:dyDescent="0.2">
      <c r="A540" s="74"/>
      <c r="B540" s="75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</row>
    <row r="541" spans="1:23" x14ac:dyDescent="0.2">
      <c r="A541" s="74"/>
      <c r="B541" s="75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</row>
    <row r="542" spans="1:23" x14ac:dyDescent="0.2">
      <c r="A542" s="74"/>
      <c r="B542" s="75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</row>
    <row r="543" spans="1:23" x14ac:dyDescent="0.2">
      <c r="A543" s="74"/>
      <c r="B543" s="75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</row>
    <row r="544" spans="1:23" x14ac:dyDescent="0.2">
      <c r="A544" s="74"/>
      <c r="B544" s="75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</row>
    <row r="545" spans="1:23" x14ac:dyDescent="0.2">
      <c r="A545" s="74"/>
      <c r="B545" s="75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</row>
    <row r="546" spans="1:23" x14ac:dyDescent="0.2">
      <c r="A546" s="74"/>
      <c r="B546" s="75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</row>
    <row r="547" spans="1:23" x14ac:dyDescent="0.2">
      <c r="A547" s="74"/>
      <c r="B547" s="75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</row>
    <row r="548" spans="1:23" x14ac:dyDescent="0.2">
      <c r="A548" s="74"/>
      <c r="B548" s="75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</row>
    <row r="549" spans="1:23" x14ac:dyDescent="0.2">
      <c r="A549" s="74"/>
      <c r="B549" s="75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</row>
    <row r="550" spans="1:23" x14ac:dyDescent="0.2">
      <c r="A550" s="74"/>
      <c r="B550" s="75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</row>
    <row r="551" spans="1:23" x14ac:dyDescent="0.2">
      <c r="A551" s="74"/>
      <c r="B551" s="75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</row>
    <row r="552" spans="1:23" x14ac:dyDescent="0.2">
      <c r="A552" s="74"/>
      <c r="B552" s="75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</row>
    <row r="553" spans="1:23" x14ac:dyDescent="0.2">
      <c r="A553" s="74"/>
      <c r="B553" s="75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</row>
    <row r="554" spans="1:23" x14ac:dyDescent="0.2">
      <c r="A554" s="74"/>
      <c r="B554" s="75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</row>
    <row r="555" spans="1:23" x14ac:dyDescent="0.2">
      <c r="A555" s="74"/>
      <c r="B555" s="75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</row>
    <row r="556" spans="1:23" x14ac:dyDescent="0.2">
      <c r="A556" s="74"/>
      <c r="B556" s="75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</row>
    <row r="557" spans="1:23" x14ac:dyDescent="0.2">
      <c r="A557" s="74"/>
      <c r="B557" s="75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</row>
    <row r="558" spans="1:23" x14ac:dyDescent="0.2">
      <c r="A558" s="74"/>
      <c r="B558" s="75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</row>
    <row r="559" spans="1:23" x14ac:dyDescent="0.2">
      <c r="A559" s="74"/>
      <c r="B559" s="75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</row>
    <row r="560" spans="1:23" x14ac:dyDescent="0.2">
      <c r="A560" s="74"/>
      <c r="B560" s="75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</row>
    <row r="561" spans="1:23" x14ac:dyDescent="0.2">
      <c r="A561" s="74"/>
      <c r="B561" s="75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</row>
    <row r="562" spans="1:23" x14ac:dyDescent="0.2">
      <c r="A562" s="74"/>
      <c r="B562" s="75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</row>
    <row r="563" spans="1:23" x14ac:dyDescent="0.2">
      <c r="A563" s="74"/>
      <c r="B563" s="75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</row>
    <row r="564" spans="1:23" x14ac:dyDescent="0.2">
      <c r="A564" s="74"/>
      <c r="B564" s="75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</row>
    <row r="565" spans="1:23" x14ac:dyDescent="0.2">
      <c r="A565" s="74"/>
      <c r="B565" s="75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</row>
    <row r="566" spans="1:23" x14ac:dyDescent="0.2">
      <c r="A566" s="74"/>
      <c r="B566" s="75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</row>
    <row r="567" spans="1:23" x14ac:dyDescent="0.2">
      <c r="A567" s="74"/>
      <c r="B567" s="75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</row>
    <row r="568" spans="1:23" x14ac:dyDescent="0.2">
      <c r="A568" s="74"/>
      <c r="B568" s="75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</row>
    <row r="569" spans="1:23" x14ac:dyDescent="0.2">
      <c r="A569" s="74"/>
      <c r="B569" s="75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</row>
    <row r="570" spans="1:23" x14ac:dyDescent="0.2">
      <c r="A570" s="74"/>
      <c r="B570" s="75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</row>
    <row r="571" spans="1:23" x14ac:dyDescent="0.2">
      <c r="A571" s="74"/>
      <c r="B571" s="75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</row>
    <row r="572" spans="1:23" x14ac:dyDescent="0.2">
      <c r="A572" s="74"/>
      <c r="B572" s="75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</row>
    <row r="573" spans="1:23" x14ac:dyDescent="0.2">
      <c r="A573" s="74"/>
      <c r="B573" s="75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</row>
    <row r="574" spans="1:23" x14ac:dyDescent="0.2">
      <c r="A574" s="74"/>
      <c r="B574" s="75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</row>
    <row r="575" spans="1:23" x14ac:dyDescent="0.2">
      <c r="A575" s="74"/>
      <c r="B575" s="75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</row>
    <row r="576" spans="1:23" x14ac:dyDescent="0.2">
      <c r="A576" s="74"/>
      <c r="B576" s="75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</row>
    <row r="577" spans="1:23" x14ac:dyDescent="0.2">
      <c r="A577" s="74"/>
      <c r="B577" s="75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</row>
    <row r="578" spans="1:23" x14ac:dyDescent="0.2">
      <c r="A578" s="74"/>
      <c r="B578" s="75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</row>
    <row r="579" spans="1:23" x14ac:dyDescent="0.2">
      <c r="A579" s="74"/>
      <c r="B579" s="75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</row>
    <row r="580" spans="1:23" x14ac:dyDescent="0.2">
      <c r="A580" s="74"/>
      <c r="B580" s="75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</row>
    <row r="581" spans="1:23" x14ac:dyDescent="0.2">
      <c r="A581" s="74"/>
      <c r="B581" s="75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</row>
    <row r="582" spans="1:23" x14ac:dyDescent="0.2">
      <c r="A582" s="74"/>
      <c r="B582" s="75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</row>
    <row r="583" spans="1:23" x14ac:dyDescent="0.2">
      <c r="A583" s="74"/>
      <c r="B583" s="75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</row>
    <row r="584" spans="1:23" x14ac:dyDescent="0.2">
      <c r="A584" s="74"/>
      <c r="B584" s="75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</row>
    <row r="585" spans="1:23" x14ac:dyDescent="0.2">
      <c r="A585" s="74"/>
      <c r="B585" s="75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</row>
    <row r="586" spans="1:23" x14ac:dyDescent="0.2">
      <c r="A586" s="74"/>
      <c r="B586" s="75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</row>
    <row r="587" spans="1:23" x14ac:dyDescent="0.2">
      <c r="A587" s="74"/>
      <c r="B587" s="75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</row>
    <row r="588" spans="1:23" x14ac:dyDescent="0.2">
      <c r="A588" s="74"/>
      <c r="B588" s="75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</row>
    <row r="589" spans="1:23" x14ac:dyDescent="0.2">
      <c r="A589" s="74"/>
      <c r="B589" s="75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</row>
    <row r="590" spans="1:23" x14ac:dyDescent="0.2">
      <c r="A590" s="74"/>
      <c r="B590" s="75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</row>
    <row r="591" spans="1:23" x14ac:dyDescent="0.2">
      <c r="A591" s="74"/>
      <c r="B591" s="75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</row>
    <row r="592" spans="1:23" x14ac:dyDescent="0.2">
      <c r="A592" s="74"/>
      <c r="B592" s="75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</row>
    <row r="593" spans="1:23" x14ac:dyDescent="0.2">
      <c r="A593" s="74"/>
      <c r="B593" s="75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</row>
    <row r="594" spans="1:23" x14ac:dyDescent="0.2">
      <c r="A594" s="74"/>
      <c r="B594" s="75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</row>
    <row r="595" spans="1:23" x14ac:dyDescent="0.2">
      <c r="A595" s="74"/>
      <c r="B595" s="75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</row>
    <row r="596" spans="1:23" x14ac:dyDescent="0.2">
      <c r="A596" s="74"/>
      <c r="B596" s="75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</row>
    <row r="597" spans="1:23" x14ac:dyDescent="0.2">
      <c r="A597" s="74"/>
      <c r="B597" s="75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</row>
    <row r="598" spans="1:23" x14ac:dyDescent="0.2">
      <c r="A598" s="74"/>
      <c r="B598" s="75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</row>
    <row r="599" spans="1:23" x14ac:dyDescent="0.2">
      <c r="A599" s="74"/>
      <c r="B599" s="75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</row>
    <row r="600" spans="1:23" x14ac:dyDescent="0.2">
      <c r="A600" s="74"/>
      <c r="B600" s="75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</row>
    <row r="601" spans="1:23" x14ac:dyDescent="0.2">
      <c r="A601" s="74"/>
      <c r="B601" s="75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</row>
    <row r="602" spans="1:23" x14ac:dyDescent="0.2">
      <c r="A602" s="74"/>
      <c r="B602" s="75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</row>
    <row r="603" spans="1:23" x14ac:dyDescent="0.2">
      <c r="A603" s="74"/>
      <c r="B603" s="75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</row>
    <row r="604" spans="1:23" x14ac:dyDescent="0.2">
      <c r="A604" s="74"/>
      <c r="B604" s="75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</row>
    <row r="605" spans="1:23" x14ac:dyDescent="0.2">
      <c r="A605" s="74"/>
      <c r="B605" s="75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</row>
    <row r="606" spans="1:23" x14ac:dyDescent="0.2">
      <c r="A606" s="74"/>
      <c r="B606" s="75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</row>
    <row r="607" spans="1:23" x14ac:dyDescent="0.2">
      <c r="A607" s="74"/>
      <c r="B607" s="75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</row>
    <row r="608" spans="1:23" x14ac:dyDescent="0.2">
      <c r="A608" s="74"/>
      <c r="B608" s="75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</row>
    <row r="609" spans="1:23" x14ac:dyDescent="0.2">
      <c r="A609" s="74"/>
      <c r="B609" s="75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</row>
    <row r="610" spans="1:23" x14ac:dyDescent="0.2">
      <c r="A610" s="74"/>
      <c r="B610" s="75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</row>
    <row r="611" spans="1:23" x14ac:dyDescent="0.2">
      <c r="A611" s="74"/>
      <c r="B611" s="75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</row>
    <row r="612" spans="1:23" x14ac:dyDescent="0.2">
      <c r="A612" s="74"/>
      <c r="B612" s="75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</row>
    <row r="613" spans="1:23" x14ac:dyDescent="0.2">
      <c r="A613" s="74"/>
      <c r="B613" s="75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</row>
    <row r="614" spans="1:23" x14ac:dyDescent="0.2">
      <c r="A614" s="74"/>
      <c r="B614" s="75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</row>
    <row r="615" spans="1:23" x14ac:dyDescent="0.2">
      <c r="A615" s="74"/>
      <c r="B615" s="75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</row>
    <row r="616" spans="1:23" x14ac:dyDescent="0.2">
      <c r="A616" s="74"/>
      <c r="B616" s="75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</row>
    <row r="617" spans="1:23" x14ac:dyDescent="0.2">
      <c r="A617" s="74"/>
      <c r="B617" s="75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</row>
    <row r="618" spans="1:23" x14ac:dyDescent="0.2">
      <c r="A618" s="74"/>
      <c r="B618" s="75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</row>
    <row r="619" spans="1:23" x14ac:dyDescent="0.2">
      <c r="A619" s="74"/>
      <c r="B619" s="75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</row>
    <row r="620" spans="1:23" x14ac:dyDescent="0.2">
      <c r="A620" s="74"/>
      <c r="B620" s="75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</row>
    <row r="621" spans="1:23" x14ac:dyDescent="0.2">
      <c r="A621" s="74"/>
      <c r="B621" s="75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</row>
    <row r="622" spans="1:23" x14ac:dyDescent="0.2">
      <c r="A622" s="74"/>
      <c r="B622" s="75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</row>
    <row r="623" spans="1:23" x14ac:dyDescent="0.2">
      <c r="A623" s="74"/>
      <c r="B623" s="75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</row>
    <row r="624" spans="1:23" x14ac:dyDescent="0.2">
      <c r="A624" s="74"/>
      <c r="B624" s="75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</row>
    <row r="625" spans="1:23" x14ac:dyDescent="0.2">
      <c r="A625" s="74"/>
      <c r="B625" s="75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</row>
    <row r="626" spans="1:23" x14ac:dyDescent="0.2">
      <c r="A626" s="74"/>
      <c r="B626" s="75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</row>
    <row r="627" spans="1:23" x14ac:dyDescent="0.2">
      <c r="A627" s="74"/>
      <c r="B627" s="75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</row>
    <row r="628" spans="1:23" x14ac:dyDescent="0.2">
      <c r="A628" s="74"/>
      <c r="B628" s="75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</row>
    <row r="629" spans="1:23" x14ac:dyDescent="0.2">
      <c r="A629" s="74"/>
      <c r="B629" s="75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</row>
    <row r="630" spans="1:23" x14ac:dyDescent="0.2">
      <c r="A630" s="74"/>
      <c r="B630" s="75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</row>
    <row r="631" spans="1:23" x14ac:dyDescent="0.2">
      <c r="A631" s="74"/>
      <c r="B631" s="75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</row>
    <row r="632" spans="1:23" x14ac:dyDescent="0.2">
      <c r="A632" s="74"/>
      <c r="B632" s="75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</row>
    <row r="633" spans="1:23" x14ac:dyDescent="0.2">
      <c r="A633" s="74"/>
      <c r="B633" s="75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</row>
    <row r="634" spans="1:23" x14ac:dyDescent="0.2">
      <c r="A634" s="74"/>
      <c r="B634" s="75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</row>
    <row r="635" spans="1:23" x14ac:dyDescent="0.2">
      <c r="A635" s="74"/>
      <c r="B635" s="75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</row>
    <row r="636" spans="1:23" x14ac:dyDescent="0.2">
      <c r="A636" s="74"/>
      <c r="B636" s="75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</row>
    <row r="637" spans="1:23" x14ac:dyDescent="0.2">
      <c r="A637" s="74"/>
      <c r="B637" s="75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</row>
    <row r="638" spans="1:23" x14ac:dyDescent="0.2">
      <c r="A638" s="74"/>
      <c r="B638" s="75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</row>
    <row r="639" spans="1:23" x14ac:dyDescent="0.2">
      <c r="A639" s="74"/>
      <c r="B639" s="75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</row>
    <row r="640" spans="1:23" x14ac:dyDescent="0.2">
      <c r="A640" s="74"/>
      <c r="B640" s="75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</row>
    <row r="641" spans="1:23" x14ac:dyDescent="0.2">
      <c r="A641" s="74"/>
      <c r="B641" s="75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</row>
    <row r="642" spans="1:23" x14ac:dyDescent="0.2">
      <c r="A642" s="74"/>
      <c r="B642" s="75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</row>
    <row r="643" spans="1:23" x14ac:dyDescent="0.2">
      <c r="A643" s="74"/>
      <c r="B643" s="75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</row>
    <row r="644" spans="1:23" x14ac:dyDescent="0.2">
      <c r="A644" s="74"/>
      <c r="B644" s="75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</row>
    <row r="645" spans="1:23" x14ac:dyDescent="0.2">
      <c r="A645" s="74"/>
      <c r="B645" s="75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</row>
    <row r="646" spans="1:23" x14ac:dyDescent="0.2">
      <c r="A646" s="74"/>
      <c r="B646" s="75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</row>
    <row r="647" spans="1:23" x14ac:dyDescent="0.2">
      <c r="A647" s="74"/>
      <c r="B647" s="75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</row>
    <row r="648" spans="1:23" x14ac:dyDescent="0.2">
      <c r="A648" s="74"/>
      <c r="B648" s="75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</row>
    <row r="649" spans="1:23" x14ac:dyDescent="0.2">
      <c r="A649" s="74"/>
      <c r="B649" s="75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</row>
    <row r="650" spans="1:23" x14ac:dyDescent="0.2">
      <c r="A650" s="74"/>
      <c r="B650" s="75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</row>
    <row r="651" spans="1:23" x14ac:dyDescent="0.2">
      <c r="A651" s="74"/>
      <c r="B651" s="75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</row>
    <row r="652" spans="1:23" x14ac:dyDescent="0.2">
      <c r="A652" s="74"/>
      <c r="B652" s="75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</row>
    <row r="653" spans="1:23" x14ac:dyDescent="0.2">
      <c r="A653" s="74"/>
      <c r="B653" s="75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</row>
    <row r="654" spans="1:23" x14ac:dyDescent="0.2">
      <c r="A654" s="74"/>
      <c r="B654" s="75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</row>
    <row r="655" spans="1:23" x14ac:dyDescent="0.2">
      <c r="A655" s="74"/>
      <c r="B655" s="75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</row>
    <row r="656" spans="1:23" x14ac:dyDescent="0.2">
      <c r="A656" s="74"/>
      <c r="B656" s="75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</row>
    <row r="657" spans="1:23" x14ac:dyDescent="0.2">
      <c r="A657" s="74"/>
      <c r="B657" s="75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</row>
    <row r="658" spans="1:23" x14ac:dyDescent="0.2">
      <c r="A658" s="74"/>
      <c r="B658" s="75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</row>
    <row r="659" spans="1:23" x14ac:dyDescent="0.2">
      <c r="A659" s="74"/>
      <c r="B659" s="75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</row>
    <row r="660" spans="1:23" x14ac:dyDescent="0.2">
      <c r="A660" s="74"/>
      <c r="B660" s="75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</row>
    <row r="661" spans="1:23" x14ac:dyDescent="0.2">
      <c r="A661" s="74"/>
      <c r="B661" s="75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</row>
    <row r="662" spans="1:23" x14ac:dyDescent="0.2">
      <c r="A662" s="74"/>
      <c r="B662" s="75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</row>
    <row r="663" spans="1:23" x14ac:dyDescent="0.2">
      <c r="A663" s="74"/>
      <c r="B663" s="75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</row>
    <row r="664" spans="1:23" x14ac:dyDescent="0.2">
      <c r="A664" s="74"/>
      <c r="B664" s="75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</row>
    <row r="665" spans="1:23" x14ac:dyDescent="0.2">
      <c r="A665" s="74"/>
      <c r="B665" s="75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</row>
    <row r="666" spans="1:23" x14ac:dyDescent="0.2">
      <c r="A666" s="74"/>
      <c r="B666" s="75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</row>
    <row r="667" spans="1:23" x14ac:dyDescent="0.2">
      <c r="A667" s="74"/>
      <c r="B667" s="75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</row>
    <row r="668" spans="1:23" x14ac:dyDescent="0.2">
      <c r="A668" s="74"/>
      <c r="B668" s="75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</row>
    <row r="669" spans="1:23" x14ac:dyDescent="0.2">
      <c r="A669" s="74"/>
      <c r="B669" s="75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</row>
    <row r="670" spans="1:23" x14ac:dyDescent="0.2">
      <c r="A670" s="74"/>
      <c r="B670" s="75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</row>
    <row r="671" spans="1:23" x14ac:dyDescent="0.2">
      <c r="A671" s="74"/>
      <c r="B671" s="75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</row>
    <row r="672" spans="1:23" x14ac:dyDescent="0.2">
      <c r="A672" s="74"/>
      <c r="B672" s="75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</row>
    <row r="673" spans="1:23" x14ac:dyDescent="0.2">
      <c r="A673" s="74"/>
      <c r="B673" s="75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</row>
    <row r="674" spans="1:23" x14ac:dyDescent="0.2">
      <c r="A674" s="74"/>
      <c r="B674" s="75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</row>
    <row r="675" spans="1:23" x14ac:dyDescent="0.2">
      <c r="A675" s="74"/>
      <c r="B675" s="75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</row>
    <row r="676" spans="1:23" x14ac:dyDescent="0.2">
      <c r="A676" s="74"/>
      <c r="B676" s="75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</row>
    <row r="677" spans="1:23" x14ac:dyDescent="0.2">
      <c r="A677" s="74"/>
      <c r="B677" s="75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</row>
    <row r="678" spans="1:23" x14ac:dyDescent="0.2">
      <c r="A678" s="74"/>
      <c r="B678" s="75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</row>
    <row r="679" spans="1:23" x14ac:dyDescent="0.2">
      <c r="A679" s="74"/>
      <c r="B679" s="75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</row>
    <row r="680" spans="1:23" x14ac:dyDescent="0.2">
      <c r="A680" s="74"/>
      <c r="B680" s="75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</row>
    <row r="681" spans="1:23" x14ac:dyDescent="0.2">
      <c r="A681" s="74"/>
      <c r="B681" s="75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</row>
    <row r="682" spans="1:23" x14ac:dyDescent="0.2">
      <c r="A682" s="74"/>
      <c r="B682" s="75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</row>
    <row r="683" spans="1:23" x14ac:dyDescent="0.2">
      <c r="A683" s="74"/>
      <c r="B683" s="75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</row>
    <row r="684" spans="1:23" x14ac:dyDescent="0.2">
      <c r="A684" s="74"/>
      <c r="B684" s="75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</row>
    <row r="685" spans="1:23" x14ac:dyDescent="0.2">
      <c r="A685" s="74"/>
      <c r="B685" s="75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</row>
    <row r="686" spans="1:23" x14ac:dyDescent="0.2">
      <c r="A686" s="74"/>
      <c r="B686" s="75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</row>
    <row r="687" spans="1:23" x14ac:dyDescent="0.2">
      <c r="A687" s="74"/>
      <c r="B687" s="75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</row>
    <row r="688" spans="1:23" x14ac:dyDescent="0.2">
      <c r="A688" s="74"/>
      <c r="B688" s="75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</row>
    <row r="689" spans="1:23" x14ac:dyDescent="0.2">
      <c r="A689" s="74"/>
      <c r="B689" s="75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</row>
    <row r="690" spans="1:23" x14ac:dyDescent="0.2">
      <c r="A690" s="74"/>
      <c r="B690" s="75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</row>
    <row r="691" spans="1:23" x14ac:dyDescent="0.2">
      <c r="A691" s="74"/>
      <c r="B691" s="75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</row>
    <row r="692" spans="1:23" x14ac:dyDescent="0.2">
      <c r="A692" s="74"/>
      <c r="B692" s="75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</row>
    <row r="693" spans="1:23" x14ac:dyDescent="0.2">
      <c r="A693" s="74"/>
      <c r="B693" s="75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</row>
    <row r="694" spans="1:23" x14ac:dyDescent="0.2">
      <c r="A694" s="74"/>
      <c r="B694" s="75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</row>
    <row r="695" spans="1:23" x14ac:dyDescent="0.2">
      <c r="A695" s="74"/>
      <c r="B695" s="75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</row>
    <row r="696" spans="1:23" x14ac:dyDescent="0.2">
      <c r="A696" s="74"/>
      <c r="B696" s="75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</row>
    <row r="697" spans="1:23" x14ac:dyDescent="0.2">
      <c r="A697" s="74"/>
      <c r="B697" s="75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</row>
    <row r="698" spans="1:23" x14ac:dyDescent="0.2">
      <c r="A698" s="74"/>
      <c r="B698" s="75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</row>
    <row r="699" spans="1:23" x14ac:dyDescent="0.2">
      <c r="A699" s="74"/>
      <c r="B699" s="75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</row>
    <row r="700" spans="1:23" x14ac:dyDescent="0.2">
      <c r="A700" s="74"/>
      <c r="B700" s="75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</row>
    <row r="701" spans="1:23" x14ac:dyDescent="0.2">
      <c r="A701" s="74"/>
      <c r="B701" s="75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</row>
    <row r="702" spans="1:23" x14ac:dyDescent="0.2">
      <c r="A702" s="74"/>
      <c r="B702" s="75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</row>
    <row r="703" spans="1:23" x14ac:dyDescent="0.2">
      <c r="A703" s="74"/>
      <c r="B703" s="75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</row>
    <row r="704" spans="1:23" x14ac:dyDescent="0.2">
      <c r="A704" s="74"/>
      <c r="B704" s="75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</row>
    <row r="705" spans="1:23" x14ac:dyDescent="0.2">
      <c r="A705" s="74"/>
      <c r="B705" s="75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</row>
    <row r="706" spans="1:23" x14ac:dyDescent="0.2">
      <c r="A706" s="74"/>
      <c r="B706" s="75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</row>
    <row r="707" spans="1:23" x14ac:dyDescent="0.2">
      <c r="A707" s="74"/>
      <c r="B707" s="75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</row>
    <row r="708" spans="1:23" x14ac:dyDescent="0.2">
      <c r="A708" s="74"/>
      <c r="B708" s="75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</row>
    <row r="709" spans="1:23" x14ac:dyDescent="0.2">
      <c r="A709" s="74"/>
      <c r="B709" s="75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</row>
    <row r="710" spans="1:23" x14ac:dyDescent="0.2">
      <c r="A710" s="74"/>
      <c r="B710" s="75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</row>
    <row r="711" spans="1:23" x14ac:dyDescent="0.2">
      <c r="A711" s="74"/>
      <c r="B711" s="75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</row>
    <row r="712" spans="1:23" x14ac:dyDescent="0.2">
      <c r="A712" s="74"/>
      <c r="B712" s="75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</row>
    <row r="713" spans="1:23" x14ac:dyDescent="0.2">
      <c r="A713" s="74"/>
      <c r="B713" s="75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</row>
    <row r="714" spans="1:23" x14ac:dyDescent="0.2">
      <c r="A714" s="74"/>
      <c r="B714" s="75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</row>
    <row r="715" spans="1:23" x14ac:dyDescent="0.2">
      <c r="A715" s="74"/>
      <c r="B715" s="75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</row>
    <row r="716" spans="1:23" x14ac:dyDescent="0.2">
      <c r="A716" s="74"/>
      <c r="B716" s="75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</row>
    <row r="717" spans="1:23" x14ac:dyDescent="0.2">
      <c r="A717" s="74"/>
      <c r="B717" s="75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</row>
    <row r="718" spans="1:23" x14ac:dyDescent="0.2">
      <c r="A718" s="74"/>
      <c r="B718" s="75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</row>
    <row r="719" spans="1:23" x14ac:dyDescent="0.2">
      <c r="A719" s="74"/>
      <c r="B719" s="75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</row>
    <row r="720" spans="1:23" x14ac:dyDescent="0.2">
      <c r="A720" s="74"/>
      <c r="B720" s="75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</row>
    <row r="721" spans="1:23" x14ac:dyDescent="0.2">
      <c r="A721" s="74"/>
      <c r="B721" s="75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</row>
    <row r="722" spans="1:23" x14ac:dyDescent="0.2">
      <c r="A722" s="74"/>
      <c r="B722" s="75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</row>
    <row r="723" spans="1:23" x14ac:dyDescent="0.2">
      <c r="A723" s="74"/>
      <c r="B723" s="75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</row>
    <row r="724" spans="1:23" x14ac:dyDescent="0.2">
      <c r="A724" s="74"/>
      <c r="B724" s="75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</row>
    <row r="725" spans="1:23" x14ac:dyDescent="0.2">
      <c r="A725" s="74"/>
      <c r="B725" s="75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</row>
    <row r="726" spans="1:23" x14ac:dyDescent="0.2">
      <c r="A726" s="74"/>
      <c r="B726" s="75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</row>
    <row r="727" spans="1:23" x14ac:dyDescent="0.2">
      <c r="A727" s="74"/>
      <c r="B727" s="75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</row>
    <row r="728" spans="1:23" x14ac:dyDescent="0.2">
      <c r="A728" s="74"/>
      <c r="B728" s="75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</row>
    <row r="729" spans="1:23" x14ac:dyDescent="0.2">
      <c r="A729" s="74"/>
      <c r="B729" s="75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</row>
    <row r="730" spans="1:23" x14ac:dyDescent="0.2">
      <c r="A730" s="74"/>
      <c r="B730" s="75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</row>
    <row r="731" spans="1:23" x14ac:dyDescent="0.2">
      <c r="A731" s="74"/>
      <c r="B731" s="75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</row>
    <row r="732" spans="1:23" x14ac:dyDescent="0.2">
      <c r="A732" s="74"/>
      <c r="B732" s="75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</row>
    <row r="733" spans="1:23" x14ac:dyDescent="0.2">
      <c r="A733" s="74"/>
      <c r="B733" s="75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</row>
    <row r="734" spans="1:23" x14ac:dyDescent="0.2">
      <c r="A734" s="74"/>
      <c r="B734" s="75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</row>
    <row r="735" spans="1:23" x14ac:dyDescent="0.2">
      <c r="A735" s="74"/>
      <c r="B735" s="75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</row>
    <row r="736" spans="1:23" x14ac:dyDescent="0.2">
      <c r="A736" s="74"/>
      <c r="B736" s="75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</row>
    <row r="737" spans="1:23" x14ac:dyDescent="0.2">
      <c r="A737" s="74"/>
      <c r="B737" s="75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</row>
    <row r="738" spans="1:23" x14ac:dyDescent="0.2">
      <c r="A738" s="74"/>
      <c r="B738" s="75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</row>
    <row r="739" spans="1:23" x14ac:dyDescent="0.2">
      <c r="A739" s="74"/>
      <c r="B739" s="75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</row>
    <row r="740" spans="1:23" x14ac:dyDescent="0.2">
      <c r="A740" s="74"/>
      <c r="B740" s="75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</row>
    <row r="741" spans="1:23" x14ac:dyDescent="0.2">
      <c r="A741" s="74"/>
      <c r="B741" s="75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</row>
    <row r="742" spans="1:23" x14ac:dyDescent="0.2">
      <c r="A742" s="74"/>
      <c r="B742" s="75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</row>
    <row r="743" spans="1:23" x14ac:dyDescent="0.2">
      <c r="A743" s="74"/>
      <c r="B743" s="75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</row>
    <row r="744" spans="1:23" x14ac:dyDescent="0.2">
      <c r="A744" s="74"/>
      <c r="B744" s="75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</row>
    <row r="745" spans="1:23" x14ac:dyDescent="0.2">
      <c r="A745" s="74"/>
      <c r="B745" s="75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</row>
    <row r="746" spans="1:23" x14ac:dyDescent="0.2">
      <c r="A746" s="74"/>
      <c r="B746" s="75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</row>
    <row r="747" spans="1:23" x14ac:dyDescent="0.2">
      <c r="A747" s="74"/>
      <c r="B747" s="75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</row>
    <row r="748" spans="1:23" x14ac:dyDescent="0.2">
      <c r="A748" s="74"/>
      <c r="B748" s="75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</row>
    <row r="749" spans="1:23" x14ac:dyDescent="0.2">
      <c r="A749" s="74"/>
      <c r="B749" s="75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</row>
    <row r="750" spans="1:23" x14ac:dyDescent="0.2">
      <c r="A750" s="74"/>
      <c r="B750" s="75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</row>
    <row r="751" spans="1:23" x14ac:dyDescent="0.2">
      <c r="A751" s="74"/>
      <c r="B751" s="75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</row>
    <row r="752" spans="1:23" x14ac:dyDescent="0.2">
      <c r="A752" s="74"/>
      <c r="B752" s="75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</row>
    <row r="753" spans="1:23" x14ac:dyDescent="0.2">
      <c r="A753" s="74"/>
      <c r="B753" s="75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</row>
    <row r="754" spans="1:23" x14ac:dyDescent="0.2">
      <c r="A754" s="74"/>
      <c r="B754" s="75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</row>
    <row r="755" spans="1:23" x14ac:dyDescent="0.2">
      <c r="A755" s="74"/>
      <c r="B755" s="75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</row>
    <row r="756" spans="1:23" x14ac:dyDescent="0.2">
      <c r="A756" s="74"/>
      <c r="B756" s="75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</row>
    <row r="757" spans="1:23" x14ac:dyDescent="0.2">
      <c r="A757" s="74"/>
      <c r="B757" s="75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</row>
    <row r="758" spans="1:23" x14ac:dyDescent="0.2">
      <c r="A758" s="74"/>
      <c r="B758" s="75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</row>
    <row r="759" spans="1:23" x14ac:dyDescent="0.2">
      <c r="A759" s="74"/>
      <c r="B759" s="75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</row>
    <row r="760" spans="1:23" x14ac:dyDescent="0.2">
      <c r="A760" s="74"/>
      <c r="B760" s="75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</row>
    <row r="761" spans="1:23" x14ac:dyDescent="0.2">
      <c r="A761" s="74"/>
      <c r="B761" s="75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</row>
    <row r="762" spans="1:23" x14ac:dyDescent="0.2">
      <c r="A762" s="74"/>
      <c r="B762" s="75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</row>
    <row r="763" spans="1:23" x14ac:dyDescent="0.2">
      <c r="A763" s="74"/>
      <c r="B763" s="75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</row>
    <row r="764" spans="1:23" x14ac:dyDescent="0.2">
      <c r="A764" s="74"/>
      <c r="B764" s="75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</row>
    <row r="765" spans="1:23" x14ac:dyDescent="0.2">
      <c r="A765" s="74"/>
      <c r="B765" s="75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</row>
    <row r="766" spans="1:23" x14ac:dyDescent="0.2">
      <c r="A766" s="74"/>
      <c r="B766" s="75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</row>
    <row r="767" spans="1:23" x14ac:dyDescent="0.2">
      <c r="A767" s="74"/>
      <c r="B767" s="75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</row>
    <row r="768" spans="1:23" x14ac:dyDescent="0.2">
      <c r="A768" s="74"/>
      <c r="B768" s="75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</row>
    <row r="769" spans="1:23" x14ac:dyDescent="0.2">
      <c r="A769" s="74"/>
      <c r="B769" s="75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</row>
    <row r="770" spans="1:23" x14ac:dyDescent="0.2">
      <c r="A770" s="74"/>
      <c r="B770" s="75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</row>
    <row r="771" spans="1:23" x14ac:dyDescent="0.2">
      <c r="A771" s="74"/>
      <c r="B771" s="75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</row>
    <row r="772" spans="1:23" x14ac:dyDescent="0.2">
      <c r="A772" s="74"/>
      <c r="B772" s="75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</row>
    <row r="773" spans="1:23" x14ac:dyDescent="0.2">
      <c r="A773" s="74"/>
      <c r="B773" s="75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</row>
    <row r="774" spans="1:23" x14ac:dyDescent="0.2">
      <c r="A774" s="74"/>
      <c r="B774" s="75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</row>
    <row r="775" spans="1:23" x14ac:dyDescent="0.2">
      <c r="A775" s="74"/>
      <c r="B775" s="75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</row>
    <row r="776" spans="1:23" x14ac:dyDescent="0.2">
      <c r="A776" s="74"/>
      <c r="B776" s="75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</row>
    <row r="777" spans="1:23" x14ac:dyDescent="0.2">
      <c r="A777" s="74"/>
      <c r="B777" s="75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</row>
    <row r="778" spans="1:23" x14ac:dyDescent="0.2">
      <c r="A778" s="74"/>
      <c r="B778" s="75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</row>
    <row r="779" spans="1:23" x14ac:dyDescent="0.2">
      <c r="A779" s="74"/>
      <c r="B779" s="75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</row>
    <row r="780" spans="1:23" x14ac:dyDescent="0.2">
      <c r="A780" s="74"/>
      <c r="B780" s="75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</row>
    <row r="781" spans="1:23" x14ac:dyDescent="0.2">
      <c r="A781" s="74"/>
      <c r="B781" s="75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</row>
    <row r="782" spans="1:23" x14ac:dyDescent="0.2">
      <c r="A782" s="74"/>
      <c r="B782" s="75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</row>
    <row r="783" spans="1:23" x14ac:dyDescent="0.2">
      <c r="A783" s="74"/>
      <c r="B783" s="75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</row>
    <row r="784" spans="1:23" x14ac:dyDescent="0.2">
      <c r="A784" s="74"/>
      <c r="B784" s="75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</row>
    <row r="785" spans="1:23" x14ac:dyDescent="0.2">
      <c r="A785" s="74"/>
      <c r="B785" s="75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</row>
    <row r="786" spans="1:23" x14ac:dyDescent="0.2">
      <c r="A786" s="74"/>
      <c r="B786" s="75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</row>
    <row r="787" spans="1:23" x14ac:dyDescent="0.2">
      <c r="A787" s="74"/>
      <c r="B787" s="75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</row>
    <row r="788" spans="1:23" x14ac:dyDescent="0.2">
      <c r="A788" s="74"/>
      <c r="B788" s="75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</row>
    <row r="789" spans="1:23" x14ac:dyDescent="0.2">
      <c r="A789" s="74"/>
      <c r="B789" s="75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</row>
    <row r="790" spans="1:23" x14ac:dyDescent="0.2">
      <c r="A790" s="74"/>
      <c r="B790" s="75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</row>
    <row r="791" spans="1:23" x14ac:dyDescent="0.2">
      <c r="A791" s="74"/>
      <c r="B791" s="75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</row>
    <row r="792" spans="1:23" x14ac:dyDescent="0.2">
      <c r="A792" s="74"/>
      <c r="B792" s="75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</row>
    <row r="793" spans="1:23" x14ac:dyDescent="0.2">
      <c r="A793" s="74"/>
      <c r="B793" s="75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</row>
    <row r="794" spans="1:23" x14ac:dyDescent="0.2">
      <c r="A794" s="74"/>
      <c r="B794" s="75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</row>
    <row r="795" spans="1:23" x14ac:dyDescent="0.2">
      <c r="A795" s="74"/>
      <c r="B795" s="75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</row>
    <row r="796" spans="1:23" x14ac:dyDescent="0.2">
      <c r="A796" s="74"/>
      <c r="B796" s="75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</row>
    <row r="797" spans="1:23" x14ac:dyDescent="0.2">
      <c r="A797" s="74"/>
      <c r="B797" s="75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</row>
    <row r="798" spans="1:23" x14ac:dyDescent="0.2">
      <c r="A798" s="74"/>
      <c r="B798" s="75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</row>
    <row r="799" spans="1:23" x14ac:dyDescent="0.2">
      <c r="A799" s="74"/>
      <c r="B799" s="75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</row>
    <row r="800" spans="1:23" x14ac:dyDescent="0.2">
      <c r="A800" s="74"/>
      <c r="B800" s="75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</row>
    <row r="801" spans="1:23" x14ac:dyDescent="0.2">
      <c r="A801" s="74"/>
      <c r="B801" s="75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</row>
    <row r="802" spans="1:23" x14ac:dyDescent="0.2">
      <c r="A802" s="74"/>
      <c r="B802" s="75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</row>
    <row r="803" spans="1:23" x14ac:dyDescent="0.2">
      <c r="A803" s="74"/>
      <c r="B803" s="75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</row>
    <row r="804" spans="1:23" x14ac:dyDescent="0.2">
      <c r="A804" s="74"/>
      <c r="B804" s="75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</row>
    <row r="805" spans="1:23" x14ac:dyDescent="0.2">
      <c r="A805" s="74"/>
      <c r="B805" s="75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</row>
    <row r="806" spans="1:23" x14ac:dyDescent="0.2">
      <c r="A806" s="74"/>
      <c r="B806" s="75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</row>
    <row r="807" spans="1:23" x14ac:dyDescent="0.2">
      <c r="A807" s="74"/>
      <c r="B807" s="75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</row>
    <row r="808" spans="1:23" x14ac:dyDescent="0.2">
      <c r="A808" s="74"/>
      <c r="B808" s="75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</row>
    <row r="809" spans="1:23" x14ac:dyDescent="0.2">
      <c r="A809" s="74"/>
      <c r="B809" s="75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</row>
    <row r="810" spans="1:23" x14ac:dyDescent="0.2">
      <c r="A810" s="74"/>
      <c r="B810" s="75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</row>
    <row r="811" spans="1:23" x14ac:dyDescent="0.2">
      <c r="A811" s="74"/>
      <c r="B811" s="75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</row>
    <row r="812" spans="1:23" x14ac:dyDescent="0.2">
      <c r="A812" s="74"/>
      <c r="B812" s="75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</row>
    <row r="813" spans="1:23" x14ac:dyDescent="0.2">
      <c r="A813" s="74"/>
      <c r="B813" s="75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</row>
    <row r="814" spans="1:23" x14ac:dyDescent="0.2">
      <c r="A814" s="74"/>
      <c r="B814" s="75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</row>
    <row r="815" spans="1:23" x14ac:dyDescent="0.2">
      <c r="A815" s="74"/>
      <c r="B815" s="75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</row>
    <row r="816" spans="1:23" x14ac:dyDescent="0.2">
      <c r="A816" s="74"/>
      <c r="B816" s="75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</row>
    <row r="817" spans="1:23" x14ac:dyDescent="0.2">
      <c r="A817" s="74"/>
      <c r="B817" s="75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</row>
    <row r="818" spans="1:23" x14ac:dyDescent="0.2">
      <c r="A818" s="74"/>
      <c r="B818" s="75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</row>
    <row r="819" spans="1:23" x14ac:dyDescent="0.2">
      <c r="A819" s="74"/>
      <c r="B819" s="75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</row>
    <row r="820" spans="1:23" x14ac:dyDescent="0.2">
      <c r="A820" s="74"/>
      <c r="B820" s="75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</row>
    <row r="821" spans="1:23" x14ac:dyDescent="0.2">
      <c r="A821" s="74"/>
      <c r="B821" s="75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</row>
    <row r="822" spans="1:23" x14ac:dyDescent="0.2">
      <c r="A822" s="74"/>
      <c r="B822" s="75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</row>
    <row r="823" spans="1:23" x14ac:dyDescent="0.2">
      <c r="A823" s="74"/>
      <c r="B823" s="75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</row>
    <row r="824" spans="1:23" x14ac:dyDescent="0.2">
      <c r="A824" s="74"/>
      <c r="B824" s="75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</row>
    <row r="825" spans="1:23" x14ac:dyDescent="0.2">
      <c r="A825" s="74"/>
      <c r="B825" s="75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</row>
    <row r="826" spans="1:23" x14ac:dyDescent="0.2">
      <c r="A826" s="74"/>
      <c r="B826" s="75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</row>
    <row r="827" spans="1:23" x14ac:dyDescent="0.2">
      <c r="A827" s="74"/>
      <c r="B827" s="75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</row>
    <row r="828" spans="1:23" x14ac:dyDescent="0.2">
      <c r="A828" s="74"/>
      <c r="B828" s="75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</row>
    <row r="829" spans="1:23" x14ac:dyDescent="0.2">
      <c r="A829" s="74"/>
      <c r="B829" s="75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</row>
    <row r="830" spans="1:23" x14ac:dyDescent="0.2">
      <c r="A830" s="74"/>
      <c r="B830" s="75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</row>
    <row r="831" spans="1:23" x14ac:dyDescent="0.2">
      <c r="A831" s="74"/>
      <c r="B831" s="75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</row>
    <row r="832" spans="1:23" x14ac:dyDescent="0.2">
      <c r="A832" s="74"/>
      <c r="B832" s="75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</row>
    <row r="833" spans="1:23" x14ac:dyDescent="0.2">
      <c r="A833" s="74"/>
      <c r="B833" s="75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</row>
    <row r="834" spans="1:23" x14ac:dyDescent="0.2">
      <c r="A834" s="74"/>
      <c r="B834" s="75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</row>
    <row r="835" spans="1:23" x14ac:dyDescent="0.2">
      <c r="A835" s="74"/>
      <c r="B835" s="75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</row>
    <row r="836" spans="1:23" x14ac:dyDescent="0.2">
      <c r="A836" s="74"/>
      <c r="B836" s="75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</row>
    <row r="837" spans="1:23" x14ac:dyDescent="0.2">
      <c r="A837" s="74"/>
      <c r="B837" s="75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</row>
    <row r="838" spans="1:23" x14ac:dyDescent="0.2">
      <c r="A838" s="74"/>
      <c r="B838" s="75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</row>
    <row r="839" spans="1:23" x14ac:dyDescent="0.2">
      <c r="A839" s="74"/>
      <c r="B839" s="75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</row>
    <row r="840" spans="1:23" x14ac:dyDescent="0.2">
      <c r="A840" s="74"/>
      <c r="B840" s="75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</row>
    <row r="841" spans="1:23" x14ac:dyDescent="0.2">
      <c r="A841" s="74"/>
      <c r="B841" s="75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</row>
    <row r="842" spans="1:23" x14ac:dyDescent="0.2">
      <c r="A842" s="74"/>
      <c r="B842" s="75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</row>
    <row r="843" spans="1:23" x14ac:dyDescent="0.2">
      <c r="A843" s="74"/>
      <c r="B843" s="75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</row>
    <row r="844" spans="1:23" x14ac:dyDescent="0.2">
      <c r="A844" s="74"/>
      <c r="B844" s="75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</row>
    <row r="845" spans="1:23" x14ac:dyDescent="0.2">
      <c r="A845" s="74"/>
      <c r="B845" s="75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</row>
    <row r="846" spans="1:23" x14ac:dyDescent="0.2">
      <c r="A846" s="74"/>
      <c r="B846" s="75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</row>
    <row r="847" spans="1:23" x14ac:dyDescent="0.2">
      <c r="A847" s="74"/>
      <c r="B847" s="75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</row>
    <row r="848" spans="1:23" x14ac:dyDescent="0.2">
      <c r="A848" s="74"/>
      <c r="B848" s="75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</row>
    <row r="849" spans="1:23" x14ac:dyDescent="0.2">
      <c r="A849" s="74"/>
      <c r="B849" s="75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</row>
    <row r="850" spans="1:23" x14ac:dyDescent="0.2">
      <c r="A850" s="74"/>
      <c r="B850" s="75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</row>
    <row r="851" spans="1:23" x14ac:dyDescent="0.2">
      <c r="A851" s="74"/>
      <c r="B851" s="75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</row>
    <row r="852" spans="1:23" x14ac:dyDescent="0.2">
      <c r="A852" s="74"/>
      <c r="B852" s="75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</row>
    <row r="853" spans="1:23" x14ac:dyDescent="0.2">
      <c r="A853" s="74"/>
      <c r="B853" s="75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</row>
    <row r="854" spans="1:23" x14ac:dyDescent="0.2">
      <c r="A854" s="74"/>
      <c r="B854" s="75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</row>
    <row r="855" spans="1:23" x14ac:dyDescent="0.2">
      <c r="A855" s="74"/>
      <c r="B855" s="75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</row>
    <row r="856" spans="1:23" x14ac:dyDescent="0.2">
      <c r="A856" s="74"/>
      <c r="B856" s="75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</row>
    <row r="857" spans="1:23" x14ac:dyDescent="0.2">
      <c r="A857" s="74"/>
      <c r="B857" s="75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</row>
    <row r="858" spans="1:23" x14ac:dyDescent="0.2">
      <c r="A858" s="74"/>
      <c r="B858" s="75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</row>
    <row r="859" spans="1:23" x14ac:dyDescent="0.2">
      <c r="A859" s="74"/>
      <c r="B859" s="75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</row>
    <row r="860" spans="1:23" x14ac:dyDescent="0.2">
      <c r="A860" s="74"/>
      <c r="B860" s="75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</row>
    <row r="861" spans="1:23" x14ac:dyDescent="0.2">
      <c r="A861" s="74"/>
      <c r="B861" s="75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</row>
    <row r="862" spans="1:23" x14ac:dyDescent="0.2">
      <c r="A862" s="74"/>
      <c r="B862" s="75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</row>
    <row r="863" spans="1:23" x14ac:dyDescent="0.2">
      <c r="A863" s="74"/>
      <c r="B863" s="75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</row>
    <row r="864" spans="1:23" x14ac:dyDescent="0.2">
      <c r="A864" s="74"/>
      <c r="B864" s="75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</row>
    <row r="865" spans="1:23" x14ac:dyDescent="0.2">
      <c r="A865" s="74"/>
      <c r="B865" s="75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</row>
    <row r="866" spans="1:23" x14ac:dyDescent="0.2">
      <c r="A866" s="74"/>
      <c r="B866" s="75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</row>
    <row r="867" spans="1:23" x14ac:dyDescent="0.2">
      <c r="A867" s="74"/>
      <c r="B867" s="75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</row>
    <row r="868" spans="1:23" x14ac:dyDescent="0.2">
      <c r="A868" s="74"/>
      <c r="B868" s="75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</row>
    <row r="869" spans="1:23" x14ac:dyDescent="0.2">
      <c r="A869" s="74"/>
      <c r="B869" s="75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</row>
    <row r="870" spans="1:23" x14ac:dyDescent="0.2">
      <c r="A870" s="74"/>
      <c r="B870" s="75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</row>
    <row r="871" spans="1:23" x14ac:dyDescent="0.2">
      <c r="A871" s="74"/>
      <c r="B871" s="75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</row>
    <row r="872" spans="1:23" x14ac:dyDescent="0.2">
      <c r="A872" s="74"/>
      <c r="B872" s="75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</row>
    <row r="873" spans="1:23" x14ac:dyDescent="0.2">
      <c r="A873" s="74"/>
      <c r="B873" s="75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</row>
    <row r="874" spans="1:23" x14ac:dyDescent="0.2">
      <c r="A874" s="74"/>
      <c r="B874" s="75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</row>
    <row r="875" spans="1:23" x14ac:dyDescent="0.2">
      <c r="A875" s="74"/>
      <c r="B875" s="75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</row>
    <row r="876" spans="1:23" x14ac:dyDescent="0.2">
      <c r="A876" s="74"/>
      <c r="B876" s="75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</row>
    <row r="877" spans="1:23" x14ac:dyDescent="0.2">
      <c r="A877" s="74"/>
      <c r="B877" s="75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</row>
    <row r="878" spans="1:23" x14ac:dyDescent="0.2">
      <c r="A878" s="74"/>
      <c r="B878" s="75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</row>
    <row r="879" spans="1:23" x14ac:dyDescent="0.2">
      <c r="A879" s="74"/>
      <c r="B879" s="75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</row>
  </sheetData>
  <sortState ref="A78:W134">
    <sortCondition descending="1" ref="W78:W134"/>
  </sortState>
  <mergeCells count="11">
    <mergeCell ref="A1:A2"/>
    <mergeCell ref="B1:B2"/>
    <mergeCell ref="D1:D2"/>
    <mergeCell ref="W1:W2"/>
    <mergeCell ref="C1:C2"/>
    <mergeCell ref="E1:E2"/>
    <mergeCell ref="F1:J1"/>
    <mergeCell ref="K1:K2"/>
    <mergeCell ref="L1:P1"/>
    <mergeCell ref="Q1:Q2"/>
    <mergeCell ref="R1:V1"/>
  </mergeCells>
  <conditionalFormatting sqref="K3:K130 Q3:Q130">
    <cfRule type="cellIs" dxfId="31" priority="2" operator="greaterThan">
      <formula>36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6"/>
  <sheetViews>
    <sheetView workbookViewId="0">
      <selection activeCell="E16" sqref="E16"/>
    </sheetView>
  </sheetViews>
  <sheetFormatPr defaultRowHeight="15" outlineLevelRow="2" x14ac:dyDescent="0.25"/>
  <cols>
    <col min="1" max="1" width="5.5703125" customWidth="1"/>
    <col min="2" max="2" width="20" bestFit="1" customWidth="1"/>
    <col min="3" max="3" width="10.7109375" hidden="1" customWidth="1"/>
    <col min="5" max="5" width="29.85546875" bestFit="1" customWidth="1"/>
    <col min="6" max="9" width="6.28515625" customWidth="1"/>
    <col min="10" max="10" width="13.140625" bestFit="1" customWidth="1"/>
    <col min="12" max="15" width="6.28515625" customWidth="1"/>
    <col min="16" max="16" width="13.140625" bestFit="1" customWidth="1"/>
    <col min="18" max="18" width="11.7109375" customWidth="1"/>
    <col min="19" max="19" width="13.42578125" customWidth="1"/>
    <col min="20" max="20" width="14" customWidth="1"/>
  </cols>
  <sheetData>
    <row r="1" spans="1:23" x14ac:dyDescent="0.25">
      <c r="A1" s="1"/>
      <c r="B1" s="1"/>
      <c r="C1" s="1"/>
      <c r="D1" s="1"/>
      <c r="E1" s="1"/>
      <c r="F1" s="171" t="s">
        <v>14</v>
      </c>
      <c r="G1" s="172"/>
      <c r="H1" s="172"/>
      <c r="I1" s="172"/>
      <c r="J1" s="173"/>
      <c r="K1" s="69"/>
      <c r="L1" s="174" t="s">
        <v>15</v>
      </c>
      <c r="M1" s="175"/>
      <c r="N1" s="175"/>
      <c r="O1" s="175"/>
      <c r="P1" s="176"/>
      <c r="Q1" s="70"/>
      <c r="R1" s="166" t="s">
        <v>6</v>
      </c>
      <c r="S1" s="167"/>
      <c r="T1" s="167"/>
      <c r="U1" s="93"/>
      <c r="V1" s="91"/>
      <c r="W1" s="90"/>
    </row>
    <row r="2" spans="1:23" ht="26.25" thickBot="1" x14ac:dyDescent="0.3">
      <c r="A2" s="96" t="s">
        <v>1</v>
      </c>
      <c r="B2" s="97" t="s">
        <v>0</v>
      </c>
      <c r="C2" s="96" t="s">
        <v>126</v>
      </c>
      <c r="D2" s="96" t="s">
        <v>125</v>
      </c>
      <c r="E2" s="96" t="s">
        <v>7</v>
      </c>
      <c r="F2" s="98" t="s">
        <v>10</v>
      </c>
      <c r="G2" s="98" t="s">
        <v>11</v>
      </c>
      <c r="H2" s="98" t="s">
        <v>12</v>
      </c>
      <c r="I2" s="98" t="s">
        <v>13</v>
      </c>
      <c r="J2" s="98" t="s">
        <v>2</v>
      </c>
      <c r="K2" s="14" t="s">
        <v>16</v>
      </c>
      <c r="L2" s="99" t="s">
        <v>10</v>
      </c>
      <c r="M2" s="99" t="s">
        <v>11</v>
      </c>
      <c r="N2" s="99" t="s">
        <v>12</v>
      </c>
      <c r="O2" s="99" t="s">
        <v>13</v>
      </c>
      <c r="P2" s="99" t="s">
        <v>3</v>
      </c>
      <c r="Q2" s="23" t="s">
        <v>184</v>
      </c>
      <c r="R2" s="100" t="s">
        <v>8</v>
      </c>
      <c r="S2" s="100" t="s">
        <v>4</v>
      </c>
      <c r="T2" s="95" t="s">
        <v>5</v>
      </c>
      <c r="U2" s="94"/>
      <c r="V2" s="92"/>
      <c r="W2" s="89"/>
    </row>
    <row r="3" spans="1:23" ht="15.75" outlineLevel="2" thickTop="1" x14ac:dyDescent="0.25">
      <c r="A3" s="146">
        <v>113</v>
      </c>
      <c r="B3" s="147" t="s">
        <v>117</v>
      </c>
      <c r="C3" s="146" t="s">
        <v>135</v>
      </c>
      <c r="D3" s="146" t="s">
        <v>138</v>
      </c>
      <c r="E3" s="146" t="s">
        <v>179</v>
      </c>
      <c r="F3" s="20">
        <v>5</v>
      </c>
      <c r="G3" s="20">
        <v>18</v>
      </c>
      <c r="H3" s="20">
        <v>10</v>
      </c>
      <c r="I3" s="20">
        <v>3</v>
      </c>
      <c r="J3" s="46">
        <v>266</v>
      </c>
      <c r="K3" s="20">
        <v>36</v>
      </c>
      <c r="L3" s="29">
        <v>22</v>
      </c>
      <c r="M3" s="29">
        <v>9</v>
      </c>
      <c r="N3" s="29">
        <v>2</v>
      </c>
      <c r="O3" s="29"/>
      <c r="P3" s="48">
        <v>304</v>
      </c>
      <c r="Q3" s="29">
        <v>33</v>
      </c>
      <c r="R3" s="38">
        <v>13.88</v>
      </c>
      <c r="S3" s="38">
        <v>86.12</v>
      </c>
      <c r="T3" s="73">
        <v>656.12</v>
      </c>
    </row>
    <row r="4" spans="1:23" outlineLevel="2" x14ac:dyDescent="0.25">
      <c r="A4" s="146">
        <v>114</v>
      </c>
      <c r="B4" s="147" t="s">
        <v>118</v>
      </c>
      <c r="C4" s="146" t="s">
        <v>135</v>
      </c>
      <c r="D4" s="146" t="s">
        <v>138</v>
      </c>
      <c r="E4" s="146" t="s">
        <v>179</v>
      </c>
      <c r="F4" s="20">
        <v>13</v>
      </c>
      <c r="G4" s="20">
        <v>14</v>
      </c>
      <c r="H4" s="20">
        <v>7</v>
      </c>
      <c r="I4" s="20">
        <v>2</v>
      </c>
      <c r="J4" s="20">
        <v>292</v>
      </c>
      <c r="K4" s="20">
        <v>36</v>
      </c>
      <c r="L4" s="29">
        <v>28</v>
      </c>
      <c r="M4" s="29">
        <v>6</v>
      </c>
      <c r="N4" s="29">
        <v>2</v>
      </c>
      <c r="O4" s="29"/>
      <c r="P4" s="29">
        <v>340</v>
      </c>
      <c r="Q4" s="29">
        <v>36</v>
      </c>
      <c r="R4" s="38">
        <v>10.91</v>
      </c>
      <c r="S4" s="38">
        <v>89.09</v>
      </c>
      <c r="T4" s="101">
        <v>721.09</v>
      </c>
    </row>
    <row r="5" spans="1:23" outlineLevel="2" x14ac:dyDescent="0.25">
      <c r="A5" s="146">
        <v>115</v>
      </c>
      <c r="B5" s="147" t="s">
        <v>119</v>
      </c>
      <c r="C5" s="146" t="s">
        <v>135</v>
      </c>
      <c r="D5" s="146" t="s">
        <v>138</v>
      </c>
      <c r="E5" s="146" t="s">
        <v>179</v>
      </c>
      <c r="F5" s="20">
        <v>32</v>
      </c>
      <c r="G5" s="20">
        <v>4</v>
      </c>
      <c r="H5" s="20"/>
      <c r="I5" s="20"/>
      <c r="J5" s="20">
        <v>352</v>
      </c>
      <c r="K5" s="20">
        <v>36</v>
      </c>
      <c r="L5" s="29">
        <v>25</v>
      </c>
      <c r="M5" s="29">
        <v>11</v>
      </c>
      <c r="N5" s="29"/>
      <c r="O5" s="29"/>
      <c r="P5" s="29">
        <v>338</v>
      </c>
      <c r="Q5" s="29">
        <v>36</v>
      </c>
      <c r="R5" s="38">
        <v>8.51</v>
      </c>
      <c r="S5" s="38">
        <v>91.49</v>
      </c>
      <c r="T5" s="101">
        <v>781.49</v>
      </c>
    </row>
    <row r="6" spans="1:23" outlineLevel="2" x14ac:dyDescent="0.25">
      <c r="A6" s="146">
        <v>116</v>
      </c>
      <c r="B6" s="147" t="s">
        <v>120</v>
      </c>
      <c r="C6" s="146" t="s">
        <v>135</v>
      </c>
      <c r="D6" s="146" t="s">
        <v>138</v>
      </c>
      <c r="E6" s="146" t="s">
        <v>179</v>
      </c>
      <c r="F6" s="20">
        <v>36</v>
      </c>
      <c r="G6" s="20"/>
      <c r="H6" s="20"/>
      <c r="I6" s="20"/>
      <c r="J6" s="20">
        <v>360</v>
      </c>
      <c r="K6" s="20">
        <v>36</v>
      </c>
      <c r="L6" s="29">
        <v>28</v>
      </c>
      <c r="M6" s="29">
        <v>8</v>
      </c>
      <c r="N6" s="29"/>
      <c r="O6" s="29"/>
      <c r="P6" s="29">
        <v>344</v>
      </c>
      <c r="Q6" s="29">
        <v>36</v>
      </c>
      <c r="R6" s="38">
        <v>8.73</v>
      </c>
      <c r="S6" s="38">
        <v>91.27</v>
      </c>
      <c r="T6" s="101">
        <v>795.27</v>
      </c>
    </row>
    <row r="7" spans="1:23" s="148" customFormat="1" ht="17.100000000000001" customHeight="1" outlineLevel="1" x14ac:dyDescent="0.25">
      <c r="A7" s="151"/>
      <c r="B7" s="152"/>
      <c r="C7" s="151"/>
      <c r="D7" s="151"/>
      <c r="E7" s="151" t="s">
        <v>192</v>
      </c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4"/>
      <c r="S7" s="154"/>
      <c r="T7" s="154">
        <f>SUBTOTAL(9,T3:T6)</f>
        <v>2953.97</v>
      </c>
    </row>
    <row r="8" spans="1:23" outlineLevel="2" x14ac:dyDescent="0.25">
      <c r="A8" s="146">
        <v>19</v>
      </c>
      <c r="B8" s="147" t="s">
        <v>28</v>
      </c>
      <c r="C8" s="146" t="s">
        <v>135</v>
      </c>
      <c r="D8" s="146" t="s">
        <v>127</v>
      </c>
      <c r="E8" s="146" t="s">
        <v>159</v>
      </c>
      <c r="F8" s="20">
        <v>11</v>
      </c>
      <c r="G8" s="20">
        <v>14</v>
      </c>
      <c r="H8" s="20">
        <v>4</v>
      </c>
      <c r="I8" s="20">
        <v>6</v>
      </c>
      <c r="J8" s="20">
        <v>270</v>
      </c>
      <c r="K8" s="20">
        <v>35</v>
      </c>
      <c r="L8" s="29">
        <v>22</v>
      </c>
      <c r="M8" s="29">
        <v>10</v>
      </c>
      <c r="N8" s="29">
        <v>1</v>
      </c>
      <c r="O8" s="29"/>
      <c r="P8" s="29">
        <v>306</v>
      </c>
      <c r="Q8" s="29">
        <v>33</v>
      </c>
      <c r="R8" s="38">
        <v>17.23</v>
      </c>
      <c r="S8" s="38">
        <v>82.77</v>
      </c>
      <c r="T8" s="101">
        <v>658.77</v>
      </c>
    </row>
    <row r="9" spans="1:23" outlineLevel="2" x14ac:dyDescent="0.25">
      <c r="A9" s="146">
        <v>20</v>
      </c>
      <c r="B9" s="147" t="s">
        <v>29</v>
      </c>
      <c r="C9" s="146" t="s">
        <v>135</v>
      </c>
      <c r="D9" s="146" t="s">
        <v>138</v>
      </c>
      <c r="E9" s="146" t="s">
        <v>159</v>
      </c>
      <c r="F9" s="20">
        <v>12</v>
      </c>
      <c r="G9" s="20">
        <v>16</v>
      </c>
      <c r="H9" s="20">
        <v>6</v>
      </c>
      <c r="I9" s="20">
        <v>2</v>
      </c>
      <c r="J9" s="20">
        <v>292</v>
      </c>
      <c r="K9" s="20">
        <v>36</v>
      </c>
      <c r="L9" s="29">
        <v>28</v>
      </c>
      <c r="M9" s="29">
        <v>5</v>
      </c>
      <c r="N9" s="29">
        <v>3</v>
      </c>
      <c r="O9" s="29"/>
      <c r="P9" s="29">
        <v>338</v>
      </c>
      <c r="Q9" s="29">
        <v>36</v>
      </c>
      <c r="R9" s="38">
        <v>10.6</v>
      </c>
      <c r="S9" s="38">
        <v>89.4</v>
      </c>
      <c r="T9" s="101">
        <v>719.4</v>
      </c>
    </row>
    <row r="10" spans="1:23" outlineLevel="2" x14ac:dyDescent="0.25">
      <c r="A10" s="146">
        <v>47</v>
      </c>
      <c r="B10" s="147" t="s">
        <v>53</v>
      </c>
      <c r="C10" s="146" t="s">
        <v>135</v>
      </c>
      <c r="D10" s="146" t="s">
        <v>138</v>
      </c>
      <c r="E10" s="146" t="s">
        <v>159</v>
      </c>
      <c r="F10" s="20">
        <v>5</v>
      </c>
      <c r="G10" s="20">
        <v>19</v>
      </c>
      <c r="H10" s="20">
        <v>7</v>
      </c>
      <c r="I10" s="20">
        <v>5</v>
      </c>
      <c r="J10" s="20">
        <v>264</v>
      </c>
      <c r="K10" s="20">
        <v>36</v>
      </c>
      <c r="L10" s="29">
        <v>25</v>
      </c>
      <c r="M10" s="29">
        <v>5</v>
      </c>
      <c r="N10" s="29">
        <v>2</v>
      </c>
      <c r="O10" s="29"/>
      <c r="P10" s="29">
        <v>302</v>
      </c>
      <c r="Q10" s="29">
        <v>32</v>
      </c>
      <c r="R10" s="38">
        <v>11.83</v>
      </c>
      <c r="S10" s="38">
        <v>88.17</v>
      </c>
      <c r="T10" s="101">
        <v>654.16999999999996</v>
      </c>
    </row>
    <row r="11" spans="1:23" outlineLevel="2" x14ac:dyDescent="0.25">
      <c r="A11" s="146">
        <v>96</v>
      </c>
      <c r="B11" s="147" t="s">
        <v>100</v>
      </c>
      <c r="C11" s="146" t="s">
        <v>135</v>
      </c>
      <c r="D11" s="146" t="s">
        <v>138</v>
      </c>
      <c r="E11" s="146" t="s">
        <v>159</v>
      </c>
      <c r="F11" s="20">
        <v>8</v>
      </c>
      <c r="G11" s="20">
        <v>19</v>
      </c>
      <c r="H11" s="20">
        <v>7</v>
      </c>
      <c r="I11" s="20">
        <v>2</v>
      </c>
      <c r="J11" s="20">
        <v>282</v>
      </c>
      <c r="K11" s="20">
        <v>36</v>
      </c>
      <c r="L11" s="29">
        <v>30</v>
      </c>
      <c r="M11" s="29">
        <v>4</v>
      </c>
      <c r="N11" s="29"/>
      <c r="O11" s="29"/>
      <c r="P11" s="29">
        <v>332</v>
      </c>
      <c r="Q11" s="29">
        <v>34</v>
      </c>
      <c r="R11" s="38">
        <v>8.98</v>
      </c>
      <c r="S11" s="38">
        <v>91.02</v>
      </c>
      <c r="T11" s="101">
        <v>705.02</v>
      </c>
    </row>
    <row r="12" spans="1:23" s="148" customFormat="1" ht="17.100000000000001" customHeight="1" outlineLevel="1" x14ac:dyDescent="0.25">
      <c r="A12" s="155"/>
      <c r="B12" s="156"/>
      <c r="C12" s="155"/>
      <c r="D12" s="155"/>
      <c r="E12" s="155" t="s">
        <v>187</v>
      </c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8"/>
      <c r="S12" s="158"/>
      <c r="T12" s="158">
        <f>SUBTOTAL(9,T8:T11)</f>
        <v>2737.36</v>
      </c>
    </row>
    <row r="13" spans="1:23" outlineLevel="2" x14ac:dyDescent="0.25">
      <c r="A13" s="146">
        <v>54</v>
      </c>
      <c r="B13" s="147" t="s">
        <v>60</v>
      </c>
      <c r="C13" s="146" t="s">
        <v>135</v>
      </c>
      <c r="D13" s="146" t="s">
        <v>138</v>
      </c>
      <c r="E13" s="146" t="s">
        <v>194</v>
      </c>
      <c r="F13" s="20">
        <v>13</v>
      </c>
      <c r="G13" s="20">
        <v>11</v>
      </c>
      <c r="H13" s="20">
        <v>9</v>
      </c>
      <c r="I13" s="20">
        <v>3</v>
      </c>
      <c r="J13" s="20">
        <v>284</v>
      </c>
      <c r="K13" s="20">
        <v>36</v>
      </c>
      <c r="L13" s="29">
        <v>31</v>
      </c>
      <c r="M13" s="29">
        <v>4</v>
      </c>
      <c r="N13" s="29">
        <v>1</v>
      </c>
      <c r="O13" s="29"/>
      <c r="P13" s="29">
        <v>348</v>
      </c>
      <c r="Q13" s="29">
        <v>36</v>
      </c>
      <c r="R13" s="38">
        <v>14.13</v>
      </c>
      <c r="S13" s="38">
        <v>85.87</v>
      </c>
      <c r="T13" s="101">
        <v>717.87</v>
      </c>
    </row>
    <row r="14" spans="1:23" outlineLevel="2" x14ac:dyDescent="0.25">
      <c r="A14" s="146">
        <v>55</v>
      </c>
      <c r="B14" s="147" t="s">
        <v>61</v>
      </c>
      <c r="C14" s="146" t="s">
        <v>135</v>
      </c>
      <c r="D14" s="146" t="s">
        <v>138</v>
      </c>
      <c r="E14" s="146" t="s">
        <v>194</v>
      </c>
      <c r="F14" s="20">
        <v>6</v>
      </c>
      <c r="G14" s="20">
        <v>13</v>
      </c>
      <c r="H14" s="20">
        <v>7</v>
      </c>
      <c r="I14" s="20">
        <v>10</v>
      </c>
      <c r="J14" s="20">
        <v>246</v>
      </c>
      <c r="K14" s="20">
        <v>36</v>
      </c>
      <c r="L14" s="29">
        <v>25</v>
      </c>
      <c r="M14" s="29">
        <v>6</v>
      </c>
      <c r="N14" s="29">
        <v>1</v>
      </c>
      <c r="O14" s="29"/>
      <c r="P14" s="29">
        <v>304</v>
      </c>
      <c r="Q14" s="29">
        <v>32</v>
      </c>
      <c r="R14" s="38">
        <v>11.65</v>
      </c>
      <c r="S14" s="38">
        <v>88.35</v>
      </c>
      <c r="T14" s="101">
        <v>638.35</v>
      </c>
    </row>
    <row r="15" spans="1:23" outlineLevel="2" x14ac:dyDescent="0.25">
      <c r="A15" s="146">
        <v>56</v>
      </c>
      <c r="B15" s="147" t="s">
        <v>62</v>
      </c>
      <c r="C15" s="146" t="s">
        <v>135</v>
      </c>
      <c r="D15" s="146" t="s">
        <v>138</v>
      </c>
      <c r="E15" s="146" t="s">
        <v>194</v>
      </c>
      <c r="F15" s="20">
        <v>7</v>
      </c>
      <c r="G15" s="20">
        <v>12</v>
      </c>
      <c r="H15" s="20">
        <v>12</v>
      </c>
      <c r="I15" s="20">
        <v>5</v>
      </c>
      <c r="J15" s="20">
        <v>258</v>
      </c>
      <c r="K15" s="20">
        <v>36</v>
      </c>
      <c r="L15" s="29">
        <v>28</v>
      </c>
      <c r="M15" s="29">
        <v>3</v>
      </c>
      <c r="N15" s="29">
        <v>4</v>
      </c>
      <c r="O15" s="29"/>
      <c r="P15" s="29">
        <v>328</v>
      </c>
      <c r="Q15" s="29">
        <v>35</v>
      </c>
      <c r="R15" s="38">
        <v>12.31</v>
      </c>
      <c r="S15" s="38">
        <v>87.69</v>
      </c>
      <c r="T15" s="101">
        <v>673.69</v>
      </c>
    </row>
    <row r="16" spans="1:23" outlineLevel="2" x14ac:dyDescent="0.25">
      <c r="A16" s="146">
        <v>57</v>
      </c>
      <c r="B16" s="147" t="s">
        <v>63</v>
      </c>
      <c r="C16" s="146" t="s">
        <v>135</v>
      </c>
      <c r="D16" s="146" t="s">
        <v>138</v>
      </c>
      <c r="E16" s="146" t="s">
        <v>194</v>
      </c>
      <c r="F16" s="20">
        <v>4</v>
      </c>
      <c r="G16" s="20">
        <v>13</v>
      </c>
      <c r="H16" s="20">
        <v>5</v>
      </c>
      <c r="I16" s="20">
        <v>9</v>
      </c>
      <c r="J16" s="20">
        <v>210</v>
      </c>
      <c r="K16" s="20">
        <v>31</v>
      </c>
      <c r="L16" s="29">
        <v>11</v>
      </c>
      <c r="M16" s="29">
        <v>11</v>
      </c>
      <c r="N16" s="29">
        <v>2</v>
      </c>
      <c r="O16" s="29"/>
      <c r="P16" s="29">
        <v>210</v>
      </c>
      <c r="Q16" s="29">
        <v>24</v>
      </c>
      <c r="R16" s="38">
        <v>21.61</v>
      </c>
      <c r="S16" s="38">
        <v>78.39</v>
      </c>
      <c r="T16" s="101">
        <v>498.39</v>
      </c>
    </row>
    <row r="17" spans="1:20" s="149" customFormat="1" ht="17.100000000000001" customHeight="1" outlineLevel="1" x14ac:dyDescent="0.25">
      <c r="A17" s="155"/>
      <c r="B17" s="156"/>
      <c r="C17" s="155"/>
      <c r="D17" s="155"/>
      <c r="E17" s="155" t="s">
        <v>194</v>
      </c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8"/>
      <c r="S17" s="158"/>
      <c r="T17" s="158">
        <f>SUBTOTAL(9,T13:T16)</f>
        <v>2528.3000000000002</v>
      </c>
    </row>
    <row r="18" spans="1:20" outlineLevel="2" x14ac:dyDescent="0.25">
      <c r="A18" s="146">
        <v>74</v>
      </c>
      <c r="B18" s="147" t="s">
        <v>80</v>
      </c>
      <c r="C18" s="146" t="s">
        <v>135</v>
      </c>
      <c r="D18" s="146" t="s">
        <v>138</v>
      </c>
      <c r="E18" s="146" t="s">
        <v>168</v>
      </c>
      <c r="F18" s="20">
        <v>9</v>
      </c>
      <c r="G18" s="20">
        <v>16</v>
      </c>
      <c r="H18" s="20">
        <v>6</v>
      </c>
      <c r="I18" s="20">
        <v>4</v>
      </c>
      <c r="J18" s="20">
        <v>270</v>
      </c>
      <c r="K18" s="20">
        <v>35</v>
      </c>
      <c r="L18" s="29">
        <v>20</v>
      </c>
      <c r="M18" s="29">
        <v>11</v>
      </c>
      <c r="N18" s="29">
        <v>3</v>
      </c>
      <c r="O18" s="29"/>
      <c r="P18" s="29">
        <v>306</v>
      </c>
      <c r="Q18" s="29">
        <v>34</v>
      </c>
      <c r="R18" s="38">
        <v>14.67</v>
      </c>
      <c r="S18" s="38">
        <v>85.33</v>
      </c>
      <c r="T18" s="101">
        <v>661.33</v>
      </c>
    </row>
    <row r="19" spans="1:20" outlineLevel="2" x14ac:dyDescent="0.25">
      <c r="A19" s="146">
        <v>75</v>
      </c>
      <c r="B19" s="147" t="s">
        <v>81</v>
      </c>
      <c r="C19" s="146" t="s">
        <v>135</v>
      </c>
      <c r="D19" s="146" t="s">
        <v>138</v>
      </c>
      <c r="E19" s="146" t="s">
        <v>168</v>
      </c>
      <c r="F19" s="20">
        <v>12</v>
      </c>
      <c r="G19" s="20">
        <v>13</v>
      </c>
      <c r="H19" s="20">
        <v>6</v>
      </c>
      <c r="I19" s="20">
        <v>5</v>
      </c>
      <c r="J19" s="20">
        <v>280</v>
      </c>
      <c r="K19" s="20">
        <v>36</v>
      </c>
      <c r="L19" s="29">
        <v>14</v>
      </c>
      <c r="M19" s="29">
        <v>12</v>
      </c>
      <c r="N19" s="29">
        <v>6</v>
      </c>
      <c r="O19" s="29"/>
      <c r="P19" s="29">
        <v>272</v>
      </c>
      <c r="Q19" s="29">
        <v>32</v>
      </c>
      <c r="R19" s="38">
        <v>13.26</v>
      </c>
      <c r="S19" s="38">
        <v>86.74</v>
      </c>
      <c r="T19" s="101">
        <v>638.74</v>
      </c>
    </row>
    <row r="20" spans="1:20" outlineLevel="2" x14ac:dyDescent="0.25">
      <c r="A20" s="146">
        <v>80</v>
      </c>
      <c r="B20" s="147" t="s">
        <v>86</v>
      </c>
      <c r="C20" s="146" t="s">
        <v>135</v>
      </c>
      <c r="D20" s="146" t="s">
        <v>138</v>
      </c>
      <c r="E20" s="146" t="s">
        <v>168</v>
      </c>
      <c r="F20" s="20">
        <v>7</v>
      </c>
      <c r="G20" s="20">
        <v>9</v>
      </c>
      <c r="H20" s="20">
        <v>9</v>
      </c>
      <c r="I20" s="20">
        <v>11</v>
      </c>
      <c r="J20" s="20">
        <v>240</v>
      </c>
      <c r="K20" s="20">
        <v>36</v>
      </c>
      <c r="L20" s="29">
        <v>19</v>
      </c>
      <c r="M20" s="29">
        <v>5</v>
      </c>
      <c r="N20" s="29">
        <v>4</v>
      </c>
      <c r="O20" s="29"/>
      <c r="P20" s="29">
        <v>254</v>
      </c>
      <c r="Q20" s="29">
        <v>28</v>
      </c>
      <c r="R20" s="38">
        <v>14.12</v>
      </c>
      <c r="S20" s="38">
        <v>85.88</v>
      </c>
      <c r="T20" s="101">
        <v>579.88</v>
      </c>
    </row>
    <row r="21" spans="1:20" outlineLevel="2" x14ac:dyDescent="0.25">
      <c r="A21" s="146">
        <v>82</v>
      </c>
      <c r="B21" s="147" t="s">
        <v>88</v>
      </c>
      <c r="C21" s="146" t="s">
        <v>135</v>
      </c>
      <c r="D21" s="146" t="s">
        <v>138</v>
      </c>
      <c r="E21" s="146" t="s">
        <v>168</v>
      </c>
      <c r="F21" s="20">
        <v>3</v>
      </c>
      <c r="G21" s="20">
        <v>10</v>
      </c>
      <c r="H21" s="20">
        <v>12</v>
      </c>
      <c r="I21" s="20">
        <v>9</v>
      </c>
      <c r="J21" s="20">
        <v>218</v>
      </c>
      <c r="K21" s="20">
        <v>34</v>
      </c>
      <c r="L21" s="29">
        <v>17</v>
      </c>
      <c r="M21" s="29">
        <v>9</v>
      </c>
      <c r="N21" s="29">
        <v>8</v>
      </c>
      <c r="O21" s="29"/>
      <c r="P21" s="29">
        <v>290</v>
      </c>
      <c r="Q21" s="29">
        <v>34</v>
      </c>
      <c r="R21" s="38">
        <v>22.77</v>
      </c>
      <c r="S21" s="38">
        <v>77.23</v>
      </c>
      <c r="T21" s="101">
        <v>585.23</v>
      </c>
    </row>
    <row r="22" spans="1:20" s="149" customFormat="1" ht="17.25" customHeight="1" outlineLevel="1" x14ac:dyDescent="0.25">
      <c r="A22" s="155"/>
      <c r="B22" s="156"/>
      <c r="C22" s="155"/>
      <c r="D22" s="155"/>
      <c r="E22" s="159" t="s">
        <v>185</v>
      </c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8"/>
      <c r="S22" s="158"/>
      <c r="T22" s="158">
        <f>SUBTOTAL(9,T18:T21)</f>
        <v>2465.1800000000003</v>
      </c>
    </row>
    <row r="23" spans="1:20" outlineLevel="2" x14ac:dyDescent="0.25">
      <c r="A23" s="146">
        <v>36</v>
      </c>
      <c r="B23" s="147" t="s">
        <v>42</v>
      </c>
      <c r="C23" s="146" t="s">
        <v>135</v>
      </c>
      <c r="D23" s="146" t="s">
        <v>138</v>
      </c>
      <c r="E23" s="146" t="s">
        <v>169</v>
      </c>
      <c r="F23" s="20">
        <v>8</v>
      </c>
      <c r="G23" s="20">
        <v>11</v>
      </c>
      <c r="H23" s="20">
        <v>7</v>
      </c>
      <c r="I23" s="20">
        <v>8</v>
      </c>
      <c r="J23" s="20">
        <v>242</v>
      </c>
      <c r="K23" s="20">
        <v>34</v>
      </c>
      <c r="L23" s="29">
        <v>24</v>
      </c>
      <c r="M23" s="29">
        <v>7</v>
      </c>
      <c r="N23" s="29"/>
      <c r="O23" s="29"/>
      <c r="P23" s="29">
        <v>296</v>
      </c>
      <c r="Q23" s="29">
        <v>31</v>
      </c>
      <c r="R23" s="38">
        <v>12.11</v>
      </c>
      <c r="S23" s="38">
        <v>87.89</v>
      </c>
      <c r="T23" s="101">
        <v>625.89</v>
      </c>
    </row>
    <row r="24" spans="1:20" outlineLevel="2" x14ac:dyDescent="0.25">
      <c r="A24" s="146">
        <v>37</v>
      </c>
      <c r="B24" s="147" t="s">
        <v>43</v>
      </c>
      <c r="C24" s="146" t="s">
        <v>135</v>
      </c>
      <c r="D24" s="146" t="s">
        <v>138</v>
      </c>
      <c r="E24" s="146" t="s">
        <v>169</v>
      </c>
      <c r="F24" s="20">
        <v>3</v>
      </c>
      <c r="G24" s="20">
        <v>10</v>
      </c>
      <c r="H24" s="20">
        <v>8</v>
      </c>
      <c r="I24" s="20">
        <v>12</v>
      </c>
      <c r="J24" s="20">
        <v>206</v>
      </c>
      <c r="K24" s="20">
        <v>33</v>
      </c>
      <c r="L24" s="29">
        <v>9</v>
      </c>
      <c r="M24" s="29">
        <v>10</v>
      </c>
      <c r="N24" s="29">
        <v>4</v>
      </c>
      <c r="O24" s="29"/>
      <c r="P24" s="29">
        <v>194</v>
      </c>
      <c r="Q24" s="29">
        <v>23</v>
      </c>
      <c r="R24" s="38">
        <v>19.170000000000002</v>
      </c>
      <c r="S24" s="38">
        <v>80.83</v>
      </c>
      <c r="T24" s="101">
        <v>480.83</v>
      </c>
    </row>
    <row r="25" spans="1:20" outlineLevel="2" x14ac:dyDescent="0.25">
      <c r="A25" s="146">
        <v>38</v>
      </c>
      <c r="B25" s="147" t="s">
        <v>44</v>
      </c>
      <c r="C25" s="146" t="s">
        <v>135</v>
      </c>
      <c r="D25" s="146" t="s">
        <v>138</v>
      </c>
      <c r="E25" s="146" t="s">
        <v>169</v>
      </c>
      <c r="F25" s="20">
        <v>6</v>
      </c>
      <c r="G25" s="20">
        <v>15</v>
      </c>
      <c r="H25" s="20">
        <v>10</v>
      </c>
      <c r="I25" s="20">
        <v>5</v>
      </c>
      <c r="J25" s="20">
        <v>260</v>
      </c>
      <c r="K25" s="20">
        <v>36</v>
      </c>
      <c r="L25" s="29">
        <v>23</v>
      </c>
      <c r="M25" s="29">
        <v>8</v>
      </c>
      <c r="N25" s="29">
        <v>2</v>
      </c>
      <c r="O25" s="29"/>
      <c r="P25" s="29">
        <v>306</v>
      </c>
      <c r="Q25" s="29">
        <v>33</v>
      </c>
      <c r="R25" s="38">
        <v>11.18</v>
      </c>
      <c r="S25" s="38">
        <v>88.82</v>
      </c>
      <c r="T25" s="101">
        <v>654.81999999999994</v>
      </c>
    </row>
    <row r="26" spans="1:20" outlineLevel="2" x14ac:dyDescent="0.25">
      <c r="A26" s="146">
        <v>39</v>
      </c>
      <c r="B26" s="147" t="s">
        <v>45</v>
      </c>
      <c r="C26" s="146" t="s">
        <v>135</v>
      </c>
      <c r="D26" s="146" t="s">
        <v>138</v>
      </c>
      <c r="E26" s="146" t="s">
        <v>169</v>
      </c>
      <c r="F26" s="20">
        <v>7</v>
      </c>
      <c r="G26" s="20">
        <v>12</v>
      </c>
      <c r="H26" s="20">
        <v>11</v>
      </c>
      <c r="I26" s="20">
        <v>5</v>
      </c>
      <c r="J26" s="20">
        <v>252</v>
      </c>
      <c r="K26" s="20">
        <v>35</v>
      </c>
      <c r="L26" s="29">
        <v>27</v>
      </c>
      <c r="M26" s="29">
        <v>4</v>
      </c>
      <c r="N26" s="29">
        <v>1</v>
      </c>
      <c r="O26" s="29"/>
      <c r="P26" s="29">
        <v>308</v>
      </c>
      <c r="Q26" s="29">
        <v>32</v>
      </c>
      <c r="R26" s="38">
        <v>11.14</v>
      </c>
      <c r="S26" s="38">
        <v>88.86</v>
      </c>
      <c r="T26" s="101">
        <v>648.86</v>
      </c>
    </row>
    <row r="27" spans="1:20" s="149" customFormat="1" ht="17.100000000000001" customHeight="1" outlineLevel="1" x14ac:dyDescent="0.25">
      <c r="A27" s="155"/>
      <c r="B27" s="156"/>
      <c r="C27" s="155"/>
      <c r="D27" s="155"/>
      <c r="E27" s="155" t="s">
        <v>186</v>
      </c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8"/>
      <c r="S27" s="158"/>
      <c r="T27" s="158">
        <f>SUBTOTAL(9,T23:T26)</f>
        <v>2410.4</v>
      </c>
    </row>
    <row r="28" spans="1:20" outlineLevel="2" x14ac:dyDescent="0.25">
      <c r="A28" s="146">
        <v>70</v>
      </c>
      <c r="B28" s="147" t="s">
        <v>76</v>
      </c>
      <c r="C28" s="146" t="s">
        <v>135</v>
      </c>
      <c r="D28" s="146" t="s">
        <v>138</v>
      </c>
      <c r="E28" s="146" t="s">
        <v>140</v>
      </c>
      <c r="F28" s="20">
        <v>6</v>
      </c>
      <c r="G28" s="20">
        <v>10</v>
      </c>
      <c r="H28" s="20">
        <v>6</v>
      </c>
      <c r="I28" s="20">
        <v>9</v>
      </c>
      <c r="J28" s="20">
        <v>212</v>
      </c>
      <c r="K28" s="20">
        <v>31</v>
      </c>
      <c r="L28" s="29">
        <v>15</v>
      </c>
      <c r="M28" s="29">
        <v>14</v>
      </c>
      <c r="N28" s="29">
        <v>5</v>
      </c>
      <c r="O28" s="29"/>
      <c r="P28" s="29">
        <v>292</v>
      </c>
      <c r="Q28" s="29">
        <v>34</v>
      </c>
      <c r="R28" s="38">
        <v>31.2</v>
      </c>
      <c r="S28" s="38">
        <v>68.8</v>
      </c>
      <c r="T28" s="101">
        <v>572.79999999999995</v>
      </c>
    </row>
    <row r="29" spans="1:20" outlineLevel="2" x14ac:dyDescent="0.25">
      <c r="A29" s="146">
        <v>122</v>
      </c>
      <c r="B29" s="147" t="s">
        <v>142</v>
      </c>
      <c r="C29" s="146" t="s">
        <v>135</v>
      </c>
      <c r="D29" s="146" t="s">
        <v>138</v>
      </c>
      <c r="E29" s="146" t="s">
        <v>140</v>
      </c>
      <c r="F29" s="20">
        <v>6</v>
      </c>
      <c r="G29" s="20">
        <v>8</v>
      </c>
      <c r="H29" s="20">
        <v>8</v>
      </c>
      <c r="I29" s="20">
        <v>12</v>
      </c>
      <c r="J29" s="20">
        <v>220</v>
      </c>
      <c r="K29" s="20">
        <v>34</v>
      </c>
      <c r="L29" s="29">
        <v>18</v>
      </c>
      <c r="M29" s="29">
        <v>9</v>
      </c>
      <c r="N29" s="29">
        <v>3</v>
      </c>
      <c r="O29" s="29"/>
      <c r="P29" s="29">
        <v>270</v>
      </c>
      <c r="Q29" s="29">
        <v>30</v>
      </c>
      <c r="R29" s="38">
        <v>18.989999999999998</v>
      </c>
      <c r="S29" s="38">
        <v>81.010000000000005</v>
      </c>
      <c r="T29" s="101">
        <v>571.01</v>
      </c>
    </row>
    <row r="30" spans="1:20" outlineLevel="2" x14ac:dyDescent="0.25">
      <c r="A30" s="146">
        <v>123</v>
      </c>
      <c r="B30" s="147" t="s">
        <v>143</v>
      </c>
      <c r="C30" s="146" t="s">
        <v>135</v>
      </c>
      <c r="D30" s="146" t="s">
        <v>138</v>
      </c>
      <c r="E30" s="146" t="s">
        <v>140</v>
      </c>
      <c r="F30" s="20">
        <v>3</v>
      </c>
      <c r="G30" s="20">
        <v>10</v>
      </c>
      <c r="H30" s="20">
        <v>9</v>
      </c>
      <c r="I30" s="20">
        <v>8</v>
      </c>
      <c r="J30" s="20">
        <v>196</v>
      </c>
      <c r="K30" s="20">
        <v>30</v>
      </c>
      <c r="L30" s="29">
        <v>16</v>
      </c>
      <c r="M30" s="29">
        <v>6</v>
      </c>
      <c r="N30" s="29">
        <v>3</v>
      </c>
      <c r="O30" s="29"/>
      <c r="P30" s="29">
        <v>226</v>
      </c>
      <c r="Q30" s="29">
        <v>25</v>
      </c>
      <c r="R30" s="38">
        <v>16.5</v>
      </c>
      <c r="S30" s="38">
        <v>83.5</v>
      </c>
      <c r="T30" s="101">
        <v>505.5</v>
      </c>
    </row>
    <row r="31" spans="1:20" outlineLevel="2" x14ac:dyDescent="0.25">
      <c r="A31" s="146">
        <v>124</v>
      </c>
      <c r="B31" s="147" t="s">
        <v>144</v>
      </c>
      <c r="C31" s="146" t="s">
        <v>135</v>
      </c>
      <c r="D31" s="146" t="s">
        <v>138</v>
      </c>
      <c r="E31" s="146" t="s">
        <v>140</v>
      </c>
      <c r="F31" s="20">
        <v>5</v>
      </c>
      <c r="G31" s="20">
        <v>14</v>
      </c>
      <c r="H31" s="20">
        <v>4</v>
      </c>
      <c r="I31" s="20">
        <v>13</v>
      </c>
      <c r="J31" s="20">
        <v>238</v>
      </c>
      <c r="K31" s="20">
        <v>36</v>
      </c>
      <c r="L31" s="29">
        <v>24</v>
      </c>
      <c r="M31" s="29">
        <v>8</v>
      </c>
      <c r="N31" s="29">
        <v>1</v>
      </c>
      <c r="O31" s="29"/>
      <c r="P31" s="29">
        <v>310</v>
      </c>
      <c r="Q31" s="29">
        <v>33</v>
      </c>
      <c r="R31" s="38">
        <v>13.57</v>
      </c>
      <c r="S31" s="38">
        <v>86.43</v>
      </c>
      <c r="T31" s="101">
        <v>634.43000000000006</v>
      </c>
    </row>
    <row r="32" spans="1:20" s="149" customFormat="1" ht="17.100000000000001" customHeight="1" outlineLevel="1" x14ac:dyDescent="0.25">
      <c r="A32" s="155"/>
      <c r="B32" s="156"/>
      <c r="C32" s="155"/>
      <c r="D32" s="155"/>
      <c r="E32" s="155" t="s">
        <v>188</v>
      </c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8"/>
      <c r="S32" s="158"/>
      <c r="T32" s="158">
        <f>SUBTOTAL(9,T28:T31)</f>
        <v>2283.7399999999998</v>
      </c>
    </row>
    <row r="33" spans="1:20" outlineLevel="2" x14ac:dyDescent="0.25">
      <c r="A33" s="146">
        <v>52</v>
      </c>
      <c r="B33" s="147" t="s">
        <v>58</v>
      </c>
      <c r="C33" s="146" t="s">
        <v>135</v>
      </c>
      <c r="D33" s="146" t="s">
        <v>138</v>
      </c>
      <c r="E33" s="146" t="s">
        <v>170</v>
      </c>
      <c r="F33" s="20">
        <v>9</v>
      </c>
      <c r="G33" s="20">
        <v>7</v>
      </c>
      <c r="H33" s="20">
        <v>9</v>
      </c>
      <c r="I33" s="20">
        <v>7</v>
      </c>
      <c r="J33" s="20">
        <v>228</v>
      </c>
      <c r="K33" s="20">
        <v>32</v>
      </c>
      <c r="L33" s="29">
        <v>19</v>
      </c>
      <c r="M33" s="29">
        <v>7</v>
      </c>
      <c r="N33" s="29"/>
      <c r="O33" s="29"/>
      <c r="P33" s="29">
        <v>246</v>
      </c>
      <c r="Q33" s="29">
        <v>26</v>
      </c>
      <c r="R33" s="38">
        <v>26.4</v>
      </c>
      <c r="S33" s="38">
        <v>73.599999999999994</v>
      </c>
      <c r="T33" s="101">
        <v>547.6</v>
      </c>
    </row>
    <row r="34" spans="1:20" outlineLevel="2" x14ac:dyDescent="0.25">
      <c r="A34" s="146">
        <v>53</v>
      </c>
      <c r="B34" s="147" t="s">
        <v>59</v>
      </c>
      <c r="C34" s="146" t="s">
        <v>135</v>
      </c>
      <c r="D34" s="146" t="s">
        <v>138</v>
      </c>
      <c r="E34" s="146" t="s">
        <v>170</v>
      </c>
      <c r="F34" s="20">
        <v>5</v>
      </c>
      <c r="G34" s="20">
        <v>8</v>
      </c>
      <c r="H34" s="20">
        <v>8</v>
      </c>
      <c r="I34" s="20">
        <v>11</v>
      </c>
      <c r="J34" s="20">
        <v>206</v>
      </c>
      <c r="K34" s="20">
        <v>32</v>
      </c>
      <c r="L34" s="29">
        <v>6</v>
      </c>
      <c r="M34" s="29">
        <v>14</v>
      </c>
      <c r="N34" s="29">
        <v>3</v>
      </c>
      <c r="O34" s="29"/>
      <c r="P34" s="29">
        <v>190</v>
      </c>
      <c r="Q34" s="29">
        <v>23</v>
      </c>
      <c r="R34" s="38">
        <v>23.93</v>
      </c>
      <c r="S34" s="38">
        <v>76.069999999999993</v>
      </c>
      <c r="T34" s="101">
        <v>472.07</v>
      </c>
    </row>
    <row r="35" spans="1:20" outlineLevel="2" x14ac:dyDescent="0.25">
      <c r="A35" s="146">
        <v>103</v>
      </c>
      <c r="B35" s="147" t="s">
        <v>107</v>
      </c>
      <c r="C35" s="146" t="s">
        <v>135</v>
      </c>
      <c r="D35" s="146" t="s">
        <v>138</v>
      </c>
      <c r="E35" s="146" t="s">
        <v>170</v>
      </c>
      <c r="F35" s="20">
        <v>5</v>
      </c>
      <c r="G35" s="20">
        <v>8</v>
      </c>
      <c r="H35" s="20">
        <v>12</v>
      </c>
      <c r="I35" s="20">
        <v>8</v>
      </c>
      <c r="J35" s="20">
        <v>218</v>
      </c>
      <c r="K35" s="20">
        <v>33</v>
      </c>
      <c r="L35" s="29">
        <v>19</v>
      </c>
      <c r="M35" s="29">
        <v>12</v>
      </c>
      <c r="N35" s="29"/>
      <c r="O35" s="29">
        <v>4</v>
      </c>
      <c r="P35" s="29">
        <v>302</v>
      </c>
      <c r="Q35" s="29">
        <v>35</v>
      </c>
      <c r="R35" s="38">
        <v>15.74</v>
      </c>
      <c r="S35" s="38">
        <v>84.26</v>
      </c>
      <c r="T35" s="101">
        <v>604.26</v>
      </c>
    </row>
    <row r="36" spans="1:20" outlineLevel="2" x14ac:dyDescent="0.25">
      <c r="A36" s="146">
        <v>120</v>
      </c>
      <c r="B36" s="147" t="s">
        <v>123</v>
      </c>
      <c r="C36" s="146" t="s">
        <v>135</v>
      </c>
      <c r="D36" s="146" t="s">
        <v>138</v>
      </c>
      <c r="E36" s="146" t="s">
        <v>170</v>
      </c>
      <c r="F36" s="20">
        <v>7</v>
      </c>
      <c r="G36" s="20">
        <v>13</v>
      </c>
      <c r="H36" s="20">
        <v>11</v>
      </c>
      <c r="I36" s="20">
        <v>4</v>
      </c>
      <c r="J36" s="20">
        <v>256</v>
      </c>
      <c r="K36" s="20">
        <v>35</v>
      </c>
      <c r="L36" s="29">
        <v>20</v>
      </c>
      <c r="M36" s="29">
        <v>8</v>
      </c>
      <c r="N36" s="29">
        <v>4</v>
      </c>
      <c r="O36" s="29"/>
      <c r="P36" s="29">
        <v>288</v>
      </c>
      <c r="Q36" s="29">
        <v>32</v>
      </c>
      <c r="R36" s="38">
        <v>9.4700000000000006</v>
      </c>
      <c r="S36" s="38">
        <v>90.53</v>
      </c>
      <c r="T36" s="101">
        <v>634.53</v>
      </c>
    </row>
    <row r="37" spans="1:20" s="149" customFormat="1" ht="17.100000000000001" customHeight="1" outlineLevel="1" x14ac:dyDescent="0.25">
      <c r="A37" s="155"/>
      <c r="B37" s="156"/>
      <c r="C37" s="155"/>
      <c r="D37" s="155"/>
      <c r="E37" s="155" t="s">
        <v>193</v>
      </c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8"/>
      <c r="S37" s="158"/>
      <c r="T37" s="158">
        <f>SUBTOTAL(9,T33:T36)</f>
        <v>2258.46</v>
      </c>
    </row>
    <row r="38" spans="1:20" x14ac:dyDescent="0.25">
      <c r="A38" s="146">
        <v>5</v>
      </c>
      <c r="B38" s="147" t="s">
        <v>134</v>
      </c>
      <c r="C38" s="146" t="s">
        <v>135</v>
      </c>
      <c r="D38" s="146" t="s">
        <v>138</v>
      </c>
      <c r="E38" s="146" t="s">
        <v>133</v>
      </c>
      <c r="F38" s="20">
        <v>3</v>
      </c>
      <c r="G38" s="20">
        <v>5</v>
      </c>
      <c r="H38" s="20">
        <v>7</v>
      </c>
      <c r="I38" s="20">
        <v>15</v>
      </c>
      <c r="J38" s="20">
        <v>172</v>
      </c>
      <c r="K38" s="20">
        <v>30</v>
      </c>
      <c r="L38" s="29">
        <v>17</v>
      </c>
      <c r="M38" s="29">
        <v>12</v>
      </c>
      <c r="N38" s="29">
        <v>3</v>
      </c>
      <c r="O38" s="29"/>
      <c r="P38" s="29">
        <v>284</v>
      </c>
      <c r="Q38" s="29">
        <v>32</v>
      </c>
      <c r="R38" s="38">
        <v>13.48</v>
      </c>
      <c r="S38" s="38">
        <v>86.52</v>
      </c>
      <c r="T38" s="101">
        <v>542.52</v>
      </c>
    </row>
    <row r="39" spans="1:20" x14ac:dyDescent="0.25">
      <c r="A39" s="146">
        <v>6</v>
      </c>
      <c r="B39" s="147" t="s">
        <v>136</v>
      </c>
      <c r="C39" s="146" t="s">
        <v>135</v>
      </c>
      <c r="D39" s="146" t="s">
        <v>138</v>
      </c>
      <c r="E39" s="146" t="s">
        <v>133</v>
      </c>
      <c r="F39" s="20">
        <v>5</v>
      </c>
      <c r="G39" s="20">
        <v>10</v>
      </c>
      <c r="H39" s="20">
        <v>10</v>
      </c>
      <c r="I39" s="20">
        <v>10</v>
      </c>
      <c r="J39" s="20">
        <v>230</v>
      </c>
      <c r="K39" s="20">
        <v>35</v>
      </c>
      <c r="L39" s="29">
        <v>18</v>
      </c>
      <c r="M39" s="29">
        <v>9</v>
      </c>
      <c r="N39" s="29">
        <v>5</v>
      </c>
      <c r="O39" s="29"/>
      <c r="P39" s="29">
        <v>282</v>
      </c>
      <c r="Q39" s="29">
        <v>32</v>
      </c>
      <c r="R39" s="38">
        <v>19.07</v>
      </c>
      <c r="S39" s="38">
        <v>80.930000000000007</v>
      </c>
      <c r="T39" s="101">
        <v>592.93000000000006</v>
      </c>
    </row>
    <row r="40" spans="1:20" x14ac:dyDescent="0.25">
      <c r="A40" s="146">
        <v>7</v>
      </c>
      <c r="B40" s="147" t="s">
        <v>137</v>
      </c>
      <c r="C40" s="146" t="s">
        <v>135</v>
      </c>
      <c r="D40" s="146" t="s">
        <v>138</v>
      </c>
      <c r="E40" s="146" t="s">
        <v>133</v>
      </c>
      <c r="F40" s="20">
        <v>3</v>
      </c>
      <c r="G40" s="20">
        <v>6</v>
      </c>
      <c r="H40" s="20">
        <v>8</v>
      </c>
      <c r="I40" s="20">
        <v>14</v>
      </c>
      <c r="J40" s="20">
        <v>182</v>
      </c>
      <c r="K40" s="20">
        <v>31</v>
      </c>
      <c r="L40" s="29">
        <v>18</v>
      </c>
      <c r="M40" s="29">
        <v>6</v>
      </c>
      <c r="N40" s="29">
        <v>3</v>
      </c>
      <c r="O40" s="29"/>
      <c r="P40" s="29">
        <v>246</v>
      </c>
      <c r="Q40" s="29">
        <v>27</v>
      </c>
      <c r="R40" s="38">
        <v>30.47</v>
      </c>
      <c r="S40" s="38">
        <v>69.53</v>
      </c>
      <c r="T40" s="101">
        <v>497.53</v>
      </c>
    </row>
    <row r="41" spans="1:20" x14ac:dyDescent="0.25">
      <c r="A41" s="146">
        <v>79</v>
      </c>
      <c r="B41" s="147" t="s">
        <v>85</v>
      </c>
      <c r="C41" s="146" t="s">
        <v>135</v>
      </c>
      <c r="D41" s="146" t="s">
        <v>138</v>
      </c>
      <c r="E41" s="146" t="s">
        <v>133</v>
      </c>
      <c r="F41" s="20">
        <v>5</v>
      </c>
      <c r="G41" s="20">
        <v>10</v>
      </c>
      <c r="H41" s="20">
        <v>9</v>
      </c>
      <c r="I41" s="20">
        <v>12</v>
      </c>
      <c r="J41" s="20">
        <v>232</v>
      </c>
      <c r="K41" s="20">
        <v>36</v>
      </c>
      <c r="L41" s="29">
        <v>17</v>
      </c>
      <c r="M41" s="29">
        <v>8</v>
      </c>
      <c r="N41" s="29">
        <v>9</v>
      </c>
      <c r="O41" s="29"/>
      <c r="P41" s="29">
        <v>288</v>
      </c>
      <c r="Q41" s="29">
        <v>34</v>
      </c>
      <c r="R41" s="38">
        <v>18.71</v>
      </c>
      <c r="S41" s="38">
        <v>81.289999999999992</v>
      </c>
      <c r="T41" s="101">
        <v>601.29</v>
      </c>
    </row>
    <row r="42" spans="1:20" s="149" customFormat="1" ht="17.100000000000001" customHeight="1" x14ac:dyDescent="0.25">
      <c r="A42" s="155"/>
      <c r="B42" s="156"/>
      <c r="C42" s="155"/>
      <c r="D42" s="155"/>
      <c r="E42" s="155" t="s">
        <v>190</v>
      </c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8"/>
      <c r="S42" s="158"/>
      <c r="T42" s="158">
        <f>SUBTOTAL(9,T38:T41)</f>
        <v>2234.27</v>
      </c>
    </row>
    <row r="43" spans="1:20" outlineLevel="2" x14ac:dyDescent="0.25">
      <c r="A43" s="146">
        <v>125</v>
      </c>
      <c r="B43" s="147" t="s">
        <v>145</v>
      </c>
      <c r="C43" s="146" t="s">
        <v>135</v>
      </c>
      <c r="D43" s="146" t="s">
        <v>138</v>
      </c>
      <c r="E43" s="146" t="s">
        <v>146</v>
      </c>
      <c r="F43" s="20">
        <v>7</v>
      </c>
      <c r="G43" s="20">
        <v>10</v>
      </c>
      <c r="H43" s="20">
        <v>7</v>
      </c>
      <c r="I43" s="20">
        <v>12</v>
      </c>
      <c r="J43" s="20">
        <v>240</v>
      </c>
      <c r="K43" s="20">
        <v>36</v>
      </c>
      <c r="L43" s="29">
        <v>17</v>
      </c>
      <c r="M43" s="29">
        <v>10</v>
      </c>
      <c r="N43" s="29">
        <v>3</v>
      </c>
      <c r="O43" s="29"/>
      <c r="P43" s="29">
        <v>268</v>
      </c>
      <c r="Q43" s="29">
        <v>30</v>
      </c>
      <c r="R43" s="38">
        <v>25.52</v>
      </c>
      <c r="S43" s="38">
        <v>74.48</v>
      </c>
      <c r="T43" s="101">
        <v>582.48</v>
      </c>
    </row>
    <row r="44" spans="1:20" outlineLevel="2" x14ac:dyDescent="0.25">
      <c r="A44" s="146">
        <v>126</v>
      </c>
      <c r="B44" s="147" t="s">
        <v>147</v>
      </c>
      <c r="C44" s="146" t="s">
        <v>135</v>
      </c>
      <c r="D44" s="146" t="s">
        <v>138</v>
      </c>
      <c r="E44" s="146" t="s">
        <v>146</v>
      </c>
      <c r="F44" s="20">
        <v>3</v>
      </c>
      <c r="G44" s="20">
        <v>5</v>
      </c>
      <c r="H44" s="20">
        <v>8</v>
      </c>
      <c r="I44" s="20">
        <v>17</v>
      </c>
      <c r="J44" s="20">
        <v>186</v>
      </c>
      <c r="K44" s="20">
        <v>33</v>
      </c>
      <c r="L44" s="29">
        <v>13</v>
      </c>
      <c r="M44" s="29">
        <v>8</v>
      </c>
      <c r="N44" s="29">
        <v>3</v>
      </c>
      <c r="O44" s="29"/>
      <c r="P44" s="29">
        <v>212</v>
      </c>
      <c r="Q44" s="29">
        <v>24</v>
      </c>
      <c r="R44" s="38">
        <v>17.649999999999999</v>
      </c>
      <c r="S44" s="38">
        <v>82.35</v>
      </c>
      <c r="T44" s="101">
        <v>480.35</v>
      </c>
    </row>
    <row r="45" spans="1:20" outlineLevel="1" x14ac:dyDescent="0.25">
      <c r="A45" s="146">
        <v>127</v>
      </c>
      <c r="B45" s="147" t="s">
        <v>148</v>
      </c>
      <c r="C45" s="146" t="s">
        <v>135</v>
      </c>
      <c r="D45" s="146" t="s">
        <v>138</v>
      </c>
      <c r="E45" s="146" t="s">
        <v>146</v>
      </c>
      <c r="F45" s="20">
        <v>2</v>
      </c>
      <c r="G45" s="20">
        <v>6</v>
      </c>
      <c r="H45" s="20">
        <v>9</v>
      </c>
      <c r="I45" s="20">
        <v>12</v>
      </c>
      <c r="J45" s="20">
        <v>170</v>
      </c>
      <c r="K45" s="20">
        <v>29</v>
      </c>
      <c r="L45" s="29">
        <v>9</v>
      </c>
      <c r="M45" s="29">
        <v>10</v>
      </c>
      <c r="N45" s="29">
        <v>4</v>
      </c>
      <c r="O45" s="29"/>
      <c r="P45" s="29">
        <v>194</v>
      </c>
      <c r="Q45" s="29">
        <v>23</v>
      </c>
      <c r="R45" s="38">
        <v>26.42</v>
      </c>
      <c r="S45" s="38">
        <v>73.58</v>
      </c>
      <c r="T45" s="101">
        <v>437.58</v>
      </c>
    </row>
    <row r="46" spans="1:20" outlineLevel="2" x14ac:dyDescent="0.25">
      <c r="A46" s="146">
        <v>128</v>
      </c>
      <c r="B46" s="147" t="s">
        <v>149</v>
      </c>
      <c r="C46" s="146" t="s">
        <v>135</v>
      </c>
      <c r="D46" s="146" t="s">
        <v>138</v>
      </c>
      <c r="E46" s="146" t="s">
        <v>146</v>
      </c>
      <c r="F46" s="20">
        <v>4</v>
      </c>
      <c r="G46" s="20">
        <v>11</v>
      </c>
      <c r="H46" s="20">
        <v>13</v>
      </c>
      <c r="I46" s="20">
        <v>5</v>
      </c>
      <c r="J46" s="20">
        <v>226</v>
      </c>
      <c r="K46" s="20">
        <v>33</v>
      </c>
      <c r="L46" s="29">
        <v>15</v>
      </c>
      <c r="M46" s="29">
        <v>14</v>
      </c>
      <c r="N46" s="29">
        <v>6</v>
      </c>
      <c r="O46" s="29"/>
      <c r="P46" s="29">
        <v>298</v>
      </c>
      <c r="Q46" s="29">
        <v>35</v>
      </c>
      <c r="R46" s="38">
        <v>21.05</v>
      </c>
      <c r="S46" s="38">
        <v>78.95</v>
      </c>
      <c r="T46" s="101">
        <v>602.95000000000005</v>
      </c>
    </row>
    <row r="47" spans="1:20" s="149" customFormat="1" ht="17.100000000000001" customHeight="1" outlineLevel="2" x14ac:dyDescent="0.25">
      <c r="A47" s="155"/>
      <c r="B47" s="156"/>
      <c r="C47" s="155"/>
      <c r="D47" s="155"/>
      <c r="E47" s="155" t="s">
        <v>189</v>
      </c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8"/>
      <c r="S47" s="158"/>
      <c r="T47" s="158">
        <f>SUBTOTAL(9,T43:T46)</f>
        <v>2103.3599999999997</v>
      </c>
    </row>
    <row r="48" spans="1:20" outlineLevel="2" x14ac:dyDescent="0.25">
      <c r="A48" s="146">
        <v>62</v>
      </c>
      <c r="B48" s="147" t="s">
        <v>68</v>
      </c>
      <c r="C48" s="146" t="s">
        <v>135</v>
      </c>
      <c r="D48" s="146" t="s">
        <v>138</v>
      </c>
      <c r="E48" s="146" t="s">
        <v>172</v>
      </c>
      <c r="F48" s="20">
        <v>3</v>
      </c>
      <c r="G48" s="20">
        <v>10</v>
      </c>
      <c r="H48" s="20">
        <v>8</v>
      </c>
      <c r="I48" s="20">
        <v>8</v>
      </c>
      <c r="J48" s="20">
        <v>190</v>
      </c>
      <c r="K48" s="20">
        <v>29</v>
      </c>
      <c r="L48" s="29">
        <v>10</v>
      </c>
      <c r="M48" s="29">
        <v>6</v>
      </c>
      <c r="N48" s="29">
        <v>3</v>
      </c>
      <c r="O48" s="29"/>
      <c r="P48" s="29">
        <v>166</v>
      </c>
      <c r="Q48" s="29">
        <v>19</v>
      </c>
      <c r="R48" s="38">
        <v>18.11</v>
      </c>
      <c r="S48" s="38">
        <v>81.89</v>
      </c>
      <c r="T48" s="101">
        <v>437.89</v>
      </c>
    </row>
    <row r="49" spans="1:22" outlineLevel="2" x14ac:dyDescent="0.25">
      <c r="A49" s="146">
        <v>63</v>
      </c>
      <c r="B49" s="147" t="s">
        <v>69</v>
      </c>
      <c r="C49" s="146" t="s">
        <v>135</v>
      </c>
      <c r="D49" s="146" t="s">
        <v>138</v>
      </c>
      <c r="E49" s="146" t="s">
        <v>172</v>
      </c>
      <c r="F49" s="20">
        <v>3</v>
      </c>
      <c r="G49" s="20">
        <v>3</v>
      </c>
      <c r="H49" s="20">
        <v>8</v>
      </c>
      <c r="I49" s="20">
        <v>14</v>
      </c>
      <c r="J49" s="20">
        <v>158</v>
      </c>
      <c r="K49" s="20">
        <v>28</v>
      </c>
      <c r="L49" s="29">
        <v>17</v>
      </c>
      <c r="M49" s="29">
        <v>8</v>
      </c>
      <c r="N49" s="29">
        <v>2</v>
      </c>
      <c r="O49" s="29"/>
      <c r="P49" s="29">
        <v>246</v>
      </c>
      <c r="Q49" s="29">
        <v>27</v>
      </c>
      <c r="R49" s="38">
        <v>24.13</v>
      </c>
      <c r="S49" s="38">
        <v>75.87</v>
      </c>
      <c r="T49" s="101">
        <v>479.87</v>
      </c>
    </row>
    <row r="50" spans="1:22" s="149" customFormat="1" ht="17.100000000000001" customHeight="1" outlineLevel="1" x14ac:dyDescent="0.25">
      <c r="A50" s="155"/>
      <c r="B50" s="156"/>
      <c r="C50" s="155"/>
      <c r="D50" s="155"/>
      <c r="E50" s="155" t="s">
        <v>191</v>
      </c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8"/>
      <c r="S50" s="158"/>
      <c r="T50" s="158">
        <f>SUBTOTAL(9,T48:T49)</f>
        <v>917.76</v>
      </c>
      <c r="V50" s="150"/>
    </row>
    <row r="51" spans="1:22" s="148" customFormat="1" ht="17.100000000000001" customHeight="1" x14ac:dyDescent="0.25">
      <c r="A51" s="160"/>
      <c r="B51" s="161"/>
      <c r="C51" s="160"/>
      <c r="D51" s="160"/>
      <c r="E51" s="160" t="s">
        <v>5</v>
      </c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3"/>
      <c r="S51" s="163"/>
      <c r="T51" s="163">
        <f>SUBTOTAL(9,T3:T50)</f>
        <v>22892.799999999996</v>
      </c>
    </row>
    <row r="52" spans="1:22" outlineLevel="2" x14ac:dyDescent="0.25"/>
    <row r="53" spans="1:22" outlineLevel="2" x14ac:dyDescent="0.25"/>
    <row r="54" spans="1:22" outlineLevel="2" x14ac:dyDescent="0.25"/>
    <row r="55" spans="1:22" outlineLevel="2" x14ac:dyDescent="0.25"/>
    <row r="56" spans="1:22" outlineLevel="1" x14ac:dyDescent="0.25"/>
  </sheetData>
  <mergeCells count="3">
    <mergeCell ref="F1:J1"/>
    <mergeCell ref="L1:P1"/>
    <mergeCell ref="R1:T1"/>
  </mergeCells>
  <conditionalFormatting sqref="Q23:Q51 Q3:Q12 K18:K51 K3:K12">
    <cfRule type="cellIs" dxfId="30" priority="6" operator="greaterThan">
      <formula>36</formula>
    </cfRule>
  </conditionalFormatting>
  <conditionalFormatting sqref="Q18:Q22">
    <cfRule type="cellIs" dxfId="29" priority="5" operator="greaterThan">
      <formula>36</formula>
    </cfRule>
  </conditionalFormatting>
  <conditionalFormatting sqref="K13:K17">
    <cfRule type="cellIs" dxfId="28" priority="4" operator="greaterThan">
      <formula>36</formula>
    </cfRule>
  </conditionalFormatting>
  <conditionalFormatting sqref="Q13:Q17">
    <cfRule type="cellIs" dxfId="27" priority="3" operator="greaterThan">
      <formula>36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11"/>
  <sheetViews>
    <sheetView topLeftCell="A39" workbookViewId="0">
      <selection activeCell="E54" sqref="E54"/>
    </sheetView>
  </sheetViews>
  <sheetFormatPr defaultColWidth="9.140625" defaultRowHeight="12.75" x14ac:dyDescent="0.2"/>
  <cols>
    <col min="1" max="1" width="5" style="7" customWidth="1"/>
    <col min="2" max="2" width="20.42578125" style="6" bestFit="1" customWidth="1"/>
    <col min="3" max="3" width="12.85546875" style="7" customWidth="1"/>
    <col min="4" max="4" width="11.28515625" style="7" customWidth="1"/>
    <col min="5" max="5" width="21.85546875" style="7" bestFit="1" customWidth="1"/>
    <col min="6" max="6" width="6.42578125" style="21" customWidth="1"/>
    <col min="7" max="9" width="6.28515625" style="21" customWidth="1"/>
    <col min="10" max="10" width="15.140625" style="21" customWidth="1"/>
    <col min="11" max="11" width="14.85546875" style="21" customWidth="1"/>
    <col min="12" max="12" width="7.42578125" style="30" customWidth="1"/>
    <col min="13" max="15" width="6.42578125" style="30" customWidth="1"/>
    <col min="16" max="16" width="15.28515625" style="30" customWidth="1"/>
    <col min="17" max="17" width="15.85546875" style="30" customWidth="1"/>
    <col min="18" max="18" width="11.42578125" style="39" customWidth="1"/>
    <col min="19" max="19" width="11.42578125" style="39" hidden="1" customWidth="1"/>
    <col min="20" max="20" width="13.28515625" style="39" hidden="1" customWidth="1"/>
    <col min="21" max="21" width="12.7109375" style="39" hidden="1" customWidth="1"/>
    <col min="22" max="22" width="15.140625" style="39" customWidth="1"/>
    <col min="23" max="23" width="14.28515625" style="7" customWidth="1"/>
    <col min="24" max="16384" width="9.140625" style="6"/>
  </cols>
  <sheetData>
    <row r="1" spans="1:23" s="1" customFormat="1" ht="17.25" customHeight="1" x14ac:dyDescent="0.2">
      <c r="F1" s="171" t="s">
        <v>14</v>
      </c>
      <c r="G1" s="172"/>
      <c r="H1" s="172"/>
      <c r="I1" s="172"/>
      <c r="J1" s="173"/>
      <c r="K1" s="69"/>
      <c r="L1" s="174" t="s">
        <v>15</v>
      </c>
      <c r="M1" s="175"/>
      <c r="N1" s="175"/>
      <c r="O1" s="175"/>
      <c r="P1" s="176"/>
      <c r="Q1" s="70"/>
      <c r="R1" s="166" t="s">
        <v>6</v>
      </c>
      <c r="S1" s="167"/>
      <c r="T1" s="167"/>
      <c r="U1" s="167"/>
      <c r="V1" s="168"/>
      <c r="W1" s="71"/>
    </row>
    <row r="2" spans="1:23" s="1" customFormat="1" ht="29.25" customHeight="1" thickBot="1" x14ac:dyDescent="0.25">
      <c r="A2" s="49" t="s">
        <v>1</v>
      </c>
      <c r="B2" s="72" t="s">
        <v>0</v>
      </c>
      <c r="C2" s="11" t="s">
        <v>126</v>
      </c>
      <c r="D2" s="11" t="s">
        <v>125</v>
      </c>
      <c r="E2" s="11" t="s">
        <v>7</v>
      </c>
      <c r="F2" s="76" t="s">
        <v>10</v>
      </c>
      <c r="G2" s="76" t="s">
        <v>11</v>
      </c>
      <c r="H2" s="76" t="s">
        <v>12</v>
      </c>
      <c r="I2" s="77" t="s">
        <v>13</v>
      </c>
      <c r="J2" s="76" t="s">
        <v>2</v>
      </c>
      <c r="K2" s="78" t="s">
        <v>16</v>
      </c>
      <c r="L2" s="79" t="s">
        <v>180</v>
      </c>
      <c r="M2" s="79" t="s">
        <v>181</v>
      </c>
      <c r="N2" s="79" t="s">
        <v>182</v>
      </c>
      <c r="O2" s="79" t="s">
        <v>183</v>
      </c>
      <c r="P2" s="79" t="s">
        <v>3</v>
      </c>
      <c r="Q2" s="80" t="s">
        <v>184</v>
      </c>
      <c r="R2" s="81" t="s">
        <v>8</v>
      </c>
      <c r="S2" s="81" t="s">
        <v>9</v>
      </c>
      <c r="T2" s="81" t="s">
        <v>17</v>
      </c>
      <c r="U2" s="81" t="s">
        <v>18</v>
      </c>
      <c r="V2" s="82" t="s">
        <v>4</v>
      </c>
      <c r="W2" s="83" t="s">
        <v>5</v>
      </c>
    </row>
    <row r="3" spans="1:23" s="3" customFormat="1" ht="22.5" customHeight="1" thickTop="1" x14ac:dyDescent="0.25">
      <c r="A3" s="85">
        <v>4</v>
      </c>
      <c r="B3" s="86" t="s">
        <v>132</v>
      </c>
      <c r="C3" s="87" t="s">
        <v>129</v>
      </c>
      <c r="D3" s="87" t="s">
        <v>138</v>
      </c>
      <c r="E3" s="87"/>
      <c r="F3" s="102"/>
      <c r="G3" s="102">
        <v>4</v>
      </c>
      <c r="H3" s="102">
        <v>4</v>
      </c>
      <c r="I3" s="103">
        <v>10</v>
      </c>
      <c r="J3" s="104">
        <f t="shared" ref="J3:J34" si="0">SUM(F3*10)+(G3*8)+(H3*6)+(I3*4)</f>
        <v>96</v>
      </c>
      <c r="K3" s="44">
        <f t="shared" ref="K3:K34" si="1">SUM(F3:I3)</f>
        <v>18</v>
      </c>
      <c r="L3" s="102">
        <v>0</v>
      </c>
      <c r="M3" s="102">
        <v>0</v>
      </c>
      <c r="N3" s="102">
        <v>0</v>
      </c>
      <c r="O3" s="102">
        <v>0</v>
      </c>
      <c r="P3" s="104">
        <f t="shared" ref="P3:P34" si="2">SUM(L3*10)+(M3*8)+(N3*6)+(O3*4)</f>
        <v>0</v>
      </c>
      <c r="Q3" s="105">
        <f t="shared" ref="Q3:Q34" si="3">SUM(L3:O3)</f>
        <v>0</v>
      </c>
      <c r="R3" s="106">
        <v>30.4</v>
      </c>
      <c r="S3" s="33"/>
      <c r="T3" s="33"/>
      <c r="U3" s="34"/>
      <c r="V3" s="45">
        <f t="shared" ref="V3:V34" si="4">100-(R3+S3+(U3*10)+(T3*20))</f>
        <v>69.599999999999994</v>
      </c>
      <c r="W3" s="88">
        <f t="shared" ref="W3:W34" si="5">J3+P3+V3</f>
        <v>165.6</v>
      </c>
    </row>
    <row r="4" spans="1:23" s="3" customFormat="1" ht="22.5" customHeight="1" x14ac:dyDescent="0.25">
      <c r="A4" s="50">
        <v>94</v>
      </c>
      <c r="B4" s="4" t="s">
        <v>98</v>
      </c>
      <c r="C4" s="5" t="s">
        <v>129</v>
      </c>
      <c r="D4" s="5" t="s">
        <v>138</v>
      </c>
      <c r="E4" s="5"/>
      <c r="F4" s="18">
        <v>1</v>
      </c>
      <c r="G4" s="18">
        <v>1</v>
      </c>
      <c r="H4" s="18">
        <v>2</v>
      </c>
      <c r="I4" s="18">
        <v>11</v>
      </c>
      <c r="J4" s="19">
        <f t="shared" si="0"/>
        <v>74</v>
      </c>
      <c r="K4" s="20">
        <f t="shared" si="1"/>
        <v>15</v>
      </c>
      <c r="L4" s="27">
        <v>5</v>
      </c>
      <c r="M4" s="27">
        <v>3</v>
      </c>
      <c r="N4" s="27">
        <v>2</v>
      </c>
      <c r="O4" s="27">
        <v>0</v>
      </c>
      <c r="P4" s="28">
        <f t="shared" si="2"/>
        <v>86</v>
      </c>
      <c r="Q4" s="29">
        <f t="shared" si="3"/>
        <v>10</v>
      </c>
      <c r="R4" s="36">
        <v>48.22</v>
      </c>
      <c r="S4" s="36"/>
      <c r="T4" s="36"/>
      <c r="U4" s="37"/>
      <c r="V4" s="38">
        <f t="shared" si="4"/>
        <v>51.78</v>
      </c>
      <c r="W4" s="51">
        <f t="shared" si="5"/>
        <v>211.78</v>
      </c>
    </row>
    <row r="5" spans="1:23" s="3" customFormat="1" ht="22.5" customHeight="1" x14ac:dyDescent="0.25">
      <c r="A5" s="50">
        <v>9</v>
      </c>
      <c r="B5" s="4" t="s">
        <v>173</v>
      </c>
      <c r="C5" s="5" t="s">
        <v>151</v>
      </c>
      <c r="D5" s="5" t="s">
        <v>138</v>
      </c>
      <c r="E5" s="5"/>
      <c r="F5" s="18"/>
      <c r="G5" s="18">
        <v>5</v>
      </c>
      <c r="H5" s="18">
        <v>3</v>
      </c>
      <c r="I5" s="18">
        <v>17</v>
      </c>
      <c r="J5" s="19">
        <f t="shared" si="0"/>
        <v>126</v>
      </c>
      <c r="K5" s="20">
        <f t="shared" si="1"/>
        <v>25</v>
      </c>
      <c r="L5" s="27">
        <v>2</v>
      </c>
      <c r="M5" s="27">
        <v>7</v>
      </c>
      <c r="N5" s="27">
        <v>0</v>
      </c>
      <c r="O5" s="27">
        <v>0</v>
      </c>
      <c r="P5" s="28">
        <f t="shared" si="2"/>
        <v>76</v>
      </c>
      <c r="Q5" s="29">
        <f t="shared" si="3"/>
        <v>9</v>
      </c>
      <c r="R5" s="36">
        <v>41.78</v>
      </c>
      <c r="S5" s="36"/>
      <c r="T5" s="36"/>
      <c r="U5" s="37"/>
      <c r="V5" s="38">
        <f t="shared" si="4"/>
        <v>58.22</v>
      </c>
      <c r="W5" s="51">
        <f t="shared" si="5"/>
        <v>260.22000000000003</v>
      </c>
    </row>
    <row r="6" spans="1:23" s="3" customFormat="1" ht="22.5" customHeight="1" x14ac:dyDescent="0.25">
      <c r="A6" s="50">
        <v>104</v>
      </c>
      <c r="B6" s="4" t="s">
        <v>108</v>
      </c>
      <c r="C6" s="5" t="s">
        <v>129</v>
      </c>
      <c r="D6" s="5" t="s">
        <v>138</v>
      </c>
      <c r="E6" s="5"/>
      <c r="F6" s="18">
        <v>6</v>
      </c>
      <c r="G6" s="18">
        <v>6</v>
      </c>
      <c r="H6" s="18">
        <v>3</v>
      </c>
      <c r="I6" s="18"/>
      <c r="J6" s="19">
        <f t="shared" si="0"/>
        <v>126</v>
      </c>
      <c r="K6" s="20">
        <f t="shared" si="1"/>
        <v>15</v>
      </c>
      <c r="L6" s="27">
        <v>1</v>
      </c>
      <c r="M6" s="27">
        <v>4</v>
      </c>
      <c r="N6" s="27">
        <v>3</v>
      </c>
      <c r="O6" s="27">
        <v>10</v>
      </c>
      <c r="P6" s="28">
        <f t="shared" si="2"/>
        <v>100</v>
      </c>
      <c r="Q6" s="29">
        <f t="shared" si="3"/>
        <v>18</v>
      </c>
      <c r="R6" s="36">
        <v>60.17</v>
      </c>
      <c r="S6" s="36"/>
      <c r="T6" s="36"/>
      <c r="U6" s="37"/>
      <c r="V6" s="38">
        <f t="shared" si="4"/>
        <v>39.83</v>
      </c>
      <c r="W6" s="51">
        <f t="shared" si="5"/>
        <v>265.83</v>
      </c>
    </row>
    <row r="7" spans="1:23" s="3" customFormat="1" ht="22.5" customHeight="1" x14ac:dyDescent="0.25">
      <c r="A7" s="50">
        <v>72</v>
      </c>
      <c r="B7" s="4" t="s">
        <v>78</v>
      </c>
      <c r="C7" s="5" t="s">
        <v>129</v>
      </c>
      <c r="D7" s="5" t="s">
        <v>138</v>
      </c>
      <c r="E7" s="5"/>
      <c r="F7" s="18"/>
      <c r="G7" s="18">
        <v>5</v>
      </c>
      <c r="H7" s="18">
        <v>2</v>
      </c>
      <c r="I7" s="18">
        <v>19</v>
      </c>
      <c r="J7" s="19">
        <f t="shared" si="0"/>
        <v>128</v>
      </c>
      <c r="K7" s="20">
        <f t="shared" si="1"/>
        <v>26</v>
      </c>
      <c r="L7" s="27">
        <v>5</v>
      </c>
      <c r="M7" s="27">
        <v>3</v>
      </c>
      <c r="N7" s="27">
        <v>5</v>
      </c>
      <c r="O7" s="27">
        <v>0</v>
      </c>
      <c r="P7" s="28">
        <f t="shared" si="2"/>
        <v>104</v>
      </c>
      <c r="Q7" s="29">
        <f t="shared" si="3"/>
        <v>13</v>
      </c>
      <c r="R7" s="36">
        <v>51.7</v>
      </c>
      <c r="S7" s="36"/>
      <c r="T7" s="36"/>
      <c r="U7" s="37"/>
      <c r="V7" s="38">
        <f t="shared" si="4"/>
        <v>48.3</v>
      </c>
      <c r="W7" s="51">
        <f t="shared" si="5"/>
        <v>280.3</v>
      </c>
    </row>
    <row r="8" spans="1:23" s="3" customFormat="1" ht="22.5" customHeight="1" x14ac:dyDescent="0.25">
      <c r="A8" s="50">
        <v>17</v>
      </c>
      <c r="B8" s="4" t="s">
        <v>26</v>
      </c>
      <c r="C8" s="5" t="s">
        <v>129</v>
      </c>
      <c r="D8" s="5" t="s">
        <v>138</v>
      </c>
      <c r="E8" s="5"/>
      <c r="F8" s="18"/>
      <c r="G8" s="18">
        <v>2</v>
      </c>
      <c r="H8" s="18">
        <v>2</v>
      </c>
      <c r="I8" s="18">
        <v>13</v>
      </c>
      <c r="J8" s="19">
        <f t="shared" si="0"/>
        <v>80</v>
      </c>
      <c r="K8" s="20">
        <f t="shared" si="1"/>
        <v>17</v>
      </c>
      <c r="L8" s="27">
        <v>8</v>
      </c>
      <c r="M8" s="27">
        <v>3</v>
      </c>
      <c r="N8" s="27">
        <v>4</v>
      </c>
      <c r="O8" s="27">
        <v>0</v>
      </c>
      <c r="P8" s="28">
        <f t="shared" si="2"/>
        <v>128</v>
      </c>
      <c r="Q8" s="29">
        <f t="shared" si="3"/>
        <v>15</v>
      </c>
      <c r="R8" s="36">
        <v>21.11</v>
      </c>
      <c r="S8" s="36"/>
      <c r="T8" s="36"/>
      <c r="U8" s="37"/>
      <c r="V8" s="38">
        <f t="shared" si="4"/>
        <v>78.89</v>
      </c>
      <c r="W8" s="51">
        <f t="shared" si="5"/>
        <v>286.89</v>
      </c>
    </row>
    <row r="9" spans="1:23" s="3" customFormat="1" ht="22.5" customHeight="1" x14ac:dyDescent="0.25">
      <c r="A9" s="50">
        <v>2</v>
      </c>
      <c r="B9" s="4" t="s">
        <v>130</v>
      </c>
      <c r="C9" s="5" t="s">
        <v>129</v>
      </c>
      <c r="D9" s="5" t="s">
        <v>138</v>
      </c>
      <c r="E9" s="5"/>
      <c r="F9" s="18">
        <v>1</v>
      </c>
      <c r="G9" s="18">
        <v>3</v>
      </c>
      <c r="H9" s="18">
        <v>4</v>
      </c>
      <c r="I9" s="18">
        <v>11</v>
      </c>
      <c r="J9" s="19">
        <f t="shared" si="0"/>
        <v>102</v>
      </c>
      <c r="K9" s="20">
        <f t="shared" si="1"/>
        <v>19</v>
      </c>
      <c r="L9" s="27">
        <v>7</v>
      </c>
      <c r="M9" s="27">
        <v>5</v>
      </c>
      <c r="N9" s="27">
        <v>5</v>
      </c>
      <c r="O9" s="27">
        <v>0</v>
      </c>
      <c r="P9" s="28">
        <f t="shared" si="2"/>
        <v>140</v>
      </c>
      <c r="Q9" s="29">
        <f t="shared" si="3"/>
        <v>17</v>
      </c>
      <c r="R9" s="36">
        <v>51.43</v>
      </c>
      <c r="S9" s="36"/>
      <c r="T9" s="36"/>
      <c r="U9" s="37"/>
      <c r="V9" s="38">
        <f t="shared" si="4"/>
        <v>48.57</v>
      </c>
      <c r="W9" s="51">
        <f t="shared" si="5"/>
        <v>290.57</v>
      </c>
    </row>
    <row r="10" spans="1:23" s="3" customFormat="1" ht="22.5" hidden="1" customHeight="1" x14ac:dyDescent="0.25">
      <c r="A10" s="50">
        <v>8</v>
      </c>
      <c r="B10" s="4" t="s">
        <v>141</v>
      </c>
      <c r="C10" s="5" t="s">
        <v>135</v>
      </c>
      <c r="D10" s="5" t="s">
        <v>138</v>
      </c>
      <c r="E10" s="5"/>
      <c r="F10" s="18"/>
      <c r="G10" s="18"/>
      <c r="H10" s="18"/>
      <c r="I10" s="18"/>
      <c r="J10" s="19">
        <f t="shared" si="0"/>
        <v>0</v>
      </c>
      <c r="K10" s="20">
        <f t="shared" si="1"/>
        <v>0</v>
      </c>
      <c r="L10" s="27"/>
      <c r="M10" s="27"/>
      <c r="N10" s="27"/>
      <c r="O10" s="27"/>
      <c r="P10" s="28">
        <f t="shared" si="2"/>
        <v>0</v>
      </c>
      <c r="Q10" s="29">
        <f t="shared" si="3"/>
        <v>0</v>
      </c>
      <c r="R10" s="36"/>
      <c r="S10" s="36"/>
      <c r="T10" s="36"/>
      <c r="U10" s="37"/>
      <c r="V10" s="38">
        <f t="shared" si="4"/>
        <v>100</v>
      </c>
      <c r="W10" s="51">
        <f t="shared" si="5"/>
        <v>100</v>
      </c>
    </row>
    <row r="11" spans="1:23" s="3" customFormat="1" ht="22.5" customHeight="1" x14ac:dyDescent="0.25">
      <c r="A11" s="50">
        <v>71</v>
      </c>
      <c r="B11" s="4" t="s">
        <v>77</v>
      </c>
      <c r="C11" s="5" t="s">
        <v>129</v>
      </c>
      <c r="D11" s="5" t="s">
        <v>138</v>
      </c>
      <c r="E11" s="5"/>
      <c r="F11" s="18"/>
      <c r="G11" s="18">
        <v>3</v>
      </c>
      <c r="H11" s="18">
        <v>8</v>
      </c>
      <c r="I11" s="18">
        <v>16</v>
      </c>
      <c r="J11" s="19">
        <f t="shared" si="0"/>
        <v>136</v>
      </c>
      <c r="K11" s="20">
        <f t="shared" si="1"/>
        <v>27</v>
      </c>
      <c r="L11" s="27">
        <v>2</v>
      </c>
      <c r="M11" s="27">
        <v>6</v>
      </c>
      <c r="N11" s="27">
        <v>6</v>
      </c>
      <c r="O11" s="27">
        <v>0</v>
      </c>
      <c r="P11" s="28">
        <f t="shared" si="2"/>
        <v>104</v>
      </c>
      <c r="Q11" s="29">
        <f t="shared" si="3"/>
        <v>14</v>
      </c>
      <c r="R11" s="36">
        <v>17.95</v>
      </c>
      <c r="S11" s="36"/>
      <c r="T11" s="36"/>
      <c r="U11" s="37"/>
      <c r="V11" s="38">
        <f t="shared" si="4"/>
        <v>82.05</v>
      </c>
      <c r="W11" s="51">
        <f t="shared" si="5"/>
        <v>322.05</v>
      </c>
    </row>
    <row r="12" spans="1:23" s="3" customFormat="1" ht="22.5" customHeight="1" x14ac:dyDescent="0.25">
      <c r="A12" s="50">
        <v>26</v>
      </c>
      <c r="B12" s="4" t="s">
        <v>34</v>
      </c>
      <c r="C12" s="5" t="s">
        <v>129</v>
      </c>
      <c r="D12" s="5" t="s">
        <v>138</v>
      </c>
      <c r="E12" s="5"/>
      <c r="F12" s="18">
        <v>1</v>
      </c>
      <c r="G12" s="18">
        <v>7</v>
      </c>
      <c r="H12" s="18">
        <v>7</v>
      </c>
      <c r="I12" s="18">
        <v>13</v>
      </c>
      <c r="J12" s="19">
        <f t="shared" si="0"/>
        <v>160</v>
      </c>
      <c r="K12" s="20">
        <f t="shared" si="1"/>
        <v>28</v>
      </c>
      <c r="L12" s="27">
        <v>5</v>
      </c>
      <c r="M12" s="27">
        <v>2</v>
      </c>
      <c r="N12" s="27">
        <v>4</v>
      </c>
      <c r="O12" s="27">
        <v>0</v>
      </c>
      <c r="P12" s="28">
        <f t="shared" si="2"/>
        <v>90</v>
      </c>
      <c r="Q12" s="29">
        <f t="shared" si="3"/>
        <v>11</v>
      </c>
      <c r="R12" s="36">
        <v>25.47</v>
      </c>
      <c r="S12" s="36"/>
      <c r="T12" s="36"/>
      <c r="U12" s="37"/>
      <c r="V12" s="38">
        <f t="shared" si="4"/>
        <v>74.53</v>
      </c>
      <c r="W12" s="51">
        <f t="shared" si="5"/>
        <v>324.52999999999997</v>
      </c>
    </row>
    <row r="13" spans="1:23" s="3" customFormat="1" ht="22.5" customHeight="1" x14ac:dyDescent="0.25">
      <c r="A13" s="50">
        <v>40</v>
      </c>
      <c r="B13" s="4" t="s">
        <v>46</v>
      </c>
      <c r="C13" s="5" t="s">
        <v>129</v>
      </c>
      <c r="D13" s="5" t="s">
        <v>139</v>
      </c>
      <c r="E13" s="5"/>
      <c r="F13" s="18">
        <v>1</v>
      </c>
      <c r="G13" s="18">
        <v>2</v>
      </c>
      <c r="H13" s="18">
        <v>4</v>
      </c>
      <c r="I13" s="18">
        <v>15</v>
      </c>
      <c r="J13" s="19">
        <f t="shared" si="0"/>
        <v>110</v>
      </c>
      <c r="K13" s="20">
        <f t="shared" si="1"/>
        <v>22</v>
      </c>
      <c r="L13" s="27">
        <v>8</v>
      </c>
      <c r="M13" s="27">
        <v>5</v>
      </c>
      <c r="N13" s="27">
        <v>4</v>
      </c>
      <c r="O13" s="27">
        <v>0</v>
      </c>
      <c r="P13" s="28">
        <f t="shared" si="2"/>
        <v>144</v>
      </c>
      <c r="Q13" s="29">
        <f t="shared" si="3"/>
        <v>17</v>
      </c>
      <c r="R13" s="36">
        <v>23.63</v>
      </c>
      <c r="S13" s="36"/>
      <c r="T13" s="36"/>
      <c r="U13" s="37"/>
      <c r="V13" s="38">
        <f t="shared" si="4"/>
        <v>76.37</v>
      </c>
      <c r="W13" s="51">
        <f t="shared" si="5"/>
        <v>330.37</v>
      </c>
    </row>
    <row r="14" spans="1:23" s="3" customFormat="1" ht="22.5" customHeight="1" x14ac:dyDescent="0.25">
      <c r="A14" s="50">
        <v>69</v>
      </c>
      <c r="B14" s="4" t="s">
        <v>75</v>
      </c>
      <c r="C14" s="5" t="s">
        <v>129</v>
      </c>
      <c r="D14" s="5" t="s">
        <v>138</v>
      </c>
      <c r="E14" s="5"/>
      <c r="F14" s="18"/>
      <c r="G14" s="18">
        <v>2</v>
      </c>
      <c r="H14" s="18">
        <v>6</v>
      </c>
      <c r="I14" s="18">
        <v>14</v>
      </c>
      <c r="J14" s="19">
        <f t="shared" si="0"/>
        <v>108</v>
      </c>
      <c r="K14" s="20">
        <f t="shared" si="1"/>
        <v>22</v>
      </c>
      <c r="L14" s="27">
        <v>10</v>
      </c>
      <c r="M14" s="27">
        <v>6</v>
      </c>
      <c r="N14" s="27">
        <v>1</v>
      </c>
      <c r="O14" s="27">
        <v>0</v>
      </c>
      <c r="P14" s="28">
        <f t="shared" si="2"/>
        <v>154</v>
      </c>
      <c r="Q14" s="29">
        <f t="shared" si="3"/>
        <v>17</v>
      </c>
      <c r="R14" s="36">
        <v>24.24</v>
      </c>
      <c r="S14" s="36"/>
      <c r="T14" s="36"/>
      <c r="U14" s="37"/>
      <c r="V14" s="38">
        <f t="shared" si="4"/>
        <v>75.760000000000005</v>
      </c>
      <c r="W14" s="51">
        <f t="shared" si="5"/>
        <v>337.76</v>
      </c>
    </row>
    <row r="15" spans="1:23" s="3" customFormat="1" ht="22.5" customHeight="1" x14ac:dyDescent="0.25">
      <c r="A15" s="50">
        <v>30</v>
      </c>
      <c r="B15" s="4" t="s">
        <v>152</v>
      </c>
      <c r="C15" s="5" t="s">
        <v>129</v>
      </c>
      <c r="D15" s="5" t="s">
        <v>138</v>
      </c>
      <c r="E15" s="5"/>
      <c r="F15" s="18">
        <v>1</v>
      </c>
      <c r="G15" s="18">
        <v>4</v>
      </c>
      <c r="H15" s="18">
        <v>6</v>
      </c>
      <c r="I15" s="18">
        <v>16</v>
      </c>
      <c r="J15" s="19">
        <f t="shared" si="0"/>
        <v>142</v>
      </c>
      <c r="K15" s="20">
        <f t="shared" si="1"/>
        <v>27</v>
      </c>
      <c r="L15" s="27">
        <v>5</v>
      </c>
      <c r="M15" s="27">
        <v>6</v>
      </c>
      <c r="N15" s="27">
        <v>6</v>
      </c>
      <c r="O15" s="27">
        <v>0</v>
      </c>
      <c r="P15" s="28">
        <f t="shared" si="2"/>
        <v>134</v>
      </c>
      <c r="Q15" s="29">
        <f t="shared" si="3"/>
        <v>17</v>
      </c>
      <c r="R15" s="36">
        <v>30.27</v>
      </c>
      <c r="S15" s="36"/>
      <c r="T15" s="36"/>
      <c r="U15" s="37"/>
      <c r="V15" s="38">
        <f t="shared" si="4"/>
        <v>69.73</v>
      </c>
      <c r="W15" s="51">
        <f t="shared" si="5"/>
        <v>345.73</v>
      </c>
    </row>
    <row r="16" spans="1:23" s="3" customFormat="1" ht="22.5" customHeight="1" x14ac:dyDescent="0.25">
      <c r="A16" s="50">
        <v>117</v>
      </c>
      <c r="B16" s="4" t="s">
        <v>174</v>
      </c>
      <c r="C16" s="5" t="s">
        <v>135</v>
      </c>
      <c r="D16" s="5" t="s">
        <v>138</v>
      </c>
      <c r="E16" s="5"/>
      <c r="F16" s="18">
        <v>1</v>
      </c>
      <c r="G16" s="18">
        <v>6</v>
      </c>
      <c r="H16" s="18">
        <v>9</v>
      </c>
      <c r="I16" s="18">
        <v>14</v>
      </c>
      <c r="J16" s="19">
        <f t="shared" si="0"/>
        <v>168</v>
      </c>
      <c r="K16" s="20">
        <f t="shared" si="1"/>
        <v>30</v>
      </c>
      <c r="L16" s="27">
        <v>8</v>
      </c>
      <c r="M16" s="27">
        <v>3</v>
      </c>
      <c r="N16" s="27">
        <v>2</v>
      </c>
      <c r="O16" s="27">
        <v>0</v>
      </c>
      <c r="P16" s="28">
        <f t="shared" si="2"/>
        <v>116</v>
      </c>
      <c r="Q16" s="29">
        <f t="shared" si="3"/>
        <v>13</v>
      </c>
      <c r="R16" s="36">
        <v>24.04</v>
      </c>
      <c r="S16" s="36"/>
      <c r="T16" s="36"/>
      <c r="U16" s="37"/>
      <c r="V16" s="38">
        <f t="shared" si="4"/>
        <v>75.960000000000008</v>
      </c>
      <c r="W16" s="51">
        <f t="shared" si="5"/>
        <v>359.96000000000004</v>
      </c>
    </row>
    <row r="17" spans="1:23" s="3" customFormat="1" ht="22.5" customHeight="1" x14ac:dyDescent="0.25">
      <c r="A17" s="50">
        <v>138</v>
      </c>
      <c r="B17" s="4" t="s">
        <v>163</v>
      </c>
      <c r="C17" s="5" t="s">
        <v>129</v>
      </c>
      <c r="D17" s="5" t="s">
        <v>138</v>
      </c>
      <c r="E17" s="5"/>
      <c r="F17" s="18">
        <v>3</v>
      </c>
      <c r="G17" s="18">
        <v>5</v>
      </c>
      <c r="H17" s="18">
        <v>4</v>
      </c>
      <c r="I17" s="18">
        <v>18</v>
      </c>
      <c r="J17" s="19">
        <f t="shared" si="0"/>
        <v>166</v>
      </c>
      <c r="K17" s="20">
        <f t="shared" si="1"/>
        <v>30</v>
      </c>
      <c r="L17" s="27">
        <v>6</v>
      </c>
      <c r="M17" s="27">
        <v>5</v>
      </c>
      <c r="N17" s="27">
        <v>5</v>
      </c>
      <c r="O17" s="27">
        <v>0</v>
      </c>
      <c r="P17" s="28">
        <f t="shared" si="2"/>
        <v>130</v>
      </c>
      <c r="Q17" s="29">
        <f t="shared" si="3"/>
        <v>16</v>
      </c>
      <c r="R17" s="36">
        <v>28</v>
      </c>
      <c r="S17" s="36"/>
      <c r="T17" s="36"/>
      <c r="U17" s="37"/>
      <c r="V17" s="38">
        <f t="shared" si="4"/>
        <v>72</v>
      </c>
      <c r="W17" s="51">
        <f t="shared" si="5"/>
        <v>368</v>
      </c>
    </row>
    <row r="18" spans="1:23" s="3" customFormat="1" ht="22.5" customHeight="1" x14ac:dyDescent="0.25">
      <c r="A18" s="50">
        <v>97</v>
      </c>
      <c r="B18" s="4" t="s">
        <v>101</v>
      </c>
      <c r="C18" s="5" t="s">
        <v>151</v>
      </c>
      <c r="D18" s="5" t="s">
        <v>138</v>
      </c>
      <c r="E18" s="5"/>
      <c r="F18" s="18">
        <v>2</v>
      </c>
      <c r="G18" s="18">
        <v>4</v>
      </c>
      <c r="H18" s="18">
        <v>8</v>
      </c>
      <c r="I18" s="18">
        <v>15</v>
      </c>
      <c r="J18" s="19">
        <f t="shared" si="0"/>
        <v>160</v>
      </c>
      <c r="K18" s="20">
        <f t="shared" si="1"/>
        <v>29</v>
      </c>
      <c r="L18" s="27">
        <v>9</v>
      </c>
      <c r="M18" s="27">
        <v>3</v>
      </c>
      <c r="N18" s="27">
        <v>6</v>
      </c>
      <c r="O18" s="27">
        <v>0</v>
      </c>
      <c r="P18" s="28">
        <f t="shared" si="2"/>
        <v>150</v>
      </c>
      <c r="Q18" s="29">
        <f t="shared" si="3"/>
        <v>18</v>
      </c>
      <c r="R18" s="36">
        <v>30.68</v>
      </c>
      <c r="S18" s="36"/>
      <c r="T18" s="36"/>
      <c r="U18" s="37"/>
      <c r="V18" s="38">
        <f t="shared" si="4"/>
        <v>69.319999999999993</v>
      </c>
      <c r="W18" s="51">
        <f t="shared" si="5"/>
        <v>379.32</v>
      </c>
    </row>
    <row r="19" spans="1:23" s="3" customFormat="1" ht="22.5" customHeight="1" x14ac:dyDescent="0.25">
      <c r="A19" s="50">
        <v>107</v>
      </c>
      <c r="B19" s="4" t="s">
        <v>111</v>
      </c>
      <c r="C19" s="5" t="s">
        <v>129</v>
      </c>
      <c r="D19" s="5" t="s">
        <v>138</v>
      </c>
      <c r="E19" s="5"/>
      <c r="F19" s="18">
        <v>2</v>
      </c>
      <c r="G19" s="18">
        <v>4</v>
      </c>
      <c r="H19" s="18">
        <v>6</v>
      </c>
      <c r="I19" s="18">
        <v>12</v>
      </c>
      <c r="J19" s="19">
        <f t="shared" si="0"/>
        <v>136</v>
      </c>
      <c r="K19" s="20">
        <f t="shared" si="1"/>
        <v>24</v>
      </c>
      <c r="L19" s="27">
        <v>9</v>
      </c>
      <c r="M19" s="27">
        <v>8</v>
      </c>
      <c r="N19" s="27">
        <v>5</v>
      </c>
      <c r="O19" s="27">
        <v>0</v>
      </c>
      <c r="P19" s="28">
        <f t="shared" si="2"/>
        <v>184</v>
      </c>
      <c r="Q19" s="29">
        <f t="shared" si="3"/>
        <v>22</v>
      </c>
      <c r="R19" s="36">
        <v>37.75</v>
      </c>
      <c r="S19" s="36"/>
      <c r="T19" s="36"/>
      <c r="U19" s="37"/>
      <c r="V19" s="38">
        <f t="shared" si="4"/>
        <v>62.25</v>
      </c>
      <c r="W19" s="51">
        <f t="shared" si="5"/>
        <v>382.25</v>
      </c>
    </row>
    <row r="20" spans="1:23" s="3" customFormat="1" ht="22.5" customHeight="1" x14ac:dyDescent="0.25">
      <c r="A20" s="50">
        <v>16</v>
      </c>
      <c r="B20" s="4" t="s">
        <v>25</v>
      </c>
      <c r="C20" s="5" t="s">
        <v>151</v>
      </c>
      <c r="D20" s="5" t="s">
        <v>138</v>
      </c>
      <c r="E20" s="5"/>
      <c r="F20" s="18">
        <v>2</v>
      </c>
      <c r="G20" s="18">
        <v>4</v>
      </c>
      <c r="H20" s="18">
        <v>6</v>
      </c>
      <c r="I20" s="18">
        <v>16</v>
      </c>
      <c r="J20" s="19">
        <f t="shared" si="0"/>
        <v>152</v>
      </c>
      <c r="K20" s="20">
        <f t="shared" si="1"/>
        <v>28</v>
      </c>
      <c r="L20" s="27">
        <v>7</v>
      </c>
      <c r="M20" s="27">
        <v>9</v>
      </c>
      <c r="N20" s="27">
        <v>6</v>
      </c>
      <c r="O20" s="27">
        <v>0</v>
      </c>
      <c r="P20" s="28">
        <f t="shared" si="2"/>
        <v>178</v>
      </c>
      <c r="Q20" s="29">
        <f t="shared" si="3"/>
        <v>22</v>
      </c>
      <c r="R20" s="36">
        <v>28.31</v>
      </c>
      <c r="S20" s="36"/>
      <c r="T20" s="36"/>
      <c r="U20" s="37"/>
      <c r="V20" s="38">
        <f t="shared" si="4"/>
        <v>71.69</v>
      </c>
      <c r="W20" s="51">
        <f t="shared" si="5"/>
        <v>401.69</v>
      </c>
    </row>
    <row r="21" spans="1:23" s="3" customFormat="1" ht="22.5" customHeight="1" x14ac:dyDescent="0.25">
      <c r="A21" s="50">
        <v>25</v>
      </c>
      <c r="B21" s="4" t="s">
        <v>33</v>
      </c>
      <c r="C21" s="5" t="s">
        <v>129</v>
      </c>
      <c r="D21" s="5" t="s">
        <v>138</v>
      </c>
      <c r="E21" s="5"/>
      <c r="F21" s="18">
        <v>4</v>
      </c>
      <c r="G21" s="18">
        <v>7</v>
      </c>
      <c r="H21" s="18">
        <v>8</v>
      </c>
      <c r="I21" s="18">
        <v>14</v>
      </c>
      <c r="J21" s="19">
        <f t="shared" si="0"/>
        <v>200</v>
      </c>
      <c r="K21" s="20">
        <f t="shared" si="1"/>
        <v>33</v>
      </c>
      <c r="L21" s="27">
        <v>6</v>
      </c>
      <c r="M21" s="27">
        <v>8</v>
      </c>
      <c r="N21" s="27">
        <v>6</v>
      </c>
      <c r="O21" s="27">
        <v>0</v>
      </c>
      <c r="P21" s="28">
        <f t="shared" si="2"/>
        <v>160</v>
      </c>
      <c r="Q21" s="29">
        <f t="shared" si="3"/>
        <v>20</v>
      </c>
      <c r="R21" s="36">
        <v>46.79</v>
      </c>
      <c r="S21" s="36"/>
      <c r="T21" s="36"/>
      <c r="U21" s="37"/>
      <c r="V21" s="38">
        <f t="shared" si="4"/>
        <v>53.21</v>
      </c>
      <c r="W21" s="51">
        <f t="shared" si="5"/>
        <v>413.21</v>
      </c>
    </row>
    <row r="22" spans="1:23" s="3" customFormat="1" ht="22.5" customHeight="1" x14ac:dyDescent="0.25">
      <c r="A22" s="50">
        <v>140</v>
      </c>
      <c r="B22" s="4" t="s">
        <v>165</v>
      </c>
      <c r="C22" s="5" t="s">
        <v>129</v>
      </c>
      <c r="D22" s="5" t="s">
        <v>138</v>
      </c>
      <c r="E22" s="5"/>
      <c r="F22" s="18">
        <v>1</v>
      </c>
      <c r="G22" s="18">
        <v>6</v>
      </c>
      <c r="H22" s="18">
        <v>11</v>
      </c>
      <c r="I22" s="18">
        <v>9</v>
      </c>
      <c r="J22" s="19">
        <f t="shared" si="0"/>
        <v>160</v>
      </c>
      <c r="K22" s="20">
        <f t="shared" si="1"/>
        <v>27</v>
      </c>
      <c r="L22" s="27">
        <v>10</v>
      </c>
      <c r="M22" s="27">
        <v>4</v>
      </c>
      <c r="N22" s="27">
        <v>9</v>
      </c>
      <c r="O22" s="27">
        <v>0</v>
      </c>
      <c r="P22" s="28">
        <f t="shared" si="2"/>
        <v>186</v>
      </c>
      <c r="Q22" s="29">
        <f t="shared" si="3"/>
        <v>23</v>
      </c>
      <c r="R22" s="36">
        <v>27.38</v>
      </c>
      <c r="S22" s="36"/>
      <c r="T22" s="36"/>
      <c r="U22" s="37"/>
      <c r="V22" s="38">
        <f t="shared" si="4"/>
        <v>72.62</v>
      </c>
      <c r="W22" s="51">
        <f t="shared" si="5"/>
        <v>418.62</v>
      </c>
    </row>
    <row r="23" spans="1:23" s="3" customFormat="1" ht="22.5" customHeight="1" x14ac:dyDescent="0.25">
      <c r="A23" s="50">
        <v>14</v>
      </c>
      <c r="B23" s="4" t="s">
        <v>23</v>
      </c>
      <c r="C23" s="5" t="s">
        <v>135</v>
      </c>
      <c r="D23" s="5" t="s">
        <v>138</v>
      </c>
      <c r="E23" s="5"/>
      <c r="F23" s="18">
        <v>4</v>
      </c>
      <c r="G23" s="18">
        <v>9</v>
      </c>
      <c r="H23" s="18">
        <v>9</v>
      </c>
      <c r="I23" s="18">
        <v>10</v>
      </c>
      <c r="J23" s="19">
        <f t="shared" si="0"/>
        <v>206</v>
      </c>
      <c r="K23" s="20">
        <f t="shared" si="1"/>
        <v>32</v>
      </c>
      <c r="L23" s="27">
        <v>8</v>
      </c>
      <c r="M23" s="27">
        <v>8</v>
      </c>
      <c r="N23" s="27"/>
      <c r="O23" s="27"/>
      <c r="P23" s="28">
        <f t="shared" si="2"/>
        <v>144</v>
      </c>
      <c r="Q23" s="29">
        <f t="shared" si="3"/>
        <v>16</v>
      </c>
      <c r="R23" s="36">
        <v>21.5</v>
      </c>
      <c r="S23" s="36"/>
      <c r="T23" s="36"/>
      <c r="U23" s="37"/>
      <c r="V23" s="38">
        <f t="shared" si="4"/>
        <v>78.5</v>
      </c>
      <c r="W23" s="51">
        <f t="shared" si="5"/>
        <v>428.5</v>
      </c>
    </row>
    <row r="24" spans="1:23" s="3" customFormat="1" ht="22.5" customHeight="1" x14ac:dyDescent="0.25">
      <c r="A24" s="50">
        <v>34</v>
      </c>
      <c r="B24" s="65" t="s">
        <v>40</v>
      </c>
      <c r="C24" s="5" t="s">
        <v>129</v>
      </c>
      <c r="D24" s="5" t="s">
        <v>138</v>
      </c>
      <c r="E24" s="5"/>
      <c r="F24" s="18">
        <v>5</v>
      </c>
      <c r="G24" s="18">
        <v>6</v>
      </c>
      <c r="H24" s="18">
        <v>4</v>
      </c>
      <c r="I24" s="18">
        <v>12</v>
      </c>
      <c r="J24" s="19">
        <f t="shared" si="0"/>
        <v>170</v>
      </c>
      <c r="K24" s="20">
        <f t="shared" si="1"/>
        <v>27</v>
      </c>
      <c r="L24" s="27">
        <v>7</v>
      </c>
      <c r="M24" s="27">
        <v>5</v>
      </c>
      <c r="N24" s="27">
        <v>12</v>
      </c>
      <c r="O24" s="27"/>
      <c r="P24" s="28">
        <f t="shared" si="2"/>
        <v>182</v>
      </c>
      <c r="Q24" s="29">
        <f t="shared" si="3"/>
        <v>24</v>
      </c>
      <c r="R24" s="36">
        <v>18.57</v>
      </c>
      <c r="S24" s="36"/>
      <c r="T24" s="36"/>
      <c r="U24" s="37"/>
      <c r="V24" s="38">
        <f t="shared" si="4"/>
        <v>81.430000000000007</v>
      </c>
      <c r="W24" s="51">
        <f t="shared" si="5"/>
        <v>433.43</v>
      </c>
    </row>
    <row r="25" spans="1:23" s="3" customFormat="1" ht="22.5" customHeight="1" x14ac:dyDescent="0.25">
      <c r="A25" s="50">
        <v>68</v>
      </c>
      <c r="B25" s="4" t="s">
        <v>74</v>
      </c>
      <c r="C25" s="5" t="s">
        <v>129</v>
      </c>
      <c r="D25" s="5" t="s">
        <v>138</v>
      </c>
      <c r="E25" s="5"/>
      <c r="F25" s="18">
        <v>6</v>
      </c>
      <c r="G25" s="18">
        <v>4</v>
      </c>
      <c r="H25" s="18">
        <v>7</v>
      </c>
      <c r="I25" s="18">
        <v>16</v>
      </c>
      <c r="J25" s="19">
        <f t="shared" si="0"/>
        <v>198</v>
      </c>
      <c r="K25" s="20">
        <f t="shared" si="1"/>
        <v>33</v>
      </c>
      <c r="L25" s="27">
        <v>11</v>
      </c>
      <c r="M25" s="27">
        <v>3</v>
      </c>
      <c r="N25" s="27">
        <v>5</v>
      </c>
      <c r="O25" s="27"/>
      <c r="P25" s="28">
        <f t="shared" si="2"/>
        <v>164</v>
      </c>
      <c r="Q25" s="29">
        <f t="shared" si="3"/>
        <v>19</v>
      </c>
      <c r="R25" s="36">
        <v>27.58</v>
      </c>
      <c r="S25" s="36"/>
      <c r="T25" s="36"/>
      <c r="U25" s="37"/>
      <c r="V25" s="38">
        <f t="shared" si="4"/>
        <v>72.42</v>
      </c>
      <c r="W25" s="51">
        <f t="shared" si="5"/>
        <v>434.42</v>
      </c>
    </row>
    <row r="26" spans="1:23" s="3" customFormat="1" ht="22.5" customHeight="1" x14ac:dyDescent="0.25">
      <c r="A26" s="50">
        <v>105</v>
      </c>
      <c r="B26" s="4" t="s">
        <v>109</v>
      </c>
      <c r="C26" s="5" t="s">
        <v>129</v>
      </c>
      <c r="D26" s="5" t="s">
        <v>138</v>
      </c>
      <c r="E26" s="5"/>
      <c r="F26" s="18">
        <v>3</v>
      </c>
      <c r="G26" s="18">
        <v>11</v>
      </c>
      <c r="H26" s="18">
        <v>4</v>
      </c>
      <c r="I26" s="18">
        <v>13</v>
      </c>
      <c r="J26" s="19">
        <f t="shared" si="0"/>
        <v>194</v>
      </c>
      <c r="K26" s="20">
        <f t="shared" si="1"/>
        <v>31</v>
      </c>
      <c r="L26" s="27">
        <v>9</v>
      </c>
      <c r="M26" s="27">
        <v>4</v>
      </c>
      <c r="N26" s="27">
        <v>6</v>
      </c>
      <c r="O26" s="27"/>
      <c r="P26" s="28">
        <f t="shared" si="2"/>
        <v>158</v>
      </c>
      <c r="Q26" s="29">
        <f t="shared" si="3"/>
        <v>19</v>
      </c>
      <c r="R26" s="36">
        <v>16.82</v>
      </c>
      <c r="S26" s="36"/>
      <c r="T26" s="36"/>
      <c r="U26" s="37"/>
      <c r="V26" s="38">
        <f t="shared" si="4"/>
        <v>83.18</v>
      </c>
      <c r="W26" s="51">
        <f t="shared" si="5"/>
        <v>435.18</v>
      </c>
    </row>
    <row r="27" spans="1:23" s="3" customFormat="1" ht="22.5" customHeight="1" x14ac:dyDescent="0.25">
      <c r="A27" s="50">
        <v>127</v>
      </c>
      <c r="B27" s="4" t="s">
        <v>148</v>
      </c>
      <c r="C27" s="5" t="s">
        <v>135</v>
      </c>
      <c r="D27" s="5" t="s">
        <v>138</v>
      </c>
      <c r="E27" s="5" t="s">
        <v>146</v>
      </c>
      <c r="F27" s="18">
        <v>2</v>
      </c>
      <c r="G27" s="18">
        <v>6</v>
      </c>
      <c r="H27" s="18">
        <v>9</v>
      </c>
      <c r="I27" s="18">
        <v>12</v>
      </c>
      <c r="J27" s="19">
        <f t="shared" si="0"/>
        <v>170</v>
      </c>
      <c r="K27" s="20">
        <f t="shared" si="1"/>
        <v>29</v>
      </c>
      <c r="L27" s="27">
        <v>9</v>
      </c>
      <c r="M27" s="27">
        <v>10</v>
      </c>
      <c r="N27" s="27">
        <v>4</v>
      </c>
      <c r="O27" s="27"/>
      <c r="P27" s="28">
        <f t="shared" si="2"/>
        <v>194</v>
      </c>
      <c r="Q27" s="29">
        <f t="shared" si="3"/>
        <v>23</v>
      </c>
      <c r="R27" s="36">
        <v>26.42</v>
      </c>
      <c r="S27" s="36"/>
      <c r="T27" s="36"/>
      <c r="U27" s="37"/>
      <c r="V27" s="38">
        <f t="shared" si="4"/>
        <v>73.58</v>
      </c>
      <c r="W27" s="51">
        <f t="shared" si="5"/>
        <v>437.58</v>
      </c>
    </row>
    <row r="28" spans="1:23" s="3" customFormat="1" ht="22.5" customHeight="1" x14ac:dyDescent="0.25">
      <c r="A28" s="50">
        <v>62</v>
      </c>
      <c r="B28" s="4" t="s">
        <v>68</v>
      </c>
      <c r="C28" s="5" t="s">
        <v>135</v>
      </c>
      <c r="D28" s="5" t="s">
        <v>138</v>
      </c>
      <c r="E28" s="5" t="s">
        <v>172</v>
      </c>
      <c r="F28" s="18">
        <v>3</v>
      </c>
      <c r="G28" s="18">
        <v>10</v>
      </c>
      <c r="H28" s="18">
        <v>8</v>
      </c>
      <c r="I28" s="18">
        <v>8</v>
      </c>
      <c r="J28" s="19">
        <f t="shared" si="0"/>
        <v>190</v>
      </c>
      <c r="K28" s="20">
        <f t="shared" si="1"/>
        <v>29</v>
      </c>
      <c r="L28" s="27">
        <v>10</v>
      </c>
      <c r="M28" s="27">
        <v>6</v>
      </c>
      <c r="N28" s="27">
        <v>3</v>
      </c>
      <c r="O28" s="27"/>
      <c r="P28" s="28">
        <f t="shared" si="2"/>
        <v>166</v>
      </c>
      <c r="Q28" s="29">
        <f t="shared" si="3"/>
        <v>19</v>
      </c>
      <c r="R28" s="36">
        <v>18.11</v>
      </c>
      <c r="S28" s="36"/>
      <c r="T28" s="36"/>
      <c r="U28" s="37"/>
      <c r="V28" s="38">
        <f t="shared" si="4"/>
        <v>81.89</v>
      </c>
      <c r="W28" s="51">
        <f t="shared" si="5"/>
        <v>437.89</v>
      </c>
    </row>
    <row r="29" spans="1:23" s="3" customFormat="1" ht="22.5" hidden="1" customHeight="1" x14ac:dyDescent="0.25">
      <c r="A29" s="50">
        <v>27</v>
      </c>
      <c r="B29" s="4" t="s">
        <v>35</v>
      </c>
      <c r="C29" s="5"/>
      <c r="D29" s="5"/>
      <c r="E29" s="5"/>
      <c r="F29" s="18"/>
      <c r="G29" s="18"/>
      <c r="H29" s="18"/>
      <c r="I29" s="18"/>
      <c r="J29" s="19">
        <f t="shared" si="0"/>
        <v>0</v>
      </c>
      <c r="K29" s="20">
        <f t="shared" si="1"/>
        <v>0</v>
      </c>
      <c r="L29" s="27"/>
      <c r="M29" s="27"/>
      <c r="N29" s="27"/>
      <c r="O29" s="27"/>
      <c r="P29" s="28">
        <f t="shared" si="2"/>
        <v>0</v>
      </c>
      <c r="Q29" s="29">
        <f t="shared" si="3"/>
        <v>0</v>
      </c>
      <c r="R29" s="36"/>
      <c r="S29" s="36"/>
      <c r="T29" s="36"/>
      <c r="U29" s="37"/>
      <c r="V29" s="38">
        <f t="shared" si="4"/>
        <v>100</v>
      </c>
      <c r="W29" s="51">
        <f t="shared" si="5"/>
        <v>100</v>
      </c>
    </row>
    <row r="30" spans="1:23" s="3" customFormat="1" ht="22.5" hidden="1" customHeight="1" x14ac:dyDescent="0.25">
      <c r="A30" s="50">
        <v>28</v>
      </c>
      <c r="B30" s="4" t="s">
        <v>36</v>
      </c>
      <c r="C30" s="5"/>
      <c r="D30" s="5"/>
      <c r="E30" s="5"/>
      <c r="F30" s="18"/>
      <c r="G30" s="18"/>
      <c r="H30" s="18"/>
      <c r="I30" s="18"/>
      <c r="J30" s="19">
        <f t="shared" si="0"/>
        <v>0</v>
      </c>
      <c r="K30" s="20">
        <f t="shared" si="1"/>
        <v>0</v>
      </c>
      <c r="L30" s="27"/>
      <c r="M30" s="27"/>
      <c r="N30" s="27"/>
      <c r="O30" s="27"/>
      <c r="P30" s="28">
        <f t="shared" si="2"/>
        <v>0</v>
      </c>
      <c r="Q30" s="29">
        <f t="shared" si="3"/>
        <v>0</v>
      </c>
      <c r="R30" s="36"/>
      <c r="S30" s="36"/>
      <c r="T30" s="36"/>
      <c r="U30" s="37"/>
      <c r="V30" s="38">
        <f t="shared" si="4"/>
        <v>100</v>
      </c>
      <c r="W30" s="51">
        <f t="shared" si="5"/>
        <v>100</v>
      </c>
    </row>
    <row r="31" spans="1:23" s="3" customFormat="1" ht="22.5" customHeight="1" x14ac:dyDescent="0.25">
      <c r="A31" s="50">
        <v>77</v>
      </c>
      <c r="B31" s="4" t="s">
        <v>83</v>
      </c>
      <c r="C31" s="5" t="s">
        <v>129</v>
      </c>
      <c r="D31" s="5" t="s">
        <v>138</v>
      </c>
      <c r="E31" s="5"/>
      <c r="F31" s="18">
        <v>2</v>
      </c>
      <c r="G31" s="18">
        <v>9</v>
      </c>
      <c r="H31" s="18">
        <v>8</v>
      </c>
      <c r="I31" s="18">
        <v>15</v>
      </c>
      <c r="J31" s="19">
        <f t="shared" si="0"/>
        <v>200</v>
      </c>
      <c r="K31" s="20">
        <f t="shared" si="1"/>
        <v>34</v>
      </c>
      <c r="L31" s="27">
        <v>8</v>
      </c>
      <c r="M31" s="27">
        <v>7</v>
      </c>
      <c r="N31" s="27">
        <v>3</v>
      </c>
      <c r="O31" s="27"/>
      <c r="P31" s="28">
        <f t="shared" si="2"/>
        <v>154</v>
      </c>
      <c r="Q31" s="29">
        <f t="shared" si="3"/>
        <v>18</v>
      </c>
      <c r="R31" s="36">
        <v>16.09</v>
      </c>
      <c r="S31" s="36"/>
      <c r="T31" s="36"/>
      <c r="U31" s="37"/>
      <c r="V31" s="38">
        <f t="shared" si="4"/>
        <v>83.91</v>
      </c>
      <c r="W31" s="51">
        <f t="shared" si="5"/>
        <v>437.90999999999997</v>
      </c>
    </row>
    <row r="32" spans="1:23" s="3" customFormat="1" ht="22.5" customHeight="1" x14ac:dyDescent="0.25">
      <c r="A32" s="50">
        <v>50</v>
      </c>
      <c r="B32" s="4" t="s">
        <v>56</v>
      </c>
      <c r="C32" s="5" t="s">
        <v>135</v>
      </c>
      <c r="D32" s="5" t="s">
        <v>138</v>
      </c>
      <c r="E32" s="5"/>
      <c r="F32" s="18">
        <v>11</v>
      </c>
      <c r="G32" s="18">
        <v>7</v>
      </c>
      <c r="H32" s="18">
        <v>8</v>
      </c>
      <c r="I32" s="18">
        <v>6</v>
      </c>
      <c r="J32" s="19">
        <f t="shared" si="0"/>
        <v>238</v>
      </c>
      <c r="K32" s="20">
        <f t="shared" si="1"/>
        <v>32</v>
      </c>
      <c r="L32" s="27">
        <v>8</v>
      </c>
      <c r="M32" s="27">
        <v>7</v>
      </c>
      <c r="N32" s="27"/>
      <c r="O32" s="27"/>
      <c r="P32" s="28">
        <f t="shared" si="2"/>
        <v>136</v>
      </c>
      <c r="Q32" s="29">
        <f t="shared" si="3"/>
        <v>15</v>
      </c>
      <c r="R32" s="36">
        <v>26.87</v>
      </c>
      <c r="S32" s="36"/>
      <c r="T32" s="36"/>
      <c r="U32" s="37"/>
      <c r="V32" s="38">
        <f t="shared" si="4"/>
        <v>73.13</v>
      </c>
      <c r="W32" s="51">
        <f t="shared" si="5"/>
        <v>447.13</v>
      </c>
    </row>
    <row r="33" spans="1:23" s="3" customFormat="1" ht="22.5" customHeight="1" x14ac:dyDescent="0.25">
      <c r="A33" s="50">
        <v>59</v>
      </c>
      <c r="B33" s="4" t="s">
        <v>65</v>
      </c>
      <c r="C33" s="5" t="s">
        <v>129</v>
      </c>
      <c r="D33" s="5" t="s">
        <v>138</v>
      </c>
      <c r="E33" s="5"/>
      <c r="F33" s="18">
        <v>5</v>
      </c>
      <c r="G33" s="18">
        <v>3</v>
      </c>
      <c r="H33" s="18">
        <v>10</v>
      </c>
      <c r="I33" s="18">
        <v>14</v>
      </c>
      <c r="J33" s="19">
        <f t="shared" si="0"/>
        <v>190</v>
      </c>
      <c r="K33" s="20">
        <f t="shared" si="1"/>
        <v>32</v>
      </c>
      <c r="L33" s="27">
        <v>9</v>
      </c>
      <c r="M33" s="27">
        <v>7</v>
      </c>
      <c r="N33" s="27">
        <v>7</v>
      </c>
      <c r="O33" s="27"/>
      <c r="P33" s="28">
        <f t="shared" si="2"/>
        <v>188</v>
      </c>
      <c r="Q33" s="29">
        <f t="shared" si="3"/>
        <v>23</v>
      </c>
      <c r="R33" s="36">
        <v>23.7</v>
      </c>
      <c r="S33" s="36"/>
      <c r="T33" s="36"/>
      <c r="U33" s="37"/>
      <c r="V33" s="38">
        <f t="shared" si="4"/>
        <v>76.3</v>
      </c>
      <c r="W33" s="51">
        <f t="shared" si="5"/>
        <v>454.3</v>
      </c>
    </row>
    <row r="34" spans="1:23" s="3" customFormat="1" ht="22.5" hidden="1" customHeight="1" x14ac:dyDescent="0.25">
      <c r="A34" s="50">
        <v>32</v>
      </c>
      <c r="B34" s="4" t="s">
        <v>38</v>
      </c>
      <c r="C34" s="5"/>
      <c r="D34" s="5"/>
      <c r="E34" s="5"/>
      <c r="F34" s="18"/>
      <c r="G34" s="18"/>
      <c r="H34" s="18"/>
      <c r="I34" s="18"/>
      <c r="J34" s="19">
        <f t="shared" si="0"/>
        <v>0</v>
      </c>
      <c r="K34" s="20">
        <f t="shared" si="1"/>
        <v>0</v>
      </c>
      <c r="L34" s="27"/>
      <c r="M34" s="27"/>
      <c r="N34" s="27"/>
      <c r="O34" s="27"/>
      <c r="P34" s="28">
        <f t="shared" si="2"/>
        <v>0</v>
      </c>
      <c r="Q34" s="29">
        <f t="shared" si="3"/>
        <v>0</v>
      </c>
      <c r="R34" s="36"/>
      <c r="S34" s="36"/>
      <c r="T34" s="36"/>
      <c r="U34" s="37"/>
      <c r="V34" s="38">
        <f t="shared" si="4"/>
        <v>100</v>
      </c>
      <c r="W34" s="51">
        <f t="shared" si="5"/>
        <v>100</v>
      </c>
    </row>
    <row r="35" spans="1:23" s="3" customFormat="1" ht="22.5" customHeight="1" x14ac:dyDescent="0.25">
      <c r="A35" s="50">
        <v>78</v>
      </c>
      <c r="B35" s="4" t="s">
        <v>84</v>
      </c>
      <c r="C35" s="5" t="s">
        <v>129</v>
      </c>
      <c r="D35" s="5" t="s">
        <v>138</v>
      </c>
      <c r="E35" s="5"/>
      <c r="F35" s="18">
        <v>2</v>
      </c>
      <c r="G35" s="18">
        <v>7</v>
      </c>
      <c r="H35" s="18">
        <v>11</v>
      </c>
      <c r="I35" s="18">
        <v>7</v>
      </c>
      <c r="J35" s="19">
        <f t="shared" ref="J35:J66" si="6">SUM(F35*10)+(G35*8)+(H35*6)+(I35*4)</f>
        <v>170</v>
      </c>
      <c r="K35" s="20">
        <f t="shared" ref="K35:K66" si="7">SUM(F35:I35)</f>
        <v>27</v>
      </c>
      <c r="L35" s="27">
        <v>12</v>
      </c>
      <c r="M35" s="27">
        <v>9</v>
      </c>
      <c r="N35" s="27">
        <v>4</v>
      </c>
      <c r="O35" s="27"/>
      <c r="P35" s="28">
        <f t="shared" ref="P35:P66" si="8">SUM(L35*10)+(M35*8)+(N35*6)+(O35*4)</f>
        <v>216</v>
      </c>
      <c r="Q35" s="29">
        <f t="shared" ref="Q35:Q66" si="9">SUM(L35:O35)</f>
        <v>25</v>
      </c>
      <c r="R35" s="36">
        <v>28.52</v>
      </c>
      <c r="S35" s="36"/>
      <c r="T35" s="36"/>
      <c r="U35" s="37"/>
      <c r="V35" s="38">
        <f t="shared" ref="V35:V66" si="10">100-(R35+S35+(U35*10)+(T35*20))</f>
        <v>71.48</v>
      </c>
      <c r="W35" s="51">
        <f t="shared" ref="W35:W66" si="11">J35+P35+V35</f>
        <v>457.48</v>
      </c>
    </row>
    <row r="36" spans="1:23" s="3" customFormat="1" ht="22.5" customHeight="1" x14ac:dyDescent="0.25">
      <c r="A36" s="50">
        <v>92</v>
      </c>
      <c r="B36" s="4" t="s">
        <v>96</v>
      </c>
      <c r="C36" s="5" t="s">
        <v>129</v>
      </c>
      <c r="D36" s="5" t="s">
        <v>139</v>
      </c>
      <c r="E36" s="5"/>
      <c r="F36" s="18"/>
      <c r="G36" s="18">
        <v>7</v>
      </c>
      <c r="H36" s="18">
        <v>10</v>
      </c>
      <c r="I36" s="18">
        <v>7</v>
      </c>
      <c r="J36" s="19">
        <f t="shared" si="6"/>
        <v>144</v>
      </c>
      <c r="K36" s="20">
        <f t="shared" si="7"/>
        <v>24</v>
      </c>
      <c r="L36" s="27">
        <v>15</v>
      </c>
      <c r="M36" s="27">
        <v>9</v>
      </c>
      <c r="N36" s="27">
        <v>5</v>
      </c>
      <c r="O36" s="27"/>
      <c r="P36" s="28">
        <f t="shared" si="8"/>
        <v>252</v>
      </c>
      <c r="Q36" s="29">
        <f t="shared" si="9"/>
        <v>29</v>
      </c>
      <c r="R36" s="36">
        <v>25.35</v>
      </c>
      <c r="S36" s="36"/>
      <c r="T36" s="36"/>
      <c r="U36" s="37"/>
      <c r="V36" s="38">
        <f t="shared" si="10"/>
        <v>74.650000000000006</v>
      </c>
      <c r="W36" s="51">
        <f t="shared" si="11"/>
        <v>470.65</v>
      </c>
    </row>
    <row r="37" spans="1:23" s="3" customFormat="1" ht="22.5" hidden="1" customHeight="1" x14ac:dyDescent="0.25">
      <c r="A37" s="50">
        <v>35</v>
      </c>
      <c r="B37" s="4" t="s">
        <v>41</v>
      </c>
      <c r="C37" s="5"/>
      <c r="D37" s="5"/>
      <c r="E37" s="5"/>
      <c r="F37" s="18"/>
      <c r="G37" s="18"/>
      <c r="H37" s="18"/>
      <c r="I37" s="18"/>
      <c r="J37" s="19">
        <f t="shared" si="6"/>
        <v>0</v>
      </c>
      <c r="K37" s="20">
        <f t="shared" si="7"/>
        <v>0</v>
      </c>
      <c r="L37" s="27"/>
      <c r="M37" s="27"/>
      <c r="N37" s="27"/>
      <c r="O37" s="27"/>
      <c r="P37" s="28">
        <f t="shared" si="8"/>
        <v>0</v>
      </c>
      <c r="Q37" s="29">
        <f t="shared" si="9"/>
        <v>0</v>
      </c>
      <c r="R37" s="36"/>
      <c r="S37" s="36"/>
      <c r="T37" s="36"/>
      <c r="U37" s="37"/>
      <c r="V37" s="38">
        <f t="shared" si="10"/>
        <v>100</v>
      </c>
      <c r="W37" s="51">
        <f t="shared" si="11"/>
        <v>100</v>
      </c>
    </row>
    <row r="38" spans="1:23" s="3" customFormat="1" ht="22.5" customHeight="1" x14ac:dyDescent="0.25">
      <c r="A38" s="50">
        <v>109</v>
      </c>
      <c r="B38" s="4" t="s">
        <v>113</v>
      </c>
      <c r="C38" s="5" t="s">
        <v>151</v>
      </c>
      <c r="D38" s="5" t="s">
        <v>138</v>
      </c>
      <c r="E38" s="5"/>
      <c r="F38" s="18">
        <v>3</v>
      </c>
      <c r="G38" s="18">
        <v>6</v>
      </c>
      <c r="H38" s="18">
        <v>8</v>
      </c>
      <c r="I38" s="18">
        <v>14</v>
      </c>
      <c r="J38" s="19">
        <f t="shared" si="6"/>
        <v>182</v>
      </c>
      <c r="K38" s="20">
        <f t="shared" si="7"/>
        <v>31</v>
      </c>
      <c r="L38" s="27">
        <v>9</v>
      </c>
      <c r="M38" s="27">
        <v>9</v>
      </c>
      <c r="N38" s="27">
        <v>8</v>
      </c>
      <c r="O38" s="27"/>
      <c r="P38" s="28">
        <f t="shared" si="8"/>
        <v>210</v>
      </c>
      <c r="Q38" s="29">
        <f t="shared" si="9"/>
        <v>26</v>
      </c>
      <c r="R38" s="36">
        <v>20.54</v>
      </c>
      <c r="S38" s="36"/>
      <c r="T38" s="36"/>
      <c r="U38" s="37"/>
      <c r="V38" s="38">
        <f t="shared" si="10"/>
        <v>79.460000000000008</v>
      </c>
      <c r="W38" s="51">
        <f t="shared" si="11"/>
        <v>471.46000000000004</v>
      </c>
    </row>
    <row r="39" spans="1:23" s="3" customFormat="1" ht="22.5" customHeight="1" x14ac:dyDescent="0.25">
      <c r="A39" s="50">
        <v>53</v>
      </c>
      <c r="B39" s="4" t="s">
        <v>59</v>
      </c>
      <c r="C39" s="5" t="s">
        <v>135</v>
      </c>
      <c r="D39" s="5" t="s">
        <v>138</v>
      </c>
      <c r="E39" s="5" t="s">
        <v>170</v>
      </c>
      <c r="F39" s="18">
        <v>5</v>
      </c>
      <c r="G39" s="18">
        <v>8</v>
      </c>
      <c r="H39" s="18">
        <v>8</v>
      </c>
      <c r="I39" s="18">
        <v>11</v>
      </c>
      <c r="J39" s="19">
        <f t="shared" si="6"/>
        <v>206</v>
      </c>
      <c r="K39" s="20">
        <f t="shared" si="7"/>
        <v>32</v>
      </c>
      <c r="L39" s="27">
        <v>6</v>
      </c>
      <c r="M39" s="27">
        <v>14</v>
      </c>
      <c r="N39" s="27">
        <v>3</v>
      </c>
      <c r="O39" s="27"/>
      <c r="P39" s="28">
        <f t="shared" si="8"/>
        <v>190</v>
      </c>
      <c r="Q39" s="29">
        <f t="shared" si="9"/>
        <v>23</v>
      </c>
      <c r="R39" s="36">
        <v>23.93</v>
      </c>
      <c r="S39" s="36"/>
      <c r="T39" s="36"/>
      <c r="U39" s="37"/>
      <c r="V39" s="38">
        <f t="shared" si="10"/>
        <v>76.069999999999993</v>
      </c>
      <c r="W39" s="51">
        <f t="shared" si="11"/>
        <v>472.07</v>
      </c>
    </row>
    <row r="40" spans="1:23" s="3" customFormat="1" ht="22.5" customHeight="1" x14ac:dyDescent="0.25">
      <c r="A40" s="50">
        <v>1</v>
      </c>
      <c r="B40" s="4" t="s">
        <v>128</v>
      </c>
      <c r="C40" s="5" t="s">
        <v>129</v>
      </c>
      <c r="D40" s="5" t="s">
        <v>138</v>
      </c>
      <c r="E40" s="5"/>
      <c r="F40" s="18">
        <v>4</v>
      </c>
      <c r="G40" s="18">
        <v>4</v>
      </c>
      <c r="H40" s="18">
        <v>9</v>
      </c>
      <c r="I40" s="18">
        <v>14</v>
      </c>
      <c r="J40" s="19">
        <f t="shared" si="6"/>
        <v>182</v>
      </c>
      <c r="K40" s="20">
        <f t="shared" si="7"/>
        <v>31</v>
      </c>
      <c r="L40" s="27">
        <v>12</v>
      </c>
      <c r="M40" s="27">
        <v>9</v>
      </c>
      <c r="N40" s="27">
        <v>4</v>
      </c>
      <c r="O40" s="27"/>
      <c r="P40" s="28">
        <f t="shared" si="8"/>
        <v>216</v>
      </c>
      <c r="Q40" s="29">
        <f t="shared" si="9"/>
        <v>25</v>
      </c>
      <c r="R40" s="36">
        <v>21.69</v>
      </c>
      <c r="S40" s="36"/>
      <c r="T40" s="36"/>
      <c r="U40" s="37"/>
      <c r="V40" s="38">
        <f t="shared" si="10"/>
        <v>78.31</v>
      </c>
      <c r="W40" s="51">
        <f t="shared" si="11"/>
        <v>476.31</v>
      </c>
    </row>
    <row r="41" spans="1:23" s="3" customFormat="1" ht="22.5" customHeight="1" x14ac:dyDescent="0.25">
      <c r="A41" s="50">
        <v>85</v>
      </c>
      <c r="B41" s="4" t="s">
        <v>90</v>
      </c>
      <c r="C41" s="5" t="s">
        <v>151</v>
      </c>
      <c r="D41" s="5" t="s">
        <v>138</v>
      </c>
      <c r="E41" s="5"/>
      <c r="F41" s="18">
        <v>4</v>
      </c>
      <c r="G41" s="18">
        <v>9</v>
      </c>
      <c r="H41" s="18">
        <v>8</v>
      </c>
      <c r="I41" s="18">
        <v>10</v>
      </c>
      <c r="J41" s="19">
        <f t="shared" si="6"/>
        <v>200</v>
      </c>
      <c r="K41" s="20">
        <f t="shared" si="7"/>
        <v>31</v>
      </c>
      <c r="L41" s="27">
        <v>7</v>
      </c>
      <c r="M41" s="27">
        <v>12</v>
      </c>
      <c r="N41" s="27">
        <v>5</v>
      </c>
      <c r="O41" s="27"/>
      <c r="P41" s="28">
        <f t="shared" si="8"/>
        <v>196</v>
      </c>
      <c r="Q41" s="29">
        <f t="shared" si="9"/>
        <v>24</v>
      </c>
      <c r="R41" s="36">
        <v>16.52</v>
      </c>
      <c r="S41" s="36"/>
      <c r="T41" s="36"/>
      <c r="U41" s="37"/>
      <c r="V41" s="38">
        <f t="shared" si="10"/>
        <v>83.48</v>
      </c>
      <c r="W41" s="51">
        <f t="shared" si="11"/>
        <v>479.48</v>
      </c>
    </row>
    <row r="42" spans="1:23" s="3" customFormat="1" ht="22.5" customHeight="1" x14ac:dyDescent="0.25">
      <c r="A42" s="50">
        <v>63</v>
      </c>
      <c r="B42" s="4" t="s">
        <v>69</v>
      </c>
      <c r="C42" s="5" t="s">
        <v>135</v>
      </c>
      <c r="D42" s="5" t="s">
        <v>138</v>
      </c>
      <c r="E42" s="5" t="s">
        <v>172</v>
      </c>
      <c r="F42" s="18">
        <v>3</v>
      </c>
      <c r="G42" s="18">
        <v>3</v>
      </c>
      <c r="H42" s="18">
        <v>8</v>
      </c>
      <c r="I42" s="18">
        <v>14</v>
      </c>
      <c r="J42" s="19">
        <f t="shared" si="6"/>
        <v>158</v>
      </c>
      <c r="K42" s="20">
        <f t="shared" si="7"/>
        <v>28</v>
      </c>
      <c r="L42" s="27">
        <v>17</v>
      </c>
      <c r="M42" s="27">
        <v>8</v>
      </c>
      <c r="N42" s="27">
        <v>2</v>
      </c>
      <c r="O42" s="27"/>
      <c r="P42" s="28">
        <f t="shared" si="8"/>
        <v>246</v>
      </c>
      <c r="Q42" s="29">
        <f t="shared" si="9"/>
        <v>27</v>
      </c>
      <c r="R42" s="36">
        <v>24.13</v>
      </c>
      <c r="S42" s="36"/>
      <c r="T42" s="36"/>
      <c r="U42" s="37"/>
      <c r="V42" s="38">
        <f t="shared" si="10"/>
        <v>75.87</v>
      </c>
      <c r="W42" s="51">
        <f t="shared" si="11"/>
        <v>479.87</v>
      </c>
    </row>
    <row r="43" spans="1:23" s="3" customFormat="1" ht="22.5" customHeight="1" x14ac:dyDescent="0.25">
      <c r="A43" s="50">
        <v>126</v>
      </c>
      <c r="B43" s="4" t="s">
        <v>147</v>
      </c>
      <c r="C43" s="5" t="s">
        <v>135</v>
      </c>
      <c r="D43" s="5" t="s">
        <v>138</v>
      </c>
      <c r="E43" s="5" t="s">
        <v>146</v>
      </c>
      <c r="F43" s="18">
        <v>3</v>
      </c>
      <c r="G43" s="18">
        <v>5</v>
      </c>
      <c r="H43" s="18">
        <v>8</v>
      </c>
      <c r="I43" s="18">
        <v>17</v>
      </c>
      <c r="J43" s="19">
        <f t="shared" si="6"/>
        <v>186</v>
      </c>
      <c r="K43" s="20">
        <f t="shared" si="7"/>
        <v>33</v>
      </c>
      <c r="L43" s="27">
        <v>13</v>
      </c>
      <c r="M43" s="27">
        <v>8</v>
      </c>
      <c r="N43" s="27">
        <v>3</v>
      </c>
      <c r="O43" s="27"/>
      <c r="P43" s="28">
        <f t="shared" si="8"/>
        <v>212</v>
      </c>
      <c r="Q43" s="29">
        <f t="shared" si="9"/>
        <v>24</v>
      </c>
      <c r="R43" s="36">
        <v>17.649999999999999</v>
      </c>
      <c r="S43" s="36"/>
      <c r="T43" s="36"/>
      <c r="U43" s="37"/>
      <c r="V43" s="38">
        <f t="shared" si="10"/>
        <v>82.35</v>
      </c>
      <c r="W43" s="51">
        <f t="shared" si="11"/>
        <v>480.35</v>
      </c>
    </row>
    <row r="44" spans="1:23" s="3" customFormat="1" ht="22.5" customHeight="1" x14ac:dyDescent="0.25">
      <c r="A44" s="50">
        <v>37</v>
      </c>
      <c r="B44" s="4" t="s">
        <v>43</v>
      </c>
      <c r="C44" s="5" t="s">
        <v>135</v>
      </c>
      <c r="D44" s="5" t="s">
        <v>138</v>
      </c>
      <c r="E44" s="5" t="s">
        <v>169</v>
      </c>
      <c r="F44" s="18">
        <v>3</v>
      </c>
      <c r="G44" s="18">
        <v>10</v>
      </c>
      <c r="H44" s="18">
        <v>8</v>
      </c>
      <c r="I44" s="18">
        <v>12</v>
      </c>
      <c r="J44" s="19">
        <f t="shared" si="6"/>
        <v>206</v>
      </c>
      <c r="K44" s="20">
        <f t="shared" si="7"/>
        <v>33</v>
      </c>
      <c r="L44" s="27">
        <v>9</v>
      </c>
      <c r="M44" s="27">
        <v>10</v>
      </c>
      <c r="N44" s="27">
        <v>4</v>
      </c>
      <c r="O44" s="27"/>
      <c r="P44" s="28">
        <f t="shared" si="8"/>
        <v>194</v>
      </c>
      <c r="Q44" s="29">
        <f t="shared" si="9"/>
        <v>23</v>
      </c>
      <c r="R44" s="36">
        <v>19.170000000000002</v>
      </c>
      <c r="S44" s="36"/>
      <c r="T44" s="36"/>
      <c r="U44" s="37"/>
      <c r="V44" s="38">
        <f t="shared" si="10"/>
        <v>80.83</v>
      </c>
      <c r="W44" s="51">
        <f t="shared" si="11"/>
        <v>480.83</v>
      </c>
    </row>
    <row r="45" spans="1:23" s="3" customFormat="1" ht="22.5" customHeight="1" x14ac:dyDescent="0.25">
      <c r="A45" s="50">
        <v>101</v>
      </c>
      <c r="B45" s="4" t="s">
        <v>105</v>
      </c>
      <c r="C45" s="5" t="s">
        <v>129</v>
      </c>
      <c r="D45" s="5" t="s">
        <v>138</v>
      </c>
      <c r="E45" s="5"/>
      <c r="F45" s="18">
        <v>2</v>
      </c>
      <c r="G45" s="18">
        <v>9</v>
      </c>
      <c r="H45" s="18">
        <v>9</v>
      </c>
      <c r="I45" s="18">
        <v>11</v>
      </c>
      <c r="J45" s="19">
        <f t="shared" si="6"/>
        <v>190</v>
      </c>
      <c r="K45" s="20">
        <f t="shared" si="7"/>
        <v>31</v>
      </c>
      <c r="L45" s="27">
        <v>6</v>
      </c>
      <c r="M45" s="27">
        <v>13</v>
      </c>
      <c r="N45" s="27">
        <v>9</v>
      </c>
      <c r="O45" s="27"/>
      <c r="P45" s="28">
        <f t="shared" si="8"/>
        <v>218</v>
      </c>
      <c r="Q45" s="29">
        <f t="shared" si="9"/>
        <v>28</v>
      </c>
      <c r="R45" s="36">
        <v>25.56</v>
      </c>
      <c r="S45" s="36"/>
      <c r="T45" s="36"/>
      <c r="U45" s="37"/>
      <c r="V45" s="38">
        <f t="shared" si="10"/>
        <v>74.44</v>
      </c>
      <c r="W45" s="51">
        <f t="shared" si="11"/>
        <v>482.44</v>
      </c>
    </row>
    <row r="46" spans="1:23" s="3" customFormat="1" ht="22.5" hidden="1" customHeight="1" x14ac:dyDescent="0.25">
      <c r="A46" s="50">
        <v>44</v>
      </c>
      <c r="B46" s="41" t="s">
        <v>50</v>
      </c>
      <c r="C46" s="42" t="s">
        <v>129</v>
      </c>
      <c r="D46" s="42" t="s">
        <v>139</v>
      </c>
      <c r="E46" s="42"/>
      <c r="F46" s="18"/>
      <c r="G46" s="18"/>
      <c r="H46" s="18"/>
      <c r="I46" s="18"/>
      <c r="J46" s="19">
        <f t="shared" si="6"/>
        <v>0</v>
      </c>
      <c r="K46" s="20">
        <f t="shared" si="7"/>
        <v>0</v>
      </c>
      <c r="L46" s="27"/>
      <c r="M46" s="27"/>
      <c r="N46" s="27"/>
      <c r="O46" s="27"/>
      <c r="P46" s="28">
        <f t="shared" si="8"/>
        <v>0</v>
      </c>
      <c r="Q46" s="29">
        <f t="shared" si="9"/>
        <v>0</v>
      </c>
      <c r="R46" s="36"/>
      <c r="S46" s="36"/>
      <c r="T46" s="36"/>
      <c r="U46" s="37"/>
      <c r="V46" s="38">
        <f t="shared" si="10"/>
        <v>100</v>
      </c>
      <c r="W46" s="51">
        <f t="shared" si="11"/>
        <v>100</v>
      </c>
    </row>
    <row r="47" spans="1:23" s="3" customFormat="1" ht="22.5" hidden="1" customHeight="1" x14ac:dyDescent="0.25">
      <c r="A47" s="50">
        <v>45</v>
      </c>
      <c r="B47" s="41" t="s">
        <v>51</v>
      </c>
      <c r="C47" s="42" t="s">
        <v>129</v>
      </c>
      <c r="D47" s="42"/>
      <c r="E47" s="42"/>
      <c r="F47" s="18"/>
      <c r="G47" s="18"/>
      <c r="H47" s="18"/>
      <c r="I47" s="18"/>
      <c r="J47" s="19">
        <f t="shared" si="6"/>
        <v>0</v>
      </c>
      <c r="K47" s="20">
        <f t="shared" si="7"/>
        <v>0</v>
      </c>
      <c r="L47" s="27"/>
      <c r="M47" s="27"/>
      <c r="N47" s="27"/>
      <c r="O47" s="27"/>
      <c r="P47" s="28">
        <f t="shared" si="8"/>
        <v>0</v>
      </c>
      <c r="Q47" s="29">
        <f t="shared" si="9"/>
        <v>0</v>
      </c>
      <c r="R47" s="36"/>
      <c r="S47" s="36"/>
      <c r="T47" s="36"/>
      <c r="U47" s="37"/>
      <c r="V47" s="38">
        <f t="shared" si="10"/>
        <v>100</v>
      </c>
      <c r="W47" s="51">
        <f t="shared" si="11"/>
        <v>100</v>
      </c>
    </row>
    <row r="48" spans="1:23" s="3" customFormat="1" ht="22.5" customHeight="1" x14ac:dyDescent="0.25">
      <c r="A48" s="50">
        <v>64</v>
      </c>
      <c r="B48" s="4" t="s">
        <v>70</v>
      </c>
      <c r="C48" s="5" t="s">
        <v>135</v>
      </c>
      <c r="D48" s="5" t="s">
        <v>138</v>
      </c>
      <c r="E48" s="5"/>
      <c r="F48" s="18">
        <v>4</v>
      </c>
      <c r="G48" s="18">
        <v>3</v>
      </c>
      <c r="H48" s="18">
        <v>6</v>
      </c>
      <c r="I48" s="18">
        <v>9</v>
      </c>
      <c r="J48" s="19">
        <f t="shared" si="6"/>
        <v>136</v>
      </c>
      <c r="K48" s="20">
        <f t="shared" si="7"/>
        <v>22</v>
      </c>
      <c r="L48" s="27">
        <v>21</v>
      </c>
      <c r="M48" s="27">
        <v>6</v>
      </c>
      <c r="N48" s="27">
        <v>2</v>
      </c>
      <c r="O48" s="27"/>
      <c r="P48" s="28">
        <f t="shared" si="8"/>
        <v>270</v>
      </c>
      <c r="Q48" s="29">
        <f t="shared" si="9"/>
        <v>29</v>
      </c>
      <c r="R48" s="36">
        <v>14.5</v>
      </c>
      <c r="S48" s="36"/>
      <c r="T48" s="36"/>
      <c r="U48" s="37"/>
      <c r="V48" s="38">
        <f t="shared" si="10"/>
        <v>85.5</v>
      </c>
      <c r="W48" s="51">
        <f t="shared" si="11"/>
        <v>491.5</v>
      </c>
    </row>
    <row r="49" spans="1:23" s="3" customFormat="1" ht="22.5" customHeight="1" x14ac:dyDescent="0.25">
      <c r="A49" s="50">
        <v>102</v>
      </c>
      <c r="B49" s="4" t="s">
        <v>106</v>
      </c>
      <c r="C49" s="5" t="s">
        <v>129</v>
      </c>
      <c r="D49" s="5" t="s">
        <v>139</v>
      </c>
      <c r="E49" s="5"/>
      <c r="F49" s="18">
        <v>4</v>
      </c>
      <c r="G49" s="18">
        <v>8</v>
      </c>
      <c r="H49" s="18">
        <v>6</v>
      </c>
      <c r="I49" s="18">
        <v>17</v>
      </c>
      <c r="J49" s="19">
        <f t="shared" si="6"/>
        <v>208</v>
      </c>
      <c r="K49" s="20">
        <f t="shared" si="7"/>
        <v>35</v>
      </c>
      <c r="L49" s="27">
        <v>12</v>
      </c>
      <c r="M49" s="27">
        <v>9</v>
      </c>
      <c r="N49" s="27">
        <v>2</v>
      </c>
      <c r="O49" s="27"/>
      <c r="P49" s="28">
        <f t="shared" si="8"/>
        <v>204</v>
      </c>
      <c r="Q49" s="29">
        <f t="shared" si="9"/>
        <v>23</v>
      </c>
      <c r="R49" s="36">
        <v>17.809999999999999</v>
      </c>
      <c r="S49" s="36"/>
      <c r="T49" s="36"/>
      <c r="U49" s="37"/>
      <c r="V49" s="38">
        <f t="shared" si="10"/>
        <v>82.19</v>
      </c>
      <c r="W49" s="51">
        <f t="shared" si="11"/>
        <v>494.19</v>
      </c>
    </row>
    <row r="50" spans="1:23" s="3" customFormat="1" ht="22.5" customHeight="1" x14ac:dyDescent="0.25">
      <c r="A50" s="50">
        <v>31</v>
      </c>
      <c r="B50" s="4" t="s">
        <v>37</v>
      </c>
      <c r="C50" s="5" t="s">
        <v>129</v>
      </c>
      <c r="D50" s="5" t="s">
        <v>138</v>
      </c>
      <c r="E50" s="5"/>
      <c r="F50" s="18">
        <v>4</v>
      </c>
      <c r="G50" s="18">
        <v>3</v>
      </c>
      <c r="H50" s="18">
        <v>11</v>
      </c>
      <c r="I50" s="18">
        <v>16</v>
      </c>
      <c r="J50" s="19">
        <f t="shared" si="6"/>
        <v>194</v>
      </c>
      <c r="K50" s="20">
        <f t="shared" si="7"/>
        <v>34</v>
      </c>
      <c r="L50" s="27">
        <v>20</v>
      </c>
      <c r="M50" s="27">
        <v>4</v>
      </c>
      <c r="N50" s="27"/>
      <c r="O50" s="27"/>
      <c r="P50" s="28">
        <f t="shared" si="8"/>
        <v>232</v>
      </c>
      <c r="Q50" s="29">
        <f t="shared" si="9"/>
        <v>24</v>
      </c>
      <c r="R50" s="36">
        <v>29.81</v>
      </c>
      <c r="S50" s="36"/>
      <c r="T50" s="36"/>
      <c r="U50" s="37"/>
      <c r="V50" s="38">
        <f t="shared" si="10"/>
        <v>70.19</v>
      </c>
      <c r="W50" s="51">
        <f t="shared" si="11"/>
        <v>496.19</v>
      </c>
    </row>
    <row r="51" spans="1:23" s="3" customFormat="1" ht="22.5" hidden="1" customHeight="1" x14ac:dyDescent="0.25">
      <c r="A51" s="50">
        <v>49</v>
      </c>
      <c r="B51" s="4" t="s">
        <v>55</v>
      </c>
      <c r="C51" s="5"/>
      <c r="D51" s="5"/>
      <c r="E51" s="5"/>
      <c r="F51" s="18"/>
      <c r="G51" s="18"/>
      <c r="H51" s="18"/>
      <c r="I51" s="18"/>
      <c r="J51" s="19">
        <f t="shared" si="6"/>
        <v>0</v>
      </c>
      <c r="K51" s="20">
        <f t="shared" si="7"/>
        <v>0</v>
      </c>
      <c r="L51" s="27"/>
      <c r="M51" s="27"/>
      <c r="N51" s="27"/>
      <c r="O51" s="27"/>
      <c r="P51" s="28">
        <f t="shared" si="8"/>
        <v>0</v>
      </c>
      <c r="Q51" s="29">
        <f t="shared" si="9"/>
        <v>0</v>
      </c>
      <c r="R51" s="36"/>
      <c r="S51" s="36"/>
      <c r="T51" s="36"/>
      <c r="U51" s="37"/>
      <c r="V51" s="38">
        <f t="shared" si="10"/>
        <v>100</v>
      </c>
      <c r="W51" s="51">
        <f t="shared" si="11"/>
        <v>100</v>
      </c>
    </row>
    <row r="52" spans="1:23" s="3" customFormat="1" ht="22.5" customHeight="1" x14ac:dyDescent="0.25">
      <c r="A52" s="50">
        <v>7</v>
      </c>
      <c r="B52" s="4" t="s">
        <v>137</v>
      </c>
      <c r="C52" s="5" t="s">
        <v>135</v>
      </c>
      <c r="D52" s="5" t="s">
        <v>138</v>
      </c>
      <c r="E52" s="5" t="s">
        <v>133</v>
      </c>
      <c r="F52" s="18">
        <v>3</v>
      </c>
      <c r="G52" s="18">
        <v>6</v>
      </c>
      <c r="H52" s="18">
        <v>8</v>
      </c>
      <c r="I52" s="18">
        <v>14</v>
      </c>
      <c r="J52" s="19">
        <f t="shared" si="6"/>
        <v>182</v>
      </c>
      <c r="K52" s="20">
        <f t="shared" si="7"/>
        <v>31</v>
      </c>
      <c r="L52" s="27">
        <v>18</v>
      </c>
      <c r="M52" s="27">
        <v>6</v>
      </c>
      <c r="N52" s="27">
        <v>3</v>
      </c>
      <c r="O52" s="27"/>
      <c r="P52" s="28">
        <f t="shared" si="8"/>
        <v>246</v>
      </c>
      <c r="Q52" s="29">
        <f t="shared" si="9"/>
        <v>27</v>
      </c>
      <c r="R52" s="36">
        <v>30.47</v>
      </c>
      <c r="S52" s="36"/>
      <c r="T52" s="36"/>
      <c r="U52" s="37"/>
      <c r="V52" s="38">
        <f t="shared" si="10"/>
        <v>69.53</v>
      </c>
      <c r="W52" s="51">
        <f t="shared" si="11"/>
        <v>497.53</v>
      </c>
    </row>
    <row r="53" spans="1:23" s="3" customFormat="1" ht="22.5" hidden="1" customHeight="1" x14ac:dyDescent="0.25">
      <c r="A53" s="50">
        <v>51</v>
      </c>
      <c r="B53" s="4" t="s">
        <v>57</v>
      </c>
      <c r="C53" s="5"/>
      <c r="D53" s="5"/>
      <c r="E53" s="5"/>
      <c r="F53" s="18"/>
      <c r="G53" s="18"/>
      <c r="H53" s="18"/>
      <c r="I53" s="18"/>
      <c r="J53" s="19">
        <f t="shared" si="6"/>
        <v>0</v>
      </c>
      <c r="K53" s="20">
        <f t="shared" si="7"/>
        <v>0</v>
      </c>
      <c r="L53" s="27"/>
      <c r="M53" s="27"/>
      <c r="N53" s="27"/>
      <c r="O53" s="27"/>
      <c r="P53" s="28">
        <f t="shared" si="8"/>
        <v>0</v>
      </c>
      <c r="Q53" s="29">
        <f t="shared" si="9"/>
        <v>0</v>
      </c>
      <c r="R53" s="36"/>
      <c r="S53" s="36"/>
      <c r="T53" s="36"/>
      <c r="U53" s="37"/>
      <c r="V53" s="38">
        <f t="shared" si="10"/>
        <v>100</v>
      </c>
      <c r="W53" s="51">
        <f t="shared" si="11"/>
        <v>100</v>
      </c>
    </row>
    <row r="54" spans="1:23" s="3" customFormat="1" ht="22.5" customHeight="1" x14ac:dyDescent="0.25">
      <c r="A54" s="50">
        <v>57</v>
      </c>
      <c r="B54" s="4" t="s">
        <v>63</v>
      </c>
      <c r="C54" s="5" t="s">
        <v>135</v>
      </c>
      <c r="D54" s="5" t="s">
        <v>138</v>
      </c>
      <c r="E54" s="5" t="s">
        <v>194</v>
      </c>
      <c r="F54" s="18">
        <v>4</v>
      </c>
      <c r="G54" s="18">
        <v>13</v>
      </c>
      <c r="H54" s="18">
        <v>5</v>
      </c>
      <c r="I54" s="18">
        <v>9</v>
      </c>
      <c r="J54" s="19">
        <f t="shared" si="6"/>
        <v>210</v>
      </c>
      <c r="K54" s="20">
        <f t="shared" si="7"/>
        <v>31</v>
      </c>
      <c r="L54" s="27">
        <v>11</v>
      </c>
      <c r="M54" s="27">
        <v>11</v>
      </c>
      <c r="N54" s="27">
        <v>2</v>
      </c>
      <c r="O54" s="27"/>
      <c r="P54" s="28">
        <f t="shared" si="8"/>
        <v>210</v>
      </c>
      <c r="Q54" s="29">
        <f t="shared" si="9"/>
        <v>24</v>
      </c>
      <c r="R54" s="36">
        <v>21.61</v>
      </c>
      <c r="S54" s="36"/>
      <c r="T54" s="36"/>
      <c r="U54" s="37"/>
      <c r="V54" s="38">
        <f t="shared" si="10"/>
        <v>78.39</v>
      </c>
      <c r="W54" s="51">
        <f t="shared" si="11"/>
        <v>498.39</v>
      </c>
    </row>
    <row r="55" spans="1:23" s="3" customFormat="1" ht="22.5" customHeight="1" x14ac:dyDescent="0.25">
      <c r="A55" s="50">
        <v>123</v>
      </c>
      <c r="B55" s="4" t="s">
        <v>143</v>
      </c>
      <c r="C55" s="5" t="s">
        <v>135</v>
      </c>
      <c r="D55" s="5" t="s">
        <v>138</v>
      </c>
      <c r="E55" s="5" t="s">
        <v>140</v>
      </c>
      <c r="F55" s="18">
        <v>3</v>
      </c>
      <c r="G55" s="18">
        <v>10</v>
      </c>
      <c r="H55" s="18">
        <v>9</v>
      </c>
      <c r="I55" s="18">
        <v>8</v>
      </c>
      <c r="J55" s="19">
        <f t="shared" si="6"/>
        <v>196</v>
      </c>
      <c r="K55" s="20">
        <f t="shared" si="7"/>
        <v>30</v>
      </c>
      <c r="L55" s="27">
        <v>16</v>
      </c>
      <c r="M55" s="27">
        <v>6</v>
      </c>
      <c r="N55" s="27">
        <v>3</v>
      </c>
      <c r="O55" s="27"/>
      <c r="P55" s="28">
        <f t="shared" si="8"/>
        <v>226</v>
      </c>
      <c r="Q55" s="29">
        <f t="shared" si="9"/>
        <v>25</v>
      </c>
      <c r="R55" s="36">
        <v>16.5</v>
      </c>
      <c r="S55" s="36"/>
      <c r="T55" s="36"/>
      <c r="U55" s="37"/>
      <c r="V55" s="38">
        <f t="shared" si="10"/>
        <v>83.5</v>
      </c>
      <c r="W55" s="51">
        <f t="shared" si="11"/>
        <v>505.5</v>
      </c>
    </row>
    <row r="56" spans="1:23" s="3" customFormat="1" ht="22.5" customHeight="1" x14ac:dyDescent="0.25">
      <c r="A56" s="50">
        <v>46</v>
      </c>
      <c r="B56" s="41" t="s">
        <v>52</v>
      </c>
      <c r="C56" s="42" t="s">
        <v>129</v>
      </c>
      <c r="D56" s="42" t="s">
        <v>138</v>
      </c>
      <c r="E56" s="42"/>
      <c r="F56" s="18">
        <v>4</v>
      </c>
      <c r="G56" s="18">
        <v>3</v>
      </c>
      <c r="H56" s="18">
        <v>10</v>
      </c>
      <c r="I56" s="18">
        <v>11</v>
      </c>
      <c r="J56" s="19">
        <f t="shared" si="6"/>
        <v>168</v>
      </c>
      <c r="K56" s="20">
        <f t="shared" si="7"/>
        <v>28</v>
      </c>
      <c r="L56" s="27">
        <v>15</v>
      </c>
      <c r="M56" s="27">
        <v>10</v>
      </c>
      <c r="N56" s="27">
        <v>5</v>
      </c>
      <c r="O56" s="27"/>
      <c r="P56" s="28">
        <f t="shared" si="8"/>
        <v>260</v>
      </c>
      <c r="Q56" s="29">
        <f t="shared" si="9"/>
        <v>30</v>
      </c>
      <c r="R56" s="36">
        <v>20.07</v>
      </c>
      <c r="S56" s="36"/>
      <c r="T56" s="36"/>
      <c r="U56" s="37"/>
      <c r="V56" s="38">
        <f t="shared" si="10"/>
        <v>79.930000000000007</v>
      </c>
      <c r="W56" s="51">
        <f t="shared" si="11"/>
        <v>507.93</v>
      </c>
    </row>
    <row r="57" spans="1:23" s="3" customFormat="1" ht="22.5" customHeight="1" x14ac:dyDescent="0.25">
      <c r="A57" s="50">
        <v>12</v>
      </c>
      <c r="B57" s="4" t="s">
        <v>21</v>
      </c>
      <c r="C57" s="5" t="s">
        <v>135</v>
      </c>
      <c r="D57" s="5" t="s">
        <v>138</v>
      </c>
      <c r="E57" s="5"/>
      <c r="F57" s="18">
        <v>3</v>
      </c>
      <c r="G57" s="18">
        <v>10</v>
      </c>
      <c r="H57" s="18">
        <v>14</v>
      </c>
      <c r="I57" s="18">
        <v>1</v>
      </c>
      <c r="J57" s="19">
        <f t="shared" si="6"/>
        <v>198</v>
      </c>
      <c r="K57" s="20">
        <f t="shared" si="7"/>
        <v>28</v>
      </c>
      <c r="L57" s="27">
        <v>16</v>
      </c>
      <c r="M57" s="27">
        <v>8</v>
      </c>
      <c r="N57" s="27">
        <v>1</v>
      </c>
      <c r="O57" s="27"/>
      <c r="P57" s="28">
        <f t="shared" si="8"/>
        <v>230</v>
      </c>
      <c r="Q57" s="29">
        <f t="shared" si="9"/>
        <v>25</v>
      </c>
      <c r="R57" s="36">
        <v>16.13</v>
      </c>
      <c r="S57" s="36"/>
      <c r="T57" s="36"/>
      <c r="U57" s="37"/>
      <c r="V57" s="38">
        <f t="shared" si="10"/>
        <v>83.87</v>
      </c>
      <c r="W57" s="51">
        <f t="shared" si="11"/>
        <v>511.87</v>
      </c>
    </row>
    <row r="58" spans="1:23" s="3" customFormat="1" ht="22.5" customHeight="1" x14ac:dyDescent="0.25">
      <c r="A58" s="50">
        <v>22</v>
      </c>
      <c r="B58" s="43" t="s">
        <v>171</v>
      </c>
      <c r="C58" s="40" t="s">
        <v>129</v>
      </c>
      <c r="D58" s="40" t="s">
        <v>138</v>
      </c>
      <c r="E58" s="5"/>
      <c r="F58" s="18">
        <v>6</v>
      </c>
      <c r="G58" s="18">
        <v>7</v>
      </c>
      <c r="H58" s="18">
        <v>12</v>
      </c>
      <c r="I58" s="18">
        <v>6</v>
      </c>
      <c r="J58" s="19">
        <f t="shared" si="6"/>
        <v>212</v>
      </c>
      <c r="K58" s="20">
        <f t="shared" si="7"/>
        <v>31</v>
      </c>
      <c r="L58" s="27">
        <v>13</v>
      </c>
      <c r="M58" s="27">
        <v>8</v>
      </c>
      <c r="N58" s="27">
        <v>6</v>
      </c>
      <c r="O58" s="27"/>
      <c r="P58" s="28">
        <f t="shared" si="8"/>
        <v>230</v>
      </c>
      <c r="Q58" s="29">
        <f t="shared" si="9"/>
        <v>27</v>
      </c>
      <c r="R58" s="36">
        <v>23.89</v>
      </c>
      <c r="S58" s="36"/>
      <c r="T58" s="36"/>
      <c r="U58" s="37"/>
      <c r="V58" s="38">
        <f t="shared" si="10"/>
        <v>76.11</v>
      </c>
      <c r="W58" s="51">
        <f t="shared" si="11"/>
        <v>518.11</v>
      </c>
    </row>
    <row r="59" spans="1:23" s="3" customFormat="1" ht="22.5" customHeight="1" x14ac:dyDescent="0.25">
      <c r="A59" s="50">
        <v>3</v>
      </c>
      <c r="B59" s="4" t="s">
        <v>131</v>
      </c>
      <c r="C59" s="5" t="s">
        <v>129</v>
      </c>
      <c r="D59" s="5" t="s">
        <v>138</v>
      </c>
      <c r="E59" s="5"/>
      <c r="F59" s="18">
        <v>3</v>
      </c>
      <c r="G59" s="18">
        <v>6</v>
      </c>
      <c r="H59" s="18">
        <v>8</v>
      </c>
      <c r="I59" s="18">
        <v>15</v>
      </c>
      <c r="J59" s="19">
        <f t="shared" si="6"/>
        <v>186</v>
      </c>
      <c r="K59" s="20">
        <f t="shared" si="7"/>
        <v>32</v>
      </c>
      <c r="L59" s="27">
        <v>16</v>
      </c>
      <c r="M59" s="27">
        <v>8</v>
      </c>
      <c r="N59" s="27">
        <v>6</v>
      </c>
      <c r="O59" s="27"/>
      <c r="P59" s="28">
        <f t="shared" si="8"/>
        <v>260</v>
      </c>
      <c r="Q59" s="29">
        <f t="shared" si="9"/>
        <v>30</v>
      </c>
      <c r="R59" s="36">
        <v>27.43</v>
      </c>
      <c r="S59" s="36"/>
      <c r="T59" s="36"/>
      <c r="U59" s="37"/>
      <c r="V59" s="38">
        <f t="shared" si="10"/>
        <v>72.569999999999993</v>
      </c>
      <c r="W59" s="51">
        <f t="shared" si="11"/>
        <v>518.56999999999994</v>
      </c>
    </row>
    <row r="60" spans="1:23" s="3" customFormat="1" ht="22.5" customHeight="1" x14ac:dyDescent="0.25">
      <c r="A60" s="50">
        <v>142</v>
      </c>
      <c r="B60" s="4" t="s">
        <v>167</v>
      </c>
      <c r="C60" s="5" t="s">
        <v>129</v>
      </c>
      <c r="D60" s="5" t="s">
        <v>139</v>
      </c>
      <c r="E60" s="5"/>
      <c r="F60" s="18">
        <v>4</v>
      </c>
      <c r="G60" s="18">
        <v>9</v>
      </c>
      <c r="H60" s="18">
        <v>8</v>
      </c>
      <c r="I60" s="18">
        <v>13</v>
      </c>
      <c r="J60" s="19">
        <f t="shared" si="6"/>
        <v>212</v>
      </c>
      <c r="K60" s="20">
        <f t="shared" si="7"/>
        <v>34</v>
      </c>
      <c r="L60" s="27">
        <v>12</v>
      </c>
      <c r="M60" s="27">
        <v>12</v>
      </c>
      <c r="N60" s="27">
        <v>4</v>
      </c>
      <c r="O60" s="27"/>
      <c r="P60" s="28">
        <f t="shared" si="8"/>
        <v>240</v>
      </c>
      <c r="Q60" s="29">
        <f t="shared" si="9"/>
        <v>28</v>
      </c>
      <c r="R60" s="36">
        <v>17.43</v>
      </c>
      <c r="S60" s="36"/>
      <c r="T60" s="36"/>
      <c r="U60" s="37"/>
      <c r="V60" s="38">
        <f t="shared" si="10"/>
        <v>82.57</v>
      </c>
      <c r="W60" s="51">
        <f t="shared" si="11"/>
        <v>534.56999999999994</v>
      </c>
    </row>
    <row r="61" spans="1:23" s="3" customFormat="1" ht="22.5" customHeight="1" x14ac:dyDescent="0.25">
      <c r="A61" s="50">
        <v>5</v>
      </c>
      <c r="B61" s="4" t="s">
        <v>134</v>
      </c>
      <c r="C61" s="5" t="s">
        <v>135</v>
      </c>
      <c r="D61" s="5" t="s">
        <v>138</v>
      </c>
      <c r="E61" s="5" t="s">
        <v>133</v>
      </c>
      <c r="F61" s="18">
        <v>3</v>
      </c>
      <c r="G61" s="18">
        <v>5</v>
      </c>
      <c r="H61" s="18">
        <v>7</v>
      </c>
      <c r="I61" s="18">
        <v>15</v>
      </c>
      <c r="J61" s="19">
        <f t="shared" si="6"/>
        <v>172</v>
      </c>
      <c r="K61" s="20">
        <f t="shared" si="7"/>
        <v>30</v>
      </c>
      <c r="L61" s="27">
        <v>17</v>
      </c>
      <c r="M61" s="27">
        <v>12</v>
      </c>
      <c r="N61" s="27">
        <v>3</v>
      </c>
      <c r="O61" s="27"/>
      <c r="P61" s="28">
        <f t="shared" si="8"/>
        <v>284</v>
      </c>
      <c r="Q61" s="29">
        <f t="shared" si="9"/>
        <v>32</v>
      </c>
      <c r="R61" s="36">
        <v>13.48</v>
      </c>
      <c r="S61" s="36"/>
      <c r="T61" s="36"/>
      <c r="U61" s="37"/>
      <c r="V61" s="38">
        <f t="shared" si="10"/>
        <v>86.52</v>
      </c>
      <c r="W61" s="51">
        <f t="shared" si="11"/>
        <v>542.52</v>
      </c>
    </row>
    <row r="62" spans="1:23" s="3" customFormat="1" ht="22.5" hidden="1" customHeight="1" x14ac:dyDescent="0.25">
      <c r="A62" s="50">
        <v>60</v>
      </c>
      <c r="B62" s="4" t="s">
        <v>66</v>
      </c>
      <c r="C62" s="5"/>
      <c r="D62" s="5"/>
      <c r="E62" s="5"/>
      <c r="F62" s="18"/>
      <c r="G62" s="18"/>
      <c r="H62" s="18"/>
      <c r="I62" s="18"/>
      <c r="J62" s="19">
        <f t="shared" si="6"/>
        <v>0</v>
      </c>
      <c r="K62" s="20">
        <f t="shared" si="7"/>
        <v>0</v>
      </c>
      <c r="L62" s="27"/>
      <c r="M62" s="27"/>
      <c r="N62" s="27"/>
      <c r="O62" s="27"/>
      <c r="P62" s="28">
        <f t="shared" si="8"/>
        <v>0</v>
      </c>
      <c r="Q62" s="29">
        <f t="shared" si="9"/>
        <v>0</v>
      </c>
      <c r="R62" s="36"/>
      <c r="S62" s="36"/>
      <c r="T62" s="36"/>
      <c r="U62" s="37"/>
      <c r="V62" s="38">
        <f t="shared" si="10"/>
        <v>100</v>
      </c>
      <c r="W62" s="51">
        <f t="shared" si="11"/>
        <v>100</v>
      </c>
    </row>
    <row r="63" spans="1:23" s="3" customFormat="1" ht="22.5" customHeight="1" x14ac:dyDescent="0.25">
      <c r="A63" s="50">
        <v>108</v>
      </c>
      <c r="B63" s="4" t="s">
        <v>112</v>
      </c>
      <c r="C63" s="5" t="s">
        <v>135</v>
      </c>
      <c r="D63" s="5" t="s">
        <v>138</v>
      </c>
      <c r="E63" s="5"/>
      <c r="F63" s="18">
        <v>15</v>
      </c>
      <c r="G63" s="18">
        <v>9</v>
      </c>
      <c r="H63" s="18">
        <v>2</v>
      </c>
      <c r="I63" s="18">
        <v>3</v>
      </c>
      <c r="J63" s="19">
        <f t="shared" si="6"/>
        <v>246</v>
      </c>
      <c r="K63" s="20">
        <f t="shared" si="7"/>
        <v>29</v>
      </c>
      <c r="L63" s="27">
        <v>18</v>
      </c>
      <c r="M63" s="27">
        <v>4</v>
      </c>
      <c r="N63" s="27"/>
      <c r="O63" s="27"/>
      <c r="P63" s="28">
        <f t="shared" si="8"/>
        <v>212</v>
      </c>
      <c r="Q63" s="29">
        <f t="shared" si="9"/>
        <v>22</v>
      </c>
      <c r="R63" s="36">
        <v>12.55</v>
      </c>
      <c r="S63" s="36"/>
      <c r="T63" s="36"/>
      <c r="U63" s="37"/>
      <c r="V63" s="38">
        <f t="shared" si="10"/>
        <v>87.45</v>
      </c>
      <c r="W63" s="51">
        <f t="shared" si="11"/>
        <v>545.45000000000005</v>
      </c>
    </row>
    <row r="64" spans="1:23" s="3" customFormat="1" ht="22.5" customHeight="1" x14ac:dyDescent="0.25">
      <c r="A64" s="50">
        <v>52</v>
      </c>
      <c r="B64" s="4" t="s">
        <v>58</v>
      </c>
      <c r="C64" s="5" t="s">
        <v>135</v>
      </c>
      <c r="D64" s="5" t="s">
        <v>138</v>
      </c>
      <c r="E64" s="5" t="s">
        <v>170</v>
      </c>
      <c r="F64" s="18">
        <v>9</v>
      </c>
      <c r="G64" s="18">
        <v>7</v>
      </c>
      <c r="H64" s="18">
        <v>9</v>
      </c>
      <c r="I64" s="18">
        <v>7</v>
      </c>
      <c r="J64" s="19">
        <f t="shared" si="6"/>
        <v>228</v>
      </c>
      <c r="K64" s="20">
        <f t="shared" si="7"/>
        <v>32</v>
      </c>
      <c r="L64" s="27">
        <v>19</v>
      </c>
      <c r="M64" s="27">
        <v>7</v>
      </c>
      <c r="N64" s="27"/>
      <c r="O64" s="27"/>
      <c r="P64" s="28">
        <f t="shared" si="8"/>
        <v>246</v>
      </c>
      <c r="Q64" s="29">
        <f t="shared" si="9"/>
        <v>26</v>
      </c>
      <c r="R64" s="36">
        <v>26.4</v>
      </c>
      <c r="S64" s="36"/>
      <c r="T64" s="36"/>
      <c r="U64" s="37"/>
      <c r="V64" s="38">
        <f t="shared" si="10"/>
        <v>73.599999999999994</v>
      </c>
      <c r="W64" s="51">
        <f t="shared" si="11"/>
        <v>547.6</v>
      </c>
    </row>
    <row r="65" spans="1:23" s="3" customFormat="1" ht="22.5" customHeight="1" x14ac:dyDescent="0.25">
      <c r="A65" s="50">
        <v>15</v>
      </c>
      <c r="B65" s="4" t="s">
        <v>24</v>
      </c>
      <c r="C65" s="5" t="s">
        <v>129</v>
      </c>
      <c r="D65" s="5" t="s">
        <v>139</v>
      </c>
      <c r="E65" s="5"/>
      <c r="F65" s="18">
        <v>7</v>
      </c>
      <c r="G65" s="18">
        <v>7</v>
      </c>
      <c r="H65" s="18">
        <v>8</v>
      </c>
      <c r="I65" s="18">
        <v>8</v>
      </c>
      <c r="J65" s="19">
        <f t="shared" si="6"/>
        <v>206</v>
      </c>
      <c r="K65" s="20">
        <f t="shared" si="7"/>
        <v>30</v>
      </c>
      <c r="L65" s="27">
        <v>22</v>
      </c>
      <c r="M65" s="27">
        <v>5</v>
      </c>
      <c r="N65" s="27">
        <v>1</v>
      </c>
      <c r="O65" s="27"/>
      <c r="P65" s="28">
        <f t="shared" si="8"/>
        <v>266</v>
      </c>
      <c r="Q65" s="29">
        <f t="shared" si="9"/>
        <v>28</v>
      </c>
      <c r="R65" s="36">
        <v>18.88</v>
      </c>
      <c r="S65" s="36"/>
      <c r="T65" s="36"/>
      <c r="U65" s="37"/>
      <c r="V65" s="38">
        <f t="shared" si="10"/>
        <v>81.12</v>
      </c>
      <c r="W65" s="51">
        <f t="shared" si="11"/>
        <v>553.12</v>
      </c>
    </row>
    <row r="66" spans="1:23" s="3" customFormat="1" ht="22.5" customHeight="1" x14ac:dyDescent="0.25">
      <c r="A66" s="50">
        <v>136</v>
      </c>
      <c r="B66" s="4" t="s">
        <v>161</v>
      </c>
      <c r="C66" s="5" t="s">
        <v>129</v>
      </c>
      <c r="D66" s="5" t="s">
        <v>138</v>
      </c>
      <c r="E66" s="5"/>
      <c r="F66" s="18">
        <v>7</v>
      </c>
      <c r="G66" s="18">
        <v>9</v>
      </c>
      <c r="H66" s="18">
        <v>8</v>
      </c>
      <c r="I66" s="18">
        <v>9</v>
      </c>
      <c r="J66" s="19">
        <f t="shared" si="6"/>
        <v>226</v>
      </c>
      <c r="K66" s="20">
        <f t="shared" si="7"/>
        <v>33</v>
      </c>
      <c r="L66" s="27">
        <v>20</v>
      </c>
      <c r="M66" s="27">
        <v>4</v>
      </c>
      <c r="N66" s="27">
        <v>2</v>
      </c>
      <c r="O66" s="27"/>
      <c r="P66" s="28">
        <f t="shared" si="8"/>
        <v>244</v>
      </c>
      <c r="Q66" s="29">
        <f t="shared" si="9"/>
        <v>26</v>
      </c>
      <c r="R66" s="36">
        <v>16.22</v>
      </c>
      <c r="S66" s="36"/>
      <c r="T66" s="36"/>
      <c r="U66" s="37"/>
      <c r="V66" s="38">
        <f t="shared" si="10"/>
        <v>83.78</v>
      </c>
      <c r="W66" s="51">
        <f t="shared" si="11"/>
        <v>553.78</v>
      </c>
    </row>
    <row r="67" spans="1:23" s="3" customFormat="1" ht="22.5" customHeight="1" x14ac:dyDescent="0.25">
      <c r="A67" s="50">
        <v>23</v>
      </c>
      <c r="B67" s="4" t="s">
        <v>31</v>
      </c>
      <c r="C67" s="5" t="s">
        <v>135</v>
      </c>
      <c r="D67" s="5" t="s">
        <v>138</v>
      </c>
      <c r="E67" s="5"/>
      <c r="F67" s="18">
        <v>5</v>
      </c>
      <c r="G67" s="18">
        <v>7</v>
      </c>
      <c r="H67" s="18">
        <v>8</v>
      </c>
      <c r="I67" s="18">
        <v>8</v>
      </c>
      <c r="J67" s="19">
        <f t="shared" ref="J67:J98" si="12">SUM(F67*10)+(G67*8)+(H67*6)+(I67*4)</f>
        <v>186</v>
      </c>
      <c r="K67" s="20">
        <f t="shared" ref="K67:K98" si="13">SUM(F67:I67)</f>
        <v>28</v>
      </c>
      <c r="L67" s="27">
        <v>19</v>
      </c>
      <c r="M67" s="27">
        <v>7</v>
      </c>
      <c r="N67" s="27">
        <v>7</v>
      </c>
      <c r="O67" s="27"/>
      <c r="P67" s="28">
        <f t="shared" ref="P67:P98" si="14">SUM(L67*10)+(M67*8)+(N67*6)+(O67*4)</f>
        <v>288</v>
      </c>
      <c r="Q67" s="29">
        <f t="shared" ref="Q67:Q98" si="15">SUM(L67:O67)</f>
        <v>33</v>
      </c>
      <c r="R67" s="36">
        <v>14.9</v>
      </c>
      <c r="S67" s="36"/>
      <c r="T67" s="36"/>
      <c r="U67" s="37"/>
      <c r="V67" s="38">
        <f t="shared" ref="V67:V98" si="16">100-(R67+S67+(U67*10)+(T67*20))</f>
        <v>85.1</v>
      </c>
      <c r="W67" s="51">
        <f t="shared" ref="W67:W98" si="17">J67+P67+V67</f>
        <v>559.1</v>
      </c>
    </row>
    <row r="68" spans="1:23" s="3" customFormat="1" ht="22.5" customHeight="1" x14ac:dyDescent="0.25">
      <c r="A68" s="50">
        <v>95</v>
      </c>
      <c r="B68" s="4" t="s">
        <v>99</v>
      </c>
      <c r="C68" s="5" t="s">
        <v>129</v>
      </c>
      <c r="D68" s="5" t="s">
        <v>138</v>
      </c>
      <c r="E68" s="5"/>
      <c r="F68" s="18">
        <v>9</v>
      </c>
      <c r="G68" s="18">
        <v>9</v>
      </c>
      <c r="H68" s="18">
        <v>11</v>
      </c>
      <c r="I68" s="18">
        <v>2</v>
      </c>
      <c r="J68" s="19">
        <f t="shared" si="12"/>
        <v>236</v>
      </c>
      <c r="K68" s="20">
        <f t="shared" si="13"/>
        <v>31</v>
      </c>
      <c r="L68" s="27">
        <v>20</v>
      </c>
      <c r="M68" s="27">
        <v>5</v>
      </c>
      <c r="N68" s="27"/>
      <c r="O68" s="27"/>
      <c r="P68" s="28">
        <f t="shared" si="14"/>
        <v>240</v>
      </c>
      <c r="Q68" s="29">
        <f t="shared" si="15"/>
        <v>25</v>
      </c>
      <c r="R68" s="36">
        <v>15.47</v>
      </c>
      <c r="S68" s="36"/>
      <c r="T68" s="36"/>
      <c r="U68" s="37"/>
      <c r="V68" s="38">
        <f t="shared" si="16"/>
        <v>84.53</v>
      </c>
      <c r="W68" s="51">
        <f t="shared" si="17"/>
        <v>560.53</v>
      </c>
    </row>
    <row r="69" spans="1:23" s="3" customFormat="1" ht="22.5" hidden="1" customHeight="1" x14ac:dyDescent="0.25">
      <c r="A69" s="50">
        <v>67</v>
      </c>
      <c r="B69" s="4" t="s">
        <v>73</v>
      </c>
      <c r="C69" s="5"/>
      <c r="D69" s="5"/>
      <c r="E69" s="5"/>
      <c r="F69" s="18"/>
      <c r="G69" s="18"/>
      <c r="H69" s="18"/>
      <c r="I69" s="18"/>
      <c r="J69" s="19">
        <f t="shared" si="12"/>
        <v>0</v>
      </c>
      <c r="K69" s="20">
        <f t="shared" si="13"/>
        <v>0</v>
      </c>
      <c r="L69" s="27"/>
      <c r="M69" s="27"/>
      <c r="N69" s="27"/>
      <c r="O69" s="27"/>
      <c r="P69" s="28">
        <f t="shared" si="14"/>
        <v>0</v>
      </c>
      <c r="Q69" s="29">
        <f t="shared" si="15"/>
        <v>0</v>
      </c>
      <c r="R69" s="36"/>
      <c r="S69" s="36"/>
      <c r="T69" s="36"/>
      <c r="U69" s="37"/>
      <c r="V69" s="38">
        <f t="shared" si="16"/>
        <v>100</v>
      </c>
      <c r="W69" s="51">
        <f t="shared" si="17"/>
        <v>100</v>
      </c>
    </row>
    <row r="70" spans="1:23" s="3" customFormat="1" ht="22.5" customHeight="1" x14ac:dyDescent="0.25">
      <c r="A70" s="50">
        <v>130</v>
      </c>
      <c r="B70" s="4" t="s">
        <v>154</v>
      </c>
      <c r="C70" s="5" t="s">
        <v>129</v>
      </c>
      <c r="D70" s="5" t="s">
        <v>138</v>
      </c>
      <c r="E70" s="5"/>
      <c r="F70" s="18">
        <v>5</v>
      </c>
      <c r="G70" s="18">
        <v>10</v>
      </c>
      <c r="H70" s="18">
        <v>5</v>
      </c>
      <c r="I70" s="18">
        <v>11</v>
      </c>
      <c r="J70" s="19">
        <f t="shared" si="12"/>
        <v>204</v>
      </c>
      <c r="K70" s="20">
        <f t="shared" si="13"/>
        <v>31</v>
      </c>
      <c r="L70" s="27">
        <v>20</v>
      </c>
      <c r="M70" s="27">
        <v>8</v>
      </c>
      <c r="N70" s="27">
        <v>2</v>
      </c>
      <c r="O70" s="27"/>
      <c r="P70" s="28">
        <f t="shared" si="14"/>
        <v>276</v>
      </c>
      <c r="Q70" s="29">
        <f t="shared" si="15"/>
        <v>30</v>
      </c>
      <c r="R70" s="36">
        <v>17.96</v>
      </c>
      <c r="S70" s="36"/>
      <c r="T70" s="36"/>
      <c r="U70" s="37"/>
      <c r="V70" s="38">
        <f t="shared" si="16"/>
        <v>82.039999999999992</v>
      </c>
      <c r="W70" s="51">
        <f t="shared" si="17"/>
        <v>562.04</v>
      </c>
    </row>
    <row r="71" spans="1:23" s="3" customFormat="1" ht="22.5" customHeight="1" x14ac:dyDescent="0.25">
      <c r="A71" s="50">
        <v>106</v>
      </c>
      <c r="B71" s="4" t="s">
        <v>110</v>
      </c>
      <c r="C71" s="5" t="s">
        <v>129</v>
      </c>
      <c r="D71" s="5" t="s">
        <v>138</v>
      </c>
      <c r="E71" s="5"/>
      <c r="F71" s="18">
        <v>3</v>
      </c>
      <c r="G71" s="18">
        <v>7</v>
      </c>
      <c r="H71" s="18">
        <v>8</v>
      </c>
      <c r="I71" s="18">
        <v>15</v>
      </c>
      <c r="J71" s="19">
        <f t="shared" si="12"/>
        <v>194</v>
      </c>
      <c r="K71" s="20">
        <f t="shared" si="13"/>
        <v>33</v>
      </c>
      <c r="L71" s="27">
        <v>22</v>
      </c>
      <c r="M71" s="27">
        <v>8</v>
      </c>
      <c r="N71" s="27">
        <v>1</v>
      </c>
      <c r="O71" s="27"/>
      <c r="P71" s="28">
        <f t="shared" si="14"/>
        <v>290</v>
      </c>
      <c r="Q71" s="29">
        <f t="shared" si="15"/>
        <v>31</v>
      </c>
      <c r="R71" s="36">
        <v>16.350000000000001</v>
      </c>
      <c r="S71" s="36"/>
      <c r="T71" s="36"/>
      <c r="U71" s="37"/>
      <c r="V71" s="38">
        <f t="shared" si="16"/>
        <v>83.65</v>
      </c>
      <c r="W71" s="51">
        <f t="shared" si="17"/>
        <v>567.65</v>
      </c>
    </row>
    <row r="72" spans="1:23" s="3" customFormat="1" ht="22.5" customHeight="1" x14ac:dyDescent="0.25">
      <c r="A72" s="50">
        <v>83</v>
      </c>
      <c r="B72" s="4" t="s">
        <v>34</v>
      </c>
      <c r="C72" s="5" t="s">
        <v>129</v>
      </c>
      <c r="D72" s="5" t="s">
        <v>138</v>
      </c>
      <c r="E72" s="5"/>
      <c r="F72" s="18">
        <v>4</v>
      </c>
      <c r="G72" s="18">
        <v>12</v>
      </c>
      <c r="H72" s="18">
        <v>4</v>
      </c>
      <c r="I72" s="18">
        <v>13</v>
      </c>
      <c r="J72" s="19">
        <f t="shared" si="12"/>
        <v>212</v>
      </c>
      <c r="K72" s="20">
        <f t="shared" si="13"/>
        <v>33</v>
      </c>
      <c r="L72" s="27">
        <v>24</v>
      </c>
      <c r="M72" s="27">
        <v>3</v>
      </c>
      <c r="N72" s="27">
        <v>1</v>
      </c>
      <c r="O72" s="27"/>
      <c r="P72" s="28">
        <f t="shared" si="14"/>
        <v>270</v>
      </c>
      <c r="Q72" s="29">
        <f t="shared" si="15"/>
        <v>28</v>
      </c>
      <c r="R72" s="36">
        <v>14.3</v>
      </c>
      <c r="S72" s="36"/>
      <c r="T72" s="36"/>
      <c r="U72" s="37"/>
      <c r="V72" s="38">
        <f t="shared" si="16"/>
        <v>85.7</v>
      </c>
      <c r="W72" s="51">
        <f t="shared" si="17"/>
        <v>567.70000000000005</v>
      </c>
    </row>
    <row r="73" spans="1:23" s="3" customFormat="1" ht="22.5" customHeight="1" x14ac:dyDescent="0.25">
      <c r="A73" s="50">
        <v>122</v>
      </c>
      <c r="B73" s="4" t="s">
        <v>142</v>
      </c>
      <c r="C73" s="5" t="s">
        <v>135</v>
      </c>
      <c r="D73" s="5" t="s">
        <v>138</v>
      </c>
      <c r="E73" s="5" t="s">
        <v>140</v>
      </c>
      <c r="F73" s="18">
        <v>6</v>
      </c>
      <c r="G73" s="18">
        <v>8</v>
      </c>
      <c r="H73" s="18">
        <v>8</v>
      </c>
      <c r="I73" s="18">
        <v>12</v>
      </c>
      <c r="J73" s="19">
        <f t="shared" si="12"/>
        <v>220</v>
      </c>
      <c r="K73" s="20">
        <f t="shared" si="13"/>
        <v>34</v>
      </c>
      <c r="L73" s="27">
        <v>18</v>
      </c>
      <c r="M73" s="27">
        <v>9</v>
      </c>
      <c r="N73" s="27">
        <v>3</v>
      </c>
      <c r="O73" s="27"/>
      <c r="P73" s="28">
        <f t="shared" si="14"/>
        <v>270</v>
      </c>
      <c r="Q73" s="29">
        <f t="shared" si="15"/>
        <v>30</v>
      </c>
      <c r="R73" s="36">
        <v>18.989999999999998</v>
      </c>
      <c r="S73" s="36"/>
      <c r="T73" s="36"/>
      <c r="U73" s="37"/>
      <c r="V73" s="38">
        <f t="shared" si="16"/>
        <v>81.010000000000005</v>
      </c>
      <c r="W73" s="51">
        <f t="shared" si="17"/>
        <v>571.01</v>
      </c>
    </row>
    <row r="74" spans="1:23" s="3" customFormat="1" ht="22.5" customHeight="1" x14ac:dyDescent="0.25">
      <c r="A74" s="50">
        <v>70</v>
      </c>
      <c r="B74" s="4" t="s">
        <v>76</v>
      </c>
      <c r="C74" s="5" t="s">
        <v>135</v>
      </c>
      <c r="D74" s="5" t="s">
        <v>138</v>
      </c>
      <c r="E74" s="5" t="s">
        <v>140</v>
      </c>
      <c r="F74" s="18">
        <v>6</v>
      </c>
      <c r="G74" s="18">
        <v>10</v>
      </c>
      <c r="H74" s="18">
        <v>6</v>
      </c>
      <c r="I74" s="18">
        <v>9</v>
      </c>
      <c r="J74" s="19">
        <f t="shared" si="12"/>
        <v>212</v>
      </c>
      <c r="K74" s="20">
        <f t="shared" si="13"/>
        <v>31</v>
      </c>
      <c r="L74" s="27">
        <v>15</v>
      </c>
      <c r="M74" s="27">
        <v>14</v>
      </c>
      <c r="N74" s="27">
        <v>5</v>
      </c>
      <c r="O74" s="27"/>
      <c r="P74" s="28">
        <f t="shared" si="14"/>
        <v>292</v>
      </c>
      <c r="Q74" s="29">
        <f t="shared" si="15"/>
        <v>34</v>
      </c>
      <c r="R74" s="36">
        <v>31.2</v>
      </c>
      <c r="S74" s="36"/>
      <c r="T74" s="36"/>
      <c r="U74" s="37"/>
      <c r="V74" s="38">
        <f t="shared" si="16"/>
        <v>68.8</v>
      </c>
      <c r="W74" s="51">
        <f t="shared" si="17"/>
        <v>572.79999999999995</v>
      </c>
    </row>
    <row r="75" spans="1:23" s="3" customFormat="1" ht="22.5" customHeight="1" x14ac:dyDescent="0.25">
      <c r="A75" s="50">
        <v>43</v>
      </c>
      <c r="B75" s="41" t="s">
        <v>49</v>
      </c>
      <c r="C75" s="42" t="s">
        <v>129</v>
      </c>
      <c r="D75" s="42" t="s">
        <v>139</v>
      </c>
      <c r="E75" s="42"/>
      <c r="F75" s="18">
        <v>4</v>
      </c>
      <c r="G75" s="18">
        <v>9</v>
      </c>
      <c r="H75" s="18">
        <v>9</v>
      </c>
      <c r="I75" s="18">
        <v>5</v>
      </c>
      <c r="J75" s="19">
        <f t="shared" si="12"/>
        <v>186</v>
      </c>
      <c r="K75" s="20">
        <f t="shared" si="13"/>
        <v>27</v>
      </c>
      <c r="L75" s="27">
        <v>17</v>
      </c>
      <c r="M75" s="27">
        <v>14</v>
      </c>
      <c r="N75" s="27">
        <v>4</v>
      </c>
      <c r="O75" s="27"/>
      <c r="P75" s="28">
        <f t="shared" si="14"/>
        <v>306</v>
      </c>
      <c r="Q75" s="29">
        <f t="shared" si="15"/>
        <v>35</v>
      </c>
      <c r="R75" s="36">
        <v>18.489999999999998</v>
      </c>
      <c r="S75" s="36"/>
      <c r="T75" s="36"/>
      <c r="U75" s="37"/>
      <c r="V75" s="38">
        <f t="shared" si="16"/>
        <v>81.510000000000005</v>
      </c>
      <c r="W75" s="51">
        <f t="shared" si="17"/>
        <v>573.51</v>
      </c>
    </row>
    <row r="76" spans="1:23" s="3" customFormat="1" ht="22.5" customHeight="1" x14ac:dyDescent="0.25">
      <c r="A76" s="50">
        <v>80</v>
      </c>
      <c r="B76" s="4" t="s">
        <v>86</v>
      </c>
      <c r="C76" s="5" t="s">
        <v>135</v>
      </c>
      <c r="D76" s="5" t="s">
        <v>138</v>
      </c>
      <c r="E76" s="5" t="s">
        <v>168</v>
      </c>
      <c r="F76" s="18">
        <v>7</v>
      </c>
      <c r="G76" s="18">
        <v>9</v>
      </c>
      <c r="H76" s="18">
        <v>9</v>
      </c>
      <c r="I76" s="18">
        <v>11</v>
      </c>
      <c r="J76" s="19">
        <f t="shared" si="12"/>
        <v>240</v>
      </c>
      <c r="K76" s="20">
        <f t="shared" si="13"/>
        <v>36</v>
      </c>
      <c r="L76" s="27">
        <v>19</v>
      </c>
      <c r="M76" s="27">
        <v>5</v>
      </c>
      <c r="N76" s="27">
        <v>4</v>
      </c>
      <c r="O76" s="27"/>
      <c r="P76" s="28">
        <f t="shared" si="14"/>
        <v>254</v>
      </c>
      <c r="Q76" s="29">
        <f t="shared" si="15"/>
        <v>28</v>
      </c>
      <c r="R76" s="36">
        <v>14.12</v>
      </c>
      <c r="S76" s="36"/>
      <c r="T76" s="36"/>
      <c r="U76" s="37"/>
      <c r="V76" s="38">
        <f t="shared" si="16"/>
        <v>85.88</v>
      </c>
      <c r="W76" s="51">
        <f t="shared" si="17"/>
        <v>579.88</v>
      </c>
    </row>
    <row r="77" spans="1:23" s="3" customFormat="1" ht="22.5" customHeight="1" x14ac:dyDescent="0.25">
      <c r="A77" s="50">
        <v>125</v>
      </c>
      <c r="B77" s="4" t="s">
        <v>145</v>
      </c>
      <c r="C77" s="5" t="s">
        <v>135</v>
      </c>
      <c r="D77" s="5" t="s">
        <v>138</v>
      </c>
      <c r="E77" s="5" t="s">
        <v>146</v>
      </c>
      <c r="F77" s="18">
        <v>7</v>
      </c>
      <c r="G77" s="18">
        <v>10</v>
      </c>
      <c r="H77" s="18">
        <v>7</v>
      </c>
      <c r="I77" s="18">
        <v>12</v>
      </c>
      <c r="J77" s="19">
        <f t="shared" si="12"/>
        <v>240</v>
      </c>
      <c r="K77" s="20">
        <f t="shared" si="13"/>
        <v>36</v>
      </c>
      <c r="L77" s="27">
        <v>17</v>
      </c>
      <c r="M77" s="27">
        <v>10</v>
      </c>
      <c r="N77" s="27">
        <v>3</v>
      </c>
      <c r="O77" s="27"/>
      <c r="P77" s="28">
        <f t="shared" si="14"/>
        <v>268</v>
      </c>
      <c r="Q77" s="29">
        <f t="shared" si="15"/>
        <v>30</v>
      </c>
      <c r="R77" s="36">
        <v>25.52</v>
      </c>
      <c r="S77" s="36"/>
      <c r="T77" s="36"/>
      <c r="U77" s="37"/>
      <c r="V77" s="38">
        <f t="shared" si="16"/>
        <v>74.48</v>
      </c>
      <c r="W77" s="51">
        <f t="shared" si="17"/>
        <v>582.48</v>
      </c>
    </row>
    <row r="78" spans="1:23" s="3" customFormat="1" ht="22.5" hidden="1" customHeight="1" x14ac:dyDescent="0.25">
      <c r="A78" s="50">
        <v>76</v>
      </c>
      <c r="B78" s="4" t="s">
        <v>82</v>
      </c>
      <c r="C78" s="5"/>
      <c r="D78" s="5"/>
      <c r="E78" s="5"/>
      <c r="F78" s="18"/>
      <c r="G78" s="18"/>
      <c r="H78" s="18"/>
      <c r="I78" s="18"/>
      <c r="J78" s="19">
        <f t="shared" si="12"/>
        <v>0</v>
      </c>
      <c r="K78" s="20">
        <f t="shared" si="13"/>
        <v>0</v>
      </c>
      <c r="L78" s="27"/>
      <c r="M78" s="27"/>
      <c r="N78" s="27"/>
      <c r="O78" s="27"/>
      <c r="P78" s="28">
        <f t="shared" si="14"/>
        <v>0</v>
      </c>
      <c r="Q78" s="29">
        <f t="shared" si="15"/>
        <v>0</v>
      </c>
      <c r="R78" s="36"/>
      <c r="S78" s="36"/>
      <c r="T78" s="36"/>
      <c r="U78" s="37"/>
      <c r="V78" s="38">
        <f t="shared" si="16"/>
        <v>100</v>
      </c>
      <c r="W78" s="51">
        <f t="shared" si="17"/>
        <v>100</v>
      </c>
    </row>
    <row r="79" spans="1:23" s="3" customFormat="1" ht="22.5" customHeight="1" x14ac:dyDescent="0.25">
      <c r="A79" s="50">
        <v>82</v>
      </c>
      <c r="B79" s="4" t="s">
        <v>88</v>
      </c>
      <c r="C79" s="5" t="s">
        <v>135</v>
      </c>
      <c r="D79" s="5" t="s">
        <v>138</v>
      </c>
      <c r="E79" s="5" t="s">
        <v>168</v>
      </c>
      <c r="F79" s="18">
        <v>3</v>
      </c>
      <c r="G79" s="18">
        <v>10</v>
      </c>
      <c r="H79" s="18">
        <v>12</v>
      </c>
      <c r="I79" s="18">
        <v>9</v>
      </c>
      <c r="J79" s="19">
        <f t="shared" si="12"/>
        <v>218</v>
      </c>
      <c r="K79" s="20">
        <f t="shared" si="13"/>
        <v>34</v>
      </c>
      <c r="L79" s="27">
        <v>17</v>
      </c>
      <c r="M79" s="27">
        <v>9</v>
      </c>
      <c r="N79" s="27">
        <v>8</v>
      </c>
      <c r="O79" s="27"/>
      <c r="P79" s="28">
        <f t="shared" si="14"/>
        <v>290</v>
      </c>
      <c r="Q79" s="29">
        <f t="shared" si="15"/>
        <v>34</v>
      </c>
      <c r="R79" s="36">
        <v>22.77</v>
      </c>
      <c r="S79" s="36"/>
      <c r="T79" s="36"/>
      <c r="U79" s="37"/>
      <c r="V79" s="38">
        <f t="shared" si="16"/>
        <v>77.23</v>
      </c>
      <c r="W79" s="51">
        <f t="shared" si="17"/>
        <v>585.23</v>
      </c>
    </row>
    <row r="80" spans="1:23" s="3" customFormat="1" ht="22.5" customHeight="1" x14ac:dyDescent="0.25">
      <c r="A80" s="50">
        <v>6</v>
      </c>
      <c r="B80" s="4" t="s">
        <v>136</v>
      </c>
      <c r="C80" s="5" t="s">
        <v>135</v>
      </c>
      <c r="D80" s="5" t="s">
        <v>138</v>
      </c>
      <c r="E80" s="5" t="s">
        <v>133</v>
      </c>
      <c r="F80" s="18">
        <v>5</v>
      </c>
      <c r="G80" s="18">
        <v>10</v>
      </c>
      <c r="H80" s="18">
        <v>10</v>
      </c>
      <c r="I80" s="18">
        <v>10</v>
      </c>
      <c r="J80" s="19">
        <f t="shared" si="12"/>
        <v>230</v>
      </c>
      <c r="K80" s="20">
        <f t="shared" si="13"/>
        <v>35</v>
      </c>
      <c r="L80" s="27">
        <v>18</v>
      </c>
      <c r="M80" s="27">
        <v>9</v>
      </c>
      <c r="N80" s="27">
        <v>5</v>
      </c>
      <c r="O80" s="27"/>
      <c r="P80" s="28">
        <f t="shared" si="14"/>
        <v>282</v>
      </c>
      <c r="Q80" s="29">
        <f t="shared" si="15"/>
        <v>32</v>
      </c>
      <c r="R80" s="36">
        <v>19.07</v>
      </c>
      <c r="S80" s="36"/>
      <c r="T80" s="36"/>
      <c r="U80" s="37"/>
      <c r="V80" s="38">
        <f t="shared" si="16"/>
        <v>80.930000000000007</v>
      </c>
      <c r="W80" s="51">
        <f t="shared" si="17"/>
        <v>592.93000000000006</v>
      </c>
    </row>
    <row r="81" spans="1:23" s="3" customFormat="1" ht="22.5" customHeight="1" x14ac:dyDescent="0.25">
      <c r="A81" s="50">
        <v>10</v>
      </c>
      <c r="B81" s="4" t="s">
        <v>19</v>
      </c>
      <c r="C81" s="5" t="s">
        <v>135</v>
      </c>
      <c r="D81" s="5" t="s">
        <v>138</v>
      </c>
      <c r="E81" s="5"/>
      <c r="F81" s="18">
        <v>5</v>
      </c>
      <c r="G81" s="18">
        <v>14</v>
      </c>
      <c r="H81" s="18">
        <v>10</v>
      </c>
      <c r="I81" s="18">
        <v>6</v>
      </c>
      <c r="J81" s="19">
        <f t="shared" si="12"/>
        <v>246</v>
      </c>
      <c r="K81" s="20">
        <f t="shared" si="13"/>
        <v>35</v>
      </c>
      <c r="L81" s="27">
        <v>17</v>
      </c>
      <c r="M81" s="27">
        <v>10</v>
      </c>
      <c r="N81" s="27">
        <v>2</v>
      </c>
      <c r="O81" s="27"/>
      <c r="P81" s="28">
        <f t="shared" si="14"/>
        <v>262</v>
      </c>
      <c r="Q81" s="29">
        <f t="shared" si="15"/>
        <v>29</v>
      </c>
      <c r="R81" s="36">
        <v>14.76</v>
      </c>
      <c r="S81" s="36"/>
      <c r="T81" s="36"/>
      <c r="U81" s="37"/>
      <c r="V81" s="38">
        <f t="shared" si="16"/>
        <v>85.24</v>
      </c>
      <c r="W81" s="51">
        <f t="shared" si="17"/>
        <v>593.24</v>
      </c>
    </row>
    <row r="82" spans="1:23" s="3" customFormat="1" ht="22.5" customHeight="1" x14ac:dyDescent="0.25">
      <c r="A82" s="50">
        <v>29</v>
      </c>
      <c r="B82" s="4" t="s">
        <v>150</v>
      </c>
      <c r="C82" s="5" t="s">
        <v>151</v>
      </c>
      <c r="D82" s="5" t="s">
        <v>138</v>
      </c>
      <c r="E82" s="5"/>
      <c r="F82" s="18">
        <v>4</v>
      </c>
      <c r="G82" s="18">
        <v>12</v>
      </c>
      <c r="H82" s="18">
        <v>7</v>
      </c>
      <c r="I82" s="18">
        <v>13</v>
      </c>
      <c r="J82" s="19">
        <f t="shared" si="12"/>
        <v>230</v>
      </c>
      <c r="K82" s="20">
        <f t="shared" si="13"/>
        <v>36</v>
      </c>
      <c r="L82" s="27">
        <v>17</v>
      </c>
      <c r="M82" s="27">
        <v>12</v>
      </c>
      <c r="N82" s="27">
        <v>3</v>
      </c>
      <c r="O82" s="27"/>
      <c r="P82" s="28">
        <f t="shared" si="14"/>
        <v>284</v>
      </c>
      <c r="Q82" s="29">
        <f t="shared" si="15"/>
        <v>32</v>
      </c>
      <c r="R82" s="36">
        <v>18.39</v>
      </c>
      <c r="S82" s="36"/>
      <c r="T82" s="36"/>
      <c r="U82" s="37"/>
      <c r="V82" s="38">
        <f t="shared" si="16"/>
        <v>81.61</v>
      </c>
      <c r="W82" s="51">
        <f t="shared" si="17"/>
        <v>595.61</v>
      </c>
    </row>
    <row r="83" spans="1:23" s="3" customFormat="1" ht="22.5" customHeight="1" x14ac:dyDescent="0.25">
      <c r="A83" s="50">
        <v>58</v>
      </c>
      <c r="B83" s="4" t="s">
        <v>64</v>
      </c>
      <c r="C83" s="5" t="s">
        <v>129</v>
      </c>
      <c r="D83" s="5" t="s">
        <v>138</v>
      </c>
      <c r="E83" s="5"/>
      <c r="F83" s="18">
        <v>4</v>
      </c>
      <c r="G83" s="18">
        <v>7</v>
      </c>
      <c r="H83" s="18">
        <v>13</v>
      </c>
      <c r="I83" s="18">
        <v>11</v>
      </c>
      <c r="J83" s="19">
        <f t="shared" si="12"/>
        <v>218</v>
      </c>
      <c r="K83" s="20">
        <f t="shared" si="13"/>
        <v>35</v>
      </c>
      <c r="L83" s="27">
        <v>12</v>
      </c>
      <c r="M83" s="27">
        <v>22</v>
      </c>
      <c r="N83" s="27">
        <v>1</v>
      </c>
      <c r="O83" s="27"/>
      <c r="P83" s="28">
        <f t="shared" si="14"/>
        <v>302</v>
      </c>
      <c r="Q83" s="29">
        <f t="shared" si="15"/>
        <v>35</v>
      </c>
      <c r="R83" s="36">
        <v>21.7</v>
      </c>
      <c r="S83" s="36"/>
      <c r="T83" s="36"/>
      <c r="U83" s="37"/>
      <c r="V83" s="38">
        <f t="shared" si="16"/>
        <v>78.3</v>
      </c>
      <c r="W83" s="51">
        <f t="shared" si="17"/>
        <v>598.29999999999995</v>
      </c>
    </row>
    <row r="84" spans="1:23" s="3" customFormat="1" ht="22.5" customHeight="1" x14ac:dyDescent="0.25">
      <c r="A84" s="50">
        <v>87</v>
      </c>
      <c r="B84" s="4" t="s">
        <v>82</v>
      </c>
      <c r="C84" s="5" t="s">
        <v>129</v>
      </c>
      <c r="D84" s="5" t="s">
        <v>139</v>
      </c>
      <c r="E84" s="5"/>
      <c r="F84" s="18">
        <v>8</v>
      </c>
      <c r="G84" s="18">
        <v>9</v>
      </c>
      <c r="H84" s="18">
        <v>14</v>
      </c>
      <c r="I84" s="18">
        <v>5</v>
      </c>
      <c r="J84" s="19">
        <f t="shared" si="12"/>
        <v>256</v>
      </c>
      <c r="K84" s="20">
        <f t="shared" si="13"/>
        <v>36</v>
      </c>
      <c r="L84" s="27">
        <v>14</v>
      </c>
      <c r="M84" s="27">
        <v>13</v>
      </c>
      <c r="N84" s="27">
        <v>3</v>
      </c>
      <c r="O84" s="27"/>
      <c r="P84" s="28">
        <f t="shared" si="14"/>
        <v>262</v>
      </c>
      <c r="Q84" s="29">
        <f t="shared" si="15"/>
        <v>30</v>
      </c>
      <c r="R84" s="36">
        <v>18.809999999999999</v>
      </c>
      <c r="S84" s="36"/>
      <c r="T84" s="36"/>
      <c r="U84" s="37"/>
      <c r="V84" s="38">
        <f t="shared" si="16"/>
        <v>81.19</v>
      </c>
      <c r="W84" s="51">
        <f t="shared" si="17"/>
        <v>599.19000000000005</v>
      </c>
    </row>
    <row r="85" spans="1:23" s="3" customFormat="1" ht="22.5" customHeight="1" x14ac:dyDescent="0.25">
      <c r="A85" s="50">
        <v>79</v>
      </c>
      <c r="B85" s="4" t="s">
        <v>85</v>
      </c>
      <c r="C85" s="5" t="s">
        <v>135</v>
      </c>
      <c r="D85" s="5" t="s">
        <v>138</v>
      </c>
      <c r="E85" s="5" t="s">
        <v>133</v>
      </c>
      <c r="F85" s="18">
        <v>5</v>
      </c>
      <c r="G85" s="18">
        <v>10</v>
      </c>
      <c r="H85" s="18">
        <v>9</v>
      </c>
      <c r="I85" s="18">
        <v>12</v>
      </c>
      <c r="J85" s="19">
        <f t="shared" si="12"/>
        <v>232</v>
      </c>
      <c r="K85" s="20">
        <f t="shared" si="13"/>
        <v>36</v>
      </c>
      <c r="L85" s="27">
        <v>17</v>
      </c>
      <c r="M85" s="27">
        <v>8</v>
      </c>
      <c r="N85" s="27">
        <v>9</v>
      </c>
      <c r="O85" s="27"/>
      <c r="P85" s="28">
        <f t="shared" si="14"/>
        <v>288</v>
      </c>
      <c r="Q85" s="29">
        <f t="shared" si="15"/>
        <v>34</v>
      </c>
      <c r="R85" s="36">
        <v>18.71</v>
      </c>
      <c r="S85" s="36"/>
      <c r="T85" s="36"/>
      <c r="U85" s="37"/>
      <c r="V85" s="38">
        <f t="shared" si="16"/>
        <v>81.289999999999992</v>
      </c>
      <c r="W85" s="51">
        <f t="shared" si="17"/>
        <v>601.29</v>
      </c>
    </row>
    <row r="86" spans="1:23" s="3" customFormat="1" ht="22.5" customHeight="1" x14ac:dyDescent="0.25">
      <c r="A86" s="50">
        <v>128</v>
      </c>
      <c r="B86" s="4" t="s">
        <v>149</v>
      </c>
      <c r="C86" s="5" t="s">
        <v>135</v>
      </c>
      <c r="D86" s="5" t="s">
        <v>138</v>
      </c>
      <c r="E86" s="5" t="s">
        <v>146</v>
      </c>
      <c r="F86" s="18">
        <v>4</v>
      </c>
      <c r="G86" s="18">
        <v>11</v>
      </c>
      <c r="H86" s="18">
        <v>13</v>
      </c>
      <c r="I86" s="18">
        <v>5</v>
      </c>
      <c r="J86" s="19">
        <f t="shared" si="12"/>
        <v>226</v>
      </c>
      <c r="K86" s="20">
        <f t="shared" si="13"/>
        <v>33</v>
      </c>
      <c r="L86" s="27">
        <v>15</v>
      </c>
      <c r="M86" s="27">
        <v>14</v>
      </c>
      <c r="N86" s="27">
        <v>6</v>
      </c>
      <c r="O86" s="27"/>
      <c r="P86" s="28">
        <f t="shared" si="14"/>
        <v>298</v>
      </c>
      <c r="Q86" s="29">
        <f t="shared" si="15"/>
        <v>35</v>
      </c>
      <c r="R86" s="36">
        <v>21.05</v>
      </c>
      <c r="S86" s="36"/>
      <c r="T86" s="36"/>
      <c r="U86" s="37"/>
      <c r="V86" s="38">
        <f t="shared" si="16"/>
        <v>78.95</v>
      </c>
      <c r="W86" s="51">
        <f t="shared" si="17"/>
        <v>602.95000000000005</v>
      </c>
    </row>
    <row r="87" spans="1:23" s="3" customFormat="1" ht="22.5" customHeight="1" x14ac:dyDescent="0.25">
      <c r="A87" s="50">
        <v>103</v>
      </c>
      <c r="B87" s="4" t="s">
        <v>107</v>
      </c>
      <c r="C87" s="5" t="s">
        <v>135</v>
      </c>
      <c r="D87" s="5" t="s">
        <v>138</v>
      </c>
      <c r="E87" s="5" t="s">
        <v>170</v>
      </c>
      <c r="F87" s="18">
        <v>5</v>
      </c>
      <c r="G87" s="18">
        <v>8</v>
      </c>
      <c r="H87" s="18">
        <v>12</v>
      </c>
      <c r="I87" s="18">
        <v>8</v>
      </c>
      <c r="J87" s="19">
        <f t="shared" si="12"/>
        <v>218</v>
      </c>
      <c r="K87" s="20">
        <f t="shared" si="13"/>
        <v>33</v>
      </c>
      <c r="L87" s="27">
        <v>19</v>
      </c>
      <c r="M87" s="27">
        <v>12</v>
      </c>
      <c r="N87" s="27"/>
      <c r="O87" s="27">
        <v>4</v>
      </c>
      <c r="P87" s="28">
        <f t="shared" si="14"/>
        <v>302</v>
      </c>
      <c r="Q87" s="29">
        <f t="shared" si="15"/>
        <v>35</v>
      </c>
      <c r="R87" s="36">
        <v>15.74</v>
      </c>
      <c r="S87" s="36"/>
      <c r="T87" s="36"/>
      <c r="U87" s="37"/>
      <c r="V87" s="38">
        <f t="shared" si="16"/>
        <v>84.26</v>
      </c>
      <c r="W87" s="51">
        <f t="shared" si="17"/>
        <v>604.26</v>
      </c>
    </row>
    <row r="88" spans="1:23" s="3" customFormat="1" ht="22.5" customHeight="1" x14ac:dyDescent="0.25">
      <c r="A88" s="50">
        <v>81</v>
      </c>
      <c r="B88" s="4" t="s">
        <v>87</v>
      </c>
      <c r="C88" s="5" t="s">
        <v>129</v>
      </c>
      <c r="D88" s="5" t="s">
        <v>138</v>
      </c>
      <c r="E88" s="5"/>
      <c r="F88" s="18">
        <v>6</v>
      </c>
      <c r="G88" s="18">
        <v>20</v>
      </c>
      <c r="H88" s="18">
        <v>4</v>
      </c>
      <c r="I88" s="18">
        <v>3</v>
      </c>
      <c r="J88" s="19">
        <f t="shared" si="12"/>
        <v>256</v>
      </c>
      <c r="K88" s="20">
        <f t="shared" si="13"/>
        <v>33</v>
      </c>
      <c r="L88" s="27">
        <v>12</v>
      </c>
      <c r="M88" s="27">
        <v>16</v>
      </c>
      <c r="N88" s="27">
        <v>3</v>
      </c>
      <c r="O88" s="27"/>
      <c r="P88" s="28">
        <f t="shared" si="14"/>
        <v>266</v>
      </c>
      <c r="Q88" s="29">
        <f t="shared" si="15"/>
        <v>31</v>
      </c>
      <c r="R88" s="36">
        <v>14.68</v>
      </c>
      <c r="S88" s="36"/>
      <c r="T88" s="36"/>
      <c r="U88" s="37"/>
      <c r="V88" s="38">
        <f t="shared" si="16"/>
        <v>85.32</v>
      </c>
      <c r="W88" s="51">
        <f t="shared" si="17"/>
        <v>607.31999999999994</v>
      </c>
    </row>
    <row r="89" spans="1:23" s="3" customFormat="1" ht="22.5" customHeight="1" x14ac:dyDescent="0.25">
      <c r="A89" s="50">
        <v>91</v>
      </c>
      <c r="B89" s="4" t="s">
        <v>95</v>
      </c>
      <c r="C89" s="5" t="s">
        <v>129</v>
      </c>
      <c r="D89" s="5" t="s">
        <v>138</v>
      </c>
      <c r="E89" s="5"/>
      <c r="F89" s="18">
        <v>6</v>
      </c>
      <c r="G89" s="18">
        <v>8</v>
      </c>
      <c r="H89" s="18">
        <v>10</v>
      </c>
      <c r="I89" s="18">
        <v>9</v>
      </c>
      <c r="J89" s="19">
        <f t="shared" si="12"/>
        <v>220</v>
      </c>
      <c r="K89" s="20">
        <f t="shared" si="13"/>
        <v>33</v>
      </c>
      <c r="L89" s="27">
        <v>24</v>
      </c>
      <c r="M89" s="27">
        <v>7</v>
      </c>
      <c r="N89" s="27">
        <v>3</v>
      </c>
      <c r="O89" s="27"/>
      <c r="P89" s="28">
        <f t="shared" si="14"/>
        <v>314</v>
      </c>
      <c r="Q89" s="29">
        <f t="shared" si="15"/>
        <v>34</v>
      </c>
      <c r="R89" s="36">
        <v>18.940000000000001</v>
      </c>
      <c r="S89" s="36"/>
      <c r="T89" s="36"/>
      <c r="U89" s="37"/>
      <c r="V89" s="38">
        <f t="shared" si="16"/>
        <v>81.06</v>
      </c>
      <c r="W89" s="51">
        <f t="shared" si="17"/>
        <v>615.05999999999995</v>
      </c>
    </row>
    <row r="90" spans="1:23" s="3" customFormat="1" ht="22.5" customHeight="1" x14ac:dyDescent="0.25">
      <c r="A90" s="50">
        <v>99</v>
      </c>
      <c r="B90" s="4" t="s">
        <v>103</v>
      </c>
      <c r="C90" s="5" t="s">
        <v>135</v>
      </c>
      <c r="D90" s="5" t="s">
        <v>139</v>
      </c>
      <c r="E90" s="5"/>
      <c r="F90" s="18">
        <v>4</v>
      </c>
      <c r="G90" s="18">
        <v>9</v>
      </c>
      <c r="H90" s="18">
        <v>9</v>
      </c>
      <c r="I90" s="18">
        <v>14</v>
      </c>
      <c r="J90" s="19">
        <f t="shared" si="12"/>
        <v>222</v>
      </c>
      <c r="K90" s="20">
        <f t="shared" si="13"/>
        <v>36</v>
      </c>
      <c r="L90" s="27">
        <v>25</v>
      </c>
      <c r="M90" s="27">
        <v>5</v>
      </c>
      <c r="N90" s="27">
        <v>4</v>
      </c>
      <c r="O90" s="27"/>
      <c r="P90" s="28">
        <f t="shared" si="14"/>
        <v>314</v>
      </c>
      <c r="Q90" s="29">
        <f t="shared" si="15"/>
        <v>34</v>
      </c>
      <c r="R90" s="36">
        <v>17.23</v>
      </c>
      <c r="S90" s="36"/>
      <c r="T90" s="36"/>
      <c r="U90" s="37"/>
      <c r="V90" s="38">
        <f t="shared" si="16"/>
        <v>82.77</v>
      </c>
      <c r="W90" s="51">
        <f t="shared" si="17"/>
        <v>618.77</v>
      </c>
    </row>
    <row r="91" spans="1:23" s="3" customFormat="1" ht="22.5" customHeight="1" x14ac:dyDescent="0.25">
      <c r="A91" s="50">
        <v>48</v>
      </c>
      <c r="B91" s="4" t="s">
        <v>54</v>
      </c>
      <c r="C91" s="5" t="s">
        <v>135</v>
      </c>
      <c r="D91" s="5" t="s">
        <v>138</v>
      </c>
      <c r="E91" s="5"/>
      <c r="F91" s="18">
        <v>9</v>
      </c>
      <c r="G91" s="18">
        <v>12</v>
      </c>
      <c r="H91" s="18">
        <v>4</v>
      </c>
      <c r="I91" s="18">
        <v>10</v>
      </c>
      <c r="J91" s="19">
        <f t="shared" si="12"/>
        <v>250</v>
      </c>
      <c r="K91" s="20">
        <f t="shared" si="13"/>
        <v>35</v>
      </c>
      <c r="L91" s="27">
        <v>19</v>
      </c>
      <c r="M91" s="27">
        <v>10</v>
      </c>
      <c r="N91" s="27">
        <v>2</v>
      </c>
      <c r="O91" s="27"/>
      <c r="P91" s="28">
        <f t="shared" si="14"/>
        <v>282</v>
      </c>
      <c r="Q91" s="29">
        <f t="shared" si="15"/>
        <v>31</v>
      </c>
      <c r="R91" s="36">
        <v>13.16</v>
      </c>
      <c r="S91" s="36"/>
      <c r="T91" s="36"/>
      <c r="U91" s="37"/>
      <c r="V91" s="38">
        <f t="shared" si="16"/>
        <v>86.84</v>
      </c>
      <c r="W91" s="51">
        <f t="shared" si="17"/>
        <v>618.84</v>
      </c>
    </row>
    <row r="92" spans="1:23" s="3" customFormat="1" ht="22.5" customHeight="1" x14ac:dyDescent="0.25">
      <c r="A92" s="50">
        <v>84</v>
      </c>
      <c r="B92" s="4" t="s">
        <v>89</v>
      </c>
      <c r="C92" s="5" t="s">
        <v>129</v>
      </c>
      <c r="D92" s="5" t="s">
        <v>139</v>
      </c>
      <c r="E92" s="5"/>
      <c r="F92" s="18">
        <v>5</v>
      </c>
      <c r="G92" s="18">
        <v>10</v>
      </c>
      <c r="H92" s="18">
        <v>11</v>
      </c>
      <c r="I92" s="18">
        <v>9</v>
      </c>
      <c r="J92" s="19">
        <f t="shared" si="12"/>
        <v>232</v>
      </c>
      <c r="K92" s="20">
        <f t="shared" si="13"/>
        <v>35</v>
      </c>
      <c r="L92" s="27">
        <v>20</v>
      </c>
      <c r="M92" s="27">
        <v>12</v>
      </c>
      <c r="N92" s="27">
        <v>2</v>
      </c>
      <c r="O92" s="27"/>
      <c r="P92" s="28">
        <f t="shared" si="14"/>
        <v>308</v>
      </c>
      <c r="Q92" s="29">
        <f t="shared" si="15"/>
        <v>34</v>
      </c>
      <c r="R92" s="36">
        <v>18.63</v>
      </c>
      <c r="S92" s="36"/>
      <c r="T92" s="36"/>
      <c r="U92" s="37"/>
      <c r="V92" s="38">
        <f t="shared" si="16"/>
        <v>81.37</v>
      </c>
      <c r="W92" s="51">
        <f t="shared" si="17"/>
        <v>621.37</v>
      </c>
    </row>
    <row r="93" spans="1:23" s="3" customFormat="1" ht="22.5" customHeight="1" x14ac:dyDescent="0.25">
      <c r="A93" s="50">
        <v>110</v>
      </c>
      <c r="B93" s="4" t="s">
        <v>114</v>
      </c>
      <c r="C93" s="5" t="s">
        <v>129</v>
      </c>
      <c r="D93" s="5" t="s">
        <v>139</v>
      </c>
      <c r="E93" s="5"/>
      <c r="F93" s="18">
        <v>6</v>
      </c>
      <c r="G93" s="18">
        <v>11</v>
      </c>
      <c r="H93" s="18">
        <v>10</v>
      </c>
      <c r="I93" s="18">
        <v>9</v>
      </c>
      <c r="J93" s="19">
        <f t="shared" si="12"/>
        <v>244</v>
      </c>
      <c r="K93" s="20">
        <f t="shared" si="13"/>
        <v>36</v>
      </c>
      <c r="L93" s="27">
        <v>20</v>
      </c>
      <c r="M93" s="27">
        <v>9</v>
      </c>
      <c r="N93" s="27">
        <v>3</v>
      </c>
      <c r="O93" s="27"/>
      <c r="P93" s="28">
        <f t="shared" si="14"/>
        <v>290</v>
      </c>
      <c r="Q93" s="29">
        <f t="shared" si="15"/>
        <v>32</v>
      </c>
      <c r="R93" s="36">
        <v>11.41</v>
      </c>
      <c r="S93" s="36"/>
      <c r="T93" s="36"/>
      <c r="U93" s="37"/>
      <c r="V93" s="38">
        <f t="shared" si="16"/>
        <v>88.59</v>
      </c>
      <c r="W93" s="51">
        <f t="shared" si="17"/>
        <v>622.59</v>
      </c>
    </row>
    <row r="94" spans="1:23" s="3" customFormat="1" ht="22.5" customHeight="1" x14ac:dyDescent="0.25">
      <c r="A94" s="50">
        <v>41</v>
      </c>
      <c r="B94" s="4" t="s">
        <v>47</v>
      </c>
      <c r="C94" s="5" t="s">
        <v>129</v>
      </c>
      <c r="D94" s="5" t="s">
        <v>139</v>
      </c>
      <c r="E94" s="5"/>
      <c r="F94" s="18">
        <v>8</v>
      </c>
      <c r="G94" s="18">
        <v>11</v>
      </c>
      <c r="H94" s="18">
        <v>9</v>
      </c>
      <c r="I94" s="18">
        <v>8</v>
      </c>
      <c r="J94" s="19">
        <f t="shared" si="12"/>
        <v>254</v>
      </c>
      <c r="K94" s="20">
        <f t="shared" si="13"/>
        <v>36</v>
      </c>
      <c r="L94" s="27">
        <v>21</v>
      </c>
      <c r="M94" s="27">
        <v>8</v>
      </c>
      <c r="N94" s="27">
        <v>2</v>
      </c>
      <c r="O94" s="27"/>
      <c r="P94" s="28">
        <f t="shared" si="14"/>
        <v>286</v>
      </c>
      <c r="Q94" s="29">
        <f t="shared" si="15"/>
        <v>31</v>
      </c>
      <c r="R94" s="36">
        <v>14.58</v>
      </c>
      <c r="S94" s="36"/>
      <c r="T94" s="36"/>
      <c r="U94" s="37"/>
      <c r="V94" s="38">
        <f t="shared" si="16"/>
        <v>85.42</v>
      </c>
      <c r="W94" s="51">
        <f t="shared" si="17"/>
        <v>625.41999999999996</v>
      </c>
    </row>
    <row r="95" spans="1:23" s="3" customFormat="1" ht="22.5" customHeight="1" x14ac:dyDescent="0.25">
      <c r="A95" s="50">
        <v>36</v>
      </c>
      <c r="B95" s="4" t="s">
        <v>42</v>
      </c>
      <c r="C95" s="5" t="s">
        <v>135</v>
      </c>
      <c r="D95" s="5" t="s">
        <v>138</v>
      </c>
      <c r="E95" s="5" t="s">
        <v>169</v>
      </c>
      <c r="F95" s="18">
        <v>8</v>
      </c>
      <c r="G95" s="18">
        <v>11</v>
      </c>
      <c r="H95" s="18">
        <v>7</v>
      </c>
      <c r="I95" s="18">
        <v>8</v>
      </c>
      <c r="J95" s="19">
        <f t="shared" si="12"/>
        <v>242</v>
      </c>
      <c r="K95" s="20">
        <f t="shared" si="13"/>
        <v>34</v>
      </c>
      <c r="L95" s="27">
        <v>24</v>
      </c>
      <c r="M95" s="27">
        <v>7</v>
      </c>
      <c r="N95" s="27"/>
      <c r="O95" s="27"/>
      <c r="P95" s="28">
        <f t="shared" si="14"/>
        <v>296</v>
      </c>
      <c r="Q95" s="29">
        <f t="shared" si="15"/>
        <v>31</v>
      </c>
      <c r="R95" s="36">
        <v>12.11</v>
      </c>
      <c r="S95" s="36"/>
      <c r="T95" s="36"/>
      <c r="U95" s="37"/>
      <c r="V95" s="38">
        <f t="shared" si="16"/>
        <v>87.89</v>
      </c>
      <c r="W95" s="51">
        <f t="shared" si="17"/>
        <v>625.89</v>
      </c>
    </row>
    <row r="96" spans="1:23" s="3" customFormat="1" ht="22.5" customHeight="1" x14ac:dyDescent="0.25">
      <c r="A96" s="50">
        <v>13</v>
      </c>
      <c r="B96" s="4" t="s">
        <v>22</v>
      </c>
      <c r="C96" s="5" t="s">
        <v>135</v>
      </c>
      <c r="D96" s="5" t="s">
        <v>138</v>
      </c>
      <c r="E96" s="5"/>
      <c r="F96" s="18">
        <v>12</v>
      </c>
      <c r="G96" s="18">
        <v>12</v>
      </c>
      <c r="H96" s="18">
        <v>7</v>
      </c>
      <c r="I96" s="18">
        <v>5</v>
      </c>
      <c r="J96" s="19">
        <f t="shared" si="12"/>
        <v>278</v>
      </c>
      <c r="K96" s="20">
        <f t="shared" si="13"/>
        <v>36</v>
      </c>
      <c r="L96" s="27">
        <v>17</v>
      </c>
      <c r="M96" s="27">
        <v>8</v>
      </c>
      <c r="N96" s="27">
        <v>5</v>
      </c>
      <c r="O96" s="27"/>
      <c r="P96" s="28">
        <f t="shared" si="14"/>
        <v>264</v>
      </c>
      <c r="Q96" s="29">
        <f t="shared" si="15"/>
        <v>30</v>
      </c>
      <c r="R96" s="36">
        <v>12.65</v>
      </c>
      <c r="S96" s="36"/>
      <c r="T96" s="36"/>
      <c r="U96" s="37"/>
      <c r="V96" s="38">
        <f t="shared" si="16"/>
        <v>87.35</v>
      </c>
      <c r="W96" s="51">
        <f t="shared" si="17"/>
        <v>629.35</v>
      </c>
    </row>
    <row r="97" spans="1:23" s="3" customFormat="1" ht="22.5" customHeight="1" x14ac:dyDescent="0.25">
      <c r="A97" s="50">
        <v>21</v>
      </c>
      <c r="B97" s="4" t="s">
        <v>30</v>
      </c>
      <c r="C97" s="5" t="s">
        <v>135</v>
      </c>
      <c r="D97" s="5" t="s">
        <v>138</v>
      </c>
      <c r="E97" s="5"/>
      <c r="F97" s="18">
        <v>11</v>
      </c>
      <c r="G97" s="18">
        <v>13</v>
      </c>
      <c r="H97" s="18">
        <v>4</v>
      </c>
      <c r="I97" s="18">
        <v>6</v>
      </c>
      <c r="J97" s="19">
        <f t="shared" si="12"/>
        <v>262</v>
      </c>
      <c r="K97" s="20">
        <f t="shared" si="13"/>
        <v>34</v>
      </c>
      <c r="L97" s="27">
        <v>21</v>
      </c>
      <c r="M97" s="27">
        <v>7</v>
      </c>
      <c r="N97" s="27">
        <v>3</v>
      </c>
      <c r="O97" s="27"/>
      <c r="P97" s="28">
        <f t="shared" si="14"/>
        <v>284</v>
      </c>
      <c r="Q97" s="29">
        <f t="shared" si="15"/>
        <v>31</v>
      </c>
      <c r="R97" s="36">
        <v>14.37</v>
      </c>
      <c r="S97" s="36"/>
      <c r="T97" s="36"/>
      <c r="U97" s="37"/>
      <c r="V97" s="38">
        <f t="shared" si="16"/>
        <v>85.63</v>
      </c>
      <c r="W97" s="51">
        <f t="shared" si="17"/>
        <v>631.63</v>
      </c>
    </row>
    <row r="98" spans="1:23" s="3" customFormat="1" ht="22.5" customHeight="1" x14ac:dyDescent="0.25">
      <c r="A98" s="50">
        <v>100</v>
      </c>
      <c r="B98" s="4" t="s">
        <v>104</v>
      </c>
      <c r="C98" s="5" t="s">
        <v>129</v>
      </c>
      <c r="D98" s="5" t="s">
        <v>178</v>
      </c>
      <c r="E98" s="5"/>
      <c r="F98" s="18">
        <v>10</v>
      </c>
      <c r="G98" s="18">
        <v>10</v>
      </c>
      <c r="H98" s="18">
        <v>7</v>
      </c>
      <c r="I98" s="18">
        <v>3</v>
      </c>
      <c r="J98" s="19">
        <f t="shared" si="12"/>
        <v>234</v>
      </c>
      <c r="K98" s="20">
        <f t="shared" si="13"/>
        <v>30</v>
      </c>
      <c r="L98" s="27">
        <v>27</v>
      </c>
      <c r="M98" s="27">
        <v>4</v>
      </c>
      <c r="N98" s="27">
        <v>1</v>
      </c>
      <c r="O98" s="27"/>
      <c r="P98" s="28">
        <f t="shared" si="14"/>
        <v>308</v>
      </c>
      <c r="Q98" s="29">
        <f t="shared" si="15"/>
        <v>32</v>
      </c>
      <c r="R98" s="36">
        <v>8.18</v>
      </c>
      <c r="S98" s="36"/>
      <c r="T98" s="36"/>
      <c r="U98" s="37"/>
      <c r="V98" s="38">
        <f t="shared" si="16"/>
        <v>91.82</v>
      </c>
      <c r="W98" s="51">
        <f t="shared" si="17"/>
        <v>633.81999999999994</v>
      </c>
    </row>
    <row r="99" spans="1:23" s="3" customFormat="1" ht="22.5" customHeight="1" x14ac:dyDescent="0.25">
      <c r="A99" s="50">
        <v>124</v>
      </c>
      <c r="B99" s="4" t="s">
        <v>144</v>
      </c>
      <c r="C99" s="5" t="s">
        <v>135</v>
      </c>
      <c r="D99" s="5" t="s">
        <v>138</v>
      </c>
      <c r="E99" s="5" t="s">
        <v>140</v>
      </c>
      <c r="F99" s="18">
        <v>5</v>
      </c>
      <c r="G99" s="18">
        <v>14</v>
      </c>
      <c r="H99" s="18">
        <v>4</v>
      </c>
      <c r="I99" s="18">
        <v>13</v>
      </c>
      <c r="J99" s="19">
        <f t="shared" ref="J99:J130" si="18">SUM(F99*10)+(G99*8)+(H99*6)+(I99*4)</f>
        <v>238</v>
      </c>
      <c r="K99" s="20">
        <f t="shared" ref="K99:K130" si="19">SUM(F99:I99)</f>
        <v>36</v>
      </c>
      <c r="L99" s="27">
        <v>24</v>
      </c>
      <c r="M99" s="27">
        <v>8</v>
      </c>
      <c r="N99" s="27">
        <v>1</v>
      </c>
      <c r="O99" s="27"/>
      <c r="P99" s="28">
        <f t="shared" ref="P99:P130" si="20">SUM(L99*10)+(M99*8)+(N99*6)+(O99*4)</f>
        <v>310</v>
      </c>
      <c r="Q99" s="29">
        <f t="shared" ref="Q99:Q130" si="21">SUM(L99:O99)</f>
        <v>33</v>
      </c>
      <c r="R99" s="36">
        <v>13.57</v>
      </c>
      <c r="S99" s="36"/>
      <c r="T99" s="36"/>
      <c r="U99" s="37"/>
      <c r="V99" s="38">
        <f t="shared" ref="V99:V130" si="22">100-(R99+S99+(U99*10)+(T99*20))</f>
        <v>86.43</v>
      </c>
      <c r="W99" s="51">
        <f t="shared" ref="W99:W130" si="23">J99+P99+V99</f>
        <v>634.43000000000006</v>
      </c>
    </row>
    <row r="100" spans="1:23" s="3" customFormat="1" ht="22.5" customHeight="1" x14ac:dyDescent="0.25">
      <c r="A100" s="50">
        <v>120</v>
      </c>
      <c r="B100" s="4" t="s">
        <v>123</v>
      </c>
      <c r="C100" s="5" t="s">
        <v>135</v>
      </c>
      <c r="D100" s="5" t="s">
        <v>138</v>
      </c>
      <c r="E100" s="5" t="s">
        <v>170</v>
      </c>
      <c r="F100" s="18">
        <v>7</v>
      </c>
      <c r="G100" s="18">
        <v>13</v>
      </c>
      <c r="H100" s="18">
        <v>11</v>
      </c>
      <c r="I100" s="18">
        <v>4</v>
      </c>
      <c r="J100" s="19">
        <f t="shared" si="18"/>
        <v>256</v>
      </c>
      <c r="K100" s="20">
        <f t="shared" si="19"/>
        <v>35</v>
      </c>
      <c r="L100" s="27">
        <v>20</v>
      </c>
      <c r="M100" s="27">
        <v>8</v>
      </c>
      <c r="N100" s="27">
        <v>4</v>
      </c>
      <c r="O100" s="27"/>
      <c r="P100" s="28">
        <f t="shared" si="20"/>
        <v>288</v>
      </c>
      <c r="Q100" s="29">
        <f t="shared" si="21"/>
        <v>32</v>
      </c>
      <c r="R100" s="36">
        <v>9.4700000000000006</v>
      </c>
      <c r="S100" s="36"/>
      <c r="T100" s="36"/>
      <c r="U100" s="37"/>
      <c r="V100" s="38">
        <f t="shared" si="22"/>
        <v>90.53</v>
      </c>
      <c r="W100" s="51">
        <f t="shared" si="23"/>
        <v>634.53</v>
      </c>
    </row>
    <row r="101" spans="1:23" s="3" customFormat="1" ht="22.5" customHeight="1" x14ac:dyDescent="0.25">
      <c r="A101" s="50">
        <v>132</v>
      </c>
      <c r="B101" s="4" t="s">
        <v>156</v>
      </c>
      <c r="C101" s="5" t="s">
        <v>129</v>
      </c>
      <c r="D101" s="5" t="s">
        <v>139</v>
      </c>
      <c r="E101" s="5"/>
      <c r="F101" s="18">
        <v>4</v>
      </c>
      <c r="G101" s="18">
        <v>16</v>
      </c>
      <c r="H101" s="18">
        <v>8</v>
      </c>
      <c r="I101" s="18">
        <v>6</v>
      </c>
      <c r="J101" s="19">
        <f t="shared" si="18"/>
        <v>240</v>
      </c>
      <c r="K101" s="20">
        <f t="shared" si="19"/>
        <v>34</v>
      </c>
      <c r="L101" s="27">
        <v>24</v>
      </c>
      <c r="M101" s="27">
        <v>7</v>
      </c>
      <c r="N101" s="27">
        <v>3</v>
      </c>
      <c r="O101" s="27"/>
      <c r="P101" s="28">
        <f t="shared" si="20"/>
        <v>314</v>
      </c>
      <c r="Q101" s="29">
        <f t="shared" si="21"/>
        <v>34</v>
      </c>
      <c r="R101" s="36">
        <v>17.079999999999998</v>
      </c>
      <c r="S101" s="36"/>
      <c r="T101" s="36"/>
      <c r="U101" s="37"/>
      <c r="V101" s="38">
        <f t="shared" si="22"/>
        <v>82.92</v>
      </c>
      <c r="W101" s="51">
        <f t="shared" si="23"/>
        <v>636.91999999999996</v>
      </c>
    </row>
    <row r="102" spans="1:23" s="3" customFormat="1" ht="22.5" customHeight="1" x14ac:dyDescent="0.25">
      <c r="A102" s="50">
        <v>131</v>
      </c>
      <c r="B102" s="4" t="s">
        <v>155</v>
      </c>
      <c r="C102" s="5" t="s">
        <v>129</v>
      </c>
      <c r="D102" s="5" t="s">
        <v>138</v>
      </c>
      <c r="E102" s="5"/>
      <c r="F102" s="18">
        <v>26</v>
      </c>
      <c r="G102" s="18">
        <v>9</v>
      </c>
      <c r="H102" s="18"/>
      <c r="I102" s="18"/>
      <c r="J102" s="19">
        <f t="shared" si="18"/>
        <v>332</v>
      </c>
      <c r="K102" s="20">
        <f t="shared" si="19"/>
        <v>35</v>
      </c>
      <c r="L102" s="27">
        <v>2</v>
      </c>
      <c r="M102" s="27">
        <v>11</v>
      </c>
      <c r="N102" s="27">
        <v>10</v>
      </c>
      <c r="O102" s="27">
        <v>12</v>
      </c>
      <c r="P102" s="28">
        <f t="shared" si="20"/>
        <v>216</v>
      </c>
      <c r="Q102" s="29">
        <f t="shared" si="21"/>
        <v>35</v>
      </c>
      <c r="R102" s="36">
        <v>10.67</v>
      </c>
      <c r="S102" s="36"/>
      <c r="T102" s="36"/>
      <c r="U102" s="37"/>
      <c r="V102" s="38">
        <f t="shared" si="22"/>
        <v>89.33</v>
      </c>
      <c r="W102" s="51">
        <f t="shared" si="23"/>
        <v>637.33000000000004</v>
      </c>
    </row>
    <row r="103" spans="1:23" s="3" customFormat="1" ht="22.5" customHeight="1" x14ac:dyDescent="0.25">
      <c r="A103" s="50">
        <v>55</v>
      </c>
      <c r="B103" s="4" t="s">
        <v>61</v>
      </c>
      <c r="C103" s="5" t="s">
        <v>135</v>
      </c>
      <c r="D103" s="5" t="s">
        <v>138</v>
      </c>
      <c r="E103" s="5" t="s">
        <v>194</v>
      </c>
      <c r="F103" s="18">
        <v>6</v>
      </c>
      <c r="G103" s="18">
        <v>13</v>
      </c>
      <c r="H103" s="18">
        <v>7</v>
      </c>
      <c r="I103" s="18">
        <v>10</v>
      </c>
      <c r="J103" s="19">
        <f t="shared" si="18"/>
        <v>246</v>
      </c>
      <c r="K103" s="20">
        <f t="shared" si="19"/>
        <v>36</v>
      </c>
      <c r="L103" s="27">
        <v>25</v>
      </c>
      <c r="M103" s="27">
        <v>6</v>
      </c>
      <c r="N103" s="27">
        <v>1</v>
      </c>
      <c r="O103" s="27"/>
      <c r="P103" s="28">
        <f t="shared" si="20"/>
        <v>304</v>
      </c>
      <c r="Q103" s="29">
        <f t="shared" si="21"/>
        <v>32</v>
      </c>
      <c r="R103" s="36">
        <v>11.65</v>
      </c>
      <c r="S103" s="36"/>
      <c r="T103" s="36"/>
      <c r="U103" s="37"/>
      <c r="V103" s="38">
        <f t="shared" si="22"/>
        <v>88.35</v>
      </c>
      <c r="W103" s="51">
        <f t="shared" si="23"/>
        <v>638.35</v>
      </c>
    </row>
    <row r="104" spans="1:23" s="3" customFormat="1" ht="22.5" customHeight="1" x14ac:dyDescent="0.25">
      <c r="A104" s="50">
        <v>75</v>
      </c>
      <c r="B104" s="4" t="s">
        <v>81</v>
      </c>
      <c r="C104" s="5" t="s">
        <v>135</v>
      </c>
      <c r="D104" s="5" t="s">
        <v>138</v>
      </c>
      <c r="E104" s="5" t="s">
        <v>168</v>
      </c>
      <c r="F104" s="18">
        <v>12</v>
      </c>
      <c r="G104" s="18">
        <v>13</v>
      </c>
      <c r="H104" s="18">
        <v>6</v>
      </c>
      <c r="I104" s="18">
        <v>5</v>
      </c>
      <c r="J104" s="19">
        <f t="shared" si="18"/>
        <v>280</v>
      </c>
      <c r="K104" s="20">
        <f t="shared" si="19"/>
        <v>36</v>
      </c>
      <c r="L104" s="27">
        <v>14</v>
      </c>
      <c r="M104" s="27">
        <v>12</v>
      </c>
      <c r="N104" s="27">
        <v>6</v>
      </c>
      <c r="O104" s="27"/>
      <c r="P104" s="28">
        <f t="shared" si="20"/>
        <v>272</v>
      </c>
      <c r="Q104" s="29">
        <f t="shared" si="21"/>
        <v>32</v>
      </c>
      <c r="R104" s="36">
        <v>13.26</v>
      </c>
      <c r="S104" s="36"/>
      <c r="T104" s="36"/>
      <c r="U104" s="37"/>
      <c r="V104" s="38">
        <f t="shared" si="22"/>
        <v>86.74</v>
      </c>
      <c r="W104" s="51">
        <f t="shared" si="23"/>
        <v>638.74</v>
      </c>
    </row>
    <row r="105" spans="1:23" s="3" customFormat="1" ht="22.5" customHeight="1" x14ac:dyDescent="0.25">
      <c r="A105" s="50">
        <v>42</v>
      </c>
      <c r="B105" s="4" t="s">
        <v>48</v>
      </c>
      <c r="C105" s="5" t="s">
        <v>129</v>
      </c>
      <c r="D105" s="5" t="s">
        <v>139</v>
      </c>
      <c r="E105" s="5"/>
      <c r="F105" s="18">
        <v>7</v>
      </c>
      <c r="G105" s="18">
        <v>9</v>
      </c>
      <c r="H105" s="18">
        <v>13</v>
      </c>
      <c r="I105" s="18">
        <v>7</v>
      </c>
      <c r="J105" s="19">
        <f t="shared" si="18"/>
        <v>248</v>
      </c>
      <c r="K105" s="20">
        <f t="shared" si="19"/>
        <v>36</v>
      </c>
      <c r="L105" s="27">
        <v>22</v>
      </c>
      <c r="M105" s="27">
        <v>9</v>
      </c>
      <c r="N105" s="27">
        <v>3</v>
      </c>
      <c r="O105" s="27"/>
      <c r="P105" s="28">
        <f t="shared" si="20"/>
        <v>310</v>
      </c>
      <c r="Q105" s="29">
        <f t="shared" si="21"/>
        <v>34</v>
      </c>
      <c r="R105" s="36">
        <v>18.350000000000001</v>
      </c>
      <c r="S105" s="36"/>
      <c r="T105" s="36"/>
      <c r="U105" s="37"/>
      <c r="V105" s="38">
        <f t="shared" si="22"/>
        <v>81.650000000000006</v>
      </c>
      <c r="W105" s="51">
        <f t="shared" si="23"/>
        <v>639.65</v>
      </c>
    </row>
    <row r="106" spans="1:23" s="3" customFormat="1" ht="22.5" customHeight="1" x14ac:dyDescent="0.25">
      <c r="A106" s="50">
        <v>98</v>
      </c>
      <c r="B106" s="4" t="s">
        <v>102</v>
      </c>
      <c r="C106" s="5" t="s">
        <v>129</v>
      </c>
      <c r="D106" s="5" t="s">
        <v>139</v>
      </c>
      <c r="E106" s="5"/>
      <c r="F106" s="18">
        <v>13</v>
      </c>
      <c r="G106" s="18">
        <v>10</v>
      </c>
      <c r="H106" s="18">
        <v>5</v>
      </c>
      <c r="I106" s="18">
        <v>6</v>
      </c>
      <c r="J106" s="19">
        <f t="shared" si="18"/>
        <v>264</v>
      </c>
      <c r="K106" s="20">
        <f t="shared" si="19"/>
        <v>34</v>
      </c>
      <c r="L106" s="27">
        <v>25</v>
      </c>
      <c r="M106" s="27">
        <v>5</v>
      </c>
      <c r="N106" s="27">
        <v>2</v>
      </c>
      <c r="O106" s="27"/>
      <c r="P106" s="28">
        <f t="shared" si="20"/>
        <v>302</v>
      </c>
      <c r="Q106" s="29">
        <f t="shared" si="21"/>
        <v>32</v>
      </c>
      <c r="R106" s="36">
        <v>18.440000000000001</v>
      </c>
      <c r="S106" s="36"/>
      <c r="T106" s="36"/>
      <c r="U106" s="37"/>
      <c r="V106" s="38">
        <f t="shared" si="22"/>
        <v>81.56</v>
      </c>
      <c r="W106" s="51">
        <f t="shared" si="23"/>
        <v>647.55999999999995</v>
      </c>
    </row>
    <row r="107" spans="1:23" s="3" customFormat="1" ht="22.5" customHeight="1" x14ac:dyDescent="0.25">
      <c r="A107" s="50">
        <v>33</v>
      </c>
      <c r="B107" s="4" t="s">
        <v>39</v>
      </c>
      <c r="C107" s="5" t="s">
        <v>129</v>
      </c>
      <c r="D107" s="5" t="s">
        <v>127</v>
      </c>
      <c r="E107" s="5"/>
      <c r="F107" s="18">
        <v>8</v>
      </c>
      <c r="G107" s="18">
        <v>13</v>
      </c>
      <c r="H107" s="18">
        <v>12</v>
      </c>
      <c r="I107" s="18">
        <v>3</v>
      </c>
      <c r="J107" s="19">
        <f t="shared" si="18"/>
        <v>268</v>
      </c>
      <c r="K107" s="20">
        <f t="shared" si="19"/>
        <v>36</v>
      </c>
      <c r="L107" s="27">
        <v>19</v>
      </c>
      <c r="M107" s="27">
        <v>12</v>
      </c>
      <c r="N107" s="27">
        <v>3</v>
      </c>
      <c r="O107" s="27"/>
      <c r="P107" s="28">
        <f t="shared" si="20"/>
        <v>304</v>
      </c>
      <c r="Q107" s="29">
        <f t="shared" si="21"/>
        <v>34</v>
      </c>
      <c r="R107" s="36">
        <v>23.7</v>
      </c>
      <c r="S107" s="36"/>
      <c r="T107" s="36"/>
      <c r="U107" s="37"/>
      <c r="V107" s="38">
        <f t="shared" si="22"/>
        <v>76.3</v>
      </c>
      <c r="W107" s="51">
        <f t="shared" si="23"/>
        <v>648.29999999999995</v>
      </c>
    </row>
    <row r="108" spans="1:23" s="3" customFormat="1" ht="22.5" customHeight="1" x14ac:dyDescent="0.25">
      <c r="A108" s="50">
        <v>39</v>
      </c>
      <c r="B108" s="4" t="s">
        <v>45</v>
      </c>
      <c r="C108" s="5" t="s">
        <v>135</v>
      </c>
      <c r="D108" s="5" t="s">
        <v>138</v>
      </c>
      <c r="E108" s="5" t="s">
        <v>169</v>
      </c>
      <c r="F108" s="18">
        <v>7</v>
      </c>
      <c r="G108" s="18">
        <v>12</v>
      </c>
      <c r="H108" s="18">
        <v>11</v>
      </c>
      <c r="I108" s="18">
        <v>5</v>
      </c>
      <c r="J108" s="19">
        <f t="shared" si="18"/>
        <v>252</v>
      </c>
      <c r="K108" s="20">
        <f t="shared" si="19"/>
        <v>35</v>
      </c>
      <c r="L108" s="27">
        <v>27</v>
      </c>
      <c r="M108" s="27">
        <v>4</v>
      </c>
      <c r="N108" s="27">
        <v>1</v>
      </c>
      <c r="O108" s="27"/>
      <c r="P108" s="28">
        <f t="shared" si="20"/>
        <v>308</v>
      </c>
      <c r="Q108" s="29">
        <f t="shared" si="21"/>
        <v>32</v>
      </c>
      <c r="R108" s="36">
        <v>11.14</v>
      </c>
      <c r="S108" s="36"/>
      <c r="T108" s="36"/>
      <c r="U108" s="37"/>
      <c r="V108" s="38">
        <f t="shared" si="22"/>
        <v>88.86</v>
      </c>
      <c r="W108" s="51">
        <f t="shared" si="23"/>
        <v>648.86</v>
      </c>
    </row>
    <row r="109" spans="1:23" s="3" customFormat="1" ht="22.5" customHeight="1" x14ac:dyDescent="0.25">
      <c r="A109" s="50">
        <v>73</v>
      </c>
      <c r="B109" s="4" t="s">
        <v>79</v>
      </c>
      <c r="C109" s="5" t="s">
        <v>129</v>
      </c>
      <c r="D109" s="5" t="s">
        <v>138</v>
      </c>
      <c r="E109" s="5"/>
      <c r="F109" s="18">
        <v>11</v>
      </c>
      <c r="G109" s="18">
        <v>4</v>
      </c>
      <c r="H109" s="18">
        <v>10</v>
      </c>
      <c r="I109" s="18">
        <v>8</v>
      </c>
      <c r="J109" s="19">
        <f t="shared" si="18"/>
        <v>234</v>
      </c>
      <c r="K109" s="20">
        <f t="shared" si="19"/>
        <v>33</v>
      </c>
      <c r="L109" s="27">
        <v>24</v>
      </c>
      <c r="M109" s="27">
        <v>11</v>
      </c>
      <c r="N109" s="27">
        <v>1</v>
      </c>
      <c r="O109" s="27"/>
      <c r="P109" s="28">
        <f t="shared" si="20"/>
        <v>334</v>
      </c>
      <c r="Q109" s="29">
        <f t="shared" si="21"/>
        <v>36</v>
      </c>
      <c r="R109" s="36">
        <v>17.16</v>
      </c>
      <c r="S109" s="36"/>
      <c r="T109" s="36"/>
      <c r="U109" s="37"/>
      <c r="V109" s="38">
        <f t="shared" si="22"/>
        <v>82.84</v>
      </c>
      <c r="W109" s="51">
        <f t="shared" si="23"/>
        <v>650.84</v>
      </c>
    </row>
    <row r="110" spans="1:23" s="3" customFormat="1" ht="22.5" customHeight="1" x14ac:dyDescent="0.25">
      <c r="A110" s="50">
        <v>66</v>
      </c>
      <c r="B110" s="4" t="s">
        <v>72</v>
      </c>
      <c r="C110" s="5" t="s">
        <v>135</v>
      </c>
      <c r="D110" s="5" t="s">
        <v>138</v>
      </c>
      <c r="E110" s="5"/>
      <c r="F110" s="18">
        <v>24</v>
      </c>
      <c r="G110" s="18">
        <v>5</v>
      </c>
      <c r="H110" s="18">
        <v>1</v>
      </c>
      <c r="I110" s="18"/>
      <c r="J110" s="19">
        <f t="shared" si="18"/>
        <v>286</v>
      </c>
      <c r="K110" s="20">
        <f t="shared" si="19"/>
        <v>30</v>
      </c>
      <c r="L110" s="27">
        <v>11</v>
      </c>
      <c r="M110" s="27">
        <v>12</v>
      </c>
      <c r="N110" s="27">
        <v>11</v>
      </c>
      <c r="O110" s="27">
        <v>2</v>
      </c>
      <c r="P110" s="28">
        <f t="shared" si="20"/>
        <v>280</v>
      </c>
      <c r="Q110" s="29">
        <f t="shared" si="21"/>
        <v>36</v>
      </c>
      <c r="R110" s="36">
        <v>14.57</v>
      </c>
      <c r="S110" s="36"/>
      <c r="T110" s="36"/>
      <c r="U110" s="37"/>
      <c r="V110" s="38">
        <f t="shared" si="22"/>
        <v>85.43</v>
      </c>
      <c r="W110" s="51">
        <f t="shared" si="23"/>
        <v>651.43000000000006</v>
      </c>
    </row>
    <row r="111" spans="1:23" s="3" customFormat="1" ht="22.5" customHeight="1" x14ac:dyDescent="0.25">
      <c r="A111" s="50">
        <v>47</v>
      </c>
      <c r="B111" s="4" t="s">
        <v>53</v>
      </c>
      <c r="C111" s="5" t="s">
        <v>135</v>
      </c>
      <c r="D111" s="5" t="s">
        <v>138</v>
      </c>
      <c r="E111" s="5" t="s">
        <v>159</v>
      </c>
      <c r="F111" s="18">
        <v>5</v>
      </c>
      <c r="G111" s="18">
        <v>19</v>
      </c>
      <c r="H111" s="18">
        <v>7</v>
      </c>
      <c r="I111" s="18">
        <v>5</v>
      </c>
      <c r="J111" s="19">
        <f t="shared" si="18"/>
        <v>264</v>
      </c>
      <c r="K111" s="20">
        <f t="shared" si="19"/>
        <v>36</v>
      </c>
      <c r="L111" s="27">
        <v>25</v>
      </c>
      <c r="M111" s="27">
        <v>5</v>
      </c>
      <c r="N111" s="27">
        <v>2</v>
      </c>
      <c r="O111" s="27"/>
      <c r="P111" s="28">
        <f t="shared" si="20"/>
        <v>302</v>
      </c>
      <c r="Q111" s="29">
        <f t="shared" si="21"/>
        <v>32</v>
      </c>
      <c r="R111" s="36">
        <v>11.83</v>
      </c>
      <c r="S111" s="36"/>
      <c r="T111" s="36"/>
      <c r="U111" s="37"/>
      <c r="V111" s="38">
        <f t="shared" si="22"/>
        <v>88.17</v>
      </c>
      <c r="W111" s="51">
        <f t="shared" si="23"/>
        <v>654.16999999999996</v>
      </c>
    </row>
    <row r="112" spans="1:23" s="3" customFormat="1" ht="22.5" customHeight="1" x14ac:dyDescent="0.25">
      <c r="A112" s="50">
        <v>38</v>
      </c>
      <c r="B112" s="4" t="s">
        <v>44</v>
      </c>
      <c r="C112" s="5" t="s">
        <v>135</v>
      </c>
      <c r="D112" s="5" t="s">
        <v>138</v>
      </c>
      <c r="E112" s="5" t="s">
        <v>169</v>
      </c>
      <c r="F112" s="18">
        <v>6</v>
      </c>
      <c r="G112" s="18">
        <v>15</v>
      </c>
      <c r="H112" s="18">
        <v>10</v>
      </c>
      <c r="I112" s="18">
        <v>5</v>
      </c>
      <c r="J112" s="19">
        <f t="shared" si="18"/>
        <v>260</v>
      </c>
      <c r="K112" s="20">
        <f t="shared" si="19"/>
        <v>36</v>
      </c>
      <c r="L112" s="27">
        <v>23</v>
      </c>
      <c r="M112" s="27">
        <v>8</v>
      </c>
      <c r="N112" s="27">
        <v>2</v>
      </c>
      <c r="O112" s="27"/>
      <c r="P112" s="28">
        <f t="shared" si="20"/>
        <v>306</v>
      </c>
      <c r="Q112" s="29">
        <f t="shared" si="21"/>
        <v>33</v>
      </c>
      <c r="R112" s="36">
        <v>11.18</v>
      </c>
      <c r="S112" s="36"/>
      <c r="T112" s="36"/>
      <c r="U112" s="37"/>
      <c r="V112" s="38">
        <f t="shared" si="22"/>
        <v>88.82</v>
      </c>
      <c r="W112" s="51">
        <f t="shared" si="23"/>
        <v>654.81999999999994</v>
      </c>
    </row>
    <row r="113" spans="1:23" s="3" customFormat="1" ht="22.5" hidden="1" customHeight="1" x14ac:dyDescent="0.25">
      <c r="A113" s="50">
        <v>111</v>
      </c>
      <c r="B113" s="4" t="s">
        <v>115</v>
      </c>
      <c r="C113" s="5"/>
      <c r="D113" s="5"/>
      <c r="E113" s="5"/>
      <c r="F113" s="18"/>
      <c r="G113" s="18"/>
      <c r="H113" s="18"/>
      <c r="I113" s="18"/>
      <c r="J113" s="19">
        <f t="shared" si="18"/>
        <v>0</v>
      </c>
      <c r="K113" s="20">
        <f t="shared" si="19"/>
        <v>0</v>
      </c>
      <c r="L113" s="27"/>
      <c r="M113" s="27"/>
      <c r="N113" s="27"/>
      <c r="O113" s="27"/>
      <c r="P113" s="28">
        <f t="shared" si="20"/>
        <v>0</v>
      </c>
      <c r="Q113" s="29">
        <f t="shared" si="21"/>
        <v>0</v>
      </c>
      <c r="R113" s="36"/>
      <c r="S113" s="36"/>
      <c r="T113" s="36"/>
      <c r="U113" s="37"/>
      <c r="V113" s="38">
        <f t="shared" si="22"/>
        <v>100</v>
      </c>
      <c r="W113" s="51">
        <f t="shared" si="23"/>
        <v>100</v>
      </c>
    </row>
    <row r="114" spans="1:23" s="3" customFormat="1" ht="22.5" hidden="1" customHeight="1" x14ac:dyDescent="0.25">
      <c r="A114" s="50">
        <v>112</v>
      </c>
      <c r="B114" s="4" t="s">
        <v>116</v>
      </c>
      <c r="C114" s="5"/>
      <c r="D114" s="5"/>
      <c r="E114" s="5"/>
      <c r="F114" s="18"/>
      <c r="G114" s="18"/>
      <c r="H114" s="18"/>
      <c r="I114" s="18"/>
      <c r="J114" s="19">
        <f t="shared" si="18"/>
        <v>0</v>
      </c>
      <c r="K114" s="20">
        <f t="shared" si="19"/>
        <v>0</v>
      </c>
      <c r="L114" s="27"/>
      <c r="M114" s="27"/>
      <c r="N114" s="27"/>
      <c r="O114" s="27"/>
      <c r="P114" s="28">
        <f t="shared" si="20"/>
        <v>0</v>
      </c>
      <c r="Q114" s="29">
        <f t="shared" si="21"/>
        <v>0</v>
      </c>
      <c r="R114" s="36"/>
      <c r="S114" s="36"/>
      <c r="T114" s="36"/>
      <c r="U114" s="37"/>
      <c r="V114" s="38">
        <f t="shared" si="22"/>
        <v>100</v>
      </c>
      <c r="W114" s="51">
        <f t="shared" si="23"/>
        <v>100</v>
      </c>
    </row>
    <row r="115" spans="1:23" s="3" customFormat="1" ht="22.5" customHeight="1" x14ac:dyDescent="0.25">
      <c r="A115" s="50">
        <v>89</v>
      </c>
      <c r="B115" s="4" t="s">
        <v>93</v>
      </c>
      <c r="C115" s="5" t="s">
        <v>129</v>
      </c>
      <c r="D115" s="5" t="s">
        <v>138</v>
      </c>
      <c r="E115" s="5"/>
      <c r="F115" s="18">
        <v>9</v>
      </c>
      <c r="G115" s="18">
        <v>11</v>
      </c>
      <c r="H115" s="18">
        <v>10</v>
      </c>
      <c r="I115" s="18">
        <v>4</v>
      </c>
      <c r="J115" s="19">
        <f t="shared" si="18"/>
        <v>254</v>
      </c>
      <c r="K115" s="20">
        <f t="shared" si="19"/>
        <v>34</v>
      </c>
      <c r="L115" s="27">
        <v>24</v>
      </c>
      <c r="M115" s="27">
        <v>9</v>
      </c>
      <c r="N115" s="27">
        <v>1</v>
      </c>
      <c r="O115" s="27"/>
      <c r="P115" s="28">
        <f t="shared" si="20"/>
        <v>318</v>
      </c>
      <c r="Q115" s="29">
        <f t="shared" si="21"/>
        <v>34</v>
      </c>
      <c r="R115" s="36">
        <v>15.89</v>
      </c>
      <c r="S115" s="36"/>
      <c r="T115" s="36"/>
      <c r="U115" s="37"/>
      <c r="V115" s="38">
        <f t="shared" si="22"/>
        <v>84.11</v>
      </c>
      <c r="W115" s="51">
        <f t="shared" si="23"/>
        <v>656.11</v>
      </c>
    </row>
    <row r="116" spans="1:23" s="3" customFormat="1" ht="22.5" customHeight="1" x14ac:dyDescent="0.25">
      <c r="A116" s="50">
        <v>113</v>
      </c>
      <c r="B116" s="4" t="s">
        <v>117</v>
      </c>
      <c r="C116" s="5" t="s">
        <v>135</v>
      </c>
      <c r="D116" s="5" t="s">
        <v>138</v>
      </c>
      <c r="E116" s="5" t="s">
        <v>179</v>
      </c>
      <c r="F116" s="18">
        <v>5</v>
      </c>
      <c r="G116" s="18">
        <v>18</v>
      </c>
      <c r="H116" s="18">
        <v>10</v>
      </c>
      <c r="I116" s="18">
        <v>3</v>
      </c>
      <c r="J116" s="19">
        <f t="shared" si="18"/>
        <v>266</v>
      </c>
      <c r="K116" s="20">
        <f t="shared" si="19"/>
        <v>36</v>
      </c>
      <c r="L116" s="27">
        <v>22</v>
      </c>
      <c r="M116" s="27">
        <v>9</v>
      </c>
      <c r="N116" s="27">
        <v>2</v>
      </c>
      <c r="O116" s="27"/>
      <c r="P116" s="28">
        <f t="shared" si="20"/>
        <v>304</v>
      </c>
      <c r="Q116" s="29">
        <f t="shared" si="21"/>
        <v>33</v>
      </c>
      <c r="R116" s="36">
        <v>13.88</v>
      </c>
      <c r="S116" s="36"/>
      <c r="T116" s="36"/>
      <c r="U116" s="37"/>
      <c r="V116" s="38">
        <f t="shared" si="22"/>
        <v>86.12</v>
      </c>
      <c r="W116" s="51">
        <f t="shared" si="23"/>
        <v>656.12</v>
      </c>
    </row>
    <row r="117" spans="1:23" s="3" customFormat="1" ht="22.5" customHeight="1" x14ac:dyDescent="0.25">
      <c r="A117" s="50">
        <v>86</v>
      </c>
      <c r="B117" s="4" t="s">
        <v>91</v>
      </c>
      <c r="C117" s="5" t="s">
        <v>135</v>
      </c>
      <c r="D117" s="5" t="s">
        <v>138</v>
      </c>
      <c r="E117" s="5"/>
      <c r="F117" s="18">
        <v>10</v>
      </c>
      <c r="G117" s="18">
        <v>13</v>
      </c>
      <c r="H117" s="18">
        <v>8</v>
      </c>
      <c r="I117" s="18">
        <v>5</v>
      </c>
      <c r="J117" s="19">
        <f t="shared" si="18"/>
        <v>272</v>
      </c>
      <c r="K117" s="20">
        <f t="shared" si="19"/>
        <v>36</v>
      </c>
      <c r="L117" s="27">
        <v>14</v>
      </c>
      <c r="M117" s="27">
        <v>14</v>
      </c>
      <c r="N117" s="27">
        <v>8</v>
      </c>
      <c r="O117" s="27"/>
      <c r="P117" s="28">
        <f t="shared" si="20"/>
        <v>300</v>
      </c>
      <c r="Q117" s="29">
        <f t="shared" si="21"/>
        <v>36</v>
      </c>
      <c r="R117" s="36">
        <v>14.61</v>
      </c>
      <c r="S117" s="36"/>
      <c r="T117" s="36"/>
      <c r="U117" s="37"/>
      <c r="V117" s="38">
        <f t="shared" si="22"/>
        <v>85.39</v>
      </c>
      <c r="W117" s="51">
        <f t="shared" si="23"/>
        <v>657.39</v>
      </c>
    </row>
    <row r="118" spans="1:23" s="3" customFormat="1" ht="22.5" customHeight="1" x14ac:dyDescent="0.25">
      <c r="A118" s="50">
        <v>19</v>
      </c>
      <c r="B118" s="4" t="s">
        <v>28</v>
      </c>
      <c r="C118" s="5" t="s">
        <v>135</v>
      </c>
      <c r="D118" s="5" t="s">
        <v>127</v>
      </c>
      <c r="E118" s="5" t="s">
        <v>159</v>
      </c>
      <c r="F118" s="18">
        <v>11</v>
      </c>
      <c r="G118" s="18">
        <v>14</v>
      </c>
      <c r="H118" s="18">
        <v>4</v>
      </c>
      <c r="I118" s="18">
        <v>6</v>
      </c>
      <c r="J118" s="19">
        <f t="shared" si="18"/>
        <v>270</v>
      </c>
      <c r="K118" s="20">
        <f t="shared" si="19"/>
        <v>35</v>
      </c>
      <c r="L118" s="27">
        <v>22</v>
      </c>
      <c r="M118" s="27">
        <v>10</v>
      </c>
      <c r="N118" s="27">
        <v>1</v>
      </c>
      <c r="O118" s="27"/>
      <c r="P118" s="28">
        <f t="shared" si="20"/>
        <v>306</v>
      </c>
      <c r="Q118" s="29">
        <f t="shared" si="21"/>
        <v>33</v>
      </c>
      <c r="R118" s="36">
        <v>17.23</v>
      </c>
      <c r="S118" s="36"/>
      <c r="T118" s="36"/>
      <c r="U118" s="37"/>
      <c r="V118" s="38">
        <f t="shared" si="22"/>
        <v>82.77</v>
      </c>
      <c r="W118" s="51">
        <f t="shared" si="23"/>
        <v>658.77</v>
      </c>
    </row>
    <row r="119" spans="1:23" s="3" customFormat="1" ht="22.5" customHeight="1" x14ac:dyDescent="0.25">
      <c r="A119" s="50">
        <v>61</v>
      </c>
      <c r="B119" s="4" t="s">
        <v>67</v>
      </c>
      <c r="C119" s="5" t="s">
        <v>135</v>
      </c>
      <c r="D119" s="5" t="s">
        <v>138</v>
      </c>
      <c r="E119" s="5"/>
      <c r="F119" s="18">
        <v>11</v>
      </c>
      <c r="G119" s="18">
        <v>15</v>
      </c>
      <c r="H119" s="18">
        <v>6</v>
      </c>
      <c r="I119" s="18">
        <v>3</v>
      </c>
      <c r="J119" s="19">
        <f t="shared" si="18"/>
        <v>278</v>
      </c>
      <c r="K119" s="20">
        <f t="shared" si="19"/>
        <v>35</v>
      </c>
      <c r="L119" s="27">
        <v>21</v>
      </c>
      <c r="M119" s="27">
        <v>8</v>
      </c>
      <c r="N119" s="27">
        <v>4</v>
      </c>
      <c r="O119" s="27"/>
      <c r="P119" s="28">
        <f t="shared" si="20"/>
        <v>298</v>
      </c>
      <c r="Q119" s="29">
        <f t="shared" si="21"/>
        <v>33</v>
      </c>
      <c r="R119" s="36">
        <v>16.59</v>
      </c>
      <c r="S119" s="36"/>
      <c r="T119" s="36"/>
      <c r="U119" s="37"/>
      <c r="V119" s="38">
        <f t="shared" si="22"/>
        <v>83.41</v>
      </c>
      <c r="W119" s="51">
        <f t="shared" si="23"/>
        <v>659.41</v>
      </c>
    </row>
    <row r="120" spans="1:23" s="3" customFormat="1" ht="22.5" hidden="1" customHeight="1" x14ac:dyDescent="0.25">
      <c r="A120" s="50">
        <v>118</v>
      </c>
      <c r="B120" s="4" t="s">
        <v>121</v>
      </c>
      <c r="C120" s="5"/>
      <c r="D120" s="5"/>
      <c r="E120" s="5"/>
      <c r="F120" s="18"/>
      <c r="G120" s="18"/>
      <c r="H120" s="18"/>
      <c r="I120" s="18"/>
      <c r="J120" s="19">
        <f t="shared" si="18"/>
        <v>0</v>
      </c>
      <c r="K120" s="20">
        <f t="shared" si="19"/>
        <v>0</v>
      </c>
      <c r="L120" s="27"/>
      <c r="M120" s="27"/>
      <c r="N120" s="27"/>
      <c r="O120" s="27"/>
      <c r="P120" s="28">
        <f t="shared" si="20"/>
        <v>0</v>
      </c>
      <c r="Q120" s="29">
        <f t="shared" si="21"/>
        <v>0</v>
      </c>
      <c r="R120" s="36"/>
      <c r="S120" s="36"/>
      <c r="T120" s="36"/>
      <c r="U120" s="37"/>
      <c r="V120" s="38">
        <f t="shared" si="22"/>
        <v>100</v>
      </c>
      <c r="W120" s="51">
        <f t="shared" si="23"/>
        <v>100</v>
      </c>
    </row>
    <row r="121" spans="1:23" s="3" customFormat="1" ht="22.5" hidden="1" customHeight="1" x14ac:dyDescent="0.25">
      <c r="A121" s="50">
        <v>119</v>
      </c>
      <c r="B121" s="4" t="s">
        <v>122</v>
      </c>
      <c r="C121" s="5"/>
      <c r="D121" s="5"/>
      <c r="E121" s="5"/>
      <c r="F121" s="18"/>
      <c r="G121" s="18"/>
      <c r="H121" s="18"/>
      <c r="I121" s="18"/>
      <c r="J121" s="19">
        <f t="shared" si="18"/>
        <v>0</v>
      </c>
      <c r="K121" s="20">
        <f t="shared" si="19"/>
        <v>0</v>
      </c>
      <c r="L121" s="27"/>
      <c r="M121" s="27"/>
      <c r="N121" s="27"/>
      <c r="O121" s="27"/>
      <c r="P121" s="28">
        <f t="shared" si="20"/>
        <v>0</v>
      </c>
      <c r="Q121" s="29">
        <f t="shared" si="21"/>
        <v>0</v>
      </c>
      <c r="R121" s="36"/>
      <c r="S121" s="36"/>
      <c r="T121" s="36"/>
      <c r="U121" s="37"/>
      <c r="V121" s="38">
        <f t="shared" si="22"/>
        <v>100</v>
      </c>
      <c r="W121" s="51">
        <f t="shared" si="23"/>
        <v>100</v>
      </c>
    </row>
    <row r="122" spans="1:23" s="3" customFormat="1" ht="22.5" customHeight="1" x14ac:dyDescent="0.25">
      <c r="A122" s="50">
        <v>74</v>
      </c>
      <c r="B122" s="4" t="s">
        <v>80</v>
      </c>
      <c r="C122" s="5" t="s">
        <v>135</v>
      </c>
      <c r="D122" s="5" t="s">
        <v>138</v>
      </c>
      <c r="E122" s="5" t="s">
        <v>168</v>
      </c>
      <c r="F122" s="18">
        <v>9</v>
      </c>
      <c r="G122" s="18">
        <v>16</v>
      </c>
      <c r="H122" s="18">
        <v>6</v>
      </c>
      <c r="I122" s="18">
        <v>4</v>
      </c>
      <c r="J122" s="19">
        <f t="shared" si="18"/>
        <v>270</v>
      </c>
      <c r="K122" s="20">
        <f t="shared" si="19"/>
        <v>35</v>
      </c>
      <c r="L122" s="27">
        <v>20</v>
      </c>
      <c r="M122" s="27">
        <v>11</v>
      </c>
      <c r="N122" s="27">
        <v>3</v>
      </c>
      <c r="O122" s="27"/>
      <c r="P122" s="28">
        <f t="shared" si="20"/>
        <v>306</v>
      </c>
      <c r="Q122" s="29">
        <f t="shared" si="21"/>
        <v>34</v>
      </c>
      <c r="R122" s="36">
        <v>14.67</v>
      </c>
      <c r="S122" s="36"/>
      <c r="T122" s="36"/>
      <c r="U122" s="37"/>
      <c r="V122" s="38">
        <f t="shared" si="22"/>
        <v>85.33</v>
      </c>
      <c r="W122" s="51">
        <f t="shared" si="23"/>
        <v>661.33</v>
      </c>
    </row>
    <row r="123" spans="1:23" s="3" customFormat="1" ht="22.5" customHeight="1" x14ac:dyDescent="0.25">
      <c r="A123" s="50">
        <v>145</v>
      </c>
      <c r="B123" s="4" t="s">
        <v>177</v>
      </c>
      <c r="C123" s="5" t="s">
        <v>135</v>
      </c>
      <c r="D123" s="5" t="s">
        <v>138</v>
      </c>
      <c r="E123" s="5"/>
      <c r="F123" s="18">
        <v>11</v>
      </c>
      <c r="G123" s="18">
        <v>13</v>
      </c>
      <c r="H123" s="18">
        <v>6</v>
      </c>
      <c r="I123" s="18">
        <v>6</v>
      </c>
      <c r="J123" s="19">
        <f t="shared" si="18"/>
        <v>274</v>
      </c>
      <c r="K123" s="20">
        <f t="shared" si="19"/>
        <v>36</v>
      </c>
      <c r="L123" s="27">
        <v>22</v>
      </c>
      <c r="M123" s="27">
        <v>11</v>
      </c>
      <c r="N123" s="27"/>
      <c r="O123" s="27"/>
      <c r="P123" s="28">
        <f t="shared" si="20"/>
        <v>308</v>
      </c>
      <c r="Q123" s="29">
        <f t="shared" si="21"/>
        <v>33</v>
      </c>
      <c r="R123" s="36">
        <v>17.96</v>
      </c>
      <c r="S123" s="36"/>
      <c r="T123" s="36"/>
      <c r="U123" s="37"/>
      <c r="V123" s="38">
        <f t="shared" si="22"/>
        <v>82.039999999999992</v>
      </c>
      <c r="W123" s="51">
        <f t="shared" si="23"/>
        <v>664.04</v>
      </c>
    </row>
    <row r="124" spans="1:23" s="3" customFormat="1" ht="22.5" customHeight="1" x14ac:dyDescent="0.25">
      <c r="A124" s="50">
        <v>137</v>
      </c>
      <c r="B124" s="4" t="s">
        <v>162</v>
      </c>
      <c r="C124" s="5" t="s">
        <v>135</v>
      </c>
      <c r="D124" s="5" t="s">
        <v>139</v>
      </c>
      <c r="E124" s="5"/>
      <c r="F124" s="18">
        <v>8</v>
      </c>
      <c r="G124" s="18">
        <v>11</v>
      </c>
      <c r="H124" s="18">
        <v>11</v>
      </c>
      <c r="I124" s="18">
        <v>4</v>
      </c>
      <c r="J124" s="19">
        <f t="shared" si="18"/>
        <v>250</v>
      </c>
      <c r="K124" s="20">
        <f t="shared" si="19"/>
        <v>34</v>
      </c>
      <c r="L124" s="27">
        <v>26</v>
      </c>
      <c r="M124" s="27">
        <v>8</v>
      </c>
      <c r="N124" s="27">
        <v>1</v>
      </c>
      <c r="O124" s="27"/>
      <c r="P124" s="28">
        <f t="shared" si="20"/>
        <v>330</v>
      </c>
      <c r="Q124" s="29">
        <f t="shared" si="21"/>
        <v>35</v>
      </c>
      <c r="R124" s="36">
        <v>15.55</v>
      </c>
      <c r="S124" s="36"/>
      <c r="T124" s="36"/>
      <c r="U124" s="37"/>
      <c r="V124" s="38">
        <f t="shared" si="22"/>
        <v>84.45</v>
      </c>
      <c r="W124" s="51">
        <f t="shared" si="23"/>
        <v>664.45</v>
      </c>
    </row>
    <row r="125" spans="1:23" s="3" customFormat="1" ht="22.5" customHeight="1" x14ac:dyDescent="0.25">
      <c r="A125" s="50">
        <v>65</v>
      </c>
      <c r="B125" s="4" t="s">
        <v>71</v>
      </c>
      <c r="C125" s="5" t="s">
        <v>135</v>
      </c>
      <c r="D125" s="5" t="s">
        <v>138</v>
      </c>
      <c r="E125" s="5"/>
      <c r="F125" s="18">
        <v>12</v>
      </c>
      <c r="G125" s="18">
        <v>10</v>
      </c>
      <c r="H125" s="18">
        <v>7</v>
      </c>
      <c r="I125" s="18">
        <v>6</v>
      </c>
      <c r="J125" s="19">
        <f t="shared" si="18"/>
        <v>266</v>
      </c>
      <c r="K125" s="20">
        <f t="shared" si="19"/>
        <v>35</v>
      </c>
      <c r="L125" s="27">
        <v>21</v>
      </c>
      <c r="M125" s="27">
        <v>11</v>
      </c>
      <c r="N125" s="27">
        <v>3</v>
      </c>
      <c r="O125" s="27"/>
      <c r="P125" s="28">
        <f t="shared" si="20"/>
        <v>316</v>
      </c>
      <c r="Q125" s="29">
        <f t="shared" si="21"/>
        <v>35</v>
      </c>
      <c r="R125" s="36">
        <v>15.15</v>
      </c>
      <c r="S125" s="36"/>
      <c r="T125" s="36"/>
      <c r="U125" s="37"/>
      <c r="V125" s="38">
        <f t="shared" si="22"/>
        <v>84.85</v>
      </c>
      <c r="W125" s="51">
        <f t="shared" si="23"/>
        <v>666.85</v>
      </c>
    </row>
    <row r="126" spans="1:23" s="3" customFormat="1" ht="22.5" customHeight="1" x14ac:dyDescent="0.25">
      <c r="A126" s="50">
        <v>133</v>
      </c>
      <c r="B126" s="4" t="s">
        <v>157</v>
      </c>
      <c r="C126" s="5" t="s">
        <v>129</v>
      </c>
      <c r="D126" s="5" t="s">
        <v>138</v>
      </c>
      <c r="E126" s="5"/>
      <c r="F126" s="18">
        <v>10</v>
      </c>
      <c r="G126" s="18">
        <v>10</v>
      </c>
      <c r="H126" s="18">
        <v>9</v>
      </c>
      <c r="I126" s="18">
        <v>7</v>
      </c>
      <c r="J126" s="19">
        <f t="shared" si="18"/>
        <v>262</v>
      </c>
      <c r="K126" s="20">
        <f t="shared" si="19"/>
        <v>36</v>
      </c>
      <c r="L126" s="27">
        <v>19</v>
      </c>
      <c r="M126" s="27">
        <v>15</v>
      </c>
      <c r="N126" s="27">
        <v>2</v>
      </c>
      <c r="O126" s="27"/>
      <c r="P126" s="28">
        <f t="shared" si="20"/>
        <v>322</v>
      </c>
      <c r="Q126" s="29">
        <f t="shared" si="21"/>
        <v>36</v>
      </c>
      <c r="R126" s="36">
        <v>11.52</v>
      </c>
      <c r="S126" s="36"/>
      <c r="T126" s="36"/>
      <c r="U126" s="37"/>
      <c r="V126" s="38">
        <f t="shared" si="22"/>
        <v>88.48</v>
      </c>
      <c r="W126" s="51">
        <f t="shared" si="23"/>
        <v>672.48</v>
      </c>
    </row>
    <row r="127" spans="1:23" s="3" customFormat="1" ht="22.5" customHeight="1" x14ac:dyDescent="0.25">
      <c r="A127" s="50">
        <v>56</v>
      </c>
      <c r="B127" s="4" t="s">
        <v>62</v>
      </c>
      <c r="C127" s="5" t="s">
        <v>135</v>
      </c>
      <c r="D127" s="5" t="s">
        <v>138</v>
      </c>
      <c r="E127" s="5" t="s">
        <v>194</v>
      </c>
      <c r="F127" s="18">
        <v>7</v>
      </c>
      <c r="G127" s="18">
        <v>12</v>
      </c>
      <c r="H127" s="18">
        <v>12</v>
      </c>
      <c r="I127" s="18">
        <v>5</v>
      </c>
      <c r="J127" s="19">
        <f t="shared" si="18"/>
        <v>258</v>
      </c>
      <c r="K127" s="20">
        <f t="shared" si="19"/>
        <v>36</v>
      </c>
      <c r="L127" s="27">
        <v>28</v>
      </c>
      <c r="M127" s="27">
        <v>3</v>
      </c>
      <c r="N127" s="27">
        <v>4</v>
      </c>
      <c r="O127" s="27"/>
      <c r="P127" s="28">
        <f t="shared" si="20"/>
        <v>328</v>
      </c>
      <c r="Q127" s="29">
        <f t="shared" si="21"/>
        <v>35</v>
      </c>
      <c r="R127" s="36">
        <v>12.31</v>
      </c>
      <c r="S127" s="36"/>
      <c r="T127" s="36"/>
      <c r="U127" s="37"/>
      <c r="V127" s="38">
        <f t="shared" si="22"/>
        <v>87.69</v>
      </c>
      <c r="W127" s="51">
        <f t="shared" si="23"/>
        <v>673.69</v>
      </c>
    </row>
    <row r="128" spans="1:23" s="3" customFormat="1" ht="22.5" customHeight="1" x14ac:dyDescent="0.25">
      <c r="A128" s="50">
        <v>135</v>
      </c>
      <c r="B128" s="4" t="s">
        <v>160</v>
      </c>
      <c r="C128" s="5" t="s">
        <v>129</v>
      </c>
      <c r="D128" s="5" t="s">
        <v>138</v>
      </c>
      <c r="E128" s="5"/>
      <c r="F128" s="18">
        <v>10</v>
      </c>
      <c r="G128" s="18">
        <v>15</v>
      </c>
      <c r="H128" s="18">
        <v>8</v>
      </c>
      <c r="I128" s="18">
        <v>2</v>
      </c>
      <c r="J128" s="19">
        <f t="shared" si="18"/>
        <v>276</v>
      </c>
      <c r="K128" s="20">
        <f t="shared" si="19"/>
        <v>35</v>
      </c>
      <c r="L128" s="27">
        <v>25</v>
      </c>
      <c r="M128" s="27">
        <v>8</v>
      </c>
      <c r="N128" s="27"/>
      <c r="O128" s="27"/>
      <c r="P128" s="28">
        <f t="shared" si="20"/>
        <v>314</v>
      </c>
      <c r="Q128" s="29">
        <f t="shared" si="21"/>
        <v>33</v>
      </c>
      <c r="R128" s="36">
        <v>10.32</v>
      </c>
      <c r="S128" s="36"/>
      <c r="T128" s="36"/>
      <c r="U128" s="37"/>
      <c r="V128" s="38">
        <f t="shared" si="22"/>
        <v>89.68</v>
      </c>
      <c r="W128" s="51">
        <f t="shared" si="23"/>
        <v>679.68000000000006</v>
      </c>
    </row>
    <row r="129" spans="1:23" s="3" customFormat="1" ht="22.5" customHeight="1" x14ac:dyDescent="0.25">
      <c r="A129" s="50">
        <v>121</v>
      </c>
      <c r="B129" s="4" t="s">
        <v>124</v>
      </c>
      <c r="C129" s="5" t="s">
        <v>135</v>
      </c>
      <c r="D129" s="5" t="s">
        <v>138</v>
      </c>
      <c r="E129" s="5"/>
      <c r="F129" s="18">
        <v>7</v>
      </c>
      <c r="G129" s="18">
        <v>17</v>
      </c>
      <c r="H129" s="18">
        <v>11</v>
      </c>
      <c r="I129" s="18">
        <v>1</v>
      </c>
      <c r="J129" s="19">
        <f t="shared" si="18"/>
        <v>276</v>
      </c>
      <c r="K129" s="20">
        <f t="shared" si="19"/>
        <v>36</v>
      </c>
      <c r="L129" s="27">
        <v>28</v>
      </c>
      <c r="M129" s="27">
        <v>4</v>
      </c>
      <c r="N129" s="27">
        <v>1</v>
      </c>
      <c r="O129" s="27"/>
      <c r="P129" s="28">
        <f t="shared" si="20"/>
        <v>318</v>
      </c>
      <c r="Q129" s="29">
        <f t="shared" si="21"/>
        <v>33</v>
      </c>
      <c r="R129" s="36">
        <v>11.16</v>
      </c>
      <c r="S129" s="36"/>
      <c r="T129" s="36"/>
      <c r="U129" s="37"/>
      <c r="V129" s="38">
        <f t="shared" si="22"/>
        <v>88.84</v>
      </c>
      <c r="W129" s="51">
        <f t="shared" si="23"/>
        <v>682.84</v>
      </c>
    </row>
    <row r="130" spans="1:23" s="3" customFormat="1" ht="22.5" customHeight="1" x14ac:dyDescent="0.25">
      <c r="A130" s="50">
        <v>134</v>
      </c>
      <c r="B130" s="4" t="s">
        <v>158</v>
      </c>
      <c r="C130" s="5" t="s">
        <v>151</v>
      </c>
      <c r="D130" s="5" t="s">
        <v>138</v>
      </c>
      <c r="E130" s="5"/>
      <c r="F130" s="18">
        <v>9</v>
      </c>
      <c r="G130" s="18">
        <v>12</v>
      </c>
      <c r="H130" s="18">
        <v>9</v>
      </c>
      <c r="I130" s="18">
        <v>6</v>
      </c>
      <c r="J130" s="19">
        <f t="shared" si="18"/>
        <v>264</v>
      </c>
      <c r="K130" s="20">
        <f t="shared" si="19"/>
        <v>36</v>
      </c>
      <c r="L130" s="27">
        <v>28</v>
      </c>
      <c r="M130" s="27">
        <v>3</v>
      </c>
      <c r="N130" s="27">
        <v>5</v>
      </c>
      <c r="O130" s="27"/>
      <c r="P130" s="28">
        <f t="shared" si="20"/>
        <v>334</v>
      </c>
      <c r="Q130" s="29">
        <f t="shared" si="21"/>
        <v>36</v>
      </c>
      <c r="R130" s="36">
        <v>14.07</v>
      </c>
      <c r="S130" s="36"/>
      <c r="T130" s="36"/>
      <c r="U130" s="37"/>
      <c r="V130" s="38">
        <f t="shared" si="22"/>
        <v>85.93</v>
      </c>
      <c r="W130" s="51">
        <f t="shared" si="23"/>
        <v>683.93000000000006</v>
      </c>
    </row>
    <row r="131" spans="1:23" s="3" customFormat="1" ht="22.5" hidden="1" customHeight="1" x14ac:dyDescent="0.25">
      <c r="A131" s="50">
        <v>129</v>
      </c>
      <c r="B131" s="4" t="s">
        <v>153</v>
      </c>
      <c r="C131" s="5" t="s">
        <v>129</v>
      </c>
      <c r="D131" s="5" t="s">
        <v>139</v>
      </c>
      <c r="E131" s="5"/>
      <c r="F131" s="18"/>
      <c r="G131" s="18"/>
      <c r="H131" s="18"/>
      <c r="I131" s="18"/>
      <c r="J131" s="19">
        <f t="shared" ref="J131:J147" si="24">SUM(F131*10)+(G131*8)+(H131*6)+(I131*4)</f>
        <v>0</v>
      </c>
      <c r="K131" s="20">
        <f t="shared" ref="K131:K147" si="25">SUM(F131:I131)</f>
        <v>0</v>
      </c>
      <c r="L131" s="27"/>
      <c r="M131" s="27"/>
      <c r="N131" s="27"/>
      <c r="O131" s="27"/>
      <c r="P131" s="28">
        <f t="shared" ref="P131:P147" si="26">SUM(L131*10)+(M131*8)+(N131*6)+(O131*4)</f>
        <v>0</v>
      </c>
      <c r="Q131" s="29">
        <f t="shared" ref="Q131:Q147" si="27">SUM(L131:O131)</f>
        <v>0</v>
      </c>
      <c r="R131" s="36"/>
      <c r="S131" s="36"/>
      <c r="T131" s="36"/>
      <c r="U131" s="37"/>
      <c r="V131" s="38">
        <f t="shared" ref="V131:V147" si="28">100-(R131+S131+(U131*10)+(T131*20))</f>
        <v>100</v>
      </c>
      <c r="W131" s="51">
        <f t="shared" ref="W131:W147" si="29">J131+P131+V131</f>
        <v>100</v>
      </c>
    </row>
    <row r="132" spans="1:23" s="3" customFormat="1" ht="22.5" customHeight="1" x14ac:dyDescent="0.25">
      <c r="A132" s="50">
        <v>24</v>
      </c>
      <c r="B132" s="4" t="s">
        <v>32</v>
      </c>
      <c r="C132" s="5" t="s">
        <v>129</v>
      </c>
      <c r="D132" s="5" t="s">
        <v>127</v>
      </c>
      <c r="E132" s="5"/>
      <c r="F132" s="18">
        <v>11</v>
      </c>
      <c r="G132" s="18">
        <v>12</v>
      </c>
      <c r="H132" s="18">
        <v>8</v>
      </c>
      <c r="I132" s="18">
        <v>5</v>
      </c>
      <c r="J132" s="19">
        <f t="shared" si="24"/>
        <v>274</v>
      </c>
      <c r="K132" s="20">
        <f t="shared" si="25"/>
        <v>36</v>
      </c>
      <c r="L132" s="27">
        <v>26</v>
      </c>
      <c r="M132" s="27">
        <v>5</v>
      </c>
      <c r="N132" s="27">
        <v>4</v>
      </c>
      <c r="O132" s="27"/>
      <c r="P132" s="28">
        <f t="shared" si="26"/>
        <v>324</v>
      </c>
      <c r="Q132" s="29">
        <f t="shared" si="27"/>
        <v>35</v>
      </c>
      <c r="R132" s="36">
        <v>13.89</v>
      </c>
      <c r="S132" s="36"/>
      <c r="T132" s="36"/>
      <c r="U132" s="37"/>
      <c r="V132" s="38">
        <f t="shared" si="28"/>
        <v>86.11</v>
      </c>
      <c r="W132" s="51">
        <f t="shared" si="29"/>
        <v>684.11</v>
      </c>
    </row>
    <row r="133" spans="1:23" s="3" customFormat="1" ht="22.5" customHeight="1" x14ac:dyDescent="0.25">
      <c r="A133" s="50">
        <v>11</v>
      </c>
      <c r="B133" s="4" t="s">
        <v>20</v>
      </c>
      <c r="C133" s="5" t="s">
        <v>135</v>
      </c>
      <c r="D133" s="5" t="s">
        <v>138</v>
      </c>
      <c r="E133" s="5"/>
      <c r="F133" s="18">
        <v>9</v>
      </c>
      <c r="G133" s="18">
        <v>11</v>
      </c>
      <c r="H133" s="18">
        <v>9</v>
      </c>
      <c r="I133" s="18">
        <v>7</v>
      </c>
      <c r="J133" s="19">
        <f t="shared" si="24"/>
        <v>260</v>
      </c>
      <c r="K133" s="20">
        <f t="shared" si="25"/>
        <v>36</v>
      </c>
      <c r="L133" s="27">
        <v>29</v>
      </c>
      <c r="M133" s="27">
        <v>6</v>
      </c>
      <c r="N133" s="27"/>
      <c r="O133" s="27"/>
      <c r="P133" s="28">
        <f t="shared" si="26"/>
        <v>338</v>
      </c>
      <c r="Q133" s="29">
        <f t="shared" si="27"/>
        <v>35</v>
      </c>
      <c r="R133" s="36">
        <v>11.25</v>
      </c>
      <c r="S133" s="36"/>
      <c r="T133" s="36"/>
      <c r="U133" s="37"/>
      <c r="V133" s="38">
        <f t="shared" si="28"/>
        <v>88.75</v>
      </c>
      <c r="W133" s="51">
        <f t="shared" si="29"/>
        <v>686.75</v>
      </c>
    </row>
    <row r="134" spans="1:23" s="3" customFormat="1" ht="22.5" customHeight="1" x14ac:dyDescent="0.25">
      <c r="A134" s="50">
        <v>144</v>
      </c>
      <c r="B134" s="4" t="s">
        <v>176</v>
      </c>
      <c r="C134" s="5" t="s">
        <v>151</v>
      </c>
      <c r="D134" s="5" t="s">
        <v>138</v>
      </c>
      <c r="E134" s="5"/>
      <c r="F134" s="18">
        <v>7</v>
      </c>
      <c r="G134" s="18">
        <v>15</v>
      </c>
      <c r="H134" s="18">
        <v>11</v>
      </c>
      <c r="I134" s="18">
        <v>3</v>
      </c>
      <c r="J134" s="19">
        <f t="shared" si="24"/>
        <v>268</v>
      </c>
      <c r="K134" s="20">
        <f t="shared" si="25"/>
        <v>36</v>
      </c>
      <c r="L134" s="27">
        <v>28</v>
      </c>
      <c r="M134" s="27">
        <v>7</v>
      </c>
      <c r="N134" s="27">
        <v>1</v>
      </c>
      <c r="O134" s="27"/>
      <c r="P134" s="28">
        <f t="shared" si="26"/>
        <v>342</v>
      </c>
      <c r="Q134" s="29">
        <f t="shared" si="27"/>
        <v>36</v>
      </c>
      <c r="R134" s="36">
        <v>14.81</v>
      </c>
      <c r="S134" s="36"/>
      <c r="T134" s="36"/>
      <c r="U134" s="37"/>
      <c r="V134" s="38">
        <f t="shared" si="28"/>
        <v>85.19</v>
      </c>
      <c r="W134" s="51">
        <f t="shared" si="29"/>
        <v>695.19</v>
      </c>
    </row>
    <row r="135" spans="1:23" s="3" customFormat="1" ht="22.5" customHeight="1" x14ac:dyDescent="0.25">
      <c r="A135" s="50">
        <v>139</v>
      </c>
      <c r="B135" s="4" t="s">
        <v>164</v>
      </c>
      <c r="C135" s="5" t="s">
        <v>129</v>
      </c>
      <c r="D135" s="5" t="s">
        <v>139</v>
      </c>
      <c r="E135" s="5"/>
      <c r="F135" s="18">
        <v>26</v>
      </c>
      <c r="G135" s="18">
        <v>9</v>
      </c>
      <c r="H135" s="18"/>
      <c r="I135" s="18"/>
      <c r="J135" s="19">
        <f t="shared" si="24"/>
        <v>332</v>
      </c>
      <c r="K135" s="20">
        <f t="shared" si="25"/>
        <v>35</v>
      </c>
      <c r="L135" s="27">
        <v>8</v>
      </c>
      <c r="M135" s="27">
        <v>17</v>
      </c>
      <c r="N135" s="27">
        <v>7</v>
      </c>
      <c r="O135" s="27">
        <v>4</v>
      </c>
      <c r="P135" s="28">
        <f t="shared" si="26"/>
        <v>274</v>
      </c>
      <c r="Q135" s="29">
        <f t="shared" si="27"/>
        <v>36</v>
      </c>
      <c r="R135" s="36">
        <v>10.17</v>
      </c>
      <c r="S135" s="36"/>
      <c r="T135" s="36"/>
      <c r="U135" s="37"/>
      <c r="V135" s="38">
        <f t="shared" si="28"/>
        <v>89.83</v>
      </c>
      <c r="W135" s="51">
        <f t="shared" si="29"/>
        <v>695.83</v>
      </c>
    </row>
    <row r="136" spans="1:23" s="3" customFormat="1" ht="22.5" customHeight="1" x14ac:dyDescent="0.25">
      <c r="A136" s="50">
        <v>96</v>
      </c>
      <c r="B136" s="4" t="s">
        <v>100</v>
      </c>
      <c r="C136" s="5" t="s">
        <v>135</v>
      </c>
      <c r="D136" s="5" t="s">
        <v>138</v>
      </c>
      <c r="E136" s="5" t="s">
        <v>159</v>
      </c>
      <c r="F136" s="18">
        <v>8</v>
      </c>
      <c r="G136" s="18">
        <v>19</v>
      </c>
      <c r="H136" s="18">
        <v>7</v>
      </c>
      <c r="I136" s="18">
        <v>2</v>
      </c>
      <c r="J136" s="19">
        <f t="shared" si="24"/>
        <v>282</v>
      </c>
      <c r="K136" s="20">
        <f t="shared" si="25"/>
        <v>36</v>
      </c>
      <c r="L136" s="27">
        <v>30</v>
      </c>
      <c r="M136" s="27">
        <v>4</v>
      </c>
      <c r="N136" s="27"/>
      <c r="O136" s="27"/>
      <c r="P136" s="28">
        <f t="shared" si="26"/>
        <v>332</v>
      </c>
      <c r="Q136" s="29">
        <f t="shared" si="27"/>
        <v>34</v>
      </c>
      <c r="R136" s="36">
        <v>8.98</v>
      </c>
      <c r="S136" s="36"/>
      <c r="T136" s="36"/>
      <c r="U136" s="37"/>
      <c r="V136" s="38">
        <f t="shared" si="28"/>
        <v>91.02</v>
      </c>
      <c r="W136" s="51">
        <f t="shared" si="29"/>
        <v>705.02</v>
      </c>
    </row>
    <row r="137" spans="1:23" s="3" customFormat="1" ht="22.5" customHeight="1" x14ac:dyDescent="0.25">
      <c r="A137" s="50">
        <v>18</v>
      </c>
      <c r="B137" s="4" t="s">
        <v>27</v>
      </c>
      <c r="C137" s="5" t="s">
        <v>129</v>
      </c>
      <c r="D137" s="5" t="s">
        <v>138</v>
      </c>
      <c r="E137" s="5"/>
      <c r="F137" s="18">
        <v>7</v>
      </c>
      <c r="G137" s="18">
        <v>20</v>
      </c>
      <c r="H137" s="18">
        <v>4</v>
      </c>
      <c r="I137" s="18">
        <v>5</v>
      </c>
      <c r="J137" s="19">
        <f t="shared" si="24"/>
        <v>274</v>
      </c>
      <c r="K137" s="20">
        <f t="shared" si="25"/>
        <v>36</v>
      </c>
      <c r="L137" s="27">
        <v>29</v>
      </c>
      <c r="M137" s="27">
        <v>7</v>
      </c>
      <c r="N137" s="27"/>
      <c r="O137" s="27"/>
      <c r="P137" s="28">
        <f t="shared" si="26"/>
        <v>346</v>
      </c>
      <c r="Q137" s="29">
        <f t="shared" si="27"/>
        <v>36</v>
      </c>
      <c r="R137" s="36">
        <v>14.37</v>
      </c>
      <c r="S137" s="36"/>
      <c r="T137" s="36"/>
      <c r="U137" s="37"/>
      <c r="V137" s="38">
        <f t="shared" si="28"/>
        <v>85.63</v>
      </c>
      <c r="W137" s="51">
        <f t="shared" si="29"/>
        <v>705.63</v>
      </c>
    </row>
    <row r="138" spans="1:23" s="3" customFormat="1" ht="22.5" customHeight="1" x14ac:dyDescent="0.25">
      <c r="A138" s="50">
        <v>93</v>
      </c>
      <c r="B138" s="4" t="s">
        <v>97</v>
      </c>
      <c r="C138" s="5" t="s">
        <v>129</v>
      </c>
      <c r="D138" s="5" t="s">
        <v>138</v>
      </c>
      <c r="E138" s="5"/>
      <c r="F138" s="18">
        <v>10</v>
      </c>
      <c r="G138" s="18">
        <v>15</v>
      </c>
      <c r="H138" s="18">
        <v>8</v>
      </c>
      <c r="I138" s="18">
        <v>3</v>
      </c>
      <c r="J138" s="19">
        <f t="shared" si="24"/>
        <v>280</v>
      </c>
      <c r="K138" s="20">
        <f t="shared" si="25"/>
        <v>36</v>
      </c>
      <c r="L138" s="27">
        <v>31</v>
      </c>
      <c r="M138" s="27">
        <v>3</v>
      </c>
      <c r="N138" s="27"/>
      <c r="O138" s="27"/>
      <c r="P138" s="28">
        <f t="shared" si="26"/>
        <v>334</v>
      </c>
      <c r="Q138" s="29">
        <f t="shared" si="27"/>
        <v>34</v>
      </c>
      <c r="R138" s="36">
        <v>7.26</v>
      </c>
      <c r="S138" s="36"/>
      <c r="T138" s="36"/>
      <c r="U138" s="37"/>
      <c r="V138" s="38">
        <f t="shared" si="28"/>
        <v>92.74</v>
      </c>
      <c r="W138" s="51">
        <f t="shared" si="29"/>
        <v>706.74</v>
      </c>
    </row>
    <row r="139" spans="1:23" s="3" customFormat="1" ht="22.5" customHeight="1" x14ac:dyDescent="0.25">
      <c r="A139" s="50">
        <v>143</v>
      </c>
      <c r="B139" s="4" t="s">
        <v>175</v>
      </c>
      <c r="C139" s="5" t="s">
        <v>135</v>
      </c>
      <c r="D139" s="5" t="s">
        <v>138</v>
      </c>
      <c r="E139" s="5"/>
      <c r="F139" s="18">
        <v>15</v>
      </c>
      <c r="G139" s="18">
        <v>16</v>
      </c>
      <c r="H139" s="18">
        <v>2</v>
      </c>
      <c r="I139" s="18">
        <v>3</v>
      </c>
      <c r="J139" s="19">
        <f t="shared" si="24"/>
        <v>302</v>
      </c>
      <c r="K139" s="20">
        <f t="shared" si="25"/>
        <v>36</v>
      </c>
      <c r="L139" s="27">
        <v>24</v>
      </c>
      <c r="M139" s="27">
        <v>9</v>
      </c>
      <c r="N139" s="27">
        <v>2</v>
      </c>
      <c r="O139" s="27"/>
      <c r="P139" s="28">
        <f t="shared" si="26"/>
        <v>324</v>
      </c>
      <c r="Q139" s="29">
        <f t="shared" si="27"/>
        <v>35</v>
      </c>
      <c r="R139" s="36">
        <v>15.54</v>
      </c>
      <c r="S139" s="36"/>
      <c r="T139" s="36"/>
      <c r="U139" s="37"/>
      <c r="V139" s="38">
        <f t="shared" si="28"/>
        <v>84.460000000000008</v>
      </c>
      <c r="W139" s="51">
        <f t="shared" si="29"/>
        <v>710.46</v>
      </c>
    </row>
    <row r="140" spans="1:23" s="3" customFormat="1" ht="22.5" customHeight="1" x14ac:dyDescent="0.25">
      <c r="A140" s="50">
        <v>54</v>
      </c>
      <c r="B140" s="4" t="s">
        <v>60</v>
      </c>
      <c r="C140" s="5" t="s">
        <v>135</v>
      </c>
      <c r="D140" s="5" t="s">
        <v>138</v>
      </c>
      <c r="E140" s="5" t="s">
        <v>194</v>
      </c>
      <c r="F140" s="18">
        <v>13</v>
      </c>
      <c r="G140" s="18">
        <v>11</v>
      </c>
      <c r="H140" s="18">
        <v>9</v>
      </c>
      <c r="I140" s="18">
        <v>3</v>
      </c>
      <c r="J140" s="19">
        <f t="shared" si="24"/>
        <v>284</v>
      </c>
      <c r="K140" s="20">
        <f t="shared" si="25"/>
        <v>36</v>
      </c>
      <c r="L140" s="27">
        <v>31</v>
      </c>
      <c r="M140" s="27">
        <v>4</v>
      </c>
      <c r="N140" s="27">
        <v>1</v>
      </c>
      <c r="O140" s="27"/>
      <c r="P140" s="28">
        <f t="shared" si="26"/>
        <v>348</v>
      </c>
      <c r="Q140" s="29">
        <f t="shared" si="27"/>
        <v>36</v>
      </c>
      <c r="R140" s="36">
        <v>14.13</v>
      </c>
      <c r="S140" s="36"/>
      <c r="T140" s="36"/>
      <c r="U140" s="37"/>
      <c r="V140" s="38">
        <f t="shared" si="28"/>
        <v>85.87</v>
      </c>
      <c r="W140" s="51">
        <f t="shared" si="29"/>
        <v>717.87</v>
      </c>
    </row>
    <row r="141" spans="1:23" s="3" customFormat="1" ht="22.5" customHeight="1" x14ac:dyDescent="0.25">
      <c r="A141" s="50">
        <v>20</v>
      </c>
      <c r="B141" s="4" t="s">
        <v>29</v>
      </c>
      <c r="C141" s="5" t="s">
        <v>135</v>
      </c>
      <c r="D141" s="5" t="s">
        <v>138</v>
      </c>
      <c r="E141" s="5" t="s">
        <v>159</v>
      </c>
      <c r="F141" s="18">
        <v>12</v>
      </c>
      <c r="G141" s="18">
        <v>16</v>
      </c>
      <c r="H141" s="18">
        <v>6</v>
      </c>
      <c r="I141" s="18">
        <v>2</v>
      </c>
      <c r="J141" s="19">
        <f t="shared" si="24"/>
        <v>292</v>
      </c>
      <c r="K141" s="20">
        <f t="shared" si="25"/>
        <v>36</v>
      </c>
      <c r="L141" s="27">
        <v>28</v>
      </c>
      <c r="M141" s="27">
        <v>5</v>
      </c>
      <c r="N141" s="27">
        <v>3</v>
      </c>
      <c r="O141" s="27"/>
      <c r="P141" s="28">
        <f t="shared" si="26"/>
        <v>338</v>
      </c>
      <c r="Q141" s="29">
        <f t="shared" si="27"/>
        <v>36</v>
      </c>
      <c r="R141" s="36">
        <v>10.6</v>
      </c>
      <c r="S141" s="36"/>
      <c r="T141" s="36"/>
      <c r="U141" s="37"/>
      <c r="V141" s="38">
        <f t="shared" si="28"/>
        <v>89.4</v>
      </c>
      <c r="W141" s="51">
        <f t="shared" si="29"/>
        <v>719.4</v>
      </c>
    </row>
    <row r="142" spans="1:23" s="3" customFormat="1" ht="22.5" customHeight="1" x14ac:dyDescent="0.25">
      <c r="A142" s="50">
        <v>114</v>
      </c>
      <c r="B142" s="4" t="s">
        <v>118</v>
      </c>
      <c r="C142" s="5" t="s">
        <v>135</v>
      </c>
      <c r="D142" s="5" t="s">
        <v>138</v>
      </c>
      <c r="E142" s="5" t="s">
        <v>179</v>
      </c>
      <c r="F142" s="18">
        <v>13</v>
      </c>
      <c r="G142" s="18">
        <v>14</v>
      </c>
      <c r="H142" s="18">
        <v>7</v>
      </c>
      <c r="I142" s="18">
        <v>2</v>
      </c>
      <c r="J142" s="19">
        <f t="shared" si="24"/>
        <v>292</v>
      </c>
      <c r="K142" s="20">
        <f t="shared" si="25"/>
        <v>36</v>
      </c>
      <c r="L142" s="27">
        <v>28</v>
      </c>
      <c r="M142" s="27">
        <v>6</v>
      </c>
      <c r="N142" s="27">
        <v>2</v>
      </c>
      <c r="O142" s="27"/>
      <c r="P142" s="28">
        <f t="shared" si="26"/>
        <v>340</v>
      </c>
      <c r="Q142" s="29">
        <f t="shared" si="27"/>
        <v>36</v>
      </c>
      <c r="R142" s="36">
        <v>10.91</v>
      </c>
      <c r="S142" s="36"/>
      <c r="T142" s="36"/>
      <c r="U142" s="37"/>
      <c r="V142" s="38">
        <f t="shared" si="28"/>
        <v>89.09</v>
      </c>
      <c r="W142" s="51">
        <f t="shared" si="29"/>
        <v>721.09</v>
      </c>
    </row>
    <row r="143" spans="1:23" s="3" customFormat="1" ht="22.5" customHeight="1" x14ac:dyDescent="0.25">
      <c r="A143" s="50">
        <v>88</v>
      </c>
      <c r="B143" s="4" t="s">
        <v>92</v>
      </c>
      <c r="C143" s="5" t="s">
        <v>129</v>
      </c>
      <c r="D143" s="5" t="s">
        <v>178</v>
      </c>
      <c r="E143" s="5"/>
      <c r="F143" s="18">
        <v>21</v>
      </c>
      <c r="G143" s="18">
        <v>12</v>
      </c>
      <c r="H143" s="18">
        <v>2</v>
      </c>
      <c r="I143" s="18">
        <v>1</v>
      </c>
      <c r="J143" s="19">
        <f t="shared" si="24"/>
        <v>322</v>
      </c>
      <c r="K143" s="20">
        <f t="shared" si="25"/>
        <v>36</v>
      </c>
      <c r="L143" s="27">
        <v>32</v>
      </c>
      <c r="M143" s="27">
        <v>1</v>
      </c>
      <c r="N143" s="27"/>
      <c r="O143" s="27"/>
      <c r="P143" s="28">
        <f t="shared" si="26"/>
        <v>328</v>
      </c>
      <c r="Q143" s="29">
        <f t="shared" si="27"/>
        <v>33</v>
      </c>
      <c r="R143" s="36">
        <v>11.49</v>
      </c>
      <c r="S143" s="36"/>
      <c r="T143" s="36"/>
      <c r="U143" s="37"/>
      <c r="V143" s="38">
        <f t="shared" si="28"/>
        <v>88.51</v>
      </c>
      <c r="W143" s="51">
        <f t="shared" si="29"/>
        <v>738.51</v>
      </c>
    </row>
    <row r="144" spans="1:23" s="3" customFormat="1" ht="22.5" customHeight="1" x14ac:dyDescent="0.25">
      <c r="A144" s="50">
        <v>141</v>
      </c>
      <c r="B144" s="4" t="s">
        <v>166</v>
      </c>
      <c r="C144" s="5" t="s">
        <v>129</v>
      </c>
      <c r="D144" s="5" t="s">
        <v>138</v>
      </c>
      <c r="E144" s="5"/>
      <c r="F144" s="18">
        <v>16</v>
      </c>
      <c r="G144" s="18">
        <v>13</v>
      </c>
      <c r="H144" s="18">
        <v>5</v>
      </c>
      <c r="I144" s="18">
        <v>2</v>
      </c>
      <c r="J144" s="19">
        <f t="shared" si="24"/>
        <v>302</v>
      </c>
      <c r="K144" s="20">
        <f t="shared" si="25"/>
        <v>36</v>
      </c>
      <c r="L144" s="27">
        <v>29</v>
      </c>
      <c r="M144" s="27">
        <v>7</v>
      </c>
      <c r="N144" s="27"/>
      <c r="O144" s="27"/>
      <c r="P144" s="28">
        <f t="shared" si="26"/>
        <v>346</v>
      </c>
      <c r="Q144" s="29">
        <f t="shared" si="27"/>
        <v>36</v>
      </c>
      <c r="R144" s="36">
        <v>7.2</v>
      </c>
      <c r="S144" s="36"/>
      <c r="T144" s="36"/>
      <c r="U144" s="37"/>
      <c r="V144" s="38">
        <f t="shared" si="28"/>
        <v>92.8</v>
      </c>
      <c r="W144" s="51">
        <f t="shared" si="29"/>
        <v>740.8</v>
      </c>
    </row>
    <row r="145" spans="1:23" s="3" customFormat="1" ht="22.5" customHeight="1" x14ac:dyDescent="0.25">
      <c r="A145" s="50">
        <v>90</v>
      </c>
      <c r="B145" s="4" t="s">
        <v>94</v>
      </c>
      <c r="C145" s="5" t="s">
        <v>129</v>
      </c>
      <c r="D145" s="5" t="s">
        <v>127</v>
      </c>
      <c r="E145" s="5"/>
      <c r="F145" s="18">
        <v>15</v>
      </c>
      <c r="G145" s="18">
        <v>19</v>
      </c>
      <c r="H145" s="18">
        <v>2</v>
      </c>
      <c r="I145" s="18"/>
      <c r="J145" s="19">
        <f t="shared" si="24"/>
        <v>314</v>
      </c>
      <c r="K145" s="20">
        <f t="shared" si="25"/>
        <v>36</v>
      </c>
      <c r="L145" s="27">
        <v>31</v>
      </c>
      <c r="M145" s="27">
        <v>5</v>
      </c>
      <c r="N145" s="27"/>
      <c r="O145" s="27"/>
      <c r="P145" s="28">
        <f t="shared" si="26"/>
        <v>350</v>
      </c>
      <c r="Q145" s="29">
        <f t="shared" si="27"/>
        <v>36</v>
      </c>
      <c r="R145" s="36">
        <v>18.079999999999998</v>
      </c>
      <c r="S145" s="36"/>
      <c r="T145" s="36"/>
      <c r="U145" s="37"/>
      <c r="V145" s="38">
        <f t="shared" si="28"/>
        <v>81.92</v>
      </c>
      <c r="W145" s="51">
        <f t="shared" si="29"/>
        <v>745.92</v>
      </c>
    </row>
    <row r="146" spans="1:23" s="3" customFormat="1" ht="22.5" customHeight="1" x14ac:dyDescent="0.25">
      <c r="A146" s="50">
        <v>115</v>
      </c>
      <c r="B146" s="4" t="s">
        <v>119</v>
      </c>
      <c r="C146" s="5" t="s">
        <v>135</v>
      </c>
      <c r="D146" s="5" t="s">
        <v>138</v>
      </c>
      <c r="E146" s="5" t="s">
        <v>179</v>
      </c>
      <c r="F146" s="18">
        <v>32</v>
      </c>
      <c r="G146" s="18">
        <v>4</v>
      </c>
      <c r="H146" s="18"/>
      <c r="I146" s="18"/>
      <c r="J146" s="19">
        <f t="shared" si="24"/>
        <v>352</v>
      </c>
      <c r="K146" s="20">
        <f t="shared" si="25"/>
        <v>36</v>
      </c>
      <c r="L146" s="27">
        <v>25</v>
      </c>
      <c r="M146" s="27">
        <v>11</v>
      </c>
      <c r="N146" s="27"/>
      <c r="O146" s="27"/>
      <c r="P146" s="28">
        <f t="shared" si="26"/>
        <v>338</v>
      </c>
      <c r="Q146" s="29">
        <f t="shared" si="27"/>
        <v>36</v>
      </c>
      <c r="R146" s="36">
        <v>8.51</v>
      </c>
      <c r="S146" s="36"/>
      <c r="T146" s="36"/>
      <c r="U146" s="37"/>
      <c r="V146" s="38">
        <f t="shared" si="28"/>
        <v>91.49</v>
      </c>
      <c r="W146" s="51">
        <f t="shared" si="29"/>
        <v>781.49</v>
      </c>
    </row>
    <row r="147" spans="1:23" s="3" customFormat="1" ht="22.5" customHeight="1" x14ac:dyDescent="0.25">
      <c r="A147" s="50">
        <v>116</v>
      </c>
      <c r="B147" s="4" t="s">
        <v>120</v>
      </c>
      <c r="C147" s="5" t="s">
        <v>135</v>
      </c>
      <c r="D147" s="5" t="s">
        <v>138</v>
      </c>
      <c r="E147" s="5" t="s">
        <v>179</v>
      </c>
      <c r="F147" s="18">
        <v>36</v>
      </c>
      <c r="G147" s="18"/>
      <c r="H147" s="18"/>
      <c r="I147" s="18"/>
      <c r="J147" s="19">
        <f t="shared" si="24"/>
        <v>360</v>
      </c>
      <c r="K147" s="20">
        <f t="shared" si="25"/>
        <v>36</v>
      </c>
      <c r="L147" s="27">
        <v>28</v>
      </c>
      <c r="M147" s="27">
        <v>8</v>
      </c>
      <c r="N147" s="27"/>
      <c r="O147" s="27"/>
      <c r="P147" s="28">
        <f t="shared" si="26"/>
        <v>344</v>
      </c>
      <c r="Q147" s="29">
        <f t="shared" si="27"/>
        <v>36</v>
      </c>
      <c r="R147" s="36">
        <v>8.73</v>
      </c>
      <c r="S147" s="36"/>
      <c r="T147" s="36"/>
      <c r="U147" s="37"/>
      <c r="V147" s="38">
        <f t="shared" si="28"/>
        <v>91.27</v>
      </c>
      <c r="W147" s="51">
        <f t="shared" si="29"/>
        <v>795.27</v>
      </c>
    </row>
    <row r="148" spans="1:23" s="3" customFormat="1" ht="22.5" hidden="1" customHeight="1" x14ac:dyDescent="0.25">
      <c r="A148" s="50">
        <v>146</v>
      </c>
      <c r="B148" s="4"/>
      <c r="C148" s="5"/>
      <c r="D148" s="5"/>
      <c r="E148" s="5"/>
      <c r="F148" s="18"/>
      <c r="G148" s="18"/>
      <c r="H148" s="18"/>
      <c r="I148" s="18"/>
      <c r="J148" s="19">
        <f t="shared" ref="J148:J151" si="30">SUM(F148*10)+(G148*8)+(H148*6)+(I148*4)</f>
        <v>0</v>
      </c>
      <c r="K148" s="20">
        <f t="shared" ref="K148:K152" si="31">SUM(F148:I148)</f>
        <v>0</v>
      </c>
      <c r="L148" s="27"/>
      <c r="M148" s="27"/>
      <c r="N148" s="27"/>
      <c r="O148" s="27"/>
      <c r="P148" s="28">
        <f t="shared" ref="P148:P151" si="32">SUM(L148*10)+(M148*8)+(N148*6)+(O148*4)</f>
        <v>0</v>
      </c>
      <c r="Q148" s="29">
        <f t="shared" ref="Q148:Q152" si="33">SUM(L148:O148)</f>
        <v>0</v>
      </c>
      <c r="R148" s="36"/>
      <c r="S148" s="36"/>
      <c r="T148" s="36"/>
      <c r="U148" s="37"/>
      <c r="V148" s="38">
        <f t="shared" ref="V148:V152" si="34">100-(R148+S148+(U148*10)+(T148*20))</f>
        <v>100</v>
      </c>
      <c r="W148" s="51">
        <f t="shared" ref="W148:W152" si="35">J148+P148+V148</f>
        <v>100</v>
      </c>
    </row>
    <row r="149" spans="1:23" s="3" customFormat="1" ht="22.5" hidden="1" customHeight="1" x14ac:dyDescent="0.25">
      <c r="A149" s="50">
        <v>147</v>
      </c>
      <c r="B149" s="4"/>
      <c r="C149" s="5"/>
      <c r="D149" s="5"/>
      <c r="E149" s="5"/>
      <c r="F149" s="18"/>
      <c r="G149" s="18"/>
      <c r="H149" s="18"/>
      <c r="I149" s="18"/>
      <c r="J149" s="19">
        <f t="shared" si="30"/>
        <v>0</v>
      </c>
      <c r="K149" s="20">
        <f t="shared" si="31"/>
        <v>0</v>
      </c>
      <c r="L149" s="27"/>
      <c r="M149" s="27"/>
      <c r="N149" s="27"/>
      <c r="O149" s="27"/>
      <c r="P149" s="28">
        <f t="shared" si="32"/>
        <v>0</v>
      </c>
      <c r="Q149" s="29">
        <f t="shared" si="33"/>
        <v>0</v>
      </c>
      <c r="R149" s="36"/>
      <c r="S149" s="36"/>
      <c r="T149" s="36"/>
      <c r="U149" s="37"/>
      <c r="V149" s="38">
        <f t="shared" si="34"/>
        <v>100</v>
      </c>
      <c r="W149" s="51">
        <f t="shared" si="35"/>
        <v>100</v>
      </c>
    </row>
    <row r="150" spans="1:23" s="3" customFormat="1" ht="22.5" hidden="1" customHeight="1" x14ac:dyDescent="0.25">
      <c r="A150" s="50">
        <v>148</v>
      </c>
      <c r="B150" s="4"/>
      <c r="C150" s="5"/>
      <c r="D150" s="5"/>
      <c r="E150" s="5"/>
      <c r="F150" s="18"/>
      <c r="G150" s="18"/>
      <c r="H150" s="18"/>
      <c r="I150" s="18"/>
      <c r="J150" s="19">
        <f t="shared" si="30"/>
        <v>0</v>
      </c>
      <c r="K150" s="20">
        <f t="shared" si="31"/>
        <v>0</v>
      </c>
      <c r="L150" s="27"/>
      <c r="M150" s="27"/>
      <c r="N150" s="27"/>
      <c r="O150" s="27"/>
      <c r="P150" s="28">
        <f t="shared" si="32"/>
        <v>0</v>
      </c>
      <c r="Q150" s="29">
        <f t="shared" si="33"/>
        <v>0</v>
      </c>
      <c r="R150" s="36"/>
      <c r="S150" s="36"/>
      <c r="T150" s="36"/>
      <c r="U150" s="37"/>
      <c r="V150" s="38">
        <f t="shared" si="34"/>
        <v>100</v>
      </c>
      <c r="W150" s="51">
        <f t="shared" si="35"/>
        <v>100</v>
      </c>
    </row>
    <row r="151" spans="1:23" s="3" customFormat="1" ht="22.5" hidden="1" customHeight="1" x14ac:dyDescent="0.25">
      <c r="A151" s="50">
        <v>149</v>
      </c>
      <c r="B151" s="4"/>
      <c r="C151" s="5"/>
      <c r="D151" s="5"/>
      <c r="E151" s="5"/>
      <c r="F151" s="18"/>
      <c r="G151" s="18"/>
      <c r="H151" s="18"/>
      <c r="I151" s="18"/>
      <c r="J151" s="19">
        <f t="shared" si="30"/>
        <v>0</v>
      </c>
      <c r="K151" s="20">
        <f t="shared" si="31"/>
        <v>0</v>
      </c>
      <c r="L151" s="27"/>
      <c r="M151" s="27"/>
      <c r="N151" s="27"/>
      <c r="O151" s="27"/>
      <c r="P151" s="28">
        <f t="shared" si="32"/>
        <v>0</v>
      </c>
      <c r="Q151" s="29">
        <f t="shared" si="33"/>
        <v>0</v>
      </c>
      <c r="R151" s="36"/>
      <c r="S151" s="36"/>
      <c r="T151" s="36"/>
      <c r="U151" s="37"/>
      <c r="V151" s="38">
        <f t="shared" si="34"/>
        <v>100</v>
      </c>
      <c r="W151" s="51">
        <f t="shared" si="35"/>
        <v>100</v>
      </c>
    </row>
    <row r="152" spans="1:23" s="3" customFormat="1" ht="22.5" hidden="1" customHeight="1" x14ac:dyDescent="0.25">
      <c r="A152" s="52">
        <v>150</v>
      </c>
      <c r="B152" s="53"/>
      <c r="C152" s="54"/>
      <c r="D152" s="54"/>
      <c r="E152" s="54"/>
      <c r="F152" s="55"/>
      <c r="G152" s="55"/>
      <c r="H152" s="55"/>
      <c r="I152" s="55"/>
      <c r="J152" s="56">
        <f t="shared" ref="J152" si="36">SUM(F152*10)+(G152*8)+(H152*6)+(I152*4)</f>
        <v>0</v>
      </c>
      <c r="K152" s="57">
        <f t="shared" si="31"/>
        <v>0</v>
      </c>
      <c r="L152" s="58"/>
      <c r="M152" s="58"/>
      <c r="N152" s="58"/>
      <c r="O152" s="58"/>
      <c r="P152" s="59">
        <f t="shared" ref="P152" si="37">SUM(L152*10)+(M152*8)+(N152*6)+(O152*4)</f>
        <v>0</v>
      </c>
      <c r="Q152" s="60">
        <f t="shared" si="33"/>
        <v>0</v>
      </c>
      <c r="R152" s="61"/>
      <c r="S152" s="61"/>
      <c r="T152" s="61"/>
      <c r="U152" s="62"/>
      <c r="V152" s="63">
        <f t="shared" si="34"/>
        <v>100</v>
      </c>
      <c r="W152" s="64">
        <f t="shared" si="35"/>
        <v>100</v>
      </c>
    </row>
    <row r="153" spans="1:23" x14ac:dyDescent="0.2">
      <c r="A153" s="74"/>
      <c r="B153" s="75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</row>
    <row r="154" spans="1:23" x14ac:dyDescent="0.2">
      <c r="A154" s="74"/>
      <c r="B154" s="75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</row>
    <row r="155" spans="1:23" x14ac:dyDescent="0.2">
      <c r="A155" s="74"/>
      <c r="B155" s="75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</row>
    <row r="156" spans="1:23" x14ac:dyDescent="0.2">
      <c r="A156" s="74"/>
      <c r="B156" s="75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</row>
    <row r="157" spans="1:23" x14ac:dyDescent="0.2">
      <c r="A157" s="74"/>
      <c r="B157" s="75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</row>
    <row r="158" spans="1:23" x14ac:dyDescent="0.2">
      <c r="A158" s="74"/>
      <c r="B158" s="75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</row>
    <row r="159" spans="1:23" x14ac:dyDescent="0.2">
      <c r="A159" s="74"/>
      <c r="B159" s="75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</row>
    <row r="160" spans="1:23" x14ac:dyDescent="0.2">
      <c r="A160" s="74"/>
      <c r="B160" s="75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</row>
    <row r="161" spans="1:23" x14ac:dyDescent="0.2">
      <c r="A161" s="74"/>
      <c r="B161" s="75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</row>
    <row r="162" spans="1:23" x14ac:dyDescent="0.2">
      <c r="A162" s="74"/>
      <c r="B162" s="75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</row>
    <row r="163" spans="1:23" x14ac:dyDescent="0.2">
      <c r="A163" s="74"/>
      <c r="B163" s="75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</row>
    <row r="164" spans="1:23" x14ac:dyDescent="0.2">
      <c r="A164" s="74"/>
      <c r="B164" s="75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</row>
    <row r="165" spans="1:23" x14ac:dyDescent="0.2">
      <c r="A165" s="74"/>
      <c r="B165" s="75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</row>
    <row r="166" spans="1:23" x14ac:dyDescent="0.2">
      <c r="A166" s="74"/>
      <c r="B166" s="75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</row>
    <row r="167" spans="1:23" x14ac:dyDescent="0.2">
      <c r="A167" s="74"/>
      <c r="B167" s="75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</row>
    <row r="168" spans="1:23" x14ac:dyDescent="0.2">
      <c r="A168" s="74"/>
      <c r="B168" s="75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</row>
    <row r="169" spans="1:23" x14ac:dyDescent="0.2">
      <c r="A169" s="74"/>
      <c r="B169" s="75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</row>
    <row r="170" spans="1:23" x14ac:dyDescent="0.2">
      <c r="A170" s="74"/>
      <c r="B170" s="75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</row>
    <row r="171" spans="1:23" x14ac:dyDescent="0.2">
      <c r="A171" s="74"/>
      <c r="B171" s="75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</row>
    <row r="172" spans="1:23" x14ac:dyDescent="0.2">
      <c r="A172" s="74"/>
      <c r="B172" s="75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</row>
    <row r="173" spans="1:23" x14ac:dyDescent="0.2">
      <c r="A173" s="74"/>
      <c r="B173" s="75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</row>
    <row r="174" spans="1:23" x14ac:dyDescent="0.2">
      <c r="A174" s="74"/>
      <c r="B174" s="75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</row>
    <row r="175" spans="1:23" x14ac:dyDescent="0.2">
      <c r="A175" s="74"/>
      <c r="B175" s="75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</row>
    <row r="176" spans="1:23" x14ac:dyDescent="0.2">
      <c r="A176" s="74"/>
      <c r="B176" s="75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</row>
    <row r="177" spans="1:23" x14ac:dyDescent="0.2">
      <c r="A177" s="74"/>
      <c r="B177" s="75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</row>
    <row r="178" spans="1:23" x14ac:dyDescent="0.2">
      <c r="A178" s="74"/>
      <c r="B178" s="75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</row>
    <row r="179" spans="1:23" x14ac:dyDescent="0.2">
      <c r="A179" s="74"/>
      <c r="B179" s="75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</row>
    <row r="180" spans="1:23" x14ac:dyDescent="0.2">
      <c r="A180" s="74"/>
      <c r="B180" s="75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</row>
    <row r="181" spans="1:23" x14ac:dyDescent="0.2">
      <c r="A181" s="74"/>
      <c r="B181" s="75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</row>
    <row r="182" spans="1:23" x14ac:dyDescent="0.2">
      <c r="A182" s="74"/>
      <c r="B182" s="75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</row>
    <row r="183" spans="1:23" x14ac:dyDescent="0.2">
      <c r="A183" s="74"/>
      <c r="B183" s="75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</row>
    <row r="184" spans="1:23" x14ac:dyDescent="0.2">
      <c r="A184" s="74"/>
      <c r="B184" s="75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</row>
    <row r="185" spans="1:23" x14ac:dyDescent="0.2">
      <c r="A185" s="74"/>
      <c r="B185" s="75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</row>
    <row r="186" spans="1:23" x14ac:dyDescent="0.2">
      <c r="A186" s="74"/>
      <c r="B186" s="75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</row>
    <row r="187" spans="1:23" x14ac:dyDescent="0.2">
      <c r="A187" s="74"/>
      <c r="B187" s="75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</row>
    <row r="188" spans="1:23" x14ac:dyDescent="0.2">
      <c r="A188" s="74"/>
      <c r="B188" s="75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</row>
    <row r="189" spans="1:23" x14ac:dyDescent="0.2">
      <c r="A189" s="74"/>
      <c r="B189" s="75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</row>
    <row r="190" spans="1:23" x14ac:dyDescent="0.2">
      <c r="A190" s="74"/>
      <c r="B190" s="75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</row>
    <row r="191" spans="1:23" x14ac:dyDescent="0.2">
      <c r="A191" s="74"/>
      <c r="B191" s="75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</row>
    <row r="192" spans="1:23" x14ac:dyDescent="0.2">
      <c r="A192" s="74"/>
      <c r="B192" s="75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</row>
    <row r="193" spans="1:23" x14ac:dyDescent="0.2">
      <c r="A193" s="74"/>
      <c r="B193" s="75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</row>
    <row r="194" spans="1:23" x14ac:dyDescent="0.2">
      <c r="A194" s="74"/>
      <c r="B194" s="75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</row>
    <row r="195" spans="1:23" x14ac:dyDescent="0.2">
      <c r="A195" s="74"/>
      <c r="B195" s="75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</row>
    <row r="196" spans="1:23" x14ac:dyDescent="0.2">
      <c r="A196" s="74"/>
      <c r="B196" s="75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</row>
    <row r="197" spans="1:23" x14ac:dyDescent="0.2">
      <c r="A197" s="74"/>
      <c r="B197" s="75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</row>
    <row r="198" spans="1:23" x14ac:dyDescent="0.2">
      <c r="A198" s="74"/>
      <c r="B198" s="75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</row>
    <row r="199" spans="1:23" x14ac:dyDescent="0.2">
      <c r="A199" s="74"/>
      <c r="B199" s="75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</row>
    <row r="200" spans="1:23" x14ac:dyDescent="0.2">
      <c r="A200" s="74"/>
      <c r="B200" s="75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</row>
    <row r="201" spans="1:23" x14ac:dyDescent="0.2">
      <c r="A201" s="74"/>
      <c r="B201" s="75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</row>
    <row r="202" spans="1:23" x14ac:dyDescent="0.2">
      <c r="A202" s="74"/>
      <c r="B202" s="75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</row>
    <row r="203" spans="1:23" x14ac:dyDescent="0.2">
      <c r="A203" s="74"/>
      <c r="B203" s="75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</row>
    <row r="204" spans="1:23" x14ac:dyDescent="0.2">
      <c r="A204" s="74"/>
      <c r="B204" s="75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</row>
    <row r="205" spans="1:23" x14ac:dyDescent="0.2">
      <c r="A205" s="74"/>
      <c r="B205" s="75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</row>
    <row r="206" spans="1:23" x14ac:dyDescent="0.2">
      <c r="A206" s="74"/>
      <c r="B206" s="75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</row>
    <row r="207" spans="1:23" x14ac:dyDescent="0.2">
      <c r="A207" s="74"/>
      <c r="B207" s="75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</row>
    <row r="208" spans="1:23" x14ac:dyDescent="0.2">
      <c r="A208" s="74"/>
      <c r="B208" s="75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</row>
    <row r="209" spans="1:23" x14ac:dyDescent="0.2">
      <c r="A209" s="74"/>
      <c r="B209" s="75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</row>
    <row r="210" spans="1:23" x14ac:dyDescent="0.2">
      <c r="A210" s="74"/>
      <c r="B210" s="75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</row>
    <row r="211" spans="1:23" x14ac:dyDescent="0.2">
      <c r="A211" s="74"/>
      <c r="B211" s="75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</row>
    <row r="212" spans="1:23" x14ac:dyDescent="0.2">
      <c r="A212" s="74"/>
      <c r="B212" s="75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</row>
    <row r="213" spans="1:23" x14ac:dyDescent="0.2">
      <c r="A213" s="74"/>
      <c r="B213" s="75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</row>
    <row r="214" spans="1:23" x14ac:dyDescent="0.2">
      <c r="A214" s="74"/>
      <c r="B214" s="75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</row>
    <row r="215" spans="1:23" x14ac:dyDescent="0.2">
      <c r="A215" s="74"/>
      <c r="B215" s="75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</row>
    <row r="216" spans="1:23" x14ac:dyDescent="0.2">
      <c r="A216" s="74"/>
      <c r="B216" s="75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</row>
    <row r="217" spans="1:23" x14ac:dyDescent="0.2">
      <c r="A217" s="74"/>
      <c r="B217" s="75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</row>
    <row r="218" spans="1:23" x14ac:dyDescent="0.2">
      <c r="A218" s="74"/>
      <c r="B218" s="75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</row>
    <row r="219" spans="1:23" x14ac:dyDescent="0.2">
      <c r="A219" s="74"/>
      <c r="B219" s="75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</row>
    <row r="220" spans="1:23" x14ac:dyDescent="0.2">
      <c r="A220" s="74"/>
      <c r="B220" s="75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</row>
    <row r="221" spans="1:23" x14ac:dyDescent="0.2">
      <c r="A221" s="74"/>
      <c r="B221" s="75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</row>
    <row r="222" spans="1:23" x14ac:dyDescent="0.2">
      <c r="A222" s="74"/>
      <c r="B222" s="75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</row>
    <row r="223" spans="1:23" x14ac:dyDescent="0.2">
      <c r="A223" s="74"/>
      <c r="B223" s="75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</row>
    <row r="224" spans="1:23" x14ac:dyDescent="0.2">
      <c r="A224" s="74"/>
      <c r="B224" s="75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</row>
    <row r="225" spans="1:23" x14ac:dyDescent="0.2">
      <c r="A225" s="74"/>
      <c r="B225" s="75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</row>
    <row r="226" spans="1:23" x14ac:dyDescent="0.2">
      <c r="A226" s="74"/>
      <c r="B226" s="75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</row>
    <row r="227" spans="1:23" x14ac:dyDescent="0.2">
      <c r="A227" s="74"/>
      <c r="B227" s="75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</row>
    <row r="228" spans="1:23" x14ac:dyDescent="0.2">
      <c r="A228" s="74"/>
      <c r="B228" s="75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</row>
    <row r="229" spans="1:23" x14ac:dyDescent="0.2">
      <c r="A229" s="74"/>
      <c r="B229" s="75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</row>
    <row r="230" spans="1:23" x14ac:dyDescent="0.2">
      <c r="A230" s="74"/>
      <c r="B230" s="75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</row>
    <row r="231" spans="1:23" x14ac:dyDescent="0.2">
      <c r="A231" s="74"/>
      <c r="B231" s="75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</row>
    <row r="232" spans="1:23" x14ac:dyDescent="0.2">
      <c r="A232" s="74"/>
      <c r="B232" s="75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</row>
    <row r="233" spans="1:23" x14ac:dyDescent="0.2">
      <c r="A233" s="74"/>
      <c r="B233" s="75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</row>
    <row r="234" spans="1:23" x14ac:dyDescent="0.2">
      <c r="A234" s="74"/>
      <c r="B234" s="75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</row>
    <row r="235" spans="1:23" x14ac:dyDescent="0.2">
      <c r="A235" s="74"/>
      <c r="B235" s="75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</row>
    <row r="236" spans="1:23" x14ac:dyDescent="0.2">
      <c r="A236" s="74"/>
      <c r="B236" s="75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</row>
    <row r="237" spans="1:23" x14ac:dyDescent="0.2">
      <c r="A237" s="74"/>
      <c r="B237" s="75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</row>
    <row r="238" spans="1:23" x14ac:dyDescent="0.2">
      <c r="A238" s="74"/>
      <c r="B238" s="75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</row>
    <row r="239" spans="1:23" x14ac:dyDescent="0.2">
      <c r="A239" s="74"/>
      <c r="B239" s="75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</row>
    <row r="240" spans="1:23" x14ac:dyDescent="0.2">
      <c r="A240" s="74"/>
      <c r="B240" s="75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</row>
    <row r="241" spans="1:23" x14ac:dyDescent="0.2">
      <c r="A241" s="74"/>
      <c r="B241" s="75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</row>
    <row r="242" spans="1:23" x14ac:dyDescent="0.2">
      <c r="A242" s="74"/>
      <c r="B242" s="75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</row>
    <row r="243" spans="1:23" x14ac:dyDescent="0.2">
      <c r="A243" s="74"/>
      <c r="B243" s="75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</row>
    <row r="244" spans="1:23" x14ac:dyDescent="0.2">
      <c r="A244" s="74"/>
      <c r="B244" s="75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</row>
    <row r="245" spans="1:23" x14ac:dyDescent="0.2">
      <c r="A245" s="74"/>
      <c r="B245" s="75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</row>
    <row r="246" spans="1:23" x14ac:dyDescent="0.2">
      <c r="A246" s="74"/>
      <c r="B246" s="75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</row>
    <row r="247" spans="1:23" x14ac:dyDescent="0.2">
      <c r="A247" s="74"/>
      <c r="B247" s="75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</row>
    <row r="248" spans="1:23" x14ac:dyDescent="0.2">
      <c r="A248" s="74"/>
      <c r="B248" s="75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</row>
    <row r="249" spans="1:23" x14ac:dyDescent="0.2">
      <c r="A249" s="74"/>
      <c r="B249" s="75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</row>
    <row r="250" spans="1:23" x14ac:dyDescent="0.2">
      <c r="A250" s="74"/>
      <c r="B250" s="75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</row>
    <row r="251" spans="1:23" x14ac:dyDescent="0.2">
      <c r="A251" s="74"/>
      <c r="B251" s="75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</row>
    <row r="252" spans="1:23" x14ac:dyDescent="0.2">
      <c r="A252" s="74"/>
      <c r="B252" s="75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</row>
    <row r="253" spans="1:23" x14ac:dyDescent="0.2">
      <c r="A253" s="74"/>
      <c r="B253" s="75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</row>
    <row r="254" spans="1:23" x14ac:dyDescent="0.2">
      <c r="A254" s="74"/>
      <c r="B254" s="75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</row>
    <row r="255" spans="1:23" x14ac:dyDescent="0.2">
      <c r="A255" s="74"/>
      <c r="B255" s="75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</row>
    <row r="256" spans="1:23" x14ac:dyDescent="0.2">
      <c r="A256" s="74"/>
      <c r="B256" s="75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</row>
    <row r="257" spans="1:23" x14ac:dyDescent="0.2">
      <c r="A257" s="74"/>
      <c r="B257" s="75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</row>
    <row r="258" spans="1:23" x14ac:dyDescent="0.2">
      <c r="A258" s="74"/>
      <c r="B258" s="75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</row>
    <row r="259" spans="1:23" x14ac:dyDescent="0.2">
      <c r="A259" s="74"/>
      <c r="B259" s="75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</row>
    <row r="260" spans="1:23" x14ac:dyDescent="0.2">
      <c r="A260" s="74"/>
      <c r="B260" s="75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</row>
    <row r="261" spans="1:23" x14ac:dyDescent="0.2">
      <c r="A261" s="74"/>
      <c r="B261" s="75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</row>
    <row r="262" spans="1:23" x14ac:dyDescent="0.2">
      <c r="A262" s="74"/>
      <c r="B262" s="75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</row>
    <row r="263" spans="1:23" x14ac:dyDescent="0.2">
      <c r="A263" s="74"/>
      <c r="B263" s="75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</row>
    <row r="264" spans="1:23" x14ac:dyDescent="0.2">
      <c r="A264" s="74"/>
      <c r="B264" s="75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</row>
    <row r="265" spans="1:23" x14ac:dyDescent="0.2">
      <c r="A265" s="74"/>
      <c r="B265" s="75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</row>
    <row r="266" spans="1:23" x14ac:dyDescent="0.2">
      <c r="A266" s="74"/>
      <c r="B266" s="75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</row>
    <row r="267" spans="1:23" x14ac:dyDescent="0.2">
      <c r="A267" s="74"/>
      <c r="B267" s="75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</row>
    <row r="268" spans="1:23" x14ac:dyDescent="0.2">
      <c r="A268" s="74"/>
      <c r="B268" s="75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</row>
    <row r="269" spans="1:23" x14ac:dyDescent="0.2">
      <c r="A269" s="74"/>
      <c r="B269" s="75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</row>
    <row r="270" spans="1:23" x14ac:dyDescent="0.2">
      <c r="A270" s="74"/>
      <c r="B270" s="75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</row>
    <row r="271" spans="1:23" x14ac:dyDescent="0.2">
      <c r="A271" s="74"/>
      <c r="B271" s="75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</row>
    <row r="272" spans="1:23" x14ac:dyDescent="0.2">
      <c r="A272" s="74"/>
      <c r="B272" s="75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</row>
    <row r="273" spans="1:23" x14ac:dyDescent="0.2">
      <c r="A273" s="74"/>
      <c r="B273" s="75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</row>
    <row r="274" spans="1:23" x14ac:dyDescent="0.2">
      <c r="A274" s="74"/>
      <c r="B274" s="75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</row>
    <row r="275" spans="1:23" x14ac:dyDescent="0.2">
      <c r="A275" s="74"/>
      <c r="B275" s="75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</row>
    <row r="276" spans="1:23" x14ac:dyDescent="0.2">
      <c r="A276" s="74"/>
      <c r="B276" s="75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</row>
    <row r="277" spans="1:23" x14ac:dyDescent="0.2">
      <c r="A277" s="74"/>
      <c r="B277" s="75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</row>
    <row r="278" spans="1:23" x14ac:dyDescent="0.2">
      <c r="A278" s="74"/>
      <c r="B278" s="75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</row>
    <row r="279" spans="1:23" x14ac:dyDescent="0.2">
      <c r="A279" s="74"/>
      <c r="B279" s="75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</row>
    <row r="280" spans="1:23" x14ac:dyDescent="0.2">
      <c r="A280" s="74"/>
      <c r="B280" s="75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</row>
    <row r="281" spans="1:23" x14ac:dyDescent="0.2">
      <c r="A281" s="74"/>
      <c r="B281" s="75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</row>
    <row r="282" spans="1:23" x14ac:dyDescent="0.2">
      <c r="A282" s="74"/>
      <c r="B282" s="75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</row>
    <row r="283" spans="1:23" x14ac:dyDescent="0.2">
      <c r="A283" s="74"/>
      <c r="B283" s="75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</row>
    <row r="284" spans="1:23" x14ac:dyDescent="0.2">
      <c r="A284" s="74"/>
      <c r="B284" s="75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</row>
    <row r="285" spans="1:23" x14ac:dyDescent="0.2">
      <c r="A285" s="74"/>
      <c r="B285" s="75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</row>
    <row r="286" spans="1:23" x14ac:dyDescent="0.2">
      <c r="A286" s="74"/>
      <c r="B286" s="75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</row>
    <row r="287" spans="1:23" x14ac:dyDescent="0.2">
      <c r="A287" s="74"/>
      <c r="B287" s="75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</row>
    <row r="288" spans="1:23" x14ac:dyDescent="0.2">
      <c r="A288" s="74"/>
      <c r="B288" s="75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</row>
    <row r="289" spans="1:23" x14ac:dyDescent="0.2">
      <c r="A289" s="74"/>
      <c r="B289" s="75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</row>
    <row r="290" spans="1:23" x14ac:dyDescent="0.2">
      <c r="A290" s="74"/>
      <c r="B290" s="75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</row>
    <row r="291" spans="1:23" x14ac:dyDescent="0.2">
      <c r="A291" s="74"/>
      <c r="B291" s="75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</row>
    <row r="292" spans="1:23" x14ac:dyDescent="0.2">
      <c r="A292" s="74"/>
      <c r="B292" s="75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</row>
    <row r="293" spans="1:23" x14ac:dyDescent="0.2">
      <c r="A293" s="74"/>
      <c r="B293" s="75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</row>
    <row r="294" spans="1:23" x14ac:dyDescent="0.2">
      <c r="A294" s="74"/>
      <c r="B294" s="75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</row>
    <row r="295" spans="1:23" x14ac:dyDescent="0.2">
      <c r="A295" s="74"/>
      <c r="B295" s="75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</row>
    <row r="296" spans="1:23" x14ac:dyDescent="0.2">
      <c r="A296" s="74"/>
      <c r="B296" s="75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</row>
    <row r="297" spans="1:23" x14ac:dyDescent="0.2">
      <c r="A297" s="74"/>
      <c r="B297" s="75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</row>
    <row r="298" spans="1:23" x14ac:dyDescent="0.2">
      <c r="A298" s="74"/>
      <c r="B298" s="75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</row>
    <row r="299" spans="1:23" x14ac:dyDescent="0.2">
      <c r="A299" s="74"/>
      <c r="B299" s="75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</row>
    <row r="300" spans="1:23" x14ac:dyDescent="0.2">
      <c r="A300" s="74"/>
      <c r="B300" s="75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</row>
    <row r="301" spans="1:23" x14ac:dyDescent="0.2">
      <c r="A301" s="74"/>
      <c r="B301" s="75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</row>
    <row r="302" spans="1:23" x14ac:dyDescent="0.2">
      <c r="A302" s="74"/>
      <c r="B302" s="75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</row>
    <row r="303" spans="1:23" x14ac:dyDescent="0.2">
      <c r="A303" s="74"/>
      <c r="B303" s="75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</row>
    <row r="304" spans="1:23" x14ac:dyDescent="0.2">
      <c r="A304" s="74"/>
      <c r="B304" s="75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</row>
    <row r="305" spans="1:23" x14ac:dyDescent="0.2">
      <c r="A305" s="74"/>
      <c r="B305" s="75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</row>
    <row r="306" spans="1:23" x14ac:dyDescent="0.2">
      <c r="A306" s="74"/>
      <c r="B306" s="75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</row>
    <row r="307" spans="1:23" x14ac:dyDescent="0.2">
      <c r="A307" s="74"/>
      <c r="B307" s="75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</row>
    <row r="308" spans="1:23" x14ac:dyDescent="0.2">
      <c r="A308" s="74"/>
      <c r="B308" s="75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</row>
    <row r="309" spans="1:23" x14ac:dyDescent="0.2">
      <c r="A309" s="74"/>
      <c r="B309" s="75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</row>
    <row r="310" spans="1:23" x14ac:dyDescent="0.2">
      <c r="A310" s="74"/>
      <c r="B310" s="75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</row>
    <row r="311" spans="1:23" x14ac:dyDescent="0.2">
      <c r="A311" s="74"/>
      <c r="B311" s="75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</row>
    <row r="312" spans="1:23" x14ac:dyDescent="0.2">
      <c r="A312" s="74"/>
      <c r="B312" s="75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</row>
    <row r="313" spans="1:23" x14ac:dyDescent="0.2">
      <c r="A313" s="74"/>
      <c r="B313" s="75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</row>
    <row r="314" spans="1:23" x14ac:dyDescent="0.2">
      <c r="A314" s="74"/>
      <c r="B314" s="75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</row>
    <row r="315" spans="1:23" x14ac:dyDescent="0.2">
      <c r="A315" s="74"/>
      <c r="B315" s="75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</row>
    <row r="316" spans="1:23" x14ac:dyDescent="0.2">
      <c r="A316" s="74"/>
      <c r="B316" s="75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</row>
    <row r="317" spans="1:23" x14ac:dyDescent="0.2">
      <c r="A317" s="74"/>
      <c r="B317" s="75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</row>
    <row r="318" spans="1:23" x14ac:dyDescent="0.2">
      <c r="A318" s="74"/>
      <c r="B318" s="75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</row>
    <row r="319" spans="1:23" x14ac:dyDescent="0.2">
      <c r="A319" s="74"/>
      <c r="B319" s="75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</row>
    <row r="320" spans="1:23" x14ac:dyDescent="0.2">
      <c r="A320" s="74"/>
      <c r="B320" s="75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</row>
    <row r="321" spans="1:23" x14ac:dyDescent="0.2">
      <c r="A321" s="74"/>
      <c r="B321" s="75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</row>
    <row r="322" spans="1:23" x14ac:dyDescent="0.2">
      <c r="A322" s="74"/>
      <c r="B322" s="75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</row>
    <row r="323" spans="1:23" x14ac:dyDescent="0.2">
      <c r="A323" s="74"/>
      <c r="B323" s="75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</row>
    <row r="324" spans="1:23" x14ac:dyDescent="0.2">
      <c r="A324" s="74"/>
      <c r="B324" s="75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</row>
    <row r="325" spans="1:23" x14ac:dyDescent="0.2">
      <c r="A325" s="74"/>
      <c r="B325" s="75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</row>
    <row r="326" spans="1:23" x14ac:dyDescent="0.2">
      <c r="A326" s="74"/>
      <c r="B326" s="75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</row>
    <row r="327" spans="1:23" x14ac:dyDescent="0.2">
      <c r="A327" s="74"/>
      <c r="B327" s="75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</row>
    <row r="328" spans="1:23" x14ac:dyDescent="0.2">
      <c r="A328" s="74"/>
      <c r="B328" s="75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</row>
    <row r="329" spans="1:23" x14ac:dyDescent="0.2">
      <c r="A329" s="74"/>
      <c r="B329" s="75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</row>
    <row r="330" spans="1:23" x14ac:dyDescent="0.2">
      <c r="A330" s="74"/>
      <c r="B330" s="75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</row>
    <row r="331" spans="1:23" x14ac:dyDescent="0.2">
      <c r="A331" s="74"/>
      <c r="B331" s="75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</row>
    <row r="332" spans="1:23" x14ac:dyDescent="0.2">
      <c r="A332" s="74"/>
      <c r="B332" s="75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</row>
    <row r="333" spans="1:23" x14ac:dyDescent="0.2">
      <c r="A333" s="74"/>
      <c r="B333" s="75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</row>
    <row r="334" spans="1:23" x14ac:dyDescent="0.2">
      <c r="A334" s="74"/>
      <c r="B334" s="75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</row>
    <row r="335" spans="1:23" x14ac:dyDescent="0.2">
      <c r="A335" s="74"/>
      <c r="B335" s="75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</row>
    <row r="336" spans="1:23" x14ac:dyDescent="0.2">
      <c r="A336" s="74"/>
      <c r="B336" s="75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</row>
    <row r="337" spans="1:23" x14ac:dyDescent="0.2">
      <c r="A337" s="74"/>
      <c r="B337" s="75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</row>
    <row r="338" spans="1:23" x14ac:dyDescent="0.2">
      <c r="A338" s="74"/>
      <c r="B338" s="75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</row>
    <row r="339" spans="1:23" x14ac:dyDescent="0.2">
      <c r="A339" s="74"/>
      <c r="B339" s="75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</row>
    <row r="340" spans="1:23" x14ac:dyDescent="0.2">
      <c r="A340" s="74"/>
      <c r="B340" s="75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</row>
    <row r="341" spans="1:23" x14ac:dyDescent="0.2">
      <c r="A341" s="74"/>
      <c r="B341" s="75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</row>
    <row r="342" spans="1:23" x14ac:dyDescent="0.2">
      <c r="A342" s="74"/>
      <c r="B342" s="75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</row>
    <row r="343" spans="1:23" x14ac:dyDescent="0.2">
      <c r="A343" s="74"/>
      <c r="B343" s="75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</row>
    <row r="344" spans="1:23" x14ac:dyDescent="0.2">
      <c r="A344" s="74"/>
      <c r="B344" s="75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</row>
    <row r="345" spans="1:23" x14ac:dyDescent="0.2">
      <c r="A345" s="74"/>
      <c r="B345" s="75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</row>
    <row r="346" spans="1:23" x14ac:dyDescent="0.2">
      <c r="A346" s="74"/>
      <c r="B346" s="75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</row>
    <row r="347" spans="1:23" x14ac:dyDescent="0.2">
      <c r="A347" s="74"/>
      <c r="B347" s="75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</row>
    <row r="348" spans="1:23" x14ac:dyDescent="0.2">
      <c r="A348" s="74"/>
      <c r="B348" s="75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</row>
    <row r="349" spans="1:23" x14ac:dyDescent="0.2">
      <c r="A349" s="74"/>
      <c r="B349" s="75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</row>
    <row r="350" spans="1:23" x14ac:dyDescent="0.2">
      <c r="A350" s="74"/>
      <c r="B350" s="75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</row>
    <row r="351" spans="1:23" x14ac:dyDescent="0.2">
      <c r="A351" s="74"/>
      <c r="B351" s="75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</row>
    <row r="352" spans="1:23" x14ac:dyDescent="0.2">
      <c r="A352" s="74"/>
      <c r="B352" s="75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</row>
    <row r="353" spans="1:23" x14ac:dyDescent="0.2">
      <c r="A353" s="74"/>
      <c r="B353" s="75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</row>
    <row r="354" spans="1:23" x14ac:dyDescent="0.2">
      <c r="A354" s="74"/>
      <c r="B354" s="75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</row>
    <row r="355" spans="1:23" x14ac:dyDescent="0.2">
      <c r="A355" s="74"/>
      <c r="B355" s="75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</row>
    <row r="356" spans="1:23" x14ac:dyDescent="0.2">
      <c r="A356" s="74"/>
      <c r="B356" s="75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</row>
    <row r="357" spans="1:23" x14ac:dyDescent="0.2">
      <c r="A357" s="74"/>
      <c r="B357" s="75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</row>
    <row r="358" spans="1:23" x14ac:dyDescent="0.2">
      <c r="A358" s="74"/>
      <c r="B358" s="75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</row>
    <row r="359" spans="1:23" x14ac:dyDescent="0.2">
      <c r="A359" s="74"/>
      <c r="B359" s="75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</row>
    <row r="360" spans="1:23" x14ac:dyDescent="0.2">
      <c r="A360" s="74"/>
      <c r="B360" s="75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</row>
    <row r="361" spans="1:23" x14ac:dyDescent="0.2">
      <c r="A361" s="74"/>
      <c r="B361" s="75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</row>
    <row r="362" spans="1:23" x14ac:dyDescent="0.2">
      <c r="A362" s="74"/>
      <c r="B362" s="75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</row>
    <row r="363" spans="1:23" x14ac:dyDescent="0.2">
      <c r="A363" s="74"/>
      <c r="B363" s="75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</row>
    <row r="364" spans="1:23" x14ac:dyDescent="0.2">
      <c r="A364" s="74"/>
      <c r="B364" s="75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</row>
    <row r="365" spans="1:23" x14ac:dyDescent="0.2">
      <c r="A365" s="74"/>
      <c r="B365" s="75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</row>
    <row r="366" spans="1:23" x14ac:dyDescent="0.2">
      <c r="A366" s="74"/>
      <c r="B366" s="75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</row>
    <row r="367" spans="1:23" x14ac:dyDescent="0.2">
      <c r="A367" s="74"/>
      <c r="B367" s="75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</row>
    <row r="368" spans="1:23" x14ac:dyDescent="0.2">
      <c r="A368" s="74"/>
      <c r="B368" s="75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</row>
    <row r="369" spans="1:23" x14ac:dyDescent="0.2">
      <c r="A369" s="74"/>
      <c r="B369" s="75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</row>
    <row r="370" spans="1:23" x14ac:dyDescent="0.2">
      <c r="A370" s="74"/>
      <c r="B370" s="75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</row>
    <row r="371" spans="1:23" x14ac:dyDescent="0.2">
      <c r="A371" s="74"/>
      <c r="B371" s="75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</row>
    <row r="372" spans="1:23" x14ac:dyDescent="0.2">
      <c r="A372" s="74"/>
      <c r="B372" s="75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</row>
    <row r="373" spans="1:23" x14ac:dyDescent="0.2">
      <c r="A373" s="74"/>
      <c r="B373" s="75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</row>
    <row r="374" spans="1:23" x14ac:dyDescent="0.2">
      <c r="A374" s="74"/>
      <c r="B374" s="75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</row>
    <row r="375" spans="1:23" x14ac:dyDescent="0.2">
      <c r="A375" s="74"/>
      <c r="B375" s="75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</row>
    <row r="376" spans="1:23" x14ac:dyDescent="0.2">
      <c r="A376" s="74"/>
      <c r="B376" s="75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</row>
    <row r="377" spans="1:23" x14ac:dyDescent="0.2">
      <c r="A377" s="74"/>
      <c r="B377" s="75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</row>
    <row r="378" spans="1:23" x14ac:dyDescent="0.2">
      <c r="A378" s="74"/>
      <c r="B378" s="75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</row>
    <row r="379" spans="1:23" x14ac:dyDescent="0.2">
      <c r="A379" s="74"/>
      <c r="B379" s="75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</row>
    <row r="380" spans="1:23" x14ac:dyDescent="0.2">
      <c r="A380" s="74"/>
      <c r="B380" s="75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</row>
    <row r="381" spans="1:23" x14ac:dyDescent="0.2">
      <c r="A381" s="74"/>
      <c r="B381" s="75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</row>
    <row r="382" spans="1:23" x14ac:dyDescent="0.2">
      <c r="A382" s="74"/>
      <c r="B382" s="75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</row>
    <row r="383" spans="1:23" x14ac:dyDescent="0.2">
      <c r="A383" s="74"/>
      <c r="B383" s="75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</row>
    <row r="384" spans="1:23" x14ac:dyDescent="0.2">
      <c r="A384" s="74"/>
      <c r="B384" s="75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</row>
    <row r="385" spans="1:23" x14ac:dyDescent="0.2">
      <c r="A385" s="74"/>
      <c r="B385" s="75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</row>
    <row r="386" spans="1:23" x14ac:dyDescent="0.2">
      <c r="A386" s="74"/>
      <c r="B386" s="75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</row>
    <row r="387" spans="1:23" x14ac:dyDescent="0.2">
      <c r="A387" s="74"/>
      <c r="B387" s="75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</row>
    <row r="388" spans="1:23" x14ac:dyDescent="0.2">
      <c r="A388" s="74"/>
      <c r="B388" s="75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</row>
    <row r="389" spans="1:23" x14ac:dyDescent="0.2">
      <c r="A389" s="74"/>
      <c r="B389" s="75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</row>
    <row r="390" spans="1:23" x14ac:dyDescent="0.2">
      <c r="A390" s="74"/>
      <c r="B390" s="75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</row>
    <row r="391" spans="1:23" x14ac:dyDescent="0.2">
      <c r="A391" s="74"/>
      <c r="B391" s="75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</row>
    <row r="392" spans="1:23" x14ac:dyDescent="0.2">
      <c r="A392" s="74"/>
      <c r="B392" s="75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</row>
    <row r="393" spans="1:23" x14ac:dyDescent="0.2">
      <c r="A393" s="74"/>
      <c r="B393" s="75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</row>
    <row r="394" spans="1:23" x14ac:dyDescent="0.2">
      <c r="A394" s="74"/>
      <c r="B394" s="75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</row>
    <row r="395" spans="1:23" x14ac:dyDescent="0.2">
      <c r="A395" s="74"/>
      <c r="B395" s="75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</row>
    <row r="396" spans="1:23" x14ac:dyDescent="0.2">
      <c r="A396" s="74"/>
      <c r="B396" s="75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</row>
    <row r="397" spans="1:23" x14ac:dyDescent="0.2">
      <c r="A397" s="74"/>
      <c r="B397" s="75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</row>
    <row r="398" spans="1:23" x14ac:dyDescent="0.2">
      <c r="A398" s="74"/>
      <c r="B398" s="75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</row>
    <row r="399" spans="1:23" x14ac:dyDescent="0.2">
      <c r="A399" s="74"/>
      <c r="B399" s="75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</row>
    <row r="400" spans="1:23" x14ac:dyDescent="0.2">
      <c r="A400" s="74"/>
      <c r="B400" s="75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</row>
    <row r="401" spans="1:23" x14ac:dyDescent="0.2">
      <c r="A401" s="74"/>
      <c r="B401" s="75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</row>
    <row r="402" spans="1:23" x14ac:dyDescent="0.2">
      <c r="A402" s="74"/>
      <c r="B402" s="75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</row>
    <row r="403" spans="1:23" x14ac:dyDescent="0.2">
      <c r="A403" s="74"/>
      <c r="B403" s="75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</row>
    <row r="404" spans="1:23" x14ac:dyDescent="0.2">
      <c r="A404" s="74"/>
      <c r="B404" s="75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</row>
    <row r="405" spans="1:23" x14ac:dyDescent="0.2">
      <c r="A405" s="74"/>
      <c r="B405" s="75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</row>
    <row r="406" spans="1:23" x14ac:dyDescent="0.2">
      <c r="A406" s="74"/>
      <c r="B406" s="75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</row>
    <row r="407" spans="1:23" x14ac:dyDescent="0.2">
      <c r="A407" s="74"/>
      <c r="B407" s="75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</row>
    <row r="408" spans="1:23" x14ac:dyDescent="0.2">
      <c r="A408" s="74"/>
      <c r="B408" s="75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</row>
    <row r="409" spans="1:23" x14ac:dyDescent="0.2">
      <c r="A409" s="74"/>
      <c r="B409" s="75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</row>
    <row r="410" spans="1:23" x14ac:dyDescent="0.2">
      <c r="A410" s="74"/>
      <c r="B410" s="75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</row>
    <row r="411" spans="1:23" x14ac:dyDescent="0.2">
      <c r="A411" s="74"/>
      <c r="B411" s="75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</row>
    <row r="412" spans="1:23" x14ac:dyDescent="0.2">
      <c r="A412" s="74"/>
      <c r="B412" s="75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</row>
    <row r="413" spans="1:23" x14ac:dyDescent="0.2">
      <c r="A413" s="74"/>
      <c r="B413" s="75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</row>
    <row r="414" spans="1:23" x14ac:dyDescent="0.2">
      <c r="A414" s="74"/>
      <c r="B414" s="75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</row>
    <row r="415" spans="1:23" x14ac:dyDescent="0.2">
      <c r="A415" s="74"/>
      <c r="B415" s="75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</row>
    <row r="416" spans="1:23" x14ac:dyDescent="0.2">
      <c r="A416" s="74"/>
      <c r="B416" s="75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</row>
    <row r="417" spans="1:23" x14ac:dyDescent="0.2">
      <c r="A417" s="74"/>
      <c r="B417" s="75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</row>
    <row r="418" spans="1:23" x14ac:dyDescent="0.2">
      <c r="A418" s="74"/>
      <c r="B418" s="75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</row>
    <row r="419" spans="1:23" x14ac:dyDescent="0.2">
      <c r="A419" s="74"/>
      <c r="B419" s="75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</row>
    <row r="420" spans="1:23" x14ac:dyDescent="0.2">
      <c r="A420" s="74"/>
      <c r="B420" s="75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</row>
    <row r="421" spans="1:23" x14ac:dyDescent="0.2">
      <c r="A421" s="74"/>
      <c r="B421" s="75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</row>
    <row r="422" spans="1:23" x14ac:dyDescent="0.2">
      <c r="A422" s="74"/>
      <c r="B422" s="75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</row>
    <row r="423" spans="1:23" x14ac:dyDescent="0.2">
      <c r="A423" s="74"/>
      <c r="B423" s="75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</row>
    <row r="424" spans="1:23" x14ac:dyDescent="0.2">
      <c r="A424" s="74"/>
      <c r="B424" s="75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</row>
    <row r="425" spans="1:23" x14ac:dyDescent="0.2">
      <c r="A425" s="74"/>
      <c r="B425" s="75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</row>
    <row r="426" spans="1:23" x14ac:dyDescent="0.2">
      <c r="A426" s="74"/>
      <c r="B426" s="75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</row>
    <row r="427" spans="1:23" x14ac:dyDescent="0.2">
      <c r="A427" s="74"/>
      <c r="B427" s="75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</row>
    <row r="428" spans="1:23" x14ac:dyDescent="0.2">
      <c r="A428" s="74"/>
      <c r="B428" s="75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</row>
    <row r="429" spans="1:23" x14ac:dyDescent="0.2">
      <c r="A429" s="74"/>
      <c r="B429" s="75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</row>
    <row r="430" spans="1:23" x14ac:dyDescent="0.2">
      <c r="A430" s="74"/>
      <c r="B430" s="75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</row>
    <row r="431" spans="1:23" x14ac:dyDescent="0.2">
      <c r="A431" s="74"/>
      <c r="B431" s="75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</row>
    <row r="432" spans="1:23" x14ac:dyDescent="0.2">
      <c r="A432" s="74"/>
      <c r="B432" s="75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</row>
    <row r="433" spans="1:23" x14ac:dyDescent="0.2">
      <c r="A433" s="74"/>
      <c r="B433" s="75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</row>
    <row r="434" spans="1:23" x14ac:dyDescent="0.2">
      <c r="A434" s="74"/>
      <c r="B434" s="75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</row>
    <row r="435" spans="1:23" x14ac:dyDescent="0.2">
      <c r="A435" s="74"/>
      <c r="B435" s="75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</row>
    <row r="436" spans="1:23" x14ac:dyDescent="0.2">
      <c r="A436" s="74"/>
      <c r="B436" s="75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</row>
    <row r="437" spans="1:23" x14ac:dyDescent="0.2">
      <c r="A437" s="74"/>
      <c r="B437" s="75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</row>
    <row r="438" spans="1:23" x14ac:dyDescent="0.2">
      <c r="A438" s="74"/>
      <c r="B438" s="75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</row>
    <row r="439" spans="1:23" x14ac:dyDescent="0.2">
      <c r="A439" s="74"/>
      <c r="B439" s="75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</row>
    <row r="440" spans="1:23" x14ac:dyDescent="0.2">
      <c r="A440" s="74"/>
      <c r="B440" s="75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</row>
    <row r="441" spans="1:23" x14ac:dyDescent="0.2">
      <c r="A441" s="74"/>
      <c r="B441" s="75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</row>
    <row r="442" spans="1:23" x14ac:dyDescent="0.2">
      <c r="A442" s="74"/>
      <c r="B442" s="75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</row>
    <row r="443" spans="1:23" x14ac:dyDescent="0.2">
      <c r="A443" s="74"/>
      <c r="B443" s="75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</row>
    <row r="444" spans="1:23" x14ac:dyDescent="0.2">
      <c r="A444" s="74"/>
      <c r="B444" s="75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</row>
    <row r="445" spans="1:23" x14ac:dyDescent="0.2">
      <c r="A445" s="74"/>
      <c r="B445" s="75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</row>
    <row r="446" spans="1:23" x14ac:dyDescent="0.2">
      <c r="A446" s="74"/>
      <c r="B446" s="75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</row>
    <row r="447" spans="1:23" x14ac:dyDescent="0.2">
      <c r="A447" s="74"/>
      <c r="B447" s="75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</row>
    <row r="448" spans="1:23" x14ac:dyDescent="0.2">
      <c r="A448" s="74"/>
      <c r="B448" s="75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</row>
    <row r="449" spans="1:23" x14ac:dyDescent="0.2">
      <c r="A449" s="74"/>
      <c r="B449" s="75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</row>
    <row r="450" spans="1:23" x14ac:dyDescent="0.2">
      <c r="A450" s="74"/>
      <c r="B450" s="75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</row>
    <row r="451" spans="1:23" x14ac:dyDescent="0.2">
      <c r="A451" s="74"/>
      <c r="B451" s="75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</row>
    <row r="452" spans="1:23" x14ac:dyDescent="0.2">
      <c r="A452" s="74"/>
      <c r="B452" s="75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</row>
    <row r="453" spans="1:23" x14ac:dyDescent="0.2">
      <c r="A453" s="74"/>
      <c r="B453" s="75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</row>
    <row r="454" spans="1:23" x14ac:dyDescent="0.2">
      <c r="A454" s="74"/>
      <c r="B454" s="75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</row>
    <row r="455" spans="1:23" x14ac:dyDescent="0.2">
      <c r="A455" s="74"/>
      <c r="B455" s="75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</row>
    <row r="456" spans="1:23" x14ac:dyDescent="0.2">
      <c r="A456" s="74"/>
      <c r="B456" s="75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</row>
    <row r="457" spans="1:23" x14ac:dyDescent="0.2">
      <c r="A457" s="74"/>
      <c r="B457" s="75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</row>
    <row r="458" spans="1:23" x14ac:dyDescent="0.2">
      <c r="A458" s="74"/>
      <c r="B458" s="75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</row>
    <row r="459" spans="1:23" x14ac:dyDescent="0.2">
      <c r="A459" s="74"/>
      <c r="B459" s="75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</row>
    <row r="460" spans="1:23" x14ac:dyDescent="0.2">
      <c r="A460" s="74"/>
      <c r="B460" s="75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</row>
    <row r="461" spans="1:23" x14ac:dyDescent="0.2">
      <c r="A461" s="74"/>
      <c r="B461" s="75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</row>
    <row r="462" spans="1:23" x14ac:dyDescent="0.2">
      <c r="A462" s="74"/>
      <c r="B462" s="75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</row>
    <row r="463" spans="1:23" x14ac:dyDescent="0.2">
      <c r="A463" s="74"/>
      <c r="B463" s="75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</row>
    <row r="464" spans="1:23" x14ac:dyDescent="0.2">
      <c r="A464" s="74"/>
      <c r="B464" s="75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</row>
    <row r="465" spans="1:23" x14ac:dyDescent="0.2">
      <c r="A465" s="74"/>
      <c r="B465" s="75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</row>
    <row r="466" spans="1:23" x14ac:dyDescent="0.2">
      <c r="A466" s="74"/>
      <c r="B466" s="75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</row>
    <row r="467" spans="1:23" x14ac:dyDescent="0.2">
      <c r="A467" s="74"/>
      <c r="B467" s="75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</row>
    <row r="468" spans="1:23" x14ac:dyDescent="0.2">
      <c r="A468" s="74"/>
      <c r="B468" s="75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</row>
    <row r="469" spans="1:23" x14ac:dyDescent="0.2">
      <c r="A469" s="74"/>
      <c r="B469" s="75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</row>
    <row r="470" spans="1:23" x14ac:dyDescent="0.2">
      <c r="A470" s="74"/>
      <c r="B470" s="75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</row>
    <row r="471" spans="1:23" x14ac:dyDescent="0.2">
      <c r="A471" s="74"/>
      <c r="B471" s="75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</row>
    <row r="472" spans="1:23" x14ac:dyDescent="0.2">
      <c r="A472" s="74"/>
      <c r="B472" s="75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</row>
    <row r="473" spans="1:23" x14ac:dyDescent="0.2">
      <c r="A473" s="74"/>
      <c r="B473" s="75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</row>
    <row r="474" spans="1:23" x14ac:dyDescent="0.2">
      <c r="A474" s="74"/>
      <c r="B474" s="75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</row>
    <row r="475" spans="1:23" x14ac:dyDescent="0.2">
      <c r="A475" s="74"/>
      <c r="B475" s="75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</row>
    <row r="476" spans="1:23" x14ac:dyDescent="0.2">
      <c r="A476" s="74"/>
      <c r="B476" s="75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</row>
    <row r="477" spans="1:23" x14ac:dyDescent="0.2">
      <c r="A477" s="74"/>
      <c r="B477" s="75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</row>
    <row r="478" spans="1:23" x14ac:dyDescent="0.2">
      <c r="A478" s="74"/>
      <c r="B478" s="75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</row>
    <row r="479" spans="1:23" x14ac:dyDescent="0.2">
      <c r="A479" s="74"/>
      <c r="B479" s="75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</row>
    <row r="480" spans="1:23" x14ac:dyDescent="0.2">
      <c r="A480" s="74"/>
      <c r="B480" s="75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</row>
    <row r="481" spans="1:23" x14ac:dyDescent="0.2">
      <c r="A481" s="74"/>
      <c r="B481" s="75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</row>
    <row r="482" spans="1:23" x14ac:dyDescent="0.2">
      <c r="A482" s="74"/>
      <c r="B482" s="75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</row>
    <row r="483" spans="1:23" x14ac:dyDescent="0.2">
      <c r="A483" s="74"/>
      <c r="B483" s="75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</row>
    <row r="484" spans="1:23" x14ac:dyDescent="0.2">
      <c r="A484" s="74"/>
      <c r="B484" s="75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</row>
    <row r="485" spans="1:23" x14ac:dyDescent="0.2">
      <c r="A485" s="74"/>
      <c r="B485" s="75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</row>
    <row r="486" spans="1:23" x14ac:dyDescent="0.2">
      <c r="A486" s="74"/>
      <c r="B486" s="75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</row>
    <row r="487" spans="1:23" x14ac:dyDescent="0.2">
      <c r="A487" s="74"/>
      <c r="B487" s="75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</row>
    <row r="488" spans="1:23" x14ac:dyDescent="0.2">
      <c r="A488" s="74"/>
      <c r="B488" s="75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</row>
    <row r="489" spans="1:23" x14ac:dyDescent="0.2">
      <c r="A489" s="74"/>
      <c r="B489" s="75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</row>
    <row r="490" spans="1:23" x14ac:dyDescent="0.2">
      <c r="A490" s="74"/>
      <c r="B490" s="75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</row>
    <row r="491" spans="1:23" x14ac:dyDescent="0.2">
      <c r="A491" s="74"/>
      <c r="B491" s="75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</row>
    <row r="492" spans="1:23" x14ac:dyDescent="0.2">
      <c r="A492" s="74"/>
      <c r="B492" s="75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</row>
    <row r="493" spans="1:23" x14ac:dyDescent="0.2">
      <c r="A493" s="74"/>
      <c r="B493" s="75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</row>
    <row r="494" spans="1:23" x14ac:dyDescent="0.2">
      <c r="A494" s="74"/>
      <c r="B494" s="75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</row>
    <row r="495" spans="1:23" x14ac:dyDescent="0.2">
      <c r="A495" s="74"/>
      <c r="B495" s="75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</row>
    <row r="496" spans="1:23" x14ac:dyDescent="0.2">
      <c r="A496" s="74"/>
      <c r="B496" s="75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</row>
    <row r="497" spans="1:23" x14ac:dyDescent="0.2">
      <c r="A497" s="74"/>
      <c r="B497" s="75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</row>
    <row r="498" spans="1:23" x14ac:dyDescent="0.2">
      <c r="A498" s="74"/>
      <c r="B498" s="75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</row>
    <row r="499" spans="1:23" x14ac:dyDescent="0.2">
      <c r="A499" s="74"/>
      <c r="B499" s="75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</row>
    <row r="500" spans="1:23" x14ac:dyDescent="0.2">
      <c r="A500" s="74"/>
      <c r="B500" s="75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</row>
    <row r="501" spans="1:23" x14ac:dyDescent="0.2">
      <c r="A501" s="74"/>
      <c r="B501" s="75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</row>
    <row r="502" spans="1:23" x14ac:dyDescent="0.2">
      <c r="A502" s="74"/>
      <c r="B502" s="75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</row>
    <row r="503" spans="1:23" x14ac:dyDescent="0.2">
      <c r="A503" s="74"/>
      <c r="B503" s="75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</row>
    <row r="504" spans="1:23" x14ac:dyDescent="0.2">
      <c r="A504" s="74"/>
      <c r="B504" s="75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</row>
    <row r="505" spans="1:23" x14ac:dyDescent="0.2">
      <c r="A505" s="74"/>
      <c r="B505" s="75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</row>
    <row r="506" spans="1:23" x14ac:dyDescent="0.2">
      <c r="A506" s="74"/>
      <c r="B506" s="75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</row>
    <row r="507" spans="1:23" x14ac:dyDescent="0.2">
      <c r="A507" s="74"/>
      <c r="B507" s="75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</row>
    <row r="508" spans="1:23" x14ac:dyDescent="0.2">
      <c r="A508" s="74"/>
      <c r="B508" s="75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</row>
    <row r="509" spans="1:23" x14ac:dyDescent="0.2">
      <c r="A509" s="74"/>
      <c r="B509" s="75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</row>
    <row r="510" spans="1:23" x14ac:dyDescent="0.2">
      <c r="A510" s="74"/>
      <c r="B510" s="75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</row>
    <row r="511" spans="1:23" x14ac:dyDescent="0.2">
      <c r="A511" s="74"/>
      <c r="B511" s="75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</row>
    <row r="512" spans="1:23" x14ac:dyDescent="0.2">
      <c r="A512" s="74"/>
      <c r="B512" s="75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</row>
    <row r="513" spans="1:23" x14ac:dyDescent="0.2">
      <c r="A513" s="74"/>
      <c r="B513" s="75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</row>
    <row r="514" spans="1:23" x14ac:dyDescent="0.2">
      <c r="A514" s="74"/>
      <c r="B514" s="75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</row>
    <row r="515" spans="1:23" x14ac:dyDescent="0.2">
      <c r="A515" s="74"/>
      <c r="B515" s="75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</row>
    <row r="516" spans="1:23" x14ac:dyDescent="0.2">
      <c r="A516" s="74"/>
      <c r="B516" s="75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</row>
    <row r="517" spans="1:23" x14ac:dyDescent="0.2">
      <c r="A517" s="74"/>
      <c r="B517" s="75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</row>
    <row r="518" spans="1:23" x14ac:dyDescent="0.2">
      <c r="A518" s="74"/>
      <c r="B518" s="75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</row>
    <row r="519" spans="1:23" x14ac:dyDescent="0.2">
      <c r="A519" s="74"/>
      <c r="B519" s="75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</row>
    <row r="520" spans="1:23" x14ac:dyDescent="0.2">
      <c r="A520" s="74"/>
      <c r="B520" s="75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</row>
    <row r="521" spans="1:23" x14ac:dyDescent="0.2">
      <c r="A521" s="74"/>
      <c r="B521" s="75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</row>
    <row r="522" spans="1:23" x14ac:dyDescent="0.2">
      <c r="A522" s="74"/>
      <c r="B522" s="75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</row>
    <row r="523" spans="1:23" x14ac:dyDescent="0.2">
      <c r="A523" s="74"/>
      <c r="B523" s="75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</row>
    <row r="524" spans="1:23" x14ac:dyDescent="0.2">
      <c r="A524" s="74"/>
      <c r="B524" s="75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</row>
    <row r="525" spans="1:23" x14ac:dyDescent="0.2">
      <c r="A525" s="74"/>
      <c r="B525" s="75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</row>
    <row r="526" spans="1:23" x14ac:dyDescent="0.2">
      <c r="A526" s="74"/>
      <c r="B526" s="75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</row>
    <row r="527" spans="1:23" x14ac:dyDescent="0.2">
      <c r="A527" s="74"/>
      <c r="B527" s="75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</row>
    <row r="528" spans="1:23" x14ac:dyDescent="0.2">
      <c r="A528" s="74"/>
      <c r="B528" s="75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</row>
    <row r="529" spans="1:23" x14ac:dyDescent="0.2">
      <c r="A529" s="74"/>
      <c r="B529" s="75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</row>
    <row r="530" spans="1:23" x14ac:dyDescent="0.2">
      <c r="A530" s="74"/>
      <c r="B530" s="75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</row>
    <row r="531" spans="1:23" x14ac:dyDescent="0.2">
      <c r="A531" s="74"/>
      <c r="B531" s="75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</row>
    <row r="532" spans="1:23" x14ac:dyDescent="0.2">
      <c r="A532" s="74"/>
      <c r="B532" s="75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</row>
    <row r="533" spans="1:23" x14ac:dyDescent="0.2">
      <c r="A533" s="74"/>
      <c r="B533" s="75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</row>
    <row r="534" spans="1:23" x14ac:dyDescent="0.2">
      <c r="A534" s="74"/>
      <c r="B534" s="75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</row>
    <row r="535" spans="1:23" x14ac:dyDescent="0.2">
      <c r="A535" s="74"/>
      <c r="B535" s="75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</row>
    <row r="536" spans="1:23" x14ac:dyDescent="0.2">
      <c r="A536" s="74"/>
      <c r="B536" s="75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</row>
    <row r="537" spans="1:23" x14ac:dyDescent="0.2">
      <c r="A537" s="74"/>
      <c r="B537" s="75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</row>
    <row r="538" spans="1:23" x14ac:dyDescent="0.2">
      <c r="A538" s="74"/>
      <c r="B538" s="75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</row>
    <row r="539" spans="1:23" x14ac:dyDescent="0.2">
      <c r="A539" s="74"/>
      <c r="B539" s="75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</row>
    <row r="540" spans="1:23" x14ac:dyDescent="0.2">
      <c r="A540" s="74"/>
      <c r="B540" s="75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</row>
    <row r="541" spans="1:23" x14ac:dyDescent="0.2">
      <c r="A541" s="74"/>
      <c r="B541" s="75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</row>
    <row r="542" spans="1:23" x14ac:dyDescent="0.2">
      <c r="A542" s="74"/>
      <c r="B542" s="75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</row>
    <row r="543" spans="1:23" x14ac:dyDescent="0.2">
      <c r="A543" s="74"/>
      <c r="B543" s="75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</row>
    <row r="544" spans="1:23" x14ac:dyDescent="0.2">
      <c r="A544" s="74"/>
      <c r="B544" s="75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</row>
    <row r="545" spans="1:23" x14ac:dyDescent="0.2">
      <c r="A545" s="74"/>
      <c r="B545" s="75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</row>
    <row r="546" spans="1:23" x14ac:dyDescent="0.2">
      <c r="A546" s="74"/>
      <c r="B546" s="75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</row>
    <row r="547" spans="1:23" x14ac:dyDescent="0.2">
      <c r="A547" s="74"/>
      <c r="B547" s="75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</row>
    <row r="548" spans="1:23" x14ac:dyDescent="0.2">
      <c r="A548" s="74"/>
      <c r="B548" s="75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</row>
    <row r="549" spans="1:23" x14ac:dyDescent="0.2">
      <c r="A549" s="74"/>
      <c r="B549" s="75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</row>
    <row r="550" spans="1:23" x14ac:dyDescent="0.2">
      <c r="A550" s="74"/>
      <c r="B550" s="75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</row>
    <row r="551" spans="1:23" x14ac:dyDescent="0.2">
      <c r="A551" s="74"/>
      <c r="B551" s="75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</row>
    <row r="552" spans="1:23" x14ac:dyDescent="0.2">
      <c r="A552" s="74"/>
      <c r="B552" s="75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</row>
    <row r="553" spans="1:23" x14ac:dyDescent="0.2">
      <c r="A553" s="74"/>
      <c r="B553" s="75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</row>
    <row r="554" spans="1:23" x14ac:dyDescent="0.2">
      <c r="A554" s="74"/>
      <c r="B554" s="75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</row>
    <row r="555" spans="1:23" x14ac:dyDescent="0.2">
      <c r="A555" s="74"/>
      <c r="B555" s="75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</row>
    <row r="556" spans="1:23" x14ac:dyDescent="0.2">
      <c r="A556" s="74"/>
      <c r="B556" s="75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</row>
    <row r="557" spans="1:23" x14ac:dyDescent="0.2">
      <c r="A557" s="74"/>
      <c r="B557" s="75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</row>
    <row r="558" spans="1:23" x14ac:dyDescent="0.2">
      <c r="A558" s="74"/>
      <c r="B558" s="75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</row>
    <row r="559" spans="1:23" x14ac:dyDescent="0.2">
      <c r="A559" s="74"/>
      <c r="B559" s="75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</row>
    <row r="560" spans="1:23" x14ac:dyDescent="0.2">
      <c r="A560" s="74"/>
      <c r="B560" s="75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</row>
    <row r="561" spans="1:23" x14ac:dyDescent="0.2">
      <c r="A561" s="74"/>
      <c r="B561" s="75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</row>
    <row r="562" spans="1:23" x14ac:dyDescent="0.2">
      <c r="A562" s="74"/>
      <c r="B562" s="75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</row>
    <row r="563" spans="1:23" x14ac:dyDescent="0.2">
      <c r="A563" s="74"/>
      <c r="B563" s="75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</row>
    <row r="564" spans="1:23" x14ac:dyDescent="0.2">
      <c r="A564" s="74"/>
      <c r="B564" s="75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</row>
    <row r="565" spans="1:23" x14ac:dyDescent="0.2">
      <c r="A565" s="74"/>
      <c r="B565" s="75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</row>
    <row r="566" spans="1:23" x14ac:dyDescent="0.2">
      <c r="A566" s="74"/>
      <c r="B566" s="75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</row>
    <row r="567" spans="1:23" x14ac:dyDescent="0.2">
      <c r="A567" s="74"/>
      <c r="B567" s="75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</row>
    <row r="568" spans="1:23" x14ac:dyDescent="0.2">
      <c r="A568" s="74"/>
      <c r="B568" s="75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</row>
    <row r="569" spans="1:23" x14ac:dyDescent="0.2">
      <c r="A569" s="74"/>
      <c r="B569" s="75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</row>
    <row r="570" spans="1:23" x14ac:dyDescent="0.2">
      <c r="A570" s="74"/>
      <c r="B570" s="75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</row>
    <row r="571" spans="1:23" x14ac:dyDescent="0.2">
      <c r="A571" s="74"/>
      <c r="B571" s="75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</row>
    <row r="572" spans="1:23" x14ac:dyDescent="0.2">
      <c r="A572" s="74"/>
      <c r="B572" s="75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</row>
    <row r="573" spans="1:23" x14ac:dyDescent="0.2">
      <c r="A573" s="74"/>
      <c r="B573" s="75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</row>
    <row r="574" spans="1:23" x14ac:dyDescent="0.2">
      <c r="A574" s="74"/>
      <c r="B574" s="75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</row>
    <row r="575" spans="1:23" x14ac:dyDescent="0.2">
      <c r="A575" s="74"/>
      <c r="B575" s="75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</row>
    <row r="576" spans="1:23" x14ac:dyDescent="0.2">
      <c r="A576" s="74"/>
      <c r="B576" s="75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</row>
    <row r="577" spans="1:23" x14ac:dyDescent="0.2">
      <c r="A577" s="74"/>
      <c r="B577" s="75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</row>
    <row r="578" spans="1:23" x14ac:dyDescent="0.2">
      <c r="A578" s="74"/>
      <c r="B578" s="75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</row>
    <row r="579" spans="1:23" x14ac:dyDescent="0.2">
      <c r="A579" s="74"/>
      <c r="B579" s="75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</row>
    <row r="580" spans="1:23" x14ac:dyDescent="0.2">
      <c r="A580" s="74"/>
      <c r="B580" s="75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</row>
    <row r="581" spans="1:23" x14ac:dyDescent="0.2">
      <c r="A581" s="74"/>
      <c r="B581" s="75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</row>
    <row r="582" spans="1:23" x14ac:dyDescent="0.2">
      <c r="A582" s="74"/>
      <c r="B582" s="75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</row>
    <row r="583" spans="1:23" x14ac:dyDescent="0.2">
      <c r="A583" s="74"/>
      <c r="B583" s="75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</row>
    <row r="584" spans="1:23" x14ac:dyDescent="0.2">
      <c r="A584" s="74"/>
      <c r="B584" s="75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</row>
    <row r="585" spans="1:23" x14ac:dyDescent="0.2">
      <c r="A585" s="74"/>
      <c r="B585" s="75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</row>
    <row r="586" spans="1:23" x14ac:dyDescent="0.2">
      <c r="A586" s="74"/>
      <c r="B586" s="75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</row>
    <row r="587" spans="1:23" x14ac:dyDescent="0.2">
      <c r="A587" s="74"/>
      <c r="B587" s="75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</row>
    <row r="588" spans="1:23" x14ac:dyDescent="0.2">
      <c r="A588" s="74"/>
      <c r="B588" s="75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</row>
    <row r="589" spans="1:23" x14ac:dyDescent="0.2">
      <c r="A589" s="74"/>
      <c r="B589" s="75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</row>
    <row r="590" spans="1:23" x14ac:dyDescent="0.2">
      <c r="A590" s="74"/>
      <c r="B590" s="75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</row>
    <row r="591" spans="1:23" x14ac:dyDescent="0.2">
      <c r="A591" s="74"/>
      <c r="B591" s="75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</row>
    <row r="592" spans="1:23" x14ac:dyDescent="0.2">
      <c r="A592" s="74"/>
      <c r="B592" s="75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</row>
    <row r="593" spans="1:23" x14ac:dyDescent="0.2">
      <c r="A593" s="74"/>
      <c r="B593" s="75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</row>
    <row r="594" spans="1:23" x14ac:dyDescent="0.2">
      <c r="A594" s="74"/>
      <c r="B594" s="75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</row>
    <row r="595" spans="1:23" x14ac:dyDescent="0.2">
      <c r="A595" s="74"/>
      <c r="B595" s="75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</row>
    <row r="596" spans="1:23" x14ac:dyDescent="0.2">
      <c r="A596" s="74"/>
      <c r="B596" s="75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</row>
    <row r="597" spans="1:23" x14ac:dyDescent="0.2">
      <c r="A597" s="74"/>
      <c r="B597" s="75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</row>
    <row r="598" spans="1:23" x14ac:dyDescent="0.2">
      <c r="A598" s="74"/>
      <c r="B598" s="75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</row>
    <row r="599" spans="1:23" x14ac:dyDescent="0.2">
      <c r="A599" s="74"/>
      <c r="B599" s="75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</row>
    <row r="600" spans="1:23" x14ac:dyDescent="0.2">
      <c r="A600" s="74"/>
      <c r="B600" s="75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</row>
    <row r="601" spans="1:23" x14ac:dyDescent="0.2">
      <c r="A601" s="74"/>
      <c r="B601" s="75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</row>
    <row r="602" spans="1:23" x14ac:dyDescent="0.2">
      <c r="A602" s="74"/>
      <c r="B602" s="75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</row>
    <row r="603" spans="1:23" x14ac:dyDescent="0.2">
      <c r="A603" s="74"/>
      <c r="B603" s="75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</row>
    <row r="604" spans="1:23" x14ac:dyDescent="0.2">
      <c r="A604" s="74"/>
      <c r="B604" s="75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</row>
    <row r="605" spans="1:23" x14ac:dyDescent="0.2">
      <c r="A605" s="74"/>
      <c r="B605" s="75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</row>
    <row r="606" spans="1:23" x14ac:dyDescent="0.2">
      <c r="A606" s="74"/>
      <c r="B606" s="75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</row>
    <row r="607" spans="1:23" x14ac:dyDescent="0.2">
      <c r="A607" s="74"/>
      <c r="B607" s="75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</row>
    <row r="608" spans="1:23" x14ac:dyDescent="0.2">
      <c r="A608" s="74"/>
      <c r="B608" s="75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</row>
    <row r="609" spans="1:23" x14ac:dyDescent="0.2">
      <c r="A609" s="74"/>
      <c r="B609" s="75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</row>
    <row r="610" spans="1:23" x14ac:dyDescent="0.2">
      <c r="A610" s="74"/>
      <c r="B610" s="75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</row>
    <row r="611" spans="1:23" x14ac:dyDescent="0.2">
      <c r="A611" s="74"/>
      <c r="B611" s="75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</row>
    <row r="612" spans="1:23" x14ac:dyDescent="0.2">
      <c r="A612" s="74"/>
      <c r="B612" s="75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</row>
    <row r="613" spans="1:23" x14ac:dyDescent="0.2">
      <c r="A613" s="74"/>
      <c r="B613" s="75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</row>
    <row r="614" spans="1:23" x14ac:dyDescent="0.2">
      <c r="A614" s="74"/>
      <c r="B614" s="75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</row>
    <row r="615" spans="1:23" x14ac:dyDescent="0.2">
      <c r="A615" s="74"/>
      <c r="B615" s="75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</row>
    <row r="616" spans="1:23" x14ac:dyDescent="0.2">
      <c r="A616" s="74"/>
      <c r="B616" s="75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</row>
    <row r="617" spans="1:23" x14ac:dyDescent="0.2">
      <c r="A617" s="74"/>
      <c r="B617" s="75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</row>
    <row r="618" spans="1:23" x14ac:dyDescent="0.2">
      <c r="A618" s="74"/>
      <c r="B618" s="75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</row>
    <row r="619" spans="1:23" x14ac:dyDescent="0.2">
      <c r="A619" s="74"/>
      <c r="B619" s="75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</row>
    <row r="620" spans="1:23" x14ac:dyDescent="0.2">
      <c r="A620" s="74"/>
      <c r="B620" s="75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</row>
    <row r="621" spans="1:23" x14ac:dyDescent="0.2">
      <c r="A621" s="74"/>
      <c r="B621" s="75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</row>
    <row r="622" spans="1:23" x14ac:dyDescent="0.2">
      <c r="A622" s="74"/>
      <c r="B622" s="75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</row>
    <row r="623" spans="1:23" x14ac:dyDescent="0.2">
      <c r="A623" s="74"/>
      <c r="B623" s="75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</row>
    <row r="624" spans="1:23" x14ac:dyDescent="0.2">
      <c r="A624" s="74"/>
      <c r="B624" s="75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</row>
    <row r="625" spans="1:23" x14ac:dyDescent="0.2">
      <c r="A625" s="74"/>
      <c r="B625" s="75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</row>
    <row r="626" spans="1:23" x14ac:dyDescent="0.2">
      <c r="A626" s="74"/>
      <c r="B626" s="75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</row>
    <row r="627" spans="1:23" x14ac:dyDescent="0.2">
      <c r="A627" s="74"/>
      <c r="B627" s="75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</row>
    <row r="628" spans="1:23" x14ac:dyDescent="0.2">
      <c r="A628" s="74"/>
      <c r="B628" s="75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</row>
    <row r="629" spans="1:23" x14ac:dyDescent="0.2">
      <c r="A629" s="74"/>
      <c r="B629" s="75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</row>
    <row r="630" spans="1:23" x14ac:dyDescent="0.2">
      <c r="A630" s="74"/>
      <c r="B630" s="75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</row>
    <row r="631" spans="1:23" x14ac:dyDescent="0.2">
      <c r="A631" s="74"/>
      <c r="B631" s="75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</row>
    <row r="632" spans="1:23" x14ac:dyDescent="0.2">
      <c r="A632" s="74"/>
      <c r="B632" s="75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</row>
    <row r="633" spans="1:23" x14ac:dyDescent="0.2">
      <c r="A633" s="74"/>
      <c r="B633" s="75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</row>
    <row r="634" spans="1:23" x14ac:dyDescent="0.2">
      <c r="A634" s="74"/>
      <c r="B634" s="75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</row>
    <row r="635" spans="1:23" x14ac:dyDescent="0.2">
      <c r="A635" s="74"/>
      <c r="B635" s="75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</row>
    <row r="636" spans="1:23" x14ac:dyDescent="0.2">
      <c r="A636" s="74"/>
      <c r="B636" s="75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</row>
    <row r="637" spans="1:23" x14ac:dyDescent="0.2">
      <c r="A637" s="74"/>
      <c r="B637" s="75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</row>
    <row r="638" spans="1:23" x14ac:dyDescent="0.2">
      <c r="A638" s="74"/>
      <c r="B638" s="75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</row>
    <row r="639" spans="1:23" x14ac:dyDescent="0.2">
      <c r="A639" s="74"/>
      <c r="B639" s="75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</row>
    <row r="640" spans="1:23" x14ac:dyDescent="0.2">
      <c r="A640" s="74"/>
      <c r="B640" s="75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</row>
    <row r="641" spans="1:23" x14ac:dyDescent="0.2">
      <c r="A641" s="74"/>
      <c r="B641" s="75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</row>
    <row r="642" spans="1:23" x14ac:dyDescent="0.2">
      <c r="A642" s="74"/>
      <c r="B642" s="75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</row>
    <row r="643" spans="1:23" x14ac:dyDescent="0.2">
      <c r="A643" s="74"/>
      <c r="B643" s="75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</row>
    <row r="644" spans="1:23" x14ac:dyDescent="0.2">
      <c r="A644" s="74"/>
      <c r="B644" s="75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</row>
    <row r="645" spans="1:23" x14ac:dyDescent="0.2">
      <c r="A645" s="74"/>
      <c r="B645" s="75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</row>
    <row r="646" spans="1:23" x14ac:dyDescent="0.2">
      <c r="A646" s="74"/>
      <c r="B646" s="75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</row>
    <row r="647" spans="1:23" x14ac:dyDescent="0.2">
      <c r="A647" s="74"/>
      <c r="B647" s="75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</row>
    <row r="648" spans="1:23" x14ac:dyDescent="0.2">
      <c r="A648" s="74"/>
      <c r="B648" s="75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</row>
    <row r="649" spans="1:23" x14ac:dyDescent="0.2">
      <c r="A649" s="74"/>
      <c r="B649" s="75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</row>
    <row r="650" spans="1:23" x14ac:dyDescent="0.2">
      <c r="A650" s="74"/>
      <c r="B650" s="75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</row>
    <row r="651" spans="1:23" x14ac:dyDescent="0.2">
      <c r="A651" s="74"/>
      <c r="B651" s="75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</row>
    <row r="652" spans="1:23" x14ac:dyDescent="0.2">
      <c r="A652" s="74"/>
      <c r="B652" s="75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</row>
    <row r="653" spans="1:23" x14ac:dyDescent="0.2">
      <c r="A653" s="74"/>
      <c r="B653" s="75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</row>
    <row r="654" spans="1:23" x14ac:dyDescent="0.2">
      <c r="A654" s="74"/>
      <c r="B654" s="75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</row>
    <row r="655" spans="1:23" x14ac:dyDescent="0.2">
      <c r="A655" s="74"/>
      <c r="B655" s="75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</row>
    <row r="656" spans="1:23" x14ac:dyDescent="0.2">
      <c r="A656" s="74"/>
      <c r="B656" s="75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</row>
    <row r="657" spans="1:23" x14ac:dyDescent="0.2">
      <c r="A657" s="74"/>
      <c r="B657" s="75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</row>
    <row r="658" spans="1:23" x14ac:dyDescent="0.2">
      <c r="A658" s="74"/>
      <c r="B658" s="75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</row>
    <row r="659" spans="1:23" x14ac:dyDescent="0.2">
      <c r="A659" s="74"/>
      <c r="B659" s="75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</row>
    <row r="660" spans="1:23" x14ac:dyDescent="0.2">
      <c r="A660" s="74"/>
      <c r="B660" s="75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</row>
    <row r="661" spans="1:23" x14ac:dyDescent="0.2">
      <c r="A661" s="74"/>
      <c r="B661" s="75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</row>
    <row r="662" spans="1:23" x14ac:dyDescent="0.2">
      <c r="A662" s="74"/>
      <c r="B662" s="75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</row>
    <row r="663" spans="1:23" x14ac:dyDescent="0.2">
      <c r="A663" s="74"/>
      <c r="B663" s="75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</row>
    <row r="664" spans="1:23" x14ac:dyDescent="0.2">
      <c r="A664" s="74"/>
      <c r="B664" s="75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</row>
    <row r="665" spans="1:23" x14ac:dyDescent="0.2">
      <c r="A665" s="74"/>
      <c r="B665" s="75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</row>
    <row r="666" spans="1:23" x14ac:dyDescent="0.2">
      <c r="A666" s="74"/>
      <c r="B666" s="75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</row>
    <row r="667" spans="1:23" x14ac:dyDescent="0.2">
      <c r="A667" s="74"/>
      <c r="B667" s="75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</row>
    <row r="668" spans="1:23" x14ac:dyDescent="0.2">
      <c r="A668" s="74"/>
      <c r="B668" s="75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</row>
    <row r="669" spans="1:23" x14ac:dyDescent="0.2">
      <c r="A669" s="74"/>
      <c r="B669" s="75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</row>
    <row r="670" spans="1:23" x14ac:dyDescent="0.2">
      <c r="A670" s="74"/>
      <c r="B670" s="75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</row>
    <row r="671" spans="1:23" x14ac:dyDescent="0.2">
      <c r="A671" s="74"/>
      <c r="B671" s="75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</row>
    <row r="672" spans="1:23" x14ac:dyDescent="0.2">
      <c r="A672" s="74"/>
      <c r="B672" s="75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</row>
    <row r="673" spans="1:23" x14ac:dyDescent="0.2">
      <c r="A673" s="74"/>
      <c r="B673" s="75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</row>
    <row r="674" spans="1:23" x14ac:dyDescent="0.2">
      <c r="A674" s="74"/>
      <c r="B674" s="75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</row>
    <row r="675" spans="1:23" x14ac:dyDescent="0.2">
      <c r="A675" s="74"/>
      <c r="B675" s="75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</row>
    <row r="676" spans="1:23" x14ac:dyDescent="0.2">
      <c r="A676" s="74"/>
      <c r="B676" s="75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</row>
    <row r="677" spans="1:23" x14ac:dyDescent="0.2">
      <c r="A677" s="74"/>
      <c r="B677" s="75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</row>
    <row r="678" spans="1:23" x14ac:dyDescent="0.2">
      <c r="A678" s="74"/>
      <c r="B678" s="75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</row>
    <row r="679" spans="1:23" x14ac:dyDescent="0.2">
      <c r="A679" s="74"/>
      <c r="B679" s="75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</row>
    <row r="680" spans="1:23" x14ac:dyDescent="0.2">
      <c r="A680" s="74"/>
      <c r="B680" s="75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</row>
    <row r="681" spans="1:23" x14ac:dyDescent="0.2">
      <c r="A681" s="74"/>
      <c r="B681" s="75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</row>
    <row r="682" spans="1:23" x14ac:dyDescent="0.2">
      <c r="A682" s="74"/>
      <c r="B682" s="75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</row>
    <row r="683" spans="1:23" x14ac:dyDescent="0.2">
      <c r="A683" s="74"/>
      <c r="B683" s="75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</row>
    <row r="684" spans="1:23" x14ac:dyDescent="0.2">
      <c r="A684" s="74"/>
      <c r="B684" s="75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</row>
    <row r="685" spans="1:23" x14ac:dyDescent="0.2">
      <c r="A685" s="74"/>
      <c r="B685" s="75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</row>
    <row r="686" spans="1:23" x14ac:dyDescent="0.2">
      <c r="A686" s="74"/>
      <c r="B686" s="75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</row>
    <row r="687" spans="1:23" x14ac:dyDescent="0.2">
      <c r="A687" s="74"/>
      <c r="B687" s="75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</row>
    <row r="688" spans="1:23" x14ac:dyDescent="0.2">
      <c r="A688" s="74"/>
      <c r="B688" s="75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</row>
    <row r="689" spans="1:23" x14ac:dyDescent="0.2">
      <c r="A689" s="74"/>
      <c r="B689" s="75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</row>
    <row r="690" spans="1:23" x14ac:dyDescent="0.2">
      <c r="A690" s="74"/>
      <c r="B690" s="75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</row>
    <row r="691" spans="1:23" x14ac:dyDescent="0.2">
      <c r="A691" s="74"/>
      <c r="B691" s="75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</row>
    <row r="692" spans="1:23" x14ac:dyDescent="0.2">
      <c r="A692" s="74"/>
      <c r="B692" s="75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</row>
    <row r="693" spans="1:23" x14ac:dyDescent="0.2">
      <c r="A693" s="74"/>
      <c r="B693" s="75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</row>
    <row r="694" spans="1:23" x14ac:dyDescent="0.2">
      <c r="A694" s="74"/>
      <c r="B694" s="75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</row>
    <row r="695" spans="1:23" x14ac:dyDescent="0.2">
      <c r="A695" s="74"/>
      <c r="B695" s="75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</row>
    <row r="696" spans="1:23" x14ac:dyDescent="0.2">
      <c r="A696" s="74"/>
      <c r="B696" s="75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</row>
    <row r="697" spans="1:23" x14ac:dyDescent="0.2">
      <c r="A697" s="74"/>
      <c r="B697" s="75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</row>
    <row r="698" spans="1:23" x14ac:dyDescent="0.2">
      <c r="A698" s="74"/>
      <c r="B698" s="75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</row>
    <row r="699" spans="1:23" x14ac:dyDescent="0.2">
      <c r="A699" s="74"/>
      <c r="B699" s="75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</row>
    <row r="700" spans="1:23" x14ac:dyDescent="0.2">
      <c r="A700" s="74"/>
      <c r="B700" s="75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</row>
    <row r="701" spans="1:23" x14ac:dyDescent="0.2">
      <c r="A701" s="74"/>
      <c r="B701" s="75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</row>
    <row r="702" spans="1:23" x14ac:dyDescent="0.2">
      <c r="A702" s="74"/>
      <c r="B702" s="75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</row>
    <row r="703" spans="1:23" x14ac:dyDescent="0.2">
      <c r="A703" s="74"/>
      <c r="B703" s="75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</row>
    <row r="704" spans="1:23" x14ac:dyDescent="0.2">
      <c r="A704" s="74"/>
      <c r="B704" s="75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</row>
    <row r="705" spans="1:23" x14ac:dyDescent="0.2">
      <c r="A705" s="74"/>
      <c r="B705" s="75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</row>
    <row r="706" spans="1:23" x14ac:dyDescent="0.2">
      <c r="A706" s="74"/>
      <c r="B706" s="75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</row>
    <row r="707" spans="1:23" x14ac:dyDescent="0.2">
      <c r="A707" s="74"/>
      <c r="B707" s="75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</row>
    <row r="708" spans="1:23" x14ac:dyDescent="0.2">
      <c r="A708" s="74"/>
      <c r="B708" s="75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</row>
    <row r="709" spans="1:23" x14ac:dyDescent="0.2">
      <c r="A709" s="74"/>
      <c r="B709" s="75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</row>
    <row r="710" spans="1:23" x14ac:dyDescent="0.2">
      <c r="A710" s="74"/>
      <c r="B710" s="75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</row>
    <row r="711" spans="1:23" x14ac:dyDescent="0.2">
      <c r="A711" s="74"/>
      <c r="B711" s="75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</row>
    <row r="712" spans="1:23" x14ac:dyDescent="0.2">
      <c r="A712" s="74"/>
      <c r="B712" s="75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</row>
    <row r="713" spans="1:23" x14ac:dyDescent="0.2">
      <c r="A713" s="74"/>
      <c r="B713" s="75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</row>
    <row r="714" spans="1:23" x14ac:dyDescent="0.2">
      <c r="A714" s="74"/>
      <c r="B714" s="75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</row>
    <row r="715" spans="1:23" x14ac:dyDescent="0.2">
      <c r="A715" s="74"/>
      <c r="B715" s="75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</row>
    <row r="716" spans="1:23" x14ac:dyDescent="0.2">
      <c r="A716" s="74"/>
      <c r="B716" s="75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</row>
    <row r="717" spans="1:23" x14ac:dyDescent="0.2">
      <c r="A717" s="74"/>
      <c r="B717" s="75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</row>
    <row r="718" spans="1:23" x14ac:dyDescent="0.2">
      <c r="A718" s="74"/>
      <c r="B718" s="75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</row>
    <row r="719" spans="1:23" x14ac:dyDescent="0.2">
      <c r="A719" s="74"/>
      <c r="B719" s="75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</row>
    <row r="720" spans="1:23" x14ac:dyDescent="0.2">
      <c r="A720" s="74"/>
      <c r="B720" s="75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</row>
    <row r="721" spans="1:23" x14ac:dyDescent="0.2">
      <c r="A721" s="74"/>
      <c r="B721" s="75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</row>
    <row r="722" spans="1:23" x14ac:dyDescent="0.2">
      <c r="A722" s="74"/>
      <c r="B722" s="75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</row>
    <row r="723" spans="1:23" x14ac:dyDescent="0.2">
      <c r="A723" s="74"/>
      <c r="B723" s="75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</row>
    <row r="724" spans="1:23" x14ac:dyDescent="0.2">
      <c r="A724" s="74"/>
      <c r="B724" s="75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</row>
    <row r="725" spans="1:23" x14ac:dyDescent="0.2">
      <c r="A725" s="74"/>
      <c r="B725" s="75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</row>
    <row r="726" spans="1:23" x14ac:dyDescent="0.2">
      <c r="A726" s="74"/>
      <c r="B726" s="75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</row>
    <row r="727" spans="1:23" x14ac:dyDescent="0.2">
      <c r="A727" s="74"/>
      <c r="B727" s="75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</row>
    <row r="728" spans="1:23" x14ac:dyDescent="0.2">
      <c r="A728" s="74"/>
      <c r="B728" s="75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</row>
    <row r="729" spans="1:23" x14ac:dyDescent="0.2">
      <c r="A729" s="74"/>
      <c r="B729" s="75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</row>
    <row r="730" spans="1:23" x14ac:dyDescent="0.2">
      <c r="A730" s="74"/>
      <c r="B730" s="75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</row>
    <row r="731" spans="1:23" x14ac:dyDescent="0.2">
      <c r="A731" s="74"/>
      <c r="B731" s="75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</row>
    <row r="732" spans="1:23" x14ac:dyDescent="0.2">
      <c r="A732" s="74"/>
      <c r="B732" s="75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</row>
    <row r="733" spans="1:23" x14ac:dyDescent="0.2">
      <c r="A733" s="74"/>
      <c r="B733" s="75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</row>
    <row r="734" spans="1:23" x14ac:dyDescent="0.2">
      <c r="A734" s="74"/>
      <c r="B734" s="75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</row>
    <row r="735" spans="1:23" x14ac:dyDescent="0.2">
      <c r="A735" s="74"/>
      <c r="B735" s="75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</row>
    <row r="736" spans="1:23" x14ac:dyDescent="0.2">
      <c r="A736" s="74"/>
      <c r="B736" s="75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</row>
    <row r="737" spans="1:23" x14ac:dyDescent="0.2">
      <c r="A737" s="74"/>
      <c r="B737" s="75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</row>
    <row r="738" spans="1:23" x14ac:dyDescent="0.2">
      <c r="A738" s="74"/>
      <c r="B738" s="75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</row>
    <row r="739" spans="1:23" x14ac:dyDescent="0.2">
      <c r="A739" s="74"/>
      <c r="B739" s="75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</row>
    <row r="740" spans="1:23" x14ac:dyDescent="0.2">
      <c r="A740" s="74"/>
      <c r="B740" s="75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</row>
    <row r="741" spans="1:23" x14ac:dyDescent="0.2">
      <c r="A741" s="74"/>
      <c r="B741" s="75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</row>
    <row r="742" spans="1:23" x14ac:dyDescent="0.2">
      <c r="A742" s="74"/>
      <c r="B742" s="75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</row>
    <row r="743" spans="1:23" x14ac:dyDescent="0.2">
      <c r="A743" s="74"/>
      <c r="B743" s="75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</row>
    <row r="744" spans="1:23" x14ac:dyDescent="0.2">
      <c r="A744" s="74"/>
      <c r="B744" s="75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</row>
    <row r="745" spans="1:23" x14ac:dyDescent="0.2">
      <c r="A745" s="74"/>
      <c r="B745" s="75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</row>
    <row r="746" spans="1:23" x14ac:dyDescent="0.2">
      <c r="A746" s="74"/>
      <c r="B746" s="75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</row>
    <row r="747" spans="1:23" x14ac:dyDescent="0.2">
      <c r="A747" s="74"/>
      <c r="B747" s="75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</row>
    <row r="748" spans="1:23" x14ac:dyDescent="0.2">
      <c r="A748" s="74"/>
      <c r="B748" s="75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</row>
    <row r="749" spans="1:23" x14ac:dyDescent="0.2">
      <c r="A749" s="74"/>
      <c r="B749" s="75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</row>
    <row r="750" spans="1:23" x14ac:dyDescent="0.2">
      <c r="A750" s="74"/>
      <c r="B750" s="75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</row>
    <row r="751" spans="1:23" x14ac:dyDescent="0.2">
      <c r="A751" s="74"/>
      <c r="B751" s="75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</row>
    <row r="752" spans="1:23" x14ac:dyDescent="0.2">
      <c r="A752" s="74"/>
      <c r="B752" s="75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</row>
    <row r="753" spans="1:23" x14ac:dyDescent="0.2">
      <c r="A753" s="74"/>
      <c r="B753" s="75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</row>
    <row r="754" spans="1:23" x14ac:dyDescent="0.2">
      <c r="A754" s="74"/>
      <c r="B754" s="75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</row>
    <row r="755" spans="1:23" x14ac:dyDescent="0.2">
      <c r="A755" s="74"/>
      <c r="B755" s="75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</row>
    <row r="756" spans="1:23" x14ac:dyDescent="0.2">
      <c r="A756" s="74"/>
      <c r="B756" s="75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</row>
    <row r="757" spans="1:23" x14ac:dyDescent="0.2">
      <c r="A757" s="74"/>
      <c r="B757" s="75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</row>
    <row r="758" spans="1:23" x14ac:dyDescent="0.2">
      <c r="A758" s="74"/>
      <c r="B758" s="75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</row>
    <row r="759" spans="1:23" x14ac:dyDescent="0.2">
      <c r="A759" s="74"/>
      <c r="B759" s="75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</row>
    <row r="760" spans="1:23" x14ac:dyDescent="0.2">
      <c r="A760" s="74"/>
      <c r="B760" s="75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</row>
    <row r="761" spans="1:23" x14ac:dyDescent="0.2">
      <c r="A761" s="74"/>
      <c r="B761" s="75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</row>
    <row r="762" spans="1:23" x14ac:dyDescent="0.2">
      <c r="A762" s="74"/>
      <c r="B762" s="75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</row>
    <row r="763" spans="1:23" x14ac:dyDescent="0.2">
      <c r="A763" s="74"/>
      <c r="B763" s="75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</row>
    <row r="764" spans="1:23" x14ac:dyDescent="0.2">
      <c r="A764" s="74"/>
      <c r="B764" s="75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</row>
    <row r="765" spans="1:23" x14ac:dyDescent="0.2">
      <c r="A765" s="74"/>
      <c r="B765" s="75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</row>
    <row r="766" spans="1:23" x14ac:dyDescent="0.2">
      <c r="A766" s="74"/>
      <c r="B766" s="75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</row>
    <row r="767" spans="1:23" x14ac:dyDescent="0.2">
      <c r="A767" s="74"/>
      <c r="B767" s="75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</row>
    <row r="768" spans="1:23" x14ac:dyDescent="0.2">
      <c r="A768" s="74"/>
      <c r="B768" s="75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</row>
    <row r="769" spans="1:23" x14ac:dyDescent="0.2">
      <c r="A769" s="74"/>
      <c r="B769" s="75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</row>
    <row r="770" spans="1:23" x14ac:dyDescent="0.2">
      <c r="A770" s="74"/>
      <c r="B770" s="75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</row>
    <row r="771" spans="1:23" x14ac:dyDescent="0.2">
      <c r="A771" s="74"/>
      <c r="B771" s="75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</row>
    <row r="772" spans="1:23" x14ac:dyDescent="0.2">
      <c r="A772" s="74"/>
      <c r="B772" s="75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</row>
    <row r="773" spans="1:23" x14ac:dyDescent="0.2">
      <c r="A773" s="74"/>
      <c r="B773" s="75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</row>
    <row r="774" spans="1:23" x14ac:dyDescent="0.2">
      <c r="A774" s="74"/>
      <c r="B774" s="75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</row>
    <row r="775" spans="1:23" x14ac:dyDescent="0.2">
      <c r="A775" s="74"/>
      <c r="B775" s="75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</row>
    <row r="776" spans="1:23" x14ac:dyDescent="0.2">
      <c r="A776" s="74"/>
      <c r="B776" s="75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</row>
    <row r="777" spans="1:23" x14ac:dyDescent="0.2">
      <c r="A777" s="74"/>
      <c r="B777" s="75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</row>
    <row r="778" spans="1:23" x14ac:dyDescent="0.2">
      <c r="A778" s="74"/>
      <c r="B778" s="75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</row>
    <row r="779" spans="1:23" x14ac:dyDescent="0.2">
      <c r="A779" s="74"/>
      <c r="B779" s="75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</row>
    <row r="780" spans="1:23" x14ac:dyDescent="0.2">
      <c r="A780" s="74"/>
      <c r="B780" s="75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</row>
    <row r="781" spans="1:23" x14ac:dyDescent="0.2">
      <c r="A781" s="74"/>
      <c r="B781" s="75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</row>
    <row r="782" spans="1:23" x14ac:dyDescent="0.2">
      <c r="A782" s="74"/>
      <c r="B782" s="75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</row>
    <row r="783" spans="1:23" x14ac:dyDescent="0.2">
      <c r="A783" s="74"/>
      <c r="B783" s="75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</row>
    <row r="784" spans="1:23" x14ac:dyDescent="0.2">
      <c r="A784" s="74"/>
      <c r="B784" s="75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</row>
    <row r="785" spans="1:23" x14ac:dyDescent="0.2">
      <c r="A785" s="74"/>
      <c r="B785" s="75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</row>
    <row r="786" spans="1:23" x14ac:dyDescent="0.2">
      <c r="A786" s="74"/>
      <c r="B786" s="75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</row>
    <row r="787" spans="1:23" x14ac:dyDescent="0.2">
      <c r="A787" s="74"/>
      <c r="B787" s="75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</row>
    <row r="788" spans="1:23" x14ac:dyDescent="0.2">
      <c r="A788" s="74"/>
      <c r="B788" s="75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</row>
    <row r="789" spans="1:23" x14ac:dyDescent="0.2">
      <c r="A789" s="74"/>
      <c r="B789" s="75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</row>
    <row r="790" spans="1:23" x14ac:dyDescent="0.2">
      <c r="A790" s="74"/>
      <c r="B790" s="75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</row>
    <row r="791" spans="1:23" x14ac:dyDescent="0.2">
      <c r="A791" s="74"/>
      <c r="B791" s="75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</row>
    <row r="792" spans="1:23" x14ac:dyDescent="0.2">
      <c r="A792" s="74"/>
      <c r="B792" s="75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</row>
    <row r="793" spans="1:23" x14ac:dyDescent="0.2">
      <c r="A793" s="74"/>
      <c r="B793" s="75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</row>
    <row r="794" spans="1:23" x14ac:dyDescent="0.2">
      <c r="A794" s="74"/>
      <c r="B794" s="75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</row>
    <row r="795" spans="1:23" x14ac:dyDescent="0.2">
      <c r="A795" s="74"/>
      <c r="B795" s="75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</row>
    <row r="796" spans="1:23" x14ac:dyDescent="0.2">
      <c r="A796" s="74"/>
      <c r="B796" s="75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</row>
    <row r="797" spans="1:23" x14ac:dyDescent="0.2">
      <c r="A797" s="74"/>
      <c r="B797" s="75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</row>
    <row r="798" spans="1:23" x14ac:dyDescent="0.2">
      <c r="A798" s="74"/>
      <c r="B798" s="75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</row>
    <row r="799" spans="1:23" x14ac:dyDescent="0.2">
      <c r="A799" s="74"/>
      <c r="B799" s="75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</row>
    <row r="800" spans="1:23" x14ac:dyDescent="0.2">
      <c r="A800" s="74"/>
      <c r="B800" s="75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</row>
    <row r="801" spans="1:23" x14ac:dyDescent="0.2">
      <c r="A801" s="74"/>
      <c r="B801" s="75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</row>
    <row r="802" spans="1:23" x14ac:dyDescent="0.2">
      <c r="A802" s="74"/>
      <c r="B802" s="75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</row>
    <row r="803" spans="1:23" x14ac:dyDescent="0.2">
      <c r="A803" s="74"/>
      <c r="B803" s="75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</row>
    <row r="804" spans="1:23" x14ac:dyDescent="0.2">
      <c r="A804" s="74"/>
      <c r="B804" s="75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</row>
    <row r="805" spans="1:23" x14ac:dyDescent="0.2">
      <c r="A805" s="74"/>
      <c r="B805" s="75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</row>
    <row r="806" spans="1:23" x14ac:dyDescent="0.2">
      <c r="A806" s="74"/>
      <c r="B806" s="75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</row>
    <row r="807" spans="1:23" x14ac:dyDescent="0.2">
      <c r="A807" s="74"/>
      <c r="B807" s="75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</row>
    <row r="808" spans="1:23" x14ac:dyDescent="0.2">
      <c r="A808" s="74"/>
      <c r="B808" s="75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</row>
    <row r="809" spans="1:23" x14ac:dyDescent="0.2">
      <c r="A809" s="74"/>
      <c r="B809" s="75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</row>
    <row r="810" spans="1:23" x14ac:dyDescent="0.2">
      <c r="A810" s="74"/>
      <c r="B810" s="75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</row>
    <row r="811" spans="1:23" x14ac:dyDescent="0.2">
      <c r="A811" s="74"/>
      <c r="B811" s="75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</row>
    <row r="812" spans="1:23" x14ac:dyDescent="0.2">
      <c r="A812" s="74"/>
      <c r="B812" s="75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</row>
    <row r="813" spans="1:23" x14ac:dyDescent="0.2">
      <c r="A813" s="74"/>
      <c r="B813" s="75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</row>
    <row r="814" spans="1:23" x14ac:dyDescent="0.2">
      <c r="A814" s="74"/>
      <c r="B814" s="75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</row>
    <row r="815" spans="1:23" x14ac:dyDescent="0.2">
      <c r="A815" s="74"/>
      <c r="B815" s="75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</row>
    <row r="816" spans="1:23" x14ac:dyDescent="0.2">
      <c r="A816" s="74"/>
      <c r="B816" s="75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</row>
    <row r="817" spans="1:23" x14ac:dyDescent="0.2">
      <c r="A817" s="74"/>
      <c r="B817" s="75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</row>
    <row r="818" spans="1:23" x14ac:dyDescent="0.2">
      <c r="A818" s="74"/>
      <c r="B818" s="75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</row>
    <row r="819" spans="1:23" x14ac:dyDescent="0.2">
      <c r="A819" s="74"/>
      <c r="B819" s="75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</row>
    <row r="820" spans="1:23" x14ac:dyDescent="0.2">
      <c r="A820" s="74"/>
      <c r="B820" s="75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</row>
    <row r="821" spans="1:23" x14ac:dyDescent="0.2">
      <c r="A821" s="74"/>
      <c r="B821" s="75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</row>
    <row r="822" spans="1:23" x14ac:dyDescent="0.2">
      <c r="A822" s="74"/>
      <c r="B822" s="75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</row>
    <row r="823" spans="1:23" x14ac:dyDescent="0.2">
      <c r="A823" s="74"/>
      <c r="B823" s="75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</row>
    <row r="824" spans="1:23" x14ac:dyDescent="0.2">
      <c r="A824" s="74"/>
      <c r="B824" s="75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</row>
    <row r="825" spans="1:23" x14ac:dyDescent="0.2">
      <c r="A825" s="74"/>
      <c r="B825" s="75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</row>
    <row r="826" spans="1:23" x14ac:dyDescent="0.2">
      <c r="A826" s="74"/>
      <c r="B826" s="75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</row>
    <row r="827" spans="1:23" x14ac:dyDescent="0.2">
      <c r="A827" s="74"/>
      <c r="B827" s="75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</row>
    <row r="828" spans="1:23" x14ac:dyDescent="0.2">
      <c r="A828" s="74"/>
      <c r="B828" s="75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</row>
    <row r="829" spans="1:23" x14ac:dyDescent="0.2">
      <c r="A829" s="74"/>
      <c r="B829" s="75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</row>
    <row r="830" spans="1:23" x14ac:dyDescent="0.2">
      <c r="A830" s="74"/>
      <c r="B830" s="75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</row>
    <row r="831" spans="1:23" x14ac:dyDescent="0.2">
      <c r="A831" s="74"/>
      <c r="B831" s="75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</row>
    <row r="832" spans="1:23" x14ac:dyDescent="0.2">
      <c r="A832" s="74"/>
      <c r="B832" s="75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</row>
    <row r="833" spans="1:23" x14ac:dyDescent="0.2">
      <c r="A833" s="74"/>
      <c r="B833" s="75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</row>
    <row r="834" spans="1:23" x14ac:dyDescent="0.2">
      <c r="A834" s="74"/>
      <c r="B834" s="75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</row>
    <row r="835" spans="1:23" x14ac:dyDescent="0.2">
      <c r="A835" s="74"/>
      <c r="B835" s="75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</row>
    <row r="836" spans="1:23" x14ac:dyDescent="0.2">
      <c r="A836" s="74"/>
      <c r="B836" s="75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</row>
    <row r="837" spans="1:23" x14ac:dyDescent="0.2">
      <c r="A837" s="74"/>
      <c r="B837" s="75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</row>
    <row r="838" spans="1:23" x14ac:dyDescent="0.2">
      <c r="A838" s="74"/>
      <c r="B838" s="75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</row>
    <row r="839" spans="1:23" x14ac:dyDescent="0.2">
      <c r="A839" s="74"/>
      <c r="B839" s="75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</row>
    <row r="840" spans="1:23" x14ac:dyDescent="0.2">
      <c r="A840" s="74"/>
      <c r="B840" s="75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</row>
    <row r="841" spans="1:23" x14ac:dyDescent="0.2">
      <c r="A841" s="74"/>
      <c r="B841" s="75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</row>
    <row r="842" spans="1:23" x14ac:dyDescent="0.2">
      <c r="A842" s="74"/>
      <c r="B842" s="75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</row>
    <row r="843" spans="1:23" x14ac:dyDescent="0.2">
      <c r="A843" s="74"/>
      <c r="B843" s="75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</row>
    <row r="844" spans="1:23" x14ac:dyDescent="0.2">
      <c r="A844" s="74"/>
      <c r="B844" s="75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</row>
    <row r="845" spans="1:23" x14ac:dyDescent="0.2">
      <c r="A845" s="74"/>
      <c r="B845" s="75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</row>
    <row r="846" spans="1:23" x14ac:dyDescent="0.2">
      <c r="A846" s="74"/>
      <c r="B846" s="75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</row>
    <row r="847" spans="1:23" x14ac:dyDescent="0.2">
      <c r="A847" s="74"/>
      <c r="B847" s="75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</row>
    <row r="848" spans="1:23" x14ac:dyDescent="0.2">
      <c r="A848" s="74"/>
      <c r="B848" s="75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</row>
    <row r="849" spans="1:23" x14ac:dyDescent="0.2">
      <c r="A849" s="74"/>
      <c r="B849" s="75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</row>
    <row r="850" spans="1:23" x14ac:dyDescent="0.2">
      <c r="A850" s="74"/>
      <c r="B850" s="75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</row>
    <row r="851" spans="1:23" x14ac:dyDescent="0.2">
      <c r="A851" s="74"/>
      <c r="B851" s="75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</row>
    <row r="852" spans="1:23" x14ac:dyDescent="0.2">
      <c r="A852" s="74"/>
      <c r="B852" s="75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</row>
    <row r="853" spans="1:23" x14ac:dyDescent="0.2">
      <c r="A853" s="74"/>
      <c r="B853" s="75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</row>
    <row r="854" spans="1:23" x14ac:dyDescent="0.2">
      <c r="A854" s="74"/>
      <c r="B854" s="75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</row>
    <row r="855" spans="1:23" x14ac:dyDescent="0.2">
      <c r="A855" s="74"/>
      <c r="B855" s="75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</row>
    <row r="856" spans="1:23" x14ac:dyDescent="0.2">
      <c r="A856" s="74"/>
      <c r="B856" s="75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</row>
    <row r="857" spans="1:23" x14ac:dyDescent="0.2">
      <c r="A857" s="74"/>
      <c r="B857" s="75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</row>
    <row r="858" spans="1:23" x14ac:dyDescent="0.2">
      <c r="A858" s="74"/>
      <c r="B858" s="75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</row>
    <row r="859" spans="1:23" x14ac:dyDescent="0.2">
      <c r="A859" s="74"/>
      <c r="B859" s="75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</row>
    <row r="860" spans="1:23" x14ac:dyDescent="0.2">
      <c r="A860" s="74"/>
      <c r="B860" s="75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</row>
    <row r="861" spans="1:23" x14ac:dyDescent="0.2">
      <c r="A861" s="74"/>
      <c r="B861" s="75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</row>
    <row r="862" spans="1:23" x14ac:dyDescent="0.2">
      <c r="A862" s="74"/>
      <c r="B862" s="75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</row>
    <row r="863" spans="1:23" x14ac:dyDescent="0.2">
      <c r="A863" s="74"/>
      <c r="B863" s="75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</row>
    <row r="864" spans="1:23" x14ac:dyDescent="0.2">
      <c r="A864" s="74"/>
      <c r="B864" s="75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</row>
    <row r="865" spans="1:23" x14ac:dyDescent="0.2">
      <c r="A865" s="74"/>
      <c r="B865" s="75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</row>
    <row r="866" spans="1:23" x14ac:dyDescent="0.2">
      <c r="A866" s="74"/>
      <c r="B866" s="75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</row>
    <row r="867" spans="1:23" x14ac:dyDescent="0.2">
      <c r="A867" s="74"/>
      <c r="B867" s="75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</row>
    <row r="868" spans="1:23" x14ac:dyDescent="0.2">
      <c r="A868" s="74"/>
      <c r="B868" s="75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</row>
    <row r="869" spans="1:23" x14ac:dyDescent="0.2">
      <c r="A869" s="74"/>
      <c r="B869" s="75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</row>
    <row r="870" spans="1:23" x14ac:dyDescent="0.2">
      <c r="A870" s="74"/>
      <c r="B870" s="75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</row>
    <row r="871" spans="1:23" x14ac:dyDescent="0.2">
      <c r="A871" s="74"/>
      <c r="B871" s="75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</row>
    <row r="872" spans="1:23" x14ac:dyDescent="0.2">
      <c r="A872" s="74"/>
      <c r="B872" s="75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</row>
    <row r="873" spans="1:23" x14ac:dyDescent="0.2">
      <c r="A873" s="74"/>
      <c r="B873" s="75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</row>
    <row r="874" spans="1:23" x14ac:dyDescent="0.2">
      <c r="A874" s="74"/>
      <c r="B874" s="75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</row>
    <row r="875" spans="1:23" x14ac:dyDescent="0.2">
      <c r="A875" s="74"/>
      <c r="B875" s="75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</row>
    <row r="876" spans="1:23" x14ac:dyDescent="0.2">
      <c r="A876" s="74"/>
      <c r="B876" s="75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</row>
    <row r="877" spans="1:23" x14ac:dyDescent="0.2">
      <c r="A877" s="74"/>
      <c r="B877" s="75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</row>
    <row r="878" spans="1:23" x14ac:dyDescent="0.2">
      <c r="A878" s="74"/>
      <c r="B878" s="75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</row>
    <row r="879" spans="1:23" x14ac:dyDescent="0.2">
      <c r="A879" s="74"/>
      <c r="B879" s="75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</row>
    <row r="880" spans="1:23" x14ac:dyDescent="0.2">
      <c r="A880" s="74"/>
      <c r="B880" s="75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</row>
    <row r="881" spans="1:23" x14ac:dyDescent="0.2">
      <c r="A881" s="74"/>
      <c r="B881" s="75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</row>
    <row r="882" spans="1:23" x14ac:dyDescent="0.2">
      <c r="A882" s="74"/>
      <c r="B882" s="75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</row>
    <row r="883" spans="1:23" x14ac:dyDescent="0.2">
      <c r="A883" s="74"/>
      <c r="B883" s="75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</row>
    <row r="884" spans="1:23" x14ac:dyDescent="0.2">
      <c r="A884" s="74"/>
      <c r="B884" s="75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</row>
    <row r="885" spans="1:23" x14ac:dyDescent="0.2">
      <c r="A885" s="74"/>
      <c r="B885" s="75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</row>
    <row r="886" spans="1:23" x14ac:dyDescent="0.2">
      <c r="A886" s="74"/>
      <c r="B886" s="75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</row>
    <row r="887" spans="1:23" x14ac:dyDescent="0.2">
      <c r="A887" s="74"/>
      <c r="B887" s="75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</row>
    <row r="888" spans="1:23" x14ac:dyDescent="0.2">
      <c r="A888" s="74"/>
      <c r="B888" s="75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</row>
    <row r="889" spans="1:23" x14ac:dyDescent="0.2">
      <c r="A889" s="74"/>
      <c r="B889" s="75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</row>
    <row r="890" spans="1:23" x14ac:dyDescent="0.2">
      <c r="A890" s="74"/>
      <c r="B890" s="75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</row>
    <row r="891" spans="1:23" x14ac:dyDescent="0.2">
      <c r="A891" s="74"/>
      <c r="B891" s="75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</row>
    <row r="892" spans="1:23" x14ac:dyDescent="0.2">
      <c r="A892" s="74"/>
      <c r="B892" s="75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</row>
    <row r="893" spans="1:23" x14ac:dyDescent="0.2">
      <c r="A893" s="74"/>
      <c r="B893" s="75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</row>
    <row r="894" spans="1:23" x14ac:dyDescent="0.2">
      <c r="A894" s="74"/>
      <c r="B894" s="75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</row>
    <row r="895" spans="1:23" x14ac:dyDescent="0.2">
      <c r="A895" s="74"/>
      <c r="B895" s="75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</row>
    <row r="896" spans="1:23" x14ac:dyDescent="0.2">
      <c r="A896" s="74"/>
      <c r="B896" s="75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</row>
    <row r="897" spans="1:23" x14ac:dyDescent="0.2">
      <c r="A897" s="74"/>
      <c r="B897" s="75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</row>
    <row r="898" spans="1:23" x14ac:dyDescent="0.2">
      <c r="A898" s="74"/>
      <c r="B898" s="75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</row>
    <row r="899" spans="1:23" x14ac:dyDescent="0.2">
      <c r="A899" s="74"/>
      <c r="B899" s="75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</row>
    <row r="900" spans="1:23" x14ac:dyDescent="0.2">
      <c r="A900" s="74"/>
      <c r="B900" s="75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</row>
    <row r="901" spans="1:23" x14ac:dyDescent="0.2">
      <c r="A901" s="74"/>
      <c r="B901" s="75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</row>
    <row r="902" spans="1:23" x14ac:dyDescent="0.2">
      <c r="A902" s="74"/>
      <c r="B902" s="75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</row>
    <row r="903" spans="1:23" x14ac:dyDescent="0.2">
      <c r="A903" s="74"/>
      <c r="B903" s="75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</row>
    <row r="904" spans="1:23" x14ac:dyDescent="0.2">
      <c r="A904" s="74"/>
      <c r="B904" s="75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</row>
    <row r="905" spans="1:23" x14ac:dyDescent="0.2">
      <c r="A905" s="74"/>
      <c r="B905" s="75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</row>
    <row r="906" spans="1:23" x14ac:dyDescent="0.2">
      <c r="A906" s="74"/>
      <c r="B906" s="75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</row>
    <row r="907" spans="1:23" x14ac:dyDescent="0.2">
      <c r="A907" s="74"/>
      <c r="B907" s="75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</row>
    <row r="908" spans="1:23" x14ac:dyDescent="0.2">
      <c r="A908" s="74"/>
      <c r="B908" s="75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</row>
    <row r="909" spans="1:23" x14ac:dyDescent="0.2">
      <c r="A909" s="74"/>
      <c r="B909" s="75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</row>
    <row r="910" spans="1:23" x14ac:dyDescent="0.2">
      <c r="A910" s="74"/>
      <c r="B910" s="75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</row>
    <row r="911" spans="1:23" x14ac:dyDescent="0.2">
      <c r="A911" s="74"/>
      <c r="B911" s="75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</row>
    <row r="912" spans="1:23" x14ac:dyDescent="0.2">
      <c r="A912" s="74"/>
      <c r="B912" s="75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</row>
    <row r="913" spans="1:23" x14ac:dyDescent="0.2">
      <c r="A913" s="74"/>
      <c r="B913" s="75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</row>
    <row r="914" spans="1:23" x14ac:dyDescent="0.2">
      <c r="A914" s="74"/>
      <c r="B914" s="75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</row>
    <row r="915" spans="1:23" x14ac:dyDescent="0.2">
      <c r="A915" s="74"/>
      <c r="B915" s="75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</row>
    <row r="916" spans="1:23" x14ac:dyDescent="0.2">
      <c r="A916" s="74"/>
      <c r="B916" s="75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</row>
    <row r="917" spans="1:23" x14ac:dyDescent="0.2">
      <c r="A917" s="74"/>
      <c r="B917" s="75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</row>
    <row r="918" spans="1:23" x14ac:dyDescent="0.2">
      <c r="A918" s="74"/>
      <c r="B918" s="75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</row>
    <row r="919" spans="1:23" x14ac:dyDescent="0.2">
      <c r="A919" s="74"/>
      <c r="B919" s="75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</row>
    <row r="920" spans="1:23" x14ac:dyDescent="0.2">
      <c r="A920" s="74"/>
      <c r="B920" s="75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</row>
    <row r="921" spans="1:23" x14ac:dyDescent="0.2">
      <c r="A921" s="74"/>
      <c r="B921" s="75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</row>
    <row r="922" spans="1:23" x14ac:dyDescent="0.2">
      <c r="A922" s="74"/>
      <c r="B922" s="75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</row>
    <row r="923" spans="1:23" x14ac:dyDescent="0.2">
      <c r="A923" s="74"/>
      <c r="B923" s="75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</row>
    <row r="924" spans="1:23" x14ac:dyDescent="0.2">
      <c r="A924" s="74"/>
      <c r="B924" s="75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</row>
    <row r="925" spans="1:23" x14ac:dyDescent="0.2">
      <c r="A925" s="74"/>
      <c r="B925" s="75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</row>
    <row r="926" spans="1:23" x14ac:dyDescent="0.2">
      <c r="A926" s="74"/>
      <c r="B926" s="75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</row>
    <row r="927" spans="1:23" x14ac:dyDescent="0.2">
      <c r="A927" s="74"/>
      <c r="B927" s="75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</row>
    <row r="928" spans="1:23" x14ac:dyDescent="0.2">
      <c r="A928" s="74"/>
      <c r="B928" s="75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</row>
    <row r="929" spans="1:23" x14ac:dyDescent="0.2">
      <c r="A929" s="74"/>
      <c r="B929" s="75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</row>
    <row r="930" spans="1:23" x14ac:dyDescent="0.2">
      <c r="A930" s="74"/>
      <c r="B930" s="75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</row>
    <row r="931" spans="1:23" x14ac:dyDescent="0.2">
      <c r="A931" s="74"/>
      <c r="B931" s="75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</row>
    <row r="932" spans="1:23" x14ac:dyDescent="0.2">
      <c r="A932" s="74"/>
      <c r="B932" s="75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</row>
    <row r="933" spans="1:23" x14ac:dyDescent="0.2">
      <c r="A933" s="74"/>
      <c r="B933" s="75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</row>
    <row r="934" spans="1:23" x14ac:dyDescent="0.2">
      <c r="A934" s="74"/>
      <c r="B934" s="75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</row>
    <row r="935" spans="1:23" x14ac:dyDescent="0.2">
      <c r="A935" s="74"/>
      <c r="B935" s="75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</row>
    <row r="936" spans="1:23" x14ac:dyDescent="0.2">
      <c r="A936" s="74"/>
      <c r="B936" s="75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</row>
    <row r="937" spans="1:23" x14ac:dyDescent="0.2">
      <c r="A937" s="74"/>
      <c r="B937" s="75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</row>
    <row r="938" spans="1:23" x14ac:dyDescent="0.2">
      <c r="A938" s="74"/>
      <c r="B938" s="75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</row>
    <row r="939" spans="1:23" x14ac:dyDescent="0.2">
      <c r="A939" s="74"/>
      <c r="B939" s="75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</row>
    <row r="940" spans="1:23" x14ac:dyDescent="0.2">
      <c r="A940" s="74"/>
      <c r="B940" s="75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</row>
    <row r="941" spans="1:23" x14ac:dyDescent="0.2">
      <c r="A941" s="74"/>
      <c r="B941" s="75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</row>
    <row r="942" spans="1:23" x14ac:dyDescent="0.2">
      <c r="A942" s="74"/>
      <c r="B942" s="75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</row>
    <row r="943" spans="1:23" x14ac:dyDescent="0.2">
      <c r="A943" s="74"/>
      <c r="B943" s="75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</row>
    <row r="944" spans="1:23" x14ac:dyDescent="0.2">
      <c r="A944" s="74"/>
      <c r="B944" s="75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</row>
    <row r="945" spans="1:23" x14ac:dyDescent="0.2">
      <c r="A945" s="74"/>
      <c r="B945" s="75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</row>
    <row r="946" spans="1:23" x14ac:dyDescent="0.2">
      <c r="A946" s="74"/>
      <c r="B946" s="75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</row>
    <row r="947" spans="1:23" x14ac:dyDescent="0.2">
      <c r="A947" s="74"/>
      <c r="B947" s="75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</row>
    <row r="948" spans="1:23" x14ac:dyDescent="0.2">
      <c r="A948" s="74"/>
      <c r="B948" s="75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</row>
    <row r="949" spans="1:23" x14ac:dyDescent="0.2">
      <c r="A949" s="74"/>
      <c r="B949" s="75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</row>
    <row r="950" spans="1:23" x14ac:dyDescent="0.2">
      <c r="A950" s="74"/>
      <c r="B950" s="75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</row>
    <row r="951" spans="1:23" x14ac:dyDescent="0.2">
      <c r="A951" s="74"/>
      <c r="B951" s="75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</row>
    <row r="952" spans="1:23" x14ac:dyDescent="0.2">
      <c r="A952" s="74"/>
      <c r="B952" s="75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</row>
    <row r="953" spans="1:23" x14ac:dyDescent="0.2">
      <c r="A953" s="74"/>
      <c r="B953" s="75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</row>
    <row r="954" spans="1:23" x14ac:dyDescent="0.2">
      <c r="A954" s="74"/>
      <c r="B954" s="75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</row>
    <row r="955" spans="1:23" x14ac:dyDescent="0.2">
      <c r="A955" s="74"/>
      <c r="B955" s="75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</row>
    <row r="956" spans="1:23" x14ac:dyDescent="0.2">
      <c r="A956" s="74"/>
      <c r="B956" s="75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</row>
    <row r="957" spans="1:23" x14ac:dyDescent="0.2">
      <c r="A957" s="74"/>
      <c r="B957" s="75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</row>
    <row r="958" spans="1:23" x14ac:dyDescent="0.2">
      <c r="A958" s="74"/>
      <c r="B958" s="75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</row>
    <row r="959" spans="1:23" x14ac:dyDescent="0.2">
      <c r="A959" s="74"/>
      <c r="B959" s="75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</row>
    <row r="960" spans="1:23" x14ac:dyDescent="0.2">
      <c r="A960" s="74"/>
      <c r="B960" s="75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</row>
    <row r="961" spans="1:23" x14ac:dyDescent="0.2">
      <c r="A961" s="74"/>
      <c r="B961" s="75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</row>
    <row r="962" spans="1:23" x14ac:dyDescent="0.2">
      <c r="A962" s="74"/>
      <c r="B962" s="75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</row>
    <row r="963" spans="1:23" x14ac:dyDescent="0.2">
      <c r="A963" s="74"/>
      <c r="B963" s="75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</row>
    <row r="964" spans="1:23" x14ac:dyDescent="0.2">
      <c r="A964" s="74"/>
      <c r="B964" s="75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</row>
    <row r="965" spans="1:23" x14ac:dyDescent="0.2">
      <c r="A965" s="74"/>
      <c r="B965" s="75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</row>
    <row r="966" spans="1:23" x14ac:dyDescent="0.2">
      <c r="A966" s="74"/>
      <c r="B966" s="75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</row>
    <row r="967" spans="1:23" x14ac:dyDescent="0.2">
      <c r="A967" s="74"/>
      <c r="B967" s="75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</row>
    <row r="968" spans="1:23" x14ac:dyDescent="0.2">
      <c r="A968" s="74"/>
      <c r="B968" s="75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</row>
    <row r="969" spans="1:23" x14ac:dyDescent="0.2">
      <c r="A969" s="74"/>
      <c r="B969" s="75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</row>
    <row r="970" spans="1:23" x14ac:dyDescent="0.2">
      <c r="A970" s="74"/>
      <c r="B970" s="75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</row>
    <row r="971" spans="1:23" x14ac:dyDescent="0.2">
      <c r="A971" s="74"/>
      <c r="B971" s="75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</row>
    <row r="972" spans="1:23" x14ac:dyDescent="0.2">
      <c r="A972" s="74"/>
      <c r="B972" s="75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</row>
    <row r="973" spans="1:23" x14ac:dyDescent="0.2">
      <c r="A973" s="74"/>
      <c r="B973" s="75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</row>
    <row r="974" spans="1:23" x14ac:dyDescent="0.2">
      <c r="A974" s="74"/>
      <c r="B974" s="75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</row>
    <row r="975" spans="1:23" x14ac:dyDescent="0.2">
      <c r="A975" s="74"/>
      <c r="B975" s="75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</row>
    <row r="976" spans="1:23" x14ac:dyDescent="0.2">
      <c r="A976" s="74"/>
      <c r="B976" s="75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</row>
    <row r="977" spans="1:23" x14ac:dyDescent="0.2">
      <c r="A977" s="74"/>
      <c r="B977" s="75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</row>
    <row r="978" spans="1:23" x14ac:dyDescent="0.2">
      <c r="A978" s="74"/>
      <c r="B978" s="75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</row>
    <row r="979" spans="1:23" x14ac:dyDescent="0.2">
      <c r="A979" s="74"/>
      <c r="B979" s="75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</row>
    <row r="980" spans="1:23" x14ac:dyDescent="0.2">
      <c r="A980" s="74"/>
      <c r="B980" s="75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</row>
    <row r="981" spans="1:23" x14ac:dyDescent="0.2">
      <c r="A981" s="74"/>
      <c r="B981" s="75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</row>
    <row r="982" spans="1:23" x14ac:dyDescent="0.2">
      <c r="A982" s="74"/>
      <c r="B982" s="75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</row>
    <row r="983" spans="1:23" x14ac:dyDescent="0.2">
      <c r="A983" s="74"/>
      <c r="B983" s="75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</row>
    <row r="984" spans="1:23" x14ac:dyDescent="0.2">
      <c r="A984" s="74"/>
      <c r="B984" s="75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</row>
    <row r="985" spans="1:23" x14ac:dyDescent="0.2">
      <c r="A985" s="74"/>
      <c r="B985" s="75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</row>
    <row r="986" spans="1:23" x14ac:dyDescent="0.2">
      <c r="A986" s="74"/>
      <c r="B986" s="75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</row>
    <row r="987" spans="1:23" x14ac:dyDescent="0.2">
      <c r="A987" s="74"/>
      <c r="B987" s="75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</row>
    <row r="988" spans="1:23" x14ac:dyDescent="0.2">
      <c r="A988" s="74"/>
      <c r="B988" s="75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</row>
    <row r="989" spans="1:23" x14ac:dyDescent="0.2">
      <c r="A989" s="74"/>
      <c r="B989" s="75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</row>
    <row r="990" spans="1:23" x14ac:dyDescent="0.2">
      <c r="A990" s="74"/>
      <c r="B990" s="75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</row>
    <row r="991" spans="1:23" x14ac:dyDescent="0.2">
      <c r="A991" s="74"/>
      <c r="B991" s="75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</row>
    <row r="992" spans="1:23" x14ac:dyDescent="0.2">
      <c r="A992" s="74"/>
      <c r="B992" s="75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</row>
    <row r="993" spans="1:23" x14ac:dyDescent="0.2">
      <c r="A993" s="74"/>
      <c r="B993" s="75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</row>
    <row r="994" spans="1:23" x14ac:dyDescent="0.2">
      <c r="A994" s="74"/>
      <c r="B994" s="75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</row>
    <row r="995" spans="1:23" x14ac:dyDescent="0.2">
      <c r="A995" s="74"/>
      <c r="B995" s="75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</row>
    <row r="996" spans="1:23" x14ac:dyDescent="0.2">
      <c r="A996" s="74"/>
      <c r="B996" s="75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</row>
    <row r="997" spans="1:23" x14ac:dyDescent="0.2">
      <c r="A997" s="74"/>
      <c r="B997" s="75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</row>
    <row r="998" spans="1:23" x14ac:dyDescent="0.2">
      <c r="A998" s="74"/>
      <c r="B998" s="75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</row>
    <row r="999" spans="1:23" x14ac:dyDescent="0.2">
      <c r="A999" s="74"/>
      <c r="B999" s="75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</row>
    <row r="1000" spans="1:23" x14ac:dyDescent="0.2">
      <c r="A1000" s="74"/>
      <c r="B1000" s="75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</row>
    <row r="1001" spans="1:23" x14ac:dyDescent="0.2">
      <c r="A1001" s="74"/>
      <c r="B1001" s="75"/>
      <c r="C1001" s="74"/>
      <c r="D1001" s="74"/>
      <c r="E1001" s="74"/>
      <c r="F1001" s="74"/>
      <c r="G1001" s="74"/>
      <c r="H1001" s="74"/>
      <c r="I1001" s="74"/>
      <c r="J1001" s="74"/>
      <c r="K1001" s="74"/>
      <c r="L1001" s="74"/>
      <c r="M1001" s="74"/>
      <c r="N1001" s="74"/>
      <c r="O1001" s="74"/>
      <c r="P1001" s="74"/>
      <c r="Q1001" s="74"/>
      <c r="R1001" s="74"/>
      <c r="S1001" s="74"/>
      <c r="T1001" s="74"/>
      <c r="U1001" s="74"/>
      <c r="V1001" s="74"/>
      <c r="W1001" s="74"/>
    </row>
    <row r="1002" spans="1:23" x14ac:dyDescent="0.2">
      <c r="A1002" s="74"/>
      <c r="B1002" s="75"/>
      <c r="C1002" s="74"/>
      <c r="D1002" s="74"/>
      <c r="E1002" s="74"/>
      <c r="F1002" s="74"/>
      <c r="G1002" s="74"/>
      <c r="H1002" s="74"/>
      <c r="I1002" s="74"/>
      <c r="J1002" s="74"/>
      <c r="K1002" s="74"/>
      <c r="L1002" s="74"/>
      <c r="M1002" s="74"/>
      <c r="N1002" s="74"/>
      <c r="O1002" s="74"/>
      <c r="P1002" s="74"/>
      <c r="Q1002" s="74"/>
      <c r="R1002" s="74"/>
      <c r="S1002" s="74"/>
      <c r="T1002" s="74"/>
      <c r="U1002" s="74"/>
      <c r="V1002" s="74"/>
      <c r="W1002" s="74"/>
    </row>
    <row r="1003" spans="1:23" x14ac:dyDescent="0.2">
      <c r="A1003" s="74"/>
      <c r="B1003" s="75"/>
      <c r="C1003" s="74"/>
      <c r="D1003" s="74"/>
      <c r="E1003" s="74"/>
      <c r="F1003" s="74"/>
      <c r="G1003" s="74"/>
      <c r="H1003" s="74"/>
      <c r="I1003" s="74"/>
      <c r="J1003" s="74"/>
      <c r="K1003" s="74"/>
      <c r="L1003" s="74"/>
      <c r="M1003" s="74"/>
      <c r="N1003" s="74"/>
      <c r="O1003" s="74"/>
      <c r="P1003" s="74"/>
      <c r="Q1003" s="74"/>
      <c r="R1003" s="74"/>
      <c r="S1003" s="74"/>
      <c r="T1003" s="74"/>
      <c r="U1003" s="74"/>
      <c r="V1003" s="74"/>
      <c r="W1003" s="74"/>
    </row>
    <row r="1004" spans="1:23" x14ac:dyDescent="0.2">
      <c r="A1004" s="74"/>
      <c r="B1004" s="75"/>
      <c r="C1004" s="74"/>
      <c r="D1004" s="74"/>
      <c r="E1004" s="74"/>
      <c r="F1004" s="74"/>
      <c r="G1004" s="74"/>
      <c r="H1004" s="74"/>
      <c r="I1004" s="74"/>
      <c r="J1004" s="74"/>
      <c r="K1004" s="74"/>
      <c r="L1004" s="74"/>
      <c r="M1004" s="74"/>
      <c r="N1004" s="74"/>
      <c r="O1004" s="74"/>
      <c r="P1004" s="74"/>
      <c r="Q1004" s="74"/>
      <c r="R1004" s="74"/>
      <c r="S1004" s="74"/>
      <c r="T1004" s="74"/>
      <c r="U1004" s="74"/>
      <c r="V1004" s="74"/>
      <c r="W1004" s="74"/>
    </row>
    <row r="1005" spans="1:23" x14ac:dyDescent="0.2">
      <c r="A1005" s="74"/>
      <c r="B1005" s="75"/>
      <c r="C1005" s="74"/>
      <c r="D1005" s="74"/>
      <c r="E1005" s="74"/>
      <c r="F1005" s="74"/>
      <c r="G1005" s="74"/>
      <c r="H1005" s="74"/>
      <c r="I1005" s="74"/>
      <c r="J1005" s="74"/>
      <c r="K1005" s="74"/>
      <c r="L1005" s="74"/>
      <c r="M1005" s="74"/>
      <c r="N1005" s="74"/>
      <c r="O1005" s="74"/>
      <c r="P1005" s="74"/>
      <c r="Q1005" s="74"/>
      <c r="R1005" s="74"/>
      <c r="S1005" s="74"/>
      <c r="T1005" s="74"/>
      <c r="U1005" s="74"/>
      <c r="V1005" s="74"/>
      <c r="W1005" s="74"/>
    </row>
    <row r="1006" spans="1:23" x14ac:dyDescent="0.2">
      <c r="A1006" s="74"/>
      <c r="B1006" s="75"/>
      <c r="C1006" s="74"/>
      <c r="D1006" s="74"/>
      <c r="E1006" s="74"/>
      <c r="F1006" s="74"/>
      <c r="G1006" s="74"/>
      <c r="H1006" s="74"/>
      <c r="I1006" s="74"/>
      <c r="J1006" s="74"/>
      <c r="K1006" s="74"/>
      <c r="L1006" s="74"/>
      <c r="M1006" s="74"/>
      <c r="N1006" s="74"/>
      <c r="O1006" s="74"/>
      <c r="P1006" s="74"/>
      <c r="Q1006" s="74"/>
      <c r="R1006" s="74"/>
      <c r="S1006" s="74"/>
      <c r="T1006" s="74"/>
      <c r="U1006" s="74"/>
      <c r="V1006" s="74"/>
      <c r="W1006" s="74"/>
    </row>
    <row r="1007" spans="1:23" x14ac:dyDescent="0.2">
      <c r="A1007" s="74"/>
      <c r="B1007" s="75"/>
      <c r="C1007" s="74"/>
      <c r="D1007" s="74"/>
      <c r="E1007" s="74"/>
      <c r="F1007" s="74"/>
      <c r="G1007" s="74"/>
      <c r="H1007" s="74"/>
      <c r="I1007" s="74"/>
      <c r="J1007" s="74"/>
      <c r="K1007" s="74"/>
      <c r="L1007" s="74"/>
      <c r="M1007" s="74"/>
      <c r="N1007" s="74"/>
      <c r="O1007" s="74"/>
      <c r="P1007" s="74"/>
      <c r="Q1007" s="74"/>
      <c r="R1007" s="74"/>
      <c r="S1007" s="74"/>
      <c r="T1007" s="74"/>
      <c r="U1007" s="74"/>
      <c r="V1007" s="74"/>
      <c r="W1007" s="74"/>
    </row>
    <row r="1008" spans="1:23" x14ac:dyDescent="0.2">
      <c r="A1008" s="74"/>
      <c r="B1008" s="75"/>
      <c r="C1008" s="74"/>
      <c r="D1008" s="74"/>
      <c r="E1008" s="74"/>
      <c r="F1008" s="74"/>
      <c r="G1008" s="74"/>
      <c r="H1008" s="74"/>
      <c r="I1008" s="74"/>
      <c r="J1008" s="74"/>
      <c r="K1008" s="74"/>
      <c r="L1008" s="74"/>
      <c r="M1008" s="74"/>
      <c r="N1008" s="74"/>
      <c r="O1008" s="74"/>
      <c r="P1008" s="74"/>
      <c r="Q1008" s="74"/>
      <c r="R1008" s="74"/>
      <c r="S1008" s="74"/>
      <c r="T1008" s="74"/>
      <c r="U1008" s="74"/>
      <c r="V1008" s="74"/>
      <c r="W1008" s="74"/>
    </row>
    <row r="1009" spans="1:23" x14ac:dyDescent="0.2">
      <c r="A1009" s="74"/>
      <c r="B1009" s="75"/>
      <c r="C1009" s="74"/>
      <c r="D1009" s="74"/>
      <c r="E1009" s="74"/>
      <c r="F1009" s="74"/>
      <c r="G1009" s="74"/>
      <c r="H1009" s="74"/>
      <c r="I1009" s="74"/>
      <c r="J1009" s="74"/>
      <c r="K1009" s="74"/>
      <c r="L1009" s="74"/>
      <c r="M1009" s="74"/>
      <c r="N1009" s="74"/>
      <c r="O1009" s="74"/>
      <c r="P1009" s="74"/>
      <c r="Q1009" s="74"/>
      <c r="R1009" s="74"/>
      <c r="S1009" s="74"/>
      <c r="T1009" s="74"/>
      <c r="U1009" s="74"/>
      <c r="V1009" s="74"/>
      <c r="W1009" s="74"/>
    </row>
    <row r="1010" spans="1:23" x14ac:dyDescent="0.2">
      <c r="A1010" s="74"/>
      <c r="B1010" s="75"/>
      <c r="C1010" s="74"/>
      <c r="D1010" s="74"/>
      <c r="E1010" s="74"/>
      <c r="F1010" s="74"/>
      <c r="G1010" s="74"/>
      <c r="H1010" s="74"/>
      <c r="I1010" s="74"/>
      <c r="J1010" s="74"/>
      <c r="K1010" s="74"/>
      <c r="L1010" s="74"/>
      <c r="M1010" s="74"/>
      <c r="N1010" s="74"/>
      <c r="O1010" s="74"/>
      <c r="P1010" s="74"/>
      <c r="Q1010" s="74"/>
      <c r="R1010" s="74"/>
      <c r="S1010" s="74"/>
      <c r="T1010" s="74"/>
      <c r="U1010" s="74"/>
      <c r="V1010" s="74"/>
      <c r="W1010" s="74"/>
    </row>
    <row r="1011" spans="1:23" x14ac:dyDescent="0.2">
      <c r="A1011" s="74"/>
      <c r="B1011" s="75"/>
      <c r="C1011" s="74"/>
      <c r="D1011" s="74"/>
      <c r="E1011" s="74"/>
      <c r="F1011" s="74"/>
      <c r="G1011" s="74"/>
      <c r="H1011" s="74"/>
      <c r="I1011" s="74"/>
      <c r="J1011" s="74"/>
      <c r="K1011" s="74"/>
      <c r="L1011" s="74"/>
      <c r="M1011" s="74"/>
      <c r="N1011" s="74"/>
      <c r="O1011" s="74"/>
      <c r="P1011" s="74"/>
      <c r="Q1011" s="74"/>
      <c r="R1011" s="74"/>
      <c r="S1011" s="74"/>
      <c r="T1011" s="74"/>
      <c r="U1011" s="74"/>
      <c r="V1011" s="74"/>
      <c r="W1011" s="74"/>
    </row>
    <row r="1012" spans="1:23" x14ac:dyDescent="0.2">
      <c r="A1012" s="74"/>
      <c r="B1012" s="75"/>
      <c r="C1012" s="74"/>
      <c r="D1012" s="74"/>
      <c r="E1012" s="74"/>
      <c r="F1012" s="74"/>
      <c r="G1012" s="74"/>
      <c r="H1012" s="74"/>
      <c r="I1012" s="74"/>
      <c r="J1012" s="74"/>
      <c r="K1012" s="74"/>
      <c r="L1012" s="74"/>
      <c r="M1012" s="74"/>
      <c r="N1012" s="74"/>
      <c r="O1012" s="74"/>
      <c r="P1012" s="74"/>
      <c r="Q1012" s="74"/>
      <c r="R1012" s="74"/>
      <c r="S1012" s="74"/>
      <c r="T1012" s="74"/>
      <c r="U1012" s="74"/>
      <c r="V1012" s="74"/>
      <c r="W1012" s="74"/>
    </row>
    <row r="1013" spans="1:23" x14ac:dyDescent="0.2">
      <c r="A1013" s="74"/>
      <c r="B1013" s="75"/>
      <c r="C1013" s="74"/>
      <c r="D1013" s="74"/>
      <c r="E1013" s="74"/>
      <c r="F1013" s="74"/>
      <c r="G1013" s="74"/>
      <c r="H1013" s="74"/>
      <c r="I1013" s="74"/>
      <c r="J1013" s="74"/>
      <c r="K1013" s="74"/>
      <c r="L1013" s="74"/>
      <c r="M1013" s="74"/>
      <c r="N1013" s="74"/>
      <c r="O1013" s="74"/>
      <c r="P1013" s="74"/>
      <c r="Q1013" s="74"/>
      <c r="R1013" s="74"/>
      <c r="S1013" s="74"/>
      <c r="T1013" s="74"/>
      <c r="U1013" s="74"/>
      <c r="V1013" s="74"/>
      <c r="W1013" s="74"/>
    </row>
    <row r="1014" spans="1:23" x14ac:dyDescent="0.2">
      <c r="A1014" s="74"/>
      <c r="B1014" s="75"/>
      <c r="C1014" s="74"/>
      <c r="D1014" s="74"/>
      <c r="E1014" s="74"/>
      <c r="F1014" s="74"/>
      <c r="G1014" s="74"/>
      <c r="H1014" s="74"/>
      <c r="I1014" s="74"/>
      <c r="J1014" s="74"/>
      <c r="K1014" s="74"/>
      <c r="L1014" s="74"/>
      <c r="M1014" s="74"/>
      <c r="N1014" s="74"/>
      <c r="O1014" s="74"/>
      <c r="P1014" s="74"/>
      <c r="Q1014" s="74"/>
      <c r="R1014" s="74"/>
      <c r="S1014" s="74"/>
      <c r="T1014" s="74"/>
      <c r="U1014" s="74"/>
      <c r="V1014" s="74"/>
      <c r="W1014" s="74"/>
    </row>
    <row r="1015" spans="1:23" x14ac:dyDescent="0.2">
      <c r="A1015" s="74"/>
      <c r="B1015" s="75"/>
      <c r="C1015" s="74"/>
      <c r="D1015" s="74"/>
      <c r="E1015" s="74"/>
      <c r="F1015" s="74"/>
      <c r="G1015" s="74"/>
      <c r="H1015" s="74"/>
      <c r="I1015" s="74"/>
      <c r="J1015" s="74"/>
      <c r="K1015" s="74"/>
      <c r="L1015" s="74"/>
      <c r="M1015" s="74"/>
      <c r="N1015" s="74"/>
      <c r="O1015" s="74"/>
      <c r="P1015" s="74"/>
      <c r="Q1015" s="74"/>
      <c r="R1015" s="74"/>
      <c r="S1015" s="74"/>
      <c r="T1015" s="74"/>
      <c r="U1015" s="74"/>
      <c r="V1015" s="74"/>
      <c r="W1015" s="74"/>
    </row>
    <row r="1016" spans="1:23" x14ac:dyDescent="0.2">
      <c r="A1016" s="74"/>
      <c r="B1016" s="75"/>
      <c r="C1016" s="74"/>
      <c r="D1016" s="74"/>
      <c r="E1016" s="74"/>
      <c r="F1016" s="74"/>
      <c r="G1016" s="74"/>
      <c r="H1016" s="74"/>
      <c r="I1016" s="74"/>
      <c r="J1016" s="74"/>
      <c r="K1016" s="74"/>
      <c r="L1016" s="74"/>
      <c r="M1016" s="74"/>
      <c r="N1016" s="74"/>
      <c r="O1016" s="74"/>
      <c r="P1016" s="74"/>
      <c r="Q1016" s="74"/>
      <c r="R1016" s="74"/>
      <c r="S1016" s="74"/>
      <c r="T1016" s="74"/>
      <c r="U1016" s="74"/>
      <c r="V1016" s="74"/>
      <c r="W1016" s="74"/>
    </row>
    <row r="1017" spans="1:23" x14ac:dyDescent="0.2">
      <c r="A1017" s="74"/>
      <c r="B1017" s="75"/>
      <c r="C1017" s="74"/>
      <c r="D1017" s="74"/>
      <c r="E1017" s="74"/>
      <c r="F1017" s="74"/>
      <c r="G1017" s="74"/>
      <c r="H1017" s="74"/>
      <c r="I1017" s="74"/>
      <c r="J1017" s="74"/>
      <c r="K1017" s="74"/>
      <c r="L1017" s="74"/>
      <c r="M1017" s="74"/>
      <c r="N1017" s="74"/>
      <c r="O1017" s="74"/>
      <c r="P1017" s="74"/>
      <c r="Q1017" s="74"/>
      <c r="R1017" s="74"/>
      <c r="S1017" s="74"/>
      <c r="T1017" s="74"/>
      <c r="U1017" s="74"/>
      <c r="V1017" s="74"/>
      <c r="W1017" s="74"/>
    </row>
    <row r="1018" spans="1:23" x14ac:dyDescent="0.2">
      <c r="A1018" s="74"/>
      <c r="B1018" s="75"/>
      <c r="C1018" s="74"/>
      <c r="D1018" s="74"/>
      <c r="E1018" s="74"/>
      <c r="F1018" s="74"/>
      <c r="G1018" s="74"/>
      <c r="H1018" s="74"/>
      <c r="I1018" s="74"/>
      <c r="J1018" s="74"/>
      <c r="K1018" s="74"/>
      <c r="L1018" s="74"/>
      <c r="M1018" s="74"/>
      <c r="N1018" s="74"/>
      <c r="O1018" s="74"/>
      <c r="P1018" s="74"/>
      <c r="Q1018" s="74"/>
      <c r="R1018" s="74"/>
      <c r="S1018" s="74"/>
      <c r="T1018" s="74"/>
      <c r="U1018" s="74"/>
      <c r="V1018" s="74"/>
      <c r="W1018" s="74"/>
    </row>
    <row r="1019" spans="1:23" x14ac:dyDescent="0.2">
      <c r="A1019" s="74"/>
      <c r="B1019" s="75"/>
      <c r="C1019" s="74"/>
      <c r="D1019" s="74"/>
      <c r="E1019" s="74"/>
      <c r="F1019" s="74"/>
      <c r="G1019" s="74"/>
      <c r="H1019" s="74"/>
      <c r="I1019" s="74"/>
      <c r="J1019" s="74"/>
      <c r="K1019" s="74"/>
      <c r="L1019" s="74"/>
      <c r="M1019" s="74"/>
      <c r="N1019" s="74"/>
      <c r="O1019" s="74"/>
      <c r="P1019" s="74"/>
      <c r="Q1019" s="74"/>
      <c r="R1019" s="74"/>
      <c r="S1019" s="74"/>
      <c r="T1019" s="74"/>
      <c r="U1019" s="74"/>
      <c r="V1019" s="74"/>
      <c r="W1019" s="74"/>
    </row>
    <row r="1020" spans="1:23" x14ac:dyDescent="0.2">
      <c r="A1020" s="74"/>
      <c r="B1020" s="75"/>
      <c r="C1020" s="74"/>
      <c r="D1020" s="74"/>
      <c r="E1020" s="74"/>
      <c r="F1020" s="74"/>
      <c r="G1020" s="74"/>
      <c r="H1020" s="74"/>
      <c r="I1020" s="74"/>
      <c r="J1020" s="74"/>
      <c r="K1020" s="74"/>
      <c r="L1020" s="74"/>
      <c r="M1020" s="74"/>
      <c r="N1020" s="74"/>
      <c r="O1020" s="74"/>
      <c r="P1020" s="74"/>
      <c r="Q1020" s="74"/>
      <c r="R1020" s="74"/>
      <c r="S1020" s="74"/>
      <c r="T1020" s="74"/>
      <c r="U1020" s="74"/>
      <c r="V1020" s="74"/>
      <c r="W1020" s="74"/>
    </row>
    <row r="1021" spans="1:23" x14ac:dyDescent="0.2">
      <c r="A1021" s="74"/>
      <c r="B1021" s="75"/>
      <c r="C1021" s="74"/>
      <c r="D1021" s="74"/>
      <c r="E1021" s="74"/>
      <c r="F1021" s="74"/>
      <c r="G1021" s="74"/>
      <c r="H1021" s="74"/>
      <c r="I1021" s="74"/>
      <c r="J1021" s="74"/>
      <c r="K1021" s="74"/>
      <c r="L1021" s="74"/>
      <c r="M1021" s="74"/>
      <c r="N1021" s="74"/>
      <c r="O1021" s="74"/>
      <c r="P1021" s="74"/>
      <c r="Q1021" s="74"/>
      <c r="R1021" s="74"/>
      <c r="S1021" s="74"/>
      <c r="T1021" s="74"/>
      <c r="U1021" s="74"/>
      <c r="V1021" s="74"/>
      <c r="W1021" s="74"/>
    </row>
    <row r="1022" spans="1:23" x14ac:dyDescent="0.2">
      <c r="A1022" s="74"/>
      <c r="B1022" s="75"/>
      <c r="C1022" s="74"/>
      <c r="D1022" s="74"/>
      <c r="E1022" s="74"/>
      <c r="F1022" s="74"/>
      <c r="G1022" s="74"/>
      <c r="H1022" s="74"/>
      <c r="I1022" s="74"/>
      <c r="J1022" s="74"/>
      <c r="K1022" s="74"/>
      <c r="L1022" s="74"/>
      <c r="M1022" s="74"/>
      <c r="N1022" s="74"/>
      <c r="O1022" s="74"/>
      <c r="P1022" s="74"/>
      <c r="Q1022" s="74"/>
      <c r="R1022" s="74"/>
      <c r="S1022" s="74"/>
      <c r="T1022" s="74"/>
      <c r="U1022" s="74"/>
      <c r="V1022" s="74"/>
      <c r="W1022" s="74"/>
    </row>
    <row r="1023" spans="1:23" x14ac:dyDescent="0.2">
      <c r="A1023" s="74"/>
      <c r="B1023" s="75"/>
      <c r="C1023" s="74"/>
      <c r="D1023" s="74"/>
      <c r="E1023" s="74"/>
      <c r="F1023" s="74"/>
      <c r="G1023" s="74"/>
      <c r="H1023" s="74"/>
      <c r="I1023" s="74"/>
      <c r="J1023" s="74"/>
      <c r="K1023" s="74"/>
      <c r="L1023" s="74"/>
      <c r="M1023" s="74"/>
      <c r="N1023" s="74"/>
      <c r="O1023" s="74"/>
      <c r="P1023" s="74"/>
      <c r="Q1023" s="74"/>
      <c r="R1023" s="74"/>
      <c r="S1023" s="74"/>
      <c r="T1023" s="74"/>
      <c r="U1023" s="74"/>
      <c r="V1023" s="74"/>
      <c r="W1023" s="74"/>
    </row>
    <row r="1024" spans="1:23" x14ac:dyDescent="0.2">
      <c r="A1024" s="74"/>
      <c r="B1024" s="75"/>
      <c r="C1024" s="74"/>
      <c r="D1024" s="74"/>
      <c r="E1024" s="74"/>
      <c r="F1024" s="74"/>
      <c r="G1024" s="74"/>
      <c r="H1024" s="74"/>
      <c r="I1024" s="74"/>
      <c r="J1024" s="74"/>
      <c r="K1024" s="74"/>
      <c r="L1024" s="74"/>
      <c r="M1024" s="74"/>
      <c r="N1024" s="74"/>
      <c r="O1024" s="74"/>
      <c r="P1024" s="74"/>
      <c r="Q1024" s="74"/>
      <c r="R1024" s="74"/>
      <c r="S1024" s="74"/>
      <c r="T1024" s="74"/>
      <c r="U1024" s="74"/>
      <c r="V1024" s="74"/>
      <c r="W1024" s="74"/>
    </row>
    <row r="1025" spans="1:23" x14ac:dyDescent="0.2">
      <c r="A1025" s="74"/>
      <c r="B1025" s="75"/>
      <c r="C1025" s="74"/>
      <c r="D1025" s="74"/>
      <c r="E1025" s="74"/>
      <c r="F1025" s="74"/>
      <c r="G1025" s="74"/>
      <c r="H1025" s="74"/>
      <c r="I1025" s="74"/>
      <c r="J1025" s="74"/>
      <c r="K1025" s="74"/>
      <c r="L1025" s="74"/>
      <c r="M1025" s="74"/>
      <c r="N1025" s="74"/>
      <c r="O1025" s="74"/>
      <c r="P1025" s="74"/>
      <c r="Q1025" s="74"/>
      <c r="R1025" s="74"/>
      <c r="S1025" s="74"/>
      <c r="T1025" s="74"/>
      <c r="U1025" s="74"/>
      <c r="V1025" s="74"/>
      <c r="W1025" s="74"/>
    </row>
    <row r="1026" spans="1:23" x14ac:dyDescent="0.2">
      <c r="A1026" s="74"/>
      <c r="B1026" s="75"/>
      <c r="C1026" s="74"/>
      <c r="D1026" s="74"/>
      <c r="E1026" s="74"/>
      <c r="F1026" s="74"/>
      <c r="G1026" s="74"/>
      <c r="H1026" s="74"/>
      <c r="I1026" s="74"/>
      <c r="J1026" s="74"/>
      <c r="K1026" s="74"/>
      <c r="L1026" s="74"/>
      <c r="M1026" s="74"/>
      <c r="N1026" s="74"/>
      <c r="O1026" s="74"/>
      <c r="P1026" s="74"/>
      <c r="Q1026" s="74"/>
      <c r="R1026" s="74"/>
      <c r="S1026" s="74"/>
      <c r="T1026" s="74"/>
      <c r="U1026" s="74"/>
      <c r="V1026" s="74"/>
      <c r="W1026" s="74"/>
    </row>
    <row r="1027" spans="1:23" x14ac:dyDescent="0.2">
      <c r="A1027" s="74"/>
      <c r="B1027" s="75"/>
      <c r="C1027" s="74"/>
      <c r="D1027" s="74"/>
      <c r="E1027" s="74"/>
      <c r="F1027" s="74"/>
      <c r="G1027" s="74"/>
      <c r="H1027" s="74"/>
      <c r="I1027" s="74"/>
      <c r="J1027" s="74"/>
      <c r="K1027" s="74"/>
      <c r="L1027" s="74"/>
      <c r="M1027" s="74"/>
      <c r="N1027" s="74"/>
      <c r="O1027" s="74"/>
      <c r="P1027" s="74"/>
      <c r="Q1027" s="74"/>
      <c r="R1027" s="74"/>
      <c r="S1027" s="74"/>
      <c r="T1027" s="74"/>
      <c r="U1027" s="74"/>
      <c r="V1027" s="74"/>
      <c r="W1027" s="74"/>
    </row>
    <row r="1028" spans="1:23" x14ac:dyDescent="0.2">
      <c r="A1028" s="74"/>
      <c r="B1028" s="75"/>
      <c r="C1028" s="74"/>
      <c r="D1028" s="74"/>
      <c r="E1028" s="74"/>
      <c r="F1028" s="74"/>
      <c r="G1028" s="74"/>
      <c r="H1028" s="74"/>
      <c r="I1028" s="74"/>
      <c r="J1028" s="74"/>
      <c r="K1028" s="74"/>
      <c r="L1028" s="74"/>
      <c r="M1028" s="74"/>
      <c r="N1028" s="74"/>
      <c r="O1028" s="74"/>
      <c r="P1028" s="74"/>
      <c r="Q1028" s="74"/>
      <c r="R1028" s="74"/>
      <c r="S1028" s="74"/>
      <c r="T1028" s="74"/>
      <c r="U1028" s="74"/>
      <c r="V1028" s="74"/>
      <c r="W1028" s="74"/>
    </row>
    <row r="1029" spans="1:23" x14ac:dyDescent="0.2">
      <c r="A1029" s="74"/>
      <c r="B1029" s="75"/>
      <c r="C1029" s="74"/>
      <c r="D1029" s="74"/>
      <c r="E1029" s="74"/>
      <c r="F1029" s="74"/>
      <c r="G1029" s="74"/>
      <c r="H1029" s="74"/>
      <c r="I1029" s="74"/>
      <c r="J1029" s="74"/>
      <c r="K1029" s="74"/>
      <c r="L1029" s="74"/>
      <c r="M1029" s="74"/>
      <c r="N1029" s="74"/>
      <c r="O1029" s="74"/>
      <c r="P1029" s="74"/>
      <c r="Q1029" s="74"/>
      <c r="R1029" s="74"/>
      <c r="S1029" s="74"/>
      <c r="T1029" s="74"/>
      <c r="U1029" s="74"/>
      <c r="V1029" s="74"/>
      <c r="W1029" s="74"/>
    </row>
    <row r="1030" spans="1:23" x14ac:dyDescent="0.2">
      <c r="A1030" s="74"/>
      <c r="B1030" s="75"/>
      <c r="C1030" s="74"/>
      <c r="D1030" s="74"/>
      <c r="E1030" s="74"/>
      <c r="F1030" s="74"/>
      <c r="G1030" s="74"/>
      <c r="H1030" s="74"/>
      <c r="I1030" s="74"/>
      <c r="J1030" s="74"/>
      <c r="K1030" s="74"/>
      <c r="L1030" s="74"/>
      <c r="M1030" s="74"/>
      <c r="N1030" s="74"/>
      <c r="O1030" s="74"/>
      <c r="P1030" s="74"/>
      <c r="Q1030" s="74"/>
      <c r="R1030" s="74"/>
      <c r="S1030" s="74"/>
      <c r="T1030" s="74"/>
      <c r="U1030" s="74"/>
      <c r="V1030" s="74"/>
      <c r="W1030" s="74"/>
    </row>
    <row r="1031" spans="1:23" x14ac:dyDescent="0.2">
      <c r="A1031" s="74"/>
      <c r="B1031" s="75"/>
      <c r="C1031" s="74"/>
      <c r="D1031" s="74"/>
      <c r="E1031" s="74"/>
      <c r="F1031" s="74"/>
      <c r="G1031" s="74"/>
      <c r="H1031" s="74"/>
      <c r="I1031" s="74"/>
      <c r="J1031" s="74"/>
      <c r="K1031" s="74"/>
      <c r="L1031" s="74"/>
      <c r="M1031" s="74"/>
      <c r="N1031" s="74"/>
      <c r="O1031" s="74"/>
      <c r="P1031" s="74"/>
      <c r="Q1031" s="74"/>
      <c r="R1031" s="74"/>
      <c r="S1031" s="74"/>
      <c r="T1031" s="74"/>
      <c r="U1031" s="74"/>
      <c r="V1031" s="74"/>
      <c r="W1031" s="74"/>
    </row>
    <row r="1032" spans="1:23" x14ac:dyDescent="0.2">
      <c r="A1032" s="74"/>
      <c r="B1032" s="75"/>
      <c r="C1032" s="74"/>
      <c r="D1032" s="74"/>
      <c r="E1032" s="74"/>
      <c r="F1032" s="74"/>
      <c r="G1032" s="74"/>
      <c r="H1032" s="74"/>
      <c r="I1032" s="74"/>
      <c r="J1032" s="74"/>
      <c r="K1032" s="74"/>
      <c r="L1032" s="74"/>
      <c r="M1032" s="74"/>
      <c r="N1032" s="74"/>
      <c r="O1032" s="74"/>
      <c r="P1032" s="74"/>
      <c r="Q1032" s="74"/>
      <c r="R1032" s="74"/>
      <c r="S1032" s="74"/>
      <c r="T1032" s="74"/>
      <c r="U1032" s="74"/>
      <c r="V1032" s="74"/>
      <c r="W1032" s="74"/>
    </row>
    <row r="1033" spans="1:23" x14ac:dyDescent="0.2">
      <c r="A1033" s="74"/>
      <c r="B1033" s="75"/>
      <c r="C1033" s="74"/>
      <c r="D1033" s="74"/>
      <c r="E1033" s="74"/>
      <c r="F1033" s="74"/>
      <c r="G1033" s="74"/>
      <c r="H1033" s="74"/>
      <c r="I1033" s="74"/>
      <c r="J1033" s="74"/>
      <c r="K1033" s="74"/>
      <c r="L1033" s="74"/>
      <c r="M1033" s="74"/>
      <c r="N1033" s="74"/>
      <c r="O1033" s="74"/>
      <c r="P1033" s="74"/>
      <c r="Q1033" s="74"/>
      <c r="R1033" s="74"/>
      <c r="S1033" s="74"/>
      <c r="T1033" s="74"/>
      <c r="U1033" s="74"/>
      <c r="V1033" s="74"/>
      <c r="W1033" s="74"/>
    </row>
    <row r="1034" spans="1:23" x14ac:dyDescent="0.2">
      <c r="A1034" s="74"/>
      <c r="B1034" s="75"/>
      <c r="C1034" s="74"/>
      <c r="D1034" s="74"/>
      <c r="E1034" s="74"/>
      <c r="F1034" s="74"/>
      <c r="G1034" s="74"/>
      <c r="H1034" s="74"/>
      <c r="I1034" s="74"/>
      <c r="J1034" s="74"/>
      <c r="K1034" s="74"/>
      <c r="L1034" s="74"/>
      <c r="M1034" s="74"/>
      <c r="N1034" s="74"/>
      <c r="O1034" s="74"/>
      <c r="P1034" s="74"/>
      <c r="Q1034" s="74"/>
      <c r="R1034" s="74"/>
      <c r="S1034" s="74"/>
      <c r="T1034" s="74"/>
      <c r="U1034" s="74"/>
      <c r="V1034" s="74"/>
      <c r="W1034" s="74"/>
    </row>
    <row r="1035" spans="1:23" x14ac:dyDescent="0.2">
      <c r="A1035" s="74"/>
      <c r="B1035" s="75"/>
      <c r="C1035" s="74"/>
      <c r="D1035" s="74"/>
      <c r="E1035" s="74"/>
      <c r="F1035" s="74"/>
      <c r="G1035" s="74"/>
      <c r="H1035" s="74"/>
      <c r="I1035" s="74"/>
      <c r="J1035" s="74"/>
      <c r="K1035" s="74"/>
      <c r="L1035" s="74"/>
      <c r="M1035" s="74"/>
      <c r="N1035" s="74"/>
      <c r="O1035" s="74"/>
      <c r="P1035" s="74"/>
      <c r="Q1035" s="74"/>
      <c r="R1035" s="74"/>
      <c r="S1035" s="74"/>
      <c r="T1035" s="74"/>
      <c r="U1035" s="74"/>
      <c r="V1035" s="74"/>
      <c r="W1035" s="74"/>
    </row>
    <row r="1036" spans="1:23" x14ac:dyDescent="0.2">
      <c r="A1036" s="74"/>
      <c r="B1036" s="75"/>
      <c r="C1036" s="74"/>
      <c r="D1036" s="74"/>
      <c r="E1036" s="74"/>
      <c r="F1036" s="74"/>
      <c r="G1036" s="74"/>
      <c r="H1036" s="74"/>
      <c r="I1036" s="74"/>
      <c r="J1036" s="74"/>
      <c r="K1036" s="74"/>
      <c r="L1036" s="74"/>
      <c r="M1036" s="74"/>
      <c r="N1036" s="74"/>
      <c r="O1036" s="74"/>
      <c r="P1036" s="74"/>
      <c r="Q1036" s="74"/>
      <c r="R1036" s="74"/>
      <c r="S1036" s="74"/>
      <c r="T1036" s="74"/>
      <c r="U1036" s="74"/>
      <c r="V1036" s="74"/>
      <c r="W1036" s="74"/>
    </row>
    <row r="1037" spans="1:23" x14ac:dyDescent="0.2">
      <c r="A1037" s="74"/>
      <c r="B1037" s="75"/>
      <c r="C1037" s="74"/>
      <c r="D1037" s="74"/>
      <c r="E1037" s="74"/>
      <c r="F1037" s="74"/>
      <c r="G1037" s="74"/>
      <c r="H1037" s="74"/>
      <c r="I1037" s="74"/>
      <c r="J1037" s="74"/>
      <c r="K1037" s="74"/>
      <c r="L1037" s="74"/>
      <c r="M1037" s="74"/>
      <c r="N1037" s="74"/>
      <c r="O1037" s="74"/>
      <c r="P1037" s="74"/>
      <c r="Q1037" s="74"/>
      <c r="R1037" s="74"/>
      <c r="S1037" s="74"/>
      <c r="T1037" s="74"/>
      <c r="U1037" s="74"/>
      <c r="V1037" s="74"/>
      <c r="W1037" s="74"/>
    </row>
    <row r="1038" spans="1:23" x14ac:dyDescent="0.2">
      <c r="A1038" s="74"/>
      <c r="B1038" s="75"/>
      <c r="C1038" s="74"/>
      <c r="D1038" s="74"/>
      <c r="E1038" s="74"/>
      <c r="F1038" s="74"/>
      <c r="G1038" s="74"/>
      <c r="H1038" s="74"/>
      <c r="I1038" s="74"/>
      <c r="J1038" s="74"/>
      <c r="K1038" s="74"/>
      <c r="L1038" s="74"/>
      <c r="M1038" s="74"/>
      <c r="N1038" s="74"/>
      <c r="O1038" s="74"/>
      <c r="P1038" s="74"/>
      <c r="Q1038" s="74"/>
      <c r="R1038" s="74"/>
      <c r="S1038" s="74"/>
      <c r="T1038" s="74"/>
      <c r="U1038" s="74"/>
      <c r="V1038" s="74"/>
      <c r="W1038" s="74"/>
    </row>
    <row r="1039" spans="1:23" x14ac:dyDescent="0.2">
      <c r="A1039" s="74"/>
      <c r="B1039" s="75"/>
      <c r="C1039" s="74"/>
      <c r="D1039" s="74"/>
      <c r="E1039" s="74"/>
      <c r="F1039" s="74"/>
      <c r="G1039" s="74"/>
      <c r="H1039" s="74"/>
      <c r="I1039" s="74"/>
      <c r="J1039" s="74"/>
      <c r="K1039" s="74"/>
      <c r="L1039" s="74"/>
      <c r="M1039" s="74"/>
      <c r="N1039" s="74"/>
      <c r="O1039" s="74"/>
      <c r="P1039" s="74"/>
      <c r="Q1039" s="74"/>
      <c r="R1039" s="74"/>
      <c r="S1039" s="74"/>
      <c r="T1039" s="74"/>
      <c r="U1039" s="74"/>
      <c r="V1039" s="74"/>
      <c r="W1039" s="74"/>
    </row>
    <row r="1040" spans="1:23" x14ac:dyDescent="0.2">
      <c r="A1040" s="74"/>
      <c r="B1040" s="75"/>
      <c r="C1040" s="74"/>
      <c r="D1040" s="74"/>
      <c r="E1040" s="74"/>
      <c r="F1040" s="74"/>
      <c r="G1040" s="74"/>
      <c r="H1040" s="74"/>
      <c r="I1040" s="74"/>
      <c r="J1040" s="74"/>
      <c r="K1040" s="74"/>
      <c r="L1040" s="74"/>
      <c r="M1040" s="74"/>
      <c r="N1040" s="74"/>
      <c r="O1040" s="74"/>
      <c r="P1040" s="74"/>
      <c r="Q1040" s="74"/>
      <c r="R1040" s="74"/>
      <c r="S1040" s="74"/>
      <c r="T1040" s="74"/>
      <c r="U1040" s="74"/>
      <c r="V1040" s="74"/>
      <c r="W1040" s="74"/>
    </row>
    <row r="1041" spans="1:23" x14ac:dyDescent="0.2">
      <c r="A1041" s="74"/>
      <c r="B1041" s="75"/>
      <c r="C1041" s="74"/>
      <c r="D1041" s="74"/>
      <c r="E1041" s="74"/>
      <c r="F1041" s="74"/>
      <c r="G1041" s="74"/>
      <c r="H1041" s="74"/>
      <c r="I1041" s="74"/>
      <c r="J1041" s="74"/>
      <c r="K1041" s="74"/>
      <c r="L1041" s="74"/>
      <c r="M1041" s="74"/>
      <c r="N1041" s="74"/>
      <c r="O1041" s="74"/>
      <c r="P1041" s="74"/>
      <c r="Q1041" s="74"/>
      <c r="R1041" s="74"/>
      <c r="S1041" s="74"/>
      <c r="T1041" s="74"/>
      <c r="U1041" s="74"/>
      <c r="V1041" s="74"/>
      <c r="W1041" s="74"/>
    </row>
    <row r="1042" spans="1:23" x14ac:dyDescent="0.2">
      <c r="A1042" s="74"/>
      <c r="B1042" s="75"/>
      <c r="C1042" s="74"/>
      <c r="D1042" s="74"/>
      <c r="E1042" s="74"/>
      <c r="F1042" s="74"/>
      <c r="G1042" s="74"/>
      <c r="H1042" s="74"/>
      <c r="I1042" s="74"/>
      <c r="J1042" s="74"/>
      <c r="K1042" s="74"/>
      <c r="L1042" s="74"/>
      <c r="M1042" s="74"/>
      <c r="N1042" s="74"/>
      <c r="O1042" s="74"/>
      <c r="P1042" s="74"/>
      <c r="Q1042" s="74"/>
      <c r="R1042" s="74"/>
      <c r="S1042" s="74"/>
      <c r="T1042" s="74"/>
      <c r="U1042" s="74"/>
      <c r="V1042" s="74"/>
      <c r="W1042" s="74"/>
    </row>
    <row r="1043" spans="1:23" x14ac:dyDescent="0.2">
      <c r="A1043" s="74"/>
      <c r="B1043" s="75"/>
      <c r="C1043" s="74"/>
      <c r="D1043" s="74"/>
      <c r="E1043" s="74"/>
      <c r="F1043" s="74"/>
      <c r="G1043" s="74"/>
      <c r="H1043" s="74"/>
      <c r="I1043" s="74"/>
      <c r="J1043" s="74"/>
      <c r="K1043" s="74"/>
      <c r="L1043" s="74"/>
      <c r="M1043" s="74"/>
      <c r="N1043" s="74"/>
      <c r="O1043" s="74"/>
      <c r="P1043" s="74"/>
      <c r="Q1043" s="74"/>
      <c r="R1043" s="74"/>
      <c r="S1043" s="74"/>
      <c r="T1043" s="74"/>
      <c r="U1043" s="74"/>
      <c r="V1043" s="74"/>
      <c r="W1043" s="74"/>
    </row>
    <row r="1044" spans="1:23" x14ac:dyDescent="0.2">
      <c r="A1044" s="74"/>
      <c r="B1044" s="75"/>
      <c r="C1044" s="74"/>
      <c r="D1044" s="74"/>
      <c r="E1044" s="74"/>
      <c r="F1044" s="74"/>
      <c r="G1044" s="74"/>
      <c r="H1044" s="74"/>
      <c r="I1044" s="74"/>
      <c r="J1044" s="74"/>
      <c r="K1044" s="74"/>
      <c r="L1044" s="74"/>
      <c r="M1044" s="74"/>
      <c r="N1044" s="74"/>
      <c r="O1044" s="74"/>
      <c r="P1044" s="74"/>
      <c r="Q1044" s="74"/>
      <c r="R1044" s="74"/>
      <c r="S1044" s="74"/>
      <c r="T1044" s="74"/>
      <c r="U1044" s="74"/>
      <c r="V1044" s="74"/>
      <c r="W1044" s="74"/>
    </row>
    <row r="1045" spans="1:23" x14ac:dyDescent="0.2">
      <c r="A1045" s="74"/>
      <c r="B1045" s="75"/>
      <c r="C1045" s="74"/>
      <c r="D1045" s="74"/>
      <c r="E1045" s="74"/>
      <c r="F1045" s="74"/>
      <c r="G1045" s="74"/>
      <c r="H1045" s="74"/>
      <c r="I1045" s="74"/>
      <c r="J1045" s="74"/>
      <c r="K1045" s="74"/>
      <c r="L1045" s="74"/>
      <c r="M1045" s="74"/>
      <c r="N1045" s="74"/>
      <c r="O1045" s="74"/>
      <c r="P1045" s="74"/>
      <c r="Q1045" s="74"/>
      <c r="R1045" s="74"/>
      <c r="S1045" s="74"/>
      <c r="T1045" s="74"/>
      <c r="U1045" s="74"/>
      <c r="V1045" s="74"/>
      <c r="W1045" s="74"/>
    </row>
    <row r="1046" spans="1:23" x14ac:dyDescent="0.2">
      <c r="A1046" s="74"/>
      <c r="B1046" s="75"/>
      <c r="C1046" s="74"/>
      <c r="D1046" s="74"/>
      <c r="E1046" s="74"/>
      <c r="F1046" s="74"/>
      <c r="G1046" s="74"/>
      <c r="H1046" s="74"/>
      <c r="I1046" s="74"/>
      <c r="J1046" s="74"/>
      <c r="K1046" s="74"/>
      <c r="L1046" s="74"/>
      <c r="M1046" s="74"/>
      <c r="N1046" s="74"/>
      <c r="O1046" s="74"/>
      <c r="P1046" s="74"/>
      <c r="Q1046" s="74"/>
      <c r="R1046" s="74"/>
      <c r="S1046" s="74"/>
      <c r="T1046" s="74"/>
      <c r="U1046" s="74"/>
      <c r="V1046" s="74"/>
      <c r="W1046" s="74"/>
    </row>
    <row r="1047" spans="1:23" x14ac:dyDescent="0.2">
      <c r="A1047" s="74"/>
      <c r="B1047" s="75"/>
      <c r="C1047" s="74"/>
      <c r="D1047" s="74"/>
      <c r="E1047" s="74"/>
      <c r="F1047" s="74"/>
      <c r="G1047" s="74"/>
      <c r="H1047" s="74"/>
      <c r="I1047" s="74"/>
      <c r="J1047" s="74"/>
      <c r="K1047" s="74"/>
      <c r="L1047" s="74"/>
      <c r="M1047" s="74"/>
      <c r="N1047" s="74"/>
      <c r="O1047" s="74"/>
      <c r="P1047" s="74"/>
      <c r="Q1047" s="74"/>
      <c r="R1047" s="74"/>
      <c r="S1047" s="74"/>
      <c r="T1047" s="74"/>
      <c r="U1047" s="74"/>
      <c r="V1047" s="74"/>
      <c r="W1047" s="74"/>
    </row>
    <row r="1048" spans="1:23" x14ac:dyDescent="0.2">
      <c r="A1048" s="74"/>
      <c r="B1048" s="75"/>
      <c r="C1048" s="74"/>
      <c r="D1048" s="74"/>
      <c r="E1048" s="74"/>
      <c r="F1048" s="74"/>
      <c r="G1048" s="74"/>
      <c r="H1048" s="74"/>
      <c r="I1048" s="74"/>
      <c r="J1048" s="74"/>
      <c r="K1048" s="74"/>
      <c r="L1048" s="74"/>
      <c r="M1048" s="74"/>
      <c r="N1048" s="74"/>
      <c r="O1048" s="74"/>
      <c r="P1048" s="74"/>
      <c r="Q1048" s="74"/>
      <c r="R1048" s="74"/>
      <c r="S1048" s="74"/>
      <c r="T1048" s="74"/>
      <c r="U1048" s="74"/>
      <c r="V1048" s="74"/>
      <c r="W1048" s="74"/>
    </row>
    <row r="1049" spans="1:23" x14ac:dyDescent="0.2">
      <c r="A1049" s="74"/>
      <c r="B1049" s="75"/>
      <c r="C1049" s="74"/>
      <c r="D1049" s="74"/>
      <c r="E1049" s="74"/>
      <c r="F1049" s="74"/>
      <c r="G1049" s="74"/>
      <c r="H1049" s="74"/>
      <c r="I1049" s="74"/>
      <c r="J1049" s="74"/>
      <c r="K1049" s="74"/>
      <c r="L1049" s="74"/>
      <c r="M1049" s="74"/>
      <c r="N1049" s="74"/>
      <c r="O1049" s="74"/>
      <c r="P1049" s="74"/>
      <c r="Q1049" s="74"/>
      <c r="R1049" s="74"/>
      <c r="S1049" s="74"/>
      <c r="T1049" s="74"/>
      <c r="U1049" s="74"/>
      <c r="V1049" s="74"/>
      <c r="W1049" s="74"/>
    </row>
    <row r="1050" spans="1:23" x14ac:dyDescent="0.2">
      <c r="A1050" s="74"/>
      <c r="B1050" s="75"/>
      <c r="C1050" s="74"/>
      <c r="D1050" s="74"/>
      <c r="E1050" s="74"/>
      <c r="F1050" s="74"/>
      <c r="G1050" s="74"/>
      <c r="H1050" s="74"/>
      <c r="I1050" s="74"/>
      <c r="J1050" s="74"/>
      <c r="K1050" s="74"/>
      <c r="L1050" s="74"/>
      <c r="M1050" s="74"/>
      <c r="N1050" s="74"/>
      <c r="O1050" s="74"/>
      <c r="P1050" s="74"/>
      <c r="Q1050" s="74"/>
      <c r="R1050" s="74"/>
      <c r="S1050" s="74"/>
      <c r="T1050" s="74"/>
      <c r="U1050" s="74"/>
      <c r="V1050" s="74"/>
      <c r="W1050" s="74"/>
    </row>
    <row r="1051" spans="1:23" x14ac:dyDescent="0.2">
      <c r="A1051" s="74"/>
      <c r="B1051" s="75"/>
      <c r="C1051" s="74"/>
      <c r="D1051" s="74"/>
      <c r="E1051" s="74"/>
      <c r="F1051" s="74"/>
      <c r="G1051" s="74"/>
      <c r="H1051" s="74"/>
      <c r="I1051" s="74"/>
      <c r="J1051" s="74"/>
      <c r="K1051" s="74"/>
      <c r="L1051" s="74"/>
      <c r="M1051" s="74"/>
      <c r="N1051" s="74"/>
      <c r="O1051" s="74"/>
      <c r="P1051" s="74"/>
      <c r="Q1051" s="74"/>
      <c r="R1051" s="74"/>
      <c r="S1051" s="74"/>
      <c r="T1051" s="74"/>
      <c r="U1051" s="74"/>
      <c r="V1051" s="74"/>
      <c r="W1051" s="74"/>
    </row>
    <row r="1052" spans="1:23" x14ac:dyDescent="0.2">
      <c r="A1052" s="74"/>
      <c r="B1052" s="75"/>
      <c r="C1052" s="74"/>
      <c r="D1052" s="74"/>
      <c r="E1052" s="74"/>
      <c r="F1052" s="74"/>
      <c r="G1052" s="74"/>
      <c r="H1052" s="74"/>
      <c r="I1052" s="74"/>
      <c r="J1052" s="74"/>
      <c r="K1052" s="74"/>
      <c r="L1052" s="74"/>
      <c r="M1052" s="74"/>
      <c r="N1052" s="74"/>
      <c r="O1052" s="74"/>
      <c r="P1052" s="74"/>
      <c r="Q1052" s="74"/>
      <c r="R1052" s="74"/>
      <c r="S1052" s="74"/>
      <c r="T1052" s="74"/>
      <c r="U1052" s="74"/>
      <c r="V1052" s="74"/>
      <c r="W1052" s="74"/>
    </row>
    <row r="1053" spans="1:23" x14ac:dyDescent="0.2">
      <c r="A1053" s="74"/>
      <c r="B1053" s="75"/>
      <c r="C1053" s="74"/>
      <c r="D1053" s="74"/>
      <c r="E1053" s="74"/>
      <c r="F1053" s="74"/>
      <c r="G1053" s="74"/>
      <c r="H1053" s="74"/>
      <c r="I1053" s="74"/>
      <c r="J1053" s="74"/>
      <c r="K1053" s="74"/>
      <c r="L1053" s="74"/>
      <c r="M1053" s="74"/>
      <c r="N1053" s="74"/>
      <c r="O1053" s="74"/>
      <c r="P1053" s="74"/>
      <c r="Q1053" s="74"/>
      <c r="R1053" s="74"/>
      <c r="S1053" s="74"/>
      <c r="T1053" s="74"/>
      <c r="U1053" s="74"/>
      <c r="V1053" s="74"/>
      <c r="W1053" s="74"/>
    </row>
    <row r="1054" spans="1:23" x14ac:dyDescent="0.2">
      <c r="A1054" s="74"/>
      <c r="B1054" s="75"/>
      <c r="C1054" s="74"/>
      <c r="D1054" s="74"/>
      <c r="E1054" s="74"/>
      <c r="F1054" s="74"/>
      <c r="G1054" s="74"/>
      <c r="H1054" s="74"/>
      <c r="I1054" s="74"/>
      <c r="J1054" s="74"/>
      <c r="K1054" s="74"/>
      <c r="L1054" s="74"/>
      <c r="M1054" s="74"/>
      <c r="N1054" s="74"/>
      <c r="O1054" s="74"/>
      <c r="P1054" s="74"/>
      <c r="Q1054" s="74"/>
      <c r="R1054" s="74"/>
      <c r="S1054" s="74"/>
      <c r="T1054" s="74"/>
      <c r="U1054" s="74"/>
      <c r="V1054" s="74"/>
      <c r="W1054" s="74"/>
    </row>
    <row r="1055" spans="1:23" x14ac:dyDescent="0.2">
      <c r="A1055" s="74"/>
      <c r="B1055" s="75"/>
      <c r="C1055" s="74"/>
      <c r="D1055" s="74"/>
      <c r="E1055" s="74"/>
      <c r="F1055" s="74"/>
      <c r="G1055" s="74"/>
      <c r="H1055" s="74"/>
      <c r="I1055" s="74"/>
      <c r="J1055" s="74"/>
      <c r="K1055" s="74"/>
      <c r="L1055" s="74"/>
      <c r="M1055" s="74"/>
      <c r="N1055" s="74"/>
      <c r="O1055" s="74"/>
      <c r="P1055" s="74"/>
      <c r="Q1055" s="74"/>
      <c r="R1055" s="74"/>
      <c r="S1055" s="74"/>
      <c r="T1055" s="74"/>
      <c r="U1055" s="74"/>
      <c r="V1055" s="74"/>
      <c r="W1055" s="74"/>
    </row>
    <row r="1056" spans="1:23" x14ac:dyDescent="0.2">
      <c r="A1056" s="74"/>
      <c r="B1056" s="75"/>
      <c r="C1056" s="74"/>
      <c r="D1056" s="74"/>
      <c r="E1056" s="74"/>
      <c r="F1056" s="74"/>
      <c r="G1056" s="74"/>
      <c r="H1056" s="74"/>
      <c r="I1056" s="74"/>
      <c r="J1056" s="74"/>
      <c r="K1056" s="74"/>
      <c r="L1056" s="74"/>
      <c r="M1056" s="74"/>
      <c r="N1056" s="74"/>
      <c r="O1056" s="74"/>
      <c r="P1056" s="74"/>
      <c r="Q1056" s="74"/>
      <c r="R1056" s="74"/>
      <c r="S1056" s="74"/>
      <c r="T1056" s="74"/>
      <c r="U1056" s="74"/>
      <c r="V1056" s="74"/>
      <c r="W1056" s="74"/>
    </row>
    <row r="1057" spans="1:23" x14ac:dyDescent="0.2">
      <c r="A1057" s="74"/>
      <c r="B1057" s="75"/>
      <c r="C1057" s="74"/>
      <c r="D1057" s="74"/>
      <c r="E1057" s="74"/>
      <c r="F1057" s="74"/>
      <c r="G1057" s="74"/>
      <c r="H1057" s="74"/>
      <c r="I1057" s="74"/>
      <c r="J1057" s="74"/>
      <c r="K1057" s="74"/>
      <c r="L1057" s="74"/>
      <c r="M1057" s="74"/>
      <c r="N1057" s="74"/>
      <c r="O1057" s="74"/>
      <c r="P1057" s="74"/>
      <c r="Q1057" s="74"/>
      <c r="R1057" s="74"/>
      <c r="S1057" s="74"/>
      <c r="T1057" s="74"/>
      <c r="U1057" s="74"/>
      <c r="V1057" s="74"/>
      <c r="W1057" s="74"/>
    </row>
    <row r="1058" spans="1:23" x14ac:dyDescent="0.2">
      <c r="A1058" s="74"/>
      <c r="B1058" s="75"/>
      <c r="C1058" s="74"/>
      <c r="D1058" s="74"/>
      <c r="E1058" s="74"/>
      <c r="F1058" s="74"/>
      <c r="G1058" s="74"/>
      <c r="H1058" s="74"/>
      <c r="I1058" s="74"/>
      <c r="J1058" s="74"/>
      <c r="K1058" s="74"/>
      <c r="L1058" s="74"/>
      <c r="M1058" s="74"/>
      <c r="N1058" s="74"/>
      <c r="O1058" s="74"/>
      <c r="P1058" s="74"/>
      <c r="Q1058" s="74"/>
      <c r="R1058" s="74"/>
      <c r="S1058" s="74"/>
      <c r="T1058" s="74"/>
      <c r="U1058" s="74"/>
      <c r="V1058" s="74"/>
      <c r="W1058" s="74"/>
    </row>
    <row r="1059" spans="1:23" x14ac:dyDescent="0.2">
      <c r="A1059" s="74"/>
      <c r="B1059" s="75"/>
      <c r="C1059" s="74"/>
      <c r="D1059" s="74"/>
      <c r="E1059" s="74"/>
      <c r="F1059" s="74"/>
      <c r="G1059" s="74"/>
      <c r="H1059" s="74"/>
      <c r="I1059" s="74"/>
      <c r="J1059" s="74"/>
      <c r="K1059" s="74"/>
      <c r="L1059" s="74"/>
      <c r="M1059" s="74"/>
      <c r="N1059" s="74"/>
      <c r="O1059" s="74"/>
      <c r="P1059" s="74"/>
      <c r="Q1059" s="74"/>
      <c r="R1059" s="74"/>
      <c r="S1059" s="74"/>
      <c r="T1059" s="74"/>
      <c r="U1059" s="74"/>
      <c r="V1059" s="74"/>
      <c r="W1059" s="74"/>
    </row>
    <row r="1060" spans="1:23" x14ac:dyDescent="0.2">
      <c r="A1060" s="74"/>
      <c r="B1060" s="75"/>
      <c r="C1060" s="74"/>
      <c r="D1060" s="74"/>
      <c r="E1060" s="74"/>
      <c r="F1060" s="74"/>
      <c r="G1060" s="74"/>
      <c r="H1060" s="74"/>
      <c r="I1060" s="74"/>
      <c r="J1060" s="74"/>
      <c r="K1060" s="74"/>
      <c r="L1060" s="74"/>
      <c r="M1060" s="74"/>
      <c r="N1060" s="74"/>
      <c r="O1060" s="74"/>
      <c r="P1060" s="74"/>
      <c r="Q1060" s="74"/>
      <c r="R1060" s="74"/>
      <c r="S1060" s="74"/>
      <c r="T1060" s="74"/>
      <c r="U1060" s="74"/>
      <c r="V1060" s="74"/>
      <c r="W1060" s="74"/>
    </row>
    <row r="1061" spans="1:23" x14ac:dyDescent="0.2">
      <c r="A1061" s="74"/>
      <c r="B1061" s="75"/>
      <c r="C1061" s="74"/>
      <c r="D1061" s="74"/>
      <c r="E1061" s="74"/>
      <c r="F1061" s="74"/>
      <c r="G1061" s="74"/>
      <c r="H1061" s="74"/>
      <c r="I1061" s="74"/>
      <c r="J1061" s="74"/>
      <c r="K1061" s="74"/>
      <c r="L1061" s="74"/>
      <c r="M1061" s="74"/>
      <c r="N1061" s="74"/>
      <c r="O1061" s="74"/>
      <c r="P1061" s="74"/>
      <c r="Q1061" s="74"/>
      <c r="R1061" s="74"/>
      <c r="S1061" s="74"/>
      <c r="T1061" s="74"/>
      <c r="U1061" s="74"/>
      <c r="V1061" s="74"/>
      <c r="W1061" s="74"/>
    </row>
    <row r="1062" spans="1:23" x14ac:dyDescent="0.2">
      <c r="A1062" s="74"/>
      <c r="B1062" s="75"/>
      <c r="C1062" s="74"/>
      <c r="D1062" s="74"/>
      <c r="E1062" s="74"/>
      <c r="F1062" s="74"/>
      <c r="G1062" s="74"/>
      <c r="H1062" s="74"/>
      <c r="I1062" s="74"/>
      <c r="J1062" s="74"/>
      <c r="K1062" s="74"/>
      <c r="L1062" s="74"/>
      <c r="M1062" s="74"/>
      <c r="N1062" s="74"/>
      <c r="O1062" s="74"/>
      <c r="P1062" s="74"/>
      <c r="Q1062" s="74"/>
      <c r="R1062" s="74"/>
      <c r="S1062" s="74"/>
      <c r="T1062" s="74"/>
      <c r="U1062" s="74"/>
      <c r="V1062" s="74"/>
      <c r="W1062" s="74"/>
    </row>
    <row r="1063" spans="1:23" x14ac:dyDescent="0.2">
      <c r="A1063" s="74"/>
      <c r="B1063" s="75"/>
      <c r="C1063" s="74"/>
      <c r="D1063" s="74"/>
      <c r="E1063" s="74"/>
      <c r="F1063" s="74"/>
      <c r="G1063" s="74"/>
      <c r="H1063" s="74"/>
      <c r="I1063" s="74"/>
      <c r="J1063" s="74"/>
      <c r="K1063" s="74"/>
      <c r="L1063" s="74"/>
      <c r="M1063" s="74"/>
      <c r="N1063" s="74"/>
      <c r="O1063" s="74"/>
      <c r="P1063" s="74"/>
      <c r="Q1063" s="74"/>
      <c r="R1063" s="74"/>
      <c r="S1063" s="74"/>
      <c r="T1063" s="74"/>
      <c r="U1063" s="74"/>
      <c r="V1063" s="74"/>
      <c r="W1063" s="74"/>
    </row>
    <row r="1064" spans="1:23" x14ac:dyDescent="0.2">
      <c r="A1064" s="74"/>
      <c r="B1064" s="75"/>
      <c r="C1064" s="74"/>
      <c r="D1064" s="74"/>
      <c r="E1064" s="74"/>
      <c r="F1064" s="74"/>
      <c r="G1064" s="74"/>
      <c r="H1064" s="74"/>
      <c r="I1064" s="74"/>
      <c r="J1064" s="74"/>
      <c r="K1064" s="74"/>
      <c r="L1064" s="74"/>
      <c r="M1064" s="74"/>
      <c r="N1064" s="74"/>
      <c r="O1064" s="74"/>
      <c r="P1064" s="74"/>
      <c r="Q1064" s="74"/>
      <c r="R1064" s="74"/>
      <c r="S1064" s="74"/>
      <c r="T1064" s="74"/>
      <c r="U1064" s="74"/>
      <c r="V1064" s="74"/>
      <c r="W1064" s="74"/>
    </row>
    <row r="1065" spans="1:23" x14ac:dyDescent="0.2">
      <c r="A1065" s="74"/>
      <c r="B1065" s="75"/>
      <c r="C1065" s="74"/>
      <c r="D1065" s="74"/>
      <c r="E1065" s="74"/>
      <c r="F1065" s="74"/>
      <c r="G1065" s="74"/>
      <c r="H1065" s="74"/>
      <c r="I1065" s="74"/>
      <c r="J1065" s="74"/>
      <c r="K1065" s="74"/>
      <c r="L1065" s="74"/>
      <c r="M1065" s="74"/>
      <c r="N1065" s="74"/>
      <c r="O1065" s="74"/>
      <c r="P1065" s="74"/>
      <c r="Q1065" s="74"/>
      <c r="R1065" s="74"/>
      <c r="S1065" s="74"/>
      <c r="T1065" s="74"/>
      <c r="U1065" s="74"/>
      <c r="V1065" s="74"/>
      <c r="W1065" s="74"/>
    </row>
    <row r="1066" spans="1:23" x14ac:dyDescent="0.2">
      <c r="A1066" s="74"/>
      <c r="B1066" s="75"/>
      <c r="C1066" s="74"/>
      <c r="D1066" s="74"/>
      <c r="E1066" s="74"/>
      <c r="F1066" s="74"/>
      <c r="G1066" s="74"/>
      <c r="H1066" s="74"/>
      <c r="I1066" s="74"/>
      <c r="J1066" s="74"/>
      <c r="K1066" s="74"/>
      <c r="L1066" s="74"/>
      <c r="M1066" s="74"/>
      <c r="N1066" s="74"/>
      <c r="O1066" s="74"/>
      <c r="P1066" s="74"/>
      <c r="Q1066" s="74"/>
      <c r="R1066" s="74"/>
      <c r="S1066" s="74"/>
      <c r="T1066" s="74"/>
      <c r="U1066" s="74"/>
      <c r="V1066" s="74"/>
      <c r="W1066" s="74"/>
    </row>
    <row r="1067" spans="1:23" x14ac:dyDescent="0.2">
      <c r="A1067" s="74"/>
      <c r="B1067" s="75"/>
      <c r="C1067" s="74"/>
      <c r="D1067" s="74"/>
      <c r="E1067" s="74"/>
      <c r="F1067" s="74"/>
      <c r="G1067" s="74"/>
      <c r="H1067" s="74"/>
      <c r="I1067" s="74"/>
      <c r="J1067" s="74"/>
      <c r="K1067" s="74"/>
      <c r="L1067" s="74"/>
      <c r="M1067" s="74"/>
      <c r="N1067" s="74"/>
      <c r="O1067" s="74"/>
      <c r="P1067" s="74"/>
      <c r="Q1067" s="74"/>
      <c r="R1067" s="74"/>
      <c r="S1067" s="74"/>
      <c r="T1067" s="74"/>
      <c r="U1067" s="74"/>
      <c r="V1067" s="74"/>
      <c r="W1067" s="74"/>
    </row>
    <row r="1068" spans="1:23" x14ac:dyDescent="0.2">
      <c r="A1068" s="74"/>
      <c r="B1068" s="75"/>
      <c r="C1068" s="74"/>
      <c r="D1068" s="74"/>
      <c r="E1068" s="74"/>
      <c r="F1068" s="74"/>
      <c r="G1068" s="74"/>
      <c r="H1068" s="74"/>
      <c r="I1068" s="74"/>
      <c r="J1068" s="74"/>
      <c r="K1068" s="74"/>
      <c r="L1068" s="74"/>
      <c r="M1068" s="74"/>
      <c r="N1068" s="74"/>
      <c r="O1068" s="74"/>
      <c r="P1068" s="74"/>
      <c r="Q1068" s="74"/>
      <c r="R1068" s="74"/>
      <c r="S1068" s="74"/>
      <c r="T1068" s="74"/>
      <c r="U1068" s="74"/>
      <c r="V1068" s="74"/>
      <c r="W1068" s="74"/>
    </row>
    <row r="1069" spans="1:23" x14ac:dyDescent="0.2">
      <c r="A1069" s="74"/>
      <c r="B1069" s="75"/>
      <c r="C1069" s="74"/>
      <c r="D1069" s="74"/>
      <c r="E1069" s="74"/>
      <c r="F1069" s="74"/>
      <c r="G1069" s="74"/>
      <c r="H1069" s="74"/>
      <c r="I1069" s="74"/>
      <c r="J1069" s="74"/>
      <c r="K1069" s="74"/>
      <c r="L1069" s="74"/>
      <c r="M1069" s="74"/>
      <c r="N1069" s="74"/>
      <c r="O1069" s="74"/>
      <c r="P1069" s="74"/>
      <c r="Q1069" s="74"/>
      <c r="R1069" s="74"/>
      <c r="S1069" s="74"/>
      <c r="T1069" s="74"/>
      <c r="U1069" s="74"/>
      <c r="V1069" s="74"/>
      <c r="W1069" s="74"/>
    </row>
    <row r="1070" spans="1:23" x14ac:dyDescent="0.2">
      <c r="A1070" s="74"/>
      <c r="B1070" s="75"/>
      <c r="C1070" s="74"/>
      <c r="D1070" s="74"/>
      <c r="E1070" s="74"/>
      <c r="F1070" s="74"/>
      <c r="G1070" s="74"/>
      <c r="H1070" s="74"/>
      <c r="I1070" s="74"/>
      <c r="J1070" s="74"/>
      <c r="K1070" s="74"/>
      <c r="L1070" s="74"/>
      <c r="M1070" s="74"/>
      <c r="N1070" s="74"/>
      <c r="O1070" s="74"/>
      <c r="P1070" s="74"/>
      <c r="Q1070" s="74"/>
      <c r="R1070" s="74"/>
      <c r="S1070" s="74"/>
      <c r="T1070" s="74"/>
      <c r="U1070" s="74"/>
      <c r="V1070" s="74"/>
      <c r="W1070" s="74"/>
    </row>
    <row r="1071" spans="1:23" x14ac:dyDescent="0.2">
      <c r="A1071" s="74"/>
      <c r="B1071" s="75"/>
      <c r="C1071" s="74"/>
      <c r="D1071" s="74"/>
      <c r="E1071" s="74"/>
      <c r="F1071" s="74"/>
      <c r="G1071" s="74"/>
      <c r="H1071" s="74"/>
      <c r="I1071" s="74"/>
      <c r="J1071" s="74"/>
      <c r="K1071" s="74"/>
      <c r="L1071" s="74"/>
      <c r="M1071" s="74"/>
      <c r="N1071" s="74"/>
      <c r="O1071" s="74"/>
      <c r="P1071" s="74"/>
      <c r="Q1071" s="74"/>
      <c r="R1071" s="74"/>
      <c r="S1071" s="74"/>
      <c r="T1071" s="74"/>
      <c r="U1071" s="74"/>
      <c r="V1071" s="74"/>
      <c r="W1071" s="74"/>
    </row>
    <row r="1072" spans="1:23" x14ac:dyDescent="0.2">
      <c r="A1072" s="74"/>
      <c r="B1072" s="75"/>
      <c r="C1072" s="74"/>
      <c r="D1072" s="74"/>
      <c r="E1072" s="74"/>
      <c r="F1072" s="74"/>
      <c r="G1072" s="74"/>
      <c r="H1072" s="74"/>
      <c r="I1072" s="74"/>
      <c r="J1072" s="74"/>
      <c r="K1072" s="74"/>
      <c r="L1072" s="74"/>
      <c r="M1072" s="74"/>
      <c r="N1072" s="74"/>
      <c r="O1072" s="74"/>
      <c r="P1072" s="74"/>
      <c r="Q1072" s="74"/>
      <c r="R1072" s="74"/>
      <c r="S1072" s="74"/>
      <c r="T1072" s="74"/>
      <c r="U1072" s="74"/>
      <c r="V1072" s="74"/>
      <c r="W1072" s="74"/>
    </row>
    <row r="1073" spans="1:23" x14ac:dyDescent="0.2">
      <c r="A1073" s="74"/>
      <c r="B1073" s="75"/>
      <c r="C1073" s="74"/>
      <c r="D1073" s="74"/>
      <c r="E1073" s="74"/>
      <c r="F1073" s="74"/>
      <c r="G1073" s="74"/>
      <c r="H1073" s="74"/>
      <c r="I1073" s="74"/>
      <c r="J1073" s="74"/>
      <c r="K1073" s="74"/>
      <c r="L1073" s="74"/>
      <c r="M1073" s="74"/>
      <c r="N1073" s="74"/>
      <c r="O1073" s="74"/>
      <c r="P1073" s="74"/>
      <c r="Q1073" s="74"/>
      <c r="R1073" s="74"/>
      <c r="S1073" s="74"/>
      <c r="T1073" s="74"/>
      <c r="U1073" s="74"/>
      <c r="V1073" s="74"/>
      <c r="W1073" s="74"/>
    </row>
    <row r="1074" spans="1:23" x14ac:dyDescent="0.2">
      <c r="A1074" s="74"/>
      <c r="B1074" s="75"/>
      <c r="C1074" s="74"/>
      <c r="D1074" s="74"/>
      <c r="E1074" s="74"/>
      <c r="F1074" s="74"/>
      <c r="G1074" s="74"/>
      <c r="H1074" s="74"/>
      <c r="I1074" s="74"/>
      <c r="J1074" s="74"/>
      <c r="K1074" s="74"/>
      <c r="L1074" s="74"/>
      <c r="M1074" s="74"/>
      <c r="N1074" s="74"/>
      <c r="O1074" s="74"/>
      <c r="P1074" s="74"/>
      <c r="Q1074" s="74"/>
      <c r="R1074" s="74"/>
      <c r="S1074" s="74"/>
      <c r="T1074" s="74"/>
      <c r="U1074" s="74"/>
      <c r="V1074" s="74"/>
      <c r="W1074" s="74"/>
    </row>
    <row r="1075" spans="1:23" x14ac:dyDescent="0.2">
      <c r="A1075" s="74"/>
      <c r="B1075" s="75"/>
      <c r="C1075" s="74"/>
      <c r="D1075" s="74"/>
      <c r="E1075" s="74"/>
      <c r="F1075" s="74"/>
      <c r="G1075" s="74"/>
      <c r="H1075" s="74"/>
      <c r="I1075" s="74"/>
      <c r="J1075" s="74"/>
      <c r="K1075" s="74"/>
      <c r="L1075" s="74"/>
      <c r="M1075" s="74"/>
      <c r="N1075" s="74"/>
      <c r="O1075" s="74"/>
      <c r="P1075" s="74"/>
      <c r="Q1075" s="74"/>
      <c r="R1075" s="74"/>
      <c r="S1075" s="74"/>
      <c r="T1075" s="74"/>
      <c r="U1075" s="74"/>
      <c r="V1075" s="74"/>
      <c r="W1075" s="74"/>
    </row>
    <row r="1076" spans="1:23" x14ac:dyDescent="0.2">
      <c r="A1076" s="74"/>
      <c r="B1076" s="75"/>
      <c r="C1076" s="74"/>
      <c r="D1076" s="74"/>
      <c r="E1076" s="74"/>
      <c r="F1076" s="74"/>
      <c r="G1076" s="74"/>
      <c r="H1076" s="74"/>
      <c r="I1076" s="74"/>
      <c r="J1076" s="74"/>
      <c r="K1076" s="74"/>
      <c r="L1076" s="74"/>
      <c r="M1076" s="74"/>
      <c r="N1076" s="74"/>
      <c r="O1076" s="74"/>
      <c r="P1076" s="74"/>
      <c r="Q1076" s="74"/>
      <c r="R1076" s="74"/>
      <c r="S1076" s="74"/>
      <c r="T1076" s="74"/>
      <c r="U1076" s="74"/>
      <c r="V1076" s="74"/>
      <c r="W1076" s="74"/>
    </row>
    <row r="1077" spans="1:23" x14ac:dyDescent="0.2">
      <c r="A1077" s="74"/>
      <c r="B1077" s="75"/>
      <c r="C1077" s="74"/>
      <c r="D1077" s="74"/>
      <c r="E1077" s="74"/>
      <c r="F1077" s="74"/>
      <c r="G1077" s="74"/>
      <c r="H1077" s="74"/>
      <c r="I1077" s="74"/>
      <c r="J1077" s="74"/>
      <c r="K1077" s="74"/>
      <c r="L1077" s="74"/>
      <c r="M1077" s="74"/>
      <c r="N1077" s="74"/>
      <c r="O1077" s="74"/>
      <c r="P1077" s="74"/>
      <c r="Q1077" s="74"/>
      <c r="R1077" s="74"/>
      <c r="S1077" s="74"/>
      <c r="T1077" s="74"/>
      <c r="U1077" s="74"/>
      <c r="V1077" s="74"/>
      <c r="W1077" s="74"/>
    </row>
    <row r="1078" spans="1:23" x14ac:dyDescent="0.2">
      <c r="A1078" s="74"/>
      <c r="B1078" s="75"/>
      <c r="C1078" s="74"/>
      <c r="D1078" s="74"/>
      <c r="E1078" s="74"/>
      <c r="F1078" s="74"/>
      <c r="G1078" s="74"/>
      <c r="H1078" s="74"/>
      <c r="I1078" s="74"/>
      <c r="J1078" s="74"/>
      <c r="K1078" s="74"/>
      <c r="L1078" s="74"/>
      <c r="M1078" s="74"/>
      <c r="N1078" s="74"/>
      <c r="O1078" s="74"/>
      <c r="P1078" s="74"/>
      <c r="Q1078" s="74"/>
      <c r="R1078" s="74"/>
      <c r="S1078" s="74"/>
      <c r="T1078" s="74"/>
      <c r="U1078" s="74"/>
      <c r="V1078" s="74"/>
      <c r="W1078" s="74"/>
    </row>
    <row r="1079" spans="1:23" x14ac:dyDescent="0.2">
      <c r="A1079" s="74"/>
      <c r="B1079" s="75"/>
      <c r="C1079" s="74"/>
      <c r="D1079" s="74"/>
      <c r="E1079" s="74"/>
      <c r="F1079" s="74"/>
      <c r="G1079" s="74"/>
      <c r="H1079" s="74"/>
      <c r="I1079" s="74"/>
      <c r="J1079" s="74"/>
      <c r="K1079" s="74"/>
      <c r="L1079" s="74"/>
      <c r="M1079" s="74"/>
      <c r="N1079" s="74"/>
      <c r="O1079" s="74"/>
      <c r="P1079" s="74"/>
      <c r="Q1079" s="74"/>
      <c r="R1079" s="74"/>
      <c r="S1079" s="74"/>
      <c r="T1079" s="74"/>
      <c r="U1079" s="74"/>
      <c r="V1079" s="74"/>
      <c r="W1079" s="74"/>
    </row>
    <row r="1080" spans="1:23" x14ac:dyDescent="0.2">
      <c r="A1080" s="74"/>
      <c r="B1080" s="75"/>
      <c r="C1080" s="74"/>
      <c r="D1080" s="74"/>
      <c r="E1080" s="74"/>
      <c r="F1080" s="74"/>
      <c r="G1080" s="74"/>
      <c r="H1080" s="74"/>
      <c r="I1080" s="74"/>
      <c r="J1080" s="74"/>
      <c r="K1080" s="74"/>
      <c r="L1080" s="74"/>
      <c r="M1080" s="74"/>
      <c r="N1080" s="74"/>
      <c r="O1080" s="74"/>
      <c r="P1080" s="74"/>
      <c r="Q1080" s="74"/>
      <c r="R1080" s="74"/>
      <c r="S1080" s="74"/>
      <c r="T1080" s="74"/>
      <c r="U1080" s="74"/>
      <c r="V1080" s="74"/>
      <c r="W1080" s="74"/>
    </row>
    <row r="1081" spans="1:23" x14ac:dyDescent="0.2">
      <c r="A1081" s="74"/>
      <c r="B1081" s="75"/>
      <c r="C1081" s="74"/>
      <c r="D1081" s="74"/>
      <c r="E1081" s="74"/>
      <c r="F1081" s="74"/>
      <c r="G1081" s="74"/>
      <c r="H1081" s="74"/>
      <c r="I1081" s="74"/>
      <c r="J1081" s="74"/>
      <c r="K1081" s="74"/>
      <c r="L1081" s="74"/>
      <c r="M1081" s="74"/>
      <c r="N1081" s="74"/>
      <c r="O1081" s="74"/>
      <c r="P1081" s="74"/>
      <c r="Q1081" s="74"/>
      <c r="R1081" s="74"/>
      <c r="S1081" s="74"/>
      <c r="T1081" s="74"/>
      <c r="U1081" s="74"/>
      <c r="V1081" s="74"/>
      <c r="W1081" s="74"/>
    </row>
    <row r="1082" spans="1:23" x14ac:dyDescent="0.2">
      <c r="A1082" s="74"/>
      <c r="B1082" s="75"/>
      <c r="C1082" s="74"/>
      <c r="D1082" s="74"/>
      <c r="E1082" s="74"/>
      <c r="F1082" s="74"/>
      <c r="G1082" s="74"/>
      <c r="H1082" s="74"/>
      <c r="I1082" s="74"/>
      <c r="J1082" s="74"/>
      <c r="K1082" s="74"/>
      <c r="L1082" s="74"/>
      <c r="M1082" s="74"/>
      <c r="N1082" s="74"/>
      <c r="O1082" s="74"/>
      <c r="P1082" s="74"/>
      <c r="Q1082" s="74"/>
      <c r="R1082" s="74"/>
      <c r="S1082" s="74"/>
      <c r="T1082" s="74"/>
      <c r="U1082" s="74"/>
      <c r="V1082" s="74"/>
      <c r="W1082" s="74"/>
    </row>
    <row r="1083" spans="1:23" x14ac:dyDescent="0.2">
      <c r="A1083" s="74"/>
      <c r="B1083" s="75"/>
      <c r="C1083" s="74"/>
      <c r="D1083" s="74"/>
      <c r="E1083" s="74"/>
      <c r="F1083" s="74"/>
      <c r="G1083" s="74"/>
      <c r="H1083" s="74"/>
      <c r="I1083" s="74"/>
      <c r="J1083" s="74"/>
      <c r="K1083" s="74"/>
      <c r="L1083" s="74"/>
      <c r="M1083" s="74"/>
      <c r="N1083" s="74"/>
      <c r="O1083" s="74"/>
      <c r="P1083" s="74"/>
      <c r="Q1083" s="74"/>
      <c r="R1083" s="74"/>
      <c r="S1083" s="74"/>
      <c r="T1083" s="74"/>
      <c r="U1083" s="74"/>
      <c r="V1083" s="74"/>
      <c r="W1083" s="74"/>
    </row>
    <row r="1084" spans="1:23" x14ac:dyDescent="0.2">
      <c r="A1084" s="74"/>
      <c r="B1084" s="75"/>
      <c r="C1084" s="74"/>
      <c r="D1084" s="74"/>
      <c r="E1084" s="74"/>
      <c r="F1084" s="74"/>
      <c r="G1084" s="74"/>
      <c r="H1084" s="74"/>
      <c r="I1084" s="74"/>
      <c r="J1084" s="74"/>
      <c r="K1084" s="74"/>
      <c r="L1084" s="74"/>
      <c r="M1084" s="74"/>
      <c r="N1084" s="74"/>
      <c r="O1084" s="74"/>
      <c r="P1084" s="74"/>
      <c r="Q1084" s="74"/>
      <c r="R1084" s="74"/>
      <c r="S1084" s="74"/>
      <c r="T1084" s="74"/>
      <c r="U1084" s="74"/>
      <c r="V1084" s="74"/>
      <c r="W1084" s="74"/>
    </row>
    <row r="1085" spans="1:23" x14ac:dyDescent="0.2">
      <c r="A1085" s="74"/>
      <c r="B1085" s="75"/>
      <c r="C1085" s="74"/>
      <c r="D1085" s="74"/>
      <c r="E1085" s="74"/>
      <c r="F1085" s="74"/>
      <c r="G1085" s="74"/>
      <c r="H1085" s="74"/>
      <c r="I1085" s="74"/>
      <c r="J1085" s="74"/>
      <c r="K1085" s="74"/>
      <c r="L1085" s="74"/>
      <c r="M1085" s="74"/>
      <c r="N1085" s="74"/>
      <c r="O1085" s="74"/>
      <c r="P1085" s="74"/>
      <c r="Q1085" s="74"/>
      <c r="R1085" s="74"/>
      <c r="S1085" s="74"/>
      <c r="T1085" s="74"/>
      <c r="U1085" s="74"/>
      <c r="V1085" s="74"/>
      <c r="W1085" s="74"/>
    </row>
    <row r="1086" spans="1:23" x14ac:dyDescent="0.2">
      <c r="A1086" s="74"/>
      <c r="B1086" s="75"/>
      <c r="C1086" s="74"/>
      <c r="D1086" s="74"/>
      <c r="E1086" s="74"/>
      <c r="F1086" s="74"/>
      <c r="G1086" s="74"/>
      <c r="H1086" s="74"/>
      <c r="I1086" s="74"/>
      <c r="J1086" s="74"/>
      <c r="K1086" s="74"/>
      <c r="L1086" s="74"/>
      <c r="M1086" s="74"/>
      <c r="N1086" s="74"/>
      <c r="O1086" s="74"/>
      <c r="P1086" s="74"/>
      <c r="Q1086" s="74"/>
      <c r="R1086" s="74"/>
      <c r="S1086" s="74"/>
      <c r="T1086" s="74"/>
      <c r="U1086" s="74"/>
      <c r="V1086" s="74"/>
      <c r="W1086" s="74"/>
    </row>
    <row r="1087" spans="1:23" x14ac:dyDescent="0.2">
      <c r="A1087" s="74"/>
      <c r="B1087" s="75"/>
      <c r="C1087" s="74"/>
      <c r="D1087" s="74"/>
      <c r="E1087" s="74"/>
      <c r="F1087" s="74"/>
      <c r="G1087" s="74"/>
      <c r="H1087" s="74"/>
      <c r="I1087" s="74"/>
      <c r="J1087" s="74"/>
      <c r="K1087" s="74"/>
      <c r="L1087" s="74"/>
      <c r="M1087" s="74"/>
      <c r="N1087" s="74"/>
      <c r="O1087" s="74"/>
      <c r="P1087" s="74"/>
      <c r="Q1087" s="74"/>
      <c r="R1087" s="74"/>
      <c r="S1087" s="74"/>
      <c r="T1087" s="74"/>
      <c r="U1087" s="74"/>
      <c r="V1087" s="74"/>
      <c r="W1087" s="74"/>
    </row>
    <row r="1088" spans="1:23" x14ac:dyDescent="0.2">
      <c r="A1088" s="74"/>
      <c r="B1088" s="75"/>
      <c r="C1088" s="74"/>
      <c r="D1088" s="74"/>
      <c r="E1088" s="74"/>
      <c r="F1088" s="74"/>
      <c r="G1088" s="74"/>
      <c r="H1088" s="74"/>
      <c r="I1088" s="74"/>
      <c r="J1088" s="74"/>
      <c r="K1088" s="74"/>
      <c r="L1088" s="74"/>
      <c r="M1088" s="74"/>
      <c r="N1088" s="74"/>
      <c r="O1088" s="74"/>
      <c r="P1088" s="74"/>
      <c r="Q1088" s="74"/>
      <c r="R1088" s="74"/>
      <c r="S1088" s="74"/>
      <c r="T1088" s="74"/>
      <c r="U1088" s="74"/>
      <c r="V1088" s="74"/>
      <c r="W1088" s="74"/>
    </row>
    <row r="1089" spans="1:23" x14ac:dyDescent="0.2">
      <c r="A1089" s="74"/>
      <c r="B1089" s="75"/>
      <c r="C1089" s="74"/>
      <c r="D1089" s="74"/>
      <c r="E1089" s="74"/>
      <c r="F1089" s="74"/>
      <c r="G1089" s="74"/>
      <c r="H1089" s="74"/>
      <c r="I1089" s="74"/>
      <c r="J1089" s="74"/>
      <c r="K1089" s="74"/>
      <c r="L1089" s="74"/>
      <c r="M1089" s="74"/>
      <c r="N1089" s="74"/>
      <c r="O1089" s="74"/>
      <c r="P1089" s="74"/>
      <c r="Q1089" s="74"/>
      <c r="R1089" s="74"/>
      <c r="S1089" s="74"/>
      <c r="T1089" s="74"/>
      <c r="U1089" s="74"/>
      <c r="V1089" s="74"/>
      <c r="W1089" s="74"/>
    </row>
    <row r="1090" spans="1:23" x14ac:dyDescent="0.2">
      <c r="A1090" s="74"/>
      <c r="B1090" s="75"/>
      <c r="C1090" s="74"/>
      <c r="D1090" s="74"/>
      <c r="E1090" s="74"/>
      <c r="F1090" s="74"/>
      <c r="G1090" s="74"/>
      <c r="H1090" s="74"/>
      <c r="I1090" s="74"/>
      <c r="J1090" s="74"/>
      <c r="K1090" s="74"/>
      <c r="L1090" s="74"/>
      <c r="M1090" s="74"/>
      <c r="N1090" s="74"/>
      <c r="O1090" s="74"/>
      <c r="P1090" s="74"/>
      <c r="Q1090" s="74"/>
      <c r="R1090" s="74"/>
      <c r="S1090" s="74"/>
      <c r="T1090" s="74"/>
      <c r="U1090" s="74"/>
      <c r="V1090" s="74"/>
      <c r="W1090" s="74"/>
    </row>
    <row r="1091" spans="1:23" x14ac:dyDescent="0.2">
      <c r="A1091" s="74"/>
      <c r="B1091" s="75"/>
      <c r="C1091" s="74"/>
      <c r="D1091" s="74"/>
      <c r="E1091" s="74"/>
      <c r="F1091" s="74"/>
      <c r="G1091" s="74"/>
      <c r="H1091" s="74"/>
      <c r="I1091" s="74"/>
      <c r="J1091" s="74"/>
      <c r="K1091" s="74"/>
      <c r="L1091" s="74"/>
      <c r="M1091" s="74"/>
      <c r="N1091" s="74"/>
      <c r="O1091" s="74"/>
      <c r="P1091" s="74"/>
      <c r="Q1091" s="74"/>
      <c r="R1091" s="74"/>
      <c r="S1091" s="74"/>
      <c r="T1091" s="74"/>
      <c r="U1091" s="74"/>
      <c r="V1091" s="74"/>
      <c r="W1091" s="74"/>
    </row>
    <row r="1092" spans="1:23" x14ac:dyDescent="0.2">
      <c r="A1092" s="74"/>
      <c r="B1092" s="75"/>
      <c r="C1092" s="74"/>
      <c r="D1092" s="74"/>
      <c r="E1092" s="74"/>
      <c r="F1092" s="74"/>
      <c r="G1092" s="74"/>
      <c r="H1092" s="74"/>
      <c r="I1092" s="74"/>
      <c r="J1092" s="74"/>
      <c r="K1092" s="74"/>
      <c r="L1092" s="74"/>
      <c r="M1092" s="74"/>
      <c r="N1092" s="74"/>
      <c r="O1092" s="74"/>
      <c r="P1092" s="74"/>
      <c r="Q1092" s="74"/>
      <c r="R1092" s="74"/>
      <c r="S1092" s="74"/>
      <c r="T1092" s="74"/>
      <c r="U1092" s="74"/>
      <c r="V1092" s="74"/>
      <c r="W1092" s="74"/>
    </row>
    <row r="1093" spans="1:23" x14ac:dyDescent="0.2">
      <c r="A1093" s="74"/>
      <c r="B1093" s="75"/>
      <c r="C1093" s="74"/>
      <c r="D1093" s="74"/>
      <c r="E1093" s="74"/>
      <c r="F1093" s="74"/>
      <c r="G1093" s="74"/>
      <c r="H1093" s="74"/>
      <c r="I1093" s="74"/>
      <c r="J1093" s="74"/>
      <c r="K1093" s="74"/>
      <c r="L1093" s="74"/>
      <c r="M1093" s="74"/>
      <c r="N1093" s="74"/>
      <c r="O1093" s="74"/>
      <c r="P1093" s="74"/>
      <c r="Q1093" s="74"/>
      <c r="R1093" s="74"/>
      <c r="S1093" s="74"/>
      <c r="T1093" s="74"/>
      <c r="U1093" s="74"/>
      <c r="V1093" s="74"/>
      <c r="W1093" s="74"/>
    </row>
    <row r="1094" spans="1:23" x14ac:dyDescent="0.2">
      <c r="A1094" s="74"/>
      <c r="B1094" s="75"/>
      <c r="C1094" s="74"/>
      <c r="D1094" s="74"/>
      <c r="E1094" s="74"/>
      <c r="F1094" s="74"/>
      <c r="G1094" s="74"/>
      <c r="H1094" s="74"/>
      <c r="I1094" s="74"/>
      <c r="J1094" s="74"/>
      <c r="K1094" s="74"/>
      <c r="L1094" s="74"/>
      <c r="M1094" s="74"/>
      <c r="N1094" s="74"/>
      <c r="O1094" s="74"/>
      <c r="P1094" s="74"/>
      <c r="Q1094" s="74"/>
      <c r="R1094" s="74"/>
      <c r="S1094" s="74"/>
      <c r="T1094" s="74"/>
      <c r="U1094" s="74"/>
      <c r="V1094" s="74"/>
      <c r="W1094" s="74"/>
    </row>
    <row r="1095" spans="1:23" x14ac:dyDescent="0.2">
      <c r="A1095" s="74"/>
      <c r="B1095" s="75"/>
      <c r="C1095" s="74"/>
      <c r="D1095" s="74"/>
      <c r="E1095" s="74"/>
      <c r="F1095" s="74"/>
      <c r="G1095" s="74"/>
      <c r="H1095" s="74"/>
      <c r="I1095" s="74"/>
      <c r="J1095" s="74"/>
      <c r="K1095" s="74"/>
      <c r="L1095" s="74"/>
      <c r="M1095" s="74"/>
      <c r="N1095" s="74"/>
      <c r="O1095" s="74"/>
      <c r="P1095" s="74"/>
      <c r="Q1095" s="74"/>
      <c r="R1095" s="74"/>
      <c r="S1095" s="74"/>
      <c r="T1095" s="74"/>
      <c r="U1095" s="74"/>
      <c r="V1095" s="74"/>
      <c r="W1095" s="74"/>
    </row>
    <row r="1096" spans="1:23" x14ac:dyDescent="0.2">
      <c r="A1096" s="74"/>
      <c r="B1096" s="75"/>
      <c r="C1096" s="74"/>
      <c r="D1096" s="74"/>
      <c r="E1096" s="74"/>
      <c r="F1096" s="74"/>
      <c r="G1096" s="74"/>
      <c r="H1096" s="74"/>
      <c r="I1096" s="74"/>
      <c r="J1096" s="74"/>
      <c r="K1096" s="74"/>
      <c r="L1096" s="74"/>
      <c r="M1096" s="74"/>
      <c r="N1096" s="74"/>
      <c r="O1096" s="74"/>
      <c r="P1096" s="74"/>
      <c r="Q1096" s="74"/>
      <c r="R1096" s="74"/>
      <c r="S1096" s="74"/>
      <c r="T1096" s="74"/>
      <c r="U1096" s="74"/>
      <c r="V1096" s="74"/>
      <c r="W1096" s="74"/>
    </row>
    <row r="1097" spans="1:23" x14ac:dyDescent="0.2">
      <c r="A1097" s="74"/>
      <c r="B1097" s="75"/>
      <c r="C1097" s="74"/>
      <c r="D1097" s="74"/>
      <c r="E1097" s="74"/>
      <c r="F1097" s="74"/>
      <c r="G1097" s="74"/>
      <c r="H1097" s="74"/>
      <c r="I1097" s="74"/>
      <c r="J1097" s="74"/>
      <c r="K1097" s="74"/>
      <c r="L1097" s="74"/>
      <c r="M1097" s="74"/>
      <c r="N1097" s="74"/>
      <c r="O1097" s="74"/>
      <c r="P1097" s="74"/>
      <c r="Q1097" s="74"/>
      <c r="R1097" s="74"/>
      <c r="S1097" s="74"/>
      <c r="T1097" s="74"/>
      <c r="U1097" s="74"/>
      <c r="V1097" s="74"/>
      <c r="W1097" s="74"/>
    </row>
    <row r="1098" spans="1:23" x14ac:dyDescent="0.2">
      <c r="A1098" s="74"/>
      <c r="B1098" s="75"/>
      <c r="C1098" s="74"/>
      <c r="D1098" s="74"/>
      <c r="E1098" s="74"/>
      <c r="F1098" s="74"/>
      <c r="G1098" s="74"/>
      <c r="H1098" s="74"/>
      <c r="I1098" s="74"/>
      <c r="J1098" s="74"/>
      <c r="K1098" s="74"/>
      <c r="L1098" s="74"/>
      <c r="M1098" s="74"/>
      <c r="N1098" s="74"/>
      <c r="O1098" s="74"/>
      <c r="P1098" s="74"/>
      <c r="Q1098" s="74"/>
      <c r="R1098" s="74"/>
      <c r="S1098" s="74"/>
      <c r="T1098" s="74"/>
      <c r="U1098" s="74"/>
      <c r="V1098" s="74"/>
      <c r="W1098" s="74"/>
    </row>
    <row r="1099" spans="1:23" x14ac:dyDescent="0.2">
      <c r="A1099" s="74"/>
      <c r="B1099" s="75"/>
      <c r="C1099" s="74"/>
      <c r="D1099" s="74"/>
      <c r="E1099" s="74"/>
      <c r="F1099" s="74"/>
      <c r="G1099" s="74"/>
      <c r="H1099" s="74"/>
      <c r="I1099" s="74"/>
      <c r="J1099" s="74"/>
      <c r="K1099" s="74"/>
      <c r="L1099" s="74"/>
      <c r="M1099" s="74"/>
      <c r="N1099" s="74"/>
      <c r="O1099" s="74"/>
      <c r="P1099" s="74"/>
      <c r="Q1099" s="74"/>
      <c r="R1099" s="74"/>
      <c r="S1099" s="74"/>
      <c r="T1099" s="74"/>
      <c r="U1099" s="74"/>
      <c r="V1099" s="74"/>
      <c r="W1099" s="74"/>
    </row>
    <row r="1100" spans="1:23" x14ac:dyDescent="0.2">
      <c r="A1100" s="74"/>
      <c r="B1100" s="75"/>
      <c r="C1100" s="74"/>
      <c r="D1100" s="74"/>
      <c r="E1100" s="74"/>
      <c r="F1100" s="74"/>
      <c r="G1100" s="74"/>
      <c r="H1100" s="74"/>
      <c r="I1100" s="74"/>
      <c r="J1100" s="74"/>
      <c r="K1100" s="74"/>
      <c r="L1100" s="74"/>
      <c r="M1100" s="74"/>
      <c r="N1100" s="74"/>
      <c r="O1100" s="74"/>
      <c r="P1100" s="74"/>
      <c r="Q1100" s="74"/>
      <c r="R1100" s="74"/>
      <c r="S1100" s="74"/>
      <c r="T1100" s="74"/>
      <c r="U1100" s="74"/>
      <c r="V1100" s="74"/>
      <c r="W1100" s="74"/>
    </row>
    <row r="1101" spans="1:23" x14ac:dyDescent="0.2">
      <c r="A1101" s="74"/>
      <c r="B1101" s="75"/>
      <c r="C1101" s="74"/>
      <c r="D1101" s="74"/>
      <c r="E1101" s="74"/>
      <c r="F1101" s="74"/>
      <c r="G1101" s="74"/>
      <c r="H1101" s="74"/>
      <c r="I1101" s="74"/>
      <c r="J1101" s="74"/>
      <c r="K1101" s="74"/>
      <c r="L1101" s="74"/>
      <c r="M1101" s="74"/>
      <c r="N1101" s="74"/>
      <c r="O1101" s="74"/>
      <c r="P1101" s="74"/>
      <c r="Q1101" s="74"/>
      <c r="R1101" s="74"/>
      <c r="S1101" s="74"/>
      <c r="T1101" s="74"/>
      <c r="U1101" s="74"/>
      <c r="V1101" s="74"/>
      <c r="W1101" s="74"/>
    </row>
    <row r="1102" spans="1:23" x14ac:dyDescent="0.2">
      <c r="A1102" s="74"/>
      <c r="B1102" s="75"/>
      <c r="C1102" s="74"/>
      <c r="D1102" s="74"/>
      <c r="E1102" s="74"/>
      <c r="F1102" s="74"/>
      <c r="G1102" s="74"/>
      <c r="H1102" s="74"/>
      <c r="I1102" s="74"/>
      <c r="J1102" s="74"/>
      <c r="K1102" s="74"/>
      <c r="L1102" s="74"/>
      <c r="M1102" s="74"/>
      <c r="N1102" s="74"/>
      <c r="O1102" s="74"/>
      <c r="P1102" s="74"/>
      <c r="Q1102" s="74"/>
      <c r="R1102" s="74"/>
      <c r="S1102" s="74"/>
      <c r="T1102" s="74"/>
      <c r="U1102" s="74"/>
      <c r="V1102" s="74"/>
      <c r="W1102" s="74"/>
    </row>
    <row r="1103" spans="1:23" x14ac:dyDescent="0.2">
      <c r="A1103" s="74"/>
      <c r="B1103" s="75"/>
      <c r="C1103" s="74"/>
      <c r="D1103" s="74"/>
      <c r="E1103" s="74"/>
      <c r="F1103" s="74"/>
      <c r="G1103" s="74"/>
      <c r="H1103" s="74"/>
      <c r="I1103" s="74"/>
      <c r="J1103" s="74"/>
      <c r="K1103" s="74"/>
      <c r="L1103" s="74"/>
      <c r="M1103" s="74"/>
      <c r="N1103" s="74"/>
      <c r="O1103" s="74"/>
      <c r="P1103" s="74"/>
      <c r="Q1103" s="74"/>
      <c r="R1103" s="74"/>
      <c r="S1103" s="74"/>
      <c r="T1103" s="74"/>
      <c r="U1103" s="74"/>
      <c r="V1103" s="74"/>
      <c r="W1103" s="74"/>
    </row>
    <row r="1104" spans="1:23" x14ac:dyDescent="0.2">
      <c r="A1104" s="74"/>
      <c r="B1104" s="75"/>
      <c r="C1104" s="74"/>
      <c r="D1104" s="74"/>
      <c r="E1104" s="74"/>
      <c r="F1104" s="74"/>
      <c r="G1104" s="74"/>
      <c r="H1104" s="74"/>
      <c r="I1104" s="74"/>
      <c r="J1104" s="74"/>
      <c r="K1104" s="74"/>
      <c r="L1104" s="74"/>
      <c r="M1104" s="74"/>
      <c r="N1104" s="74"/>
      <c r="O1104" s="74"/>
      <c r="P1104" s="74"/>
      <c r="Q1104" s="74"/>
      <c r="R1104" s="74"/>
      <c r="S1104" s="74"/>
      <c r="T1104" s="74"/>
      <c r="U1104" s="74"/>
      <c r="V1104" s="74"/>
      <c r="W1104" s="74"/>
    </row>
    <row r="1105" spans="1:23" x14ac:dyDescent="0.2">
      <c r="A1105" s="74"/>
      <c r="B1105" s="75"/>
      <c r="C1105" s="74"/>
      <c r="D1105" s="74"/>
      <c r="E1105" s="74"/>
      <c r="F1105" s="74"/>
      <c r="G1105" s="74"/>
      <c r="H1105" s="74"/>
      <c r="I1105" s="74"/>
      <c r="J1105" s="74"/>
      <c r="K1105" s="74"/>
      <c r="L1105" s="74"/>
      <c r="M1105" s="74"/>
      <c r="N1105" s="74"/>
      <c r="O1105" s="74"/>
      <c r="P1105" s="74"/>
      <c r="Q1105" s="74"/>
      <c r="R1105" s="74"/>
      <c r="S1105" s="74"/>
      <c r="T1105" s="74"/>
      <c r="U1105" s="74"/>
      <c r="V1105" s="74"/>
      <c r="W1105" s="74"/>
    </row>
    <row r="1106" spans="1:23" x14ac:dyDescent="0.2">
      <c r="A1106" s="74"/>
      <c r="B1106" s="75"/>
      <c r="C1106" s="74"/>
      <c r="D1106" s="74"/>
      <c r="E1106" s="74"/>
      <c r="F1106" s="74"/>
      <c r="G1106" s="74"/>
      <c r="H1106" s="74"/>
      <c r="I1106" s="74"/>
      <c r="J1106" s="74"/>
      <c r="K1106" s="74"/>
      <c r="L1106" s="74"/>
      <c r="M1106" s="74"/>
      <c r="N1106" s="74"/>
      <c r="O1106" s="74"/>
      <c r="P1106" s="74"/>
      <c r="Q1106" s="74"/>
      <c r="R1106" s="74"/>
      <c r="S1106" s="74"/>
      <c r="T1106" s="74"/>
      <c r="U1106" s="74"/>
      <c r="V1106" s="74"/>
      <c r="W1106" s="74"/>
    </row>
    <row r="1107" spans="1:23" x14ac:dyDescent="0.2">
      <c r="A1107" s="74"/>
      <c r="B1107" s="75"/>
      <c r="C1107" s="74"/>
      <c r="D1107" s="74"/>
      <c r="E1107" s="74"/>
      <c r="F1107" s="74"/>
      <c r="G1107" s="74"/>
      <c r="H1107" s="74"/>
      <c r="I1107" s="74"/>
      <c r="J1107" s="74"/>
      <c r="K1107" s="74"/>
      <c r="L1107" s="74"/>
      <c r="M1107" s="74"/>
      <c r="N1107" s="74"/>
      <c r="O1107" s="74"/>
      <c r="P1107" s="74"/>
      <c r="Q1107" s="74"/>
      <c r="R1107" s="74"/>
      <c r="S1107" s="74"/>
      <c r="T1107" s="74"/>
      <c r="U1107" s="74"/>
      <c r="V1107" s="74"/>
      <c r="W1107" s="74"/>
    </row>
    <row r="1108" spans="1:23" x14ac:dyDescent="0.2">
      <c r="A1108" s="74"/>
      <c r="B1108" s="75"/>
      <c r="C1108" s="74"/>
      <c r="D1108" s="74"/>
      <c r="E1108" s="74"/>
      <c r="F1108" s="74"/>
      <c r="G1108" s="74"/>
      <c r="H1108" s="74"/>
      <c r="I1108" s="74"/>
      <c r="J1108" s="74"/>
      <c r="K1108" s="74"/>
      <c r="L1108" s="74"/>
      <c r="M1108" s="74"/>
      <c r="N1108" s="74"/>
      <c r="O1108" s="74"/>
      <c r="P1108" s="74"/>
      <c r="Q1108" s="74"/>
      <c r="R1108" s="74"/>
      <c r="S1108" s="74"/>
      <c r="T1108" s="74"/>
      <c r="U1108" s="74"/>
      <c r="V1108" s="74"/>
      <c r="W1108" s="74"/>
    </row>
    <row r="1109" spans="1:23" x14ac:dyDescent="0.2">
      <c r="A1109" s="74"/>
      <c r="B1109" s="75"/>
      <c r="C1109" s="74"/>
      <c r="D1109" s="74"/>
      <c r="E1109" s="74"/>
      <c r="F1109" s="74"/>
      <c r="G1109" s="74"/>
      <c r="H1109" s="74"/>
      <c r="I1109" s="74"/>
      <c r="J1109" s="74"/>
      <c r="K1109" s="74"/>
      <c r="L1109" s="74"/>
      <c r="M1109" s="74"/>
      <c r="N1109" s="74"/>
      <c r="O1109" s="74"/>
      <c r="P1109" s="74"/>
      <c r="Q1109" s="74"/>
      <c r="R1109" s="74"/>
      <c r="S1109" s="74"/>
      <c r="T1109" s="74"/>
      <c r="U1109" s="74"/>
      <c r="V1109" s="74"/>
      <c r="W1109" s="74"/>
    </row>
    <row r="1110" spans="1:23" x14ac:dyDescent="0.2">
      <c r="A1110" s="74"/>
      <c r="B1110" s="75"/>
      <c r="C1110" s="74"/>
      <c r="D1110" s="74"/>
      <c r="E1110" s="74"/>
      <c r="F1110" s="74"/>
      <c r="G1110" s="74"/>
      <c r="H1110" s="74"/>
      <c r="I1110" s="74"/>
      <c r="J1110" s="74"/>
      <c r="K1110" s="74"/>
      <c r="L1110" s="74"/>
      <c r="M1110" s="74"/>
      <c r="N1110" s="74"/>
      <c r="O1110" s="74"/>
      <c r="P1110" s="74"/>
      <c r="Q1110" s="74"/>
      <c r="R1110" s="74"/>
      <c r="S1110" s="74"/>
      <c r="T1110" s="74"/>
      <c r="U1110" s="74"/>
      <c r="V1110" s="74"/>
      <c r="W1110" s="74"/>
    </row>
    <row r="1111" spans="1:23" x14ac:dyDescent="0.2">
      <c r="A1111" s="74"/>
      <c r="B1111" s="75"/>
      <c r="C1111" s="74"/>
      <c r="D1111" s="74"/>
      <c r="E1111" s="74"/>
      <c r="F1111" s="74"/>
      <c r="G1111" s="74"/>
      <c r="H1111" s="74"/>
      <c r="I1111" s="74"/>
      <c r="J1111" s="74"/>
      <c r="K1111" s="74"/>
      <c r="L1111" s="74"/>
      <c r="M1111" s="74"/>
      <c r="N1111" s="74"/>
      <c r="O1111" s="74"/>
      <c r="P1111" s="74"/>
      <c r="Q1111" s="74"/>
      <c r="R1111" s="74"/>
      <c r="S1111" s="74"/>
      <c r="T1111" s="74"/>
      <c r="U1111" s="74"/>
      <c r="V1111" s="74"/>
      <c r="W1111" s="74"/>
    </row>
    <row r="1112" spans="1:23" x14ac:dyDescent="0.2">
      <c r="A1112" s="74"/>
      <c r="B1112" s="75"/>
      <c r="C1112" s="74"/>
      <c r="D1112" s="74"/>
      <c r="E1112" s="74"/>
      <c r="F1112" s="74"/>
      <c r="G1112" s="74"/>
      <c r="H1112" s="74"/>
      <c r="I1112" s="74"/>
      <c r="J1112" s="74"/>
      <c r="K1112" s="74"/>
      <c r="L1112" s="74"/>
      <c r="M1112" s="74"/>
      <c r="N1112" s="74"/>
      <c r="O1112" s="74"/>
      <c r="P1112" s="74"/>
      <c r="Q1112" s="74"/>
      <c r="R1112" s="74"/>
      <c r="S1112" s="74"/>
      <c r="T1112" s="74"/>
      <c r="U1112" s="74"/>
      <c r="V1112" s="74"/>
      <c r="W1112" s="74"/>
    </row>
    <row r="1113" spans="1:23" x14ac:dyDescent="0.2">
      <c r="A1113" s="74"/>
      <c r="B1113" s="75"/>
      <c r="C1113" s="74"/>
      <c r="D1113" s="74"/>
      <c r="E1113" s="74"/>
      <c r="F1113" s="74"/>
      <c r="G1113" s="74"/>
      <c r="H1113" s="74"/>
      <c r="I1113" s="74"/>
      <c r="J1113" s="74"/>
      <c r="K1113" s="74"/>
      <c r="L1113" s="74"/>
      <c r="M1113" s="74"/>
      <c r="N1113" s="74"/>
      <c r="O1113" s="74"/>
      <c r="P1113" s="74"/>
      <c r="Q1113" s="74"/>
      <c r="R1113" s="74"/>
      <c r="S1113" s="74"/>
      <c r="T1113" s="74"/>
      <c r="U1113" s="74"/>
      <c r="V1113" s="74"/>
      <c r="W1113" s="74"/>
    </row>
    <row r="1114" spans="1:23" x14ac:dyDescent="0.2">
      <c r="A1114" s="74"/>
      <c r="B1114" s="75"/>
      <c r="C1114" s="74"/>
      <c r="D1114" s="74"/>
      <c r="E1114" s="74"/>
      <c r="F1114" s="74"/>
      <c r="G1114" s="74"/>
      <c r="H1114" s="74"/>
      <c r="I1114" s="74"/>
      <c r="J1114" s="74"/>
      <c r="K1114" s="74"/>
      <c r="L1114" s="74"/>
      <c r="M1114" s="74"/>
      <c r="N1114" s="74"/>
      <c r="O1114" s="74"/>
      <c r="P1114" s="74"/>
      <c r="Q1114" s="74"/>
      <c r="R1114" s="74"/>
      <c r="S1114" s="74"/>
      <c r="T1114" s="74"/>
      <c r="U1114" s="74"/>
      <c r="V1114" s="74"/>
      <c r="W1114" s="74"/>
    </row>
    <row r="1115" spans="1:23" x14ac:dyDescent="0.2">
      <c r="A1115" s="74"/>
      <c r="B1115" s="75"/>
      <c r="C1115" s="74"/>
      <c r="D1115" s="74"/>
      <c r="E1115" s="74"/>
      <c r="F1115" s="74"/>
      <c r="G1115" s="74"/>
      <c r="H1115" s="74"/>
      <c r="I1115" s="74"/>
      <c r="J1115" s="74"/>
      <c r="K1115" s="74"/>
      <c r="L1115" s="74"/>
      <c r="M1115" s="74"/>
      <c r="N1115" s="74"/>
      <c r="O1115" s="74"/>
      <c r="P1115" s="74"/>
      <c r="Q1115" s="74"/>
      <c r="R1115" s="74"/>
      <c r="S1115" s="74"/>
      <c r="T1115" s="74"/>
      <c r="U1115" s="74"/>
      <c r="V1115" s="74"/>
      <c r="W1115" s="74"/>
    </row>
    <row r="1116" spans="1:23" x14ac:dyDescent="0.2">
      <c r="A1116" s="74"/>
      <c r="B1116" s="75"/>
      <c r="C1116" s="74"/>
      <c r="D1116" s="74"/>
      <c r="E1116" s="74"/>
      <c r="F1116" s="74"/>
      <c r="G1116" s="74"/>
      <c r="H1116" s="74"/>
      <c r="I1116" s="74"/>
      <c r="J1116" s="74"/>
      <c r="K1116" s="74"/>
      <c r="L1116" s="74"/>
      <c r="M1116" s="74"/>
      <c r="N1116" s="74"/>
      <c r="O1116" s="74"/>
      <c r="P1116" s="74"/>
      <c r="Q1116" s="74"/>
      <c r="R1116" s="74"/>
      <c r="S1116" s="74"/>
      <c r="T1116" s="74"/>
      <c r="U1116" s="74"/>
      <c r="V1116" s="74"/>
      <c r="W1116" s="74"/>
    </row>
    <row r="1117" spans="1:23" x14ac:dyDescent="0.2">
      <c r="A1117" s="74"/>
      <c r="B1117" s="75"/>
      <c r="C1117" s="74"/>
      <c r="D1117" s="74"/>
      <c r="E1117" s="74"/>
      <c r="F1117" s="74"/>
      <c r="G1117" s="74"/>
      <c r="H1117" s="74"/>
      <c r="I1117" s="74"/>
      <c r="J1117" s="74"/>
      <c r="K1117" s="74"/>
      <c r="L1117" s="74"/>
      <c r="M1117" s="74"/>
      <c r="N1117" s="74"/>
      <c r="O1117" s="74"/>
      <c r="P1117" s="74"/>
      <c r="Q1117" s="74"/>
      <c r="R1117" s="74"/>
      <c r="S1117" s="74"/>
      <c r="T1117" s="74"/>
      <c r="U1117" s="74"/>
      <c r="V1117" s="74"/>
      <c r="W1117" s="74"/>
    </row>
    <row r="1118" spans="1:23" x14ac:dyDescent="0.2">
      <c r="A1118" s="74"/>
      <c r="B1118" s="75"/>
      <c r="C1118" s="74"/>
      <c r="D1118" s="74"/>
      <c r="E1118" s="74"/>
      <c r="F1118" s="74"/>
      <c r="G1118" s="74"/>
      <c r="H1118" s="74"/>
      <c r="I1118" s="74"/>
      <c r="J1118" s="74"/>
      <c r="K1118" s="74"/>
      <c r="L1118" s="74"/>
      <c r="M1118" s="74"/>
      <c r="N1118" s="74"/>
      <c r="O1118" s="74"/>
      <c r="P1118" s="74"/>
      <c r="Q1118" s="74"/>
      <c r="R1118" s="74"/>
      <c r="S1118" s="74"/>
      <c r="T1118" s="74"/>
      <c r="U1118" s="74"/>
      <c r="V1118" s="74"/>
      <c r="W1118" s="74"/>
    </row>
    <row r="1119" spans="1:23" x14ac:dyDescent="0.2">
      <c r="A1119" s="74"/>
      <c r="B1119" s="75"/>
      <c r="C1119" s="74"/>
      <c r="D1119" s="74"/>
      <c r="E1119" s="74"/>
      <c r="F1119" s="74"/>
      <c r="G1119" s="74"/>
      <c r="H1119" s="74"/>
      <c r="I1119" s="74"/>
      <c r="J1119" s="74"/>
      <c r="K1119" s="74"/>
      <c r="L1119" s="74"/>
      <c r="M1119" s="74"/>
      <c r="N1119" s="74"/>
      <c r="O1119" s="74"/>
      <c r="P1119" s="74"/>
      <c r="Q1119" s="74"/>
      <c r="R1119" s="74"/>
      <c r="S1119" s="74"/>
      <c r="T1119" s="74"/>
      <c r="U1119" s="74"/>
      <c r="V1119" s="74"/>
      <c r="W1119" s="74"/>
    </row>
    <row r="1120" spans="1:23" x14ac:dyDescent="0.2">
      <c r="A1120" s="74"/>
      <c r="B1120" s="75"/>
      <c r="C1120" s="74"/>
      <c r="D1120" s="74"/>
      <c r="E1120" s="74"/>
      <c r="F1120" s="74"/>
      <c r="G1120" s="74"/>
      <c r="H1120" s="74"/>
      <c r="I1120" s="74"/>
      <c r="J1120" s="74"/>
      <c r="K1120" s="74"/>
      <c r="L1120" s="74"/>
      <c r="M1120" s="74"/>
      <c r="N1120" s="74"/>
      <c r="O1120" s="74"/>
      <c r="P1120" s="74"/>
      <c r="Q1120" s="74"/>
      <c r="R1120" s="74"/>
      <c r="S1120" s="74"/>
      <c r="T1120" s="74"/>
      <c r="U1120" s="74"/>
      <c r="V1120" s="74"/>
      <c r="W1120" s="74"/>
    </row>
    <row r="1121" spans="1:23" x14ac:dyDescent="0.2">
      <c r="A1121" s="74"/>
      <c r="B1121" s="75"/>
      <c r="C1121" s="74"/>
      <c r="D1121" s="74"/>
      <c r="E1121" s="74"/>
      <c r="F1121" s="74"/>
      <c r="G1121" s="74"/>
      <c r="H1121" s="74"/>
      <c r="I1121" s="74"/>
      <c r="J1121" s="74"/>
      <c r="K1121" s="74"/>
      <c r="L1121" s="74"/>
      <c r="M1121" s="74"/>
      <c r="N1121" s="74"/>
      <c r="O1121" s="74"/>
      <c r="P1121" s="74"/>
      <c r="Q1121" s="74"/>
      <c r="R1121" s="74"/>
      <c r="S1121" s="74"/>
      <c r="T1121" s="74"/>
      <c r="U1121" s="74"/>
      <c r="V1121" s="74"/>
      <c r="W1121" s="74"/>
    </row>
    <row r="1122" spans="1:23" x14ac:dyDescent="0.2">
      <c r="A1122" s="74"/>
      <c r="B1122" s="75"/>
      <c r="C1122" s="74"/>
      <c r="D1122" s="74"/>
      <c r="E1122" s="74"/>
      <c r="F1122" s="74"/>
      <c r="G1122" s="74"/>
      <c r="H1122" s="74"/>
      <c r="I1122" s="74"/>
      <c r="J1122" s="74"/>
      <c r="K1122" s="74"/>
      <c r="L1122" s="74"/>
      <c r="M1122" s="74"/>
      <c r="N1122" s="74"/>
      <c r="O1122" s="74"/>
      <c r="P1122" s="74"/>
      <c r="Q1122" s="74"/>
      <c r="R1122" s="74"/>
      <c r="S1122" s="74"/>
      <c r="T1122" s="74"/>
      <c r="U1122" s="74"/>
      <c r="V1122" s="74"/>
      <c r="W1122" s="74"/>
    </row>
    <row r="1123" spans="1:23" x14ac:dyDescent="0.2">
      <c r="A1123" s="74"/>
      <c r="B1123" s="75"/>
      <c r="C1123" s="74"/>
      <c r="D1123" s="74"/>
      <c r="E1123" s="74"/>
      <c r="F1123" s="74"/>
      <c r="G1123" s="74"/>
      <c r="H1123" s="74"/>
      <c r="I1123" s="74"/>
      <c r="J1123" s="74"/>
      <c r="K1123" s="74"/>
      <c r="L1123" s="74"/>
      <c r="M1123" s="74"/>
      <c r="N1123" s="74"/>
      <c r="O1123" s="74"/>
      <c r="P1123" s="74"/>
      <c r="Q1123" s="74"/>
      <c r="R1123" s="74"/>
      <c r="S1123" s="74"/>
      <c r="T1123" s="74"/>
      <c r="U1123" s="74"/>
      <c r="V1123" s="74"/>
      <c r="W1123" s="74"/>
    </row>
    <row r="1124" spans="1:23" x14ac:dyDescent="0.2">
      <c r="A1124" s="74"/>
      <c r="B1124" s="75"/>
      <c r="C1124" s="74"/>
      <c r="D1124" s="74"/>
      <c r="E1124" s="74"/>
      <c r="F1124" s="74"/>
      <c r="G1124" s="74"/>
      <c r="H1124" s="74"/>
      <c r="I1124" s="74"/>
      <c r="J1124" s="74"/>
      <c r="K1124" s="74"/>
      <c r="L1124" s="74"/>
      <c r="M1124" s="74"/>
      <c r="N1124" s="74"/>
      <c r="O1124" s="74"/>
      <c r="P1124" s="74"/>
      <c r="Q1124" s="74"/>
      <c r="R1124" s="74"/>
      <c r="S1124" s="74"/>
      <c r="T1124" s="74"/>
      <c r="U1124" s="74"/>
      <c r="V1124" s="74"/>
      <c r="W1124" s="74"/>
    </row>
    <row r="1125" spans="1:23" x14ac:dyDescent="0.2">
      <c r="A1125" s="74"/>
      <c r="B1125" s="75"/>
      <c r="C1125" s="74"/>
      <c r="D1125" s="74"/>
      <c r="E1125" s="74"/>
      <c r="F1125" s="74"/>
      <c r="G1125" s="74"/>
      <c r="H1125" s="74"/>
      <c r="I1125" s="74"/>
      <c r="J1125" s="74"/>
      <c r="K1125" s="74"/>
      <c r="L1125" s="74"/>
      <c r="M1125" s="74"/>
      <c r="N1125" s="74"/>
      <c r="O1125" s="74"/>
      <c r="P1125" s="74"/>
      <c r="Q1125" s="74"/>
      <c r="R1125" s="74"/>
      <c r="S1125" s="74"/>
      <c r="T1125" s="74"/>
      <c r="U1125" s="74"/>
      <c r="V1125" s="74"/>
      <c r="W1125" s="74"/>
    </row>
    <row r="1126" spans="1:23" x14ac:dyDescent="0.2">
      <c r="A1126" s="74"/>
      <c r="B1126" s="75"/>
      <c r="C1126" s="74"/>
      <c r="D1126" s="74"/>
      <c r="E1126" s="74"/>
      <c r="F1126" s="74"/>
      <c r="G1126" s="74"/>
      <c r="H1126" s="74"/>
      <c r="I1126" s="74"/>
      <c r="J1126" s="74"/>
      <c r="K1126" s="74"/>
      <c r="L1126" s="74"/>
      <c r="M1126" s="74"/>
      <c r="N1126" s="74"/>
      <c r="O1126" s="74"/>
      <c r="P1126" s="74"/>
      <c r="Q1126" s="74"/>
      <c r="R1126" s="74"/>
      <c r="S1126" s="74"/>
      <c r="T1126" s="74"/>
      <c r="U1126" s="74"/>
      <c r="V1126" s="74"/>
      <c r="W1126" s="74"/>
    </row>
    <row r="1127" spans="1:23" x14ac:dyDescent="0.2">
      <c r="A1127" s="74"/>
      <c r="B1127" s="75"/>
      <c r="C1127" s="74"/>
      <c r="D1127" s="74"/>
      <c r="E1127" s="74"/>
      <c r="F1127" s="74"/>
      <c r="G1127" s="74"/>
      <c r="H1127" s="74"/>
      <c r="I1127" s="74"/>
      <c r="J1127" s="74"/>
      <c r="K1127" s="74"/>
      <c r="L1127" s="74"/>
      <c r="M1127" s="74"/>
      <c r="N1127" s="74"/>
      <c r="O1127" s="74"/>
      <c r="P1127" s="74"/>
      <c r="Q1127" s="74"/>
      <c r="R1127" s="74"/>
      <c r="S1127" s="74"/>
      <c r="T1127" s="74"/>
      <c r="U1127" s="74"/>
      <c r="V1127" s="74"/>
      <c r="W1127" s="74"/>
    </row>
    <row r="1128" spans="1:23" x14ac:dyDescent="0.2">
      <c r="A1128" s="74"/>
      <c r="B1128" s="75"/>
      <c r="C1128" s="74"/>
      <c r="D1128" s="74"/>
      <c r="E1128" s="74"/>
      <c r="F1128" s="74"/>
      <c r="G1128" s="74"/>
      <c r="H1128" s="74"/>
      <c r="I1128" s="74"/>
      <c r="J1128" s="74"/>
      <c r="K1128" s="74"/>
      <c r="L1128" s="74"/>
      <c r="M1128" s="74"/>
      <c r="N1128" s="74"/>
      <c r="O1128" s="74"/>
      <c r="P1128" s="74"/>
      <c r="Q1128" s="74"/>
      <c r="R1128" s="74"/>
      <c r="S1128" s="74"/>
      <c r="T1128" s="74"/>
      <c r="U1128" s="74"/>
      <c r="V1128" s="74"/>
      <c r="W1128" s="74"/>
    </row>
    <row r="1129" spans="1:23" x14ac:dyDescent="0.2">
      <c r="A1129" s="74"/>
      <c r="B1129" s="75"/>
      <c r="C1129" s="74"/>
      <c r="D1129" s="74"/>
      <c r="E1129" s="74"/>
      <c r="F1129" s="74"/>
      <c r="G1129" s="74"/>
      <c r="H1129" s="74"/>
      <c r="I1129" s="74"/>
      <c r="J1129" s="74"/>
      <c r="K1129" s="74"/>
      <c r="L1129" s="74"/>
      <c r="M1129" s="74"/>
      <c r="N1129" s="74"/>
      <c r="O1129" s="74"/>
      <c r="P1129" s="74"/>
      <c r="Q1129" s="74"/>
      <c r="R1129" s="74"/>
      <c r="S1129" s="74"/>
      <c r="T1129" s="74"/>
      <c r="U1129" s="74"/>
      <c r="V1129" s="74"/>
      <c r="W1129" s="74"/>
    </row>
    <row r="1130" spans="1:23" x14ac:dyDescent="0.2">
      <c r="A1130" s="74"/>
      <c r="B1130" s="75"/>
      <c r="C1130" s="74"/>
      <c r="D1130" s="74"/>
      <c r="E1130" s="74"/>
      <c r="F1130" s="74"/>
      <c r="G1130" s="74"/>
      <c r="H1130" s="74"/>
      <c r="I1130" s="74"/>
      <c r="J1130" s="74"/>
      <c r="K1130" s="74"/>
      <c r="L1130" s="74"/>
      <c r="M1130" s="74"/>
      <c r="N1130" s="74"/>
      <c r="O1130" s="74"/>
      <c r="P1130" s="74"/>
      <c r="Q1130" s="74"/>
      <c r="R1130" s="74"/>
      <c r="S1130" s="74"/>
      <c r="T1130" s="74"/>
      <c r="U1130" s="74"/>
      <c r="V1130" s="74"/>
      <c r="W1130" s="74"/>
    </row>
    <row r="1131" spans="1:23" x14ac:dyDescent="0.2">
      <c r="A1131" s="74"/>
      <c r="B1131" s="75"/>
      <c r="C1131" s="74"/>
      <c r="D1131" s="74"/>
      <c r="E1131" s="74"/>
      <c r="F1131" s="74"/>
      <c r="G1131" s="74"/>
      <c r="H1131" s="74"/>
      <c r="I1131" s="74"/>
      <c r="J1131" s="74"/>
      <c r="K1131" s="74"/>
      <c r="L1131" s="74"/>
      <c r="M1131" s="74"/>
      <c r="N1131" s="74"/>
      <c r="O1131" s="74"/>
      <c r="P1131" s="74"/>
      <c r="Q1131" s="74"/>
      <c r="R1131" s="74"/>
      <c r="S1131" s="74"/>
      <c r="T1131" s="74"/>
      <c r="U1131" s="74"/>
      <c r="V1131" s="74"/>
      <c r="W1131" s="74"/>
    </row>
    <row r="1132" spans="1:23" x14ac:dyDescent="0.2">
      <c r="A1132" s="74"/>
      <c r="B1132" s="75"/>
      <c r="C1132" s="74"/>
      <c r="D1132" s="74"/>
      <c r="E1132" s="74"/>
      <c r="F1132" s="74"/>
      <c r="G1132" s="74"/>
      <c r="H1132" s="74"/>
      <c r="I1132" s="74"/>
      <c r="J1132" s="74"/>
      <c r="K1132" s="74"/>
      <c r="L1132" s="74"/>
      <c r="M1132" s="74"/>
      <c r="N1132" s="74"/>
      <c r="O1132" s="74"/>
      <c r="P1132" s="74"/>
      <c r="Q1132" s="74"/>
      <c r="R1132" s="74"/>
      <c r="S1132" s="74"/>
      <c r="T1132" s="74"/>
      <c r="U1132" s="74"/>
      <c r="V1132" s="74"/>
      <c r="W1132" s="74"/>
    </row>
    <row r="1133" spans="1:23" x14ac:dyDescent="0.2">
      <c r="A1133" s="74"/>
      <c r="B1133" s="75"/>
      <c r="C1133" s="74"/>
      <c r="D1133" s="74"/>
      <c r="E1133" s="74"/>
      <c r="F1133" s="74"/>
      <c r="G1133" s="74"/>
      <c r="H1133" s="74"/>
      <c r="I1133" s="74"/>
      <c r="J1133" s="74"/>
      <c r="K1133" s="74"/>
      <c r="L1133" s="74"/>
      <c r="M1133" s="74"/>
      <c r="N1133" s="74"/>
      <c r="O1133" s="74"/>
      <c r="P1133" s="74"/>
      <c r="Q1133" s="74"/>
      <c r="R1133" s="74"/>
      <c r="S1133" s="74"/>
      <c r="T1133" s="74"/>
      <c r="U1133" s="74"/>
      <c r="V1133" s="74"/>
      <c r="W1133" s="74"/>
    </row>
    <row r="1134" spans="1:23" x14ac:dyDescent="0.2">
      <c r="A1134" s="74"/>
      <c r="B1134" s="75"/>
      <c r="C1134" s="74"/>
      <c r="D1134" s="74"/>
      <c r="E1134" s="74"/>
      <c r="F1134" s="74"/>
      <c r="G1134" s="74"/>
      <c r="H1134" s="74"/>
      <c r="I1134" s="74"/>
      <c r="J1134" s="74"/>
      <c r="K1134" s="74"/>
      <c r="L1134" s="74"/>
      <c r="M1134" s="74"/>
      <c r="N1134" s="74"/>
      <c r="O1134" s="74"/>
      <c r="P1134" s="74"/>
      <c r="Q1134" s="74"/>
      <c r="R1134" s="74"/>
      <c r="S1134" s="74"/>
      <c r="T1134" s="74"/>
      <c r="U1134" s="74"/>
      <c r="V1134" s="74"/>
      <c r="W1134" s="74"/>
    </row>
    <row r="1135" spans="1:23" x14ac:dyDescent="0.2">
      <c r="A1135" s="74"/>
      <c r="B1135" s="75"/>
      <c r="C1135" s="74"/>
      <c r="D1135" s="74"/>
      <c r="E1135" s="74"/>
      <c r="F1135" s="74"/>
      <c r="G1135" s="74"/>
      <c r="H1135" s="74"/>
      <c r="I1135" s="74"/>
      <c r="J1135" s="74"/>
      <c r="K1135" s="74"/>
      <c r="L1135" s="74"/>
      <c r="M1135" s="74"/>
      <c r="N1135" s="74"/>
      <c r="O1135" s="74"/>
      <c r="P1135" s="74"/>
      <c r="Q1135" s="74"/>
      <c r="R1135" s="74"/>
      <c r="S1135" s="74"/>
      <c r="T1135" s="74"/>
      <c r="U1135" s="74"/>
      <c r="V1135" s="74"/>
      <c r="W1135" s="74"/>
    </row>
    <row r="1136" spans="1:23" x14ac:dyDescent="0.2">
      <c r="A1136" s="74"/>
      <c r="B1136" s="75"/>
      <c r="C1136" s="74"/>
      <c r="D1136" s="74"/>
      <c r="E1136" s="74"/>
      <c r="F1136" s="74"/>
      <c r="G1136" s="74"/>
      <c r="H1136" s="74"/>
      <c r="I1136" s="74"/>
      <c r="J1136" s="74"/>
      <c r="K1136" s="74"/>
      <c r="L1136" s="74"/>
      <c r="M1136" s="74"/>
      <c r="N1136" s="74"/>
      <c r="O1136" s="74"/>
      <c r="P1136" s="74"/>
      <c r="Q1136" s="74"/>
      <c r="R1136" s="74"/>
      <c r="S1136" s="74"/>
      <c r="T1136" s="74"/>
      <c r="U1136" s="74"/>
      <c r="V1136" s="74"/>
      <c r="W1136" s="74"/>
    </row>
    <row r="1137" spans="1:23" x14ac:dyDescent="0.2">
      <c r="A1137" s="74"/>
      <c r="B1137" s="75"/>
      <c r="C1137" s="74"/>
      <c r="D1137" s="74"/>
      <c r="E1137" s="74"/>
      <c r="F1137" s="74"/>
      <c r="G1137" s="74"/>
      <c r="H1137" s="74"/>
      <c r="I1137" s="74"/>
      <c r="J1137" s="74"/>
      <c r="K1137" s="74"/>
      <c r="L1137" s="74"/>
      <c r="M1137" s="74"/>
      <c r="N1137" s="74"/>
      <c r="O1137" s="74"/>
      <c r="P1137" s="74"/>
      <c r="Q1137" s="74"/>
      <c r="R1137" s="74"/>
      <c r="S1137" s="74"/>
      <c r="T1137" s="74"/>
      <c r="U1137" s="74"/>
      <c r="V1137" s="74"/>
      <c r="W1137" s="74"/>
    </row>
    <row r="1138" spans="1:23" x14ac:dyDescent="0.2">
      <c r="A1138" s="74"/>
      <c r="B1138" s="75"/>
      <c r="C1138" s="74"/>
      <c r="D1138" s="74"/>
      <c r="E1138" s="74"/>
      <c r="F1138" s="74"/>
      <c r="G1138" s="74"/>
      <c r="H1138" s="74"/>
      <c r="I1138" s="74"/>
      <c r="J1138" s="74"/>
      <c r="K1138" s="74"/>
      <c r="L1138" s="74"/>
      <c r="M1138" s="74"/>
      <c r="N1138" s="74"/>
      <c r="O1138" s="74"/>
      <c r="P1138" s="74"/>
      <c r="Q1138" s="74"/>
      <c r="R1138" s="74"/>
      <c r="S1138" s="74"/>
      <c r="T1138" s="74"/>
      <c r="U1138" s="74"/>
      <c r="V1138" s="74"/>
      <c r="W1138" s="74"/>
    </row>
    <row r="1139" spans="1:23" x14ac:dyDescent="0.2">
      <c r="A1139" s="74"/>
      <c r="B1139" s="75"/>
      <c r="C1139" s="74"/>
      <c r="D1139" s="74"/>
      <c r="E1139" s="74"/>
      <c r="F1139" s="74"/>
      <c r="G1139" s="74"/>
      <c r="H1139" s="74"/>
      <c r="I1139" s="74"/>
      <c r="J1139" s="74"/>
      <c r="K1139" s="74"/>
      <c r="L1139" s="74"/>
      <c r="M1139" s="74"/>
      <c r="N1139" s="74"/>
      <c r="O1139" s="74"/>
      <c r="P1139" s="74"/>
      <c r="Q1139" s="74"/>
      <c r="R1139" s="74"/>
      <c r="S1139" s="74"/>
      <c r="T1139" s="74"/>
      <c r="U1139" s="74"/>
      <c r="V1139" s="74"/>
      <c r="W1139" s="74"/>
    </row>
    <row r="1140" spans="1:23" x14ac:dyDescent="0.2">
      <c r="A1140" s="74"/>
      <c r="B1140" s="75"/>
      <c r="C1140" s="74"/>
      <c r="D1140" s="74"/>
      <c r="E1140" s="74"/>
      <c r="F1140" s="74"/>
      <c r="G1140" s="74"/>
      <c r="H1140" s="74"/>
      <c r="I1140" s="74"/>
      <c r="J1140" s="74"/>
      <c r="K1140" s="74"/>
      <c r="L1140" s="74"/>
      <c r="M1140" s="74"/>
      <c r="N1140" s="74"/>
      <c r="O1140" s="74"/>
      <c r="P1140" s="74"/>
      <c r="Q1140" s="74"/>
      <c r="R1140" s="74"/>
      <c r="S1140" s="74"/>
      <c r="T1140" s="74"/>
      <c r="U1140" s="74"/>
      <c r="V1140" s="74"/>
      <c r="W1140" s="74"/>
    </row>
    <row r="1141" spans="1:23" x14ac:dyDescent="0.2">
      <c r="A1141" s="74"/>
      <c r="B1141" s="75"/>
      <c r="C1141" s="74"/>
      <c r="D1141" s="74"/>
      <c r="E1141" s="74"/>
      <c r="F1141" s="74"/>
      <c r="G1141" s="74"/>
      <c r="H1141" s="74"/>
      <c r="I1141" s="74"/>
      <c r="J1141" s="74"/>
      <c r="K1141" s="74"/>
      <c r="L1141" s="74"/>
      <c r="M1141" s="74"/>
      <c r="N1141" s="74"/>
      <c r="O1141" s="74"/>
      <c r="P1141" s="74"/>
      <c r="Q1141" s="74"/>
      <c r="R1141" s="74"/>
      <c r="S1141" s="74"/>
      <c r="T1141" s="74"/>
      <c r="U1141" s="74"/>
      <c r="V1141" s="74"/>
      <c r="W1141" s="74"/>
    </row>
    <row r="1142" spans="1:23" x14ac:dyDescent="0.2">
      <c r="A1142" s="74"/>
      <c r="B1142" s="75"/>
      <c r="C1142" s="74"/>
      <c r="D1142" s="74"/>
      <c r="E1142" s="74"/>
      <c r="F1142" s="74"/>
      <c r="G1142" s="74"/>
      <c r="H1142" s="74"/>
      <c r="I1142" s="74"/>
      <c r="J1142" s="74"/>
      <c r="K1142" s="74"/>
      <c r="L1142" s="74"/>
      <c r="M1142" s="74"/>
      <c r="N1142" s="74"/>
      <c r="O1142" s="74"/>
      <c r="P1142" s="74"/>
      <c r="Q1142" s="74"/>
      <c r="R1142" s="74"/>
      <c r="S1142" s="74"/>
      <c r="T1142" s="74"/>
      <c r="U1142" s="74"/>
      <c r="V1142" s="74"/>
      <c r="W1142" s="74"/>
    </row>
    <row r="1143" spans="1:23" x14ac:dyDescent="0.2">
      <c r="A1143" s="74"/>
      <c r="B1143" s="75"/>
      <c r="C1143" s="74"/>
      <c r="D1143" s="74"/>
      <c r="E1143" s="74"/>
      <c r="F1143" s="74"/>
      <c r="G1143" s="74"/>
      <c r="H1143" s="74"/>
      <c r="I1143" s="74"/>
      <c r="J1143" s="74"/>
      <c r="K1143" s="74"/>
      <c r="L1143" s="74"/>
      <c r="M1143" s="74"/>
      <c r="N1143" s="74"/>
      <c r="O1143" s="74"/>
      <c r="P1143" s="74"/>
      <c r="Q1143" s="74"/>
      <c r="R1143" s="74"/>
      <c r="S1143" s="74"/>
      <c r="T1143" s="74"/>
      <c r="U1143" s="74"/>
      <c r="V1143" s="74"/>
      <c r="W1143" s="74"/>
    </row>
    <row r="1144" spans="1:23" x14ac:dyDescent="0.2">
      <c r="A1144" s="74"/>
      <c r="B1144" s="75"/>
      <c r="C1144" s="74"/>
      <c r="D1144" s="74"/>
      <c r="E1144" s="74"/>
      <c r="F1144" s="74"/>
      <c r="G1144" s="74"/>
      <c r="H1144" s="74"/>
      <c r="I1144" s="74"/>
      <c r="J1144" s="74"/>
      <c r="K1144" s="74"/>
      <c r="L1144" s="74"/>
      <c r="M1144" s="74"/>
      <c r="N1144" s="74"/>
      <c r="O1144" s="74"/>
      <c r="P1144" s="74"/>
      <c r="Q1144" s="74"/>
      <c r="R1144" s="74"/>
      <c r="S1144" s="74"/>
      <c r="T1144" s="74"/>
      <c r="U1144" s="74"/>
      <c r="V1144" s="74"/>
      <c r="W1144" s="74"/>
    </row>
    <row r="1145" spans="1:23" x14ac:dyDescent="0.2">
      <c r="A1145" s="74"/>
      <c r="B1145" s="75"/>
      <c r="C1145" s="74"/>
      <c r="D1145" s="74"/>
      <c r="E1145" s="74"/>
      <c r="F1145" s="74"/>
      <c r="G1145" s="74"/>
      <c r="H1145" s="74"/>
      <c r="I1145" s="74"/>
      <c r="J1145" s="74"/>
      <c r="K1145" s="74"/>
      <c r="L1145" s="74"/>
      <c r="M1145" s="74"/>
      <c r="N1145" s="74"/>
      <c r="O1145" s="74"/>
      <c r="P1145" s="74"/>
      <c r="Q1145" s="74"/>
      <c r="R1145" s="74"/>
      <c r="S1145" s="74"/>
      <c r="T1145" s="74"/>
      <c r="U1145" s="74"/>
      <c r="V1145" s="74"/>
      <c r="W1145" s="74"/>
    </row>
    <row r="1146" spans="1:23" x14ac:dyDescent="0.2">
      <c r="A1146" s="74"/>
      <c r="B1146" s="75"/>
      <c r="C1146" s="74"/>
      <c r="D1146" s="74"/>
      <c r="E1146" s="74"/>
      <c r="F1146" s="74"/>
      <c r="G1146" s="74"/>
      <c r="H1146" s="74"/>
      <c r="I1146" s="74"/>
      <c r="J1146" s="74"/>
      <c r="K1146" s="74"/>
      <c r="L1146" s="74"/>
      <c r="M1146" s="74"/>
      <c r="N1146" s="74"/>
      <c r="O1146" s="74"/>
      <c r="P1146" s="74"/>
      <c r="Q1146" s="74"/>
      <c r="R1146" s="74"/>
      <c r="S1146" s="74"/>
      <c r="T1146" s="74"/>
      <c r="U1146" s="74"/>
      <c r="V1146" s="74"/>
      <c r="W1146" s="74"/>
    </row>
    <row r="1147" spans="1:23" x14ac:dyDescent="0.2">
      <c r="A1147" s="74"/>
      <c r="B1147" s="75"/>
      <c r="C1147" s="74"/>
      <c r="D1147" s="74"/>
      <c r="E1147" s="74"/>
      <c r="F1147" s="74"/>
      <c r="G1147" s="74"/>
      <c r="H1147" s="74"/>
      <c r="I1147" s="74"/>
      <c r="J1147" s="74"/>
      <c r="K1147" s="74"/>
      <c r="L1147" s="74"/>
      <c r="M1147" s="74"/>
      <c r="N1147" s="74"/>
      <c r="O1147" s="74"/>
      <c r="P1147" s="74"/>
      <c r="Q1147" s="74"/>
      <c r="R1147" s="74"/>
      <c r="S1147" s="74"/>
      <c r="T1147" s="74"/>
      <c r="U1147" s="74"/>
      <c r="V1147" s="74"/>
      <c r="W1147" s="74"/>
    </row>
    <row r="1148" spans="1:23" x14ac:dyDescent="0.2">
      <c r="A1148" s="74"/>
      <c r="B1148" s="75"/>
      <c r="C1148" s="74"/>
      <c r="D1148" s="74"/>
      <c r="E1148" s="74"/>
      <c r="F1148" s="74"/>
      <c r="G1148" s="74"/>
      <c r="H1148" s="74"/>
      <c r="I1148" s="74"/>
      <c r="J1148" s="74"/>
      <c r="K1148" s="74"/>
      <c r="L1148" s="74"/>
      <c r="M1148" s="74"/>
      <c r="N1148" s="74"/>
      <c r="O1148" s="74"/>
      <c r="P1148" s="74"/>
      <c r="Q1148" s="74"/>
      <c r="R1148" s="74"/>
      <c r="S1148" s="74"/>
      <c r="T1148" s="74"/>
      <c r="U1148" s="74"/>
      <c r="V1148" s="74"/>
      <c r="W1148" s="74"/>
    </row>
    <row r="1149" spans="1:23" x14ac:dyDescent="0.2">
      <c r="A1149" s="74"/>
      <c r="B1149" s="75"/>
      <c r="C1149" s="74"/>
      <c r="D1149" s="74"/>
      <c r="E1149" s="74"/>
      <c r="F1149" s="74"/>
      <c r="G1149" s="74"/>
      <c r="H1149" s="74"/>
      <c r="I1149" s="74"/>
      <c r="J1149" s="74"/>
      <c r="K1149" s="74"/>
      <c r="L1149" s="74"/>
      <c r="M1149" s="74"/>
      <c r="N1149" s="74"/>
      <c r="O1149" s="74"/>
      <c r="P1149" s="74"/>
      <c r="Q1149" s="74"/>
      <c r="R1149" s="74"/>
      <c r="S1149" s="74"/>
      <c r="T1149" s="74"/>
      <c r="U1149" s="74"/>
      <c r="V1149" s="74"/>
      <c r="W1149" s="74"/>
    </row>
    <row r="1150" spans="1:23" x14ac:dyDescent="0.2">
      <c r="A1150" s="74"/>
      <c r="B1150" s="75"/>
      <c r="C1150" s="74"/>
      <c r="D1150" s="74"/>
      <c r="E1150" s="74"/>
      <c r="F1150" s="74"/>
      <c r="G1150" s="74"/>
      <c r="H1150" s="74"/>
      <c r="I1150" s="74"/>
      <c r="J1150" s="74"/>
      <c r="K1150" s="74"/>
      <c r="L1150" s="74"/>
      <c r="M1150" s="74"/>
      <c r="N1150" s="74"/>
      <c r="O1150" s="74"/>
      <c r="P1150" s="74"/>
      <c r="Q1150" s="74"/>
      <c r="R1150" s="74"/>
      <c r="S1150" s="74"/>
      <c r="T1150" s="74"/>
      <c r="U1150" s="74"/>
      <c r="V1150" s="74"/>
      <c r="W1150" s="74"/>
    </row>
    <row r="1151" spans="1:23" x14ac:dyDescent="0.2">
      <c r="A1151" s="74"/>
      <c r="B1151" s="75"/>
      <c r="C1151" s="74"/>
      <c r="D1151" s="74"/>
      <c r="E1151" s="74"/>
      <c r="F1151" s="74"/>
      <c r="G1151" s="74"/>
      <c r="H1151" s="74"/>
      <c r="I1151" s="74"/>
      <c r="J1151" s="74"/>
      <c r="K1151" s="74"/>
      <c r="L1151" s="74"/>
      <c r="M1151" s="74"/>
      <c r="N1151" s="74"/>
      <c r="O1151" s="74"/>
      <c r="P1151" s="74"/>
      <c r="Q1151" s="74"/>
      <c r="R1151" s="74"/>
      <c r="S1151" s="74"/>
      <c r="T1151" s="74"/>
      <c r="U1151" s="74"/>
      <c r="V1151" s="74"/>
      <c r="W1151" s="74"/>
    </row>
    <row r="1152" spans="1:23" x14ac:dyDescent="0.2">
      <c r="A1152" s="74"/>
      <c r="B1152" s="75"/>
      <c r="C1152" s="74"/>
      <c r="D1152" s="74"/>
      <c r="E1152" s="74"/>
      <c r="F1152" s="74"/>
      <c r="G1152" s="74"/>
      <c r="H1152" s="74"/>
      <c r="I1152" s="74"/>
      <c r="J1152" s="74"/>
      <c r="K1152" s="74"/>
      <c r="L1152" s="74"/>
      <c r="M1152" s="74"/>
      <c r="N1152" s="74"/>
      <c r="O1152" s="74"/>
      <c r="P1152" s="74"/>
      <c r="Q1152" s="74"/>
      <c r="R1152" s="74"/>
      <c r="S1152" s="74"/>
      <c r="T1152" s="74"/>
      <c r="U1152" s="74"/>
      <c r="V1152" s="74"/>
      <c r="W1152" s="74"/>
    </row>
    <row r="1153" spans="1:23" x14ac:dyDescent="0.2">
      <c r="A1153" s="74"/>
      <c r="B1153" s="75"/>
      <c r="C1153" s="74"/>
      <c r="D1153" s="74"/>
      <c r="E1153" s="74"/>
      <c r="F1153" s="74"/>
      <c r="G1153" s="74"/>
      <c r="H1153" s="74"/>
      <c r="I1153" s="74"/>
      <c r="J1153" s="74"/>
      <c r="K1153" s="74"/>
      <c r="L1153" s="74"/>
      <c r="M1153" s="74"/>
      <c r="N1153" s="74"/>
      <c r="O1153" s="74"/>
      <c r="P1153" s="74"/>
      <c r="Q1153" s="74"/>
      <c r="R1153" s="74"/>
      <c r="S1153" s="74"/>
      <c r="T1153" s="74"/>
      <c r="U1153" s="74"/>
      <c r="V1153" s="74"/>
      <c r="W1153" s="74"/>
    </row>
    <row r="1154" spans="1:23" x14ac:dyDescent="0.2">
      <c r="A1154" s="74"/>
      <c r="B1154" s="75"/>
      <c r="C1154" s="74"/>
      <c r="D1154" s="74"/>
      <c r="E1154" s="74"/>
      <c r="F1154" s="74"/>
      <c r="G1154" s="74"/>
      <c r="H1154" s="74"/>
      <c r="I1154" s="74"/>
      <c r="J1154" s="74"/>
      <c r="K1154" s="74"/>
      <c r="L1154" s="74"/>
      <c r="M1154" s="74"/>
      <c r="N1154" s="74"/>
      <c r="O1154" s="74"/>
      <c r="P1154" s="74"/>
      <c r="Q1154" s="74"/>
      <c r="R1154" s="74"/>
      <c r="S1154" s="74"/>
      <c r="T1154" s="74"/>
      <c r="U1154" s="74"/>
      <c r="V1154" s="74"/>
      <c r="W1154" s="74"/>
    </row>
    <row r="1155" spans="1:23" x14ac:dyDescent="0.2">
      <c r="A1155" s="74"/>
      <c r="B1155" s="75"/>
      <c r="C1155" s="74"/>
      <c r="D1155" s="74"/>
      <c r="E1155" s="74"/>
      <c r="F1155" s="74"/>
      <c r="G1155" s="74"/>
      <c r="H1155" s="74"/>
      <c r="I1155" s="74"/>
      <c r="J1155" s="74"/>
      <c r="K1155" s="74"/>
      <c r="L1155" s="74"/>
      <c r="M1155" s="74"/>
      <c r="N1155" s="74"/>
      <c r="O1155" s="74"/>
      <c r="P1155" s="74"/>
      <c r="Q1155" s="74"/>
      <c r="R1155" s="74"/>
      <c r="S1155" s="74"/>
      <c r="T1155" s="74"/>
      <c r="U1155" s="74"/>
      <c r="V1155" s="74"/>
      <c r="W1155" s="74"/>
    </row>
    <row r="1156" spans="1:23" x14ac:dyDescent="0.2">
      <c r="A1156" s="74"/>
      <c r="B1156" s="75"/>
      <c r="C1156" s="74"/>
      <c r="D1156" s="74"/>
      <c r="E1156" s="74"/>
      <c r="F1156" s="74"/>
      <c r="G1156" s="74"/>
      <c r="H1156" s="74"/>
      <c r="I1156" s="74"/>
      <c r="J1156" s="74"/>
      <c r="K1156" s="74"/>
      <c r="L1156" s="74"/>
      <c r="M1156" s="74"/>
      <c r="N1156" s="74"/>
      <c r="O1156" s="74"/>
      <c r="P1156" s="74"/>
      <c r="Q1156" s="74"/>
      <c r="R1156" s="74"/>
      <c r="S1156" s="74"/>
      <c r="T1156" s="74"/>
      <c r="U1156" s="74"/>
      <c r="V1156" s="74"/>
      <c r="W1156" s="74"/>
    </row>
    <row r="1157" spans="1:23" x14ac:dyDescent="0.2">
      <c r="A1157" s="74"/>
      <c r="B1157" s="75"/>
      <c r="C1157" s="74"/>
      <c r="D1157" s="74"/>
      <c r="E1157" s="74"/>
      <c r="F1157" s="74"/>
      <c r="G1157" s="74"/>
      <c r="H1157" s="74"/>
      <c r="I1157" s="74"/>
      <c r="J1157" s="74"/>
      <c r="K1157" s="74"/>
      <c r="L1157" s="74"/>
      <c r="M1157" s="74"/>
      <c r="N1157" s="74"/>
      <c r="O1157" s="74"/>
      <c r="P1157" s="74"/>
      <c r="Q1157" s="74"/>
      <c r="R1157" s="74"/>
      <c r="S1157" s="74"/>
      <c r="T1157" s="74"/>
      <c r="U1157" s="74"/>
      <c r="V1157" s="74"/>
      <c r="W1157" s="74"/>
    </row>
    <row r="1158" spans="1:23" x14ac:dyDescent="0.2">
      <c r="A1158" s="74"/>
      <c r="B1158" s="75"/>
      <c r="C1158" s="74"/>
      <c r="D1158" s="74"/>
      <c r="E1158" s="74"/>
      <c r="F1158" s="74"/>
      <c r="G1158" s="74"/>
      <c r="H1158" s="74"/>
      <c r="I1158" s="74"/>
      <c r="J1158" s="74"/>
      <c r="K1158" s="74"/>
      <c r="L1158" s="74"/>
      <c r="M1158" s="74"/>
      <c r="N1158" s="74"/>
      <c r="O1158" s="74"/>
      <c r="P1158" s="74"/>
      <c r="Q1158" s="74"/>
      <c r="R1158" s="74"/>
      <c r="S1158" s="74"/>
      <c r="T1158" s="74"/>
      <c r="U1158" s="74"/>
      <c r="V1158" s="74"/>
      <c r="W1158" s="74"/>
    </row>
    <row r="1159" spans="1:23" x14ac:dyDescent="0.2">
      <c r="A1159" s="74"/>
      <c r="B1159" s="75"/>
      <c r="C1159" s="74"/>
      <c r="D1159" s="74"/>
      <c r="E1159" s="74"/>
      <c r="F1159" s="74"/>
      <c r="G1159" s="74"/>
      <c r="H1159" s="74"/>
      <c r="I1159" s="74"/>
      <c r="J1159" s="74"/>
      <c r="K1159" s="74"/>
      <c r="L1159" s="74"/>
      <c r="M1159" s="74"/>
      <c r="N1159" s="74"/>
      <c r="O1159" s="74"/>
      <c r="P1159" s="74"/>
      <c r="Q1159" s="74"/>
      <c r="R1159" s="74"/>
      <c r="S1159" s="74"/>
      <c r="T1159" s="74"/>
      <c r="U1159" s="74"/>
      <c r="V1159" s="74"/>
      <c r="W1159" s="74"/>
    </row>
    <row r="1160" spans="1:23" x14ac:dyDescent="0.2">
      <c r="A1160" s="74"/>
      <c r="B1160" s="75"/>
      <c r="C1160" s="74"/>
      <c r="D1160" s="74"/>
      <c r="E1160" s="74"/>
      <c r="F1160" s="74"/>
      <c r="G1160" s="74"/>
      <c r="H1160" s="74"/>
      <c r="I1160" s="74"/>
      <c r="J1160" s="74"/>
      <c r="K1160" s="74"/>
      <c r="L1160" s="74"/>
      <c r="M1160" s="74"/>
      <c r="N1160" s="74"/>
      <c r="O1160" s="74"/>
      <c r="P1160" s="74"/>
      <c r="Q1160" s="74"/>
      <c r="R1160" s="74"/>
      <c r="S1160" s="74"/>
      <c r="T1160" s="74"/>
      <c r="U1160" s="74"/>
      <c r="V1160" s="74"/>
      <c r="W1160" s="74"/>
    </row>
    <row r="1161" spans="1:23" x14ac:dyDescent="0.2">
      <c r="A1161" s="74"/>
      <c r="B1161" s="75"/>
      <c r="C1161" s="74"/>
      <c r="D1161" s="74"/>
      <c r="E1161" s="74"/>
      <c r="F1161" s="74"/>
      <c r="G1161" s="74"/>
      <c r="H1161" s="74"/>
      <c r="I1161" s="74"/>
      <c r="J1161" s="74"/>
      <c r="K1161" s="74"/>
      <c r="L1161" s="74"/>
      <c r="M1161" s="74"/>
      <c r="N1161" s="74"/>
      <c r="O1161" s="74"/>
      <c r="P1161" s="74"/>
      <c r="Q1161" s="74"/>
      <c r="R1161" s="74"/>
      <c r="S1161" s="74"/>
      <c r="T1161" s="74"/>
      <c r="U1161" s="74"/>
      <c r="V1161" s="74"/>
      <c r="W1161" s="74"/>
    </row>
    <row r="1162" spans="1:23" x14ac:dyDescent="0.2">
      <c r="A1162" s="74"/>
      <c r="B1162" s="75"/>
      <c r="C1162" s="74"/>
      <c r="D1162" s="74"/>
      <c r="E1162" s="74"/>
      <c r="F1162" s="74"/>
      <c r="G1162" s="74"/>
      <c r="H1162" s="74"/>
      <c r="I1162" s="74"/>
      <c r="J1162" s="74"/>
      <c r="K1162" s="74"/>
      <c r="L1162" s="74"/>
      <c r="M1162" s="74"/>
      <c r="N1162" s="74"/>
      <c r="O1162" s="74"/>
      <c r="P1162" s="74"/>
      <c r="Q1162" s="74"/>
      <c r="R1162" s="74"/>
      <c r="S1162" s="74"/>
      <c r="T1162" s="74"/>
      <c r="U1162" s="74"/>
      <c r="V1162" s="74"/>
      <c r="W1162" s="74"/>
    </row>
    <row r="1163" spans="1:23" x14ac:dyDescent="0.2">
      <c r="A1163" s="74"/>
      <c r="B1163" s="75"/>
      <c r="C1163" s="74"/>
      <c r="D1163" s="74"/>
      <c r="E1163" s="74"/>
      <c r="F1163" s="74"/>
      <c r="G1163" s="74"/>
      <c r="H1163" s="74"/>
      <c r="I1163" s="74"/>
      <c r="J1163" s="74"/>
      <c r="K1163" s="74"/>
      <c r="L1163" s="74"/>
      <c r="M1163" s="74"/>
      <c r="N1163" s="74"/>
      <c r="O1163" s="74"/>
      <c r="P1163" s="74"/>
      <c r="Q1163" s="74"/>
      <c r="R1163" s="74"/>
      <c r="S1163" s="74"/>
      <c r="T1163" s="74"/>
      <c r="U1163" s="74"/>
      <c r="V1163" s="74"/>
      <c r="W1163" s="74"/>
    </row>
    <row r="1164" spans="1:23" x14ac:dyDescent="0.2">
      <c r="A1164" s="74"/>
      <c r="B1164" s="75"/>
      <c r="C1164" s="74"/>
      <c r="D1164" s="74"/>
      <c r="E1164" s="74"/>
      <c r="F1164" s="74"/>
      <c r="G1164" s="74"/>
      <c r="H1164" s="74"/>
      <c r="I1164" s="74"/>
      <c r="J1164" s="74"/>
      <c r="K1164" s="74"/>
      <c r="L1164" s="74"/>
      <c r="M1164" s="74"/>
      <c r="N1164" s="74"/>
      <c r="O1164" s="74"/>
      <c r="P1164" s="74"/>
      <c r="Q1164" s="74"/>
      <c r="R1164" s="74"/>
      <c r="S1164" s="74"/>
      <c r="T1164" s="74"/>
      <c r="U1164" s="74"/>
      <c r="V1164" s="74"/>
      <c r="W1164" s="74"/>
    </row>
    <row r="1165" spans="1:23" x14ac:dyDescent="0.2">
      <c r="A1165" s="74"/>
      <c r="B1165" s="75"/>
      <c r="C1165" s="74"/>
      <c r="D1165" s="74"/>
      <c r="E1165" s="74"/>
      <c r="F1165" s="74"/>
      <c r="G1165" s="74"/>
      <c r="H1165" s="74"/>
      <c r="I1165" s="74"/>
      <c r="J1165" s="74"/>
      <c r="K1165" s="74"/>
      <c r="L1165" s="74"/>
      <c r="M1165" s="74"/>
      <c r="N1165" s="74"/>
      <c r="O1165" s="74"/>
      <c r="P1165" s="74"/>
      <c r="Q1165" s="74"/>
      <c r="R1165" s="74"/>
      <c r="S1165" s="74"/>
      <c r="T1165" s="74"/>
      <c r="U1165" s="74"/>
      <c r="V1165" s="74"/>
      <c r="W1165" s="74"/>
    </row>
    <row r="1166" spans="1:23" x14ac:dyDescent="0.2">
      <c r="A1166" s="74"/>
      <c r="B1166" s="75"/>
      <c r="C1166" s="74"/>
      <c r="D1166" s="74"/>
      <c r="E1166" s="74"/>
      <c r="F1166" s="74"/>
      <c r="G1166" s="74"/>
      <c r="H1166" s="74"/>
      <c r="I1166" s="74"/>
      <c r="J1166" s="74"/>
      <c r="K1166" s="74"/>
      <c r="L1166" s="74"/>
      <c r="M1166" s="74"/>
      <c r="N1166" s="74"/>
      <c r="O1166" s="74"/>
      <c r="P1166" s="74"/>
      <c r="Q1166" s="74"/>
      <c r="R1166" s="74"/>
      <c r="S1166" s="74"/>
      <c r="T1166" s="74"/>
      <c r="U1166" s="74"/>
      <c r="V1166" s="74"/>
      <c r="W1166" s="74"/>
    </row>
    <row r="1167" spans="1:23" x14ac:dyDescent="0.2">
      <c r="A1167" s="74"/>
      <c r="B1167" s="75"/>
      <c r="C1167" s="74"/>
      <c r="D1167" s="74"/>
      <c r="E1167" s="74"/>
      <c r="F1167" s="74"/>
      <c r="G1167" s="74"/>
      <c r="H1167" s="74"/>
      <c r="I1167" s="74"/>
      <c r="J1167" s="74"/>
      <c r="K1167" s="74"/>
      <c r="L1167" s="74"/>
      <c r="M1167" s="74"/>
      <c r="N1167" s="74"/>
      <c r="O1167" s="74"/>
      <c r="P1167" s="74"/>
      <c r="Q1167" s="74"/>
      <c r="R1167" s="74"/>
      <c r="S1167" s="74"/>
      <c r="T1167" s="74"/>
      <c r="U1167" s="74"/>
      <c r="V1167" s="74"/>
      <c r="W1167" s="74"/>
    </row>
    <row r="1168" spans="1:23" x14ac:dyDescent="0.2">
      <c r="A1168" s="74"/>
      <c r="B1168" s="75"/>
      <c r="C1168" s="74"/>
      <c r="D1168" s="74"/>
      <c r="E1168" s="74"/>
      <c r="F1168" s="74"/>
      <c r="G1168" s="74"/>
      <c r="H1168" s="74"/>
      <c r="I1168" s="74"/>
      <c r="J1168" s="74"/>
      <c r="K1168" s="74"/>
      <c r="L1168" s="74"/>
      <c r="M1168" s="74"/>
      <c r="N1168" s="74"/>
      <c r="O1168" s="74"/>
      <c r="P1168" s="74"/>
      <c r="Q1168" s="74"/>
      <c r="R1168" s="74"/>
      <c r="S1168" s="74"/>
      <c r="T1168" s="74"/>
      <c r="U1168" s="74"/>
      <c r="V1168" s="74"/>
      <c r="W1168" s="74"/>
    </row>
    <row r="1169" spans="1:23" x14ac:dyDescent="0.2">
      <c r="A1169" s="74"/>
      <c r="B1169" s="75"/>
      <c r="C1169" s="74"/>
      <c r="D1169" s="74"/>
      <c r="E1169" s="74"/>
      <c r="F1169" s="74"/>
      <c r="G1169" s="74"/>
      <c r="H1169" s="74"/>
      <c r="I1169" s="74"/>
      <c r="J1169" s="74"/>
      <c r="K1169" s="74"/>
      <c r="L1169" s="74"/>
      <c r="M1169" s="74"/>
      <c r="N1169" s="74"/>
      <c r="O1169" s="74"/>
      <c r="P1169" s="74"/>
      <c r="Q1169" s="74"/>
      <c r="R1169" s="74"/>
      <c r="S1169" s="74"/>
      <c r="T1169" s="74"/>
      <c r="U1169" s="74"/>
      <c r="V1169" s="74"/>
      <c r="W1169" s="74"/>
    </row>
    <row r="1170" spans="1:23" x14ac:dyDescent="0.2">
      <c r="A1170" s="74"/>
      <c r="B1170" s="75"/>
      <c r="C1170" s="74"/>
      <c r="D1170" s="74"/>
      <c r="E1170" s="74"/>
      <c r="F1170" s="74"/>
      <c r="G1170" s="74"/>
      <c r="H1170" s="74"/>
      <c r="I1170" s="74"/>
      <c r="J1170" s="74"/>
      <c r="K1170" s="74"/>
      <c r="L1170" s="74"/>
      <c r="M1170" s="74"/>
      <c r="N1170" s="74"/>
      <c r="O1170" s="74"/>
      <c r="P1170" s="74"/>
      <c r="Q1170" s="74"/>
      <c r="R1170" s="74"/>
      <c r="S1170" s="74"/>
      <c r="T1170" s="74"/>
      <c r="U1170" s="74"/>
      <c r="V1170" s="74"/>
      <c r="W1170" s="74"/>
    </row>
    <row r="1171" spans="1:23" x14ac:dyDescent="0.2">
      <c r="A1171" s="74"/>
      <c r="B1171" s="75"/>
      <c r="C1171" s="74"/>
      <c r="D1171" s="74"/>
      <c r="E1171" s="74"/>
      <c r="F1171" s="74"/>
      <c r="G1171" s="74"/>
      <c r="H1171" s="74"/>
      <c r="I1171" s="74"/>
      <c r="J1171" s="74"/>
      <c r="K1171" s="74"/>
      <c r="L1171" s="74"/>
      <c r="M1171" s="74"/>
      <c r="N1171" s="74"/>
      <c r="O1171" s="74"/>
      <c r="P1171" s="74"/>
      <c r="Q1171" s="74"/>
      <c r="R1171" s="74"/>
      <c r="S1171" s="74"/>
      <c r="T1171" s="74"/>
      <c r="U1171" s="74"/>
      <c r="V1171" s="74"/>
      <c r="W1171" s="74"/>
    </row>
    <row r="1172" spans="1:23" x14ac:dyDescent="0.2">
      <c r="A1172" s="74"/>
      <c r="B1172" s="75"/>
      <c r="C1172" s="74"/>
      <c r="D1172" s="74"/>
      <c r="E1172" s="74"/>
      <c r="F1172" s="74"/>
      <c r="G1172" s="74"/>
      <c r="H1172" s="74"/>
      <c r="I1172" s="74"/>
      <c r="J1172" s="74"/>
      <c r="K1172" s="74"/>
      <c r="L1172" s="74"/>
      <c r="M1172" s="74"/>
      <c r="N1172" s="74"/>
      <c r="O1172" s="74"/>
      <c r="P1172" s="74"/>
      <c r="Q1172" s="74"/>
      <c r="R1172" s="74"/>
      <c r="S1172" s="74"/>
      <c r="T1172" s="74"/>
      <c r="U1172" s="74"/>
      <c r="V1172" s="74"/>
      <c r="W1172" s="74"/>
    </row>
    <row r="1173" spans="1:23" x14ac:dyDescent="0.2">
      <c r="A1173" s="74"/>
      <c r="B1173" s="75"/>
      <c r="C1173" s="74"/>
      <c r="D1173" s="74"/>
      <c r="E1173" s="74"/>
      <c r="F1173" s="74"/>
      <c r="G1173" s="74"/>
      <c r="H1173" s="74"/>
      <c r="I1173" s="74"/>
      <c r="J1173" s="74"/>
      <c r="K1173" s="74"/>
      <c r="L1173" s="74"/>
      <c r="M1173" s="74"/>
      <c r="N1173" s="74"/>
      <c r="O1173" s="74"/>
      <c r="P1173" s="74"/>
      <c r="Q1173" s="74"/>
      <c r="R1173" s="74"/>
      <c r="S1173" s="74"/>
      <c r="T1173" s="74"/>
      <c r="U1173" s="74"/>
      <c r="V1173" s="74"/>
      <c r="W1173" s="74"/>
    </row>
    <row r="1174" spans="1:23" x14ac:dyDescent="0.2">
      <c r="A1174" s="74"/>
      <c r="B1174" s="75"/>
      <c r="C1174" s="74"/>
      <c r="D1174" s="74"/>
      <c r="E1174" s="74"/>
      <c r="F1174" s="74"/>
      <c r="G1174" s="74"/>
      <c r="H1174" s="74"/>
      <c r="I1174" s="74"/>
      <c r="J1174" s="74"/>
      <c r="K1174" s="74"/>
      <c r="L1174" s="74"/>
      <c r="M1174" s="74"/>
      <c r="N1174" s="74"/>
      <c r="O1174" s="74"/>
      <c r="P1174" s="74"/>
      <c r="Q1174" s="74"/>
      <c r="R1174" s="74"/>
      <c r="S1174" s="74"/>
      <c r="T1174" s="74"/>
      <c r="U1174" s="74"/>
      <c r="V1174" s="74"/>
      <c r="W1174" s="74"/>
    </row>
    <row r="1175" spans="1:23" x14ac:dyDescent="0.2">
      <c r="A1175" s="74"/>
      <c r="B1175" s="75"/>
      <c r="C1175" s="74"/>
      <c r="D1175" s="74"/>
      <c r="E1175" s="74"/>
      <c r="F1175" s="74"/>
      <c r="G1175" s="74"/>
      <c r="H1175" s="74"/>
      <c r="I1175" s="74"/>
      <c r="J1175" s="74"/>
      <c r="K1175" s="74"/>
      <c r="L1175" s="74"/>
      <c r="M1175" s="74"/>
      <c r="N1175" s="74"/>
      <c r="O1175" s="74"/>
      <c r="P1175" s="74"/>
      <c r="Q1175" s="74"/>
      <c r="R1175" s="74"/>
      <c r="S1175" s="74"/>
      <c r="T1175" s="74"/>
      <c r="U1175" s="74"/>
      <c r="V1175" s="74"/>
      <c r="W1175" s="74"/>
    </row>
    <row r="1176" spans="1:23" x14ac:dyDescent="0.2">
      <c r="A1176" s="74"/>
      <c r="B1176" s="75"/>
      <c r="C1176" s="74"/>
      <c r="D1176" s="74"/>
      <c r="E1176" s="74"/>
      <c r="F1176" s="74"/>
      <c r="G1176" s="74"/>
      <c r="H1176" s="74"/>
      <c r="I1176" s="74"/>
      <c r="J1176" s="74"/>
      <c r="K1176" s="74"/>
      <c r="L1176" s="74"/>
      <c r="M1176" s="74"/>
      <c r="N1176" s="74"/>
      <c r="O1176" s="74"/>
      <c r="P1176" s="74"/>
      <c r="Q1176" s="74"/>
      <c r="R1176" s="74"/>
      <c r="S1176" s="74"/>
      <c r="T1176" s="74"/>
      <c r="U1176" s="74"/>
      <c r="V1176" s="74"/>
      <c r="W1176" s="74"/>
    </row>
    <row r="1177" spans="1:23" x14ac:dyDescent="0.2">
      <c r="A1177" s="74"/>
      <c r="B1177" s="75"/>
      <c r="C1177" s="74"/>
      <c r="D1177" s="74"/>
      <c r="E1177" s="74"/>
      <c r="F1177" s="74"/>
      <c r="G1177" s="74"/>
      <c r="H1177" s="74"/>
      <c r="I1177" s="74"/>
      <c r="J1177" s="74"/>
      <c r="K1177" s="74"/>
      <c r="L1177" s="74"/>
      <c r="M1177" s="74"/>
      <c r="N1177" s="74"/>
      <c r="O1177" s="74"/>
      <c r="P1177" s="74"/>
      <c r="Q1177" s="74"/>
      <c r="R1177" s="74"/>
      <c r="S1177" s="74"/>
      <c r="T1177" s="74"/>
      <c r="U1177" s="74"/>
      <c r="V1177" s="74"/>
      <c r="W1177" s="74"/>
    </row>
    <row r="1178" spans="1:23" x14ac:dyDescent="0.2">
      <c r="A1178" s="74"/>
      <c r="B1178" s="75"/>
      <c r="C1178" s="74"/>
      <c r="D1178" s="74"/>
      <c r="E1178" s="74"/>
      <c r="F1178" s="74"/>
      <c r="G1178" s="74"/>
      <c r="H1178" s="74"/>
      <c r="I1178" s="74"/>
      <c r="J1178" s="74"/>
      <c r="K1178" s="74"/>
      <c r="L1178" s="74"/>
      <c r="M1178" s="74"/>
      <c r="N1178" s="74"/>
      <c r="O1178" s="74"/>
      <c r="P1178" s="74"/>
      <c r="Q1178" s="74"/>
      <c r="R1178" s="74"/>
      <c r="S1178" s="74"/>
      <c r="T1178" s="74"/>
      <c r="U1178" s="74"/>
      <c r="V1178" s="74"/>
      <c r="W1178" s="74"/>
    </row>
    <row r="1179" spans="1:23" x14ac:dyDescent="0.2">
      <c r="A1179" s="74"/>
      <c r="B1179" s="75"/>
      <c r="C1179" s="74"/>
      <c r="D1179" s="74"/>
      <c r="E1179" s="74"/>
      <c r="F1179" s="74"/>
      <c r="G1179" s="74"/>
      <c r="H1179" s="74"/>
      <c r="I1179" s="74"/>
      <c r="J1179" s="74"/>
      <c r="K1179" s="74"/>
      <c r="L1179" s="74"/>
      <c r="M1179" s="74"/>
      <c r="N1179" s="74"/>
      <c r="O1179" s="74"/>
      <c r="P1179" s="74"/>
      <c r="Q1179" s="74"/>
      <c r="R1179" s="74"/>
      <c r="S1179" s="74"/>
      <c r="T1179" s="74"/>
      <c r="U1179" s="74"/>
      <c r="V1179" s="74"/>
      <c r="W1179" s="74"/>
    </row>
    <row r="1180" spans="1:23" x14ac:dyDescent="0.2">
      <c r="A1180" s="74"/>
      <c r="B1180" s="75"/>
      <c r="C1180" s="74"/>
      <c r="D1180" s="74"/>
      <c r="E1180" s="74"/>
      <c r="F1180" s="74"/>
      <c r="G1180" s="74"/>
      <c r="H1180" s="74"/>
      <c r="I1180" s="74"/>
      <c r="J1180" s="74"/>
      <c r="K1180" s="74"/>
      <c r="L1180" s="74"/>
      <c r="M1180" s="74"/>
      <c r="N1180" s="74"/>
      <c r="O1180" s="74"/>
      <c r="P1180" s="74"/>
      <c r="Q1180" s="74"/>
      <c r="R1180" s="74"/>
      <c r="S1180" s="74"/>
      <c r="T1180" s="74"/>
      <c r="U1180" s="74"/>
      <c r="V1180" s="74"/>
      <c r="W1180" s="74"/>
    </row>
    <row r="1181" spans="1:23" x14ac:dyDescent="0.2">
      <c r="A1181" s="74"/>
      <c r="B1181" s="75"/>
      <c r="C1181" s="74"/>
      <c r="D1181" s="74"/>
      <c r="E1181" s="74"/>
      <c r="F1181" s="74"/>
      <c r="G1181" s="74"/>
      <c r="H1181" s="74"/>
      <c r="I1181" s="74"/>
      <c r="J1181" s="74"/>
      <c r="K1181" s="74"/>
      <c r="L1181" s="74"/>
      <c r="M1181" s="74"/>
      <c r="N1181" s="74"/>
      <c r="O1181" s="74"/>
      <c r="P1181" s="74"/>
      <c r="Q1181" s="74"/>
      <c r="R1181" s="74"/>
      <c r="S1181" s="74"/>
      <c r="T1181" s="74"/>
      <c r="U1181" s="74"/>
      <c r="V1181" s="74"/>
      <c r="W1181" s="74"/>
    </row>
    <row r="1182" spans="1:23" x14ac:dyDescent="0.2">
      <c r="A1182" s="74"/>
      <c r="B1182" s="75"/>
      <c r="C1182" s="74"/>
      <c r="D1182" s="74"/>
      <c r="E1182" s="74"/>
      <c r="F1182" s="74"/>
      <c r="G1182" s="74"/>
      <c r="H1182" s="74"/>
      <c r="I1182" s="74"/>
      <c r="J1182" s="74"/>
      <c r="K1182" s="74"/>
      <c r="L1182" s="74"/>
      <c r="M1182" s="74"/>
      <c r="N1182" s="74"/>
      <c r="O1182" s="74"/>
      <c r="P1182" s="74"/>
      <c r="Q1182" s="74"/>
      <c r="R1182" s="74"/>
      <c r="S1182" s="74"/>
      <c r="T1182" s="74"/>
      <c r="U1182" s="74"/>
      <c r="V1182" s="74"/>
      <c r="W1182" s="74"/>
    </row>
    <row r="1183" spans="1:23" x14ac:dyDescent="0.2">
      <c r="A1183" s="74"/>
      <c r="B1183" s="75"/>
      <c r="C1183" s="74"/>
      <c r="D1183" s="74"/>
      <c r="E1183" s="74"/>
      <c r="F1183" s="74"/>
      <c r="G1183" s="74"/>
      <c r="H1183" s="74"/>
      <c r="I1183" s="74"/>
      <c r="J1183" s="74"/>
      <c r="K1183" s="74"/>
      <c r="L1183" s="74"/>
      <c r="M1183" s="74"/>
      <c r="N1183" s="74"/>
      <c r="O1183" s="74"/>
      <c r="P1183" s="74"/>
      <c r="Q1183" s="74"/>
      <c r="R1183" s="74"/>
      <c r="S1183" s="74"/>
      <c r="T1183" s="74"/>
      <c r="U1183" s="74"/>
      <c r="V1183" s="74"/>
      <c r="W1183" s="74"/>
    </row>
    <row r="1184" spans="1:23" x14ac:dyDescent="0.2">
      <c r="A1184" s="74"/>
      <c r="B1184" s="75"/>
      <c r="C1184" s="74"/>
      <c r="D1184" s="74"/>
      <c r="E1184" s="74"/>
      <c r="F1184" s="74"/>
      <c r="G1184" s="74"/>
      <c r="H1184" s="74"/>
      <c r="I1184" s="74"/>
      <c r="J1184" s="74"/>
      <c r="K1184" s="74"/>
      <c r="L1184" s="74"/>
      <c r="M1184" s="74"/>
      <c r="N1184" s="74"/>
      <c r="O1184" s="74"/>
      <c r="P1184" s="74"/>
      <c r="Q1184" s="74"/>
      <c r="R1184" s="74"/>
      <c r="S1184" s="74"/>
      <c r="T1184" s="74"/>
      <c r="U1184" s="74"/>
      <c r="V1184" s="74"/>
      <c r="W1184" s="74"/>
    </row>
    <row r="1185" spans="1:23" x14ac:dyDescent="0.2">
      <c r="A1185" s="74"/>
      <c r="B1185" s="75"/>
      <c r="C1185" s="74"/>
      <c r="D1185" s="74"/>
      <c r="E1185" s="74"/>
      <c r="F1185" s="74"/>
      <c r="G1185" s="74"/>
      <c r="H1185" s="74"/>
      <c r="I1185" s="74"/>
      <c r="J1185" s="74"/>
      <c r="K1185" s="74"/>
      <c r="L1185" s="74"/>
      <c r="M1185" s="74"/>
      <c r="N1185" s="74"/>
      <c r="O1185" s="74"/>
      <c r="P1185" s="74"/>
      <c r="Q1185" s="74"/>
      <c r="R1185" s="74"/>
      <c r="S1185" s="74"/>
      <c r="T1185" s="74"/>
      <c r="U1185" s="74"/>
      <c r="V1185" s="74"/>
      <c r="W1185" s="74"/>
    </row>
    <row r="1186" spans="1:23" x14ac:dyDescent="0.2">
      <c r="A1186" s="74"/>
      <c r="B1186" s="75"/>
      <c r="C1186" s="74"/>
      <c r="D1186" s="74"/>
      <c r="E1186" s="74"/>
      <c r="F1186" s="74"/>
      <c r="G1186" s="74"/>
      <c r="H1186" s="74"/>
      <c r="I1186" s="74"/>
      <c r="J1186" s="74"/>
      <c r="K1186" s="74"/>
      <c r="L1186" s="74"/>
      <c r="M1186" s="74"/>
      <c r="N1186" s="74"/>
      <c r="O1186" s="74"/>
      <c r="P1186" s="74"/>
      <c r="Q1186" s="74"/>
      <c r="R1186" s="74"/>
      <c r="S1186" s="74"/>
      <c r="T1186" s="74"/>
      <c r="U1186" s="74"/>
      <c r="V1186" s="74"/>
      <c r="W1186" s="74"/>
    </row>
    <row r="1187" spans="1:23" x14ac:dyDescent="0.2">
      <c r="A1187" s="74"/>
      <c r="B1187" s="75"/>
      <c r="C1187" s="74"/>
      <c r="D1187" s="74"/>
      <c r="E1187" s="74"/>
      <c r="F1187" s="74"/>
      <c r="G1187" s="74"/>
      <c r="H1187" s="74"/>
      <c r="I1187" s="74"/>
      <c r="J1187" s="74"/>
      <c r="K1187" s="74"/>
      <c r="L1187" s="74"/>
      <c r="M1187" s="74"/>
      <c r="N1187" s="74"/>
      <c r="O1187" s="74"/>
      <c r="P1187" s="74"/>
      <c r="Q1187" s="74"/>
      <c r="R1187" s="74"/>
      <c r="S1187" s="74"/>
      <c r="T1187" s="74"/>
      <c r="U1187" s="74"/>
      <c r="V1187" s="74"/>
      <c r="W1187" s="74"/>
    </row>
    <row r="1188" spans="1:23" x14ac:dyDescent="0.2">
      <c r="A1188" s="74"/>
      <c r="B1188" s="75"/>
      <c r="C1188" s="74"/>
      <c r="D1188" s="74"/>
      <c r="E1188" s="74"/>
      <c r="F1188" s="74"/>
      <c r="G1188" s="74"/>
      <c r="H1188" s="74"/>
      <c r="I1188" s="74"/>
      <c r="J1188" s="74"/>
      <c r="K1188" s="74"/>
      <c r="L1188" s="74"/>
      <c r="M1188" s="74"/>
      <c r="N1188" s="74"/>
      <c r="O1188" s="74"/>
      <c r="P1188" s="74"/>
      <c r="Q1188" s="74"/>
      <c r="R1188" s="74"/>
      <c r="S1188" s="74"/>
      <c r="T1188" s="74"/>
      <c r="U1188" s="74"/>
      <c r="V1188" s="74"/>
      <c r="W1188" s="74"/>
    </row>
    <row r="1189" spans="1:23" x14ac:dyDescent="0.2">
      <c r="A1189" s="74"/>
      <c r="B1189" s="75"/>
      <c r="C1189" s="74"/>
      <c r="D1189" s="74"/>
      <c r="E1189" s="74"/>
      <c r="F1189" s="74"/>
      <c r="G1189" s="74"/>
      <c r="H1189" s="74"/>
      <c r="I1189" s="74"/>
      <c r="J1189" s="74"/>
      <c r="K1189" s="74"/>
      <c r="L1189" s="74"/>
      <c r="M1189" s="74"/>
      <c r="N1189" s="74"/>
      <c r="O1189" s="74"/>
      <c r="P1189" s="74"/>
      <c r="Q1189" s="74"/>
      <c r="R1189" s="74"/>
      <c r="S1189" s="74"/>
      <c r="T1189" s="74"/>
      <c r="U1189" s="74"/>
      <c r="V1189" s="74"/>
      <c r="W1189" s="74"/>
    </row>
    <row r="1190" spans="1:23" x14ac:dyDescent="0.2">
      <c r="A1190" s="74"/>
      <c r="B1190" s="75"/>
      <c r="C1190" s="74"/>
      <c r="D1190" s="74"/>
      <c r="E1190" s="74"/>
      <c r="F1190" s="74"/>
      <c r="G1190" s="74"/>
      <c r="H1190" s="74"/>
      <c r="I1190" s="74"/>
      <c r="J1190" s="74"/>
      <c r="K1190" s="74"/>
      <c r="L1190" s="74"/>
      <c r="M1190" s="74"/>
      <c r="N1190" s="74"/>
      <c r="O1190" s="74"/>
      <c r="P1190" s="74"/>
      <c r="Q1190" s="74"/>
      <c r="R1190" s="74"/>
      <c r="S1190" s="74"/>
      <c r="T1190" s="74"/>
      <c r="U1190" s="74"/>
      <c r="V1190" s="74"/>
      <c r="W1190" s="74"/>
    </row>
    <row r="1191" spans="1:23" x14ac:dyDescent="0.2">
      <c r="A1191" s="74"/>
      <c r="B1191" s="75"/>
      <c r="C1191" s="74"/>
      <c r="D1191" s="74"/>
      <c r="E1191" s="74"/>
      <c r="F1191" s="74"/>
      <c r="G1191" s="74"/>
      <c r="H1191" s="74"/>
      <c r="I1191" s="74"/>
      <c r="J1191" s="74"/>
      <c r="K1191" s="74"/>
      <c r="L1191" s="74"/>
      <c r="M1191" s="74"/>
      <c r="N1191" s="74"/>
      <c r="O1191" s="74"/>
      <c r="P1191" s="74"/>
      <c r="Q1191" s="74"/>
      <c r="R1191" s="74"/>
      <c r="S1191" s="74"/>
      <c r="T1191" s="74"/>
      <c r="U1191" s="74"/>
      <c r="V1191" s="74"/>
      <c r="W1191" s="74"/>
    </row>
    <row r="1192" spans="1:23" x14ac:dyDescent="0.2">
      <c r="A1192" s="74"/>
      <c r="B1192" s="75"/>
      <c r="C1192" s="74"/>
      <c r="D1192" s="74"/>
      <c r="E1192" s="74"/>
      <c r="F1192" s="74"/>
      <c r="G1192" s="74"/>
      <c r="H1192" s="74"/>
      <c r="I1192" s="74"/>
      <c r="J1192" s="74"/>
      <c r="K1192" s="74"/>
      <c r="L1192" s="74"/>
      <c r="M1192" s="74"/>
      <c r="N1192" s="74"/>
      <c r="O1192" s="74"/>
      <c r="P1192" s="74"/>
      <c r="Q1192" s="74"/>
      <c r="R1192" s="74"/>
      <c r="S1192" s="74"/>
      <c r="T1192" s="74"/>
      <c r="U1192" s="74"/>
      <c r="V1192" s="74"/>
      <c r="W1192" s="74"/>
    </row>
    <row r="1193" spans="1:23" x14ac:dyDescent="0.2">
      <c r="A1193" s="74"/>
      <c r="B1193" s="75"/>
      <c r="C1193" s="74"/>
      <c r="D1193" s="74"/>
      <c r="E1193" s="74"/>
      <c r="F1193" s="74"/>
      <c r="G1193" s="74"/>
      <c r="H1193" s="74"/>
      <c r="I1193" s="74"/>
      <c r="J1193" s="74"/>
      <c r="K1193" s="74"/>
      <c r="L1193" s="74"/>
      <c r="M1193" s="74"/>
      <c r="N1193" s="74"/>
      <c r="O1193" s="74"/>
      <c r="P1193" s="74"/>
      <c r="Q1193" s="74"/>
      <c r="R1193" s="74"/>
      <c r="S1193" s="74"/>
      <c r="T1193" s="74"/>
      <c r="U1193" s="74"/>
      <c r="V1193" s="74"/>
      <c r="W1193" s="74"/>
    </row>
    <row r="1194" spans="1:23" x14ac:dyDescent="0.2">
      <c r="A1194" s="74"/>
      <c r="B1194" s="75"/>
      <c r="C1194" s="74"/>
      <c r="D1194" s="74"/>
      <c r="E1194" s="74"/>
      <c r="F1194" s="74"/>
      <c r="G1194" s="74"/>
      <c r="H1194" s="74"/>
      <c r="I1194" s="74"/>
      <c r="J1194" s="74"/>
      <c r="K1194" s="74"/>
      <c r="L1194" s="74"/>
      <c r="M1194" s="74"/>
      <c r="N1194" s="74"/>
      <c r="O1194" s="74"/>
      <c r="P1194" s="74"/>
      <c r="Q1194" s="74"/>
      <c r="R1194" s="74"/>
      <c r="S1194" s="74"/>
      <c r="T1194" s="74"/>
      <c r="U1194" s="74"/>
      <c r="V1194" s="74"/>
      <c r="W1194" s="74"/>
    </row>
    <row r="1195" spans="1:23" x14ac:dyDescent="0.2">
      <c r="A1195" s="74"/>
      <c r="B1195" s="75"/>
      <c r="C1195" s="74"/>
      <c r="D1195" s="74"/>
      <c r="E1195" s="74"/>
      <c r="F1195" s="74"/>
      <c r="G1195" s="74"/>
      <c r="H1195" s="74"/>
      <c r="I1195" s="74"/>
      <c r="J1195" s="74"/>
      <c r="K1195" s="74"/>
      <c r="L1195" s="74"/>
      <c r="M1195" s="74"/>
      <c r="N1195" s="74"/>
      <c r="O1195" s="74"/>
      <c r="P1195" s="74"/>
      <c r="Q1195" s="74"/>
      <c r="R1195" s="74"/>
      <c r="S1195" s="74"/>
      <c r="T1195" s="74"/>
      <c r="U1195" s="74"/>
      <c r="V1195" s="74"/>
      <c r="W1195" s="74"/>
    </row>
    <row r="1196" spans="1:23" x14ac:dyDescent="0.2">
      <c r="A1196" s="74"/>
      <c r="B1196" s="75"/>
      <c r="C1196" s="74"/>
      <c r="D1196" s="74"/>
      <c r="E1196" s="74"/>
      <c r="F1196" s="74"/>
      <c r="G1196" s="74"/>
      <c r="H1196" s="74"/>
      <c r="I1196" s="74"/>
      <c r="J1196" s="74"/>
      <c r="K1196" s="74"/>
      <c r="L1196" s="74"/>
      <c r="M1196" s="74"/>
      <c r="N1196" s="74"/>
      <c r="O1196" s="74"/>
      <c r="P1196" s="74"/>
      <c r="Q1196" s="74"/>
      <c r="R1196" s="74"/>
      <c r="S1196" s="74"/>
      <c r="T1196" s="74"/>
      <c r="U1196" s="74"/>
      <c r="V1196" s="74"/>
      <c r="W1196" s="74"/>
    </row>
    <row r="1197" spans="1:23" x14ac:dyDescent="0.2">
      <c r="A1197" s="74"/>
      <c r="B1197" s="75"/>
      <c r="C1197" s="74"/>
      <c r="D1197" s="74"/>
      <c r="E1197" s="74"/>
      <c r="F1197" s="74"/>
      <c r="G1197" s="74"/>
      <c r="H1197" s="74"/>
      <c r="I1197" s="74"/>
      <c r="J1197" s="74"/>
      <c r="K1197" s="74"/>
      <c r="L1197" s="74"/>
      <c r="M1197" s="74"/>
      <c r="N1197" s="74"/>
      <c r="O1197" s="74"/>
      <c r="P1197" s="74"/>
      <c r="Q1197" s="74"/>
      <c r="R1197" s="74"/>
      <c r="S1197" s="74"/>
      <c r="T1197" s="74"/>
      <c r="U1197" s="74"/>
      <c r="V1197" s="74"/>
      <c r="W1197" s="74"/>
    </row>
    <row r="1198" spans="1:23" x14ac:dyDescent="0.2">
      <c r="A1198" s="74"/>
      <c r="B1198" s="75"/>
      <c r="C1198" s="74"/>
      <c r="D1198" s="74"/>
      <c r="E1198" s="74"/>
      <c r="F1198" s="74"/>
      <c r="G1198" s="74"/>
      <c r="H1198" s="74"/>
      <c r="I1198" s="74"/>
      <c r="J1198" s="74"/>
      <c r="K1198" s="74"/>
      <c r="L1198" s="74"/>
      <c r="M1198" s="74"/>
      <c r="N1198" s="74"/>
      <c r="O1198" s="74"/>
      <c r="P1198" s="74"/>
      <c r="Q1198" s="74"/>
      <c r="R1198" s="74"/>
      <c r="S1198" s="74"/>
      <c r="T1198" s="74"/>
      <c r="U1198" s="74"/>
      <c r="V1198" s="74"/>
      <c r="W1198" s="74"/>
    </row>
    <row r="1199" spans="1:23" x14ac:dyDescent="0.2">
      <c r="A1199" s="74"/>
      <c r="B1199" s="75"/>
      <c r="C1199" s="74"/>
      <c r="D1199" s="74"/>
      <c r="E1199" s="74"/>
      <c r="F1199" s="74"/>
      <c r="G1199" s="74"/>
      <c r="H1199" s="74"/>
      <c r="I1199" s="74"/>
      <c r="J1199" s="74"/>
      <c r="K1199" s="74"/>
      <c r="L1199" s="74"/>
      <c r="M1199" s="74"/>
      <c r="N1199" s="74"/>
      <c r="O1199" s="74"/>
      <c r="P1199" s="74"/>
      <c r="Q1199" s="74"/>
      <c r="R1199" s="74"/>
      <c r="S1199" s="74"/>
      <c r="T1199" s="74"/>
      <c r="U1199" s="74"/>
      <c r="V1199" s="74"/>
      <c r="W1199" s="74"/>
    </row>
    <row r="1200" spans="1:23" x14ac:dyDescent="0.2">
      <c r="A1200" s="74"/>
      <c r="B1200" s="75"/>
      <c r="C1200" s="74"/>
      <c r="D1200" s="74"/>
      <c r="E1200" s="74"/>
      <c r="F1200" s="74"/>
      <c r="G1200" s="74"/>
      <c r="H1200" s="74"/>
      <c r="I1200" s="74"/>
      <c r="J1200" s="74"/>
      <c r="K1200" s="74"/>
      <c r="L1200" s="74"/>
      <c r="M1200" s="74"/>
      <c r="N1200" s="74"/>
      <c r="O1200" s="74"/>
      <c r="P1200" s="74"/>
      <c r="Q1200" s="74"/>
      <c r="R1200" s="74"/>
      <c r="S1200" s="74"/>
      <c r="T1200" s="74"/>
      <c r="U1200" s="74"/>
      <c r="V1200" s="74"/>
      <c r="W1200" s="74"/>
    </row>
    <row r="1201" spans="1:23" x14ac:dyDescent="0.2">
      <c r="A1201" s="74"/>
      <c r="B1201" s="75"/>
      <c r="C1201" s="74"/>
      <c r="D1201" s="74"/>
      <c r="E1201" s="74"/>
      <c r="F1201" s="74"/>
      <c r="G1201" s="74"/>
      <c r="H1201" s="74"/>
      <c r="I1201" s="74"/>
      <c r="J1201" s="74"/>
      <c r="K1201" s="74"/>
      <c r="L1201" s="74"/>
      <c r="M1201" s="74"/>
      <c r="N1201" s="74"/>
      <c r="O1201" s="74"/>
      <c r="P1201" s="74"/>
      <c r="Q1201" s="74"/>
      <c r="R1201" s="74"/>
      <c r="S1201" s="74"/>
      <c r="T1201" s="74"/>
      <c r="U1201" s="74"/>
      <c r="V1201" s="74"/>
      <c r="W1201" s="74"/>
    </row>
    <row r="1202" spans="1:23" x14ac:dyDescent="0.2">
      <c r="A1202" s="74"/>
      <c r="B1202" s="75"/>
      <c r="C1202" s="74"/>
      <c r="D1202" s="74"/>
      <c r="E1202" s="74"/>
      <c r="F1202" s="74"/>
      <c r="G1202" s="74"/>
      <c r="H1202" s="74"/>
      <c r="I1202" s="74"/>
      <c r="J1202" s="74"/>
      <c r="K1202" s="74"/>
      <c r="L1202" s="74"/>
      <c r="M1202" s="74"/>
      <c r="N1202" s="74"/>
      <c r="O1202" s="74"/>
      <c r="P1202" s="74"/>
      <c r="Q1202" s="74"/>
      <c r="R1202" s="74"/>
      <c r="S1202" s="74"/>
      <c r="T1202" s="74"/>
      <c r="U1202" s="74"/>
      <c r="V1202" s="74"/>
      <c r="W1202" s="74"/>
    </row>
    <row r="1203" spans="1:23" x14ac:dyDescent="0.2">
      <c r="A1203" s="74"/>
      <c r="B1203" s="75"/>
      <c r="C1203" s="74"/>
      <c r="D1203" s="74"/>
      <c r="E1203" s="74"/>
      <c r="F1203" s="74"/>
      <c r="G1203" s="74"/>
      <c r="H1203" s="74"/>
      <c r="I1203" s="74"/>
      <c r="J1203" s="74"/>
      <c r="K1203" s="74"/>
      <c r="L1203" s="74"/>
      <c r="M1203" s="74"/>
      <c r="N1203" s="74"/>
      <c r="O1203" s="74"/>
      <c r="P1203" s="74"/>
      <c r="Q1203" s="74"/>
      <c r="R1203" s="74"/>
      <c r="S1203" s="74"/>
      <c r="T1203" s="74"/>
      <c r="U1203" s="74"/>
      <c r="V1203" s="74"/>
      <c r="W1203" s="74"/>
    </row>
    <row r="1204" spans="1:23" x14ac:dyDescent="0.2">
      <c r="A1204" s="74"/>
      <c r="B1204" s="75"/>
      <c r="C1204" s="74"/>
      <c r="D1204" s="74"/>
      <c r="E1204" s="74"/>
      <c r="F1204" s="74"/>
      <c r="G1204" s="74"/>
      <c r="H1204" s="74"/>
      <c r="I1204" s="74"/>
      <c r="J1204" s="74"/>
      <c r="K1204" s="74"/>
      <c r="L1204" s="74"/>
      <c r="M1204" s="74"/>
      <c r="N1204" s="74"/>
      <c r="O1204" s="74"/>
      <c r="P1204" s="74"/>
      <c r="Q1204" s="74"/>
      <c r="R1204" s="74"/>
      <c r="S1204" s="74"/>
      <c r="T1204" s="74"/>
      <c r="U1204" s="74"/>
      <c r="V1204" s="74"/>
      <c r="W1204" s="74"/>
    </row>
    <row r="1205" spans="1:23" x14ac:dyDescent="0.2">
      <c r="A1205" s="74"/>
      <c r="B1205" s="75"/>
      <c r="C1205" s="74"/>
      <c r="D1205" s="74"/>
      <c r="E1205" s="74"/>
      <c r="F1205" s="74"/>
      <c r="G1205" s="74"/>
      <c r="H1205" s="74"/>
      <c r="I1205" s="74"/>
      <c r="J1205" s="74"/>
      <c r="K1205" s="74"/>
      <c r="L1205" s="74"/>
      <c r="M1205" s="74"/>
      <c r="N1205" s="74"/>
      <c r="O1205" s="74"/>
      <c r="P1205" s="74"/>
      <c r="Q1205" s="74"/>
      <c r="R1205" s="74"/>
      <c r="S1205" s="74"/>
      <c r="T1205" s="74"/>
      <c r="U1205" s="74"/>
      <c r="V1205" s="74"/>
      <c r="W1205" s="74"/>
    </row>
    <row r="1206" spans="1:23" x14ac:dyDescent="0.2">
      <c r="A1206" s="74"/>
      <c r="B1206" s="75"/>
      <c r="C1206" s="74"/>
      <c r="D1206" s="74"/>
      <c r="E1206" s="74"/>
      <c r="F1206" s="74"/>
      <c r="G1206" s="74"/>
      <c r="H1206" s="74"/>
      <c r="I1206" s="74"/>
      <c r="J1206" s="74"/>
      <c r="K1206" s="74"/>
      <c r="L1206" s="74"/>
      <c r="M1206" s="74"/>
      <c r="N1206" s="74"/>
      <c r="O1206" s="74"/>
      <c r="P1206" s="74"/>
      <c r="Q1206" s="74"/>
      <c r="R1206" s="74"/>
      <c r="S1206" s="74"/>
      <c r="T1206" s="74"/>
      <c r="U1206" s="74"/>
      <c r="V1206" s="74"/>
      <c r="W1206" s="74"/>
    </row>
    <row r="1207" spans="1:23" x14ac:dyDescent="0.2">
      <c r="A1207" s="74"/>
      <c r="B1207" s="75"/>
      <c r="C1207" s="74"/>
      <c r="D1207" s="74"/>
      <c r="E1207" s="74"/>
      <c r="F1207" s="74"/>
      <c r="G1207" s="74"/>
      <c r="H1207" s="74"/>
      <c r="I1207" s="74"/>
      <c r="J1207" s="74"/>
      <c r="K1207" s="74"/>
      <c r="L1207" s="74"/>
      <c r="M1207" s="74"/>
      <c r="N1207" s="74"/>
      <c r="O1207" s="74"/>
      <c r="P1207" s="74"/>
      <c r="Q1207" s="74"/>
      <c r="R1207" s="74"/>
      <c r="S1207" s="74"/>
      <c r="T1207" s="74"/>
      <c r="U1207" s="74"/>
      <c r="V1207" s="74"/>
      <c r="W1207" s="74"/>
    </row>
    <row r="1208" spans="1:23" x14ac:dyDescent="0.2">
      <c r="A1208" s="74"/>
      <c r="B1208" s="75"/>
      <c r="C1208" s="74"/>
      <c r="D1208" s="74"/>
      <c r="E1208" s="74"/>
      <c r="F1208" s="74"/>
      <c r="G1208" s="74"/>
      <c r="H1208" s="74"/>
      <c r="I1208" s="74"/>
      <c r="J1208" s="74"/>
      <c r="K1208" s="74"/>
      <c r="L1208" s="74"/>
      <c r="M1208" s="74"/>
      <c r="N1208" s="74"/>
      <c r="O1208" s="74"/>
      <c r="P1208" s="74"/>
      <c r="Q1208" s="74"/>
      <c r="R1208" s="74"/>
      <c r="S1208" s="74"/>
      <c r="T1208" s="74"/>
      <c r="U1208" s="74"/>
      <c r="V1208" s="74"/>
      <c r="W1208" s="74"/>
    </row>
    <row r="1209" spans="1:23" x14ac:dyDescent="0.2">
      <c r="A1209" s="74"/>
      <c r="B1209" s="75"/>
      <c r="C1209" s="74"/>
      <c r="D1209" s="74"/>
      <c r="E1209" s="74"/>
      <c r="F1209" s="74"/>
      <c r="G1209" s="74"/>
      <c r="H1209" s="74"/>
      <c r="I1209" s="74"/>
      <c r="J1209" s="74"/>
      <c r="K1209" s="74"/>
      <c r="L1209" s="74"/>
      <c r="M1209" s="74"/>
      <c r="N1209" s="74"/>
      <c r="O1209" s="74"/>
      <c r="P1209" s="74"/>
      <c r="Q1209" s="74"/>
      <c r="R1209" s="74"/>
      <c r="S1209" s="74"/>
      <c r="T1209" s="74"/>
      <c r="U1209" s="74"/>
      <c r="V1209" s="74"/>
      <c r="W1209" s="74"/>
    </row>
    <row r="1210" spans="1:23" x14ac:dyDescent="0.2">
      <c r="A1210" s="74"/>
      <c r="B1210" s="75"/>
      <c r="C1210" s="74"/>
      <c r="D1210" s="74"/>
      <c r="E1210" s="74"/>
      <c r="F1210" s="74"/>
      <c r="G1210" s="74"/>
      <c r="H1210" s="74"/>
      <c r="I1210" s="74"/>
      <c r="J1210" s="74"/>
      <c r="K1210" s="74"/>
      <c r="L1210" s="74"/>
      <c r="M1210" s="74"/>
      <c r="N1210" s="74"/>
      <c r="O1210" s="74"/>
      <c r="P1210" s="74"/>
      <c r="Q1210" s="74"/>
      <c r="R1210" s="74"/>
      <c r="S1210" s="74"/>
      <c r="T1210" s="74"/>
      <c r="U1210" s="74"/>
      <c r="V1210" s="74"/>
      <c r="W1210" s="74"/>
    </row>
    <row r="1211" spans="1:23" x14ac:dyDescent="0.2">
      <c r="A1211" s="74"/>
      <c r="B1211" s="75"/>
      <c r="C1211" s="74"/>
      <c r="D1211" s="74"/>
      <c r="E1211" s="74"/>
      <c r="F1211" s="74"/>
      <c r="G1211" s="74"/>
      <c r="H1211" s="74"/>
      <c r="I1211" s="74"/>
      <c r="J1211" s="74"/>
      <c r="K1211" s="74"/>
      <c r="L1211" s="74"/>
      <c r="M1211" s="74"/>
      <c r="N1211" s="74"/>
      <c r="O1211" s="74"/>
      <c r="P1211" s="74"/>
      <c r="Q1211" s="74"/>
      <c r="R1211" s="74"/>
      <c r="S1211" s="74"/>
      <c r="T1211" s="74"/>
      <c r="U1211" s="74"/>
      <c r="V1211" s="74"/>
      <c r="W1211" s="74"/>
    </row>
  </sheetData>
  <mergeCells count="3">
    <mergeCell ref="F1:J1"/>
    <mergeCell ref="L1:P1"/>
    <mergeCell ref="R1:V1"/>
  </mergeCells>
  <conditionalFormatting sqref="K3:K152">
    <cfRule type="cellIs" dxfId="26" priority="2" operator="greaterThan">
      <formula>36</formula>
    </cfRule>
  </conditionalFormatting>
  <conditionalFormatting sqref="Q3:Q152">
    <cfRule type="cellIs" dxfId="25" priority="1" operator="greaterThan">
      <formula>36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Scores</vt:lpstr>
      <vt:lpstr>Individual Divisions</vt:lpstr>
      <vt:lpstr>Team Ranking</vt:lpstr>
      <vt:lpstr>Tailgunner</vt:lpstr>
      <vt:lpstr>Titles</vt:lpstr>
    </vt:vector>
  </TitlesOfParts>
  <Company>Johnson County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jsn449</dc:creator>
  <cp:lastModifiedBy>twe578</cp:lastModifiedBy>
  <cp:lastPrinted>2012-10-08T19:09:37Z</cp:lastPrinted>
  <dcterms:created xsi:type="dcterms:W3CDTF">2012-09-28T20:31:32Z</dcterms:created>
  <dcterms:modified xsi:type="dcterms:W3CDTF">2014-04-16T16:38:37Z</dcterms:modified>
</cp:coreProperties>
</file>