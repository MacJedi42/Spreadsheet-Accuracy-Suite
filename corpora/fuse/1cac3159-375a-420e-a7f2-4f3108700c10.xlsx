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105" yWindow="105" windowWidth="7365" windowHeight="7080"/>
  </bookViews>
  <sheets>
    <sheet name="FPL-Hourly Rate Service Pricing" sheetId="2" r:id="rId1"/>
    <sheet name="Training Pricing" sheetId="4" r:id="rId2"/>
    <sheet name="Non-Hourly Rate Service Pricing" sheetId="3" r:id="rId3"/>
    <sheet name="Support Pricing" sheetId="5" r:id="rId4"/>
  </sheets>
  <externalReferences>
    <externalReference r:id="rId5"/>
  </externalReferences>
  <definedNames>
    <definedName name="BCO">'FPL-Hourly Rate Service Pricing'!$H$200:$H$202</definedName>
    <definedName name="BGV">'FPL-Hourly Rate Service Pricing'!$F$200:$F$202</definedName>
    <definedName name="CONOCON">'FPL-Hourly Rate Service Pricing'!$H$200:$H$202</definedName>
    <definedName name="CorC">'Training Pricing'!$B$202:$B$204</definedName>
    <definedName name="CPLorMark">'Training Pricing'!$D$202:$D$203</definedName>
    <definedName name="DomorOver">'Training Pricing'!$C$202:$C$204</definedName>
    <definedName name="DomOvs">'[1]ED List'!$H$1:$H$3</definedName>
    <definedName name="EdReqs">'[1]ED List'!$A$1:$A$7</definedName>
    <definedName name="GovVen">'FPL-Hourly Rate Service Pricing'!$F$201:$F$202</definedName>
    <definedName name="MinEdu">'FPL-Hourly Rate Service Pricing'!$B$200:$B$206</definedName>
    <definedName name="PPDiscCustomer">'FPL-Hourly Rate Service Pricing'!$J$200:$J$203</definedName>
    <definedName name="_xlnm.Print_Area" localSheetId="0">'FPL-Hourly Rate Service Pricing'!$A$1:$DI$103</definedName>
    <definedName name="_xlnm.Print_Titles" localSheetId="0">'FPL-Hourly Rate Service Pricing'!$1:$3</definedName>
    <definedName name="QDiscCustomer">'FPL-Hourly Rate Service Pricing'!$L$200:$L$203</definedName>
    <definedName name="QDiscType">'FPL-Hourly Rate Service Pricing'!$N$200:$N$203</definedName>
    <definedName name="SiteLoc">'[1]ED List'!$C$1:$C$3</definedName>
    <definedName name="YN">'FPL-Hourly Rate Service Pricing'!$D$200:$D$201</definedName>
  </definedNames>
  <calcPr calcId="125725"/>
</workbook>
</file>

<file path=xl/calcChain.xml><?xml version="1.0" encoding="utf-8"?>
<calcChain xmlns="http://schemas.openxmlformats.org/spreadsheetml/2006/main">
  <c r="DI103" i="2"/>
  <c r="DG103"/>
  <c r="DE103"/>
  <c r="DA103"/>
  <c r="CY103"/>
  <c r="CW103"/>
  <c r="CS103"/>
  <c r="CQ103"/>
  <c r="CO103"/>
  <c r="CK103"/>
  <c r="CI103"/>
  <c r="CG103"/>
  <c r="CC103"/>
  <c r="CA103"/>
  <c r="BY103"/>
  <c r="BU103"/>
  <c r="BS103"/>
  <c r="BQ103"/>
  <c r="BM103"/>
  <c r="BK103"/>
  <c r="BI103"/>
  <c r="BE103"/>
  <c r="BC103"/>
  <c r="BA103"/>
  <c r="AW103"/>
  <c r="AU103"/>
  <c r="AS103"/>
  <c r="AO103"/>
  <c r="AM103"/>
  <c r="AK103"/>
  <c r="DI102"/>
  <c r="DG102"/>
  <c r="DE102"/>
  <c r="DA102"/>
  <c r="CY102"/>
  <c r="CW102"/>
  <c r="CS102"/>
  <c r="CQ102"/>
  <c r="CO102"/>
  <c r="CK102"/>
  <c r="CI102"/>
  <c r="CG102"/>
  <c r="CC102"/>
  <c r="CA102"/>
  <c r="BY102"/>
  <c r="BU102"/>
  <c r="BS102"/>
  <c r="BQ102"/>
  <c r="BM102"/>
  <c r="BK102"/>
  <c r="BI102"/>
  <c r="BE102"/>
  <c r="BC102"/>
  <c r="BA102"/>
  <c r="AW102"/>
  <c r="AU102"/>
  <c r="AS102"/>
  <c r="AO102"/>
  <c r="AM102"/>
  <c r="AK102"/>
  <c r="DI101"/>
  <c r="DG101"/>
  <c r="DE101"/>
  <c r="DA101"/>
  <c r="CY101"/>
  <c r="CW101"/>
  <c r="CS101"/>
  <c r="CQ101"/>
  <c r="CO101"/>
  <c r="CK101"/>
  <c r="CI101"/>
  <c r="CG101"/>
  <c r="CC101"/>
  <c r="CA101"/>
  <c r="BY101"/>
  <c r="BU101"/>
  <c r="BS101"/>
  <c r="BQ101"/>
  <c r="BM101"/>
  <c r="BK101"/>
  <c r="BI101"/>
  <c r="BE101"/>
  <c r="BC101"/>
  <c r="BA101"/>
  <c r="AW101"/>
  <c r="AU101"/>
  <c r="AS101"/>
  <c r="AO101"/>
  <c r="AM101"/>
  <c r="AK101"/>
  <c r="DI100"/>
  <c r="DG100"/>
  <c r="DE100"/>
  <c r="DA100"/>
  <c r="CY100"/>
  <c r="CW100"/>
  <c r="CS100"/>
  <c r="CQ100"/>
  <c r="CO100"/>
  <c r="CK100"/>
  <c r="CI100"/>
  <c r="CG100"/>
  <c r="CC100"/>
  <c r="CA100"/>
  <c r="BY100"/>
  <c r="BU100"/>
  <c r="BS100"/>
  <c r="BQ100"/>
  <c r="BM100"/>
  <c r="BK100"/>
  <c r="BI100"/>
  <c r="BE100"/>
  <c r="BC100"/>
  <c r="BA100"/>
  <c r="AW100"/>
  <c r="AU100"/>
  <c r="AS100"/>
  <c r="AO100"/>
  <c r="AM100"/>
  <c r="AK100"/>
  <c r="DI99"/>
  <c r="DG99"/>
  <c r="DE99"/>
  <c r="DA99"/>
  <c r="CY99"/>
  <c r="CW99"/>
  <c r="CS99"/>
  <c r="CQ99"/>
  <c r="CO99"/>
  <c r="CK99"/>
  <c r="CI99"/>
  <c r="CG99"/>
  <c r="CC99"/>
  <c r="CA99"/>
  <c r="BY99"/>
  <c r="BU99"/>
  <c r="BS99"/>
  <c r="BQ99"/>
  <c r="BM99"/>
  <c r="BK99"/>
  <c r="BI99"/>
  <c r="BE99"/>
  <c r="BC99"/>
  <c r="BA99"/>
  <c r="AW99"/>
  <c r="AU99"/>
  <c r="AS99"/>
  <c r="AO99"/>
  <c r="AM99"/>
  <c r="AK99"/>
  <c r="DI98"/>
  <c r="DG98"/>
  <c r="DE98"/>
  <c r="DA98"/>
  <c r="CY98"/>
  <c r="CW98"/>
  <c r="CS98"/>
  <c r="CQ98"/>
  <c r="CO98"/>
  <c r="CK98"/>
  <c r="CI98"/>
  <c r="CG98"/>
  <c r="CC98"/>
  <c r="CA98"/>
  <c r="BY98"/>
  <c r="BU98"/>
  <c r="BS98"/>
  <c r="BQ98"/>
  <c r="BM98"/>
  <c r="BK98"/>
  <c r="BI98"/>
  <c r="BE98"/>
  <c r="BC98"/>
  <c r="BA98"/>
  <c r="AW98"/>
  <c r="AU98"/>
  <c r="AS98"/>
  <c r="AO98"/>
  <c r="AM98"/>
  <c r="AK98"/>
  <c r="DI97"/>
  <c r="DG97"/>
  <c r="DE97"/>
  <c r="DA97"/>
  <c r="CY97"/>
  <c r="CW97"/>
  <c r="CS97"/>
  <c r="CQ97"/>
  <c r="CO97"/>
  <c r="CK97"/>
  <c r="CI97"/>
  <c r="CG97"/>
  <c r="CC97"/>
  <c r="CA97"/>
  <c r="BY97"/>
  <c r="BU97"/>
  <c r="BS97"/>
  <c r="BQ97"/>
  <c r="BM97"/>
  <c r="BK97"/>
  <c r="BI97"/>
  <c r="BE97"/>
  <c r="BC97"/>
  <c r="BA97"/>
  <c r="AW97"/>
  <c r="AU97"/>
  <c r="AS97"/>
  <c r="AO97"/>
  <c r="AM97"/>
  <c r="AK97"/>
  <c r="DI96"/>
  <c r="DG96"/>
  <c r="DE96"/>
  <c r="DA96"/>
  <c r="CY96"/>
  <c r="CW96"/>
  <c r="CS96"/>
  <c r="CQ96"/>
  <c r="CO96"/>
  <c r="CK96"/>
  <c r="CI96"/>
  <c r="CG96"/>
  <c r="CC96"/>
  <c r="CA96"/>
  <c r="BY96"/>
  <c r="BU96"/>
  <c r="BS96"/>
  <c r="BQ96"/>
  <c r="BM96"/>
  <c r="BK96"/>
  <c r="BI96"/>
  <c r="BE96"/>
  <c r="BC96"/>
  <c r="BA96"/>
  <c r="AW96"/>
  <c r="AU96"/>
  <c r="AS96"/>
  <c r="AO96"/>
  <c r="AM96"/>
  <c r="AK96"/>
  <c r="DI95"/>
  <c r="DG95"/>
  <c r="DE95"/>
  <c r="DA95"/>
  <c r="CY95"/>
  <c r="CW95"/>
  <c r="CS95"/>
  <c r="CQ95"/>
  <c r="CO95"/>
  <c r="CK95"/>
  <c r="CI95"/>
  <c r="CG95"/>
  <c r="CC95"/>
  <c r="CA95"/>
  <c r="BY95"/>
  <c r="BU95"/>
  <c r="BS95"/>
  <c r="BQ95"/>
  <c r="BM95"/>
  <c r="BK95"/>
  <c r="BI95"/>
  <c r="BE95"/>
  <c r="BC95"/>
  <c r="BA95"/>
  <c r="AW95"/>
  <c r="AU95"/>
  <c r="AS95"/>
  <c r="AO95"/>
  <c r="AM95"/>
  <c r="AK95"/>
  <c r="DI94"/>
  <c r="DG94"/>
  <c r="DE94"/>
  <c r="DA94"/>
  <c r="CY94"/>
  <c r="CW94"/>
  <c r="CS94"/>
  <c r="CQ94"/>
  <c r="CO94"/>
  <c r="CK94"/>
  <c r="CI94"/>
  <c r="CG94"/>
  <c r="CC94"/>
  <c r="CA94"/>
  <c r="BY94"/>
  <c r="BU94"/>
  <c r="BS94"/>
  <c r="BQ94"/>
  <c r="BM94"/>
  <c r="BK94"/>
  <c r="BI94"/>
  <c r="BE94"/>
  <c r="BC94"/>
  <c r="BA94"/>
  <c r="AW94"/>
  <c r="AU94"/>
  <c r="AS94"/>
  <c r="AO94"/>
  <c r="AM94"/>
  <c r="AK94"/>
  <c r="DI93"/>
  <c r="DG93"/>
  <c r="DE93"/>
  <c r="DA93"/>
  <c r="CY93"/>
  <c r="CW93"/>
  <c r="CS93"/>
  <c r="CQ93"/>
  <c r="CO93"/>
  <c r="CK93"/>
  <c r="CI93"/>
  <c r="CG93"/>
  <c r="CC93"/>
  <c r="CA93"/>
  <c r="BY93"/>
  <c r="BU93"/>
  <c r="BS93"/>
  <c r="BQ93"/>
  <c r="BM93"/>
  <c r="BK93"/>
  <c r="BI93"/>
  <c r="BE93"/>
  <c r="BC93"/>
  <c r="BA93"/>
  <c r="AW93"/>
  <c r="AU93"/>
  <c r="AS93"/>
  <c r="AO93"/>
  <c r="AM93"/>
  <c r="AK93"/>
  <c r="DI92"/>
  <c r="DG92"/>
  <c r="DE92"/>
  <c r="DA92"/>
  <c r="CY92"/>
  <c r="CW92"/>
  <c r="CS92"/>
  <c r="CQ92"/>
  <c r="CO92"/>
  <c r="CK92"/>
  <c r="CI92"/>
  <c r="CG92"/>
  <c r="CC92"/>
  <c r="CA92"/>
  <c r="BY92"/>
  <c r="BU92"/>
  <c r="BS92"/>
  <c r="BQ92"/>
  <c r="BM92"/>
  <c r="BK92"/>
  <c r="BI92"/>
  <c r="BE92"/>
  <c r="BC92"/>
  <c r="BA92"/>
  <c r="AW92"/>
  <c r="AU92"/>
  <c r="AS92"/>
  <c r="AO92"/>
  <c r="AM92"/>
  <c r="AK92"/>
  <c r="DI91"/>
  <c r="DG91"/>
  <c r="DE91"/>
  <c r="DA91"/>
  <c r="CY91"/>
  <c r="CW91"/>
  <c r="CS91"/>
  <c r="CQ91"/>
  <c r="CO91"/>
  <c r="CK91"/>
  <c r="CI91"/>
  <c r="CG91"/>
  <c r="CC91"/>
  <c r="CA91"/>
  <c r="BY91"/>
  <c r="BU91"/>
  <c r="BS91"/>
  <c r="BQ91"/>
  <c r="BM91"/>
  <c r="BK91"/>
  <c r="BI91"/>
  <c r="BE91"/>
  <c r="BC91"/>
  <c r="BA91"/>
  <c r="AW91"/>
  <c r="AU91"/>
  <c r="AS91"/>
  <c r="AO91"/>
  <c r="AM91"/>
  <c r="AK91"/>
  <c r="DI90"/>
  <c r="DG90"/>
  <c r="DE90"/>
  <c r="DA90"/>
  <c r="CY90"/>
  <c r="CW90"/>
  <c r="CS90"/>
  <c r="CQ90"/>
  <c r="CO90"/>
  <c r="CK90"/>
  <c r="CI90"/>
  <c r="CG90"/>
  <c r="CC90"/>
  <c r="CA90"/>
  <c r="BY90"/>
  <c r="BU90"/>
  <c r="BS90"/>
  <c r="BQ90"/>
  <c r="BM90"/>
  <c r="BK90"/>
  <c r="BI90"/>
  <c r="BE90"/>
  <c r="BC90"/>
  <c r="BA90"/>
  <c r="AW90"/>
  <c r="AU90"/>
  <c r="AS90"/>
  <c r="AO90"/>
  <c r="AM90"/>
  <c r="AK90"/>
  <c r="DI89"/>
  <c r="DG89"/>
  <c r="DE89"/>
  <c r="DA89"/>
  <c r="CY89"/>
  <c r="CW89"/>
  <c r="CS89"/>
  <c r="CQ89"/>
  <c r="CO89"/>
  <c r="CK89"/>
  <c r="CI89"/>
  <c r="CG89"/>
  <c r="CC89"/>
  <c r="CA89"/>
  <c r="BY89"/>
  <c r="BU89"/>
  <c r="BS89"/>
  <c r="BQ89"/>
  <c r="BM89"/>
  <c r="BK89"/>
  <c r="BI89"/>
  <c r="BE89"/>
  <c r="BC89"/>
  <c r="BA89"/>
  <c r="AW89"/>
  <c r="AU89"/>
  <c r="AS89"/>
  <c r="AO89"/>
  <c r="AM89"/>
  <c r="AK89"/>
  <c r="DI88"/>
  <c r="DG88"/>
  <c r="DE88"/>
  <c r="DA88"/>
  <c r="CY88"/>
  <c r="CW88"/>
  <c r="CS88"/>
  <c r="CQ88"/>
  <c r="CO88"/>
  <c r="CK88"/>
  <c r="CI88"/>
  <c r="CG88"/>
  <c r="CC88"/>
  <c r="CA88"/>
  <c r="BY88"/>
  <c r="BU88"/>
  <c r="BS88"/>
  <c r="BQ88"/>
  <c r="BM88"/>
  <c r="BK88"/>
  <c r="BI88"/>
  <c r="BE88"/>
  <c r="BC88"/>
  <c r="BA88"/>
  <c r="AW88"/>
  <c r="AU88"/>
  <c r="AS88"/>
  <c r="AO88"/>
  <c r="AM88"/>
  <c r="AK88"/>
  <c r="DI87"/>
  <c r="DG87"/>
  <c r="DE87"/>
  <c r="DA87"/>
  <c r="CY87"/>
  <c r="CW87"/>
  <c r="CS87"/>
  <c r="CQ87"/>
  <c r="CO87"/>
  <c r="CK87"/>
  <c r="CI87"/>
  <c r="CG87"/>
  <c r="CC87"/>
  <c r="CA87"/>
  <c r="BY87"/>
  <c r="BU87"/>
  <c r="BS87"/>
  <c r="BQ87"/>
  <c r="BM87"/>
  <c r="BK87"/>
  <c r="BI87"/>
  <c r="BE87"/>
  <c r="BC87"/>
  <c r="BA87"/>
  <c r="AW87"/>
  <c r="AU87"/>
  <c r="AS87"/>
  <c r="AO87"/>
  <c r="AM87"/>
  <c r="AK87"/>
  <c r="DI86"/>
  <c r="DG86"/>
  <c r="DE86"/>
  <c r="DA86"/>
  <c r="CY86"/>
  <c r="CW86"/>
  <c r="CS86"/>
  <c r="CQ86"/>
  <c r="CO86"/>
  <c r="CK86"/>
  <c r="CI86"/>
  <c r="CG86"/>
  <c r="CC86"/>
  <c r="CA86"/>
  <c r="BY86"/>
  <c r="BU86"/>
  <c r="BS86"/>
  <c r="BQ86"/>
  <c r="BM86"/>
  <c r="BK86"/>
  <c r="BI86"/>
  <c r="BE86"/>
  <c r="BC86"/>
  <c r="BA86"/>
  <c r="AW86"/>
  <c r="AU86"/>
  <c r="AS86"/>
  <c r="AO86"/>
  <c r="AM86"/>
  <c r="AK86"/>
  <c r="DI85"/>
  <c r="DG85"/>
  <c r="DE85"/>
  <c r="DA85"/>
  <c r="CY85"/>
  <c r="CW85"/>
  <c r="CS85"/>
  <c r="CQ85"/>
  <c r="CO85"/>
  <c r="CK85"/>
  <c r="CI85"/>
  <c r="CG85"/>
  <c r="CC85"/>
  <c r="CA85"/>
  <c r="BY85"/>
  <c r="BU85"/>
  <c r="BS85"/>
  <c r="BQ85"/>
  <c r="BM85"/>
  <c r="BK85"/>
  <c r="BI85"/>
  <c r="BE85"/>
  <c r="BC85"/>
  <c r="BA85"/>
  <c r="AW85"/>
  <c r="AU85"/>
  <c r="AS85"/>
  <c r="AO85"/>
  <c r="AM85"/>
  <c r="AK85"/>
  <c r="DI84"/>
  <c r="DG84"/>
  <c r="DE84"/>
  <c r="DA84"/>
  <c r="CY84"/>
  <c r="CW84"/>
  <c r="CS84"/>
  <c r="CQ84"/>
  <c r="CO84"/>
  <c r="CK84"/>
  <c r="CI84"/>
  <c r="CG84"/>
  <c r="CC84"/>
  <c r="CA84"/>
  <c r="BY84"/>
  <c r="BU84"/>
  <c r="BS84"/>
  <c r="BQ84"/>
  <c r="BM84"/>
  <c r="BK84"/>
  <c r="BI84"/>
  <c r="BE84"/>
  <c r="BC84"/>
  <c r="BA84"/>
  <c r="AW84"/>
  <c r="AU84"/>
  <c r="AS84"/>
  <c r="AO84"/>
  <c r="AM84"/>
  <c r="AK84"/>
  <c r="DI83"/>
  <c r="DG83"/>
  <c r="DE83"/>
  <c r="DA83"/>
  <c r="CY83"/>
  <c r="CW83"/>
  <c r="CS83"/>
  <c r="CQ83"/>
  <c r="CO83"/>
  <c r="CK83"/>
  <c r="CI83"/>
  <c r="CG83"/>
  <c r="CC83"/>
  <c r="CA83"/>
  <c r="BY83"/>
  <c r="BU83"/>
  <c r="BS83"/>
  <c r="BQ83"/>
  <c r="BM83"/>
  <c r="BK83"/>
  <c r="BI83"/>
  <c r="BE83"/>
  <c r="BC83"/>
  <c r="BA83"/>
  <c r="AW83"/>
  <c r="AU83"/>
  <c r="AS83"/>
  <c r="AO83"/>
  <c r="AM83"/>
  <c r="AK83"/>
  <c r="DI82"/>
  <c r="DG82"/>
  <c r="DE82"/>
  <c r="DA82"/>
  <c r="CY82"/>
  <c r="CW82"/>
  <c r="CS82"/>
  <c r="CQ82"/>
  <c r="CO82"/>
  <c r="CK82"/>
  <c r="CI82"/>
  <c r="CG82"/>
  <c r="CC82"/>
  <c r="CA82"/>
  <c r="BY82"/>
  <c r="BU82"/>
  <c r="BS82"/>
  <c r="BQ82"/>
  <c r="BM82"/>
  <c r="BK82"/>
  <c r="BI82"/>
  <c r="BE82"/>
  <c r="BC82"/>
  <c r="BA82"/>
  <c r="AW82"/>
  <c r="AU82"/>
  <c r="AS82"/>
  <c r="AO82"/>
  <c r="AM82"/>
  <c r="AK82"/>
  <c r="DI81"/>
  <c r="DG81"/>
  <c r="DE81"/>
  <c r="DA81"/>
  <c r="CY81"/>
  <c r="CW81"/>
  <c r="CS81"/>
  <c r="CQ81"/>
  <c r="CO81"/>
  <c r="CK81"/>
  <c r="CI81"/>
  <c r="CG81"/>
  <c r="CC81"/>
  <c r="CA81"/>
  <c r="BY81"/>
  <c r="BU81"/>
  <c r="BS81"/>
  <c r="BQ81"/>
  <c r="BM81"/>
  <c r="BK81"/>
  <c r="BI81"/>
  <c r="BE81"/>
  <c r="BC81"/>
  <c r="BA81"/>
  <c r="AW81"/>
  <c r="AU81"/>
  <c r="AS81"/>
  <c r="AO81"/>
  <c r="AM81"/>
  <c r="AK81"/>
  <c r="DI80"/>
  <c r="DG80"/>
  <c r="DE80"/>
  <c r="DA80"/>
  <c r="CY80"/>
  <c r="CW80"/>
  <c r="CS80"/>
  <c r="CQ80"/>
  <c r="CO80"/>
  <c r="CK80"/>
  <c r="CI80"/>
  <c r="CG80"/>
  <c r="CC80"/>
  <c r="CA80"/>
  <c r="BY80"/>
  <c r="BU80"/>
  <c r="BS80"/>
  <c r="BQ80"/>
  <c r="BM80"/>
  <c r="BK80"/>
  <c r="BI80"/>
  <c r="BE80"/>
  <c r="BC80"/>
  <c r="BA80"/>
  <c r="AW80"/>
  <c r="AU80"/>
  <c r="AS80"/>
  <c r="AO80"/>
  <c r="AM80"/>
  <c r="AK80"/>
  <c r="DI79"/>
  <c r="DG79"/>
  <c r="DE79"/>
  <c r="DA79"/>
  <c r="CY79"/>
  <c r="CW79"/>
  <c r="CS79"/>
  <c r="CQ79"/>
  <c r="CO79"/>
  <c r="CK79"/>
  <c r="CI79"/>
  <c r="CG79"/>
  <c r="CC79"/>
  <c r="CA79"/>
  <c r="BY79"/>
  <c r="BU79"/>
  <c r="BS79"/>
  <c r="BQ79"/>
  <c r="BM79"/>
  <c r="BK79"/>
  <c r="BI79"/>
  <c r="BE79"/>
  <c r="BC79"/>
  <c r="BA79"/>
  <c r="AW79"/>
  <c r="AU79"/>
  <c r="AS79"/>
  <c r="AO79"/>
  <c r="AM79"/>
  <c r="AK79"/>
  <c r="DI78"/>
  <c r="DG78"/>
  <c r="DE78"/>
  <c r="DA78"/>
  <c r="CY78"/>
  <c r="CW78"/>
  <c r="CS78"/>
  <c r="CQ78"/>
  <c r="CO78"/>
  <c r="CK78"/>
  <c r="CI78"/>
  <c r="CG78"/>
  <c r="CC78"/>
  <c r="CA78"/>
  <c r="BY78"/>
  <c r="BU78"/>
  <c r="BS78"/>
  <c r="BQ78"/>
  <c r="BM78"/>
  <c r="BK78"/>
  <c r="BI78"/>
  <c r="BE78"/>
  <c r="BC78"/>
  <c r="BA78"/>
  <c r="AW78"/>
  <c r="AU78"/>
  <c r="AS78"/>
  <c r="AO78"/>
  <c r="AM78"/>
  <c r="AK78"/>
  <c r="DI77"/>
  <c r="DG77"/>
  <c r="DE77"/>
  <c r="DA77"/>
  <c r="CY77"/>
  <c r="CW77"/>
  <c r="CS77"/>
  <c r="CQ77"/>
  <c r="CO77"/>
  <c r="CK77"/>
  <c r="CI77"/>
  <c r="CG77"/>
  <c r="CC77"/>
  <c r="CA77"/>
  <c r="BY77"/>
  <c r="BU77"/>
  <c r="BS77"/>
  <c r="BQ77"/>
  <c r="BM77"/>
  <c r="BK77"/>
  <c r="BI77"/>
  <c r="BE77"/>
  <c r="BC77"/>
  <c r="BA77"/>
  <c r="AW77"/>
  <c r="AU77"/>
  <c r="AS77"/>
  <c r="AO77"/>
  <c r="AM77"/>
  <c r="AK77"/>
  <c r="DI76"/>
  <c r="DG76"/>
  <c r="DE76"/>
  <c r="DA76"/>
  <c r="CY76"/>
  <c r="CW76"/>
  <c r="CS76"/>
  <c r="CQ76"/>
  <c r="CO76"/>
  <c r="CK76"/>
  <c r="CI76"/>
  <c r="CG76"/>
  <c r="CC76"/>
  <c r="CA76"/>
  <c r="BY76"/>
  <c r="BU76"/>
  <c r="BS76"/>
  <c r="BQ76"/>
  <c r="BM76"/>
  <c r="BK76"/>
  <c r="BI76"/>
  <c r="BE76"/>
  <c r="BC76"/>
  <c r="BA76"/>
  <c r="AW76"/>
  <c r="AU76"/>
  <c r="AS76"/>
  <c r="AO76"/>
  <c r="AM76"/>
  <c r="AK76"/>
  <c r="DI75"/>
  <c r="DG75"/>
  <c r="DE75"/>
  <c r="DA75"/>
  <c r="CY75"/>
  <c r="CW75"/>
  <c r="CS75"/>
  <c r="CQ75"/>
  <c r="CO75"/>
  <c r="CK75"/>
  <c r="CI75"/>
  <c r="CG75"/>
  <c r="CC75"/>
  <c r="CA75"/>
  <c r="BY75"/>
  <c r="BU75"/>
  <c r="BS75"/>
  <c r="BQ75"/>
  <c r="BM75"/>
  <c r="BK75"/>
  <c r="BI75"/>
  <c r="BE75"/>
  <c r="BC75"/>
  <c r="BA75"/>
  <c r="AW75"/>
  <c r="AU75"/>
  <c r="AS75"/>
  <c r="AO75"/>
  <c r="AM75"/>
  <c r="AK75"/>
  <c r="DI74"/>
  <c r="DG74"/>
  <c r="DE74"/>
  <c r="DA74"/>
  <c r="CY74"/>
  <c r="CW74"/>
  <c r="CS74"/>
  <c r="CQ74"/>
  <c r="CO74"/>
  <c r="CK74"/>
  <c r="CI74"/>
  <c r="CG74"/>
  <c r="CC74"/>
  <c r="CA74"/>
  <c r="BY74"/>
  <c r="BU74"/>
  <c r="BS74"/>
  <c r="BQ74"/>
  <c r="BM74"/>
  <c r="BK74"/>
  <c r="BI74"/>
  <c r="BE74"/>
  <c r="BC74"/>
  <c r="BA74"/>
  <c r="AW74"/>
  <c r="AU74"/>
  <c r="AS74"/>
  <c r="AO74"/>
  <c r="AM74"/>
  <c r="AK74"/>
  <c r="DI73"/>
  <c r="DG73"/>
  <c r="DE73"/>
  <c r="DA73"/>
  <c r="CY73"/>
  <c r="CW73"/>
  <c r="CS73"/>
  <c r="CQ73"/>
  <c r="CO73"/>
  <c r="CK73"/>
  <c r="CI73"/>
  <c r="CG73"/>
  <c r="CC73"/>
  <c r="CA73"/>
  <c r="BY73"/>
  <c r="BU73"/>
  <c r="BS73"/>
  <c r="BQ73"/>
  <c r="BM73"/>
  <c r="BK73"/>
  <c r="BI73"/>
  <c r="BE73"/>
  <c r="BC73"/>
  <c r="BA73"/>
  <c r="AW73"/>
  <c r="AU73"/>
  <c r="AS73"/>
  <c r="AO73"/>
  <c r="AM73"/>
  <c r="AK73"/>
  <c r="DI72"/>
  <c r="DG72"/>
  <c r="DE72"/>
  <c r="DA72"/>
  <c r="CY72"/>
  <c r="CW72"/>
  <c r="CS72"/>
  <c r="CQ72"/>
  <c r="CO72"/>
  <c r="CK72"/>
  <c r="CI72"/>
  <c r="CG72"/>
  <c r="CC72"/>
  <c r="CA72"/>
  <c r="BY72"/>
  <c r="BU72"/>
  <c r="BS72"/>
  <c r="BQ72"/>
  <c r="BM72"/>
  <c r="BK72"/>
  <c r="BI72"/>
  <c r="BE72"/>
  <c r="BC72"/>
  <c r="BA72"/>
  <c r="AW72"/>
  <c r="AU72"/>
  <c r="AS72"/>
  <c r="AO72"/>
  <c r="AM72"/>
  <c r="AK72"/>
  <c r="DI71"/>
  <c r="DG71"/>
  <c r="DE71"/>
  <c r="DA71"/>
  <c r="CY71"/>
  <c r="CW71"/>
  <c r="CS71"/>
  <c r="CQ71"/>
  <c r="CO71"/>
  <c r="CK71"/>
  <c r="CI71"/>
  <c r="CG71"/>
  <c r="CC71"/>
  <c r="CA71"/>
  <c r="BY71"/>
  <c r="BU71"/>
  <c r="BS71"/>
  <c r="BQ71"/>
  <c r="BM71"/>
  <c r="BK71"/>
  <c r="BI71"/>
  <c r="BE71"/>
  <c r="BC71"/>
  <c r="BA71"/>
  <c r="AW71"/>
  <c r="AU71"/>
  <c r="AS71"/>
  <c r="AO71"/>
  <c r="AM71"/>
  <c r="AK71"/>
  <c r="DI70"/>
  <c r="DG70"/>
  <c r="DE70"/>
  <c r="DA70"/>
  <c r="CY70"/>
  <c r="CW70"/>
  <c r="CS70"/>
  <c r="CQ70"/>
  <c r="CO70"/>
  <c r="CK70"/>
  <c r="CI70"/>
  <c r="CG70"/>
  <c r="CC70"/>
  <c r="CA70"/>
  <c r="BY70"/>
  <c r="BU70"/>
  <c r="BS70"/>
  <c r="BQ70"/>
  <c r="BM70"/>
  <c r="BK70"/>
  <c r="BI70"/>
  <c r="BE70"/>
  <c r="BC70"/>
  <c r="BA70"/>
  <c r="AW70"/>
  <c r="AU70"/>
  <c r="AS70"/>
  <c r="AO70"/>
  <c r="AM70"/>
  <c r="AK70"/>
  <c r="DI69"/>
  <c r="DG69"/>
  <c r="DE69"/>
  <c r="DA69"/>
  <c r="CY69"/>
  <c r="CW69"/>
  <c r="CS69"/>
  <c r="CQ69"/>
  <c r="CO69"/>
  <c r="CK69"/>
  <c r="CI69"/>
  <c r="CG69"/>
  <c r="CC69"/>
  <c r="CA69"/>
  <c r="BY69"/>
  <c r="BU69"/>
  <c r="BS69"/>
  <c r="BQ69"/>
  <c r="BM69"/>
  <c r="BK69"/>
  <c r="BI69"/>
  <c r="BE69"/>
  <c r="BC69"/>
  <c r="BA69"/>
  <c r="AW69"/>
  <c r="AU69"/>
  <c r="AS69"/>
  <c r="AO69"/>
  <c r="AM69"/>
  <c r="AK69"/>
  <c r="DI68"/>
  <c r="DG68"/>
  <c r="DE68"/>
  <c r="DA68"/>
  <c r="CY68"/>
  <c r="CW68"/>
  <c r="CS68"/>
  <c r="CQ68"/>
  <c r="CO68"/>
  <c r="CK68"/>
  <c r="CI68"/>
  <c r="CG68"/>
  <c r="CC68"/>
  <c r="CA68"/>
  <c r="BY68"/>
  <c r="BU68"/>
  <c r="BS68"/>
  <c r="BQ68"/>
  <c r="BM68"/>
  <c r="BK68"/>
  <c r="BI68"/>
  <c r="BE68"/>
  <c r="BC68"/>
  <c r="BA68"/>
  <c r="AW68"/>
  <c r="AU68"/>
  <c r="AS68"/>
  <c r="AO68"/>
  <c r="AM68"/>
  <c r="AK68"/>
  <c r="DI67"/>
  <c r="DG67"/>
  <c r="DE67"/>
  <c r="DA67"/>
  <c r="CY67"/>
  <c r="CW67"/>
  <c r="CS67"/>
  <c r="CQ67"/>
  <c r="CO67"/>
  <c r="CK67"/>
  <c r="CI67"/>
  <c r="CG67"/>
  <c r="CC67"/>
  <c r="CA67"/>
  <c r="BY67"/>
  <c r="BU67"/>
  <c r="BS67"/>
  <c r="BQ67"/>
  <c r="BM67"/>
  <c r="BK67"/>
  <c r="BI67"/>
  <c r="BE67"/>
  <c r="BC67"/>
  <c r="BA67"/>
  <c r="AW67"/>
  <c r="AU67"/>
  <c r="AS67"/>
  <c r="AO67"/>
  <c r="AM67"/>
  <c r="AK67"/>
  <c r="DI66"/>
  <c r="DG66"/>
  <c r="DE66"/>
  <c r="DA66"/>
  <c r="CY66"/>
  <c r="CW66"/>
  <c r="CS66"/>
  <c r="CQ66"/>
  <c r="CO66"/>
  <c r="CK66"/>
  <c r="CI66"/>
  <c r="CG66"/>
  <c r="CC66"/>
  <c r="CA66"/>
  <c r="BY66"/>
  <c r="BU66"/>
  <c r="BS66"/>
  <c r="BQ66"/>
  <c r="BM66"/>
  <c r="BK66"/>
  <c r="BI66"/>
  <c r="BE66"/>
  <c r="BC66"/>
  <c r="BA66"/>
  <c r="AW66"/>
  <c r="AU66"/>
  <c r="AS66"/>
  <c r="AO66"/>
  <c r="AM66"/>
  <c r="AK66"/>
  <c r="DI65"/>
  <c r="DG65"/>
  <c r="DE65"/>
  <c r="DA65"/>
  <c r="CY65"/>
  <c r="CW65"/>
  <c r="CS65"/>
  <c r="CQ65"/>
  <c r="CO65"/>
  <c r="CK65"/>
  <c r="CI65"/>
  <c r="CG65"/>
  <c r="CC65"/>
  <c r="CA65"/>
  <c r="BY65"/>
  <c r="BU65"/>
  <c r="BS65"/>
  <c r="BQ65"/>
  <c r="BM65"/>
  <c r="BK65"/>
  <c r="BI65"/>
  <c r="BE65"/>
  <c r="BC65"/>
  <c r="BA65"/>
  <c r="AW65"/>
  <c r="AU65"/>
  <c r="AS65"/>
  <c r="AO65"/>
  <c r="AM65"/>
  <c r="AK65"/>
  <c r="DI64"/>
  <c r="DG64"/>
  <c r="DE64"/>
  <c r="DA64"/>
  <c r="CY64"/>
  <c r="CW64"/>
  <c r="CS64"/>
  <c r="CQ64"/>
  <c r="CO64"/>
  <c r="CK64"/>
  <c r="CI64"/>
  <c r="CG64"/>
  <c r="CC64"/>
  <c r="CA64"/>
  <c r="BY64"/>
  <c r="BU64"/>
  <c r="BS64"/>
  <c r="BQ64"/>
  <c r="BM64"/>
  <c r="BK64"/>
  <c r="BI64"/>
  <c r="BE64"/>
  <c r="BC64"/>
  <c r="BA64"/>
  <c r="AW64"/>
  <c r="AU64"/>
  <c r="AS64"/>
  <c r="AO64"/>
  <c r="AM64"/>
  <c r="AK64"/>
  <c r="DI63"/>
  <c r="DG63"/>
  <c r="DE63"/>
  <c r="DA63"/>
  <c r="CY63"/>
  <c r="CW63"/>
  <c r="CS63"/>
  <c r="CQ63"/>
  <c r="CO63"/>
  <c r="CK63"/>
  <c r="CI63"/>
  <c r="CG63"/>
  <c r="CC63"/>
  <c r="CA63"/>
  <c r="BY63"/>
  <c r="BU63"/>
  <c r="BS63"/>
  <c r="BQ63"/>
  <c r="BM63"/>
  <c r="BK63"/>
  <c r="BI63"/>
  <c r="BE63"/>
  <c r="BC63"/>
  <c r="BA63"/>
  <c r="AW63"/>
  <c r="AU63"/>
  <c r="AS63"/>
  <c r="AO63"/>
  <c r="AM63"/>
  <c r="AK63"/>
  <c r="DI62"/>
  <c r="DG62"/>
  <c r="DE62"/>
  <c r="DA62"/>
  <c r="CY62"/>
  <c r="CW62"/>
  <c r="CS62"/>
  <c r="CQ62"/>
  <c r="CO62"/>
  <c r="CK62"/>
  <c r="CI62"/>
  <c r="CG62"/>
  <c r="CC62"/>
  <c r="CA62"/>
  <c r="BY62"/>
  <c r="BU62"/>
  <c r="BS62"/>
  <c r="BQ62"/>
  <c r="BM62"/>
  <c r="BK62"/>
  <c r="BI62"/>
  <c r="BE62"/>
  <c r="BC62"/>
  <c r="BA62"/>
  <c r="AW62"/>
  <c r="AU62"/>
  <c r="AS62"/>
  <c r="AO62"/>
  <c r="AM62"/>
  <c r="AK62"/>
  <c r="DI61"/>
  <c r="DG61"/>
  <c r="DE61"/>
  <c r="DA61"/>
  <c r="CY61"/>
  <c r="CW61"/>
  <c r="CS61"/>
  <c r="CQ61"/>
  <c r="CO61"/>
  <c r="CK61"/>
  <c r="CI61"/>
  <c r="CG61"/>
  <c r="CC61"/>
  <c r="CA61"/>
  <c r="BY61"/>
  <c r="BU61"/>
  <c r="BS61"/>
  <c r="BQ61"/>
  <c r="BM61"/>
  <c r="BK61"/>
  <c r="BI61"/>
  <c r="BE61"/>
  <c r="BC61"/>
  <c r="BA61"/>
  <c r="AW61"/>
  <c r="AU61"/>
  <c r="AS61"/>
  <c r="AO61"/>
  <c r="AM61"/>
  <c r="AK61"/>
  <c r="DI60"/>
  <c r="DG60"/>
  <c r="DE60"/>
  <c r="DA60"/>
  <c r="CY60"/>
  <c r="CW60"/>
  <c r="CS60"/>
  <c r="CQ60"/>
  <c r="CO60"/>
  <c r="CK60"/>
  <c r="CI60"/>
  <c r="CG60"/>
  <c r="CC60"/>
  <c r="CA60"/>
  <c r="BY60"/>
  <c r="BU60"/>
  <c r="BS60"/>
  <c r="BQ60"/>
  <c r="BM60"/>
  <c r="BK60"/>
  <c r="BI60"/>
  <c r="BE60"/>
  <c r="BC60"/>
  <c r="BA60"/>
  <c r="AW60"/>
  <c r="AU60"/>
  <c r="AS60"/>
  <c r="AO60"/>
  <c r="AM60"/>
  <c r="AK60"/>
  <c r="DI59"/>
  <c r="DG59"/>
  <c r="DE59"/>
  <c r="DA59"/>
  <c r="CY59"/>
  <c r="CW59"/>
  <c r="CS59"/>
  <c r="CQ59"/>
  <c r="CO59"/>
  <c r="CK59"/>
  <c r="CI59"/>
  <c r="CG59"/>
  <c r="CC59"/>
  <c r="CA59"/>
  <c r="BY59"/>
  <c r="BU59"/>
  <c r="BS59"/>
  <c r="BQ59"/>
  <c r="BM59"/>
  <c r="BK59"/>
  <c r="BI59"/>
  <c r="BE59"/>
  <c r="BC59"/>
  <c r="BA59"/>
  <c r="AW59"/>
  <c r="AU59"/>
  <c r="AS59"/>
  <c r="AO59"/>
  <c r="AM59"/>
  <c r="AK59"/>
  <c r="DI58"/>
  <c r="DG58"/>
  <c r="DE58"/>
  <c r="DA58"/>
  <c r="CY58"/>
  <c r="CW58"/>
  <c r="CS58"/>
  <c r="CQ58"/>
  <c r="CO58"/>
  <c r="CK58"/>
  <c r="CI58"/>
  <c r="CG58"/>
  <c r="CC58"/>
  <c r="CA58"/>
  <c r="BY58"/>
  <c r="BU58"/>
  <c r="BS58"/>
  <c r="BQ58"/>
  <c r="BM58"/>
  <c r="BK58"/>
  <c r="BI58"/>
  <c r="BE58"/>
  <c r="BC58"/>
  <c r="BA58"/>
  <c r="AW58"/>
  <c r="AU58"/>
  <c r="AS58"/>
  <c r="AO58"/>
  <c r="AM58"/>
  <c r="AK58"/>
  <c r="DI57"/>
  <c r="DG57"/>
  <c r="DE57"/>
  <c r="DA57"/>
  <c r="CY57"/>
  <c r="CW57"/>
  <c r="CS57"/>
  <c r="CQ57"/>
  <c r="CO57"/>
  <c r="CK57"/>
  <c r="CI57"/>
  <c r="CG57"/>
  <c r="CC57"/>
  <c r="CA57"/>
  <c r="BY57"/>
  <c r="BU57"/>
  <c r="BS57"/>
  <c r="BQ57"/>
  <c r="BM57"/>
  <c r="BK57"/>
  <c r="BI57"/>
  <c r="BE57"/>
  <c r="BC57"/>
  <c r="BA57"/>
  <c r="AW57"/>
  <c r="AU57"/>
  <c r="AS57"/>
  <c r="AO57"/>
  <c r="AM57"/>
  <c r="AK57"/>
  <c r="DI56"/>
  <c r="DG56"/>
  <c r="DE56"/>
  <c r="DA56"/>
  <c r="CY56"/>
  <c r="CW56"/>
  <c r="CS56"/>
  <c r="CQ56"/>
  <c r="CO56"/>
  <c r="CK56"/>
  <c r="CI56"/>
  <c r="CG56"/>
  <c r="CC56"/>
  <c r="CA56"/>
  <c r="BY56"/>
  <c r="BU56"/>
  <c r="BS56"/>
  <c r="BQ56"/>
  <c r="BM56"/>
  <c r="BK56"/>
  <c r="BI56"/>
  <c r="BE56"/>
  <c r="BC56"/>
  <c r="BA56"/>
  <c r="AW56"/>
  <c r="AU56"/>
  <c r="AS56"/>
  <c r="AO56"/>
  <c r="AM56"/>
  <c r="AK56"/>
  <c r="DI55"/>
  <c r="DG55"/>
  <c r="DE55"/>
  <c r="DA55"/>
  <c r="CY55"/>
  <c r="CW55"/>
  <c r="CS55"/>
  <c r="CQ55"/>
  <c r="CO55"/>
  <c r="CK55"/>
  <c r="CI55"/>
  <c r="CG55"/>
  <c r="CC55"/>
  <c r="CA55"/>
  <c r="BY55"/>
  <c r="BU55"/>
  <c r="BS55"/>
  <c r="BQ55"/>
  <c r="BM55"/>
  <c r="BK55"/>
  <c r="BI55"/>
  <c r="BE55"/>
  <c r="BC55"/>
  <c r="BA55"/>
  <c r="AW55"/>
  <c r="AU55"/>
  <c r="AS55"/>
  <c r="AO55"/>
  <c r="AM55"/>
  <c r="AK55"/>
  <c r="DI54"/>
  <c r="DG54"/>
  <c r="DE54"/>
  <c r="DA54"/>
  <c r="CY54"/>
  <c r="CW54"/>
  <c r="CS54"/>
  <c r="CQ54"/>
  <c r="CO54"/>
  <c r="CK54"/>
  <c r="CI54"/>
  <c r="CG54"/>
  <c r="CC54"/>
  <c r="CA54"/>
  <c r="BY54"/>
  <c r="BU54"/>
  <c r="BS54"/>
  <c r="BQ54"/>
  <c r="BM54"/>
  <c r="BK54"/>
  <c r="BI54"/>
  <c r="BE54"/>
  <c r="BC54"/>
  <c r="BA54"/>
  <c r="AW54"/>
  <c r="AU54"/>
  <c r="AS54"/>
  <c r="AO54"/>
  <c r="AM54"/>
  <c r="AK54"/>
  <c r="DI53"/>
  <c r="DG53"/>
  <c r="DE53"/>
  <c r="DA53"/>
  <c r="CY53"/>
  <c r="CW53"/>
  <c r="CS53"/>
  <c r="CQ53"/>
  <c r="CO53"/>
  <c r="CK53"/>
  <c r="CI53"/>
  <c r="CG53"/>
  <c r="CC53"/>
  <c r="CA53"/>
  <c r="BY53"/>
  <c r="BU53"/>
  <c r="BS53"/>
  <c r="BQ53"/>
  <c r="BM53"/>
  <c r="BK53"/>
  <c r="BI53"/>
  <c r="BE53"/>
  <c r="BC53"/>
  <c r="BA53"/>
  <c r="AW53"/>
  <c r="AU53"/>
  <c r="AS53"/>
  <c r="AO53"/>
  <c r="AM53"/>
  <c r="AK53"/>
  <c r="DI52"/>
  <c r="DG52"/>
  <c r="DE52"/>
  <c r="DA52"/>
  <c r="CY52"/>
  <c r="CW52"/>
  <c r="CS52"/>
  <c r="CQ52"/>
  <c r="CO52"/>
  <c r="CK52"/>
  <c r="CI52"/>
  <c r="CG52"/>
  <c r="CC52"/>
  <c r="CA52"/>
  <c r="BY52"/>
  <c r="BU52"/>
  <c r="BS52"/>
  <c r="BQ52"/>
  <c r="BM52"/>
  <c r="BK52"/>
  <c r="BI52"/>
  <c r="BE52"/>
  <c r="BC52"/>
  <c r="BA52"/>
  <c r="AW52"/>
  <c r="AU52"/>
  <c r="AS52"/>
  <c r="AO52"/>
  <c r="AM52"/>
  <c r="AK52"/>
  <c r="DI51"/>
  <c r="DG51"/>
  <c r="DE51"/>
  <c r="DA51"/>
  <c r="CY51"/>
  <c r="CW51"/>
  <c r="CS51"/>
  <c r="CQ51"/>
  <c r="CO51"/>
  <c r="CK51"/>
  <c r="CI51"/>
  <c r="CG51"/>
  <c r="CC51"/>
  <c r="CA51"/>
  <c r="BY51"/>
  <c r="BU51"/>
  <c r="BS51"/>
  <c r="BQ51"/>
  <c r="BM51"/>
  <c r="BK51"/>
  <c r="BI51"/>
  <c r="BE51"/>
  <c r="BC51"/>
  <c r="BA51"/>
  <c r="AW51"/>
  <c r="AU51"/>
  <c r="AS51"/>
  <c r="AO51"/>
  <c r="AM51"/>
  <c r="AK51"/>
  <c r="DI50"/>
  <c r="DG50"/>
  <c r="DE50"/>
  <c r="DA50"/>
  <c r="CY50"/>
  <c r="CW50"/>
  <c r="CS50"/>
  <c r="CQ50"/>
  <c r="CO50"/>
  <c r="CK50"/>
  <c r="CI50"/>
  <c r="CG50"/>
  <c r="CC50"/>
  <c r="CA50"/>
  <c r="BY50"/>
  <c r="BU50"/>
  <c r="BS50"/>
  <c r="BQ50"/>
  <c r="BM50"/>
  <c r="BK50"/>
  <c r="BI50"/>
  <c r="BE50"/>
  <c r="BC50"/>
  <c r="BA50"/>
  <c r="AW50"/>
  <c r="AU50"/>
  <c r="AS50"/>
  <c r="AO50"/>
  <c r="AM50"/>
  <c r="AK50"/>
  <c r="DI49"/>
  <c r="DG49"/>
  <c r="DE49"/>
  <c r="DA49"/>
  <c r="CY49"/>
  <c r="CW49"/>
  <c r="CS49"/>
  <c r="CQ49"/>
  <c r="CO49"/>
  <c r="CK49"/>
  <c r="CI49"/>
  <c r="CG49"/>
  <c r="CC49"/>
  <c r="CA49"/>
  <c r="BY49"/>
  <c r="BU49"/>
  <c r="BS49"/>
  <c r="BQ49"/>
  <c r="BM49"/>
  <c r="BK49"/>
  <c r="BI49"/>
  <c r="BE49"/>
  <c r="BC49"/>
  <c r="BA49"/>
  <c r="AW49"/>
  <c r="AU49"/>
  <c r="AS49"/>
  <c r="AO49"/>
  <c r="AM49"/>
  <c r="AK49"/>
  <c r="DI48"/>
  <c r="DG48"/>
  <c r="DE48"/>
  <c r="DA48"/>
  <c r="CY48"/>
  <c r="CW48"/>
  <c r="CS48"/>
  <c r="CQ48"/>
  <c r="CO48"/>
  <c r="CK48"/>
  <c r="CI48"/>
  <c r="CG48"/>
  <c r="CC48"/>
  <c r="CA48"/>
  <c r="BY48"/>
  <c r="BU48"/>
  <c r="BS48"/>
  <c r="BQ48"/>
  <c r="BM48"/>
  <c r="BK48"/>
  <c r="BI48"/>
  <c r="BE48"/>
  <c r="BC48"/>
  <c r="BA48"/>
  <c r="AW48"/>
  <c r="AU48"/>
  <c r="AS48"/>
  <c r="AO48"/>
  <c r="AM48"/>
  <c r="AK48"/>
  <c r="DI47"/>
  <c r="DG47"/>
  <c r="DE47"/>
  <c r="DA47"/>
  <c r="CY47"/>
  <c r="CW47"/>
  <c r="CS47"/>
  <c r="CQ47"/>
  <c r="CO47"/>
  <c r="CK47"/>
  <c r="CI47"/>
  <c r="CG47"/>
  <c r="CC47"/>
  <c r="CA47"/>
  <c r="BY47"/>
  <c r="BU47"/>
  <c r="BS47"/>
  <c r="BQ47"/>
  <c r="BM47"/>
  <c r="BK47"/>
  <c r="BI47"/>
  <c r="BE47"/>
  <c r="BC47"/>
  <c r="BA47"/>
  <c r="AW47"/>
  <c r="AU47"/>
  <c r="AS47"/>
  <c r="AO47"/>
  <c r="AM47"/>
  <c r="AK47"/>
  <c r="DI46"/>
  <c r="DG46"/>
  <c r="DE46"/>
  <c r="DA46"/>
  <c r="CY46"/>
  <c r="CW46"/>
  <c r="CS46"/>
  <c r="CQ46"/>
  <c r="CO46"/>
  <c r="CK46"/>
  <c r="CI46"/>
  <c r="CG46"/>
  <c r="CC46"/>
  <c r="CA46"/>
  <c r="BY46"/>
  <c r="BU46"/>
  <c r="BS46"/>
  <c r="BQ46"/>
  <c r="BM46"/>
  <c r="BK46"/>
  <c r="BI46"/>
  <c r="BE46"/>
  <c r="BC46"/>
  <c r="BA46"/>
  <c r="AW46"/>
  <c r="AU46"/>
  <c r="AS46"/>
  <c r="AO46"/>
  <c r="AM46"/>
  <c r="AK46"/>
  <c r="DI45"/>
  <c r="DG45"/>
  <c r="DE45"/>
  <c r="DA45"/>
  <c r="CY45"/>
  <c r="CW45"/>
  <c r="CS45"/>
  <c r="CQ45"/>
  <c r="CO45"/>
  <c r="CK45"/>
  <c r="CI45"/>
  <c r="CG45"/>
  <c r="CC45"/>
  <c r="CA45"/>
  <c r="BY45"/>
  <c r="BU45"/>
  <c r="BS45"/>
  <c r="BQ45"/>
  <c r="BM45"/>
  <c r="BK45"/>
  <c r="BI45"/>
  <c r="BE45"/>
  <c r="BC45"/>
  <c r="BA45"/>
  <c r="AW45"/>
  <c r="AU45"/>
  <c r="AS45"/>
  <c r="AO45"/>
  <c r="AM45"/>
  <c r="AK45"/>
  <c r="DI44"/>
  <c r="DG44"/>
  <c r="DE44"/>
  <c r="DA44"/>
  <c r="CY44"/>
  <c r="CW44"/>
  <c r="CS44"/>
  <c r="CQ44"/>
  <c r="CO44"/>
  <c r="CK44"/>
  <c r="CI44"/>
  <c r="CG44"/>
  <c r="CC44"/>
  <c r="CA44"/>
  <c r="BY44"/>
  <c r="BU44"/>
  <c r="BS44"/>
  <c r="BQ44"/>
  <c r="BM44"/>
  <c r="BK44"/>
  <c r="BI44"/>
  <c r="BE44"/>
  <c r="BC44"/>
  <c r="BA44"/>
  <c r="AW44"/>
  <c r="AU44"/>
  <c r="AS44"/>
  <c r="AO44"/>
  <c r="AM44"/>
  <c r="AK44"/>
  <c r="DI43"/>
  <c r="DG43"/>
  <c r="DE43"/>
  <c r="DA43"/>
  <c r="CY43"/>
  <c r="CW43"/>
  <c r="CS43"/>
  <c r="CQ43"/>
  <c r="CO43"/>
  <c r="CK43"/>
  <c r="CI43"/>
  <c r="CG43"/>
  <c r="CC43"/>
  <c r="CA43"/>
  <c r="BY43"/>
  <c r="BU43"/>
  <c r="BS43"/>
  <c r="BQ43"/>
  <c r="BM43"/>
  <c r="BK43"/>
  <c r="BI43"/>
  <c r="BE43"/>
  <c r="BC43"/>
  <c r="BA43"/>
  <c r="AW43"/>
  <c r="AU43"/>
  <c r="AS43"/>
  <c r="AO43"/>
  <c r="AM43"/>
  <c r="AK43"/>
  <c r="DI42"/>
  <c r="DG42"/>
  <c r="DE42"/>
  <c r="DA42"/>
  <c r="CY42"/>
  <c r="CW42"/>
  <c r="CS42"/>
  <c r="CQ42"/>
  <c r="CO42"/>
  <c r="CK42"/>
  <c r="CI42"/>
  <c r="CG42"/>
  <c r="CC42"/>
  <c r="CA42"/>
  <c r="BY42"/>
  <c r="BU42"/>
  <c r="BS42"/>
  <c r="BQ42"/>
  <c r="BM42"/>
  <c r="BK42"/>
  <c r="BI42"/>
  <c r="BE42"/>
  <c r="BC42"/>
  <c r="BA42"/>
  <c r="AW42"/>
  <c r="AU42"/>
  <c r="AS42"/>
  <c r="AO42"/>
  <c r="AM42"/>
  <c r="AK42"/>
  <c r="DI41"/>
  <c r="DG41"/>
  <c r="DE41"/>
  <c r="DA41"/>
  <c r="CY41"/>
  <c r="CW41"/>
  <c r="CS41"/>
  <c r="CQ41"/>
  <c r="CO41"/>
  <c r="CK41"/>
  <c r="CI41"/>
  <c r="CG41"/>
  <c r="CC41"/>
  <c r="CA41"/>
  <c r="BY41"/>
  <c r="BU41"/>
  <c r="BS41"/>
  <c r="BQ41"/>
  <c r="BM41"/>
  <c r="BK41"/>
  <c r="BI41"/>
  <c r="BE41"/>
  <c r="BC41"/>
  <c r="BA41"/>
  <c r="AW41"/>
  <c r="AU41"/>
  <c r="AS41"/>
  <c r="AO41"/>
  <c r="AM41"/>
  <c r="AK41"/>
  <c r="DI40"/>
  <c r="DG40"/>
  <c r="DE40"/>
  <c r="DA40"/>
  <c r="CY40"/>
  <c r="CW40"/>
  <c r="CS40"/>
  <c r="CQ40"/>
  <c r="CO40"/>
  <c r="CK40"/>
  <c r="CI40"/>
  <c r="CG40"/>
  <c r="CC40"/>
  <c r="CA40"/>
  <c r="BY40"/>
  <c r="BU40"/>
  <c r="BS40"/>
  <c r="BQ40"/>
  <c r="BM40"/>
  <c r="BK40"/>
  <c r="BI40"/>
  <c r="BE40"/>
  <c r="BC40"/>
  <c r="BA40"/>
  <c r="AW40"/>
  <c r="AU40"/>
  <c r="AS40"/>
  <c r="AO40"/>
  <c r="AM40"/>
  <c r="AK40"/>
  <c r="DI39"/>
  <c r="DG39"/>
  <c r="DE39"/>
  <c r="DA39"/>
  <c r="CY39"/>
  <c r="CW39"/>
  <c r="CS39"/>
  <c r="CQ39"/>
  <c r="CO39"/>
  <c r="CK39"/>
  <c r="CI39"/>
  <c r="CG39"/>
  <c r="CC39"/>
  <c r="CA39"/>
  <c r="BY39"/>
  <c r="BU39"/>
  <c r="BS39"/>
  <c r="BQ39"/>
  <c r="BM39"/>
  <c r="BK39"/>
  <c r="BI39"/>
  <c r="BE39"/>
  <c r="BC39"/>
  <c r="BA39"/>
  <c r="AW39"/>
  <c r="AU39"/>
  <c r="AS39"/>
  <c r="AO39"/>
  <c r="AM39"/>
  <c r="AK39"/>
  <c r="DI38"/>
  <c r="DG38"/>
  <c r="DE38"/>
  <c r="DA38"/>
  <c r="CY38"/>
  <c r="CW38"/>
  <c r="CS38"/>
  <c r="CQ38"/>
  <c r="CO38"/>
  <c r="CK38"/>
  <c r="CI38"/>
  <c r="CG38"/>
  <c r="CC38"/>
  <c r="CA38"/>
  <c r="BY38"/>
  <c r="BU38"/>
  <c r="BS38"/>
  <c r="BQ38"/>
  <c r="BM38"/>
  <c r="BK38"/>
  <c r="BI38"/>
  <c r="BE38"/>
  <c r="BC38"/>
  <c r="BA38"/>
  <c r="AW38"/>
  <c r="AU38"/>
  <c r="AS38"/>
  <c r="AO38"/>
  <c r="AM38"/>
  <c r="AK38"/>
  <c r="DI37"/>
  <c r="DG37"/>
  <c r="DE37"/>
  <c r="DA37"/>
  <c r="CY37"/>
  <c r="CW37"/>
  <c r="CS37"/>
  <c r="CQ37"/>
  <c r="CO37"/>
  <c r="CK37"/>
  <c r="CI37"/>
  <c r="CG37"/>
  <c r="CC37"/>
  <c r="CA37"/>
  <c r="BY37"/>
  <c r="BU37"/>
  <c r="BS37"/>
  <c r="BQ37"/>
  <c r="BM37"/>
  <c r="BK37"/>
  <c r="BI37"/>
  <c r="BE37"/>
  <c r="BC37"/>
  <c r="BA37"/>
  <c r="AW37"/>
  <c r="AU37"/>
  <c r="AS37"/>
  <c r="AO37"/>
  <c r="AM37"/>
  <c r="AK37"/>
  <c r="DI36"/>
  <c r="DG36"/>
  <c r="DE36"/>
  <c r="DA36"/>
  <c r="CY36"/>
  <c r="CW36"/>
  <c r="CS36"/>
  <c r="CQ36"/>
  <c r="CO36"/>
  <c r="CK36"/>
  <c r="CI36"/>
  <c r="CG36"/>
  <c r="CC36"/>
  <c r="CA36"/>
  <c r="BY36"/>
  <c r="BU36"/>
  <c r="BS36"/>
  <c r="BQ36"/>
  <c r="BM36"/>
  <c r="BK36"/>
  <c r="BI36"/>
  <c r="BE36"/>
  <c r="BC36"/>
  <c r="BA36"/>
  <c r="AW36"/>
  <c r="AU36"/>
  <c r="AS36"/>
  <c r="AO36"/>
  <c r="AM36"/>
  <c r="AK36"/>
  <c r="DI35"/>
  <c r="DG35"/>
  <c r="DE35"/>
  <c r="DA35"/>
  <c r="CY35"/>
  <c r="CW35"/>
  <c r="CS35"/>
  <c r="CQ35"/>
  <c r="CO35"/>
  <c r="CK35"/>
  <c r="CI35"/>
  <c r="CG35"/>
  <c r="CC35"/>
  <c r="CA35"/>
  <c r="BY35"/>
  <c r="BU35"/>
  <c r="BS35"/>
  <c r="BQ35"/>
  <c r="BM35"/>
  <c r="BK35"/>
  <c r="BI35"/>
  <c r="BE35"/>
  <c r="BC35"/>
  <c r="BA35"/>
  <c r="AW35"/>
  <c r="AU35"/>
  <c r="AS35"/>
  <c r="AO35"/>
  <c r="AM35"/>
  <c r="AK35"/>
  <c r="DI34"/>
  <c r="DG34"/>
  <c r="DE34"/>
  <c r="DA34"/>
  <c r="CY34"/>
  <c r="CW34"/>
  <c r="CS34"/>
  <c r="CQ34"/>
  <c r="CO34"/>
  <c r="CK34"/>
  <c r="CI34"/>
  <c r="CG34"/>
  <c r="CC34"/>
  <c r="CA34"/>
  <c r="BY34"/>
  <c r="BU34"/>
  <c r="BS34"/>
  <c r="BQ34"/>
  <c r="BM34"/>
  <c r="BK34"/>
  <c r="BI34"/>
  <c r="BE34"/>
  <c r="BC34"/>
  <c r="BA34"/>
  <c r="AW34"/>
  <c r="AU34"/>
  <c r="AS34"/>
  <c r="AO34"/>
  <c r="AM34"/>
  <c r="AK34"/>
  <c r="DI33"/>
  <c r="DG33"/>
  <c r="DE33"/>
  <c r="DA33"/>
  <c r="CY33"/>
  <c r="CW33"/>
  <c r="CS33"/>
  <c r="CQ33"/>
  <c r="CO33"/>
  <c r="CK33"/>
  <c r="CI33"/>
  <c r="CG33"/>
  <c r="CC33"/>
  <c r="CA33"/>
  <c r="BY33"/>
  <c r="BU33"/>
  <c r="BS33"/>
  <c r="BQ33"/>
  <c r="BM33"/>
  <c r="BK33"/>
  <c r="BI33"/>
  <c r="BE33"/>
  <c r="BC33"/>
  <c r="BA33"/>
  <c r="AW33"/>
  <c r="AU33"/>
  <c r="AS33"/>
  <c r="AO33"/>
  <c r="AM33"/>
  <c r="AK33"/>
  <c r="DI32"/>
  <c r="DG32"/>
  <c r="DE32"/>
  <c r="DA32"/>
  <c r="CY32"/>
  <c r="CW32"/>
  <c r="CS32"/>
  <c r="CQ32"/>
  <c r="CO32"/>
  <c r="CK32"/>
  <c r="CI32"/>
  <c r="CG32"/>
  <c r="CC32"/>
  <c r="CA32"/>
  <c r="BY32"/>
  <c r="BU32"/>
  <c r="BS32"/>
  <c r="BQ32"/>
  <c r="BM32"/>
  <c r="BK32"/>
  <c r="BI32"/>
  <c r="BE32"/>
  <c r="BC32"/>
  <c r="BA32"/>
  <c r="AW32"/>
  <c r="AU32"/>
  <c r="AS32"/>
  <c r="AO32"/>
  <c r="AM32"/>
  <c r="AK32"/>
  <c r="DI31"/>
  <c r="DG31"/>
  <c r="DE31"/>
  <c r="DA31"/>
  <c r="CY31"/>
  <c r="CW31"/>
  <c r="CS31"/>
  <c r="CQ31"/>
  <c r="CO31"/>
  <c r="CK31"/>
  <c r="CI31"/>
  <c r="CG31"/>
  <c r="CC31"/>
  <c r="CA31"/>
  <c r="BY31"/>
  <c r="BU31"/>
  <c r="BS31"/>
  <c r="BQ31"/>
  <c r="BM31"/>
  <c r="BK31"/>
  <c r="BI31"/>
  <c r="BE31"/>
  <c r="BC31"/>
  <c r="BA31"/>
  <c r="AW31"/>
  <c r="AU31"/>
  <c r="AS31"/>
  <c r="AO31"/>
  <c r="AM31"/>
  <c r="AK31"/>
  <c r="DI30"/>
  <c r="DG30"/>
  <c r="DE30"/>
  <c r="DA30"/>
  <c r="CY30"/>
  <c r="CW30"/>
  <c r="CS30"/>
  <c r="CQ30"/>
  <c r="CO30"/>
  <c r="CK30"/>
  <c r="CI30"/>
  <c r="CG30"/>
  <c r="CC30"/>
  <c r="CA30"/>
  <c r="BY30"/>
  <c r="BU30"/>
  <c r="BS30"/>
  <c r="BQ30"/>
  <c r="BM30"/>
  <c r="BK30"/>
  <c r="BI30"/>
  <c r="BE30"/>
  <c r="BC30"/>
  <c r="BA30"/>
  <c r="AW30"/>
  <c r="AU30"/>
  <c r="AS30"/>
  <c r="AO30"/>
  <c r="AM30"/>
  <c r="AK30"/>
  <c r="DI29"/>
  <c r="DG29"/>
  <c r="DE29"/>
  <c r="DA29"/>
  <c r="CY29"/>
  <c r="CW29"/>
  <c r="CS29"/>
  <c r="CQ29"/>
  <c r="CO29"/>
  <c r="CK29"/>
  <c r="CI29"/>
  <c r="CG29"/>
  <c r="CC29"/>
  <c r="CA29"/>
  <c r="BY29"/>
  <c r="BU29"/>
  <c r="BS29"/>
  <c r="BQ29"/>
  <c r="BM29"/>
  <c r="BK29"/>
  <c r="BI29"/>
  <c r="BE29"/>
  <c r="BC29"/>
  <c r="BA29"/>
  <c r="AW29"/>
  <c r="AU29"/>
  <c r="AS29"/>
  <c r="AO29"/>
  <c r="AM29"/>
  <c r="AK29"/>
  <c r="DI28"/>
  <c r="DG28"/>
  <c r="DE28"/>
  <c r="DA28"/>
  <c r="CY28"/>
  <c r="CW28"/>
  <c r="CS28"/>
  <c r="CQ28"/>
  <c r="CO28"/>
  <c r="CK28"/>
  <c r="CI28"/>
  <c r="CG28"/>
  <c r="CC28"/>
  <c r="CA28"/>
  <c r="BY28"/>
  <c r="BU28"/>
  <c r="BS28"/>
  <c r="BQ28"/>
  <c r="BM28"/>
  <c r="BK28"/>
  <c r="BI28"/>
  <c r="BE28"/>
  <c r="BC28"/>
  <c r="BA28"/>
  <c r="AW28"/>
  <c r="AU28"/>
  <c r="AS28"/>
  <c r="AO28"/>
  <c r="AM28"/>
  <c r="AK28"/>
  <c r="DI27"/>
  <c r="DG27"/>
  <c r="DE27"/>
  <c r="DA27"/>
  <c r="CY27"/>
  <c r="CW27"/>
  <c r="CS27"/>
  <c r="CQ27"/>
  <c r="CO27"/>
  <c r="CK27"/>
  <c r="CI27"/>
  <c r="CG27"/>
  <c r="CC27"/>
  <c r="CA27"/>
  <c r="BY27"/>
  <c r="BU27"/>
  <c r="BS27"/>
  <c r="BQ27"/>
  <c r="BM27"/>
  <c r="BK27"/>
  <c r="BI27"/>
  <c r="BE27"/>
  <c r="BC27"/>
  <c r="BA27"/>
  <c r="AW27"/>
  <c r="AU27"/>
  <c r="AS27"/>
  <c r="AO27"/>
  <c r="AM27"/>
  <c r="AK27"/>
  <c r="DI26"/>
  <c r="DG26"/>
  <c r="DE26"/>
  <c r="DA26"/>
  <c r="CY26"/>
  <c r="CW26"/>
  <c r="CS26"/>
  <c r="CQ26"/>
  <c r="CO26"/>
  <c r="CK26"/>
  <c r="CI26"/>
  <c r="CG26"/>
  <c r="CC26"/>
  <c r="CA26"/>
  <c r="BY26"/>
  <c r="BU26"/>
  <c r="BS26"/>
  <c r="BQ26"/>
  <c r="BM26"/>
  <c r="BK26"/>
  <c r="BI26"/>
  <c r="BE26"/>
  <c r="BC26"/>
  <c r="BA26"/>
  <c r="AW26"/>
  <c r="AU26"/>
  <c r="AS26"/>
  <c r="AO26"/>
  <c r="AM26"/>
  <c r="AK26"/>
  <c r="DI25"/>
  <c r="DG25"/>
  <c r="DE25"/>
  <c r="DA25"/>
  <c r="CY25"/>
  <c r="CW25"/>
  <c r="CS25"/>
  <c r="CQ25"/>
  <c r="CO25"/>
  <c r="CK25"/>
  <c r="CI25"/>
  <c r="CG25"/>
  <c r="CC25"/>
  <c r="CA25"/>
  <c r="BY25"/>
  <c r="BU25"/>
  <c r="BS25"/>
  <c r="BQ25"/>
  <c r="BM25"/>
  <c r="BK25"/>
  <c r="BI25"/>
  <c r="BE25"/>
  <c r="BC25"/>
  <c r="BA25"/>
  <c r="AW25"/>
  <c r="AU25"/>
  <c r="AS25"/>
  <c r="AO25"/>
  <c r="AM25"/>
  <c r="AK25"/>
  <c r="DI24"/>
  <c r="DG24"/>
  <c r="DE24"/>
  <c r="DA24"/>
  <c r="CY24"/>
  <c r="CW24"/>
  <c r="CS24"/>
  <c r="CQ24"/>
  <c r="CO24"/>
  <c r="CK24"/>
  <c r="CI24"/>
  <c r="CG24"/>
  <c r="CC24"/>
  <c r="CA24"/>
  <c r="BY24"/>
  <c r="BU24"/>
  <c r="BS24"/>
  <c r="BQ24"/>
  <c r="BM24"/>
  <c r="BK24"/>
  <c r="BI24"/>
  <c r="BE24"/>
  <c r="BC24"/>
  <c r="BA24"/>
  <c r="AW24"/>
  <c r="AU24"/>
  <c r="AS24"/>
  <c r="AO24"/>
  <c r="AM24"/>
  <c r="AK24"/>
  <c r="DI23"/>
  <c r="DG23"/>
  <c r="DE23"/>
  <c r="DA23"/>
  <c r="CY23"/>
  <c r="CW23"/>
  <c r="CS23"/>
  <c r="CQ23"/>
  <c r="CO23"/>
  <c r="CK23"/>
  <c r="CI23"/>
  <c r="CG23"/>
  <c r="CC23"/>
  <c r="CA23"/>
  <c r="BY23"/>
  <c r="BU23"/>
  <c r="BS23"/>
  <c r="BQ23"/>
  <c r="BM23"/>
  <c r="BK23"/>
  <c r="BI23"/>
  <c r="BE23"/>
  <c r="BC23"/>
  <c r="BA23"/>
  <c r="AW23"/>
  <c r="AU23"/>
  <c r="AS23"/>
  <c r="AO23"/>
  <c r="AM23"/>
  <c r="AK23"/>
  <c r="DI22"/>
  <c r="DG22"/>
  <c r="DE22"/>
  <c r="DA22"/>
  <c r="CY22"/>
  <c r="CW22"/>
  <c r="CS22"/>
  <c r="CQ22"/>
  <c r="CO22"/>
  <c r="CK22"/>
  <c r="CI22"/>
  <c r="CG22"/>
  <c r="CC22"/>
  <c r="CA22"/>
  <c r="BY22"/>
  <c r="BU22"/>
  <c r="BS22"/>
  <c r="BQ22"/>
  <c r="BM22"/>
  <c r="BK22"/>
  <c r="BI22"/>
  <c r="BE22"/>
  <c r="BC22"/>
  <c r="BA22"/>
  <c r="AW22"/>
  <c r="AU22"/>
  <c r="AS22"/>
  <c r="AO22"/>
  <c r="AM22"/>
  <c r="AK22"/>
  <c r="DI21"/>
  <c r="DG21"/>
  <c r="DE21"/>
  <c r="DA21"/>
  <c r="CY21"/>
  <c r="CW21"/>
  <c r="CS21"/>
  <c r="CQ21"/>
  <c r="CO21"/>
  <c r="CK21"/>
  <c r="CI21"/>
  <c r="CG21"/>
  <c r="CC21"/>
  <c r="CA21"/>
  <c r="BY21"/>
  <c r="BU21"/>
  <c r="BS21"/>
  <c r="BQ21"/>
  <c r="BM21"/>
  <c r="BK21"/>
  <c r="BI21"/>
  <c r="BE21"/>
  <c r="BC21"/>
  <c r="BA21"/>
  <c r="AW21"/>
  <c r="AU21"/>
  <c r="AS21"/>
  <c r="AO21"/>
  <c r="AM21"/>
  <c r="AK21"/>
  <c r="DI20"/>
  <c r="DG20"/>
  <c r="DE20"/>
  <c r="DA20"/>
  <c r="CY20"/>
  <c r="CW20"/>
  <c r="CS20"/>
  <c r="CQ20"/>
  <c r="CO20"/>
  <c r="CK20"/>
  <c r="CI20"/>
  <c r="CG20"/>
  <c r="CC20"/>
  <c r="CA20"/>
  <c r="BY20"/>
  <c r="BU20"/>
  <c r="BS20"/>
  <c r="BQ20"/>
  <c r="BM20"/>
  <c r="BK20"/>
  <c r="BI20"/>
  <c r="BE20"/>
  <c r="BC20"/>
  <c r="BA20"/>
  <c r="AW20"/>
  <c r="AU20"/>
  <c r="AS20"/>
  <c r="AO20"/>
  <c r="AM20"/>
  <c r="AK20"/>
  <c r="DI19"/>
  <c r="DG19"/>
  <c r="DE19"/>
  <c r="DA19"/>
  <c r="CY19"/>
  <c r="CW19"/>
  <c r="CS19"/>
  <c r="CQ19"/>
  <c r="CO19"/>
  <c r="CK19"/>
  <c r="CI19"/>
  <c r="CG19"/>
  <c r="CC19"/>
  <c r="CA19"/>
  <c r="BY19"/>
  <c r="BU19"/>
  <c r="BS19"/>
  <c r="BQ19"/>
  <c r="BM19"/>
  <c r="BK19"/>
  <c r="BI19"/>
  <c r="BE19"/>
  <c r="BC19"/>
  <c r="BA19"/>
  <c r="AW19"/>
  <c r="AU19"/>
  <c r="AS19"/>
  <c r="AO19"/>
  <c r="AM19"/>
  <c r="AK19"/>
  <c r="DI18"/>
  <c r="DG18"/>
  <c r="DE18"/>
  <c r="DA18"/>
  <c r="CY18"/>
  <c r="CW18"/>
  <c r="CS18"/>
  <c r="CQ18"/>
  <c r="CO18"/>
  <c r="CK18"/>
  <c r="CI18"/>
  <c r="CG18"/>
  <c r="CC18"/>
  <c r="CA18"/>
  <c r="BY18"/>
  <c r="BU18"/>
  <c r="BS18"/>
  <c r="BQ18"/>
  <c r="BM18"/>
  <c r="BK18"/>
  <c r="BI18"/>
  <c r="BE18"/>
  <c r="BC18"/>
  <c r="BA18"/>
  <c r="AW18"/>
  <c r="AU18"/>
  <c r="AS18"/>
  <c r="AO18"/>
  <c r="AM18"/>
  <c r="AK18"/>
  <c r="DI17"/>
  <c r="DG17"/>
  <c r="DE17"/>
  <c r="DA17"/>
  <c r="CY17"/>
  <c r="CW17"/>
  <c r="CS17"/>
  <c r="CQ17"/>
  <c r="CO17"/>
  <c r="CK17"/>
  <c r="CI17"/>
  <c r="CG17"/>
  <c r="CC17"/>
  <c r="CA17"/>
  <c r="BY17"/>
  <c r="BU17"/>
  <c r="BS17"/>
  <c r="BQ17"/>
  <c r="BM17"/>
  <c r="BK17"/>
  <c r="BI17"/>
  <c r="BE17"/>
  <c r="BC17"/>
  <c r="BA17"/>
  <c r="AW17"/>
  <c r="AU17"/>
  <c r="AS17"/>
  <c r="AO17"/>
  <c r="AM17"/>
  <c r="AK17"/>
  <c r="DI16"/>
  <c r="DG16"/>
  <c r="DE16"/>
  <c r="DA16"/>
  <c r="CY16"/>
  <c r="CW16"/>
  <c r="CS16"/>
  <c r="CQ16"/>
  <c r="CO16"/>
  <c r="CK16"/>
  <c r="CI16"/>
  <c r="CG16"/>
  <c r="CC16"/>
  <c r="CA16"/>
  <c r="BY16"/>
  <c r="BU16"/>
  <c r="BS16"/>
  <c r="BQ16"/>
  <c r="BM16"/>
  <c r="BK16"/>
  <c r="BI16"/>
  <c r="BE16"/>
  <c r="BC16"/>
  <c r="BA16"/>
  <c r="AW16"/>
  <c r="AU16"/>
  <c r="AS16"/>
  <c r="AO16"/>
  <c r="AM16"/>
  <c r="AK16"/>
  <c r="DI15"/>
  <c r="DG15"/>
  <c r="DE15"/>
  <c r="DA15"/>
  <c r="CY15"/>
  <c r="CW15"/>
  <c r="CS15"/>
  <c r="CQ15"/>
  <c r="CO15"/>
  <c r="CK15"/>
  <c r="CI15"/>
  <c r="CG15"/>
  <c r="CC15"/>
  <c r="CA15"/>
  <c r="BY15"/>
  <c r="BU15"/>
  <c r="BS15"/>
  <c r="BQ15"/>
  <c r="BM15"/>
  <c r="BK15"/>
  <c r="BI15"/>
  <c r="BE15"/>
  <c r="BC15"/>
  <c r="BA15"/>
  <c r="AW15"/>
  <c r="AU15"/>
  <c r="AS15"/>
  <c r="AO15"/>
  <c r="AM15"/>
  <c r="AK15"/>
  <c r="DI14"/>
  <c r="DG14"/>
  <c r="DE14"/>
  <c r="DA14"/>
  <c r="CY14"/>
  <c r="CW14"/>
  <c r="CS14"/>
  <c r="CQ14"/>
  <c r="CO14"/>
  <c r="CK14"/>
  <c r="CI14"/>
  <c r="CG14"/>
  <c r="CC14"/>
  <c r="CA14"/>
  <c r="BY14"/>
  <c r="BU14"/>
  <c r="BS14"/>
  <c r="BQ14"/>
  <c r="BM14"/>
  <c r="BK14"/>
  <c r="BI14"/>
  <c r="BE14"/>
  <c r="BC14"/>
  <c r="BA14"/>
  <c r="AW14"/>
  <c r="AU14"/>
  <c r="AS14"/>
  <c r="AO14"/>
  <c r="AM14"/>
  <c r="AK14"/>
  <c r="DI13"/>
  <c r="DG13"/>
  <c r="DE13"/>
  <c r="DA13"/>
  <c r="CY13"/>
  <c r="CW13"/>
  <c r="CS13"/>
  <c r="CQ13"/>
  <c r="CO13"/>
  <c r="CK13"/>
  <c r="CI13"/>
  <c r="CG13"/>
  <c r="CC13"/>
  <c r="CA13"/>
  <c r="BY13"/>
  <c r="BU13"/>
  <c r="BS13"/>
  <c r="BQ13"/>
  <c r="BM13"/>
  <c r="BK13"/>
  <c r="BI13"/>
  <c r="BE13"/>
  <c r="BC13"/>
  <c r="BA13"/>
  <c r="AW13"/>
  <c r="AU13"/>
  <c r="AS13"/>
  <c r="AO13"/>
  <c r="AM13"/>
  <c r="AK13"/>
  <c r="DI12"/>
  <c r="DG12"/>
  <c r="DE12"/>
  <c r="DA12"/>
  <c r="CY12"/>
  <c r="CW12"/>
  <c r="CS12"/>
  <c r="CQ12"/>
  <c r="CO12"/>
  <c r="CK12"/>
  <c r="CI12"/>
  <c r="CG12"/>
  <c r="CC12"/>
  <c r="CA12"/>
  <c r="BY12"/>
  <c r="BU12"/>
  <c r="BS12"/>
  <c r="BQ12"/>
  <c r="BM12"/>
  <c r="BK12"/>
  <c r="BI12"/>
  <c r="BE12"/>
  <c r="BC12"/>
  <c r="BA12"/>
  <c r="AW12"/>
  <c r="AU12"/>
  <c r="AS12"/>
  <c r="AO12"/>
  <c r="AM12"/>
  <c r="AK12"/>
  <c r="DI11"/>
  <c r="DG11"/>
  <c r="DE11"/>
  <c r="DA11"/>
  <c r="CY11"/>
  <c r="CW11"/>
  <c r="CS11"/>
  <c r="CQ11"/>
  <c r="CO11"/>
  <c r="CK11"/>
  <c r="CI11"/>
  <c r="CG11"/>
  <c r="CC11"/>
  <c r="CA11"/>
  <c r="BY11"/>
  <c r="BU11"/>
  <c r="BS11"/>
  <c r="BQ11"/>
  <c r="BM11"/>
  <c r="BK11"/>
  <c r="BI11"/>
  <c r="BE11"/>
  <c r="BC11"/>
  <c r="BA11"/>
  <c r="AW11"/>
  <c r="AU11"/>
  <c r="AS11"/>
  <c r="AO11"/>
  <c r="AM11"/>
  <c r="AK11"/>
  <c r="DI10"/>
  <c r="DG10"/>
  <c r="DE10"/>
  <c r="DA10"/>
  <c r="CY10"/>
  <c r="CW10"/>
  <c r="CS10"/>
  <c r="CQ10"/>
  <c r="CO10"/>
  <c r="CK10"/>
  <c r="CI10"/>
  <c r="CG10"/>
  <c r="CC10"/>
  <c r="CA10"/>
  <c r="BY10"/>
  <c r="BU10"/>
  <c r="BS10"/>
  <c r="BQ10"/>
  <c r="BM10"/>
  <c r="BK10"/>
  <c r="BI10"/>
  <c r="BE10"/>
  <c r="BC10"/>
  <c r="BA10"/>
  <c r="AW10"/>
  <c r="AU10"/>
  <c r="AS10"/>
  <c r="AO10"/>
  <c r="AM10"/>
  <c r="AK10"/>
  <c r="DI9"/>
  <c r="DG9"/>
  <c r="DE9"/>
  <c r="DA9"/>
  <c r="CY9"/>
  <c r="CW9"/>
  <c r="CS9"/>
  <c r="CQ9"/>
  <c r="CO9"/>
  <c r="CK9"/>
  <c r="CI9"/>
  <c r="CG9"/>
  <c r="CC9"/>
  <c r="CA9"/>
  <c r="BY9"/>
  <c r="BU9"/>
  <c r="BS9"/>
  <c r="BQ9"/>
  <c r="BM9"/>
  <c r="BK9"/>
  <c r="BI9"/>
  <c r="BE9"/>
  <c r="BC9"/>
  <c r="BA9"/>
  <c r="AW9"/>
  <c r="AU9"/>
  <c r="AS9"/>
  <c r="AO9"/>
  <c r="AM9"/>
  <c r="AK9"/>
  <c r="DI8"/>
  <c r="DG8"/>
  <c r="DE8"/>
  <c r="DA8"/>
  <c r="CY8"/>
  <c r="CW8"/>
  <c r="CS8"/>
  <c r="CQ8"/>
  <c r="CO8"/>
  <c r="CK8"/>
  <c r="CI8"/>
  <c r="CG8"/>
  <c r="CC8"/>
  <c r="CA8"/>
  <c r="BY8"/>
  <c r="BU8"/>
  <c r="BS8"/>
  <c r="BQ8"/>
  <c r="BM8"/>
  <c r="BK8"/>
  <c r="BI8"/>
  <c r="BE8"/>
  <c r="BC8"/>
  <c r="BA8"/>
  <c r="AW8"/>
  <c r="AU8"/>
  <c r="AS8"/>
  <c r="AO8"/>
  <c r="AM8"/>
  <c r="AK8"/>
  <c r="DI7"/>
  <c r="DG7"/>
  <c r="DE7"/>
  <c r="DA7"/>
  <c r="CY7"/>
  <c r="CW7"/>
  <c r="CS7"/>
  <c r="CQ7"/>
  <c r="CO7"/>
  <c r="CK7"/>
  <c r="CI7"/>
  <c r="CG7"/>
  <c r="CC7"/>
  <c r="CA7"/>
  <c r="BY7"/>
  <c r="BU7"/>
  <c r="BS7"/>
  <c r="BQ7"/>
  <c r="BM7"/>
  <c r="BK7"/>
  <c r="BI7"/>
  <c r="BE7"/>
  <c r="BC7"/>
  <c r="BA7"/>
  <c r="AW7"/>
  <c r="AU7"/>
  <c r="AS7"/>
  <c r="AO7"/>
  <c r="AM7"/>
  <c r="AK7"/>
  <c r="DI6"/>
  <c r="DG6"/>
  <c r="DE6"/>
  <c r="DA6"/>
  <c r="CY6"/>
  <c r="CW6"/>
  <c r="CS6"/>
  <c r="CQ6"/>
  <c r="CO6"/>
  <c r="CK6"/>
  <c r="CI6"/>
  <c r="CG6"/>
  <c r="CC6"/>
  <c r="CA6"/>
  <c r="BY6"/>
  <c r="BU6"/>
  <c r="BS6"/>
  <c r="BQ6"/>
  <c r="BM6"/>
  <c r="BK6"/>
  <c r="BI6"/>
  <c r="BE6"/>
  <c r="BC6"/>
  <c r="BA6"/>
  <c r="AW6"/>
  <c r="AU6"/>
  <c r="AS6"/>
  <c r="AO6"/>
  <c r="AM6"/>
  <c r="AK6"/>
  <c r="DI5"/>
  <c r="DG5"/>
  <c r="DE5"/>
  <c r="DA5"/>
  <c r="CY5"/>
  <c r="CW5"/>
  <c r="CS5"/>
  <c r="CQ5"/>
  <c r="CO5"/>
  <c r="CK5"/>
  <c r="CI5"/>
  <c r="CG5"/>
  <c r="CC5"/>
  <c r="CA5"/>
  <c r="BY5"/>
  <c r="BU5"/>
  <c r="BS5"/>
  <c r="BQ5"/>
  <c r="BM5"/>
  <c r="BK5"/>
  <c r="BI5"/>
  <c r="BE5"/>
  <c r="BC5"/>
  <c r="BA5"/>
  <c r="AW5"/>
  <c r="AU5"/>
  <c r="AS5"/>
  <c r="AO5"/>
  <c r="AM5"/>
  <c r="AK5"/>
  <c r="DI4"/>
  <c r="DG4"/>
  <c r="DE4"/>
  <c r="DA4"/>
  <c r="CY4"/>
  <c r="CW4"/>
  <c r="CS4"/>
  <c r="CQ4"/>
  <c r="CO4"/>
  <c r="CK4"/>
  <c r="CI4"/>
  <c r="CG4"/>
  <c r="CC4"/>
  <c r="CA4"/>
  <c r="BY4"/>
  <c r="BU4"/>
  <c r="BS4"/>
  <c r="BQ4"/>
  <c r="BM4"/>
  <c r="BK4"/>
  <c r="BI4"/>
  <c r="BE4"/>
  <c r="BC4"/>
  <c r="BA4"/>
  <c r="AW4"/>
  <c r="AU4"/>
  <c r="AS4"/>
  <c r="AO4"/>
  <c r="AM4"/>
  <c r="AK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O3" i="5"/>
  <c r="P3"/>
  <c r="O14"/>
  <c r="P14" s="1"/>
  <c r="K14"/>
  <c r="O13"/>
  <c r="P13" s="1"/>
  <c r="K13"/>
  <c r="O12"/>
  <c r="P12" s="1"/>
  <c r="K12"/>
  <c r="O11"/>
  <c r="P11" s="1"/>
  <c r="K11"/>
  <c r="O10"/>
  <c r="P10" s="1"/>
  <c r="K10"/>
  <c r="O9"/>
  <c r="P9" s="1"/>
  <c r="K9"/>
  <c r="O8"/>
  <c r="P8" s="1"/>
  <c r="K8"/>
  <c r="O7"/>
  <c r="P7" s="1"/>
  <c r="K7"/>
  <c r="O6"/>
  <c r="P6" s="1"/>
  <c r="K6"/>
  <c r="O5"/>
  <c r="P5" s="1"/>
  <c r="K5"/>
  <c r="O4"/>
  <c r="P4" s="1"/>
  <c r="K4"/>
  <c r="K3"/>
  <c r="O2"/>
  <c r="P2" s="1"/>
  <c r="K2"/>
  <c r="P14" i="4"/>
  <c r="Q14" s="1"/>
  <c r="L14"/>
  <c r="P13"/>
  <c r="Q13" s="1"/>
  <c r="L13"/>
  <c r="Q12"/>
  <c r="P12"/>
  <c r="L12"/>
  <c r="P11"/>
  <c r="Q11" s="1"/>
  <c r="L11"/>
  <c r="P10"/>
  <c r="Q10" s="1"/>
  <c r="L10"/>
  <c r="P9"/>
  <c r="Q9" s="1"/>
  <c r="L9"/>
  <c r="P8"/>
  <c r="Q8" s="1"/>
  <c r="L8"/>
  <c r="P7"/>
  <c r="Q7" s="1"/>
  <c r="L7"/>
  <c r="P6"/>
  <c r="Q6" s="1"/>
  <c r="L6"/>
  <c r="P5"/>
  <c r="Q5" s="1"/>
  <c r="L5"/>
  <c r="P4"/>
  <c r="Q4" s="1"/>
  <c r="P3"/>
  <c r="Q3" s="1"/>
  <c r="L3"/>
  <c r="P2"/>
  <c r="Q2" s="1"/>
  <c r="L2"/>
  <c r="O14" i="3"/>
  <c r="P14" s="1"/>
  <c r="K14"/>
  <c r="O13"/>
  <c r="P13" s="1"/>
  <c r="K13"/>
  <c r="O12"/>
  <c r="P12" s="1"/>
  <c r="K12"/>
  <c r="O11"/>
  <c r="P11" s="1"/>
  <c r="K11"/>
  <c r="O10"/>
  <c r="P10" s="1"/>
  <c r="K10"/>
  <c r="P9"/>
  <c r="O9"/>
  <c r="K9"/>
  <c r="O8"/>
  <c r="P8" s="1"/>
  <c r="K8"/>
  <c r="O7"/>
  <c r="P7" s="1"/>
  <c r="K7"/>
  <c r="O6"/>
  <c r="P6" s="1"/>
  <c r="K6"/>
  <c r="O5"/>
  <c r="P5" s="1"/>
  <c r="K5"/>
  <c r="P4"/>
  <c r="O4"/>
  <c r="K4"/>
  <c r="O3"/>
  <c r="P3" s="1"/>
  <c r="K3"/>
  <c r="O2"/>
  <c r="P2" s="1"/>
  <c r="K2"/>
</calcChain>
</file>

<file path=xl/comments1.xml><?xml version="1.0" encoding="utf-8"?>
<comments xmlns="http://schemas.openxmlformats.org/spreadsheetml/2006/main">
  <authors>
    <author>AndrewLStarling</author>
  </authors>
  <commentList>
    <comment ref="C3" authorId="0">
      <text>
        <r>
          <rPr>
            <b/>
            <sz val="12"/>
            <color indexed="81"/>
            <rFont val="Tahoma"/>
            <family val="2"/>
          </rPr>
          <t>Special Item Number (SIN) (comma separated for multiple SINs, e.g. #,#,…)</t>
        </r>
      </text>
    </comment>
    <comment ref="D3" authorId="0">
      <text>
        <r>
          <rPr>
            <b/>
            <sz val="12"/>
            <color indexed="81"/>
            <rFont val="Tahoma"/>
            <family val="2"/>
          </rPr>
          <t>Minimum Experience Requirement (Number of Years)</t>
        </r>
      </text>
    </comment>
    <comment ref="E3" authorId="0">
      <text>
        <r>
          <rPr>
            <b/>
            <sz val="12"/>
            <color indexed="81"/>
            <rFont val="Tahoma"/>
            <family val="2"/>
          </rPr>
          <t>Minimum Education Requirement (Drop-Down)</t>
        </r>
      </text>
    </comment>
    <comment ref="F3" authorId="0">
      <text>
        <r>
          <rPr>
            <b/>
            <sz val="12"/>
            <color indexed="81"/>
            <rFont val="Tahoma"/>
            <family val="2"/>
          </rPr>
          <t>Labor Category Description, Duties/Functional Responsibilities (Open Field)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" authorId="0">
      <text>
        <r>
          <rPr>
            <b/>
            <sz val="12"/>
            <color indexed="81"/>
            <rFont val="Tahoma"/>
            <family val="2"/>
          </rPr>
          <t>Is there a MFC for this labor category? (Yes/No Drop Down)</t>
        </r>
      </text>
    </comment>
    <comment ref="H3" authorId="0">
      <text>
        <r>
          <rPr>
            <b/>
            <sz val="12"/>
            <color indexed="81"/>
            <rFont val="Tahoma"/>
            <family val="2"/>
          </rPr>
          <t>Lowest MFC Price (#)</t>
        </r>
      </text>
    </comment>
    <comment ref="I3" authorId="0">
      <text>
        <r>
          <rPr>
            <b/>
            <sz val="12"/>
            <color indexed="81"/>
            <rFont val="Tahoma"/>
            <family val="2"/>
          </rPr>
          <t>Name of Most Favored Customer or group/ category of customers considered as MFC (open field)</t>
        </r>
      </text>
    </comment>
    <comment ref="J3" authorId="0">
      <text>
        <r>
          <rPr>
            <b/>
            <sz val="12"/>
            <color indexed="81"/>
            <rFont val="Tahoma"/>
            <family val="2"/>
          </rPr>
          <t>Lowest Rate depicted on Supp. Doc for offered L.C. (broken out if depicted in a lump-sum amount) (#)</t>
        </r>
      </text>
    </comment>
    <comment ref="K3" authorId="0">
      <text>
        <r>
          <rPr>
            <b/>
            <sz val="12"/>
            <color indexed="81"/>
            <rFont val="Tahoma"/>
            <family val="2"/>
          </rPr>
          <t>Is this lowest rate depicted as a specific hourly rate (i.e. not a lump sum amount) on the support document?(Yes/No Drop-Down)</t>
        </r>
      </text>
    </comment>
    <comment ref="L3" authorId="0">
      <text>
        <r>
          <rPr>
            <b/>
            <sz val="12"/>
            <color indexed="81"/>
            <rFont val="Tahoma"/>
            <family val="2"/>
          </rPr>
          <t>Electronic file page number of the support doc. that depicts this lowest rate (if no support document is provided enter "0") (#, max. is 200)</t>
        </r>
      </text>
    </comment>
    <comment ref="M3" authorId="0">
      <text>
        <r>
          <rPr>
            <b/>
            <sz val="12"/>
            <color indexed="81"/>
            <rFont val="Tahoma"/>
            <family val="2"/>
          </rPr>
          <t>Name of labor category cited on the supp. doc. for this rate. (Open Field)</t>
        </r>
      </text>
    </comment>
    <comment ref="N3" authorId="0">
      <text>
        <r>
          <rPr>
            <b/>
            <sz val="12"/>
            <color indexed="81"/>
            <rFont val="Tahoma"/>
            <family val="2"/>
          </rPr>
          <t>Name of the client who received this rate (Note: If the MFC for this L.C. is a group/category of customers, and the client is a part of this group/category of customers, then enter the group/category name)</t>
        </r>
      </text>
    </comment>
    <comment ref="O3" authorId="0">
      <text>
        <r>
          <rPr>
            <b/>
            <sz val="12"/>
            <color indexed="81"/>
            <rFont val="Tahoma"/>
            <family val="2"/>
          </rPr>
          <t>Is there a pricelist/ quote sheet that could be considered a CPL? (Yes/No Drop-Down)</t>
        </r>
      </text>
    </comment>
    <comment ref="P3" authorId="0">
      <text>
        <r>
          <rPr>
            <b/>
            <sz val="12"/>
            <color indexed="81"/>
            <rFont val="Tahoma"/>
            <family val="2"/>
          </rPr>
          <t>Is this doc./ CPL published or made available upon customer request? (Yes/No Drop-Down)</t>
        </r>
      </text>
    </comment>
    <comment ref="Q3" authorId="0">
      <text>
        <r>
          <rPr>
            <b/>
            <sz val="12"/>
            <color indexed="81"/>
            <rFont val="Tahoma"/>
            <family val="2"/>
          </rPr>
          <t>Name of applicable labor category, as depicted on the CPL. (open field)</t>
        </r>
      </text>
    </comment>
    <comment ref="R3" authorId="0">
      <text>
        <r>
          <rPr>
            <b/>
            <sz val="12"/>
            <color indexed="81"/>
            <rFont val="Tahoma"/>
            <family val="2"/>
          </rPr>
          <t>Standard Commercial Rate (CPL, Internal Quote Sheet, catalog, etc.) (#)</t>
        </r>
      </text>
    </comment>
    <comment ref="S3" authorId="0">
      <text>
        <r>
          <rPr>
            <b/>
            <sz val="12"/>
            <color indexed="81"/>
            <rFont val="Tahoma"/>
            <family val="2"/>
          </rPr>
          <t>If the MFC depicted in column "I" is a Federal Agency, provide the name of the commercial customer that receives your lowest rate. (Open Field)</t>
        </r>
      </text>
    </comment>
    <comment ref="T3" authorId="0">
      <text>
        <r>
          <rPr>
            <b/>
            <sz val="12"/>
            <color indexed="81"/>
            <rFont val="Tahoma"/>
            <family val="2"/>
          </rPr>
          <t>Lowest Non-Federal customer rate (leave blank if the MFC identified in column "I" is Non-Federal) (#)</t>
        </r>
      </text>
    </comment>
    <comment ref="U3" authorId="0">
      <text>
        <r>
          <rPr>
            <b/>
            <sz val="12"/>
            <color indexed="81"/>
            <rFont val="Tahoma"/>
            <family val="2"/>
          </rPr>
          <t>Price Offered to GSA EXCLUDING the Industrial Funding Fee (IFF) (#)</t>
        </r>
      </text>
    </comment>
    <comment ref="V3" authorId="0">
      <text>
        <r>
          <rPr>
            <b/>
            <sz val="12"/>
            <color indexed="81"/>
            <rFont val="Tahoma"/>
            <family val="2"/>
          </rPr>
          <t>Price Offered to GSA INCLUDING the IFF (self-calculating based on value in previous column)</t>
        </r>
      </text>
    </comment>
    <comment ref="W3" authorId="0">
      <text>
        <r>
          <rPr>
            <b/>
            <sz val="12"/>
            <color indexed="81"/>
            <rFont val="Tahoma"/>
            <family val="2"/>
          </rPr>
          <t>Is rate applicable to work performed on Vendor Site, Government Site, or both (i.e. no distinction in on-site/off-site work)? (Drop-down)</t>
        </r>
      </text>
    </comment>
    <comment ref="X3" authorId="0">
      <text>
        <r>
          <rPr>
            <b/>
            <sz val="12"/>
            <color indexed="81"/>
            <rFont val="Tahoma"/>
            <family val="2"/>
          </rPr>
          <t>Is rate applicable to work performed CONUS, OCONUS, or both (i.e. no distinction in CONUS/OCONUS work)? (Drop-down)</t>
        </r>
      </text>
    </comment>
    <comment ref="Y3" authorId="0">
      <text>
        <r>
          <rPr>
            <b/>
            <sz val="12"/>
            <color indexed="81"/>
            <rFont val="Tahoma"/>
            <family val="2"/>
          </rPr>
          <t>Region Code (leave blank unless regional pricing is proposed, see FPL instructions) (#)</t>
        </r>
      </text>
    </comment>
    <comment ref="Z3" authorId="0">
      <text>
        <r>
          <rPr>
            <b/>
            <sz val="12"/>
            <color indexed="81"/>
            <rFont val="Tahoma"/>
            <family val="2"/>
          </rPr>
          <t>If proposed price w/o IFF is higher than the lowest MFC, support doc or CPL price, please explain (Open Field)</t>
        </r>
      </text>
    </comment>
    <comment ref="AA3" authorId="0">
      <text>
        <r>
          <rPr>
            <b/>
            <sz val="12"/>
            <color indexed="81"/>
            <rFont val="Tahoma"/>
            <family val="2"/>
          </rPr>
          <t>Indicate whether the MFC, GSA, Both, or Neither are offered a Prompt Payment Discount.  (drop-down)</t>
        </r>
      </text>
    </comment>
    <comment ref="AB3" authorId="0">
      <text>
        <r>
          <rPr>
            <b/>
            <sz val="12"/>
            <color indexed="81"/>
            <rFont val="Tahoma"/>
            <family val="2"/>
          </rPr>
          <t>Prompt Payment Discount (leave blank if "Neither" is selected for column AA) (%)</t>
        </r>
      </text>
    </comment>
    <comment ref="AC3" authorId="0">
      <text>
        <r>
          <rPr>
            <b/>
            <sz val="12"/>
            <color indexed="81"/>
            <rFont val="Tahoma"/>
            <family val="2"/>
          </rPr>
          <t>Payment term (in days) for Prompt Payment Discount to apply (Net 30 days) (leave blank if "Neither" is selected in column AA) (#)</t>
        </r>
      </text>
    </comment>
    <comment ref="AD3" authorId="0">
      <text>
        <r>
          <rPr>
            <b/>
            <sz val="12"/>
            <color indexed="81"/>
            <rFont val="Tahoma"/>
            <family val="2"/>
          </rPr>
          <t>Indicate whether the MFC, GSA, Both or Neither are offered a Quantity Discount.  If Neither, leave remaining columns (AE-AG) blank.  (drop-down)</t>
        </r>
      </text>
    </comment>
    <comment ref="AE3" authorId="0">
      <text>
        <r>
          <rPr>
            <b/>
            <sz val="12"/>
            <color indexed="81"/>
            <rFont val="Tahoma"/>
            <family val="2"/>
          </rPr>
          <t>Specify basis of quantity discounts offered to customer identified in Column AD.  Leave blank if not applicable. (drop-down) note: LC = Labor Category</t>
        </r>
      </text>
    </comment>
    <comment ref="AF3" authorId="0">
      <text>
        <r>
          <rPr>
            <b/>
            <sz val="12"/>
            <color indexed="81"/>
            <rFont val="Tahoma"/>
            <family val="2"/>
          </rPr>
          <t>If Column Z="Other", specify type of discount.  Leave blank if not applicable. (open field)</t>
        </r>
      </text>
    </comment>
    <comment ref="AG3" authorId="0">
      <text>
        <r>
          <rPr>
            <b/>
            <sz val="12"/>
            <color indexed="81"/>
            <rFont val="Tahoma"/>
            <family val="2"/>
          </rPr>
          <t>Number of Quantity Discount Tiers.  Leave blank if not applicable, otherwise enter "1" or greater  (a corresponding number of tier information cells appears with data entry) (#)</t>
        </r>
      </text>
    </comment>
  </commentList>
</comments>
</file>

<file path=xl/sharedStrings.xml><?xml version="1.0" encoding="utf-8"?>
<sst xmlns="http://schemas.openxmlformats.org/spreadsheetml/2006/main" count="251" uniqueCount="154">
  <si>
    <t>MFC Information</t>
  </si>
  <si>
    <t>GSA Price Info.</t>
  </si>
  <si>
    <t>Name of labor category cited on the supp. doc. for this rate. (Open Field)</t>
  </si>
  <si>
    <t>Is there a MFC for this labor category? (Yes/No Drop Down)</t>
  </si>
  <si>
    <t>Lowest MFC Price (#)</t>
  </si>
  <si>
    <t>Is this doc./ CPL published or made available upon customer request? (Yes/No Drop-Down)</t>
  </si>
  <si>
    <t>Name of applicable labor category, as depicted on the CPL. (open field)</t>
  </si>
  <si>
    <t>Is rate applicable to work performed on Vendor Site, Government Site, or both (i.e. no distinction in on-site/off-site work)? (Drop-down)</t>
  </si>
  <si>
    <t>Name of the client who received this rate (Note: If the MFC for this L.C. is a group/category of customers, and the client is a part of this group/category of customers, then enter the group/category name)</t>
  </si>
  <si>
    <t>If proposed price w/o IFF is higher than the lowest MFC, support doc or CPL price, please explain (Open Field)</t>
  </si>
  <si>
    <t>High School</t>
  </si>
  <si>
    <t>None/Not Listed</t>
  </si>
  <si>
    <t>Associates</t>
  </si>
  <si>
    <t>Bachelor's</t>
  </si>
  <si>
    <t>Master's</t>
  </si>
  <si>
    <t>Ph.D.</t>
  </si>
  <si>
    <t>MinEdu</t>
  </si>
  <si>
    <t>YN</t>
  </si>
  <si>
    <t>Yes</t>
  </si>
  <si>
    <t>No</t>
  </si>
  <si>
    <t>Electronic file page number of the support doc. that depicts this lowest rate (if no support document is provided enter "0") (#, max. is 200)</t>
  </si>
  <si>
    <t>Gov. Site</t>
  </si>
  <si>
    <t>Ven. Site</t>
  </si>
  <si>
    <t>CONUS</t>
  </si>
  <si>
    <t>OCONUS</t>
  </si>
  <si>
    <t>Both</t>
  </si>
  <si>
    <t>BGV</t>
  </si>
  <si>
    <t>BCO</t>
  </si>
  <si>
    <t>Lowest Rate depicted on Supp. Doc for offered L.C. (broken out if depicted in a lump-sum amount) (#)</t>
  </si>
  <si>
    <t>Minimum Experience Requirement (Number of Years)</t>
  </si>
  <si>
    <t>Minimum Education Requirement (Drop-Down)</t>
  </si>
  <si>
    <t>Labor Category Description, Duties/Functional Responsibilities (Open Field)</t>
  </si>
  <si>
    <t>Support Documentation (e.g. invoice) Information</t>
  </si>
  <si>
    <t>If the MFC depicted in column "I" is a Federal Agency, provide the name of the commercial customer that receives your lowest rate. (Open Field)</t>
  </si>
  <si>
    <t>Lowest Non-Federal customer rate (leave blank if the MFC identified in column "I" is Non-Federal) (#)</t>
  </si>
  <si>
    <r>
      <t>Name of Most Favored Customer or group/ category of customers considered as MFC</t>
    </r>
    <r>
      <rPr>
        <sz val="8"/>
        <rFont val="Arial"/>
        <family val="2"/>
      </rPr>
      <t xml:space="preserve"> (open field)</t>
    </r>
  </si>
  <si>
    <t>SIN(s) Proposed</t>
  </si>
  <si>
    <t>Minimum Education / Certification Level</t>
  </si>
  <si>
    <t>Minimum Years of Experience (cannot be a range)</t>
  </si>
  <si>
    <t>Contractor or Customer Site</t>
  </si>
  <si>
    <t>Domestic or Overseas</t>
  </si>
  <si>
    <r>
      <t xml:space="preserve">Commercial Price List (CPL) </t>
    </r>
    <r>
      <rPr>
        <b/>
        <u/>
        <sz val="8"/>
        <color theme="1"/>
        <rFont val="Calibri"/>
        <family val="2"/>
        <scheme val="minor"/>
      </rPr>
      <t>OR</t>
    </r>
    <r>
      <rPr>
        <b/>
        <sz val="8"/>
        <color theme="1"/>
        <rFont val="Calibri"/>
        <family val="2"/>
        <scheme val="minor"/>
      </rPr>
      <t xml:space="preserve"> Market Prices</t>
    </r>
  </si>
  <si>
    <t>Unit of Issue (e.g. Hour, Task, Sq Ft)</t>
  </si>
  <si>
    <t>Most Favored Commercial Customer (MFC)*</t>
  </si>
  <si>
    <t>Discount Offered to Commercial MFC (%)</t>
  </si>
  <si>
    <t>Commercial MFC Price</t>
  </si>
  <si>
    <t>Most Favored Federal Agency (MFC) **</t>
  </si>
  <si>
    <t>Most Favored Federal Agency (MFC) Price **</t>
  </si>
  <si>
    <t>Discount Offered to GSA (off CPL or Market Prices) (%)</t>
  </si>
  <si>
    <t>Price Offered to GSA (Excluding IFF)</t>
  </si>
  <si>
    <t>Price Offered to GSA (including IFF)</t>
  </si>
  <si>
    <t>123-1</t>
  </si>
  <si>
    <t>Domestic Only</t>
  </si>
  <si>
    <t>hour</t>
  </si>
  <si>
    <t>ABC Company</t>
  </si>
  <si>
    <t>XYZ Agency</t>
  </si>
  <si>
    <t>123-2</t>
  </si>
  <si>
    <t>Disposal Services</t>
  </si>
  <si>
    <t>None</t>
  </si>
  <si>
    <t>Customer Site</t>
  </si>
  <si>
    <t>Overseas Only</t>
  </si>
  <si>
    <t>Task</t>
  </si>
  <si>
    <t>All Commercial Customers</t>
  </si>
  <si>
    <t>N/A</t>
  </si>
  <si>
    <t xml:space="preserve">* Note:  GSA includes federal prime contractors as commercial customers.  
** Most Favored Federal Agency is sales directly to a Federal Agency as a prime contractor.  If no sales exist to Federal Agencies for the offered services, write “N/A.”  
</t>
  </si>
  <si>
    <t>Course Title</t>
  </si>
  <si>
    <t>Course Length</t>
  </si>
  <si>
    <t>Minimum Participants</t>
  </si>
  <si>
    <t>Maximum Participants</t>
  </si>
  <si>
    <t>Unit of Issue (e.g. Per Person, Per Course)</t>
  </si>
  <si>
    <t>Environmental Training</t>
  </si>
  <si>
    <t>2 days</t>
  </si>
  <si>
    <t>Per Person</t>
  </si>
  <si>
    <t>e</t>
  </si>
  <si>
    <t>Support Product (ODC's)</t>
  </si>
  <si>
    <t>Brand Name</t>
  </si>
  <si>
    <t>Time of Delivery ARO</t>
  </si>
  <si>
    <t>Environmental Services</t>
  </si>
  <si>
    <t>Solicitation TFTP-EW-990899-B (Refresh #17)</t>
  </si>
  <si>
    <t>Is there a pricelist/ quote sheet that could be considered a CPL? (Yes/No Drop-Down)</t>
  </si>
  <si>
    <t>Other</t>
  </si>
  <si>
    <t>Prompt Payment Discount</t>
  </si>
  <si>
    <t>QDiscCustomer</t>
  </si>
  <si>
    <t>QDiscType</t>
  </si>
  <si>
    <t>MFC</t>
  </si>
  <si>
    <t>GSA</t>
  </si>
  <si>
    <t>TaskOrderValue($)</t>
  </si>
  <si>
    <t>Ind. LC $ Amount</t>
  </si>
  <si>
    <t>If Column Z="Other", specify type of discount.  Leave blank if not applicable. (open field)</t>
  </si>
  <si>
    <t>Ind.LC # of hrs.</t>
  </si>
  <si>
    <t>Indicate whether the MFC, GSA, Both, or Neither are offered a Prompt Payment Discount.  (drop-down)</t>
  </si>
  <si>
    <t>Commercial Price List or Equivalent</t>
  </si>
  <si>
    <t>Region Code (leave blank unless regional pricing is proposed, see FPL instructions) (#)</t>
  </si>
  <si>
    <t>Price Offered to GSA EXCLUDING the
Industrial Funding Fee (IFF) (#)</t>
  </si>
  <si>
    <t>Is rate applicable to work performed CONUS, OCONUS, or both (i.e. no distinction in CONUS/OCONUS work)? (Drop-down)</t>
  </si>
  <si>
    <t>Price Offered to GSA INCLUDING the IFF
(self-calculating based on value in previous column)</t>
  </si>
  <si>
    <t>Payment term (in days) for Prompt Payment Discount to apply (Net 30 days) (leave blank if "Neither" is selected in column AA) (#)</t>
  </si>
  <si>
    <t>Prompt Payment Discount (leave blank if "Neither" is selected for column AA) (%)</t>
  </si>
  <si>
    <t>Tier 1  Quantity Discount
(if applicable)</t>
  </si>
  <si>
    <t>Tier 2  Quantity Discount
(if applicable)</t>
  </si>
  <si>
    <t>Tier 3  Quantity Discount
(if applicable)</t>
  </si>
  <si>
    <t>Tier 4  Quantity Discount
(if applicable)</t>
  </si>
  <si>
    <t>Tier 5  Quantity Discount
(if applicable)</t>
  </si>
  <si>
    <t>Tier 6  Quantity Discount
(if applicable)</t>
  </si>
  <si>
    <t>Tier 7  Quantity Discount
(if applicable)</t>
  </si>
  <si>
    <t>Tier 8  Quantity Discount
(if applicable)</t>
  </si>
  <si>
    <t>Tier 9  Quantity Discount
(if applicable)</t>
  </si>
  <si>
    <t>Tier 10  Quantity Discount
(if applicable)</t>
  </si>
  <si>
    <t>Prof. Cert.</t>
  </si>
  <si>
    <t>Quantity Discount Information</t>
  </si>
  <si>
    <t>PPDiscCustomer</t>
  </si>
  <si>
    <t>Neither</t>
  </si>
  <si>
    <t>Indicate whether the MFC, GSA, Both or Neither are offered a Quantity Discount.  If Neither, leave remaining columns (AE-AG) blank.  (drop-down)</t>
  </si>
  <si>
    <t>Unit of Issue (e.g. Day, Task, Sq Ft)</t>
  </si>
  <si>
    <t>Specify basis of quantity discounts offered to customer identified in Column AD.  Leave blank if "Neither" is selected in column AD (drop-down) note: LC = Labor Category</t>
  </si>
  <si>
    <r>
      <t xml:space="preserve">Offered Labor Category Name/
Title
</t>
    </r>
    <r>
      <rPr>
        <sz val="10"/>
        <rFont val="Arial"/>
        <family val="2"/>
      </rPr>
      <t>(Open Field)</t>
    </r>
  </si>
  <si>
    <r>
      <t xml:space="preserve">Most Favored Non-Federal Customer
</t>
    </r>
    <r>
      <rPr>
        <sz val="8"/>
        <rFont val="Arial"/>
        <family val="2"/>
      </rPr>
      <t>(if applicable)</t>
    </r>
  </si>
  <si>
    <t>Standard Commercial Rate (CPL, Internal Quote Sheet, catalog, etc.) OR Market Price (#)</t>
  </si>
  <si>
    <t>Standard Commercial Price with Discount Applied ($) note: self-calculating against  Standard Comm. or Market price, column  "R")</t>
  </si>
  <si>
    <t>MFC Price with Discount Applied ($)
note: self-calculating against  MFC Price, (column "H")</t>
  </si>
  <si>
    <t>MFC Discount (%)
note: discount taken off of MFC Price (column "H")</t>
  </si>
  <si>
    <t>Standard Commercial Price Discount (%)
note: discount taken off of Standard Commercial Price or Market Price (column "R")</t>
  </si>
  <si>
    <t>GSA Price ($) note: self calculating against Proposed GSA Price (column "U")</t>
  </si>
  <si>
    <t>GSA Discount (%) note: discount taken off of proposed GSA price excluding IFF (column "U")</t>
  </si>
  <si>
    <t>Service Proposed (e.g. Labor Category or Job Title/Task)</t>
  </si>
  <si>
    <t>FORMATTED PRICELIST (FPL)
Price Proposal for Hourly Rate Services</t>
  </si>
  <si>
    <t>SIN and Labor Category Information</t>
  </si>
  <si>
    <t>DomorOver</t>
  </si>
  <si>
    <t>CorC</t>
  </si>
  <si>
    <t>Domestic and Overseas</t>
  </si>
  <si>
    <t>Contractor Site</t>
  </si>
  <si>
    <t>Special Item Number (SIN) (comma separated for multiple SINs, e.g. #,#,…)</t>
  </si>
  <si>
    <r>
      <t xml:space="preserve">Is this lowest rate depicted as a specific hourly rate (i.e. </t>
    </r>
    <r>
      <rPr>
        <u/>
        <sz val="10"/>
        <rFont val="Arial"/>
        <family val="2"/>
      </rPr>
      <t>not</t>
    </r>
    <r>
      <rPr>
        <sz val="10"/>
        <rFont val="Arial"/>
        <family val="2"/>
      </rPr>
      <t xml:space="preserve"> a lump sum amount) on the support document?(Yes/No Drop-Down)</t>
    </r>
  </si>
  <si>
    <t>Number of Quantity Discount Tiers. Enter "1" or greater unless N/A (corresponding # of tier information cells appear with data entry) (#)</t>
  </si>
  <si>
    <t>Tier 1 Discount Range Start
($ or #, depending on basis identified in column "AE")</t>
  </si>
  <si>
    <t>Tier 1 Discount Range End
($ or #, depending on basis identified in column "AE")</t>
  </si>
  <si>
    <t>Tier 2 Discount Range Start
($ or #, depending on basis identified in column "AE")</t>
  </si>
  <si>
    <t>Tier 2 Discount Range End
($ or #, depending on basis identified in column "AE")</t>
  </si>
  <si>
    <t>Tier 3 Discount Range Start
($ or #, depending on basis identified in column "AE")</t>
  </si>
  <si>
    <t>Tier 3 Discount Range End
($ or #, depending on basis identified in column "AE")</t>
  </si>
  <si>
    <t>Tier 4 Discount Range Start
($ or #, depending on basis identified in column "AE")</t>
  </si>
  <si>
    <t>Tier 4 Discount Range End
($ or #, depending on basis identified in column "AE")</t>
  </si>
  <si>
    <t>Tier 5 Discount Range Start
($ or #, depending on basis identified in column "AE")</t>
  </si>
  <si>
    <t>Tier 5 Discount Range End
($ or #, depending on basis identified in column "AE")</t>
  </si>
  <si>
    <t>Tier 6 Discount Range Start
($ or #, depending on basis identified in column "AE")</t>
  </si>
  <si>
    <t>Tier 6 Discount Range End
($ or #, depending on basis identified in column "AE")</t>
  </si>
  <si>
    <t>Tier 7 Discount Range Start
($ or #, depending on basis identified in column "AE")</t>
  </si>
  <si>
    <t>Tier 7 Discount Range End
($ or #, depending on basis identified in column "AE")</t>
  </si>
  <si>
    <t>Tier 8 Discount Range Start
($ or #, depending on basis identified in column "AE")</t>
  </si>
  <si>
    <t>Tier 8 Discount Range End
($ or #, depending on basis identified in column "AE")</t>
  </si>
  <si>
    <t>Tier 9 Discount Range Start
($ or #, depending on basis identified in column "AE")</t>
  </si>
  <si>
    <t>Tier 9 Discount Range End
($ or #, depending on basis identified in column "AE")</t>
  </si>
  <si>
    <t>Tier 10 Discount Range Start
($ or #, depending on basis identified in column "AE")</t>
  </si>
  <si>
    <t>Tier 10 Discount Range End
($ or #, depending on basis identified in column "AE")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</si>
</sst>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Times New Roman"/>
      <family val="1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2"/>
      <color indexed="81"/>
      <name val="Tahoma"/>
      <family val="2"/>
    </font>
    <font>
      <sz val="14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0C0C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2" fillId="10" borderId="18" xfId="0" applyFont="1" applyFill="1" applyBorder="1" applyAlignment="1" applyProtection="1">
      <alignment horizontal="left" textRotation="90" wrapText="1"/>
      <protection hidden="1"/>
    </xf>
    <xf numFmtId="0" fontId="2" fillId="10" borderId="20" xfId="0" applyFont="1" applyFill="1" applyBorder="1" applyAlignment="1" applyProtection="1">
      <alignment horizontal="left" textRotation="90" wrapText="1"/>
      <protection hidden="1"/>
    </xf>
    <xf numFmtId="0" fontId="2" fillId="10" borderId="21" xfId="0" applyFont="1" applyFill="1" applyBorder="1" applyAlignment="1" applyProtection="1">
      <alignment horizontal="left" textRotation="90" wrapText="1"/>
      <protection hidden="1"/>
    </xf>
    <xf numFmtId="0" fontId="11" fillId="9" borderId="3" xfId="0" applyFont="1" applyFill="1" applyBorder="1" applyAlignment="1" applyProtection="1">
      <alignment horizontal="center" vertical="center" wrapText="1"/>
    </xf>
    <xf numFmtId="1" fontId="11" fillId="9" borderId="3" xfId="0" applyNumberFormat="1" applyFont="1" applyFill="1" applyBorder="1" applyAlignment="1" applyProtection="1">
      <alignment horizontal="center" vertical="center" wrapText="1"/>
    </xf>
    <xf numFmtId="44" fontId="11" fillId="9" borderId="3" xfId="1" applyFont="1" applyFill="1" applyBorder="1" applyAlignment="1" applyProtection="1">
      <alignment horizontal="center" vertical="center" wrapText="1"/>
    </xf>
    <xf numFmtId="9" fontId="11" fillId="9" borderId="3" xfId="0" applyNumberFormat="1" applyFont="1" applyFill="1" applyBorder="1" applyAlignment="1" applyProtection="1">
      <alignment horizontal="center" vertical="center" wrapText="1"/>
    </xf>
    <xf numFmtId="44" fontId="13" fillId="9" borderId="3" xfId="1" applyFont="1" applyFill="1" applyBorder="1" applyAlignment="1" applyProtection="1">
      <alignment horizontal="center" vertical="center" wrapText="1"/>
    </xf>
    <xf numFmtId="0" fontId="13" fillId="9" borderId="3" xfId="0" applyFont="1" applyFill="1" applyBorder="1" applyAlignment="1" applyProtection="1">
      <alignment horizontal="center" vertical="center" wrapText="1"/>
    </xf>
    <xf numFmtId="9" fontId="13" fillId="9" borderId="3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center" vertical="center" wrapText="1"/>
      <protection locked="0"/>
    </xf>
    <xf numFmtId="0" fontId="14" fillId="9" borderId="3" xfId="0" applyFont="1" applyFill="1" applyBorder="1" applyAlignment="1" applyProtection="1">
      <alignment horizontal="center" vertical="center"/>
    </xf>
    <xf numFmtId="0" fontId="14" fillId="9" borderId="3" xfId="0" applyFont="1" applyFill="1" applyBorder="1" applyAlignment="1" applyProtection="1">
      <alignment horizontal="left" vertical="center" wrapText="1"/>
    </xf>
    <xf numFmtId="0" fontId="14" fillId="9" borderId="3" xfId="0" applyFont="1" applyFill="1" applyBorder="1" applyAlignment="1" applyProtection="1">
      <alignment horizontal="center" vertical="center" wrapText="1"/>
    </xf>
    <xf numFmtId="1" fontId="14" fillId="9" borderId="3" xfId="0" applyNumberFormat="1" applyFont="1" applyFill="1" applyBorder="1" applyAlignment="1" applyProtection="1">
      <alignment horizontal="center" vertical="center"/>
    </xf>
    <xf numFmtId="1" fontId="14" fillId="9" borderId="3" xfId="0" applyNumberFormat="1" applyFont="1" applyFill="1" applyBorder="1" applyAlignment="1" applyProtection="1">
      <alignment horizontal="center" vertical="center" wrapText="1"/>
    </xf>
    <xf numFmtId="44" fontId="14" fillId="9" borderId="3" xfId="1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 wrapText="1"/>
      <protection locked="0"/>
    </xf>
    <xf numFmtId="0" fontId="14" fillId="9" borderId="3" xfId="0" applyFont="1" applyFill="1" applyBorder="1" applyAlignment="1" applyProtection="1">
      <alignment horizontal="left" vertical="center" wrapText="1"/>
      <protection locked="0"/>
    </xf>
    <xf numFmtId="1" fontId="14" fillId="9" borderId="3" xfId="0" applyNumberFormat="1" applyFont="1" applyFill="1" applyBorder="1" applyAlignment="1" applyProtection="1">
      <alignment horizontal="center" vertical="center" wrapText="1"/>
      <protection locked="0"/>
    </xf>
    <xf numFmtId="44" fontId="14" fillId="9" borderId="3" xfId="1" applyFont="1" applyFill="1" applyBorder="1" applyAlignment="1" applyProtection="1">
      <alignment vertical="center" wrapText="1"/>
      <protection locked="0"/>
    </xf>
    <xf numFmtId="44" fontId="14" fillId="9" borderId="3" xfId="1" applyFont="1" applyFill="1" applyBorder="1" applyAlignment="1" applyProtection="1">
      <alignment vertical="center"/>
    </xf>
    <xf numFmtId="0" fontId="15" fillId="0" borderId="0" xfId="0" applyFont="1" applyAlignment="1" applyProtection="1">
      <alignment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vertical="center" wrapText="1"/>
      <protection locked="0"/>
    </xf>
    <xf numFmtId="0" fontId="16" fillId="0" borderId="3" xfId="0" applyFont="1" applyBorder="1" applyAlignment="1" applyProtection="1">
      <alignment horizontal="left" vertical="center" wrapText="1"/>
      <protection locked="0"/>
    </xf>
    <xf numFmtId="1" fontId="16" fillId="0" borderId="3" xfId="0" applyNumberFormat="1" applyFont="1" applyBorder="1" applyAlignment="1" applyProtection="1">
      <alignment horizontal="center" vertical="center" wrapText="1"/>
      <protection locked="0"/>
    </xf>
    <xf numFmtId="44" fontId="16" fillId="0" borderId="3" xfId="1" applyFont="1" applyBorder="1" applyAlignment="1" applyProtection="1">
      <alignment vertical="center" wrapText="1"/>
      <protection locked="0"/>
    </xf>
    <xf numFmtId="44" fontId="14" fillId="0" borderId="3" xfId="1" applyFont="1" applyFill="1" applyBorder="1" applyAlignment="1" applyProtection="1">
      <alignment vertical="center"/>
    </xf>
    <xf numFmtId="0" fontId="16" fillId="0" borderId="3" xfId="0" applyFont="1" applyFill="1" applyBorder="1" applyAlignment="1" applyProtection="1">
      <alignment horizontal="center" vertical="center" wrapText="1"/>
      <protection locked="0"/>
    </xf>
    <xf numFmtId="44" fontId="16" fillId="0" borderId="3" xfId="1" applyFont="1" applyFill="1" applyBorder="1" applyAlignment="1" applyProtection="1">
      <alignment vertical="center" wrapText="1"/>
      <protection locked="0"/>
    </xf>
    <xf numFmtId="44" fontId="14" fillId="0" borderId="3" xfId="1" applyFont="1" applyFill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wrapText="1"/>
      <protection locked="0"/>
    </xf>
    <xf numFmtId="1" fontId="15" fillId="0" borderId="0" xfId="0" applyNumberFormat="1" applyFont="1" applyAlignment="1" applyProtection="1">
      <alignment horizontal="center" vertical="center" wrapText="1"/>
      <protection locked="0"/>
    </xf>
    <xf numFmtId="44" fontId="15" fillId="0" borderId="0" xfId="1" applyFont="1" applyAlignment="1" applyProtection="1">
      <alignment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9" fontId="15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Alignment="1" applyProtection="1">
      <alignment horizontal="center" vertical="center" wrapText="1"/>
      <protection locked="0"/>
    </xf>
    <xf numFmtId="44" fontId="0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9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44" fontId="0" fillId="0" borderId="0" xfId="1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0" fontId="16" fillId="0" borderId="3" xfId="0" applyFont="1" applyFill="1" applyBorder="1" applyAlignment="1" applyProtection="1">
      <alignment horizontal="left" vertical="center" wrapText="1"/>
      <protection locked="0"/>
    </xf>
    <xf numFmtId="44" fontId="17" fillId="0" borderId="3" xfId="1" applyFont="1" applyFill="1" applyBorder="1" applyAlignment="1" applyProtection="1">
      <alignment vertical="center"/>
    </xf>
    <xf numFmtId="44" fontId="17" fillId="0" borderId="3" xfId="1" applyFont="1" applyFill="1" applyBorder="1" applyAlignment="1" applyProtection="1">
      <alignment horizontal="center" vertical="center"/>
    </xf>
    <xf numFmtId="0" fontId="4" fillId="8" borderId="5" xfId="0" applyFont="1" applyFill="1" applyBorder="1" applyAlignment="1" applyProtection="1">
      <protection hidden="1"/>
    </xf>
    <xf numFmtId="0" fontId="4" fillId="8" borderId="6" xfId="0" applyFont="1" applyFill="1" applyBorder="1" applyAlignme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6" fillId="8" borderId="10" xfId="0" applyFont="1" applyFill="1" applyBorder="1" applyAlignment="1" applyProtection="1">
      <alignment horizontal="center"/>
      <protection hidden="1"/>
    </xf>
    <xf numFmtId="0" fontId="8" fillId="0" borderId="0" xfId="0" applyFont="1" applyProtection="1">
      <protection hidden="1"/>
    </xf>
    <xf numFmtId="0" fontId="6" fillId="8" borderId="11" xfId="0" applyFont="1" applyFill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2" fillId="2" borderId="17" xfId="0" applyFont="1" applyFill="1" applyBorder="1" applyAlignment="1" applyProtection="1">
      <alignment horizontal="left"/>
      <protection locked="0" hidden="1"/>
    </xf>
    <xf numFmtId="0" fontId="2" fillId="2" borderId="17" xfId="0" applyFont="1" applyFill="1" applyBorder="1" applyAlignment="1" applyProtection="1">
      <alignment horizontal="center"/>
      <protection locked="0" hidden="1"/>
    </xf>
    <xf numFmtId="44" fontId="2" fillId="5" borderId="17" xfId="1" applyNumberFormat="1" applyFont="1" applyFill="1" applyBorder="1" applyAlignment="1" applyProtection="1">
      <alignment horizontal="left"/>
      <protection locked="0" hidden="1"/>
    </xf>
    <xf numFmtId="0" fontId="2" fillId="4" borderId="17" xfId="0" applyFont="1" applyFill="1" applyBorder="1" applyAlignment="1" applyProtection="1">
      <protection locked="0" hidden="1"/>
    </xf>
    <xf numFmtId="0" fontId="8" fillId="4" borderId="17" xfId="0" applyFont="1" applyFill="1" applyBorder="1" applyAlignment="1" applyProtection="1">
      <protection locked="0" hidden="1"/>
    </xf>
    <xf numFmtId="0" fontId="2" fillId="6" borderId="17" xfId="0" applyFont="1" applyFill="1" applyBorder="1" applyAlignment="1" applyProtection="1">
      <protection locked="0" hidden="1"/>
    </xf>
    <xf numFmtId="0" fontId="2" fillId="7" borderId="17" xfId="0" applyFont="1" applyFill="1" applyBorder="1" applyAlignment="1" applyProtection="1">
      <alignment horizontal="left"/>
      <protection locked="0" hidden="1"/>
    </xf>
    <xf numFmtId="0" fontId="2" fillId="10" borderId="27" xfId="0" applyFont="1" applyFill="1" applyBorder="1" applyAlignment="1" applyProtection="1">
      <alignment horizontal="left"/>
      <protection locked="0" hidden="1"/>
    </xf>
    <xf numFmtId="0" fontId="2" fillId="10" borderId="28" xfId="0" applyFont="1" applyFill="1" applyBorder="1" applyAlignment="1" applyProtection="1">
      <alignment horizontal="left"/>
      <protection locked="0" hidden="1"/>
    </xf>
    <xf numFmtId="0" fontId="2" fillId="10" borderId="17" xfId="0" applyFont="1" applyFill="1" applyBorder="1" applyAlignment="1" applyProtection="1">
      <alignment horizontal="left"/>
      <protection locked="0" hidden="1"/>
    </xf>
    <xf numFmtId="0" fontId="2" fillId="10" borderId="24" xfId="0" applyFont="1" applyFill="1" applyBorder="1" applyAlignment="1" applyProtection="1">
      <alignment horizontal="left"/>
      <protection locked="0" hidden="1"/>
    </xf>
    <xf numFmtId="0" fontId="2" fillId="10" borderId="2" xfId="0" applyFont="1" applyFill="1" applyBorder="1" applyAlignment="1" applyProtection="1">
      <alignment horizontal="left"/>
      <protection locked="0" hidden="1"/>
    </xf>
    <xf numFmtId="0" fontId="2" fillId="10" borderId="3" xfId="0" applyFont="1" applyFill="1" applyBorder="1" applyAlignment="1" applyProtection="1">
      <alignment horizontal="left"/>
      <protection locked="0" hidden="1"/>
    </xf>
    <xf numFmtId="0" fontId="2" fillId="10" borderId="12" xfId="0" applyFont="1" applyFill="1" applyBorder="1" applyAlignment="1" applyProtection="1">
      <alignment horizontal="left"/>
      <protection locked="0" hidden="1"/>
    </xf>
    <xf numFmtId="0" fontId="2" fillId="10" borderId="13" xfId="0" applyFont="1" applyFill="1" applyBorder="1" applyAlignment="1" applyProtection="1">
      <alignment horizontal="left"/>
      <protection locked="0" hidden="1"/>
    </xf>
    <xf numFmtId="10" fontId="14" fillId="9" borderId="3" xfId="0" applyNumberFormat="1" applyFont="1" applyFill="1" applyBorder="1" applyAlignment="1" applyProtection="1">
      <alignment horizontal="center" vertical="center"/>
    </xf>
    <xf numFmtId="10" fontId="14" fillId="9" borderId="3" xfId="0" applyNumberFormat="1" applyFont="1" applyFill="1" applyBorder="1" applyAlignment="1" applyProtection="1">
      <alignment horizontal="center" vertical="center" wrapText="1"/>
      <protection locked="0"/>
    </xf>
    <xf numFmtId="10" fontId="16" fillId="0" borderId="3" xfId="0" applyNumberFormat="1" applyFont="1" applyBorder="1" applyAlignment="1" applyProtection="1">
      <alignment horizontal="center" vertical="center" wrapText="1"/>
      <protection locked="0"/>
    </xf>
    <xf numFmtId="10" fontId="1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0" xfId="0" applyFont="1" applyBorder="1" applyProtection="1">
      <protection hidden="1"/>
    </xf>
    <xf numFmtId="0" fontId="2" fillId="11" borderId="15" xfId="0" applyFont="1" applyFill="1" applyBorder="1" applyAlignment="1" applyProtection="1">
      <alignment horizontal="left"/>
      <protection locked="0" hidden="1"/>
    </xf>
    <xf numFmtId="10" fontId="2" fillId="11" borderId="15" xfId="0" applyNumberFormat="1" applyFont="1" applyFill="1" applyBorder="1" applyAlignment="1" applyProtection="1">
      <alignment horizontal="left"/>
      <protection locked="0" hidden="1"/>
    </xf>
    <xf numFmtId="0" fontId="2" fillId="11" borderId="29" xfId="0" applyFont="1" applyFill="1" applyBorder="1" applyAlignment="1" applyProtection="1">
      <alignment horizontal="left"/>
      <protection locked="0" hidden="1"/>
    </xf>
    <xf numFmtId="0" fontId="2" fillId="10" borderId="30" xfId="0" applyFont="1" applyFill="1" applyBorder="1" applyAlignment="1" applyProtection="1">
      <alignment horizontal="left" textRotation="90" wrapText="1"/>
      <protection hidden="1"/>
    </xf>
    <xf numFmtId="0" fontId="2" fillId="10" borderId="31" xfId="0" applyFont="1" applyFill="1" applyBorder="1" applyAlignment="1" applyProtection="1">
      <alignment horizontal="left" textRotation="90" wrapText="1"/>
      <protection hidden="1"/>
    </xf>
    <xf numFmtId="0" fontId="2" fillId="10" borderId="32" xfId="0" applyFont="1" applyFill="1" applyBorder="1" applyAlignment="1" applyProtection="1">
      <alignment horizontal="left"/>
      <protection locked="0" hidden="1"/>
    </xf>
    <xf numFmtId="0" fontId="2" fillId="10" borderId="33" xfId="0" applyFont="1" applyFill="1" applyBorder="1" applyAlignment="1" applyProtection="1">
      <alignment horizontal="left"/>
      <protection locked="0" hidden="1"/>
    </xf>
    <xf numFmtId="0" fontId="4" fillId="8" borderId="25" xfId="0" applyFont="1" applyFill="1" applyBorder="1" applyAlignment="1" applyProtection="1">
      <protection hidden="1"/>
    </xf>
    <xf numFmtId="0" fontId="2" fillId="2" borderId="1" xfId="0" applyFont="1" applyFill="1" applyBorder="1" applyAlignment="1" applyProtection="1">
      <alignment horizontal="left" textRotation="90" wrapText="1"/>
      <protection hidden="1"/>
    </xf>
    <xf numFmtId="44" fontId="2" fillId="5" borderId="1" xfId="1" applyFont="1" applyFill="1" applyBorder="1" applyAlignment="1" applyProtection="1">
      <alignment horizontal="left" textRotation="90" wrapText="1"/>
      <protection hidden="1"/>
    </xf>
    <xf numFmtId="0" fontId="2" fillId="4" borderId="1" xfId="2" applyFont="1" applyFill="1" applyBorder="1" applyAlignment="1" applyProtection="1">
      <alignment horizontal="left" textRotation="90" wrapText="1"/>
      <protection hidden="1"/>
    </xf>
    <xf numFmtId="0" fontId="2" fillId="6" borderId="1" xfId="2" applyFont="1" applyFill="1" applyBorder="1" applyAlignment="1" applyProtection="1">
      <alignment horizontal="left" textRotation="90" wrapText="1"/>
      <protection hidden="1"/>
    </xf>
    <xf numFmtId="44" fontId="2" fillId="7" borderId="1" xfId="1" applyFont="1" applyFill="1" applyBorder="1" applyAlignment="1" applyProtection="1">
      <alignment horizontal="left" textRotation="90" wrapText="1"/>
      <protection hidden="1"/>
    </xf>
    <xf numFmtId="0" fontId="2" fillId="11" borderId="38" xfId="0" applyFont="1" applyFill="1" applyBorder="1" applyAlignment="1" applyProtection="1">
      <alignment horizontal="left" textRotation="90" wrapText="1"/>
      <protection hidden="1"/>
    </xf>
    <xf numFmtId="0" fontId="2" fillId="11" borderId="8" xfId="0" applyFont="1" applyFill="1" applyBorder="1" applyAlignment="1" applyProtection="1">
      <alignment horizontal="left" textRotation="90" wrapText="1"/>
      <protection hidden="1"/>
    </xf>
    <xf numFmtId="0" fontId="2" fillId="10" borderId="1" xfId="0" applyFont="1" applyFill="1" applyBorder="1" applyAlignment="1" applyProtection="1">
      <alignment horizontal="left" textRotation="90" wrapText="1"/>
      <protection hidden="1"/>
    </xf>
    <xf numFmtId="0" fontId="2" fillId="3" borderId="32" xfId="0" applyFont="1" applyFill="1" applyBorder="1" applyAlignment="1" applyProtection="1">
      <protection locked="0" hidden="1"/>
    </xf>
    <xf numFmtId="0" fontId="2" fillId="2" borderId="24" xfId="0" applyFont="1" applyFill="1" applyBorder="1" applyAlignment="1" applyProtection="1">
      <alignment horizontal="left"/>
      <protection locked="0" hidden="1"/>
    </xf>
    <xf numFmtId="0" fontId="2" fillId="2" borderId="24" xfId="0" applyFont="1" applyFill="1" applyBorder="1" applyAlignment="1" applyProtection="1">
      <alignment horizontal="center"/>
      <protection locked="0" hidden="1"/>
    </xf>
    <xf numFmtId="44" fontId="2" fillId="5" borderId="24" xfId="1" applyNumberFormat="1" applyFont="1" applyFill="1" applyBorder="1" applyAlignment="1" applyProtection="1">
      <alignment horizontal="left"/>
      <protection locked="0" hidden="1"/>
    </xf>
    <xf numFmtId="0" fontId="2" fillId="4" borderId="24" xfId="0" applyFont="1" applyFill="1" applyBorder="1" applyAlignment="1" applyProtection="1">
      <protection locked="0" hidden="1"/>
    </xf>
    <xf numFmtId="0" fontId="8" fillId="4" borderId="24" xfId="0" applyFont="1" applyFill="1" applyBorder="1" applyAlignment="1" applyProtection="1">
      <protection locked="0" hidden="1"/>
    </xf>
    <xf numFmtId="0" fontId="2" fillId="6" borderId="24" xfId="0" applyFont="1" applyFill="1" applyBorder="1" applyAlignment="1" applyProtection="1">
      <protection locked="0" hidden="1"/>
    </xf>
    <xf numFmtId="0" fontId="2" fillId="7" borderId="24" xfId="0" applyFont="1" applyFill="1" applyBorder="1" applyAlignment="1" applyProtection="1">
      <alignment horizontal="left"/>
      <protection locked="0" hidden="1"/>
    </xf>
    <xf numFmtId="0" fontId="2" fillId="11" borderId="36" xfId="0" applyFont="1" applyFill="1" applyBorder="1" applyAlignment="1" applyProtection="1">
      <alignment horizontal="left"/>
      <protection locked="0" hidden="1"/>
    </xf>
    <xf numFmtId="10" fontId="2" fillId="11" borderId="36" xfId="0" applyNumberFormat="1" applyFont="1" applyFill="1" applyBorder="1" applyAlignment="1" applyProtection="1">
      <alignment horizontal="left"/>
      <protection locked="0" hidden="1"/>
    </xf>
    <xf numFmtId="0" fontId="2" fillId="11" borderId="37" xfId="0" applyFont="1" applyFill="1" applyBorder="1" applyAlignment="1" applyProtection="1">
      <alignment horizontal="left"/>
      <protection locked="0" hidden="1"/>
    </xf>
    <xf numFmtId="0" fontId="2" fillId="3" borderId="27" xfId="0" applyFont="1" applyFill="1" applyBorder="1" applyAlignment="1" applyProtection="1">
      <protection locked="0" hidden="1"/>
    </xf>
    <xf numFmtId="0" fontId="2" fillId="3" borderId="39" xfId="0" applyFont="1" applyFill="1" applyBorder="1" applyAlignment="1" applyProtection="1">
      <protection locked="0" hidden="1"/>
    </xf>
    <xf numFmtId="0" fontId="2" fillId="2" borderId="40" xfId="0" applyFont="1" applyFill="1" applyBorder="1" applyAlignment="1" applyProtection="1">
      <alignment horizontal="left"/>
      <protection locked="0" hidden="1"/>
    </xf>
    <xf numFmtId="0" fontId="2" fillId="2" borderId="40" xfId="0" applyFont="1" applyFill="1" applyBorder="1" applyAlignment="1" applyProtection="1">
      <alignment horizontal="center"/>
      <protection locked="0" hidden="1"/>
    </xf>
    <xf numFmtId="44" fontId="2" fillId="5" borderId="40" xfId="1" applyNumberFormat="1" applyFont="1" applyFill="1" applyBorder="1" applyAlignment="1" applyProtection="1">
      <alignment horizontal="left"/>
      <protection locked="0" hidden="1"/>
    </xf>
    <xf numFmtId="0" fontId="2" fillId="4" borderId="40" xfId="0" applyFont="1" applyFill="1" applyBorder="1" applyAlignment="1" applyProtection="1">
      <protection locked="0" hidden="1"/>
    </xf>
    <xf numFmtId="0" fontId="8" fillId="4" borderId="40" xfId="0" applyFont="1" applyFill="1" applyBorder="1" applyAlignment="1" applyProtection="1">
      <protection locked="0" hidden="1"/>
    </xf>
    <xf numFmtId="0" fontId="2" fillId="6" borderId="40" xfId="0" applyFont="1" applyFill="1" applyBorder="1" applyAlignment="1" applyProtection="1">
      <protection locked="0" hidden="1"/>
    </xf>
    <xf numFmtId="0" fontId="2" fillId="7" borderId="40" xfId="0" applyFont="1" applyFill="1" applyBorder="1" applyAlignment="1" applyProtection="1">
      <alignment horizontal="left"/>
      <protection locked="0" hidden="1"/>
    </xf>
    <xf numFmtId="0" fontId="2" fillId="11" borderId="42" xfId="0" applyFont="1" applyFill="1" applyBorder="1" applyAlignment="1" applyProtection="1">
      <alignment horizontal="left"/>
      <protection locked="0" hidden="1"/>
    </xf>
    <xf numFmtId="10" fontId="2" fillId="11" borderId="42" xfId="0" applyNumberFormat="1" applyFont="1" applyFill="1" applyBorder="1" applyAlignment="1" applyProtection="1">
      <alignment horizontal="left"/>
      <protection locked="0" hidden="1"/>
    </xf>
    <xf numFmtId="0" fontId="2" fillId="11" borderId="43" xfId="0" applyFont="1" applyFill="1" applyBorder="1" applyAlignment="1" applyProtection="1">
      <alignment horizontal="left"/>
      <protection locked="0" hidden="1"/>
    </xf>
    <xf numFmtId="0" fontId="2" fillId="10" borderId="39" xfId="0" applyFont="1" applyFill="1" applyBorder="1" applyAlignment="1" applyProtection="1">
      <alignment horizontal="left"/>
      <protection locked="0" hidden="1"/>
    </xf>
    <xf numFmtId="0" fontId="2" fillId="10" borderId="40" xfId="0" applyFont="1" applyFill="1" applyBorder="1" applyAlignment="1" applyProtection="1">
      <alignment horizontal="left"/>
      <protection locked="0" hidden="1"/>
    </xf>
    <xf numFmtId="0" fontId="2" fillId="10" borderId="44" xfId="0" applyFont="1" applyFill="1" applyBorder="1" applyAlignment="1" applyProtection="1">
      <alignment horizontal="left"/>
      <protection locked="0" hidden="1"/>
    </xf>
    <xf numFmtId="0" fontId="2" fillId="3" borderId="9" xfId="0" applyFont="1" applyFill="1" applyBorder="1" applyAlignment="1" applyProtection="1">
      <alignment horizontal="left" textRotation="90" wrapText="1"/>
      <protection hidden="1"/>
    </xf>
    <xf numFmtId="0" fontId="2" fillId="3" borderId="35" xfId="0" applyFont="1" applyFill="1" applyBorder="1" applyAlignment="1" applyProtection="1">
      <protection locked="0" hidden="1"/>
    </xf>
    <xf numFmtId="0" fontId="2" fillId="3" borderId="26" xfId="0" applyFont="1" applyFill="1" applyBorder="1" applyAlignment="1" applyProtection="1">
      <protection locked="0" hidden="1"/>
    </xf>
    <xf numFmtId="0" fontId="2" fillId="3" borderId="41" xfId="0" applyFont="1" applyFill="1" applyBorder="1" applyAlignment="1" applyProtection="1">
      <protection locked="0" hidden="1"/>
    </xf>
    <xf numFmtId="0" fontId="2" fillId="4" borderId="38" xfId="2" applyFont="1" applyFill="1" applyBorder="1" applyAlignment="1" applyProtection="1">
      <alignment horizontal="left" textRotation="90" wrapText="1"/>
      <protection hidden="1"/>
    </xf>
    <xf numFmtId="0" fontId="2" fillId="5" borderId="30" xfId="2" applyFont="1" applyFill="1" applyBorder="1" applyAlignment="1" applyProtection="1">
      <alignment horizontal="left" textRotation="90" wrapText="1"/>
      <protection hidden="1"/>
    </xf>
    <xf numFmtId="44" fontId="2" fillId="5" borderId="31" xfId="1" applyFont="1" applyFill="1" applyBorder="1" applyAlignment="1" applyProtection="1">
      <alignment horizontal="left" textRotation="90" wrapText="1"/>
      <protection hidden="1"/>
    </xf>
    <xf numFmtId="0" fontId="2" fillId="5" borderId="32" xfId="0" applyFont="1" applyFill="1" applyBorder="1" applyAlignment="1" applyProtection="1">
      <protection locked="0" hidden="1"/>
    </xf>
    <xf numFmtId="0" fontId="2" fillId="5" borderId="33" xfId="0" applyFont="1" applyFill="1" applyBorder="1" applyAlignment="1" applyProtection="1">
      <protection locked="0" hidden="1"/>
    </xf>
    <xf numFmtId="0" fontId="2" fillId="5" borderId="27" xfId="0" applyFont="1" applyFill="1" applyBorder="1" applyAlignment="1" applyProtection="1">
      <protection locked="0" hidden="1"/>
    </xf>
    <xf numFmtId="0" fontId="2" fillId="5" borderId="28" xfId="0" applyFont="1" applyFill="1" applyBorder="1" applyAlignment="1" applyProtection="1">
      <protection locked="0" hidden="1"/>
    </xf>
    <xf numFmtId="0" fontId="2" fillId="5" borderId="39" xfId="0" applyFont="1" applyFill="1" applyBorder="1" applyAlignment="1" applyProtection="1">
      <protection locked="0" hidden="1"/>
    </xf>
    <xf numFmtId="0" fontId="2" fillId="5" borderId="44" xfId="0" applyFont="1" applyFill="1" applyBorder="1" applyAlignment="1" applyProtection="1">
      <protection locked="0" hidden="1"/>
    </xf>
    <xf numFmtId="0" fontId="2" fillId="4" borderId="9" xfId="2" applyFont="1" applyFill="1" applyBorder="1" applyAlignment="1" applyProtection="1">
      <alignment horizontal="left" textRotation="90" wrapText="1"/>
      <protection hidden="1"/>
    </xf>
    <xf numFmtId="0" fontId="2" fillId="4" borderId="35" xfId="0" applyFont="1" applyFill="1" applyBorder="1" applyAlignment="1" applyProtection="1">
      <protection locked="0" hidden="1"/>
    </xf>
    <xf numFmtId="0" fontId="2" fillId="4" borderId="26" xfId="0" applyFont="1" applyFill="1" applyBorder="1" applyAlignment="1" applyProtection="1">
      <protection locked="0" hidden="1"/>
    </xf>
    <xf numFmtId="0" fontId="2" fillId="4" borderId="41" xfId="0" applyFont="1" applyFill="1" applyBorder="1" applyAlignment="1" applyProtection="1">
      <protection locked="0" hidden="1"/>
    </xf>
    <xf numFmtId="0" fontId="2" fillId="6" borderId="30" xfId="2" applyFont="1" applyFill="1" applyBorder="1" applyAlignment="1" applyProtection="1">
      <alignment horizontal="left" textRotation="90" wrapText="1"/>
      <protection hidden="1"/>
    </xf>
    <xf numFmtId="44" fontId="2" fillId="6" borderId="31" xfId="1" applyFont="1" applyFill="1" applyBorder="1" applyAlignment="1" applyProtection="1">
      <alignment horizontal="left" textRotation="90" wrapText="1"/>
      <protection hidden="1"/>
    </xf>
    <xf numFmtId="0" fontId="2" fillId="6" borderId="32" xfId="0" applyFont="1" applyFill="1" applyBorder="1" applyAlignment="1" applyProtection="1">
      <protection locked="0" hidden="1"/>
    </xf>
    <xf numFmtId="44" fontId="2" fillId="6" borderId="33" xfId="1" applyFont="1" applyFill="1" applyBorder="1" applyAlignment="1" applyProtection="1">
      <alignment horizontal="left"/>
      <protection locked="0" hidden="1"/>
    </xf>
    <xf numFmtId="0" fontId="2" fillId="6" borderId="27" xfId="0" applyFont="1" applyFill="1" applyBorder="1" applyAlignment="1" applyProtection="1">
      <protection locked="0" hidden="1"/>
    </xf>
    <xf numFmtId="44" fontId="2" fillId="6" borderId="28" xfId="1" applyFont="1" applyFill="1" applyBorder="1" applyAlignment="1" applyProtection="1">
      <alignment horizontal="left"/>
      <protection locked="0" hidden="1"/>
    </xf>
    <xf numFmtId="0" fontId="2" fillId="6" borderId="39" xfId="0" applyFont="1" applyFill="1" applyBorder="1" applyAlignment="1" applyProtection="1">
      <protection locked="0" hidden="1"/>
    </xf>
    <xf numFmtId="44" fontId="2" fillId="6" borderId="44" xfId="1" applyFont="1" applyFill="1" applyBorder="1" applyAlignment="1" applyProtection="1">
      <alignment horizontal="left"/>
      <protection locked="0" hidden="1"/>
    </xf>
    <xf numFmtId="44" fontId="2" fillId="7" borderId="30" xfId="1" applyFont="1" applyFill="1" applyBorder="1" applyAlignment="1" applyProtection="1">
      <alignment horizontal="left" textRotation="90" wrapText="1"/>
      <protection hidden="1"/>
    </xf>
    <xf numFmtId="0" fontId="2" fillId="7" borderId="31" xfId="0" applyFont="1" applyFill="1" applyBorder="1" applyAlignment="1" applyProtection="1">
      <alignment horizontal="left" textRotation="90" wrapText="1"/>
      <protection hidden="1"/>
    </xf>
    <xf numFmtId="44" fontId="2" fillId="7" borderId="32" xfId="1" applyFont="1" applyFill="1" applyBorder="1" applyAlignment="1" applyProtection="1">
      <alignment horizontal="left"/>
      <protection locked="0" hidden="1"/>
    </xf>
    <xf numFmtId="0" fontId="2" fillId="7" borderId="33" xfId="0" applyFont="1" applyFill="1" applyBorder="1" applyAlignment="1" applyProtection="1">
      <alignment horizontal="left"/>
      <protection locked="0" hidden="1"/>
    </xf>
    <xf numFmtId="44" fontId="2" fillId="7" borderId="27" xfId="1" applyFont="1" applyFill="1" applyBorder="1" applyAlignment="1" applyProtection="1">
      <alignment horizontal="left"/>
      <protection locked="0" hidden="1"/>
    </xf>
    <xf numFmtId="0" fontId="2" fillId="7" borderId="28" xfId="0" applyFont="1" applyFill="1" applyBorder="1" applyAlignment="1" applyProtection="1">
      <alignment horizontal="left"/>
      <protection locked="0" hidden="1"/>
    </xf>
    <xf numFmtId="44" fontId="2" fillId="7" borderId="39" xfId="1" applyFont="1" applyFill="1" applyBorder="1" applyAlignment="1" applyProtection="1">
      <alignment horizontal="left"/>
      <protection locked="0" hidden="1"/>
    </xf>
    <xf numFmtId="0" fontId="2" fillId="7" borderId="44" xfId="0" applyFont="1" applyFill="1" applyBorder="1" applyAlignment="1" applyProtection="1">
      <alignment horizontal="left"/>
      <protection locked="0" hidden="1"/>
    </xf>
    <xf numFmtId="0" fontId="4" fillId="8" borderId="7" xfId="0" applyFont="1" applyFill="1" applyBorder="1" applyAlignment="1" applyProtection="1">
      <protection hidden="1"/>
    </xf>
    <xf numFmtId="0" fontId="20" fillId="2" borderId="45" xfId="0" applyFont="1" applyFill="1" applyBorder="1" applyAlignment="1" applyProtection="1">
      <alignment wrapText="1"/>
      <protection hidden="1"/>
    </xf>
    <xf numFmtId="0" fontId="4" fillId="8" borderId="0" xfId="0" applyFont="1" applyFill="1" applyAlignment="1" applyProtection="1">
      <alignment horizontal="left"/>
      <protection hidden="1"/>
    </xf>
    <xf numFmtId="0" fontId="21" fillId="8" borderId="0" xfId="0" applyFont="1" applyFill="1" applyAlignment="1" applyProtection="1">
      <protection hidden="1"/>
    </xf>
    <xf numFmtId="0" fontId="5" fillId="8" borderId="8" xfId="0" applyFont="1" applyFill="1" applyBorder="1" applyAlignment="1" applyProtection="1">
      <protection hidden="1"/>
    </xf>
    <xf numFmtId="0" fontId="5" fillId="8" borderId="5" xfId="0" applyFont="1" applyFill="1" applyBorder="1" applyAlignment="1" applyProtection="1">
      <protection hidden="1"/>
    </xf>
    <xf numFmtId="0" fontId="4" fillId="8" borderId="8" xfId="0" applyFont="1" applyFill="1" applyBorder="1" applyAlignment="1" applyProtection="1">
      <alignment horizontal="left"/>
      <protection hidden="1"/>
    </xf>
    <xf numFmtId="0" fontId="5" fillId="8" borderId="5" xfId="0" applyFont="1" applyFill="1" applyBorder="1" applyAlignment="1" applyProtection="1">
      <alignment horizontal="right"/>
      <protection hidden="1"/>
    </xf>
    <xf numFmtId="0" fontId="21" fillId="0" borderId="0" xfId="0" applyFont="1" applyAlignment="1" applyProtection="1">
      <protection hidden="1"/>
    </xf>
    <xf numFmtId="44" fontId="2" fillId="4" borderId="36" xfId="1" applyNumberFormat="1" applyFont="1" applyFill="1" applyBorder="1" applyAlignment="1" applyProtection="1">
      <alignment horizontal="left"/>
      <protection locked="0" hidden="1"/>
    </xf>
    <xf numFmtId="44" fontId="2" fillId="4" borderId="15" xfId="1" applyNumberFormat="1" applyFont="1" applyFill="1" applyBorder="1" applyAlignment="1" applyProtection="1">
      <alignment horizontal="left"/>
      <protection locked="0" hidden="1"/>
    </xf>
    <xf numFmtId="44" fontId="2" fillId="4" borderId="42" xfId="1" applyNumberFormat="1" applyFont="1" applyFill="1" applyBorder="1" applyAlignment="1" applyProtection="1">
      <alignment horizontal="left"/>
      <protection locked="0" hidden="1"/>
    </xf>
    <xf numFmtId="44" fontId="2" fillId="12" borderId="1" xfId="1" applyFont="1" applyFill="1" applyBorder="1" applyAlignment="1" applyProtection="1">
      <alignment horizontal="left" textRotation="90" wrapText="1"/>
      <protection hidden="1"/>
    </xf>
    <xf numFmtId="44" fontId="2" fillId="12" borderId="24" xfId="1" applyFont="1" applyFill="1" applyBorder="1" applyAlignment="1" applyProtection="1">
      <alignment horizontal="left"/>
      <protection hidden="1"/>
    </xf>
    <xf numFmtId="44" fontId="2" fillId="12" borderId="17" xfId="1" applyFont="1" applyFill="1" applyBorder="1" applyAlignment="1" applyProtection="1">
      <alignment horizontal="left"/>
      <protection hidden="1"/>
    </xf>
    <xf numFmtId="44" fontId="2" fillId="12" borderId="40" xfId="1" applyFont="1" applyFill="1" applyBorder="1" applyAlignment="1" applyProtection="1">
      <alignment horizontal="left"/>
      <protection hidden="1"/>
    </xf>
    <xf numFmtId="10" fontId="2" fillId="10" borderId="24" xfId="3" applyNumberFormat="1" applyFont="1" applyFill="1" applyBorder="1" applyAlignment="1" applyProtection="1">
      <alignment horizontal="left"/>
      <protection locked="0" hidden="1"/>
    </xf>
    <xf numFmtId="0" fontId="2" fillId="13" borderId="20" xfId="0" applyFont="1" applyFill="1" applyBorder="1" applyAlignment="1" applyProtection="1">
      <alignment horizontal="left" textRotation="90" wrapText="1"/>
      <protection hidden="1"/>
    </xf>
    <xf numFmtId="44" fontId="2" fillId="13" borderId="19" xfId="1" applyFont="1" applyFill="1" applyBorder="1" applyAlignment="1" applyProtection="1">
      <alignment horizontal="left" textRotation="90" wrapText="1"/>
      <protection hidden="1"/>
    </xf>
    <xf numFmtId="44" fontId="2" fillId="9" borderId="38" xfId="1" applyFont="1" applyFill="1" applyBorder="1" applyAlignment="1" applyProtection="1">
      <alignment horizontal="left" textRotation="90" wrapText="1"/>
      <protection hidden="1"/>
    </xf>
    <xf numFmtId="44" fontId="2" fillId="9" borderId="9" xfId="1" applyFont="1" applyFill="1" applyBorder="1" applyAlignment="1" applyProtection="1">
      <alignment horizontal="left" textRotation="90" wrapText="1"/>
      <protection hidden="1"/>
    </xf>
    <xf numFmtId="0" fontId="2" fillId="9" borderId="36" xfId="0" applyFont="1" applyFill="1" applyBorder="1" applyAlignment="1" applyProtection="1">
      <protection locked="0" hidden="1"/>
    </xf>
    <xf numFmtId="44" fontId="2" fillId="9" borderId="35" xfId="0" applyNumberFormat="1" applyFont="1" applyFill="1" applyBorder="1" applyAlignment="1" applyProtection="1">
      <protection locked="0" hidden="1"/>
    </xf>
    <xf numFmtId="0" fontId="2" fillId="9" borderId="15" xfId="0" applyFont="1" applyFill="1" applyBorder="1" applyAlignment="1" applyProtection="1">
      <protection locked="0" hidden="1"/>
    </xf>
    <xf numFmtId="44" fontId="2" fillId="9" borderId="26" xfId="0" applyNumberFormat="1" applyFont="1" applyFill="1" applyBorder="1" applyAlignment="1" applyProtection="1">
      <protection locked="0" hidden="1"/>
    </xf>
    <xf numFmtId="0" fontId="2" fillId="9" borderId="42" xfId="0" applyFont="1" applyFill="1" applyBorder="1" applyAlignment="1" applyProtection="1">
      <protection locked="0" hidden="1"/>
    </xf>
    <xf numFmtId="44" fontId="2" fillId="9" borderId="41" xfId="0" applyNumberFormat="1" applyFont="1" applyFill="1" applyBorder="1" applyAlignment="1" applyProtection="1">
      <protection locked="0" hidden="1"/>
    </xf>
    <xf numFmtId="0" fontId="2" fillId="10" borderId="32" xfId="0" applyNumberFormat="1" applyFont="1" applyFill="1" applyBorder="1" applyAlignment="1" applyProtection="1">
      <alignment horizontal="left"/>
      <protection locked="0" hidden="1"/>
    </xf>
    <xf numFmtId="0" fontId="2" fillId="10" borderId="24" xfId="0" applyNumberFormat="1" applyFont="1" applyFill="1" applyBorder="1" applyAlignment="1" applyProtection="1">
      <alignment horizontal="left"/>
      <protection locked="0" hidden="1"/>
    </xf>
    <xf numFmtId="6" fontId="2" fillId="10" borderId="32" xfId="0" applyNumberFormat="1" applyFont="1" applyFill="1" applyBorder="1" applyAlignment="1" applyProtection="1">
      <alignment horizontal="left"/>
      <protection locked="0" hidden="1"/>
    </xf>
    <xf numFmtId="6" fontId="2" fillId="10" borderId="47" xfId="0" applyNumberFormat="1" applyFont="1" applyFill="1" applyBorder="1" applyAlignment="1" applyProtection="1">
      <alignment horizontal="left"/>
      <protection locked="0" hidden="1"/>
    </xf>
    <xf numFmtId="0" fontId="2" fillId="10" borderId="3" xfId="0" applyNumberFormat="1" applyFont="1" applyFill="1" applyBorder="1" applyAlignment="1" applyProtection="1">
      <alignment horizontal="left"/>
      <protection locked="0" hidden="1"/>
    </xf>
    <xf numFmtId="10" fontId="2" fillId="10" borderId="22" xfId="3" applyNumberFormat="1" applyFont="1" applyFill="1" applyBorder="1" applyAlignment="1" applyProtection="1">
      <alignment horizontal="left"/>
      <protection locked="0" hidden="1"/>
    </xf>
    <xf numFmtId="10" fontId="2" fillId="10" borderId="2" xfId="3" applyNumberFormat="1" applyFont="1" applyFill="1" applyBorder="1" applyAlignment="1" applyProtection="1">
      <alignment horizontal="left"/>
      <protection locked="0" hidden="1"/>
    </xf>
    <xf numFmtId="10" fontId="2" fillId="10" borderId="3" xfId="3" applyNumberFormat="1" applyFont="1" applyFill="1" applyBorder="1" applyAlignment="1" applyProtection="1">
      <alignment horizontal="left"/>
      <protection locked="0" hidden="1"/>
    </xf>
    <xf numFmtId="6" fontId="2" fillId="10" borderId="48" xfId="0" applyNumberFormat="1" applyFont="1" applyFill="1" applyBorder="1" applyAlignment="1" applyProtection="1">
      <alignment horizontal="left"/>
      <protection locked="0" hidden="1"/>
    </xf>
    <xf numFmtId="0" fontId="2" fillId="10" borderId="13" xfId="0" applyNumberFormat="1" applyFont="1" applyFill="1" applyBorder="1" applyAlignment="1" applyProtection="1">
      <alignment horizontal="left"/>
      <protection locked="0" hidden="1"/>
    </xf>
    <xf numFmtId="10" fontId="2" fillId="10" borderId="23" xfId="3" applyNumberFormat="1" applyFont="1" applyFill="1" applyBorder="1" applyAlignment="1" applyProtection="1">
      <alignment horizontal="left"/>
      <protection locked="0" hidden="1"/>
    </xf>
    <xf numFmtId="10" fontId="2" fillId="10" borderId="12" xfId="3" applyNumberFormat="1" applyFont="1" applyFill="1" applyBorder="1" applyAlignment="1" applyProtection="1">
      <alignment horizontal="left"/>
      <protection locked="0" hidden="1"/>
    </xf>
    <xf numFmtId="10" fontId="2" fillId="10" borderId="13" xfId="3" applyNumberFormat="1" applyFont="1" applyFill="1" applyBorder="1" applyAlignment="1" applyProtection="1">
      <alignment horizontal="left"/>
      <protection locked="0" hidden="1"/>
    </xf>
    <xf numFmtId="0" fontId="6" fillId="0" borderId="0" xfId="0" applyFont="1" applyBorder="1" applyAlignment="1" applyProtection="1">
      <alignment horizontal="center"/>
      <protection hidden="1"/>
    </xf>
    <xf numFmtId="0" fontId="6" fillId="0" borderId="0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Border="1" applyAlignment="1" applyProtection="1">
      <protection hidden="1"/>
    </xf>
    <xf numFmtId="0" fontId="6" fillId="0" borderId="0" xfId="0" applyFont="1" applyBorder="1" applyAlignment="1" applyProtection="1">
      <alignment wrapText="1"/>
      <protection hidden="1"/>
    </xf>
    <xf numFmtId="44" fontId="2" fillId="13" borderId="24" xfId="3" applyNumberFormat="1" applyFont="1" applyFill="1" applyBorder="1" applyAlignment="1" applyProtection="1">
      <alignment horizontal="left"/>
      <protection hidden="1"/>
    </xf>
    <xf numFmtId="44" fontId="2" fillId="13" borderId="33" xfId="3" applyNumberFormat="1" applyFont="1" applyFill="1" applyBorder="1" applyAlignment="1" applyProtection="1">
      <alignment horizontal="left"/>
      <protection hidden="1"/>
    </xf>
    <xf numFmtId="44" fontId="2" fillId="13" borderId="22" xfId="3" applyNumberFormat="1" applyFont="1" applyFill="1" applyBorder="1" applyAlignment="1" applyProtection="1">
      <alignment horizontal="left"/>
      <protection hidden="1"/>
    </xf>
    <xf numFmtId="44" fontId="2" fillId="13" borderId="4" xfId="3" applyNumberFormat="1" applyFont="1" applyFill="1" applyBorder="1" applyAlignment="1" applyProtection="1">
      <alignment horizontal="left"/>
      <protection hidden="1"/>
    </xf>
    <xf numFmtId="44" fontId="2" fillId="13" borderId="2" xfId="3" applyNumberFormat="1" applyFont="1" applyFill="1" applyBorder="1" applyAlignment="1" applyProtection="1">
      <alignment horizontal="left"/>
      <protection hidden="1"/>
    </xf>
    <xf numFmtId="44" fontId="2" fillId="13" borderId="3" xfId="3" applyNumberFormat="1" applyFont="1" applyFill="1" applyBorder="1" applyAlignment="1" applyProtection="1">
      <alignment horizontal="left"/>
      <protection hidden="1"/>
    </xf>
    <xf numFmtId="44" fontId="2" fillId="13" borderId="23" xfId="3" applyNumberFormat="1" applyFont="1" applyFill="1" applyBorder="1" applyAlignment="1" applyProtection="1">
      <alignment horizontal="left"/>
      <protection hidden="1"/>
    </xf>
    <xf numFmtId="44" fontId="2" fillId="13" borderId="14" xfId="3" applyNumberFormat="1" applyFont="1" applyFill="1" applyBorder="1" applyAlignment="1" applyProtection="1">
      <alignment horizontal="left"/>
      <protection hidden="1"/>
    </xf>
    <xf numFmtId="44" fontId="2" fillId="13" borderId="12" xfId="3" applyNumberFormat="1" applyFont="1" applyFill="1" applyBorder="1" applyAlignment="1" applyProtection="1">
      <alignment horizontal="left"/>
      <protection hidden="1"/>
    </xf>
    <xf numFmtId="44" fontId="2" fillId="13" borderId="13" xfId="3" applyNumberFormat="1" applyFont="1" applyFill="1" applyBorder="1" applyAlignment="1" applyProtection="1">
      <alignment horizontal="left"/>
      <protection hidden="1"/>
    </xf>
    <xf numFmtId="0" fontId="9" fillId="10" borderId="5" xfId="0" applyFont="1" applyFill="1" applyBorder="1" applyAlignment="1" applyProtection="1">
      <alignment horizontal="center" vertical="center" wrapText="1"/>
      <protection hidden="1"/>
    </xf>
    <xf numFmtId="0" fontId="9" fillId="10" borderId="5" xfId="0" applyFont="1" applyFill="1" applyBorder="1" applyAlignment="1" applyProtection="1">
      <alignment horizontal="center" vertical="center"/>
      <protection hidden="1"/>
    </xf>
    <xf numFmtId="0" fontId="9" fillId="10" borderId="6" xfId="0" applyFont="1" applyFill="1" applyBorder="1" applyAlignment="1" applyProtection="1">
      <alignment horizontal="center" vertical="center"/>
      <protection hidden="1"/>
    </xf>
    <xf numFmtId="0" fontId="5" fillId="3" borderId="43" xfId="0" applyFont="1" applyFill="1" applyBorder="1" applyAlignment="1" applyProtection="1">
      <alignment horizontal="center" vertical="center"/>
      <protection hidden="1"/>
    </xf>
    <xf numFmtId="0" fontId="5" fillId="3" borderId="46" xfId="0" applyFont="1" applyFill="1" applyBorder="1" applyAlignment="1" applyProtection="1">
      <alignment horizontal="center" vertical="center"/>
      <protection hidden="1"/>
    </xf>
    <xf numFmtId="0" fontId="4" fillId="8" borderId="8" xfId="0" applyFont="1" applyFill="1" applyBorder="1" applyAlignment="1" applyProtection="1">
      <alignment horizontal="left" vertical="center" wrapText="1"/>
      <protection hidden="1"/>
    </xf>
    <xf numFmtId="0" fontId="0" fillId="0" borderId="8" xfId="0" applyBorder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5" fillId="5" borderId="7" xfId="0" applyFont="1" applyFill="1" applyBorder="1" applyAlignment="1" applyProtection="1">
      <alignment horizontal="center" vertical="center"/>
      <protection hidden="1"/>
    </xf>
    <xf numFmtId="0" fontId="5" fillId="5" borderId="8" xfId="0" applyFont="1" applyFill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hidden="1"/>
    </xf>
    <xf numFmtId="0" fontId="5" fillId="6" borderId="30" xfId="0" applyFont="1" applyFill="1" applyBorder="1" applyAlignment="1" applyProtection="1">
      <alignment horizontal="center" vertical="center"/>
      <protection hidden="1"/>
    </xf>
    <xf numFmtId="0" fontId="5" fillId="6" borderId="1" xfId="0" applyFont="1" applyFill="1" applyBorder="1" applyAlignment="1" applyProtection="1">
      <alignment horizontal="center" vertical="center"/>
      <protection hidden="1"/>
    </xf>
    <xf numFmtId="0" fontId="5" fillId="6" borderId="31" xfId="0" applyFont="1" applyFill="1" applyBorder="1" applyAlignment="1" applyProtection="1">
      <alignment horizontal="center" vertical="center"/>
      <protection hidden="1"/>
    </xf>
    <xf numFmtId="0" fontId="22" fillId="9" borderId="5" xfId="0" applyFont="1" applyFill="1" applyBorder="1" applyAlignment="1" applyProtection="1">
      <alignment horizontal="center" vertical="center" wrapText="1"/>
      <protection hidden="1"/>
    </xf>
    <xf numFmtId="0" fontId="23" fillId="9" borderId="5" xfId="0" applyFont="1" applyFill="1" applyBorder="1" applyAlignment="1" applyProtection="1">
      <alignment horizontal="center" vertical="center" wrapText="1"/>
      <protection hidden="1"/>
    </xf>
    <xf numFmtId="0" fontId="5" fillId="4" borderId="5" xfId="0" applyFont="1" applyFill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5" fillId="7" borderId="25" xfId="0" applyFont="1" applyFill="1" applyBorder="1" applyAlignment="1" applyProtection="1">
      <alignment horizontal="center" vertical="center"/>
      <protection hidden="1"/>
    </xf>
    <xf numFmtId="0" fontId="5" fillId="7" borderId="5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9" fillId="10" borderId="7" xfId="0" applyFont="1" applyFill="1" applyBorder="1" applyAlignment="1" applyProtection="1">
      <alignment horizontal="center" vertical="center" wrapText="1"/>
      <protection hidden="1"/>
    </xf>
    <xf numFmtId="0" fontId="9" fillId="10" borderId="8" xfId="0" applyFont="1" applyFill="1" applyBorder="1" applyAlignment="1" applyProtection="1">
      <alignment horizontal="center" vertical="center" wrapText="1"/>
      <protection hidden="1"/>
    </xf>
    <xf numFmtId="0" fontId="9" fillId="10" borderId="34" xfId="0" applyFont="1" applyFill="1" applyBorder="1" applyAlignment="1" applyProtection="1">
      <alignment horizontal="center" vertical="center"/>
      <protection hidden="1"/>
    </xf>
    <xf numFmtId="0" fontId="9" fillId="11" borderId="5" xfId="0" applyFont="1" applyFill="1" applyBorder="1" applyAlignment="1" applyProtection="1">
      <alignment horizontal="center" vertical="center" wrapText="1"/>
      <protection hidden="1"/>
    </xf>
    <xf numFmtId="0" fontId="9" fillId="11" borderId="6" xfId="0" applyFont="1" applyFill="1" applyBorder="1" applyAlignment="1" applyProtection="1">
      <alignment horizontal="center" vertical="center" wrapText="1"/>
      <protection hidden="1"/>
    </xf>
    <xf numFmtId="0" fontId="15" fillId="0" borderId="16" xfId="0" applyFont="1" applyBorder="1" applyAlignment="1" applyProtection="1">
      <alignment horizontal="left" wrapText="1"/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0" xfId="0" applyFont="1" applyAlignment="1" applyProtection="1">
      <alignment wrapText="1"/>
      <protection locked="0"/>
    </xf>
    <xf numFmtId="0" fontId="24" fillId="0" borderId="0" xfId="0" applyFont="1" applyProtection="1">
      <protection locked="0"/>
    </xf>
    <xf numFmtId="1" fontId="24" fillId="0" borderId="0" xfId="0" applyNumberFormat="1" applyFont="1" applyAlignment="1" applyProtection="1">
      <alignment horizontal="center" vertical="center"/>
      <protection locked="0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10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fgColor theme="0"/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colors>
    <mruColors>
      <color rgb="FFC0C0C0"/>
      <color rgb="FF99FF66"/>
      <color rgb="FF66FF66"/>
      <color rgb="FFFFCCCC"/>
      <color rgb="FFFF99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isaMNorgren/My%20Documents/Downloads/Doc%208%20of%20Enviro%20refresh%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Non-Hourly Rate Service Pricing"/>
      <sheetName val="Training Pricing"/>
      <sheetName val="Support Pricing"/>
      <sheetName val="ED Lis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High School</v>
          </cell>
          <cell r="C1" t="str">
            <v>Contractor Site</v>
          </cell>
          <cell r="H1" t="str">
            <v>Domestic Only</v>
          </cell>
        </row>
        <row r="2">
          <cell r="A2" t="str">
            <v>Associates</v>
          </cell>
          <cell r="C2" t="str">
            <v>Customer Site</v>
          </cell>
          <cell r="H2" t="str">
            <v>Overseas Only</v>
          </cell>
        </row>
        <row r="3">
          <cell r="A3" t="str">
            <v>Bachelors</v>
          </cell>
          <cell r="C3" t="str">
            <v>Both</v>
          </cell>
          <cell r="H3" t="str">
            <v>Domestic and Overseas</v>
          </cell>
        </row>
        <row r="4">
          <cell r="A4" t="str">
            <v>Masters</v>
          </cell>
        </row>
        <row r="5">
          <cell r="A5" t="str">
            <v>PhD</v>
          </cell>
        </row>
        <row r="6">
          <cell r="A6" t="str">
            <v>Professional Certification</v>
          </cell>
        </row>
        <row r="7">
          <cell r="A7" t="str">
            <v>None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I211"/>
  <sheetViews>
    <sheetView tabSelected="1" zoomScale="80" zoomScaleNormal="80" workbookViewId="0">
      <pane xSplit="2" topLeftCell="C1" activePane="topRight" state="frozen"/>
      <selection pane="topRight" activeCell="B4" sqref="B4"/>
    </sheetView>
  </sheetViews>
  <sheetFormatPr defaultRowHeight="12.75"/>
  <cols>
    <col min="1" max="1" width="4.140625" style="60" customWidth="1"/>
    <col min="2" max="2" width="26.5703125" style="58" customWidth="1"/>
    <col min="3" max="7" width="9.140625" style="58"/>
    <col min="8" max="10" width="9" style="58" customWidth="1"/>
    <col min="11" max="13" width="9.140625" style="58"/>
    <col min="14" max="14" width="13.28515625" style="58" customWidth="1"/>
    <col min="15" max="17" width="9.140625" style="58"/>
    <col min="18" max="18" width="9.42578125" style="58" bestFit="1" customWidth="1"/>
    <col min="19" max="19" width="10.5703125" style="58" customWidth="1"/>
    <col min="20" max="20" width="9.140625" style="58"/>
    <col min="21" max="21" width="11" style="58" bestFit="1" customWidth="1"/>
    <col min="22" max="29" width="9.140625" style="58"/>
    <col min="30" max="30" width="11" style="58" customWidth="1"/>
    <col min="31" max="31" width="12.28515625" style="58" customWidth="1"/>
    <col min="32" max="33" width="9.140625" style="58"/>
    <col min="34" max="113" width="8.85546875" style="58" customWidth="1"/>
    <col min="114" max="16384" width="9.140625" style="58"/>
  </cols>
  <sheetData>
    <row r="1" spans="1:113" s="167" customFormat="1" ht="13.5" thickBot="1">
      <c r="A1" s="219" t="s">
        <v>125</v>
      </c>
      <c r="B1" s="220"/>
      <c r="C1" s="159" t="s">
        <v>77</v>
      </c>
      <c r="D1" s="161"/>
      <c r="E1" s="162"/>
      <c r="F1" s="163"/>
      <c r="G1" s="161" t="s">
        <v>78</v>
      </c>
      <c r="H1" s="164"/>
      <c r="I1" s="164"/>
      <c r="J1" s="165"/>
      <c r="K1" s="164"/>
      <c r="L1" s="162"/>
      <c r="M1" s="166"/>
      <c r="N1" s="161"/>
      <c r="O1" s="162"/>
      <c r="P1" s="164"/>
      <c r="Q1" s="164"/>
      <c r="R1" s="159"/>
      <c r="S1" s="163"/>
      <c r="T1" s="163"/>
      <c r="U1" s="54"/>
      <c r="V1" s="54"/>
      <c r="W1" s="54"/>
      <c r="X1" s="54"/>
      <c r="Y1" s="54"/>
      <c r="Z1" s="54"/>
      <c r="AA1" s="54"/>
      <c r="AB1" s="54"/>
      <c r="AC1" s="54"/>
      <c r="AD1" s="91"/>
      <c r="AE1" s="54"/>
      <c r="AF1" s="54"/>
      <c r="AG1" s="55"/>
      <c r="AH1" s="54"/>
      <c r="AI1" s="54"/>
      <c r="AJ1" s="54"/>
      <c r="AK1" s="54"/>
      <c r="AL1" s="54"/>
      <c r="AM1" s="54"/>
      <c r="AN1" s="54"/>
      <c r="AO1" s="55"/>
      <c r="AP1" s="54"/>
      <c r="AQ1" s="54"/>
      <c r="AR1" s="54"/>
      <c r="AS1" s="54"/>
      <c r="AT1" s="54"/>
      <c r="AU1" s="54"/>
      <c r="AV1" s="54"/>
      <c r="AW1" s="55"/>
      <c r="AX1" s="54"/>
      <c r="AY1" s="54"/>
      <c r="AZ1" s="54"/>
      <c r="BA1" s="54"/>
      <c r="BB1" s="54"/>
      <c r="BC1" s="54"/>
      <c r="BD1" s="54"/>
      <c r="BE1" s="55"/>
      <c r="BF1" s="54"/>
      <c r="BG1" s="54"/>
      <c r="BH1" s="54"/>
      <c r="BI1" s="54"/>
      <c r="BJ1" s="54"/>
      <c r="BK1" s="54"/>
      <c r="BL1" s="54"/>
      <c r="BM1" s="55"/>
      <c r="BN1" s="54"/>
      <c r="BO1" s="54"/>
      <c r="BP1" s="54"/>
      <c r="BQ1" s="54"/>
      <c r="BR1" s="54"/>
      <c r="BS1" s="54"/>
      <c r="BT1" s="54"/>
      <c r="BU1" s="55"/>
      <c r="BV1" s="54"/>
      <c r="BW1" s="54"/>
      <c r="BX1" s="54"/>
      <c r="BY1" s="54"/>
      <c r="BZ1" s="54"/>
      <c r="CA1" s="54"/>
      <c r="CB1" s="54"/>
      <c r="CC1" s="55"/>
      <c r="CD1" s="54"/>
      <c r="CE1" s="54"/>
      <c r="CF1" s="54"/>
      <c r="CG1" s="54"/>
      <c r="CH1" s="54"/>
      <c r="CI1" s="54"/>
      <c r="CJ1" s="54"/>
      <c r="CK1" s="55"/>
      <c r="CL1" s="54"/>
      <c r="CM1" s="54"/>
      <c r="CN1" s="54"/>
      <c r="CO1" s="54"/>
      <c r="CP1" s="54"/>
      <c r="CQ1" s="54"/>
      <c r="CR1" s="54"/>
      <c r="CS1" s="55"/>
      <c r="CT1" s="54"/>
      <c r="CU1" s="54"/>
      <c r="CV1" s="54"/>
      <c r="CW1" s="54"/>
      <c r="CX1" s="54"/>
      <c r="CY1" s="54"/>
      <c r="CZ1" s="54"/>
      <c r="DA1" s="55"/>
      <c r="DB1" s="54"/>
      <c r="DC1" s="54"/>
      <c r="DD1" s="54"/>
      <c r="DE1" s="54"/>
      <c r="DF1" s="54"/>
      <c r="DG1" s="54"/>
      <c r="DH1" s="54"/>
      <c r="DI1" s="55"/>
    </row>
    <row r="2" spans="1:113" s="56" customFormat="1" ht="34.5" customHeight="1" thickBot="1">
      <c r="A2" s="221"/>
      <c r="B2" s="221"/>
      <c r="C2" s="217" t="s">
        <v>126</v>
      </c>
      <c r="D2" s="217"/>
      <c r="E2" s="217"/>
      <c r="F2" s="218"/>
      <c r="G2" s="222" t="s">
        <v>0</v>
      </c>
      <c r="H2" s="223"/>
      <c r="I2" s="224"/>
      <c r="J2" s="230" t="s">
        <v>32</v>
      </c>
      <c r="K2" s="230"/>
      <c r="L2" s="231"/>
      <c r="M2" s="230"/>
      <c r="N2" s="230"/>
      <c r="O2" s="225" t="s">
        <v>91</v>
      </c>
      <c r="P2" s="226"/>
      <c r="Q2" s="226"/>
      <c r="R2" s="227"/>
      <c r="S2" s="228" t="s">
        <v>116</v>
      </c>
      <c r="T2" s="229"/>
      <c r="U2" s="232" t="s">
        <v>1</v>
      </c>
      <c r="V2" s="233"/>
      <c r="W2" s="234"/>
      <c r="X2" s="234"/>
      <c r="Y2" s="234"/>
      <c r="Z2" s="235"/>
      <c r="AA2" s="239" t="s">
        <v>81</v>
      </c>
      <c r="AB2" s="239"/>
      <c r="AC2" s="240"/>
      <c r="AD2" s="236" t="s">
        <v>109</v>
      </c>
      <c r="AE2" s="237"/>
      <c r="AF2" s="237"/>
      <c r="AG2" s="238"/>
      <c r="AH2" s="214" t="s">
        <v>98</v>
      </c>
      <c r="AI2" s="215"/>
      <c r="AJ2" s="215"/>
      <c r="AK2" s="215"/>
      <c r="AL2" s="215"/>
      <c r="AM2" s="215"/>
      <c r="AN2" s="215"/>
      <c r="AO2" s="216"/>
      <c r="AP2" s="214" t="s">
        <v>99</v>
      </c>
      <c r="AQ2" s="214"/>
      <c r="AR2" s="214"/>
      <c r="AS2" s="214"/>
      <c r="AT2" s="215"/>
      <c r="AU2" s="215"/>
      <c r="AV2" s="215"/>
      <c r="AW2" s="216"/>
      <c r="AX2" s="214" t="s">
        <v>100</v>
      </c>
      <c r="AY2" s="214"/>
      <c r="AZ2" s="214"/>
      <c r="BA2" s="214"/>
      <c r="BB2" s="215"/>
      <c r="BC2" s="215"/>
      <c r="BD2" s="215"/>
      <c r="BE2" s="216"/>
      <c r="BF2" s="214" t="s">
        <v>101</v>
      </c>
      <c r="BG2" s="214"/>
      <c r="BH2" s="214"/>
      <c r="BI2" s="214"/>
      <c r="BJ2" s="215"/>
      <c r="BK2" s="215"/>
      <c r="BL2" s="215"/>
      <c r="BM2" s="216"/>
      <c r="BN2" s="214" t="s">
        <v>102</v>
      </c>
      <c r="BO2" s="214"/>
      <c r="BP2" s="214"/>
      <c r="BQ2" s="214"/>
      <c r="BR2" s="215"/>
      <c r="BS2" s="215"/>
      <c r="BT2" s="215"/>
      <c r="BU2" s="216"/>
      <c r="BV2" s="214" t="s">
        <v>103</v>
      </c>
      <c r="BW2" s="214"/>
      <c r="BX2" s="214"/>
      <c r="BY2" s="214"/>
      <c r="BZ2" s="215"/>
      <c r="CA2" s="215"/>
      <c r="CB2" s="215"/>
      <c r="CC2" s="216"/>
      <c r="CD2" s="214" t="s">
        <v>104</v>
      </c>
      <c r="CE2" s="214"/>
      <c r="CF2" s="214"/>
      <c r="CG2" s="214"/>
      <c r="CH2" s="215"/>
      <c r="CI2" s="215"/>
      <c r="CJ2" s="215"/>
      <c r="CK2" s="216"/>
      <c r="CL2" s="214" t="s">
        <v>105</v>
      </c>
      <c r="CM2" s="214"/>
      <c r="CN2" s="214"/>
      <c r="CO2" s="214"/>
      <c r="CP2" s="215"/>
      <c r="CQ2" s="215"/>
      <c r="CR2" s="215"/>
      <c r="CS2" s="216"/>
      <c r="CT2" s="214" t="s">
        <v>106</v>
      </c>
      <c r="CU2" s="214"/>
      <c r="CV2" s="214"/>
      <c r="CW2" s="214"/>
      <c r="CX2" s="215"/>
      <c r="CY2" s="215"/>
      <c r="CZ2" s="215"/>
      <c r="DA2" s="216"/>
      <c r="DB2" s="214" t="s">
        <v>107</v>
      </c>
      <c r="DC2" s="214"/>
      <c r="DD2" s="214"/>
      <c r="DE2" s="214"/>
      <c r="DF2" s="215"/>
      <c r="DG2" s="215"/>
      <c r="DH2" s="215"/>
      <c r="DI2" s="216"/>
    </row>
    <row r="3" spans="1:113" ht="218.25" customHeight="1" thickBot="1">
      <c r="A3" s="57"/>
      <c r="B3" s="160" t="s">
        <v>115</v>
      </c>
      <c r="C3" s="92" t="s">
        <v>131</v>
      </c>
      <c r="D3" s="92" t="s">
        <v>29</v>
      </c>
      <c r="E3" s="92" t="s">
        <v>30</v>
      </c>
      <c r="F3" s="126" t="s">
        <v>31</v>
      </c>
      <c r="G3" s="131" t="s">
        <v>3</v>
      </c>
      <c r="H3" s="93" t="s">
        <v>4</v>
      </c>
      <c r="I3" s="132" t="s">
        <v>35</v>
      </c>
      <c r="J3" s="130" t="s">
        <v>28</v>
      </c>
      <c r="K3" s="94" t="s">
        <v>132</v>
      </c>
      <c r="L3" s="94" t="s">
        <v>20</v>
      </c>
      <c r="M3" s="94" t="s">
        <v>2</v>
      </c>
      <c r="N3" s="139" t="s">
        <v>8</v>
      </c>
      <c r="O3" s="143" t="s">
        <v>79</v>
      </c>
      <c r="P3" s="95" t="s">
        <v>5</v>
      </c>
      <c r="Q3" s="95" t="s">
        <v>6</v>
      </c>
      <c r="R3" s="144" t="s">
        <v>117</v>
      </c>
      <c r="S3" s="178" t="s">
        <v>33</v>
      </c>
      <c r="T3" s="179" t="s">
        <v>34</v>
      </c>
      <c r="U3" s="151" t="s">
        <v>93</v>
      </c>
      <c r="V3" s="171" t="s">
        <v>95</v>
      </c>
      <c r="W3" s="96" t="s">
        <v>7</v>
      </c>
      <c r="X3" s="96" t="s">
        <v>94</v>
      </c>
      <c r="Y3" s="96" t="s">
        <v>92</v>
      </c>
      <c r="Z3" s="152" t="s">
        <v>9</v>
      </c>
      <c r="AA3" s="97" t="s">
        <v>90</v>
      </c>
      <c r="AB3" s="97" t="s">
        <v>97</v>
      </c>
      <c r="AC3" s="98" t="s">
        <v>96</v>
      </c>
      <c r="AD3" s="87" t="s">
        <v>112</v>
      </c>
      <c r="AE3" s="99" t="s">
        <v>114</v>
      </c>
      <c r="AF3" s="99" t="s">
        <v>88</v>
      </c>
      <c r="AG3" s="88" t="s">
        <v>133</v>
      </c>
      <c r="AH3" s="3" t="s">
        <v>134</v>
      </c>
      <c r="AI3" s="1" t="s">
        <v>135</v>
      </c>
      <c r="AJ3" s="2" t="s">
        <v>121</v>
      </c>
      <c r="AK3" s="176" t="s">
        <v>118</v>
      </c>
      <c r="AL3" s="2" t="s">
        <v>120</v>
      </c>
      <c r="AM3" s="176" t="s">
        <v>119</v>
      </c>
      <c r="AN3" s="2" t="s">
        <v>123</v>
      </c>
      <c r="AO3" s="177" t="s">
        <v>122</v>
      </c>
      <c r="AP3" s="3" t="s">
        <v>136</v>
      </c>
      <c r="AQ3" s="1" t="s">
        <v>137</v>
      </c>
      <c r="AR3" s="2" t="s">
        <v>121</v>
      </c>
      <c r="AS3" s="176" t="s">
        <v>118</v>
      </c>
      <c r="AT3" s="2" t="s">
        <v>120</v>
      </c>
      <c r="AU3" s="176" t="s">
        <v>119</v>
      </c>
      <c r="AV3" s="2" t="s">
        <v>123</v>
      </c>
      <c r="AW3" s="177" t="s">
        <v>122</v>
      </c>
      <c r="AX3" s="3" t="s">
        <v>138</v>
      </c>
      <c r="AY3" s="1" t="s">
        <v>139</v>
      </c>
      <c r="AZ3" s="2" t="s">
        <v>121</v>
      </c>
      <c r="BA3" s="176" t="s">
        <v>118</v>
      </c>
      <c r="BB3" s="2" t="s">
        <v>120</v>
      </c>
      <c r="BC3" s="176" t="s">
        <v>119</v>
      </c>
      <c r="BD3" s="2" t="s">
        <v>123</v>
      </c>
      <c r="BE3" s="177" t="s">
        <v>122</v>
      </c>
      <c r="BF3" s="3" t="s">
        <v>140</v>
      </c>
      <c r="BG3" s="1" t="s">
        <v>141</v>
      </c>
      <c r="BH3" s="2" t="s">
        <v>121</v>
      </c>
      <c r="BI3" s="176" t="s">
        <v>118</v>
      </c>
      <c r="BJ3" s="2" t="s">
        <v>120</v>
      </c>
      <c r="BK3" s="176" t="s">
        <v>119</v>
      </c>
      <c r="BL3" s="2" t="s">
        <v>123</v>
      </c>
      <c r="BM3" s="177" t="s">
        <v>122</v>
      </c>
      <c r="BN3" s="3" t="s">
        <v>142</v>
      </c>
      <c r="BO3" s="1" t="s">
        <v>143</v>
      </c>
      <c r="BP3" s="2" t="s">
        <v>121</v>
      </c>
      <c r="BQ3" s="176" t="s">
        <v>118</v>
      </c>
      <c r="BR3" s="2" t="s">
        <v>120</v>
      </c>
      <c r="BS3" s="176" t="s">
        <v>119</v>
      </c>
      <c r="BT3" s="2" t="s">
        <v>123</v>
      </c>
      <c r="BU3" s="177" t="s">
        <v>122</v>
      </c>
      <c r="BV3" s="3" t="s">
        <v>144</v>
      </c>
      <c r="BW3" s="1" t="s">
        <v>145</v>
      </c>
      <c r="BX3" s="2" t="s">
        <v>121</v>
      </c>
      <c r="BY3" s="176" t="s">
        <v>118</v>
      </c>
      <c r="BZ3" s="2" t="s">
        <v>120</v>
      </c>
      <c r="CA3" s="176" t="s">
        <v>119</v>
      </c>
      <c r="CB3" s="2" t="s">
        <v>123</v>
      </c>
      <c r="CC3" s="177" t="s">
        <v>122</v>
      </c>
      <c r="CD3" s="3" t="s">
        <v>146</v>
      </c>
      <c r="CE3" s="1" t="s">
        <v>147</v>
      </c>
      <c r="CF3" s="2" t="s">
        <v>121</v>
      </c>
      <c r="CG3" s="176" t="s">
        <v>118</v>
      </c>
      <c r="CH3" s="2" t="s">
        <v>120</v>
      </c>
      <c r="CI3" s="176" t="s">
        <v>119</v>
      </c>
      <c r="CJ3" s="2" t="s">
        <v>123</v>
      </c>
      <c r="CK3" s="177" t="s">
        <v>122</v>
      </c>
      <c r="CL3" s="3" t="s">
        <v>148</v>
      </c>
      <c r="CM3" s="1" t="s">
        <v>149</v>
      </c>
      <c r="CN3" s="2" t="s">
        <v>121</v>
      </c>
      <c r="CO3" s="176" t="s">
        <v>118</v>
      </c>
      <c r="CP3" s="2" t="s">
        <v>120</v>
      </c>
      <c r="CQ3" s="176" t="s">
        <v>119</v>
      </c>
      <c r="CR3" s="2" t="s">
        <v>123</v>
      </c>
      <c r="CS3" s="177" t="s">
        <v>122</v>
      </c>
      <c r="CT3" s="3" t="s">
        <v>150</v>
      </c>
      <c r="CU3" s="1" t="s">
        <v>151</v>
      </c>
      <c r="CV3" s="2" t="s">
        <v>121</v>
      </c>
      <c r="CW3" s="176" t="s">
        <v>118</v>
      </c>
      <c r="CX3" s="2" t="s">
        <v>120</v>
      </c>
      <c r="CY3" s="176" t="s">
        <v>119</v>
      </c>
      <c r="CZ3" s="2" t="s">
        <v>123</v>
      </c>
      <c r="DA3" s="177" t="s">
        <v>122</v>
      </c>
      <c r="DB3" s="3" t="s">
        <v>152</v>
      </c>
      <c r="DC3" s="1" t="s">
        <v>153</v>
      </c>
      <c r="DD3" s="2" t="s">
        <v>121</v>
      </c>
      <c r="DE3" s="176" t="s">
        <v>118</v>
      </c>
      <c r="DF3" s="2" t="s">
        <v>120</v>
      </c>
      <c r="DG3" s="176" t="s">
        <v>119</v>
      </c>
      <c r="DH3" s="2" t="s">
        <v>123</v>
      </c>
      <c r="DI3" s="177" t="s">
        <v>122</v>
      </c>
    </row>
    <row r="4" spans="1:113" ht="12.75" customHeight="1">
      <c r="A4" s="57">
        <v>1</v>
      </c>
      <c r="B4" s="100"/>
      <c r="C4" s="101"/>
      <c r="D4" s="102"/>
      <c r="E4" s="102"/>
      <c r="F4" s="127"/>
      <c r="G4" s="133"/>
      <c r="H4" s="103">
        <v>0</v>
      </c>
      <c r="I4" s="134"/>
      <c r="J4" s="168">
        <v>0</v>
      </c>
      <c r="K4" s="104"/>
      <c r="L4" s="105"/>
      <c r="M4" s="104"/>
      <c r="N4" s="140"/>
      <c r="O4" s="145"/>
      <c r="P4" s="106"/>
      <c r="Q4" s="106"/>
      <c r="R4" s="146"/>
      <c r="S4" s="180"/>
      <c r="T4" s="181">
        <v>0</v>
      </c>
      <c r="U4" s="153">
        <v>0</v>
      </c>
      <c r="V4" s="172">
        <f>U4/0.9925</f>
        <v>0</v>
      </c>
      <c r="W4" s="107"/>
      <c r="X4" s="107"/>
      <c r="Y4" s="107"/>
      <c r="Z4" s="154"/>
      <c r="AA4" s="108"/>
      <c r="AB4" s="109"/>
      <c r="AC4" s="110"/>
      <c r="AD4" s="89"/>
      <c r="AE4" s="71"/>
      <c r="AF4" s="71"/>
      <c r="AG4" s="90"/>
      <c r="AH4" s="188"/>
      <c r="AI4" s="187"/>
      <c r="AJ4" s="175"/>
      <c r="AK4" s="204">
        <f>$R4-(AJ4*$R4)</f>
        <v>0</v>
      </c>
      <c r="AL4" s="175"/>
      <c r="AM4" s="204">
        <f>$H4-(AL4*$H4)</f>
        <v>0</v>
      </c>
      <c r="AN4" s="175"/>
      <c r="AO4" s="205">
        <f>$U4-(AN4*$U4)</f>
        <v>0</v>
      </c>
      <c r="AP4" s="186"/>
      <c r="AQ4" s="187"/>
      <c r="AR4" s="175"/>
      <c r="AS4" s="204">
        <f>$R4-(AR4*$R4)</f>
        <v>0</v>
      </c>
      <c r="AT4" s="175"/>
      <c r="AU4" s="204">
        <f>$H4-(AT4*$H4)</f>
        <v>0</v>
      </c>
      <c r="AV4" s="175"/>
      <c r="AW4" s="205">
        <f>$U4-(AV4*$U4)</f>
        <v>0</v>
      </c>
      <c r="AX4" s="186"/>
      <c r="AY4" s="187"/>
      <c r="AZ4" s="175"/>
      <c r="BA4" s="204">
        <f>$R4-(AZ4*$R4)</f>
        <v>0</v>
      </c>
      <c r="BB4" s="175"/>
      <c r="BC4" s="204">
        <f>$H4-(BB4*$H4)</f>
        <v>0</v>
      </c>
      <c r="BD4" s="175"/>
      <c r="BE4" s="205">
        <f>$U4-(BD4*$U4)</f>
        <v>0</v>
      </c>
      <c r="BF4" s="186"/>
      <c r="BG4" s="187"/>
      <c r="BH4" s="175"/>
      <c r="BI4" s="204">
        <f>$R4-(BH4*$R4)</f>
        <v>0</v>
      </c>
      <c r="BJ4" s="175"/>
      <c r="BK4" s="204">
        <f>$H4-(BJ4*$H4)</f>
        <v>0</v>
      </c>
      <c r="BL4" s="175"/>
      <c r="BM4" s="205">
        <f>$U4-(BL4*$U4)</f>
        <v>0</v>
      </c>
      <c r="BN4" s="186"/>
      <c r="BO4" s="187"/>
      <c r="BP4" s="175"/>
      <c r="BQ4" s="204">
        <f>$R4-(BP4*$R4)</f>
        <v>0</v>
      </c>
      <c r="BR4" s="175"/>
      <c r="BS4" s="204">
        <f>$H4-(BR4*$H4)</f>
        <v>0</v>
      </c>
      <c r="BT4" s="175"/>
      <c r="BU4" s="205">
        <f>$U4-(BT4*$U4)</f>
        <v>0</v>
      </c>
      <c r="BV4" s="186"/>
      <c r="BW4" s="187"/>
      <c r="BX4" s="175"/>
      <c r="BY4" s="204">
        <f>$R4-(BX4*$R4)</f>
        <v>0</v>
      </c>
      <c r="BZ4" s="175"/>
      <c r="CA4" s="204">
        <f>$H4-(BZ4*$H4)</f>
        <v>0</v>
      </c>
      <c r="CB4" s="175"/>
      <c r="CC4" s="205">
        <f>$U4-(CB4*$U4)</f>
        <v>0</v>
      </c>
      <c r="CD4" s="186"/>
      <c r="CE4" s="187"/>
      <c r="CF4" s="175"/>
      <c r="CG4" s="204">
        <f>$R4-(CF4*$R4)</f>
        <v>0</v>
      </c>
      <c r="CH4" s="175"/>
      <c r="CI4" s="204">
        <f>$H4-(CH4*$H4)</f>
        <v>0</v>
      </c>
      <c r="CJ4" s="175"/>
      <c r="CK4" s="205">
        <f>$U4-(CJ4*$U4)</f>
        <v>0</v>
      </c>
      <c r="CL4" s="186"/>
      <c r="CM4" s="187"/>
      <c r="CN4" s="175"/>
      <c r="CO4" s="204">
        <f>$R4-(CN4*$R4)</f>
        <v>0</v>
      </c>
      <c r="CP4" s="175"/>
      <c r="CQ4" s="204">
        <f>$H4-(CP4*$H4)</f>
        <v>0</v>
      </c>
      <c r="CR4" s="175"/>
      <c r="CS4" s="205">
        <f>$U4-(CR4*$U4)</f>
        <v>0</v>
      </c>
      <c r="CT4" s="186"/>
      <c r="CU4" s="187"/>
      <c r="CV4" s="175"/>
      <c r="CW4" s="204">
        <f>$R4-(CV4*$R4)</f>
        <v>0</v>
      </c>
      <c r="CX4" s="175"/>
      <c r="CY4" s="204">
        <f>$H4-(CX4*$H4)</f>
        <v>0</v>
      </c>
      <c r="CZ4" s="175"/>
      <c r="DA4" s="205">
        <f>$U4-(CZ4*$U4)</f>
        <v>0</v>
      </c>
      <c r="DB4" s="186"/>
      <c r="DC4" s="187"/>
      <c r="DD4" s="175"/>
      <c r="DE4" s="204">
        <f>$R4-(DD4*$R4)</f>
        <v>0</v>
      </c>
      <c r="DF4" s="175"/>
      <c r="DG4" s="204">
        <f>$H4-(DF4*$H4)</f>
        <v>0</v>
      </c>
      <c r="DH4" s="175"/>
      <c r="DI4" s="205">
        <f>$U4-(DH4*$U4)</f>
        <v>0</v>
      </c>
    </row>
    <row r="5" spans="1:113" ht="12.75" customHeight="1">
      <c r="A5" s="57">
        <v>2</v>
      </c>
      <c r="B5" s="111"/>
      <c r="C5" s="61"/>
      <c r="D5" s="62"/>
      <c r="E5" s="62"/>
      <c r="F5" s="128"/>
      <c r="G5" s="135"/>
      <c r="H5" s="63"/>
      <c r="I5" s="136"/>
      <c r="J5" s="169"/>
      <c r="K5" s="64"/>
      <c r="L5" s="65"/>
      <c r="M5" s="64"/>
      <c r="N5" s="141"/>
      <c r="O5" s="147"/>
      <c r="P5" s="66"/>
      <c r="Q5" s="66"/>
      <c r="R5" s="148"/>
      <c r="S5" s="182"/>
      <c r="T5" s="183"/>
      <c r="U5" s="155"/>
      <c r="V5" s="173">
        <f t="shared" ref="V5:V68" si="0">U5/0.9925</f>
        <v>0</v>
      </c>
      <c r="W5" s="67"/>
      <c r="X5" s="67"/>
      <c r="Y5" s="67"/>
      <c r="Z5" s="156"/>
      <c r="AA5" s="84"/>
      <c r="AB5" s="85"/>
      <c r="AC5" s="86"/>
      <c r="AD5" s="68"/>
      <c r="AE5" s="70"/>
      <c r="AF5" s="70"/>
      <c r="AG5" s="69"/>
      <c r="AH5" s="189"/>
      <c r="AI5" s="190"/>
      <c r="AJ5" s="191"/>
      <c r="AK5" s="206">
        <f t="shared" ref="AK5:AK68" si="1">$R5-(AJ5*$R5)</f>
        <v>0</v>
      </c>
      <c r="AL5" s="191"/>
      <c r="AM5" s="206">
        <f t="shared" ref="AM5:AM68" si="2">$H5-(AL5*$H5)</f>
        <v>0</v>
      </c>
      <c r="AN5" s="191"/>
      <c r="AO5" s="207">
        <f t="shared" ref="AO5:AO68" si="3">$U5-(AN5*$U5)</f>
        <v>0</v>
      </c>
      <c r="AP5" s="72"/>
      <c r="AQ5" s="72"/>
      <c r="AR5" s="192"/>
      <c r="AS5" s="208">
        <f t="shared" ref="AS5:AS68" si="4">$R5-(AR5*$R5)</f>
        <v>0</v>
      </c>
      <c r="AT5" s="193"/>
      <c r="AU5" s="206">
        <f t="shared" ref="AU5:AU68" si="5">$H5-(AT5*$H5)</f>
        <v>0</v>
      </c>
      <c r="AV5" s="191"/>
      <c r="AW5" s="207">
        <f t="shared" ref="AW5:AW68" si="6">$U5-(AV5*$U5)</f>
        <v>0</v>
      </c>
      <c r="AX5" s="73"/>
      <c r="AY5" s="73"/>
      <c r="AZ5" s="193"/>
      <c r="BA5" s="209">
        <f t="shared" ref="BA5:BA68" si="7">$R5-(AZ5*$R5)</f>
        <v>0</v>
      </c>
      <c r="BB5" s="193"/>
      <c r="BC5" s="206">
        <f t="shared" ref="BC5:BC68" si="8">$H5-(BB5*$H5)</f>
        <v>0</v>
      </c>
      <c r="BD5" s="191"/>
      <c r="BE5" s="207">
        <f t="shared" ref="BE5:BE68" si="9">$U5-(BD5*$U5)</f>
        <v>0</v>
      </c>
      <c r="BF5" s="73"/>
      <c r="BG5" s="73"/>
      <c r="BH5" s="193"/>
      <c r="BI5" s="209">
        <f t="shared" ref="BI5:BI68" si="10">$R5-(BH5*$R5)</f>
        <v>0</v>
      </c>
      <c r="BJ5" s="193"/>
      <c r="BK5" s="206">
        <f t="shared" ref="BK5:BK68" si="11">$H5-(BJ5*$H5)</f>
        <v>0</v>
      </c>
      <c r="BL5" s="191"/>
      <c r="BM5" s="207">
        <f t="shared" ref="BM5:BM68" si="12">$U5-(BL5*$U5)</f>
        <v>0</v>
      </c>
      <c r="BN5" s="73"/>
      <c r="BO5" s="73"/>
      <c r="BP5" s="193"/>
      <c r="BQ5" s="209">
        <f t="shared" ref="BQ5:BQ68" si="13">$R5-(BP5*$R5)</f>
        <v>0</v>
      </c>
      <c r="BR5" s="193"/>
      <c r="BS5" s="206">
        <f t="shared" ref="BS5:BS68" si="14">$H5-(BR5*$H5)</f>
        <v>0</v>
      </c>
      <c r="BT5" s="191"/>
      <c r="BU5" s="207">
        <f t="shared" ref="BU5:BU68" si="15">$U5-(BT5*$U5)</f>
        <v>0</v>
      </c>
      <c r="BV5" s="73"/>
      <c r="BW5" s="73"/>
      <c r="BX5" s="193"/>
      <c r="BY5" s="209">
        <f t="shared" ref="BY5:BY68" si="16">$R5-(BX5*$R5)</f>
        <v>0</v>
      </c>
      <c r="BZ5" s="193"/>
      <c r="CA5" s="206">
        <f t="shared" ref="CA5:CA68" si="17">$H5-(BZ5*$H5)</f>
        <v>0</v>
      </c>
      <c r="CB5" s="191"/>
      <c r="CC5" s="207">
        <f t="shared" ref="CC5:CC68" si="18">$U5-(CB5*$U5)</f>
        <v>0</v>
      </c>
      <c r="CD5" s="73"/>
      <c r="CE5" s="73"/>
      <c r="CF5" s="193"/>
      <c r="CG5" s="209">
        <f t="shared" ref="CG5:CG68" si="19">$R5-(CF5*$R5)</f>
        <v>0</v>
      </c>
      <c r="CH5" s="193"/>
      <c r="CI5" s="206">
        <f t="shared" ref="CI5:CI68" si="20">$H5-(CH5*$H5)</f>
        <v>0</v>
      </c>
      <c r="CJ5" s="191"/>
      <c r="CK5" s="207">
        <f t="shared" ref="CK5:CK68" si="21">$U5-(CJ5*$U5)</f>
        <v>0</v>
      </c>
      <c r="CL5" s="73"/>
      <c r="CM5" s="73"/>
      <c r="CN5" s="193"/>
      <c r="CO5" s="209">
        <f t="shared" ref="CO5:CO68" si="22">$R5-(CN5*$R5)</f>
        <v>0</v>
      </c>
      <c r="CP5" s="193"/>
      <c r="CQ5" s="206">
        <f t="shared" ref="CQ5:CQ68" si="23">$H5-(CP5*$H5)</f>
        <v>0</v>
      </c>
      <c r="CR5" s="191"/>
      <c r="CS5" s="207">
        <f t="shared" ref="CS5:CS68" si="24">$U5-(CR5*$U5)</f>
        <v>0</v>
      </c>
      <c r="CT5" s="73"/>
      <c r="CU5" s="73"/>
      <c r="CV5" s="193"/>
      <c r="CW5" s="209">
        <f t="shared" ref="CW5:CW68" si="25">$R5-(CV5*$R5)</f>
        <v>0</v>
      </c>
      <c r="CX5" s="193"/>
      <c r="CY5" s="206">
        <f t="shared" ref="CY5:CY68" si="26">$H5-(CX5*$H5)</f>
        <v>0</v>
      </c>
      <c r="CZ5" s="191"/>
      <c r="DA5" s="207">
        <f t="shared" ref="DA5:DA68" si="27">$U5-(CZ5*$U5)</f>
        <v>0</v>
      </c>
      <c r="DB5" s="73"/>
      <c r="DC5" s="73"/>
      <c r="DD5" s="193"/>
      <c r="DE5" s="209">
        <f t="shared" ref="DE5:DE68" si="28">$R5-(DD5*$R5)</f>
        <v>0</v>
      </c>
      <c r="DF5" s="193"/>
      <c r="DG5" s="206">
        <f t="shared" ref="DG5:DG68" si="29">$H5-(DF5*$H5)</f>
        <v>0</v>
      </c>
      <c r="DH5" s="191"/>
      <c r="DI5" s="207">
        <f t="shared" ref="DI5:DI68" si="30">$U5-(DH5*$U5)</f>
        <v>0</v>
      </c>
    </row>
    <row r="6" spans="1:113" ht="12.75" customHeight="1">
      <c r="A6" s="57">
        <v>3</v>
      </c>
      <c r="B6" s="111"/>
      <c r="C6" s="61"/>
      <c r="D6" s="62"/>
      <c r="E6" s="62"/>
      <c r="F6" s="128"/>
      <c r="G6" s="135"/>
      <c r="H6" s="63"/>
      <c r="I6" s="136"/>
      <c r="J6" s="169"/>
      <c r="K6" s="64"/>
      <c r="L6" s="65"/>
      <c r="M6" s="64"/>
      <c r="N6" s="141"/>
      <c r="O6" s="147"/>
      <c r="P6" s="66"/>
      <c r="Q6" s="66"/>
      <c r="R6" s="148"/>
      <c r="S6" s="182"/>
      <c r="T6" s="183"/>
      <c r="U6" s="155"/>
      <c r="V6" s="173">
        <f t="shared" si="0"/>
        <v>0</v>
      </c>
      <c r="W6" s="67"/>
      <c r="X6" s="67"/>
      <c r="Y6" s="67"/>
      <c r="Z6" s="156"/>
      <c r="AA6" s="84"/>
      <c r="AB6" s="85"/>
      <c r="AC6" s="86"/>
      <c r="AD6" s="68"/>
      <c r="AE6" s="70"/>
      <c r="AF6" s="70"/>
      <c r="AG6" s="69"/>
      <c r="AH6" s="189"/>
      <c r="AI6" s="190"/>
      <c r="AJ6" s="191"/>
      <c r="AK6" s="206">
        <f t="shared" si="1"/>
        <v>0</v>
      </c>
      <c r="AL6" s="191"/>
      <c r="AM6" s="206">
        <f t="shared" si="2"/>
        <v>0</v>
      </c>
      <c r="AN6" s="191"/>
      <c r="AO6" s="207">
        <f t="shared" si="3"/>
        <v>0</v>
      </c>
      <c r="AP6" s="72"/>
      <c r="AQ6" s="72"/>
      <c r="AR6" s="192"/>
      <c r="AS6" s="208">
        <f t="shared" si="4"/>
        <v>0</v>
      </c>
      <c r="AT6" s="193"/>
      <c r="AU6" s="206">
        <f t="shared" si="5"/>
        <v>0</v>
      </c>
      <c r="AV6" s="191"/>
      <c r="AW6" s="207">
        <f t="shared" si="6"/>
        <v>0</v>
      </c>
      <c r="AX6" s="73"/>
      <c r="AY6" s="73"/>
      <c r="AZ6" s="193"/>
      <c r="BA6" s="209">
        <f t="shared" si="7"/>
        <v>0</v>
      </c>
      <c r="BB6" s="193"/>
      <c r="BC6" s="206">
        <f t="shared" si="8"/>
        <v>0</v>
      </c>
      <c r="BD6" s="191"/>
      <c r="BE6" s="207">
        <f t="shared" si="9"/>
        <v>0</v>
      </c>
      <c r="BF6" s="73"/>
      <c r="BG6" s="73"/>
      <c r="BH6" s="193"/>
      <c r="BI6" s="209">
        <f t="shared" si="10"/>
        <v>0</v>
      </c>
      <c r="BJ6" s="193"/>
      <c r="BK6" s="206">
        <f t="shared" si="11"/>
        <v>0</v>
      </c>
      <c r="BL6" s="191"/>
      <c r="BM6" s="207">
        <f t="shared" si="12"/>
        <v>0</v>
      </c>
      <c r="BN6" s="73"/>
      <c r="BO6" s="73"/>
      <c r="BP6" s="193"/>
      <c r="BQ6" s="209">
        <f t="shared" si="13"/>
        <v>0</v>
      </c>
      <c r="BR6" s="193"/>
      <c r="BS6" s="206">
        <f t="shared" si="14"/>
        <v>0</v>
      </c>
      <c r="BT6" s="191"/>
      <c r="BU6" s="207">
        <f t="shared" si="15"/>
        <v>0</v>
      </c>
      <c r="BV6" s="73"/>
      <c r="BW6" s="73"/>
      <c r="BX6" s="193"/>
      <c r="BY6" s="209">
        <f t="shared" si="16"/>
        <v>0</v>
      </c>
      <c r="BZ6" s="193"/>
      <c r="CA6" s="206">
        <f t="shared" si="17"/>
        <v>0</v>
      </c>
      <c r="CB6" s="191"/>
      <c r="CC6" s="207">
        <f t="shared" si="18"/>
        <v>0</v>
      </c>
      <c r="CD6" s="73"/>
      <c r="CE6" s="73"/>
      <c r="CF6" s="193"/>
      <c r="CG6" s="209">
        <f t="shared" si="19"/>
        <v>0</v>
      </c>
      <c r="CH6" s="193"/>
      <c r="CI6" s="206">
        <f t="shared" si="20"/>
        <v>0</v>
      </c>
      <c r="CJ6" s="191"/>
      <c r="CK6" s="207">
        <f t="shared" si="21"/>
        <v>0</v>
      </c>
      <c r="CL6" s="73"/>
      <c r="CM6" s="73"/>
      <c r="CN6" s="193"/>
      <c r="CO6" s="209">
        <f t="shared" si="22"/>
        <v>0</v>
      </c>
      <c r="CP6" s="193"/>
      <c r="CQ6" s="206">
        <f t="shared" si="23"/>
        <v>0</v>
      </c>
      <c r="CR6" s="191"/>
      <c r="CS6" s="207">
        <f t="shared" si="24"/>
        <v>0</v>
      </c>
      <c r="CT6" s="73"/>
      <c r="CU6" s="73"/>
      <c r="CV6" s="193"/>
      <c r="CW6" s="209">
        <f t="shared" si="25"/>
        <v>0</v>
      </c>
      <c r="CX6" s="193"/>
      <c r="CY6" s="206">
        <f t="shared" si="26"/>
        <v>0</v>
      </c>
      <c r="CZ6" s="191"/>
      <c r="DA6" s="207">
        <f t="shared" si="27"/>
        <v>0</v>
      </c>
      <c r="DB6" s="73"/>
      <c r="DC6" s="73"/>
      <c r="DD6" s="193"/>
      <c r="DE6" s="209">
        <f t="shared" si="28"/>
        <v>0</v>
      </c>
      <c r="DF6" s="193"/>
      <c r="DG6" s="206">
        <f t="shared" si="29"/>
        <v>0</v>
      </c>
      <c r="DH6" s="191"/>
      <c r="DI6" s="207">
        <f t="shared" si="30"/>
        <v>0</v>
      </c>
    </row>
    <row r="7" spans="1:113">
      <c r="A7" s="57">
        <v>4</v>
      </c>
      <c r="B7" s="111"/>
      <c r="C7" s="61"/>
      <c r="D7" s="62"/>
      <c r="E7" s="62"/>
      <c r="F7" s="128"/>
      <c r="G7" s="135"/>
      <c r="H7" s="63"/>
      <c r="I7" s="136"/>
      <c r="J7" s="169"/>
      <c r="K7" s="64"/>
      <c r="L7" s="65"/>
      <c r="M7" s="64"/>
      <c r="N7" s="141"/>
      <c r="O7" s="147"/>
      <c r="P7" s="66"/>
      <c r="Q7" s="66"/>
      <c r="R7" s="148"/>
      <c r="S7" s="182"/>
      <c r="T7" s="183"/>
      <c r="U7" s="155"/>
      <c r="V7" s="173">
        <f t="shared" si="0"/>
        <v>0</v>
      </c>
      <c r="W7" s="67"/>
      <c r="X7" s="67"/>
      <c r="Y7" s="67"/>
      <c r="Z7" s="156"/>
      <c r="AA7" s="84"/>
      <c r="AB7" s="85"/>
      <c r="AC7" s="86"/>
      <c r="AD7" s="68"/>
      <c r="AE7" s="70"/>
      <c r="AF7" s="70"/>
      <c r="AG7" s="69"/>
      <c r="AH7" s="189"/>
      <c r="AI7" s="190"/>
      <c r="AJ7" s="191"/>
      <c r="AK7" s="206">
        <f t="shared" si="1"/>
        <v>0</v>
      </c>
      <c r="AL7" s="191"/>
      <c r="AM7" s="206">
        <f t="shared" si="2"/>
        <v>0</v>
      </c>
      <c r="AN7" s="191"/>
      <c r="AO7" s="207">
        <f t="shared" si="3"/>
        <v>0</v>
      </c>
      <c r="AP7" s="72"/>
      <c r="AQ7" s="72"/>
      <c r="AR7" s="192"/>
      <c r="AS7" s="208">
        <f t="shared" si="4"/>
        <v>0</v>
      </c>
      <c r="AT7" s="193"/>
      <c r="AU7" s="206">
        <f t="shared" si="5"/>
        <v>0</v>
      </c>
      <c r="AV7" s="191"/>
      <c r="AW7" s="207">
        <f t="shared" si="6"/>
        <v>0</v>
      </c>
      <c r="AX7" s="73"/>
      <c r="AY7" s="73"/>
      <c r="AZ7" s="193"/>
      <c r="BA7" s="209">
        <f t="shared" si="7"/>
        <v>0</v>
      </c>
      <c r="BB7" s="193"/>
      <c r="BC7" s="206">
        <f t="shared" si="8"/>
        <v>0</v>
      </c>
      <c r="BD7" s="191"/>
      <c r="BE7" s="207">
        <f t="shared" si="9"/>
        <v>0</v>
      </c>
      <c r="BF7" s="73"/>
      <c r="BG7" s="73"/>
      <c r="BH7" s="193"/>
      <c r="BI7" s="209">
        <f t="shared" si="10"/>
        <v>0</v>
      </c>
      <c r="BJ7" s="193"/>
      <c r="BK7" s="206">
        <f t="shared" si="11"/>
        <v>0</v>
      </c>
      <c r="BL7" s="191"/>
      <c r="BM7" s="207">
        <f t="shared" si="12"/>
        <v>0</v>
      </c>
      <c r="BN7" s="73"/>
      <c r="BO7" s="73"/>
      <c r="BP7" s="193"/>
      <c r="BQ7" s="209">
        <f t="shared" si="13"/>
        <v>0</v>
      </c>
      <c r="BR7" s="193"/>
      <c r="BS7" s="206">
        <f t="shared" si="14"/>
        <v>0</v>
      </c>
      <c r="BT7" s="191"/>
      <c r="BU7" s="207">
        <f t="shared" si="15"/>
        <v>0</v>
      </c>
      <c r="BV7" s="73"/>
      <c r="BW7" s="73"/>
      <c r="BX7" s="193"/>
      <c r="BY7" s="209">
        <f t="shared" si="16"/>
        <v>0</v>
      </c>
      <c r="BZ7" s="193"/>
      <c r="CA7" s="206">
        <f t="shared" si="17"/>
        <v>0</v>
      </c>
      <c r="CB7" s="191"/>
      <c r="CC7" s="207">
        <f t="shared" si="18"/>
        <v>0</v>
      </c>
      <c r="CD7" s="73"/>
      <c r="CE7" s="73"/>
      <c r="CF7" s="193"/>
      <c r="CG7" s="209">
        <f t="shared" si="19"/>
        <v>0</v>
      </c>
      <c r="CH7" s="193"/>
      <c r="CI7" s="206">
        <f t="shared" si="20"/>
        <v>0</v>
      </c>
      <c r="CJ7" s="191"/>
      <c r="CK7" s="207">
        <f t="shared" si="21"/>
        <v>0</v>
      </c>
      <c r="CL7" s="73"/>
      <c r="CM7" s="73"/>
      <c r="CN7" s="193"/>
      <c r="CO7" s="209">
        <f t="shared" si="22"/>
        <v>0</v>
      </c>
      <c r="CP7" s="193"/>
      <c r="CQ7" s="206">
        <f t="shared" si="23"/>
        <v>0</v>
      </c>
      <c r="CR7" s="191"/>
      <c r="CS7" s="207">
        <f t="shared" si="24"/>
        <v>0</v>
      </c>
      <c r="CT7" s="73"/>
      <c r="CU7" s="73"/>
      <c r="CV7" s="193"/>
      <c r="CW7" s="209">
        <f t="shared" si="25"/>
        <v>0</v>
      </c>
      <c r="CX7" s="193"/>
      <c r="CY7" s="206">
        <f t="shared" si="26"/>
        <v>0</v>
      </c>
      <c r="CZ7" s="191"/>
      <c r="DA7" s="207">
        <f t="shared" si="27"/>
        <v>0</v>
      </c>
      <c r="DB7" s="73"/>
      <c r="DC7" s="73"/>
      <c r="DD7" s="193"/>
      <c r="DE7" s="209">
        <f t="shared" si="28"/>
        <v>0</v>
      </c>
      <c r="DF7" s="193"/>
      <c r="DG7" s="206">
        <f t="shared" si="29"/>
        <v>0</v>
      </c>
      <c r="DH7" s="191"/>
      <c r="DI7" s="207">
        <f t="shared" si="30"/>
        <v>0</v>
      </c>
    </row>
    <row r="8" spans="1:113">
      <c r="A8" s="57">
        <v>5</v>
      </c>
      <c r="B8" s="111"/>
      <c r="C8" s="61"/>
      <c r="D8" s="62"/>
      <c r="E8" s="62"/>
      <c r="F8" s="128"/>
      <c r="G8" s="135"/>
      <c r="H8" s="63"/>
      <c r="I8" s="136"/>
      <c r="J8" s="169"/>
      <c r="K8" s="64"/>
      <c r="L8" s="65"/>
      <c r="M8" s="64"/>
      <c r="N8" s="141"/>
      <c r="O8" s="147"/>
      <c r="P8" s="66"/>
      <c r="Q8" s="66"/>
      <c r="R8" s="148"/>
      <c r="S8" s="182"/>
      <c r="T8" s="183"/>
      <c r="U8" s="155"/>
      <c r="V8" s="173">
        <f t="shared" si="0"/>
        <v>0</v>
      </c>
      <c r="W8" s="67"/>
      <c r="X8" s="67"/>
      <c r="Y8" s="67"/>
      <c r="Z8" s="156"/>
      <c r="AA8" s="84"/>
      <c r="AB8" s="85"/>
      <c r="AC8" s="86"/>
      <c r="AD8" s="68"/>
      <c r="AE8" s="70"/>
      <c r="AF8" s="70"/>
      <c r="AG8" s="69"/>
      <c r="AH8" s="189"/>
      <c r="AI8" s="190"/>
      <c r="AJ8" s="191"/>
      <c r="AK8" s="206">
        <f t="shared" si="1"/>
        <v>0</v>
      </c>
      <c r="AL8" s="191"/>
      <c r="AM8" s="206">
        <f t="shared" si="2"/>
        <v>0</v>
      </c>
      <c r="AN8" s="191"/>
      <c r="AO8" s="207">
        <f t="shared" si="3"/>
        <v>0</v>
      </c>
      <c r="AP8" s="72"/>
      <c r="AQ8" s="72"/>
      <c r="AR8" s="192"/>
      <c r="AS8" s="208">
        <f t="shared" si="4"/>
        <v>0</v>
      </c>
      <c r="AT8" s="193"/>
      <c r="AU8" s="206">
        <f t="shared" si="5"/>
        <v>0</v>
      </c>
      <c r="AV8" s="191"/>
      <c r="AW8" s="207">
        <f t="shared" si="6"/>
        <v>0</v>
      </c>
      <c r="AX8" s="73"/>
      <c r="AY8" s="73"/>
      <c r="AZ8" s="193"/>
      <c r="BA8" s="209">
        <f t="shared" si="7"/>
        <v>0</v>
      </c>
      <c r="BB8" s="193"/>
      <c r="BC8" s="206">
        <f t="shared" si="8"/>
        <v>0</v>
      </c>
      <c r="BD8" s="191"/>
      <c r="BE8" s="207">
        <f t="shared" si="9"/>
        <v>0</v>
      </c>
      <c r="BF8" s="73"/>
      <c r="BG8" s="73"/>
      <c r="BH8" s="193"/>
      <c r="BI8" s="209">
        <f t="shared" si="10"/>
        <v>0</v>
      </c>
      <c r="BJ8" s="193"/>
      <c r="BK8" s="206">
        <f t="shared" si="11"/>
        <v>0</v>
      </c>
      <c r="BL8" s="191"/>
      <c r="BM8" s="207">
        <f t="shared" si="12"/>
        <v>0</v>
      </c>
      <c r="BN8" s="73"/>
      <c r="BO8" s="73"/>
      <c r="BP8" s="193"/>
      <c r="BQ8" s="209">
        <f t="shared" si="13"/>
        <v>0</v>
      </c>
      <c r="BR8" s="193"/>
      <c r="BS8" s="206">
        <f t="shared" si="14"/>
        <v>0</v>
      </c>
      <c r="BT8" s="191"/>
      <c r="BU8" s="207">
        <f t="shared" si="15"/>
        <v>0</v>
      </c>
      <c r="BV8" s="73"/>
      <c r="BW8" s="73"/>
      <c r="BX8" s="193"/>
      <c r="BY8" s="209">
        <f t="shared" si="16"/>
        <v>0</v>
      </c>
      <c r="BZ8" s="193"/>
      <c r="CA8" s="206">
        <f t="shared" si="17"/>
        <v>0</v>
      </c>
      <c r="CB8" s="191"/>
      <c r="CC8" s="207">
        <f t="shared" si="18"/>
        <v>0</v>
      </c>
      <c r="CD8" s="73"/>
      <c r="CE8" s="73"/>
      <c r="CF8" s="193"/>
      <c r="CG8" s="209">
        <f t="shared" si="19"/>
        <v>0</v>
      </c>
      <c r="CH8" s="193"/>
      <c r="CI8" s="206">
        <f t="shared" si="20"/>
        <v>0</v>
      </c>
      <c r="CJ8" s="191"/>
      <c r="CK8" s="207">
        <f t="shared" si="21"/>
        <v>0</v>
      </c>
      <c r="CL8" s="73"/>
      <c r="CM8" s="73"/>
      <c r="CN8" s="193"/>
      <c r="CO8" s="209">
        <f t="shared" si="22"/>
        <v>0</v>
      </c>
      <c r="CP8" s="193"/>
      <c r="CQ8" s="206">
        <f t="shared" si="23"/>
        <v>0</v>
      </c>
      <c r="CR8" s="191"/>
      <c r="CS8" s="207">
        <f t="shared" si="24"/>
        <v>0</v>
      </c>
      <c r="CT8" s="73"/>
      <c r="CU8" s="73"/>
      <c r="CV8" s="193"/>
      <c r="CW8" s="209">
        <f t="shared" si="25"/>
        <v>0</v>
      </c>
      <c r="CX8" s="193"/>
      <c r="CY8" s="206">
        <f t="shared" si="26"/>
        <v>0</v>
      </c>
      <c r="CZ8" s="191"/>
      <c r="DA8" s="207">
        <f t="shared" si="27"/>
        <v>0</v>
      </c>
      <c r="DB8" s="73"/>
      <c r="DC8" s="73"/>
      <c r="DD8" s="193"/>
      <c r="DE8" s="209">
        <f t="shared" si="28"/>
        <v>0</v>
      </c>
      <c r="DF8" s="193"/>
      <c r="DG8" s="206">
        <f t="shared" si="29"/>
        <v>0</v>
      </c>
      <c r="DH8" s="191"/>
      <c r="DI8" s="207">
        <f t="shared" si="30"/>
        <v>0</v>
      </c>
    </row>
    <row r="9" spans="1:113">
      <c r="A9" s="57">
        <v>6</v>
      </c>
      <c r="B9" s="111"/>
      <c r="C9" s="61"/>
      <c r="D9" s="62"/>
      <c r="E9" s="62"/>
      <c r="F9" s="128"/>
      <c r="G9" s="135"/>
      <c r="H9" s="63"/>
      <c r="I9" s="136"/>
      <c r="J9" s="169"/>
      <c r="K9" s="64"/>
      <c r="L9" s="65"/>
      <c r="M9" s="64"/>
      <c r="N9" s="141"/>
      <c r="O9" s="147"/>
      <c r="P9" s="66"/>
      <c r="Q9" s="66"/>
      <c r="R9" s="148"/>
      <c r="S9" s="182"/>
      <c r="T9" s="183"/>
      <c r="U9" s="155"/>
      <c r="V9" s="173">
        <f t="shared" si="0"/>
        <v>0</v>
      </c>
      <c r="W9" s="67"/>
      <c r="X9" s="67"/>
      <c r="Y9" s="67"/>
      <c r="Z9" s="156"/>
      <c r="AA9" s="84"/>
      <c r="AB9" s="85"/>
      <c r="AC9" s="86"/>
      <c r="AD9" s="68"/>
      <c r="AE9" s="70"/>
      <c r="AF9" s="70"/>
      <c r="AG9" s="69"/>
      <c r="AH9" s="189"/>
      <c r="AI9" s="190"/>
      <c r="AJ9" s="191"/>
      <c r="AK9" s="206">
        <f t="shared" si="1"/>
        <v>0</v>
      </c>
      <c r="AL9" s="191"/>
      <c r="AM9" s="206">
        <f t="shared" si="2"/>
        <v>0</v>
      </c>
      <c r="AN9" s="191"/>
      <c r="AO9" s="207">
        <f t="shared" si="3"/>
        <v>0</v>
      </c>
      <c r="AP9" s="72"/>
      <c r="AQ9" s="72"/>
      <c r="AR9" s="192"/>
      <c r="AS9" s="208">
        <f t="shared" si="4"/>
        <v>0</v>
      </c>
      <c r="AT9" s="193"/>
      <c r="AU9" s="206">
        <f t="shared" si="5"/>
        <v>0</v>
      </c>
      <c r="AV9" s="191"/>
      <c r="AW9" s="207">
        <f t="shared" si="6"/>
        <v>0</v>
      </c>
      <c r="AX9" s="73"/>
      <c r="AY9" s="73"/>
      <c r="AZ9" s="193"/>
      <c r="BA9" s="209">
        <f t="shared" si="7"/>
        <v>0</v>
      </c>
      <c r="BB9" s="193"/>
      <c r="BC9" s="206">
        <f t="shared" si="8"/>
        <v>0</v>
      </c>
      <c r="BD9" s="191"/>
      <c r="BE9" s="207">
        <f t="shared" si="9"/>
        <v>0</v>
      </c>
      <c r="BF9" s="73"/>
      <c r="BG9" s="73"/>
      <c r="BH9" s="193"/>
      <c r="BI9" s="209">
        <f t="shared" si="10"/>
        <v>0</v>
      </c>
      <c r="BJ9" s="193"/>
      <c r="BK9" s="206">
        <f t="shared" si="11"/>
        <v>0</v>
      </c>
      <c r="BL9" s="191"/>
      <c r="BM9" s="207">
        <f t="shared" si="12"/>
        <v>0</v>
      </c>
      <c r="BN9" s="73"/>
      <c r="BO9" s="73"/>
      <c r="BP9" s="193"/>
      <c r="BQ9" s="209">
        <f t="shared" si="13"/>
        <v>0</v>
      </c>
      <c r="BR9" s="193"/>
      <c r="BS9" s="206">
        <f t="shared" si="14"/>
        <v>0</v>
      </c>
      <c r="BT9" s="191"/>
      <c r="BU9" s="207">
        <f t="shared" si="15"/>
        <v>0</v>
      </c>
      <c r="BV9" s="73"/>
      <c r="BW9" s="73"/>
      <c r="BX9" s="193"/>
      <c r="BY9" s="209">
        <f t="shared" si="16"/>
        <v>0</v>
      </c>
      <c r="BZ9" s="193"/>
      <c r="CA9" s="206">
        <f t="shared" si="17"/>
        <v>0</v>
      </c>
      <c r="CB9" s="191"/>
      <c r="CC9" s="207">
        <f t="shared" si="18"/>
        <v>0</v>
      </c>
      <c r="CD9" s="73"/>
      <c r="CE9" s="73"/>
      <c r="CF9" s="193"/>
      <c r="CG9" s="209">
        <f t="shared" si="19"/>
        <v>0</v>
      </c>
      <c r="CH9" s="193"/>
      <c r="CI9" s="206">
        <f t="shared" si="20"/>
        <v>0</v>
      </c>
      <c r="CJ9" s="191"/>
      <c r="CK9" s="207">
        <f t="shared" si="21"/>
        <v>0</v>
      </c>
      <c r="CL9" s="73"/>
      <c r="CM9" s="73"/>
      <c r="CN9" s="193"/>
      <c r="CO9" s="209">
        <f t="shared" si="22"/>
        <v>0</v>
      </c>
      <c r="CP9" s="193"/>
      <c r="CQ9" s="206">
        <f t="shared" si="23"/>
        <v>0</v>
      </c>
      <c r="CR9" s="191"/>
      <c r="CS9" s="207">
        <f t="shared" si="24"/>
        <v>0</v>
      </c>
      <c r="CT9" s="73"/>
      <c r="CU9" s="73"/>
      <c r="CV9" s="193"/>
      <c r="CW9" s="209">
        <f t="shared" si="25"/>
        <v>0</v>
      </c>
      <c r="CX9" s="193"/>
      <c r="CY9" s="206">
        <f t="shared" si="26"/>
        <v>0</v>
      </c>
      <c r="CZ9" s="191"/>
      <c r="DA9" s="207">
        <f t="shared" si="27"/>
        <v>0</v>
      </c>
      <c r="DB9" s="73"/>
      <c r="DC9" s="73"/>
      <c r="DD9" s="193"/>
      <c r="DE9" s="209">
        <f t="shared" si="28"/>
        <v>0</v>
      </c>
      <c r="DF9" s="193"/>
      <c r="DG9" s="206">
        <f t="shared" si="29"/>
        <v>0</v>
      </c>
      <c r="DH9" s="191"/>
      <c r="DI9" s="207">
        <f t="shared" si="30"/>
        <v>0</v>
      </c>
    </row>
    <row r="10" spans="1:113">
      <c r="A10" s="57">
        <v>7</v>
      </c>
      <c r="B10" s="111"/>
      <c r="C10" s="61"/>
      <c r="D10" s="62"/>
      <c r="E10" s="62"/>
      <c r="F10" s="128"/>
      <c r="G10" s="135"/>
      <c r="H10" s="63"/>
      <c r="I10" s="136"/>
      <c r="J10" s="169"/>
      <c r="K10" s="64"/>
      <c r="L10" s="65"/>
      <c r="M10" s="64"/>
      <c r="N10" s="141"/>
      <c r="O10" s="147"/>
      <c r="P10" s="66"/>
      <c r="Q10" s="66"/>
      <c r="R10" s="148"/>
      <c r="S10" s="182"/>
      <c r="T10" s="183"/>
      <c r="U10" s="155"/>
      <c r="V10" s="173">
        <f t="shared" si="0"/>
        <v>0</v>
      </c>
      <c r="W10" s="67"/>
      <c r="X10" s="67"/>
      <c r="Y10" s="67"/>
      <c r="Z10" s="156"/>
      <c r="AA10" s="84"/>
      <c r="AB10" s="85"/>
      <c r="AC10" s="86"/>
      <c r="AD10" s="68"/>
      <c r="AE10" s="70"/>
      <c r="AF10" s="70"/>
      <c r="AG10" s="69"/>
      <c r="AH10" s="189"/>
      <c r="AI10" s="190"/>
      <c r="AJ10" s="191"/>
      <c r="AK10" s="206">
        <f t="shared" si="1"/>
        <v>0</v>
      </c>
      <c r="AL10" s="191"/>
      <c r="AM10" s="206">
        <f t="shared" si="2"/>
        <v>0</v>
      </c>
      <c r="AN10" s="191"/>
      <c r="AO10" s="207">
        <f t="shared" si="3"/>
        <v>0</v>
      </c>
      <c r="AP10" s="72"/>
      <c r="AQ10" s="72"/>
      <c r="AR10" s="192"/>
      <c r="AS10" s="208">
        <f t="shared" si="4"/>
        <v>0</v>
      </c>
      <c r="AT10" s="193"/>
      <c r="AU10" s="206">
        <f t="shared" si="5"/>
        <v>0</v>
      </c>
      <c r="AV10" s="191"/>
      <c r="AW10" s="207">
        <f t="shared" si="6"/>
        <v>0</v>
      </c>
      <c r="AX10" s="73"/>
      <c r="AY10" s="73"/>
      <c r="AZ10" s="193"/>
      <c r="BA10" s="209">
        <f t="shared" si="7"/>
        <v>0</v>
      </c>
      <c r="BB10" s="193"/>
      <c r="BC10" s="206">
        <f t="shared" si="8"/>
        <v>0</v>
      </c>
      <c r="BD10" s="191"/>
      <c r="BE10" s="207">
        <f t="shared" si="9"/>
        <v>0</v>
      </c>
      <c r="BF10" s="73"/>
      <c r="BG10" s="73"/>
      <c r="BH10" s="193"/>
      <c r="BI10" s="209">
        <f t="shared" si="10"/>
        <v>0</v>
      </c>
      <c r="BJ10" s="193"/>
      <c r="BK10" s="206">
        <f t="shared" si="11"/>
        <v>0</v>
      </c>
      <c r="BL10" s="191"/>
      <c r="BM10" s="207">
        <f t="shared" si="12"/>
        <v>0</v>
      </c>
      <c r="BN10" s="73"/>
      <c r="BO10" s="73"/>
      <c r="BP10" s="193"/>
      <c r="BQ10" s="209">
        <f t="shared" si="13"/>
        <v>0</v>
      </c>
      <c r="BR10" s="193"/>
      <c r="BS10" s="206">
        <f t="shared" si="14"/>
        <v>0</v>
      </c>
      <c r="BT10" s="191"/>
      <c r="BU10" s="207">
        <f t="shared" si="15"/>
        <v>0</v>
      </c>
      <c r="BV10" s="73"/>
      <c r="BW10" s="73"/>
      <c r="BX10" s="193"/>
      <c r="BY10" s="209">
        <f t="shared" si="16"/>
        <v>0</v>
      </c>
      <c r="BZ10" s="193"/>
      <c r="CA10" s="206">
        <f t="shared" si="17"/>
        <v>0</v>
      </c>
      <c r="CB10" s="191"/>
      <c r="CC10" s="207">
        <f t="shared" si="18"/>
        <v>0</v>
      </c>
      <c r="CD10" s="73"/>
      <c r="CE10" s="73"/>
      <c r="CF10" s="193"/>
      <c r="CG10" s="209">
        <f t="shared" si="19"/>
        <v>0</v>
      </c>
      <c r="CH10" s="193"/>
      <c r="CI10" s="206">
        <f t="shared" si="20"/>
        <v>0</v>
      </c>
      <c r="CJ10" s="191"/>
      <c r="CK10" s="207">
        <f t="shared" si="21"/>
        <v>0</v>
      </c>
      <c r="CL10" s="73"/>
      <c r="CM10" s="73"/>
      <c r="CN10" s="193"/>
      <c r="CO10" s="209">
        <f t="shared" si="22"/>
        <v>0</v>
      </c>
      <c r="CP10" s="193"/>
      <c r="CQ10" s="206">
        <f t="shared" si="23"/>
        <v>0</v>
      </c>
      <c r="CR10" s="191"/>
      <c r="CS10" s="207">
        <f t="shared" si="24"/>
        <v>0</v>
      </c>
      <c r="CT10" s="73"/>
      <c r="CU10" s="73"/>
      <c r="CV10" s="193"/>
      <c r="CW10" s="209">
        <f t="shared" si="25"/>
        <v>0</v>
      </c>
      <c r="CX10" s="193"/>
      <c r="CY10" s="206">
        <f t="shared" si="26"/>
        <v>0</v>
      </c>
      <c r="CZ10" s="191"/>
      <c r="DA10" s="207">
        <f t="shared" si="27"/>
        <v>0</v>
      </c>
      <c r="DB10" s="73"/>
      <c r="DC10" s="73"/>
      <c r="DD10" s="193"/>
      <c r="DE10" s="209">
        <f t="shared" si="28"/>
        <v>0</v>
      </c>
      <c r="DF10" s="193"/>
      <c r="DG10" s="206">
        <f t="shared" si="29"/>
        <v>0</v>
      </c>
      <c r="DH10" s="191"/>
      <c r="DI10" s="207">
        <f t="shared" si="30"/>
        <v>0</v>
      </c>
    </row>
    <row r="11" spans="1:113">
      <c r="A11" s="57">
        <v>8</v>
      </c>
      <c r="B11" s="111"/>
      <c r="C11" s="61"/>
      <c r="D11" s="62"/>
      <c r="E11" s="62"/>
      <c r="F11" s="128"/>
      <c r="G11" s="135"/>
      <c r="H11" s="63"/>
      <c r="I11" s="136"/>
      <c r="J11" s="169"/>
      <c r="K11" s="64"/>
      <c r="L11" s="65"/>
      <c r="M11" s="64"/>
      <c r="N11" s="141"/>
      <c r="O11" s="147"/>
      <c r="P11" s="66"/>
      <c r="Q11" s="66"/>
      <c r="R11" s="148"/>
      <c r="S11" s="182"/>
      <c r="T11" s="183"/>
      <c r="U11" s="155"/>
      <c r="V11" s="173">
        <f t="shared" si="0"/>
        <v>0</v>
      </c>
      <c r="W11" s="67"/>
      <c r="X11" s="67"/>
      <c r="Y11" s="67"/>
      <c r="Z11" s="156"/>
      <c r="AA11" s="84"/>
      <c r="AB11" s="85"/>
      <c r="AC11" s="86"/>
      <c r="AD11" s="68"/>
      <c r="AE11" s="70"/>
      <c r="AF11" s="70"/>
      <c r="AG11" s="69"/>
      <c r="AH11" s="189"/>
      <c r="AI11" s="190"/>
      <c r="AJ11" s="191"/>
      <c r="AK11" s="206">
        <f t="shared" si="1"/>
        <v>0</v>
      </c>
      <c r="AL11" s="191"/>
      <c r="AM11" s="206">
        <f t="shared" si="2"/>
        <v>0</v>
      </c>
      <c r="AN11" s="191"/>
      <c r="AO11" s="207">
        <f t="shared" si="3"/>
        <v>0</v>
      </c>
      <c r="AP11" s="72"/>
      <c r="AQ11" s="72"/>
      <c r="AR11" s="192"/>
      <c r="AS11" s="208">
        <f t="shared" si="4"/>
        <v>0</v>
      </c>
      <c r="AT11" s="193"/>
      <c r="AU11" s="206">
        <f t="shared" si="5"/>
        <v>0</v>
      </c>
      <c r="AV11" s="191"/>
      <c r="AW11" s="207">
        <f t="shared" si="6"/>
        <v>0</v>
      </c>
      <c r="AX11" s="73"/>
      <c r="AY11" s="73"/>
      <c r="AZ11" s="193"/>
      <c r="BA11" s="209">
        <f t="shared" si="7"/>
        <v>0</v>
      </c>
      <c r="BB11" s="193"/>
      <c r="BC11" s="206">
        <f t="shared" si="8"/>
        <v>0</v>
      </c>
      <c r="BD11" s="191"/>
      <c r="BE11" s="207">
        <f t="shared" si="9"/>
        <v>0</v>
      </c>
      <c r="BF11" s="73"/>
      <c r="BG11" s="73"/>
      <c r="BH11" s="193"/>
      <c r="BI11" s="209">
        <f t="shared" si="10"/>
        <v>0</v>
      </c>
      <c r="BJ11" s="193"/>
      <c r="BK11" s="206">
        <f t="shared" si="11"/>
        <v>0</v>
      </c>
      <c r="BL11" s="191"/>
      <c r="BM11" s="207">
        <f t="shared" si="12"/>
        <v>0</v>
      </c>
      <c r="BN11" s="73"/>
      <c r="BO11" s="73"/>
      <c r="BP11" s="193"/>
      <c r="BQ11" s="209">
        <f t="shared" si="13"/>
        <v>0</v>
      </c>
      <c r="BR11" s="193"/>
      <c r="BS11" s="206">
        <f t="shared" si="14"/>
        <v>0</v>
      </c>
      <c r="BT11" s="191"/>
      <c r="BU11" s="207">
        <f t="shared" si="15"/>
        <v>0</v>
      </c>
      <c r="BV11" s="73"/>
      <c r="BW11" s="73"/>
      <c r="BX11" s="193"/>
      <c r="BY11" s="209">
        <f t="shared" si="16"/>
        <v>0</v>
      </c>
      <c r="BZ11" s="193"/>
      <c r="CA11" s="206">
        <f t="shared" si="17"/>
        <v>0</v>
      </c>
      <c r="CB11" s="191"/>
      <c r="CC11" s="207">
        <f t="shared" si="18"/>
        <v>0</v>
      </c>
      <c r="CD11" s="73"/>
      <c r="CE11" s="73"/>
      <c r="CF11" s="193"/>
      <c r="CG11" s="209">
        <f t="shared" si="19"/>
        <v>0</v>
      </c>
      <c r="CH11" s="193"/>
      <c r="CI11" s="206">
        <f t="shared" si="20"/>
        <v>0</v>
      </c>
      <c r="CJ11" s="191"/>
      <c r="CK11" s="207">
        <f t="shared" si="21"/>
        <v>0</v>
      </c>
      <c r="CL11" s="73"/>
      <c r="CM11" s="73"/>
      <c r="CN11" s="193"/>
      <c r="CO11" s="209">
        <f t="shared" si="22"/>
        <v>0</v>
      </c>
      <c r="CP11" s="193"/>
      <c r="CQ11" s="206">
        <f t="shared" si="23"/>
        <v>0</v>
      </c>
      <c r="CR11" s="191"/>
      <c r="CS11" s="207">
        <f t="shared" si="24"/>
        <v>0</v>
      </c>
      <c r="CT11" s="73"/>
      <c r="CU11" s="73"/>
      <c r="CV11" s="193"/>
      <c r="CW11" s="209">
        <f t="shared" si="25"/>
        <v>0</v>
      </c>
      <c r="CX11" s="193"/>
      <c r="CY11" s="206">
        <f t="shared" si="26"/>
        <v>0</v>
      </c>
      <c r="CZ11" s="191"/>
      <c r="DA11" s="207">
        <f t="shared" si="27"/>
        <v>0</v>
      </c>
      <c r="DB11" s="73"/>
      <c r="DC11" s="73"/>
      <c r="DD11" s="193"/>
      <c r="DE11" s="209">
        <f t="shared" si="28"/>
        <v>0</v>
      </c>
      <c r="DF11" s="193"/>
      <c r="DG11" s="206">
        <f t="shared" si="29"/>
        <v>0</v>
      </c>
      <c r="DH11" s="191"/>
      <c r="DI11" s="207">
        <f t="shared" si="30"/>
        <v>0</v>
      </c>
    </row>
    <row r="12" spans="1:113">
      <c r="A12" s="57">
        <v>9</v>
      </c>
      <c r="B12" s="111"/>
      <c r="C12" s="61"/>
      <c r="D12" s="62"/>
      <c r="E12" s="62"/>
      <c r="F12" s="128"/>
      <c r="G12" s="135"/>
      <c r="H12" s="63"/>
      <c r="I12" s="136"/>
      <c r="J12" s="169"/>
      <c r="K12" s="64"/>
      <c r="L12" s="65"/>
      <c r="M12" s="64"/>
      <c r="N12" s="141"/>
      <c r="O12" s="147"/>
      <c r="P12" s="66"/>
      <c r="Q12" s="66"/>
      <c r="R12" s="148"/>
      <c r="S12" s="182"/>
      <c r="T12" s="183"/>
      <c r="U12" s="155"/>
      <c r="V12" s="173">
        <f t="shared" si="0"/>
        <v>0</v>
      </c>
      <c r="W12" s="67"/>
      <c r="X12" s="67"/>
      <c r="Y12" s="67"/>
      <c r="Z12" s="156"/>
      <c r="AA12" s="84"/>
      <c r="AB12" s="85"/>
      <c r="AC12" s="86"/>
      <c r="AD12" s="68"/>
      <c r="AE12" s="70"/>
      <c r="AF12" s="70"/>
      <c r="AG12" s="69"/>
      <c r="AH12" s="189"/>
      <c r="AI12" s="190"/>
      <c r="AJ12" s="191"/>
      <c r="AK12" s="206">
        <f t="shared" si="1"/>
        <v>0</v>
      </c>
      <c r="AL12" s="191"/>
      <c r="AM12" s="206">
        <f t="shared" si="2"/>
        <v>0</v>
      </c>
      <c r="AN12" s="191"/>
      <c r="AO12" s="207">
        <f t="shared" si="3"/>
        <v>0</v>
      </c>
      <c r="AP12" s="72"/>
      <c r="AQ12" s="72"/>
      <c r="AR12" s="192"/>
      <c r="AS12" s="208">
        <f t="shared" si="4"/>
        <v>0</v>
      </c>
      <c r="AT12" s="193"/>
      <c r="AU12" s="206">
        <f t="shared" si="5"/>
        <v>0</v>
      </c>
      <c r="AV12" s="191"/>
      <c r="AW12" s="207">
        <f t="shared" si="6"/>
        <v>0</v>
      </c>
      <c r="AX12" s="73"/>
      <c r="AY12" s="73"/>
      <c r="AZ12" s="193"/>
      <c r="BA12" s="209">
        <f t="shared" si="7"/>
        <v>0</v>
      </c>
      <c r="BB12" s="193"/>
      <c r="BC12" s="206">
        <f t="shared" si="8"/>
        <v>0</v>
      </c>
      <c r="BD12" s="191"/>
      <c r="BE12" s="207">
        <f t="shared" si="9"/>
        <v>0</v>
      </c>
      <c r="BF12" s="73"/>
      <c r="BG12" s="73"/>
      <c r="BH12" s="193"/>
      <c r="BI12" s="209">
        <f t="shared" si="10"/>
        <v>0</v>
      </c>
      <c r="BJ12" s="193"/>
      <c r="BK12" s="206">
        <f t="shared" si="11"/>
        <v>0</v>
      </c>
      <c r="BL12" s="191"/>
      <c r="BM12" s="207">
        <f t="shared" si="12"/>
        <v>0</v>
      </c>
      <c r="BN12" s="73"/>
      <c r="BO12" s="73"/>
      <c r="BP12" s="193"/>
      <c r="BQ12" s="209">
        <f t="shared" si="13"/>
        <v>0</v>
      </c>
      <c r="BR12" s="193"/>
      <c r="BS12" s="206">
        <f t="shared" si="14"/>
        <v>0</v>
      </c>
      <c r="BT12" s="191"/>
      <c r="BU12" s="207">
        <f t="shared" si="15"/>
        <v>0</v>
      </c>
      <c r="BV12" s="73"/>
      <c r="BW12" s="73"/>
      <c r="BX12" s="193"/>
      <c r="BY12" s="209">
        <f t="shared" si="16"/>
        <v>0</v>
      </c>
      <c r="BZ12" s="193"/>
      <c r="CA12" s="206">
        <f t="shared" si="17"/>
        <v>0</v>
      </c>
      <c r="CB12" s="191"/>
      <c r="CC12" s="207">
        <f t="shared" si="18"/>
        <v>0</v>
      </c>
      <c r="CD12" s="73"/>
      <c r="CE12" s="73"/>
      <c r="CF12" s="193"/>
      <c r="CG12" s="209">
        <f t="shared" si="19"/>
        <v>0</v>
      </c>
      <c r="CH12" s="193"/>
      <c r="CI12" s="206">
        <f t="shared" si="20"/>
        <v>0</v>
      </c>
      <c r="CJ12" s="191"/>
      <c r="CK12" s="207">
        <f t="shared" si="21"/>
        <v>0</v>
      </c>
      <c r="CL12" s="73"/>
      <c r="CM12" s="73"/>
      <c r="CN12" s="193"/>
      <c r="CO12" s="209">
        <f t="shared" si="22"/>
        <v>0</v>
      </c>
      <c r="CP12" s="193"/>
      <c r="CQ12" s="206">
        <f t="shared" si="23"/>
        <v>0</v>
      </c>
      <c r="CR12" s="191"/>
      <c r="CS12" s="207">
        <f t="shared" si="24"/>
        <v>0</v>
      </c>
      <c r="CT12" s="73"/>
      <c r="CU12" s="73"/>
      <c r="CV12" s="193"/>
      <c r="CW12" s="209">
        <f t="shared" si="25"/>
        <v>0</v>
      </c>
      <c r="CX12" s="193"/>
      <c r="CY12" s="206">
        <f t="shared" si="26"/>
        <v>0</v>
      </c>
      <c r="CZ12" s="191"/>
      <c r="DA12" s="207">
        <f t="shared" si="27"/>
        <v>0</v>
      </c>
      <c r="DB12" s="73"/>
      <c r="DC12" s="73"/>
      <c r="DD12" s="193"/>
      <c r="DE12" s="209">
        <f t="shared" si="28"/>
        <v>0</v>
      </c>
      <c r="DF12" s="193"/>
      <c r="DG12" s="206">
        <f t="shared" si="29"/>
        <v>0</v>
      </c>
      <c r="DH12" s="191"/>
      <c r="DI12" s="207">
        <f t="shared" si="30"/>
        <v>0</v>
      </c>
    </row>
    <row r="13" spans="1:113">
      <c r="A13" s="57">
        <v>10</v>
      </c>
      <c r="B13" s="111"/>
      <c r="C13" s="61"/>
      <c r="D13" s="62"/>
      <c r="E13" s="62"/>
      <c r="F13" s="128"/>
      <c r="G13" s="135"/>
      <c r="H13" s="63"/>
      <c r="I13" s="136"/>
      <c r="J13" s="169"/>
      <c r="K13" s="64"/>
      <c r="L13" s="65"/>
      <c r="M13" s="64"/>
      <c r="N13" s="141"/>
      <c r="O13" s="147"/>
      <c r="P13" s="66"/>
      <c r="Q13" s="66"/>
      <c r="R13" s="148"/>
      <c r="S13" s="182"/>
      <c r="T13" s="183"/>
      <c r="U13" s="155"/>
      <c r="V13" s="173">
        <f t="shared" si="0"/>
        <v>0</v>
      </c>
      <c r="W13" s="67"/>
      <c r="X13" s="67"/>
      <c r="Y13" s="67"/>
      <c r="Z13" s="156"/>
      <c r="AA13" s="84"/>
      <c r="AB13" s="85"/>
      <c r="AC13" s="86"/>
      <c r="AD13" s="68"/>
      <c r="AE13" s="70"/>
      <c r="AF13" s="70"/>
      <c r="AG13" s="69"/>
      <c r="AH13" s="189"/>
      <c r="AI13" s="190"/>
      <c r="AJ13" s="191"/>
      <c r="AK13" s="206">
        <f t="shared" si="1"/>
        <v>0</v>
      </c>
      <c r="AL13" s="191"/>
      <c r="AM13" s="206">
        <f t="shared" si="2"/>
        <v>0</v>
      </c>
      <c r="AN13" s="191"/>
      <c r="AO13" s="207">
        <f t="shared" si="3"/>
        <v>0</v>
      </c>
      <c r="AP13" s="72"/>
      <c r="AQ13" s="72"/>
      <c r="AR13" s="192"/>
      <c r="AS13" s="208">
        <f t="shared" si="4"/>
        <v>0</v>
      </c>
      <c r="AT13" s="193"/>
      <c r="AU13" s="206">
        <f t="shared" si="5"/>
        <v>0</v>
      </c>
      <c r="AV13" s="191"/>
      <c r="AW13" s="207">
        <f t="shared" si="6"/>
        <v>0</v>
      </c>
      <c r="AX13" s="73"/>
      <c r="AY13" s="73"/>
      <c r="AZ13" s="193"/>
      <c r="BA13" s="209">
        <f t="shared" si="7"/>
        <v>0</v>
      </c>
      <c r="BB13" s="193"/>
      <c r="BC13" s="206">
        <f t="shared" si="8"/>
        <v>0</v>
      </c>
      <c r="BD13" s="191"/>
      <c r="BE13" s="207">
        <f t="shared" si="9"/>
        <v>0</v>
      </c>
      <c r="BF13" s="73"/>
      <c r="BG13" s="73"/>
      <c r="BH13" s="193"/>
      <c r="BI13" s="209">
        <f t="shared" si="10"/>
        <v>0</v>
      </c>
      <c r="BJ13" s="193"/>
      <c r="BK13" s="206">
        <f t="shared" si="11"/>
        <v>0</v>
      </c>
      <c r="BL13" s="191"/>
      <c r="BM13" s="207">
        <f t="shared" si="12"/>
        <v>0</v>
      </c>
      <c r="BN13" s="73"/>
      <c r="BO13" s="73"/>
      <c r="BP13" s="193"/>
      <c r="BQ13" s="209">
        <f t="shared" si="13"/>
        <v>0</v>
      </c>
      <c r="BR13" s="193"/>
      <c r="BS13" s="206">
        <f t="shared" si="14"/>
        <v>0</v>
      </c>
      <c r="BT13" s="191"/>
      <c r="BU13" s="207">
        <f t="shared" si="15"/>
        <v>0</v>
      </c>
      <c r="BV13" s="73"/>
      <c r="BW13" s="73"/>
      <c r="BX13" s="193"/>
      <c r="BY13" s="209">
        <f t="shared" si="16"/>
        <v>0</v>
      </c>
      <c r="BZ13" s="193"/>
      <c r="CA13" s="206">
        <f t="shared" si="17"/>
        <v>0</v>
      </c>
      <c r="CB13" s="191"/>
      <c r="CC13" s="207">
        <f t="shared" si="18"/>
        <v>0</v>
      </c>
      <c r="CD13" s="73"/>
      <c r="CE13" s="73"/>
      <c r="CF13" s="193"/>
      <c r="CG13" s="209">
        <f t="shared" si="19"/>
        <v>0</v>
      </c>
      <c r="CH13" s="193"/>
      <c r="CI13" s="206">
        <f t="shared" si="20"/>
        <v>0</v>
      </c>
      <c r="CJ13" s="191"/>
      <c r="CK13" s="207">
        <f t="shared" si="21"/>
        <v>0</v>
      </c>
      <c r="CL13" s="73"/>
      <c r="CM13" s="73"/>
      <c r="CN13" s="193"/>
      <c r="CO13" s="209">
        <f t="shared" si="22"/>
        <v>0</v>
      </c>
      <c r="CP13" s="193"/>
      <c r="CQ13" s="206">
        <f t="shared" si="23"/>
        <v>0</v>
      </c>
      <c r="CR13" s="191"/>
      <c r="CS13" s="207">
        <f t="shared" si="24"/>
        <v>0</v>
      </c>
      <c r="CT13" s="73"/>
      <c r="CU13" s="73"/>
      <c r="CV13" s="193"/>
      <c r="CW13" s="209">
        <f t="shared" si="25"/>
        <v>0</v>
      </c>
      <c r="CX13" s="193"/>
      <c r="CY13" s="206">
        <f t="shared" si="26"/>
        <v>0</v>
      </c>
      <c r="CZ13" s="191"/>
      <c r="DA13" s="207">
        <f t="shared" si="27"/>
        <v>0</v>
      </c>
      <c r="DB13" s="73"/>
      <c r="DC13" s="73"/>
      <c r="DD13" s="193"/>
      <c r="DE13" s="209">
        <f t="shared" si="28"/>
        <v>0</v>
      </c>
      <c r="DF13" s="193"/>
      <c r="DG13" s="206">
        <f t="shared" si="29"/>
        <v>0</v>
      </c>
      <c r="DH13" s="191"/>
      <c r="DI13" s="207">
        <f t="shared" si="30"/>
        <v>0</v>
      </c>
    </row>
    <row r="14" spans="1:113">
      <c r="A14" s="57">
        <v>11</v>
      </c>
      <c r="B14" s="111"/>
      <c r="C14" s="61"/>
      <c r="D14" s="62"/>
      <c r="E14" s="62"/>
      <c r="F14" s="128"/>
      <c r="G14" s="135"/>
      <c r="H14" s="63"/>
      <c r="I14" s="136"/>
      <c r="J14" s="169"/>
      <c r="K14" s="64"/>
      <c r="L14" s="65"/>
      <c r="M14" s="64"/>
      <c r="N14" s="141"/>
      <c r="O14" s="147"/>
      <c r="P14" s="66"/>
      <c r="Q14" s="66"/>
      <c r="R14" s="148"/>
      <c r="S14" s="182"/>
      <c r="T14" s="183"/>
      <c r="U14" s="155"/>
      <c r="V14" s="173">
        <f t="shared" si="0"/>
        <v>0</v>
      </c>
      <c r="W14" s="67"/>
      <c r="X14" s="67"/>
      <c r="Y14" s="67"/>
      <c r="Z14" s="156"/>
      <c r="AA14" s="84"/>
      <c r="AB14" s="85"/>
      <c r="AC14" s="86"/>
      <c r="AD14" s="68"/>
      <c r="AE14" s="70"/>
      <c r="AF14" s="70"/>
      <c r="AG14" s="69"/>
      <c r="AH14" s="189"/>
      <c r="AI14" s="190"/>
      <c r="AJ14" s="191"/>
      <c r="AK14" s="206">
        <f t="shared" si="1"/>
        <v>0</v>
      </c>
      <c r="AL14" s="191"/>
      <c r="AM14" s="206">
        <f t="shared" si="2"/>
        <v>0</v>
      </c>
      <c r="AN14" s="191"/>
      <c r="AO14" s="207">
        <f t="shared" si="3"/>
        <v>0</v>
      </c>
      <c r="AP14" s="72"/>
      <c r="AQ14" s="72"/>
      <c r="AR14" s="192"/>
      <c r="AS14" s="208">
        <f t="shared" si="4"/>
        <v>0</v>
      </c>
      <c r="AT14" s="193"/>
      <c r="AU14" s="206">
        <f t="shared" si="5"/>
        <v>0</v>
      </c>
      <c r="AV14" s="191"/>
      <c r="AW14" s="207">
        <f t="shared" si="6"/>
        <v>0</v>
      </c>
      <c r="AX14" s="73"/>
      <c r="AY14" s="73"/>
      <c r="AZ14" s="193"/>
      <c r="BA14" s="209">
        <f t="shared" si="7"/>
        <v>0</v>
      </c>
      <c r="BB14" s="193"/>
      <c r="BC14" s="206">
        <f t="shared" si="8"/>
        <v>0</v>
      </c>
      <c r="BD14" s="191"/>
      <c r="BE14" s="207">
        <f t="shared" si="9"/>
        <v>0</v>
      </c>
      <c r="BF14" s="73"/>
      <c r="BG14" s="73"/>
      <c r="BH14" s="193"/>
      <c r="BI14" s="209">
        <f t="shared" si="10"/>
        <v>0</v>
      </c>
      <c r="BJ14" s="193"/>
      <c r="BK14" s="206">
        <f t="shared" si="11"/>
        <v>0</v>
      </c>
      <c r="BL14" s="191"/>
      <c r="BM14" s="207">
        <f t="shared" si="12"/>
        <v>0</v>
      </c>
      <c r="BN14" s="73"/>
      <c r="BO14" s="73"/>
      <c r="BP14" s="193"/>
      <c r="BQ14" s="209">
        <f t="shared" si="13"/>
        <v>0</v>
      </c>
      <c r="BR14" s="193"/>
      <c r="BS14" s="206">
        <f t="shared" si="14"/>
        <v>0</v>
      </c>
      <c r="BT14" s="191"/>
      <c r="BU14" s="207">
        <f t="shared" si="15"/>
        <v>0</v>
      </c>
      <c r="BV14" s="73"/>
      <c r="BW14" s="73"/>
      <c r="BX14" s="193"/>
      <c r="BY14" s="209">
        <f t="shared" si="16"/>
        <v>0</v>
      </c>
      <c r="BZ14" s="193"/>
      <c r="CA14" s="206">
        <f t="shared" si="17"/>
        <v>0</v>
      </c>
      <c r="CB14" s="191"/>
      <c r="CC14" s="207">
        <f t="shared" si="18"/>
        <v>0</v>
      </c>
      <c r="CD14" s="73"/>
      <c r="CE14" s="73"/>
      <c r="CF14" s="193"/>
      <c r="CG14" s="209">
        <f t="shared" si="19"/>
        <v>0</v>
      </c>
      <c r="CH14" s="193"/>
      <c r="CI14" s="206">
        <f t="shared" si="20"/>
        <v>0</v>
      </c>
      <c r="CJ14" s="191"/>
      <c r="CK14" s="207">
        <f t="shared" si="21"/>
        <v>0</v>
      </c>
      <c r="CL14" s="73"/>
      <c r="CM14" s="73"/>
      <c r="CN14" s="193"/>
      <c r="CO14" s="209">
        <f t="shared" si="22"/>
        <v>0</v>
      </c>
      <c r="CP14" s="193"/>
      <c r="CQ14" s="206">
        <f t="shared" si="23"/>
        <v>0</v>
      </c>
      <c r="CR14" s="191"/>
      <c r="CS14" s="207">
        <f t="shared" si="24"/>
        <v>0</v>
      </c>
      <c r="CT14" s="73"/>
      <c r="CU14" s="73"/>
      <c r="CV14" s="193"/>
      <c r="CW14" s="209">
        <f t="shared" si="25"/>
        <v>0</v>
      </c>
      <c r="CX14" s="193"/>
      <c r="CY14" s="206">
        <f t="shared" si="26"/>
        <v>0</v>
      </c>
      <c r="CZ14" s="191"/>
      <c r="DA14" s="207">
        <f t="shared" si="27"/>
        <v>0</v>
      </c>
      <c r="DB14" s="73"/>
      <c r="DC14" s="73"/>
      <c r="DD14" s="193"/>
      <c r="DE14" s="209">
        <f t="shared" si="28"/>
        <v>0</v>
      </c>
      <c r="DF14" s="193"/>
      <c r="DG14" s="206">
        <f t="shared" si="29"/>
        <v>0</v>
      </c>
      <c r="DH14" s="191"/>
      <c r="DI14" s="207">
        <f t="shared" si="30"/>
        <v>0</v>
      </c>
    </row>
    <row r="15" spans="1:113">
      <c r="A15" s="57">
        <v>12</v>
      </c>
      <c r="B15" s="111"/>
      <c r="C15" s="61"/>
      <c r="D15" s="62"/>
      <c r="E15" s="62"/>
      <c r="F15" s="128"/>
      <c r="G15" s="135"/>
      <c r="H15" s="63"/>
      <c r="I15" s="136"/>
      <c r="J15" s="169"/>
      <c r="K15" s="64"/>
      <c r="L15" s="65"/>
      <c r="M15" s="64"/>
      <c r="N15" s="141"/>
      <c r="O15" s="147"/>
      <c r="P15" s="66"/>
      <c r="Q15" s="66"/>
      <c r="R15" s="148"/>
      <c r="S15" s="182"/>
      <c r="T15" s="183"/>
      <c r="U15" s="155"/>
      <c r="V15" s="173">
        <f t="shared" si="0"/>
        <v>0</v>
      </c>
      <c r="W15" s="67"/>
      <c r="X15" s="67"/>
      <c r="Y15" s="67"/>
      <c r="Z15" s="156"/>
      <c r="AA15" s="84"/>
      <c r="AB15" s="85"/>
      <c r="AC15" s="86"/>
      <c r="AD15" s="68"/>
      <c r="AE15" s="70"/>
      <c r="AF15" s="70"/>
      <c r="AG15" s="69"/>
      <c r="AH15" s="189"/>
      <c r="AI15" s="190"/>
      <c r="AJ15" s="191"/>
      <c r="AK15" s="206">
        <f t="shared" si="1"/>
        <v>0</v>
      </c>
      <c r="AL15" s="191"/>
      <c r="AM15" s="206">
        <f t="shared" si="2"/>
        <v>0</v>
      </c>
      <c r="AN15" s="191"/>
      <c r="AO15" s="207">
        <f t="shared" si="3"/>
        <v>0</v>
      </c>
      <c r="AP15" s="72"/>
      <c r="AQ15" s="72"/>
      <c r="AR15" s="192"/>
      <c r="AS15" s="208">
        <f t="shared" si="4"/>
        <v>0</v>
      </c>
      <c r="AT15" s="193"/>
      <c r="AU15" s="206">
        <f t="shared" si="5"/>
        <v>0</v>
      </c>
      <c r="AV15" s="191"/>
      <c r="AW15" s="207">
        <f t="shared" si="6"/>
        <v>0</v>
      </c>
      <c r="AX15" s="73"/>
      <c r="AY15" s="73"/>
      <c r="AZ15" s="193"/>
      <c r="BA15" s="209">
        <f t="shared" si="7"/>
        <v>0</v>
      </c>
      <c r="BB15" s="193"/>
      <c r="BC15" s="206">
        <f t="shared" si="8"/>
        <v>0</v>
      </c>
      <c r="BD15" s="191"/>
      <c r="BE15" s="207">
        <f t="shared" si="9"/>
        <v>0</v>
      </c>
      <c r="BF15" s="73"/>
      <c r="BG15" s="73"/>
      <c r="BH15" s="193"/>
      <c r="BI15" s="209">
        <f t="shared" si="10"/>
        <v>0</v>
      </c>
      <c r="BJ15" s="193"/>
      <c r="BK15" s="206">
        <f t="shared" si="11"/>
        <v>0</v>
      </c>
      <c r="BL15" s="191"/>
      <c r="BM15" s="207">
        <f t="shared" si="12"/>
        <v>0</v>
      </c>
      <c r="BN15" s="73"/>
      <c r="BO15" s="73"/>
      <c r="BP15" s="193"/>
      <c r="BQ15" s="209">
        <f t="shared" si="13"/>
        <v>0</v>
      </c>
      <c r="BR15" s="193"/>
      <c r="BS15" s="206">
        <f t="shared" si="14"/>
        <v>0</v>
      </c>
      <c r="BT15" s="191"/>
      <c r="BU15" s="207">
        <f t="shared" si="15"/>
        <v>0</v>
      </c>
      <c r="BV15" s="73"/>
      <c r="BW15" s="73"/>
      <c r="BX15" s="193"/>
      <c r="BY15" s="209">
        <f t="shared" si="16"/>
        <v>0</v>
      </c>
      <c r="BZ15" s="193"/>
      <c r="CA15" s="206">
        <f t="shared" si="17"/>
        <v>0</v>
      </c>
      <c r="CB15" s="191"/>
      <c r="CC15" s="207">
        <f t="shared" si="18"/>
        <v>0</v>
      </c>
      <c r="CD15" s="73"/>
      <c r="CE15" s="73"/>
      <c r="CF15" s="193"/>
      <c r="CG15" s="209">
        <f t="shared" si="19"/>
        <v>0</v>
      </c>
      <c r="CH15" s="193"/>
      <c r="CI15" s="206">
        <f t="shared" si="20"/>
        <v>0</v>
      </c>
      <c r="CJ15" s="191"/>
      <c r="CK15" s="207">
        <f t="shared" si="21"/>
        <v>0</v>
      </c>
      <c r="CL15" s="73"/>
      <c r="CM15" s="73"/>
      <c r="CN15" s="193"/>
      <c r="CO15" s="209">
        <f t="shared" si="22"/>
        <v>0</v>
      </c>
      <c r="CP15" s="193"/>
      <c r="CQ15" s="206">
        <f t="shared" si="23"/>
        <v>0</v>
      </c>
      <c r="CR15" s="191"/>
      <c r="CS15" s="207">
        <f t="shared" si="24"/>
        <v>0</v>
      </c>
      <c r="CT15" s="73"/>
      <c r="CU15" s="73"/>
      <c r="CV15" s="193"/>
      <c r="CW15" s="209">
        <f t="shared" si="25"/>
        <v>0</v>
      </c>
      <c r="CX15" s="193"/>
      <c r="CY15" s="206">
        <f t="shared" si="26"/>
        <v>0</v>
      </c>
      <c r="CZ15" s="191"/>
      <c r="DA15" s="207">
        <f t="shared" si="27"/>
        <v>0</v>
      </c>
      <c r="DB15" s="73"/>
      <c r="DC15" s="73"/>
      <c r="DD15" s="193"/>
      <c r="DE15" s="209">
        <f t="shared" si="28"/>
        <v>0</v>
      </c>
      <c r="DF15" s="193"/>
      <c r="DG15" s="206">
        <f t="shared" si="29"/>
        <v>0</v>
      </c>
      <c r="DH15" s="191"/>
      <c r="DI15" s="207">
        <f t="shared" si="30"/>
        <v>0</v>
      </c>
    </row>
    <row r="16" spans="1:113">
      <c r="A16" s="57">
        <v>13</v>
      </c>
      <c r="B16" s="111"/>
      <c r="C16" s="61"/>
      <c r="D16" s="62"/>
      <c r="E16" s="62"/>
      <c r="F16" s="128"/>
      <c r="G16" s="135"/>
      <c r="H16" s="63"/>
      <c r="I16" s="136"/>
      <c r="J16" s="169"/>
      <c r="K16" s="64"/>
      <c r="L16" s="65"/>
      <c r="M16" s="64"/>
      <c r="N16" s="141"/>
      <c r="O16" s="147"/>
      <c r="P16" s="66"/>
      <c r="Q16" s="66"/>
      <c r="R16" s="148"/>
      <c r="S16" s="182"/>
      <c r="T16" s="183"/>
      <c r="U16" s="155"/>
      <c r="V16" s="173">
        <f t="shared" si="0"/>
        <v>0</v>
      </c>
      <c r="W16" s="67"/>
      <c r="X16" s="67"/>
      <c r="Y16" s="67"/>
      <c r="Z16" s="156"/>
      <c r="AA16" s="84"/>
      <c r="AB16" s="85"/>
      <c r="AC16" s="86"/>
      <c r="AD16" s="68"/>
      <c r="AE16" s="70"/>
      <c r="AF16" s="70"/>
      <c r="AG16" s="69"/>
      <c r="AH16" s="189"/>
      <c r="AI16" s="190"/>
      <c r="AJ16" s="191"/>
      <c r="AK16" s="206">
        <f t="shared" si="1"/>
        <v>0</v>
      </c>
      <c r="AL16" s="191"/>
      <c r="AM16" s="206">
        <f t="shared" si="2"/>
        <v>0</v>
      </c>
      <c r="AN16" s="191"/>
      <c r="AO16" s="207">
        <f t="shared" si="3"/>
        <v>0</v>
      </c>
      <c r="AP16" s="72"/>
      <c r="AQ16" s="72"/>
      <c r="AR16" s="192"/>
      <c r="AS16" s="208">
        <f t="shared" si="4"/>
        <v>0</v>
      </c>
      <c r="AT16" s="193"/>
      <c r="AU16" s="206">
        <f t="shared" si="5"/>
        <v>0</v>
      </c>
      <c r="AV16" s="191"/>
      <c r="AW16" s="207">
        <f t="shared" si="6"/>
        <v>0</v>
      </c>
      <c r="AX16" s="73"/>
      <c r="AY16" s="73"/>
      <c r="AZ16" s="193"/>
      <c r="BA16" s="209">
        <f t="shared" si="7"/>
        <v>0</v>
      </c>
      <c r="BB16" s="193"/>
      <c r="BC16" s="206">
        <f t="shared" si="8"/>
        <v>0</v>
      </c>
      <c r="BD16" s="191"/>
      <c r="BE16" s="207">
        <f t="shared" si="9"/>
        <v>0</v>
      </c>
      <c r="BF16" s="73"/>
      <c r="BG16" s="73"/>
      <c r="BH16" s="193"/>
      <c r="BI16" s="209">
        <f t="shared" si="10"/>
        <v>0</v>
      </c>
      <c r="BJ16" s="193"/>
      <c r="BK16" s="206">
        <f t="shared" si="11"/>
        <v>0</v>
      </c>
      <c r="BL16" s="191"/>
      <c r="BM16" s="207">
        <f t="shared" si="12"/>
        <v>0</v>
      </c>
      <c r="BN16" s="73"/>
      <c r="BO16" s="73"/>
      <c r="BP16" s="193"/>
      <c r="BQ16" s="209">
        <f t="shared" si="13"/>
        <v>0</v>
      </c>
      <c r="BR16" s="193"/>
      <c r="BS16" s="206">
        <f t="shared" si="14"/>
        <v>0</v>
      </c>
      <c r="BT16" s="191"/>
      <c r="BU16" s="207">
        <f t="shared" si="15"/>
        <v>0</v>
      </c>
      <c r="BV16" s="73"/>
      <c r="BW16" s="73"/>
      <c r="BX16" s="193"/>
      <c r="BY16" s="209">
        <f t="shared" si="16"/>
        <v>0</v>
      </c>
      <c r="BZ16" s="193"/>
      <c r="CA16" s="206">
        <f t="shared" si="17"/>
        <v>0</v>
      </c>
      <c r="CB16" s="191"/>
      <c r="CC16" s="207">
        <f t="shared" si="18"/>
        <v>0</v>
      </c>
      <c r="CD16" s="73"/>
      <c r="CE16" s="73"/>
      <c r="CF16" s="193"/>
      <c r="CG16" s="209">
        <f t="shared" si="19"/>
        <v>0</v>
      </c>
      <c r="CH16" s="193"/>
      <c r="CI16" s="206">
        <f t="shared" si="20"/>
        <v>0</v>
      </c>
      <c r="CJ16" s="191"/>
      <c r="CK16" s="207">
        <f t="shared" si="21"/>
        <v>0</v>
      </c>
      <c r="CL16" s="73"/>
      <c r="CM16" s="73"/>
      <c r="CN16" s="193"/>
      <c r="CO16" s="209">
        <f t="shared" si="22"/>
        <v>0</v>
      </c>
      <c r="CP16" s="193"/>
      <c r="CQ16" s="206">
        <f t="shared" si="23"/>
        <v>0</v>
      </c>
      <c r="CR16" s="191"/>
      <c r="CS16" s="207">
        <f t="shared" si="24"/>
        <v>0</v>
      </c>
      <c r="CT16" s="73"/>
      <c r="CU16" s="73"/>
      <c r="CV16" s="193"/>
      <c r="CW16" s="209">
        <f t="shared" si="25"/>
        <v>0</v>
      </c>
      <c r="CX16" s="193"/>
      <c r="CY16" s="206">
        <f t="shared" si="26"/>
        <v>0</v>
      </c>
      <c r="CZ16" s="191"/>
      <c r="DA16" s="207">
        <f t="shared" si="27"/>
        <v>0</v>
      </c>
      <c r="DB16" s="73"/>
      <c r="DC16" s="73"/>
      <c r="DD16" s="193"/>
      <c r="DE16" s="209">
        <f t="shared" si="28"/>
        <v>0</v>
      </c>
      <c r="DF16" s="193"/>
      <c r="DG16" s="206">
        <f t="shared" si="29"/>
        <v>0</v>
      </c>
      <c r="DH16" s="191"/>
      <c r="DI16" s="207">
        <f t="shared" si="30"/>
        <v>0</v>
      </c>
    </row>
    <row r="17" spans="1:113">
      <c r="A17" s="57">
        <v>14</v>
      </c>
      <c r="B17" s="111"/>
      <c r="C17" s="61"/>
      <c r="D17" s="62"/>
      <c r="E17" s="62"/>
      <c r="F17" s="128"/>
      <c r="G17" s="135"/>
      <c r="H17" s="63"/>
      <c r="I17" s="136"/>
      <c r="J17" s="169"/>
      <c r="K17" s="64"/>
      <c r="L17" s="65"/>
      <c r="M17" s="64"/>
      <c r="N17" s="141"/>
      <c r="O17" s="147"/>
      <c r="P17" s="66"/>
      <c r="Q17" s="66"/>
      <c r="R17" s="148"/>
      <c r="S17" s="182"/>
      <c r="T17" s="183"/>
      <c r="U17" s="155"/>
      <c r="V17" s="173">
        <f t="shared" si="0"/>
        <v>0</v>
      </c>
      <c r="W17" s="67"/>
      <c r="X17" s="67"/>
      <c r="Y17" s="67"/>
      <c r="Z17" s="156"/>
      <c r="AA17" s="84"/>
      <c r="AB17" s="85"/>
      <c r="AC17" s="86"/>
      <c r="AD17" s="68"/>
      <c r="AE17" s="70"/>
      <c r="AF17" s="70"/>
      <c r="AG17" s="69"/>
      <c r="AH17" s="189"/>
      <c r="AI17" s="190"/>
      <c r="AJ17" s="191"/>
      <c r="AK17" s="206">
        <f t="shared" si="1"/>
        <v>0</v>
      </c>
      <c r="AL17" s="191"/>
      <c r="AM17" s="206">
        <f t="shared" si="2"/>
        <v>0</v>
      </c>
      <c r="AN17" s="191"/>
      <c r="AO17" s="207">
        <f t="shared" si="3"/>
        <v>0</v>
      </c>
      <c r="AP17" s="72"/>
      <c r="AQ17" s="72"/>
      <c r="AR17" s="192"/>
      <c r="AS17" s="208">
        <f t="shared" si="4"/>
        <v>0</v>
      </c>
      <c r="AT17" s="193"/>
      <c r="AU17" s="206">
        <f t="shared" si="5"/>
        <v>0</v>
      </c>
      <c r="AV17" s="191"/>
      <c r="AW17" s="207">
        <f t="shared" si="6"/>
        <v>0</v>
      </c>
      <c r="AX17" s="73"/>
      <c r="AY17" s="73"/>
      <c r="AZ17" s="193"/>
      <c r="BA17" s="209">
        <f t="shared" si="7"/>
        <v>0</v>
      </c>
      <c r="BB17" s="193"/>
      <c r="BC17" s="206">
        <f t="shared" si="8"/>
        <v>0</v>
      </c>
      <c r="BD17" s="191"/>
      <c r="BE17" s="207">
        <f t="shared" si="9"/>
        <v>0</v>
      </c>
      <c r="BF17" s="73"/>
      <c r="BG17" s="73"/>
      <c r="BH17" s="193"/>
      <c r="BI17" s="209">
        <f t="shared" si="10"/>
        <v>0</v>
      </c>
      <c r="BJ17" s="193"/>
      <c r="BK17" s="206">
        <f t="shared" si="11"/>
        <v>0</v>
      </c>
      <c r="BL17" s="191"/>
      <c r="BM17" s="207">
        <f t="shared" si="12"/>
        <v>0</v>
      </c>
      <c r="BN17" s="73"/>
      <c r="BO17" s="73"/>
      <c r="BP17" s="193"/>
      <c r="BQ17" s="209">
        <f t="shared" si="13"/>
        <v>0</v>
      </c>
      <c r="BR17" s="193"/>
      <c r="BS17" s="206">
        <f t="shared" si="14"/>
        <v>0</v>
      </c>
      <c r="BT17" s="191"/>
      <c r="BU17" s="207">
        <f t="shared" si="15"/>
        <v>0</v>
      </c>
      <c r="BV17" s="73"/>
      <c r="BW17" s="73"/>
      <c r="BX17" s="193"/>
      <c r="BY17" s="209">
        <f t="shared" si="16"/>
        <v>0</v>
      </c>
      <c r="BZ17" s="193"/>
      <c r="CA17" s="206">
        <f t="shared" si="17"/>
        <v>0</v>
      </c>
      <c r="CB17" s="191"/>
      <c r="CC17" s="207">
        <f t="shared" si="18"/>
        <v>0</v>
      </c>
      <c r="CD17" s="73"/>
      <c r="CE17" s="73"/>
      <c r="CF17" s="193"/>
      <c r="CG17" s="209">
        <f t="shared" si="19"/>
        <v>0</v>
      </c>
      <c r="CH17" s="193"/>
      <c r="CI17" s="206">
        <f t="shared" si="20"/>
        <v>0</v>
      </c>
      <c r="CJ17" s="191"/>
      <c r="CK17" s="207">
        <f t="shared" si="21"/>
        <v>0</v>
      </c>
      <c r="CL17" s="73"/>
      <c r="CM17" s="73"/>
      <c r="CN17" s="193"/>
      <c r="CO17" s="209">
        <f t="shared" si="22"/>
        <v>0</v>
      </c>
      <c r="CP17" s="193"/>
      <c r="CQ17" s="206">
        <f t="shared" si="23"/>
        <v>0</v>
      </c>
      <c r="CR17" s="191"/>
      <c r="CS17" s="207">
        <f t="shared" si="24"/>
        <v>0</v>
      </c>
      <c r="CT17" s="73"/>
      <c r="CU17" s="73"/>
      <c r="CV17" s="193"/>
      <c r="CW17" s="209">
        <f t="shared" si="25"/>
        <v>0</v>
      </c>
      <c r="CX17" s="193"/>
      <c r="CY17" s="206">
        <f t="shared" si="26"/>
        <v>0</v>
      </c>
      <c r="CZ17" s="191"/>
      <c r="DA17" s="207">
        <f t="shared" si="27"/>
        <v>0</v>
      </c>
      <c r="DB17" s="73"/>
      <c r="DC17" s="73"/>
      <c r="DD17" s="193"/>
      <c r="DE17" s="209">
        <f t="shared" si="28"/>
        <v>0</v>
      </c>
      <c r="DF17" s="193"/>
      <c r="DG17" s="206">
        <f t="shared" si="29"/>
        <v>0</v>
      </c>
      <c r="DH17" s="191"/>
      <c r="DI17" s="207">
        <f t="shared" si="30"/>
        <v>0</v>
      </c>
    </row>
    <row r="18" spans="1:113">
      <c r="A18" s="57">
        <v>15</v>
      </c>
      <c r="B18" s="111"/>
      <c r="C18" s="61"/>
      <c r="D18" s="62"/>
      <c r="E18" s="62"/>
      <c r="F18" s="128"/>
      <c r="G18" s="135"/>
      <c r="H18" s="63"/>
      <c r="I18" s="136"/>
      <c r="J18" s="169"/>
      <c r="K18" s="64"/>
      <c r="L18" s="65"/>
      <c r="M18" s="64"/>
      <c r="N18" s="141"/>
      <c r="O18" s="147"/>
      <c r="P18" s="66"/>
      <c r="Q18" s="66"/>
      <c r="R18" s="148"/>
      <c r="S18" s="182"/>
      <c r="T18" s="183"/>
      <c r="U18" s="155"/>
      <c r="V18" s="173">
        <f t="shared" si="0"/>
        <v>0</v>
      </c>
      <c r="W18" s="67"/>
      <c r="X18" s="67"/>
      <c r="Y18" s="67"/>
      <c r="Z18" s="156"/>
      <c r="AA18" s="84"/>
      <c r="AB18" s="85"/>
      <c r="AC18" s="86"/>
      <c r="AD18" s="68"/>
      <c r="AE18" s="70"/>
      <c r="AF18" s="70"/>
      <c r="AG18" s="69"/>
      <c r="AH18" s="189"/>
      <c r="AI18" s="190"/>
      <c r="AJ18" s="191"/>
      <c r="AK18" s="206">
        <f t="shared" si="1"/>
        <v>0</v>
      </c>
      <c r="AL18" s="191"/>
      <c r="AM18" s="206">
        <f t="shared" si="2"/>
        <v>0</v>
      </c>
      <c r="AN18" s="191"/>
      <c r="AO18" s="207">
        <f t="shared" si="3"/>
        <v>0</v>
      </c>
      <c r="AP18" s="72"/>
      <c r="AQ18" s="72"/>
      <c r="AR18" s="192"/>
      <c r="AS18" s="208">
        <f t="shared" si="4"/>
        <v>0</v>
      </c>
      <c r="AT18" s="193"/>
      <c r="AU18" s="206">
        <f t="shared" si="5"/>
        <v>0</v>
      </c>
      <c r="AV18" s="191"/>
      <c r="AW18" s="207">
        <f t="shared" si="6"/>
        <v>0</v>
      </c>
      <c r="AX18" s="73"/>
      <c r="AY18" s="73"/>
      <c r="AZ18" s="193"/>
      <c r="BA18" s="209">
        <f t="shared" si="7"/>
        <v>0</v>
      </c>
      <c r="BB18" s="193"/>
      <c r="BC18" s="206">
        <f t="shared" si="8"/>
        <v>0</v>
      </c>
      <c r="BD18" s="191"/>
      <c r="BE18" s="207">
        <f t="shared" si="9"/>
        <v>0</v>
      </c>
      <c r="BF18" s="73"/>
      <c r="BG18" s="73"/>
      <c r="BH18" s="193"/>
      <c r="BI18" s="209">
        <f t="shared" si="10"/>
        <v>0</v>
      </c>
      <c r="BJ18" s="193"/>
      <c r="BK18" s="206">
        <f t="shared" si="11"/>
        <v>0</v>
      </c>
      <c r="BL18" s="191"/>
      <c r="BM18" s="207">
        <f t="shared" si="12"/>
        <v>0</v>
      </c>
      <c r="BN18" s="73"/>
      <c r="BO18" s="73"/>
      <c r="BP18" s="193"/>
      <c r="BQ18" s="209">
        <f t="shared" si="13"/>
        <v>0</v>
      </c>
      <c r="BR18" s="193"/>
      <c r="BS18" s="206">
        <f t="shared" si="14"/>
        <v>0</v>
      </c>
      <c r="BT18" s="191"/>
      <c r="BU18" s="207">
        <f t="shared" si="15"/>
        <v>0</v>
      </c>
      <c r="BV18" s="73"/>
      <c r="BW18" s="73"/>
      <c r="BX18" s="193"/>
      <c r="BY18" s="209">
        <f t="shared" si="16"/>
        <v>0</v>
      </c>
      <c r="BZ18" s="193"/>
      <c r="CA18" s="206">
        <f t="shared" si="17"/>
        <v>0</v>
      </c>
      <c r="CB18" s="191"/>
      <c r="CC18" s="207">
        <f t="shared" si="18"/>
        <v>0</v>
      </c>
      <c r="CD18" s="73"/>
      <c r="CE18" s="73"/>
      <c r="CF18" s="193"/>
      <c r="CG18" s="209">
        <f t="shared" si="19"/>
        <v>0</v>
      </c>
      <c r="CH18" s="193"/>
      <c r="CI18" s="206">
        <f t="shared" si="20"/>
        <v>0</v>
      </c>
      <c r="CJ18" s="191"/>
      <c r="CK18" s="207">
        <f t="shared" si="21"/>
        <v>0</v>
      </c>
      <c r="CL18" s="73"/>
      <c r="CM18" s="73"/>
      <c r="CN18" s="193"/>
      <c r="CO18" s="209">
        <f t="shared" si="22"/>
        <v>0</v>
      </c>
      <c r="CP18" s="193"/>
      <c r="CQ18" s="206">
        <f t="shared" si="23"/>
        <v>0</v>
      </c>
      <c r="CR18" s="191"/>
      <c r="CS18" s="207">
        <f t="shared" si="24"/>
        <v>0</v>
      </c>
      <c r="CT18" s="73"/>
      <c r="CU18" s="73"/>
      <c r="CV18" s="193"/>
      <c r="CW18" s="209">
        <f t="shared" si="25"/>
        <v>0</v>
      </c>
      <c r="CX18" s="193"/>
      <c r="CY18" s="206">
        <f t="shared" si="26"/>
        <v>0</v>
      </c>
      <c r="CZ18" s="191"/>
      <c r="DA18" s="207">
        <f t="shared" si="27"/>
        <v>0</v>
      </c>
      <c r="DB18" s="73"/>
      <c r="DC18" s="73"/>
      <c r="DD18" s="193"/>
      <c r="DE18" s="209">
        <f t="shared" si="28"/>
        <v>0</v>
      </c>
      <c r="DF18" s="193"/>
      <c r="DG18" s="206">
        <f t="shared" si="29"/>
        <v>0</v>
      </c>
      <c r="DH18" s="191"/>
      <c r="DI18" s="207">
        <f t="shared" si="30"/>
        <v>0</v>
      </c>
    </row>
    <row r="19" spans="1:113">
      <c r="A19" s="57">
        <v>16</v>
      </c>
      <c r="B19" s="111"/>
      <c r="C19" s="61"/>
      <c r="D19" s="62"/>
      <c r="E19" s="62"/>
      <c r="F19" s="128"/>
      <c r="G19" s="135"/>
      <c r="H19" s="63"/>
      <c r="I19" s="136"/>
      <c r="J19" s="169"/>
      <c r="K19" s="64"/>
      <c r="L19" s="65"/>
      <c r="M19" s="64"/>
      <c r="N19" s="141"/>
      <c r="O19" s="147"/>
      <c r="P19" s="66"/>
      <c r="Q19" s="66"/>
      <c r="R19" s="148"/>
      <c r="S19" s="182"/>
      <c r="T19" s="183"/>
      <c r="U19" s="155"/>
      <c r="V19" s="173">
        <f t="shared" si="0"/>
        <v>0</v>
      </c>
      <c r="W19" s="67"/>
      <c r="X19" s="67"/>
      <c r="Y19" s="67"/>
      <c r="Z19" s="156"/>
      <c r="AA19" s="84"/>
      <c r="AB19" s="85"/>
      <c r="AC19" s="86"/>
      <c r="AD19" s="68"/>
      <c r="AE19" s="70"/>
      <c r="AF19" s="70"/>
      <c r="AG19" s="69"/>
      <c r="AH19" s="189"/>
      <c r="AI19" s="190"/>
      <c r="AJ19" s="191"/>
      <c r="AK19" s="206">
        <f t="shared" si="1"/>
        <v>0</v>
      </c>
      <c r="AL19" s="191"/>
      <c r="AM19" s="206">
        <f t="shared" si="2"/>
        <v>0</v>
      </c>
      <c r="AN19" s="191"/>
      <c r="AO19" s="207">
        <f t="shared" si="3"/>
        <v>0</v>
      </c>
      <c r="AP19" s="72"/>
      <c r="AQ19" s="72"/>
      <c r="AR19" s="192"/>
      <c r="AS19" s="208">
        <f t="shared" si="4"/>
        <v>0</v>
      </c>
      <c r="AT19" s="193"/>
      <c r="AU19" s="206">
        <f t="shared" si="5"/>
        <v>0</v>
      </c>
      <c r="AV19" s="191"/>
      <c r="AW19" s="207">
        <f t="shared" si="6"/>
        <v>0</v>
      </c>
      <c r="AX19" s="73"/>
      <c r="AY19" s="73"/>
      <c r="AZ19" s="193"/>
      <c r="BA19" s="209">
        <f t="shared" si="7"/>
        <v>0</v>
      </c>
      <c r="BB19" s="193"/>
      <c r="BC19" s="206">
        <f t="shared" si="8"/>
        <v>0</v>
      </c>
      <c r="BD19" s="191"/>
      <c r="BE19" s="207">
        <f t="shared" si="9"/>
        <v>0</v>
      </c>
      <c r="BF19" s="73"/>
      <c r="BG19" s="73"/>
      <c r="BH19" s="193"/>
      <c r="BI19" s="209">
        <f t="shared" si="10"/>
        <v>0</v>
      </c>
      <c r="BJ19" s="193"/>
      <c r="BK19" s="206">
        <f t="shared" si="11"/>
        <v>0</v>
      </c>
      <c r="BL19" s="191"/>
      <c r="BM19" s="207">
        <f t="shared" si="12"/>
        <v>0</v>
      </c>
      <c r="BN19" s="73"/>
      <c r="BO19" s="73"/>
      <c r="BP19" s="193"/>
      <c r="BQ19" s="209">
        <f t="shared" si="13"/>
        <v>0</v>
      </c>
      <c r="BR19" s="193"/>
      <c r="BS19" s="206">
        <f t="shared" si="14"/>
        <v>0</v>
      </c>
      <c r="BT19" s="191"/>
      <c r="BU19" s="207">
        <f t="shared" si="15"/>
        <v>0</v>
      </c>
      <c r="BV19" s="73"/>
      <c r="BW19" s="73"/>
      <c r="BX19" s="193"/>
      <c r="BY19" s="209">
        <f t="shared" si="16"/>
        <v>0</v>
      </c>
      <c r="BZ19" s="193"/>
      <c r="CA19" s="206">
        <f t="shared" si="17"/>
        <v>0</v>
      </c>
      <c r="CB19" s="191"/>
      <c r="CC19" s="207">
        <f t="shared" si="18"/>
        <v>0</v>
      </c>
      <c r="CD19" s="73"/>
      <c r="CE19" s="73"/>
      <c r="CF19" s="193"/>
      <c r="CG19" s="209">
        <f t="shared" si="19"/>
        <v>0</v>
      </c>
      <c r="CH19" s="193"/>
      <c r="CI19" s="206">
        <f t="shared" si="20"/>
        <v>0</v>
      </c>
      <c r="CJ19" s="191"/>
      <c r="CK19" s="207">
        <f t="shared" si="21"/>
        <v>0</v>
      </c>
      <c r="CL19" s="73"/>
      <c r="CM19" s="73"/>
      <c r="CN19" s="193"/>
      <c r="CO19" s="209">
        <f t="shared" si="22"/>
        <v>0</v>
      </c>
      <c r="CP19" s="193"/>
      <c r="CQ19" s="206">
        <f t="shared" si="23"/>
        <v>0</v>
      </c>
      <c r="CR19" s="191"/>
      <c r="CS19" s="207">
        <f t="shared" si="24"/>
        <v>0</v>
      </c>
      <c r="CT19" s="73"/>
      <c r="CU19" s="73"/>
      <c r="CV19" s="193"/>
      <c r="CW19" s="209">
        <f t="shared" si="25"/>
        <v>0</v>
      </c>
      <c r="CX19" s="193"/>
      <c r="CY19" s="206">
        <f t="shared" si="26"/>
        <v>0</v>
      </c>
      <c r="CZ19" s="191"/>
      <c r="DA19" s="207">
        <f t="shared" si="27"/>
        <v>0</v>
      </c>
      <c r="DB19" s="73"/>
      <c r="DC19" s="73"/>
      <c r="DD19" s="193"/>
      <c r="DE19" s="209">
        <f t="shared" si="28"/>
        <v>0</v>
      </c>
      <c r="DF19" s="193"/>
      <c r="DG19" s="206">
        <f t="shared" si="29"/>
        <v>0</v>
      </c>
      <c r="DH19" s="191"/>
      <c r="DI19" s="207">
        <f t="shared" si="30"/>
        <v>0</v>
      </c>
    </row>
    <row r="20" spans="1:113">
      <c r="A20" s="57">
        <v>17</v>
      </c>
      <c r="B20" s="111"/>
      <c r="C20" s="61"/>
      <c r="D20" s="62"/>
      <c r="E20" s="62"/>
      <c r="F20" s="128"/>
      <c r="G20" s="135"/>
      <c r="H20" s="63"/>
      <c r="I20" s="136"/>
      <c r="J20" s="169"/>
      <c r="K20" s="64"/>
      <c r="L20" s="65"/>
      <c r="M20" s="64"/>
      <c r="N20" s="141"/>
      <c r="O20" s="147"/>
      <c r="P20" s="66"/>
      <c r="Q20" s="66"/>
      <c r="R20" s="148"/>
      <c r="S20" s="182"/>
      <c r="T20" s="183"/>
      <c r="U20" s="155"/>
      <c r="V20" s="173">
        <f t="shared" si="0"/>
        <v>0</v>
      </c>
      <c r="W20" s="67"/>
      <c r="X20" s="67"/>
      <c r="Y20" s="67"/>
      <c r="Z20" s="156"/>
      <c r="AA20" s="84"/>
      <c r="AB20" s="85"/>
      <c r="AC20" s="86"/>
      <c r="AD20" s="68"/>
      <c r="AE20" s="70"/>
      <c r="AF20" s="70"/>
      <c r="AG20" s="69"/>
      <c r="AH20" s="189"/>
      <c r="AI20" s="190"/>
      <c r="AJ20" s="191"/>
      <c r="AK20" s="206">
        <f t="shared" si="1"/>
        <v>0</v>
      </c>
      <c r="AL20" s="191"/>
      <c r="AM20" s="206">
        <f t="shared" si="2"/>
        <v>0</v>
      </c>
      <c r="AN20" s="191"/>
      <c r="AO20" s="207">
        <f t="shared" si="3"/>
        <v>0</v>
      </c>
      <c r="AP20" s="72"/>
      <c r="AQ20" s="72"/>
      <c r="AR20" s="192"/>
      <c r="AS20" s="208">
        <f t="shared" si="4"/>
        <v>0</v>
      </c>
      <c r="AT20" s="193"/>
      <c r="AU20" s="206">
        <f t="shared" si="5"/>
        <v>0</v>
      </c>
      <c r="AV20" s="191"/>
      <c r="AW20" s="207">
        <f t="shared" si="6"/>
        <v>0</v>
      </c>
      <c r="AX20" s="73"/>
      <c r="AY20" s="73"/>
      <c r="AZ20" s="193"/>
      <c r="BA20" s="209">
        <f t="shared" si="7"/>
        <v>0</v>
      </c>
      <c r="BB20" s="193"/>
      <c r="BC20" s="206">
        <f t="shared" si="8"/>
        <v>0</v>
      </c>
      <c r="BD20" s="191"/>
      <c r="BE20" s="207">
        <f t="shared" si="9"/>
        <v>0</v>
      </c>
      <c r="BF20" s="73"/>
      <c r="BG20" s="73"/>
      <c r="BH20" s="193"/>
      <c r="BI20" s="209">
        <f t="shared" si="10"/>
        <v>0</v>
      </c>
      <c r="BJ20" s="193"/>
      <c r="BK20" s="206">
        <f t="shared" si="11"/>
        <v>0</v>
      </c>
      <c r="BL20" s="191"/>
      <c r="BM20" s="207">
        <f t="shared" si="12"/>
        <v>0</v>
      </c>
      <c r="BN20" s="73"/>
      <c r="BO20" s="73"/>
      <c r="BP20" s="193"/>
      <c r="BQ20" s="209">
        <f t="shared" si="13"/>
        <v>0</v>
      </c>
      <c r="BR20" s="193"/>
      <c r="BS20" s="206">
        <f t="shared" si="14"/>
        <v>0</v>
      </c>
      <c r="BT20" s="191"/>
      <c r="BU20" s="207">
        <f t="shared" si="15"/>
        <v>0</v>
      </c>
      <c r="BV20" s="73"/>
      <c r="BW20" s="73"/>
      <c r="BX20" s="193"/>
      <c r="BY20" s="209">
        <f t="shared" si="16"/>
        <v>0</v>
      </c>
      <c r="BZ20" s="193"/>
      <c r="CA20" s="206">
        <f t="shared" si="17"/>
        <v>0</v>
      </c>
      <c r="CB20" s="191"/>
      <c r="CC20" s="207">
        <f t="shared" si="18"/>
        <v>0</v>
      </c>
      <c r="CD20" s="73"/>
      <c r="CE20" s="73"/>
      <c r="CF20" s="193"/>
      <c r="CG20" s="209">
        <f t="shared" si="19"/>
        <v>0</v>
      </c>
      <c r="CH20" s="193"/>
      <c r="CI20" s="206">
        <f t="shared" si="20"/>
        <v>0</v>
      </c>
      <c r="CJ20" s="191"/>
      <c r="CK20" s="207">
        <f t="shared" si="21"/>
        <v>0</v>
      </c>
      <c r="CL20" s="73"/>
      <c r="CM20" s="73"/>
      <c r="CN20" s="193"/>
      <c r="CO20" s="209">
        <f t="shared" si="22"/>
        <v>0</v>
      </c>
      <c r="CP20" s="193"/>
      <c r="CQ20" s="206">
        <f t="shared" si="23"/>
        <v>0</v>
      </c>
      <c r="CR20" s="191"/>
      <c r="CS20" s="207">
        <f t="shared" si="24"/>
        <v>0</v>
      </c>
      <c r="CT20" s="73"/>
      <c r="CU20" s="73"/>
      <c r="CV20" s="193"/>
      <c r="CW20" s="209">
        <f t="shared" si="25"/>
        <v>0</v>
      </c>
      <c r="CX20" s="193"/>
      <c r="CY20" s="206">
        <f t="shared" si="26"/>
        <v>0</v>
      </c>
      <c r="CZ20" s="191"/>
      <c r="DA20" s="207">
        <f t="shared" si="27"/>
        <v>0</v>
      </c>
      <c r="DB20" s="73"/>
      <c r="DC20" s="73"/>
      <c r="DD20" s="193"/>
      <c r="DE20" s="209">
        <f t="shared" si="28"/>
        <v>0</v>
      </c>
      <c r="DF20" s="193"/>
      <c r="DG20" s="206">
        <f t="shared" si="29"/>
        <v>0</v>
      </c>
      <c r="DH20" s="191"/>
      <c r="DI20" s="207">
        <f t="shared" si="30"/>
        <v>0</v>
      </c>
    </row>
    <row r="21" spans="1:113">
      <c r="A21" s="57">
        <v>18</v>
      </c>
      <c r="B21" s="111"/>
      <c r="C21" s="61"/>
      <c r="D21" s="62"/>
      <c r="E21" s="62"/>
      <c r="F21" s="128"/>
      <c r="G21" s="135"/>
      <c r="H21" s="63"/>
      <c r="I21" s="136"/>
      <c r="J21" s="169"/>
      <c r="K21" s="64"/>
      <c r="L21" s="65"/>
      <c r="M21" s="64"/>
      <c r="N21" s="141"/>
      <c r="O21" s="147"/>
      <c r="P21" s="66"/>
      <c r="Q21" s="66"/>
      <c r="R21" s="148"/>
      <c r="S21" s="182"/>
      <c r="T21" s="183"/>
      <c r="U21" s="155"/>
      <c r="V21" s="173">
        <f t="shared" si="0"/>
        <v>0</v>
      </c>
      <c r="W21" s="67"/>
      <c r="X21" s="67"/>
      <c r="Y21" s="67"/>
      <c r="Z21" s="156"/>
      <c r="AA21" s="84"/>
      <c r="AB21" s="85"/>
      <c r="AC21" s="86"/>
      <c r="AD21" s="68"/>
      <c r="AE21" s="70"/>
      <c r="AF21" s="70"/>
      <c r="AG21" s="69"/>
      <c r="AH21" s="189"/>
      <c r="AI21" s="190"/>
      <c r="AJ21" s="191"/>
      <c r="AK21" s="206">
        <f t="shared" si="1"/>
        <v>0</v>
      </c>
      <c r="AL21" s="191"/>
      <c r="AM21" s="206">
        <f t="shared" si="2"/>
        <v>0</v>
      </c>
      <c r="AN21" s="191"/>
      <c r="AO21" s="207">
        <f t="shared" si="3"/>
        <v>0</v>
      </c>
      <c r="AP21" s="72"/>
      <c r="AQ21" s="72"/>
      <c r="AR21" s="192"/>
      <c r="AS21" s="208">
        <f t="shared" si="4"/>
        <v>0</v>
      </c>
      <c r="AT21" s="193"/>
      <c r="AU21" s="206">
        <f t="shared" si="5"/>
        <v>0</v>
      </c>
      <c r="AV21" s="191"/>
      <c r="AW21" s="207">
        <f t="shared" si="6"/>
        <v>0</v>
      </c>
      <c r="AX21" s="73"/>
      <c r="AY21" s="73"/>
      <c r="AZ21" s="193"/>
      <c r="BA21" s="209">
        <f t="shared" si="7"/>
        <v>0</v>
      </c>
      <c r="BB21" s="193"/>
      <c r="BC21" s="206">
        <f t="shared" si="8"/>
        <v>0</v>
      </c>
      <c r="BD21" s="191"/>
      <c r="BE21" s="207">
        <f t="shared" si="9"/>
        <v>0</v>
      </c>
      <c r="BF21" s="73"/>
      <c r="BG21" s="73"/>
      <c r="BH21" s="193"/>
      <c r="BI21" s="209">
        <f t="shared" si="10"/>
        <v>0</v>
      </c>
      <c r="BJ21" s="193"/>
      <c r="BK21" s="206">
        <f t="shared" si="11"/>
        <v>0</v>
      </c>
      <c r="BL21" s="191"/>
      <c r="BM21" s="207">
        <f t="shared" si="12"/>
        <v>0</v>
      </c>
      <c r="BN21" s="73"/>
      <c r="BO21" s="73"/>
      <c r="BP21" s="193"/>
      <c r="BQ21" s="209">
        <f t="shared" si="13"/>
        <v>0</v>
      </c>
      <c r="BR21" s="193"/>
      <c r="BS21" s="206">
        <f t="shared" si="14"/>
        <v>0</v>
      </c>
      <c r="BT21" s="191"/>
      <c r="BU21" s="207">
        <f t="shared" si="15"/>
        <v>0</v>
      </c>
      <c r="BV21" s="73"/>
      <c r="BW21" s="73"/>
      <c r="BX21" s="193"/>
      <c r="BY21" s="209">
        <f t="shared" si="16"/>
        <v>0</v>
      </c>
      <c r="BZ21" s="193"/>
      <c r="CA21" s="206">
        <f t="shared" si="17"/>
        <v>0</v>
      </c>
      <c r="CB21" s="191"/>
      <c r="CC21" s="207">
        <f t="shared" si="18"/>
        <v>0</v>
      </c>
      <c r="CD21" s="73"/>
      <c r="CE21" s="73"/>
      <c r="CF21" s="193"/>
      <c r="CG21" s="209">
        <f t="shared" si="19"/>
        <v>0</v>
      </c>
      <c r="CH21" s="193"/>
      <c r="CI21" s="206">
        <f t="shared" si="20"/>
        <v>0</v>
      </c>
      <c r="CJ21" s="191"/>
      <c r="CK21" s="207">
        <f t="shared" si="21"/>
        <v>0</v>
      </c>
      <c r="CL21" s="73"/>
      <c r="CM21" s="73"/>
      <c r="CN21" s="193"/>
      <c r="CO21" s="209">
        <f t="shared" si="22"/>
        <v>0</v>
      </c>
      <c r="CP21" s="193"/>
      <c r="CQ21" s="206">
        <f t="shared" si="23"/>
        <v>0</v>
      </c>
      <c r="CR21" s="191"/>
      <c r="CS21" s="207">
        <f t="shared" si="24"/>
        <v>0</v>
      </c>
      <c r="CT21" s="73"/>
      <c r="CU21" s="73"/>
      <c r="CV21" s="193"/>
      <c r="CW21" s="209">
        <f t="shared" si="25"/>
        <v>0</v>
      </c>
      <c r="CX21" s="193"/>
      <c r="CY21" s="206">
        <f t="shared" si="26"/>
        <v>0</v>
      </c>
      <c r="CZ21" s="191"/>
      <c r="DA21" s="207">
        <f t="shared" si="27"/>
        <v>0</v>
      </c>
      <c r="DB21" s="73"/>
      <c r="DC21" s="73"/>
      <c r="DD21" s="193"/>
      <c r="DE21" s="209">
        <f t="shared" si="28"/>
        <v>0</v>
      </c>
      <c r="DF21" s="193"/>
      <c r="DG21" s="206">
        <f t="shared" si="29"/>
        <v>0</v>
      </c>
      <c r="DH21" s="191"/>
      <c r="DI21" s="207">
        <f t="shared" si="30"/>
        <v>0</v>
      </c>
    </row>
    <row r="22" spans="1:113">
      <c r="A22" s="57">
        <v>19</v>
      </c>
      <c r="B22" s="111"/>
      <c r="C22" s="61"/>
      <c r="D22" s="62"/>
      <c r="E22" s="62"/>
      <c r="F22" s="128"/>
      <c r="G22" s="135"/>
      <c r="H22" s="63"/>
      <c r="I22" s="136"/>
      <c r="J22" s="169"/>
      <c r="K22" s="64"/>
      <c r="L22" s="65"/>
      <c r="M22" s="64"/>
      <c r="N22" s="141"/>
      <c r="O22" s="147"/>
      <c r="P22" s="66"/>
      <c r="Q22" s="66"/>
      <c r="R22" s="148"/>
      <c r="S22" s="182"/>
      <c r="T22" s="183"/>
      <c r="U22" s="155"/>
      <c r="V22" s="173">
        <f t="shared" si="0"/>
        <v>0</v>
      </c>
      <c r="W22" s="67"/>
      <c r="X22" s="67"/>
      <c r="Y22" s="67"/>
      <c r="Z22" s="156"/>
      <c r="AA22" s="84"/>
      <c r="AB22" s="85"/>
      <c r="AC22" s="86"/>
      <c r="AD22" s="68"/>
      <c r="AE22" s="70"/>
      <c r="AF22" s="70"/>
      <c r="AG22" s="69"/>
      <c r="AH22" s="189"/>
      <c r="AI22" s="190"/>
      <c r="AJ22" s="191"/>
      <c r="AK22" s="206">
        <f t="shared" si="1"/>
        <v>0</v>
      </c>
      <c r="AL22" s="191"/>
      <c r="AM22" s="206">
        <f t="shared" si="2"/>
        <v>0</v>
      </c>
      <c r="AN22" s="191"/>
      <c r="AO22" s="207">
        <f t="shared" si="3"/>
        <v>0</v>
      </c>
      <c r="AP22" s="72"/>
      <c r="AQ22" s="72"/>
      <c r="AR22" s="192"/>
      <c r="AS22" s="208">
        <f t="shared" si="4"/>
        <v>0</v>
      </c>
      <c r="AT22" s="193"/>
      <c r="AU22" s="206">
        <f t="shared" si="5"/>
        <v>0</v>
      </c>
      <c r="AV22" s="191"/>
      <c r="AW22" s="207">
        <f t="shared" si="6"/>
        <v>0</v>
      </c>
      <c r="AX22" s="73"/>
      <c r="AY22" s="73"/>
      <c r="AZ22" s="193"/>
      <c r="BA22" s="209">
        <f t="shared" si="7"/>
        <v>0</v>
      </c>
      <c r="BB22" s="193"/>
      <c r="BC22" s="206">
        <f t="shared" si="8"/>
        <v>0</v>
      </c>
      <c r="BD22" s="191"/>
      <c r="BE22" s="207">
        <f t="shared" si="9"/>
        <v>0</v>
      </c>
      <c r="BF22" s="73"/>
      <c r="BG22" s="73"/>
      <c r="BH22" s="193"/>
      <c r="BI22" s="209">
        <f t="shared" si="10"/>
        <v>0</v>
      </c>
      <c r="BJ22" s="193"/>
      <c r="BK22" s="206">
        <f t="shared" si="11"/>
        <v>0</v>
      </c>
      <c r="BL22" s="191"/>
      <c r="BM22" s="207">
        <f t="shared" si="12"/>
        <v>0</v>
      </c>
      <c r="BN22" s="73"/>
      <c r="BO22" s="73"/>
      <c r="BP22" s="193"/>
      <c r="BQ22" s="209">
        <f t="shared" si="13"/>
        <v>0</v>
      </c>
      <c r="BR22" s="193"/>
      <c r="BS22" s="206">
        <f t="shared" si="14"/>
        <v>0</v>
      </c>
      <c r="BT22" s="191"/>
      <c r="BU22" s="207">
        <f t="shared" si="15"/>
        <v>0</v>
      </c>
      <c r="BV22" s="73"/>
      <c r="BW22" s="73"/>
      <c r="BX22" s="193"/>
      <c r="BY22" s="209">
        <f t="shared" si="16"/>
        <v>0</v>
      </c>
      <c r="BZ22" s="193"/>
      <c r="CA22" s="206">
        <f t="shared" si="17"/>
        <v>0</v>
      </c>
      <c r="CB22" s="191"/>
      <c r="CC22" s="207">
        <f t="shared" si="18"/>
        <v>0</v>
      </c>
      <c r="CD22" s="73"/>
      <c r="CE22" s="73"/>
      <c r="CF22" s="193"/>
      <c r="CG22" s="209">
        <f t="shared" si="19"/>
        <v>0</v>
      </c>
      <c r="CH22" s="193"/>
      <c r="CI22" s="206">
        <f t="shared" si="20"/>
        <v>0</v>
      </c>
      <c r="CJ22" s="191"/>
      <c r="CK22" s="207">
        <f t="shared" si="21"/>
        <v>0</v>
      </c>
      <c r="CL22" s="73"/>
      <c r="CM22" s="73"/>
      <c r="CN22" s="193"/>
      <c r="CO22" s="209">
        <f t="shared" si="22"/>
        <v>0</v>
      </c>
      <c r="CP22" s="193"/>
      <c r="CQ22" s="206">
        <f t="shared" si="23"/>
        <v>0</v>
      </c>
      <c r="CR22" s="191"/>
      <c r="CS22" s="207">
        <f t="shared" si="24"/>
        <v>0</v>
      </c>
      <c r="CT22" s="73"/>
      <c r="CU22" s="73"/>
      <c r="CV22" s="193"/>
      <c r="CW22" s="209">
        <f t="shared" si="25"/>
        <v>0</v>
      </c>
      <c r="CX22" s="193"/>
      <c r="CY22" s="206">
        <f t="shared" si="26"/>
        <v>0</v>
      </c>
      <c r="CZ22" s="191"/>
      <c r="DA22" s="207">
        <f t="shared" si="27"/>
        <v>0</v>
      </c>
      <c r="DB22" s="73"/>
      <c r="DC22" s="73"/>
      <c r="DD22" s="193"/>
      <c r="DE22" s="209">
        <f t="shared" si="28"/>
        <v>0</v>
      </c>
      <c r="DF22" s="193"/>
      <c r="DG22" s="206">
        <f t="shared" si="29"/>
        <v>0</v>
      </c>
      <c r="DH22" s="191"/>
      <c r="DI22" s="207">
        <f t="shared" si="30"/>
        <v>0</v>
      </c>
    </row>
    <row r="23" spans="1:113">
      <c r="A23" s="57">
        <v>20</v>
      </c>
      <c r="B23" s="111"/>
      <c r="C23" s="61"/>
      <c r="D23" s="62"/>
      <c r="E23" s="62"/>
      <c r="F23" s="128"/>
      <c r="G23" s="135"/>
      <c r="H23" s="63"/>
      <c r="I23" s="136"/>
      <c r="J23" s="169"/>
      <c r="K23" s="64"/>
      <c r="L23" s="65"/>
      <c r="M23" s="64"/>
      <c r="N23" s="141"/>
      <c r="O23" s="147"/>
      <c r="P23" s="66"/>
      <c r="Q23" s="66"/>
      <c r="R23" s="148"/>
      <c r="S23" s="182"/>
      <c r="T23" s="183"/>
      <c r="U23" s="155"/>
      <c r="V23" s="173">
        <f t="shared" si="0"/>
        <v>0</v>
      </c>
      <c r="W23" s="67"/>
      <c r="X23" s="67"/>
      <c r="Y23" s="67"/>
      <c r="Z23" s="156"/>
      <c r="AA23" s="84"/>
      <c r="AB23" s="85"/>
      <c r="AC23" s="86"/>
      <c r="AD23" s="68"/>
      <c r="AE23" s="70"/>
      <c r="AF23" s="70"/>
      <c r="AG23" s="69"/>
      <c r="AH23" s="189"/>
      <c r="AI23" s="190"/>
      <c r="AJ23" s="191"/>
      <c r="AK23" s="206">
        <f t="shared" si="1"/>
        <v>0</v>
      </c>
      <c r="AL23" s="191"/>
      <c r="AM23" s="206">
        <f t="shared" si="2"/>
        <v>0</v>
      </c>
      <c r="AN23" s="191"/>
      <c r="AO23" s="207">
        <f t="shared" si="3"/>
        <v>0</v>
      </c>
      <c r="AP23" s="72"/>
      <c r="AQ23" s="72"/>
      <c r="AR23" s="192"/>
      <c r="AS23" s="208">
        <f t="shared" si="4"/>
        <v>0</v>
      </c>
      <c r="AT23" s="193"/>
      <c r="AU23" s="206">
        <f t="shared" si="5"/>
        <v>0</v>
      </c>
      <c r="AV23" s="191"/>
      <c r="AW23" s="207">
        <f t="shared" si="6"/>
        <v>0</v>
      </c>
      <c r="AX23" s="73"/>
      <c r="AY23" s="73"/>
      <c r="AZ23" s="193"/>
      <c r="BA23" s="209">
        <f t="shared" si="7"/>
        <v>0</v>
      </c>
      <c r="BB23" s="193"/>
      <c r="BC23" s="206">
        <f t="shared" si="8"/>
        <v>0</v>
      </c>
      <c r="BD23" s="191"/>
      <c r="BE23" s="207">
        <f t="shared" si="9"/>
        <v>0</v>
      </c>
      <c r="BF23" s="73"/>
      <c r="BG23" s="73"/>
      <c r="BH23" s="193"/>
      <c r="BI23" s="209">
        <f t="shared" si="10"/>
        <v>0</v>
      </c>
      <c r="BJ23" s="193"/>
      <c r="BK23" s="206">
        <f t="shared" si="11"/>
        <v>0</v>
      </c>
      <c r="BL23" s="191"/>
      <c r="BM23" s="207">
        <f t="shared" si="12"/>
        <v>0</v>
      </c>
      <c r="BN23" s="73"/>
      <c r="BO23" s="73"/>
      <c r="BP23" s="193"/>
      <c r="BQ23" s="209">
        <f t="shared" si="13"/>
        <v>0</v>
      </c>
      <c r="BR23" s="193"/>
      <c r="BS23" s="206">
        <f t="shared" si="14"/>
        <v>0</v>
      </c>
      <c r="BT23" s="191"/>
      <c r="BU23" s="207">
        <f t="shared" si="15"/>
        <v>0</v>
      </c>
      <c r="BV23" s="73"/>
      <c r="BW23" s="73"/>
      <c r="BX23" s="193"/>
      <c r="BY23" s="209">
        <f t="shared" si="16"/>
        <v>0</v>
      </c>
      <c r="BZ23" s="193"/>
      <c r="CA23" s="206">
        <f t="shared" si="17"/>
        <v>0</v>
      </c>
      <c r="CB23" s="191"/>
      <c r="CC23" s="207">
        <f t="shared" si="18"/>
        <v>0</v>
      </c>
      <c r="CD23" s="73"/>
      <c r="CE23" s="73"/>
      <c r="CF23" s="193"/>
      <c r="CG23" s="209">
        <f t="shared" si="19"/>
        <v>0</v>
      </c>
      <c r="CH23" s="193"/>
      <c r="CI23" s="206">
        <f t="shared" si="20"/>
        <v>0</v>
      </c>
      <c r="CJ23" s="191"/>
      <c r="CK23" s="207">
        <f t="shared" si="21"/>
        <v>0</v>
      </c>
      <c r="CL23" s="73"/>
      <c r="CM23" s="73"/>
      <c r="CN23" s="193"/>
      <c r="CO23" s="209">
        <f t="shared" si="22"/>
        <v>0</v>
      </c>
      <c r="CP23" s="193"/>
      <c r="CQ23" s="206">
        <f t="shared" si="23"/>
        <v>0</v>
      </c>
      <c r="CR23" s="191"/>
      <c r="CS23" s="207">
        <f t="shared" si="24"/>
        <v>0</v>
      </c>
      <c r="CT23" s="73"/>
      <c r="CU23" s="73"/>
      <c r="CV23" s="193"/>
      <c r="CW23" s="209">
        <f t="shared" si="25"/>
        <v>0</v>
      </c>
      <c r="CX23" s="193"/>
      <c r="CY23" s="206">
        <f t="shared" si="26"/>
        <v>0</v>
      </c>
      <c r="CZ23" s="191"/>
      <c r="DA23" s="207">
        <f t="shared" si="27"/>
        <v>0</v>
      </c>
      <c r="DB23" s="73"/>
      <c r="DC23" s="73"/>
      <c r="DD23" s="193"/>
      <c r="DE23" s="209">
        <f t="shared" si="28"/>
        <v>0</v>
      </c>
      <c r="DF23" s="193"/>
      <c r="DG23" s="206">
        <f t="shared" si="29"/>
        <v>0</v>
      </c>
      <c r="DH23" s="191"/>
      <c r="DI23" s="207">
        <f t="shared" si="30"/>
        <v>0</v>
      </c>
    </row>
    <row r="24" spans="1:113">
      <c r="A24" s="57">
        <v>21</v>
      </c>
      <c r="B24" s="111"/>
      <c r="C24" s="61"/>
      <c r="D24" s="62"/>
      <c r="E24" s="62"/>
      <c r="F24" s="128"/>
      <c r="G24" s="135"/>
      <c r="H24" s="63"/>
      <c r="I24" s="136"/>
      <c r="J24" s="169"/>
      <c r="K24" s="64"/>
      <c r="L24" s="65"/>
      <c r="M24" s="64"/>
      <c r="N24" s="141"/>
      <c r="O24" s="147"/>
      <c r="P24" s="66"/>
      <c r="Q24" s="66"/>
      <c r="R24" s="148"/>
      <c r="S24" s="182"/>
      <c r="T24" s="183"/>
      <c r="U24" s="155"/>
      <c r="V24" s="173">
        <f t="shared" si="0"/>
        <v>0</v>
      </c>
      <c r="W24" s="67"/>
      <c r="X24" s="67"/>
      <c r="Y24" s="67"/>
      <c r="Z24" s="156"/>
      <c r="AA24" s="84"/>
      <c r="AB24" s="85"/>
      <c r="AC24" s="86"/>
      <c r="AD24" s="68"/>
      <c r="AE24" s="70"/>
      <c r="AF24" s="70"/>
      <c r="AG24" s="69"/>
      <c r="AH24" s="189"/>
      <c r="AI24" s="190"/>
      <c r="AJ24" s="191"/>
      <c r="AK24" s="206">
        <f t="shared" si="1"/>
        <v>0</v>
      </c>
      <c r="AL24" s="191"/>
      <c r="AM24" s="206">
        <f t="shared" si="2"/>
        <v>0</v>
      </c>
      <c r="AN24" s="191"/>
      <c r="AO24" s="207">
        <f t="shared" si="3"/>
        <v>0</v>
      </c>
      <c r="AP24" s="72"/>
      <c r="AQ24" s="72"/>
      <c r="AR24" s="192"/>
      <c r="AS24" s="208">
        <f t="shared" si="4"/>
        <v>0</v>
      </c>
      <c r="AT24" s="193"/>
      <c r="AU24" s="206">
        <f t="shared" si="5"/>
        <v>0</v>
      </c>
      <c r="AV24" s="191"/>
      <c r="AW24" s="207">
        <f t="shared" si="6"/>
        <v>0</v>
      </c>
      <c r="AX24" s="73"/>
      <c r="AY24" s="73"/>
      <c r="AZ24" s="193"/>
      <c r="BA24" s="209">
        <f t="shared" si="7"/>
        <v>0</v>
      </c>
      <c r="BB24" s="193"/>
      <c r="BC24" s="206">
        <f t="shared" si="8"/>
        <v>0</v>
      </c>
      <c r="BD24" s="191"/>
      <c r="BE24" s="207">
        <f t="shared" si="9"/>
        <v>0</v>
      </c>
      <c r="BF24" s="73"/>
      <c r="BG24" s="73"/>
      <c r="BH24" s="193"/>
      <c r="BI24" s="209">
        <f t="shared" si="10"/>
        <v>0</v>
      </c>
      <c r="BJ24" s="193"/>
      <c r="BK24" s="206">
        <f t="shared" si="11"/>
        <v>0</v>
      </c>
      <c r="BL24" s="191"/>
      <c r="BM24" s="207">
        <f t="shared" si="12"/>
        <v>0</v>
      </c>
      <c r="BN24" s="73"/>
      <c r="BO24" s="73"/>
      <c r="BP24" s="193"/>
      <c r="BQ24" s="209">
        <f t="shared" si="13"/>
        <v>0</v>
      </c>
      <c r="BR24" s="193"/>
      <c r="BS24" s="206">
        <f t="shared" si="14"/>
        <v>0</v>
      </c>
      <c r="BT24" s="191"/>
      <c r="BU24" s="207">
        <f t="shared" si="15"/>
        <v>0</v>
      </c>
      <c r="BV24" s="73"/>
      <c r="BW24" s="73"/>
      <c r="BX24" s="193"/>
      <c r="BY24" s="209">
        <f t="shared" si="16"/>
        <v>0</v>
      </c>
      <c r="BZ24" s="193"/>
      <c r="CA24" s="206">
        <f t="shared" si="17"/>
        <v>0</v>
      </c>
      <c r="CB24" s="191"/>
      <c r="CC24" s="207">
        <f t="shared" si="18"/>
        <v>0</v>
      </c>
      <c r="CD24" s="73"/>
      <c r="CE24" s="73"/>
      <c r="CF24" s="193"/>
      <c r="CG24" s="209">
        <f t="shared" si="19"/>
        <v>0</v>
      </c>
      <c r="CH24" s="193"/>
      <c r="CI24" s="206">
        <f t="shared" si="20"/>
        <v>0</v>
      </c>
      <c r="CJ24" s="191"/>
      <c r="CK24" s="207">
        <f t="shared" si="21"/>
        <v>0</v>
      </c>
      <c r="CL24" s="73"/>
      <c r="CM24" s="73"/>
      <c r="CN24" s="193"/>
      <c r="CO24" s="209">
        <f t="shared" si="22"/>
        <v>0</v>
      </c>
      <c r="CP24" s="193"/>
      <c r="CQ24" s="206">
        <f t="shared" si="23"/>
        <v>0</v>
      </c>
      <c r="CR24" s="191"/>
      <c r="CS24" s="207">
        <f t="shared" si="24"/>
        <v>0</v>
      </c>
      <c r="CT24" s="73"/>
      <c r="CU24" s="73"/>
      <c r="CV24" s="193"/>
      <c r="CW24" s="209">
        <f t="shared" si="25"/>
        <v>0</v>
      </c>
      <c r="CX24" s="193"/>
      <c r="CY24" s="206">
        <f t="shared" si="26"/>
        <v>0</v>
      </c>
      <c r="CZ24" s="191"/>
      <c r="DA24" s="207">
        <f t="shared" si="27"/>
        <v>0</v>
      </c>
      <c r="DB24" s="73"/>
      <c r="DC24" s="73"/>
      <c r="DD24" s="193"/>
      <c r="DE24" s="209">
        <f t="shared" si="28"/>
        <v>0</v>
      </c>
      <c r="DF24" s="193"/>
      <c r="DG24" s="206">
        <f t="shared" si="29"/>
        <v>0</v>
      </c>
      <c r="DH24" s="191"/>
      <c r="DI24" s="207">
        <f t="shared" si="30"/>
        <v>0</v>
      </c>
    </row>
    <row r="25" spans="1:113">
      <c r="A25" s="57">
        <v>22</v>
      </c>
      <c r="B25" s="111"/>
      <c r="C25" s="61"/>
      <c r="D25" s="62"/>
      <c r="E25" s="62"/>
      <c r="F25" s="128"/>
      <c r="G25" s="135"/>
      <c r="H25" s="63"/>
      <c r="I25" s="136"/>
      <c r="J25" s="169"/>
      <c r="K25" s="64"/>
      <c r="L25" s="65"/>
      <c r="M25" s="64"/>
      <c r="N25" s="141"/>
      <c r="O25" s="147"/>
      <c r="P25" s="66"/>
      <c r="Q25" s="66"/>
      <c r="R25" s="148"/>
      <c r="S25" s="182"/>
      <c r="T25" s="183"/>
      <c r="U25" s="155"/>
      <c r="V25" s="173">
        <f t="shared" si="0"/>
        <v>0</v>
      </c>
      <c r="W25" s="67"/>
      <c r="X25" s="67"/>
      <c r="Y25" s="67"/>
      <c r="Z25" s="156"/>
      <c r="AA25" s="84"/>
      <c r="AB25" s="85"/>
      <c r="AC25" s="86"/>
      <c r="AD25" s="68"/>
      <c r="AE25" s="70"/>
      <c r="AF25" s="70"/>
      <c r="AG25" s="69"/>
      <c r="AH25" s="189"/>
      <c r="AI25" s="190"/>
      <c r="AJ25" s="191"/>
      <c r="AK25" s="206">
        <f t="shared" si="1"/>
        <v>0</v>
      </c>
      <c r="AL25" s="191"/>
      <c r="AM25" s="206">
        <f t="shared" si="2"/>
        <v>0</v>
      </c>
      <c r="AN25" s="191"/>
      <c r="AO25" s="207">
        <f t="shared" si="3"/>
        <v>0</v>
      </c>
      <c r="AP25" s="72"/>
      <c r="AQ25" s="72"/>
      <c r="AR25" s="192"/>
      <c r="AS25" s="208">
        <f t="shared" si="4"/>
        <v>0</v>
      </c>
      <c r="AT25" s="193"/>
      <c r="AU25" s="206">
        <f t="shared" si="5"/>
        <v>0</v>
      </c>
      <c r="AV25" s="191"/>
      <c r="AW25" s="207">
        <f t="shared" si="6"/>
        <v>0</v>
      </c>
      <c r="AX25" s="73"/>
      <c r="AY25" s="73"/>
      <c r="AZ25" s="193"/>
      <c r="BA25" s="209">
        <f t="shared" si="7"/>
        <v>0</v>
      </c>
      <c r="BB25" s="193"/>
      <c r="BC25" s="206">
        <f t="shared" si="8"/>
        <v>0</v>
      </c>
      <c r="BD25" s="191"/>
      <c r="BE25" s="207">
        <f t="shared" si="9"/>
        <v>0</v>
      </c>
      <c r="BF25" s="73"/>
      <c r="BG25" s="73"/>
      <c r="BH25" s="193"/>
      <c r="BI25" s="209">
        <f t="shared" si="10"/>
        <v>0</v>
      </c>
      <c r="BJ25" s="193"/>
      <c r="BK25" s="206">
        <f t="shared" si="11"/>
        <v>0</v>
      </c>
      <c r="BL25" s="191"/>
      <c r="BM25" s="207">
        <f t="shared" si="12"/>
        <v>0</v>
      </c>
      <c r="BN25" s="73"/>
      <c r="BO25" s="73"/>
      <c r="BP25" s="193"/>
      <c r="BQ25" s="209">
        <f t="shared" si="13"/>
        <v>0</v>
      </c>
      <c r="BR25" s="193"/>
      <c r="BS25" s="206">
        <f t="shared" si="14"/>
        <v>0</v>
      </c>
      <c r="BT25" s="191"/>
      <c r="BU25" s="207">
        <f t="shared" si="15"/>
        <v>0</v>
      </c>
      <c r="BV25" s="73"/>
      <c r="BW25" s="73"/>
      <c r="BX25" s="193"/>
      <c r="BY25" s="209">
        <f t="shared" si="16"/>
        <v>0</v>
      </c>
      <c r="BZ25" s="193"/>
      <c r="CA25" s="206">
        <f t="shared" si="17"/>
        <v>0</v>
      </c>
      <c r="CB25" s="191"/>
      <c r="CC25" s="207">
        <f t="shared" si="18"/>
        <v>0</v>
      </c>
      <c r="CD25" s="73"/>
      <c r="CE25" s="73"/>
      <c r="CF25" s="193"/>
      <c r="CG25" s="209">
        <f t="shared" si="19"/>
        <v>0</v>
      </c>
      <c r="CH25" s="193"/>
      <c r="CI25" s="206">
        <f t="shared" si="20"/>
        <v>0</v>
      </c>
      <c r="CJ25" s="191"/>
      <c r="CK25" s="207">
        <f t="shared" si="21"/>
        <v>0</v>
      </c>
      <c r="CL25" s="73"/>
      <c r="CM25" s="73"/>
      <c r="CN25" s="193"/>
      <c r="CO25" s="209">
        <f t="shared" si="22"/>
        <v>0</v>
      </c>
      <c r="CP25" s="193"/>
      <c r="CQ25" s="206">
        <f t="shared" si="23"/>
        <v>0</v>
      </c>
      <c r="CR25" s="191"/>
      <c r="CS25" s="207">
        <f t="shared" si="24"/>
        <v>0</v>
      </c>
      <c r="CT25" s="73"/>
      <c r="CU25" s="73"/>
      <c r="CV25" s="193"/>
      <c r="CW25" s="209">
        <f t="shared" si="25"/>
        <v>0</v>
      </c>
      <c r="CX25" s="193"/>
      <c r="CY25" s="206">
        <f t="shared" si="26"/>
        <v>0</v>
      </c>
      <c r="CZ25" s="191"/>
      <c r="DA25" s="207">
        <f t="shared" si="27"/>
        <v>0</v>
      </c>
      <c r="DB25" s="73"/>
      <c r="DC25" s="73"/>
      <c r="DD25" s="193"/>
      <c r="DE25" s="209">
        <f t="shared" si="28"/>
        <v>0</v>
      </c>
      <c r="DF25" s="193"/>
      <c r="DG25" s="206">
        <f t="shared" si="29"/>
        <v>0</v>
      </c>
      <c r="DH25" s="191"/>
      <c r="DI25" s="207">
        <f t="shared" si="30"/>
        <v>0</v>
      </c>
    </row>
    <row r="26" spans="1:113">
      <c r="A26" s="57">
        <v>23</v>
      </c>
      <c r="B26" s="111"/>
      <c r="C26" s="61"/>
      <c r="D26" s="62"/>
      <c r="E26" s="62"/>
      <c r="F26" s="128"/>
      <c r="G26" s="135"/>
      <c r="H26" s="63"/>
      <c r="I26" s="136"/>
      <c r="J26" s="169"/>
      <c r="K26" s="64"/>
      <c r="L26" s="65"/>
      <c r="M26" s="64"/>
      <c r="N26" s="141"/>
      <c r="O26" s="147"/>
      <c r="P26" s="66"/>
      <c r="Q26" s="66"/>
      <c r="R26" s="148"/>
      <c r="S26" s="182"/>
      <c r="T26" s="183"/>
      <c r="U26" s="155"/>
      <c r="V26" s="173">
        <f t="shared" si="0"/>
        <v>0</v>
      </c>
      <c r="W26" s="67"/>
      <c r="X26" s="67"/>
      <c r="Y26" s="67"/>
      <c r="Z26" s="156"/>
      <c r="AA26" s="84"/>
      <c r="AB26" s="85"/>
      <c r="AC26" s="86"/>
      <c r="AD26" s="68"/>
      <c r="AE26" s="70"/>
      <c r="AF26" s="70"/>
      <c r="AG26" s="69"/>
      <c r="AH26" s="189"/>
      <c r="AI26" s="190"/>
      <c r="AJ26" s="191"/>
      <c r="AK26" s="206">
        <f t="shared" si="1"/>
        <v>0</v>
      </c>
      <c r="AL26" s="191"/>
      <c r="AM26" s="206">
        <f t="shared" si="2"/>
        <v>0</v>
      </c>
      <c r="AN26" s="191"/>
      <c r="AO26" s="207">
        <f t="shared" si="3"/>
        <v>0</v>
      </c>
      <c r="AP26" s="72"/>
      <c r="AQ26" s="72"/>
      <c r="AR26" s="192"/>
      <c r="AS26" s="208">
        <f t="shared" si="4"/>
        <v>0</v>
      </c>
      <c r="AT26" s="193"/>
      <c r="AU26" s="206">
        <f t="shared" si="5"/>
        <v>0</v>
      </c>
      <c r="AV26" s="191"/>
      <c r="AW26" s="207">
        <f t="shared" si="6"/>
        <v>0</v>
      </c>
      <c r="AX26" s="73"/>
      <c r="AY26" s="73"/>
      <c r="AZ26" s="193"/>
      <c r="BA26" s="209">
        <f t="shared" si="7"/>
        <v>0</v>
      </c>
      <c r="BB26" s="193"/>
      <c r="BC26" s="206">
        <f t="shared" si="8"/>
        <v>0</v>
      </c>
      <c r="BD26" s="191"/>
      <c r="BE26" s="207">
        <f t="shared" si="9"/>
        <v>0</v>
      </c>
      <c r="BF26" s="73"/>
      <c r="BG26" s="73"/>
      <c r="BH26" s="193"/>
      <c r="BI26" s="209">
        <f t="shared" si="10"/>
        <v>0</v>
      </c>
      <c r="BJ26" s="193"/>
      <c r="BK26" s="206">
        <f t="shared" si="11"/>
        <v>0</v>
      </c>
      <c r="BL26" s="191"/>
      <c r="BM26" s="207">
        <f t="shared" si="12"/>
        <v>0</v>
      </c>
      <c r="BN26" s="73"/>
      <c r="BO26" s="73"/>
      <c r="BP26" s="193"/>
      <c r="BQ26" s="209">
        <f t="shared" si="13"/>
        <v>0</v>
      </c>
      <c r="BR26" s="193"/>
      <c r="BS26" s="206">
        <f t="shared" si="14"/>
        <v>0</v>
      </c>
      <c r="BT26" s="191"/>
      <c r="BU26" s="207">
        <f t="shared" si="15"/>
        <v>0</v>
      </c>
      <c r="BV26" s="73"/>
      <c r="BW26" s="73"/>
      <c r="BX26" s="193"/>
      <c r="BY26" s="209">
        <f t="shared" si="16"/>
        <v>0</v>
      </c>
      <c r="BZ26" s="193"/>
      <c r="CA26" s="206">
        <f t="shared" si="17"/>
        <v>0</v>
      </c>
      <c r="CB26" s="191"/>
      <c r="CC26" s="207">
        <f t="shared" si="18"/>
        <v>0</v>
      </c>
      <c r="CD26" s="73"/>
      <c r="CE26" s="73"/>
      <c r="CF26" s="193"/>
      <c r="CG26" s="209">
        <f t="shared" si="19"/>
        <v>0</v>
      </c>
      <c r="CH26" s="193"/>
      <c r="CI26" s="206">
        <f t="shared" si="20"/>
        <v>0</v>
      </c>
      <c r="CJ26" s="191"/>
      <c r="CK26" s="207">
        <f t="shared" si="21"/>
        <v>0</v>
      </c>
      <c r="CL26" s="73"/>
      <c r="CM26" s="73"/>
      <c r="CN26" s="193"/>
      <c r="CO26" s="209">
        <f t="shared" si="22"/>
        <v>0</v>
      </c>
      <c r="CP26" s="193"/>
      <c r="CQ26" s="206">
        <f t="shared" si="23"/>
        <v>0</v>
      </c>
      <c r="CR26" s="191"/>
      <c r="CS26" s="207">
        <f t="shared" si="24"/>
        <v>0</v>
      </c>
      <c r="CT26" s="73"/>
      <c r="CU26" s="73"/>
      <c r="CV26" s="193"/>
      <c r="CW26" s="209">
        <f t="shared" si="25"/>
        <v>0</v>
      </c>
      <c r="CX26" s="193"/>
      <c r="CY26" s="206">
        <f t="shared" si="26"/>
        <v>0</v>
      </c>
      <c r="CZ26" s="191"/>
      <c r="DA26" s="207">
        <f t="shared" si="27"/>
        <v>0</v>
      </c>
      <c r="DB26" s="73"/>
      <c r="DC26" s="73"/>
      <c r="DD26" s="193"/>
      <c r="DE26" s="209">
        <f t="shared" si="28"/>
        <v>0</v>
      </c>
      <c r="DF26" s="193"/>
      <c r="DG26" s="206">
        <f t="shared" si="29"/>
        <v>0</v>
      </c>
      <c r="DH26" s="191"/>
      <c r="DI26" s="207">
        <f t="shared" si="30"/>
        <v>0</v>
      </c>
    </row>
    <row r="27" spans="1:113">
      <c r="A27" s="57">
        <v>24</v>
      </c>
      <c r="B27" s="111"/>
      <c r="C27" s="61"/>
      <c r="D27" s="62"/>
      <c r="E27" s="62"/>
      <c r="F27" s="128"/>
      <c r="G27" s="135"/>
      <c r="H27" s="63"/>
      <c r="I27" s="136"/>
      <c r="J27" s="169"/>
      <c r="K27" s="64"/>
      <c r="L27" s="65"/>
      <c r="M27" s="64"/>
      <c r="N27" s="141"/>
      <c r="O27" s="147"/>
      <c r="P27" s="66"/>
      <c r="Q27" s="66"/>
      <c r="R27" s="148"/>
      <c r="S27" s="182"/>
      <c r="T27" s="183"/>
      <c r="U27" s="155"/>
      <c r="V27" s="173">
        <f t="shared" si="0"/>
        <v>0</v>
      </c>
      <c r="W27" s="67"/>
      <c r="X27" s="67"/>
      <c r="Y27" s="67"/>
      <c r="Z27" s="156"/>
      <c r="AA27" s="84"/>
      <c r="AB27" s="85"/>
      <c r="AC27" s="86"/>
      <c r="AD27" s="68"/>
      <c r="AE27" s="70"/>
      <c r="AF27" s="70"/>
      <c r="AG27" s="69"/>
      <c r="AH27" s="189"/>
      <c r="AI27" s="190"/>
      <c r="AJ27" s="191"/>
      <c r="AK27" s="206">
        <f t="shared" si="1"/>
        <v>0</v>
      </c>
      <c r="AL27" s="191"/>
      <c r="AM27" s="206">
        <f t="shared" si="2"/>
        <v>0</v>
      </c>
      <c r="AN27" s="191"/>
      <c r="AO27" s="207">
        <f t="shared" si="3"/>
        <v>0</v>
      </c>
      <c r="AP27" s="72"/>
      <c r="AQ27" s="72"/>
      <c r="AR27" s="192"/>
      <c r="AS27" s="208">
        <f t="shared" si="4"/>
        <v>0</v>
      </c>
      <c r="AT27" s="193"/>
      <c r="AU27" s="206">
        <f t="shared" si="5"/>
        <v>0</v>
      </c>
      <c r="AV27" s="191"/>
      <c r="AW27" s="207">
        <f t="shared" si="6"/>
        <v>0</v>
      </c>
      <c r="AX27" s="73"/>
      <c r="AY27" s="73"/>
      <c r="AZ27" s="193"/>
      <c r="BA27" s="209">
        <f t="shared" si="7"/>
        <v>0</v>
      </c>
      <c r="BB27" s="193"/>
      <c r="BC27" s="206">
        <f t="shared" si="8"/>
        <v>0</v>
      </c>
      <c r="BD27" s="191"/>
      <c r="BE27" s="207">
        <f t="shared" si="9"/>
        <v>0</v>
      </c>
      <c r="BF27" s="73"/>
      <c r="BG27" s="73"/>
      <c r="BH27" s="193"/>
      <c r="BI27" s="209">
        <f t="shared" si="10"/>
        <v>0</v>
      </c>
      <c r="BJ27" s="193"/>
      <c r="BK27" s="206">
        <f t="shared" si="11"/>
        <v>0</v>
      </c>
      <c r="BL27" s="191"/>
      <c r="BM27" s="207">
        <f t="shared" si="12"/>
        <v>0</v>
      </c>
      <c r="BN27" s="73"/>
      <c r="BO27" s="73"/>
      <c r="BP27" s="193"/>
      <c r="BQ27" s="209">
        <f t="shared" si="13"/>
        <v>0</v>
      </c>
      <c r="BR27" s="193"/>
      <c r="BS27" s="206">
        <f t="shared" si="14"/>
        <v>0</v>
      </c>
      <c r="BT27" s="191"/>
      <c r="BU27" s="207">
        <f t="shared" si="15"/>
        <v>0</v>
      </c>
      <c r="BV27" s="73"/>
      <c r="BW27" s="73"/>
      <c r="BX27" s="193"/>
      <c r="BY27" s="209">
        <f t="shared" si="16"/>
        <v>0</v>
      </c>
      <c r="BZ27" s="193"/>
      <c r="CA27" s="206">
        <f t="shared" si="17"/>
        <v>0</v>
      </c>
      <c r="CB27" s="191"/>
      <c r="CC27" s="207">
        <f t="shared" si="18"/>
        <v>0</v>
      </c>
      <c r="CD27" s="73"/>
      <c r="CE27" s="73"/>
      <c r="CF27" s="193"/>
      <c r="CG27" s="209">
        <f t="shared" si="19"/>
        <v>0</v>
      </c>
      <c r="CH27" s="193"/>
      <c r="CI27" s="206">
        <f t="shared" si="20"/>
        <v>0</v>
      </c>
      <c r="CJ27" s="191"/>
      <c r="CK27" s="207">
        <f t="shared" si="21"/>
        <v>0</v>
      </c>
      <c r="CL27" s="73"/>
      <c r="CM27" s="73"/>
      <c r="CN27" s="193"/>
      <c r="CO27" s="209">
        <f t="shared" si="22"/>
        <v>0</v>
      </c>
      <c r="CP27" s="193"/>
      <c r="CQ27" s="206">
        <f t="shared" si="23"/>
        <v>0</v>
      </c>
      <c r="CR27" s="191"/>
      <c r="CS27" s="207">
        <f t="shared" si="24"/>
        <v>0</v>
      </c>
      <c r="CT27" s="73"/>
      <c r="CU27" s="73"/>
      <c r="CV27" s="193"/>
      <c r="CW27" s="209">
        <f t="shared" si="25"/>
        <v>0</v>
      </c>
      <c r="CX27" s="193"/>
      <c r="CY27" s="206">
        <f t="shared" si="26"/>
        <v>0</v>
      </c>
      <c r="CZ27" s="191"/>
      <c r="DA27" s="207">
        <f t="shared" si="27"/>
        <v>0</v>
      </c>
      <c r="DB27" s="73"/>
      <c r="DC27" s="73"/>
      <c r="DD27" s="193"/>
      <c r="DE27" s="209">
        <f t="shared" si="28"/>
        <v>0</v>
      </c>
      <c r="DF27" s="193"/>
      <c r="DG27" s="206">
        <f t="shared" si="29"/>
        <v>0</v>
      </c>
      <c r="DH27" s="191"/>
      <c r="DI27" s="207">
        <f t="shared" si="30"/>
        <v>0</v>
      </c>
    </row>
    <row r="28" spans="1:113">
      <c r="A28" s="57">
        <v>25</v>
      </c>
      <c r="B28" s="111"/>
      <c r="C28" s="61"/>
      <c r="D28" s="62"/>
      <c r="E28" s="62"/>
      <c r="F28" s="128"/>
      <c r="G28" s="135"/>
      <c r="H28" s="63"/>
      <c r="I28" s="136"/>
      <c r="J28" s="169"/>
      <c r="K28" s="64"/>
      <c r="L28" s="65"/>
      <c r="M28" s="64"/>
      <c r="N28" s="141"/>
      <c r="O28" s="147"/>
      <c r="P28" s="66"/>
      <c r="Q28" s="66"/>
      <c r="R28" s="148"/>
      <c r="S28" s="182"/>
      <c r="T28" s="183"/>
      <c r="U28" s="155"/>
      <c r="V28" s="173">
        <f t="shared" si="0"/>
        <v>0</v>
      </c>
      <c r="W28" s="67"/>
      <c r="X28" s="67"/>
      <c r="Y28" s="67"/>
      <c r="Z28" s="156"/>
      <c r="AA28" s="84"/>
      <c r="AB28" s="85"/>
      <c r="AC28" s="86"/>
      <c r="AD28" s="68"/>
      <c r="AE28" s="70"/>
      <c r="AF28" s="70"/>
      <c r="AG28" s="69"/>
      <c r="AH28" s="189"/>
      <c r="AI28" s="190"/>
      <c r="AJ28" s="191"/>
      <c r="AK28" s="206">
        <f t="shared" si="1"/>
        <v>0</v>
      </c>
      <c r="AL28" s="191"/>
      <c r="AM28" s="206">
        <f t="shared" si="2"/>
        <v>0</v>
      </c>
      <c r="AN28" s="191"/>
      <c r="AO28" s="207">
        <f t="shared" si="3"/>
        <v>0</v>
      </c>
      <c r="AP28" s="72"/>
      <c r="AQ28" s="72"/>
      <c r="AR28" s="192"/>
      <c r="AS28" s="208">
        <f t="shared" si="4"/>
        <v>0</v>
      </c>
      <c r="AT28" s="193"/>
      <c r="AU28" s="206">
        <f t="shared" si="5"/>
        <v>0</v>
      </c>
      <c r="AV28" s="191"/>
      <c r="AW28" s="207">
        <f t="shared" si="6"/>
        <v>0</v>
      </c>
      <c r="AX28" s="73"/>
      <c r="AY28" s="73"/>
      <c r="AZ28" s="193"/>
      <c r="BA28" s="209">
        <f t="shared" si="7"/>
        <v>0</v>
      </c>
      <c r="BB28" s="193"/>
      <c r="BC28" s="206">
        <f t="shared" si="8"/>
        <v>0</v>
      </c>
      <c r="BD28" s="191"/>
      <c r="BE28" s="207">
        <f t="shared" si="9"/>
        <v>0</v>
      </c>
      <c r="BF28" s="73"/>
      <c r="BG28" s="73"/>
      <c r="BH28" s="193"/>
      <c r="BI28" s="209">
        <f t="shared" si="10"/>
        <v>0</v>
      </c>
      <c r="BJ28" s="193"/>
      <c r="BK28" s="206">
        <f t="shared" si="11"/>
        <v>0</v>
      </c>
      <c r="BL28" s="191"/>
      <c r="BM28" s="207">
        <f t="shared" si="12"/>
        <v>0</v>
      </c>
      <c r="BN28" s="73"/>
      <c r="BO28" s="73"/>
      <c r="BP28" s="193"/>
      <c r="BQ28" s="209">
        <f t="shared" si="13"/>
        <v>0</v>
      </c>
      <c r="BR28" s="193"/>
      <c r="BS28" s="206">
        <f t="shared" si="14"/>
        <v>0</v>
      </c>
      <c r="BT28" s="191"/>
      <c r="BU28" s="207">
        <f t="shared" si="15"/>
        <v>0</v>
      </c>
      <c r="BV28" s="73"/>
      <c r="BW28" s="73"/>
      <c r="BX28" s="193"/>
      <c r="BY28" s="209">
        <f t="shared" si="16"/>
        <v>0</v>
      </c>
      <c r="BZ28" s="193"/>
      <c r="CA28" s="206">
        <f t="shared" si="17"/>
        <v>0</v>
      </c>
      <c r="CB28" s="191"/>
      <c r="CC28" s="207">
        <f t="shared" si="18"/>
        <v>0</v>
      </c>
      <c r="CD28" s="73"/>
      <c r="CE28" s="73"/>
      <c r="CF28" s="193"/>
      <c r="CG28" s="209">
        <f t="shared" si="19"/>
        <v>0</v>
      </c>
      <c r="CH28" s="193"/>
      <c r="CI28" s="206">
        <f t="shared" si="20"/>
        <v>0</v>
      </c>
      <c r="CJ28" s="191"/>
      <c r="CK28" s="207">
        <f t="shared" si="21"/>
        <v>0</v>
      </c>
      <c r="CL28" s="73"/>
      <c r="CM28" s="73"/>
      <c r="CN28" s="193"/>
      <c r="CO28" s="209">
        <f t="shared" si="22"/>
        <v>0</v>
      </c>
      <c r="CP28" s="193"/>
      <c r="CQ28" s="206">
        <f t="shared" si="23"/>
        <v>0</v>
      </c>
      <c r="CR28" s="191"/>
      <c r="CS28" s="207">
        <f t="shared" si="24"/>
        <v>0</v>
      </c>
      <c r="CT28" s="73"/>
      <c r="CU28" s="73"/>
      <c r="CV28" s="193"/>
      <c r="CW28" s="209">
        <f t="shared" si="25"/>
        <v>0</v>
      </c>
      <c r="CX28" s="193"/>
      <c r="CY28" s="206">
        <f t="shared" si="26"/>
        <v>0</v>
      </c>
      <c r="CZ28" s="191"/>
      <c r="DA28" s="207">
        <f t="shared" si="27"/>
        <v>0</v>
      </c>
      <c r="DB28" s="73"/>
      <c r="DC28" s="73"/>
      <c r="DD28" s="193"/>
      <c r="DE28" s="209">
        <f t="shared" si="28"/>
        <v>0</v>
      </c>
      <c r="DF28" s="193"/>
      <c r="DG28" s="206">
        <f t="shared" si="29"/>
        <v>0</v>
      </c>
      <c r="DH28" s="191"/>
      <c r="DI28" s="207">
        <f t="shared" si="30"/>
        <v>0</v>
      </c>
    </row>
    <row r="29" spans="1:113">
      <c r="A29" s="57">
        <v>26</v>
      </c>
      <c r="B29" s="111"/>
      <c r="C29" s="61"/>
      <c r="D29" s="62"/>
      <c r="E29" s="62"/>
      <c r="F29" s="128"/>
      <c r="G29" s="135"/>
      <c r="H29" s="63"/>
      <c r="I29" s="136"/>
      <c r="J29" s="169"/>
      <c r="K29" s="64"/>
      <c r="L29" s="65"/>
      <c r="M29" s="64"/>
      <c r="N29" s="141"/>
      <c r="O29" s="147"/>
      <c r="P29" s="66"/>
      <c r="Q29" s="66"/>
      <c r="R29" s="148"/>
      <c r="S29" s="182"/>
      <c r="T29" s="183"/>
      <c r="U29" s="155"/>
      <c r="V29" s="173">
        <f t="shared" si="0"/>
        <v>0</v>
      </c>
      <c r="W29" s="67"/>
      <c r="X29" s="67"/>
      <c r="Y29" s="67"/>
      <c r="Z29" s="156"/>
      <c r="AA29" s="84"/>
      <c r="AB29" s="85"/>
      <c r="AC29" s="86"/>
      <c r="AD29" s="68"/>
      <c r="AE29" s="70"/>
      <c r="AF29" s="70"/>
      <c r="AG29" s="69"/>
      <c r="AH29" s="189"/>
      <c r="AI29" s="190"/>
      <c r="AJ29" s="191"/>
      <c r="AK29" s="206">
        <f t="shared" si="1"/>
        <v>0</v>
      </c>
      <c r="AL29" s="191"/>
      <c r="AM29" s="206">
        <f t="shared" si="2"/>
        <v>0</v>
      </c>
      <c r="AN29" s="191"/>
      <c r="AO29" s="207">
        <f t="shared" si="3"/>
        <v>0</v>
      </c>
      <c r="AP29" s="72"/>
      <c r="AQ29" s="72"/>
      <c r="AR29" s="192"/>
      <c r="AS29" s="208">
        <f t="shared" si="4"/>
        <v>0</v>
      </c>
      <c r="AT29" s="193"/>
      <c r="AU29" s="206">
        <f t="shared" si="5"/>
        <v>0</v>
      </c>
      <c r="AV29" s="191"/>
      <c r="AW29" s="207">
        <f t="shared" si="6"/>
        <v>0</v>
      </c>
      <c r="AX29" s="73"/>
      <c r="AY29" s="73"/>
      <c r="AZ29" s="193"/>
      <c r="BA29" s="209">
        <f t="shared" si="7"/>
        <v>0</v>
      </c>
      <c r="BB29" s="193"/>
      <c r="BC29" s="206">
        <f t="shared" si="8"/>
        <v>0</v>
      </c>
      <c r="BD29" s="191"/>
      <c r="BE29" s="207">
        <f t="shared" si="9"/>
        <v>0</v>
      </c>
      <c r="BF29" s="73"/>
      <c r="BG29" s="73"/>
      <c r="BH29" s="193"/>
      <c r="BI29" s="209">
        <f t="shared" si="10"/>
        <v>0</v>
      </c>
      <c r="BJ29" s="193"/>
      <c r="BK29" s="206">
        <f t="shared" si="11"/>
        <v>0</v>
      </c>
      <c r="BL29" s="191"/>
      <c r="BM29" s="207">
        <f t="shared" si="12"/>
        <v>0</v>
      </c>
      <c r="BN29" s="73"/>
      <c r="BO29" s="73"/>
      <c r="BP29" s="193"/>
      <c r="BQ29" s="209">
        <f t="shared" si="13"/>
        <v>0</v>
      </c>
      <c r="BR29" s="193"/>
      <c r="BS29" s="206">
        <f t="shared" si="14"/>
        <v>0</v>
      </c>
      <c r="BT29" s="191"/>
      <c r="BU29" s="207">
        <f t="shared" si="15"/>
        <v>0</v>
      </c>
      <c r="BV29" s="73"/>
      <c r="BW29" s="73"/>
      <c r="BX29" s="193"/>
      <c r="BY29" s="209">
        <f t="shared" si="16"/>
        <v>0</v>
      </c>
      <c r="BZ29" s="193"/>
      <c r="CA29" s="206">
        <f t="shared" si="17"/>
        <v>0</v>
      </c>
      <c r="CB29" s="191"/>
      <c r="CC29" s="207">
        <f t="shared" si="18"/>
        <v>0</v>
      </c>
      <c r="CD29" s="73"/>
      <c r="CE29" s="73"/>
      <c r="CF29" s="193"/>
      <c r="CG29" s="209">
        <f t="shared" si="19"/>
        <v>0</v>
      </c>
      <c r="CH29" s="193"/>
      <c r="CI29" s="206">
        <f t="shared" si="20"/>
        <v>0</v>
      </c>
      <c r="CJ29" s="191"/>
      <c r="CK29" s="207">
        <f t="shared" si="21"/>
        <v>0</v>
      </c>
      <c r="CL29" s="73"/>
      <c r="CM29" s="73"/>
      <c r="CN29" s="193"/>
      <c r="CO29" s="209">
        <f t="shared" si="22"/>
        <v>0</v>
      </c>
      <c r="CP29" s="193"/>
      <c r="CQ29" s="206">
        <f t="shared" si="23"/>
        <v>0</v>
      </c>
      <c r="CR29" s="191"/>
      <c r="CS29" s="207">
        <f t="shared" si="24"/>
        <v>0</v>
      </c>
      <c r="CT29" s="73"/>
      <c r="CU29" s="73"/>
      <c r="CV29" s="193"/>
      <c r="CW29" s="209">
        <f t="shared" si="25"/>
        <v>0</v>
      </c>
      <c r="CX29" s="193"/>
      <c r="CY29" s="206">
        <f t="shared" si="26"/>
        <v>0</v>
      </c>
      <c r="CZ29" s="191"/>
      <c r="DA29" s="207">
        <f t="shared" si="27"/>
        <v>0</v>
      </c>
      <c r="DB29" s="73"/>
      <c r="DC29" s="73"/>
      <c r="DD29" s="193"/>
      <c r="DE29" s="209">
        <f t="shared" si="28"/>
        <v>0</v>
      </c>
      <c r="DF29" s="193"/>
      <c r="DG29" s="206">
        <f t="shared" si="29"/>
        <v>0</v>
      </c>
      <c r="DH29" s="191"/>
      <c r="DI29" s="207">
        <f t="shared" si="30"/>
        <v>0</v>
      </c>
    </row>
    <row r="30" spans="1:113">
      <c r="A30" s="57">
        <v>27</v>
      </c>
      <c r="B30" s="111"/>
      <c r="C30" s="61"/>
      <c r="D30" s="62"/>
      <c r="E30" s="62"/>
      <c r="F30" s="128"/>
      <c r="G30" s="135"/>
      <c r="H30" s="63"/>
      <c r="I30" s="136"/>
      <c r="J30" s="169"/>
      <c r="K30" s="64"/>
      <c r="L30" s="65"/>
      <c r="M30" s="64"/>
      <c r="N30" s="141"/>
      <c r="O30" s="147"/>
      <c r="P30" s="66"/>
      <c r="Q30" s="66"/>
      <c r="R30" s="148"/>
      <c r="S30" s="182"/>
      <c r="T30" s="183"/>
      <c r="U30" s="155"/>
      <c r="V30" s="173">
        <f t="shared" si="0"/>
        <v>0</v>
      </c>
      <c r="W30" s="67"/>
      <c r="X30" s="67"/>
      <c r="Y30" s="67"/>
      <c r="Z30" s="156"/>
      <c r="AA30" s="84"/>
      <c r="AB30" s="85"/>
      <c r="AC30" s="86"/>
      <c r="AD30" s="68"/>
      <c r="AE30" s="70"/>
      <c r="AF30" s="70"/>
      <c r="AG30" s="69"/>
      <c r="AH30" s="189"/>
      <c r="AI30" s="190"/>
      <c r="AJ30" s="191"/>
      <c r="AK30" s="206">
        <f t="shared" si="1"/>
        <v>0</v>
      </c>
      <c r="AL30" s="191"/>
      <c r="AM30" s="206">
        <f t="shared" si="2"/>
        <v>0</v>
      </c>
      <c r="AN30" s="191"/>
      <c r="AO30" s="207">
        <f t="shared" si="3"/>
        <v>0</v>
      </c>
      <c r="AP30" s="72"/>
      <c r="AQ30" s="72"/>
      <c r="AR30" s="192"/>
      <c r="AS30" s="208">
        <f t="shared" si="4"/>
        <v>0</v>
      </c>
      <c r="AT30" s="193"/>
      <c r="AU30" s="206">
        <f t="shared" si="5"/>
        <v>0</v>
      </c>
      <c r="AV30" s="191"/>
      <c r="AW30" s="207">
        <f t="shared" si="6"/>
        <v>0</v>
      </c>
      <c r="AX30" s="73"/>
      <c r="AY30" s="73"/>
      <c r="AZ30" s="193"/>
      <c r="BA30" s="209">
        <f t="shared" si="7"/>
        <v>0</v>
      </c>
      <c r="BB30" s="193"/>
      <c r="BC30" s="206">
        <f t="shared" si="8"/>
        <v>0</v>
      </c>
      <c r="BD30" s="191"/>
      <c r="BE30" s="207">
        <f t="shared" si="9"/>
        <v>0</v>
      </c>
      <c r="BF30" s="73"/>
      <c r="BG30" s="73"/>
      <c r="BH30" s="193"/>
      <c r="BI30" s="209">
        <f t="shared" si="10"/>
        <v>0</v>
      </c>
      <c r="BJ30" s="193"/>
      <c r="BK30" s="206">
        <f t="shared" si="11"/>
        <v>0</v>
      </c>
      <c r="BL30" s="191"/>
      <c r="BM30" s="207">
        <f t="shared" si="12"/>
        <v>0</v>
      </c>
      <c r="BN30" s="73"/>
      <c r="BO30" s="73"/>
      <c r="BP30" s="193"/>
      <c r="BQ30" s="209">
        <f t="shared" si="13"/>
        <v>0</v>
      </c>
      <c r="BR30" s="193"/>
      <c r="BS30" s="206">
        <f t="shared" si="14"/>
        <v>0</v>
      </c>
      <c r="BT30" s="191"/>
      <c r="BU30" s="207">
        <f t="shared" si="15"/>
        <v>0</v>
      </c>
      <c r="BV30" s="73"/>
      <c r="BW30" s="73"/>
      <c r="BX30" s="193"/>
      <c r="BY30" s="209">
        <f t="shared" si="16"/>
        <v>0</v>
      </c>
      <c r="BZ30" s="193"/>
      <c r="CA30" s="206">
        <f t="shared" si="17"/>
        <v>0</v>
      </c>
      <c r="CB30" s="191"/>
      <c r="CC30" s="207">
        <f t="shared" si="18"/>
        <v>0</v>
      </c>
      <c r="CD30" s="73"/>
      <c r="CE30" s="73"/>
      <c r="CF30" s="193"/>
      <c r="CG30" s="209">
        <f t="shared" si="19"/>
        <v>0</v>
      </c>
      <c r="CH30" s="193"/>
      <c r="CI30" s="206">
        <f t="shared" si="20"/>
        <v>0</v>
      </c>
      <c r="CJ30" s="191"/>
      <c r="CK30" s="207">
        <f t="shared" si="21"/>
        <v>0</v>
      </c>
      <c r="CL30" s="73"/>
      <c r="CM30" s="73"/>
      <c r="CN30" s="193"/>
      <c r="CO30" s="209">
        <f t="shared" si="22"/>
        <v>0</v>
      </c>
      <c r="CP30" s="193"/>
      <c r="CQ30" s="206">
        <f t="shared" si="23"/>
        <v>0</v>
      </c>
      <c r="CR30" s="191"/>
      <c r="CS30" s="207">
        <f t="shared" si="24"/>
        <v>0</v>
      </c>
      <c r="CT30" s="73"/>
      <c r="CU30" s="73"/>
      <c r="CV30" s="193"/>
      <c r="CW30" s="209">
        <f t="shared" si="25"/>
        <v>0</v>
      </c>
      <c r="CX30" s="193"/>
      <c r="CY30" s="206">
        <f t="shared" si="26"/>
        <v>0</v>
      </c>
      <c r="CZ30" s="191"/>
      <c r="DA30" s="207">
        <f t="shared" si="27"/>
        <v>0</v>
      </c>
      <c r="DB30" s="73"/>
      <c r="DC30" s="73"/>
      <c r="DD30" s="193"/>
      <c r="DE30" s="209">
        <f t="shared" si="28"/>
        <v>0</v>
      </c>
      <c r="DF30" s="193"/>
      <c r="DG30" s="206">
        <f t="shared" si="29"/>
        <v>0</v>
      </c>
      <c r="DH30" s="191"/>
      <c r="DI30" s="207">
        <f t="shared" si="30"/>
        <v>0</v>
      </c>
    </row>
    <row r="31" spans="1:113">
      <c r="A31" s="57">
        <v>28</v>
      </c>
      <c r="B31" s="111"/>
      <c r="C31" s="61"/>
      <c r="D31" s="62"/>
      <c r="E31" s="62"/>
      <c r="F31" s="128"/>
      <c r="G31" s="135"/>
      <c r="H31" s="63"/>
      <c r="I31" s="136"/>
      <c r="J31" s="169"/>
      <c r="K31" s="64"/>
      <c r="L31" s="65"/>
      <c r="M31" s="64"/>
      <c r="N31" s="141"/>
      <c r="O31" s="147"/>
      <c r="P31" s="66"/>
      <c r="Q31" s="66"/>
      <c r="R31" s="148"/>
      <c r="S31" s="182"/>
      <c r="T31" s="183"/>
      <c r="U31" s="155"/>
      <c r="V31" s="173">
        <f t="shared" si="0"/>
        <v>0</v>
      </c>
      <c r="W31" s="67"/>
      <c r="X31" s="67"/>
      <c r="Y31" s="67"/>
      <c r="Z31" s="156"/>
      <c r="AA31" s="84"/>
      <c r="AB31" s="85"/>
      <c r="AC31" s="86"/>
      <c r="AD31" s="68"/>
      <c r="AE31" s="70"/>
      <c r="AF31" s="70"/>
      <c r="AG31" s="69"/>
      <c r="AH31" s="189"/>
      <c r="AI31" s="190"/>
      <c r="AJ31" s="191"/>
      <c r="AK31" s="206">
        <f t="shared" si="1"/>
        <v>0</v>
      </c>
      <c r="AL31" s="191"/>
      <c r="AM31" s="206">
        <f t="shared" si="2"/>
        <v>0</v>
      </c>
      <c r="AN31" s="191"/>
      <c r="AO31" s="207">
        <f t="shared" si="3"/>
        <v>0</v>
      </c>
      <c r="AP31" s="72"/>
      <c r="AQ31" s="72"/>
      <c r="AR31" s="192"/>
      <c r="AS31" s="208">
        <f t="shared" si="4"/>
        <v>0</v>
      </c>
      <c r="AT31" s="193"/>
      <c r="AU31" s="206">
        <f t="shared" si="5"/>
        <v>0</v>
      </c>
      <c r="AV31" s="191"/>
      <c r="AW31" s="207">
        <f t="shared" si="6"/>
        <v>0</v>
      </c>
      <c r="AX31" s="73"/>
      <c r="AY31" s="73"/>
      <c r="AZ31" s="193"/>
      <c r="BA31" s="209">
        <f t="shared" si="7"/>
        <v>0</v>
      </c>
      <c r="BB31" s="193"/>
      <c r="BC31" s="206">
        <f t="shared" si="8"/>
        <v>0</v>
      </c>
      <c r="BD31" s="191"/>
      <c r="BE31" s="207">
        <f t="shared" si="9"/>
        <v>0</v>
      </c>
      <c r="BF31" s="73"/>
      <c r="BG31" s="73"/>
      <c r="BH31" s="193"/>
      <c r="BI31" s="209">
        <f t="shared" si="10"/>
        <v>0</v>
      </c>
      <c r="BJ31" s="193"/>
      <c r="BK31" s="206">
        <f t="shared" si="11"/>
        <v>0</v>
      </c>
      <c r="BL31" s="191"/>
      <c r="BM31" s="207">
        <f t="shared" si="12"/>
        <v>0</v>
      </c>
      <c r="BN31" s="73"/>
      <c r="BO31" s="73"/>
      <c r="BP31" s="193"/>
      <c r="BQ31" s="209">
        <f t="shared" si="13"/>
        <v>0</v>
      </c>
      <c r="BR31" s="193"/>
      <c r="BS31" s="206">
        <f t="shared" si="14"/>
        <v>0</v>
      </c>
      <c r="BT31" s="191"/>
      <c r="BU31" s="207">
        <f t="shared" si="15"/>
        <v>0</v>
      </c>
      <c r="BV31" s="73"/>
      <c r="BW31" s="73"/>
      <c r="BX31" s="193"/>
      <c r="BY31" s="209">
        <f t="shared" si="16"/>
        <v>0</v>
      </c>
      <c r="BZ31" s="193"/>
      <c r="CA31" s="206">
        <f t="shared" si="17"/>
        <v>0</v>
      </c>
      <c r="CB31" s="191"/>
      <c r="CC31" s="207">
        <f t="shared" si="18"/>
        <v>0</v>
      </c>
      <c r="CD31" s="73"/>
      <c r="CE31" s="73"/>
      <c r="CF31" s="193"/>
      <c r="CG31" s="209">
        <f t="shared" si="19"/>
        <v>0</v>
      </c>
      <c r="CH31" s="193"/>
      <c r="CI31" s="206">
        <f t="shared" si="20"/>
        <v>0</v>
      </c>
      <c r="CJ31" s="191"/>
      <c r="CK31" s="207">
        <f t="shared" si="21"/>
        <v>0</v>
      </c>
      <c r="CL31" s="73"/>
      <c r="CM31" s="73"/>
      <c r="CN31" s="193"/>
      <c r="CO31" s="209">
        <f t="shared" si="22"/>
        <v>0</v>
      </c>
      <c r="CP31" s="193"/>
      <c r="CQ31" s="206">
        <f t="shared" si="23"/>
        <v>0</v>
      </c>
      <c r="CR31" s="191"/>
      <c r="CS31" s="207">
        <f t="shared" si="24"/>
        <v>0</v>
      </c>
      <c r="CT31" s="73"/>
      <c r="CU31" s="73"/>
      <c r="CV31" s="193"/>
      <c r="CW31" s="209">
        <f t="shared" si="25"/>
        <v>0</v>
      </c>
      <c r="CX31" s="193"/>
      <c r="CY31" s="206">
        <f t="shared" si="26"/>
        <v>0</v>
      </c>
      <c r="CZ31" s="191"/>
      <c r="DA31" s="207">
        <f t="shared" si="27"/>
        <v>0</v>
      </c>
      <c r="DB31" s="73"/>
      <c r="DC31" s="73"/>
      <c r="DD31" s="193"/>
      <c r="DE31" s="209">
        <f t="shared" si="28"/>
        <v>0</v>
      </c>
      <c r="DF31" s="193"/>
      <c r="DG31" s="206">
        <f t="shared" si="29"/>
        <v>0</v>
      </c>
      <c r="DH31" s="191"/>
      <c r="DI31" s="207">
        <f t="shared" si="30"/>
        <v>0</v>
      </c>
    </row>
    <row r="32" spans="1:113">
      <c r="A32" s="57">
        <v>29</v>
      </c>
      <c r="B32" s="111"/>
      <c r="C32" s="61"/>
      <c r="D32" s="62"/>
      <c r="E32" s="62"/>
      <c r="F32" s="128"/>
      <c r="G32" s="135"/>
      <c r="H32" s="63"/>
      <c r="I32" s="136"/>
      <c r="J32" s="169"/>
      <c r="K32" s="64"/>
      <c r="L32" s="65"/>
      <c r="M32" s="64"/>
      <c r="N32" s="141"/>
      <c r="O32" s="147"/>
      <c r="P32" s="66"/>
      <c r="Q32" s="66"/>
      <c r="R32" s="148"/>
      <c r="S32" s="182"/>
      <c r="T32" s="183"/>
      <c r="U32" s="155"/>
      <c r="V32" s="173">
        <f t="shared" si="0"/>
        <v>0</v>
      </c>
      <c r="W32" s="67"/>
      <c r="X32" s="67"/>
      <c r="Y32" s="67"/>
      <c r="Z32" s="156"/>
      <c r="AA32" s="84"/>
      <c r="AB32" s="85"/>
      <c r="AC32" s="86"/>
      <c r="AD32" s="68"/>
      <c r="AE32" s="70"/>
      <c r="AF32" s="70"/>
      <c r="AG32" s="69"/>
      <c r="AH32" s="189"/>
      <c r="AI32" s="190"/>
      <c r="AJ32" s="191"/>
      <c r="AK32" s="206">
        <f t="shared" si="1"/>
        <v>0</v>
      </c>
      <c r="AL32" s="191"/>
      <c r="AM32" s="206">
        <f t="shared" si="2"/>
        <v>0</v>
      </c>
      <c r="AN32" s="191"/>
      <c r="AO32" s="207">
        <f t="shared" si="3"/>
        <v>0</v>
      </c>
      <c r="AP32" s="72"/>
      <c r="AQ32" s="72"/>
      <c r="AR32" s="192"/>
      <c r="AS32" s="208">
        <f t="shared" si="4"/>
        <v>0</v>
      </c>
      <c r="AT32" s="193"/>
      <c r="AU32" s="206">
        <f t="shared" si="5"/>
        <v>0</v>
      </c>
      <c r="AV32" s="191"/>
      <c r="AW32" s="207">
        <f t="shared" si="6"/>
        <v>0</v>
      </c>
      <c r="AX32" s="73"/>
      <c r="AY32" s="73"/>
      <c r="AZ32" s="193"/>
      <c r="BA32" s="209">
        <f t="shared" si="7"/>
        <v>0</v>
      </c>
      <c r="BB32" s="193"/>
      <c r="BC32" s="206">
        <f t="shared" si="8"/>
        <v>0</v>
      </c>
      <c r="BD32" s="191"/>
      <c r="BE32" s="207">
        <f t="shared" si="9"/>
        <v>0</v>
      </c>
      <c r="BF32" s="73"/>
      <c r="BG32" s="73"/>
      <c r="BH32" s="193"/>
      <c r="BI32" s="209">
        <f t="shared" si="10"/>
        <v>0</v>
      </c>
      <c r="BJ32" s="193"/>
      <c r="BK32" s="206">
        <f t="shared" si="11"/>
        <v>0</v>
      </c>
      <c r="BL32" s="191"/>
      <c r="BM32" s="207">
        <f t="shared" si="12"/>
        <v>0</v>
      </c>
      <c r="BN32" s="73"/>
      <c r="BO32" s="73"/>
      <c r="BP32" s="193"/>
      <c r="BQ32" s="209">
        <f t="shared" si="13"/>
        <v>0</v>
      </c>
      <c r="BR32" s="193"/>
      <c r="BS32" s="206">
        <f t="shared" si="14"/>
        <v>0</v>
      </c>
      <c r="BT32" s="191"/>
      <c r="BU32" s="207">
        <f t="shared" si="15"/>
        <v>0</v>
      </c>
      <c r="BV32" s="73"/>
      <c r="BW32" s="73"/>
      <c r="BX32" s="193"/>
      <c r="BY32" s="209">
        <f t="shared" si="16"/>
        <v>0</v>
      </c>
      <c r="BZ32" s="193"/>
      <c r="CA32" s="206">
        <f t="shared" si="17"/>
        <v>0</v>
      </c>
      <c r="CB32" s="191"/>
      <c r="CC32" s="207">
        <f t="shared" si="18"/>
        <v>0</v>
      </c>
      <c r="CD32" s="73"/>
      <c r="CE32" s="73"/>
      <c r="CF32" s="193"/>
      <c r="CG32" s="209">
        <f t="shared" si="19"/>
        <v>0</v>
      </c>
      <c r="CH32" s="193"/>
      <c r="CI32" s="206">
        <f t="shared" si="20"/>
        <v>0</v>
      </c>
      <c r="CJ32" s="191"/>
      <c r="CK32" s="207">
        <f t="shared" si="21"/>
        <v>0</v>
      </c>
      <c r="CL32" s="73"/>
      <c r="CM32" s="73"/>
      <c r="CN32" s="193"/>
      <c r="CO32" s="209">
        <f t="shared" si="22"/>
        <v>0</v>
      </c>
      <c r="CP32" s="193"/>
      <c r="CQ32" s="206">
        <f t="shared" si="23"/>
        <v>0</v>
      </c>
      <c r="CR32" s="191"/>
      <c r="CS32" s="207">
        <f t="shared" si="24"/>
        <v>0</v>
      </c>
      <c r="CT32" s="73"/>
      <c r="CU32" s="73"/>
      <c r="CV32" s="193"/>
      <c r="CW32" s="209">
        <f t="shared" si="25"/>
        <v>0</v>
      </c>
      <c r="CX32" s="193"/>
      <c r="CY32" s="206">
        <f t="shared" si="26"/>
        <v>0</v>
      </c>
      <c r="CZ32" s="191"/>
      <c r="DA32" s="207">
        <f t="shared" si="27"/>
        <v>0</v>
      </c>
      <c r="DB32" s="73"/>
      <c r="DC32" s="73"/>
      <c r="DD32" s="193"/>
      <c r="DE32" s="209">
        <f t="shared" si="28"/>
        <v>0</v>
      </c>
      <c r="DF32" s="193"/>
      <c r="DG32" s="206">
        <f t="shared" si="29"/>
        <v>0</v>
      </c>
      <c r="DH32" s="191"/>
      <c r="DI32" s="207">
        <f t="shared" si="30"/>
        <v>0</v>
      </c>
    </row>
    <row r="33" spans="1:113">
      <c r="A33" s="57">
        <v>30</v>
      </c>
      <c r="B33" s="111"/>
      <c r="C33" s="61"/>
      <c r="D33" s="62"/>
      <c r="E33" s="62"/>
      <c r="F33" s="128"/>
      <c r="G33" s="135"/>
      <c r="H33" s="63"/>
      <c r="I33" s="136"/>
      <c r="J33" s="169"/>
      <c r="K33" s="64"/>
      <c r="L33" s="65"/>
      <c r="M33" s="64"/>
      <c r="N33" s="141"/>
      <c r="O33" s="147"/>
      <c r="P33" s="66"/>
      <c r="Q33" s="66"/>
      <c r="R33" s="148"/>
      <c r="S33" s="182"/>
      <c r="T33" s="183"/>
      <c r="U33" s="155"/>
      <c r="V33" s="173">
        <f t="shared" si="0"/>
        <v>0</v>
      </c>
      <c r="W33" s="67"/>
      <c r="X33" s="67"/>
      <c r="Y33" s="67"/>
      <c r="Z33" s="156"/>
      <c r="AA33" s="84"/>
      <c r="AB33" s="85"/>
      <c r="AC33" s="86"/>
      <c r="AD33" s="68"/>
      <c r="AE33" s="70"/>
      <c r="AF33" s="70"/>
      <c r="AG33" s="69"/>
      <c r="AH33" s="189"/>
      <c r="AI33" s="190"/>
      <c r="AJ33" s="191"/>
      <c r="AK33" s="206">
        <f t="shared" si="1"/>
        <v>0</v>
      </c>
      <c r="AL33" s="191"/>
      <c r="AM33" s="206">
        <f t="shared" si="2"/>
        <v>0</v>
      </c>
      <c r="AN33" s="191"/>
      <c r="AO33" s="207">
        <f t="shared" si="3"/>
        <v>0</v>
      </c>
      <c r="AP33" s="72"/>
      <c r="AQ33" s="72"/>
      <c r="AR33" s="192"/>
      <c r="AS33" s="208">
        <f t="shared" si="4"/>
        <v>0</v>
      </c>
      <c r="AT33" s="193"/>
      <c r="AU33" s="206">
        <f t="shared" si="5"/>
        <v>0</v>
      </c>
      <c r="AV33" s="191"/>
      <c r="AW33" s="207">
        <f t="shared" si="6"/>
        <v>0</v>
      </c>
      <c r="AX33" s="73"/>
      <c r="AY33" s="73"/>
      <c r="AZ33" s="193"/>
      <c r="BA33" s="209">
        <f t="shared" si="7"/>
        <v>0</v>
      </c>
      <c r="BB33" s="193"/>
      <c r="BC33" s="206">
        <f t="shared" si="8"/>
        <v>0</v>
      </c>
      <c r="BD33" s="191"/>
      <c r="BE33" s="207">
        <f t="shared" si="9"/>
        <v>0</v>
      </c>
      <c r="BF33" s="73"/>
      <c r="BG33" s="73"/>
      <c r="BH33" s="193"/>
      <c r="BI33" s="209">
        <f t="shared" si="10"/>
        <v>0</v>
      </c>
      <c r="BJ33" s="193"/>
      <c r="BK33" s="206">
        <f t="shared" si="11"/>
        <v>0</v>
      </c>
      <c r="BL33" s="191"/>
      <c r="BM33" s="207">
        <f t="shared" si="12"/>
        <v>0</v>
      </c>
      <c r="BN33" s="73"/>
      <c r="BO33" s="73"/>
      <c r="BP33" s="193"/>
      <c r="BQ33" s="209">
        <f t="shared" si="13"/>
        <v>0</v>
      </c>
      <c r="BR33" s="193"/>
      <c r="BS33" s="206">
        <f t="shared" si="14"/>
        <v>0</v>
      </c>
      <c r="BT33" s="191"/>
      <c r="BU33" s="207">
        <f t="shared" si="15"/>
        <v>0</v>
      </c>
      <c r="BV33" s="73"/>
      <c r="BW33" s="73"/>
      <c r="BX33" s="193"/>
      <c r="BY33" s="209">
        <f t="shared" si="16"/>
        <v>0</v>
      </c>
      <c r="BZ33" s="193"/>
      <c r="CA33" s="206">
        <f t="shared" si="17"/>
        <v>0</v>
      </c>
      <c r="CB33" s="191"/>
      <c r="CC33" s="207">
        <f t="shared" si="18"/>
        <v>0</v>
      </c>
      <c r="CD33" s="73"/>
      <c r="CE33" s="73"/>
      <c r="CF33" s="193"/>
      <c r="CG33" s="209">
        <f t="shared" si="19"/>
        <v>0</v>
      </c>
      <c r="CH33" s="193"/>
      <c r="CI33" s="206">
        <f t="shared" si="20"/>
        <v>0</v>
      </c>
      <c r="CJ33" s="191"/>
      <c r="CK33" s="207">
        <f t="shared" si="21"/>
        <v>0</v>
      </c>
      <c r="CL33" s="73"/>
      <c r="CM33" s="73"/>
      <c r="CN33" s="193"/>
      <c r="CO33" s="209">
        <f t="shared" si="22"/>
        <v>0</v>
      </c>
      <c r="CP33" s="193"/>
      <c r="CQ33" s="206">
        <f t="shared" si="23"/>
        <v>0</v>
      </c>
      <c r="CR33" s="191"/>
      <c r="CS33" s="207">
        <f t="shared" si="24"/>
        <v>0</v>
      </c>
      <c r="CT33" s="73"/>
      <c r="CU33" s="73"/>
      <c r="CV33" s="193"/>
      <c r="CW33" s="209">
        <f t="shared" si="25"/>
        <v>0</v>
      </c>
      <c r="CX33" s="193"/>
      <c r="CY33" s="206">
        <f t="shared" si="26"/>
        <v>0</v>
      </c>
      <c r="CZ33" s="191"/>
      <c r="DA33" s="207">
        <f t="shared" si="27"/>
        <v>0</v>
      </c>
      <c r="DB33" s="73"/>
      <c r="DC33" s="73"/>
      <c r="DD33" s="193"/>
      <c r="DE33" s="209">
        <f t="shared" si="28"/>
        <v>0</v>
      </c>
      <c r="DF33" s="193"/>
      <c r="DG33" s="206">
        <f t="shared" si="29"/>
        <v>0</v>
      </c>
      <c r="DH33" s="191"/>
      <c r="DI33" s="207">
        <f t="shared" si="30"/>
        <v>0</v>
      </c>
    </row>
    <row r="34" spans="1:113">
      <c r="A34" s="57">
        <v>31</v>
      </c>
      <c r="B34" s="111"/>
      <c r="C34" s="61"/>
      <c r="D34" s="62"/>
      <c r="E34" s="62"/>
      <c r="F34" s="128"/>
      <c r="G34" s="135"/>
      <c r="H34" s="63"/>
      <c r="I34" s="136"/>
      <c r="J34" s="169"/>
      <c r="K34" s="64"/>
      <c r="L34" s="65"/>
      <c r="M34" s="64"/>
      <c r="N34" s="141"/>
      <c r="O34" s="147"/>
      <c r="P34" s="66"/>
      <c r="Q34" s="66"/>
      <c r="R34" s="148"/>
      <c r="S34" s="182"/>
      <c r="T34" s="183"/>
      <c r="U34" s="155"/>
      <c r="V34" s="173">
        <f t="shared" si="0"/>
        <v>0</v>
      </c>
      <c r="W34" s="67"/>
      <c r="X34" s="67"/>
      <c r="Y34" s="67"/>
      <c r="Z34" s="156"/>
      <c r="AA34" s="84"/>
      <c r="AB34" s="85"/>
      <c r="AC34" s="86"/>
      <c r="AD34" s="68"/>
      <c r="AE34" s="70"/>
      <c r="AF34" s="70"/>
      <c r="AG34" s="69"/>
      <c r="AH34" s="189"/>
      <c r="AI34" s="190"/>
      <c r="AJ34" s="191"/>
      <c r="AK34" s="206">
        <f t="shared" si="1"/>
        <v>0</v>
      </c>
      <c r="AL34" s="191"/>
      <c r="AM34" s="206">
        <f t="shared" si="2"/>
        <v>0</v>
      </c>
      <c r="AN34" s="191"/>
      <c r="AO34" s="207">
        <f t="shared" si="3"/>
        <v>0</v>
      </c>
      <c r="AP34" s="72"/>
      <c r="AQ34" s="72"/>
      <c r="AR34" s="192"/>
      <c r="AS34" s="208">
        <f t="shared" si="4"/>
        <v>0</v>
      </c>
      <c r="AT34" s="193"/>
      <c r="AU34" s="206">
        <f t="shared" si="5"/>
        <v>0</v>
      </c>
      <c r="AV34" s="191"/>
      <c r="AW34" s="207">
        <f t="shared" si="6"/>
        <v>0</v>
      </c>
      <c r="AX34" s="73"/>
      <c r="AY34" s="73"/>
      <c r="AZ34" s="193"/>
      <c r="BA34" s="209">
        <f t="shared" si="7"/>
        <v>0</v>
      </c>
      <c r="BB34" s="193"/>
      <c r="BC34" s="206">
        <f t="shared" si="8"/>
        <v>0</v>
      </c>
      <c r="BD34" s="191"/>
      <c r="BE34" s="207">
        <f t="shared" si="9"/>
        <v>0</v>
      </c>
      <c r="BF34" s="73"/>
      <c r="BG34" s="73"/>
      <c r="BH34" s="193"/>
      <c r="BI34" s="209">
        <f t="shared" si="10"/>
        <v>0</v>
      </c>
      <c r="BJ34" s="193"/>
      <c r="BK34" s="206">
        <f t="shared" si="11"/>
        <v>0</v>
      </c>
      <c r="BL34" s="191"/>
      <c r="BM34" s="207">
        <f t="shared" si="12"/>
        <v>0</v>
      </c>
      <c r="BN34" s="73"/>
      <c r="BO34" s="73"/>
      <c r="BP34" s="193"/>
      <c r="BQ34" s="209">
        <f t="shared" si="13"/>
        <v>0</v>
      </c>
      <c r="BR34" s="193"/>
      <c r="BS34" s="206">
        <f t="shared" si="14"/>
        <v>0</v>
      </c>
      <c r="BT34" s="191"/>
      <c r="BU34" s="207">
        <f t="shared" si="15"/>
        <v>0</v>
      </c>
      <c r="BV34" s="73"/>
      <c r="BW34" s="73"/>
      <c r="BX34" s="193"/>
      <c r="BY34" s="209">
        <f t="shared" si="16"/>
        <v>0</v>
      </c>
      <c r="BZ34" s="193"/>
      <c r="CA34" s="206">
        <f t="shared" si="17"/>
        <v>0</v>
      </c>
      <c r="CB34" s="191"/>
      <c r="CC34" s="207">
        <f t="shared" si="18"/>
        <v>0</v>
      </c>
      <c r="CD34" s="73"/>
      <c r="CE34" s="73"/>
      <c r="CF34" s="193"/>
      <c r="CG34" s="209">
        <f t="shared" si="19"/>
        <v>0</v>
      </c>
      <c r="CH34" s="193"/>
      <c r="CI34" s="206">
        <f t="shared" si="20"/>
        <v>0</v>
      </c>
      <c r="CJ34" s="191"/>
      <c r="CK34" s="207">
        <f t="shared" si="21"/>
        <v>0</v>
      </c>
      <c r="CL34" s="73"/>
      <c r="CM34" s="73"/>
      <c r="CN34" s="193"/>
      <c r="CO34" s="209">
        <f t="shared" si="22"/>
        <v>0</v>
      </c>
      <c r="CP34" s="193"/>
      <c r="CQ34" s="206">
        <f t="shared" si="23"/>
        <v>0</v>
      </c>
      <c r="CR34" s="191"/>
      <c r="CS34" s="207">
        <f t="shared" si="24"/>
        <v>0</v>
      </c>
      <c r="CT34" s="73"/>
      <c r="CU34" s="73"/>
      <c r="CV34" s="193"/>
      <c r="CW34" s="209">
        <f t="shared" si="25"/>
        <v>0</v>
      </c>
      <c r="CX34" s="193"/>
      <c r="CY34" s="206">
        <f t="shared" si="26"/>
        <v>0</v>
      </c>
      <c r="CZ34" s="191"/>
      <c r="DA34" s="207">
        <f t="shared" si="27"/>
        <v>0</v>
      </c>
      <c r="DB34" s="73"/>
      <c r="DC34" s="73"/>
      <c r="DD34" s="193"/>
      <c r="DE34" s="209">
        <f t="shared" si="28"/>
        <v>0</v>
      </c>
      <c r="DF34" s="193"/>
      <c r="DG34" s="206">
        <f t="shared" si="29"/>
        <v>0</v>
      </c>
      <c r="DH34" s="191"/>
      <c r="DI34" s="207">
        <f t="shared" si="30"/>
        <v>0</v>
      </c>
    </row>
    <row r="35" spans="1:113">
      <c r="A35" s="57">
        <v>32</v>
      </c>
      <c r="B35" s="111"/>
      <c r="C35" s="61"/>
      <c r="D35" s="62"/>
      <c r="E35" s="62"/>
      <c r="F35" s="128"/>
      <c r="G35" s="135"/>
      <c r="H35" s="63"/>
      <c r="I35" s="136"/>
      <c r="J35" s="169"/>
      <c r="K35" s="64"/>
      <c r="L35" s="65"/>
      <c r="M35" s="64"/>
      <c r="N35" s="141"/>
      <c r="O35" s="147"/>
      <c r="P35" s="66"/>
      <c r="Q35" s="66"/>
      <c r="R35" s="148"/>
      <c r="S35" s="182"/>
      <c r="T35" s="183"/>
      <c r="U35" s="155"/>
      <c r="V35" s="173">
        <f t="shared" si="0"/>
        <v>0</v>
      </c>
      <c r="W35" s="67"/>
      <c r="X35" s="67"/>
      <c r="Y35" s="67"/>
      <c r="Z35" s="156"/>
      <c r="AA35" s="84"/>
      <c r="AB35" s="85"/>
      <c r="AC35" s="86"/>
      <c r="AD35" s="68"/>
      <c r="AE35" s="70"/>
      <c r="AF35" s="70"/>
      <c r="AG35" s="69"/>
      <c r="AH35" s="189"/>
      <c r="AI35" s="190"/>
      <c r="AJ35" s="191"/>
      <c r="AK35" s="206">
        <f t="shared" si="1"/>
        <v>0</v>
      </c>
      <c r="AL35" s="191"/>
      <c r="AM35" s="206">
        <f t="shared" si="2"/>
        <v>0</v>
      </c>
      <c r="AN35" s="191"/>
      <c r="AO35" s="207">
        <f t="shared" si="3"/>
        <v>0</v>
      </c>
      <c r="AP35" s="72"/>
      <c r="AQ35" s="72"/>
      <c r="AR35" s="192"/>
      <c r="AS35" s="208">
        <f t="shared" si="4"/>
        <v>0</v>
      </c>
      <c r="AT35" s="193"/>
      <c r="AU35" s="206">
        <f t="shared" si="5"/>
        <v>0</v>
      </c>
      <c r="AV35" s="191"/>
      <c r="AW35" s="207">
        <f t="shared" si="6"/>
        <v>0</v>
      </c>
      <c r="AX35" s="73"/>
      <c r="AY35" s="73"/>
      <c r="AZ35" s="193"/>
      <c r="BA35" s="209">
        <f t="shared" si="7"/>
        <v>0</v>
      </c>
      <c r="BB35" s="193"/>
      <c r="BC35" s="206">
        <f t="shared" si="8"/>
        <v>0</v>
      </c>
      <c r="BD35" s="191"/>
      <c r="BE35" s="207">
        <f t="shared" si="9"/>
        <v>0</v>
      </c>
      <c r="BF35" s="73"/>
      <c r="BG35" s="73"/>
      <c r="BH35" s="193"/>
      <c r="BI35" s="209">
        <f t="shared" si="10"/>
        <v>0</v>
      </c>
      <c r="BJ35" s="193"/>
      <c r="BK35" s="206">
        <f t="shared" si="11"/>
        <v>0</v>
      </c>
      <c r="BL35" s="191"/>
      <c r="BM35" s="207">
        <f t="shared" si="12"/>
        <v>0</v>
      </c>
      <c r="BN35" s="73"/>
      <c r="BO35" s="73"/>
      <c r="BP35" s="193"/>
      <c r="BQ35" s="209">
        <f t="shared" si="13"/>
        <v>0</v>
      </c>
      <c r="BR35" s="193"/>
      <c r="BS35" s="206">
        <f t="shared" si="14"/>
        <v>0</v>
      </c>
      <c r="BT35" s="191"/>
      <c r="BU35" s="207">
        <f t="shared" si="15"/>
        <v>0</v>
      </c>
      <c r="BV35" s="73"/>
      <c r="BW35" s="73"/>
      <c r="BX35" s="193"/>
      <c r="BY35" s="209">
        <f t="shared" si="16"/>
        <v>0</v>
      </c>
      <c r="BZ35" s="193"/>
      <c r="CA35" s="206">
        <f t="shared" si="17"/>
        <v>0</v>
      </c>
      <c r="CB35" s="191"/>
      <c r="CC35" s="207">
        <f t="shared" si="18"/>
        <v>0</v>
      </c>
      <c r="CD35" s="73"/>
      <c r="CE35" s="73"/>
      <c r="CF35" s="193"/>
      <c r="CG35" s="209">
        <f t="shared" si="19"/>
        <v>0</v>
      </c>
      <c r="CH35" s="193"/>
      <c r="CI35" s="206">
        <f t="shared" si="20"/>
        <v>0</v>
      </c>
      <c r="CJ35" s="191"/>
      <c r="CK35" s="207">
        <f t="shared" si="21"/>
        <v>0</v>
      </c>
      <c r="CL35" s="73"/>
      <c r="CM35" s="73"/>
      <c r="CN35" s="193"/>
      <c r="CO35" s="209">
        <f t="shared" si="22"/>
        <v>0</v>
      </c>
      <c r="CP35" s="193"/>
      <c r="CQ35" s="206">
        <f t="shared" si="23"/>
        <v>0</v>
      </c>
      <c r="CR35" s="191"/>
      <c r="CS35" s="207">
        <f t="shared" si="24"/>
        <v>0</v>
      </c>
      <c r="CT35" s="73"/>
      <c r="CU35" s="73"/>
      <c r="CV35" s="193"/>
      <c r="CW35" s="209">
        <f t="shared" si="25"/>
        <v>0</v>
      </c>
      <c r="CX35" s="193"/>
      <c r="CY35" s="206">
        <f t="shared" si="26"/>
        <v>0</v>
      </c>
      <c r="CZ35" s="191"/>
      <c r="DA35" s="207">
        <f t="shared" si="27"/>
        <v>0</v>
      </c>
      <c r="DB35" s="73"/>
      <c r="DC35" s="73"/>
      <c r="DD35" s="193"/>
      <c r="DE35" s="209">
        <f t="shared" si="28"/>
        <v>0</v>
      </c>
      <c r="DF35" s="193"/>
      <c r="DG35" s="206">
        <f t="shared" si="29"/>
        <v>0</v>
      </c>
      <c r="DH35" s="191"/>
      <c r="DI35" s="207">
        <f t="shared" si="30"/>
        <v>0</v>
      </c>
    </row>
    <row r="36" spans="1:113">
      <c r="A36" s="57">
        <v>33</v>
      </c>
      <c r="B36" s="111"/>
      <c r="C36" s="61"/>
      <c r="D36" s="62"/>
      <c r="E36" s="62"/>
      <c r="F36" s="128"/>
      <c r="G36" s="135"/>
      <c r="H36" s="63"/>
      <c r="I36" s="136"/>
      <c r="J36" s="169"/>
      <c r="K36" s="64"/>
      <c r="L36" s="65"/>
      <c r="M36" s="64"/>
      <c r="N36" s="141"/>
      <c r="O36" s="147"/>
      <c r="P36" s="66"/>
      <c r="Q36" s="66"/>
      <c r="R36" s="148"/>
      <c r="S36" s="182"/>
      <c r="T36" s="183"/>
      <c r="U36" s="155"/>
      <c r="V36" s="173">
        <f t="shared" si="0"/>
        <v>0</v>
      </c>
      <c r="W36" s="67"/>
      <c r="X36" s="67"/>
      <c r="Y36" s="67"/>
      <c r="Z36" s="156"/>
      <c r="AA36" s="84"/>
      <c r="AB36" s="85"/>
      <c r="AC36" s="86"/>
      <c r="AD36" s="68"/>
      <c r="AE36" s="70"/>
      <c r="AF36" s="70"/>
      <c r="AG36" s="69"/>
      <c r="AH36" s="189"/>
      <c r="AI36" s="190"/>
      <c r="AJ36" s="191"/>
      <c r="AK36" s="206">
        <f t="shared" si="1"/>
        <v>0</v>
      </c>
      <c r="AL36" s="191"/>
      <c r="AM36" s="206">
        <f t="shared" si="2"/>
        <v>0</v>
      </c>
      <c r="AN36" s="191"/>
      <c r="AO36" s="207">
        <f t="shared" si="3"/>
        <v>0</v>
      </c>
      <c r="AP36" s="72"/>
      <c r="AQ36" s="72"/>
      <c r="AR36" s="192"/>
      <c r="AS36" s="208">
        <f t="shared" si="4"/>
        <v>0</v>
      </c>
      <c r="AT36" s="193"/>
      <c r="AU36" s="206">
        <f t="shared" si="5"/>
        <v>0</v>
      </c>
      <c r="AV36" s="191"/>
      <c r="AW36" s="207">
        <f t="shared" si="6"/>
        <v>0</v>
      </c>
      <c r="AX36" s="73"/>
      <c r="AY36" s="73"/>
      <c r="AZ36" s="193"/>
      <c r="BA36" s="209">
        <f t="shared" si="7"/>
        <v>0</v>
      </c>
      <c r="BB36" s="193"/>
      <c r="BC36" s="206">
        <f t="shared" si="8"/>
        <v>0</v>
      </c>
      <c r="BD36" s="191"/>
      <c r="BE36" s="207">
        <f t="shared" si="9"/>
        <v>0</v>
      </c>
      <c r="BF36" s="73"/>
      <c r="BG36" s="73"/>
      <c r="BH36" s="193"/>
      <c r="BI36" s="209">
        <f t="shared" si="10"/>
        <v>0</v>
      </c>
      <c r="BJ36" s="193"/>
      <c r="BK36" s="206">
        <f t="shared" si="11"/>
        <v>0</v>
      </c>
      <c r="BL36" s="191"/>
      <c r="BM36" s="207">
        <f t="shared" si="12"/>
        <v>0</v>
      </c>
      <c r="BN36" s="73"/>
      <c r="BO36" s="73"/>
      <c r="BP36" s="193"/>
      <c r="BQ36" s="209">
        <f t="shared" si="13"/>
        <v>0</v>
      </c>
      <c r="BR36" s="193"/>
      <c r="BS36" s="206">
        <f t="shared" si="14"/>
        <v>0</v>
      </c>
      <c r="BT36" s="191"/>
      <c r="BU36" s="207">
        <f t="shared" si="15"/>
        <v>0</v>
      </c>
      <c r="BV36" s="73"/>
      <c r="BW36" s="73"/>
      <c r="BX36" s="193"/>
      <c r="BY36" s="209">
        <f t="shared" si="16"/>
        <v>0</v>
      </c>
      <c r="BZ36" s="193"/>
      <c r="CA36" s="206">
        <f t="shared" si="17"/>
        <v>0</v>
      </c>
      <c r="CB36" s="191"/>
      <c r="CC36" s="207">
        <f t="shared" si="18"/>
        <v>0</v>
      </c>
      <c r="CD36" s="73"/>
      <c r="CE36" s="73"/>
      <c r="CF36" s="193"/>
      <c r="CG36" s="209">
        <f t="shared" si="19"/>
        <v>0</v>
      </c>
      <c r="CH36" s="193"/>
      <c r="CI36" s="206">
        <f t="shared" si="20"/>
        <v>0</v>
      </c>
      <c r="CJ36" s="191"/>
      <c r="CK36" s="207">
        <f t="shared" si="21"/>
        <v>0</v>
      </c>
      <c r="CL36" s="73"/>
      <c r="CM36" s="73"/>
      <c r="CN36" s="193"/>
      <c r="CO36" s="209">
        <f t="shared" si="22"/>
        <v>0</v>
      </c>
      <c r="CP36" s="193"/>
      <c r="CQ36" s="206">
        <f t="shared" si="23"/>
        <v>0</v>
      </c>
      <c r="CR36" s="191"/>
      <c r="CS36" s="207">
        <f t="shared" si="24"/>
        <v>0</v>
      </c>
      <c r="CT36" s="73"/>
      <c r="CU36" s="73"/>
      <c r="CV36" s="193"/>
      <c r="CW36" s="209">
        <f t="shared" si="25"/>
        <v>0</v>
      </c>
      <c r="CX36" s="193"/>
      <c r="CY36" s="206">
        <f t="shared" si="26"/>
        <v>0</v>
      </c>
      <c r="CZ36" s="191"/>
      <c r="DA36" s="207">
        <f t="shared" si="27"/>
        <v>0</v>
      </c>
      <c r="DB36" s="73"/>
      <c r="DC36" s="73"/>
      <c r="DD36" s="193"/>
      <c r="DE36" s="209">
        <f t="shared" si="28"/>
        <v>0</v>
      </c>
      <c r="DF36" s="193"/>
      <c r="DG36" s="206">
        <f t="shared" si="29"/>
        <v>0</v>
      </c>
      <c r="DH36" s="191"/>
      <c r="DI36" s="207">
        <f t="shared" si="30"/>
        <v>0</v>
      </c>
    </row>
    <row r="37" spans="1:113">
      <c r="A37" s="57">
        <v>34</v>
      </c>
      <c r="B37" s="111"/>
      <c r="C37" s="61"/>
      <c r="D37" s="62"/>
      <c r="E37" s="62"/>
      <c r="F37" s="128"/>
      <c r="G37" s="135"/>
      <c r="H37" s="63"/>
      <c r="I37" s="136"/>
      <c r="J37" s="169"/>
      <c r="K37" s="64"/>
      <c r="L37" s="65"/>
      <c r="M37" s="64"/>
      <c r="N37" s="141"/>
      <c r="O37" s="147"/>
      <c r="P37" s="66"/>
      <c r="Q37" s="66"/>
      <c r="R37" s="148"/>
      <c r="S37" s="182"/>
      <c r="T37" s="183"/>
      <c r="U37" s="155"/>
      <c r="V37" s="173">
        <f t="shared" si="0"/>
        <v>0</v>
      </c>
      <c r="W37" s="67"/>
      <c r="X37" s="67"/>
      <c r="Y37" s="67"/>
      <c r="Z37" s="156"/>
      <c r="AA37" s="84"/>
      <c r="AB37" s="85"/>
      <c r="AC37" s="86"/>
      <c r="AD37" s="68"/>
      <c r="AE37" s="70"/>
      <c r="AF37" s="70"/>
      <c r="AG37" s="69"/>
      <c r="AH37" s="189"/>
      <c r="AI37" s="190"/>
      <c r="AJ37" s="191"/>
      <c r="AK37" s="206">
        <f t="shared" si="1"/>
        <v>0</v>
      </c>
      <c r="AL37" s="191"/>
      <c r="AM37" s="206">
        <f t="shared" si="2"/>
        <v>0</v>
      </c>
      <c r="AN37" s="191"/>
      <c r="AO37" s="207">
        <f t="shared" si="3"/>
        <v>0</v>
      </c>
      <c r="AP37" s="72"/>
      <c r="AQ37" s="72"/>
      <c r="AR37" s="192"/>
      <c r="AS37" s="208">
        <f t="shared" si="4"/>
        <v>0</v>
      </c>
      <c r="AT37" s="193"/>
      <c r="AU37" s="206">
        <f t="shared" si="5"/>
        <v>0</v>
      </c>
      <c r="AV37" s="191"/>
      <c r="AW37" s="207">
        <f t="shared" si="6"/>
        <v>0</v>
      </c>
      <c r="AX37" s="73"/>
      <c r="AY37" s="73"/>
      <c r="AZ37" s="193"/>
      <c r="BA37" s="209">
        <f t="shared" si="7"/>
        <v>0</v>
      </c>
      <c r="BB37" s="193"/>
      <c r="BC37" s="206">
        <f t="shared" si="8"/>
        <v>0</v>
      </c>
      <c r="BD37" s="191"/>
      <c r="BE37" s="207">
        <f t="shared" si="9"/>
        <v>0</v>
      </c>
      <c r="BF37" s="73"/>
      <c r="BG37" s="73"/>
      <c r="BH37" s="193"/>
      <c r="BI37" s="209">
        <f t="shared" si="10"/>
        <v>0</v>
      </c>
      <c r="BJ37" s="193"/>
      <c r="BK37" s="206">
        <f t="shared" si="11"/>
        <v>0</v>
      </c>
      <c r="BL37" s="191"/>
      <c r="BM37" s="207">
        <f t="shared" si="12"/>
        <v>0</v>
      </c>
      <c r="BN37" s="73"/>
      <c r="BO37" s="73"/>
      <c r="BP37" s="193"/>
      <c r="BQ37" s="209">
        <f t="shared" si="13"/>
        <v>0</v>
      </c>
      <c r="BR37" s="193"/>
      <c r="BS37" s="206">
        <f t="shared" si="14"/>
        <v>0</v>
      </c>
      <c r="BT37" s="191"/>
      <c r="BU37" s="207">
        <f t="shared" si="15"/>
        <v>0</v>
      </c>
      <c r="BV37" s="73"/>
      <c r="BW37" s="73"/>
      <c r="BX37" s="193"/>
      <c r="BY37" s="209">
        <f t="shared" si="16"/>
        <v>0</v>
      </c>
      <c r="BZ37" s="193"/>
      <c r="CA37" s="206">
        <f t="shared" si="17"/>
        <v>0</v>
      </c>
      <c r="CB37" s="191"/>
      <c r="CC37" s="207">
        <f t="shared" si="18"/>
        <v>0</v>
      </c>
      <c r="CD37" s="73"/>
      <c r="CE37" s="73"/>
      <c r="CF37" s="193"/>
      <c r="CG37" s="209">
        <f t="shared" si="19"/>
        <v>0</v>
      </c>
      <c r="CH37" s="193"/>
      <c r="CI37" s="206">
        <f t="shared" si="20"/>
        <v>0</v>
      </c>
      <c r="CJ37" s="191"/>
      <c r="CK37" s="207">
        <f t="shared" si="21"/>
        <v>0</v>
      </c>
      <c r="CL37" s="73"/>
      <c r="CM37" s="73"/>
      <c r="CN37" s="193"/>
      <c r="CO37" s="209">
        <f t="shared" si="22"/>
        <v>0</v>
      </c>
      <c r="CP37" s="193"/>
      <c r="CQ37" s="206">
        <f t="shared" si="23"/>
        <v>0</v>
      </c>
      <c r="CR37" s="191"/>
      <c r="CS37" s="207">
        <f t="shared" si="24"/>
        <v>0</v>
      </c>
      <c r="CT37" s="73"/>
      <c r="CU37" s="73"/>
      <c r="CV37" s="193"/>
      <c r="CW37" s="209">
        <f t="shared" si="25"/>
        <v>0</v>
      </c>
      <c r="CX37" s="193"/>
      <c r="CY37" s="206">
        <f t="shared" si="26"/>
        <v>0</v>
      </c>
      <c r="CZ37" s="191"/>
      <c r="DA37" s="207">
        <f t="shared" si="27"/>
        <v>0</v>
      </c>
      <c r="DB37" s="73"/>
      <c r="DC37" s="73"/>
      <c r="DD37" s="193"/>
      <c r="DE37" s="209">
        <f t="shared" si="28"/>
        <v>0</v>
      </c>
      <c r="DF37" s="193"/>
      <c r="DG37" s="206">
        <f t="shared" si="29"/>
        <v>0</v>
      </c>
      <c r="DH37" s="191"/>
      <c r="DI37" s="207">
        <f t="shared" si="30"/>
        <v>0</v>
      </c>
    </row>
    <row r="38" spans="1:113">
      <c r="A38" s="57">
        <v>35</v>
      </c>
      <c r="B38" s="111"/>
      <c r="C38" s="61"/>
      <c r="D38" s="62"/>
      <c r="E38" s="62"/>
      <c r="F38" s="128"/>
      <c r="G38" s="135"/>
      <c r="H38" s="63"/>
      <c r="I38" s="136"/>
      <c r="J38" s="169"/>
      <c r="K38" s="64"/>
      <c r="L38" s="65"/>
      <c r="M38" s="64"/>
      <c r="N38" s="141"/>
      <c r="O38" s="147"/>
      <c r="P38" s="66"/>
      <c r="Q38" s="66"/>
      <c r="R38" s="148"/>
      <c r="S38" s="182"/>
      <c r="T38" s="183"/>
      <c r="U38" s="155"/>
      <c r="V38" s="173">
        <f t="shared" si="0"/>
        <v>0</v>
      </c>
      <c r="W38" s="67"/>
      <c r="X38" s="67"/>
      <c r="Y38" s="67"/>
      <c r="Z38" s="156"/>
      <c r="AA38" s="84"/>
      <c r="AB38" s="85"/>
      <c r="AC38" s="86"/>
      <c r="AD38" s="68"/>
      <c r="AE38" s="70"/>
      <c r="AF38" s="70"/>
      <c r="AG38" s="69"/>
      <c r="AH38" s="189"/>
      <c r="AI38" s="190"/>
      <c r="AJ38" s="191"/>
      <c r="AK38" s="206">
        <f t="shared" si="1"/>
        <v>0</v>
      </c>
      <c r="AL38" s="191"/>
      <c r="AM38" s="206">
        <f t="shared" si="2"/>
        <v>0</v>
      </c>
      <c r="AN38" s="191"/>
      <c r="AO38" s="207">
        <f t="shared" si="3"/>
        <v>0</v>
      </c>
      <c r="AP38" s="72"/>
      <c r="AQ38" s="72"/>
      <c r="AR38" s="192"/>
      <c r="AS38" s="208">
        <f t="shared" si="4"/>
        <v>0</v>
      </c>
      <c r="AT38" s="193"/>
      <c r="AU38" s="206">
        <f t="shared" si="5"/>
        <v>0</v>
      </c>
      <c r="AV38" s="191"/>
      <c r="AW38" s="207">
        <f t="shared" si="6"/>
        <v>0</v>
      </c>
      <c r="AX38" s="73"/>
      <c r="AY38" s="73"/>
      <c r="AZ38" s="193"/>
      <c r="BA38" s="209">
        <f t="shared" si="7"/>
        <v>0</v>
      </c>
      <c r="BB38" s="193"/>
      <c r="BC38" s="206">
        <f t="shared" si="8"/>
        <v>0</v>
      </c>
      <c r="BD38" s="191"/>
      <c r="BE38" s="207">
        <f t="shared" si="9"/>
        <v>0</v>
      </c>
      <c r="BF38" s="73"/>
      <c r="BG38" s="73"/>
      <c r="BH38" s="193"/>
      <c r="BI38" s="209">
        <f t="shared" si="10"/>
        <v>0</v>
      </c>
      <c r="BJ38" s="193"/>
      <c r="BK38" s="206">
        <f t="shared" si="11"/>
        <v>0</v>
      </c>
      <c r="BL38" s="191"/>
      <c r="BM38" s="207">
        <f t="shared" si="12"/>
        <v>0</v>
      </c>
      <c r="BN38" s="73"/>
      <c r="BO38" s="73"/>
      <c r="BP38" s="193"/>
      <c r="BQ38" s="209">
        <f t="shared" si="13"/>
        <v>0</v>
      </c>
      <c r="BR38" s="193"/>
      <c r="BS38" s="206">
        <f t="shared" si="14"/>
        <v>0</v>
      </c>
      <c r="BT38" s="191"/>
      <c r="BU38" s="207">
        <f t="shared" si="15"/>
        <v>0</v>
      </c>
      <c r="BV38" s="73"/>
      <c r="BW38" s="73"/>
      <c r="BX38" s="193"/>
      <c r="BY38" s="209">
        <f t="shared" si="16"/>
        <v>0</v>
      </c>
      <c r="BZ38" s="193"/>
      <c r="CA38" s="206">
        <f t="shared" si="17"/>
        <v>0</v>
      </c>
      <c r="CB38" s="191"/>
      <c r="CC38" s="207">
        <f t="shared" si="18"/>
        <v>0</v>
      </c>
      <c r="CD38" s="73"/>
      <c r="CE38" s="73"/>
      <c r="CF38" s="193"/>
      <c r="CG38" s="209">
        <f t="shared" si="19"/>
        <v>0</v>
      </c>
      <c r="CH38" s="193"/>
      <c r="CI38" s="206">
        <f t="shared" si="20"/>
        <v>0</v>
      </c>
      <c r="CJ38" s="191"/>
      <c r="CK38" s="207">
        <f t="shared" si="21"/>
        <v>0</v>
      </c>
      <c r="CL38" s="73"/>
      <c r="CM38" s="73"/>
      <c r="CN38" s="193"/>
      <c r="CO38" s="209">
        <f t="shared" si="22"/>
        <v>0</v>
      </c>
      <c r="CP38" s="193"/>
      <c r="CQ38" s="206">
        <f t="shared" si="23"/>
        <v>0</v>
      </c>
      <c r="CR38" s="191"/>
      <c r="CS38" s="207">
        <f t="shared" si="24"/>
        <v>0</v>
      </c>
      <c r="CT38" s="73"/>
      <c r="CU38" s="73"/>
      <c r="CV38" s="193"/>
      <c r="CW38" s="209">
        <f t="shared" si="25"/>
        <v>0</v>
      </c>
      <c r="CX38" s="193"/>
      <c r="CY38" s="206">
        <f t="shared" si="26"/>
        <v>0</v>
      </c>
      <c r="CZ38" s="191"/>
      <c r="DA38" s="207">
        <f t="shared" si="27"/>
        <v>0</v>
      </c>
      <c r="DB38" s="73"/>
      <c r="DC38" s="73"/>
      <c r="DD38" s="193"/>
      <c r="DE38" s="209">
        <f t="shared" si="28"/>
        <v>0</v>
      </c>
      <c r="DF38" s="193"/>
      <c r="DG38" s="206">
        <f t="shared" si="29"/>
        <v>0</v>
      </c>
      <c r="DH38" s="191"/>
      <c r="DI38" s="207">
        <f t="shared" si="30"/>
        <v>0</v>
      </c>
    </row>
    <row r="39" spans="1:113">
      <c r="A39" s="57">
        <v>36</v>
      </c>
      <c r="B39" s="111"/>
      <c r="C39" s="61"/>
      <c r="D39" s="62"/>
      <c r="E39" s="62"/>
      <c r="F39" s="128"/>
      <c r="G39" s="135"/>
      <c r="H39" s="63"/>
      <c r="I39" s="136"/>
      <c r="J39" s="169"/>
      <c r="K39" s="64"/>
      <c r="L39" s="65"/>
      <c r="M39" s="64"/>
      <c r="N39" s="141"/>
      <c r="O39" s="147"/>
      <c r="P39" s="66"/>
      <c r="Q39" s="66"/>
      <c r="R39" s="148"/>
      <c r="S39" s="182"/>
      <c r="T39" s="183"/>
      <c r="U39" s="155"/>
      <c r="V39" s="173">
        <f t="shared" si="0"/>
        <v>0</v>
      </c>
      <c r="W39" s="67"/>
      <c r="X39" s="67"/>
      <c r="Y39" s="67"/>
      <c r="Z39" s="156"/>
      <c r="AA39" s="84"/>
      <c r="AB39" s="85"/>
      <c r="AC39" s="86"/>
      <c r="AD39" s="68"/>
      <c r="AE39" s="70"/>
      <c r="AF39" s="70"/>
      <c r="AG39" s="69"/>
      <c r="AH39" s="189"/>
      <c r="AI39" s="190"/>
      <c r="AJ39" s="191"/>
      <c r="AK39" s="206">
        <f t="shared" si="1"/>
        <v>0</v>
      </c>
      <c r="AL39" s="191"/>
      <c r="AM39" s="206">
        <f t="shared" si="2"/>
        <v>0</v>
      </c>
      <c r="AN39" s="191"/>
      <c r="AO39" s="207">
        <f t="shared" si="3"/>
        <v>0</v>
      </c>
      <c r="AP39" s="72"/>
      <c r="AQ39" s="72"/>
      <c r="AR39" s="192"/>
      <c r="AS39" s="208">
        <f t="shared" si="4"/>
        <v>0</v>
      </c>
      <c r="AT39" s="193"/>
      <c r="AU39" s="206">
        <f t="shared" si="5"/>
        <v>0</v>
      </c>
      <c r="AV39" s="191"/>
      <c r="AW39" s="207">
        <f t="shared" si="6"/>
        <v>0</v>
      </c>
      <c r="AX39" s="73"/>
      <c r="AY39" s="73"/>
      <c r="AZ39" s="193"/>
      <c r="BA39" s="209">
        <f t="shared" si="7"/>
        <v>0</v>
      </c>
      <c r="BB39" s="193"/>
      <c r="BC39" s="206">
        <f t="shared" si="8"/>
        <v>0</v>
      </c>
      <c r="BD39" s="191"/>
      <c r="BE39" s="207">
        <f t="shared" si="9"/>
        <v>0</v>
      </c>
      <c r="BF39" s="73"/>
      <c r="BG39" s="73"/>
      <c r="BH39" s="193"/>
      <c r="BI39" s="209">
        <f t="shared" si="10"/>
        <v>0</v>
      </c>
      <c r="BJ39" s="193"/>
      <c r="BK39" s="206">
        <f t="shared" si="11"/>
        <v>0</v>
      </c>
      <c r="BL39" s="191"/>
      <c r="BM39" s="207">
        <f t="shared" si="12"/>
        <v>0</v>
      </c>
      <c r="BN39" s="73"/>
      <c r="BO39" s="73"/>
      <c r="BP39" s="193"/>
      <c r="BQ39" s="209">
        <f t="shared" si="13"/>
        <v>0</v>
      </c>
      <c r="BR39" s="193"/>
      <c r="BS39" s="206">
        <f t="shared" si="14"/>
        <v>0</v>
      </c>
      <c r="BT39" s="191"/>
      <c r="BU39" s="207">
        <f t="shared" si="15"/>
        <v>0</v>
      </c>
      <c r="BV39" s="73"/>
      <c r="BW39" s="73"/>
      <c r="BX39" s="193"/>
      <c r="BY39" s="209">
        <f t="shared" si="16"/>
        <v>0</v>
      </c>
      <c r="BZ39" s="193"/>
      <c r="CA39" s="206">
        <f t="shared" si="17"/>
        <v>0</v>
      </c>
      <c r="CB39" s="191"/>
      <c r="CC39" s="207">
        <f t="shared" si="18"/>
        <v>0</v>
      </c>
      <c r="CD39" s="73"/>
      <c r="CE39" s="73"/>
      <c r="CF39" s="193"/>
      <c r="CG39" s="209">
        <f t="shared" si="19"/>
        <v>0</v>
      </c>
      <c r="CH39" s="193"/>
      <c r="CI39" s="206">
        <f t="shared" si="20"/>
        <v>0</v>
      </c>
      <c r="CJ39" s="191"/>
      <c r="CK39" s="207">
        <f t="shared" si="21"/>
        <v>0</v>
      </c>
      <c r="CL39" s="73"/>
      <c r="CM39" s="73"/>
      <c r="CN39" s="193"/>
      <c r="CO39" s="209">
        <f t="shared" si="22"/>
        <v>0</v>
      </c>
      <c r="CP39" s="193"/>
      <c r="CQ39" s="206">
        <f t="shared" si="23"/>
        <v>0</v>
      </c>
      <c r="CR39" s="191"/>
      <c r="CS39" s="207">
        <f t="shared" si="24"/>
        <v>0</v>
      </c>
      <c r="CT39" s="73"/>
      <c r="CU39" s="73"/>
      <c r="CV39" s="193"/>
      <c r="CW39" s="209">
        <f t="shared" si="25"/>
        <v>0</v>
      </c>
      <c r="CX39" s="193"/>
      <c r="CY39" s="206">
        <f t="shared" si="26"/>
        <v>0</v>
      </c>
      <c r="CZ39" s="191"/>
      <c r="DA39" s="207">
        <f t="shared" si="27"/>
        <v>0</v>
      </c>
      <c r="DB39" s="73"/>
      <c r="DC39" s="73"/>
      <c r="DD39" s="193"/>
      <c r="DE39" s="209">
        <f t="shared" si="28"/>
        <v>0</v>
      </c>
      <c r="DF39" s="193"/>
      <c r="DG39" s="206">
        <f t="shared" si="29"/>
        <v>0</v>
      </c>
      <c r="DH39" s="191"/>
      <c r="DI39" s="207">
        <f t="shared" si="30"/>
        <v>0</v>
      </c>
    </row>
    <row r="40" spans="1:113">
      <c r="A40" s="57">
        <v>37</v>
      </c>
      <c r="B40" s="111"/>
      <c r="C40" s="61"/>
      <c r="D40" s="62"/>
      <c r="E40" s="62"/>
      <c r="F40" s="128"/>
      <c r="G40" s="135"/>
      <c r="H40" s="63"/>
      <c r="I40" s="136"/>
      <c r="J40" s="169"/>
      <c r="K40" s="64"/>
      <c r="L40" s="65"/>
      <c r="M40" s="64"/>
      <c r="N40" s="141"/>
      <c r="O40" s="147"/>
      <c r="P40" s="66"/>
      <c r="Q40" s="66"/>
      <c r="R40" s="148"/>
      <c r="S40" s="182"/>
      <c r="T40" s="183"/>
      <c r="U40" s="155"/>
      <c r="V40" s="173">
        <f t="shared" si="0"/>
        <v>0</v>
      </c>
      <c r="W40" s="67"/>
      <c r="X40" s="67"/>
      <c r="Y40" s="67"/>
      <c r="Z40" s="156"/>
      <c r="AA40" s="84"/>
      <c r="AB40" s="85"/>
      <c r="AC40" s="86"/>
      <c r="AD40" s="68"/>
      <c r="AE40" s="70"/>
      <c r="AF40" s="70"/>
      <c r="AG40" s="69"/>
      <c r="AH40" s="189"/>
      <c r="AI40" s="190"/>
      <c r="AJ40" s="191"/>
      <c r="AK40" s="206">
        <f t="shared" si="1"/>
        <v>0</v>
      </c>
      <c r="AL40" s="191"/>
      <c r="AM40" s="206">
        <f t="shared" si="2"/>
        <v>0</v>
      </c>
      <c r="AN40" s="191"/>
      <c r="AO40" s="207">
        <f t="shared" si="3"/>
        <v>0</v>
      </c>
      <c r="AP40" s="72"/>
      <c r="AQ40" s="72"/>
      <c r="AR40" s="192"/>
      <c r="AS40" s="208">
        <f t="shared" si="4"/>
        <v>0</v>
      </c>
      <c r="AT40" s="193"/>
      <c r="AU40" s="206">
        <f t="shared" si="5"/>
        <v>0</v>
      </c>
      <c r="AV40" s="191"/>
      <c r="AW40" s="207">
        <f t="shared" si="6"/>
        <v>0</v>
      </c>
      <c r="AX40" s="73"/>
      <c r="AY40" s="73"/>
      <c r="AZ40" s="193"/>
      <c r="BA40" s="209">
        <f t="shared" si="7"/>
        <v>0</v>
      </c>
      <c r="BB40" s="193"/>
      <c r="BC40" s="206">
        <f t="shared" si="8"/>
        <v>0</v>
      </c>
      <c r="BD40" s="191"/>
      <c r="BE40" s="207">
        <f t="shared" si="9"/>
        <v>0</v>
      </c>
      <c r="BF40" s="73"/>
      <c r="BG40" s="73"/>
      <c r="BH40" s="193"/>
      <c r="BI40" s="209">
        <f t="shared" si="10"/>
        <v>0</v>
      </c>
      <c r="BJ40" s="193"/>
      <c r="BK40" s="206">
        <f t="shared" si="11"/>
        <v>0</v>
      </c>
      <c r="BL40" s="191"/>
      <c r="BM40" s="207">
        <f t="shared" si="12"/>
        <v>0</v>
      </c>
      <c r="BN40" s="73"/>
      <c r="BO40" s="73"/>
      <c r="BP40" s="193"/>
      <c r="BQ40" s="209">
        <f t="shared" si="13"/>
        <v>0</v>
      </c>
      <c r="BR40" s="193"/>
      <c r="BS40" s="206">
        <f t="shared" si="14"/>
        <v>0</v>
      </c>
      <c r="BT40" s="191"/>
      <c r="BU40" s="207">
        <f t="shared" si="15"/>
        <v>0</v>
      </c>
      <c r="BV40" s="73"/>
      <c r="BW40" s="73"/>
      <c r="BX40" s="193"/>
      <c r="BY40" s="209">
        <f t="shared" si="16"/>
        <v>0</v>
      </c>
      <c r="BZ40" s="193"/>
      <c r="CA40" s="206">
        <f t="shared" si="17"/>
        <v>0</v>
      </c>
      <c r="CB40" s="191"/>
      <c r="CC40" s="207">
        <f t="shared" si="18"/>
        <v>0</v>
      </c>
      <c r="CD40" s="73"/>
      <c r="CE40" s="73"/>
      <c r="CF40" s="193"/>
      <c r="CG40" s="209">
        <f t="shared" si="19"/>
        <v>0</v>
      </c>
      <c r="CH40" s="193"/>
      <c r="CI40" s="206">
        <f t="shared" si="20"/>
        <v>0</v>
      </c>
      <c r="CJ40" s="191"/>
      <c r="CK40" s="207">
        <f t="shared" si="21"/>
        <v>0</v>
      </c>
      <c r="CL40" s="73"/>
      <c r="CM40" s="73"/>
      <c r="CN40" s="193"/>
      <c r="CO40" s="209">
        <f t="shared" si="22"/>
        <v>0</v>
      </c>
      <c r="CP40" s="193"/>
      <c r="CQ40" s="206">
        <f t="shared" si="23"/>
        <v>0</v>
      </c>
      <c r="CR40" s="191"/>
      <c r="CS40" s="207">
        <f t="shared" si="24"/>
        <v>0</v>
      </c>
      <c r="CT40" s="73"/>
      <c r="CU40" s="73"/>
      <c r="CV40" s="193"/>
      <c r="CW40" s="209">
        <f t="shared" si="25"/>
        <v>0</v>
      </c>
      <c r="CX40" s="193"/>
      <c r="CY40" s="206">
        <f t="shared" si="26"/>
        <v>0</v>
      </c>
      <c r="CZ40" s="191"/>
      <c r="DA40" s="207">
        <f t="shared" si="27"/>
        <v>0</v>
      </c>
      <c r="DB40" s="73"/>
      <c r="DC40" s="73"/>
      <c r="DD40" s="193"/>
      <c r="DE40" s="209">
        <f t="shared" si="28"/>
        <v>0</v>
      </c>
      <c r="DF40" s="193"/>
      <c r="DG40" s="206">
        <f t="shared" si="29"/>
        <v>0</v>
      </c>
      <c r="DH40" s="191"/>
      <c r="DI40" s="207">
        <f t="shared" si="30"/>
        <v>0</v>
      </c>
    </row>
    <row r="41" spans="1:113">
      <c r="A41" s="57">
        <v>38</v>
      </c>
      <c r="B41" s="111"/>
      <c r="C41" s="61"/>
      <c r="D41" s="62"/>
      <c r="E41" s="62"/>
      <c r="F41" s="128"/>
      <c r="G41" s="135"/>
      <c r="H41" s="63"/>
      <c r="I41" s="136"/>
      <c r="J41" s="169"/>
      <c r="K41" s="64"/>
      <c r="L41" s="65"/>
      <c r="M41" s="64"/>
      <c r="N41" s="141"/>
      <c r="O41" s="147"/>
      <c r="P41" s="66"/>
      <c r="Q41" s="66"/>
      <c r="R41" s="148"/>
      <c r="S41" s="182"/>
      <c r="T41" s="183"/>
      <c r="U41" s="155"/>
      <c r="V41" s="173">
        <f t="shared" si="0"/>
        <v>0</v>
      </c>
      <c r="W41" s="67"/>
      <c r="X41" s="67"/>
      <c r="Y41" s="67"/>
      <c r="Z41" s="156"/>
      <c r="AA41" s="84"/>
      <c r="AB41" s="85"/>
      <c r="AC41" s="86"/>
      <c r="AD41" s="68"/>
      <c r="AE41" s="70"/>
      <c r="AF41" s="70"/>
      <c r="AG41" s="69"/>
      <c r="AH41" s="189"/>
      <c r="AI41" s="190"/>
      <c r="AJ41" s="191"/>
      <c r="AK41" s="206">
        <f t="shared" si="1"/>
        <v>0</v>
      </c>
      <c r="AL41" s="191"/>
      <c r="AM41" s="206">
        <f t="shared" si="2"/>
        <v>0</v>
      </c>
      <c r="AN41" s="191"/>
      <c r="AO41" s="207">
        <f t="shared" si="3"/>
        <v>0</v>
      </c>
      <c r="AP41" s="72"/>
      <c r="AQ41" s="72"/>
      <c r="AR41" s="192"/>
      <c r="AS41" s="208">
        <f t="shared" si="4"/>
        <v>0</v>
      </c>
      <c r="AT41" s="193"/>
      <c r="AU41" s="206">
        <f t="shared" si="5"/>
        <v>0</v>
      </c>
      <c r="AV41" s="191"/>
      <c r="AW41" s="207">
        <f t="shared" si="6"/>
        <v>0</v>
      </c>
      <c r="AX41" s="73"/>
      <c r="AY41" s="73"/>
      <c r="AZ41" s="193"/>
      <c r="BA41" s="209">
        <f t="shared" si="7"/>
        <v>0</v>
      </c>
      <c r="BB41" s="193"/>
      <c r="BC41" s="206">
        <f t="shared" si="8"/>
        <v>0</v>
      </c>
      <c r="BD41" s="191"/>
      <c r="BE41" s="207">
        <f t="shared" si="9"/>
        <v>0</v>
      </c>
      <c r="BF41" s="73"/>
      <c r="BG41" s="73"/>
      <c r="BH41" s="193"/>
      <c r="BI41" s="209">
        <f t="shared" si="10"/>
        <v>0</v>
      </c>
      <c r="BJ41" s="193"/>
      <c r="BK41" s="206">
        <f t="shared" si="11"/>
        <v>0</v>
      </c>
      <c r="BL41" s="191"/>
      <c r="BM41" s="207">
        <f t="shared" si="12"/>
        <v>0</v>
      </c>
      <c r="BN41" s="73"/>
      <c r="BO41" s="73"/>
      <c r="BP41" s="193"/>
      <c r="BQ41" s="209">
        <f t="shared" si="13"/>
        <v>0</v>
      </c>
      <c r="BR41" s="193"/>
      <c r="BS41" s="206">
        <f t="shared" si="14"/>
        <v>0</v>
      </c>
      <c r="BT41" s="191"/>
      <c r="BU41" s="207">
        <f t="shared" si="15"/>
        <v>0</v>
      </c>
      <c r="BV41" s="73"/>
      <c r="BW41" s="73"/>
      <c r="BX41" s="193"/>
      <c r="BY41" s="209">
        <f t="shared" si="16"/>
        <v>0</v>
      </c>
      <c r="BZ41" s="193"/>
      <c r="CA41" s="206">
        <f t="shared" si="17"/>
        <v>0</v>
      </c>
      <c r="CB41" s="191"/>
      <c r="CC41" s="207">
        <f t="shared" si="18"/>
        <v>0</v>
      </c>
      <c r="CD41" s="73"/>
      <c r="CE41" s="73"/>
      <c r="CF41" s="193"/>
      <c r="CG41" s="209">
        <f t="shared" si="19"/>
        <v>0</v>
      </c>
      <c r="CH41" s="193"/>
      <c r="CI41" s="206">
        <f t="shared" si="20"/>
        <v>0</v>
      </c>
      <c r="CJ41" s="191"/>
      <c r="CK41" s="207">
        <f t="shared" si="21"/>
        <v>0</v>
      </c>
      <c r="CL41" s="73"/>
      <c r="CM41" s="73"/>
      <c r="CN41" s="193"/>
      <c r="CO41" s="209">
        <f t="shared" si="22"/>
        <v>0</v>
      </c>
      <c r="CP41" s="193"/>
      <c r="CQ41" s="206">
        <f t="shared" si="23"/>
        <v>0</v>
      </c>
      <c r="CR41" s="191"/>
      <c r="CS41" s="207">
        <f t="shared" si="24"/>
        <v>0</v>
      </c>
      <c r="CT41" s="73"/>
      <c r="CU41" s="73"/>
      <c r="CV41" s="193"/>
      <c r="CW41" s="209">
        <f t="shared" si="25"/>
        <v>0</v>
      </c>
      <c r="CX41" s="193"/>
      <c r="CY41" s="206">
        <f t="shared" si="26"/>
        <v>0</v>
      </c>
      <c r="CZ41" s="191"/>
      <c r="DA41" s="207">
        <f t="shared" si="27"/>
        <v>0</v>
      </c>
      <c r="DB41" s="73"/>
      <c r="DC41" s="73"/>
      <c r="DD41" s="193"/>
      <c r="DE41" s="209">
        <f t="shared" si="28"/>
        <v>0</v>
      </c>
      <c r="DF41" s="193"/>
      <c r="DG41" s="206">
        <f t="shared" si="29"/>
        <v>0</v>
      </c>
      <c r="DH41" s="191"/>
      <c r="DI41" s="207">
        <f t="shared" si="30"/>
        <v>0</v>
      </c>
    </row>
    <row r="42" spans="1:113">
      <c r="A42" s="57">
        <v>39</v>
      </c>
      <c r="B42" s="111"/>
      <c r="C42" s="61"/>
      <c r="D42" s="62"/>
      <c r="E42" s="62"/>
      <c r="F42" s="128"/>
      <c r="G42" s="135"/>
      <c r="H42" s="63"/>
      <c r="I42" s="136"/>
      <c r="J42" s="169"/>
      <c r="K42" s="64"/>
      <c r="L42" s="65"/>
      <c r="M42" s="64"/>
      <c r="N42" s="141"/>
      <c r="O42" s="147"/>
      <c r="P42" s="66"/>
      <c r="Q42" s="66"/>
      <c r="R42" s="148"/>
      <c r="S42" s="182"/>
      <c r="T42" s="183"/>
      <c r="U42" s="155"/>
      <c r="V42" s="173">
        <f t="shared" si="0"/>
        <v>0</v>
      </c>
      <c r="W42" s="67"/>
      <c r="X42" s="67"/>
      <c r="Y42" s="67"/>
      <c r="Z42" s="156"/>
      <c r="AA42" s="84"/>
      <c r="AB42" s="85"/>
      <c r="AC42" s="86"/>
      <c r="AD42" s="68"/>
      <c r="AE42" s="70"/>
      <c r="AF42" s="70"/>
      <c r="AG42" s="69"/>
      <c r="AH42" s="189"/>
      <c r="AI42" s="190"/>
      <c r="AJ42" s="191"/>
      <c r="AK42" s="206">
        <f t="shared" si="1"/>
        <v>0</v>
      </c>
      <c r="AL42" s="191"/>
      <c r="AM42" s="206">
        <f t="shared" si="2"/>
        <v>0</v>
      </c>
      <c r="AN42" s="191"/>
      <c r="AO42" s="207">
        <f t="shared" si="3"/>
        <v>0</v>
      </c>
      <c r="AP42" s="72"/>
      <c r="AQ42" s="72"/>
      <c r="AR42" s="192"/>
      <c r="AS42" s="208">
        <f t="shared" si="4"/>
        <v>0</v>
      </c>
      <c r="AT42" s="193"/>
      <c r="AU42" s="206">
        <f t="shared" si="5"/>
        <v>0</v>
      </c>
      <c r="AV42" s="191"/>
      <c r="AW42" s="207">
        <f t="shared" si="6"/>
        <v>0</v>
      </c>
      <c r="AX42" s="73"/>
      <c r="AY42" s="73"/>
      <c r="AZ42" s="193"/>
      <c r="BA42" s="209">
        <f t="shared" si="7"/>
        <v>0</v>
      </c>
      <c r="BB42" s="193"/>
      <c r="BC42" s="206">
        <f t="shared" si="8"/>
        <v>0</v>
      </c>
      <c r="BD42" s="191"/>
      <c r="BE42" s="207">
        <f t="shared" si="9"/>
        <v>0</v>
      </c>
      <c r="BF42" s="73"/>
      <c r="BG42" s="73"/>
      <c r="BH42" s="193"/>
      <c r="BI42" s="209">
        <f t="shared" si="10"/>
        <v>0</v>
      </c>
      <c r="BJ42" s="193"/>
      <c r="BK42" s="206">
        <f t="shared" si="11"/>
        <v>0</v>
      </c>
      <c r="BL42" s="191"/>
      <c r="BM42" s="207">
        <f t="shared" si="12"/>
        <v>0</v>
      </c>
      <c r="BN42" s="73"/>
      <c r="BO42" s="73"/>
      <c r="BP42" s="193"/>
      <c r="BQ42" s="209">
        <f t="shared" si="13"/>
        <v>0</v>
      </c>
      <c r="BR42" s="193"/>
      <c r="BS42" s="206">
        <f t="shared" si="14"/>
        <v>0</v>
      </c>
      <c r="BT42" s="191"/>
      <c r="BU42" s="207">
        <f t="shared" si="15"/>
        <v>0</v>
      </c>
      <c r="BV42" s="73"/>
      <c r="BW42" s="73"/>
      <c r="BX42" s="193"/>
      <c r="BY42" s="209">
        <f t="shared" si="16"/>
        <v>0</v>
      </c>
      <c r="BZ42" s="193"/>
      <c r="CA42" s="206">
        <f t="shared" si="17"/>
        <v>0</v>
      </c>
      <c r="CB42" s="191"/>
      <c r="CC42" s="207">
        <f t="shared" si="18"/>
        <v>0</v>
      </c>
      <c r="CD42" s="73"/>
      <c r="CE42" s="73"/>
      <c r="CF42" s="193"/>
      <c r="CG42" s="209">
        <f t="shared" si="19"/>
        <v>0</v>
      </c>
      <c r="CH42" s="193"/>
      <c r="CI42" s="206">
        <f t="shared" si="20"/>
        <v>0</v>
      </c>
      <c r="CJ42" s="191"/>
      <c r="CK42" s="207">
        <f t="shared" si="21"/>
        <v>0</v>
      </c>
      <c r="CL42" s="73"/>
      <c r="CM42" s="73"/>
      <c r="CN42" s="193"/>
      <c r="CO42" s="209">
        <f t="shared" si="22"/>
        <v>0</v>
      </c>
      <c r="CP42" s="193"/>
      <c r="CQ42" s="206">
        <f t="shared" si="23"/>
        <v>0</v>
      </c>
      <c r="CR42" s="191"/>
      <c r="CS42" s="207">
        <f t="shared" si="24"/>
        <v>0</v>
      </c>
      <c r="CT42" s="73"/>
      <c r="CU42" s="73"/>
      <c r="CV42" s="193"/>
      <c r="CW42" s="209">
        <f t="shared" si="25"/>
        <v>0</v>
      </c>
      <c r="CX42" s="193"/>
      <c r="CY42" s="206">
        <f t="shared" si="26"/>
        <v>0</v>
      </c>
      <c r="CZ42" s="191"/>
      <c r="DA42" s="207">
        <f t="shared" si="27"/>
        <v>0</v>
      </c>
      <c r="DB42" s="73"/>
      <c r="DC42" s="73"/>
      <c r="DD42" s="193"/>
      <c r="DE42" s="209">
        <f t="shared" si="28"/>
        <v>0</v>
      </c>
      <c r="DF42" s="193"/>
      <c r="DG42" s="206">
        <f t="shared" si="29"/>
        <v>0</v>
      </c>
      <c r="DH42" s="191"/>
      <c r="DI42" s="207">
        <f t="shared" si="30"/>
        <v>0</v>
      </c>
    </row>
    <row r="43" spans="1:113">
      <c r="A43" s="57">
        <v>40</v>
      </c>
      <c r="B43" s="111"/>
      <c r="C43" s="61"/>
      <c r="D43" s="62"/>
      <c r="E43" s="62"/>
      <c r="F43" s="128"/>
      <c r="G43" s="135"/>
      <c r="H43" s="63"/>
      <c r="I43" s="136"/>
      <c r="J43" s="169"/>
      <c r="K43" s="64"/>
      <c r="L43" s="65"/>
      <c r="M43" s="64"/>
      <c r="N43" s="141"/>
      <c r="O43" s="147"/>
      <c r="P43" s="66"/>
      <c r="Q43" s="66"/>
      <c r="R43" s="148"/>
      <c r="S43" s="182"/>
      <c r="T43" s="183"/>
      <c r="U43" s="155"/>
      <c r="V43" s="173">
        <f t="shared" si="0"/>
        <v>0</v>
      </c>
      <c r="W43" s="67"/>
      <c r="X43" s="67"/>
      <c r="Y43" s="67"/>
      <c r="Z43" s="156"/>
      <c r="AA43" s="84"/>
      <c r="AB43" s="85"/>
      <c r="AC43" s="86"/>
      <c r="AD43" s="68"/>
      <c r="AE43" s="70"/>
      <c r="AF43" s="70"/>
      <c r="AG43" s="69"/>
      <c r="AH43" s="189"/>
      <c r="AI43" s="190"/>
      <c r="AJ43" s="191"/>
      <c r="AK43" s="206">
        <f t="shared" si="1"/>
        <v>0</v>
      </c>
      <c r="AL43" s="191"/>
      <c r="AM43" s="206">
        <f t="shared" si="2"/>
        <v>0</v>
      </c>
      <c r="AN43" s="191"/>
      <c r="AO43" s="207">
        <f t="shared" si="3"/>
        <v>0</v>
      </c>
      <c r="AP43" s="72"/>
      <c r="AQ43" s="72"/>
      <c r="AR43" s="192"/>
      <c r="AS43" s="208">
        <f t="shared" si="4"/>
        <v>0</v>
      </c>
      <c r="AT43" s="193"/>
      <c r="AU43" s="206">
        <f t="shared" si="5"/>
        <v>0</v>
      </c>
      <c r="AV43" s="191"/>
      <c r="AW43" s="207">
        <f t="shared" si="6"/>
        <v>0</v>
      </c>
      <c r="AX43" s="73"/>
      <c r="AY43" s="73"/>
      <c r="AZ43" s="193"/>
      <c r="BA43" s="209">
        <f t="shared" si="7"/>
        <v>0</v>
      </c>
      <c r="BB43" s="193"/>
      <c r="BC43" s="206">
        <f t="shared" si="8"/>
        <v>0</v>
      </c>
      <c r="BD43" s="191"/>
      <c r="BE43" s="207">
        <f t="shared" si="9"/>
        <v>0</v>
      </c>
      <c r="BF43" s="73"/>
      <c r="BG43" s="73"/>
      <c r="BH43" s="193"/>
      <c r="BI43" s="209">
        <f t="shared" si="10"/>
        <v>0</v>
      </c>
      <c r="BJ43" s="193"/>
      <c r="BK43" s="206">
        <f t="shared" si="11"/>
        <v>0</v>
      </c>
      <c r="BL43" s="191"/>
      <c r="BM43" s="207">
        <f t="shared" si="12"/>
        <v>0</v>
      </c>
      <c r="BN43" s="73"/>
      <c r="BO43" s="73"/>
      <c r="BP43" s="193"/>
      <c r="BQ43" s="209">
        <f t="shared" si="13"/>
        <v>0</v>
      </c>
      <c r="BR43" s="193"/>
      <c r="BS43" s="206">
        <f t="shared" si="14"/>
        <v>0</v>
      </c>
      <c r="BT43" s="191"/>
      <c r="BU43" s="207">
        <f t="shared" si="15"/>
        <v>0</v>
      </c>
      <c r="BV43" s="73"/>
      <c r="BW43" s="73"/>
      <c r="BX43" s="193"/>
      <c r="BY43" s="209">
        <f t="shared" si="16"/>
        <v>0</v>
      </c>
      <c r="BZ43" s="193"/>
      <c r="CA43" s="206">
        <f t="shared" si="17"/>
        <v>0</v>
      </c>
      <c r="CB43" s="191"/>
      <c r="CC43" s="207">
        <f t="shared" si="18"/>
        <v>0</v>
      </c>
      <c r="CD43" s="73"/>
      <c r="CE43" s="73"/>
      <c r="CF43" s="193"/>
      <c r="CG43" s="209">
        <f t="shared" si="19"/>
        <v>0</v>
      </c>
      <c r="CH43" s="193"/>
      <c r="CI43" s="206">
        <f t="shared" si="20"/>
        <v>0</v>
      </c>
      <c r="CJ43" s="191"/>
      <c r="CK43" s="207">
        <f t="shared" si="21"/>
        <v>0</v>
      </c>
      <c r="CL43" s="73"/>
      <c r="CM43" s="73"/>
      <c r="CN43" s="193"/>
      <c r="CO43" s="209">
        <f t="shared" si="22"/>
        <v>0</v>
      </c>
      <c r="CP43" s="193"/>
      <c r="CQ43" s="206">
        <f t="shared" si="23"/>
        <v>0</v>
      </c>
      <c r="CR43" s="191"/>
      <c r="CS43" s="207">
        <f t="shared" si="24"/>
        <v>0</v>
      </c>
      <c r="CT43" s="73"/>
      <c r="CU43" s="73"/>
      <c r="CV43" s="193"/>
      <c r="CW43" s="209">
        <f t="shared" si="25"/>
        <v>0</v>
      </c>
      <c r="CX43" s="193"/>
      <c r="CY43" s="206">
        <f t="shared" si="26"/>
        <v>0</v>
      </c>
      <c r="CZ43" s="191"/>
      <c r="DA43" s="207">
        <f t="shared" si="27"/>
        <v>0</v>
      </c>
      <c r="DB43" s="73"/>
      <c r="DC43" s="73"/>
      <c r="DD43" s="193"/>
      <c r="DE43" s="209">
        <f t="shared" si="28"/>
        <v>0</v>
      </c>
      <c r="DF43" s="193"/>
      <c r="DG43" s="206">
        <f t="shared" si="29"/>
        <v>0</v>
      </c>
      <c r="DH43" s="191"/>
      <c r="DI43" s="207">
        <f t="shared" si="30"/>
        <v>0</v>
      </c>
    </row>
    <row r="44" spans="1:113">
      <c r="A44" s="57">
        <v>41</v>
      </c>
      <c r="B44" s="111"/>
      <c r="C44" s="61"/>
      <c r="D44" s="62"/>
      <c r="E44" s="62"/>
      <c r="F44" s="128"/>
      <c r="G44" s="135"/>
      <c r="H44" s="63"/>
      <c r="I44" s="136"/>
      <c r="J44" s="169"/>
      <c r="K44" s="64"/>
      <c r="L44" s="65"/>
      <c r="M44" s="64"/>
      <c r="N44" s="141"/>
      <c r="O44" s="147"/>
      <c r="P44" s="66"/>
      <c r="Q44" s="66"/>
      <c r="R44" s="148"/>
      <c r="S44" s="182"/>
      <c r="T44" s="183"/>
      <c r="U44" s="155"/>
      <c r="V44" s="173">
        <f t="shared" si="0"/>
        <v>0</v>
      </c>
      <c r="W44" s="67"/>
      <c r="X44" s="67"/>
      <c r="Y44" s="67"/>
      <c r="Z44" s="156"/>
      <c r="AA44" s="84"/>
      <c r="AB44" s="85"/>
      <c r="AC44" s="86"/>
      <c r="AD44" s="68"/>
      <c r="AE44" s="70"/>
      <c r="AF44" s="70"/>
      <c r="AG44" s="69"/>
      <c r="AH44" s="189"/>
      <c r="AI44" s="190"/>
      <c r="AJ44" s="191"/>
      <c r="AK44" s="206">
        <f t="shared" si="1"/>
        <v>0</v>
      </c>
      <c r="AL44" s="191"/>
      <c r="AM44" s="206">
        <f t="shared" si="2"/>
        <v>0</v>
      </c>
      <c r="AN44" s="191"/>
      <c r="AO44" s="207">
        <f t="shared" si="3"/>
        <v>0</v>
      </c>
      <c r="AP44" s="72"/>
      <c r="AQ44" s="72"/>
      <c r="AR44" s="192"/>
      <c r="AS44" s="208">
        <f t="shared" si="4"/>
        <v>0</v>
      </c>
      <c r="AT44" s="193"/>
      <c r="AU44" s="206">
        <f t="shared" si="5"/>
        <v>0</v>
      </c>
      <c r="AV44" s="191"/>
      <c r="AW44" s="207">
        <f t="shared" si="6"/>
        <v>0</v>
      </c>
      <c r="AX44" s="73"/>
      <c r="AY44" s="73"/>
      <c r="AZ44" s="193"/>
      <c r="BA44" s="209">
        <f t="shared" si="7"/>
        <v>0</v>
      </c>
      <c r="BB44" s="193"/>
      <c r="BC44" s="206">
        <f t="shared" si="8"/>
        <v>0</v>
      </c>
      <c r="BD44" s="191"/>
      <c r="BE44" s="207">
        <f t="shared" si="9"/>
        <v>0</v>
      </c>
      <c r="BF44" s="73"/>
      <c r="BG44" s="73"/>
      <c r="BH44" s="193"/>
      <c r="BI44" s="209">
        <f t="shared" si="10"/>
        <v>0</v>
      </c>
      <c r="BJ44" s="193"/>
      <c r="BK44" s="206">
        <f t="shared" si="11"/>
        <v>0</v>
      </c>
      <c r="BL44" s="191"/>
      <c r="BM44" s="207">
        <f t="shared" si="12"/>
        <v>0</v>
      </c>
      <c r="BN44" s="73"/>
      <c r="BO44" s="73"/>
      <c r="BP44" s="193"/>
      <c r="BQ44" s="209">
        <f t="shared" si="13"/>
        <v>0</v>
      </c>
      <c r="BR44" s="193"/>
      <c r="BS44" s="206">
        <f t="shared" si="14"/>
        <v>0</v>
      </c>
      <c r="BT44" s="191"/>
      <c r="BU44" s="207">
        <f t="shared" si="15"/>
        <v>0</v>
      </c>
      <c r="BV44" s="73"/>
      <c r="BW44" s="73"/>
      <c r="BX44" s="193"/>
      <c r="BY44" s="209">
        <f t="shared" si="16"/>
        <v>0</v>
      </c>
      <c r="BZ44" s="193"/>
      <c r="CA44" s="206">
        <f t="shared" si="17"/>
        <v>0</v>
      </c>
      <c r="CB44" s="191"/>
      <c r="CC44" s="207">
        <f t="shared" si="18"/>
        <v>0</v>
      </c>
      <c r="CD44" s="73"/>
      <c r="CE44" s="73"/>
      <c r="CF44" s="193"/>
      <c r="CG44" s="209">
        <f t="shared" si="19"/>
        <v>0</v>
      </c>
      <c r="CH44" s="193"/>
      <c r="CI44" s="206">
        <f t="shared" si="20"/>
        <v>0</v>
      </c>
      <c r="CJ44" s="191"/>
      <c r="CK44" s="207">
        <f t="shared" si="21"/>
        <v>0</v>
      </c>
      <c r="CL44" s="73"/>
      <c r="CM44" s="73"/>
      <c r="CN44" s="193"/>
      <c r="CO44" s="209">
        <f t="shared" si="22"/>
        <v>0</v>
      </c>
      <c r="CP44" s="193"/>
      <c r="CQ44" s="206">
        <f t="shared" si="23"/>
        <v>0</v>
      </c>
      <c r="CR44" s="191"/>
      <c r="CS44" s="207">
        <f t="shared" si="24"/>
        <v>0</v>
      </c>
      <c r="CT44" s="73"/>
      <c r="CU44" s="73"/>
      <c r="CV44" s="193"/>
      <c r="CW44" s="209">
        <f t="shared" si="25"/>
        <v>0</v>
      </c>
      <c r="CX44" s="193"/>
      <c r="CY44" s="206">
        <f t="shared" si="26"/>
        <v>0</v>
      </c>
      <c r="CZ44" s="191"/>
      <c r="DA44" s="207">
        <f t="shared" si="27"/>
        <v>0</v>
      </c>
      <c r="DB44" s="73"/>
      <c r="DC44" s="73"/>
      <c r="DD44" s="193"/>
      <c r="DE44" s="209">
        <f t="shared" si="28"/>
        <v>0</v>
      </c>
      <c r="DF44" s="193"/>
      <c r="DG44" s="206">
        <f t="shared" si="29"/>
        <v>0</v>
      </c>
      <c r="DH44" s="191"/>
      <c r="DI44" s="207">
        <f t="shared" si="30"/>
        <v>0</v>
      </c>
    </row>
    <row r="45" spans="1:113">
      <c r="A45" s="57">
        <v>42</v>
      </c>
      <c r="B45" s="111"/>
      <c r="C45" s="61"/>
      <c r="D45" s="62"/>
      <c r="E45" s="62"/>
      <c r="F45" s="128"/>
      <c r="G45" s="135"/>
      <c r="H45" s="63"/>
      <c r="I45" s="136"/>
      <c r="J45" s="169"/>
      <c r="K45" s="64"/>
      <c r="L45" s="65"/>
      <c r="M45" s="64"/>
      <c r="N45" s="141"/>
      <c r="O45" s="147"/>
      <c r="P45" s="66"/>
      <c r="Q45" s="66"/>
      <c r="R45" s="148"/>
      <c r="S45" s="182"/>
      <c r="T45" s="183"/>
      <c r="U45" s="155"/>
      <c r="V45" s="173">
        <f t="shared" si="0"/>
        <v>0</v>
      </c>
      <c r="W45" s="67"/>
      <c r="X45" s="67"/>
      <c r="Y45" s="67"/>
      <c r="Z45" s="156"/>
      <c r="AA45" s="84"/>
      <c r="AB45" s="85"/>
      <c r="AC45" s="86"/>
      <c r="AD45" s="68"/>
      <c r="AE45" s="70"/>
      <c r="AF45" s="70"/>
      <c r="AG45" s="69"/>
      <c r="AH45" s="189"/>
      <c r="AI45" s="190"/>
      <c r="AJ45" s="191"/>
      <c r="AK45" s="206">
        <f t="shared" si="1"/>
        <v>0</v>
      </c>
      <c r="AL45" s="191"/>
      <c r="AM45" s="206">
        <f t="shared" si="2"/>
        <v>0</v>
      </c>
      <c r="AN45" s="191"/>
      <c r="AO45" s="207">
        <f t="shared" si="3"/>
        <v>0</v>
      </c>
      <c r="AP45" s="72"/>
      <c r="AQ45" s="72"/>
      <c r="AR45" s="192"/>
      <c r="AS45" s="208">
        <f t="shared" si="4"/>
        <v>0</v>
      </c>
      <c r="AT45" s="193"/>
      <c r="AU45" s="206">
        <f t="shared" si="5"/>
        <v>0</v>
      </c>
      <c r="AV45" s="191"/>
      <c r="AW45" s="207">
        <f t="shared" si="6"/>
        <v>0</v>
      </c>
      <c r="AX45" s="73"/>
      <c r="AY45" s="73"/>
      <c r="AZ45" s="193"/>
      <c r="BA45" s="209">
        <f t="shared" si="7"/>
        <v>0</v>
      </c>
      <c r="BB45" s="193"/>
      <c r="BC45" s="206">
        <f t="shared" si="8"/>
        <v>0</v>
      </c>
      <c r="BD45" s="191"/>
      <c r="BE45" s="207">
        <f t="shared" si="9"/>
        <v>0</v>
      </c>
      <c r="BF45" s="73"/>
      <c r="BG45" s="73"/>
      <c r="BH45" s="193"/>
      <c r="BI45" s="209">
        <f t="shared" si="10"/>
        <v>0</v>
      </c>
      <c r="BJ45" s="193"/>
      <c r="BK45" s="206">
        <f t="shared" si="11"/>
        <v>0</v>
      </c>
      <c r="BL45" s="191"/>
      <c r="BM45" s="207">
        <f t="shared" si="12"/>
        <v>0</v>
      </c>
      <c r="BN45" s="73"/>
      <c r="BO45" s="73"/>
      <c r="BP45" s="193"/>
      <c r="BQ45" s="209">
        <f t="shared" si="13"/>
        <v>0</v>
      </c>
      <c r="BR45" s="193"/>
      <c r="BS45" s="206">
        <f t="shared" si="14"/>
        <v>0</v>
      </c>
      <c r="BT45" s="191"/>
      <c r="BU45" s="207">
        <f t="shared" si="15"/>
        <v>0</v>
      </c>
      <c r="BV45" s="73"/>
      <c r="BW45" s="73"/>
      <c r="BX45" s="193"/>
      <c r="BY45" s="209">
        <f t="shared" si="16"/>
        <v>0</v>
      </c>
      <c r="BZ45" s="193"/>
      <c r="CA45" s="206">
        <f t="shared" si="17"/>
        <v>0</v>
      </c>
      <c r="CB45" s="191"/>
      <c r="CC45" s="207">
        <f t="shared" si="18"/>
        <v>0</v>
      </c>
      <c r="CD45" s="73"/>
      <c r="CE45" s="73"/>
      <c r="CF45" s="193"/>
      <c r="CG45" s="209">
        <f t="shared" si="19"/>
        <v>0</v>
      </c>
      <c r="CH45" s="193"/>
      <c r="CI45" s="206">
        <f t="shared" si="20"/>
        <v>0</v>
      </c>
      <c r="CJ45" s="191"/>
      <c r="CK45" s="207">
        <f t="shared" si="21"/>
        <v>0</v>
      </c>
      <c r="CL45" s="73"/>
      <c r="CM45" s="73"/>
      <c r="CN45" s="193"/>
      <c r="CO45" s="209">
        <f t="shared" si="22"/>
        <v>0</v>
      </c>
      <c r="CP45" s="193"/>
      <c r="CQ45" s="206">
        <f t="shared" si="23"/>
        <v>0</v>
      </c>
      <c r="CR45" s="191"/>
      <c r="CS45" s="207">
        <f t="shared" si="24"/>
        <v>0</v>
      </c>
      <c r="CT45" s="73"/>
      <c r="CU45" s="73"/>
      <c r="CV45" s="193"/>
      <c r="CW45" s="209">
        <f t="shared" si="25"/>
        <v>0</v>
      </c>
      <c r="CX45" s="193"/>
      <c r="CY45" s="206">
        <f t="shared" si="26"/>
        <v>0</v>
      </c>
      <c r="CZ45" s="191"/>
      <c r="DA45" s="207">
        <f t="shared" si="27"/>
        <v>0</v>
      </c>
      <c r="DB45" s="73"/>
      <c r="DC45" s="73"/>
      <c r="DD45" s="193"/>
      <c r="DE45" s="209">
        <f t="shared" si="28"/>
        <v>0</v>
      </c>
      <c r="DF45" s="193"/>
      <c r="DG45" s="206">
        <f t="shared" si="29"/>
        <v>0</v>
      </c>
      <c r="DH45" s="191"/>
      <c r="DI45" s="207">
        <f t="shared" si="30"/>
        <v>0</v>
      </c>
    </row>
    <row r="46" spans="1:113">
      <c r="A46" s="57">
        <v>43</v>
      </c>
      <c r="B46" s="111"/>
      <c r="C46" s="61"/>
      <c r="D46" s="62"/>
      <c r="E46" s="62"/>
      <c r="F46" s="128"/>
      <c r="G46" s="135"/>
      <c r="H46" s="63"/>
      <c r="I46" s="136"/>
      <c r="J46" s="169"/>
      <c r="K46" s="64"/>
      <c r="L46" s="65"/>
      <c r="M46" s="64"/>
      <c r="N46" s="141"/>
      <c r="O46" s="147"/>
      <c r="P46" s="66"/>
      <c r="Q46" s="66"/>
      <c r="R46" s="148"/>
      <c r="S46" s="182"/>
      <c r="T46" s="183"/>
      <c r="U46" s="155"/>
      <c r="V46" s="173">
        <f t="shared" si="0"/>
        <v>0</v>
      </c>
      <c r="W46" s="67"/>
      <c r="X46" s="67"/>
      <c r="Y46" s="67"/>
      <c r="Z46" s="156"/>
      <c r="AA46" s="84"/>
      <c r="AB46" s="85"/>
      <c r="AC46" s="86"/>
      <c r="AD46" s="68"/>
      <c r="AE46" s="70"/>
      <c r="AF46" s="70"/>
      <c r="AG46" s="69"/>
      <c r="AH46" s="189"/>
      <c r="AI46" s="190"/>
      <c r="AJ46" s="191"/>
      <c r="AK46" s="206">
        <f t="shared" si="1"/>
        <v>0</v>
      </c>
      <c r="AL46" s="191"/>
      <c r="AM46" s="206">
        <f t="shared" si="2"/>
        <v>0</v>
      </c>
      <c r="AN46" s="191"/>
      <c r="AO46" s="207">
        <f t="shared" si="3"/>
        <v>0</v>
      </c>
      <c r="AP46" s="72"/>
      <c r="AQ46" s="72"/>
      <c r="AR46" s="192"/>
      <c r="AS46" s="208">
        <f t="shared" si="4"/>
        <v>0</v>
      </c>
      <c r="AT46" s="193"/>
      <c r="AU46" s="206">
        <f t="shared" si="5"/>
        <v>0</v>
      </c>
      <c r="AV46" s="191"/>
      <c r="AW46" s="207">
        <f t="shared" si="6"/>
        <v>0</v>
      </c>
      <c r="AX46" s="73"/>
      <c r="AY46" s="73"/>
      <c r="AZ46" s="193"/>
      <c r="BA46" s="209">
        <f t="shared" si="7"/>
        <v>0</v>
      </c>
      <c r="BB46" s="193"/>
      <c r="BC46" s="206">
        <f t="shared" si="8"/>
        <v>0</v>
      </c>
      <c r="BD46" s="191"/>
      <c r="BE46" s="207">
        <f t="shared" si="9"/>
        <v>0</v>
      </c>
      <c r="BF46" s="73"/>
      <c r="BG46" s="73"/>
      <c r="BH46" s="193"/>
      <c r="BI46" s="209">
        <f t="shared" si="10"/>
        <v>0</v>
      </c>
      <c r="BJ46" s="193"/>
      <c r="BK46" s="206">
        <f t="shared" si="11"/>
        <v>0</v>
      </c>
      <c r="BL46" s="191"/>
      <c r="BM46" s="207">
        <f t="shared" si="12"/>
        <v>0</v>
      </c>
      <c r="BN46" s="73"/>
      <c r="BO46" s="73"/>
      <c r="BP46" s="193"/>
      <c r="BQ46" s="209">
        <f t="shared" si="13"/>
        <v>0</v>
      </c>
      <c r="BR46" s="193"/>
      <c r="BS46" s="206">
        <f t="shared" si="14"/>
        <v>0</v>
      </c>
      <c r="BT46" s="191"/>
      <c r="BU46" s="207">
        <f t="shared" si="15"/>
        <v>0</v>
      </c>
      <c r="BV46" s="73"/>
      <c r="BW46" s="73"/>
      <c r="BX46" s="193"/>
      <c r="BY46" s="209">
        <f t="shared" si="16"/>
        <v>0</v>
      </c>
      <c r="BZ46" s="193"/>
      <c r="CA46" s="206">
        <f t="shared" si="17"/>
        <v>0</v>
      </c>
      <c r="CB46" s="191"/>
      <c r="CC46" s="207">
        <f t="shared" si="18"/>
        <v>0</v>
      </c>
      <c r="CD46" s="73"/>
      <c r="CE46" s="73"/>
      <c r="CF46" s="193"/>
      <c r="CG46" s="209">
        <f t="shared" si="19"/>
        <v>0</v>
      </c>
      <c r="CH46" s="193"/>
      <c r="CI46" s="206">
        <f t="shared" si="20"/>
        <v>0</v>
      </c>
      <c r="CJ46" s="191"/>
      <c r="CK46" s="207">
        <f t="shared" si="21"/>
        <v>0</v>
      </c>
      <c r="CL46" s="73"/>
      <c r="CM46" s="73"/>
      <c r="CN46" s="193"/>
      <c r="CO46" s="209">
        <f t="shared" si="22"/>
        <v>0</v>
      </c>
      <c r="CP46" s="193"/>
      <c r="CQ46" s="206">
        <f t="shared" si="23"/>
        <v>0</v>
      </c>
      <c r="CR46" s="191"/>
      <c r="CS46" s="207">
        <f t="shared" si="24"/>
        <v>0</v>
      </c>
      <c r="CT46" s="73"/>
      <c r="CU46" s="73"/>
      <c r="CV46" s="193"/>
      <c r="CW46" s="209">
        <f t="shared" si="25"/>
        <v>0</v>
      </c>
      <c r="CX46" s="193"/>
      <c r="CY46" s="206">
        <f t="shared" si="26"/>
        <v>0</v>
      </c>
      <c r="CZ46" s="191"/>
      <c r="DA46" s="207">
        <f t="shared" si="27"/>
        <v>0</v>
      </c>
      <c r="DB46" s="73"/>
      <c r="DC46" s="73"/>
      <c r="DD46" s="193"/>
      <c r="DE46" s="209">
        <f t="shared" si="28"/>
        <v>0</v>
      </c>
      <c r="DF46" s="193"/>
      <c r="DG46" s="206">
        <f t="shared" si="29"/>
        <v>0</v>
      </c>
      <c r="DH46" s="191"/>
      <c r="DI46" s="207">
        <f t="shared" si="30"/>
        <v>0</v>
      </c>
    </row>
    <row r="47" spans="1:113">
      <c r="A47" s="57">
        <v>44</v>
      </c>
      <c r="B47" s="111"/>
      <c r="C47" s="61"/>
      <c r="D47" s="62"/>
      <c r="E47" s="62"/>
      <c r="F47" s="128"/>
      <c r="G47" s="135"/>
      <c r="H47" s="63"/>
      <c r="I47" s="136"/>
      <c r="J47" s="169"/>
      <c r="K47" s="64"/>
      <c r="L47" s="65"/>
      <c r="M47" s="64"/>
      <c r="N47" s="141"/>
      <c r="O47" s="147"/>
      <c r="P47" s="66"/>
      <c r="Q47" s="66"/>
      <c r="R47" s="148"/>
      <c r="S47" s="182"/>
      <c r="T47" s="183"/>
      <c r="U47" s="155"/>
      <c r="V47" s="173">
        <f t="shared" si="0"/>
        <v>0</v>
      </c>
      <c r="W47" s="67"/>
      <c r="X47" s="67"/>
      <c r="Y47" s="67"/>
      <c r="Z47" s="156"/>
      <c r="AA47" s="84"/>
      <c r="AB47" s="85"/>
      <c r="AC47" s="86"/>
      <c r="AD47" s="68"/>
      <c r="AE47" s="70"/>
      <c r="AF47" s="70"/>
      <c r="AG47" s="69"/>
      <c r="AH47" s="189"/>
      <c r="AI47" s="190"/>
      <c r="AJ47" s="191"/>
      <c r="AK47" s="206">
        <f t="shared" si="1"/>
        <v>0</v>
      </c>
      <c r="AL47" s="191"/>
      <c r="AM47" s="206">
        <f t="shared" si="2"/>
        <v>0</v>
      </c>
      <c r="AN47" s="191"/>
      <c r="AO47" s="207">
        <f t="shared" si="3"/>
        <v>0</v>
      </c>
      <c r="AP47" s="72"/>
      <c r="AQ47" s="72"/>
      <c r="AR47" s="192"/>
      <c r="AS47" s="208">
        <f t="shared" si="4"/>
        <v>0</v>
      </c>
      <c r="AT47" s="193"/>
      <c r="AU47" s="206">
        <f t="shared" si="5"/>
        <v>0</v>
      </c>
      <c r="AV47" s="191"/>
      <c r="AW47" s="207">
        <f t="shared" si="6"/>
        <v>0</v>
      </c>
      <c r="AX47" s="73"/>
      <c r="AY47" s="73"/>
      <c r="AZ47" s="193"/>
      <c r="BA47" s="209">
        <f t="shared" si="7"/>
        <v>0</v>
      </c>
      <c r="BB47" s="193"/>
      <c r="BC47" s="206">
        <f t="shared" si="8"/>
        <v>0</v>
      </c>
      <c r="BD47" s="191"/>
      <c r="BE47" s="207">
        <f t="shared" si="9"/>
        <v>0</v>
      </c>
      <c r="BF47" s="73"/>
      <c r="BG47" s="73"/>
      <c r="BH47" s="193"/>
      <c r="BI47" s="209">
        <f t="shared" si="10"/>
        <v>0</v>
      </c>
      <c r="BJ47" s="193"/>
      <c r="BK47" s="206">
        <f t="shared" si="11"/>
        <v>0</v>
      </c>
      <c r="BL47" s="191"/>
      <c r="BM47" s="207">
        <f t="shared" si="12"/>
        <v>0</v>
      </c>
      <c r="BN47" s="73"/>
      <c r="BO47" s="73"/>
      <c r="BP47" s="193"/>
      <c r="BQ47" s="209">
        <f t="shared" si="13"/>
        <v>0</v>
      </c>
      <c r="BR47" s="193"/>
      <c r="BS47" s="206">
        <f t="shared" si="14"/>
        <v>0</v>
      </c>
      <c r="BT47" s="191"/>
      <c r="BU47" s="207">
        <f t="shared" si="15"/>
        <v>0</v>
      </c>
      <c r="BV47" s="73"/>
      <c r="BW47" s="73"/>
      <c r="BX47" s="193"/>
      <c r="BY47" s="209">
        <f t="shared" si="16"/>
        <v>0</v>
      </c>
      <c r="BZ47" s="193"/>
      <c r="CA47" s="206">
        <f t="shared" si="17"/>
        <v>0</v>
      </c>
      <c r="CB47" s="191"/>
      <c r="CC47" s="207">
        <f t="shared" si="18"/>
        <v>0</v>
      </c>
      <c r="CD47" s="73"/>
      <c r="CE47" s="73"/>
      <c r="CF47" s="193"/>
      <c r="CG47" s="209">
        <f t="shared" si="19"/>
        <v>0</v>
      </c>
      <c r="CH47" s="193"/>
      <c r="CI47" s="206">
        <f t="shared" si="20"/>
        <v>0</v>
      </c>
      <c r="CJ47" s="191"/>
      <c r="CK47" s="207">
        <f t="shared" si="21"/>
        <v>0</v>
      </c>
      <c r="CL47" s="73"/>
      <c r="CM47" s="73"/>
      <c r="CN47" s="193"/>
      <c r="CO47" s="209">
        <f t="shared" si="22"/>
        <v>0</v>
      </c>
      <c r="CP47" s="193"/>
      <c r="CQ47" s="206">
        <f t="shared" si="23"/>
        <v>0</v>
      </c>
      <c r="CR47" s="191"/>
      <c r="CS47" s="207">
        <f t="shared" si="24"/>
        <v>0</v>
      </c>
      <c r="CT47" s="73"/>
      <c r="CU47" s="73"/>
      <c r="CV47" s="193"/>
      <c r="CW47" s="209">
        <f t="shared" si="25"/>
        <v>0</v>
      </c>
      <c r="CX47" s="193"/>
      <c r="CY47" s="206">
        <f t="shared" si="26"/>
        <v>0</v>
      </c>
      <c r="CZ47" s="191"/>
      <c r="DA47" s="207">
        <f t="shared" si="27"/>
        <v>0</v>
      </c>
      <c r="DB47" s="73"/>
      <c r="DC47" s="73"/>
      <c r="DD47" s="193"/>
      <c r="DE47" s="209">
        <f t="shared" si="28"/>
        <v>0</v>
      </c>
      <c r="DF47" s="193"/>
      <c r="DG47" s="206">
        <f t="shared" si="29"/>
        <v>0</v>
      </c>
      <c r="DH47" s="191"/>
      <c r="DI47" s="207">
        <f t="shared" si="30"/>
        <v>0</v>
      </c>
    </row>
    <row r="48" spans="1:113">
      <c r="A48" s="57">
        <v>45</v>
      </c>
      <c r="B48" s="111"/>
      <c r="C48" s="61"/>
      <c r="D48" s="62"/>
      <c r="E48" s="62"/>
      <c r="F48" s="128"/>
      <c r="G48" s="135"/>
      <c r="H48" s="63"/>
      <c r="I48" s="136"/>
      <c r="J48" s="169"/>
      <c r="K48" s="64"/>
      <c r="L48" s="65"/>
      <c r="M48" s="64"/>
      <c r="N48" s="141"/>
      <c r="O48" s="147"/>
      <c r="P48" s="66"/>
      <c r="Q48" s="66"/>
      <c r="R48" s="148"/>
      <c r="S48" s="182"/>
      <c r="T48" s="183"/>
      <c r="U48" s="155"/>
      <c r="V48" s="173">
        <f t="shared" si="0"/>
        <v>0</v>
      </c>
      <c r="W48" s="67"/>
      <c r="X48" s="67"/>
      <c r="Y48" s="67"/>
      <c r="Z48" s="156"/>
      <c r="AA48" s="84"/>
      <c r="AB48" s="85"/>
      <c r="AC48" s="86"/>
      <c r="AD48" s="68"/>
      <c r="AE48" s="70"/>
      <c r="AF48" s="70"/>
      <c r="AG48" s="69"/>
      <c r="AH48" s="189"/>
      <c r="AI48" s="190"/>
      <c r="AJ48" s="191"/>
      <c r="AK48" s="206">
        <f t="shared" si="1"/>
        <v>0</v>
      </c>
      <c r="AL48" s="191"/>
      <c r="AM48" s="206">
        <f t="shared" si="2"/>
        <v>0</v>
      </c>
      <c r="AN48" s="191"/>
      <c r="AO48" s="207">
        <f t="shared" si="3"/>
        <v>0</v>
      </c>
      <c r="AP48" s="72"/>
      <c r="AQ48" s="72"/>
      <c r="AR48" s="192"/>
      <c r="AS48" s="208">
        <f t="shared" si="4"/>
        <v>0</v>
      </c>
      <c r="AT48" s="193"/>
      <c r="AU48" s="206">
        <f t="shared" si="5"/>
        <v>0</v>
      </c>
      <c r="AV48" s="191"/>
      <c r="AW48" s="207">
        <f t="shared" si="6"/>
        <v>0</v>
      </c>
      <c r="AX48" s="73"/>
      <c r="AY48" s="73"/>
      <c r="AZ48" s="193"/>
      <c r="BA48" s="209">
        <f t="shared" si="7"/>
        <v>0</v>
      </c>
      <c r="BB48" s="193"/>
      <c r="BC48" s="206">
        <f t="shared" si="8"/>
        <v>0</v>
      </c>
      <c r="BD48" s="191"/>
      <c r="BE48" s="207">
        <f t="shared" si="9"/>
        <v>0</v>
      </c>
      <c r="BF48" s="73"/>
      <c r="BG48" s="73"/>
      <c r="BH48" s="193"/>
      <c r="BI48" s="209">
        <f t="shared" si="10"/>
        <v>0</v>
      </c>
      <c r="BJ48" s="193"/>
      <c r="BK48" s="206">
        <f t="shared" si="11"/>
        <v>0</v>
      </c>
      <c r="BL48" s="191"/>
      <c r="BM48" s="207">
        <f t="shared" si="12"/>
        <v>0</v>
      </c>
      <c r="BN48" s="73"/>
      <c r="BO48" s="73"/>
      <c r="BP48" s="193"/>
      <c r="BQ48" s="209">
        <f t="shared" si="13"/>
        <v>0</v>
      </c>
      <c r="BR48" s="193"/>
      <c r="BS48" s="206">
        <f t="shared" si="14"/>
        <v>0</v>
      </c>
      <c r="BT48" s="191"/>
      <c r="BU48" s="207">
        <f t="shared" si="15"/>
        <v>0</v>
      </c>
      <c r="BV48" s="73"/>
      <c r="BW48" s="73"/>
      <c r="BX48" s="193"/>
      <c r="BY48" s="209">
        <f t="shared" si="16"/>
        <v>0</v>
      </c>
      <c r="BZ48" s="193"/>
      <c r="CA48" s="206">
        <f t="shared" si="17"/>
        <v>0</v>
      </c>
      <c r="CB48" s="191"/>
      <c r="CC48" s="207">
        <f t="shared" si="18"/>
        <v>0</v>
      </c>
      <c r="CD48" s="73"/>
      <c r="CE48" s="73"/>
      <c r="CF48" s="193"/>
      <c r="CG48" s="209">
        <f t="shared" si="19"/>
        <v>0</v>
      </c>
      <c r="CH48" s="193"/>
      <c r="CI48" s="206">
        <f t="shared" si="20"/>
        <v>0</v>
      </c>
      <c r="CJ48" s="191"/>
      <c r="CK48" s="207">
        <f t="shared" si="21"/>
        <v>0</v>
      </c>
      <c r="CL48" s="73"/>
      <c r="CM48" s="73"/>
      <c r="CN48" s="193"/>
      <c r="CO48" s="209">
        <f t="shared" si="22"/>
        <v>0</v>
      </c>
      <c r="CP48" s="193"/>
      <c r="CQ48" s="206">
        <f t="shared" si="23"/>
        <v>0</v>
      </c>
      <c r="CR48" s="191"/>
      <c r="CS48" s="207">
        <f t="shared" si="24"/>
        <v>0</v>
      </c>
      <c r="CT48" s="73"/>
      <c r="CU48" s="73"/>
      <c r="CV48" s="193"/>
      <c r="CW48" s="209">
        <f t="shared" si="25"/>
        <v>0</v>
      </c>
      <c r="CX48" s="193"/>
      <c r="CY48" s="206">
        <f t="shared" si="26"/>
        <v>0</v>
      </c>
      <c r="CZ48" s="191"/>
      <c r="DA48" s="207">
        <f t="shared" si="27"/>
        <v>0</v>
      </c>
      <c r="DB48" s="73"/>
      <c r="DC48" s="73"/>
      <c r="DD48" s="193"/>
      <c r="DE48" s="209">
        <f t="shared" si="28"/>
        <v>0</v>
      </c>
      <c r="DF48" s="193"/>
      <c r="DG48" s="206">
        <f t="shared" si="29"/>
        <v>0</v>
      </c>
      <c r="DH48" s="191"/>
      <c r="DI48" s="207">
        <f t="shared" si="30"/>
        <v>0</v>
      </c>
    </row>
    <row r="49" spans="1:113">
      <c r="A49" s="57">
        <v>46</v>
      </c>
      <c r="B49" s="111"/>
      <c r="C49" s="61"/>
      <c r="D49" s="62"/>
      <c r="E49" s="62"/>
      <c r="F49" s="128"/>
      <c r="G49" s="135"/>
      <c r="H49" s="63"/>
      <c r="I49" s="136"/>
      <c r="J49" s="169"/>
      <c r="K49" s="64"/>
      <c r="L49" s="65"/>
      <c r="M49" s="64"/>
      <c r="N49" s="141"/>
      <c r="O49" s="147"/>
      <c r="P49" s="66"/>
      <c r="Q49" s="66"/>
      <c r="R49" s="148"/>
      <c r="S49" s="182"/>
      <c r="T49" s="183"/>
      <c r="U49" s="155"/>
      <c r="V49" s="173">
        <f t="shared" si="0"/>
        <v>0</v>
      </c>
      <c r="W49" s="67"/>
      <c r="X49" s="67"/>
      <c r="Y49" s="67"/>
      <c r="Z49" s="156"/>
      <c r="AA49" s="84"/>
      <c r="AB49" s="85"/>
      <c r="AC49" s="86"/>
      <c r="AD49" s="68"/>
      <c r="AE49" s="70"/>
      <c r="AF49" s="70"/>
      <c r="AG49" s="69"/>
      <c r="AH49" s="189"/>
      <c r="AI49" s="190"/>
      <c r="AJ49" s="191"/>
      <c r="AK49" s="206">
        <f t="shared" si="1"/>
        <v>0</v>
      </c>
      <c r="AL49" s="191"/>
      <c r="AM49" s="206">
        <f t="shared" si="2"/>
        <v>0</v>
      </c>
      <c r="AN49" s="191"/>
      <c r="AO49" s="207">
        <f t="shared" si="3"/>
        <v>0</v>
      </c>
      <c r="AP49" s="72"/>
      <c r="AQ49" s="72"/>
      <c r="AR49" s="192"/>
      <c r="AS49" s="208">
        <f t="shared" si="4"/>
        <v>0</v>
      </c>
      <c r="AT49" s="193"/>
      <c r="AU49" s="206">
        <f t="shared" si="5"/>
        <v>0</v>
      </c>
      <c r="AV49" s="191"/>
      <c r="AW49" s="207">
        <f t="shared" si="6"/>
        <v>0</v>
      </c>
      <c r="AX49" s="73"/>
      <c r="AY49" s="73"/>
      <c r="AZ49" s="193"/>
      <c r="BA49" s="209">
        <f t="shared" si="7"/>
        <v>0</v>
      </c>
      <c r="BB49" s="193"/>
      <c r="BC49" s="206">
        <f t="shared" si="8"/>
        <v>0</v>
      </c>
      <c r="BD49" s="191"/>
      <c r="BE49" s="207">
        <f t="shared" si="9"/>
        <v>0</v>
      </c>
      <c r="BF49" s="73"/>
      <c r="BG49" s="73"/>
      <c r="BH49" s="193"/>
      <c r="BI49" s="209">
        <f t="shared" si="10"/>
        <v>0</v>
      </c>
      <c r="BJ49" s="193"/>
      <c r="BK49" s="206">
        <f t="shared" si="11"/>
        <v>0</v>
      </c>
      <c r="BL49" s="191"/>
      <c r="BM49" s="207">
        <f t="shared" si="12"/>
        <v>0</v>
      </c>
      <c r="BN49" s="73"/>
      <c r="BO49" s="73"/>
      <c r="BP49" s="193"/>
      <c r="BQ49" s="209">
        <f t="shared" si="13"/>
        <v>0</v>
      </c>
      <c r="BR49" s="193"/>
      <c r="BS49" s="206">
        <f t="shared" si="14"/>
        <v>0</v>
      </c>
      <c r="BT49" s="191"/>
      <c r="BU49" s="207">
        <f t="shared" si="15"/>
        <v>0</v>
      </c>
      <c r="BV49" s="73"/>
      <c r="BW49" s="73"/>
      <c r="BX49" s="193"/>
      <c r="BY49" s="209">
        <f t="shared" si="16"/>
        <v>0</v>
      </c>
      <c r="BZ49" s="193"/>
      <c r="CA49" s="206">
        <f t="shared" si="17"/>
        <v>0</v>
      </c>
      <c r="CB49" s="191"/>
      <c r="CC49" s="207">
        <f t="shared" si="18"/>
        <v>0</v>
      </c>
      <c r="CD49" s="73"/>
      <c r="CE49" s="73"/>
      <c r="CF49" s="193"/>
      <c r="CG49" s="209">
        <f t="shared" si="19"/>
        <v>0</v>
      </c>
      <c r="CH49" s="193"/>
      <c r="CI49" s="206">
        <f t="shared" si="20"/>
        <v>0</v>
      </c>
      <c r="CJ49" s="191"/>
      <c r="CK49" s="207">
        <f t="shared" si="21"/>
        <v>0</v>
      </c>
      <c r="CL49" s="73"/>
      <c r="CM49" s="73"/>
      <c r="CN49" s="193"/>
      <c r="CO49" s="209">
        <f t="shared" si="22"/>
        <v>0</v>
      </c>
      <c r="CP49" s="193"/>
      <c r="CQ49" s="206">
        <f t="shared" si="23"/>
        <v>0</v>
      </c>
      <c r="CR49" s="191"/>
      <c r="CS49" s="207">
        <f t="shared" si="24"/>
        <v>0</v>
      </c>
      <c r="CT49" s="73"/>
      <c r="CU49" s="73"/>
      <c r="CV49" s="193"/>
      <c r="CW49" s="209">
        <f t="shared" si="25"/>
        <v>0</v>
      </c>
      <c r="CX49" s="193"/>
      <c r="CY49" s="206">
        <f t="shared" si="26"/>
        <v>0</v>
      </c>
      <c r="CZ49" s="191"/>
      <c r="DA49" s="207">
        <f t="shared" si="27"/>
        <v>0</v>
      </c>
      <c r="DB49" s="73"/>
      <c r="DC49" s="73"/>
      <c r="DD49" s="193"/>
      <c r="DE49" s="209">
        <f t="shared" si="28"/>
        <v>0</v>
      </c>
      <c r="DF49" s="193"/>
      <c r="DG49" s="206">
        <f t="shared" si="29"/>
        <v>0</v>
      </c>
      <c r="DH49" s="191"/>
      <c r="DI49" s="207">
        <f t="shared" si="30"/>
        <v>0</v>
      </c>
    </row>
    <row r="50" spans="1:113">
      <c r="A50" s="57">
        <v>47</v>
      </c>
      <c r="B50" s="111"/>
      <c r="C50" s="61"/>
      <c r="D50" s="62"/>
      <c r="E50" s="62"/>
      <c r="F50" s="128"/>
      <c r="G50" s="135"/>
      <c r="H50" s="63"/>
      <c r="I50" s="136"/>
      <c r="J50" s="169"/>
      <c r="K50" s="64"/>
      <c r="L50" s="65"/>
      <c r="M50" s="64"/>
      <c r="N50" s="141"/>
      <c r="O50" s="147"/>
      <c r="P50" s="66"/>
      <c r="Q50" s="66"/>
      <c r="R50" s="148"/>
      <c r="S50" s="182"/>
      <c r="T50" s="183"/>
      <c r="U50" s="155"/>
      <c r="V50" s="173">
        <f t="shared" si="0"/>
        <v>0</v>
      </c>
      <c r="W50" s="67"/>
      <c r="X50" s="67"/>
      <c r="Y50" s="67"/>
      <c r="Z50" s="156"/>
      <c r="AA50" s="84"/>
      <c r="AB50" s="85"/>
      <c r="AC50" s="86"/>
      <c r="AD50" s="68"/>
      <c r="AE50" s="70"/>
      <c r="AF50" s="70"/>
      <c r="AG50" s="69"/>
      <c r="AH50" s="189"/>
      <c r="AI50" s="190"/>
      <c r="AJ50" s="191"/>
      <c r="AK50" s="206">
        <f t="shared" si="1"/>
        <v>0</v>
      </c>
      <c r="AL50" s="191"/>
      <c r="AM50" s="206">
        <f t="shared" si="2"/>
        <v>0</v>
      </c>
      <c r="AN50" s="191"/>
      <c r="AO50" s="207">
        <f t="shared" si="3"/>
        <v>0</v>
      </c>
      <c r="AP50" s="72"/>
      <c r="AQ50" s="72"/>
      <c r="AR50" s="192"/>
      <c r="AS50" s="208">
        <f t="shared" si="4"/>
        <v>0</v>
      </c>
      <c r="AT50" s="193"/>
      <c r="AU50" s="206">
        <f t="shared" si="5"/>
        <v>0</v>
      </c>
      <c r="AV50" s="191"/>
      <c r="AW50" s="207">
        <f t="shared" si="6"/>
        <v>0</v>
      </c>
      <c r="AX50" s="73"/>
      <c r="AY50" s="73"/>
      <c r="AZ50" s="193"/>
      <c r="BA50" s="209">
        <f t="shared" si="7"/>
        <v>0</v>
      </c>
      <c r="BB50" s="193"/>
      <c r="BC50" s="206">
        <f t="shared" si="8"/>
        <v>0</v>
      </c>
      <c r="BD50" s="191"/>
      <c r="BE50" s="207">
        <f t="shared" si="9"/>
        <v>0</v>
      </c>
      <c r="BF50" s="73"/>
      <c r="BG50" s="73"/>
      <c r="BH50" s="193"/>
      <c r="BI50" s="209">
        <f t="shared" si="10"/>
        <v>0</v>
      </c>
      <c r="BJ50" s="193"/>
      <c r="BK50" s="206">
        <f t="shared" si="11"/>
        <v>0</v>
      </c>
      <c r="BL50" s="191"/>
      <c r="BM50" s="207">
        <f t="shared" si="12"/>
        <v>0</v>
      </c>
      <c r="BN50" s="73"/>
      <c r="BO50" s="73"/>
      <c r="BP50" s="193"/>
      <c r="BQ50" s="209">
        <f t="shared" si="13"/>
        <v>0</v>
      </c>
      <c r="BR50" s="193"/>
      <c r="BS50" s="206">
        <f t="shared" si="14"/>
        <v>0</v>
      </c>
      <c r="BT50" s="191"/>
      <c r="BU50" s="207">
        <f t="shared" si="15"/>
        <v>0</v>
      </c>
      <c r="BV50" s="73"/>
      <c r="BW50" s="73"/>
      <c r="BX50" s="193"/>
      <c r="BY50" s="209">
        <f t="shared" si="16"/>
        <v>0</v>
      </c>
      <c r="BZ50" s="193"/>
      <c r="CA50" s="206">
        <f t="shared" si="17"/>
        <v>0</v>
      </c>
      <c r="CB50" s="191"/>
      <c r="CC50" s="207">
        <f t="shared" si="18"/>
        <v>0</v>
      </c>
      <c r="CD50" s="73"/>
      <c r="CE50" s="73"/>
      <c r="CF50" s="193"/>
      <c r="CG50" s="209">
        <f t="shared" si="19"/>
        <v>0</v>
      </c>
      <c r="CH50" s="193"/>
      <c r="CI50" s="206">
        <f t="shared" si="20"/>
        <v>0</v>
      </c>
      <c r="CJ50" s="191"/>
      <c r="CK50" s="207">
        <f t="shared" si="21"/>
        <v>0</v>
      </c>
      <c r="CL50" s="73"/>
      <c r="CM50" s="73"/>
      <c r="CN50" s="193"/>
      <c r="CO50" s="209">
        <f t="shared" si="22"/>
        <v>0</v>
      </c>
      <c r="CP50" s="193"/>
      <c r="CQ50" s="206">
        <f t="shared" si="23"/>
        <v>0</v>
      </c>
      <c r="CR50" s="191"/>
      <c r="CS50" s="207">
        <f t="shared" si="24"/>
        <v>0</v>
      </c>
      <c r="CT50" s="73"/>
      <c r="CU50" s="73"/>
      <c r="CV50" s="193"/>
      <c r="CW50" s="209">
        <f t="shared" si="25"/>
        <v>0</v>
      </c>
      <c r="CX50" s="193"/>
      <c r="CY50" s="206">
        <f t="shared" si="26"/>
        <v>0</v>
      </c>
      <c r="CZ50" s="191"/>
      <c r="DA50" s="207">
        <f t="shared" si="27"/>
        <v>0</v>
      </c>
      <c r="DB50" s="73"/>
      <c r="DC50" s="73"/>
      <c r="DD50" s="193"/>
      <c r="DE50" s="209">
        <f t="shared" si="28"/>
        <v>0</v>
      </c>
      <c r="DF50" s="193"/>
      <c r="DG50" s="206">
        <f t="shared" si="29"/>
        <v>0</v>
      </c>
      <c r="DH50" s="191"/>
      <c r="DI50" s="207">
        <f t="shared" si="30"/>
        <v>0</v>
      </c>
    </row>
    <row r="51" spans="1:113">
      <c r="A51" s="57">
        <v>48</v>
      </c>
      <c r="B51" s="111"/>
      <c r="C51" s="61"/>
      <c r="D51" s="62"/>
      <c r="E51" s="62"/>
      <c r="F51" s="128"/>
      <c r="G51" s="135"/>
      <c r="H51" s="63"/>
      <c r="I51" s="136"/>
      <c r="J51" s="169"/>
      <c r="K51" s="64"/>
      <c r="L51" s="65"/>
      <c r="M51" s="64"/>
      <c r="N51" s="141"/>
      <c r="O51" s="147"/>
      <c r="P51" s="66"/>
      <c r="Q51" s="66"/>
      <c r="R51" s="148"/>
      <c r="S51" s="182"/>
      <c r="T51" s="183"/>
      <c r="U51" s="155"/>
      <c r="V51" s="173">
        <f t="shared" si="0"/>
        <v>0</v>
      </c>
      <c r="W51" s="67"/>
      <c r="X51" s="67"/>
      <c r="Y51" s="67"/>
      <c r="Z51" s="156"/>
      <c r="AA51" s="84"/>
      <c r="AB51" s="85"/>
      <c r="AC51" s="86"/>
      <c r="AD51" s="68"/>
      <c r="AE51" s="70"/>
      <c r="AF51" s="70"/>
      <c r="AG51" s="69"/>
      <c r="AH51" s="189"/>
      <c r="AI51" s="190"/>
      <c r="AJ51" s="191"/>
      <c r="AK51" s="206">
        <f t="shared" si="1"/>
        <v>0</v>
      </c>
      <c r="AL51" s="191"/>
      <c r="AM51" s="206">
        <f t="shared" si="2"/>
        <v>0</v>
      </c>
      <c r="AN51" s="191"/>
      <c r="AO51" s="207">
        <f t="shared" si="3"/>
        <v>0</v>
      </c>
      <c r="AP51" s="72"/>
      <c r="AQ51" s="72"/>
      <c r="AR51" s="192"/>
      <c r="AS51" s="208">
        <f t="shared" si="4"/>
        <v>0</v>
      </c>
      <c r="AT51" s="193"/>
      <c r="AU51" s="206">
        <f t="shared" si="5"/>
        <v>0</v>
      </c>
      <c r="AV51" s="191"/>
      <c r="AW51" s="207">
        <f t="shared" si="6"/>
        <v>0</v>
      </c>
      <c r="AX51" s="73"/>
      <c r="AY51" s="73"/>
      <c r="AZ51" s="193"/>
      <c r="BA51" s="209">
        <f t="shared" si="7"/>
        <v>0</v>
      </c>
      <c r="BB51" s="193"/>
      <c r="BC51" s="206">
        <f t="shared" si="8"/>
        <v>0</v>
      </c>
      <c r="BD51" s="191"/>
      <c r="BE51" s="207">
        <f t="shared" si="9"/>
        <v>0</v>
      </c>
      <c r="BF51" s="73"/>
      <c r="BG51" s="73"/>
      <c r="BH51" s="193"/>
      <c r="BI51" s="209">
        <f t="shared" si="10"/>
        <v>0</v>
      </c>
      <c r="BJ51" s="193"/>
      <c r="BK51" s="206">
        <f t="shared" si="11"/>
        <v>0</v>
      </c>
      <c r="BL51" s="191"/>
      <c r="BM51" s="207">
        <f t="shared" si="12"/>
        <v>0</v>
      </c>
      <c r="BN51" s="73"/>
      <c r="BO51" s="73"/>
      <c r="BP51" s="193"/>
      <c r="BQ51" s="209">
        <f t="shared" si="13"/>
        <v>0</v>
      </c>
      <c r="BR51" s="193"/>
      <c r="BS51" s="206">
        <f t="shared" si="14"/>
        <v>0</v>
      </c>
      <c r="BT51" s="191"/>
      <c r="BU51" s="207">
        <f t="shared" si="15"/>
        <v>0</v>
      </c>
      <c r="BV51" s="73"/>
      <c r="BW51" s="73"/>
      <c r="BX51" s="193"/>
      <c r="BY51" s="209">
        <f t="shared" si="16"/>
        <v>0</v>
      </c>
      <c r="BZ51" s="193"/>
      <c r="CA51" s="206">
        <f t="shared" si="17"/>
        <v>0</v>
      </c>
      <c r="CB51" s="191"/>
      <c r="CC51" s="207">
        <f t="shared" si="18"/>
        <v>0</v>
      </c>
      <c r="CD51" s="73"/>
      <c r="CE51" s="73"/>
      <c r="CF51" s="193"/>
      <c r="CG51" s="209">
        <f t="shared" si="19"/>
        <v>0</v>
      </c>
      <c r="CH51" s="193"/>
      <c r="CI51" s="206">
        <f t="shared" si="20"/>
        <v>0</v>
      </c>
      <c r="CJ51" s="191"/>
      <c r="CK51" s="207">
        <f t="shared" si="21"/>
        <v>0</v>
      </c>
      <c r="CL51" s="73"/>
      <c r="CM51" s="73"/>
      <c r="CN51" s="193"/>
      <c r="CO51" s="209">
        <f t="shared" si="22"/>
        <v>0</v>
      </c>
      <c r="CP51" s="193"/>
      <c r="CQ51" s="206">
        <f t="shared" si="23"/>
        <v>0</v>
      </c>
      <c r="CR51" s="191"/>
      <c r="CS51" s="207">
        <f t="shared" si="24"/>
        <v>0</v>
      </c>
      <c r="CT51" s="73"/>
      <c r="CU51" s="73"/>
      <c r="CV51" s="193"/>
      <c r="CW51" s="209">
        <f t="shared" si="25"/>
        <v>0</v>
      </c>
      <c r="CX51" s="193"/>
      <c r="CY51" s="206">
        <f t="shared" si="26"/>
        <v>0</v>
      </c>
      <c r="CZ51" s="191"/>
      <c r="DA51" s="207">
        <f t="shared" si="27"/>
        <v>0</v>
      </c>
      <c r="DB51" s="73"/>
      <c r="DC51" s="73"/>
      <c r="DD51" s="193"/>
      <c r="DE51" s="209">
        <f t="shared" si="28"/>
        <v>0</v>
      </c>
      <c r="DF51" s="193"/>
      <c r="DG51" s="206">
        <f t="shared" si="29"/>
        <v>0</v>
      </c>
      <c r="DH51" s="191"/>
      <c r="DI51" s="207">
        <f t="shared" si="30"/>
        <v>0</v>
      </c>
    </row>
    <row r="52" spans="1:113">
      <c r="A52" s="57">
        <v>49</v>
      </c>
      <c r="B52" s="111"/>
      <c r="C52" s="61"/>
      <c r="D52" s="62"/>
      <c r="E52" s="62"/>
      <c r="F52" s="128"/>
      <c r="G52" s="135"/>
      <c r="H52" s="63"/>
      <c r="I52" s="136"/>
      <c r="J52" s="169"/>
      <c r="K52" s="64"/>
      <c r="L52" s="65"/>
      <c r="M52" s="64"/>
      <c r="N52" s="141"/>
      <c r="O52" s="147"/>
      <c r="P52" s="66"/>
      <c r="Q52" s="66"/>
      <c r="R52" s="148"/>
      <c r="S52" s="182"/>
      <c r="T52" s="183"/>
      <c r="U52" s="155"/>
      <c r="V52" s="173">
        <f t="shared" si="0"/>
        <v>0</v>
      </c>
      <c r="W52" s="67"/>
      <c r="X52" s="67"/>
      <c r="Y52" s="67"/>
      <c r="Z52" s="156"/>
      <c r="AA52" s="84"/>
      <c r="AB52" s="85"/>
      <c r="AC52" s="86"/>
      <c r="AD52" s="68"/>
      <c r="AE52" s="70"/>
      <c r="AF52" s="70"/>
      <c r="AG52" s="69"/>
      <c r="AH52" s="189"/>
      <c r="AI52" s="190"/>
      <c r="AJ52" s="191"/>
      <c r="AK52" s="206">
        <f t="shared" si="1"/>
        <v>0</v>
      </c>
      <c r="AL52" s="191"/>
      <c r="AM52" s="206">
        <f t="shared" si="2"/>
        <v>0</v>
      </c>
      <c r="AN52" s="191"/>
      <c r="AO52" s="207">
        <f t="shared" si="3"/>
        <v>0</v>
      </c>
      <c r="AP52" s="72"/>
      <c r="AQ52" s="72"/>
      <c r="AR52" s="192"/>
      <c r="AS52" s="208">
        <f t="shared" si="4"/>
        <v>0</v>
      </c>
      <c r="AT52" s="193"/>
      <c r="AU52" s="206">
        <f t="shared" si="5"/>
        <v>0</v>
      </c>
      <c r="AV52" s="191"/>
      <c r="AW52" s="207">
        <f t="shared" si="6"/>
        <v>0</v>
      </c>
      <c r="AX52" s="73"/>
      <c r="AY52" s="73"/>
      <c r="AZ52" s="193"/>
      <c r="BA52" s="209">
        <f t="shared" si="7"/>
        <v>0</v>
      </c>
      <c r="BB52" s="193"/>
      <c r="BC52" s="206">
        <f t="shared" si="8"/>
        <v>0</v>
      </c>
      <c r="BD52" s="191"/>
      <c r="BE52" s="207">
        <f t="shared" si="9"/>
        <v>0</v>
      </c>
      <c r="BF52" s="73"/>
      <c r="BG52" s="73"/>
      <c r="BH52" s="193"/>
      <c r="BI52" s="209">
        <f t="shared" si="10"/>
        <v>0</v>
      </c>
      <c r="BJ52" s="193"/>
      <c r="BK52" s="206">
        <f t="shared" si="11"/>
        <v>0</v>
      </c>
      <c r="BL52" s="191"/>
      <c r="BM52" s="207">
        <f t="shared" si="12"/>
        <v>0</v>
      </c>
      <c r="BN52" s="73"/>
      <c r="BO52" s="73"/>
      <c r="BP52" s="193"/>
      <c r="BQ52" s="209">
        <f t="shared" si="13"/>
        <v>0</v>
      </c>
      <c r="BR52" s="193"/>
      <c r="BS52" s="206">
        <f t="shared" si="14"/>
        <v>0</v>
      </c>
      <c r="BT52" s="191"/>
      <c r="BU52" s="207">
        <f t="shared" si="15"/>
        <v>0</v>
      </c>
      <c r="BV52" s="73"/>
      <c r="BW52" s="73"/>
      <c r="BX52" s="193"/>
      <c r="BY52" s="209">
        <f t="shared" si="16"/>
        <v>0</v>
      </c>
      <c r="BZ52" s="193"/>
      <c r="CA52" s="206">
        <f t="shared" si="17"/>
        <v>0</v>
      </c>
      <c r="CB52" s="191"/>
      <c r="CC52" s="207">
        <f t="shared" si="18"/>
        <v>0</v>
      </c>
      <c r="CD52" s="73"/>
      <c r="CE52" s="73"/>
      <c r="CF52" s="193"/>
      <c r="CG52" s="209">
        <f t="shared" si="19"/>
        <v>0</v>
      </c>
      <c r="CH52" s="193"/>
      <c r="CI52" s="206">
        <f t="shared" si="20"/>
        <v>0</v>
      </c>
      <c r="CJ52" s="191"/>
      <c r="CK52" s="207">
        <f t="shared" si="21"/>
        <v>0</v>
      </c>
      <c r="CL52" s="73"/>
      <c r="CM52" s="73"/>
      <c r="CN52" s="193"/>
      <c r="CO52" s="209">
        <f t="shared" si="22"/>
        <v>0</v>
      </c>
      <c r="CP52" s="193"/>
      <c r="CQ52" s="206">
        <f t="shared" si="23"/>
        <v>0</v>
      </c>
      <c r="CR52" s="191"/>
      <c r="CS52" s="207">
        <f t="shared" si="24"/>
        <v>0</v>
      </c>
      <c r="CT52" s="73"/>
      <c r="CU52" s="73"/>
      <c r="CV52" s="193"/>
      <c r="CW52" s="209">
        <f t="shared" si="25"/>
        <v>0</v>
      </c>
      <c r="CX52" s="193"/>
      <c r="CY52" s="206">
        <f t="shared" si="26"/>
        <v>0</v>
      </c>
      <c r="CZ52" s="191"/>
      <c r="DA52" s="207">
        <f t="shared" si="27"/>
        <v>0</v>
      </c>
      <c r="DB52" s="73"/>
      <c r="DC52" s="73"/>
      <c r="DD52" s="193"/>
      <c r="DE52" s="209">
        <f t="shared" si="28"/>
        <v>0</v>
      </c>
      <c r="DF52" s="193"/>
      <c r="DG52" s="206">
        <f t="shared" si="29"/>
        <v>0</v>
      </c>
      <c r="DH52" s="191"/>
      <c r="DI52" s="207">
        <f t="shared" si="30"/>
        <v>0</v>
      </c>
    </row>
    <row r="53" spans="1:113">
      <c r="A53" s="57">
        <v>50</v>
      </c>
      <c r="B53" s="111"/>
      <c r="C53" s="61"/>
      <c r="D53" s="62"/>
      <c r="E53" s="62"/>
      <c r="F53" s="128"/>
      <c r="G53" s="135"/>
      <c r="H53" s="63"/>
      <c r="I53" s="136"/>
      <c r="J53" s="169"/>
      <c r="K53" s="64"/>
      <c r="L53" s="65"/>
      <c r="M53" s="64"/>
      <c r="N53" s="141"/>
      <c r="O53" s="147"/>
      <c r="P53" s="66"/>
      <c r="Q53" s="66"/>
      <c r="R53" s="148"/>
      <c r="S53" s="182"/>
      <c r="T53" s="183"/>
      <c r="U53" s="155"/>
      <c r="V53" s="173">
        <f t="shared" si="0"/>
        <v>0</v>
      </c>
      <c r="W53" s="67"/>
      <c r="X53" s="67"/>
      <c r="Y53" s="67"/>
      <c r="Z53" s="156"/>
      <c r="AA53" s="84"/>
      <c r="AB53" s="85"/>
      <c r="AC53" s="86"/>
      <c r="AD53" s="68"/>
      <c r="AE53" s="70"/>
      <c r="AF53" s="70"/>
      <c r="AG53" s="69"/>
      <c r="AH53" s="189"/>
      <c r="AI53" s="190"/>
      <c r="AJ53" s="191"/>
      <c r="AK53" s="206">
        <f t="shared" si="1"/>
        <v>0</v>
      </c>
      <c r="AL53" s="191"/>
      <c r="AM53" s="206">
        <f t="shared" si="2"/>
        <v>0</v>
      </c>
      <c r="AN53" s="191"/>
      <c r="AO53" s="207">
        <f t="shared" si="3"/>
        <v>0</v>
      </c>
      <c r="AP53" s="72"/>
      <c r="AQ53" s="72"/>
      <c r="AR53" s="192"/>
      <c r="AS53" s="208">
        <f t="shared" si="4"/>
        <v>0</v>
      </c>
      <c r="AT53" s="193"/>
      <c r="AU53" s="206">
        <f t="shared" si="5"/>
        <v>0</v>
      </c>
      <c r="AV53" s="191"/>
      <c r="AW53" s="207">
        <f t="shared" si="6"/>
        <v>0</v>
      </c>
      <c r="AX53" s="73"/>
      <c r="AY53" s="73"/>
      <c r="AZ53" s="193"/>
      <c r="BA53" s="209">
        <f t="shared" si="7"/>
        <v>0</v>
      </c>
      <c r="BB53" s="193"/>
      <c r="BC53" s="206">
        <f t="shared" si="8"/>
        <v>0</v>
      </c>
      <c r="BD53" s="191"/>
      <c r="BE53" s="207">
        <f t="shared" si="9"/>
        <v>0</v>
      </c>
      <c r="BF53" s="73"/>
      <c r="BG53" s="73"/>
      <c r="BH53" s="193"/>
      <c r="BI53" s="209">
        <f t="shared" si="10"/>
        <v>0</v>
      </c>
      <c r="BJ53" s="193"/>
      <c r="BK53" s="206">
        <f t="shared" si="11"/>
        <v>0</v>
      </c>
      <c r="BL53" s="191"/>
      <c r="BM53" s="207">
        <f t="shared" si="12"/>
        <v>0</v>
      </c>
      <c r="BN53" s="73"/>
      <c r="BO53" s="73"/>
      <c r="BP53" s="193"/>
      <c r="BQ53" s="209">
        <f t="shared" si="13"/>
        <v>0</v>
      </c>
      <c r="BR53" s="193"/>
      <c r="BS53" s="206">
        <f t="shared" si="14"/>
        <v>0</v>
      </c>
      <c r="BT53" s="191"/>
      <c r="BU53" s="207">
        <f t="shared" si="15"/>
        <v>0</v>
      </c>
      <c r="BV53" s="73"/>
      <c r="BW53" s="73"/>
      <c r="BX53" s="193"/>
      <c r="BY53" s="209">
        <f t="shared" si="16"/>
        <v>0</v>
      </c>
      <c r="BZ53" s="193"/>
      <c r="CA53" s="206">
        <f t="shared" si="17"/>
        <v>0</v>
      </c>
      <c r="CB53" s="191"/>
      <c r="CC53" s="207">
        <f t="shared" si="18"/>
        <v>0</v>
      </c>
      <c r="CD53" s="73"/>
      <c r="CE53" s="73"/>
      <c r="CF53" s="193"/>
      <c r="CG53" s="209">
        <f t="shared" si="19"/>
        <v>0</v>
      </c>
      <c r="CH53" s="193"/>
      <c r="CI53" s="206">
        <f t="shared" si="20"/>
        <v>0</v>
      </c>
      <c r="CJ53" s="191"/>
      <c r="CK53" s="207">
        <f t="shared" si="21"/>
        <v>0</v>
      </c>
      <c r="CL53" s="73"/>
      <c r="CM53" s="73"/>
      <c r="CN53" s="193"/>
      <c r="CO53" s="209">
        <f t="shared" si="22"/>
        <v>0</v>
      </c>
      <c r="CP53" s="193"/>
      <c r="CQ53" s="206">
        <f t="shared" si="23"/>
        <v>0</v>
      </c>
      <c r="CR53" s="191"/>
      <c r="CS53" s="207">
        <f t="shared" si="24"/>
        <v>0</v>
      </c>
      <c r="CT53" s="73"/>
      <c r="CU53" s="73"/>
      <c r="CV53" s="193"/>
      <c r="CW53" s="209">
        <f t="shared" si="25"/>
        <v>0</v>
      </c>
      <c r="CX53" s="193"/>
      <c r="CY53" s="206">
        <f t="shared" si="26"/>
        <v>0</v>
      </c>
      <c r="CZ53" s="191"/>
      <c r="DA53" s="207">
        <f t="shared" si="27"/>
        <v>0</v>
      </c>
      <c r="DB53" s="73"/>
      <c r="DC53" s="73"/>
      <c r="DD53" s="193"/>
      <c r="DE53" s="209">
        <f t="shared" si="28"/>
        <v>0</v>
      </c>
      <c r="DF53" s="193"/>
      <c r="DG53" s="206">
        <f t="shared" si="29"/>
        <v>0</v>
      </c>
      <c r="DH53" s="191"/>
      <c r="DI53" s="207">
        <f t="shared" si="30"/>
        <v>0</v>
      </c>
    </row>
    <row r="54" spans="1:113">
      <c r="A54" s="57">
        <v>51</v>
      </c>
      <c r="B54" s="111"/>
      <c r="C54" s="61"/>
      <c r="D54" s="62"/>
      <c r="E54" s="62"/>
      <c r="F54" s="128"/>
      <c r="G54" s="135"/>
      <c r="H54" s="63"/>
      <c r="I54" s="136"/>
      <c r="J54" s="169"/>
      <c r="K54" s="64"/>
      <c r="L54" s="65"/>
      <c r="M54" s="64"/>
      <c r="N54" s="141"/>
      <c r="O54" s="147"/>
      <c r="P54" s="66"/>
      <c r="Q54" s="66"/>
      <c r="R54" s="148"/>
      <c r="S54" s="182"/>
      <c r="T54" s="183"/>
      <c r="U54" s="155"/>
      <c r="V54" s="173">
        <f t="shared" si="0"/>
        <v>0</v>
      </c>
      <c r="W54" s="67"/>
      <c r="X54" s="67"/>
      <c r="Y54" s="67"/>
      <c r="Z54" s="156"/>
      <c r="AA54" s="84"/>
      <c r="AB54" s="85"/>
      <c r="AC54" s="86"/>
      <c r="AD54" s="68"/>
      <c r="AE54" s="70"/>
      <c r="AF54" s="70"/>
      <c r="AG54" s="69"/>
      <c r="AH54" s="189"/>
      <c r="AI54" s="190"/>
      <c r="AJ54" s="191"/>
      <c r="AK54" s="206">
        <f t="shared" si="1"/>
        <v>0</v>
      </c>
      <c r="AL54" s="191"/>
      <c r="AM54" s="206">
        <f t="shared" si="2"/>
        <v>0</v>
      </c>
      <c r="AN54" s="191"/>
      <c r="AO54" s="207">
        <f t="shared" si="3"/>
        <v>0</v>
      </c>
      <c r="AP54" s="72"/>
      <c r="AQ54" s="72"/>
      <c r="AR54" s="192"/>
      <c r="AS54" s="208">
        <f t="shared" si="4"/>
        <v>0</v>
      </c>
      <c r="AT54" s="193"/>
      <c r="AU54" s="206">
        <f t="shared" si="5"/>
        <v>0</v>
      </c>
      <c r="AV54" s="191"/>
      <c r="AW54" s="207">
        <f t="shared" si="6"/>
        <v>0</v>
      </c>
      <c r="AX54" s="73"/>
      <c r="AY54" s="73"/>
      <c r="AZ54" s="193"/>
      <c r="BA54" s="209">
        <f t="shared" si="7"/>
        <v>0</v>
      </c>
      <c r="BB54" s="193"/>
      <c r="BC54" s="206">
        <f t="shared" si="8"/>
        <v>0</v>
      </c>
      <c r="BD54" s="191"/>
      <c r="BE54" s="207">
        <f t="shared" si="9"/>
        <v>0</v>
      </c>
      <c r="BF54" s="73"/>
      <c r="BG54" s="73"/>
      <c r="BH54" s="193"/>
      <c r="BI54" s="209">
        <f t="shared" si="10"/>
        <v>0</v>
      </c>
      <c r="BJ54" s="193"/>
      <c r="BK54" s="206">
        <f t="shared" si="11"/>
        <v>0</v>
      </c>
      <c r="BL54" s="191"/>
      <c r="BM54" s="207">
        <f t="shared" si="12"/>
        <v>0</v>
      </c>
      <c r="BN54" s="73"/>
      <c r="BO54" s="73"/>
      <c r="BP54" s="193"/>
      <c r="BQ54" s="209">
        <f t="shared" si="13"/>
        <v>0</v>
      </c>
      <c r="BR54" s="193"/>
      <c r="BS54" s="206">
        <f t="shared" si="14"/>
        <v>0</v>
      </c>
      <c r="BT54" s="191"/>
      <c r="BU54" s="207">
        <f t="shared" si="15"/>
        <v>0</v>
      </c>
      <c r="BV54" s="73"/>
      <c r="BW54" s="73"/>
      <c r="BX54" s="193"/>
      <c r="BY54" s="209">
        <f t="shared" si="16"/>
        <v>0</v>
      </c>
      <c r="BZ54" s="193"/>
      <c r="CA54" s="206">
        <f t="shared" si="17"/>
        <v>0</v>
      </c>
      <c r="CB54" s="191"/>
      <c r="CC54" s="207">
        <f t="shared" si="18"/>
        <v>0</v>
      </c>
      <c r="CD54" s="73"/>
      <c r="CE54" s="73"/>
      <c r="CF54" s="193"/>
      <c r="CG54" s="209">
        <f t="shared" si="19"/>
        <v>0</v>
      </c>
      <c r="CH54" s="193"/>
      <c r="CI54" s="206">
        <f t="shared" si="20"/>
        <v>0</v>
      </c>
      <c r="CJ54" s="191"/>
      <c r="CK54" s="207">
        <f t="shared" si="21"/>
        <v>0</v>
      </c>
      <c r="CL54" s="73"/>
      <c r="CM54" s="73"/>
      <c r="CN54" s="193"/>
      <c r="CO54" s="209">
        <f t="shared" si="22"/>
        <v>0</v>
      </c>
      <c r="CP54" s="193"/>
      <c r="CQ54" s="206">
        <f t="shared" si="23"/>
        <v>0</v>
      </c>
      <c r="CR54" s="191"/>
      <c r="CS54" s="207">
        <f t="shared" si="24"/>
        <v>0</v>
      </c>
      <c r="CT54" s="73"/>
      <c r="CU54" s="73"/>
      <c r="CV54" s="193"/>
      <c r="CW54" s="209">
        <f t="shared" si="25"/>
        <v>0</v>
      </c>
      <c r="CX54" s="193"/>
      <c r="CY54" s="206">
        <f t="shared" si="26"/>
        <v>0</v>
      </c>
      <c r="CZ54" s="191"/>
      <c r="DA54" s="207">
        <f t="shared" si="27"/>
        <v>0</v>
      </c>
      <c r="DB54" s="73"/>
      <c r="DC54" s="73"/>
      <c r="DD54" s="193"/>
      <c r="DE54" s="209">
        <f t="shared" si="28"/>
        <v>0</v>
      </c>
      <c r="DF54" s="193"/>
      <c r="DG54" s="206">
        <f t="shared" si="29"/>
        <v>0</v>
      </c>
      <c r="DH54" s="191"/>
      <c r="DI54" s="207">
        <f t="shared" si="30"/>
        <v>0</v>
      </c>
    </row>
    <row r="55" spans="1:113">
      <c r="A55" s="57">
        <v>52</v>
      </c>
      <c r="B55" s="111"/>
      <c r="C55" s="61"/>
      <c r="D55" s="62"/>
      <c r="E55" s="62"/>
      <c r="F55" s="128"/>
      <c r="G55" s="135"/>
      <c r="H55" s="63"/>
      <c r="I55" s="136"/>
      <c r="J55" s="169"/>
      <c r="K55" s="64"/>
      <c r="L55" s="65"/>
      <c r="M55" s="64"/>
      <c r="N55" s="141"/>
      <c r="O55" s="147"/>
      <c r="P55" s="66"/>
      <c r="Q55" s="66"/>
      <c r="R55" s="148"/>
      <c r="S55" s="182"/>
      <c r="T55" s="183"/>
      <c r="U55" s="155"/>
      <c r="V55" s="173">
        <f t="shared" si="0"/>
        <v>0</v>
      </c>
      <c r="W55" s="67"/>
      <c r="X55" s="67"/>
      <c r="Y55" s="67"/>
      <c r="Z55" s="156"/>
      <c r="AA55" s="84"/>
      <c r="AB55" s="85"/>
      <c r="AC55" s="86"/>
      <c r="AD55" s="68"/>
      <c r="AE55" s="70"/>
      <c r="AF55" s="70"/>
      <c r="AG55" s="69"/>
      <c r="AH55" s="189"/>
      <c r="AI55" s="190"/>
      <c r="AJ55" s="191"/>
      <c r="AK55" s="206">
        <f t="shared" si="1"/>
        <v>0</v>
      </c>
      <c r="AL55" s="191"/>
      <c r="AM55" s="206">
        <f t="shared" si="2"/>
        <v>0</v>
      </c>
      <c r="AN55" s="191"/>
      <c r="AO55" s="207">
        <f t="shared" si="3"/>
        <v>0</v>
      </c>
      <c r="AP55" s="72"/>
      <c r="AQ55" s="72"/>
      <c r="AR55" s="192"/>
      <c r="AS55" s="208">
        <f t="shared" si="4"/>
        <v>0</v>
      </c>
      <c r="AT55" s="193"/>
      <c r="AU55" s="206">
        <f t="shared" si="5"/>
        <v>0</v>
      </c>
      <c r="AV55" s="191"/>
      <c r="AW55" s="207">
        <f t="shared" si="6"/>
        <v>0</v>
      </c>
      <c r="AX55" s="73"/>
      <c r="AY55" s="73"/>
      <c r="AZ55" s="193"/>
      <c r="BA55" s="209">
        <f t="shared" si="7"/>
        <v>0</v>
      </c>
      <c r="BB55" s="193"/>
      <c r="BC55" s="206">
        <f t="shared" si="8"/>
        <v>0</v>
      </c>
      <c r="BD55" s="191"/>
      <c r="BE55" s="207">
        <f t="shared" si="9"/>
        <v>0</v>
      </c>
      <c r="BF55" s="73"/>
      <c r="BG55" s="73"/>
      <c r="BH55" s="193"/>
      <c r="BI55" s="209">
        <f t="shared" si="10"/>
        <v>0</v>
      </c>
      <c r="BJ55" s="193"/>
      <c r="BK55" s="206">
        <f t="shared" si="11"/>
        <v>0</v>
      </c>
      <c r="BL55" s="191"/>
      <c r="BM55" s="207">
        <f t="shared" si="12"/>
        <v>0</v>
      </c>
      <c r="BN55" s="73"/>
      <c r="BO55" s="73"/>
      <c r="BP55" s="193"/>
      <c r="BQ55" s="209">
        <f t="shared" si="13"/>
        <v>0</v>
      </c>
      <c r="BR55" s="193"/>
      <c r="BS55" s="206">
        <f t="shared" si="14"/>
        <v>0</v>
      </c>
      <c r="BT55" s="191"/>
      <c r="BU55" s="207">
        <f t="shared" si="15"/>
        <v>0</v>
      </c>
      <c r="BV55" s="73"/>
      <c r="BW55" s="73"/>
      <c r="BX55" s="193"/>
      <c r="BY55" s="209">
        <f t="shared" si="16"/>
        <v>0</v>
      </c>
      <c r="BZ55" s="193"/>
      <c r="CA55" s="206">
        <f t="shared" si="17"/>
        <v>0</v>
      </c>
      <c r="CB55" s="191"/>
      <c r="CC55" s="207">
        <f t="shared" si="18"/>
        <v>0</v>
      </c>
      <c r="CD55" s="73"/>
      <c r="CE55" s="73"/>
      <c r="CF55" s="193"/>
      <c r="CG55" s="209">
        <f t="shared" si="19"/>
        <v>0</v>
      </c>
      <c r="CH55" s="193"/>
      <c r="CI55" s="206">
        <f t="shared" si="20"/>
        <v>0</v>
      </c>
      <c r="CJ55" s="191"/>
      <c r="CK55" s="207">
        <f t="shared" si="21"/>
        <v>0</v>
      </c>
      <c r="CL55" s="73"/>
      <c r="CM55" s="73"/>
      <c r="CN55" s="193"/>
      <c r="CO55" s="209">
        <f t="shared" si="22"/>
        <v>0</v>
      </c>
      <c r="CP55" s="193"/>
      <c r="CQ55" s="206">
        <f t="shared" si="23"/>
        <v>0</v>
      </c>
      <c r="CR55" s="191"/>
      <c r="CS55" s="207">
        <f t="shared" si="24"/>
        <v>0</v>
      </c>
      <c r="CT55" s="73"/>
      <c r="CU55" s="73"/>
      <c r="CV55" s="193"/>
      <c r="CW55" s="209">
        <f t="shared" si="25"/>
        <v>0</v>
      </c>
      <c r="CX55" s="193"/>
      <c r="CY55" s="206">
        <f t="shared" si="26"/>
        <v>0</v>
      </c>
      <c r="CZ55" s="191"/>
      <c r="DA55" s="207">
        <f t="shared" si="27"/>
        <v>0</v>
      </c>
      <c r="DB55" s="73"/>
      <c r="DC55" s="73"/>
      <c r="DD55" s="193"/>
      <c r="DE55" s="209">
        <f t="shared" si="28"/>
        <v>0</v>
      </c>
      <c r="DF55" s="193"/>
      <c r="DG55" s="206">
        <f t="shared" si="29"/>
        <v>0</v>
      </c>
      <c r="DH55" s="191"/>
      <c r="DI55" s="207">
        <f t="shared" si="30"/>
        <v>0</v>
      </c>
    </row>
    <row r="56" spans="1:113">
      <c r="A56" s="57">
        <v>53</v>
      </c>
      <c r="B56" s="111"/>
      <c r="C56" s="61"/>
      <c r="D56" s="62"/>
      <c r="E56" s="62"/>
      <c r="F56" s="128"/>
      <c r="G56" s="135"/>
      <c r="H56" s="63"/>
      <c r="I56" s="136"/>
      <c r="J56" s="169"/>
      <c r="K56" s="64"/>
      <c r="L56" s="65"/>
      <c r="M56" s="64"/>
      <c r="N56" s="141"/>
      <c r="O56" s="147"/>
      <c r="P56" s="66"/>
      <c r="Q56" s="66"/>
      <c r="R56" s="148"/>
      <c r="S56" s="182"/>
      <c r="T56" s="183"/>
      <c r="U56" s="155"/>
      <c r="V56" s="173">
        <f t="shared" si="0"/>
        <v>0</v>
      </c>
      <c r="W56" s="67"/>
      <c r="X56" s="67"/>
      <c r="Y56" s="67"/>
      <c r="Z56" s="156"/>
      <c r="AA56" s="84"/>
      <c r="AB56" s="85"/>
      <c r="AC56" s="86"/>
      <c r="AD56" s="68"/>
      <c r="AE56" s="70"/>
      <c r="AF56" s="70"/>
      <c r="AG56" s="69"/>
      <c r="AH56" s="189"/>
      <c r="AI56" s="190"/>
      <c r="AJ56" s="191"/>
      <c r="AK56" s="206">
        <f t="shared" si="1"/>
        <v>0</v>
      </c>
      <c r="AL56" s="191"/>
      <c r="AM56" s="206">
        <f t="shared" si="2"/>
        <v>0</v>
      </c>
      <c r="AN56" s="191"/>
      <c r="AO56" s="207">
        <f t="shared" si="3"/>
        <v>0</v>
      </c>
      <c r="AP56" s="72"/>
      <c r="AQ56" s="72"/>
      <c r="AR56" s="192"/>
      <c r="AS56" s="208">
        <f t="shared" si="4"/>
        <v>0</v>
      </c>
      <c r="AT56" s="193"/>
      <c r="AU56" s="206">
        <f t="shared" si="5"/>
        <v>0</v>
      </c>
      <c r="AV56" s="191"/>
      <c r="AW56" s="207">
        <f t="shared" si="6"/>
        <v>0</v>
      </c>
      <c r="AX56" s="73"/>
      <c r="AY56" s="73"/>
      <c r="AZ56" s="193"/>
      <c r="BA56" s="209">
        <f t="shared" si="7"/>
        <v>0</v>
      </c>
      <c r="BB56" s="193"/>
      <c r="BC56" s="206">
        <f t="shared" si="8"/>
        <v>0</v>
      </c>
      <c r="BD56" s="191"/>
      <c r="BE56" s="207">
        <f t="shared" si="9"/>
        <v>0</v>
      </c>
      <c r="BF56" s="73"/>
      <c r="BG56" s="73"/>
      <c r="BH56" s="193"/>
      <c r="BI56" s="209">
        <f t="shared" si="10"/>
        <v>0</v>
      </c>
      <c r="BJ56" s="193"/>
      <c r="BK56" s="206">
        <f t="shared" si="11"/>
        <v>0</v>
      </c>
      <c r="BL56" s="191"/>
      <c r="BM56" s="207">
        <f t="shared" si="12"/>
        <v>0</v>
      </c>
      <c r="BN56" s="73"/>
      <c r="BO56" s="73"/>
      <c r="BP56" s="193"/>
      <c r="BQ56" s="209">
        <f t="shared" si="13"/>
        <v>0</v>
      </c>
      <c r="BR56" s="193"/>
      <c r="BS56" s="206">
        <f t="shared" si="14"/>
        <v>0</v>
      </c>
      <c r="BT56" s="191"/>
      <c r="BU56" s="207">
        <f t="shared" si="15"/>
        <v>0</v>
      </c>
      <c r="BV56" s="73"/>
      <c r="BW56" s="73"/>
      <c r="BX56" s="193"/>
      <c r="BY56" s="209">
        <f t="shared" si="16"/>
        <v>0</v>
      </c>
      <c r="BZ56" s="193"/>
      <c r="CA56" s="206">
        <f t="shared" si="17"/>
        <v>0</v>
      </c>
      <c r="CB56" s="191"/>
      <c r="CC56" s="207">
        <f t="shared" si="18"/>
        <v>0</v>
      </c>
      <c r="CD56" s="73"/>
      <c r="CE56" s="73"/>
      <c r="CF56" s="193"/>
      <c r="CG56" s="209">
        <f t="shared" si="19"/>
        <v>0</v>
      </c>
      <c r="CH56" s="193"/>
      <c r="CI56" s="206">
        <f t="shared" si="20"/>
        <v>0</v>
      </c>
      <c r="CJ56" s="191"/>
      <c r="CK56" s="207">
        <f t="shared" si="21"/>
        <v>0</v>
      </c>
      <c r="CL56" s="73"/>
      <c r="CM56" s="73"/>
      <c r="CN56" s="193"/>
      <c r="CO56" s="209">
        <f t="shared" si="22"/>
        <v>0</v>
      </c>
      <c r="CP56" s="193"/>
      <c r="CQ56" s="206">
        <f t="shared" si="23"/>
        <v>0</v>
      </c>
      <c r="CR56" s="191"/>
      <c r="CS56" s="207">
        <f t="shared" si="24"/>
        <v>0</v>
      </c>
      <c r="CT56" s="73"/>
      <c r="CU56" s="73"/>
      <c r="CV56" s="193"/>
      <c r="CW56" s="209">
        <f t="shared" si="25"/>
        <v>0</v>
      </c>
      <c r="CX56" s="193"/>
      <c r="CY56" s="206">
        <f t="shared" si="26"/>
        <v>0</v>
      </c>
      <c r="CZ56" s="191"/>
      <c r="DA56" s="207">
        <f t="shared" si="27"/>
        <v>0</v>
      </c>
      <c r="DB56" s="73"/>
      <c r="DC56" s="73"/>
      <c r="DD56" s="193"/>
      <c r="DE56" s="209">
        <f t="shared" si="28"/>
        <v>0</v>
      </c>
      <c r="DF56" s="193"/>
      <c r="DG56" s="206">
        <f t="shared" si="29"/>
        <v>0</v>
      </c>
      <c r="DH56" s="191"/>
      <c r="DI56" s="207">
        <f t="shared" si="30"/>
        <v>0</v>
      </c>
    </row>
    <row r="57" spans="1:113">
      <c r="A57" s="57">
        <v>54</v>
      </c>
      <c r="B57" s="111"/>
      <c r="C57" s="61"/>
      <c r="D57" s="62"/>
      <c r="E57" s="62"/>
      <c r="F57" s="128"/>
      <c r="G57" s="135"/>
      <c r="H57" s="63"/>
      <c r="I57" s="136"/>
      <c r="J57" s="169"/>
      <c r="K57" s="64"/>
      <c r="L57" s="65"/>
      <c r="M57" s="64"/>
      <c r="N57" s="141"/>
      <c r="O57" s="147"/>
      <c r="P57" s="66"/>
      <c r="Q57" s="66"/>
      <c r="R57" s="148"/>
      <c r="S57" s="182"/>
      <c r="T57" s="183"/>
      <c r="U57" s="155"/>
      <c r="V57" s="173">
        <f t="shared" si="0"/>
        <v>0</v>
      </c>
      <c r="W57" s="67"/>
      <c r="X57" s="67"/>
      <c r="Y57" s="67"/>
      <c r="Z57" s="156"/>
      <c r="AA57" s="84"/>
      <c r="AB57" s="85"/>
      <c r="AC57" s="86"/>
      <c r="AD57" s="68"/>
      <c r="AE57" s="70"/>
      <c r="AF57" s="70"/>
      <c r="AG57" s="69"/>
      <c r="AH57" s="189"/>
      <c r="AI57" s="190"/>
      <c r="AJ57" s="191"/>
      <c r="AK57" s="206">
        <f t="shared" si="1"/>
        <v>0</v>
      </c>
      <c r="AL57" s="191"/>
      <c r="AM57" s="206">
        <f t="shared" si="2"/>
        <v>0</v>
      </c>
      <c r="AN57" s="191"/>
      <c r="AO57" s="207">
        <f t="shared" si="3"/>
        <v>0</v>
      </c>
      <c r="AP57" s="72"/>
      <c r="AQ57" s="72"/>
      <c r="AR57" s="192"/>
      <c r="AS57" s="208">
        <f t="shared" si="4"/>
        <v>0</v>
      </c>
      <c r="AT57" s="193"/>
      <c r="AU57" s="206">
        <f t="shared" si="5"/>
        <v>0</v>
      </c>
      <c r="AV57" s="191"/>
      <c r="AW57" s="207">
        <f t="shared" si="6"/>
        <v>0</v>
      </c>
      <c r="AX57" s="73"/>
      <c r="AY57" s="73"/>
      <c r="AZ57" s="193"/>
      <c r="BA57" s="209">
        <f t="shared" si="7"/>
        <v>0</v>
      </c>
      <c r="BB57" s="193"/>
      <c r="BC57" s="206">
        <f t="shared" si="8"/>
        <v>0</v>
      </c>
      <c r="BD57" s="191"/>
      <c r="BE57" s="207">
        <f t="shared" si="9"/>
        <v>0</v>
      </c>
      <c r="BF57" s="73"/>
      <c r="BG57" s="73"/>
      <c r="BH57" s="193"/>
      <c r="BI57" s="209">
        <f t="shared" si="10"/>
        <v>0</v>
      </c>
      <c r="BJ57" s="193"/>
      <c r="BK57" s="206">
        <f t="shared" si="11"/>
        <v>0</v>
      </c>
      <c r="BL57" s="191"/>
      <c r="BM57" s="207">
        <f t="shared" si="12"/>
        <v>0</v>
      </c>
      <c r="BN57" s="73"/>
      <c r="BO57" s="73"/>
      <c r="BP57" s="193"/>
      <c r="BQ57" s="209">
        <f t="shared" si="13"/>
        <v>0</v>
      </c>
      <c r="BR57" s="193"/>
      <c r="BS57" s="206">
        <f t="shared" si="14"/>
        <v>0</v>
      </c>
      <c r="BT57" s="191"/>
      <c r="BU57" s="207">
        <f t="shared" si="15"/>
        <v>0</v>
      </c>
      <c r="BV57" s="73"/>
      <c r="BW57" s="73"/>
      <c r="BX57" s="193"/>
      <c r="BY57" s="209">
        <f t="shared" si="16"/>
        <v>0</v>
      </c>
      <c r="BZ57" s="193"/>
      <c r="CA57" s="206">
        <f t="shared" si="17"/>
        <v>0</v>
      </c>
      <c r="CB57" s="191"/>
      <c r="CC57" s="207">
        <f t="shared" si="18"/>
        <v>0</v>
      </c>
      <c r="CD57" s="73"/>
      <c r="CE57" s="73"/>
      <c r="CF57" s="193"/>
      <c r="CG57" s="209">
        <f t="shared" si="19"/>
        <v>0</v>
      </c>
      <c r="CH57" s="193"/>
      <c r="CI57" s="206">
        <f t="shared" si="20"/>
        <v>0</v>
      </c>
      <c r="CJ57" s="191"/>
      <c r="CK57" s="207">
        <f t="shared" si="21"/>
        <v>0</v>
      </c>
      <c r="CL57" s="73"/>
      <c r="CM57" s="73"/>
      <c r="CN57" s="193"/>
      <c r="CO57" s="209">
        <f t="shared" si="22"/>
        <v>0</v>
      </c>
      <c r="CP57" s="193"/>
      <c r="CQ57" s="206">
        <f t="shared" si="23"/>
        <v>0</v>
      </c>
      <c r="CR57" s="191"/>
      <c r="CS57" s="207">
        <f t="shared" si="24"/>
        <v>0</v>
      </c>
      <c r="CT57" s="73"/>
      <c r="CU57" s="73"/>
      <c r="CV57" s="193"/>
      <c r="CW57" s="209">
        <f t="shared" si="25"/>
        <v>0</v>
      </c>
      <c r="CX57" s="193"/>
      <c r="CY57" s="206">
        <f t="shared" si="26"/>
        <v>0</v>
      </c>
      <c r="CZ57" s="191"/>
      <c r="DA57" s="207">
        <f t="shared" si="27"/>
        <v>0</v>
      </c>
      <c r="DB57" s="73"/>
      <c r="DC57" s="73"/>
      <c r="DD57" s="193"/>
      <c r="DE57" s="209">
        <f t="shared" si="28"/>
        <v>0</v>
      </c>
      <c r="DF57" s="193"/>
      <c r="DG57" s="206">
        <f t="shared" si="29"/>
        <v>0</v>
      </c>
      <c r="DH57" s="191"/>
      <c r="DI57" s="207">
        <f t="shared" si="30"/>
        <v>0</v>
      </c>
    </row>
    <row r="58" spans="1:113">
      <c r="A58" s="57">
        <v>55</v>
      </c>
      <c r="B58" s="111"/>
      <c r="C58" s="61"/>
      <c r="D58" s="62"/>
      <c r="E58" s="62"/>
      <c r="F58" s="128"/>
      <c r="G58" s="135"/>
      <c r="H58" s="63"/>
      <c r="I58" s="136"/>
      <c r="J58" s="169"/>
      <c r="K58" s="64"/>
      <c r="L58" s="65"/>
      <c r="M58" s="64"/>
      <c r="N58" s="141"/>
      <c r="O58" s="147"/>
      <c r="P58" s="66"/>
      <c r="Q58" s="66"/>
      <c r="R58" s="148"/>
      <c r="S58" s="182"/>
      <c r="T58" s="183"/>
      <c r="U58" s="155"/>
      <c r="V58" s="173">
        <f t="shared" si="0"/>
        <v>0</v>
      </c>
      <c r="W58" s="67"/>
      <c r="X58" s="67"/>
      <c r="Y58" s="67"/>
      <c r="Z58" s="156"/>
      <c r="AA58" s="84"/>
      <c r="AB58" s="85"/>
      <c r="AC58" s="86"/>
      <c r="AD58" s="68"/>
      <c r="AE58" s="70"/>
      <c r="AF58" s="70"/>
      <c r="AG58" s="69"/>
      <c r="AH58" s="189"/>
      <c r="AI58" s="190"/>
      <c r="AJ58" s="191"/>
      <c r="AK58" s="206">
        <f t="shared" si="1"/>
        <v>0</v>
      </c>
      <c r="AL58" s="191"/>
      <c r="AM58" s="206">
        <f t="shared" si="2"/>
        <v>0</v>
      </c>
      <c r="AN58" s="191"/>
      <c r="AO58" s="207">
        <f t="shared" si="3"/>
        <v>0</v>
      </c>
      <c r="AP58" s="72"/>
      <c r="AQ58" s="72"/>
      <c r="AR58" s="192"/>
      <c r="AS58" s="208">
        <f t="shared" si="4"/>
        <v>0</v>
      </c>
      <c r="AT58" s="193"/>
      <c r="AU58" s="206">
        <f t="shared" si="5"/>
        <v>0</v>
      </c>
      <c r="AV58" s="191"/>
      <c r="AW58" s="207">
        <f t="shared" si="6"/>
        <v>0</v>
      </c>
      <c r="AX58" s="73"/>
      <c r="AY58" s="73"/>
      <c r="AZ58" s="193"/>
      <c r="BA58" s="209">
        <f t="shared" si="7"/>
        <v>0</v>
      </c>
      <c r="BB58" s="193"/>
      <c r="BC58" s="206">
        <f t="shared" si="8"/>
        <v>0</v>
      </c>
      <c r="BD58" s="191"/>
      <c r="BE58" s="207">
        <f t="shared" si="9"/>
        <v>0</v>
      </c>
      <c r="BF58" s="73"/>
      <c r="BG58" s="73"/>
      <c r="BH58" s="193"/>
      <c r="BI58" s="209">
        <f t="shared" si="10"/>
        <v>0</v>
      </c>
      <c r="BJ58" s="193"/>
      <c r="BK58" s="206">
        <f t="shared" si="11"/>
        <v>0</v>
      </c>
      <c r="BL58" s="191"/>
      <c r="BM58" s="207">
        <f t="shared" si="12"/>
        <v>0</v>
      </c>
      <c r="BN58" s="73"/>
      <c r="BO58" s="73"/>
      <c r="BP58" s="193"/>
      <c r="BQ58" s="209">
        <f t="shared" si="13"/>
        <v>0</v>
      </c>
      <c r="BR58" s="193"/>
      <c r="BS58" s="206">
        <f t="shared" si="14"/>
        <v>0</v>
      </c>
      <c r="BT58" s="191"/>
      <c r="BU58" s="207">
        <f t="shared" si="15"/>
        <v>0</v>
      </c>
      <c r="BV58" s="73"/>
      <c r="BW58" s="73"/>
      <c r="BX58" s="193"/>
      <c r="BY58" s="209">
        <f t="shared" si="16"/>
        <v>0</v>
      </c>
      <c r="BZ58" s="193"/>
      <c r="CA58" s="206">
        <f t="shared" si="17"/>
        <v>0</v>
      </c>
      <c r="CB58" s="191"/>
      <c r="CC58" s="207">
        <f t="shared" si="18"/>
        <v>0</v>
      </c>
      <c r="CD58" s="73"/>
      <c r="CE58" s="73"/>
      <c r="CF58" s="193"/>
      <c r="CG58" s="209">
        <f t="shared" si="19"/>
        <v>0</v>
      </c>
      <c r="CH58" s="193"/>
      <c r="CI58" s="206">
        <f t="shared" si="20"/>
        <v>0</v>
      </c>
      <c r="CJ58" s="191"/>
      <c r="CK58" s="207">
        <f t="shared" si="21"/>
        <v>0</v>
      </c>
      <c r="CL58" s="73"/>
      <c r="CM58" s="73"/>
      <c r="CN58" s="193"/>
      <c r="CO58" s="209">
        <f t="shared" si="22"/>
        <v>0</v>
      </c>
      <c r="CP58" s="193"/>
      <c r="CQ58" s="206">
        <f t="shared" si="23"/>
        <v>0</v>
      </c>
      <c r="CR58" s="191"/>
      <c r="CS58" s="207">
        <f t="shared" si="24"/>
        <v>0</v>
      </c>
      <c r="CT58" s="73"/>
      <c r="CU58" s="73"/>
      <c r="CV58" s="193"/>
      <c r="CW58" s="209">
        <f t="shared" si="25"/>
        <v>0</v>
      </c>
      <c r="CX58" s="193"/>
      <c r="CY58" s="206">
        <f t="shared" si="26"/>
        <v>0</v>
      </c>
      <c r="CZ58" s="191"/>
      <c r="DA58" s="207">
        <f t="shared" si="27"/>
        <v>0</v>
      </c>
      <c r="DB58" s="73"/>
      <c r="DC58" s="73"/>
      <c r="DD58" s="193"/>
      <c r="DE58" s="209">
        <f t="shared" si="28"/>
        <v>0</v>
      </c>
      <c r="DF58" s="193"/>
      <c r="DG58" s="206">
        <f t="shared" si="29"/>
        <v>0</v>
      </c>
      <c r="DH58" s="191"/>
      <c r="DI58" s="207">
        <f t="shared" si="30"/>
        <v>0</v>
      </c>
    </row>
    <row r="59" spans="1:113">
      <c r="A59" s="57">
        <v>56</v>
      </c>
      <c r="B59" s="111"/>
      <c r="C59" s="61"/>
      <c r="D59" s="62"/>
      <c r="E59" s="62"/>
      <c r="F59" s="128"/>
      <c r="G59" s="135"/>
      <c r="H59" s="63"/>
      <c r="I59" s="136"/>
      <c r="J59" s="169"/>
      <c r="K59" s="64"/>
      <c r="L59" s="65"/>
      <c r="M59" s="64"/>
      <c r="N59" s="141"/>
      <c r="O59" s="147"/>
      <c r="P59" s="66"/>
      <c r="Q59" s="66"/>
      <c r="R59" s="148"/>
      <c r="S59" s="182"/>
      <c r="T59" s="183"/>
      <c r="U59" s="155"/>
      <c r="V59" s="173">
        <f t="shared" si="0"/>
        <v>0</v>
      </c>
      <c r="W59" s="67"/>
      <c r="X59" s="67"/>
      <c r="Y59" s="67"/>
      <c r="Z59" s="156"/>
      <c r="AA59" s="84"/>
      <c r="AB59" s="85"/>
      <c r="AC59" s="86"/>
      <c r="AD59" s="68"/>
      <c r="AE59" s="70"/>
      <c r="AF59" s="70"/>
      <c r="AG59" s="69"/>
      <c r="AH59" s="189"/>
      <c r="AI59" s="190"/>
      <c r="AJ59" s="191"/>
      <c r="AK59" s="206">
        <f t="shared" si="1"/>
        <v>0</v>
      </c>
      <c r="AL59" s="191"/>
      <c r="AM59" s="206">
        <f t="shared" si="2"/>
        <v>0</v>
      </c>
      <c r="AN59" s="191"/>
      <c r="AO59" s="207">
        <f t="shared" si="3"/>
        <v>0</v>
      </c>
      <c r="AP59" s="72"/>
      <c r="AQ59" s="72"/>
      <c r="AR59" s="192"/>
      <c r="AS59" s="208">
        <f t="shared" si="4"/>
        <v>0</v>
      </c>
      <c r="AT59" s="193"/>
      <c r="AU59" s="206">
        <f t="shared" si="5"/>
        <v>0</v>
      </c>
      <c r="AV59" s="191"/>
      <c r="AW59" s="207">
        <f t="shared" si="6"/>
        <v>0</v>
      </c>
      <c r="AX59" s="73"/>
      <c r="AY59" s="73"/>
      <c r="AZ59" s="193"/>
      <c r="BA59" s="209">
        <f t="shared" si="7"/>
        <v>0</v>
      </c>
      <c r="BB59" s="193"/>
      <c r="BC59" s="206">
        <f t="shared" si="8"/>
        <v>0</v>
      </c>
      <c r="BD59" s="191"/>
      <c r="BE59" s="207">
        <f t="shared" si="9"/>
        <v>0</v>
      </c>
      <c r="BF59" s="73"/>
      <c r="BG59" s="73"/>
      <c r="BH59" s="193"/>
      <c r="BI59" s="209">
        <f t="shared" si="10"/>
        <v>0</v>
      </c>
      <c r="BJ59" s="193"/>
      <c r="BK59" s="206">
        <f t="shared" si="11"/>
        <v>0</v>
      </c>
      <c r="BL59" s="191"/>
      <c r="BM59" s="207">
        <f t="shared" si="12"/>
        <v>0</v>
      </c>
      <c r="BN59" s="73"/>
      <c r="BO59" s="73"/>
      <c r="BP59" s="193"/>
      <c r="BQ59" s="209">
        <f t="shared" si="13"/>
        <v>0</v>
      </c>
      <c r="BR59" s="193"/>
      <c r="BS59" s="206">
        <f t="shared" si="14"/>
        <v>0</v>
      </c>
      <c r="BT59" s="191"/>
      <c r="BU59" s="207">
        <f t="shared" si="15"/>
        <v>0</v>
      </c>
      <c r="BV59" s="73"/>
      <c r="BW59" s="73"/>
      <c r="BX59" s="193"/>
      <c r="BY59" s="209">
        <f t="shared" si="16"/>
        <v>0</v>
      </c>
      <c r="BZ59" s="193"/>
      <c r="CA59" s="206">
        <f t="shared" si="17"/>
        <v>0</v>
      </c>
      <c r="CB59" s="191"/>
      <c r="CC59" s="207">
        <f t="shared" si="18"/>
        <v>0</v>
      </c>
      <c r="CD59" s="73"/>
      <c r="CE59" s="73"/>
      <c r="CF59" s="193"/>
      <c r="CG59" s="209">
        <f t="shared" si="19"/>
        <v>0</v>
      </c>
      <c r="CH59" s="193"/>
      <c r="CI59" s="206">
        <f t="shared" si="20"/>
        <v>0</v>
      </c>
      <c r="CJ59" s="191"/>
      <c r="CK59" s="207">
        <f t="shared" si="21"/>
        <v>0</v>
      </c>
      <c r="CL59" s="73"/>
      <c r="CM59" s="73"/>
      <c r="CN59" s="193"/>
      <c r="CO59" s="209">
        <f t="shared" si="22"/>
        <v>0</v>
      </c>
      <c r="CP59" s="193"/>
      <c r="CQ59" s="206">
        <f t="shared" si="23"/>
        <v>0</v>
      </c>
      <c r="CR59" s="191"/>
      <c r="CS59" s="207">
        <f t="shared" si="24"/>
        <v>0</v>
      </c>
      <c r="CT59" s="73"/>
      <c r="CU59" s="73"/>
      <c r="CV59" s="193"/>
      <c r="CW59" s="209">
        <f t="shared" si="25"/>
        <v>0</v>
      </c>
      <c r="CX59" s="193"/>
      <c r="CY59" s="206">
        <f t="shared" si="26"/>
        <v>0</v>
      </c>
      <c r="CZ59" s="191"/>
      <c r="DA59" s="207">
        <f t="shared" si="27"/>
        <v>0</v>
      </c>
      <c r="DB59" s="73"/>
      <c r="DC59" s="73"/>
      <c r="DD59" s="193"/>
      <c r="DE59" s="209">
        <f t="shared" si="28"/>
        <v>0</v>
      </c>
      <c r="DF59" s="193"/>
      <c r="DG59" s="206">
        <f t="shared" si="29"/>
        <v>0</v>
      </c>
      <c r="DH59" s="191"/>
      <c r="DI59" s="207">
        <f t="shared" si="30"/>
        <v>0</v>
      </c>
    </row>
    <row r="60" spans="1:113">
      <c r="A60" s="57">
        <v>57</v>
      </c>
      <c r="B60" s="111"/>
      <c r="C60" s="61"/>
      <c r="D60" s="62"/>
      <c r="E60" s="62"/>
      <c r="F60" s="128"/>
      <c r="G60" s="135"/>
      <c r="H60" s="63"/>
      <c r="I60" s="136"/>
      <c r="J60" s="169"/>
      <c r="K60" s="64"/>
      <c r="L60" s="65"/>
      <c r="M60" s="64"/>
      <c r="N60" s="141"/>
      <c r="O60" s="147"/>
      <c r="P60" s="66"/>
      <c r="Q60" s="66"/>
      <c r="R60" s="148"/>
      <c r="S60" s="182"/>
      <c r="T60" s="183"/>
      <c r="U60" s="155"/>
      <c r="V60" s="173">
        <f t="shared" si="0"/>
        <v>0</v>
      </c>
      <c r="W60" s="67"/>
      <c r="X60" s="67"/>
      <c r="Y60" s="67"/>
      <c r="Z60" s="156"/>
      <c r="AA60" s="84"/>
      <c r="AB60" s="85"/>
      <c r="AC60" s="86"/>
      <c r="AD60" s="68"/>
      <c r="AE60" s="70"/>
      <c r="AF60" s="70"/>
      <c r="AG60" s="69"/>
      <c r="AH60" s="189"/>
      <c r="AI60" s="190"/>
      <c r="AJ60" s="191"/>
      <c r="AK60" s="206">
        <f t="shared" si="1"/>
        <v>0</v>
      </c>
      <c r="AL60" s="191"/>
      <c r="AM60" s="206">
        <f t="shared" si="2"/>
        <v>0</v>
      </c>
      <c r="AN60" s="191"/>
      <c r="AO60" s="207">
        <f t="shared" si="3"/>
        <v>0</v>
      </c>
      <c r="AP60" s="72"/>
      <c r="AQ60" s="72"/>
      <c r="AR60" s="192"/>
      <c r="AS60" s="208">
        <f t="shared" si="4"/>
        <v>0</v>
      </c>
      <c r="AT60" s="193"/>
      <c r="AU60" s="206">
        <f t="shared" si="5"/>
        <v>0</v>
      </c>
      <c r="AV60" s="191"/>
      <c r="AW60" s="207">
        <f t="shared" si="6"/>
        <v>0</v>
      </c>
      <c r="AX60" s="73"/>
      <c r="AY60" s="73"/>
      <c r="AZ60" s="193"/>
      <c r="BA60" s="209">
        <f t="shared" si="7"/>
        <v>0</v>
      </c>
      <c r="BB60" s="193"/>
      <c r="BC60" s="206">
        <f t="shared" si="8"/>
        <v>0</v>
      </c>
      <c r="BD60" s="191"/>
      <c r="BE60" s="207">
        <f t="shared" si="9"/>
        <v>0</v>
      </c>
      <c r="BF60" s="73"/>
      <c r="BG60" s="73"/>
      <c r="BH60" s="193"/>
      <c r="BI60" s="209">
        <f t="shared" si="10"/>
        <v>0</v>
      </c>
      <c r="BJ60" s="193"/>
      <c r="BK60" s="206">
        <f t="shared" si="11"/>
        <v>0</v>
      </c>
      <c r="BL60" s="191"/>
      <c r="BM60" s="207">
        <f t="shared" si="12"/>
        <v>0</v>
      </c>
      <c r="BN60" s="73"/>
      <c r="BO60" s="73"/>
      <c r="BP60" s="193"/>
      <c r="BQ60" s="209">
        <f t="shared" si="13"/>
        <v>0</v>
      </c>
      <c r="BR60" s="193"/>
      <c r="BS60" s="206">
        <f t="shared" si="14"/>
        <v>0</v>
      </c>
      <c r="BT60" s="191"/>
      <c r="BU60" s="207">
        <f t="shared" si="15"/>
        <v>0</v>
      </c>
      <c r="BV60" s="73"/>
      <c r="BW60" s="73"/>
      <c r="BX60" s="193"/>
      <c r="BY60" s="209">
        <f t="shared" si="16"/>
        <v>0</v>
      </c>
      <c r="BZ60" s="193"/>
      <c r="CA60" s="206">
        <f t="shared" si="17"/>
        <v>0</v>
      </c>
      <c r="CB60" s="191"/>
      <c r="CC60" s="207">
        <f t="shared" si="18"/>
        <v>0</v>
      </c>
      <c r="CD60" s="73"/>
      <c r="CE60" s="73"/>
      <c r="CF60" s="193"/>
      <c r="CG60" s="209">
        <f t="shared" si="19"/>
        <v>0</v>
      </c>
      <c r="CH60" s="193"/>
      <c r="CI60" s="206">
        <f t="shared" si="20"/>
        <v>0</v>
      </c>
      <c r="CJ60" s="191"/>
      <c r="CK60" s="207">
        <f t="shared" si="21"/>
        <v>0</v>
      </c>
      <c r="CL60" s="73"/>
      <c r="CM60" s="73"/>
      <c r="CN60" s="193"/>
      <c r="CO60" s="209">
        <f t="shared" si="22"/>
        <v>0</v>
      </c>
      <c r="CP60" s="193"/>
      <c r="CQ60" s="206">
        <f t="shared" si="23"/>
        <v>0</v>
      </c>
      <c r="CR60" s="191"/>
      <c r="CS60" s="207">
        <f t="shared" si="24"/>
        <v>0</v>
      </c>
      <c r="CT60" s="73"/>
      <c r="CU60" s="73"/>
      <c r="CV60" s="193"/>
      <c r="CW60" s="209">
        <f t="shared" si="25"/>
        <v>0</v>
      </c>
      <c r="CX60" s="193"/>
      <c r="CY60" s="206">
        <f t="shared" si="26"/>
        <v>0</v>
      </c>
      <c r="CZ60" s="191"/>
      <c r="DA60" s="207">
        <f t="shared" si="27"/>
        <v>0</v>
      </c>
      <c r="DB60" s="73"/>
      <c r="DC60" s="73"/>
      <c r="DD60" s="193"/>
      <c r="DE60" s="209">
        <f t="shared" si="28"/>
        <v>0</v>
      </c>
      <c r="DF60" s="193"/>
      <c r="DG60" s="206">
        <f t="shared" si="29"/>
        <v>0</v>
      </c>
      <c r="DH60" s="191"/>
      <c r="DI60" s="207">
        <f t="shared" si="30"/>
        <v>0</v>
      </c>
    </row>
    <row r="61" spans="1:113">
      <c r="A61" s="57">
        <v>58</v>
      </c>
      <c r="B61" s="111"/>
      <c r="C61" s="61"/>
      <c r="D61" s="62"/>
      <c r="E61" s="62"/>
      <c r="F61" s="128"/>
      <c r="G61" s="135"/>
      <c r="H61" s="63"/>
      <c r="I61" s="136"/>
      <c r="J61" s="169"/>
      <c r="K61" s="64"/>
      <c r="L61" s="65"/>
      <c r="M61" s="64"/>
      <c r="N61" s="141"/>
      <c r="O61" s="147"/>
      <c r="P61" s="66"/>
      <c r="Q61" s="66"/>
      <c r="R61" s="148"/>
      <c r="S61" s="182"/>
      <c r="T61" s="183"/>
      <c r="U61" s="155"/>
      <c r="V61" s="173">
        <f t="shared" si="0"/>
        <v>0</v>
      </c>
      <c r="W61" s="67"/>
      <c r="X61" s="67"/>
      <c r="Y61" s="67"/>
      <c r="Z61" s="156"/>
      <c r="AA61" s="84"/>
      <c r="AB61" s="85"/>
      <c r="AC61" s="86"/>
      <c r="AD61" s="68"/>
      <c r="AE61" s="70"/>
      <c r="AF61" s="70"/>
      <c r="AG61" s="69"/>
      <c r="AH61" s="189"/>
      <c r="AI61" s="190"/>
      <c r="AJ61" s="191"/>
      <c r="AK61" s="206">
        <f t="shared" si="1"/>
        <v>0</v>
      </c>
      <c r="AL61" s="191"/>
      <c r="AM61" s="206">
        <f t="shared" si="2"/>
        <v>0</v>
      </c>
      <c r="AN61" s="191"/>
      <c r="AO61" s="207">
        <f t="shared" si="3"/>
        <v>0</v>
      </c>
      <c r="AP61" s="72"/>
      <c r="AQ61" s="72"/>
      <c r="AR61" s="192"/>
      <c r="AS61" s="208">
        <f t="shared" si="4"/>
        <v>0</v>
      </c>
      <c r="AT61" s="193"/>
      <c r="AU61" s="206">
        <f t="shared" si="5"/>
        <v>0</v>
      </c>
      <c r="AV61" s="191"/>
      <c r="AW61" s="207">
        <f t="shared" si="6"/>
        <v>0</v>
      </c>
      <c r="AX61" s="73"/>
      <c r="AY61" s="73"/>
      <c r="AZ61" s="193"/>
      <c r="BA61" s="209">
        <f t="shared" si="7"/>
        <v>0</v>
      </c>
      <c r="BB61" s="193"/>
      <c r="BC61" s="206">
        <f t="shared" si="8"/>
        <v>0</v>
      </c>
      <c r="BD61" s="191"/>
      <c r="BE61" s="207">
        <f t="shared" si="9"/>
        <v>0</v>
      </c>
      <c r="BF61" s="73"/>
      <c r="BG61" s="73"/>
      <c r="BH61" s="193"/>
      <c r="BI61" s="209">
        <f t="shared" si="10"/>
        <v>0</v>
      </c>
      <c r="BJ61" s="193"/>
      <c r="BK61" s="206">
        <f t="shared" si="11"/>
        <v>0</v>
      </c>
      <c r="BL61" s="191"/>
      <c r="BM61" s="207">
        <f t="shared" si="12"/>
        <v>0</v>
      </c>
      <c r="BN61" s="73"/>
      <c r="BO61" s="73"/>
      <c r="BP61" s="193"/>
      <c r="BQ61" s="209">
        <f t="shared" si="13"/>
        <v>0</v>
      </c>
      <c r="BR61" s="193"/>
      <c r="BS61" s="206">
        <f t="shared" si="14"/>
        <v>0</v>
      </c>
      <c r="BT61" s="191"/>
      <c r="BU61" s="207">
        <f t="shared" si="15"/>
        <v>0</v>
      </c>
      <c r="BV61" s="73"/>
      <c r="BW61" s="73"/>
      <c r="BX61" s="193"/>
      <c r="BY61" s="209">
        <f t="shared" si="16"/>
        <v>0</v>
      </c>
      <c r="BZ61" s="193"/>
      <c r="CA61" s="206">
        <f t="shared" si="17"/>
        <v>0</v>
      </c>
      <c r="CB61" s="191"/>
      <c r="CC61" s="207">
        <f t="shared" si="18"/>
        <v>0</v>
      </c>
      <c r="CD61" s="73"/>
      <c r="CE61" s="73"/>
      <c r="CF61" s="193"/>
      <c r="CG61" s="209">
        <f t="shared" si="19"/>
        <v>0</v>
      </c>
      <c r="CH61" s="193"/>
      <c r="CI61" s="206">
        <f t="shared" si="20"/>
        <v>0</v>
      </c>
      <c r="CJ61" s="191"/>
      <c r="CK61" s="207">
        <f t="shared" si="21"/>
        <v>0</v>
      </c>
      <c r="CL61" s="73"/>
      <c r="CM61" s="73"/>
      <c r="CN61" s="193"/>
      <c r="CO61" s="209">
        <f t="shared" si="22"/>
        <v>0</v>
      </c>
      <c r="CP61" s="193"/>
      <c r="CQ61" s="206">
        <f t="shared" si="23"/>
        <v>0</v>
      </c>
      <c r="CR61" s="191"/>
      <c r="CS61" s="207">
        <f t="shared" si="24"/>
        <v>0</v>
      </c>
      <c r="CT61" s="73"/>
      <c r="CU61" s="73"/>
      <c r="CV61" s="193"/>
      <c r="CW61" s="209">
        <f t="shared" si="25"/>
        <v>0</v>
      </c>
      <c r="CX61" s="193"/>
      <c r="CY61" s="206">
        <f t="shared" si="26"/>
        <v>0</v>
      </c>
      <c r="CZ61" s="191"/>
      <c r="DA61" s="207">
        <f t="shared" si="27"/>
        <v>0</v>
      </c>
      <c r="DB61" s="73"/>
      <c r="DC61" s="73"/>
      <c r="DD61" s="193"/>
      <c r="DE61" s="209">
        <f t="shared" si="28"/>
        <v>0</v>
      </c>
      <c r="DF61" s="193"/>
      <c r="DG61" s="206">
        <f t="shared" si="29"/>
        <v>0</v>
      </c>
      <c r="DH61" s="191"/>
      <c r="DI61" s="207">
        <f t="shared" si="30"/>
        <v>0</v>
      </c>
    </row>
    <row r="62" spans="1:113">
      <c r="A62" s="57">
        <v>59</v>
      </c>
      <c r="B62" s="111"/>
      <c r="C62" s="61"/>
      <c r="D62" s="62"/>
      <c r="E62" s="62"/>
      <c r="F62" s="128"/>
      <c r="G62" s="135"/>
      <c r="H62" s="63"/>
      <c r="I62" s="136"/>
      <c r="J62" s="169"/>
      <c r="K62" s="64"/>
      <c r="L62" s="65"/>
      <c r="M62" s="64"/>
      <c r="N62" s="141"/>
      <c r="O62" s="147"/>
      <c r="P62" s="66"/>
      <c r="Q62" s="66"/>
      <c r="R62" s="148"/>
      <c r="S62" s="182"/>
      <c r="T62" s="183"/>
      <c r="U62" s="155"/>
      <c r="V62" s="173">
        <f t="shared" si="0"/>
        <v>0</v>
      </c>
      <c r="W62" s="67"/>
      <c r="X62" s="67"/>
      <c r="Y62" s="67"/>
      <c r="Z62" s="156"/>
      <c r="AA62" s="84"/>
      <c r="AB62" s="85"/>
      <c r="AC62" s="86"/>
      <c r="AD62" s="68"/>
      <c r="AE62" s="70"/>
      <c r="AF62" s="70"/>
      <c r="AG62" s="69"/>
      <c r="AH62" s="189"/>
      <c r="AI62" s="190"/>
      <c r="AJ62" s="191"/>
      <c r="AK62" s="206">
        <f t="shared" si="1"/>
        <v>0</v>
      </c>
      <c r="AL62" s="191"/>
      <c r="AM62" s="206">
        <f t="shared" si="2"/>
        <v>0</v>
      </c>
      <c r="AN62" s="191"/>
      <c r="AO62" s="207">
        <f t="shared" si="3"/>
        <v>0</v>
      </c>
      <c r="AP62" s="72"/>
      <c r="AQ62" s="72"/>
      <c r="AR62" s="192"/>
      <c r="AS62" s="208">
        <f t="shared" si="4"/>
        <v>0</v>
      </c>
      <c r="AT62" s="193"/>
      <c r="AU62" s="206">
        <f t="shared" si="5"/>
        <v>0</v>
      </c>
      <c r="AV62" s="191"/>
      <c r="AW62" s="207">
        <f t="shared" si="6"/>
        <v>0</v>
      </c>
      <c r="AX62" s="73"/>
      <c r="AY62" s="73"/>
      <c r="AZ62" s="193"/>
      <c r="BA62" s="209">
        <f t="shared" si="7"/>
        <v>0</v>
      </c>
      <c r="BB62" s="193"/>
      <c r="BC62" s="206">
        <f t="shared" si="8"/>
        <v>0</v>
      </c>
      <c r="BD62" s="191"/>
      <c r="BE62" s="207">
        <f t="shared" si="9"/>
        <v>0</v>
      </c>
      <c r="BF62" s="73"/>
      <c r="BG62" s="73"/>
      <c r="BH62" s="193"/>
      <c r="BI62" s="209">
        <f t="shared" si="10"/>
        <v>0</v>
      </c>
      <c r="BJ62" s="193"/>
      <c r="BK62" s="206">
        <f t="shared" si="11"/>
        <v>0</v>
      </c>
      <c r="BL62" s="191"/>
      <c r="BM62" s="207">
        <f t="shared" si="12"/>
        <v>0</v>
      </c>
      <c r="BN62" s="73"/>
      <c r="BO62" s="73"/>
      <c r="BP62" s="193"/>
      <c r="BQ62" s="209">
        <f t="shared" si="13"/>
        <v>0</v>
      </c>
      <c r="BR62" s="193"/>
      <c r="BS62" s="206">
        <f t="shared" si="14"/>
        <v>0</v>
      </c>
      <c r="BT62" s="191"/>
      <c r="BU62" s="207">
        <f t="shared" si="15"/>
        <v>0</v>
      </c>
      <c r="BV62" s="73"/>
      <c r="BW62" s="73"/>
      <c r="BX62" s="193"/>
      <c r="BY62" s="209">
        <f t="shared" si="16"/>
        <v>0</v>
      </c>
      <c r="BZ62" s="193"/>
      <c r="CA62" s="206">
        <f t="shared" si="17"/>
        <v>0</v>
      </c>
      <c r="CB62" s="191"/>
      <c r="CC62" s="207">
        <f t="shared" si="18"/>
        <v>0</v>
      </c>
      <c r="CD62" s="73"/>
      <c r="CE62" s="73"/>
      <c r="CF62" s="193"/>
      <c r="CG62" s="209">
        <f t="shared" si="19"/>
        <v>0</v>
      </c>
      <c r="CH62" s="193"/>
      <c r="CI62" s="206">
        <f t="shared" si="20"/>
        <v>0</v>
      </c>
      <c r="CJ62" s="191"/>
      <c r="CK62" s="207">
        <f t="shared" si="21"/>
        <v>0</v>
      </c>
      <c r="CL62" s="73"/>
      <c r="CM62" s="73"/>
      <c r="CN62" s="193"/>
      <c r="CO62" s="209">
        <f t="shared" si="22"/>
        <v>0</v>
      </c>
      <c r="CP62" s="193"/>
      <c r="CQ62" s="206">
        <f t="shared" si="23"/>
        <v>0</v>
      </c>
      <c r="CR62" s="191"/>
      <c r="CS62" s="207">
        <f t="shared" si="24"/>
        <v>0</v>
      </c>
      <c r="CT62" s="73"/>
      <c r="CU62" s="73"/>
      <c r="CV62" s="193"/>
      <c r="CW62" s="209">
        <f t="shared" si="25"/>
        <v>0</v>
      </c>
      <c r="CX62" s="193"/>
      <c r="CY62" s="206">
        <f t="shared" si="26"/>
        <v>0</v>
      </c>
      <c r="CZ62" s="191"/>
      <c r="DA62" s="207">
        <f t="shared" si="27"/>
        <v>0</v>
      </c>
      <c r="DB62" s="73"/>
      <c r="DC62" s="73"/>
      <c r="DD62" s="193"/>
      <c r="DE62" s="209">
        <f t="shared" si="28"/>
        <v>0</v>
      </c>
      <c r="DF62" s="193"/>
      <c r="DG62" s="206">
        <f t="shared" si="29"/>
        <v>0</v>
      </c>
      <c r="DH62" s="191"/>
      <c r="DI62" s="207">
        <f t="shared" si="30"/>
        <v>0</v>
      </c>
    </row>
    <row r="63" spans="1:113">
      <c r="A63" s="57">
        <v>60</v>
      </c>
      <c r="B63" s="111"/>
      <c r="C63" s="61"/>
      <c r="D63" s="62"/>
      <c r="E63" s="62"/>
      <c r="F63" s="128"/>
      <c r="G63" s="135"/>
      <c r="H63" s="63"/>
      <c r="I63" s="136"/>
      <c r="J63" s="169"/>
      <c r="K63" s="64"/>
      <c r="L63" s="65"/>
      <c r="M63" s="64"/>
      <c r="N63" s="141"/>
      <c r="O63" s="147"/>
      <c r="P63" s="66"/>
      <c r="Q63" s="66"/>
      <c r="R63" s="148"/>
      <c r="S63" s="182"/>
      <c r="T63" s="183"/>
      <c r="U63" s="155"/>
      <c r="V63" s="173">
        <f t="shared" si="0"/>
        <v>0</v>
      </c>
      <c r="W63" s="67"/>
      <c r="X63" s="67"/>
      <c r="Y63" s="67"/>
      <c r="Z63" s="156"/>
      <c r="AA63" s="84"/>
      <c r="AB63" s="85"/>
      <c r="AC63" s="86"/>
      <c r="AD63" s="68"/>
      <c r="AE63" s="70"/>
      <c r="AF63" s="70"/>
      <c r="AG63" s="69"/>
      <c r="AH63" s="189"/>
      <c r="AI63" s="190"/>
      <c r="AJ63" s="191"/>
      <c r="AK63" s="206">
        <f t="shared" si="1"/>
        <v>0</v>
      </c>
      <c r="AL63" s="191"/>
      <c r="AM63" s="206">
        <f t="shared" si="2"/>
        <v>0</v>
      </c>
      <c r="AN63" s="191"/>
      <c r="AO63" s="207">
        <f t="shared" si="3"/>
        <v>0</v>
      </c>
      <c r="AP63" s="72"/>
      <c r="AQ63" s="72"/>
      <c r="AR63" s="192"/>
      <c r="AS63" s="208">
        <f t="shared" si="4"/>
        <v>0</v>
      </c>
      <c r="AT63" s="193"/>
      <c r="AU63" s="206">
        <f t="shared" si="5"/>
        <v>0</v>
      </c>
      <c r="AV63" s="191"/>
      <c r="AW63" s="207">
        <f t="shared" si="6"/>
        <v>0</v>
      </c>
      <c r="AX63" s="73"/>
      <c r="AY63" s="73"/>
      <c r="AZ63" s="193"/>
      <c r="BA63" s="209">
        <f t="shared" si="7"/>
        <v>0</v>
      </c>
      <c r="BB63" s="193"/>
      <c r="BC63" s="206">
        <f t="shared" si="8"/>
        <v>0</v>
      </c>
      <c r="BD63" s="191"/>
      <c r="BE63" s="207">
        <f t="shared" si="9"/>
        <v>0</v>
      </c>
      <c r="BF63" s="73"/>
      <c r="BG63" s="73"/>
      <c r="BH63" s="193"/>
      <c r="BI63" s="209">
        <f t="shared" si="10"/>
        <v>0</v>
      </c>
      <c r="BJ63" s="193"/>
      <c r="BK63" s="206">
        <f t="shared" si="11"/>
        <v>0</v>
      </c>
      <c r="BL63" s="191"/>
      <c r="BM63" s="207">
        <f t="shared" si="12"/>
        <v>0</v>
      </c>
      <c r="BN63" s="73"/>
      <c r="BO63" s="73"/>
      <c r="BP63" s="193"/>
      <c r="BQ63" s="209">
        <f t="shared" si="13"/>
        <v>0</v>
      </c>
      <c r="BR63" s="193"/>
      <c r="BS63" s="206">
        <f t="shared" si="14"/>
        <v>0</v>
      </c>
      <c r="BT63" s="191"/>
      <c r="BU63" s="207">
        <f t="shared" si="15"/>
        <v>0</v>
      </c>
      <c r="BV63" s="73"/>
      <c r="BW63" s="73"/>
      <c r="BX63" s="193"/>
      <c r="BY63" s="209">
        <f t="shared" si="16"/>
        <v>0</v>
      </c>
      <c r="BZ63" s="193"/>
      <c r="CA63" s="206">
        <f t="shared" si="17"/>
        <v>0</v>
      </c>
      <c r="CB63" s="191"/>
      <c r="CC63" s="207">
        <f t="shared" si="18"/>
        <v>0</v>
      </c>
      <c r="CD63" s="73"/>
      <c r="CE63" s="73"/>
      <c r="CF63" s="193"/>
      <c r="CG63" s="209">
        <f t="shared" si="19"/>
        <v>0</v>
      </c>
      <c r="CH63" s="193"/>
      <c r="CI63" s="206">
        <f t="shared" si="20"/>
        <v>0</v>
      </c>
      <c r="CJ63" s="191"/>
      <c r="CK63" s="207">
        <f t="shared" si="21"/>
        <v>0</v>
      </c>
      <c r="CL63" s="73"/>
      <c r="CM63" s="73"/>
      <c r="CN63" s="193"/>
      <c r="CO63" s="209">
        <f t="shared" si="22"/>
        <v>0</v>
      </c>
      <c r="CP63" s="193"/>
      <c r="CQ63" s="206">
        <f t="shared" si="23"/>
        <v>0</v>
      </c>
      <c r="CR63" s="191"/>
      <c r="CS63" s="207">
        <f t="shared" si="24"/>
        <v>0</v>
      </c>
      <c r="CT63" s="73"/>
      <c r="CU63" s="73"/>
      <c r="CV63" s="193"/>
      <c r="CW63" s="209">
        <f t="shared" si="25"/>
        <v>0</v>
      </c>
      <c r="CX63" s="193"/>
      <c r="CY63" s="206">
        <f t="shared" si="26"/>
        <v>0</v>
      </c>
      <c r="CZ63" s="191"/>
      <c r="DA63" s="207">
        <f t="shared" si="27"/>
        <v>0</v>
      </c>
      <c r="DB63" s="73"/>
      <c r="DC63" s="73"/>
      <c r="DD63" s="193"/>
      <c r="DE63" s="209">
        <f t="shared" si="28"/>
        <v>0</v>
      </c>
      <c r="DF63" s="193"/>
      <c r="DG63" s="206">
        <f t="shared" si="29"/>
        <v>0</v>
      </c>
      <c r="DH63" s="191"/>
      <c r="DI63" s="207">
        <f t="shared" si="30"/>
        <v>0</v>
      </c>
    </row>
    <row r="64" spans="1:113">
      <c r="A64" s="57">
        <v>61</v>
      </c>
      <c r="B64" s="111"/>
      <c r="C64" s="61"/>
      <c r="D64" s="62"/>
      <c r="E64" s="62"/>
      <c r="F64" s="128"/>
      <c r="G64" s="135"/>
      <c r="H64" s="63"/>
      <c r="I64" s="136"/>
      <c r="J64" s="169"/>
      <c r="K64" s="64"/>
      <c r="L64" s="65"/>
      <c r="M64" s="64"/>
      <c r="N64" s="141"/>
      <c r="O64" s="147"/>
      <c r="P64" s="66"/>
      <c r="Q64" s="66"/>
      <c r="R64" s="148"/>
      <c r="S64" s="182"/>
      <c r="T64" s="183"/>
      <c r="U64" s="155"/>
      <c r="V64" s="173">
        <f t="shared" si="0"/>
        <v>0</v>
      </c>
      <c r="W64" s="67"/>
      <c r="X64" s="67"/>
      <c r="Y64" s="67"/>
      <c r="Z64" s="156"/>
      <c r="AA64" s="84"/>
      <c r="AB64" s="85"/>
      <c r="AC64" s="86"/>
      <c r="AD64" s="68"/>
      <c r="AE64" s="70"/>
      <c r="AF64" s="70"/>
      <c r="AG64" s="69"/>
      <c r="AH64" s="189"/>
      <c r="AI64" s="190"/>
      <c r="AJ64" s="191"/>
      <c r="AK64" s="206">
        <f t="shared" si="1"/>
        <v>0</v>
      </c>
      <c r="AL64" s="191"/>
      <c r="AM64" s="206">
        <f t="shared" si="2"/>
        <v>0</v>
      </c>
      <c r="AN64" s="191"/>
      <c r="AO64" s="207">
        <f t="shared" si="3"/>
        <v>0</v>
      </c>
      <c r="AP64" s="72"/>
      <c r="AQ64" s="72"/>
      <c r="AR64" s="192"/>
      <c r="AS64" s="208">
        <f t="shared" si="4"/>
        <v>0</v>
      </c>
      <c r="AT64" s="193"/>
      <c r="AU64" s="206">
        <f t="shared" si="5"/>
        <v>0</v>
      </c>
      <c r="AV64" s="191"/>
      <c r="AW64" s="207">
        <f t="shared" si="6"/>
        <v>0</v>
      </c>
      <c r="AX64" s="73"/>
      <c r="AY64" s="73"/>
      <c r="AZ64" s="193"/>
      <c r="BA64" s="209">
        <f t="shared" si="7"/>
        <v>0</v>
      </c>
      <c r="BB64" s="193"/>
      <c r="BC64" s="206">
        <f t="shared" si="8"/>
        <v>0</v>
      </c>
      <c r="BD64" s="191"/>
      <c r="BE64" s="207">
        <f t="shared" si="9"/>
        <v>0</v>
      </c>
      <c r="BF64" s="73"/>
      <c r="BG64" s="73"/>
      <c r="BH64" s="193"/>
      <c r="BI64" s="209">
        <f t="shared" si="10"/>
        <v>0</v>
      </c>
      <c r="BJ64" s="193"/>
      <c r="BK64" s="206">
        <f t="shared" si="11"/>
        <v>0</v>
      </c>
      <c r="BL64" s="191"/>
      <c r="BM64" s="207">
        <f t="shared" si="12"/>
        <v>0</v>
      </c>
      <c r="BN64" s="73"/>
      <c r="BO64" s="73"/>
      <c r="BP64" s="193"/>
      <c r="BQ64" s="209">
        <f t="shared" si="13"/>
        <v>0</v>
      </c>
      <c r="BR64" s="193"/>
      <c r="BS64" s="206">
        <f t="shared" si="14"/>
        <v>0</v>
      </c>
      <c r="BT64" s="191"/>
      <c r="BU64" s="207">
        <f t="shared" si="15"/>
        <v>0</v>
      </c>
      <c r="BV64" s="73"/>
      <c r="BW64" s="73"/>
      <c r="BX64" s="193"/>
      <c r="BY64" s="209">
        <f t="shared" si="16"/>
        <v>0</v>
      </c>
      <c r="BZ64" s="193"/>
      <c r="CA64" s="206">
        <f t="shared" si="17"/>
        <v>0</v>
      </c>
      <c r="CB64" s="191"/>
      <c r="CC64" s="207">
        <f t="shared" si="18"/>
        <v>0</v>
      </c>
      <c r="CD64" s="73"/>
      <c r="CE64" s="73"/>
      <c r="CF64" s="193"/>
      <c r="CG64" s="209">
        <f t="shared" si="19"/>
        <v>0</v>
      </c>
      <c r="CH64" s="193"/>
      <c r="CI64" s="206">
        <f t="shared" si="20"/>
        <v>0</v>
      </c>
      <c r="CJ64" s="191"/>
      <c r="CK64" s="207">
        <f t="shared" si="21"/>
        <v>0</v>
      </c>
      <c r="CL64" s="73"/>
      <c r="CM64" s="73"/>
      <c r="CN64" s="193"/>
      <c r="CO64" s="209">
        <f t="shared" si="22"/>
        <v>0</v>
      </c>
      <c r="CP64" s="193"/>
      <c r="CQ64" s="206">
        <f t="shared" si="23"/>
        <v>0</v>
      </c>
      <c r="CR64" s="191"/>
      <c r="CS64" s="207">
        <f t="shared" si="24"/>
        <v>0</v>
      </c>
      <c r="CT64" s="73"/>
      <c r="CU64" s="73"/>
      <c r="CV64" s="193"/>
      <c r="CW64" s="209">
        <f t="shared" si="25"/>
        <v>0</v>
      </c>
      <c r="CX64" s="193"/>
      <c r="CY64" s="206">
        <f t="shared" si="26"/>
        <v>0</v>
      </c>
      <c r="CZ64" s="191"/>
      <c r="DA64" s="207">
        <f t="shared" si="27"/>
        <v>0</v>
      </c>
      <c r="DB64" s="73"/>
      <c r="DC64" s="73"/>
      <c r="DD64" s="193"/>
      <c r="DE64" s="209">
        <f t="shared" si="28"/>
        <v>0</v>
      </c>
      <c r="DF64" s="193"/>
      <c r="DG64" s="206">
        <f t="shared" si="29"/>
        <v>0</v>
      </c>
      <c r="DH64" s="191"/>
      <c r="DI64" s="207">
        <f t="shared" si="30"/>
        <v>0</v>
      </c>
    </row>
    <row r="65" spans="1:113">
      <c r="A65" s="57">
        <v>62</v>
      </c>
      <c r="B65" s="111"/>
      <c r="C65" s="61"/>
      <c r="D65" s="62"/>
      <c r="E65" s="62"/>
      <c r="F65" s="128"/>
      <c r="G65" s="135"/>
      <c r="H65" s="63"/>
      <c r="I65" s="136"/>
      <c r="J65" s="169"/>
      <c r="K65" s="64"/>
      <c r="L65" s="65"/>
      <c r="M65" s="64"/>
      <c r="N65" s="141"/>
      <c r="O65" s="147"/>
      <c r="P65" s="66"/>
      <c r="Q65" s="66"/>
      <c r="R65" s="148"/>
      <c r="S65" s="182"/>
      <c r="T65" s="183"/>
      <c r="U65" s="155"/>
      <c r="V65" s="173">
        <f t="shared" si="0"/>
        <v>0</v>
      </c>
      <c r="W65" s="67"/>
      <c r="X65" s="67"/>
      <c r="Y65" s="67"/>
      <c r="Z65" s="156"/>
      <c r="AA65" s="84"/>
      <c r="AB65" s="85"/>
      <c r="AC65" s="86"/>
      <c r="AD65" s="68"/>
      <c r="AE65" s="70"/>
      <c r="AF65" s="70"/>
      <c r="AG65" s="69"/>
      <c r="AH65" s="189"/>
      <c r="AI65" s="190"/>
      <c r="AJ65" s="191"/>
      <c r="AK65" s="206">
        <f t="shared" si="1"/>
        <v>0</v>
      </c>
      <c r="AL65" s="191"/>
      <c r="AM65" s="206">
        <f t="shared" si="2"/>
        <v>0</v>
      </c>
      <c r="AN65" s="191"/>
      <c r="AO65" s="207">
        <f t="shared" si="3"/>
        <v>0</v>
      </c>
      <c r="AP65" s="72"/>
      <c r="AQ65" s="72"/>
      <c r="AR65" s="192"/>
      <c r="AS65" s="208">
        <f t="shared" si="4"/>
        <v>0</v>
      </c>
      <c r="AT65" s="193"/>
      <c r="AU65" s="206">
        <f t="shared" si="5"/>
        <v>0</v>
      </c>
      <c r="AV65" s="191"/>
      <c r="AW65" s="207">
        <f t="shared" si="6"/>
        <v>0</v>
      </c>
      <c r="AX65" s="73"/>
      <c r="AY65" s="73"/>
      <c r="AZ65" s="193"/>
      <c r="BA65" s="209">
        <f t="shared" si="7"/>
        <v>0</v>
      </c>
      <c r="BB65" s="193"/>
      <c r="BC65" s="206">
        <f t="shared" si="8"/>
        <v>0</v>
      </c>
      <c r="BD65" s="191"/>
      <c r="BE65" s="207">
        <f t="shared" si="9"/>
        <v>0</v>
      </c>
      <c r="BF65" s="73"/>
      <c r="BG65" s="73"/>
      <c r="BH65" s="193"/>
      <c r="BI65" s="209">
        <f t="shared" si="10"/>
        <v>0</v>
      </c>
      <c r="BJ65" s="193"/>
      <c r="BK65" s="206">
        <f t="shared" si="11"/>
        <v>0</v>
      </c>
      <c r="BL65" s="191"/>
      <c r="BM65" s="207">
        <f t="shared" si="12"/>
        <v>0</v>
      </c>
      <c r="BN65" s="73"/>
      <c r="BO65" s="73"/>
      <c r="BP65" s="193"/>
      <c r="BQ65" s="209">
        <f t="shared" si="13"/>
        <v>0</v>
      </c>
      <c r="BR65" s="193"/>
      <c r="BS65" s="206">
        <f t="shared" si="14"/>
        <v>0</v>
      </c>
      <c r="BT65" s="191"/>
      <c r="BU65" s="207">
        <f t="shared" si="15"/>
        <v>0</v>
      </c>
      <c r="BV65" s="73"/>
      <c r="BW65" s="73"/>
      <c r="BX65" s="193"/>
      <c r="BY65" s="209">
        <f t="shared" si="16"/>
        <v>0</v>
      </c>
      <c r="BZ65" s="193"/>
      <c r="CA65" s="206">
        <f t="shared" si="17"/>
        <v>0</v>
      </c>
      <c r="CB65" s="191"/>
      <c r="CC65" s="207">
        <f t="shared" si="18"/>
        <v>0</v>
      </c>
      <c r="CD65" s="73"/>
      <c r="CE65" s="73"/>
      <c r="CF65" s="193"/>
      <c r="CG65" s="209">
        <f t="shared" si="19"/>
        <v>0</v>
      </c>
      <c r="CH65" s="193"/>
      <c r="CI65" s="206">
        <f t="shared" si="20"/>
        <v>0</v>
      </c>
      <c r="CJ65" s="191"/>
      <c r="CK65" s="207">
        <f t="shared" si="21"/>
        <v>0</v>
      </c>
      <c r="CL65" s="73"/>
      <c r="CM65" s="73"/>
      <c r="CN65" s="193"/>
      <c r="CO65" s="209">
        <f t="shared" si="22"/>
        <v>0</v>
      </c>
      <c r="CP65" s="193"/>
      <c r="CQ65" s="206">
        <f t="shared" si="23"/>
        <v>0</v>
      </c>
      <c r="CR65" s="191"/>
      <c r="CS65" s="207">
        <f t="shared" si="24"/>
        <v>0</v>
      </c>
      <c r="CT65" s="73"/>
      <c r="CU65" s="73"/>
      <c r="CV65" s="193"/>
      <c r="CW65" s="209">
        <f t="shared" si="25"/>
        <v>0</v>
      </c>
      <c r="CX65" s="193"/>
      <c r="CY65" s="206">
        <f t="shared" si="26"/>
        <v>0</v>
      </c>
      <c r="CZ65" s="191"/>
      <c r="DA65" s="207">
        <f t="shared" si="27"/>
        <v>0</v>
      </c>
      <c r="DB65" s="73"/>
      <c r="DC65" s="73"/>
      <c r="DD65" s="193"/>
      <c r="DE65" s="209">
        <f t="shared" si="28"/>
        <v>0</v>
      </c>
      <c r="DF65" s="193"/>
      <c r="DG65" s="206">
        <f t="shared" si="29"/>
        <v>0</v>
      </c>
      <c r="DH65" s="191"/>
      <c r="DI65" s="207">
        <f t="shared" si="30"/>
        <v>0</v>
      </c>
    </row>
    <row r="66" spans="1:113">
      <c r="A66" s="57">
        <v>63</v>
      </c>
      <c r="B66" s="111"/>
      <c r="C66" s="61"/>
      <c r="D66" s="62"/>
      <c r="E66" s="62"/>
      <c r="F66" s="128"/>
      <c r="G66" s="135"/>
      <c r="H66" s="63"/>
      <c r="I66" s="136"/>
      <c r="J66" s="169"/>
      <c r="K66" s="64"/>
      <c r="L66" s="65"/>
      <c r="M66" s="64"/>
      <c r="N66" s="141"/>
      <c r="O66" s="147"/>
      <c r="P66" s="66"/>
      <c r="Q66" s="66"/>
      <c r="R66" s="148"/>
      <c r="S66" s="182"/>
      <c r="T66" s="183"/>
      <c r="U66" s="155"/>
      <c r="V66" s="173">
        <f t="shared" si="0"/>
        <v>0</v>
      </c>
      <c r="W66" s="67"/>
      <c r="X66" s="67"/>
      <c r="Y66" s="67"/>
      <c r="Z66" s="156"/>
      <c r="AA66" s="84"/>
      <c r="AB66" s="85"/>
      <c r="AC66" s="86"/>
      <c r="AD66" s="68"/>
      <c r="AE66" s="70"/>
      <c r="AF66" s="70"/>
      <c r="AG66" s="69"/>
      <c r="AH66" s="189"/>
      <c r="AI66" s="190"/>
      <c r="AJ66" s="191"/>
      <c r="AK66" s="206">
        <f t="shared" si="1"/>
        <v>0</v>
      </c>
      <c r="AL66" s="191"/>
      <c r="AM66" s="206">
        <f t="shared" si="2"/>
        <v>0</v>
      </c>
      <c r="AN66" s="191"/>
      <c r="AO66" s="207">
        <f t="shared" si="3"/>
        <v>0</v>
      </c>
      <c r="AP66" s="72"/>
      <c r="AQ66" s="72"/>
      <c r="AR66" s="192"/>
      <c r="AS66" s="208">
        <f t="shared" si="4"/>
        <v>0</v>
      </c>
      <c r="AT66" s="193"/>
      <c r="AU66" s="206">
        <f t="shared" si="5"/>
        <v>0</v>
      </c>
      <c r="AV66" s="191"/>
      <c r="AW66" s="207">
        <f t="shared" si="6"/>
        <v>0</v>
      </c>
      <c r="AX66" s="73"/>
      <c r="AY66" s="73"/>
      <c r="AZ66" s="193"/>
      <c r="BA66" s="209">
        <f t="shared" si="7"/>
        <v>0</v>
      </c>
      <c r="BB66" s="193"/>
      <c r="BC66" s="206">
        <f t="shared" si="8"/>
        <v>0</v>
      </c>
      <c r="BD66" s="191"/>
      <c r="BE66" s="207">
        <f t="shared" si="9"/>
        <v>0</v>
      </c>
      <c r="BF66" s="73"/>
      <c r="BG66" s="73"/>
      <c r="BH66" s="193"/>
      <c r="BI66" s="209">
        <f t="shared" si="10"/>
        <v>0</v>
      </c>
      <c r="BJ66" s="193"/>
      <c r="BK66" s="206">
        <f t="shared" si="11"/>
        <v>0</v>
      </c>
      <c r="BL66" s="191"/>
      <c r="BM66" s="207">
        <f t="shared" si="12"/>
        <v>0</v>
      </c>
      <c r="BN66" s="73"/>
      <c r="BO66" s="73"/>
      <c r="BP66" s="193"/>
      <c r="BQ66" s="209">
        <f t="shared" si="13"/>
        <v>0</v>
      </c>
      <c r="BR66" s="193"/>
      <c r="BS66" s="206">
        <f t="shared" si="14"/>
        <v>0</v>
      </c>
      <c r="BT66" s="191"/>
      <c r="BU66" s="207">
        <f t="shared" si="15"/>
        <v>0</v>
      </c>
      <c r="BV66" s="73"/>
      <c r="BW66" s="73"/>
      <c r="BX66" s="193"/>
      <c r="BY66" s="209">
        <f t="shared" si="16"/>
        <v>0</v>
      </c>
      <c r="BZ66" s="193"/>
      <c r="CA66" s="206">
        <f t="shared" si="17"/>
        <v>0</v>
      </c>
      <c r="CB66" s="191"/>
      <c r="CC66" s="207">
        <f t="shared" si="18"/>
        <v>0</v>
      </c>
      <c r="CD66" s="73"/>
      <c r="CE66" s="73"/>
      <c r="CF66" s="193"/>
      <c r="CG66" s="209">
        <f t="shared" si="19"/>
        <v>0</v>
      </c>
      <c r="CH66" s="193"/>
      <c r="CI66" s="206">
        <f t="shared" si="20"/>
        <v>0</v>
      </c>
      <c r="CJ66" s="191"/>
      <c r="CK66" s="207">
        <f t="shared" si="21"/>
        <v>0</v>
      </c>
      <c r="CL66" s="73"/>
      <c r="CM66" s="73"/>
      <c r="CN66" s="193"/>
      <c r="CO66" s="209">
        <f t="shared" si="22"/>
        <v>0</v>
      </c>
      <c r="CP66" s="193"/>
      <c r="CQ66" s="206">
        <f t="shared" si="23"/>
        <v>0</v>
      </c>
      <c r="CR66" s="191"/>
      <c r="CS66" s="207">
        <f t="shared" si="24"/>
        <v>0</v>
      </c>
      <c r="CT66" s="73"/>
      <c r="CU66" s="73"/>
      <c r="CV66" s="193"/>
      <c r="CW66" s="209">
        <f t="shared" si="25"/>
        <v>0</v>
      </c>
      <c r="CX66" s="193"/>
      <c r="CY66" s="206">
        <f t="shared" si="26"/>
        <v>0</v>
      </c>
      <c r="CZ66" s="191"/>
      <c r="DA66" s="207">
        <f t="shared" si="27"/>
        <v>0</v>
      </c>
      <c r="DB66" s="73"/>
      <c r="DC66" s="73"/>
      <c r="DD66" s="193"/>
      <c r="DE66" s="209">
        <f t="shared" si="28"/>
        <v>0</v>
      </c>
      <c r="DF66" s="193"/>
      <c r="DG66" s="206">
        <f t="shared" si="29"/>
        <v>0</v>
      </c>
      <c r="DH66" s="191"/>
      <c r="DI66" s="207">
        <f t="shared" si="30"/>
        <v>0</v>
      </c>
    </row>
    <row r="67" spans="1:113">
      <c r="A67" s="57">
        <v>64</v>
      </c>
      <c r="B67" s="111"/>
      <c r="C67" s="61"/>
      <c r="D67" s="62"/>
      <c r="E67" s="62"/>
      <c r="F67" s="128"/>
      <c r="G67" s="135"/>
      <c r="H67" s="63"/>
      <c r="I67" s="136"/>
      <c r="J67" s="169"/>
      <c r="K67" s="64"/>
      <c r="L67" s="65"/>
      <c r="M67" s="64"/>
      <c r="N67" s="141"/>
      <c r="O67" s="147"/>
      <c r="P67" s="66"/>
      <c r="Q67" s="66"/>
      <c r="R67" s="148"/>
      <c r="S67" s="182"/>
      <c r="T67" s="183"/>
      <c r="U67" s="155"/>
      <c r="V67" s="173">
        <f t="shared" si="0"/>
        <v>0</v>
      </c>
      <c r="W67" s="67"/>
      <c r="X67" s="67"/>
      <c r="Y67" s="67"/>
      <c r="Z67" s="156"/>
      <c r="AA67" s="84"/>
      <c r="AB67" s="85"/>
      <c r="AC67" s="86"/>
      <c r="AD67" s="68"/>
      <c r="AE67" s="70"/>
      <c r="AF67" s="70"/>
      <c r="AG67" s="69"/>
      <c r="AH67" s="189"/>
      <c r="AI67" s="190"/>
      <c r="AJ67" s="191"/>
      <c r="AK67" s="206">
        <f t="shared" si="1"/>
        <v>0</v>
      </c>
      <c r="AL67" s="191"/>
      <c r="AM67" s="206">
        <f t="shared" si="2"/>
        <v>0</v>
      </c>
      <c r="AN67" s="191"/>
      <c r="AO67" s="207">
        <f t="shared" si="3"/>
        <v>0</v>
      </c>
      <c r="AP67" s="72"/>
      <c r="AQ67" s="72"/>
      <c r="AR67" s="192"/>
      <c r="AS67" s="208">
        <f t="shared" si="4"/>
        <v>0</v>
      </c>
      <c r="AT67" s="193"/>
      <c r="AU67" s="206">
        <f t="shared" si="5"/>
        <v>0</v>
      </c>
      <c r="AV67" s="191"/>
      <c r="AW67" s="207">
        <f t="shared" si="6"/>
        <v>0</v>
      </c>
      <c r="AX67" s="73"/>
      <c r="AY67" s="73"/>
      <c r="AZ67" s="193"/>
      <c r="BA67" s="209">
        <f t="shared" si="7"/>
        <v>0</v>
      </c>
      <c r="BB67" s="193"/>
      <c r="BC67" s="206">
        <f t="shared" si="8"/>
        <v>0</v>
      </c>
      <c r="BD67" s="191"/>
      <c r="BE67" s="207">
        <f t="shared" si="9"/>
        <v>0</v>
      </c>
      <c r="BF67" s="73"/>
      <c r="BG67" s="73"/>
      <c r="BH67" s="193"/>
      <c r="BI67" s="209">
        <f t="shared" si="10"/>
        <v>0</v>
      </c>
      <c r="BJ67" s="193"/>
      <c r="BK67" s="206">
        <f t="shared" si="11"/>
        <v>0</v>
      </c>
      <c r="BL67" s="191"/>
      <c r="BM67" s="207">
        <f t="shared" si="12"/>
        <v>0</v>
      </c>
      <c r="BN67" s="73"/>
      <c r="BO67" s="73"/>
      <c r="BP67" s="193"/>
      <c r="BQ67" s="209">
        <f t="shared" si="13"/>
        <v>0</v>
      </c>
      <c r="BR67" s="193"/>
      <c r="BS67" s="206">
        <f t="shared" si="14"/>
        <v>0</v>
      </c>
      <c r="BT67" s="191"/>
      <c r="BU67" s="207">
        <f t="shared" si="15"/>
        <v>0</v>
      </c>
      <c r="BV67" s="73"/>
      <c r="BW67" s="73"/>
      <c r="BX67" s="193"/>
      <c r="BY67" s="209">
        <f t="shared" si="16"/>
        <v>0</v>
      </c>
      <c r="BZ67" s="193"/>
      <c r="CA67" s="206">
        <f t="shared" si="17"/>
        <v>0</v>
      </c>
      <c r="CB67" s="191"/>
      <c r="CC67" s="207">
        <f t="shared" si="18"/>
        <v>0</v>
      </c>
      <c r="CD67" s="73"/>
      <c r="CE67" s="73"/>
      <c r="CF67" s="193"/>
      <c r="CG67" s="209">
        <f t="shared" si="19"/>
        <v>0</v>
      </c>
      <c r="CH67" s="193"/>
      <c r="CI67" s="206">
        <f t="shared" si="20"/>
        <v>0</v>
      </c>
      <c r="CJ67" s="191"/>
      <c r="CK67" s="207">
        <f t="shared" si="21"/>
        <v>0</v>
      </c>
      <c r="CL67" s="73"/>
      <c r="CM67" s="73"/>
      <c r="CN67" s="193"/>
      <c r="CO67" s="209">
        <f t="shared" si="22"/>
        <v>0</v>
      </c>
      <c r="CP67" s="193"/>
      <c r="CQ67" s="206">
        <f t="shared" si="23"/>
        <v>0</v>
      </c>
      <c r="CR67" s="191"/>
      <c r="CS67" s="207">
        <f t="shared" si="24"/>
        <v>0</v>
      </c>
      <c r="CT67" s="73"/>
      <c r="CU67" s="73"/>
      <c r="CV67" s="193"/>
      <c r="CW67" s="209">
        <f t="shared" si="25"/>
        <v>0</v>
      </c>
      <c r="CX67" s="193"/>
      <c r="CY67" s="206">
        <f t="shared" si="26"/>
        <v>0</v>
      </c>
      <c r="CZ67" s="191"/>
      <c r="DA67" s="207">
        <f t="shared" si="27"/>
        <v>0</v>
      </c>
      <c r="DB67" s="73"/>
      <c r="DC67" s="73"/>
      <c r="DD67" s="193"/>
      <c r="DE67" s="209">
        <f t="shared" si="28"/>
        <v>0</v>
      </c>
      <c r="DF67" s="193"/>
      <c r="DG67" s="206">
        <f t="shared" si="29"/>
        <v>0</v>
      </c>
      <c r="DH67" s="191"/>
      <c r="DI67" s="207">
        <f t="shared" si="30"/>
        <v>0</v>
      </c>
    </row>
    <row r="68" spans="1:113">
      <c r="A68" s="57">
        <v>65</v>
      </c>
      <c r="B68" s="111"/>
      <c r="C68" s="61"/>
      <c r="D68" s="62"/>
      <c r="E68" s="62"/>
      <c r="F68" s="128"/>
      <c r="G68" s="135"/>
      <c r="H68" s="63"/>
      <c r="I68" s="136"/>
      <c r="J68" s="169"/>
      <c r="K68" s="64"/>
      <c r="L68" s="65"/>
      <c r="M68" s="64"/>
      <c r="N68" s="141"/>
      <c r="O68" s="147"/>
      <c r="P68" s="66"/>
      <c r="Q68" s="66"/>
      <c r="R68" s="148"/>
      <c r="S68" s="182"/>
      <c r="T68" s="183"/>
      <c r="U68" s="155"/>
      <c r="V68" s="173">
        <f t="shared" si="0"/>
        <v>0</v>
      </c>
      <c r="W68" s="67"/>
      <c r="X68" s="67"/>
      <c r="Y68" s="67"/>
      <c r="Z68" s="156"/>
      <c r="AA68" s="84"/>
      <c r="AB68" s="85"/>
      <c r="AC68" s="86"/>
      <c r="AD68" s="68"/>
      <c r="AE68" s="70"/>
      <c r="AF68" s="70"/>
      <c r="AG68" s="69"/>
      <c r="AH68" s="189"/>
      <c r="AI68" s="190"/>
      <c r="AJ68" s="191"/>
      <c r="AK68" s="206">
        <f t="shared" si="1"/>
        <v>0</v>
      </c>
      <c r="AL68" s="191"/>
      <c r="AM68" s="206">
        <f t="shared" si="2"/>
        <v>0</v>
      </c>
      <c r="AN68" s="191"/>
      <c r="AO68" s="207">
        <f t="shared" si="3"/>
        <v>0</v>
      </c>
      <c r="AP68" s="72"/>
      <c r="AQ68" s="72"/>
      <c r="AR68" s="192"/>
      <c r="AS68" s="208">
        <f t="shared" si="4"/>
        <v>0</v>
      </c>
      <c r="AT68" s="193"/>
      <c r="AU68" s="206">
        <f t="shared" si="5"/>
        <v>0</v>
      </c>
      <c r="AV68" s="191"/>
      <c r="AW68" s="207">
        <f t="shared" si="6"/>
        <v>0</v>
      </c>
      <c r="AX68" s="73"/>
      <c r="AY68" s="73"/>
      <c r="AZ68" s="193"/>
      <c r="BA68" s="209">
        <f t="shared" si="7"/>
        <v>0</v>
      </c>
      <c r="BB68" s="193"/>
      <c r="BC68" s="206">
        <f t="shared" si="8"/>
        <v>0</v>
      </c>
      <c r="BD68" s="191"/>
      <c r="BE68" s="207">
        <f t="shared" si="9"/>
        <v>0</v>
      </c>
      <c r="BF68" s="73"/>
      <c r="BG68" s="73"/>
      <c r="BH68" s="193"/>
      <c r="BI68" s="209">
        <f t="shared" si="10"/>
        <v>0</v>
      </c>
      <c r="BJ68" s="193"/>
      <c r="BK68" s="206">
        <f t="shared" si="11"/>
        <v>0</v>
      </c>
      <c r="BL68" s="191"/>
      <c r="BM68" s="207">
        <f t="shared" si="12"/>
        <v>0</v>
      </c>
      <c r="BN68" s="73"/>
      <c r="BO68" s="73"/>
      <c r="BP68" s="193"/>
      <c r="BQ68" s="209">
        <f t="shared" si="13"/>
        <v>0</v>
      </c>
      <c r="BR68" s="193"/>
      <c r="BS68" s="206">
        <f t="shared" si="14"/>
        <v>0</v>
      </c>
      <c r="BT68" s="191"/>
      <c r="BU68" s="207">
        <f t="shared" si="15"/>
        <v>0</v>
      </c>
      <c r="BV68" s="73"/>
      <c r="BW68" s="73"/>
      <c r="BX68" s="193"/>
      <c r="BY68" s="209">
        <f t="shared" si="16"/>
        <v>0</v>
      </c>
      <c r="BZ68" s="193"/>
      <c r="CA68" s="206">
        <f t="shared" si="17"/>
        <v>0</v>
      </c>
      <c r="CB68" s="191"/>
      <c r="CC68" s="207">
        <f t="shared" si="18"/>
        <v>0</v>
      </c>
      <c r="CD68" s="73"/>
      <c r="CE68" s="73"/>
      <c r="CF68" s="193"/>
      <c r="CG68" s="209">
        <f t="shared" si="19"/>
        <v>0</v>
      </c>
      <c r="CH68" s="193"/>
      <c r="CI68" s="206">
        <f t="shared" si="20"/>
        <v>0</v>
      </c>
      <c r="CJ68" s="191"/>
      <c r="CK68" s="207">
        <f t="shared" si="21"/>
        <v>0</v>
      </c>
      <c r="CL68" s="73"/>
      <c r="CM68" s="73"/>
      <c r="CN68" s="193"/>
      <c r="CO68" s="209">
        <f t="shared" si="22"/>
        <v>0</v>
      </c>
      <c r="CP68" s="193"/>
      <c r="CQ68" s="206">
        <f t="shared" si="23"/>
        <v>0</v>
      </c>
      <c r="CR68" s="191"/>
      <c r="CS68" s="207">
        <f t="shared" si="24"/>
        <v>0</v>
      </c>
      <c r="CT68" s="73"/>
      <c r="CU68" s="73"/>
      <c r="CV68" s="193"/>
      <c r="CW68" s="209">
        <f t="shared" si="25"/>
        <v>0</v>
      </c>
      <c r="CX68" s="193"/>
      <c r="CY68" s="206">
        <f t="shared" si="26"/>
        <v>0</v>
      </c>
      <c r="CZ68" s="191"/>
      <c r="DA68" s="207">
        <f t="shared" si="27"/>
        <v>0</v>
      </c>
      <c r="DB68" s="73"/>
      <c r="DC68" s="73"/>
      <c r="DD68" s="193"/>
      <c r="DE68" s="209">
        <f t="shared" si="28"/>
        <v>0</v>
      </c>
      <c r="DF68" s="193"/>
      <c r="DG68" s="206">
        <f t="shared" si="29"/>
        <v>0</v>
      </c>
      <c r="DH68" s="191"/>
      <c r="DI68" s="207">
        <f t="shared" si="30"/>
        <v>0</v>
      </c>
    </row>
    <row r="69" spans="1:113">
      <c r="A69" s="57">
        <v>66</v>
      </c>
      <c r="B69" s="111"/>
      <c r="C69" s="61"/>
      <c r="D69" s="62"/>
      <c r="E69" s="62"/>
      <c r="F69" s="128"/>
      <c r="G69" s="135"/>
      <c r="H69" s="63"/>
      <c r="I69" s="136"/>
      <c r="J69" s="169"/>
      <c r="K69" s="64"/>
      <c r="L69" s="65"/>
      <c r="M69" s="64"/>
      <c r="N69" s="141"/>
      <c r="O69" s="147"/>
      <c r="P69" s="66"/>
      <c r="Q69" s="66"/>
      <c r="R69" s="148"/>
      <c r="S69" s="182"/>
      <c r="T69" s="183"/>
      <c r="U69" s="155"/>
      <c r="V69" s="173">
        <f t="shared" ref="V69:V103" si="31">U69/0.9925</f>
        <v>0</v>
      </c>
      <c r="W69" s="67"/>
      <c r="X69" s="67"/>
      <c r="Y69" s="67"/>
      <c r="Z69" s="156"/>
      <c r="AA69" s="84"/>
      <c r="AB69" s="85"/>
      <c r="AC69" s="86"/>
      <c r="AD69" s="68"/>
      <c r="AE69" s="70"/>
      <c r="AF69" s="70"/>
      <c r="AG69" s="69"/>
      <c r="AH69" s="189"/>
      <c r="AI69" s="190"/>
      <c r="AJ69" s="191"/>
      <c r="AK69" s="206">
        <f t="shared" ref="AK69:AK103" si="32">$R69-(AJ69*$R69)</f>
        <v>0</v>
      </c>
      <c r="AL69" s="191"/>
      <c r="AM69" s="206">
        <f t="shared" ref="AM69:AM103" si="33">$H69-(AL69*$H69)</f>
        <v>0</v>
      </c>
      <c r="AN69" s="191"/>
      <c r="AO69" s="207">
        <f t="shared" ref="AO69:AO103" si="34">$U69-(AN69*$U69)</f>
        <v>0</v>
      </c>
      <c r="AP69" s="72"/>
      <c r="AQ69" s="72"/>
      <c r="AR69" s="192"/>
      <c r="AS69" s="208">
        <f t="shared" ref="AS69:AS103" si="35">$R69-(AR69*$R69)</f>
        <v>0</v>
      </c>
      <c r="AT69" s="193"/>
      <c r="AU69" s="206">
        <f t="shared" ref="AU69:AU103" si="36">$H69-(AT69*$H69)</f>
        <v>0</v>
      </c>
      <c r="AV69" s="191"/>
      <c r="AW69" s="207">
        <f t="shared" ref="AW69:AW103" si="37">$U69-(AV69*$U69)</f>
        <v>0</v>
      </c>
      <c r="AX69" s="73"/>
      <c r="AY69" s="73"/>
      <c r="AZ69" s="193"/>
      <c r="BA69" s="209">
        <f t="shared" ref="BA69:BA103" si="38">$R69-(AZ69*$R69)</f>
        <v>0</v>
      </c>
      <c r="BB69" s="193"/>
      <c r="BC69" s="206">
        <f t="shared" ref="BC69:BC103" si="39">$H69-(BB69*$H69)</f>
        <v>0</v>
      </c>
      <c r="BD69" s="191"/>
      <c r="BE69" s="207">
        <f t="shared" ref="BE69:BE103" si="40">$U69-(BD69*$U69)</f>
        <v>0</v>
      </c>
      <c r="BF69" s="73"/>
      <c r="BG69" s="73"/>
      <c r="BH69" s="193"/>
      <c r="BI69" s="209">
        <f t="shared" ref="BI69:BI103" si="41">$R69-(BH69*$R69)</f>
        <v>0</v>
      </c>
      <c r="BJ69" s="193"/>
      <c r="BK69" s="206">
        <f t="shared" ref="BK69:BK103" si="42">$H69-(BJ69*$H69)</f>
        <v>0</v>
      </c>
      <c r="BL69" s="191"/>
      <c r="BM69" s="207">
        <f t="shared" ref="BM69:BM103" si="43">$U69-(BL69*$U69)</f>
        <v>0</v>
      </c>
      <c r="BN69" s="73"/>
      <c r="BO69" s="73"/>
      <c r="BP69" s="193"/>
      <c r="BQ69" s="209">
        <f t="shared" ref="BQ69:BQ103" si="44">$R69-(BP69*$R69)</f>
        <v>0</v>
      </c>
      <c r="BR69" s="193"/>
      <c r="BS69" s="206">
        <f t="shared" ref="BS69:BS103" si="45">$H69-(BR69*$H69)</f>
        <v>0</v>
      </c>
      <c r="BT69" s="191"/>
      <c r="BU69" s="207">
        <f t="shared" ref="BU69:BU103" si="46">$U69-(BT69*$U69)</f>
        <v>0</v>
      </c>
      <c r="BV69" s="73"/>
      <c r="BW69" s="73"/>
      <c r="BX69" s="193"/>
      <c r="BY69" s="209">
        <f t="shared" ref="BY69:BY103" si="47">$R69-(BX69*$R69)</f>
        <v>0</v>
      </c>
      <c r="BZ69" s="193"/>
      <c r="CA69" s="206">
        <f t="shared" ref="CA69:CA103" si="48">$H69-(BZ69*$H69)</f>
        <v>0</v>
      </c>
      <c r="CB69" s="191"/>
      <c r="CC69" s="207">
        <f t="shared" ref="CC69:CC103" si="49">$U69-(CB69*$U69)</f>
        <v>0</v>
      </c>
      <c r="CD69" s="73"/>
      <c r="CE69" s="73"/>
      <c r="CF69" s="193"/>
      <c r="CG69" s="209">
        <f t="shared" ref="CG69:CG103" si="50">$R69-(CF69*$R69)</f>
        <v>0</v>
      </c>
      <c r="CH69" s="193"/>
      <c r="CI69" s="206">
        <f t="shared" ref="CI69:CI103" si="51">$H69-(CH69*$H69)</f>
        <v>0</v>
      </c>
      <c r="CJ69" s="191"/>
      <c r="CK69" s="207">
        <f t="shared" ref="CK69:CK103" si="52">$U69-(CJ69*$U69)</f>
        <v>0</v>
      </c>
      <c r="CL69" s="73"/>
      <c r="CM69" s="73"/>
      <c r="CN69" s="193"/>
      <c r="CO69" s="209">
        <f t="shared" ref="CO69:CO103" si="53">$R69-(CN69*$R69)</f>
        <v>0</v>
      </c>
      <c r="CP69" s="193"/>
      <c r="CQ69" s="206">
        <f t="shared" ref="CQ69:CQ103" si="54">$H69-(CP69*$H69)</f>
        <v>0</v>
      </c>
      <c r="CR69" s="191"/>
      <c r="CS69" s="207">
        <f t="shared" ref="CS69:CS103" si="55">$U69-(CR69*$U69)</f>
        <v>0</v>
      </c>
      <c r="CT69" s="73"/>
      <c r="CU69" s="73"/>
      <c r="CV69" s="193"/>
      <c r="CW69" s="209">
        <f t="shared" ref="CW69:CW103" si="56">$R69-(CV69*$R69)</f>
        <v>0</v>
      </c>
      <c r="CX69" s="193"/>
      <c r="CY69" s="206">
        <f t="shared" ref="CY69:CY103" si="57">$H69-(CX69*$H69)</f>
        <v>0</v>
      </c>
      <c r="CZ69" s="191"/>
      <c r="DA69" s="207">
        <f t="shared" ref="DA69:DA103" si="58">$U69-(CZ69*$U69)</f>
        <v>0</v>
      </c>
      <c r="DB69" s="73"/>
      <c r="DC69" s="73"/>
      <c r="DD69" s="193"/>
      <c r="DE69" s="209">
        <f t="shared" ref="DE69:DE103" si="59">$R69-(DD69*$R69)</f>
        <v>0</v>
      </c>
      <c r="DF69" s="193"/>
      <c r="DG69" s="206">
        <f t="shared" ref="DG69:DG103" si="60">$H69-(DF69*$H69)</f>
        <v>0</v>
      </c>
      <c r="DH69" s="191"/>
      <c r="DI69" s="207">
        <f t="shared" ref="DI69:DI103" si="61">$U69-(DH69*$U69)</f>
        <v>0</v>
      </c>
    </row>
    <row r="70" spans="1:113">
      <c r="A70" s="57">
        <v>67</v>
      </c>
      <c r="B70" s="111"/>
      <c r="C70" s="61"/>
      <c r="D70" s="62"/>
      <c r="E70" s="62"/>
      <c r="F70" s="128"/>
      <c r="G70" s="135"/>
      <c r="H70" s="63"/>
      <c r="I70" s="136"/>
      <c r="J70" s="169"/>
      <c r="K70" s="64"/>
      <c r="L70" s="65"/>
      <c r="M70" s="64"/>
      <c r="N70" s="141"/>
      <c r="O70" s="147"/>
      <c r="P70" s="66"/>
      <c r="Q70" s="66"/>
      <c r="R70" s="148"/>
      <c r="S70" s="182"/>
      <c r="T70" s="183"/>
      <c r="U70" s="155"/>
      <c r="V70" s="173">
        <f t="shared" si="31"/>
        <v>0</v>
      </c>
      <c r="W70" s="67"/>
      <c r="X70" s="67"/>
      <c r="Y70" s="67"/>
      <c r="Z70" s="156"/>
      <c r="AA70" s="84"/>
      <c r="AB70" s="85"/>
      <c r="AC70" s="86"/>
      <c r="AD70" s="68"/>
      <c r="AE70" s="70"/>
      <c r="AF70" s="70"/>
      <c r="AG70" s="69"/>
      <c r="AH70" s="189"/>
      <c r="AI70" s="190"/>
      <c r="AJ70" s="191"/>
      <c r="AK70" s="206">
        <f t="shared" si="32"/>
        <v>0</v>
      </c>
      <c r="AL70" s="191"/>
      <c r="AM70" s="206">
        <f t="shared" si="33"/>
        <v>0</v>
      </c>
      <c r="AN70" s="191"/>
      <c r="AO70" s="207">
        <f t="shared" si="34"/>
        <v>0</v>
      </c>
      <c r="AP70" s="72"/>
      <c r="AQ70" s="72"/>
      <c r="AR70" s="192"/>
      <c r="AS70" s="208">
        <f t="shared" si="35"/>
        <v>0</v>
      </c>
      <c r="AT70" s="193"/>
      <c r="AU70" s="206">
        <f t="shared" si="36"/>
        <v>0</v>
      </c>
      <c r="AV70" s="191"/>
      <c r="AW70" s="207">
        <f t="shared" si="37"/>
        <v>0</v>
      </c>
      <c r="AX70" s="73"/>
      <c r="AY70" s="73"/>
      <c r="AZ70" s="193"/>
      <c r="BA70" s="209">
        <f t="shared" si="38"/>
        <v>0</v>
      </c>
      <c r="BB70" s="193"/>
      <c r="BC70" s="206">
        <f t="shared" si="39"/>
        <v>0</v>
      </c>
      <c r="BD70" s="191"/>
      <c r="BE70" s="207">
        <f t="shared" si="40"/>
        <v>0</v>
      </c>
      <c r="BF70" s="73"/>
      <c r="BG70" s="73"/>
      <c r="BH70" s="193"/>
      <c r="BI70" s="209">
        <f t="shared" si="41"/>
        <v>0</v>
      </c>
      <c r="BJ70" s="193"/>
      <c r="BK70" s="206">
        <f t="shared" si="42"/>
        <v>0</v>
      </c>
      <c r="BL70" s="191"/>
      <c r="BM70" s="207">
        <f t="shared" si="43"/>
        <v>0</v>
      </c>
      <c r="BN70" s="73"/>
      <c r="BO70" s="73"/>
      <c r="BP70" s="193"/>
      <c r="BQ70" s="209">
        <f t="shared" si="44"/>
        <v>0</v>
      </c>
      <c r="BR70" s="193"/>
      <c r="BS70" s="206">
        <f t="shared" si="45"/>
        <v>0</v>
      </c>
      <c r="BT70" s="191"/>
      <c r="BU70" s="207">
        <f t="shared" si="46"/>
        <v>0</v>
      </c>
      <c r="BV70" s="73"/>
      <c r="BW70" s="73"/>
      <c r="BX70" s="193"/>
      <c r="BY70" s="209">
        <f t="shared" si="47"/>
        <v>0</v>
      </c>
      <c r="BZ70" s="193"/>
      <c r="CA70" s="206">
        <f t="shared" si="48"/>
        <v>0</v>
      </c>
      <c r="CB70" s="191"/>
      <c r="CC70" s="207">
        <f t="shared" si="49"/>
        <v>0</v>
      </c>
      <c r="CD70" s="73"/>
      <c r="CE70" s="73"/>
      <c r="CF70" s="193"/>
      <c r="CG70" s="209">
        <f t="shared" si="50"/>
        <v>0</v>
      </c>
      <c r="CH70" s="193"/>
      <c r="CI70" s="206">
        <f t="shared" si="51"/>
        <v>0</v>
      </c>
      <c r="CJ70" s="191"/>
      <c r="CK70" s="207">
        <f t="shared" si="52"/>
        <v>0</v>
      </c>
      <c r="CL70" s="73"/>
      <c r="CM70" s="73"/>
      <c r="CN70" s="193"/>
      <c r="CO70" s="209">
        <f t="shared" si="53"/>
        <v>0</v>
      </c>
      <c r="CP70" s="193"/>
      <c r="CQ70" s="206">
        <f t="shared" si="54"/>
        <v>0</v>
      </c>
      <c r="CR70" s="191"/>
      <c r="CS70" s="207">
        <f t="shared" si="55"/>
        <v>0</v>
      </c>
      <c r="CT70" s="73"/>
      <c r="CU70" s="73"/>
      <c r="CV70" s="193"/>
      <c r="CW70" s="209">
        <f t="shared" si="56"/>
        <v>0</v>
      </c>
      <c r="CX70" s="193"/>
      <c r="CY70" s="206">
        <f t="shared" si="57"/>
        <v>0</v>
      </c>
      <c r="CZ70" s="191"/>
      <c r="DA70" s="207">
        <f t="shared" si="58"/>
        <v>0</v>
      </c>
      <c r="DB70" s="73"/>
      <c r="DC70" s="73"/>
      <c r="DD70" s="193"/>
      <c r="DE70" s="209">
        <f t="shared" si="59"/>
        <v>0</v>
      </c>
      <c r="DF70" s="193"/>
      <c r="DG70" s="206">
        <f t="shared" si="60"/>
        <v>0</v>
      </c>
      <c r="DH70" s="191"/>
      <c r="DI70" s="207">
        <f t="shared" si="61"/>
        <v>0</v>
      </c>
    </row>
    <row r="71" spans="1:113">
      <c r="A71" s="57">
        <v>68</v>
      </c>
      <c r="B71" s="111"/>
      <c r="C71" s="61"/>
      <c r="D71" s="62"/>
      <c r="E71" s="62"/>
      <c r="F71" s="128"/>
      <c r="G71" s="135"/>
      <c r="H71" s="63"/>
      <c r="I71" s="136"/>
      <c r="J71" s="169"/>
      <c r="K71" s="64"/>
      <c r="L71" s="65"/>
      <c r="M71" s="64"/>
      <c r="N71" s="141"/>
      <c r="O71" s="147"/>
      <c r="P71" s="66"/>
      <c r="Q71" s="66"/>
      <c r="R71" s="148"/>
      <c r="S71" s="182"/>
      <c r="T71" s="183"/>
      <c r="U71" s="155"/>
      <c r="V71" s="173">
        <f t="shared" si="31"/>
        <v>0</v>
      </c>
      <c r="W71" s="67"/>
      <c r="X71" s="67"/>
      <c r="Y71" s="67"/>
      <c r="Z71" s="156"/>
      <c r="AA71" s="84"/>
      <c r="AB71" s="85"/>
      <c r="AC71" s="86"/>
      <c r="AD71" s="68"/>
      <c r="AE71" s="70"/>
      <c r="AF71" s="70"/>
      <c r="AG71" s="69"/>
      <c r="AH71" s="189"/>
      <c r="AI71" s="190"/>
      <c r="AJ71" s="191"/>
      <c r="AK71" s="206">
        <f t="shared" si="32"/>
        <v>0</v>
      </c>
      <c r="AL71" s="191"/>
      <c r="AM71" s="206">
        <f t="shared" si="33"/>
        <v>0</v>
      </c>
      <c r="AN71" s="191"/>
      <c r="AO71" s="207">
        <f t="shared" si="34"/>
        <v>0</v>
      </c>
      <c r="AP71" s="72"/>
      <c r="AQ71" s="72"/>
      <c r="AR71" s="192"/>
      <c r="AS71" s="208">
        <f t="shared" si="35"/>
        <v>0</v>
      </c>
      <c r="AT71" s="193"/>
      <c r="AU71" s="206">
        <f t="shared" si="36"/>
        <v>0</v>
      </c>
      <c r="AV71" s="191"/>
      <c r="AW71" s="207">
        <f t="shared" si="37"/>
        <v>0</v>
      </c>
      <c r="AX71" s="73"/>
      <c r="AY71" s="73"/>
      <c r="AZ71" s="193"/>
      <c r="BA71" s="209">
        <f t="shared" si="38"/>
        <v>0</v>
      </c>
      <c r="BB71" s="193"/>
      <c r="BC71" s="206">
        <f t="shared" si="39"/>
        <v>0</v>
      </c>
      <c r="BD71" s="191"/>
      <c r="BE71" s="207">
        <f t="shared" si="40"/>
        <v>0</v>
      </c>
      <c r="BF71" s="73"/>
      <c r="BG71" s="73"/>
      <c r="BH71" s="193"/>
      <c r="BI71" s="209">
        <f t="shared" si="41"/>
        <v>0</v>
      </c>
      <c r="BJ71" s="193"/>
      <c r="BK71" s="206">
        <f t="shared" si="42"/>
        <v>0</v>
      </c>
      <c r="BL71" s="191"/>
      <c r="BM71" s="207">
        <f t="shared" si="43"/>
        <v>0</v>
      </c>
      <c r="BN71" s="73"/>
      <c r="BO71" s="73"/>
      <c r="BP71" s="193"/>
      <c r="BQ71" s="209">
        <f t="shared" si="44"/>
        <v>0</v>
      </c>
      <c r="BR71" s="193"/>
      <c r="BS71" s="206">
        <f t="shared" si="45"/>
        <v>0</v>
      </c>
      <c r="BT71" s="191"/>
      <c r="BU71" s="207">
        <f t="shared" si="46"/>
        <v>0</v>
      </c>
      <c r="BV71" s="73"/>
      <c r="BW71" s="73"/>
      <c r="BX71" s="193"/>
      <c r="BY71" s="209">
        <f t="shared" si="47"/>
        <v>0</v>
      </c>
      <c r="BZ71" s="193"/>
      <c r="CA71" s="206">
        <f t="shared" si="48"/>
        <v>0</v>
      </c>
      <c r="CB71" s="191"/>
      <c r="CC71" s="207">
        <f t="shared" si="49"/>
        <v>0</v>
      </c>
      <c r="CD71" s="73"/>
      <c r="CE71" s="73"/>
      <c r="CF71" s="193"/>
      <c r="CG71" s="209">
        <f t="shared" si="50"/>
        <v>0</v>
      </c>
      <c r="CH71" s="193"/>
      <c r="CI71" s="206">
        <f t="shared" si="51"/>
        <v>0</v>
      </c>
      <c r="CJ71" s="191"/>
      <c r="CK71" s="207">
        <f t="shared" si="52"/>
        <v>0</v>
      </c>
      <c r="CL71" s="73"/>
      <c r="CM71" s="73"/>
      <c r="CN71" s="193"/>
      <c r="CO71" s="209">
        <f t="shared" si="53"/>
        <v>0</v>
      </c>
      <c r="CP71" s="193"/>
      <c r="CQ71" s="206">
        <f t="shared" si="54"/>
        <v>0</v>
      </c>
      <c r="CR71" s="191"/>
      <c r="CS71" s="207">
        <f t="shared" si="55"/>
        <v>0</v>
      </c>
      <c r="CT71" s="73"/>
      <c r="CU71" s="73"/>
      <c r="CV71" s="193"/>
      <c r="CW71" s="209">
        <f t="shared" si="56"/>
        <v>0</v>
      </c>
      <c r="CX71" s="193"/>
      <c r="CY71" s="206">
        <f t="shared" si="57"/>
        <v>0</v>
      </c>
      <c r="CZ71" s="191"/>
      <c r="DA71" s="207">
        <f t="shared" si="58"/>
        <v>0</v>
      </c>
      <c r="DB71" s="73"/>
      <c r="DC71" s="73"/>
      <c r="DD71" s="193"/>
      <c r="DE71" s="209">
        <f t="shared" si="59"/>
        <v>0</v>
      </c>
      <c r="DF71" s="193"/>
      <c r="DG71" s="206">
        <f t="shared" si="60"/>
        <v>0</v>
      </c>
      <c r="DH71" s="191"/>
      <c r="DI71" s="207">
        <f t="shared" si="61"/>
        <v>0</v>
      </c>
    </row>
    <row r="72" spans="1:113">
      <c r="A72" s="57">
        <v>69</v>
      </c>
      <c r="B72" s="111"/>
      <c r="C72" s="61"/>
      <c r="D72" s="62"/>
      <c r="E72" s="62"/>
      <c r="F72" s="128"/>
      <c r="G72" s="135"/>
      <c r="H72" s="63"/>
      <c r="I72" s="136"/>
      <c r="J72" s="169"/>
      <c r="K72" s="64"/>
      <c r="L72" s="65"/>
      <c r="M72" s="64"/>
      <c r="N72" s="141"/>
      <c r="O72" s="147"/>
      <c r="P72" s="66"/>
      <c r="Q72" s="66"/>
      <c r="R72" s="148"/>
      <c r="S72" s="182"/>
      <c r="T72" s="183"/>
      <c r="U72" s="155"/>
      <c r="V72" s="173">
        <f t="shared" si="31"/>
        <v>0</v>
      </c>
      <c r="W72" s="67"/>
      <c r="X72" s="67"/>
      <c r="Y72" s="67"/>
      <c r="Z72" s="156"/>
      <c r="AA72" s="84"/>
      <c r="AB72" s="85"/>
      <c r="AC72" s="86"/>
      <c r="AD72" s="68"/>
      <c r="AE72" s="70"/>
      <c r="AF72" s="70"/>
      <c r="AG72" s="69"/>
      <c r="AH72" s="189"/>
      <c r="AI72" s="190"/>
      <c r="AJ72" s="191"/>
      <c r="AK72" s="206">
        <f t="shared" si="32"/>
        <v>0</v>
      </c>
      <c r="AL72" s="191"/>
      <c r="AM72" s="206">
        <f t="shared" si="33"/>
        <v>0</v>
      </c>
      <c r="AN72" s="191"/>
      <c r="AO72" s="207">
        <f t="shared" si="34"/>
        <v>0</v>
      </c>
      <c r="AP72" s="72"/>
      <c r="AQ72" s="72"/>
      <c r="AR72" s="192"/>
      <c r="AS72" s="208">
        <f t="shared" si="35"/>
        <v>0</v>
      </c>
      <c r="AT72" s="193"/>
      <c r="AU72" s="206">
        <f t="shared" si="36"/>
        <v>0</v>
      </c>
      <c r="AV72" s="191"/>
      <c r="AW72" s="207">
        <f t="shared" si="37"/>
        <v>0</v>
      </c>
      <c r="AX72" s="73"/>
      <c r="AY72" s="73"/>
      <c r="AZ72" s="193"/>
      <c r="BA72" s="209">
        <f t="shared" si="38"/>
        <v>0</v>
      </c>
      <c r="BB72" s="193"/>
      <c r="BC72" s="206">
        <f t="shared" si="39"/>
        <v>0</v>
      </c>
      <c r="BD72" s="191"/>
      <c r="BE72" s="207">
        <f t="shared" si="40"/>
        <v>0</v>
      </c>
      <c r="BF72" s="73"/>
      <c r="BG72" s="73"/>
      <c r="BH72" s="193"/>
      <c r="BI72" s="209">
        <f t="shared" si="41"/>
        <v>0</v>
      </c>
      <c r="BJ72" s="193"/>
      <c r="BK72" s="206">
        <f t="shared" si="42"/>
        <v>0</v>
      </c>
      <c r="BL72" s="191"/>
      <c r="BM72" s="207">
        <f t="shared" si="43"/>
        <v>0</v>
      </c>
      <c r="BN72" s="73"/>
      <c r="BO72" s="73"/>
      <c r="BP72" s="193"/>
      <c r="BQ72" s="209">
        <f t="shared" si="44"/>
        <v>0</v>
      </c>
      <c r="BR72" s="193"/>
      <c r="BS72" s="206">
        <f t="shared" si="45"/>
        <v>0</v>
      </c>
      <c r="BT72" s="191"/>
      <c r="BU72" s="207">
        <f t="shared" si="46"/>
        <v>0</v>
      </c>
      <c r="BV72" s="73"/>
      <c r="BW72" s="73"/>
      <c r="BX72" s="193"/>
      <c r="BY72" s="209">
        <f t="shared" si="47"/>
        <v>0</v>
      </c>
      <c r="BZ72" s="193"/>
      <c r="CA72" s="206">
        <f t="shared" si="48"/>
        <v>0</v>
      </c>
      <c r="CB72" s="191"/>
      <c r="CC72" s="207">
        <f t="shared" si="49"/>
        <v>0</v>
      </c>
      <c r="CD72" s="73"/>
      <c r="CE72" s="73"/>
      <c r="CF72" s="193"/>
      <c r="CG72" s="209">
        <f t="shared" si="50"/>
        <v>0</v>
      </c>
      <c r="CH72" s="193"/>
      <c r="CI72" s="206">
        <f t="shared" si="51"/>
        <v>0</v>
      </c>
      <c r="CJ72" s="191"/>
      <c r="CK72" s="207">
        <f t="shared" si="52"/>
        <v>0</v>
      </c>
      <c r="CL72" s="73"/>
      <c r="CM72" s="73"/>
      <c r="CN72" s="193"/>
      <c r="CO72" s="209">
        <f t="shared" si="53"/>
        <v>0</v>
      </c>
      <c r="CP72" s="193"/>
      <c r="CQ72" s="206">
        <f t="shared" si="54"/>
        <v>0</v>
      </c>
      <c r="CR72" s="191"/>
      <c r="CS72" s="207">
        <f t="shared" si="55"/>
        <v>0</v>
      </c>
      <c r="CT72" s="73"/>
      <c r="CU72" s="73"/>
      <c r="CV72" s="193"/>
      <c r="CW72" s="209">
        <f t="shared" si="56"/>
        <v>0</v>
      </c>
      <c r="CX72" s="193"/>
      <c r="CY72" s="206">
        <f t="shared" si="57"/>
        <v>0</v>
      </c>
      <c r="CZ72" s="191"/>
      <c r="DA72" s="207">
        <f t="shared" si="58"/>
        <v>0</v>
      </c>
      <c r="DB72" s="73"/>
      <c r="DC72" s="73"/>
      <c r="DD72" s="193"/>
      <c r="DE72" s="209">
        <f t="shared" si="59"/>
        <v>0</v>
      </c>
      <c r="DF72" s="193"/>
      <c r="DG72" s="206">
        <f t="shared" si="60"/>
        <v>0</v>
      </c>
      <c r="DH72" s="191"/>
      <c r="DI72" s="207">
        <f t="shared" si="61"/>
        <v>0</v>
      </c>
    </row>
    <row r="73" spans="1:113">
      <c r="A73" s="57">
        <v>70</v>
      </c>
      <c r="B73" s="111"/>
      <c r="C73" s="61"/>
      <c r="D73" s="62"/>
      <c r="E73" s="62"/>
      <c r="F73" s="128"/>
      <c r="G73" s="135"/>
      <c r="H73" s="63"/>
      <c r="I73" s="136"/>
      <c r="J73" s="169"/>
      <c r="K73" s="64"/>
      <c r="L73" s="65"/>
      <c r="M73" s="64"/>
      <c r="N73" s="141"/>
      <c r="O73" s="147"/>
      <c r="P73" s="66"/>
      <c r="Q73" s="66"/>
      <c r="R73" s="148"/>
      <c r="S73" s="182"/>
      <c r="T73" s="183"/>
      <c r="U73" s="155"/>
      <c r="V73" s="173">
        <f t="shared" si="31"/>
        <v>0</v>
      </c>
      <c r="W73" s="67"/>
      <c r="X73" s="67"/>
      <c r="Y73" s="67"/>
      <c r="Z73" s="156"/>
      <c r="AA73" s="84"/>
      <c r="AB73" s="85"/>
      <c r="AC73" s="86"/>
      <c r="AD73" s="68"/>
      <c r="AE73" s="70"/>
      <c r="AF73" s="70"/>
      <c r="AG73" s="69"/>
      <c r="AH73" s="189"/>
      <c r="AI73" s="190"/>
      <c r="AJ73" s="191"/>
      <c r="AK73" s="206">
        <f t="shared" si="32"/>
        <v>0</v>
      </c>
      <c r="AL73" s="191"/>
      <c r="AM73" s="206">
        <f t="shared" si="33"/>
        <v>0</v>
      </c>
      <c r="AN73" s="191"/>
      <c r="AO73" s="207">
        <f t="shared" si="34"/>
        <v>0</v>
      </c>
      <c r="AP73" s="72"/>
      <c r="AQ73" s="72"/>
      <c r="AR73" s="192"/>
      <c r="AS73" s="208">
        <f t="shared" si="35"/>
        <v>0</v>
      </c>
      <c r="AT73" s="193"/>
      <c r="AU73" s="206">
        <f t="shared" si="36"/>
        <v>0</v>
      </c>
      <c r="AV73" s="191"/>
      <c r="AW73" s="207">
        <f t="shared" si="37"/>
        <v>0</v>
      </c>
      <c r="AX73" s="73"/>
      <c r="AY73" s="73"/>
      <c r="AZ73" s="193"/>
      <c r="BA73" s="209">
        <f t="shared" si="38"/>
        <v>0</v>
      </c>
      <c r="BB73" s="193"/>
      <c r="BC73" s="206">
        <f t="shared" si="39"/>
        <v>0</v>
      </c>
      <c r="BD73" s="191"/>
      <c r="BE73" s="207">
        <f t="shared" si="40"/>
        <v>0</v>
      </c>
      <c r="BF73" s="73"/>
      <c r="BG73" s="73"/>
      <c r="BH73" s="193"/>
      <c r="BI73" s="209">
        <f t="shared" si="41"/>
        <v>0</v>
      </c>
      <c r="BJ73" s="193"/>
      <c r="BK73" s="206">
        <f t="shared" si="42"/>
        <v>0</v>
      </c>
      <c r="BL73" s="191"/>
      <c r="BM73" s="207">
        <f t="shared" si="43"/>
        <v>0</v>
      </c>
      <c r="BN73" s="73"/>
      <c r="BO73" s="73"/>
      <c r="BP73" s="193"/>
      <c r="BQ73" s="209">
        <f t="shared" si="44"/>
        <v>0</v>
      </c>
      <c r="BR73" s="193"/>
      <c r="BS73" s="206">
        <f t="shared" si="45"/>
        <v>0</v>
      </c>
      <c r="BT73" s="191"/>
      <c r="BU73" s="207">
        <f t="shared" si="46"/>
        <v>0</v>
      </c>
      <c r="BV73" s="73"/>
      <c r="BW73" s="73"/>
      <c r="BX73" s="193"/>
      <c r="BY73" s="209">
        <f t="shared" si="47"/>
        <v>0</v>
      </c>
      <c r="BZ73" s="193"/>
      <c r="CA73" s="206">
        <f t="shared" si="48"/>
        <v>0</v>
      </c>
      <c r="CB73" s="191"/>
      <c r="CC73" s="207">
        <f t="shared" si="49"/>
        <v>0</v>
      </c>
      <c r="CD73" s="73"/>
      <c r="CE73" s="73"/>
      <c r="CF73" s="193"/>
      <c r="CG73" s="209">
        <f t="shared" si="50"/>
        <v>0</v>
      </c>
      <c r="CH73" s="193"/>
      <c r="CI73" s="206">
        <f t="shared" si="51"/>
        <v>0</v>
      </c>
      <c r="CJ73" s="191"/>
      <c r="CK73" s="207">
        <f t="shared" si="52"/>
        <v>0</v>
      </c>
      <c r="CL73" s="73"/>
      <c r="CM73" s="73"/>
      <c r="CN73" s="193"/>
      <c r="CO73" s="209">
        <f t="shared" si="53"/>
        <v>0</v>
      </c>
      <c r="CP73" s="193"/>
      <c r="CQ73" s="206">
        <f t="shared" si="54"/>
        <v>0</v>
      </c>
      <c r="CR73" s="191"/>
      <c r="CS73" s="207">
        <f t="shared" si="55"/>
        <v>0</v>
      </c>
      <c r="CT73" s="73"/>
      <c r="CU73" s="73"/>
      <c r="CV73" s="193"/>
      <c r="CW73" s="209">
        <f t="shared" si="56"/>
        <v>0</v>
      </c>
      <c r="CX73" s="193"/>
      <c r="CY73" s="206">
        <f t="shared" si="57"/>
        <v>0</v>
      </c>
      <c r="CZ73" s="191"/>
      <c r="DA73" s="207">
        <f t="shared" si="58"/>
        <v>0</v>
      </c>
      <c r="DB73" s="73"/>
      <c r="DC73" s="73"/>
      <c r="DD73" s="193"/>
      <c r="DE73" s="209">
        <f t="shared" si="59"/>
        <v>0</v>
      </c>
      <c r="DF73" s="193"/>
      <c r="DG73" s="206">
        <f t="shared" si="60"/>
        <v>0</v>
      </c>
      <c r="DH73" s="191"/>
      <c r="DI73" s="207">
        <f t="shared" si="61"/>
        <v>0</v>
      </c>
    </row>
    <row r="74" spans="1:113">
      <c r="A74" s="57">
        <v>71</v>
      </c>
      <c r="B74" s="111"/>
      <c r="C74" s="61"/>
      <c r="D74" s="62"/>
      <c r="E74" s="62"/>
      <c r="F74" s="128"/>
      <c r="G74" s="135"/>
      <c r="H74" s="63"/>
      <c r="I74" s="136"/>
      <c r="J74" s="169"/>
      <c r="K74" s="64"/>
      <c r="L74" s="65"/>
      <c r="M74" s="64"/>
      <c r="N74" s="141"/>
      <c r="O74" s="147"/>
      <c r="P74" s="66"/>
      <c r="Q74" s="66"/>
      <c r="R74" s="148"/>
      <c r="S74" s="182"/>
      <c r="T74" s="183"/>
      <c r="U74" s="155"/>
      <c r="V74" s="173">
        <f t="shared" si="31"/>
        <v>0</v>
      </c>
      <c r="W74" s="67"/>
      <c r="X74" s="67"/>
      <c r="Y74" s="67"/>
      <c r="Z74" s="156"/>
      <c r="AA74" s="84"/>
      <c r="AB74" s="85"/>
      <c r="AC74" s="86"/>
      <c r="AD74" s="68"/>
      <c r="AE74" s="70"/>
      <c r="AF74" s="70"/>
      <c r="AG74" s="69"/>
      <c r="AH74" s="189"/>
      <c r="AI74" s="190"/>
      <c r="AJ74" s="191"/>
      <c r="AK74" s="206">
        <f t="shared" si="32"/>
        <v>0</v>
      </c>
      <c r="AL74" s="191"/>
      <c r="AM74" s="206">
        <f t="shared" si="33"/>
        <v>0</v>
      </c>
      <c r="AN74" s="191"/>
      <c r="AO74" s="207">
        <f t="shared" si="34"/>
        <v>0</v>
      </c>
      <c r="AP74" s="72"/>
      <c r="AQ74" s="72"/>
      <c r="AR74" s="192"/>
      <c r="AS74" s="208">
        <f t="shared" si="35"/>
        <v>0</v>
      </c>
      <c r="AT74" s="193"/>
      <c r="AU74" s="206">
        <f t="shared" si="36"/>
        <v>0</v>
      </c>
      <c r="AV74" s="191"/>
      <c r="AW74" s="207">
        <f t="shared" si="37"/>
        <v>0</v>
      </c>
      <c r="AX74" s="73"/>
      <c r="AY74" s="73"/>
      <c r="AZ74" s="193"/>
      <c r="BA74" s="209">
        <f t="shared" si="38"/>
        <v>0</v>
      </c>
      <c r="BB74" s="193"/>
      <c r="BC74" s="206">
        <f t="shared" si="39"/>
        <v>0</v>
      </c>
      <c r="BD74" s="191"/>
      <c r="BE74" s="207">
        <f t="shared" si="40"/>
        <v>0</v>
      </c>
      <c r="BF74" s="73"/>
      <c r="BG74" s="73"/>
      <c r="BH74" s="193"/>
      <c r="BI74" s="209">
        <f t="shared" si="41"/>
        <v>0</v>
      </c>
      <c r="BJ74" s="193"/>
      <c r="BK74" s="206">
        <f t="shared" si="42"/>
        <v>0</v>
      </c>
      <c r="BL74" s="191"/>
      <c r="BM74" s="207">
        <f t="shared" si="43"/>
        <v>0</v>
      </c>
      <c r="BN74" s="73"/>
      <c r="BO74" s="73"/>
      <c r="BP74" s="193"/>
      <c r="BQ74" s="209">
        <f t="shared" si="44"/>
        <v>0</v>
      </c>
      <c r="BR74" s="193"/>
      <c r="BS74" s="206">
        <f t="shared" si="45"/>
        <v>0</v>
      </c>
      <c r="BT74" s="191"/>
      <c r="BU74" s="207">
        <f t="shared" si="46"/>
        <v>0</v>
      </c>
      <c r="BV74" s="73"/>
      <c r="BW74" s="73"/>
      <c r="BX74" s="193"/>
      <c r="BY74" s="209">
        <f t="shared" si="47"/>
        <v>0</v>
      </c>
      <c r="BZ74" s="193"/>
      <c r="CA74" s="206">
        <f t="shared" si="48"/>
        <v>0</v>
      </c>
      <c r="CB74" s="191"/>
      <c r="CC74" s="207">
        <f t="shared" si="49"/>
        <v>0</v>
      </c>
      <c r="CD74" s="73"/>
      <c r="CE74" s="73"/>
      <c r="CF74" s="193"/>
      <c r="CG74" s="209">
        <f t="shared" si="50"/>
        <v>0</v>
      </c>
      <c r="CH74" s="193"/>
      <c r="CI74" s="206">
        <f t="shared" si="51"/>
        <v>0</v>
      </c>
      <c r="CJ74" s="191"/>
      <c r="CK74" s="207">
        <f t="shared" si="52"/>
        <v>0</v>
      </c>
      <c r="CL74" s="73"/>
      <c r="CM74" s="73"/>
      <c r="CN74" s="193"/>
      <c r="CO74" s="209">
        <f t="shared" si="53"/>
        <v>0</v>
      </c>
      <c r="CP74" s="193"/>
      <c r="CQ74" s="206">
        <f t="shared" si="54"/>
        <v>0</v>
      </c>
      <c r="CR74" s="191"/>
      <c r="CS74" s="207">
        <f t="shared" si="55"/>
        <v>0</v>
      </c>
      <c r="CT74" s="73"/>
      <c r="CU74" s="73"/>
      <c r="CV74" s="193"/>
      <c r="CW74" s="209">
        <f t="shared" si="56"/>
        <v>0</v>
      </c>
      <c r="CX74" s="193"/>
      <c r="CY74" s="206">
        <f t="shared" si="57"/>
        <v>0</v>
      </c>
      <c r="CZ74" s="191"/>
      <c r="DA74" s="207">
        <f t="shared" si="58"/>
        <v>0</v>
      </c>
      <c r="DB74" s="73"/>
      <c r="DC74" s="73"/>
      <c r="DD74" s="193"/>
      <c r="DE74" s="209">
        <f t="shared" si="59"/>
        <v>0</v>
      </c>
      <c r="DF74" s="193"/>
      <c r="DG74" s="206">
        <f t="shared" si="60"/>
        <v>0</v>
      </c>
      <c r="DH74" s="191"/>
      <c r="DI74" s="207">
        <f t="shared" si="61"/>
        <v>0</v>
      </c>
    </row>
    <row r="75" spans="1:113">
      <c r="A75" s="57">
        <v>72</v>
      </c>
      <c r="B75" s="111"/>
      <c r="C75" s="61"/>
      <c r="D75" s="62"/>
      <c r="E75" s="62"/>
      <c r="F75" s="128"/>
      <c r="G75" s="135"/>
      <c r="H75" s="63"/>
      <c r="I75" s="136"/>
      <c r="J75" s="169"/>
      <c r="K75" s="64"/>
      <c r="L75" s="65"/>
      <c r="M75" s="64"/>
      <c r="N75" s="141"/>
      <c r="O75" s="147"/>
      <c r="P75" s="66"/>
      <c r="Q75" s="66"/>
      <c r="R75" s="148"/>
      <c r="S75" s="182"/>
      <c r="T75" s="183"/>
      <c r="U75" s="155"/>
      <c r="V75" s="173">
        <f t="shared" si="31"/>
        <v>0</v>
      </c>
      <c r="W75" s="67"/>
      <c r="X75" s="67"/>
      <c r="Y75" s="67"/>
      <c r="Z75" s="156"/>
      <c r="AA75" s="84"/>
      <c r="AB75" s="85"/>
      <c r="AC75" s="86"/>
      <c r="AD75" s="68"/>
      <c r="AE75" s="70"/>
      <c r="AF75" s="70"/>
      <c r="AG75" s="69"/>
      <c r="AH75" s="189"/>
      <c r="AI75" s="190"/>
      <c r="AJ75" s="191"/>
      <c r="AK75" s="206">
        <f t="shared" si="32"/>
        <v>0</v>
      </c>
      <c r="AL75" s="191"/>
      <c r="AM75" s="206">
        <f t="shared" si="33"/>
        <v>0</v>
      </c>
      <c r="AN75" s="191"/>
      <c r="AO75" s="207">
        <f t="shared" si="34"/>
        <v>0</v>
      </c>
      <c r="AP75" s="72"/>
      <c r="AQ75" s="72"/>
      <c r="AR75" s="192"/>
      <c r="AS75" s="208">
        <f t="shared" si="35"/>
        <v>0</v>
      </c>
      <c r="AT75" s="193"/>
      <c r="AU75" s="206">
        <f t="shared" si="36"/>
        <v>0</v>
      </c>
      <c r="AV75" s="191"/>
      <c r="AW75" s="207">
        <f t="shared" si="37"/>
        <v>0</v>
      </c>
      <c r="AX75" s="73"/>
      <c r="AY75" s="73"/>
      <c r="AZ75" s="193"/>
      <c r="BA75" s="209">
        <f t="shared" si="38"/>
        <v>0</v>
      </c>
      <c r="BB75" s="193"/>
      <c r="BC75" s="206">
        <f t="shared" si="39"/>
        <v>0</v>
      </c>
      <c r="BD75" s="191"/>
      <c r="BE75" s="207">
        <f t="shared" si="40"/>
        <v>0</v>
      </c>
      <c r="BF75" s="73"/>
      <c r="BG75" s="73"/>
      <c r="BH75" s="193"/>
      <c r="BI75" s="209">
        <f t="shared" si="41"/>
        <v>0</v>
      </c>
      <c r="BJ75" s="193"/>
      <c r="BK75" s="206">
        <f t="shared" si="42"/>
        <v>0</v>
      </c>
      <c r="BL75" s="191"/>
      <c r="BM75" s="207">
        <f t="shared" si="43"/>
        <v>0</v>
      </c>
      <c r="BN75" s="73"/>
      <c r="BO75" s="73"/>
      <c r="BP75" s="193"/>
      <c r="BQ75" s="209">
        <f t="shared" si="44"/>
        <v>0</v>
      </c>
      <c r="BR75" s="193"/>
      <c r="BS75" s="206">
        <f t="shared" si="45"/>
        <v>0</v>
      </c>
      <c r="BT75" s="191"/>
      <c r="BU75" s="207">
        <f t="shared" si="46"/>
        <v>0</v>
      </c>
      <c r="BV75" s="73"/>
      <c r="BW75" s="73"/>
      <c r="BX75" s="193"/>
      <c r="BY75" s="209">
        <f t="shared" si="47"/>
        <v>0</v>
      </c>
      <c r="BZ75" s="193"/>
      <c r="CA75" s="206">
        <f t="shared" si="48"/>
        <v>0</v>
      </c>
      <c r="CB75" s="191"/>
      <c r="CC75" s="207">
        <f t="shared" si="49"/>
        <v>0</v>
      </c>
      <c r="CD75" s="73"/>
      <c r="CE75" s="73"/>
      <c r="CF75" s="193"/>
      <c r="CG75" s="209">
        <f t="shared" si="50"/>
        <v>0</v>
      </c>
      <c r="CH75" s="193"/>
      <c r="CI75" s="206">
        <f t="shared" si="51"/>
        <v>0</v>
      </c>
      <c r="CJ75" s="191"/>
      <c r="CK75" s="207">
        <f t="shared" si="52"/>
        <v>0</v>
      </c>
      <c r="CL75" s="73"/>
      <c r="CM75" s="73"/>
      <c r="CN75" s="193"/>
      <c r="CO75" s="209">
        <f t="shared" si="53"/>
        <v>0</v>
      </c>
      <c r="CP75" s="193"/>
      <c r="CQ75" s="206">
        <f t="shared" si="54"/>
        <v>0</v>
      </c>
      <c r="CR75" s="191"/>
      <c r="CS75" s="207">
        <f t="shared" si="55"/>
        <v>0</v>
      </c>
      <c r="CT75" s="73"/>
      <c r="CU75" s="73"/>
      <c r="CV75" s="193"/>
      <c r="CW75" s="209">
        <f t="shared" si="56"/>
        <v>0</v>
      </c>
      <c r="CX75" s="193"/>
      <c r="CY75" s="206">
        <f t="shared" si="57"/>
        <v>0</v>
      </c>
      <c r="CZ75" s="191"/>
      <c r="DA75" s="207">
        <f t="shared" si="58"/>
        <v>0</v>
      </c>
      <c r="DB75" s="73"/>
      <c r="DC75" s="73"/>
      <c r="DD75" s="193"/>
      <c r="DE75" s="209">
        <f t="shared" si="59"/>
        <v>0</v>
      </c>
      <c r="DF75" s="193"/>
      <c r="DG75" s="206">
        <f t="shared" si="60"/>
        <v>0</v>
      </c>
      <c r="DH75" s="191"/>
      <c r="DI75" s="207">
        <f t="shared" si="61"/>
        <v>0</v>
      </c>
    </row>
    <row r="76" spans="1:113">
      <c r="A76" s="57">
        <v>73</v>
      </c>
      <c r="B76" s="111"/>
      <c r="C76" s="61"/>
      <c r="D76" s="62"/>
      <c r="E76" s="62"/>
      <c r="F76" s="128"/>
      <c r="G76" s="135"/>
      <c r="H76" s="63"/>
      <c r="I76" s="136"/>
      <c r="J76" s="169"/>
      <c r="K76" s="64"/>
      <c r="L76" s="65"/>
      <c r="M76" s="64"/>
      <c r="N76" s="141"/>
      <c r="O76" s="147"/>
      <c r="P76" s="66"/>
      <c r="Q76" s="66"/>
      <c r="R76" s="148"/>
      <c r="S76" s="182"/>
      <c r="T76" s="183"/>
      <c r="U76" s="155"/>
      <c r="V76" s="173">
        <f t="shared" si="31"/>
        <v>0</v>
      </c>
      <c r="W76" s="67"/>
      <c r="X76" s="67"/>
      <c r="Y76" s="67"/>
      <c r="Z76" s="156"/>
      <c r="AA76" s="84"/>
      <c r="AB76" s="85"/>
      <c r="AC76" s="86"/>
      <c r="AD76" s="68"/>
      <c r="AE76" s="70"/>
      <c r="AF76" s="70"/>
      <c r="AG76" s="69"/>
      <c r="AH76" s="189"/>
      <c r="AI76" s="190"/>
      <c r="AJ76" s="191"/>
      <c r="AK76" s="206">
        <f t="shared" si="32"/>
        <v>0</v>
      </c>
      <c r="AL76" s="191"/>
      <c r="AM76" s="206">
        <f t="shared" si="33"/>
        <v>0</v>
      </c>
      <c r="AN76" s="191"/>
      <c r="AO76" s="207">
        <f t="shared" si="34"/>
        <v>0</v>
      </c>
      <c r="AP76" s="72"/>
      <c r="AQ76" s="72"/>
      <c r="AR76" s="192"/>
      <c r="AS76" s="208">
        <f t="shared" si="35"/>
        <v>0</v>
      </c>
      <c r="AT76" s="193"/>
      <c r="AU76" s="206">
        <f t="shared" si="36"/>
        <v>0</v>
      </c>
      <c r="AV76" s="191"/>
      <c r="AW76" s="207">
        <f t="shared" si="37"/>
        <v>0</v>
      </c>
      <c r="AX76" s="73"/>
      <c r="AY76" s="73"/>
      <c r="AZ76" s="193"/>
      <c r="BA76" s="209">
        <f t="shared" si="38"/>
        <v>0</v>
      </c>
      <c r="BB76" s="193"/>
      <c r="BC76" s="206">
        <f t="shared" si="39"/>
        <v>0</v>
      </c>
      <c r="BD76" s="191"/>
      <c r="BE76" s="207">
        <f t="shared" si="40"/>
        <v>0</v>
      </c>
      <c r="BF76" s="73"/>
      <c r="BG76" s="73"/>
      <c r="BH76" s="193"/>
      <c r="BI76" s="209">
        <f t="shared" si="41"/>
        <v>0</v>
      </c>
      <c r="BJ76" s="193"/>
      <c r="BK76" s="206">
        <f t="shared" si="42"/>
        <v>0</v>
      </c>
      <c r="BL76" s="191"/>
      <c r="BM76" s="207">
        <f t="shared" si="43"/>
        <v>0</v>
      </c>
      <c r="BN76" s="73"/>
      <c r="BO76" s="73"/>
      <c r="BP76" s="193"/>
      <c r="BQ76" s="209">
        <f t="shared" si="44"/>
        <v>0</v>
      </c>
      <c r="BR76" s="193"/>
      <c r="BS76" s="206">
        <f t="shared" si="45"/>
        <v>0</v>
      </c>
      <c r="BT76" s="191"/>
      <c r="BU76" s="207">
        <f t="shared" si="46"/>
        <v>0</v>
      </c>
      <c r="BV76" s="73"/>
      <c r="BW76" s="73"/>
      <c r="BX76" s="193"/>
      <c r="BY76" s="209">
        <f t="shared" si="47"/>
        <v>0</v>
      </c>
      <c r="BZ76" s="193"/>
      <c r="CA76" s="206">
        <f t="shared" si="48"/>
        <v>0</v>
      </c>
      <c r="CB76" s="191"/>
      <c r="CC76" s="207">
        <f t="shared" si="49"/>
        <v>0</v>
      </c>
      <c r="CD76" s="73"/>
      <c r="CE76" s="73"/>
      <c r="CF76" s="193"/>
      <c r="CG76" s="209">
        <f t="shared" si="50"/>
        <v>0</v>
      </c>
      <c r="CH76" s="193"/>
      <c r="CI76" s="206">
        <f t="shared" si="51"/>
        <v>0</v>
      </c>
      <c r="CJ76" s="191"/>
      <c r="CK76" s="207">
        <f t="shared" si="52"/>
        <v>0</v>
      </c>
      <c r="CL76" s="73"/>
      <c r="CM76" s="73"/>
      <c r="CN76" s="193"/>
      <c r="CO76" s="209">
        <f t="shared" si="53"/>
        <v>0</v>
      </c>
      <c r="CP76" s="193"/>
      <c r="CQ76" s="206">
        <f t="shared" si="54"/>
        <v>0</v>
      </c>
      <c r="CR76" s="191"/>
      <c r="CS76" s="207">
        <f t="shared" si="55"/>
        <v>0</v>
      </c>
      <c r="CT76" s="73"/>
      <c r="CU76" s="73"/>
      <c r="CV76" s="193"/>
      <c r="CW76" s="209">
        <f t="shared" si="56"/>
        <v>0</v>
      </c>
      <c r="CX76" s="193"/>
      <c r="CY76" s="206">
        <f t="shared" si="57"/>
        <v>0</v>
      </c>
      <c r="CZ76" s="191"/>
      <c r="DA76" s="207">
        <f t="shared" si="58"/>
        <v>0</v>
      </c>
      <c r="DB76" s="73"/>
      <c r="DC76" s="73"/>
      <c r="DD76" s="193"/>
      <c r="DE76" s="209">
        <f t="shared" si="59"/>
        <v>0</v>
      </c>
      <c r="DF76" s="193"/>
      <c r="DG76" s="206">
        <f t="shared" si="60"/>
        <v>0</v>
      </c>
      <c r="DH76" s="191"/>
      <c r="DI76" s="207">
        <f t="shared" si="61"/>
        <v>0</v>
      </c>
    </row>
    <row r="77" spans="1:113">
      <c r="A77" s="57">
        <v>74</v>
      </c>
      <c r="B77" s="111"/>
      <c r="C77" s="61"/>
      <c r="D77" s="62"/>
      <c r="E77" s="62"/>
      <c r="F77" s="128"/>
      <c r="G77" s="135"/>
      <c r="H77" s="63"/>
      <c r="I77" s="136"/>
      <c r="J77" s="169"/>
      <c r="K77" s="64"/>
      <c r="L77" s="65"/>
      <c r="M77" s="64"/>
      <c r="N77" s="141"/>
      <c r="O77" s="147"/>
      <c r="P77" s="66"/>
      <c r="Q77" s="66"/>
      <c r="R77" s="148"/>
      <c r="S77" s="182"/>
      <c r="T77" s="183"/>
      <c r="U77" s="155"/>
      <c r="V77" s="173">
        <f t="shared" si="31"/>
        <v>0</v>
      </c>
      <c r="W77" s="67"/>
      <c r="X77" s="67"/>
      <c r="Y77" s="67"/>
      <c r="Z77" s="156"/>
      <c r="AA77" s="84"/>
      <c r="AB77" s="85"/>
      <c r="AC77" s="86"/>
      <c r="AD77" s="68"/>
      <c r="AE77" s="70"/>
      <c r="AF77" s="70"/>
      <c r="AG77" s="69"/>
      <c r="AH77" s="189"/>
      <c r="AI77" s="190"/>
      <c r="AJ77" s="191"/>
      <c r="AK77" s="206">
        <f t="shared" si="32"/>
        <v>0</v>
      </c>
      <c r="AL77" s="191"/>
      <c r="AM77" s="206">
        <f t="shared" si="33"/>
        <v>0</v>
      </c>
      <c r="AN77" s="191"/>
      <c r="AO77" s="207">
        <f t="shared" si="34"/>
        <v>0</v>
      </c>
      <c r="AP77" s="72"/>
      <c r="AQ77" s="72"/>
      <c r="AR77" s="192"/>
      <c r="AS77" s="208">
        <f t="shared" si="35"/>
        <v>0</v>
      </c>
      <c r="AT77" s="193"/>
      <c r="AU77" s="206">
        <f t="shared" si="36"/>
        <v>0</v>
      </c>
      <c r="AV77" s="191"/>
      <c r="AW77" s="207">
        <f t="shared" si="37"/>
        <v>0</v>
      </c>
      <c r="AX77" s="73"/>
      <c r="AY77" s="73"/>
      <c r="AZ77" s="193"/>
      <c r="BA77" s="209">
        <f t="shared" si="38"/>
        <v>0</v>
      </c>
      <c r="BB77" s="193"/>
      <c r="BC77" s="206">
        <f t="shared" si="39"/>
        <v>0</v>
      </c>
      <c r="BD77" s="191"/>
      <c r="BE77" s="207">
        <f t="shared" si="40"/>
        <v>0</v>
      </c>
      <c r="BF77" s="73"/>
      <c r="BG77" s="73"/>
      <c r="BH77" s="193"/>
      <c r="BI77" s="209">
        <f t="shared" si="41"/>
        <v>0</v>
      </c>
      <c r="BJ77" s="193"/>
      <c r="BK77" s="206">
        <f t="shared" si="42"/>
        <v>0</v>
      </c>
      <c r="BL77" s="191"/>
      <c r="BM77" s="207">
        <f t="shared" si="43"/>
        <v>0</v>
      </c>
      <c r="BN77" s="73"/>
      <c r="BO77" s="73"/>
      <c r="BP77" s="193"/>
      <c r="BQ77" s="209">
        <f t="shared" si="44"/>
        <v>0</v>
      </c>
      <c r="BR77" s="193"/>
      <c r="BS77" s="206">
        <f t="shared" si="45"/>
        <v>0</v>
      </c>
      <c r="BT77" s="191"/>
      <c r="BU77" s="207">
        <f t="shared" si="46"/>
        <v>0</v>
      </c>
      <c r="BV77" s="73"/>
      <c r="BW77" s="73"/>
      <c r="BX77" s="193"/>
      <c r="BY77" s="209">
        <f t="shared" si="47"/>
        <v>0</v>
      </c>
      <c r="BZ77" s="193"/>
      <c r="CA77" s="206">
        <f t="shared" si="48"/>
        <v>0</v>
      </c>
      <c r="CB77" s="191"/>
      <c r="CC77" s="207">
        <f t="shared" si="49"/>
        <v>0</v>
      </c>
      <c r="CD77" s="73"/>
      <c r="CE77" s="73"/>
      <c r="CF77" s="193"/>
      <c r="CG77" s="209">
        <f t="shared" si="50"/>
        <v>0</v>
      </c>
      <c r="CH77" s="193"/>
      <c r="CI77" s="206">
        <f t="shared" si="51"/>
        <v>0</v>
      </c>
      <c r="CJ77" s="191"/>
      <c r="CK77" s="207">
        <f t="shared" si="52"/>
        <v>0</v>
      </c>
      <c r="CL77" s="73"/>
      <c r="CM77" s="73"/>
      <c r="CN77" s="193"/>
      <c r="CO77" s="209">
        <f t="shared" si="53"/>
        <v>0</v>
      </c>
      <c r="CP77" s="193"/>
      <c r="CQ77" s="206">
        <f t="shared" si="54"/>
        <v>0</v>
      </c>
      <c r="CR77" s="191"/>
      <c r="CS77" s="207">
        <f t="shared" si="55"/>
        <v>0</v>
      </c>
      <c r="CT77" s="73"/>
      <c r="CU77" s="73"/>
      <c r="CV77" s="193"/>
      <c r="CW77" s="209">
        <f t="shared" si="56"/>
        <v>0</v>
      </c>
      <c r="CX77" s="193"/>
      <c r="CY77" s="206">
        <f t="shared" si="57"/>
        <v>0</v>
      </c>
      <c r="CZ77" s="191"/>
      <c r="DA77" s="207">
        <f t="shared" si="58"/>
        <v>0</v>
      </c>
      <c r="DB77" s="73"/>
      <c r="DC77" s="73"/>
      <c r="DD77" s="193"/>
      <c r="DE77" s="209">
        <f t="shared" si="59"/>
        <v>0</v>
      </c>
      <c r="DF77" s="193"/>
      <c r="DG77" s="206">
        <f t="shared" si="60"/>
        <v>0</v>
      </c>
      <c r="DH77" s="191"/>
      <c r="DI77" s="207">
        <f t="shared" si="61"/>
        <v>0</v>
      </c>
    </row>
    <row r="78" spans="1:113">
      <c r="A78" s="57">
        <v>75</v>
      </c>
      <c r="B78" s="111"/>
      <c r="C78" s="61"/>
      <c r="D78" s="62"/>
      <c r="E78" s="62"/>
      <c r="F78" s="128"/>
      <c r="G78" s="135"/>
      <c r="H78" s="63"/>
      <c r="I78" s="136"/>
      <c r="J78" s="169"/>
      <c r="K78" s="64"/>
      <c r="L78" s="65"/>
      <c r="M78" s="64"/>
      <c r="N78" s="141"/>
      <c r="O78" s="147"/>
      <c r="P78" s="66"/>
      <c r="Q78" s="66"/>
      <c r="R78" s="148"/>
      <c r="S78" s="182"/>
      <c r="T78" s="183"/>
      <c r="U78" s="155"/>
      <c r="V78" s="173">
        <f t="shared" si="31"/>
        <v>0</v>
      </c>
      <c r="W78" s="67"/>
      <c r="X78" s="67"/>
      <c r="Y78" s="67"/>
      <c r="Z78" s="156"/>
      <c r="AA78" s="84"/>
      <c r="AB78" s="85"/>
      <c r="AC78" s="86"/>
      <c r="AD78" s="68"/>
      <c r="AE78" s="70"/>
      <c r="AF78" s="70"/>
      <c r="AG78" s="69"/>
      <c r="AH78" s="189"/>
      <c r="AI78" s="190"/>
      <c r="AJ78" s="191"/>
      <c r="AK78" s="206">
        <f t="shared" si="32"/>
        <v>0</v>
      </c>
      <c r="AL78" s="191"/>
      <c r="AM78" s="206">
        <f t="shared" si="33"/>
        <v>0</v>
      </c>
      <c r="AN78" s="191"/>
      <c r="AO78" s="207">
        <f t="shared" si="34"/>
        <v>0</v>
      </c>
      <c r="AP78" s="72"/>
      <c r="AQ78" s="72"/>
      <c r="AR78" s="192"/>
      <c r="AS78" s="208">
        <f t="shared" si="35"/>
        <v>0</v>
      </c>
      <c r="AT78" s="193"/>
      <c r="AU78" s="206">
        <f t="shared" si="36"/>
        <v>0</v>
      </c>
      <c r="AV78" s="191"/>
      <c r="AW78" s="207">
        <f t="shared" si="37"/>
        <v>0</v>
      </c>
      <c r="AX78" s="73"/>
      <c r="AY78" s="73"/>
      <c r="AZ78" s="193"/>
      <c r="BA78" s="209">
        <f t="shared" si="38"/>
        <v>0</v>
      </c>
      <c r="BB78" s="193"/>
      <c r="BC78" s="206">
        <f t="shared" si="39"/>
        <v>0</v>
      </c>
      <c r="BD78" s="191"/>
      <c r="BE78" s="207">
        <f t="shared" si="40"/>
        <v>0</v>
      </c>
      <c r="BF78" s="73"/>
      <c r="BG78" s="73"/>
      <c r="BH78" s="193"/>
      <c r="BI78" s="209">
        <f t="shared" si="41"/>
        <v>0</v>
      </c>
      <c r="BJ78" s="193"/>
      <c r="BK78" s="206">
        <f t="shared" si="42"/>
        <v>0</v>
      </c>
      <c r="BL78" s="191"/>
      <c r="BM78" s="207">
        <f t="shared" si="43"/>
        <v>0</v>
      </c>
      <c r="BN78" s="73"/>
      <c r="BO78" s="73"/>
      <c r="BP78" s="193"/>
      <c r="BQ78" s="209">
        <f t="shared" si="44"/>
        <v>0</v>
      </c>
      <c r="BR78" s="193"/>
      <c r="BS78" s="206">
        <f t="shared" si="45"/>
        <v>0</v>
      </c>
      <c r="BT78" s="191"/>
      <c r="BU78" s="207">
        <f t="shared" si="46"/>
        <v>0</v>
      </c>
      <c r="BV78" s="73"/>
      <c r="BW78" s="73"/>
      <c r="BX78" s="193"/>
      <c r="BY78" s="209">
        <f t="shared" si="47"/>
        <v>0</v>
      </c>
      <c r="BZ78" s="193"/>
      <c r="CA78" s="206">
        <f t="shared" si="48"/>
        <v>0</v>
      </c>
      <c r="CB78" s="191"/>
      <c r="CC78" s="207">
        <f t="shared" si="49"/>
        <v>0</v>
      </c>
      <c r="CD78" s="73"/>
      <c r="CE78" s="73"/>
      <c r="CF78" s="193"/>
      <c r="CG78" s="209">
        <f t="shared" si="50"/>
        <v>0</v>
      </c>
      <c r="CH78" s="193"/>
      <c r="CI78" s="206">
        <f t="shared" si="51"/>
        <v>0</v>
      </c>
      <c r="CJ78" s="191"/>
      <c r="CK78" s="207">
        <f t="shared" si="52"/>
        <v>0</v>
      </c>
      <c r="CL78" s="73"/>
      <c r="CM78" s="73"/>
      <c r="CN78" s="193"/>
      <c r="CO78" s="209">
        <f t="shared" si="53"/>
        <v>0</v>
      </c>
      <c r="CP78" s="193"/>
      <c r="CQ78" s="206">
        <f t="shared" si="54"/>
        <v>0</v>
      </c>
      <c r="CR78" s="191"/>
      <c r="CS78" s="207">
        <f t="shared" si="55"/>
        <v>0</v>
      </c>
      <c r="CT78" s="73"/>
      <c r="CU78" s="73"/>
      <c r="CV78" s="193"/>
      <c r="CW78" s="209">
        <f t="shared" si="56"/>
        <v>0</v>
      </c>
      <c r="CX78" s="193"/>
      <c r="CY78" s="206">
        <f t="shared" si="57"/>
        <v>0</v>
      </c>
      <c r="CZ78" s="191"/>
      <c r="DA78" s="207">
        <f t="shared" si="58"/>
        <v>0</v>
      </c>
      <c r="DB78" s="73"/>
      <c r="DC78" s="73"/>
      <c r="DD78" s="193"/>
      <c r="DE78" s="209">
        <f t="shared" si="59"/>
        <v>0</v>
      </c>
      <c r="DF78" s="193"/>
      <c r="DG78" s="206">
        <f t="shared" si="60"/>
        <v>0</v>
      </c>
      <c r="DH78" s="191"/>
      <c r="DI78" s="207">
        <f t="shared" si="61"/>
        <v>0</v>
      </c>
    </row>
    <row r="79" spans="1:113">
      <c r="A79" s="57">
        <v>76</v>
      </c>
      <c r="B79" s="111"/>
      <c r="C79" s="61"/>
      <c r="D79" s="62"/>
      <c r="E79" s="62"/>
      <c r="F79" s="128"/>
      <c r="G79" s="135"/>
      <c r="H79" s="63"/>
      <c r="I79" s="136"/>
      <c r="J79" s="169"/>
      <c r="K79" s="64"/>
      <c r="L79" s="65"/>
      <c r="M79" s="64"/>
      <c r="N79" s="141"/>
      <c r="O79" s="147"/>
      <c r="P79" s="66"/>
      <c r="Q79" s="66"/>
      <c r="R79" s="148"/>
      <c r="S79" s="182"/>
      <c r="T79" s="183"/>
      <c r="U79" s="155"/>
      <c r="V79" s="173">
        <f t="shared" si="31"/>
        <v>0</v>
      </c>
      <c r="W79" s="67"/>
      <c r="X79" s="67"/>
      <c r="Y79" s="67"/>
      <c r="Z79" s="156"/>
      <c r="AA79" s="84"/>
      <c r="AB79" s="85"/>
      <c r="AC79" s="86"/>
      <c r="AD79" s="68"/>
      <c r="AE79" s="70"/>
      <c r="AF79" s="70"/>
      <c r="AG79" s="69"/>
      <c r="AH79" s="189"/>
      <c r="AI79" s="190"/>
      <c r="AJ79" s="191"/>
      <c r="AK79" s="206">
        <f t="shared" si="32"/>
        <v>0</v>
      </c>
      <c r="AL79" s="191"/>
      <c r="AM79" s="206">
        <f t="shared" si="33"/>
        <v>0</v>
      </c>
      <c r="AN79" s="191"/>
      <c r="AO79" s="207">
        <f t="shared" si="34"/>
        <v>0</v>
      </c>
      <c r="AP79" s="72"/>
      <c r="AQ79" s="72"/>
      <c r="AR79" s="192"/>
      <c r="AS79" s="208">
        <f t="shared" si="35"/>
        <v>0</v>
      </c>
      <c r="AT79" s="193"/>
      <c r="AU79" s="206">
        <f t="shared" si="36"/>
        <v>0</v>
      </c>
      <c r="AV79" s="191"/>
      <c r="AW79" s="207">
        <f t="shared" si="37"/>
        <v>0</v>
      </c>
      <c r="AX79" s="73"/>
      <c r="AY79" s="73"/>
      <c r="AZ79" s="193"/>
      <c r="BA79" s="209">
        <f t="shared" si="38"/>
        <v>0</v>
      </c>
      <c r="BB79" s="193"/>
      <c r="BC79" s="206">
        <f t="shared" si="39"/>
        <v>0</v>
      </c>
      <c r="BD79" s="191"/>
      <c r="BE79" s="207">
        <f t="shared" si="40"/>
        <v>0</v>
      </c>
      <c r="BF79" s="73"/>
      <c r="BG79" s="73"/>
      <c r="BH79" s="193"/>
      <c r="BI79" s="209">
        <f t="shared" si="41"/>
        <v>0</v>
      </c>
      <c r="BJ79" s="193"/>
      <c r="BK79" s="206">
        <f t="shared" si="42"/>
        <v>0</v>
      </c>
      <c r="BL79" s="191"/>
      <c r="BM79" s="207">
        <f t="shared" si="43"/>
        <v>0</v>
      </c>
      <c r="BN79" s="73"/>
      <c r="BO79" s="73"/>
      <c r="BP79" s="193"/>
      <c r="BQ79" s="209">
        <f t="shared" si="44"/>
        <v>0</v>
      </c>
      <c r="BR79" s="193"/>
      <c r="BS79" s="206">
        <f t="shared" si="45"/>
        <v>0</v>
      </c>
      <c r="BT79" s="191"/>
      <c r="BU79" s="207">
        <f t="shared" si="46"/>
        <v>0</v>
      </c>
      <c r="BV79" s="73"/>
      <c r="BW79" s="73"/>
      <c r="BX79" s="193"/>
      <c r="BY79" s="209">
        <f t="shared" si="47"/>
        <v>0</v>
      </c>
      <c r="BZ79" s="193"/>
      <c r="CA79" s="206">
        <f t="shared" si="48"/>
        <v>0</v>
      </c>
      <c r="CB79" s="191"/>
      <c r="CC79" s="207">
        <f t="shared" si="49"/>
        <v>0</v>
      </c>
      <c r="CD79" s="73"/>
      <c r="CE79" s="73"/>
      <c r="CF79" s="193"/>
      <c r="CG79" s="209">
        <f t="shared" si="50"/>
        <v>0</v>
      </c>
      <c r="CH79" s="193"/>
      <c r="CI79" s="206">
        <f t="shared" si="51"/>
        <v>0</v>
      </c>
      <c r="CJ79" s="191"/>
      <c r="CK79" s="207">
        <f t="shared" si="52"/>
        <v>0</v>
      </c>
      <c r="CL79" s="73"/>
      <c r="CM79" s="73"/>
      <c r="CN79" s="193"/>
      <c r="CO79" s="209">
        <f t="shared" si="53"/>
        <v>0</v>
      </c>
      <c r="CP79" s="193"/>
      <c r="CQ79" s="206">
        <f t="shared" si="54"/>
        <v>0</v>
      </c>
      <c r="CR79" s="191"/>
      <c r="CS79" s="207">
        <f t="shared" si="55"/>
        <v>0</v>
      </c>
      <c r="CT79" s="73"/>
      <c r="CU79" s="73"/>
      <c r="CV79" s="193"/>
      <c r="CW79" s="209">
        <f t="shared" si="56"/>
        <v>0</v>
      </c>
      <c r="CX79" s="193"/>
      <c r="CY79" s="206">
        <f t="shared" si="57"/>
        <v>0</v>
      </c>
      <c r="CZ79" s="191"/>
      <c r="DA79" s="207">
        <f t="shared" si="58"/>
        <v>0</v>
      </c>
      <c r="DB79" s="73"/>
      <c r="DC79" s="73"/>
      <c r="DD79" s="193"/>
      <c r="DE79" s="209">
        <f t="shared" si="59"/>
        <v>0</v>
      </c>
      <c r="DF79" s="193"/>
      <c r="DG79" s="206">
        <f t="shared" si="60"/>
        <v>0</v>
      </c>
      <c r="DH79" s="191"/>
      <c r="DI79" s="207">
        <f t="shared" si="61"/>
        <v>0</v>
      </c>
    </row>
    <row r="80" spans="1:113">
      <c r="A80" s="57">
        <v>77</v>
      </c>
      <c r="B80" s="111"/>
      <c r="C80" s="61"/>
      <c r="D80" s="62"/>
      <c r="E80" s="62"/>
      <c r="F80" s="128"/>
      <c r="G80" s="135"/>
      <c r="H80" s="63"/>
      <c r="I80" s="136"/>
      <c r="J80" s="169"/>
      <c r="K80" s="64"/>
      <c r="L80" s="65"/>
      <c r="M80" s="64"/>
      <c r="N80" s="141"/>
      <c r="O80" s="147"/>
      <c r="P80" s="66"/>
      <c r="Q80" s="66"/>
      <c r="R80" s="148"/>
      <c r="S80" s="182"/>
      <c r="T80" s="183"/>
      <c r="U80" s="155"/>
      <c r="V80" s="173">
        <f t="shared" si="31"/>
        <v>0</v>
      </c>
      <c r="W80" s="67"/>
      <c r="X80" s="67"/>
      <c r="Y80" s="67"/>
      <c r="Z80" s="156"/>
      <c r="AA80" s="84"/>
      <c r="AB80" s="85"/>
      <c r="AC80" s="86"/>
      <c r="AD80" s="68"/>
      <c r="AE80" s="70"/>
      <c r="AF80" s="70"/>
      <c r="AG80" s="69"/>
      <c r="AH80" s="189"/>
      <c r="AI80" s="190"/>
      <c r="AJ80" s="191"/>
      <c r="AK80" s="206">
        <f t="shared" si="32"/>
        <v>0</v>
      </c>
      <c r="AL80" s="191"/>
      <c r="AM80" s="206">
        <f t="shared" si="33"/>
        <v>0</v>
      </c>
      <c r="AN80" s="191"/>
      <c r="AO80" s="207">
        <f t="shared" si="34"/>
        <v>0</v>
      </c>
      <c r="AP80" s="72"/>
      <c r="AQ80" s="72"/>
      <c r="AR80" s="192"/>
      <c r="AS80" s="208">
        <f t="shared" si="35"/>
        <v>0</v>
      </c>
      <c r="AT80" s="193"/>
      <c r="AU80" s="206">
        <f t="shared" si="36"/>
        <v>0</v>
      </c>
      <c r="AV80" s="191"/>
      <c r="AW80" s="207">
        <f t="shared" si="37"/>
        <v>0</v>
      </c>
      <c r="AX80" s="73"/>
      <c r="AY80" s="73"/>
      <c r="AZ80" s="193"/>
      <c r="BA80" s="209">
        <f t="shared" si="38"/>
        <v>0</v>
      </c>
      <c r="BB80" s="193"/>
      <c r="BC80" s="206">
        <f t="shared" si="39"/>
        <v>0</v>
      </c>
      <c r="BD80" s="191"/>
      <c r="BE80" s="207">
        <f t="shared" si="40"/>
        <v>0</v>
      </c>
      <c r="BF80" s="73"/>
      <c r="BG80" s="73"/>
      <c r="BH80" s="193"/>
      <c r="BI80" s="209">
        <f t="shared" si="41"/>
        <v>0</v>
      </c>
      <c r="BJ80" s="193"/>
      <c r="BK80" s="206">
        <f t="shared" si="42"/>
        <v>0</v>
      </c>
      <c r="BL80" s="191"/>
      <c r="BM80" s="207">
        <f t="shared" si="43"/>
        <v>0</v>
      </c>
      <c r="BN80" s="73"/>
      <c r="BO80" s="73"/>
      <c r="BP80" s="193"/>
      <c r="BQ80" s="209">
        <f t="shared" si="44"/>
        <v>0</v>
      </c>
      <c r="BR80" s="193"/>
      <c r="BS80" s="206">
        <f t="shared" si="45"/>
        <v>0</v>
      </c>
      <c r="BT80" s="191"/>
      <c r="BU80" s="207">
        <f t="shared" si="46"/>
        <v>0</v>
      </c>
      <c r="BV80" s="73"/>
      <c r="BW80" s="73"/>
      <c r="BX80" s="193"/>
      <c r="BY80" s="209">
        <f t="shared" si="47"/>
        <v>0</v>
      </c>
      <c r="BZ80" s="193"/>
      <c r="CA80" s="206">
        <f t="shared" si="48"/>
        <v>0</v>
      </c>
      <c r="CB80" s="191"/>
      <c r="CC80" s="207">
        <f t="shared" si="49"/>
        <v>0</v>
      </c>
      <c r="CD80" s="73"/>
      <c r="CE80" s="73"/>
      <c r="CF80" s="193"/>
      <c r="CG80" s="209">
        <f t="shared" si="50"/>
        <v>0</v>
      </c>
      <c r="CH80" s="193"/>
      <c r="CI80" s="206">
        <f t="shared" si="51"/>
        <v>0</v>
      </c>
      <c r="CJ80" s="191"/>
      <c r="CK80" s="207">
        <f t="shared" si="52"/>
        <v>0</v>
      </c>
      <c r="CL80" s="73"/>
      <c r="CM80" s="73"/>
      <c r="CN80" s="193"/>
      <c r="CO80" s="209">
        <f t="shared" si="53"/>
        <v>0</v>
      </c>
      <c r="CP80" s="193"/>
      <c r="CQ80" s="206">
        <f t="shared" si="54"/>
        <v>0</v>
      </c>
      <c r="CR80" s="191"/>
      <c r="CS80" s="207">
        <f t="shared" si="55"/>
        <v>0</v>
      </c>
      <c r="CT80" s="73"/>
      <c r="CU80" s="73"/>
      <c r="CV80" s="193"/>
      <c r="CW80" s="209">
        <f t="shared" si="56"/>
        <v>0</v>
      </c>
      <c r="CX80" s="193"/>
      <c r="CY80" s="206">
        <f t="shared" si="57"/>
        <v>0</v>
      </c>
      <c r="CZ80" s="191"/>
      <c r="DA80" s="207">
        <f t="shared" si="58"/>
        <v>0</v>
      </c>
      <c r="DB80" s="73"/>
      <c r="DC80" s="73"/>
      <c r="DD80" s="193"/>
      <c r="DE80" s="209">
        <f t="shared" si="59"/>
        <v>0</v>
      </c>
      <c r="DF80" s="193"/>
      <c r="DG80" s="206">
        <f t="shared" si="60"/>
        <v>0</v>
      </c>
      <c r="DH80" s="191"/>
      <c r="DI80" s="207">
        <f t="shared" si="61"/>
        <v>0</v>
      </c>
    </row>
    <row r="81" spans="1:113">
      <c r="A81" s="57">
        <v>78</v>
      </c>
      <c r="B81" s="111"/>
      <c r="C81" s="61"/>
      <c r="D81" s="62"/>
      <c r="E81" s="62"/>
      <c r="F81" s="128"/>
      <c r="G81" s="135"/>
      <c r="H81" s="63"/>
      <c r="I81" s="136"/>
      <c r="J81" s="169"/>
      <c r="K81" s="64"/>
      <c r="L81" s="65"/>
      <c r="M81" s="64"/>
      <c r="N81" s="141"/>
      <c r="O81" s="147"/>
      <c r="P81" s="66"/>
      <c r="Q81" s="66"/>
      <c r="R81" s="148"/>
      <c r="S81" s="182"/>
      <c r="T81" s="183"/>
      <c r="U81" s="155"/>
      <c r="V81" s="173">
        <f t="shared" si="31"/>
        <v>0</v>
      </c>
      <c r="W81" s="67"/>
      <c r="X81" s="67"/>
      <c r="Y81" s="67"/>
      <c r="Z81" s="156"/>
      <c r="AA81" s="84"/>
      <c r="AB81" s="85"/>
      <c r="AC81" s="86"/>
      <c r="AD81" s="68"/>
      <c r="AE81" s="70"/>
      <c r="AF81" s="70"/>
      <c r="AG81" s="69"/>
      <c r="AH81" s="189"/>
      <c r="AI81" s="190"/>
      <c r="AJ81" s="191"/>
      <c r="AK81" s="206">
        <f t="shared" si="32"/>
        <v>0</v>
      </c>
      <c r="AL81" s="191"/>
      <c r="AM81" s="206">
        <f t="shared" si="33"/>
        <v>0</v>
      </c>
      <c r="AN81" s="191"/>
      <c r="AO81" s="207">
        <f t="shared" si="34"/>
        <v>0</v>
      </c>
      <c r="AP81" s="72"/>
      <c r="AQ81" s="72"/>
      <c r="AR81" s="192"/>
      <c r="AS81" s="208">
        <f t="shared" si="35"/>
        <v>0</v>
      </c>
      <c r="AT81" s="193"/>
      <c r="AU81" s="206">
        <f t="shared" si="36"/>
        <v>0</v>
      </c>
      <c r="AV81" s="191"/>
      <c r="AW81" s="207">
        <f t="shared" si="37"/>
        <v>0</v>
      </c>
      <c r="AX81" s="73"/>
      <c r="AY81" s="73"/>
      <c r="AZ81" s="193"/>
      <c r="BA81" s="209">
        <f t="shared" si="38"/>
        <v>0</v>
      </c>
      <c r="BB81" s="193"/>
      <c r="BC81" s="206">
        <f t="shared" si="39"/>
        <v>0</v>
      </c>
      <c r="BD81" s="191"/>
      <c r="BE81" s="207">
        <f t="shared" si="40"/>
        <v>0</v>
      </c>
      <c r="BF81" s="73"/>
      <c r="BG81" s="73"/>
      <c r="BH81" s="193"/>
      <c r="BI81" s="209">
        <f t="shared" si="41"/>
        <v>0</v>
      </c>
      <c r="BJ81" s="193"/>
      <c r="BK81" s="206">
        <f t="shared" si="42"/>
        <v>0</v>
      </c>
      <c r="BL81" s="191"/>
      <c r="BM81" s="207">
        <f t="shared" si="43"/>
        <v>0</v>
      </c>
      <c r="BN81" s="73"/>
      <c r="BO81" s="73"/>
      <c r="BP81" s="193"/>
      <c r="BQ81" s="209">
        <f t="shared" si="44"/>
        <v>0</v>
      </c>
      <c r="BR81" s="193"/>
      <c r="BS81" s="206">
        <f t="shared" si="45"/>
        <v>0</v>
      </c>
      <c r="BT81" s="191"/>
      <c r="BU81" s="207">
        <f t="shared" si="46"/>
        <v>0</v>
      </c>
      <c r="BV81" s="73"/>
      <c r="BW81" s="73"/>
      <c r="BX81" s="193"/>
      <c r="BY81" s="209">
        <f t="shared" si="47"/>
        <v>0</v>
      </c>
      <c r="BZ81" s="193"/>
      <c r="CA81" s="206">
        <f t="shared" si="48"/>
        <v>0</v>
      </c>
      <c r="CB81" s="191"/>
      <c r="CC81" s="207">
        <f t="shared" si="49"/>
        <v>0</v>
      </c>
      <c r="CD81" s="73"/>
      <c r="CE81" s="73"/>
      <c r="CF81" s="193"/>
      <c r="CG81" s="209">
        <f t="shared" si="50"/>
        <v>0</v>
      </c>
      <c r="CH81" s="193"/>
      <c r="CI81" s="206">
        <f t="shared" si="51"/>
        <v>0</v>
      </c>
      <c r="CJ81" s="191"/>
      <c r="CK81" s="207">
        <f t="shared" si="52"/>
        <v>0</v>
      </c>
      <c r="CL81" s="73"/>
      <c r="CM81" s="73"/>
      <c r="CN81" s="193"/>
      <c r="CO81" s="209">
        <f t="shared" si="53"/>
        <v>0</v>
      </c>
      <c r="CP81" s="193"/>
      <c r="CQ81" s="206">
        <f t="shared" si="54"/>
        <v>0</v>
      </c>
      <c r="CR81" s="191"/>
      <c r="CS81" s="207">
        <f t="shared" si="55"/>
        <v>0</v>
      </c>
      <c r="CT81" s="73"/>
      <c r="CU81" s="73"/>
      <c r="CV81" s="193"/>
      <c r="CW81" s="209">
        <f t="shared" si="56"/>
        <v>0</v>
      </c>
      <c r="CX81" s="193"/>
      <c r="CY81" s="206">
        <f t="shared" si="57"/>
        <v>0</v>
      </c>
      <c r="CZ81" s="191"/>
      <c r="DA81" s="207">
        <f t="shared" si="58"/>
        <v>0</v>
      </c>
      <c r="DB81" s="73"/>
      <c r="DC81" s="73"/>
      <c r="DD81" s="193"/>
      <c r="DE81" s="209">
        <f t="shared" si="59"/>
        <v>0</v>
      </c>
      <c r="DF81" s="193"/>
      <c r="DG81" s="206">
        <f t="shared" si="60"/>
        <v>0</v>
      </c>
      <c r="DH81" s="191"/>
      <c r="DI81" s="207">
        <f t="shared" si="61"/>
        <v>0</v>
      </c>
    </row>
    <row r="82" spans="1:113">
      <c r="A82" s="57">
        <v>79</v>
      </c>
      <c r="B82" s="111"/>
      <c r="C82" s="61"/>
      <c r="D82" s="62"/>
      <c r="E82" s="62"/>
      <c r="F82" s="128"/>
      <c r="G82" s="135"/>
      <c r="H82" s="63"/>
      <c r="I82" s="136"/>
      <c r="J82" s="169"/>
      <c r="K82" s="64"/>
      <c r="L82" s="65"/>
      <c r="M82" s="64"/>
      <c r="N82" s="141"/>
      <c r="O82" s="147"/>
      <c r="P82" s="66"/>
      <c r="Q82" s="66"/>
      <c r="R82" s="148"/>
      <c r="S82" s="182"/>
      <c r="T82" s="183"/>
      <c r="U82" s="155"/>
      <c r="V82" s="173">
        <f t="shared" si="31"/>
        <v>0</v>
      </c>
      <c r="W82" s="67"/>
      <c r="X82" s="67"/>
      <c r="Y82" s="67"/>
      <c r="Z82" s="156"/>
      <c r="AA82" s="84"/>
      <c r="AB82" s="85"/>
      <c r="AC82" s="86"/>
      <c r="AD82" s="68"/>
      <c r="AE82" s="70"/>
      <c r="AF82" s="70"/>
      <c r="AG82" s="69"/>
      <c r="AH82" s="189"/>
      <c r="AI82" s="190"/>
      <c r="AJ82" s="191"/>
      <c r="AK82" s="206">
        <f t="shared" si="32"/>
        <v>0</v>
      </c>
      <c r="AL82" s="191"/>
      <c r="AM82" s="206">
        <f t="shared" si="33"/>
        <v>0</v>
      </c>
      <c r="AN82" s="191"/>
      <c r="AO82" s="207">
        <f t="shared" si="34"/>
        <v>0</v>
      </c>
      <c r="AP82" s="72"/>
      <c r="AQ82" s="72"/>
      <c r="AR82" s="192"/>
      <c r="AS82" s="208">
        <f t="shared" si="35"/>
        <v>0</v>
      </c>
      <c r="AT82" s="193"/>
      <c r="AU82" s="206">
        <f t="shared" si="36"/>
        <v>0</v>
      </c>
      <c r="AV82" s="191"/>
      <c r="AW82" s="207">
        <f t="shared" si="37"/>
        <v>0</v>
      </c>
      <c r="AX82" s="73"/>
      <c r="AY82" s="73"/>
      <c r="AZ82" s="193"/>
      <c r="BA82" s="209">
        <f t="shared" si="38"/>
        <v>0</v>
      </c>
      <c r="BB82" s="193"/>
      <c r="BC82" s="206">
        <f t="shared" si="39"/>
        <v>0</v>
      </c>
      <c r="BD82" s="191"/>
      <c r="BE82" s="207">
        <f t="shared" si="40"/>
        <v>0</v>
      </c>
      <c r="BF82" s="73"/>
      <c r="BG82" s="73"/>
      <c r="BH82" s="193"/>
      <c r="BI82" s="209">
        <f t="shared" si="41"/>
        <v>0</v>
      </c>
      <c r="BJ82" s="193"/>
      <c r="BK82" s="206">
        <f t="shared" si="42"/>
        <v>0</v>
      </c>
      <c r="BL82" s="191"/>
      <c r="BM82" s="207">
        <f t="shared" si="43"/>
        <v>0</v>
      </c>
      <c r="BN82" s="73"/>
      <c r="BO82" s="73"/>
      <c r="BP82" s="193"/>
      <c r="BQ82" s="209">
        <f t="shared" si="44"/>
        <v>0</v>
      </c>
      <c r="BR82" s="193"/>
      <c r="BS82" s="206">
        <f t="shared" si="45"/>
        <v>0</v>
      </c>
      <c r="BT82" s="191"/>
      <c r="BU82" s="207">
        <f t="shared" si="46"/>
        <v>0</v>
      </c>
      <c r="BV82" s="73"/>
      <c r="BW82" s="73"/>
      <c r="BX82" s="193"/>
      <c r="BY82" s="209">
        <f t="shared" si="47"/>
        <v>0</v>
      </c>
      <c r="BZ82" s="193"/>
      <c r="CA82" s="206">
        <f t="shared" si="48"/>
        <v>0</v>
      </c>
      <c r="CB82" s="191"/>
      <c r="CC82" s="207">
        <f t="shared" si="49"/>
        <v>0</v>
      </c>
      <c r="CD82" s="73"/>
      <c r="CE82" s="73"/>
      <c r="CF82" s="193"/>
      <c r="CG82" s="209">
        <f t="shared" si="50"/>
        <v>0</v>
      </c>
      <c r="CH82" s="193"/>
      <c r="CI82" s="206">
        <f t="shared" si="51"/>
        <v>0</v>
      </c>
      <c r="CJ82" s="191"/>
      <c r="CK82" s="207">
        <f t="shared" si="52"/>
        <v>0</v>
      </c>
      <c r="CL82" s="73"/>
      <c r="CM82" s="73"/>
      <c r="CN82" s="193"/>
      <c r="CO82" s="209">
        <f t="shared" si="53"/>
        <v>0</v>
      </c>
      <c r="CP82" s="193"/>
      <c r="CQ82" s="206">
        <f t="shared" si="54"/>
        <v>0</v>
      </c>
      <c r="CR82" s="191"/>
      <c r="CS82" s="207">
        <f t="shared" si="55"/>
        <v>0</v>
      </c>
      <c r="CT82" s="73"/>
      <c r="CU82" s="73"/>
      <c r="CV82" s="193"/>
      <c r="CW82" s="209">
        <f t="shared" si="56"/>
        <v>0</v>
      </c>
      <c r="CX82" s="193"/>
      <c r="CY82" s="206">
        <f t="shared" si="57"/>
        <v>0</v>
      </c>
      <c r="CZ82" s="191"/>
      <c r="DA82" s="207">
        <f t="shared" si="58"/>
        <v>0</v>
      </c>
      <c r="DB82" s="73"/>
      <c r="DC82" s="73"/>
      <c r="DD82" s="193"/>
      <c r="DE82" s="209">
        <f t="shared" si="59"/>
        <v>0</v>
      </c>
      <c r="DF82" s="193"/>
      <c r="DG82" s="206">
        <f t="shared" si="60"/>
        <v>0</v>
      </c>
      <c r="DH82" s="191"/>
      <c r="DI82" s="207">
        <f t="shared" si="61"/>
        <v>0</v>
      </c>
    </row>
    <row r="83" spans="1:113">
      <c r="A83" s="57">
        <v>80</v>
      </c>
      <c r="B83" s="111"/>
      <c r="C83" s="61"/>
      <c r="D83" s="62"/>
      <c r="E83" s="62"/>
      <c r="F83" s="128"/>
      <c r="G83" s="135"/>
      <c r="H83" s="63"/>
      <c r="I83" s="136"/>
      <c r="J83" s="169"/>
      <c r="K83" s="64"/>
      <c r="L83" s="65"/>
      <c r="M83" s="64"/>
      <c r="N83" s="141"/>
      <c r="O83" s="147"/>
      <c r="P83" s="66"/>
      <c r="Q83" s="66"/>
      <c r="R83" s="148"/>
      <c r="S83" s="182"/>
      <c r="T83" s="183"/>
      <c r="U83" s="155"/>
      <c r="V83" s="173">
        <f t="shared" si="31"/>
        <v>0</v>
      </c>
      <c r="W83" s="67"/>
      <c r="X83" s="67"/>
      <c r="Y83" s="67"/>
      <c r="Z83" s="156"/>
      <c r="AA83" s="84"/>
      <c r="AB83" s="85"/>
      <c r="AC83" s="86"/>
      <c r="AD83" s="68"/>
      <c r="AE83" s="70"/>
      <c r="AF83" s="70"/>
      <c r="AG83" s="69"/>
      <c r="AH83" s="189"/>
      <c r="AI83" s="190"/>
      <c r="AJ83" s="191"/>
      <c r="AK83" s="206">
        <f t="shared" si="32"/>
        <v>0</v>
      </c>
      <c r="AL83" s="191"/>
      <c r="AM83" s="206">
        <f t="shared" si="33"/>
        <v>0</v>
      </c>
      <c r="AN83" s="191"/>
      <c r="AO83" s="207">
        <f t="shared" si="34"/>
        <v>0</v>
      </c>
      <c r="AP83" s="72"/>
      <c r="AQ83" s="72"/>
      <c r="AR83" s="192"/>
      <c r="AS83" s="208">
        <f t="shared" si="35"/>
        <v>0</v>
      </c>
      <c r="AT83" s="193"/>
      <c r="AU83" s="206">
        <f t="shared" si="36"/>
        <v>0</v>
      </c>
      <c r="AV83" s="191"/>
      <c r="AW83" s="207">
        <f t="shared" si="37"/>
        <v>0</v>
      </c>
      <c r="AX83" s="73"/>
      <c r="AY83" s="73"/>
      <c r="AZ83" s="193"/>
      <c r="BA83" s="209">
        <f t="shared" si="38"/>
        <v>0</v>
      </c>
      <c r="BB83" s="193"/>
      <c r="BC83" s="206">
        <f t="shared" si="39"/>
        <v>0</v>
      </c>
      <c r="BD83" s="191"/>
      <c r="BE83" s="207">
        <f t="shared" si="40"/>
        <v>0</v>
      </c>
      <c r="BF83" s="73"/>
      <c r="BG83" s="73"/>
      <c r="BH83" s="193"/>
      <c r="BI83" s="209">
        <f t="shared" si="41"/>
        <v>0</v>
      </c>
      <c r="BJ83" s="193"/>
      <c r="BK83" s="206">
        <f t="shared" si="42"/>
        <v>0</v>
      </c>
      <c r="BL83" s="191"/>
      <c r="BM83" s="207">
        <f t="shared" si="43"/>
        <v>0</v>
      </c>
      <c r="BN83" s="73"/>
      <c r="BO83" s="73"/>
      <c r="BP83" s="193"/>
      <c r="BQ83" s="209">
        <f t="shared" si="44"/>
        <v>0</v>
      </c>
      <c r="BR83" s="193"/>
      <c r="BS83" s="206">
        <f t="shared" si="45"/>
        <v>0</v>
      </c>
      <c r="BT83" s="191"/>
      <c r="BU83" s="207">
        <f t="shared" si="46"/>
        <v>0</v>
      </c>
      <c r="BV83" s="73"/>
      <c r="BW83" s="73"/>
      <c r="BX83" s="193"/>
      <c r="BY83" s="209">
        <f t="shared" si="47"/>
        <v>0</v>
      </c>
      <c r="BZ83" s="193"/>
      <c r="CA83" s="206">
        <f t="shared" si="48"/>
        <v>0</v>
      </c>
      <c r="CB83" s="191"/>
      <c r="CC83" s="207">
        <f t="shared" si="49"/>
        <v>0</v>
      </c>
      <c r="CD83" s="73"/>
      <c r="CE83" s="73"/>
      <c r="CF83" s="193"/>
      <c r="CG83" s="209">
        <f t="shared" si="50"/>
        <v>0</v>
      </c>
      <c r="CH83" s="193"/>
      <c r="CI83" s="206">
        <f t="shared" si="51"/>
        <v>0</v>
      </c>
      <c r="CJ83" s="191"/>
      <c r="CK83" s="207">
        <f t="shared" si="52"/>
        <v>0</v>
      </c>
      <c r="CL83" s="73"/>
      <c r="CM83" s="73"/>
      <c r="CN83" s="193"/>
      <c r="CO83" s="209">
        <f t="shared" si="53"/>
        <v>0</v>
      </c>
      <c r="CP83" s="193"/>
      <c r="CQ83" s="206">
        <f t="shared" si="54"/>
        <v>0</v>
      </c>
      <c r="CR83" s="191"/>
      <c r="CS83" s="207">
        <f t="shared" si="55"/>
        <v>0</v>
      </c>
      <c r="CT83" s="73"/>
      <c r="CU83" s="73"/>
      <c r="CV83" s="193"/>
      <c r="CW83" s="209">
        <f t="shared" si="56"/>
        <v>0</v>
      </c>
      <c r="CX83" s="193"/>
      <c r="CY83" s="206">
        <f t="shared" si="57"/>
        <v>0</v>
      </c>
      <c r="CZ83" s="191"/>
      <c r="DA83" s="207">
        <f t="shared" si="58"/>
        <v>0</v>
      </c>
      <c r="DB83" s="73"/>
      <c r="DC83" s="73"/>
      <c r="DD83" s="193"/>
      <c r="DE83" s="209">
        <f t="shared" si="59"/>
        <v>0</v>
      </c>
      <c r="DF83" s="193"/>
      <c r="DG83" s="206">
        <f t="shared" si="60"/>
        <v>0</v>
      </c>
      <c r="DH83" s="191"/>
      <c r="DI83" s="207">
        <f t="shared" si="61"/>
        <v>0</v>
      </c>
    </row>
    <row r="84" spans="1:113">
      <c r="A84" s="57">
        <v>81</v>
      </c>
      <c r="B84" s="111"/>
      <c r="C84" s="61"/>
      <c r="D84" s="62"/>
      <c r="E84" s="62"/>
      <c r="F84" s="128"/>
      <c r="G84" s="135"/>
      <c r="H84" s="63"/>
      <c r="I84" s="136"/>
      <c r="J84" s="169"/>
      <c r="K84" s="64"/>
      <c r="L84" s="65"/>
      <c r="M84" s="64"/>
      <c r="N84" s="141"/>
      <c r="O84" s="147"/>
      <c r="P84" s="66"/>
      <c r="Q84" s="66"/>
      <c r="R84" s="148"/>
      <c r="S84" s="182"/>
      <c r="T84" s="183"/>
      <c r="U84" s="155"/>
      <c r="V84" s="173">
        <f t="shared" si="31"/>
        <v>0</v>
      </c>
      <c r="W84" s="67"/>
      <c r="X84" s="67"/>
      <c r="Y84" s="67"/>
      <c r="Z84" s="156"/>
      <c r="AA84" s="84"/>
      <c r="AB84" s="85"/>
      <c r="AC84" s="86"/>
      <c r="AD84" s="68"/>
      <c r="AE84" s="70"/>
      <c r="AF84" s="70"/>
      <c r="AG84" s="69"/>
      <c r="AH84" s="189"/>
      <c r="AI84" s="190"/>
      <c r="AJ84" s="191"/>
      <c r="AK84" s="206">
        <f t="shared" si="32"/>
        <v>0</v>
      </c>
      <c r="AL84" s="191"/>
      <c r="AM84" s="206">
        <f t="shared" si="33"/>
        <v>0</v>
      </c>
      <c r="AN84" s="191"/>
      <c r="AO84" s="207">
        <f t="shared" si="34"/>
        <v>0</v>
      </c>
      <c r="AP84" s="72"/>
      <c r="AQ84" s="72"/>
      <c r="AR84" s="192"/>
      <c r="AS84" s="208">
        <f t="shared" si="35"/>
        <v>0</v>
      </c>
      <c r="AT84" s="193"/>
      <c r="AU84" s="206">
        <f t="shared" si="36"/>
        <v>0</v>
      </c>
      <c r="AV84" s="191"/>
      <c r="AW84" s="207">
        <f t="shared" si="37"/>
        <v>0</v>
      </c>
      <c r="AX84" s="73"/>
      <c r="AY84" s="73"/>
      <c r="AZ84" s="193"/>
      <c r="BA84" s="209">
        <f t="shared" si="38"/>
        <v>0</v>
      </c>
      <c r="BB84" s="193"/>
      <c r="BC84" s="206">
        <f t="shared" si="39"/>
        <v>0</v>
      </c>
      <c r="BD84" s="191"/>
      <c r="BE84" s="207">
        <f t="shared" si="40"/>
        <v>0</v>
      </c>
      <c r="BF84" s="73"/>
      <c r="BG84" s="73"/>
      <c r="BH84" s="193"/>
      <c r="BI84" s="209">
        <f t="shared" si="41"/>
        <v>0</v>
      </c>
      <c r="BJ84" s="193"/>
      <c r="BK84" s="206">
        <f t="shared" si="42"/>
        <v>0</v>
      </c>
      <c r="BL84" s="191"/>
      <c r="BM84" s="207">
        <f t="shared" si="43"/>
        <v>0</v>
      </c>
      <c r="BN84" s="73"/>
      <c r="BO84" s="73"/>
      <c r="BP84" s="193"/>
      <c r="BQ84" s="209">
        <f t="shared" si="44"/>
        <v>0</v>
      </c>
      <c r="BR84" s="193"/>
      <c r="BS84" s="206">
        <f t="shared" si="45"/>
        <v>0</v>
      </c>
      <c r="BT84" s="191"/>
      <c r="BU84" s="207">
        <f t="shared" si="46"/>
        <v>0</v>
      </c>
      <c r="BV84" s="73"/>
      <c r="BW84" s="73"/>
      <c r="BX84" s="193"/>
      <c r="BY84" s="209">
        <f t="shared" si="47"/>
        <v>0</v>
      </c>
      <c r="BZ84" s="193"/>
      <c r="CA84" s="206">
        <f t="shared" si="48"/>
        <v>0</v>
      </c>
      <c r="CB84" s="191"/>
      <c r="CC84" s="207">
        <f t="shared" si="49"/>
        <v>0</v>
      </c>
      <c r="CD84" s="73"/>
      <c r="CE84" s="73"/>
      <c r="CF84" s="193"/>
      <c r="CG84" s="209">
        <f t="shared" si="50"/>
        <v>0</v>
      </c>
      <c r="CH84" s="193"/>
      <c r="CI84" s="206">
        <f t="shared" si="51"/>
        <v>0</v>
      </c>
      <c r="CJ84" s="191"/>
      <c r="CK84" s="207">
        <f t="shared" si="52"/>
        <v>0</v>
      </c>
      <c r="CL84" s="73"/>
      <c r="CM84" s="73"/>
      <c r="CN84" s="193"/>
      <c r="CO84" s="209">
        <f t="shared" si="53"/>
        <v>0</v>
      </c>
      <c r="CP84" s="193"/>
      <c r="CQ84" s="206">
        <f t="shared" si="54"/>
        <v>0</v>
      </c>
      <c r="CR84" s="191"/>
      <c r="CS84" s="207">
        <f t="shared" si="55"/>
        <v>0</v>
      </c>
      <c r="CT84" s="73"/>
      <c r="CU84" s="73"/>
      <c r="CV84" s="193"/>
      <c r="CW84" s="209">
        <f t="shared" si="56"/>
        <v>0</v>
      </c>
      <c r="CX84" s="193"/>
      <c r="CY84" s="206">
        <f t="shared" si="57"/>
        <v>0</v>
      </c>
      <c r="CZ84" s="191"/>
      <c r="DA84" s="207">
        <f t="shared" si="58"/>
        <v>0</v>
      </c>
      <c r="DB84" s="73"/>
      <c r="DC84" s="73"/>
      <c r="DD84" s="193"/>
      <c r="DE84" s="209">
        <f t="shared" si="59"/>
        <v>0</v>
      </c>
      <c r="DF84" s="193"/>
      <c r="DG84" s="206">
        <f t="shared" si="60"/>
        <v>0</v>
      </c>
      <c r="DH84" s="191"/>
      <c r="DI84" s="207">
        <f t="shared" si="61"/>
        <v>0</v>
      </c>
    </row>
    <row r="85" spans="1:113">
      <c r="A85" s="57">
        <v>82</v>
      </c>
      <c r="B85" s="111"/>
      <c r="C85" s="61"/>
      <c r="D85" s="62"/>
      <c r="E85" s="62"/>
      <c r="F85" s="128"/>
      <c r="G85" s="135"/>
      <c r="H85" s="63"/>
      <c r="I85" s="136"/>
      <c r="J85" s="169"/>
      <c r="K85" s="64"/>
      <c r="L85" s="65"/>
      <c r="M85" s="64"/>
      <c r="N85" s="141"/>
      <c r="O85" s="147"/>
      <c r="P85" s="66"/>
      <c r="Q85" s="66"/>
      <c r="R85" s="148"/>
      <c r="S85" s="182"/>
      <c r="T85" s="183"/>
      <c r="U85" s="155"/>
      <c r="V85" s="173">
        <f t="shared" si="31"/>
        <v>0</v>
      </c>
      <c r="W85" s="67"/>
      <c r="X85" s="67"/>
      <c r="Y85" s="67"/>
      <c r="Z85" s="156"/>
      <c r="AA85" s="84"/>
      <c r="AB85" s="85"/>
      <c r="AC85" s="86"/>
      <c r="AD85" s="68"/>
      <c r="AE85" s="70"/>
      <c r="AF85" s="70"/>
      <c r="AG85" s="69"/>
      <c r="AH85" s="189"/>
      <c r="AI85" s="190"/>
      <c r="AJ85" s="191"/>
      <c r="AK85" s="206">
        <f t="shared" si="32"/>
        <v>0</v>
      </c>
      <c r="AL85" s="191"/>
      <c r="AM85" s="206">
        <f t="shared" si="33"/>
        <v>0</v>
      </c>
      <c r="AN85" s="191"/>
      <c r="AO85" s="207">
        <f t="shared" si="34"/>
        <v>0</v>
      </c>
      <c r="AP85" s="72"/>
      <c r="AQ85" s="72"/>
      <c r="AR85" s="192"/>
      <c r="AS85" s="208">
        <f t="shared" si="35"/>
        <v>0</v>
      </c>
      <c r="AT85" s="193"/>
      <c r="AU85" s="206">
        <f t="shared" si="36"/>
        <v>0</v>
      </c>
      <c r="AV85" s="191"/>
      <c r="AW85" s="207">
        <f t="shared" si="37"/>
        <v>0</v>
      </c>
      <c r="AX85" s="73"/>
      <c r="AY85" s="73"/>
      <c r="AZ85" s="193"/>
      <c r="BA85" s="209">
        <f t="shared" si="38"/>
        <v>0</v>
      </c>
      <c r="BB85" s="193"/>
      <c r="BC85" s="206">
        <f t="shared" si="39"/>
        <v>0</v>
      </c>
      <c r="BD85" s="191"/>
      <c r="BE85" s="207">
        <f t="shared" si="40"/>
        <v>0</v>
      </c>
      <c r="BF85" s="73"/>
      <c r="BG85" s="73"/>
      <c r="BH85" s="193"/>
      <c r="BI85" s="209">
        <f t="shared" si="41"/>
        <v>0</v>
      </c>
      <c r="BJ85" s="193"/>
      <c r="BK85" s="206">
        <f t="shared" si="42"/>
        <v>0</v>
      </c>
      <c r="BL85" s="191"/>
      <c r="BM85" s="207">
        <f t="shared" si="43"/>
        <v>0</v>
      </c>
      <c r="BN85" s="73"/>
      <c r="BO85" s="73"/>
      <c r="BP85" s="193"/>
      <c r="BQ85" s="209">
        <f t="shared" si="44"/>
        <v>0</v>
      </c>
      <c r="BR85" s="193"/>
      <c r="BS85" s="206">
        <f t="shared" si="45"/>
        <v>0</v>
      </c>
      <c r="BT85" s="191"/>
      <c r="BU85" s="207">
        <f t="shared" si="46"/>
        <v>0</v>
      </c>
      <c r="BV85" s="73"/>
      <c r="BW85" s="73"/>
      <c r="BX85" s="193"/>
      <c r="BY85" s="209">
        <f t="shared" si="47"/>
        <v>0</v>
      </c>
      <c r="BZ85" s="193"/>
      <c r="CA85" s="206">
        <f t="shared" si="48"/>
        <v>0</v>
      </c>
      <c r="CB85" s="191"/>
      <c r="CC85" s="207">
        <f t="shared" si="49"/>
        <v>0</v>
      </c>
      <c r="CD85" s="73"/>
      <c r="CE85" s="73"/>
      <c r="CF85" s="193"/>
      <c r="CG85" s="209">
        <f t="shared" si="50"/>
        <v>0</v>
      </c>
      <c r="CH85" s="193"/>
      <c r="CI85" s="206">
        <f t="shared" si="51"/>
        <v>0</v>
      </c>
      <c r="CJ85" s="191"/>
      <c r="CK85" s="207">
        <f t="shared" si="52"/>
        <v>0</v>
      </c>
      <c r="CL85" s="73"/>
      <c r="CM85" s="73"/>
      <c r="CN85" s="193"/>
      <c r="CO85" s="209">
        <f t="shared" si="53"/>
        <v>0</v>
      </c>
      <c r="CP85" s="193"/>
      <c r="CQ85" s="206">
        <f t="shared" si="54"/>
        <v>0</v>
      </c>
      <c r="CR85" s="191"/>
      <c r="CS85" s="207">
        <f t="shared" si="55"/>
        <v>0</v>
      </c>
      <c r="CT85" s="73"/>
      <c r="CU85" s="73"/>
      <c r="CV85" s="193"/>
      <c r="CW85" s="209">
        <f t="shared" si="56"/>
        <v>0</v>
      </c>
      <c r="CX85" s="193"/>
      <c r="CY85" s="206">
        <f t="shared" si="57"/>
        <v>0</v>
      </c>
      <c r="CZ85" s="191"/>
      <c r="DA85" s="207">
        <f t="shared" si="58"/>
        <v>0</v>
      </c>
      <c r="DB85" s="73"/>
      <c r="DC85" s="73"/>
      <c r="DD85" s="193"/>
      <c r="DE85" s="209">
        <f t="shared" si="59"/>
        <v>0</v>
      </c>
      <c r="DF85" s="193"/>
      <c r="DG85" s="206">
        <f t="shared" si="60"/>
        <v>0</v>
      </c>
      <c r="DH85" s="191"/>
      <c r="DI85" s="207">
        <f t="shared" si="61"/>
        <v>0</v>
      </c>
    </row>
    <row r="86" spans="1:113">
      <c r="A86" s="57">
        <v>83</v>
      </c>
      <c r="B86" s="111"/>
      <c r="C86" s="61"/>
      <c r="D86" s="62"/>
      <c r="E86" s="62"/>
      <c r="F86" s="128"/>
      <c r="G86" s="135"/>
      <c r="H86" s="63"/>
      <c r="I86" s="136"/>
      <c r="J86" s="169"/>
      <c r="K86" s="64"/>
      <c r="L86" s="65"/>
      <c r="M86" s="64"/>
      <c r="N86" s="141"/>
      <c r="O86" s="147"/>
      <c r="P86" s="66"/>
      <c r="Q86" s="66"/>
      <c r="R86" s="148"/>
      <c r="S86" s="182"/>
      <c r="T86" s="183"/>
      <c r="U86" s="155"/>
      <c r="V86" s="173">
        <f t="shared" si="31"/>
        <v>0</v>
      </c>
      <c r="W86" s="67"/>
      <c r="X86" s="67"/>
      <c r="Y86" s="67"/>
      <c r="Z86" s="156"/>
      <c r="AA86" s="84"/>
      <c r="AB86" s="85"/>
      <c r="AC86" s="86"/>
      <c r="AD86" s="68"/>
      <c r="AE86" s="70"/>
      <c r="AF86" s="70"/>
      <c r="AG86" s="69"/>
      <c r="AH86" s="189"/>
      <c r="AI86" s="190"/>
      <c r="AJ86" s="191"/>
      <c r="AK86" s="206">
        <f t="shared" si="32"/>
        <v>0</v>
      </c>
      <c r="AL86" s="191"/>
      <c r="AM86" s="206">
        <f t="shared" si="33"/>
        <v>0</v>
      </c>
      <c r="AN86" s="191"/>
      <c r="AO86" s="207">
        <f t="shared" si="34"/>
        <v>0</v>
      </c>
      <c r="AP86" s="72"/>
      <c r="AQ86" s="72"/>
      <c r="AR86" s="192"/>
      <c r="AS86" s="208">
        <f t="shared" si="35"/>
        <v>0</v>
      </c>
      <c r="AT86" s="193"/>
      <c r="AU86" s="206">
        <f t="shared" si="36"/>
        <v>0</v>
      </c>
      <c r="AV86" s="191"/>
      <c r="AW86" s="207">
        <f t="shared" si="37"/>
        <v>0</v>
      </c>
      <c r="AX86" s="73"/>
      <c r="AY86" s="73"/>
      <c r="AZ86" s="193"/>
      <c r="BA86" s="209">
        <f t="shared" si="38"/>
        <v>0</v>
      </c>
      <c r="BB86" s="193"/>
      <c r="BC86" s="206">
        <f t="shared" si="39"/>
        <v>0</v>
      </c>
      <c r="BD86" s="191"/>
      <c r="BE86" s="207">
        <f t="shared" si="40"/>
        <v>0</v>
      </c>
      <c r="BF86" s="73"/>
      <c r="BG86" s="73"/>
      <c r="BH86" s="193"/>
      <c r="BI86" s="209">
        <f t="shared" si="41"/>
        <v>0</v>
      </c>
      <c r="BJ86" s="193"/>
      <c r="BK86" s="206">
        <f t="shared" si="42"/>
        <v>0</v>
      </c>
      <c r="BL86" s="191"/>
      <c r="BM86" s="207">
        <f t="shared" si="43"/>
        <v>0</v>
      </c>
      <c r="BN86" s="73"/>
      <c r="BO86" s="73"/>
      <c r="BP86" s="193"/>
      <c r="BQ86" s="209">
        <f t="shared" si="44"/>
        <v>0</v>
      </c>
      <c r="BR86" s="193"/>
      <c r="BS86" s="206">
        <f t="shared" si="45"/>
        <v>0</v>
      </c>
      <c r="BT86" s="191"/>
      <c r="BU86" s="207">
        <f t="shared" si="46"/>
        <v>0</v>
      </c>
      <c r="BV86" s="73"/>
      <c r="BW86" s="73"/>
      <c r="BX86" s="193"/>
      <c r="BY86" s="209">
        <f t="shared" si="47"/>
        <v>0</v>
      </c>
      <c r="BZ86" s="193"/>
      <c r="CA86" s="206">
        <f t="shared" si="48"/>
        <v>0</v>
      </c>
      <c r="CB86" s="191"/>
      <c r="CC86" s="207">
        <f t="shared" si="49"/>
        <v>0</v>
      </c>
      <c r="CD86" s="73"/>
      <c r="CE86" s="73"/>
      <c r="CF86" s="193"/>
      <c r="CG86" s="209">
        <f t="shared" si="50"/>
        <v>0</v>
      </c>
      <c r="CH86" s="193"/>
      <c r="CI86" s="206">
        <f t="shared" si="51"/>
        <v>0</v>
      </c>
      <c r="CJ86" s="191"/>
      <c r="CK86" s="207">
        <f t="shared" si="52"/>
        <v>0</v>
      </c>
      <c r="CL86" s="73"/>
      <c r="CM86" s="73"/>
      <c r="CN86" s="193"/>
      <c r="CO86" s="209">
        <f t="shared" si="53"/>
        <v>0</v>
      </c>
      <c r="CP86" s="193"/>
      <c r="CQ86" s="206">
        <f t="shared" si="54"/>
        <v>0</v>
      </c>
      <c r="CR86" s="191"/>
      <c r="CS86" s="207">
        <f t="shared" si="55"/>
        <v>0</v>
      </c>
      <c r="CT86" s="73"/>
      <c r="CU86" s="73"/>
      <c r="CV86" s="193"/>
      <c r="CW86" s="209">
        <f t="shared" si="56"/>
        <v>0</v>
      </c>
      <c r="CX86" s="193"/>
      <c r="CY86" s="206">
        <f t="shared" si="57"/>
        <v>0</v>
      </c>
      <c r="CZ86" s="191"/>
      <c r="DA86" s="207">
        <f t="shared" si="58"/>
        <v>0</v>
      </c>
      <c r="DB86" s="73"/>
      <c r="DC86" s="73"/>
      <c r="DD86" s="193"/>
      <c r="DE86" s="209">
        <f t="shared" si="59"/>
        <v>0</v>
      </c>
      <c r="DF86" s="193"/>
      <c r="DG86" s="206">
        <f t="shared" si="60"/>
        <v>0</v>
      </c>
      <c r="DH86" s="191"/>
      <c r="DI86" s="207">
        <f t="shared" si="61"/>
        <v>0</v>
      </c>
    </row>
    <row r="87" spans="1:113">
      <c r="A87" s="57">
        <v>84</v>
      </c>
      <c r="B87" s="111"/>
      <c r="C87" s="61"/>
      <c r="D87" s="62"/>
      <c r="E87" s="62"/>
      <c r="F87" s="128"/>
      <c r="G87" s="135"/>
      <c r="H87" s="63"/>
      <c r="I87" s="136"/>
      <c r="J87" s="169"/>
      <c r="K87" s="64"/>
      <c r="L87" s="65"/>
      <c r="M87" s="64"/>
      <c r="N87" s="141"/>
      <c r="O87" s="147"/>
      <c r="P87" s="66"/>
      <c r="Q87" s="66"/>
      <c r="R87" s="148"/>
      <c r="S87" s="182"/>
      <c r="T87" s="183"/>
      <c r="U87" s="155"/>
      <c r="V87" s="173">
        <f t="shared" si="31"/>
        <v>0</v>
      </c>
      <c r="W87" s="67"/>
      <c r="X87" s="67"/>
      <c r="Y87" s="67"/>
      <c r="Z87" s="156"/>
      <c r="AA87" s="84"/>
      <c r="AB87" s="85"/>
      <c r="AC87" s="86"/>
      <c r="AD87" s="68"/>
      <c r="AE87" s="70"/>
      <c r="AF87" s="70"/>
      <c r="AG87" s="69"/>
      <c r="AH87" s="189"/>
      <c r="AI87" s="190"/>
      <c r="AJ87" s="191"/>
      <c r="AK87" s="206">
        <f t="shared" si="32"/>
        <v>0</v>
      </c>
      <c r="AL87" s="191"/>
      <c r="AM87" s="206">
        <f t="shared" si="33"/>
        <v>0</v>
      </c>
      <c r="AN87" s="191"/>
      <c r="AO87" s="207">
        <f t="shared" si="34"/>
        <v>0</v>
      </c>
      <c r="AP87" s="72"/>
      <c r="AQ87" s="72"/>
      <c r="AR87" s="192"/>
      <c r="AS87" s="208">
        <f t="shared" si="35"/>
        <v>0</v>
      </c>
      <c r="AT87" s="193"/>
      <c r="AU87" s="206">
        <f t="shared" si="36"/>
        <v>0</v>
      </c>
      <c r="AV87" s="191"/>
      <c r="AW87" s="207">
        <f t="shared" si="37"/>
        <v>0</v>
      </c>
      <c r="AX87" s="73"/>
      <c r="AY87" s="73"/>
      <c r="AZ87" s="193"/>
      <c r="BA87" s="209">
        <f t="shared" si="38"/>
        <v>0</v>
      </c>
      <c r="BB87" s="193"/>
      <c r="BC87" s="206">
        <f t="shared" si="39"/>
        <v>0</v>
      </c>
      <c r="BD87" s="191"/>
      <c r="BE87" s="207">
        <f t="shared" si="40"/>
        <v>0</v>
      </c>
      <c r="BF87" s="73"/>
      <c r="BG87" s="73"/>
      <c r="BH87" s="193"/>
      <c r="BI87" s="209">
        <f t="shared" si="41"/>
        <v>0</v>
      </c>
      <c r="BJ87" s="193"/>
      <c r="BK87" s="206">
        <f t="shared" si="42"/>
        <v>0</v>
      </c>
      <c r="BL87" s="191"/>
      <c r="BM87" s="207">
        <f t="shared" si="43"/>
        <v>0</v>
      </c>
      <c r="BN87" s="73"/>
      <c r="BO87" s="73"/>
      <c r="BP87" s="193"/>
      <c r="BQ87" s="209">
        <f t="shared" si="44"/>
        <v>0</v>
      </c>
      <c r="BR87" s="193"/>
      <c r="BS87" s="206">
        <f t="shared" si="45"/>
        <v>0</v>
      </c>
      <c r="BT87" s="191"/>
      <c r="BU87" s="207">
        <f t="shared" si="46"/>
        <v>0</v>
      </c>
      <c r="BV87" s="73"/>
      <c r="BW87" s="73"/>
      <c r="BX87" s="193"/>
      <c r="BY87" s="209">
        <f t="shared" si="47"/>
        <v>0</v>
      </c>
      <c r="BZ87" s="193"/>
      <c r="CA87" s="206">
        <f t="shared" si="48"/>
        <v>0</v>
      </c>
      <c r="CB87" s="191"/>
      <c r="CC87" s="207">
        <f t="shared" si="49"/>
        <v>0</v>
      </c>
      <c r="CD87" s="73"/>
      <c r="CE87" s="73"/>
      <c r="CF87" s="193"/>
      <c r="CG87" s="209">
        <f t="shared" si="50"/>
        <v>0</v>
      </c>
      <c r="CH87" s="193"/>
      <c r="CI87" s="206">
        <f t="shared" si="51"/>
        <v>0</v>
      </c>
      <c r="CJ87" s="191"/>
      <c r="CK87" s="207">
        <f t="shared" si="52"/>
        <v>0</v>
      </c>
      <c r="CL87" s="73"/>
      <c r="CM87" s="73"/>
      <c r="CN87" s="193"/>
      <c r="CO87" s="209">
        <f t="shared" si="53"/>
        <v>0</v>
      </c>
      <c r="CP87" s="193"/>
      <c r="CQ87" s="206">
        <f t="shared" si="54"/>
        <v>0</v>
      </c>
      <c r="CR87" s="191"/>
      <c r="CS87" s="207">
        <f t="shared" si="55"/>
        <v>0</v>
      </c>
      <c r="CT87" s="73"/>
      <c r="CU87" s="73"/>
      <c r="CV87" s="193"/>
      <c r="CW87" s="209">
        <f t="shared" si="56"/>
        <v>0</v>
      </c>
      <c r="CX87" s="193"/>
      <c r="CY87" s="206">
        <f t="shared" si="57"/>
        <v>0</v>
      </c>
      <c r="CZ87" s="191"/>
      <c r="DA87" s="207">
        <f t="shared" si="58"/>
        <v>0</v>
      </c>
      <c r="DB87" s="73"/>
      <c r="DC87" s="73"/>
      <c r="DD87" s="193"/>
      <c r="DE87" s="209">
        <f t="shared" si="59"/>
        <v>0</v>
      </c>
      <c r="DF87" s="193"/>
      <c r="DG87" s="206">
        <f t="shared" si="60"/>
        <v>0</v>
      </c>
      <c r="DH87" s="191"/>
      <c r="DI87" s="207">
        <f t="shared" si="61"/>
        <v>0</v>
      </c>
    </row>
    <row r="88" spans="1:113">
      <c r="A88" s="57">
        <v>85</v>
      </c>
      <c r="B88" s="111"/>
      <c r="C88" s="61"/>
      <c r="D88" s="62"/>
      <c r="E88" s="62"/>
      <c r="F88" s="128"/>
      <c r="G88" s="135"/>
      <c r="H88" s="63"/>
      <c r="I88" s="136"/>
      <c r="J88" s="169"/>
      <c r="K88" s="64"/>
      <c r="L88" s="65"/>
      <c r="M88" s="64"/>
      <c r="N88" s="141"/>
      <c r="O88" s="147"/>
      <c r="P88" s="66"/>
      <c r="Q88" s="66"/>
      <c r="R88" s="148"/>
      <c r="S88" s="182"/>
      <c r="T88" s="183"/>
      <c r="U88" s="155"/>
      <c r="V88" s="173">
        <f t="shared" si="31"/>
        <v>0</v>
      </c>
      <c r="W88" s="67"/>
      <c r="X88" s="67"/>
      <c r="Y88" s="67"/>
      <c r="Z88" s="156"/>
      <c r="AA88" s="84"/>
      <c r="AB88" s="85"/>
      <c r="AC88" s="86"/>
      <c r="AD88" s="68"/>
      <c r="AE88" s="70"/>
      <c r="AF88" s="70"/>
      <c r="AG88" s="69"/>
      <c r="AH88" s="189"/>
      <c r="AI88" s="190"/>
      <c r="AJ88" s="191"/>
      <c r="AK88" s="206">
        <f t="shared" si="32"/>
        <v>0</v>
      </c>
      <c r="AL88" s="191"/>
      <c r="AM88" s="206">
        <f t="shared" si="33"/>
        <v>0</v>
      </c>
      <c r="AN88" s="191"/>
      <c r="AO88" s="207">
        <f t="shared" si="34"/>
        <v>0</v>
      </c>
      <c r="AP88" s="72"/>
      <c r="AQ88" s="72"/>
      <c r="AR88" s="192"/>
      <c r="AS88" s="208">
        <f t="shared" si="35"/>
        <v>0</v>
      </c>
      <c r="AT88" s="193"/>
      <c r="AU88" s="206">
        <f t="shared" si="36"/>
        <v>0</v>
      </c>
      <c r="AV88" s="191"/>
      <c r="AW88" s="207">
        <f t="shared" si="37"/>
        <v>0</v>
      </c>
      <c r="AX88" s="73"/>
      <c r="AY88" s="73"/>
      <c r="AZ88" s="193"/>
      <c r="BA88" s="209">
        <f t="shared" si="38"/>
        <v>0</v>
      </c>
      <c r="BB88" s="193"/>
      <c r="BC88" s="206">
        <f t="shared" si="39"/>
        <v>0</v>
      </c>
      <c r="BD88" s="191"/>
      <c r="BE88" s="207">
        <f t="shared" si="40"/>
        <v>0</v>
      </c>
      <c r="BF88" s="73"/>
      <c r="BG88" s="73"/>
      <c r="BH88" s="193"/>
      <c r="BI88" s="209">
        <f t="shared" si="41"/>
        <v>0</v>
      </c>
      <c r="BJ88" s="193"/>
      <c r="BK88" s="206">
        <f t="shared" si="42"/>
        <v>0</v>
      </c>
      <c r="BL88" s="191"/>
      <c r="BM88" s="207">
        <f t="shared" si="43"/>
        <v>0</v>
      </c>
      <c r="BN88" s="73"/>
      <c r="BO88" s="73"/>
      <c r="BP88" s="193"/>
      <c r="BQ88" s="209">
        <f t="shared" si="44"/>
        <v>0</v>
      </c>
      <c r="BR88" s="193"/>
      <c r="BS88" s="206">
        <f t="shared" si="45"/>
        <v>0</v>
      </c>
      <c r="BT88" s="191"/>
      <c r="BU88" s="207">
        <f t="shared" si="46"/>
        <v>0</v>
      </c>
      <c r="BV88" s="73"/>
      <c r="BW88" s="73"/>
      <c r="BX88" s="193"/>
      <c r="BY88" s="209">
        <f t="shared" si="47"/>
        <v>0</v>
      </c>
      <c r="BZ88" s="193"/>
      <c r="CA88" s="206">
        <f t="shared" si="48"/>
        <v>0</v>
      </c>
      <c r="CB88" s="191"/>
      <c r="CC88" s="207">
        <f t="shared" si="49"/>
        <v>0</v>
      </c>
      <c r="CD88" s="73"/>
      <c r="CE88" s="73"/>
      <c r="CF88" s="193"/>
      <c r="CG88" s="209">
        <f t="shared" si="50"/>
        <v>0</v>
      </c>
      <c r="CH88" s="193"/>
      <c r="CI88" s="206">
        <f t="shared" si="51"/>
        <v>0</v>
      </c>
      <c r="CJ88" s="191"/>
      <c r="CK88" s="207">
        <f t="shared" si="52"/>
        <v>0</v>
      </c>
      <c r="CL88" s="73"/>
      <c r="CM88" s="73"/>
      <c r="CN88" s="193"/>
      <c r="CO88" s="209">
        <f t="shared" si="53"/>
        <v>0</v>
      </c>
      <c r="CP88" s="193"/>
      <c r="CQ88" s="206">
        <f t="shared" si="54"/>
        <v>0</v>
      </c>
      <c r="CR88" s="191"/>
      <c r="CS88" s="207">
        <f t="shared" si="55"/>
        <v>0</v>
      </c>
      <c r="CT88" s="73"/>
      <c r="CU88" s="73"/>
      <c r="CV88" s="193"/>
      <c r="CW88" s="209">
        <f t="shared" si="56"/>
        <v>0</v>
      </c>
      <c r="CX88" s="193"/>
      <c r="CY88" s="206">
        <f t="shared" si="57"/>
        <v>0</v>
      </c>
      <c r="CZ88" s="191"/>
      <c r="DA88" s="207">
        <f t="shared" si="58"/>
        <v>0</v>
      </c>
      <c r="DB88" s="73"/>
      <c r="DC88" s="73"/>
      <c r="DD88" s="193"/>
      <c r="DE88" s="209">
        <f t="shared" si="59"/>
        <v>0</v>
      </c>
      <c r="DF88" s="193"/>
      <c r="DG88" s="206">
        <f t="shared" si="60"/>
        <v>0</v>
      </c>
      <c r="DH88" s="191"/>
      <c r="DI88" s="207">
        <f t="shared" si="61"/>
        <v>0</v>
      </c>
    </row>
    <row r="89" spans="1:113">
      <c r="A89" s="57">
        <v>86</v>
      </c>
      <c r="B89" s="111"/>
      <c r="C89" s="61"/>
      <c r="D89" s="62"/>
      <c r="E89" s="62"/>
      <c r="F89" s="128"/>
      <c r="G89" s="135"/>
      <c r="H89" s="63"/>
      <c r="I89" s="136"/>
      <c r="J89" s="169"/>
      <c r="K89" s="64"/>
      <c r="L89" s="65"/>
      <c r="M89" s="64"/>
      <c r="N89" s="141"/>
      <c r="O89" s="147"/>
      <c r="P89" s="66"/>
      <c r="Q89" s="66"/>
      <c r="R89" s="148"/>
      <c r="S89" s="182"/>
      <c r="T89" s="183"/>
      <c r="U89" s="155"/>
      <c r="V89" s="173">
        <f t="shared" si="31"/>
        <v>0</v>
      </c>
      <c r="W89" s="67"/>
      <c r="X89" s="67"/>
      <c r="Y89" s="67"/>
      <c r="Z89" s="156"/>
      <c r="AA89" s="84"/>
      <c r="AB89" s="85"/>
      <c r="AC89" s="86"/>
      <c r="AD89" s="68"/>
      <c r="AE89" s="70"/>
      <c r="AF89" s="70"/>
      <c r="AG89" s="69"/>
      <c r="AH89" s="189"/>
      <c r="AI89" s="190"/>
      <c r="AJ89" s="191"/>
      <c r="AK89" s="206">
        <f t="shared" si="32"/>
        <v>0</v>
      </c>
      <c r="AL89" s="191"/>
      <c r="AM89" s="206">
        <f t="shared" si="33"/>
        <v>0</v>
      </c>
      <c r="AN89" s="191"/>
      <c r="AO89" s="207">
        <f t="shared" si="34"/>
        <v>0</v>
      </c>
      <c r="AP89" s="72"/>
      <c r="AQ89" s="72"/>
      <c r="AR89" s="192"/>
      <c r="AS89" s="208">
        <f t="shared" si="35"/>
        <v>0</v>
      </c>
      <c r="AT89" s="193"/>
      <c r="AU89" s="206">
        <f t="shared" si="36"/>
        <v>0</v>
      </c>
      <c r="AV89" s="191"/>
      <c r="AW89" s="207">
        <f t="shared" si="37"/>
        <v>0</v>
      </c>
      <c r="AX89" s="73"/>
      <c r="AY89" s="73"/>
      <c r="AZ89" s="193"/>
      <c r="BA89" s="209">
        <f t="shared" si="38"/>
        <v>0</v>
      </c>
      <c r="BB89" s="193"/>
      <c r="BC89" s="206">
        <f t="shared" si="39"/>
        <v>0</v>
      </c>
      <c r="BD89" s="191"/>
      <c r="BE89" s="207">
        <f t="shared" si="40"/>
        <v>0</v>
      </c>
      <c r="BF89" s="73"/>
      <c r="BG89" s="73"/>
      <c r="BH89" s="193"/>
      <c r="BI89" s="209">
        <f t="shared" si="41"/>
        <v>0</v>
      </c>
      <c r="BJ89" s="193"/>
      <c r="BK89" s="206">
        <f t="shared" si="42"/>
        <v>0</v>
      </c>
      <c r="BL89" s="191"/>
      <c r="BM89" s="207">
        <f t="shared" si="43"/>
        <v>0</v>
      </c>
      <c r="BN89" s="73"/>
      <c r="BO89" s="73"/>
      <c r="BP89" s="193"/>
      <c r="BQ89" s="209">
        <f t="shared" si="44"/>
        <v>0</v>
      </c>
      <c r="BR89" s="193"/>
      <c r="BS89" s="206">
        <f t="shared" si="45"/>
        <v>0</v>
      </c>
      <c r="BT89" s="191"/>
      <c r="BU89" s="207">
        <f t="shared" si="46"/>
        <v>0</v>
      </c>
      <c r="BV89" s="73"/>
      <c r="BW89" s="73"/>
      <c r="BX89" s="193"/>
      <c r="BY89" s="209">
        <f t="shared" si="47"/>
        <v>0</v>
      </c>
      <c r="BZ89" s="193"/>
      <c r="CA89" s="206">
        <f t="shared" si="48"/>
        <v>0</v>
      </c>
      <c r="CB89" s="191"/>
      <c r="CC89" s="207">
        <f t="shared" si="49"/>
        <v>0</v>
      </c>
      <c r="CD89" s="73"/>
      <c r="CE89" s="73"/>
      <c r="CF89" s="193"/>
      <c r="CG89" s="209">
        <f t="shared" si="50"/>
        <v>0</v>
      </c>
      <c r="CH89" s="193"/>
      <c r="CI89" s="206">
        <f t="shared" si="51"/>
        <v>0</v>
      </c>
      <c r="CJ89" s="191"/>
      <c r="CK89" s="207">
        <f t="shared" si="52"/>
        <v>0</v>
      </c>
      <c r="CL89" s="73"/>
      <c r="CM89" s="73"/>
      <c r="CN89" s="193"/>
      <c r="CO89" s="209">
        <f t="shared" si="53"/>
        <v>0</v>
      </c>
      <c r="CP89" s="193"/>
      <c r="CQ89" s="206">
        <f t="shared" si="54"/>
        <v>0</v>
      </c>
      <c r="CR89" s="191"/>
      <c r="CS89" s="207">
        <f t="shared" si="55"/>
        <v>0</v>
      </c>
      <c r="CT89" s="73"/>
      <c r="CU89" s="73"/>
      <c r="CV89" s="193"/>
      <c r="CW89" s="209">
        <f t="shared" si="56"/>
        <v>0</v>
      </c>
      <c r="CX89" s="193"/>
      <c r="CY89" s="206">
        <f t="shared" si="57"/>
        <v>0</v>
      </c>
      <c r="CZ89" s="191"/>
      <c r="DA89" s="207">
        <f t="shared" si="58"/>
        <v>0</v>
      </c>
      <c r="DB89" s="73"/>
      <c r="DC89" s="73"/>
      <c r="DD89" s="193"/>
      <c r="DE89" s="209">
        <f t="shared" si="59"/>
        <v>0</v>
      </c>
      <c r="DF89" s="193"/>
      <c r="DG89" s="206">
        <f t="shared" si="60"/>
        <v>0</v>
      </c>
      <c r="DH89" s="191"/>
      <c r="DI89" s="207">
        <f t="shared" si="61"/>
        <v>0</v>
      </c>
    </row>
    <row r="90" spans="1:113">
      <c r="A90" s="57">
        <v>87</v>
      </c>
      <c r="B90" s="111"/>
      <c r="C90" s="61"/>
      <c r="D90" s="62"/>
      <c r="E90" s="62"/>
      <c r="F90" s="128"/>
      <c r="G90" s="135"/>
      <c r="H90" s="63"/>
      <c r="I90" s="136"/>
      <c r="J90" s="169"/>
      <c r="K90" s="64"/>
      <c r="L90" s="65"/>
      <c r="M90" s="64"/>
      <c r="N90" s="141"/>
      <c r="O90" s="147"/>
      <c r="P90" s="66"/>
      <c r="Q90" s="66"/>
      <c r="R90" s="148"/>
      <c r="S90" s="182"/>
      <c r="T90" s="183"/>
      <c r="U90" s="155"/>
      <c r="V90" s="173">
        <f t="shared" si="31"/>
        <v>0</v>
      </c>
      <c r="W90" s="67"/>
      <c r="X90" s="67"/>
      <c r="Y90" s="67"/>
      <c r="Z90" s="156"/>
      <c r="AA90" s="84"/>
      <c r="AB90" s="85"/>
      <c r="AC90" s="86"/>
      <c r="AD90" s="68"/>
      <c r="AE90" s="70"/>
      <c r="AF90" s="70"/>
      <c r="AG90" s="69"/>
      <c r="AH90" s="189"/>
      <c r="AI90" s="190"/>
      <c r="AJ90" s="191"/>
      <c r="AK90" s="206">
        <f t="shared" si="32"/>
        <v>0</v>
      </c>
      <c r="AL90" s="191"/>
      <c r="AM90" s="206">
        <f t="shared" si="33"/>
        <v>0</v>
      </c>
      <c r="AN90" s="191"/>
      <c r="AO90" s="207">
        <f t="shared" si="34"/>
        <v>0</v>
      </c>
      <c r="AP90" s="72"/>
      <c r="AQ90" s="72"/>
      <c r="AR90" s="192"/>
      <c r="AS90" s="208">
        <f t="shared" si="35"/>
        <v>0</v>
      </c>
      <c r="AT90" s="193"/>
      <c r="AU90" s="206">
        <f t="shared" si="36"/>
        <v>0</v>
      </c>
      <c r="AV90" s="191"/>
      <c r="AW90" s="207">
        <f t="shared" si="37"/>
        <v>0</v>
      </c>
      <c r="AX90" s="73"/>
      <c r="AY90" s="73"/>
      <c r="AZ90" s="193"/>
      <c r="BA90" s="209">
        <f t="shared" si="38"/>
        <v>0</v>
      </c>
      <c r="BB90" s="193"/>
      <c r="BC90" s="206">
        <f t="shared" si="39"/>
        <v>0</v>
      </c>
      <c r="BD90" s="191"/>
      <c r="BE90" s="207">
        <f t="shared" si="40"/>
        <v>0</v>
      </c>
      <c r="BF90" s="73"/>
      <c r="BG90" s="73"/>
      <c r="BH90" s="193"/>
      <c r="BI90" s="209">
        <f t="shared" si="41"/>
        <v>0</v>
      </c>
      <c r="BJ90" s="193"/>
      <c r="BK90" s="206">
        <f t="shared" si="42"/>
        <v>0</v>
      </c>
      <c r="BL90" s="191"/>
      <c r="BM90" s="207">
        <f t="shared" si="43"/>
        <v>0</v>
      </c>
      <c r="BN90" s="73"/>
      <c r="BO90" s="73"/>
      <c r="BP90" s="193"/>
      <c r="BQ90" s="209">
        <f t="shared" si="44"/>
        <v>0</v>
      </c>
      <c r="BR90" s="193"/>
      <c r="BS90" s="206">
        <f t="shared" si="45"/>
        <v>0</v>
      </c>
      <c r="BT90" s="191"/>
      <c r="BU90" s="207">
        <f t="shared" si="46"/>
        <v>0</v>
      </c>
      <c r="BV90" s="73"/>
      <c r="BW90" s="73"/>
      <c r="BX90" s="193"/>
      <c r="BY90" s="209">
        <f t="shared" si="47"/>
        <v>0</v>
      </c>
      <c r="BZ90" s="193"/>
      <c r="CA90" s="206">
        <f t="shared" si="48"/>
        <v>0</v>
      </c>
      <c r="CB90" s="191"/>
      <c r="CC90" s="207">
        <f t="shared" si="49"/>
        <v>0</v>
      </c>
      <c r="CD90" s="73"/>
      <c r="CE90" s="73"/>
      <c r="CF90" s="193"/>
      <c r="CG90" s="209">
        <f t="shared" si="50"/>
        <v>0</v>
      </c>
      <c r="CH90" s="193"/>
      <c r="CI90" s="206">
        <f t="shared" si="51"/>
        <v>0</v>
      </c>
      <c r="CJ90" s="191"/>
      <c r="CK90" s="207">
        <f t="shared" si="52"/>
        <v>0</v>
      </c>
      <c r="CL90" s="73"/>
      <c r="CM90" s="73"/>
      <c r="CN90" s="193"/>
      <c r="CO90" s="209">
        <f t="shared" si="53"/>
        <v>0</v>
      </c>
      <c r="CP90" s="193"/>
      <c r="CQ90" s="206">
        <f t="shared" si="54"/>
        <v>0</v>
      </c>
      <c r="CR90" s="191"/>
      <c r="CS90" s="207">
        <f t="shared" si="55"/>
        <v>0</v>
      </c>
      <c r="CT90" s="73"/>
      <c r="CU90" s="73"/>
      <c r="CV90" s="193"/>
      <c r="CW90" s="209">
        <f t="shared" si="56"/>
        <v>0</v>
      </c>
      <c r="CX90" s="193"/>
      <c r="CY90" s="206">
        <f t="shared" si="57"/>
        <v>0</v>
      </c>
      <c r="CZ90" s="191"/>
      <c r="DA90" s="207">
        <f t="shared" si="58"/>
        <v>0</v>
      </c>
      <c r="DB90" s="73"/>
      <c r="DC90" s="73"/>
      <c r="DD90" s="193"/>
      <c r="DE90" s="209">
        <f t="shared" si="59"/>
        <v>0</v>
      </c>
      <c r="DF90" s="193"/>
      <c r="DG90" s="206">
        <f t="shared" si="60"/>
        <v>0</v>
      </c>
      <c r="DH90" s="191"/>
      <c r="DI90" s="207">
        <f t="shared" si="61"/>
        <v>0</v>
      </c>
    </row>
    <row r="91" spans="1:113">
      <c r="A91" s="57">
        <v>88</v>
      </c>
      <c r="B91" s="111"/>
      <c r="C91" s="61"/>
      <c r="D91" s="62"/>
      <c r="E91" s="62"/>
      <c r="F91" s="128"/>
      <c r="G91" s="135"/>
      <c r="H91" s="63"/>
      <c r="I91" s="136"/>
      <c r="J91" s="169"/>
      <c r="K91" s="64"/>
      <c r="L91" s="65"/>
      <c r="M91" s="64"/>
      <c r="N91" s="141"/>
      <c r="O91" s="147"/>
      <c r="P91" s="66"/>
      <c r="Q91" s="66"/>
      <c r="R91" s="148"/>
      <c r="S91" s="182"/>
      <c r="T91" s="183"/>
      <c r="U91" s="155"/>
      <c r="V91" s="173">
        <f t="shared" si="31"/>
        <v>0</v>
      </c>
      <c r="W91" s="67"/>
      <c r="X91" s="67"/>
      <c r="Y91" s="67"/>
      <c r="Z91" s="156"/>
      <c r="AA91" s="84"/>
      <c r="AB91" s="85"/>
      <c r="AC91" s="86"/>
      <c r="AD91" s="68"/>
      <c r="AE91" s="70"/>
      <c r="AF91" s="70"/>
      <c r="AG91" s="69"/>
      <c r="AH91" s="189"/>
      <c r="AI91" s="190"/>
      <c r="AJ91" s="191"/>
      <c r="AK91" s="206">
        <f t="shared" si="32"/>
        <v>0</v>
      </c>
      <c r="AL91" s="191"/>
      <c r="AM91" s="206">
        <f t="shared" si="33"/>
        <v>0</v>
      </c>
      <c r="AN91" s="191"/>
      <c r="AO91" s="207">
        <f t="shared" si="34"/>
        <v>0</v>
      </c>
      <c r="AP91" s="72"/>
      <c r="AQ91" s="72"/>
      <c r="AR91" s="192"/>
      <c r="AS91" s="208">
        <f t="shared" si="35"/>
        <v>0</v>
      </c>
      <c r="AT91" s="193"/>
      <c r="AU91" s="206">
        <f t="shared" si="36"/>
        <v>0</v>
      </c>
      <c r="AV91" s="191"/>
      <c r="AW91" s="207">
        <f t="shared" si="37"/>
        <v>0</v>
      </c>
      <c r="AX91" s="73"/>
      <c r="AY91" s="73"/>
      <c r="AZ91" s="193"/>
      <c r="BA91" s="209">
        <f t="shared" si="38"/>
        <v>0</v>
      </c>
      <c r="BB91" s="193"/>
      <c r="BC91" s="206">
        <f t="shared" si="39"/>
        <v>0</v>
      </c>
      <c r="BD91" s="191"/>
      <c r="BE91" s="207">
        <f t="shared" si="40"/>
        <v>0</v>
      </c>
      <c r="BF91" s="73"/>
      <c r="BG91" s="73"/>
      <c r="BH91" s="193"/>
      <c r="BI91" s="209">
        <f t="shared" si="41"/>
        <v>0</v>
      </c>
      <c r="BJ91" s="193"/>
      <c r="BK91" s="206">
        <f t="shared" si="42"/>
        <v>0</v>
      </c>
      <c r="BL91" s="191"/>
      <c r="BM91" s="207">
        <f t="shared" si="43"/>
        <v>0</v>
      </c>
      <c r="BN91" s="73"/>
      <c r="BO91" s="73"/>
      <c r="BP91" s="193"/>
      <c r="BQ91" s="209">
        <f t="shared" si="44"/>
        <v>0</v>
      </c>
      <c r="BR91" s="193"/>
      <c r="BS91" s="206">
        <f t="shared" si="45"/>
        <v>0</v>
      </c>
      <c r="BT91" s="191"/>
      <c r="BU91" s="207">
        <f t="shared" si="46"/>
        <v>0</v>
      </c>
      <c r="BV91" s="73"/>
      <c r="BW91" s="73"/>
      <c r="BX91" s="193"/>
      <c r="BY91" s="209">
        <f t="shared" si="47"/>
        <v>0</v>
      </c>
      <c r="BZ91" s="193"/>
      <c r="CA91" s="206">
        <f t="shared" si="48"/>
        <v>0</v>
      </c>
      <c r="CB91" s="191"/>
      <c r="CC91" s="207">
        <f t="shared" si="49"/>
        <v>0</v>
      </c>
      <c r="CD91" s="73"/>
      <c r="CE91" s="73"/>
      <c r="CF91" s="193"/>
      <c r="CG91" s="209">
        <f t="shared" si="50"/>
        <v>0</v>
      </c>
      <c r="CH91" s="193"/>
      <c r="CI91" s="206">
        <f t="shared" si="51"/>
        <v>0</v>
      </c>
      <c r="CJ91" s="191"/>
      <c r="CK91" s="207">
        <f t="shared" si="52"/>
        <v>0</v>
      </c>
      <c r="CL91" s="73"/>
      <c r="CM91" s="73"/>
      <c r="CN91" s="193"/>
      <c r="CO91" s="209">
        <f t="shared" si="53"/>
        <v>0</v>
      </c>
      <c r="CP91" s="193"/>
      <c r="CQ91" s="206">
        <f t="shared" si="54"/>
        <v>0</v>
      </c>
      <c r="CR91" s="191"/>
      <c r="CS91" s="207">
        <f t="shared" si="55"/>
        <v>0</v>
      </c>
      <c r="CT91" s="73"/>
      <c r="CU91" s="73"/>
      <c r="CV91" s="193"/>
      <c r="CW91" s="209">
        <f t="shared" si="56"/>
        <v>0</v>
      </c>
      <c r="CX91" s="193"/>
      <c r="CY91" s="206">
        <f t="shared" si="57"/>
        <v>0</v>
      </c>
      <c r="CZ91" s="191"/>
      <c r="DA91" s="207">
        <f t="shared" si="58"/>
        <v>0</v>
      </c>
      <c r="DB91" s="73"/>
      <c r="DC91" s="73"/>
      <c r="DD91" s="193"/>
      <c r="DE91" s="209">
        <f t="shared" si="59"/>
        <v>0</v>
      </c>
      <c r="DF91" s="193"/>
      <c r="DG91" s="206">
        <f t="shared" si="60"/>
        <v>0</v>
      </c>
      <c r="DH91" s="191"/>
      <c r="DI91" s="207">
        <f t="shared" si="61"/>
        <v>0</v>
      </c>
    </row>
    <row r="92" spans="1:113">
      <c r="A92" s="57">
        <v>89</v>
      </c>
      <c r="B92" s="111"/>
      <c r="C92" s="61"/>
      <c r="D92" s="62"/>
      <c r="E92" s="62"/>
      <c r="F92" s="128"/>
      <c r="G92" s="135"/>
      <c r="H92" s="63"/>
      <c r="I92" s="136"/>
      <c r="J92" s="169"/>
      <c r="K92" s="64"/>
      <c r="L92" s="65"/>
      <c r="M92" s="64"/>
      <c r="N92" s="141"/>
      <c r="O92" s="147"/>
      <c r="P92" s="66"/>
      <c r="Q92" s="66"/>
      <c r="R92" s="148"/>
      <c r="S92" s="182"/>
      <c r="T92" s="183"/>
      <c r="U92" s="155"/>
      <c r="V92" s="173">
        <f t="shared" si="31"/>
        <v>0</v>
      </c>
      <c r="W92" s="67"/>
      <c r="X92" s="67"/>
      <c r="Y92" s="67"/>
      <c r="Z92" s="156"/>
      <c r="AA92" s="84"/>
      <c r="AB92" s="85"/>
      <c r="AC92" s="86"/>
      <c r="AD92" s="68"/>
      <c r="AE92" s="70"/>
      <c r="AF92" s="70"/>
      <c r="AG92" s="69"/>
      <c r="AH92" s="189"/>
      <c r="AI92" s="190"/>
      <c r="AJ92" s="191"/>
      <c r="AK92" s="206">
        <f t="shared" si="32"/>
        <v>0</v>
      </c>
      <c r="AL92" s="191"/>
      <c r="AM92" s="206">
        <f t="shared" si="33"/>
        <v>0</v>
      </c>
      <c r="AN92" s="191"/>
      <c r="AO92" s="207">
        <f t="shared" si="34"/>
        <v>0</v>
      </c>
      <c r="AP92" s="72"/>
      <c r="AQ92" s="72"/>
      <c r="AR92" s="192"/>
      <c r="AS92" s="208">
        <f t="shared" si="35"/>
        <v>0</v>
      </c>
      <c r="AT92" s="193"/>
      <c r="AU92" s="206">
        <f t="shared" si="36"/>
        <v>0</v>
      </c>
      <c r="AV92" s="191"/>
      <c r="AW92" s="207">
        <f t="shared" si="37"/>
        <v>0</v>
      </c>
      <c r="AX92" s="73"/>
      <c r="AY92" s="73"/>
      <c r="AZ92" s="193"/>
      <c r="BA92" s="209">
        <f t="shared" si="38"/>
        <v>0</v>
      </c>
      <c r="BB92" s="193"/>
      <c r="BC92" s="206">
        <f t="shared" si="39"/>
        <v>0</v>
      </c>
      <c r="BD92" s="191"/>
      <c r="BE92" s="207">
        <f t="shared" si="40"/>
        <v>0</v>
      </c>
      <c r="BF92" s="73"/>
      <c r="BG92" s="73"/>
      <c r="BH92" s="193"/>
      <c r="BI92" s="209">
        <f t="shared" si="41"/>
        <v>0</v>
      </c>
      <c r="BJ92" s="193"/>
      <c r="BK92" s="206">
        <f t="shared" si="42"/>
        <v>0</v>
      </c>
      <c r="BL92" s="191"/>
      <c r="BM92" s="207">
        <f t="shared" si="43"/>
        <v>0</v>
      </c>
      <c r="BN92" s="73"/>
      <c r="BO92" s="73"/>
      <c r="BP92" s="193"/>
      <c r="BQ92" s="209">
        <f t="shared" si="44"/>
        <v>0</v>
      </c>
      <c r="BR92" s="193"/>
      <c r="BS92" s="206">
        <f t="shared" si="45"/>
        <v>0</v>
      </c>
      <c r="BT92" s="191"/>
      <c r="BU92" s="207">
        <f t="shared" si="46"/>
        <v>0</v>
      </c>
      <c r="BV92" s="73"/>
      <c r="BW92" s="73"/>
      <c r="BX92" s="193"/>
      <c r="BY92" s="209">
        <f t="shared" si="47"/>
        <v>0</v>
      </c>
      <c r="BZ92" s="193"/>
      <c r="CA92" s="206">
        <f t="shared" si="48"/>
        <v>0</v>
      </c>
      <c r="CB92" s="191"/>
      <c r="CC92" s="207">
        <f t="shared" si="49"/>
        <v>0</v>
      </c>
      <c r="CD92" s="73"/>
      <c r="CE92" s="73"/>
      <c r="CF92" s="193"/>
      <c r="CG92" s="209">
        <f t="shared" si="50"/>
        <v>0</v>
      </c>
      <c r="CH92" s="193"/>
      <c r="CI92" s="206">
        <f t="shared" si="51"/>
        <v>0</v>
      </c>
      <c r="CJ92" s="191"/>
      <c r="CK92" s="207">
        <f t="shared" si="52"/>
        <v>0</v>
      </c>
      <c r="CL92" s="73"/>
      <c r="CM92" s="73"/>
      <c r="CN92" s="193"/>
      <c r="CO92" s="209">
        <f t="shared" si="53"/>
        <v>0</v>
      </c>
      <c r="CP92" s="193"/>
      <c r="CQ92" s="206">
        <f t="shared" si="54"/>
        <v>0</v>
      </c>
      <c r="CR92" s="191"/>
      <c r="CS92" s="207">
        <f t="shared" si="55"/>
        <v>0</v>
      </c>
      <c r="CT92" s="73"/>
      <c r="CU92" s="73"/>
      <c r="CV92" s="193"/>
      <c r="CW92" s="209">
        <f t="shared" si="56"/>
        <v>0</v>
      </c>
      <c r="CX92" s="193"/>
      <c r="CY92" s="206">
        <f t="shared" si="57"/>
        <v>0</v>
      </c>
      <c r="CZ92" s="191"/>
      <c r="DA92" s="207">
        <f t="shared" si="58"/>
        <v>0</v>
      </c>
      <c r="DB92" s="73"/>
      <c r="DC92" s="73"/>
      <c r="DD92" s="193"/>
      <c r="DE92" s="209">
        <f t="shared" si="59"/>
        <v>0</v>
      </c>
      <c r="DF92" s="193"/>
      <c r="DG92" s="206">
        <f t="shared" si="60"/>
        <v>0</v>
      </c>
      <c r="DH92" s="191"/>
      <c r="DI92" s="207">
        <f t="shared" si="61"/>
        <v>0</v>
      </c>
    </row>
    <row r="93" spans="1:113">
      <c r="A93" s="57">
        <v>90</v>
      </c>
      <c r="B93" s="111"/>
      <c r="C93" s="61"/>
      <c r="D93" s="62"/>
      <c r="E93" s="62"/>
      <c r="F93" s="128"/>
      <c r="G93" s="135"/>
      <c r="H93" s="63"/>
      <c r="I93" s="136"/>
      <c r="J93" s="169"/>
      <c r="K93" s="64"/>
      <c r="L93" s="65"/>
      <c r="M93" s="64"/>
      <c r="N93" s="141"/>
      <c r="O93" s="147"/>
      <c r="P93" s="66"/>
      <c r="Q93" s="66"/>
      <c r="R93" s="148"/>
      <c r="S93" s="182"/>
      <c r="T93" s="183"/>
      <c r="U93" s="155"/>
      <c r="V93" s="173">
        <f t="shared" si="31"/>
        <v>0</v>
      </c>
      <c r="W93" s="67"/>
      <c r="X93" s="67"/>
      <c r="Y93" s="67"/>
      <c r="Z93" s="156"/>
      <c r="AA93" s="84"/>
      <c r="AB93" s="85"/>
      <c r="AC93" s="86"/>
      <c r="AD93" s="68"/>
      <c r="AE93" s="70"/>
      <c r="AF93" s="70"/>
      <c r="AG93" s="69"/>
      <c r="AH93" s="189"/>
      <c r="AI93" s="190"/>
      <c r="AJ93" s="191"/>
      <c r="AK93" s="206">
        <f t="shared" si="32"/>
        <v>0</v>
      </c>
      <c r="AL93" s="191"/>
      <c r="AM93" s="206">
        <f t="shared" si="33"/>
        <v>0</v>
      </c>
      <c r="AN93" s="191"/>
      <c r="AO93" s="207">
        <f t="shared" si="34"/>
        <v>0</v>
      </c>
      <c r="AP93" s="72"/>
      <c r="AQ93" s="72"/>
      <c r="AR93" s="192"/>
      <c r="AS93" s="208">
        <f t="shared" si="35"/>
        <v>0</v>
      </c>
      <c r="AT93" s="193"/>
      <c r="AU93" s="206">
        <f t="shared" si="36"/>
        <v>0</v>
      </c>
      <c r="AV93" s="191"/>
      <c r="AW93" s="207">
        <f t="shared" si="37"/>
        <v>0</v>
      </c>
      <c r="AX93" s="73"/>
      <c r="AY93" s="73"/>
      <c r="AZ93" s="193"/>
      <c r="BA93" s="209">
        <f t="shared" si="38"/>
        <v>0</v>
      </c>
      <c r="BB93" s="193"/>
      <c r="BC93" s="206">
        <f t="shared" si="39"/>
        <v>0</v>
      </c>
      <c r="BD93" s="191"/>
      <c r="BE93" s="207">
        <f t="shared" si="40"/>
        <v>0</v>
      </c>
      <c r="BF93" s="73"/>
      <c r="BG93" s="73"/>
      <c r="BH93" s="193"/>
      <c r="BI93" s="209">
        <f t="shared" si="41"/>
        <v>0</v>
      </c>
      <c r="BJ93" s="193"/>
      <c r="BK93" s="206">
        <f t="shared" si="42"/>
        <v>0</v>
      </c>
      <c r="BL93" s="191"/>
      <c r="BM93" s="207">
        <f t="shared" si="43"/>
        <v>0</v>
      </c>
      <c r="BN93" s="73"/>
      <c r="BO93" s="73"/>
      <c r="BP93" s="193"/>
      <c r="BQ93" s="209">
        <f t="shared" si="44"/>
        <v>0</v>
      </c>
      <c r="BR93" s="193"/>
      <c r="BS93" s="206">
        <f t="shared" si="45"/>
        <v>0</v>
      </c>
      <c r="BT93" s="191"/>
      <c r="BU93" s="207">
        <f t="shared" si="46"/>
        <v>0</v>
      </c>
      <c r="BV93" s="73"/>
      <c r="BW93" s="73"/>
      <c r="BX93" s="193"/>
      <c r="BY93" s="209">
        <f t="shared" si="47"/>
        <v>0</v>
      </c>
      <c r="BZ93" s="193"/>
      <c r="CA93" s="206">
        <f t="shared" si="48"/>
        <v>0</v>
      </c>
      <c r="CB93" s="191"/>
      <c r="CC93" s="207">
        <f t="shared" si="49"/>
        <v>0</v>
      </c>
      <c r="CD93" s="73"/>
      <c r="CE93" s="73"/>
      <c r="CF93" s="193"/>
      <c r="CG93" s="209">
        <f t="shared" si="50"/>
        <v>0</v>
      </c>
      <c r="CH93" s="193"/>
      <c r="CI93" s="206">
        <f t="shared" si="51"/>
        <v>0</v>
      </c>
      <c r="CJ93" s="191"/>
      <c r="CK93" s="207">
        <f t="shared" si="52"/>
        <v>0</v>
      </c>
      <c r="CL93" s="73"/>
      <c r="CM93" s="73"/>
      <c r="CN93" s="193"/>
      <c r="CO93" s="209">
        <f t="shared" si="53"/>
        <v>0</v>
      </c>
      <c r="CP93" s="193"/>
      <c r="CQ93" s="206">
        <f t="shared" si="54"/>
        <v>0</v>
      </c>
      <c r="CR93" s="191"/>
      <c r="CS93" s="207">
        <f t="shared" si="55"/>
        <v>0</v>
      </c>
      <c r="CT93" s="73"/>
      <c r="CU93" s="73"/>
      <c r="CV93" s="193"/>
      <c r="CW93" s="209">
        <f t="shared" si="56"/>
        <v>0</v>
      </c>
      <c r="CX93" s="193"/>
      <c r="CY93" s="206">
        <f t="shared" si="57"/>
        <v>0</v>
      </c>
      <c r="CZ93" s="191"/>
      <c r="DA93" s="207">
        <f t="shared" si="58"/>
        <v>0</v>
      </c>
      <c r="DB93" s="73"/>
      <c r="DC93" s="73"/>
      <c r="DD93" s="193"/>
      <c r="DE93" s="209">
        <f t="shared" si="59"/>
        <v>0</v>
      </c>
      <c r="DF93" s="193"/>
      <c r="DG93" s="206">
        <f t="shared" si="60"/>
        <v>0</v>
      </c>
      <c r="DH93" s="191"/>
      <c r="DI93" s="207">
        <f t="shared" si="61"/>
        <v>0</v>
      </c>
    </row>
    <row r="94" spans="1:113">
      <c r="A94" s="57">
        <v>91</v>
      </c>
      <c r="B94" s="111"/>
      <c r="C94" s="61"/>
      <c r="D94" s="62"/>
      <c r="E94" s="62"/>
      <c r="F94" s="128"/>
      <c r="G94" s="135"/>
      <c r="H94" s="63"/>
      <c r="I94" s="136"/>
      <c r="J94" s="169"/>
      <c r="K94" s="64"/>
      <c r="L94" s="65"/>
      <c r="M94" s="64"/>
      <c r="N94" s="141"/>
      <c r="O94" s="147"/>
      <c r="P94" s="66"/>
      <c r="Q94" s="66"/>
      <c r="R94" s="148"/>
      <c r="S94" s="182"/>
      <c r="T94" s="183"/>
      <c r="U94" s="155"/>
      <c r="V94" s="173">
        <f t="shared" si="31"/>
        <v>0</v>
      </c>
      <c r="W94" s="67"/>
      <c r="X94" s="67"/>
      <c r="Y94" s="67"/>
      <c r="Z94" s="156"/>
      <c r="AA94" s="84"/>
      <c r="AB94" s="85"/>
      <c r="AC94" s="86"/>
      <c r="AD94" s="68"/>
      <c r="AE94" s="70"/>
      <c r="AF94" s="70"/>
      <c r="AG94" s="69"/>
      <c r="AH94" s="189"/>
      <c r="AI94" s="190"/>
      <c r="AJ94" s="191"/>
      <c r="AK94" s="206">
        <f t="shared" si="32"/>
        <v>0</v>
      </c>
      <c r="AL94" s="191"/>
      <c r="AM94" s="206">
        <f t="shared" si="33"/>
        <v>0</v>
      </c>
      <c r="AN94" s="191"/>
      <c r="AO94" s="207">
        <f t="shared" si="34"/>
        <v>0</v>
      </c>
      <c r="AP94" s="72"/>
      <c r="AQ94" s="72"/>
      <c r="AR94" s="192"/>
      <c r="AS94" s="208">
        <f t="shared" si="35"/>
        <v>0</v>
      </c>
      <c r="AT94" s="193"/>
      <c r="AU94" s="206">
        <f t="shared" si="36"/>
        <v>0</v>
      </c>
      <c r="AV94" s="191"/>
      <c r="AW94" s="207">
        <f t="shared" si="37"/>
        <v>0</v>
      </c>
      <c r="AX94" s="73"/>
      <c r="AY94" s="73"/>
      <c r="AZ94" s="193"/>
      <c r="BA94" s="209">
        <f t="shared" si="38"/>
        <v>0</v>
      </c>
      <c r="BB94" s="193"/>
      <c r="BC94" s="206">
        <f t="shared" si="39"/>
        <v>0</v>
      </c>
      <c r="BD94" s="191"/>
      <c r="BE94" s="207">
        <f t="shared" si="40"/>
        <v>0</v>
      </c>
      <c r="BF94" s="73"/>
      <c r="BG94" s="73"/>
      <c r="BH94" s="193"/>
      <c r="BI94" s="209">
        <f t="shared" si="41"/>
        <v>0</v>
      </c>
      <c r="BJ94" s="193"/>
      <c r="BK94" s="206">
        <f t="shared" si="42"/>
        <v>0</v>
      </c>
      <c r="BL94" s="191"/>
      <c r="BM94" s="207">
        <f t="shared" si="43"/>
        <v>0</v>
      </c>
      <c r="BN94" s="73"/>
      <c r="BO94" s="73"/>
      <c r="BP94" s="193"/>
      <c r="BQ94" s="209">
        <f t="shared" si="44"/>
        <v>0</v>
      </c>
      <c r="BR94" s="193"/>
      <c r="BS94" s="206">
        <f t="shared" si="45"/>
        <v>0</v>
      </c>
      <c r="BT94" s="191"/>
      <c r="BU94" s="207">
        <f t="shared" si="46"/>
        <v>0</v>
      </c>
      <c r="BV94" s="73"/>
      <c r="BW94" s="73"/>
      <c r="BX94" s="193"/>
      <c r="BY94" s="209">
        <f t="shared" si="47"/>
        <v>0</v>
      </c>
      <c r="BZ94" s="193"/>
      <c r="CA94" s="206">
        <f t="shared" si="48"/>
        <v>0</v>
      </c>
      <c r="CB94" s="191"/>
      <c r="CC94" s="207">
        <f t="shared" si="49"/>
        <v>0</v>
      </c>
      <c r="CD94" s="73"/>
      <c r="CE94" s="73"/>
      <c r="CF94" s="193"/>
      <c r="CG94" s="209">
        <f t="shared" si="50"/>
        <v>0</v>
      </c>
      <c r="CH94" s="193"/>
      <c r="CI94" s="206">
        <f t="shared" si="51"/>
        <v>0</v>
      </c>
      <c r="CJ94" s="191"/>
      <c r="CK94" s="207">
        <f t="shared" si="52"/>
        <v>0</v>
      </c>
      <c r="CL94" s="73"/>
      <c r="CM94" s="73"/>
      <c r="CN94" s="193"/>
      <c r="CO94" s="209">
        <f t="shared" si="53"/>
        <v>0</v>
      </c>
      <c r="CP94" s="193"/>
      <c r="CQ94" s="206">
        <f t="shared" si="54"/>
        <v>0</v>
      </c>
      <c r="CR94" s="191"/>
      <c r="CS94" s="207">
        <f t="shared" si="55"/>
        <v>0</v>
      </c>
      <c r="CT94" s="73"/>
      <c r="CU94" s="73"/>
      <c r="CV94" s="193"/>
      <c r="CW94" s="209">
        <f t="shared" si="56"/>
        <v>0</v>
      </c>
      <c r="CX94" s="193"/>
      <c r="CY94" s="206">
        <f t="shared" si="57"/>
        <v>0</v>
      </c>
      <c r="CZ94" s="191"/>
      <c r="DA94" s="207">
        <f t="shared" si="58"/>
        <v>0</v>
      </c>
      <c r="DB94" s="73"/>
      <c r="DC94" s="73"/>
      <c r="DD94" s="193"/>
      <c r="DE94" s="209">
        <f t="shared" si="59"/>
        <v>0</v>
      </c>
      <c r="DF94" s="193"/>
      <c r="DG94" s="206">
        <f t="shared" si="60"/>
        <v>0</v>
      </c>
      <c r="DH94" s="191"/>
      <c r="DI94" s="207">
        <f t="shared" si="61"/>
        <v>0</v>
      </c>
    </row>
    <row r="95" spans="1:113">
      <c r="A95" s="57">
        <v>92</v>
      </c>
      <c r="B95" s="111"/>
      <c r="C95" s="61"/>
      <c r="D95" s="62"/>
      <c r="E95" s="62"/>
      <c r="F95" s="128"/>
      <c r="G95" s="135"/>
      <c r="H95" s="63"/>
      <c r="I95" s="136"/>
      <c r="J95" s="169"/>
      <c r="K95" s="64"/>
      <c r="L95" s="65"/>
      <c r="M95" s="64"/>
      <c r="N95" s="141"/>
      <c r="O95" s="147"/>
      <c r="P95" s="66"/>
      <c r="Q95" s="66"/>
      <c r="R95" s="148"/>
      <c r="S95" s="182"/>
      <c r="T95" s="183"/>
      <c r="U95" s="155"/>
      <c r="V95" s="173">
        <f t="shared" si="31"/>
        <v>0</v>
      </c>
      <c r="W95" s="67"/>
      <c r="X95" s="67"/>
      <c r="Y95" s="67"/>
      <c r="Z95" s="156"/>
      <c r="AA95" s="84"/>
      <c r="AB95" s="85"/>
      <c r="AC95" s="86"/>
      <c r="AD95" s="68"/>
      <c r="AE95" s="70"/>
      <c r="AF95" s="70"/>
      <c r="AG95" s="69"/>
      <c r="AH95" s="189"/>
      <c r="AI95" s="190"/>
      <c r="AJ95" s="191"/>
      <c r="AK95" s="206">
        <f t="shared" si="32"/>
        <v>0</v>
      </c>
      <c r="AL95" s="191"/>
      <c r="AM95" s="206">
        <f t="shared" si="33"/>
        <v>0</v>
      </c>
      <c r="AN95" s="191"/>
      <c r="AO95" s="207">
        <f t="shared" si="34"/>
        <v>0</v>
      </c>
      <c r="AP95" s="72"/>
      <c r="AQ95" s="72"/>
      <c r="AR95" s="192"/>
      <c r="AS95" s="208">
        <f t="shared" si="35"/>
        <v>0</v>
      </c>
      <c r="AT95" s="193"/>
      <c r="AU95" s="206">
        <f t="shared" si="36"/>
        <v>0</v>
      </c>
      <c r="AV95" s="191"/>
      <c r="AW95" s="207">
        <f t="shared" si="37"/>
        <v>0</v>
      </c>
      <c r="AX95" s="73"/>
      <c r="AY95" s="73"/>
      <c r="AZ95" s="193"/>
      <c r="BA95" s="209">
        <f t="shared" si="38"/>
        <v>0</v>
      </c>
      <c r="BB95" s="193"/>
      <c r="BC95" s="206">
        <f t="shared" si="39"/>
        <v>0</v>
      </c>
      <c r="BD95" s="191"/>
      <c r="BE95" s="207">
        <f t="shared" si="40"/>
        <v>0</v>
      </c>
      <c r="BF95" s="73"/>
      <c r="BG95" s="73"/>
      <c r="BH95" s="193"/>
      <c r="BI95" s="209">
        <f t="shared" si="41"/>
        <v>0</v>
      </c>
      <c r="BJ95" s="193"/>
      <c r="BK95" s="206">
        <f t="shared" si="42"/>
        <v>0</v>
      </c>
      <c r="BL95" s="191"/>
      <c r="BM95" s="207">
        <f t="shared" si="43"/>
        <v>0</v>
      </c>
      <c r="BN95" s="73"/>
      <c r="BO95" s="73"/>
      <c r="BP95" s="193"/>
      <c r="BQ95" s="209">
        <f t="shared" si="44"/>
        <v>0</v>
      </c>
      <c r="BR95" s="193"/>
      <c r="BS95" s="206">
        <f t="shared" si="45"/>
        <v>0</v>
      </c>
      <c r="BT95" s="191"/>
      <c r="BU95" s="207">
        <f t="shared" si="46"/>
        <v>0</v>
      </c>
      <c r="BV95" s="73"/>
      <c r="BW95" s="73"/>
      <c r="BX95" s="193"/>
      <c r="BY95" s="209">
        <f t="shared" si="47"/>
        <v>0</v>
      </c>
      <c r="BZ95" s="193"/>
      <c r="CA95" s="206">
        <f t="shared" si="48"/>
        <v>0</v>
      </c>
      <c r="CB95" s="191"/>
      <c r="CC95" s="207">
        <f t="shared" si="49"/>
        <v>0</v>
      </c>
      <c r="CD95" s="73"/>
      <c r="CE95" s="73"/>
      <c r="CF95" s="193"/>
      <c r="CG95" s="209">
        <f t="shared" si="50"/>
        <v>0</v>
      </c>
      <c r="CH95" s="193"/>
      <c r="CI95" s="206">
        <f t="shared" si="51"/>
        <v>0</v>
      </c>
      <c r="CJ95" s="191"/>
      <c r="CK95" s="207">
        <f t="shared" si="52"/>
        <v>0</v>
      </c>
      <c r="CL95" s="73"/>
      <c r="CM95" s="73"/>
      <c r="CN95" s="193"/>
      <c r="CO95" s="209">
        <f t="shared" si="53"/>
        <v>0</v>
      </c>
      <c r="CP95" s="193"/>
      <c r="CQ95" s="206">
        <f t="shared" si="54"/>
        <v>0</v>
      </c>
      <c r="CR95" s="191"/>
      <c r="CS95" s="207">
        <f t="shared" si="55"/>
        <v>0</v>
      </c>
      <c r="CT95" s="73"/>
      <c r="CU95" s="73"/>
      <c r="CV95" s="193"/>
      <c r="CW95" s="209">
        <f t="shared" si="56"/>
        <v>0</v>
      </c>
      <c r="CX95" s="193"/>
      <c r="CY95" s="206">
        <f t="shared" si="57"/>
        <v>0</v>
      </c>
      <c r="CZ95" s="191"/>
      <c r="DA95" s="207">
        <f t="shared" si="58"/>
        <v>0</v>
      </c>
      <c r="DB95" s="73"/>
      <c r="DC95" s="73"/>
      <c r="DD95" s="193"/>
      <c r="DE95" s="209">
        <f t="shared" si="59"/>
        <v>0</v>
      </c>
      <c r="DF95" s="193"/>
      <c r="DG95" s="206">
        <f t="shared" si="60"/>
        <v>0</v>
      </c>
      <c r="DH95" s="191"/>
      <c r="DI95" s="207">
        <f t="shared" si="61"/>
        <v>0</v>
      </c>
    </row>
    <row r="96" spans="1:113">
      <c r="A96" s="57">
        <v>93</v>
      </c>
      <c r="B96" s="111"/>
      <c r="C96" s="61"/>
      <c r="D96" s="62"/>
      <c r="E96" s="62"/>
      <c r="F96" s="128"/>
      <c r="G96" s="135"/>
      <c r="H96" s="63"/>
      <c r="I96" s="136"/>
      <c r="J96" s="169"/>
      <c r="K96" s="64"/>
      <c r="L96" s="65"/>
      <c r="M96" s="64"/>
      <c r="N96" s="141"/>
      <c r="O96" s="147"/>
      <c r="P96" s="66"/>
      <c r="Q96" s="66"/>
      <c r="R96" s="148"/>
      <c r="S96" s="182"/>
      <c r="T96" s="183"/>
      <c r="U96" s="155"/>
      <c r="V96" s="173">
        <f t="shared" si="31"/>
        <v>0</v>
      </c>
      <c r="W96" s="67"/>
      <c r="X96" s="67"/>
      <c r="Y96" s="67"/>
      <c r="Z96" s="156"/>
      <c r="AA96" s="84"/>
      <c r="AB96" s="85"/>
      <c r="AC96" s="86"/>
      <c r="AD96" s="68"/>
      <c r="AE96" s="70"/>
      <c r="AF96" s="70"/>
      <c r="AG96" s="69"/>
      <c r="AH96" s="189"/>
      <c r="AI96" s="190"/>
      <c r="AJ96" s="191"/>
      <c r="AK96" s="206">
        <f t="shared" si="32"/>
        <v>0</v>
      </c>
      <c r="AL96" s="191"/>
      <c r="AM96" s="206">
        <f t="shared" si="33"/>
        <v>0</v>
      </c>
      <c r="AN96" s="191"/>
      <c r="AO96" s="207">
        <f t="shared" si="34"/>
        <v>0</v>
      </c>
      <c r="AP96" s="72"/>
      <c r="AQ96" s="72"/>
      <c r="AR96" s="192"/>
      <c r="AS96" s="208">
        <f t="shared" si="35"/>
        <v>0</v>
      </c>
      <c r="AT96" s="193"/>
      <c r="AU96" s="206">
        <f t="shared" si="36"/>
        <v>0</v>
      </c>
      <c r="AV96" s="191"/>
      <c r="AW96" s="207">
        <f t="shared" si="37"/>
        <v>0</v>
      </c>
      <c r="AX96" s="73"/>
      <c r="AY96" s="73"/>
      <c r="AZ96" s="193"/>
      <c r="BA96" s="209">
        <f t="shared" si="38"/>
        <v>0</v>
      </c>
      <c r="BB96" s="193"/>
      <c r="BC96" s="206">
        <f t="shared" si="39"/>
        <v>0</v>
      </c>
      <c r="BD96" s="191"/>
      <c r="BE96" s="207">
        <f t="shared" si="40"/>
        <v>0</v>
      </c>
      <c r="BF96" s="73"/>
      <c r="BG96" s="73"/>
      <c r="BH96" s="193"/>
      <c r="BI96" s="209">
        <f t="shared" si="41"/>
        <v>0</v>
      </c>
      <c r="BJ96" s="193"/>
      <c r="BK96" s="206">
        <f t="shared" si="42"/>
        <v>0</v>
      </c>
      <c r="BL96" s="191"/>
      <c r="BM96" s="207">
        <f t="shared" si="43"/>
        <v>0</v>
      </c>
      <c r="BN96" s="73"/>
      <c r="BO96" s="73"/>
      <c r="BP96" s="193"/>
      <c r="BQ96" s="209">
        <f t="shared" si="44"/>
        <v>0</v>
      </c>
      <c r="BR96" s="193"/>
      <c r="BS96" s="206">
        <f t="shared" si="45"/>
        <v>0</v>
      </c>
      <c r="BT96" s="191"/>
      <c r="BU96" s="207">
        <f t="shared" si="46"/>
        <v>0</v>
      </c>
      <c r="BV96" s="73"/>
      <c r="BW96" s="73"/>
      <c r="BX96" s="193"/>
      <c r="BY96" s="209">
        <f t="shared" si="47"/>
        <v>0</v>
      </c>
      <c r="BZ96" s="193"/>
      <c r="CA96" s="206">
        <f t="shared" si="48"/>
        <v>0</v>
      </c>
      <c r="CB96" s="191"/>
      <c r="CC96" s="207">
        <f t="shared" si="49"/>
        <v>0</v>
      </c>
      <c r="CD96" s="73"/>
      <c r="CE96" s="73"/>
      <c r="CF96" s="193"/>
      <c r="CG96" s="209">
        <f t="shared" si="50"/>
        <v>0</v>
      </c>
      <c r="CH96" s="193"/>
      <c r="CI96" s="206">
        <f t="shared" si="51"/>
        <v>0</v>
      </c>
      <c r="CJ96" s="191"/>
      <c r="CK96" s="207">
        <f t="shared" si="52"/>
        <v>0</v>
      </c>
      <c r="CL96" s="73"/>
      <c r="CM96" s="73"/>
      <c r="CN96" s="193"/>
      <c r="CO96" s="209">
        <f t="shared" si="53"/>
        <v>0</v>
      </c>
      <c r="CP96" s="193"/>
      <c r="CQ96" s="206">
        <f t="shared" si="54"/>
        <v>0</v>
      </c>
      <c r="CR96" s="191"/>
      <c r="CS96" s="207">
        <f t="shared" si="55"/>
        <v>0</v>
      </c>
      <c r="CT96" s="73"/>
      <c r="CU96" s="73"/>
      <c r="CV96" s="193"/>
      <c r="CW96" s="209">
        <f t="shared" si="56"/>
        <v>0</v>
      </c>
      <c r="CX96" s="193"/>
      <c r="CY96" s="206">
        <f t="shared" si="57"/>
        <v>0</v>
      </c>
      <c r="CZ96" s="191"/>
      <c r="DA96" s="207">
        <f t="shared" si="58"/>
        <v>0</v>
      </c>
      <c r="DB96" s="73"/>
      <c r="DC96" s="73"/>
      <c r="DD96" s="193"/>
      <c r="DE96" s="209">
        <f t="shared" si="59"/>
        <v>0</v>
      </c>
      <c r="DF96" s="193"/>
      <c r="DG96" s="206">
        <f t="shared" si="60"/>
        <v>0</v>
      </c>
      <c r="DH96" s="191"/>
      <c r="DI96" s="207">
        <f t="shared" si="61"/>
        <v>0</v>
      </c>
    </row>
    <row r="97" spans="1:113">
      <c r="A97" s="57">
        <v>94</v>
      </c>
      <c r="B97" s="111"/>
      <c r="C97" s="61"/>
      <c r="D97" s="62"/>
      <c r="E97" s="62"/>
      <c r="F97" s="128"/>
      <c r="G97" s="135"/>
      <c r="H97" s="63"/>
      <c r="I97" s="136"/>
      <c r="J97" s="169"/>
      <c r="K97" s="64"/>
      <c r="L97" s="65"/>
      <c r="M97" s="64"/>
      <c r="N97" s="141"/>
      <c r="O97" s="147"/>
      <c r="P97" s="66"/>
      <c r="Q97" s="66"/>
      <c r="R97" s="148"/>
      <c r="S97" s="182"/>
      <c r="T97" s="183"/>
      <c r="U97" s="155"/>
      <c r="V97" s="173">
        <f t="shared" si="31"/>
        <v>0</v>
      </c>
      <c r="W97" s="67"/>
      <c r="X97" s="67"/>
      <c r="Y97" s="67"/>
      <c r="Z97" s="156"/>
      <c r="AA97" s="84"/>
      <c r="AB97" s="85"/>
      <c r="AC97" s="86"/>
      <c r="AD97" s="68"/>
      <c r="AE97" s="70"/>
      <c r="AF97" s="70"/>
      <c r="AG97" s="69"/>
      <c r="AH97" s="189"/>
      <c r="AI97" s="190"/>
      <c r="AJ97" s="191"/>
      <c r="AK97" s="206">
        <f t="shared" si="32"/>
        <v>0</v>
      </c>
      <c r="AL97" s="191"/>
      <c r="AM97" s="206">
        <f t="shared" si="33"/>
        <v>0</v>
      </c>
      <c r="AN97" s="191"/>
      <c r="AO97" s="207">
        <f t="shared" si="34"/>
        <v>0</v>
      </c>
      <c r="AP97" s="72"/>
      <c r="AQ97" s="72"/>
      <c r="AR97" s="192"/>
      <c r="AS97" s="208">
        <f t="shared" si="35"/>
        <v>0</v>
      </c>
      <c r="AT97" s="193"/>
      <c r="AU97" s="206">
        <f t="shared" si="36"/>
        <v>0</v>
      </c>
      <c r="AV97" s="191"/>
      <c r="AW97" s="207">
        <f t="shared" si="37"/>
        <v>0</v>
      </c>
      <c r="AX97" s="73"/>
      <c r="AY97" s="73"/>
      <c r="AZ97" s="193"/>
      <c r="BA97" s="209">
        <f t="shared" si="38"/>
        <v>0</v>
      </c>
      <c r="BB97" s="193"/>
      <c r="BC97" s="206">
        <f t="shared" si="39"/>
        <v>0</v>
      </c>
      <c r="BD97" s="191"/>
      <c r="BE97" s="207">
        <f t="shared" si="40"/>
        <v>0</v>
      </c>
      <c r="BF97" s="73"/>
      <c r="BG97" s="73"/>
      <c r="BH97" s="193"/>
      <c r="BI97" s="209">
        <f t="shared" si="41"/>
        <v>0</v>
      </c>
      <c r="BJ97" s="193"/>
      <c r="BK97" s="206">
        <f t="shared" si="42"/>
        <v>0</v>
      </c>
      <c r="BL97" s="191"/>
      <c r="BM97" s="207">
        <f t="shared" si="43"/>
        <v>0</v>
      </c>
      <c r="BN97" s="73"/>
      <c r="BO97" s="73"/>
      <c r="BP97" s="193"/>
      <c r="BQ97" s="209">
        <f t="shared" si="44"/>
        <v>0</v>
      </c>
      <c r="BR97" s="193"/>
      <c r="BS97" s="206">
        <f t="shared" si="45"/>
        <v>0</v>
      </c>
      <c r="BT97" s="191"/>
      <c r="BU97" s="207">
        <f t="shared" si="46"/>
        <v>0</v>
      </c>
      <c r="BV97" s="73"/>
      <c r="BW97" s="73"/>
      <c r="BX97" s="193"/>
      <c r="BY97" s="209">
        <f t="shared" si="47"/>
        <v>0</v>
      </c>
      <c r="BZ97" s="193"/>
      <c r="CA97" s="206">
        <f t="shared" si="48"/>
        <v>0</v>
      </c>
      <c r="CB97" s="191"/>
      <c r="CC97" s="207">
        <f t="shared" si="49"/>
        <v>0</v>
      </c>
      <c r="CD97" s="73"/>
      <c r="CE97" s="73"/>
      <c r="CF97" s="193"/>
      <c r="CG97" s="209">
        <f t="shared" si="50"/>
        <v>0</v>
      </c>
      <c r="CH97" s="193"/>
      <c r="CI97" s="206">
        <f t="shared" si="51"/>
        <v>0</v>
      </c>
      <c r="CJ97" s="191"/>
      <c r="CK97" s="207">
        <f t="shared" si="52"/>
        <v>0</v>
      </c>
      <c r="CL97" s="73"/>
      <c r="CM97" s="73"/>
      <c r="CN97" s="193"/>
      <c r="CO97" s="209">
        <f t="shared" si="53"/>
        <v>0</v>
      </c>
      <c r="CP97" s="193"/>
      <c r="CQ97" s="206">
        <f t="shared" si="54"/>
        <v>0</v>
      </c>
      <c r="CR97" s="191"/>
      <c r="CS97" s="207">
        <f t="shared" si="55"/>
        <v>0</v>
      </c>
      <c r="CT97" s="73"/>
      <c r="CU97" s="73"/>
      <c r="CV97" s="193"/>
      <c r="CW97" s="209">
        <f t="shared" si="56"/>
        <v>0</v>
      </c>
      <c r="CX97" s="193"/>
      <c r="CY97" s="206">
        <f t="shared" si="57"/>
        <v>0</v>
      </c>
      <c r="CZ97" s="191"/>
      <c r="DA97" s="207">
        <f t="shared" si="58"/>
        <v>0</v>
      </c>
      <c r="DB97" s="73"/>
      <c r="DC97" s="73"/>
      <c r="DD97" s="193"/>
      <c r="DE97" s="209">
        <f t="shared" si="59"/>
        <v>0</v>
      </c>
      <c r="DF97" s="193"/>
      <c r="DG97" s="206">
        <f t="shared" si="60"/>
        <v>0</v>
      </c>
      <c r="DH97" s="191"/>
      <c r="DI97" s="207">
        <f t="shared" si="61"/>
        <v>0</v>
      </c>
    </row>
    <row r="98" spans="1:113">
      <c r="A98" s="57">
        <v>95</v>
      </c>
      <c r="B98" s="111"/>
      <c r="C98" s="61"/>
      <c r="D98" s="62"/>
      <c r="E98" s="62"/>
      <c r="F98" s="128"/>
      <c r="G98" s="135"/>
      <c r="H98" s="63"/>
      <c r="I98" s="136"/>
      <c r="J98" s="169"/>
      <c r="K98" s="64"/>
      <c r="L98" s="65"/>
      <c r="M98" s="64"/>
      <c r="N98" s="141"/>
      <c r="O98" s="147"/>
      <c r="P98" s="66"/>
      <c r="Q98" s="66"/>
      <c r="R98" s="148"/>
      <c r="S98" s="182"/>
      <c r="T98" s="183"/>
      <c r="U98" s="155"/>
      <c r="V98" s="173">
        <f t="shared" si="31"/>
        <v>0</v>
      </c>
      <c r="W98" s="67"/>
      <c r="X98" s="67"/>
      <c r="Y98" s="67"/>
      <c r="Z98" s="156"/>
      <c r="AA98" s="84"/>
      <c r="AB98" s="85"/>
      <c r="AC98" s="86"/>
      <c r="AD98" s="68"/>
      <c r="AE98" s="70"/>
      <c r="AF98" s="70"/>
      <c r="AG98" s="69"/>
      <c r="AH98" s="189"/>
      <c r="AI98" s="190"/>
      <c r="AJ98" s="191"/>
      <c r="AK98" s="206">
        <f t="shared" si="32"/>
        <v>0</v>
      </c>
      <c r="AL98" s="191"/>
      <c r="AM98" s="206">
        <f t="shared" si="33"/>
        <v>0</v>
      </c>
      <c r="AN98" s="191"/>
      <c r="AO98" s="207">
        <f t="shared" si="34"/>
        <v>0</v>
      </c>
      <c r="AP98" s="72"/>
      <c r="AQ98" s="72"/>
      <c r="AR98" s="192"/>
      <c r="AS98" s="208">
        <f t="shared" si="35"/>
        <v>0</v>
      </c>
      <c r="AT98" s="193"/>
      <c r="AU98" s="206">
        <f t="shared" si="36"/>
        <v>0</v>
      </c>
      <c r="AV98" s="191"/>
      <c r="AW98" s="207">
        <f t="shared" si="37"/>
        <v>0</v>
      </c>
      <c r="AX98" s="73"/>
      <c r="AY98" s="73"/>
      <c r="AZ98" s="193"/>
      <c r="BA98" s="209">
        <f t="shared" si="38"/>
        <v>0</v>
      </c>
      <c r="BB98" s="193"/>
      <c r="BC98" s="206">
        <f t="shared" si="39"/>
        <v>0</v>
      </c>
      <c r="BD98" s="191"/>
      <c r="BE98" s="207">
        <f t="shared" si="40"/>
        <v>0</v>
      </c>
      <c r="BF98" s="73"/>
      <c r="BG98" s="73"/>
      <c r="BH98" s="193"/>
      <c r="BI98" s="209">
        <f t="shared" si="41"/>
        <v>0</v>
      </c>
      <c r="BJ98" s="193"/>
      <c r="BK98" s="206">
        <f t="shared" si="42"/>
        <v>0</v>
      </c>
      <c r="BL98" s="191"/>
      <c r="BM98" s="207">
        <f t="shared" si="43"/>
        <v>0</v>
      </c>
      <c r="BN98" s="73"/>
      <c r="BO98" s="73"/>
      <c r="BP98" s="193"/>
      <c r="BQ98" s="209">
        <f t="shared" si="44"/>
        <v>0</v>
      </c>
      <c r="BR98" s="193"/>
      <c r="BS98" s="206">
        <f t="shared" si="45"/>
        <v>0</v>
      </c>
      <c r="BT98" s="191"/>
      <c r="BU98" s="207">
        <f t="shared" si="46"/>
        <v>0</v>
      </c>
      <c r="BV98" s="73"/>
      <c r="BW98" s="73"/>
      <c r="BX98" s="193"/>
      <c r="BY98" s="209">
        <f t="shared" si="47"/>
        <v>0</v>
      </c>
      <c r="BZ98" s="193"/>
      <c r="CA98" s="206">
        <f t="shared" si="48"/>
        <v>0</v>
      </c>
      <c r="CB98" s="191"/>
      <c r="CC98" s="207">
        <f t="shared" si="49"/>
        <v>0</v>
      </c>
      <c r="CD98" s="73"/>
      <c r="CE98" s="73"/>
      <c r="CF98" s="193"/>
      <c r="CG98" s="209">
        <f t="shared" si="50"/>
        <v>0</v>
      </c>
      <c r="CH98" s="193"/>
      <c r="CI98" s="206">
        <f t="shared" si="51"/>
        <v>0</v>
      </c>
      <c r="CJ98" s="191"/>
      <c r="CK98" s="207">
        <f t="shared" si="52"/>
        <v>0</v>
      </c>
      <c r="CL98" s="73"/>
      <c r="CM98" s="73"/>
      <c r="CN98" s="193"/>
      <c r="CO98" s="209">
        <f t="shared" si="53"/>
        <v>0</v>
      </c>
      <c r="CP98" s="193"/>
      <c r="CQ98" s="206">
        <f t="shared" si="54"/>
        <v>0</v>
      </c>
      <c r="CR98" s="191"/>
      <c r="CS98" s="207">
        <f t="shared" si="55"/>
        <v>0</v>
      </c>
      <c r="CT98" s="73"/>
      <c r="CU98" s="73"/>
      <c r="CV98" s="193"/>
      <c r="CW98" s="209">
        <f t="shared" si="56"/>
        <v>0</v>
      </c>
      <c r="CX98" s="193"/>
      <c r="CY98" s="206">
        <f t="shared" si="57"/>
        <v>0</v>
      </c>
      <c r="CZ98" s="191"/>
      <c r="DA98" s="207">
        <f t="shared" si="58"/>
        <v>0</v>
      </c>
      <c r="DB98" s="73"/>
      <c r="DC98" s="73"/>
      <c r="DD98" s="193"/>
      <c r="DE98" s="209">
        <f t="shared" si="59"/>
        <v>0</v>
      </c>
      <c r="DF98" s="193"/>
      <c r="DG98" s="206">
        <f t="shared" si="60"/>
        <v>0</v>
      </c>
      <c r="DH98" s="191"/>
      <c r="DI98" s="207">
        <f t="shared" si="61"/>
        <v>0</v>
      </c>
    </row>
    <row r="99" spans="1:113">
      <c r="A99" s="57">
        <v>96</v>
      </c>
      <c r="B99" s="111"/>
      <c r="C99" s="61"/>
      <c r="D99" s="62"/>
      <c r="E99" s="62"/>
      <c r="F99" s="128"/>
      <c r="G99" s="135"/>
      <c r="H99" s="63"/>
      <c r="I99" s="136"/>
      <c r="J99" s="169"/>
      <c r="K99" s="64"/>
      <c r="L99" s="65"/>
      <c r="M99" s="64"/>
      <c r="N99" s="141"/>
      <c r="O99" s="147"/>
      <c r="P99" s="66"/>
      <c r="Q99" s="66"/>
      <c r="R99" s="148"/>
      <c r="S99" s="182"/>
      <c r="T99" s="183"/>
      <c r="U99" s="155"/>
      <c r="V99" s="173">
        <f t="shared" si="31"/>
        <v>0</v>
      </c>
      <c r="W99" s="67"/>
      <c r="X99" s="67"/>
      <c r="Y99" s="67"/>
      <c r="Z99" s="156"/>
      <c r="AA99" s="84"/>
      <c r="AB99" s="85"/>
      <c r="AC99" s="86"/>
      <c r="AD99" s="68"/>
      <c r="AE99" s="70"/>
      <c r="AF99" s="70"/>
      <c r="AG99" s="69"/>
      <c r="AH99" s="189"/>
      <c r="AI99" s="190"/>
      <c r="AJ99" s="191"/>
      <c r="AK99" s="206">
        <f t="shared" si="32"/>
        <v>0</v>
      </c>
      <c r="AL99" s="191"/>
      <c r="AM99" s="206">
        <f t="shared" si="33"/>
        <v>0</v>
      </c>
      <c r="AN99" s="191"/>
      <c r="AO99" s="207">
        <f t="shared" si="34"/>
        <v>0</v>
      </c>
      <c r="AP99" s="72"/>
      <c r="AQ99" s="72"/>
      <c r="AR99" s="192"/>
      <c r="AS99" s="208">
        <f t="shared" si="35"/>
        <v>0</v>
      </c>
      <c r="AT99" s="193"/>
      <c r="AU99" s="206">
        <f t="shared" si="36"/>
        <v>0</v>
      </c>
      <c r="AV99" s="191"/>
      <c r="AW99" s="207">
        <f t="shared" si="37"/>
        <v>0</v>
      </c>
      <c r="AX99" s="73"/>
      <c r="AY99" s="73"/>
      <c r="AZ99" s="193"/>
      <c r="BA99" s="209">
        <f t="shared" si="38"/>
        <v>0</v>
      </c>
      <c r="BB99" s="193"/>
      <c r="BC99" s="206">
        <f t="shared" si="39"/>
        <v>0</v>
      </c>
      <c r="BD99" s="191"/>
      <c r="BE99" s="207">
        <f t="shared" si="40"/>
        <v>0</v>
      </c>
      <c r="BF99" s="73"/>
      <c r="BG99" s="73"/>
      <c r="BH99" s="193"/>
      <c r="BI99" s="209">
        <f t="shared" si="41"/>
        <v>0</v>
      </c>
      <c r="BJ99" s="193"/>
      <c r="BK99" s="206">
        <f t="shared" si="42"/>
        <v>0</v>
      </c>
      <c r="BL99" s="191"/>
      <c r="BM99" s="207">
        <f t="shared" si="43"/>
        <v>0</v>
      </c>
      <c r="BN99" s="73"/>
      <c r="BO99" s="73"/>
      <c r="BP99" s="193"/>
      <c r="BQ99" s="209">
        <f t="shared" si="44"/>
        <v>0</v>
      </c>
      <c r="BR99" s="193"/>
      <c r="BS99" s="206">
        <f t="shared" si="45"/>
        <v>0</v>
      </c>
      <c r="BT99" s="191"/>
      <c r="BU99" s="207">
        <f t="shared" si="46"/>
        <v>0</v>
      </c>
      <c r="BV99" s="73"/>
      <c r="BW99" s="73"/>
      <c r="BX99" s="193"/>
      <c r="BY99" s="209">
        <f t="shared" si="47"/>
        <v>0</v>
      </c>
      <c r="BZ99" s="193"/>
      <c r="CA99" s="206">
        <f t="shared" si="48"/>
        <v>0</v>
      </c>
      <c r="CB99" s="191"/>
      <c r="CC99" s="207">
        <f t="shared" si="49"/>
        <v>0</v>
      </c>
      <c r="CD99" s="73"/>
      <c r="CE99" s="73"/>
      <c r="CF99" s="193"/>
      <c r="CG99" s="209">
        <f t="shared" si="50"/>
        <v>0</v>
      </c>
      <c r="CH99" s="193"/>
      <c r="CI99" s="206">
        <f t="shared" si="51"/>
        <v>0</v>
      </c>
      <c r="CJ99" s="191"/>
      <c r="CK99" s="207">
        <f t="shared" si="52"/>
        <v>0</v>
      </c>
      <c r="CL99" s="73"/>
      <c r="CM99" s="73"/>
      <c r="CN99" s="193"/>
      <c r="CO99" s="209">
        <f t="shared" si="53"/>
        <v>0</v>
      </c>
      <c r="CP99" s="193"/>
      <c r="CQ99" s="206">
        <f t="shared" si="54"/>
        <v>0</v>
      </c>
      <c r="CR99" s="191"/>
      <c r="CS99" s="207">
        <f t="shared" si="55"/>
        <v>0</v>
      </c>
      <c r="CT99" s="73"/>
      <c r="CU99" s="73"/>
      <c r="CV99" s="193"/>
      <c r="CW99" s="209">
        <f t="shared" si="56"/>
        <v>0</v>
      </c>
      <c r="CX99" s="193"/>
      <c r="CY99" s="206">
        <f t="shared" si="57"/>
        <v>0</v>
      </c>
      <c r="CZ99" s="191"/>
      <c r="DA99" s="207">
        <f t="shared" si="58"/>
        <v>0</v>
      </c>
      <c r="DB99" s="73"/>
      <c r="DC99" s="73"/>
      <c r="DD99" s="193"/>
      <c r="DE99" s="209">
        <f t="shared" si="59"/>
        <v>0</v>
      </c>
      <c r="DF99" s="193"/>
      <c r="DG99" s="206">
        <f t="shared" si="60"/>
        <v>0</v>
      </c>
      <c r="DH99" s="191"/>
      <c r="DI99" s="207">
        <f t="shared" si="61"/>
        <v>0</v>
      </c>
    </row>
    <row r="100" spans="1:113">
      <c r="A100" s="57">
        <v>97</v>
      </c>
      <c r="B100" s="111"/>
      <c r="C100" s="61"/>
      <c r="D100" s="62"/>
      <c r="E100" s="62"/>
      <c r="F100" s="128"/>
      <c r="G100" s="135"/>
      <c r="H100" s="63"/>
      <c r="I100" s="136"/>
      <c r="J100" s="169"/>
      <c r="K100" s="64"/>
      <c r="L100" s="65"/>
      <c r="M100" s="64"/>
      <c r="N100" s="141"/>
      <c r="O100" s="147"/>
      <c r="P100" s="66"/>
      <c r="Q100" s="66"/>
      <c r="R100" s="148"/>
      <c r="S100" s="182"/>
      <c r="T100" s="183"/>
      <c r="U100" s="155"/>
      <c r="V100" s="173">
        <f t="shared" si="31"/>
        <v>0</v>
      </c>
      <c r="W100" s="67"/>
      <c r="X100" s="67"/>
      <c r="Y100" s="67"/>
      <c r="Z100" s="156"/>
      <c r="AA100" s="84"/>
      <c r="AB100" s="85"/>
      <c r="AC100" s="86"/>
      <c r="AD100" s="68"/>
      <c r="AE100" s="70"/>
      <c r="AF100" s="70"/>
      <c r="AG100" s="69"/>
      <c r="AH100" s="189"/>
      <c r="AI100" s="190"/>
      <c r="AJ100" s="191"/>
      <c r="AK100" s="206">
        <f t="shared" si="32"/>
        <v>0</v>
      </c>
      <c r="AL100" s="191"/>
      <c r="AM100" s="206">
        <f t="shared" si="33"/>
        <v>0</v>
      </c>
      <c r="AN100" s="191"/>
      <c r="AO100" s="207">
        <f t="shared" si="34"/>
        <v>0</v>
      </c>
      <c r="AP100" s="72"/>
      <c r="AQ100" s="72"/>
      <c r="AR100" s="192"/>
      <c r="AS100" s="208">
        <f t="shared" si="35"/>
        <v>0</v>
      </c>
      <c r="AT100" s="193"/>
      <c r="AU100" s="206">
        <f t="shared" si="36"/>
        <v>0</v>
      </c>
      <c r="AV100" s="191"/>
      <c r="AW100" s="207">
        <f t="shared" si="37"/>
        <v>0</v>
      </c>
      <c r="AX100" s="73"/>
      <c r="AY100" s="73"/>
      <c r="AZ100" s="193"/>
      <c r="BA100" s="209">
        <f t="shared" si="38"/>
        <v>0</v>
      </c>
      <c r="BB100" s="193"/>
      <c r="BC100" s="206">
        <f t="shared" si="39"/>
        <v>0</v>
      </c>
      <c r="BD100" s="191"/>
      <c r="BE100" s="207">
        <f t="shared" si="40"/>
        <v>0</v>
      </c>
      <c r="BF100" s="73"/>
      <c r="BG100" s="73"/>
      <c r="BH100" s="193"/>
      <c r="BI100" s="209">
        <f t="shared" si="41"/>
        <v>0</v>
      </c>
      <c r="BJ100" s="193"/>
      <c r="BK100" s="206">
        <f t="shared" si="42"/>
        <v>0</v>
      </c>
      <c r="BL100" s="191"/>
      <c r="BM100" s="207">
        <f t="shared" si="43"/>
        <v>0</v>
      </c>
      <c r="BN100" s="73"/>
      <c r="BO100" s="73"/>
      <c r="BP100" s="193"/>
      <c r="BQ100" s="209">
        <f t="shared" si="44"/>
        <v>0</v>
      </c>
      <c r="BR100" s="193"/>
      <c r="BS100" s="206">
        <f t="shared" si="45"/>
        <v>0</v>
      </c>
      <c r="BT100" s="191"/>
      <c r="BU100" s="207">
        <f t="shared" si="46"/>
        <v>0</v>
      </c>
      <c r="BV100" s="73"/>
      <c r="BW100" s="73"/>
      <c r="BX100" s="193"/>
      <c r="BY100" s="209">
        <f t="shared" si="47"/>
        <v>0</v>
      </c>
      <c r="BZ100" s="193"/>
      <c r="CA100" s="206">
        <f t="shared" si="48"/>
        <v>0</v>
      </c>
      <c r="CB100" s="191"/>
      <c r="CC100" s="207">
        <f t="shared" si="49"/>
        <v>0</v>
      </c>
      <c r="CD100" s="73"/>
      <c r="CE100" s="73"/>
      <c r="CF100" s="193"/>
      <c r="CG100" s="209">
        <f t="shared" si="50"/>
        <v>0</v>
      </c>
      <c r="CH100" s="193"/>
      <c r="CI100" s="206">
        <f t="shared" si="51"/>
        <v>0</v>
      </c>
      <c r="CJ100" s="191"/>
      <c r="CK100" s="207">
        <f t="shared" si="52"/>
        <v>0</v>
      </c>
      <c r="CL100" s="73"/>
      <c r="CM100" s="73"/>
      <c r="CN100" s="193"/>
      <c r="CO100" s="209">
        <f t="shared" si="53"/>
        <v>0</v>
      </c>
      <c r="CP100" s="193"/>
      <c r="CQ100" s="206">
        <f t="shared" si="54"/>
        <v>0</v>
      </c>
      <c r="CR100" s="191"/>
      <c r="CS100" s="207">
        <f t="shared" si="55"/>
        <v>0</v>
      </c>
      <c r="CT100" s="73"/>
      <c r="CU100" s="73"/>
      <c r="CV100" s="193"/>
      <c r="CW100" s="209">
        <f t="shared" si="56"/>
        <v>0</v>
      </c>
      <c r="CX100" s="193"/>
      <c r="CY100" s="206">
        <f t="shared" si="57"/>
        <v>0</v>
      </c>
      <c r="CZ100" s="191"/>
      <c r="DA100" s="207">
        <f t="shared" si="58"/>
        <v>0</v>
      </c>
      <c r="DB100" s="73"/>
      <c r="DC100" s="73"/>
      <c r="DD100" s="193"/>
      <c r="DE100" s="209">
        <f t="shared" si="59"/>
        <v>0</v>
      </c>
      <c r="DF100" s="193"/>
      <c r="DG100" s="206">
        <f t="shared" si="60"/>
        <v>0</v>
      </c>
      <c r="DH100" s="191"/>
      <c r="DI100" s="207">
        <f t="shared" si="61"/>
        <v>0</v>
      </c>
    </row>
    <row r="101" spans="1:113">
      <c r="A101" s="57">
        <v>98</v>
      </c>
      <c r="B101" s="111"/>
      <c r="C101" s="61"/>
      <c r="D101" s="62"/>
      <c r="E101" s="62"/>
      <c r="F101" s="128"/>
      <c r="G101" s="135"/>
      <c r="H101" s="63"/>
      <c r="I101" s="136"/>
      <c r="J101" s="169"/>
      <c r="K101" s="64"/>
      <c r="L101" s="65"/>
      <c r="M101" s="64"/>
      <c r="N101" s="141"/>
      <c r="O101" s="147"/>
      <c r="P101" s="66"/>
      <c r="Q101" s="66"/>
      <c r="R101" s="148"/>
      <c r="S101" s="182"/>
      <c r="T101" s="183"/>
      <c r="U101" s="155"/>
      <c r="V101" s="173">
        <f t="shared" si="31"/>
        <v>0</v>
      </c>
      <c r="W101" s="67"/>
      <c r="X101" s="67"/>
      <c r="Y101" s="67"/>
      <c r="Z101" s="156"/>
      <c r="AA101" s="84"/>
      <c r="AB101" s="85"/>
      <c r="AC101" s="86"/>
      <c r="AD101" s="68"/>
      <c r="AE101" s="70"/>
      <c r="AF101" s="70"/>
      <c r="AG101" s="69"/>
      <c r="AH101" s="189"/>
      <c r="AI101" s="190"/>
      <c r="AJ101" s="191"/>
      <c r="AK101" s="206">
        <f t="shared" si="32"/>
        <v>0</v>
      </c>
      <c r="AL101" s="191"/>
      <c r="AM101" s="206">
        <f t="shared" si="33"/>
        <v>0</v>
      </c>
      <c r="AN101" s="191"/>
      <c r="AO101" s="207">
        <f t="shared" si="34"/>
        <v>0</v>
      </c>
      <c r="AP101" s="72"/>
      <c r="AQ101" s="72"/>
      <c r="AR101" s="192"/>
      <c r="AS101" s="208">
        <f t="shared" si="35"/>
        <v>0</v>
      </c>
      <c r="AT101" s="193"/>
      <c r="AU101" s="206">
        <f t="shared" si="36"/>
        <v>0</v>
      </c>
      <c r="AV101" s="191"/>
      <c r="AW101" s="207">
        <f t="shared" si="37"/>
        <v>0</v>
      </c>
      <c r="AX101" s="73"/>
      <c r="AY101" s="73"/>
      <c r="AZ101" s="193"/>
      <c r="BA101" s="209">
        <f t="shared" si="38"/>
        <v>0</v>
      </c>
      <c r="BB101" s="193"/>
      <c r="BC101" s="206">
        <f t="shared" si="39"/>
        <v>0</v>
      </c>
      <c r="BD101" s="191"/>
      <c r="BE101" s="207">
        <f t="shared" si="40"/>
        <v>0</v>
      </c>
      <c r="BF101" s="73"/>
      <c r="BG101" s="73"/>
      <c r="BH101" s="193"/>
      <c r="BI101" s="209">
        <f t="shared" si="41"/>
        <v>0</v>
      </c>
      <c r="BJ101" s="193"/>
      <c r="BK101" s="206">
        <f t="shared" si="42"/>
        <v>0</v>
      </c>
      <c r="BL101" s="191"/>
      <c r="BM101" s="207">
        <f t="shared" si="43"/>
        <v>0</v>
      </c>
      <c r="BN101" s="73"/>
      <c r="BO101" s="73"/>
      <c r="BP101" s="193"/>
      <c r="BQ101" s="209">
        <f t="shared" si="44"/>
        <v>0</v>
      </c>
      <c r="BR101" s="193"/>
      <c r="BS101" s="206">
        <f t="shared" si="45"/>
        <v>0</v>
      </c>
      <c r="BT101" s="191"/>
      <c r="BU101" s="207">
        <f t="shared" si="46"/>
        <v>0</v>
      </c>
      <c r="BV101" s="73"/>
      <c r="BW101" s="73"/>
      <c r="BX101" s="193"/>
      <c r="BY101" s="209">
        <f t="shared" si="47"/>
        <v>0</v>
      </c>
      <c r="BZ101" s="193"/>
      <c r="CA101" s="206">
        <f t="shared" si="48"/>
        <v>0</v>
      </c>
      <c r="CB101" s="191"/>
      <c r="CC101" s="207">
        <f t="shared" si="49"/>
        <v>0</v>
      </c>
      <c r="CD101" s="73"/>
      <c r="CE101" s="73"/>
      <c r="CF101" s="193"/>
      <c r="CG101" s="209">
        <f t="shared" si="50"/>
        <v>0</v>
      </c>
      <c r="CH101" s="193"/>
      <c r="CI101" s="206">
        <f t="shared" si="51"/>
        <v>0</v>
      </c>
      <c r="CJ101" s="191"/>
      <c r="CK101" s="207">
        <f t="shared" si="52"/>
        <v>0</v>
      </c>
      <c r="CL101" s="73"/>
      <c r="CM101" s="73"/>
      <c r="CN101" s="193"/>
      <c r="CO101" s="209">
        <f t="shared" si="53"/>
        <v>0</v>
      </c>
      <c r="CP101" s="193"/>
      <c r="CQ101" s="206">
        <f t="shared" si="54"/>
        <v>0</v>
      </c>
      <c r="CR101" s="191"/>
      <c r="CS101" s="207">
        <f t="shared" si="55"/>
        <v>0</v>
      </c>
      <c r="CT101" s="73"/>
      <c r="CU101" s="73"/>
      <c r="CV101" s="193"/>
      <c r="CW101" s="209">
        <f t="shared" si="56"/>
        <v>0</v>
      </c>
      <c r="CX101" s="193"/>
      <c r="CY101" s="206">
        <f t="shared" si="57"/>
        <v>0</v>
      </c>
      <c r="CZ101" s="191"/>
      <c r="DA101" s="207">
        <f t="shared" si="58"/>
        <v>0</v>
      </c>
      <c r="DB101" s="73"/>
      <c r="DC101" s="73"/>
      <c r="DD101" s="193"/>
      <c r="DE101" s="209">
        <f t="shared" si="59"/>
        <v>0</v>
      </c>
      <c r="DF101" s="193"/>
      <c r="DG101" s="206">
        <f t="shared" si="60"/>
        <v>0</v>
      </c>
      <c r="DH101" s="191"/>
      <c r="DI101" s="207">
        <f t="shared" si="61"/>
        <v>0</v>
      </c>
    </row>
    <row r="102" spans="1:113">
      <c r="A102" s="57">
        <v>99</v>
      </c>
      <c r="B102" s="111"/>
      <c r="C102" s="61"/>
      <c r="D102" s="62"/>
      <c r="E102" s="62"/>
      <c r="F102" s="128"/>
      <c r="G102" s="135"/>
      <c r="H102" s="63"/>
      <c r="I102" s="136"/>
      <c r="J102" s="169"/>
      <c r="K102" s="64"/>
      <c r="L102" s="65"/>
      <c r="M102" s="64"/>
      <c r="N102" s="141"/>
      <c r="O102" s="147"/>
      <c r="P102" s="66"/>
      <c r="Q102" s="66"/>
      <c r="R102" s="148"/>
      <c r="S102" s="182"/>
      <c r="T102" s="183"/>
      <c r="U102" s="155"/>
      <c r="V102" s="173">
        <f t="shared" si="31"/>
        <v>0</v>
      </c>
      <c r="W102" s="67"/>
      <c r="X102" s="67"/>
      <c r="Y102" s="67"/>
      <c r="Z102" s="156"/>
      <c r="AA102" s="84"/>
      <c r="AB102" s="85"/>
      <c r="AC102" s="86"/>
      <c r="AD102" s="68"/>
      <c r="AE102" s="70"/>
      <c r="AF102" s="70"/>
      <c r="AG102" s="69"/>
      <c r="AH102" s="189"/>
      <c r="AI102" s="190"/>
      <c r="AJ102" s="191"/>
      <c r="AK102" s="206">
        <f t="shared" si="32"/>
        <v>0</v>
      </c>
      <c r="AL102" s="191"/>
      <c r="AM102" s="206">
        <f t="shared" si="33"/>
        <v>0</v>
      </c>
      <c r="AN102" s="191"/>
      <c r="AO102" s="207">
        <f t="shared" si="34"/>
        <v>0</v>
      </c>
      <c r="AP102" s="72"/>
      <c r="AQ102" s="72"/>
      <c r="AR102" s="192"/>
      <c r="AS102" s="208">
        <f t="shared" si="35"/>
        <v>0</v>
      </c>
      <c r="AT102" s="193"/>
      <c r="AU102" s="206">
        <f t="shared" si="36"/>
        <v>0</v>
      </c>
      <c r="AV102" s="191"/>
      <c r="AW102" s="207">
        <f t="shared" si="37"/>
        <v>0</v>
      </c>
      <c r="AX102" s="73"/>
      <c r="AY102" s="73"/>
      <c r="AZ102" s="193"/>
      <c r="BA102" s="209">
        <f t="shared" si="38"/>
        <v>0</v>
      </c>
      <c r="BB102" s="193"/>
      <c r="BC102" s="206">
        <f t="shared" si="39"/>
        <v>0</v>
      </c>
      <c r="BD102" s="191"/>
      <c r="BE102" s="207">
        <f t="shared" si="40"/>
        <v>0</v>
      </c>
      <c r="BF102" s="73"/>
      <c r="BG102" s="73"/>
      <c r="BH102" s="193"/>
      <c r="BI102" s="209">
        <f t="shared" si="41"/>
        <v>0</v>
      </c>
      <c r="BJ102" s="193"/>
      <c r="BK102" s="206">
        <f t="shared" si="42"/>
        <v>0</v>
      </c>
      <c r="BL102" s="191"/>
      <c r="BM102" s="207">
        <f t="shared" si="43"/>
        <v>0</v>
      </c>
      <c r="BN102" s="73"/>
      <c r="BO102" s="73"/>
      <c r="BP102" s="193"/>
      <c r="BQ102" s="209">
        <f t="shared" si="44"/>
        <v>0</v>
      </c>
      <c r="BR102" s="193"/>
      <c r="BS102" s="206">
        <f t="shared" si="45"/>
        <v>0</v>
      </c>
      <c r="BT102" s="191"/>
      <c r="BU102" s="207">
        <f t="shared" si="46"/>
        <v>0</v>
      </c>
      <c r="BV102" s="73"/>
      <c r="BW102" s="73"/>
      <c r="BX102" s="193"/>
      <c r="BY102" s="209">
        <f t="shared" si="47"/>
        <v>0</v>
      </c>
      <c r="BZ102" s="193"/>
      <c r="CA102" s="206">
        <f t="shared" si="48"/>
        <v>0</v>
      </c>
      <c r="CB102" s="191"/>
      <c r="CC102" s="207">
        <f t="shared" si="49"/>
        <v>0</v>
      </c>
      <c r="CD102" s="73"/>
      <c r="CE102" s="73"/>
      <c r="CF102" s="193"/>
      <c r="CG102" s="209">
        <f t="shared" si="50"/>
        <v>0</v>
      </c>
      <c r="CH102" s="193"/>
      <c r="CI102" s="206">
        <f t="shared" si="51"/>
        <v>0</v>
      </c>
      <c r="CJ102" s="191"/>
      <c r="CK102" s="207">
        <f t="shared" si="52"/>
        <v>0</v>
      </c>
      <c r="CL102" s="73"/>
      <c r="CM102" s="73"/>
      <c r="CN102" s="193"/>
      <c r="CO102" s="209">
        <f t="shared" si="53"/>
        <v>0</v>
      </c>
      <c r="CP102" s="193"/>
      <c r="CQ102" s="206">
        <f t="shared" si="54"/>
        <v>0</v>
      </c>
      <c r="CR102" s="191"/>
      <c r="CS102" s="207">
        <f t="shared" si="55"/>
        <v>0</v>
      </c>
      <c r="CT102" s="73"/>
      <c r="CU102" s="73"/>
      <c r="CV102" s="193"/>
      <c r="CW102" s="209">
        <f t="shared" si="56"/>
        <v>0</v>
      </c>
      <c r="CX102" s="193"/>
      <c r="CY102" s="206">
        <f t="shared" si="57"/>
        <v>0</v>
      </c>
      <c r="CZ102" s="191"/>
      <c r="DA102" s="207">
        <f t="shared" si="58"/>
        <v>0</v>
      </c>
      <c r="DB102" s="73"/>
      <c r="DC102" s="73"/>
      <c r="DD102" s="193"/>
      <c r="DE102" s="209">
        <f t="shared" si="59"/>
        <v>0</v>
      </c>
      <c r="DF102" s="193"/>
      <c r="DG102" s="206">
        <f t="shared" si="60"/>
        <v>0</v>
      </c>
      <c r="DH102" s="191"/>
      <c r="DI102" s="207">
        <f t="shared" si="61"/>
        <v>0</v>
      </c>
    </row>
    <row r="103" spans="1:113" ht="13.5" thickBot="1">
      <c r="A103" s="59">
        <v>100</v>
      </c>
      <c r="B103" s="112"/>
      <c r="C103" s="113"/>
      <c r="D103" s="114"/>
      <c r="E103" s="114"/>
      <c r="F103" s="129"/>
      <c r="G103" s="137"/>
      <c r="H103" s="115"/>
      <c r="I103" s="138"/>
      <c r="J103" s="170"/>
      <c r="K103" s="116"/>
      <c r="L103" s="117"/>
      <c r="M103" s="116"/>
      <c r="N103" s="142"/>
      <c r="O103" s="149"/>
      <c r="P103" s="118"/>
      <c r="Q103" s="118"/>
      <c r="R103" s="150"/>
      <c r="S103" s="184"/>
      <c r="T103" s="185"/>
      <c r="U103" s="157"/>
      <c r="V103" s="174">
        <f t="shared" si="31"/>
        <v>0</v>
      </c>
      <c r="W103" s="119"/>
      <c r="X103" s="119"/>
      <c r="Y103" s="119"/>
      <c r="Z103" s="158"/>
      <c r="AA103" s="120"/>
      <c r="AB103" s="121"/>
      <c r="AC103" s="122"/>
      <c r="AD103" s="123"/>
      <c r="AE103" s="124"/>
      <c r="AF103" s="124"/>
      <c r="AG103" s="125"/>
      <c r="AH103" s="194"/>
      <c r="AI103" s="195"/>
      <c r="AJ103" s="196"/>
      <c r="AK103" s="210">
        <f t="shared" si="32"/>
        <v>0</v>
      </c>
      <c r="AL103" s="196"/>
      <c r="AM103" s="210">
        <f t="shared" si="33"/>
        <v>0</v>
      </c>
      <c r="AN103" s="196"/>
      <c r="AO103" s="211">
        <f t="shared" si="34"/>
        <v>0</v>
      </c>
      <c r="AP103" s="74"/>
      <c r="AQ103" s="74"/>
      <c r="AR103" s="197"/>
      <c r="AS103" s="212">
        <f t="shared" si="35"/>
        <v>0</v>
      </c>
      <c r="AT103" s="198"/>
      <c r="AU103" s="210">
        <f t="shared" si="36"/>
        <v>0</v>
      </c>
      <c r="AV103" s="196"/>
      <c r="AW103" s="211">
        <f t="shared" si="37"/>
        <v>0</v>
      </c>
      <c r="AX103" s="75"/>
      <c r="AY103" s="75"/>
      <c r="AZ103" s="198"/>
      <c r="BA103" s="213">
        <f t="shared" si="38"/>
        <v>0</v>
      </c>
      <c r="BB103" s="198"/>
      <c r="BC103" s="210">
        <f t="shared" si="39"/>
        <v>0</v>
      </c>
      <c r="BD103" s="196"/>
      <c r="BE103" s="211">
        <f t="shared" si="40"/>
        <v>0</v>
      </c>
      <c r="BF103" s="75"/>
      <c r="BG103" s="75"/>
      <c r="BH103" s="198"/>
      <c r="BI103" s="213">
        <f t="shared" si="41"/>
        <v>0</v>
      </c>
      <c r="BJ103" s="198"/>
      <c r="BK103" s="210">
        <f t="shared" si="42"/>
        <v>0</v>
      </c>
      <c r="BL103" s="196"/>
      <c r="BM103" s="211">
        <f t="shared" si="43"/>
        <v>0</v>
      </c>
      <c r="BN103" s="75"/>
      <c r="BO103" s="75"/>
      <c r="BP103" s="198"/>
      <c r="BQ103" s="213">
        <f t="shared" si="44"/>
        <v>0</v>
      </c>
      <c r="BR103" s="198"/>
      <c r="BS103" s="210">
        <f t="shared" si="45"/>
        <v>0</v>
      </c>
      <c r="BT103" s="196"/>
      <c r="BU103" s="211">
        <f t="shared" si="46"/>
        <v>0</v>
      </c>
      <c r="BV103" s="75"/>
      <c r="BW103" s="75"/>
      <c r="BX103" s="198"/>
      <c r="BY103" s="213">
        <f t="shared" si="47"/>
        <v>0</v>
      </c>
      <c r="BZ103" s="198"/>
      <c r="CA103" s="210">
        <f t="shared" si="48"/>
        <v>0</v>
      </c>
      <c r="CB103" s="196"/>
      <c r="CC103" s="211">
        <f t="shared" si="49"/>
        <v>0</v>
      </c>
      <c r="CD103" s="75"/>
      <c r="CE103" s="75"/>
      <c r="CF103" s="198"/>
      <c r="CG103" s="213">
        <f t="shared" si="50"/>
        <v>0</v>
      </c>
      <c r="CH103" s="198"/>
      <c r="CI103" s="210">
        <f t="shared" si="51"/>
        <v>0</v>
      </c>
      <c r="CJ103" s="196"/>
      <c r="CK103" s="211">
        <f t="shared" si="52"/>
        <v>0</v>
      </c>
      <c r="CL103" s="75"/>
      <c r="CM103" s="75"/>
      <c r="CN103" s="198"/>
      <c r="CO103" s="213">
        <f t="shared" si="53"/>
        <v>0</v>
      </c>
      <c r="CP103" s="198"/>
      <c r="CQ103" s="210">
        <f t="shared" si="54"/>
        <v>0</v>
      </c>
      <c r="CR103" s="196"/>
      <c r="CS103" s="211">
        <f t="shared" si="55"/>
        <v>0</v>
      </c>
      <c r="CT103" s="75"/>
      <c r="CU103" s="75"/>
      <c r="CV103" s="198"/>
      <c r="CW103" s="213">
        <f t="shared" si="56"/>
        <v>0</v>
      </c>
      <c r="CX103" s="198"/>
      <c r="CY103" s="210">
        <f t="shared" si="57"/>
        <v>0</v>
      </c>
      <c r="CZ103" s="196"/>
      <c r="DA103" s="211">
        <f t="shared" si="58"/>
        <v>0</v>
      </c>
      <c r="DB103" s="75"/>
      <c r="DC103" s="75"/>
      <c r="DD103" s="198"/>
      <c r="DE103" s="213">
        <f t="shared" si="59"/>
        <v>0</v>
      </c>
      <c r="DF103" s="198"/>
      <c r="DG103" s="210">
        <f t="shared" si="60"/>
        <v>0</v>
      </c>
      <c r="DH103" s="196"/>
      <c r="DI103" s="211">
        <f t="shared" si="61"/>
        <v>0</v>
      </c>
    </row>
    <row r="184" spans="1:1" s="81" customFormat="1">
      <c r="A184" s="80"/>
    </row>
    <row r="185" spans="1:1" s="81" customFormat="1">
      <c r="A185" s="80"/>
    </row>
    <row r="186" spans="1:1" s="81" customFormat="1">
      <c r="A186" s="80"/>
    </row>
    <row r="187" spans="1:1" s="81" customFormat="1">
      <c r="A187" s="80"/>
    </row>
    <row r="188" spans="1:1" s="81" customFormat="1">
      <c r="A188" s="80"/>
    </row>
    <row r="189" spans="1:1" s="81" customFormat="1">
      <c r="A189" s="80"/>
    </row>
    <row r="190" spans="1:1" s="81" customFormat="1">
      <c r="A190" s="80"/>
    </row>
    <row r="191" spans="1:1" s="81" customFormat="1">
      <c r="A191" s="80"/>
    </row>
    <row r="192" spans="1:1" s="81" customFormat="1">
      <c r="A192" s="80"/>
    </row>
    <row r="193" spans="1:22" s="81" customFormat="1">
      <c r="A193" s="80"/>
    </row>
    <row r="194" spans="1:22" s="81" customFormat="1">
      <c r="A194" s="80"/>
    </row>
    <row r="195" spans="1:22" s="81" customFormat="1">
      <c r="A195" s="80"/>
    </row>
    <row r="196" spans="1:22" s="81" customFormat="1">
      <c r="A196" s="80"/>
    </row>
    <row r="197" spans="1:22" s="81" customFormat="1">
      <c r="A197" s="80"/>
    </row>
    <row r="198" spans="1:22" s="201" customFormat="1">
      <c r="A198" s="199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U198" s="200"/>
      <c r="V198" s="200"/>
    </row>
    <row r="199" spans="1:22" s="201" customFormat="1">
      <c r="A199" s="199"/>
      <c r="B199" s="200" t="s">
        <v>16</v>
      </c>
      <c r="C199" s="200"/>
      <c r="D199" s="200" t="s">
        <v>17</v>
      </c>
      <c r="E199" s="200"/>
      <c r="F199" s="200" t="s">
        <v>26</v>
      </c>
      <c r="G199" s="200"/>
      <c r="H199" s="200" t="s">
        <v>27</v>
      </c>
      <c r="I199" s="200"/>
      <c r="J199" s="200" t="s">
        <v>110</v>
      </c>
      <c r="K199" s="200"/>
      <c r="L199" s="201" t="s">
        <v>82</v>
      </c>
      <c r="N199" s="200" t="s">
        <v>83</v>
      </c>
      <c r="U199" s="200"/>
      <c r="V199" s="200"/>
    </row>
    <row r="200" spans="1:22" s="201" customFormat="1">
      <c r="A200" s="199"/>
      <c r="B200" s="202" t="s">
        <v>11</v>
      </c>
      <c r="C200" s="200"/>
      <c r="D200" s="200" t="s">
        <v>18</v>
      </c>
      <c r="E200" s="200"/>
      <c r="F200" s="200" t="s">
        <v>25</v>
      </c>
      <c r="G200" s="200"/>
      <c r="H200" s="200" t="s">
        <v>25</v>
      </c>
      <c r="I200" s="200"/>
      <c r="J200" s="201" t="s">
        <v>84</v>
      </c>
      <c r="K200" s="200"/>
      <c r="L200" s="201" t="s">
        <v>84</v>
      </c>
      <c r="N200" s="200" t="s">
        <v>86</v>
      </c>
      <c r="U200" s="200"/>
      <c r="V200" s="200"/>
    </row>
    <row r="201" spans="1:22" s="201" customFormat="1">
      <c r="A201" s="199"/>
      <c r="B201" s="203" t="s">
        <v>10</v>
      </c>
      <c r="C201" s="200"/>
      <c r="D201" s="200" t="s">
        <v>19</v>
      </c>
      <c r="E201" s="200"/>
      <c r="F201" s="200" t="s">
        <v>21</v>
      </c>
      <c r="G201" s="200"/>
      <c r="H201" s="200" t="s">
        <v>23</v>
      </c>
      <c r="I201" s="200"/>
      <c r="J201" s="201" t="s">
        <v>85</v>
      </c>
      <c r="K201" s="200"/>
      <c r="L201" s="201" t="s">
        <v>85</v>
      </c>
      <c r="N201" s="200" t="s">
        <v>89</v>
      </c>
      <c r="U201" s="200"/>
      <c r="V201" s="200"/>
    </row>
    <row r="202" spans="1:22" s="201" customFormat="1">
      <c r="A202" s="199"/>
      <c r="B202" s="203" t="s">
        <v>12</v>
      </c>
      <c r="C202" s="200"/>
      <c r="D202" s="200"/>
      <c r="E202" s="200"/>
      <c r="F202" s="200" t="s">
        <v>22</v>
      </c>
      <c r="G202" s="200"/>
      <c r="H202" s="200" t="s">
        <v>24</v>
      </c>
      <c r="I202" s="200"/>
      <c r="J202" s="201" t="s">
        <v>25</v>
      </c>
      <c r="K202" s="200"/>
      <c r="L202" s="201" t="s">
        <v>25</v>
      </c>
      <c r="N202" s="200" t="s">
        <v>87</v>
      </c>
      <c r="U202" s="200"/>
      <c r="V202" s="200"/>
    </row>
    <row r="203" spans="1:22" s="201" customFormat="1">
      <c r="A203" s="199"/>
      <c r="B203" s="203" t="s">
        <v>13</v>
      </c>
      <c r="C203" s="200"/>
      <c r="D203" s="200"/>
      <c r="E203" s="200"/>
      <c r="F203" s="200"/>
      <c r="G203" s="200"/>
      <c r="H203" s="200"/>
      <c r="I203" s="200"/>
      <c r="J203" s="201" t="s">
        <v>111</v>
      </c>
      <c r="K203" s="200"/>
      <c r="L203" s="201" t="s">
        <v>111</v>
      </c>
      <c r="N203" s="200" t="s">
        <v>80</v>
      </c>
      <c r="U203" s="200"/>
      <c r="V203" s="200"/>
    </row>
    <row r="204" spans="1:22" s="201" customFormat="1">
      <c r="A204" s="199"/>
      <c r="B204" s="203" t="s">
        <v>14</v>
      </c>
      <c r="C204" s="200"/>
      <c r="D204" s="200"/>
      <c r="E204" s="200"/>
      <c r="F204" s="200"/>
      <c r="G204" s="200"/>
      <c r="H204" s="200"/>
      <c r="I204" s="200"/>
      <c r="J204" s="200"/>
      <c r="K204" s="200"/>
      <c r="N204" s="200"/>
      <c r="U204" s="200"/>
      <c r="V204" s="200"/>
    </row>
    <row r="205" spans="1:22" s="201" customFormat="1">
      <c r="A205" s="199"/>
      <c r="B205" s="203" t="s">
        <v>15</v>
      </c>
      <c r="C205" s="200"/>
      <c r="D205" s="200"/>
      <c r="E205" s="200"/>
      <c r="F205" s="200"/>
      <c r="G205" s="200"/>
      <c r="H205" s="200"/>
      <c r="I205" s="200"/>
      <c r="J205" s="200"/>
      <c r="K205" s="200"/>
      <c r="N205" s="200"/>
      <c r="U205" s="200"/>
      <c r="V205" s="200"/>
    </row>
    <row r="206" spans="1:22" s="201" customFormat="1">
      <c r="A206" s="199"/>
      <c r="B206" s="203" t="s">
        <v>108</v>
      </c>
      <c r="C206" s="200"/>
      <c r="D206" s="200"/>
      <c r="E206" s="200"/>
      <c r="F206" s="200"/>
      <c r="G206" s="200"/>
      <c r="H206" s="200"/>
      <c r="I206" s="200"/>
      <c r="S206" s="200"/>
      <c r="T206" s="200"/>
    </row>
    <row r="207" spans="1:22" s="201" customFormat="1">
      <c r="A207" s="199"/>
      <c r="B207" s="200"/>
      <c r="C207" s="200"/>
      <c r="D207" s="200"/>
      <c r="E207" s="200"/>
      <c r="F207" s="200"/>
      <c r="G207" s="200"/>
      <c r="H207" s="200"/>
      <c r="I207" s="200"/>
      <c r="S207" s="200"/>
      <c r="T207" s="200"/>
    </row>
    <row r="208" spans="1:22" s="81" customFormat="1">
      <c r="A208" s="82"/>
      <c r="B208" s="83"/>
      <c r="C208" s="83"/>
      <c r="D208" s="83"/>
      <c r="E208" s="83"/>
      <c r="F208" s="83"/>
      <c r="G208" s="83"/>
      <c r="H208" s="83"/>
      <c r="I208" s="83"/>
      <c r="L208" s="58"/>
      <c r="S208" s="83"/>
      <c r="T208" s="83"/>
    </row>
    <row r="209" spans="1:20" s="81" customFormat="1">
      <c r="A209" s="82"/>
      <c r="B209" s="83"/>
      <c r="C209" s="83"/>
      <c r="D209" s="83"/>
      <c r="E209" s="83"/>
      <c r="F209" s="83"/>
      <c r="G209" s="83"/>
      <c r="H209" s="83"/>
      <c r="I209" s="83"/>
      <c r="J209" s="83"/>
      <c r="L209" s="58"/>
      <c r="S209" s="83"/>
      <c r="T209" s="83"/>
    </row>
    <row r="210" spans="1:20">
      <c r="J210" s="83"/>
    </row>
    <row r="211" spans="1:20">
      <c r="J211" s="83"/>
    </row>
  </sheetData>
  <sheetProtection password="CB1D" sheet="1" objects="1" scenarios="1"/>
  <mergeCells count="19">
    <mergeCell ref="AH2:AO2"/>
    <mergeCell ref="AD2:AG2"/>
    <mergeCell ref="AA2:AC2"/>
    <mergeCell ref="DB2:DI2"/>
    <mergeCell ref="BN2:BU2"/>
    <mergeCell ref="BV2:CC2"/>
    <mergeCell ref="C2:F2"/>
    <mergeCell ref="A1:B2"/>
    <mergeCell ref="CD2:CK2"/>
    <mergeCell ref="CL2:CS2"/>
    <mergeCell ref="CT2:DA2"/>
    <mergeCell ref="AP2:AW2"/>
    <mergeCell ref="AX2:BE2"/>
    <mergeCell ref="BF2:BM2"/>
    <mergeCell ref="G2:I2"/>
    <mergeCell ref="O2:R2"/>
    <mergeCell ref="S2:T2"/>
    <mergeCell ref="J2:N2"/>
    <mergeCell ref="U2:Z2"/>
  </mergeCells>
  <conditionalFormatting sqref="AP1:AW103">
    <cfRule type="expression" dxfId="9" priority="91">
      <formula>MAX($AG$4:$AG$103)&lt;2</formula>
    </cfRule>
  </conditionalFormatting>
  <conditionalFormatting sqref="AH1:AO103">
    <cfRule type="expression" dxfId="8" priority="90">
      <formula>MAX($AG$4:$AG$103)&lt;1</formula>
    </cfRule>
  </conditionalFormatting>
  <conditionalFormatting sqref="AX1:BE103">
    <cfRule type="expression" dxfId="7" priority="89">
      <formula>MAX($AG$4:$AG$103)&lt;3</formula>
    </cfRule>
  </conditionalFormatting>
  <conditionalFormatting sqref="BF1:BM103">
    <cfRule type="expression" dxfId="6" priority="88">
      <formula>MAX($AG$4:$AG$103)&lt;4</formula>
    </cfRule>
  </conditionalFormatting>
  <conditionalFormatting sqref="BN1:BU103">
    <cfRule type="expression" dxfId="5" priority="87">
      <formula>MAX($AG$4:$AG$103)&lt;5</formula>
    </cfRule>
  </conditionalFormatting>
  <conditionalFormatting sqref="BV1:CC103">
    <cfRule type="expression" dxfId="4" priority="86">
      <formula>MAX($AG$4:$AG$103)&lt;6</formula>
    </cfRule>
  </conditionalFormatting>
  <conditionalFormatting sqref="CD1:CK103">
    <cfRule type="expression" dxfId="3" priority="85">
      <formula>MAX($AG$4:$AG$103)&lt;7</formula>
    </cfRule>
  </conditionalFormatting>
  <conditionalFormatting sqref="CL1:CS103">
    <cfRule type="expression" dxfId="2" priority="84">
      <formula>MAX($AG$4:$AG$103)&lt;8</formula>
    </cfRule>
  </conditionalFormatting>
  <conditionalFormatting sqref="CT1:DA103">
    <cfRule type="expression" dxfId="1" priority="83">
      <formula>MAX($AG$4:$AG$103)&lt;9</formula>
    </cfRule>
  </conditionalFormatting>
  <conditionalFormatting sqref="DB1:DI103">
    <cfRule type="expression" dxfId="0" priority="82">
      <formula>MAX($AG$4:$AG$103)&lt;10</formula>
    </cfRule>
  </conditionalFormatting>
  <dataValidations count="13">
    <dataValidation type="list" allowBlank="1" showInputMessage="1" showErrorMessage="1" sqref="G4:G103 K4:K103 O4:P103">
      <formula1>YN</formula1>
    </dataValidation>
    <dataValidation type="whole" allowBlank="1" showInputMessage="1" showErrorMessage="1" sqref="L4:L103">
      <formula1>0</formula1>
      <formula2>200</formula2>
    </dataValidation>
    <dataValidation type="decimal" operator="greaterThanOrEqual" allowBlank="1" showInputMessage="1" showErrorMessage="1" sqref="U4:V103 H4:H103 J4:J103 R4:R103">
      <formula1>0</formula1>
    </dataValidation>
    <dataValidation type="list" allowBlank="1" showInputMessage="1" showErrorMessage="1" sqref="W4:W103">
      <formula1>BGV</formula1>
    </dataValidation>
    <dataValidation type="list" allowBlank="1" showInputMessage="1" showErrorMessage="1" sqref="X4:X103">
      <formula1>BCO</formula1>
    </dataValidation>
    <dataValidation type="list" allowBlank="1" showInputMessage="1" showErrorMessage="1" sqref="E4:E103">
      <formula1>MinEdu</formula1>
    </dataValidation>
    <dataValidation type="decimal" allowBlank="1" showInputMessage="1" showErrorMessage="1" sqref="D4:D103">
      <formula1>0</formula1>
      <formula2>50</formula2>
    </dataValidation>
    <dataValidation type="list" allowBlank="1" showInputMessage="1" showErrorMessage="1" sqref="AD4:AD103">
      <formula1>QDiscCustomer</formula1>
    </dataValidation>
    <dataValidation type="list" allowBlank="1" showInputMessage="1" showErrorMessage="1" sqref="AE4:AE103">
      <formula1>QDiscType</formula1>
    </dataValidation>
    <dataValidation type="whole" allowBlank="1" showInputMessage="1" showErrorMessage="1" sqref="Y4:Y103">
      <formula1>1</formula1>
      <formula2>100</formula2>
    </dataValidation>
    <dataValidation type="whole" operator="greaterThanOrEqual" allowBlank="1" showInputMessage="1" showErrorMessage="1" sqref="AG4:AG103">
      <formula1>0</formula1>
    </dataValidation>
    <dataValidation type="list" allowBlank="1" showInputMessage="1" showErrorMessage="1" sqref="AA4:AA103">
      <formula1>PPDiscCustomer</formula1>
    </dataValidation>
    <dataValidation type="decimal" allowBlank="1" showInputMessage="1" showErrorMessage="1" sqref="AP4:AQ103 DB4:DC103 AX4:AY103 BF4:BG103 BN4:BO103 BV4:BW103 CD4:CE103 CL4:CM103 CT4:CU103 AH4:AI103">
      <formula1>0</formula1>
      <formula2>9.99999999999999E+33</formula2>
    </dataValidation>
  </dataValidations>
  <printOptions horizontalCentered="1" gridLines="1"/>
  <pageMargins left="0" right="0" top="0.3" bottom="0.3" header="0.3" footer="0.1"/>
  <pageSetup paperSize="5" scale="48" fitToWidth="3" fitToHeight="10" orientation="landscape" r:id="rId1"/>
  <headerFooter>
    <oddFooter>&amp;L&amp;F&amp;CPage &amp;P of &amp;N&amp;R&amp;A</oddFooter>
  </headerFooter>
  <rowBreaks count="1" manualBreakCount="1">
    <brk id="53" max="112" man="1"/>
  </rowBreaks>
  <colBreaks count="1" manualBreakCount="1">
    <brk id="33" max="102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4"/>
  <sheetViews>
    <sheetView view="pageLayout" zoomScaleNormal="100" workbookViewId="0">
      <selection activeCell="A3" sqref="A3"/>
    </sheetView>
  </sheetViews>
  <sheetFormatPr defaultRowHeight="15"/>
  <cols>
    <col min="1" max="1" width="7.28515625" style="45" bestFit="1" customWidth="1"/>
    <col min="2" max="2" width="11.42578125" style="40" customWidth="1"/>
    <col min="3" max="3" width="10.85546875" style="46" customWidth="1"/>
    <col min="4" max="5" width="8.85546875" style="47" bestFit="1" customWidth="1"/>
    <col min="6" max="6" width="11.42578125" style="41" bestFit="1" customWidth="1"/>
    <col min="7" max="7" width="11.85546875" style="41" bestFit="1" customWidth="1"/>
    <col min="8" max="8" width="9.140625" style="48" bestFit="1" customWidth="1"/>
    <col min="9" max="9" width="7" style="49" customWidth="1"/>
    <col min="10" max="10" width="16.5703125" style="46" customWidth="1"/>
    <col min="11" max="11" width="9" style="50" bestFit="1" customWidth="1"/>
    <col min="12" max="12" width="10.28515625" style="48" bestFit="1" customWidth="1"/>
    <col min="13" max="13" width="9.5703125" style="46" bestFit="1" customWidth="1"/>
    <col min="14" max="14" width="10.42578125" style="48" customWidth="1"/>
    <col min="15" max="15" width="9.28515625" style="50" bestFit="1" customWidth="1"/>
    <col min="16" max="16" width="8.85546875" style="48" bestFit="1" customWidth="1"/>
    <col min="17" max="17" width="11" style="48" customWidth="1"/>
    <col min="18" max="16384" width="9.140625" style="46"/>
  </cols>
  <sheetData>
    <row r="1" spans="1:17" s="11" customFormat="1" ht="67.5">
      <c r="A1" s="4" t="s">
        <v>36</v>
      </c>
      <c r="B1" s="4" t="s">
        <v>65</v>
      </c>
      <c r="C1" s="4" t="s">
        <v>66</v>
      </c>
      <c r="D1" s="5" t="s">
        <v>67</v>
      </c>
      <c r="E1" s="5" t="s">
        <v>68</v>
      </c>
      <c r="F1" s="5" t="s">
        <v>39</v>
      </c>
      <c r="G1" s="5" t="s">
        <v>40</v>
      </c>
      <c r="H1" s="6" t="s">
        <v>41</v>
      </c>
      <c r="I1" s="4" t="s">
        <v>69</v>
      </c>
      <c r="J1" s="4" t="s">
        <v>43</v>
      </c>
      <c r="K1" s="7" t="s">
        <v>44</v>
      </c>
      <c r="L1" s="8" t="s">
        <v>45</v>
      </c>
      <c r="M1" s="9" t="s">
        <v>46</v>
      </c>
      <c r="N1" s="8" t="s">
        <v>47</v>
      </c>
      <c r="O1" s="10" t="s">
        <v>48</v>
      </c>
      <c r="P1" s="8" t="s">
        <v>49</v>
      </c>
      <c r="Q1" s="8" t="s">
        <v>50</v>
      </c>
    </row>
    <row r="2" spans="1:17" s="18" customFormat="1" ht="24">
      <c r="A2" s="12" t="s">
        <v>51</v>
      </c>
      <c r="B2" s="13" t="s">
        <v>70</v>
      </c>
      <c r="C2" s="14" t="s">
        <v>71</v>
      </c>
      <c r="D2" s="15">
        <v>8</v>
      </c>
      <c r="E2" s="15">
        <v>12</v>
      </c>
      <c r="F2" s="16" t="s">
        <v>59</v>
      </c>
      <c r="G2" s="16" t="s">
        <v>52</v>
      </c>
      <c r="H2" s="17">
        <v>100</v>
      </c>
      <c r="I2" s="12" t="s">
        <v>72</v>
      </c>
      <c r="J2" s="12" t="s">
        <v>54</v>
      </c>
      <c r="K2" s="76">
        <v>0.01</v>
      </c>
      <c r="L2" s="17">
        <f>H2-SUM(H2*K2)</f>
        <v>99</v>
      </c>
      <c r="M2" s="12" t="s">
        <v>55</v>
      </c>
      <c r="N2" s="17">
        <v>90</v>
      </c>
      <c r="O2" s="76">
        <v>0.1</v>
      </c>
      <c r="P2" s="17">
        <f>H2-SUM(H2*O2)</f>
        <v>90</v>
      </c>
      <c r="Q2" s="17">
        <f>P2/0.9925</f>
        <v>90.680100755667496</v>
      </c>
    </row>
    <row r="3" spans="1:17" s="24" customFormat="1" ht="30" customHeight="1">
      <c r="A3" s="25"/>
      <c r="B3" s="27"/>
      <c r="C3" s="27"/>
      <c r="D3" s="28"/>
      <c r="E3" s="28"/>
      <c r="F3" s="28"/>
      <c r="G3" s="28"/>
      <c r="H3" s="29"/>
      <c r="I3" s="25"/>
      <c r="J3" s="27"/>
      <c r="K3" s="78"/>
      <c r="L3" s="30">
        <f t="shared" ref="L3:L14" si="0">H3-SUM(H3*K3)</f>
        <v>0</v>
      </c>
      <c r="M3" s="51"/>
      <c r="N3" s="32"/>
      <c r="O3" s="79"/>
      <c r="P3" s="30">
        <f t="shared" ref="P3:P14" si="1">H3-SUM(H3*O3)</f>
        <v>0</v>
      </c>
      <c r="Q3" s="33">
        <f t="shared" ref="Q3:Q14" si="2">P3/0.9925</f>
        <v>0</v>
      </c>
    </row>
    <row r="4" spans="1:17" s="24" customFormat="1" ht="30" customHeight="1">
      <c r="A4" s="25"/>
      <c r="B4" s="26"/>
      <c r="C4" s="27"/>
      <c r="D4" s="28"/>
      <c r="E4" s="28"/>
      <c r="F4" s="28"/>
      <c r="G4" s="28"/>
      <c r="H4" s="29"/>
      <c r="I4" s="25"/>
      <c r="J4" s="27"/>
      <c r="K4" s="78"/>
      <c r="L4" s="30" t="s">
        <v>73</v>
      </c>
      <c r="M4" s="51"/>
      <c r="N4" s="32"/>
      <c r="O4" s="79"/>
      <c r="P4" s="30">
        <f t="shared" si="1"/>
        <v>0</v>
      </c>
      <c r="Q4" s="33">
        <f t="shared" si="2"/>
        <v>0</v>
      </c>
    </row>
    <row r="5" spans="1:17" s="24" customFormat="1" ht="30" customHeight="1">
      <c r="A5" s="25"/>
      <c r="B5" s="26"/>
      <c r="C5" s="27"/>
      <c r="D5" s="28"/>
      <c r="E5" s="28"/>
      <c r="F5" s="28"/>
      <c r="G5" s="28"/>
      <c r="H5" s="29"/>
      <c r="I5" s="25"/>
      <c r="J5" s="27"/>
      <c r="K5" s="78"/>
      <c r="L5" s="30">
        <f t="shared" si="0"/>
        <v>0</v>
      </c>
      <c r="M5" s="51"/>
      <c r="N5" s="32"/>
      <c r="O5" s="79"/>
      <c r="P5" s="30">
        <f t="shared" si="1"/>
        <v>0</v>
      </c>
      <c r="Q5" s="33">
        <f t="shared" si="2"/>
        <v>0</v>
      </c>
    </row>
    <row r="6" spans="1:17" s="24" customFormat="1" ht="30" customHeight="1">
      <c r="A6" s="25"/>
      <c r="B6" s="26"/>
      <c r="C6" s="27"/>
      <c r="D6" s="28"/>
      <c r="E6" s="28"/>
      <c r="F6" s="28"/>
      <c r="G6" s="28"/>
      <c r="H6" s="29"/>
      <c r="I6" s="25"/>
      <c r="J6" s="27"/>
      <c r="K6" s="78"/>
      <c r="L6" s="30">
        <f t="shared" si="0"/>
        <v>0</v>
      </c>
      <c r="M6" s="51"/>
      <c r="N6" s="32"/>
      <c r="O6" s="79"/>
      <c r="P6" s="30">
        <f t="shared" si="1"/>
        <v>0</v>
      </c>
      <c r="Q6" s="33">
        <f t="shared" si="2"/>
        <v>0</v>
      </c>
    </row>
    <row r="7" spans="1:17" s="24" customFormat="1" ht="30" customHeight="1">
      <c r="A7" s="25"/>
      <c r="B7" s="26"/>
      <c r="C7" s="27"/>
      <c r="D7" s="28"/>
      <c r="E7" s="28"/>
      <c r="F7" s="28"/>
      <c r="G7" s="28"/>
      <c r="H7" s="29"/>
      <c r="I7" s="25"/>
      <c r="J7" s="27"/>
      <c r="K7" s="78"/>
      <c r="L7" s="30">
        <f t="shared" si="0"/>
        <v>0</v>
      </c>
      <c r="M7" s="51"/>
      <c r="N7" s="32"/>
      <c r="O7" s="79"/>
      <c r="P7" s="30">
        <f t="shared" si="1"/>
        <v>0</v>
      </c>
      <c r="Q7" s="33">
        <f t="shared" si="2"/>
        <v>0</v>
      </c>
    </row>
    <row r="8" spans="1:17" s="24" customFormat="1" ht="30" customHeight="1">
      <c r="A8" s="25"/>
      <c r="B8" s="26"/>
      <c r="C8" s="27"/>
      <c r="D8" s="28"/>
      <c r="E8" s="28"/>
      <c r="F8" s="28"/>
      <c r="G8" s="28"/>
      <c r="H8" s="29"/>
      <c r="I8" s="25"/>
      <c r="J8" s="27"/>
      <c r="K8" s="78"/>
      <c r="L8" s="30">
        <f t="shared" si="0"/>
        <v>0</v>
      </c>
      <c r="M8" s="51"/>
      <c r="N8" s="32"/>
      <c r="O8" s="79"/>
      <c r="P8" s="30">
        <f t="shared" si="1"/>
        <v>0</v>
      </c>
      <c r="Q8" s="33">
        <f t="shared" si="2"/>
        <v>0</v>
      </c>
    </row>
    <row r="9" spans="1:17" s="24" customFormat="1" ht="30" customHeight="1">
      <c r="A9" s="25"/>
      <c r="B9" s="26"/>
      <c r="C9" s="27"/>
      <c r="D9" s="28"/>
      <c r="E9" s="28"/>
      <c r="F9" s="28"/>
      <c r="G9" s="28"/>
      <c r="H9" s="29"/>
      <c r="I9" s="25"/>
      <c r="J9" s="27"/>
      <c r="K9" s="78"/>
      <c r="L9" s="30">
        <f t="shared" si="0"/>
        <v>0</v>
      </c>
      <c r="M9" s="51"/>
      <c r="N9" s="32"/>
      <c r="O9" s="79"/>
      <c r="P9" s="30">
        <f t="shared" si="1"/>
        <v>0</v>
      </c>
      <c r="Q9" s="33">
        <f t="shared" si="2"/>
        <v>0</v>
      </c>
    </row>
    <row r="10" spans="1:17" s="24" customFormat="1" ht="30" customHeight="1">
      <c r="A10" s="25"/>
      <c r="B10" s="26"/>
      <c r="C10" s="27"/>
      <c r="D10" s="28"/>
      <c r="E10" s="28"/>
      <c r="F10" s="28"/>
      <c r="G10" s="28"/>
      <c r="H10" s="29"/>
      <c r="I10" s="25"/>
      <c r="J10" s="27"/>
      <c r="K10" s="78"/>
      <c r="L10" s="30">
        <f t="shared" si="0"/>
        <v>0</v>
      </c>
      <c r="M10" s="51"/>
      <c r="N10" s="32"/>
      <c r="O10" s="79"/>
      <c r="P10" s="30">
        <f t="shared" si="1"/>
        <v>0</v>
      </c>
      <c r="Q10" s="33">
        <f t="shared" si="2"/>
        <v>0</v>
      </c>
    </row>
    <row r="11" spans="1:17" s="24" customFormat="1" ht="30" customHeight="1">
      <c r="A11" s="25"/>
      <c r="B11" s="26"/>
      <c r="C11" s="27"/>
      <c r="D11" s="28"/>
      <c r="E11" s="28"/>
      <c r="F11" s="28"/>
      <c r="G11" s="28"/>
      <c r="H11" s="29"/>
      <c r="I11" s="25"/>
      <c r="J11" s="27"/>
      <c r="K11" s="78"/>
      <c r="L11" s="30">
        <f t="shared" si="0"/>
        <v>0</v>
      </c>
      <c r="M11" s="51"/>
      <c r="N11" s="32"/>
      <c r="O11" s="79"/>
      <c r="P11" s="30">
        <f t="shared" si="1"/>
        <v>0</v>
      </c>
      <c r="Q11" s="33">
        <f t="shared" si="2"/>
        <v>0</v>
      </c>
    </row>
    <row r="12" spans="1:17" s="24" customFormat="1" ht="30" customHeight="1">
      <c r="A12" s="25"/>
      <c r="B12" s="26"/>
      <c r="C12" s="27"/>
      <c r="D12" s="28"/>
      <c r="E12" s="28"/>
      <c r="F12" s="28"/>
      <c r="G12" s="28"/>
      <c r="H12" s="29"/>
      <c r="I12" s="25"/>
      <c r="J12" s="27"/>
      <c r="K12" s="78"/>
      <c r="L12" s="30">
        <f t="shared" si="0"/>
        <v>0</v>
      </c>
      <c r="M12" s="51"/>
      <c r="N12" s="32"/>
      <c r="O12" s="79"/>
      <c r="P12" s="30">
        <f t="shared" si="1"/>
        <v>0</v>
      </c>
      <c r="Q12" s="33">
        <f t="shared" si="2"/>
        <v>0</v>
      </c>
    </row>
    <row r="13" spans="1:17" s="24" customFormat="1" ht="30" customHeight="1">
      <c r="A13" s="25"/>
      <c r="B13" s="26"/>
      <c r="C13" s="27"/>
      <c r="D13" s="28"/>
      <c r="E13" s="28"/>
      <c r="F13" s="28"/>
      <c r="G13" s="28"/>
      <c r="H13" s="29"/>
      <c r="I13" s="25"/>
      <c r="J13" s="27"/>
      <c r="K13" s="78"/>
      <c r="L13" s="30">
        <f t="shared" si="0"/>
        <v>0</v>
      </c>
      <c r="M13" s="51"/>
      <c r="N13" s="32"/>
      <c r="O13" s="79"/>
      <c r="P13" s="30">
        <f t="shared" si="1"/>
        <v>0</v>
      </c>
      <c r="Q13" s="33">
        <f t="shared" si="2"/>
        <v>0</v>
      </c>
    </row>
    <row r="14" spans="1:17" s="24" customFormat="1" ht="30" customHeight="1">
      <c r="A14" s="25"/>
      <c r="B14" s="26"/>
      <c r="C14" s="27"/>
      <c r="D14" s="28"/>
      <c r="E14" s="28"/>
      <c r="F14" s="28"/>
      <c r="G14" s="28"/>
      <c r="H14" s="29"/>
      <c r="I14" s="25"/>
      <c r="J14" s="27"/>
      <c r="K14" s="78"/>
      <c r="L14" s="30">
        <f t="shared" si="0"/>
        <v>0</v>
      </c>
      <c r="M14" s="51"/>
      <c r="N14" s="32"/>
      <c r="O14" s="79"/>
      <c r="P14" s="30">
        <f t="shared" si="1"/>
        <v>0</v>
      </c>
      <c r="Q14" s="33">
        <f t="shared" si="2"/>
        <v>0</v>
      </c>
    </row>
    <row r="15" spans="1:17" s="24" customFormat="1" ht="52.5" customHeight="1">
      <c r="A15" s="241" t="s">
        <v>64</v>
      </c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1"/>
    </row>
    <row r="16" spans="1:17" s="24" customFormat="1" ht="21.75" customHeight="1">
      <c r="A16" s="34"/>
      <c r="D16" s="35"/>
      <c r="E16" s="35"/>
      <c r="F16" s="35"/>
      <c r="G16" s="35"/>
      <c r="H16" s="36"/>
      <c r="I16" s="37"/>
      <c r="K16" s="38"/>
      <c r="L16" s="36"/>
      <c r="N16" s="36"/>
      <c r="O16" s="38"/>
      <c r="P16" s="36"/>
      <c r="Q16" s="36"/>
    </row>
    <row r="17" spans="1:17" s="24" customFormat="1" ht="21.75" customHeight="1">
      <c r="A17" s="34"/>
      <c r="D17" s="35"/>
      <c r="E17" s="35"/>
      <c r="F17" s="35"/>
      <c r="G17" s="35"/>
      <c r="H17" s="36"/>
      <c r="I17" s="37"/>
      <c r="K17" s="38"/>
      <c r="L17" s="36"/>
      <c r="N17" s="36"/>
      <c r="O17" s="38"/>
      <c r="P17" s="36"/>
      <c r="Q17" s="36"/>
    </row>
    <row r="18" spans="1:17" s="24" customFormat="1" ht="21.75" customHeight="1">
      <c r="A18" s="34"/>
      <c r="D18" s="35"/>
      <c r="E18" s="35"/>
      <c r="F18" s="35"/>
      <c r="G18" s="35"/>
      <c r="H18" s="36"/>
      <c r="I18" s="37"/>
      <c r="K18" s="38"/>
      <c r="L18" s="36"/>
      <c r="N18" s="36"/>
      <c r="O18" s="38"/>
      <c r="P18" s="36"/>
      <c r="Q18" s="36"/>
    </row>
    <row r="19" spans="1:17" s="24" customFormat="1" ht="21.75" customHeight="1">
      <c r="A19" s="34"/>
      <c r="D19" s="35"/>
      <c r="E19" s="35"/>
      <c r="F19" s="35"/>
      <c r="G19" s="35"/>
      <c r="H19" s="36"/>
      <c r="I19" s="37"/>
      <c r="K19" s="38"/>
      <c r="L19" s="36"/>
      <c r="N19" s="36"/>
      <c r="O19" s="38"/>
      <c r="P19" s="36"/>
      <c r="Q19" s="36"/>
    </row>
    <row r="20" spans="1:17" s="24" customFormat="1" ht="21.75" customHeight="1">
      <c r="A20" s="34"/>
      <c r="D20" s="35"/>
      <c r="E20" s="35"/>
      <c r="F20" s="35"/>
      <c r="G20" s="35"/>
      <c r="H20" s="36"/>
      <c r="I20" s="37"/>
      <c r="K20" s="38"/>
      <c r="L20" s="36"/>
      <c r="N20" s="36"/>
      <c r="O20" s="38"/>
      <c r="P20" s="36"/>
      <c r="Q20" s="36"/>
    </row>
    <row r="21" spans="1:17" s="24" customFormat="1" ht="21.75" customHeight="1">
      <c r="A21" s="34"/>
      <c r="D21" s="35"/>
      <c r="E21" s="35"/>
      <c r="F21" s="35"/>
      <c r="G21" s="35"/>
      <c r="H21" s="36"/>
      <c r="I21" s="37"/>
      <c r="K21" s="38"/>
      <c r="L21" s="36"/>
      <c r="N21" s="36"/>
      <c r="O21" s="38"/>
      <c r="P21" s="36"/>
      <c r="Q21" s="36"/>
    </row>
    <row r="22" spans="1:17" s="24" customFormat="1" ht="21.75" customHeight="1">
      <c r="A22" s="34"/>
      <c r="D22" s="35"/>
      <c r="E22" s="35"/>
      <c r="F22" s="35"/>
      <c r="G22" s="35"/>
      <c r="H22" s="36"/>
      <c r="I22" s="37"/>
      <c r="K22" s="38"/>
      <c r="L22" s="36"/>
      <c r="N22" s="36"/>
      <c r="O22" s="38"/>
      <c r="P22" s="36"/>
      <c r="Q22" s="36"/>
    </row>
    <row r="23" spans="1:17" s="24" customFormat="1" ht="21.75" customHeight="1">
      <c r="A23" s="34"/>
      <c r="D23" s="35"/>
      <c r="E23" s="35"/>
      <c r="F23" s="35"/>
      <c r="G23" s="35"/>
      <c r="H23" s="36"/>
      <c r="I23" s="37"/>
      <c r="K23" s="38"/>
      <c r="L23" s="36"/>
      <c r="N23" s="36"/>
      <c r="O23" s="38"/>
      <c r="P23" s="36"/>
      <c r="Q23" s="36"/>
    </row>
    <row r="24" spans="1:17" s="40" customFormat="1" ht="21.75" customHeight="1">
      <c r="A24" s="39"/>
      <c r="D24" s="41"/>
      <c r="E24" s="41"/>
      <c r="F24" s="41"/>
      <c r="G24" s="41"/>
      <c r="H24" s="42"/>
      <c r="I24" s="43"/>
      <c r="K24" s="44"/>
      <c r="L24" s="42"/>
      <c r="N24" s="42"/>
      <c r="O24" s="44"/>
      <c r="P24" s="42"/>
      <c r="Q24" s="42"/>
    </row>
    <row r="25" spans="1:17" s="40" customFormat="1" ht="21.75" customHeight="1">
      <c r="A25" s="39"/>
      <c r="D25" s="41"/>
      <c r="E25" s="41"/>
      <c r="F25" s="41"/>
      <c r="G25" s="41"/>
      <c r="H25" s="42"/>
      <c r="I25" s="43"/>
      <c r="K25" s="44"/>
      <c r="L25" s="42"/>
      <c r="N25" s="42"/>
      <c r="O25" s="44"/>
      <c r="P25" s="42"/>
      <c r="Q25" s="42"/>
    </row>
    <row r="26" spans="1:17" s="40" customFormat="1" ht="21.75" customHeight="1">
      <c r="A26" s="39"/>
      <c r="D26" s="41"/>
      <c r="E26" s="41"/>
      <c r="F26" s="41"/>
      <c r="G26" s="41"/>
      <c r="H26" s="42"/>
      <c r="I26" s="43"/>
      <c r="K26" s="44"/>
      <c r="L26" s="42"/>
      <c r="N26" s="42"/>
      <c r="O26" s="44"/>
      <c r="P26" s="42"/>
      <c r="Q26" s="42"/>
    </row>
    <row r="27" spans="1:17" s="40" customFormat="1" ht="21.75" customHeight="1">
      <c r="A27" s="39"/>
      <c r="D27" s="41"/>
      <c r="E27" s="41"/>
      <c r="F27" s="41"/>
      <c r="G27" s="41"/>
      <c r="H27" s="42"/>
      <c r="I27" s="43"/>
      <c r="K27" s="44"/>
      <c r="L27" s="42"/>
      <c r="N27" s="42"/>
      <c r="O27" s="44"/>
      <c r="P27" s="42"/>
      <c r="Q27" s="42"/>
    </row>
    <row r="28" spans="1:17" s="40" customFormat="1" ht="21.75" customHeight="1">
      <c r="A28" s="39"/>
      <c r="D28" s="41"/>
      <c r="E28" s="41"/>
      <c r="F28" s="41"/>
      <c r="G28" s="41"/>
      <c r="H28" s="42"/>
      <c r="I28" s="43"/>
      <c r="K28" s="44"/>
      <c r="L28" s="42"/>
      <c r="N28" s="42"/>
      <c r="O28" s="44"/>
      <c r="P28" s="42"/>
      <c r="Q28" s="42"/>
    </row>
    <row r="29" spans="1:17" s="40" customFormat="1" ht="21.75" customHeight="1">
      <c r="A29" s="39"/>
      <c r="D29" s="41"/>
      <c r="E29" s="41"/>
      <c r="F29" s="41"/>
      <c r="G29" s="41"/>
      <c r="H29" s="42"/>
      <c r="I29" s="43"/>
      <c r="K29" s="44"/>
      <c r="L29" s="42"/>
      <c r="N29" s="42"/>
      <c r="O29" s="44"/>
      <c r="P29" s="42"/>
      <c r="Q29" s="42"/>
    </row>
    <row r="30" spans="1:17" ht="21.75" customHeight="1"/>
    <row r="201" spans="1:5">
      <c r="A201" s="242"/>
      <c r="B201" s="243" t="s">
        <v>128</v>
      </c>
      <c r="C201" s="244" t="s">
        <v>127</v>
      </c>
      <c r="D201" s="244"/>
      <c r="E201" s="245"/>
    </row>
    <row r="202" spans="1:5" ht="30">
      <c r="A202" s="242"/>
      <c r="B202" s="243" t="s">
        <v>130</v>
      </c>
      <c r="C202" s="244" t="s">
        <v>52</v>
      </c>
      <c r="D202" s="244"/>
      <c r="E202" s="245"/>
    </row>
    <row r="203" spans="1:5" ht="30">
      <c r="A203" s="242"/>
      <c r="B203" s="243" t="s">
        <v>59</v>
      </c>
      <c r="C203" s="244" t="s">
        <v>60</v>
      </c>
      <c r="D203" s="244"/>
      <c r="E203" s="245"/>
    </row>
    <row r="204" spans="1:5">
      <c r="A204" s="242"/>
      <c r="B204" s="243" t="s">
        <v>25</v>
      </c>
      <c r="C204" s="244" t="s">
        <v>129</v>
      </c>
      <c r="D204" s="245"/>
      <c r="E204" s="245"/>
    </row>
  </sheetData>
  <sheetProtection password="CB1D" sheet="1" objects="1" scenarios="1"/>
  <mergeCells count="1">
    <mergeCell ref="A15:Q15"/>
  </mergeCells>
  <dataValidations count="3">
    <dataValidation type="whole" allowBlank="1" showInputMessage="1" showErrorMessage="1" sqref="D2:E14">
      <formula1>1</formula1>
      <formula2>50</formula2>
    </dataValidation>
    <dataValidation type="list" allowBlank="1" showInputMessage="1" showErrorMessage="1" sqref="F2:F14">
      <formula1>CorC</formula1>
    </dataValidation>
    <dataValidation type="list" allowBlank="1" showInputMessage="1" showErrorMessage="1" sqref="G2:G14">
      <formula1>DomorOver</formula1>
    </dataValidation>
  </dataValidations>
  <pageMargins left="0.25" right="0.25" top="0.75" bottom="0.75" header="0.3" footer="0.3"/>
  <pageSetup paperSize="5" orientation="landscape" r:id="rId1"/>
  <headerFooter>
    <oddHeader>&amp;LEnvironmental Services&amp;CSolicitation TFTP-EW-990899-B (Refresh #17)&amp;R Pricing Proposal Template</oddHeader>
    <oddFooter>&amp;L&amp;A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30"/>
  <sheetViews>
    <sheetView showGridLines="0" showRuler="0" view="pageLayout" zoomScale="110" zoomScaleNormal="100" zoomScaleSheetLayoutView="100" zoomScalePageLayoutView="110" workbookViewId="0">
      <selection activeCell="A3" sqref="A3"/>
    </sheetView>
  </sheetViews>
  <sheetFormatPr defaultRowHeight="15"/>
  <cols>
    <col min="1" max="1" width="7.28515625" style="45" bestFit="1" customWidth="1"/>
    <col min="2" max="2" width="16.85546875" style="40" customWidth="1"/>
    <col min="3" max="3" width="10.85546875" style="46" customWidth="1"/>
    <col min="4" max="4" width="9.140625" style="47" bestFit="1" customWidth="1"/>
    <col min="5" max="5" width="14.28515625" style="41" customWidth="1"/>
    <col min="6" max="6" width="12.5703125" style="41" customWidth="1"/>
    <col min="7" max="7" width="9.140625" style="48" bestFit="1" customWidth="1"/>
    <col min="8" max="8" width="7" style="49" customWidth="1"/>
    <col min="9" max="9" width="13.28515625" style="46" customWidth="1"/>
    <col min="10" max="10" width="9.140625" style="50" bestFit="1" customWidth="1"/>
    <col min="11" max="11" width="10.42578125" style="48" customWidth="1"/>
    <col min="12" max="12" width="9.5703125" style="46" bestFit="1" customWidth="1"/>
    <col min="13" max="13" width="10.42578125" style="48" customWidth="1"/>
    <col min="14" max="14" width="9.28515625" style="50" bestFit="1" customWidth="1"/>
    <col min="15" max="15" width="10.5703125" style="48" customWidth="1"/>
    <col min="16" max="16" width="11" style="48" customWidth="1"/>
    <col min="17" max="16384" width="9.140625" style="46"/>
  </cols>
  <sheetData>
    <row r="1" spans="1:16" s="11" customFormat="1" ht="67.5">
      <c r="A1" s="4" t="s">
        <v>36</v>
      </c>
      <c r="B1" s="4" t="s">
        <v>124</v>
      </c>
      <c r="C1" s="4" t="s">
        <v>37</v>
      </c>
      <c r="D1" s="5" t="s">
        <v>38</v>
      </c>
      <c r="E1" s="5" t="s">
        <v>39</v>
      </c>
      <c r="F1" s="5" t="s">
        <v>40</v>
      </c>
      <c r="G1" s="6" t="s">
        <v>41</v>
      </c>
      <c r="H1" s="4" t="s">
        <v>113</v>
      </c>
      <c r="I1" s="4" t="s">
        <v>43</v>
      </c>
      <c r="J1" s="7" t="s">
        <v>44</v>
      </c>
      <c r="K1" s="8" t="s">
        <v>45</v>
      </c>
      <c r="L1" s="9" t="s">
        <v>46</v>
      </c>
      <c r="M1" s="8" t="s">
        <v>47</v>
      </c>
      <c r="N1" s="10" t="s">
        <v>48</v>
      </c>
      <c r="O1" s="8" t="s">
        <v>49</v>
      </c>
      <c r="P1" s="8" t="s">
        <v>50</v>
      </c>
    </row>
    <row r="2" spans="1:16" s="24" customFormat="1" ht="24">
      <c r="A2" s="19" t="s">
        <v>56</v>
      </c>
      <c r="B2" s="20" t="s">
        <v>57</v>
      </c>
      <c r="C2" s="20" t="s">
        <v>58</v>
      </c>
      <c r="D2" s="21">
        <v>0</v>
      </c>
      <c r="E2" s="21" t="s">
        <v>59</v>
      </c>
      <c r="F2" s="21" t="s">
        <v>60</v>
      </c>
      <c r="G2" s="22">
        <v>100</v>
      </c>
      <c r="H2" s="19" t="s">
        <v>61</v>
      </c>
      <c r="I2" s="20" t="s">
        <v>62</v>
      </c>
      <c r="J2" s="77">
        <v>0</v>
      </c>
      <c r="K2" s="23">
        <f t="shared" ref="K2:K14" si="0">G2-SUM(G2*J2)</f>
        <v>100</v>
      </c>
      <c r="L2" s="19" t="s">
        <v>63</v>
      </c>
      <c r="M2" s="22" t="s">
        <v>63</v>
      </c>
      <c r="N2" s="77">
        <v>0.05</v>
      </c>
      <c r="O2" s="23">
        <f t="shared" ref="O2:O14" si="1">G2-SUM(G2*N2)</f>
        <v>95</v>
      </c>
      <c r="P2" s="17">
        <f t="shared" ref="P2:P14" si="2">O2/0.9925</f>
        <v>95.71788413098237</v>
      </c>
    </row>
    <row r="3" spans="1:16" s="24" customFormat="1" ht="30" customHeight="1">
      <c r="A3" s="25"/>
      <c r="B3" s="26"/>
      <c r="C3" s="27"/>
      <c r="D3" s="28"/>
      <c r="E3" s="28"/>
      <c r="F3" s="28"/>
      <c r="G3" s="29"/>
      <c r="H3" s="25"/>
      <c r="I3" s="27"/>
      <c r="J3" s="78"/>
      <c r="K3" s="30">
        <f t="shared" si="0"/>
        <v>0</v>
      </c>
      <c r="L3" s="31"/>
      <c r="M3" s="32"/>
      <c r="N3" s="79"/>
      <c r="O3" s="30">
        <f t="shared" si="1"/>
        <v>0</v>
      </c>
      <c r="P3" s="33">
        <f t="shared" si="2"/>
        <v>0</v>
      </c>
    </row>
    <row r="4" spans="1:16" s="24" customFormat="1" ht="30" customHeight="1">
      <c r="A4" s="25"/>
      <c r="B4" s="26"/>
      <c r="C4" s="27"/>
      <c r="D4" s="28"/>
      <c r="E4" s="28"/>
      <c r="F4" s="28"/>
      <c r="G4" s="29"/>
      <c r="H4" s="25"/>
      <c r="I4" s="27"/>
      <c r="J4" s="78"/>
      <c r="K4" s="30">
        <f t="shared" si="0"/>
        <v>0</v>
      </c>
      <c r="L4" s="31"/>
      <c r="M4" s="32"/>
      <c r="N4" s="79"/>
      <c r="O4" s="30">
        <f t="shared" si="1"/>
        <v>0</v>
      </c>
      <c r="P4" s="33">
        <f t="shared" si="2"/>
        <v>0</v>
      </c>
    </row>
    <row r="5" spans="1:16" s="24" customFormat="1" ht="30" customHeight="1">
      <c r="A5" s="25"/>
      <c r="B5" s="26"/>
      <c r="C5" s="27"/>
      <c r="D5" s="28"/>
      <c r="E5" s="28"/>
      <c r="F5" s="28"/>
      <c r="G5" s="29"/>
      <c r="H5" s="25"/>
      <c r="I5" s="27"/>
      <c r="J5" s="78"/>
      <c r="K5" s="30">
        <f t="shared" si="0"/>
        <v>0</v>
      </c>
      <c r="L5" s="31"/>
      <c r="M5" s="32"/>
      <c r="N5" s="79"/>
      <c r="O5" s="30">
        <f t="shared" si="1"/>
        <v>0</v>
      </c>
      <c r="P5" s="33">
        <f t="shared" si="2"/>
        <v>0</v>
      </c>
    </row>
    <row r="6" spans="1:16" s="24" customFormat="1" ht="30" customHeight="1">
      <c r="A6" s="25"/>
      <c r="B6" s="26"/>
      <c r="C6" s="27"/>
      <c r="D6" s="28"/>
      <c r="E6" s="28"/>
      <c r="F6" s="28"/>
      <c r="G6" s="29"/>
      <c r="H6" s="25"/>
      <c r="I6" s="27"/>
      <c r="J6" s="78"/>
      <c r="K6" s="30">
        <f t="shared" si="0"/>
        <v>0</v>
      </c>
      <c r="L6" s="31"/>
      <c r="M6" s="32"/>
      <c r="N6" s="79"/>
      <c r="O6" s="30">
        <f t="shared" si="1"/>
        <v>0</v>
      </c>
      <c r="P6" s="33">
        <f t="shared" si="2"/>
        <v>0</v>
      </c>
    </row>
    <row r="7" spans="1:16" s="24" customFormat="1" ht="30" customHeight="1">
      <c r="A7" s="25"/>
      <c r="B7" s="26"/>
      <c r="C7" s="27"/>
      <c r="D7" s="28"/>
      <c r="E7" s="28"/>
      <c r="F7" s="28"/>
      <c r="G7" s="29"/>
      <c r="H7" s="25"/>
      <c r="I7" s="27"/>
      <c r="J7" s="78"/>
      <c r="K7" s="30">
        <f t="shared" si="0"/>
        <v>0</v>
      </c>
      <c r="L7" s="31"/>
      <c r="M7" s="32"/>
      <c r="N7" s="79"/>
      <c r="O7" s="30">
        <f t="shared" si="1"/>
        <v>0</v>
      </c>
      <c r="P7" s="33">
        <f t="shared" si="2"/>
        <v>0</v>
      </c>
    </row>
    <row r="8" spans="1:16" s="24" customFormat="1" ht="30" customHeight="1">
      <c r="A8" s="25"/>
      <c r="B8" s="26"/>
      <c r="C8" s="27"/>
      <c r="D8" s="28"/>
      <c r="E8" s="28"/>
      <c r="F8" s="28"/>
      <c r="G8" s="29"/>
      <c r="H8" s="25"/>
      <c r="I8" s="27"/>
      <c r="J8" s="78"/>
      <c r="K8" s="30">
        <f t="shared" si="0"/>
        <v>0</v>
      </c>
      <c r="L8" s="31"/>
      <c r="M8" s="32"/>
      <c r="N8" s="79"/>
      <c r="O8" s="30">
        <f t="shared" si="1"/>
        <v>0</v>
      </c>
      <c r="P8" s="33">
        <f t="shared" si="2"/>
        <v>0</v>
      </c>
    </row>
    <row r="9" spans="1:16" s="24" customFormat="1" ht="30" customHeight="1">
      <c r="A9" s="25"/>
      <c r="B9" s="26"/>
      <c r="C9" s="27"/>
      <c r="D9" s="28"/>
      <c r="E9" s="28"/>
      <c r="F9" s="28"/>
      <c r="G9" s="29"/>
      <c r="H9" s="25"/>
      <c r="I9" s="27"/>
      <c r="J9" s="78"/>
      <c r="K9" s="30">
        <f t="shared" si="0"/>
        <v>0</v>
      </c>
      <c r="L9" s="31"/>
      <c r="M9" s="32"/>
      <c r="N9" s="79"/>
      <c r="O9" s="30">
        <f t="shared" si="1"/>
        <v>0</v>
      </c>
      <c r="P9" s="33">
        <f t="shared" si="2"/>
        <v>0</v>
      </c>
    </row>
    <row r="10" spans="1:16" s="24" customFormat="1" ht="30" customHeight="1">
      <c r="A10" s="25"/>
      <c r="B10" s="26"/>
      <c r="C10" s="27"/>
      <c r="D10" s="28"/>
      <c r="E10" s="28"/>
      <c r="F10" s="28"/>
      <c r="G10" s="29"/>
      <c r="H10" s="25"/>
      <c r="I10" s="27"/>
      <c r="J10" s="78"/>
      <c r="K10" s="30">
        <f t="shared" si="0"/>
        <v>0</v>
      </c>
      <c r="L10" s="31"/>
      <c r="M10" s="32"/>
      <c r="N10" s="79"/>
      <c r="O10" s="30">
        <f t="shared" si="1"/>
        <v>0</v>
      </c>
      <c r="P10" s="33">
        <f t="shared" si="2"/>
        <v>0</v>
      </c>
    </row>
    <row r="11" spans="1:16" s="24" customFormat="1" ht="30" customHeight="1">
      <c r="A11" s="25"/>
      <c r="B11" s="26"/>
      <c r="C11" s="27"/>
      <c r="D11" s="28"/>
      <c r="E11" s="28"/>
      <c r="F11" s="28"/>
      <c r="G11" s="29"/>
      <c r="H11" s="25"/>
      <c r="I11" s="27"/>
      <c r="J11" s="78"/>
      <c r="K11" s="30">
        <f t="shared" si="0"/>
        <v>0</v>
      </c>
      <c r="L11" s="31"/>
      <c r="M11" s="32"/>
      <c r="N11" s="79"/>
      <c r="O11" s="30">
        <f t="shared" si="1"/>
        <v>0</v>
      </c>
      <c r="P11" s="33">
        <f t="shared" si="2"/>
        <v>0</v>
      </c>
    </row>
    <row r="12" spans="1:16" s="24" customFormat="1" ht="30" customHeight="1">
      <c r="A12" s="25"/>
      <c r="B12" s="26"/>
      <c r="C12" s="27"/>
      <c r="D12" s="28"/>
      <c r="E12" s="28"/>
      <c r="F12" s="28"/>
      <c r="G12" s="29"/>
      <c r="H12" s="25"/>
      <c r="I12" s="27"/>
      <c r="J12" s="78"/>
      <c r="K12" s="30">
        <f t="shared" si="0"/>
        <v>0</v>
      </c>
      <c r="L12" s="31"/>
      <c r="M12" s="32"/>
      <c r="N12" s="79"/>
      <c r="O12" s="30">
        <f t="shared" si="1"/>
        <v>0</v>
      </c>
      <c r="P12" s="33">
        <f t="shared" si="2"/>
        <v>0</v>
      </c>
    </row>
    <row r="13" spans="1:16" s="24" customFormat="1" ht="30" customHeight="1">
      <c r="A13" s="25"/>
      <c r="B13" s="26"/>
      <c r="C13" s="27"/>
      <c r="D13" s="28"/>
      <c r="E13" s="28"/>
      <c r="F13" s="28"/>
      <c r="G13" s="29"/>
      <c r="H13" s="25"/>
      <c r="I13" s="27"/>
      <c r="J13" s="78"/>
      <c r="K13" s="30">
        <f t="shared" si="0"/>
        <v>0</v>
      </c>
      <c r="L13" s="31"/>
      <c r="M13" s="32"/>
      <c r="N13" s="79"/>
      <c r="O13" s="30">
        <f t="shared" si="1"/>
        <v>0</v>
      </c>
      <c r="P13" s="33">
        <f t="shared" si="2"/>
        <v>0</v>
      </c>
    </row>
    <row r="14" spans="1:16" s="24" customFormat="1" ht="30" customHeight="1">
      <c r="A14" s="25"/>
      <c r="B14" s="26"/>
      <c r="C14" s="27"/>
      <c r="D14" s="28"/>
      <c r="E14" s="28"/>
      <c r="F14" s="28"/>
      <c r="G14" s="29"/>
      <c r="H14" s="25"/>
      <c r="I14" s="27"/>
      <c r="J14" s="78"/>
      <c r="K14" s="30">
        <f t="shared" si="0"/>
        <v>0</v>
      </c>
      <c r="L14" s="31"/>
      <c r="M14" s="32"/>
      <c r="N14" s="79"/>
      <c r="O14" s="30">
        <f t="shared" si="1"/>
        <v>0</v>
      </c>
      <c r="P14" s="33">
        <f t="shared" si="2"/>
        <v>0</v>
      </c>
    </row>
    <row r="15" spans="1:16" s="24" customFormat="1" ht="52.5" customHeight="1">
      <c r="A15" s="241" t="s">
        <v>64</v>
      </c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</row>
    <row r="16" spans="1:16" s="24" customFormat="1" ht="21.75" customHeight="1">
      <c r="A16" s="34"/>
      <c r="D16" s="35"/>
      <c r="E16" s="35"/>
      <c r="F16" s="35"/>
      <c r="G16" s="36"/>
      <c r="H16" s="37"/>
      <c r="J16" s="38"/>
      <c r="K16" s="36"/>
      <c r="M16" s="36"/>
      <c r="N16" s="38"/>
      <c r="O16" s="36"/>
      <c r="P16" s="36"/>
    </row>
    <row r="17" spans="1:16" s="24" customFormat="1" ht="21.75" customHeight="1">
      <c r="A17" s="34"/>
      <c r="D17" s="35"/>
      <c r="E17" s="35"/>
      <c r="F17" s="35"/>
      <c r="G17" s="36"/>
      <c r="H17" s="37"/>
      <c r="J17" s="38"/>
      <c r="K17" s="36"/>
      <c r="M17" s="36"/>
      <c r="N17" s="38"/>
      <c r="O17" s="36"/>
      <c r="P17" s="36"/>
    </row>
    <row r="18" spans="1:16" s="24" customFormat="1" ht="21.75" customHeight="1">
      <c r="A18" s="34"/>
      <c r="D18" s="35"/>
      <c r="E18" s="35"/>
      <c r="F18" s="35"/>
      <c r="G18" s="36"/>
      <c r="H18" s="37"/>
      <c r="J18" s="38"/>
      <c r="K18" s="36"/>
      <c r="M18" s="36"/>
      <c r="N18" s="38"/>
      <c r="O18" s="36"/>
      <c r="P18" s="36"/>
    </row>
    <row r="19" spans="1:16" s="24" customFormat="1" ht="21.75" customHeight="1">
      <c r="A19" s="34"/>
      <c r="D19" s="35"/>
      <c r="E19" s="35"/>
      <c r="F19" s="35"/>
      <c r="G19" s="36"/>
      <c r="H19" s="37"/>
      <c r="J19" s="38"/>
      <c r="K19" s="36"/>
      <c r="M19" s="36"/>
      <c r="N19" s="38"/>
      <c r="O19" s="36"/>
      <c r="P19" s="36"/>
    </row>
    <row r="20" spans="1:16" s="24" customFormat="1" ht="21.75" customHeight="1">
      <c r="A20" s="34"/>
      <c r="D20" s="35"/>
      <c r="E20" s="35"/>
      <c r="F20" s="35"/>
      <c r="G20" s="36"/>
      <c r="H20" s="37"/>
      <c r="J20" s="38"/>
      <c r="K20" s="36"/>
      <c r="M20" s="36"/>
      <c r="N20" s="38"/>
      <c r="O20" s="36"/>
      <c r="P20" s="36"/>
    </row>
    <row r="21" spans="1:16" s="24" customFormat="1" ht="21.75" customHeight="1">
      <c r="A21" s="34"/>
      <c r="D21" s="35"/>
      <c r="E21" s="35"/>
      <c r="F21" s="35"/>
      <c r="G21" s="36"/>
      <c r="H21" s="37"/>
      <c r="J21" s="38"/>
      <c r="K21" s="36"/>
      <c r="M21" s="36"/>
      <c r="N21" s="38"/>
      <c r="O21" s="36"/>
      <c r="P21" s="36"/>
    </row>
    <row r="22" spans="1:16" s="24" customFormat="1" ht="21.75" customHeight="1">
      <c r="A22" s="34"/>
      <c r="D22" s="35"/>
      <c r="E22" s="35"/>
      <c r="F22" s="35"/>
      <c r="G22" s="36"/>
      <c r="H22" s="37"/>
      <c r="J22" s="38"/>
      <c r="K22" s="36"/>
      <c r="M22" s="36"/>
      <c r="N22" s="38"/>
      <c r="O22" s="36"/>
      <c r="P22" s="36"/>
    </row>
    <row r="23" spans="1:16" s="24" customFormat="1" ht="21.75" customHeight="1">
      <c r="A23" s="34"/>
      <c r="D23" s="35"/>
      <c r="E23" s="35"/>
      <c r="F23" s="35"/>
      <c r="G23" s="36"/>
      <c r="H23" s="37"/>
      <c r="J23" s="38"/>
      <c r="K23" s="36"/>
      <c r="M23" s="36"/>
      <c r="N23" s="38"/>
      <c r="O23" s="36"/>
      <c r="P23" s="36"/>
    </row>
    <row r="24" spans="1:16" s="40" customFormat="1" ht="21.75" customHeight="1">
      <c r="A24" s="39"/>
      <c r="D24" s="41"/>
      <c r="E24" s="41"/>
      <c r="F24" s="41"/>
      <c r="G24" s="42"/>
      <c r="H24" s="43"/>
      <c r="J24" s="44"/>
      <c r="K24" s="42"/>
      <c r="M24" s="42"/>
      <c r="N24" s="44"/>
      <c r="O24" s="42"/>
      <c r="P24" s="42"/>
    </row>
    <row r="25" spans="1:16" s="40" customFormat="1" ht="21.75" customHeight="1">
      <c r="A25" s="39"/>
      <c r="D25" s="41"/>
      <c r="E25" s="41"/>
      <c r="F25" s="41"/>
      <c r="G25" s="42"/>
      <c r="H25" s="43"/>
      <c r="J25" s="44"/>
      <c r="K25" s="42"/>
      <c r="M25" s="42"/>
      <c r="N25" s="44"/>
      <c r="O25" s="42"/>
      <c r="P25" s="42"/>
    </row>
    <row r="26" spans="1:16" s="40" customFormat="1" ht="21.75" customHeight="1">
      <c r="A26" s="39"/>
      <c r="D26" s="41"/>
      <c r="E26" s="41"/>
      <c r="F26" s="41"/>
      <c r="G26" s="42"/>
      <c r="H26" s="43"/>
      <c r="J26" s="44"/>
      <c r="K26" s="42"/>
      <c r="M26" s="42"/>
      <c r="N26" s="44"/>
      <c r="O26" s="42"/>
      <c r="P26" s="42"/>
    </row>
    <row r="27" spans="1:16" s="40" customFormat="1" ht="21.75" customHeight="1">
      <c r="A27" s="39"/>
      <c r="D27" s="41"/>
      <c r="E27" s="41"/>
      <c r="F27" s="41"/>
      <c r="G27" s="42"/>
      <c r="H27" s="43"/>
      <c r="J27" s="44"/>
      <c r="K27" s="42"/>
      <c r="M27" s="42"/>
      <c r="N27" s="44"/>
      <c r="O27" s="42"/>
      <c r="P27" s="42"/>
    </row>
    <row r="28" spans="1:16" s="40" customFormat="1" ht="21.75" customHeight="1">
      <c r="A28" s="39"/>
      <c r="D28" s="41"/>
      <c r="E28" s="41"/>
      <c r="F28" s="41"/>
      <c r="G28" s="42"/>
      <c r="H28" s="43"/>
      <c r="J28" s="44"/>
      <c r="K28" s="42"/>
      <c r="M28" s="42"/>
      <c r="N28" s="44"/>
      <c r="O28" s="42"/>
      <c r="P28" s="42"/>
    </row>
    <row r="29" spans="1:16" s="40" customFormat="1" ht="21.75" customHeight="1">
      <c r="A29" s="39"/>
      <c r="D29" s="41"/>
      <c r="E29" s="41"/>
      <c r="F29" s="41"/>
      <c r="G29" s="42"/>
      <c r="H29" s="43"/>
      <c r="J29" s="44"/>
      <c r="K29" s="42"/>
      <c r="M29" s="42"/>
      <c r="N29" s="44"/>
      <c r="O29" s="42"/>
      <c r="P29" s="42"/>
    </row>
    <row r="30" spans="1:16" ht="21.75" customHeight="1"/>
  </sheetData>
  <sheetProtection password="CB1D" sheet="1" objects="1" scenarios="1" selectLockedCells="1"/>
  <mergeCells count="1">
    <mergeCell ref="A15:P15"/>
  </mergeCells>
  <dataValidations count="5">
    <dataValidation type="whole" allowBlank="1" showInputMessage="1" showErrorMessage="1" sqref="D2:D14">
      <formula1>0</formula1>
      <formula2>50</formula2>
    </dataValidation>
    <dataValidation type="list" allowBlank="1" showInputMessage="1" showErrorMessage="1" sqref="F2:F14">
      <formula1>DomorOver</formula1>
    </dataValidation>
    <dataValidation type="list" allowBlank="1" showInputMessage="1" showErrorMessage="1" sqref="E2:E14">
      <formula1>CorC</formula1>
    </dataValidation>
    <dataValidation type="list" allowBlank="1" showInputMessage="1" showErrorMessage="1" sqref="C3:C14">
      <formula1>MinEdu</formula1>
    </dataValidation>
    <dataValidation type="list" allowBlank="1" showInputMessage="1" showErrorMessage="1" sqref="C2">
      <formula1>MinEdu</formula1>
    </dataValidation>
  </dataValidations>
  <pageMargins left="0.25" right="0.25" top="0.75" bottom="0.75" header="0.3" footer="0.3"/>
  <pageSetup paperSize="5" scale="97" orientation="landscape" r:id="rId1"/>
  <headerFooter>
    <oddHeader>&amp;LEnvironmental Services&amp;CSolicitation TFTP-EW-990899-B (Refresh #17)&amp;R Pricing Proposal Template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P30"/>
  <sheetViews>
    <sheetView view="pageLayout" zoomScaleNormal="100" workbookViewId="0">
      <selection activeCell="A3" sqref="A3"/>
    </sheetView>
  </sheetViews>
  <sheetFormatPr defaultRowHeight="15"/>
  <cols>
    <col min="1" max="1" width="7.28515625" style="45" bestFit="1" customWidth="1"/>
    <col min="2" max="2" width="12.28515625" style="40" bestFit="1" customWidth="1"/>
    <col min="3" max="3" width="10.85546875" style="46" customWidth="1"/>
    <col min="4" max="4" width="9.140625" style="47" bestFit="1" customWidth="1"/>
    <col min="5" max="5" width="14.28515625" style="41" customWidth="1"/>
    <col min="6" max="6" width="12.5703125" style="41" customWidth="1"/>
    <col min="7" max="7" width="9.140625" style="48" bestFit="1" customWidth="1"/>
    <col min="8" max="8" width="7" style="49" customWidth="1"/>
    <col min="9" max="9" width="16.5703125" style="46" customWidth="1"/>
    <col min="10" max="10" width="9.140625" style="50" bestFit="1" customWidth="1"/>
    <col min="11" max="11" width="10.42578125" style="48" customWidth="1"/>
    <col min="12" max="12" width="9.5703125" style="46" bestFit="1" customWidth="1"/>
    <col min="13" max="13" width="10.42578125" style="48" customWidth="1"/>
    <col min="14" max="14" width="9.28515625" style="50" bestFit="1" customWidth="1"/>
    <col min="15" max="15" width="10.5703125" style="48" customWidth="1"/>
    <col min="16" max="16" width="11" style="48" customWidth="1"/>
    <col min="17" max="16384" width="9.140625" style="46"/>
  </cols>
  <sheetData>
    <row r="1" spans="1:16" s="11" customFormat="1" ht="67.5">
      <c r="A1" s="4" t="s">
        <v>36</v>
      </c>
      <c r="B1" s="4" t="s">
        <v>74</v>
      </c>
      <c r="C1" s="4" t="s">
        <v>75</v>
      </c>
      <c r="D1" s="5" t="s">
        <v>76</v>
      </c>
      <c r="E1" s="5" t="s">
        <v>39</v>
      </c>
      <c r="F1" s="5" t="s">
        <v>40</v>
      </c>
      <c r="G1" s="6" t="s">
        <v>41</v>
      </c>
      <c r="H1" s="4" t="s">
        <v>42</v>
      </c>
      <c r="I1" s="4" t="s">
        <v>43</v>
      </c>
      <c r="J1" s="7" t="s">
        <v>44</v>
      </c>
      <c r="K1" s="8" t="s">
        <v>45</v>
      </c>
      <c r="L1" s="9" t="s">
        <v>46</v>
      </c>
      <c r="M1" s="8" t="s">
        <v>47</v>
      </c>
      <c r="N1" s="10" t="s">
        <v>48</v>
      </c>
      <c r="O1" s="8" t="s">
        <v>49</v>
      </c>
      <c r="P1" s="8" t="s">
        <v>50</v>
      </c>
    </row>
    <row r="2" spans="1:16" s="18" customFormat="1" ht="12">
      <c r="A2" s="12" t="s">
        <v>51</v>
      </c>
      <c r="B2" s="13"/>
      <c r="C2" s="14"/>
      <c r="D2" s="15"/>
      <c r="E2" s="16" t="s">
        <v>59</v>
      </c>
      <c r="F2" s="16" t="s">
        <v>52</v>
      </c>
      <c r="G2" s="17">
        <v>10</v>
      </c>
      <c r="H2" s="12" t="s">
        <v>53</v>
      </c>
      <c r="I2" s="12" t="s">
        <v>54</v>
      </c>
      <c r="J2" s="76">
        <v>0.01</v>
      </c>
      <c r="K2" s="17">
        <f>G2-SUM(G2*J2)</f>
        <v>9.9</v>
      </c>
      <c r="L2" s="12" t="s">
        <v>55</v>
      </c>
      <c r="M2" s="17">
        <v>9</v>
      </c>
      <c r="N2" s="76">
        <v>0.1</v>
      </c>
      <c r="O2" s="17">
        <f>G2-SUM(G2*N2)</f>
        <v>9</v>
      </c>
      <c r="P2" s="17">
        <f>O2/0.9925</f>
        <v>9.0680100755667503</v>
      </c>
    </row>
    <row r="3" spans="1:16" s="24" customFormat="1" ht="30" customHeight="1">
      <c r="A3" s="25"/>
      <c r="B3" s="27"/>
      <c r="C3" s="27"/>
      <c r="D3" s="28"/>
      <c r="E3" s="28"/>
      <c r="F3" s="28"/>
      <c r="G3" s="29"/>
      <c r="H3" s="25"/>
      <c r="I3" s="27"/>
      <c r="J3" s="78"/>
      <c r="K3" s="52">
        <f t="shared" ref="K3:K14" si="0">G3-SUM(G3*J3)</f>
        <v>0</v>
      </c>
      <c r="L3" s="51"/>
      <c r="M3" s="32"/>
      <c r="N3" s="79"/>
      <c r="O3" s="52">
        <f t="shared" ref="O3:O14" si="1">G3-SUM(G3*N3)</f>
        <v>0</v>
      </c>
      <c r="P3" s="53">
        <f t="shared" ref="P3:P14" si="2">O3/0.9925</f>
        <v>0</v>
      </c>
    </row>
    <row r="4" spans="1:16" s="24" customFormat="1" ht="30" customHeight="1">
      <c r="A4" s="25"/>
      <c r="B4" s="26"/>
      <c r="C4" s="27"/>
      <c r="D4" s="28"/>
      <c r="E4" s="28"/>
      <c r="F4" s="28"/>
      <c r="G4" s="29"/>
      <c r="H4" s="25"/>
      <c r="I4" s="27"/>
      <c r="J4" s="78"/>
      <c r="K4" s="52">
        <f t="shared" si="0"/>
        <v>0</v>
      </c>
      <c r="L4" s="51"/>
      <c r="M4" s="32"/>
      <c r="N4" s="79"/>
      <c r="O4" s="52">
        <f t="shared" si="1"/>
        <v>0</v>
      </c>
      <c r="P4" s="53">
        <f t="shared" si="2"/>
        <v>0</v>
      </c>
    </row>
    <row r="5" spans="1:16" s="24" customFormat="1" ht="30" customHeight="1">
      <c r="A5" s="25"/>
      <c r="B5" s="26"/>
      <c r="C5" s="27"/>
      <c r="D5" s="28"/>
      <c r="E5" s="28"/>
      <c r="F5" s="28"/>
      <c r="G5" s="29"/>
      <c r="H5" s="25"/>
      <c r="I5" s="27"/>
      <c r="J5" s="78"/>
      <c r="K5" s="52">
        <f t="shared" si="0"/>
        <v>0</v>
      </c>
      <c r="L5" s="51"/>
      <c r="M5" s="32"/>
      <c r="N5" s="79"/>
      <c r="O5" s="52">
        <f t="shared" si="1"/>
        <v>0</v>
      </c>
      <c r="P5" s="53">
        <f t="shared" si="2"/>
        <v>0</v>
      </c>
    </row>
    <row r="6" spans="1:16" s="24" customFormat="1" ht="30" customHeight="1">
      <c r="A6" s="25"/>
      <c r="B6" s="26"/>
      <c r="C6" s="27"/>
      <c r="D6" s="28"/>
      <c r="E6" s="28"/>
      <c r="F6" s="28"/>
      <c r="G6" s="29"/>
      <c r="H6" s="25"/>
      <c r="I6" s="27"/>
      <c r="J6" s="78"/>
      <c r="K6" s="52">
        <f t="shared" si="0"/>
        <v>0</v>
      </c>
      <c r="L6" s="51"/>
      <c r="M6" s="32"/>
      <c r="N6" s="79"/>
      <c r="O6" s="52">
        <f t="shared" si="1"/>
        <v>0</v>
      </c>
      <c r="P6" s="53">
        <f t="shared" si="2"/>
        <v>0</v>
      </c>
    </row>
    <row r="7" spans="1:16" s="24" customFormat="1" ht="30" customHeight="1">
      <c r="A7" s="25"/>
      <c r="B7" s="26"/>
      <c r="C7" s="27"/>
      <c r="D7" s="28"/>
      <c r="E7" s="28"/>
      <c r="F7" s="28"/>
      <c r="G7" s="29"/>
      <c r="H7" s="25"/>
      <c r="I7" s="27"/>
      <c r="J7" s="78"/>
      <c r="K7" s="52">
        <f t="shared" si="0"/>
        <v>0</v>
      </c>
      <c r="L7" s="51"/>
      <c r="M7" s="32"/>
      <c r="N7" s="79"/>
      <c r="O7" s="52">
        <f t="shared" si="1"/>
        <v>0</v>
      </c>
      <c r="P7" s="53">
        <f t="shared" si="2"/>
        <v>0</v>
      </c>
    </row>
    <row r="8" spans="1:16" s="24" customFormat="1" ht="30" customHeight="1">
      <c r="A8" s="25"/>
      <c r="B8" s="26"/>
      <c r="C8" s="27"/>
      <c r="D8" s="28"/>
      <c r="E8" s="28"/>
      <c r="F8" s="28"/>
      <c r="G8" s="29"/>
      <c r="H8" s="25"/>
      <c r="I8" s="27"/>
      <c r="J8" s="78"/>
      <c r="K8" s="52">
        <f t="shared" si="0"/>
        <v>0</v>
      </c>
      <c r="L8" s="51"/>
      <c r="M8" s="32"/>
      <c r="N8" s="79"/>
      <c r="O8" s="52">
        <f t="shared" si="1"/>
        <v>0</v>
      </c>
      <c r="P8" s="53">
        <f t="shared" si="2"/>
        <v>0</v>
      </c>
    </row>
    <row r="9" spans="1:16" s="24" customFormat="1" ht="30" customHeight="1">
      <c r="A9" s="25"/>
      <c r="B9" s="26"/>
      <c r="C9" s="27"/>
      <c r="D9" s="28"/>
      <c r="E9" s="28"/>
      <c r="F9" s="28"/>
      <c r="G9" s="29"/>
      <c r="H9" s="25"/>
      <c r="I9" s="27"/>
      <c r="J9" s="78"/>
      <c r="K9" s="52">
        <f t="shared" si="0"/>
        <v>0</v>
      </c>
      <c r="L9" s="51"/>
      <c r="M9" s="32"/>
      <c r="N9" s="79"/>
      <c r="O9" s="52">
        <f t="shared" si="1"/>
        <v>0</v>
      </c>
      <c r="P9" s="53">
        <f t="shared" si="2"/>
        <v>0</v>
      </c>
    </row>
    <row r="10" spans="1:16" s="24" customFormat="1" ht="30" customHeight="1">
      <c r="A10" s="25"/>
      <c r="B10" s="26"/>
      <c r="C10" s="27"/>
      <c r="D10" s="28"/>
      <c r="E10" s="28"/>
      <c r="F10" s="28"/>
      <c r="G10" s="29"/>
      <c r="H10" s="25"/>
      <c r="I10" s="27"/>
      <c r="J10" s="78"/>
      <c r="K10" s="52">
        <f t="shared" si="0"/>
        <v>0</v>
      </c>
      <c r="L10" s="51"/>
      <c r="M10" s="32"/>
      <c r="N10" s="79"/>
      <c r="O10" s="52">
        <f t="shared" si="1"/>
        <v>0</v>
      </c>
      <c r="P10" s="53">
        <f t="shared" si="2"/>
        <v>0</v>
      </c>
    </row>
    <row r="11" spans="1:16" s="24" customFormat="1" ht="30" customHeight="1">
      <c r="A11" s="25"/>
      <c r="B11" s="26"/>
      <c r="C11" s="27"/>
      <c r="D11" s="28"/>
      <c r="E11" s="28"/>
      <c r="F11" s="28"/>
      <c r="G11" s="29"/>
      <c r="H11" s="25"/>
      <c r="I11" s="27"/>
      <c r="J11" s="78"/>
      <c r="K11" s="52">
        <f t="shared" si="0"/>
        <v>0</v>
      </c>
      <c r="L11" s="51"/>
      <c r="M11" s="32"/>
      <c r="N11" s="79"/>
      <c r="O11" s="52">
        <f t="shared" si="1"/>
        <v>0</v>
      </c>
      <c r="P11" s="53">
        <f t="shared" si="2"/>
        <v>0</v>
      </c>
    </row>
    <row r="12" spans="1:16" s="24" customFormat="1" ht="30" customHeight="1">
      <c r="A12" s="25"/>
      <c r="B12" s="26"/>
      <c r="C12" s="27"/>
      <c r="D12" s="28"/>
      <c r="E12" s="28"/>
      <c r="F12" s="28"/>
      <c r="G12" s="29"/>
      <c r="H12" s="25"/>
      <c r="I12" s="27"/>
      <c r="J12" s="78"/>
      <c r="K12" s="52">
        <f t="shared" si="0"/>
        <v>0</v>
      </c>
      <c r="L12" s="51"/>
      <c r="M12" s="32"/>
      <c r="N12" s="79"/>
      <c r="O12" s="52">
        <f t="shared" si="1"/>
        <v>0</v>
      </c>
      <c r="P12" s="53">
        <f t="shared" si="2"/>
        <v>0</v>
      </c>
    </row>
    <row r="13" spans="1:16" s="24" customFormat="1" ht="30" customHeight="1">
      <c r="A13" s="25"/>
      <c r="B13" s="26"/>
      <c r="C13" s="27"/>
      <c r="D13" s="28"/>
      <c r="E13" s="28"/>
      <c r="F13" s="28"/>
      <c r="G13" s="29"/>
      <c r="H13" s="25"/>
      <c r="I13" s="27"/>
      <c r="J13" s="78"/>
      <c r="K13" s="52">
        <f t="shared" si="0"/>
        <v>0</v>
      </c>
      <c r="L13" s="51"/>
      <c r="M13" s="32"/>
      <c r="N13" s="79"/>
      <c r="O13" s="52">
        <f t="shared" si="1"/>
        <v>0</v>
      </c>
      <c r="P13" s="53">
        <f t="shared" si="2"/>
        <v>0</v>
      </c>
    </row>
    <row r="14" spans="1:16" s="24" customFormat="1" ht="30" customHeight="1">
      <c r="A14" s="25"/>
      <c r="B14" s="26"/>
      <c r="C14" s="27"/>
      <c r="D14" s="28"/>
      <c r="E14" s="28"/>
      <c r="F14" s="28"/>
      <c r="G14" s="29"/>
      <c r="H14" s="25"/>
      <c r="I14" s="27"/>
      <c r="J14" s="78"/>
      <c r="K14" s="52">
        <f t="shared" si="0"/>
        <v>0</v>
      </c>
      <c r="L14" s="51"/>
      <c r="M14" s="32"/>
      <c r="N14" s="79"/>
      <c r="O14" s="52">
        <f t="shared" si="1"/>
        <v>0</v>
      </c>
      <c r="P14" s="53">
        <f t="shared" si="2"/>
        <v>0</v>
      </c>
    </row>
    <row r="15" spans="1:16" s="24" customFormat="1" ht="52.5" customHeight="1">
      <c r="A15" s="241" t="s">
        <v>64</v>
      </c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</row>
    <row r="16" spans="1:16" s="24" customFormat="1" ht="21.75" customHeight="1">
      <c r="A16" s="34"/>
      <c r="D16" s="35"/>
      <c r="E16" s="35"/>
      <c r="F16" s="35"/>
      <c r="G16" s="36"/>
      <c r="H16" s="37"/>
      <c r="J16" s="38"/>
      <c r="K16" s="36"/>
      <c r="M16" s="36"/>
      <c r="N16" s="38"/>
      <c r="O16" s="36"/>
      <c r="P16" s="36"/>
    </row>
    <row r="17" spans="1:16" s="24" customFormat="1" ht="21.75" customHeight="1">
      <c r="A17" s="34"/>
      <c r="D17" s="35"/>
      <c r="E17" s="35"/>
      <c r="F17" s="35"/>
      <c r="G17" s="36"/>
      <c r="H17" s="37"/>
      <c r="J17" s="38"/>
      <c r="K17" s="36"/>
      <c r="M17" s="36"/>
      <c r="N17" s="38"/>
      <c r="O17" s="36"/>
      <c r="P17" s="36"/>
    </row>
    <row r="18" spans="1:16" s="24" customFormat="1" ht="21.75" customHeight="1">
      <c r="A18" s="34"/>
      <c r="D18" s="35"/>
      <c r="E18" s="35"/>
      <c r="F18" s="35"/>
      <c r="G18" s="36"/>
      <c r="H18" s="37"/>
      <c r="J18" s="38"/>
      <c r="K18" s="36"/>
      <c r="M18" s="36"/>
      <c r="N18" s="38"/>
      <c r="O18" s="36"/>
      <c r="P18" s="36"/>
    </row>
    <row r="19" spans="1:16" s="24" customFormat="1" ht="21.75" customHeight="1">
      <c r="A19" s="34"/>
      <c r="D19" s="35"/>
      <c r="E19" s="35"/>
      <c r="F19" s="35"/>
      <c r="G19" s="36"/>
      <c r="H19" s="37"/>
      <c r="J19" s="38"/>
      <c r="K19" s="36"/>
      <c r="M19" s="36"/>
      <c r="N19" s="38"/>
      <c r="O19" s="36"/>
      <c r="P19" s="36"/>
    </row>
    <row r="20" spans="1:16" s="24" customFormat="1" ht="21.75" customHeight="1">
      <c r="A20" s="34"/>
      <c r="D20" s="35"/>
      <c r="E20" s="35"/>
      <c r="F20" s="35"/>
      <c r="G20" s="36"/>
      <c r="H20" s="37"/>
      <c r="J20" s="38"/>
      <c r="K20" s="36"/>
      <c r="M20" s="36"/>
      <c r="N20" s="38"/>
      <c r="O20" s="36"/>
      <c r="P20" s="36"/>
    </row>
    <row r="21" spans="1:16" s="24" customFormat="1" ht="21.75" customHeight="1">
      <c r="A21" s="34"/>
      <c r="D21" s="35"/>
      <c r="E21" s="35"/>
      <c r="F21" s="35"/>
      <c r="G21" s="36"/>
      <c r="H21" s="37"/>
      <c r="J21" s="38"/>
      <c r="K21" s="36"/>
      <c r="M21" s="36"/>
      <c r="N21" s="38"/>
      <c r="O21" s="36"/>
      <c r="P21" s="36"/>
    </row>
    <row r="22" spans="1:16" s="24" customFormat="1" ht="21.75" customHeight="1">
      <c r="A22" s="34"/>
      <c r="D22" s="35"/>
      <c r="E22" s="35"/>
      <c r="F22" s="35"/>
      <c r="G22" s="36"/>
      <c r="H22" s="37"/>
      <c r="J22" s="38"/>
      <c r="K22" s="36"/>
      <c r="M22" s="36"/>
      <c r="N22" s="38"/>
      <c r="O22" s="36"/>
      <c r="P22" s="36"/>
    </row>
    <row r="23" spans="1:16" s="24" customFormat="1" ht="21.75" customHeight="1">
      <c r="A23" s="34"/>
      <c r="D23" s="35"/>
      <c r="E23" s="35"/>
      <c r="F23" s="35"/>
      <c r="G23" s="36"/>
      <c r="H23" s="37"/>
      <c r="J23" s="38"/>
      <c r="K23" s="36"/>
      <c r="M23" s="36"/>
      <c r="N23" s="38"/>
      <c r="O23" s="36"/>
      <c r="P23" s="36"/>
    </row>
    <row r="24" spans="1:16" s="40" customFormat="1" ht="21.75" customHeight="1">
      <c r="A24" s="39"/>
      <c r="D24" s="41"/>
      <c r="E24" s="41"/>
      <c r="F24" s="41"/>
      <c r="G24" s="42"/>
      <c r="H24" s="43"/>
      <c r="J24" s="44"/>
      <c r="K24" s="42"/>
      <c r="M24" s="42"/>
      <c r="N24" s="44"/>
      <c r="O24" s="42"/>
      <c r="P24" s="42"/>
    </row>
    <row r="25" spans="1:16" s="40" customFormat="1" ht="21.75" customHeight="1">
      <c r="A25" s="39"/>
      <c r="D25" s="41"/>
      <c r="E25" s="41"/>
      <c r="F25" s="41"/>
      <c r="G25" s="42"/>
      <c r="H25" s="43"/>
      <c r="J25" s="44"/>
      <c r="K25" s="42"/>
      <c r="M25" s="42"/>
      <c r="N25" s="44"/>
      <c r="O25" s="42"/>
      <c r="P25" s="42"/>
    </row>
    <row r="26" spans="1:16" s="40" customFormat="1" ht="21.75" customHeight="1">
      <c r="A26" s="39"/>
      <c r="D26" s="41"/>
      <c r="E26" s="41"/>
      <c r="F26" s="41"/>
      <c r="G26" s="42"/>
      <c r="H26" s="43"/>
      <c r="J26" s="44"/>
      <c r="K26" s="42"/>
      <c r="M26" s="42"/>
      <c r="N26" s="44"/>
      <c r="O26" s="42"/>
      <c r="P26" s="42"/>
    </row>
    <row r="27" spans="1:16" s="40" customFormat="1" ht="21.75" customHeight="1">
      <c r="A27" s="39"/>
      <c r="D27" s="41"/>
      <c r="E27" s="41"/>
      <c r="F27" s="41"/>
      <c r="G27" s="42"/>
      <c r="H27" s="43"/>
      <c r="J27" s="44"/>
      <c r="K27" s="42"/>
      <c r="M27" s="42"/>
      <c r="N27" s="44"/>
      <c r="O27" s="42"/>
      <c r="P27" s="42"/>
    </row>
    <row r="28" spans="1:16" s="40" customFormat="1" ht="21.75" customHeight="1">
      <c r="A28" s="39"/>
      <c r="D28" s="41"/>
      <c r="E28" s="41"/>
      <c r="F28" s="41"/>
      <c r="G28" s="42"/>
      <c r="H28" s="43"/>
      <c r="J28" s="44"/>
      <c r="K28" s="42"/>
      <c r="M28" s="42"/>
      <c r="N28" s="44"/>
      <c r="O28" s="42"/>
      <c r="P28" s="42"/>
    </row>
    <row r="29" spans="1:16" s="40" customFormat="1" ht="21.75" customHeight="1">
      <c r="A29" s="39"/>
      <c r="D29" s="41"/>
      <c r="E29" s="41"/>
      <c r="F29" s="41"/>
      <c r="G29" s="42"/>
      <c r="H29" s="43"/>
      <c r="J29" s="44"/>
      <c r="K29" s="42"/>
      <c r="M29" s="42"/>
      <c r="N29" s="44"/>
      <c r="O29" s="42"/>
      <c r="P29" s="42"/>
    </row>
    <row r="30" spans="1:16" ht="21.75" customHeight="1"/>
  </sheetData>
  <sheetProtection password="CB1D" sheet="1" objects="1" scenarios="1" selectLockedCells="1"/>
  <mergeCells count="1">
    <mergeCell ref="A15:P15"/>
  </mergeCells>
  <dataValidations count="2">
    <dataValidation type="list" allowBlank="1" showInputMessage="1" showErrorMessage="1" sqref="E2:E14">
      <formula1>CorC</formula1>
    </dataValidation>
    <dataValidation type="list" allowBlank="1" showInputMessage="1" showErrorMessage="1" sqref="F2:F14">
      <formula1>DomorOver</formula1>
    </dataValidation>
  </dataValidations>
  <pageMargins left="0.25" right="0.25" top="0.75" bottom="0.75" header="0.3" footer="0.3"/>
  <pageSetup paperSize="5" orientation="landscape" r:id="rId1"/>
  <headerFooter>
    <oddHeader>&amp;LEnvironmental Services&amp;CSolicitation TFTP-EW-990899-B (Refresh #17)&amp;R Pricing Proposal Template</oddHeader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FPL-Hourly Rate Service Pricing</vt:lpstr>
      <vt:lpstr>Training Pricing</vt:lpstr>
      <vt:lpstr>Non-Hourly Rate Service Pricing</vt:lpstr>
      <vt:lpstr>Support Pricing</vt:lpstr>
      <vt:lpstr>BCO</vt:lpstr>
      <vt:lpstr>BGV</vt:lpstr>
      <vt:lpstr>CONOCON</vt:lpstr>
      <vt:lpstr>CorC</vt:lpstr>
      <vt:lpstr>CPLorMark</vt:lpstr>
      <vt:lpstr>DomorOver</vt:lpstr>
      <vt:lpstr>GovVen</vt:lpstr>
      <vt:lpstr>MinEdu</vt:lpstr>
      <vt:lpstr>PPDiscCustomer</vt:lpstr>
      <vt:lpstr>'FPL-Hourly Rate Service Pricing'!Print_Area</vt:lpstr>
      <vt:lpstr>'FPL-Hourly Rate Service Pricing'!Print_Titles</vt:lpstr>
      <vt:lpstr>QDiscCustomer</vt:lpstr>
      <vt:lpstr>QDiscType</vt:lpstr>
      <vt:lpstr>YN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AndrewLStarling</dc:creator>
  <cp:lastModifiedBy>AndrewLStarling</cp:lastModifiedBy>
  <cp:lastPrinted>2012-06-09T00:11:33Z</cp:lastPrinted>
  <dcterms:created xsi:type="dcterms:W3CDTF">2011-12-02T08:45:05Z</dcterms:created>
  <dcterms:modified xsi:type="dcterms:W3CDTF">2012-06-09T00:11:55Z</dcterms:modified>
</cp:coreProperties>
</file>