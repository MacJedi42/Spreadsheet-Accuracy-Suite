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<sst xmlns="http://schemas.openxmlformats.org/spreadsheetml/2006/main" count="508" uniqueCount="403">
  <si>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</si>
  <si>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</si>
  <si>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</si>
  <si>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</si>
  <si>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</si>
  <si>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</si>
  <si>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</si>
  <si>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</si>
  <si>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</si>
  <si>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</si>
  <si>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</si>
  <si>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</si>
  <si>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</si>
  <si>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</si>
  <si>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</si>
  <si>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</si>
  <si>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</si>
  <si>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</si>
  <si>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</si>
  <si>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</si>
  <si>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</si>
  <si>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</si>
  <si>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</si>
  <si>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</si>
  <si>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</si>
  <si>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</si>
  <si>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</si>
  <si>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</si>
  <si>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</si>
  <si>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</si>
  <si>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</si>
  <si>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</si>
  <si>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</si>
  <si>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</si>
  <si>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</si>
  <si>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</si>
  <si>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</si>
  <si>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</si>
  <si>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</si>
  <si>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</si>
  <si>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</si>
  <si>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</si>
  <si>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</si>
  <si>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</si>
  <si>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</si>
  <si>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</si>
  <si>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</si>
  <si>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</si>
  <si>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</si>
  <si>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</si>
  <si>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</si>
  <si>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</si>
  <si>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</si>
  <si>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</si>
  <si>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</si>
  <si>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</si>
  <si>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</si>
  <si>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</si>
  <si>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</si>
  <si>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</si>
  <si>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</si>
  <si>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</si>
  <si>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</si>
  <si>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</si>
  <si>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</si>
  <si>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</si>
  <si>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</si>
  <si>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</si>
  <si>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</si>
  <si>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</si>
  <si>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</si>
  <si>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</si>
  <si>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</si>
  <si>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</si>
  <si>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</si>
  <si>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</si>
  <si>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</si>
  <si>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</si>
  <si>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</si>
  <si>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</si>
  <si>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</si>
  <si>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</si>
  <si>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</si>
  <si>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</si>
  <si>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</si>
  <si>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</si>
  <si>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</si>
  <si>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</si>
  <si>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</si>
  <si>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</si>
  <si>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</si>
  <si>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</si>
  <si>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</si>
  <si>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</si>
  <si>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</si>
  <si>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</si>
  <si>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</si>
  <si>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</si>
  <si>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</si>
  <si>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</si>
  <si>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</si>
  <si>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</si>
  <si>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</si>
  <si>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</si>
  <si>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</si>
  <si>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</si>
  <si>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</si>
  <si>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</si>
  <si>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</si>
  <si>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</si>
  <si>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</si>
  <si>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</si>
  <si>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</si>
  <si>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</si>
  <si>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</si>
  <si>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</si>
  <si>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</si>
  <si>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</si>
  <si>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</si>
  <si>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</si>
  <si>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</si>
  <si>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</si>
  <si>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</si>
  <si>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</si>
  <si>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</si>
  <si>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</si>
  <si>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</si>
  <si>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</si>
  <si>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</si>
  <si>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</si>
  <si>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</si>
  <si>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</si>
  <si>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</si>
  <si>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</si>
  <si>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</si>
  <si>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</si>
  <si>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</si>
  <si>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</si>
  <si>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</si>
  <si>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</si>
  <si>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</si>
  <si>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</si>
  <si>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</si>
  <si>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</si>
  <si>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</si>
  <si>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</si>
  <si>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</si>
  <si>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</si>
  <si>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</si>
  <si>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</si>
  <si>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</si>
  <si>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</si>
  <si>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</si>
  <si>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</si>
  <si>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</si>
  <si>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</si>
  <si>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</si>
  <si>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</si>
  <si>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</si>
  <si>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</si>
  <si>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</si>
  <si>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</si>
  <si>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</si>
  <si>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</si>
  <si>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</si>
  <si>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</si>
  <si>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</si>
  <si>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</si>
  <si>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</si>
  <si>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</si>
  <si>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</si>
  <si>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</si>
  <si>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</si>
  <si>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</si>
  <si>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</si>
  <si>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</si>
  <si>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</si>
  <si>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</si>
  <si>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</si>
  <si>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</si>
  <si>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</si>
  <si>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</si>
  <si>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</si>
  <si>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</si>
  <si>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</si>
  <si>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</si>
  <si>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</si>
  <si>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</si>
  <si>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</si>
  <si>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</si>
  <si>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</si>
  <si>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</si>
  <si>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</si>
  <si>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</si>
  <si>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</si>
  <si>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</si>
  <si>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</si>
  <si>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</si>
  <si>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</si>
  <si>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</si>
  <si>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</si>
  <si>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</si>
  <si>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</si>
  <si>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</si>
  <si>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</si>
  <si>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</si>
  <si>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</si>
  <si>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</si>
  <si>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</si>
  <si>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</si>
  <si>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</si>
  <si>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</si>
  <si>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</si>
  <si>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</si>
  <si>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</si>
  <si>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</si>
  <si>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</si>
  <si>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</si>
  <si>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</si>
  <si>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</si>
  <si>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</si>
  <si>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</si>
  <si>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</si>
  <si>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</si>
  <si>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</si>
  <si>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</si>
  <si>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</si>
  <si>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</si>
  <si>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</si>
  <si>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</si>
  <si>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</si>
  <si>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</si>
  <si>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</si>
  <si>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</si>
  <si>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</si>
  <si>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</si>
  <si>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</si>
  <si>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</si>
  <si>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</si>
  <si>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</si>
  <si>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</si>
  <si>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</si>
  <si>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</si>
  <si>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</si>
  <si>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</si>
  <si>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</si>
  <si>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</si>
  <si>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</si>
  <si>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</si>
  <si>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</si>
  <si>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</si>
  <si>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</si>
  <si>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</si>
  <si>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</si>
  <si>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</si>
  <si>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</si>
  <si>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</si>
  <si>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</si>
  <si>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</si>
  <si>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</si>
  <si>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</si>
  <si>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</si>
  <si>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</si>
  <si>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</si>
  <si>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</si>
  <si>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</si>
  <si>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</si>
  <si>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</si>
  <si>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</si>
  <si>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</si>
  <si>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</si>
  <si>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</si>
  <si>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</si>
  <si>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</si>
  <si>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</si>
  <si>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</si>
  <si>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</si>
  <si>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</si>
  <si>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</si>
  <si>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</si>
  <si>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</si>
  <si>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</si>
  <si>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</si>
  <si>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</si>
  <si>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</si>
  <si>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</si>
  <si>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</si>
  <si>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</si>
  <si>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</si>
  <si>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</si>
  <si>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</si>
  <si>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</si>
  <si>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</si>
  <si>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</si>
  <si>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</si>
  <si>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</si>
  <si>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</si>
  <si>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</si>
  <si>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</si>
  <si>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</si>
  <si>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</si>
  <si>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</si>
  <si>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</si>
  <si>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</si>
  <si>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</si>
  <si>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</si>
  <si>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</si>
  <si>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</si>
  <si>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</si>
  <si>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</si>
  <si>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</si>
  <si>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</si>
  <si>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</si>
  <si>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</si>
  <si>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</si>
  <si>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</si>
  <si>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</si>
  <si>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</si>
  <si>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</si>
  <si>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</si>
  <si>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</si>
  <si>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</si>
  <si>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</si>
  <si>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</si>
  <si>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</si>
  <si>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</si>
  <si>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</si>
  <si>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</si>
  <si>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</si>
  <si>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</si>
  <si>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</si>
  <si>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</si>
  <si>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</si>
  <si>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</si>
  <si>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</si>
  <si>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</si>
  <si>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</si>
  <si>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</si>
  <si>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</si>
  <si>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</si>
  <si>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</si>
  <si>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</si>
  <si>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</si>
  <si>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</si>
  <si>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</si>
  <si>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</si>
  <si>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</si>
  <si>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</si>
  <si>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</si>
  <si>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</si>
  <si>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</si>
  <si>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</si>
  <si>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</si>
  <si>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</si>
  <si>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</si>
  <si>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</si>
  <si>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</si>
  <si>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</si>
  <si>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</si>
  <si>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</si>
  <si>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</si>
  <si>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</si>
  <si>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</si>
  <si>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</si>
  <si>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</si>
  <si>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</si>
  <si>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</si>
  <si>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</si>
  <si>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</si>
  <si>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</si>
  <si>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</si>
  <si>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</si>
  <si>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</si>
  <si>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</si>
  <si>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</si>
  <si>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</si>
  <si>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</si>
  <si>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</si>
  <si>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</si>
  <si>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</si>
  <si>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</si>
  <si>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</si>
  <si>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</si>
  <si>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</si>
  <si>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</si>
  <si>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</si>
  <si>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</si>
  <si>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</si>
  <si>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</si>
  <si>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</si>
  <si>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</si>
  <si>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</si>
  <si>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</si>
  <si>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</si>
  <si>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</si>
  <si>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</si>
  <si>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</si>
  <si>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</si>
  <si>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</si>
  <si>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WQ0002519</t>
  </si>
  <si>
    <t>Holiday Island WWTP</t>
  </si>
  <si>
    <t>Monthly</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</si>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</sst>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222</v>
      </c>
      <c r="B1" s="110"/>
      <c r="C1" s="111" t="s">
        <v>399</v>
      </c>
      <c r="D1" s="112"/>
      <c r="E1" s="113" t="s">
        <v>61</v>
      </c>
      <c r="F1" s="114"/>
      <c r="G1" s="111" t="s">
        <v>400</v>
      </c>
      <c r="H1" s="115"/>
      <c r="I1" s="115"/>
      <c r="J1" s="115"/>
      <c r="K1" s="116"/>
      <c r="L1" s="12" t="s">
        <v>64</v>
      </c>
      <c r="M1" s="117" t="s">
        <v>157</v>
      </c>
      <c r="N1" s="90"/>
      <c r="O1" s="12" t="s">
        <v>62</v>
      </c>
      <c r="P1" s="89"/>
      <c r="Q1" s="90"/>
      <c r="R1" s="13" t="s">
        <v>63</v>
      </c>
      <c r="S1" s="25"/>
      <c r="T1" s="3"/>
    </row>
    <row r="2" spans="1:20" ht="22.5" customHeight="1" thickBot="1">
      <c r="A2" s="91" t="s">
        <v>66</v>
      </c>
      <c r="B2" s="92"/>
      <c r="C2" s="14" t="s">
        <v>198</v>
      </c>
      <c r="D2" s="83" t="s">
        <v>365</v>
      </c>
      <c r="E2" s="84"/>
      <c r="F2" s="84"/>
      <c r="G2" s="84"/>
      <c r="H2" s="84"/>
      <c r="I2" s="84"/>
      <c r="J2" s="85"/>
      <c r="K2" s="83" t="s">
        <v>364</v>
      </c>
      <c r="L2" s="84"/>
      <c r="M2" s="84"/>
      <c r="N2" s="84"/>
      <c r="O2" s="84"/>
      <c r="P2" s="84"/>
      <c r="Q2" s="84"/>
      <c r="R2" s="84"/>
      <c r="S2" s="85"/>
    </row>
    <row r="3" spans="1:20" ht="18.75" customHeight="1" thickTop="1">
      <c r="A3" s="86" t="s">
        <v>60</v>
      </c>
      <c r="B3" s="87"/>
      <c r="C3" s="88"/>
      <c r="D3" s="33">
        <v>50050</v>
      </c>
      <c r="E3" s="18" t="s">
        <v>16</v>
      </c>
      <c r="F3" s="46" t="s">
        <v>27</v>
      </c>
      <c r="G3" s="18" t="s">
        <v>48</v>
      </c>
      <c r="H3" s="46" t="s">
        <v>24</v>
      </c>
      <c r="I3" s="18" t="s">
        <v>14</v>
      </c>
      <c r="J3" s="46" t="s">
        <v>33</v>
      </c>
      <c r="K3" s="18" t="s">
        <v>44</v>
      </c>
      <c r="L3" s="46" t="s">
        <v>45</v>
      </c>
      <c r="M3" s="18"/>
      <c r="N3" s="46"/>
      <c r="O3" s="18"/>
      <c r="P3" s="46"/>
      <c r="Q3" s="18"/>
      <c r="R3" s="46"/>
      <c r="S3" s="28"/>
    </row>
    <row r="4" spans="1:20" ht="71.25" customHeight="1">
      <c r="A4" s="96" t="s">
        <v>68</v>
      </c>
      <c r="B4" s="15" t="s">
        <v>376</v>
      </c>
      <c r="C4" s="16" t="s">
        <v>377</v>
      </c>
      <c r="D4" s="36" t="s">
        <v>229</v>
      </c>
      <c r="E4" s="47" t="str">
        <f>IF(ISBLANK(E$3), " ", VLOOKUP(E$3,'PCS Parameter Codes'!$A$1:$D$77,2,FALSE))</f>
        <v>BOD5</v>
      </c>
      <c r="F4" s="48" t="str">
        <f>IF(ISBLANK(F$3), " ", VLOOKUP(F$3,'PCS Parameter Codes'!$A$1:$D$77,2,FALSE))</f>
        <v>Fecal Coliform</v>
      </c>
      <c r="G4" s="47" t="str">
        <f>IF(ISBLANK(G$3), " ", VLOOKUP(G$3,'PCS Parameter Codes'!$A$1:$D$77,2,FALSE))</f>
        <v>Ammonia</v>
      </c>
      <c r="H4" s="48" t="str">
        <f>IF(ISBLANK(H$3), " ", VLOOKUP(H$3,'PCS Parameter Codes'!$A$1:$D$77,2,FALSE))</f>
        <v>Nitrate</v>
      </c>
      <c r="I4" s="47" t="str">
        <f>IF(ISBLANK(I$3), " ", VLOOKUP(I$3,'PCS Parameter Codes'!$A$1:$D$77,2,FALSE))</f>
        <v>Total Nitrogen</v>
      </c>
      <c r="J4" s="48" t="str">
        <f>IF(ISBLANK(J$3), " ", VLOOKUP(J$3,'PCS Parameter Codes'!$A$1:$D$77,2,FALSE))</f>
        <v>pH</v>
      </c>
      <c r="K4" s="47" t="str">
        <f>IF(ISBLANK(K$3), " ", VLOOKUP(K$3,'PCS Parameter Codes'!$A$1:$D$77,2,FALSE))</f>
        <v>Total Phosphorus</v>
      </c>
      <c r="L4" s="48" t="str">
        <f>IF(ISBLANK(L$3), " ", VLOOKUP(L$3,'PCS Parameter Codes'!$A$1:$D$77,2,FALSE))</f>
        <v>Total Suspended Solids</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7"/>
      <c r="B5" s="17" t="s">
        <v>69</v>
      </c>
      <c r="C5" s="58" t="s">
        <v>65</v>
      </c>
      <c r="D5" s="59" t="s">
        <v>230</v>
      </c>
      <c r="E5" s="34" t="str">
        <f>IF(ISBLANK(E$3), " ", VLOOKUP(E$3,'PCS Parameter Codes'!$A$1:$D$77,4,FALSE))</f>
        <v>mg/L</v>
      </c>
      <c r="F5" s="37" t="str">
        <f>IF(ISBLANK(F$3), " ", VLOOKUP(F$3,'PCS Parameter Codes'!$A$1:$D$77,4,FALSE))</f>
        <v>#/100 mL</v>
      </c>
      <c r="G5" s="34" t="str">
        <f>IF(ISBLANK(G$3), " ", VLOOKUP(G$3,'PCS Parameter Codes'!$A$1:$D$77,4,FALSE))</f>
        <v>mg/L</v>
      </c>
      <c r="H5" s="37" t="str">
        <f>IF(ISBLANK(H$3), " ", VLOOKUP(H$3,'PCS Parameter Codes'!$A$1:$D$77,4,FALSE))</f>
        <v>mg/L</v>
      </c>
      <c r="I5" s="34" t="str">
        <f>IF(ISBLANK(I$3), " ", VLOOKUP(I$3,'PCS Parameter Codes'!$A$1:$D$77,4,FALSE))</f>
        <v>mg/L</v>
      </c>
      <c r="J5" s="37" t="str">
        <f>IF(ISBLANK(J$3), " ", VLOOKUP(J$3,'PCS Parameter Codes'!$A$1:$D$77,4,FALSE))</f>
        <v>su</v>
      </c>
      <c r="K5" s="34" t="str">
        <f>IF(ISBLANK(K$3), " ", VLOOKUP(K$3,'PCS Parameter Codes'!$A$1:$D$77,4,FALSE))</f>
        <v>mg/L</v>
      </c>
      <c r="L5" s="37" t="str">
        <f>IF(ISBLANK(L$3), " ", VLOOKUP(L$3,'PCS Parameter Codes'!$A$1:$D$77,4,FALSE))</f>
        <v>mg/L</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70</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71</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72</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360</v>
      </c>
      <c r="B40" s="102"/>
      <c r="C40" s="103"/>
      <c r="D40" s="64" t="s">
        <v>366</v>
      </c>
      <c r="E40" s="61" t="s">
        <v>362</v>
      </c>
      <c r="F40" s="60" t="s">
        <v>362</v>
      </c>
      <c r="G40" s="61" t="s">
        <v>362</v>
      </c>
      <c r="H40" s="60" t="s">
        <v>362</v>
      </c>
      <c r="I40" s="61" t="s">
        <v>362</v>
      </c>
      <c r="J40" s="60" t="s">
        <v>362</v>
      </c>
      <c r="K40" s="61" t="s">
        <v>362</v>
      </c>
      <c r="L40" s="60" t="s">
        <v>362</v>
      </c>
      <c r="M40" s="61"/>
      <c r="N40" s="60"/>
      <c r="O40" s="61"/>
      <c r="P40" s="60"/>
      <c r="Q40" s="61"/>
      <c r="R40" s="60"/>
      <c r="S40" s="62"/>
    </row>
    <row r="41" spans="1:19" ht="15" customHeight="1">
      <c r="A41" s="98" t="s">
        <v>392</v>
      </c>
      <c r="B41" s="99"/>
      <c r="C41" s="100"/>
      <c r="D41" s="65">
        <v>5000</v>
      </c>
      <c r="E41" s="6">
        <v>10</v>
      </c>
      <c r="F41" s="63"/>
      <c r="G41" s="6">
        <v>4</v>
      </c>
      <c r="H41" s="63"/>
      <c r="I41" s="6"/>
      <c r="J41" s="63"/>
      <c r="K41" s="6"/>
      <c r="L41" s="63">
        <v>20</v>
      </c>
      <c r="M41" s="6"/>
      <c r="N41" s="63"/>
      <c r="O41" s="6"/>
      <c r="P41" s="63"/>
      <c r="Q41" s="6"/>
      <c r="R41" s="63"/>
      <c r="S41" s="54"/>
    </row>
    <row r="42" spans="1:19" ht="15" customHeight="1">
      <c r="A42" s="78" t="s">
        <v>371</v>
      </c>
      <c r="B42" s="81"/>
      <c r="C42" s="82"/>
      <c r="D42" s="65"/>
      <c r="E42" s="6"/>
      <c r="F42" s="63"/>
      <c r="G42" s="6"/>
      <c r="H42" s="63"/>
      <c r="I42" s="6"/>
      <c r="J42" s="63"/>
      <c r="K42" s="6"/>
      <c r="L42" s="63"/>
      <c r="M42" s="6"/>
      <c r="N42" s="63"/>
      <c r="O42" s="6"/>
      <c r="P42" s="63"/>
      <c r="Q42" s="6"/>
      <c r="R42" s="63"/>
      <c r="S42" s="54"/>
    </row>
    <row r="43" spans="1:19" ht="15" customHeight="1">
      <c r="A43" s="78" t="s">
        <v>372</v>
      </c>
      <c r="B43" s="79"/>
      <c r="C43" s="80"/>
      <c r="D43" s="66" t="s">
        <v>401</v>
      </c>
      <c r="E43" s="67" t="s">
        <v>401</v>
      </c>
      <c r="F43" s="68" t="s">
        <v>401</v>
      </c>
      <c r="G43" s="67" t="s">
        <v>401</v>
      </c>
      <c r="H43" s="68" t="s">
        <v>401</v>
      </c>
      <c r="I43" s="67" t="s">
        <v>401</v>
      </c>
      <c r="J43" s="68" t="s">
        <v>402</v>
      </c>
      <c r="K43" s="67" t="s">
        <v>401</v>
      </c>
      <c r="L43" s="68" t="s">
        <v>401</v>
      </c>
      <c r="M43" s="67"/>
      <c r="N43" s="68"/>
      <c r="O43" s="67"/>
      <c r="P43" s="68"/>
      <c r="Q43" s="67"/>
      <c r="R43" s="68"/>
      <c r="S43" s="69"/>
    </row>
    <row r="45" spans="1:19" hidden="1">
      <c r="C45" s="1" t="s">
        <v>389</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390</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391</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81</v>
      </c>
      <c r="B1" s="126"/>
      <c r="C1" s="126"/>
      <c r="D1" s="126"/>
      <c r="E1" s="126"/>
      <c r="F1" s="126"/>
      <c r="G1" s="126"/>
      <c r="H1" s="126"/>
      <c r="I1" s="126"/>
      <c r="J1" s="127"/>
      <c r="K1" s="128" t="s">
        <v>82</v>
      </c>
      <c r="L1" s="126"/>
      <c r="M1" s="126"/>
      <c r="N1" s="126"/>
      <c r="O1" s="126"/>
      <c r="P1" s="126"/>
      <c r="Q1" s="126"/>
      <c r="R1" s="126"/>
      <c r="S1" s="129"/>
      <c r="T1" s="23"/>
    </row>
    <row r="2" spans="1:20" ht="30" customHeight="1">
      <c r="A2" s="130" t="s">
        <v>76</v>
      </c>
      <c r="B2" s="131"/>
      <c r="C2" s="132"/>
      <c r="D2" s="133"/>
      <c r="E2" s="133"/>
      <c r="F2" s="133"/>
      <c r="G2" s="133"/>
      <c r="H2" s="133"/>
      <c r="I2" s="133"/>
      <c r="J2" s="134"/>
      <c r="K2" s="26" t="s">
        <v>76</v>
      </c>
      <c r="L2" s="132"/>
      <c r="M2" s="135"/>
      <c r="N2" s="135"/>
      <c r="O2" s="135"/>
      <c r="P2" s="135"/>
      <c r="Q2" s="135"/>
      <c r="R2" s="135"/>
      <c r="S2" s="136"/>
      <c r="T2" s="3"/>
    </row>
    <row r="3" spans="1:20" ht="30" customHeight="1" thickBot="1">
      <c r="A3" s="118" t="s">
        <v>76</v>
      </c>
      <c r="B3" s="119"/>
      <c r="C3" s="120"/>
      <c r="D3" s="121"/>
      <c r="E3" s="121"/>
      <c r="F3" s="121"/>
      <c r="G3" s="121"/>
      <c r="H3" s="121"/>
      <c r="I3" s="121"/>
      <c r="J3" s="122"/>
      <c r="K3" s="27" t="s">
        <v>76</v>
      </c>
      <c r="L3" s="120"/>
      <c r="M3" s="123"/>
      <c r="N3" s="123"/>
      <c r="O3" s="123"/>
      <c r="P3" s="123"/>
      <c r="Q3" s="123"/>
      <c r="R3" s="123"/>
      <c r="S3" s="124"/>
      <c r="T3" s="3"/>
    </row>
    <row r="4" spans="1:20" ht="30" customHeight="1">
      <c r="A4" s="137" t="s">
        <v>85</v>
      </c>
      <c r="B4" s="137"/>
      <c r="C4" s="137"/>
      <c r="D4" s="137"/>
      <c r="E4" s="137"/>
      <c r="F4" s="137"/>
      <c r="G4" s="137"/>
      <c r="H4" s="137"/>
      <c r="I4" s="137"/>
      <c r="J4" s="137"/>
      <c r="K4" s="137"/>
      <c r="L4" s="137"/>
      <c r="M4" s="137"/>
      <c r="N4" s="137"/>
      <c r="O4" s="137"/>
      <c r="P4" s="137"/>
      <c r="Q4" s="137"/>
      <c r="R4" s="137"/>
      <c r="S4" s="137"/>
    </row>
    <row r="5" spans="1:20" ht="30" customHeight="1" thickBot="1">
      <c r="A5" s="138" t="s">
        <v>213</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74</v>
      </c>
      <c r="B8" s="145"/>
      <c r="C8" s="145"/>
      <c r="D8" s="145"/>
      <c r="E8" s="145"/>
      <c r="F8" s="145"/>
      <c r="G8" s="145"/>
      <c r="H8" s="145"/>
      <c r="I8" s="145"/>
      <c r="J8" s="145"/>
      <c r="K8" s="146" t="s">
        <v>75</v>
      </c>
      <c r="L8" s="145"/>
      <c r="M8" s="145"/>
      <c r="N8" s="145"/>
      <c r="O8" s="145"/>
      <c r="P8" s="145"/>
      <c r="Q8" s="145"/>
      <c r="R8" s="145"/>
      <c r="S8" s="147"/>
    </row>
    <row r="9" spans="1:20" ht="30.75" customHeight="1">
      <c r="A9" s="148" t="s">
        <v>218</v>
      </c>
      <c r="B9" s="149"/>
      <c r="C9" s="150"/>
      <c r="D9" s="151"/>
      <c r="E9" s="151"/>
      <c r="F9" s="151"/>
      <c r="G9" s="151"/>
      <c r="H9" s="151"/>
      <c r="I9" s="151"/>
      <c r="J9" s="152"/>
      <c r="K9" s="153" t="s">
        <v>214</v>
      </c>
      <c r="L9" s="149"/>
      <c r="M9" s="150"/>
      <c r="N9" s="151"/>
      <c r="O9" s="151"/>
      <c r="P9" s="151"/>
      <c r="Q9" s="151"/>
      <c r="R9" s="151"/>
      <c r="S9" s="154"/>
    </row>
    <row r="10" spans="1:20" ht="30.75" customHeight="1">
      <c r="A10" s="155" t="s">
        <v>219</v>
      </c>
      <c r="B10" s="156"/>
      <c r="C10" s="156"/>
      <c r="D10" s="132"/>
      <c r="E10" s="135"/>
      <c r="F10" s="135"/>
      <c r="G10" s="135"/>
      <c r="H10" s="135"/>
      <c r="I10" s="135"/>
      <c r="J10" s="157"/>
      <c r="K10" s="158" t="s">
        <v>215</v>
      </c>
      <c r="L10" s="156"/>
      <c r="M10" s="159"/>
      <c r="N10" s="135"/>
      <c r="O10" s="135"/>
      <c r="P10" s="135"/>
      <c r="Q10" s="135"/>
      <c r="R10" s="135"/>
      <c r="S10" s="136"/>
    </row>
    <row r="11" spans="1:20" ht="30.75" customHeight="1">
      <c r="A11" s="155" t="s">
        <v>220</v>
      </c>
      <c r="B11" s="156"/>
      <c r="C11" s="132"/>
      <c r="D11" s="132"/>
      <c r="E11" s="163" t="s">
        <v>77</v>
      </c>
      <c r="F11" s="156"/>
      <c r="G11" s="132"/>
      <c r="H11" s="135"/>
      <c r="I11" s="135"/>
      <c r="J11" s="157"/>
      <c r="K11" s="158" t="s">
        <v>216</v>
      </c>
      <c r="L11" s="156"/>
      <c r="M11" s="156"/>
      <c r="N11" s="159"/>
      <c r="O11" s="135"/>
      <c r="P11" s="135"/>
      <c r="Q11" s="135"/>
      <c r="R11" s="135"/>
      <c r="S11" s="136"/>
    </row>
    <row r="12" spans="1:20" ht="30.75" customHeight="1">
      <c r="A12" s="164" t="s">
        <v>221</v>
      </c>
      <c r="B12" s="165"/>
      <c r="C12" s="165"/>
      <c r="D12" s="165"/>
      <c r="E12" s="165"/>
      <c r="F12" s="165"/>
      <c r="G12" s="165"/>
      <c r="H12" s="165"/>
      <c r="I12" s="165"/>
      <c r="J12" s="166"/>
      <c r="K12" s="158" t="s">
        <v>217</v>
      </c>
      <c r="L12" s="156"/>
      <c r="M12" s="132"/>
      <c r="N12" s="135"/>
      <c r="O12" s="135"/>
      <c r="P12" s="167" t="s">
        <v>359</v>
      </c>
      <c r="Q12" s="156"/>
      <c r="R12" s="168"/>
      <c r="S12" s="169"/>
    </row>
    <row r="13" spans="1:20" ht="22.5" customHeight="1">
      <c r="A13" s="189"/>
      <c r="B13" s="161"/>
      <c r="C13" s="161"/>
      <c r="D13" s="161"/>
      <c r="E13" s="161"/>
      <c r="F13" s="161"/>
      <c r="G13" s="161"/>
      <c r="H13" s="160"/>
      <c r="I13" s="173"/>
      <c r="J13" s="191"/>
      <c r="K13" s="160"/>
      <c r="L13" s="161"/>
      <c r="M13" s="161"/>
      <c r="N13" s="161"/>
      <c r="O13" s="161"/>
      <c r="P13" s="161"/>
      <c r="Q13" s="160"/>
      <c r="R13" s="173"/>
      <c r="S13" s="174"/>
    </row>
    <row r="14" spans="1:20" ht="22.5" customHeight="1">
      <c r="A14" s="190"/>
      <c r="B14" s="162"/>
      <c r="C14" s="162"/>
      <c r="D14" s="162"/>
      <c r="E14" s="162"/>
      <c r="F14" s="162"/>
      <c r="G14" s="162"/>
      <c r="H14" s="160"/>
      <c r="I14" s="175"/>
      <c r="J14" s="192"/>
      <c r="K14" s="162"/>
      <c r="L14" s="162"/>
      <c r="M14" s="162"/>
      <c r="N14" s="162"/>
      <c r="O14" s="162"/>
      <c r="P14" s="162"/>
      <c r="Q14" s="160"/>
      <c r="R14" s="175"/>
      <c r="S14" s="176"/>
    </row>
    <row r="15" spans="1:20" ht="30" customHeight="1">
      <c r="A15" s="177" t="s">
        <v>78</v>
      </c>
      <c r="B15" s="178"/>
      <c r="C15" s="178"/>
      <c r="D15" s="178"/>
      <c r="E15" s="178"/>
      <c r="F15" s="178"/>
      <c r="G15" s="178"/>
      <c r="H15" s="170"/>
      <c r="I15" s="179" t="s">
        <v>2</v>
      </c>
      <c r="J15" s="180"/>
      <c r="K15" s="181" t="s">
        <v>78</v>
      </c>
      <c r="L15" s="182"/>
      <c r="M15" s="182"/>
      <c r="N15" s="182"/>
      <c r="O15" s="182"/>
      <c r="P15" s="182"/>
      <c r="Q15" s="170"/>
      <c r="R15" s="181" t="s">
        <v>2</v>
      </c>
      <c r="S15" s="183"/>
    </row>
    <row r="16" spans="1:20" ht="68.25" customHeight="1" thickBot="1">
      <c r="A16" s="184" t="s">
        <v>79</v>
      </c>
      <c r="B16" s="185"/>
      <c r="C16" s="185"/>
      <c r="D16" s="185"/>
      <c r="E16" s="185"/>
      <c r="F16" s="185"/>
      <c r="G16" s="185"/>
      <c r="H16" s="185"/>
      <c r="I16" s="185"/>
      <c r="J16" s="186"/>
      <c r="K16" s="187" t="s">
        <v>80</v>
      </c>
      <c r="L16" s="185"/>
      <c r="M16" s="185"/>
      <c r="N16" s="185"/>
      <c r="O16" s="185"/>
      <c r="P16" s="185"/>
      <c r="Q16" s="185"/>
      <c r="R16" s="185"/>
      <c r="S16" s="188"/>
    </row>
    <row r="17" spans="1:19" ht="15" customHeight="1">
      <c r="A17" s="171"/>
      <c r="B17" s="172"/>
      <c r="C17" s="172"/>
      <c r="D17" s="172"/>
      <c r="E17" s="172"/>
      <c r="F17" s="172"/>
      <c r="G17" s="172"/>
      <c r="H17" s="172"/>
      <c r="I17" s="172"/>
      <c r="J17" s="172"/>
      <c r="K17" s="172"/>
      <c r="L17" s="172"/>
      <c r="M17" s="172"/>
      <c r="N17" s="172"/>
      <c r="O17" s="172"/>
      <c r="P17" s="172"/>
      <c r="Q17" s="172"/>
      <c r="R17" s="172"/>
      <c r="S17" s="172"/>
    </row>
    <row r="18" spans="1:19" ht="15" customHeight="1">
      <c r="A18" s="171" t="s">
        <v>84</v>
      </c>
      <c r="B18" s="172"/>
      <c r="C18" s="172"/>
      <c r="D18" s="172"/>
      <c r="E18" s="172"/>
      <c r="F18" s="172"/>
      <c r="G18" s="172"/>
      <c r="H18" s="172"/>
      <c r="I18" s="172"/>
      <c r="J18" s="172"/>
      <c r="K18" s="172"/>
      <c r="L18" s="172"/>
      <c r="M18" s="172"/>
      <c r="N18" s="172"/>
      <c r="O18" s="172"/>
      <c r="P18" s="172"/>
      <c r="Q18" s="172"/>
      <c r="R18" s="172"/>
      <c r="S18" s="172"/>
    </row>
    <row r="19" spans="1:19" ht="15" customHeight="1">
      <c r="A19" s="171" t="s">
        <v>55</v>
      </c>
      <c r="B19" s="172"/>
      <c r="C19" s="172"/>
      <c r="D19" s="172"/>
      <c r="E19" s="172"/>
      <c r="F19" s="172"/>
      <c r="G19" s="172"/>
      <c r="H19" s="172"/>
      <c r="I19" s="172"/>
      <c r="J19" s="172"/>
      <c r="K19" s="172"/>
      <c r="L19" s="172"/>
      <c r="M19" s="172"/>
      <c r="N19" s="172"/>
      <c r="O19" s="172"/>
      <c r="P19" s="172"/>
      <c r="Q19" s="172"/>
      <c r="R19" s="172"/>
      <c r="S19" s="172"/>
    </row>
    <row r="20" spans="1:19" ht="15" customHeight="1">
      <c r="A20" s="171" t="s">
        <v>67</v>
      </c>
      <c r="B20" s="172"/>
      <c r="C20" s="172"/>
      <c r="D20" s="172"/>
      <c r="E20" s="172"/>
      <c r="F20" s="172"/>
      <c r="G20" s="172"/>
      <c r="H20" s="172"/>
      <c r="I20" s="172"/>
      <c r="J20" s="172"/>
      <c r="K20" s="172"/>
      <c r="L20" s="172"/>
      <c r="M20" s="172"/>
      <c r="N20" s="172"/>
      <c r="O20" s="172"/>
      <c r="P20" s="172"/>
      <c r="Q20" s="172"/>
      <c r="R20" s="172"/>
      <c r="S20" s="172"/>
    </row>
    <row r="21" spans="1:19" ht="15" customHeight="1">
      <c r="A21" s="171" t="s">
        <v>1</v>
      </c>
      <c r="B21" s="172"/>
      <c r="C21" s="172"/>
      <c r="D21" s="172"/>
      <c r="E21" s="172"/>
      <c r="F21" s="172"/>
      <c r="G21" s="172"/>
      <c r="H21" s="172"/>
      <c r="I21" s="172"/>
      <c r="J21" s="172"/>
      <c r="K21" s="172"/>
      <c r="L21" s="172"/>
      <c r="M21" s="172"/>
      <c r="N21" s="172"/>
      <c r="O21" s="172"/>
      <c r="P21" s="172"/>
      <c r="Q21" s="172"/>
      <c r="R21" s="172"/>
      <c r="S21" s="172"/>
    </row>
    <row r="22" spans="1:19" ht="15" customHeight="1">
      <c r="A22" s="171" t="s">
        <v>83</v>
      </c>
      <c r="B22" s="172"/>
      <c r="C22" s="172"/>
      <c r="D22" s="172"/>
      <c r="E22" s="172"/>
      <c r="F22" s="172"/>
      <c r="G22" s="172"/>
      <c r="H22" s="172"/>
      <c r="I22" s="172"/>
      <c r="J22" s="172"/>
      <c r="K22" s="172"/>
      <c r="L22" s="172"/>
      <c r="M22" s="172"/>
      <c r="N22" s="172"/>
      <c r="O22" s="172"/>
      <c r="P22" s="172"/>
      <c r="Q22" s="172"/>
      <c r="R22" s="172"/>
      <c r="S22" s="172"/>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379</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380</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381</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382</v>
      </c>
      <c r="C25" s="45" t="s">
        <v>339</v>
      </c>
      <c r="D25" s="39" t="s">
        <v>224</v>
      </c>
    </row>
    <row r="26" spans="1:4">
      <c r="A26" s="40" t="s">
        <v>341</v>
      </c>
      <c r="B26" s="39" t="s">
        <v>373</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378</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388</v>
      </c>
      <c r="C50" s="45" t="s">
        <v>327</v>
      </c>
      <c r="D50" s="39" t="s">
        <v>225</v>
      </c>
    </row>
    <row r="51" spans="1:4">
      <c r="A51" s="40" t="s">
        <v>27</v>
      </c>
      <c r="B51" s="38" t="s">
        <v>388</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383</v>
      </c>
      <c r="C60" s="45" t="s">
        <v>296</v>
      </c>
      <c r="D60" s="39" t="s">
        <v>224</v>
      </c>
    </row>
    <row r="61" spans="1:4">
      <c r="A61" s="40">
        <v>70300</v>
      </c>
      <c r="B61" s="38" t="s">
        <v>383</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384</v>
      </c>
      <c r="C65" s="45" t="s">
        <v>328</v>
      </c>
      <c r="D65" s="39" t="s">
        <v>329</v>
      </c>
    </row>
    <row r="66" spans="1:4">
      <c r="A66" s="39">
        <v>80082</v>
      </c>
      <c r="B66" s="39" t="s">
        <v>385</v>
      </c>
      <c r="C66" s="45" t="s">
        <v>263</v>
      </c>
      <c r="D66" s="39" t="s">
        <v>224</v>
      </c>
    </row>
    <row r="67" spans="1:4">
      <c r="A67" s="39">
        <v>81639</v>
      </c>
      <c r="B67" s="39" t="s">
        <v>381</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374</v>
      </c>
      <c r="C73" s="45" t="s">
        <v>274</v>
      </c>
      <c r="D73" s="39" t="s">
        <v>224</v>
      </c>
    </row>
    <row r="74" spans="1:4">
      <c r="A74" s="39" t="s">
        <v>284</v>
      </c>
      <c r="B74" s="39" t="s">
        <v>354</v>
      </c>
      <c r="C74" s="45" t="s">
        <v>283</v>
      </c>
      <c r="D74" s="39" t="s">
        <v>224</v>
      </c>
    </row>
    <row r="75" spans="1:4">
      <c r="A75" s="39" t="s">
        <v>268</v>
      </c>
      <c r="B75" s="39" t="s">
        <v>375</v>
      </c>
      <c r="C75" s="45" t="s">
        <v>267</v>
      </c>
      <c r="D75" s="39" t="s">
        <v>224</v>
      </c>
    </row>
    <row r="76" spans="1:4">
      <c r="A76" s="39" t="s">
        <v>393</v>
      </c>
      <c r="B76" s="39" t="s">
        <v>394</v>
      </c>
      <c r="C76" s="45" t="s">
        <v>395</v>
      </c>
      <c r="D76" s="39" t="s">
        <v>396</v>
      </c>
    </row>
    <row r="77" spans="1:4">
      <c r="A77" s="40" t="s">
        <v>397</v>
      </c>
      <c r="B77" s="39" t="s">
        <v>386</v>
      </c>
      <c r="C77" s="45" t="s">
        <v>398</v>
      </c>
      <c r="D77" s="39" t="s">
        <v>224</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387</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2013-07-15T19:13:12Z</dcterms:modified>
</cp:coreProperties>
</file>