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showPivotChartFilter="1" autoCompressPictures="0" defaultThemeVersion="124226"/>
  <bookViews>
    <workbookView xWindow="3420" yWindow="-195" windowWidth="11730" windowHeight="6930" tabRatio="895"/>
  </bookViews>
  <sheets>
    <sheet name="Metadata_PF_ShootACi" sheetId="40" r:id="rId1"/>
    <sheet name="PF_ShootAci_Data" sheetId="5" r:id="rId2"/>
    <sheet name="Sites(Do NOT Edit)" sheetId="41" r:id="rId3"/>
  </sheets>
  <definedNames>
    <definedName name="_xlnm._FilterDatabase" localSheetId="1" hidden="1">PF_ShootAci_Data!$A$1:$BC$116</definedName>
    <definedName name="_xlnm._FilterDatabase" localSheetId="2" hidden="1">'Sites(Do NOT Edit)'!$A$2:$N$638</definedName>
    <definedName name="ABSTRACT" localSheetId="0">Metadata_PF_ShootACi!$A$6</definedName>
    <definedName name="ABSTRACT" localSheetId="2">Metadata_PF_ShootACi!$A$6</definedName>
    <definedName name="Address_line_2" localSheetId="0">Metadata_PF_ShootACi!$A$25</definedName>
    <definedName name="Address_line_2" localSheetId="2">Metadata_PF_ShootACi!$A$25</definedName>
    <definedName name="Address_line_3" localSheetId="0">Metadata_PF_ShootACi!$A$26</definedName>
    <definedName name="Address_line_3" localSheetId="2">Metadata_PF_ShootACi!$A$26</definedName>
    <definedName name="Availability_Status" localSheetId="0">Metadata_PF_ShootACi!$A$40</definedName>
    <definedName name="Availability_Status" localSheetId="2">Metadata_PF_ShootACi!$A$40</definedName>
    <definedName name="Beginning_Date" localSheetId="0">Metadata_PF_ShootACi!$A$36</definedName>
    <definedName name="Beginning_Date" localSheetId="2">Metadata_PF_ShootACi!$A$36</definedName>
    <definedName name="City" localSheetId="0">Metadata_PF_ShootACi!$A$27</definedName>
    <definedName name="City" localSheetId="2">Metadata_PF_ShootACi!$A$27</definedName>
    <definedName name="Code_Information" localSheetId="0">Metadata_PF_ShootACi!$F$237</definedName>
    <definedName name="Code_Information" localSheetId="2">Metadata_PF_ShootACi!$F$237</definedName>
    <definedName name="Country" localSheetId="0">Metadata_PF_ShootACi!$A$30</definedName>
    <definedName name="Country" localSheetId="2">Metadata_PF_ShootACi!$A$30</definedName>
    <definedName name="DATA_FILE_INFORMATION" localSheetId="0">Metadata_PF_ShootACi!$A$33</definedName>
    <definedName name="DATA_FILE_INFORMATION" localSheetId="2">Metadata_PF_ShootACi!$A$33</definedName>
    <definedName name="Data_File_Name" localSheetId="0">Metadata_PF_ShootACi!$A$35</definedName>
    <definedName name="Data_File_Name" localSheetId="2">Metadata_PF_ShootACi!$A$35</definedName>
    <definedName name="Data_File_URL" localSheetId="0">Metadata_PF_ShootACi!$A$34</definedName>
    <definedName name="Data_File_URL" localSheetId="2">Metadata_PF_ShootACi!$A$34</definedName>
    <definedName name="Data_Type" localSheetId="0">Metadata_PF_ShootACi!$C$237</definedName>
    <definedName name="Data_Type" localSheetId="2">Metadata_PF_ShootACi!$C$237</definedName>
    <definedName name="DATASET_ID" localSheetId="0">Metadata_PF_ShootACi!$A$17</definedName>
    <definedName name="DATASET_ID" localSheetId="2">Metadata_PF_ShootACi!$A$17</definedName>
    <definedName name="DATASET_TITLE" localSheetId="0">Metadata_PF_ShootACi!$A$5</definedName>
    <definedName name="DATASET_TITLE" localSheetId="2">Metadata_PF_ShootACi!$A$5</definedName>
    <definedName name="DateTime_Format" localSheetId="0">Metadata_PF_ShootACi!$E$237</definedName>
    <definedName name="DateTime_Format" localSheetId="2">Metadata_PF_ShootACi!$E$237</definedName>
    <definedName name="Distribution_URL_for_file" localSheetId="0">Metadata_PF_ShootACi!$A$4</definedName>
    <definedName name="Distribution_URL_for_file" localSheetId="2">Metadata_PF_ShootACi!$A$4</definedName>
    <definedName name="East_Bounding_Coordinate" localSheetId="0">Metadata_PF_ShootACi!$A$54</definedName>
    <definedName name="East_Bounding_Coordinate" localSheetId="2">Metadata_PF_ShootACi!$A$54</definedName>
    <definedName name="Elevation" localSheetId="0">Metadata_PF_ShootACi!$A$60</definedName>
    <definedName name="Elevation" localSheetId="2">Metadata_PF_ShootACi!$A$60</definedName>
    <definedName name="Email" localSheetId="0">Metadata_PF_ShootACi!$A$21</definedName>
    <definedName name="Email" localSheetId="2">Metadata_PF_ShootACi!$A$21</definedName>
    <definedName name="End_Date" localSheetId="0">Metadata_PF_ShootACi!$A$37</definedName>
    <definedName name="End_Date" localSheetId="2">Metadata_PF_ShootACi!$A$37</definedName>
    <definedName name="First_Name" localSheetId="0">Metadata_PF_ShootACi!$A$22</definedName>
    <definedName name="First_Name" localSheetId="2">Metadata_PF_ShootACi!$A$22</definedName>
    <definedName name="Geographic_Description" localSheetId="0">Metadata_PF_ShootACi!$A$51</definedName>
    <definedName name="Geographic_Description" localSheetId="2">Metadata_PF_ShootACi!$A$51</definedName>
    <definedName name="INVESTIGATOR_INFORMATION" localSheetId="0">Metadata_PF_ShootACi!$A$19</definedName>
    <definedName name="INVESTIGATOR_INFORMATION" localSheetId="2">Metadata_PF_ShootACi!$A$19</definedName>
    <definedName name="KEYWORD_INFORMATION" localSheetId="0">Metadata_PF_ShootACi!$A$66</definedName>
    <definedName name="KEYWORD_INFORMATION" localSheetId="2">Metadata_PF_ShootACi!$A$66</definedName>
    <definedName name="KEYWORDS" localSheetId="0">Metadata_PF_ShootACi!$A$67</definedName>
    <definedName name="KEYWORDS" localSheetId="2">Metadata_PF_ShootACi!$A$67</definedName>
    <definedName name="Last_Name" localSheetId="0">Metadata_PF_ShootACi!$A$23</definedName>
    <definedName name="Last_Name" localSheetId="2">Metadata_PF_ShootACi!$A$23</definedName>
    <definedName name="Latitude" localSheetId="0">Metadata_PF_ShootACi!$A$58</definedName>
    <definedName name="Latitude" localSheetId="2">Metadata_PF_ShootACi!$A$58</definedName>
    <definedName name="Link_to_Google_Map">Metadata_PF_ShootACi!$A$61</definedName>
    <definedName name="Location_Bounding_Box" localSheetId="0">Metadata_PF_ShootACi!$A$52</definedName>
    <definedName name="Location_Bounding_Box" localSheetId="2">Metadata_PF_ShootACi!$A$52</definedName>
    <definedName name="Location_Name" localSheetId="0">Metadata_PF_ShootACi!$A$50</definedName>
    <definedName name="Location_Name" localSheetId="2">Metadata_PF_ShootACi!$A$50</definedName>
    <definedName name="Log_of_Changes" localSheetId="0">Metadata_PF_ShootACi!$A$43</definedName>
    <definedName name="Log_of_Changes" localSheetId="2">Metadata_PF_ShootACi!$A$43</definedName>
    <definedName name="Longitude" localSheetId="0">Metadata_PF_ShootACi!$A$59</definedName>
    <definedName name="Longitude" localSheetId="2">Metadata_PF_ShootACi!$A$59</definedName>
    <definedName name="LTER_Sites_number">'Sites(Do NOT Edit)'!$A$2:$A$638</definedName>
    <definedName name="Maintenance_Description" localSheetId="0">Metadata_PF_ShootACi!$A$42</definedName>
    <definedName name="Maintenance_Description" localSheetId="2">Metadata_PF_ShootACi!$A$42</definedName>
    <definedName name="Metacat_Package_ID" localSheetId="0">Metadata_PF_ShootACi!$A$2</definedName>
    <definedName name="Metacat_Package_ID" localSheetId="2">Metadata_PF_ShootACi!$A$2</definedName>
    <definedName name="METHODS" localSheetId="0">Metadata_PF_ShootACi!$A$70</definedName>
    <definedName name="METHODS" localSheetId="2">Metadata_PF_ShootACi!$A$70</definedName>
    <definedName name="Missing_Value_Code" localSheetId="0">Metadata_PF_ShootACi!$G$237</definedName>
    <definedName name="Missing_Value_Code" localSheetId="2">Metadata_PF_ShootACi!$G$237</definedName>
    <definedName name="North_Bounding_Coordinate" localSheetId="0">Metadata_PF_ShootACi!$A$55</definedName>
    <definedName name="North_Bounding_Coordinate" localSheetId="2">Metadata_PF_ShootACi!$A$55</definedName>
    <definedName name="Number_of_Data_Records" localSheetId="0">Metadata_PF_ShootACi!$A$38</definedName>
    <definedName name="Number_of_Data_Records" localSheetId="2">Metadata_PF_ShootACi!$A$38</definedName>
    <definedName name="OR" localSheetId="0">Metadata_PF_ShootACi!$A$228</definedName>
    <definedName name="OR" localSheetId="2">Metadata_PF_ShootACi!$A$228</definedName>
    <definedName name="OR_if_single_point_location" localSheetId="0">Metadata_PF_ShootACi!$A$57</definedName>
    <definedName name="OR_if_single_point_location" localSheetId="2">Metadata_PF_ShootACi!$A$57</definedName>
    <definedName name="Organisms_studied" localSheetId="0">Metadata_PF_ShootACi!$A$64</definedName>
    <definedName name="Organisms_studied" localSheetId="2">Metadata_PF_ShootACi!$A$64</definedName>
    <definedName name="Organization" localSheetId="0">Metadata_PF_ShootACi!$A$24</definedName>
    <definedName name="Organization" localSheetId="2">Metadata_PF_ShootACi!$A$24</definedName>
    <definedName name="Other_Files_to_Reference" localSheetId="0">Metadata_PF_ShootACi!$A$39</definedName>
    <definedName name="Other_Files_to_Reference" localSheetId="2">Metadata_PF_ShootACi!$A$39</definedName>
    <definedName name="Protocol_Document" localSheetId="0">Metadata_PF_ShootACi!$A$229</definedName>
    <definedName name="Protocol_Document" localSheetId="2">Metadata_PF_ShootACi!$A$229</definedName>
    <definedName name="Protocol_Title" localSheetId="0">Metadata_PF_ShootACi!$A$226</definedName>
    <definedName name="Protocol_Title" localSheetId="2">Metadata_PF_ShootACi!$A$226</definedName>
    <definedName name="Quality_Control_Information" localSheetId="0">Metadata_PF_ShootACi!$A$41</definedName>
    <definedName name="Quality_Control_Information" localSheetId="2">Metadata_PF_ShootACi!$A$41</definedName>
    <definedName name="RESEARCH_LOCATION" localSheetId="0">Metadata_PF_ShootACi!$A$49</definedName>
    <definedName name="RESEARCH_LOCATION" localSheetId="2">Metadata_PF_ShootACi!$A$49</definedName>
    <definedName name="Role" localSheetId="0">Metadata_PF_ShootACi!$A$20</definedName>
    <definedName name="Role" localSheetId="2">Metadata_PF_ShootACi!$A$20</definedName>
    <definedName name="Sampling_and_or_Lab_Protocols" localSheetId="0">Metadata_PF_ShootACi!$A$225</definedName>
    <definedName name="Sampling_and_or_Lab_Protocols" localSheetId="2">Metadata_PF_ShootACi!$A$225</definedName>
    <definedName name="Site_name">'Sites(Do NOT Edit)'!$B$3:$B$638</definedName>
    <definedName name="Site_name_list">'Sites(Do NOT Edit)'!$B$2:$B$638</definedName>
    <definedName name="Sites">'Sites(Do NOT Edit)'!$A$3:$M$638</definedName>
    <definedName name="South_Bounding_Coordinate" localSheetId="0">Metadata_PF_ShootACi!$A$56</definedName>
    <definedName name="South_Bounding_Coordinate" localSheetId="2">Metadata_PF_ShootACi!$A$56</definedName>
    <definedName name="State" localSheetId="0">Metadata_PF_ShootACi!$A$28</definedName>
    <definedName name="State" localSheetId="2">Metadata_PF_ShootACi!$A$28</definedName>
    <definedName name="TAXONOMIC_COVERAGE" localSheetId="0">Metadata_PF_ShootACi!$A$63</definedName>
    <definedName name="TAXONOMIC_COVERAGE" localSheetId="2">Metadata_PF_ShootACi!$A$63</definedName>
    <definedName name="Units" localSheetId="0">Metadata_PF_ShootACi!$D$237</definedName>
    <definedName name="Units" localSheetId="2">Metadata_PF_ShootACi!$D$237</definedName>
    <definedName name="URL_of_online_Protocol" localSheetId="0">Metadata_PF_ShootACi!$A$227</definedName>
    <definedName name="URL_of_online_Protocol" localSheetId="2">Metadata_PF_ShootACi!$A$227</definedName>
    <definedName name="Variable_Description" localSheetId="0">Metadata_PF_ShootACi!$B$237</definedName>
    <definedName name="Variable_Description" localSheetId="2">Metadata_PF_ShootACi!$B$237</definedName>
    <definedName name="VARIABLE_DESCRIPTIONS" localSheetId="0">Metadata_PF_ShootACi!$A$236</definedName>
    <definedName name="VARIABLE_DESCRIPTIONS" localSheetId="2">Metadata_PF_ShootACi!$A$236</definedName>
    <definedName name="Variable_Name" localSheetId="0">Metadata_PF_ShootACi!$A$237</definedName>
    <definedName name="Variable_Name" localSheetId="2">Metadata_PF_ShootACi!$A$237</definedName>
    <definedName name="West_Bounding_Coordinate" localSheetId="0">Metadata_PF_ShootACi!$A$53</definedName>
    <definedName name="West_Bounding_Coordinate" localSheetId="2">Metadata_PF_ShootACi!$A$53</definedName>
    <definedName name="Year_Released_to_Public" localSheetId="0">Metadata_PF_ShootACi!$A$3</definedName>
    <definedName name="Year_Released_to_Public" localSheetId="2">Metadata_PF_ShootACi!$A$3</definedName>
    <definedName name="Zip_Code" localSheetId="0">Metadata_PF_ShootACi!$A$29</definedName>
    <definedName name="Zip_Code" localSheetId="2">Metadata_PF_ShootACi!$A$29</definedName>
  </definedNames>
  <calcPr calcId="145621"/>
</workbook>
</file>

<file path=xl/calcChain.xml><?xml version="1.0" encoding="utf-8"?>
<calcChain xmlns="http://schemas.openxmlformats.org/spreadsheetml/2006/main">
  <c r="M638" i="41" l="1"/>
  <c r="M637" i="41"/>
  <c r="M636" i="41"/>
  <c r="M635" i="41"/>
  <c r="M634" i="41"/>
  <c r="M633" i="41"/>
  <c r="M632" i="41"/>
  <c r="M631" i="41"/>
  <c r="M630" i="41"/>
  <c r="M629" i="41"/>
  <c r="M628" i="41"/>
  <c r="M627" i="41"/>
  <c r="M626" i="41"/>
  <c r="M625" i="41"/>
  <c r="M624" i="41"/>
  <c r="M623" i="41"/>
  <c r="M622" i="41"/>
  <c r="M621" i="41"/>
  <c r="M620" i="41"/>
  <c r="M619" i="41"/>
  <c r="M618" i="41"/>
  <c r="M617" i="41"/>
  <c r="M616" i="41"/>
  <c r="M615" i="41"/>
  <c r="M614" i="41"/>
  <c r="M613" i="41"/>
  <c r="M612" i="41"/>
  <c r="M611" i="41"/>
  <c r="M610" i="41"/>
  <c r="M609" i="41"/>
  <c r="M608" i="41"/>
  <c r="M607" i="41"/>
  <c r="M606" i="41"/>
  <c r="M605" i="41"/>
  <c r="M604" i="41"/>
  <c r="M603" i="41"/>
  <c r="M602" i="41"/>
  <c r="M601" i="41"/>
  <c r="M600" i="41"/>
  <c r="M599" i="41"/>
  <c r="M598" i="41"/>
  <c r="M597" i="41"/>
  <c r="M596" i="41"/>
  <c r="M595" i="41"/>
  <c r="M594" i="41"/>
  <c r="M593" i="41"/>
  <c r="M592" i="41"/>
  <c r="M591" i="41"/>
  <c r="M590" i="41"/>
  <c r="M589" i="41"/>
  <c r="M588" i="41"/>
  <c r="M587" i="41"/>
  <c r="M586" i="41"/>
  <c r="M585" i="41"/>
  <c r="M584" i="41"/>
  <c r="M583" i="41"/>
  <c r="M582" i="41"/>
  <c r="M581" i="41"/>
  <c r="M580" i="41"/>
  <c r="M579" i="41"/>
  <c r="M578" i="41"/>
  <c r="M577" i="41"/>
  <c r="M576" i="41"/>
  <c r="M575" i="41"/>
  <c r="M574" i="41"/>
  <c r="M573" i="41"/>
  <c r="M572" i="41"/>
  <c r="M571" i="41"/>
  <c r="M570" i="41"/>
  <c r="M569" i="41"/>
  <c r="M568" i="41"/>
  <c r="M567" i="41"/>
  <c r="M566" i="41"/>
  <c r="M565" i="41"/>
  <c r="M564" i="41"/>
  <c r="M563" i="41"/>
  <c r="M562" i="41"/>
  <c r="M561" i="41"/>
  <c r="M560" i="41"/>
  <c r="M559" i="41"/>
  <c r="M558" i="41"/>
  <c r="M557" i="41"/>
  <c r="M556" i="41"/>
  <c r="M555" i="41"/>
  <c r="M554" i="41"/>
  <c r="M553" i="41"/>
  <c r="M552" i="41"/>
  <c r="M551" i="41"/>
  <c r="M550" i="41"/>
  <c r="M549" i="41"/>
  <c r="M548" i="41"/>
  <c r="M547" i="41"/>
  <c r="M546" i="41"/>
  <c r="M545" i="41"/>
  <c r="M544" i="41"/>
  <c r="M543" i="41"/>
  <c r="M542" i="41"/>
  <c r="M541" i="41"/>
  <c r="M540" i="41"/>
  <c r="M539" i="41"/>
  <c r="M538" i="41"/>
  <c r="M537" i="41"/>
  <c r="M536" i="41"/>
  <c r="M535" i="41"/>
  <c r="M534" i="41"/>
  <c r="M533" i="41"/>
  <c r="M532" i="41"/>
  <c r="M531" i="41"/>
  <c r="M530" i="41"/>
  <c r="M529" i="41"/>
  <c r="M528" i="41"/>
  <c r="M527" i="41"/>
  <c r="M526" i="41"/>
  <c r="M525" i="41"/>
  <c r="M524" i="41"/>
  <c r="M523" i="41"/>
  <c r="M522" i="41"/>
  <c r="M521" i="41"/>
  <c r="M520" i="41"/>
  <c r="M519" i="41"/>
  <c r="M518" i="41"/>
  <c r="M517" i="41"/>
  <c r="M516" i="41"/>
  <c r="M515" i="41"/>
  <c r="M514" i="41"/>
  <c r="M513" i="41"/>
  <c r="M512" i="41"/>
  <c r="M511" i="41"/>
  <c r="M510" i="41"/>
  <c r="M509" i="41"/>
  <c r="M508" i="41"/>
  <c r="M507" i="41"/>
  <c r="M506" i="41"/>
  <c r="M505" i="41"/>
  <c r="M504" i="41"/>
  <c r="M503" i="41"/>
  <c r="M502" i="41"/>
  <c r="M501" i="41"/>
  <c r="M500" i="41"/>
  <c r="M499" i="41"/>
  <c r="M498" i="41"/>
  <c r="M497" i="41"/>
  <c r="M496" i="41"/>
  <c r="M495" i="41"/>
  <c r="M494" i="41"/>
  <c r="M493" i="41"/>
  <c r="M492" i="41"/>
  <c r="M491" i="41"/>
  <c r="M490" i="41"/>
  <c r="M489" i="41"/>
  <c r="M488" i="41"/>
  <c r="M487" i="41"/>
  <c r="M486" i="41"/>
  <c r="M485" i="41"/>
  <c r="M484" i="41"/>
  <c r="M483" i="41"/>
  <c r="M482" i="41"/>
  <c r="M481" i="41"/>
  <c r="M480" i="41"/>
  <c r="M479" i="41"/>
  <c r="M478" i="41"/>
  <c r="M477" i="41"/>
  <c r="M476" i="41"/>
  <c r="M475" i="41"/>
  <c r="M474" i="41"/>
  <c r="M473" i="41"/>
  <c r="M472" i="41"/>
  <c r="M471" i="41"/>
  <c r="M470" i="41"/>
  <c r="M469" i="41"/>
  <c r="M468" i="41"/>
  <c r="M467" i="41"/>
  <c r="M466" i="41"/>
  <c r="M465" i="41"/>
  <c r="M464" i="41"/>
  <c r="M463" i="41"/>
  <c r="M462" i="41"/>
  <c r="M461" i="41"/>
  <c r="M460" i="41"/>
  <c r="M459" i="41"/>
  <c r="M458" i="41"/>
  <c r="M457" i="41"/>
  <c r="M456" i="41"/>
  <c r="M455" i="41"/>
  <c r="M454" i="41"/>
  <c r="M453" i="41"/>
  <c r="M452" i="41"/>
  <c r="M451" i="41"/>
  <c r="M450" i="41"/>
  <c r="M449" i="41"/>
  <c r="M448" i="41"/>
  <c r="M447" i="41"/>
  <c r="M446" i="41"/>
  <c r="M445" i="41"/>
  <c r="M444" i="41"/>
  <c r="M443" i="41"/>
  <c r="M442" i="41"/>
  <c r="M441" i="41"/>
  <c r="M440" i="41"/>
  <c r="M439" i="41"/>
  <c r="M438" i="41"/>
  <c r="M437" i="41"/>
  <c r="M436" i="41"/>
  <c r="M435" i="41"/>
  <c r="N434" i="41"/>
  <c r="M434" i="41"/>
  <c r="N433" i="41"/>
  <c r="M433" i="41"/>
  <c r="N432" i="41"/>
  <c r="M432" i="41"/>
  <c r="N431" i="41"/>
  <c r="M431" i="41"/>
  <c r="N430" i="41"/>
  <c r="M430" i="41"/>
  <c r="N429" i="41"/>
  <c r="M429" i="41"/>
  <c r="N428" i="41"/>
  <c r="M428" i="41"/>
  <c r="N427" i="41"/>
  <c r="M427" i="41"/>
  <c r="N426" i="41"/>
  <c r="M426" i="41"/>
  <c r="N425" i="41"/>
  <c r="M425" i="41"/>
  <c r="N424" i="41"/>
  <c r="M424" i="41"/>
  <c r="N423" i="41"/>
  <c r="M423" i="41"/>
  <c r="N422" i="41"/>
  <c r="M422" i="41"/>
  <c r="N421" i="41"/>
  <c r="M421" i="41"/>
  <c r="N420" i="41"/>
  <c r="M420" i="41"/>
  <c r="N419" i="41"/>
  <c r="M419" i="41"/>
  <c r="N418" i="41"/>
  <c r="M418" i="41"/>
  <c r="N417" i="41"/>
  <c r="M417" i="41"/>
  <c r="N416" i="41"/>
  <c r="M416" i="41"/>
  <c r="N415" i="41"/>
  <c r="M415" i="41"/>
  <c r="N414" i="41"/>
  <c r="M414" i="41"/>
  <c r="N413" i="41"/>
  <c r="M413" i="41"/>
  <c r="N412" i="41"/>
  <c r="M412" i="41"/>
  <c r="N411" i="41"/>
  <c r="M411" i="41"/>
  <c r="N410" i="41"/>
  <c r="M410" i="41"/>
  <c r="N409" i="41"/>
  <c r="M409" i="41"/>
  <c r="N408" i="41"/>
  <c r="M408" i="41"/>
  <c r="N407" i="41"/>
  <c r="M407" i="41"/>
  <c r="N406" i="41"/>
  <c r="M406" i="41"/>
  <c r="N405" i="41"/>
  <c r="M405" i="41"/>
  <c r="N404" i="41"/>
  <c r="M404" i="41"/>
  <c r="N403" i="41"/>
  <c r="M403" i="41"/>
  <c r="N402" i="41"/>
  <c r="M402" i="41"/>
  <c r="N401" i="41"/>
  <c r="M401" i="41"/>
  <c r="N400" i="41"/>
  <c r="M400" i="41"/>
  <c r="N399" i="41"/>
  <c r="M399" i="41"/>
  <c r="N398" i="41"/>
  <c r="M398" i="41"/>
  <c r="N397" i="41"/>
  <c r="M397" i="41"/>
  <c r="N396" i="41"/>
  <c r="M396" i="41"/>
  <c r="N395" i="41"/>
  <c r="M395" i="41"/>
  <c r="N394" i="41"/>
  <c r="M394" i="41"/>
  <c r="N393" i="41"/>
  <c r="M393" i="41"/>
  <c r="N392" i="41"/>
  <c r="M392" i="41"/>
  <c r="N391" i="41"/>
  <c r="M391" i="41"/>
  <c r="N390" i="41"/>
  <c r="M390" i="41"/>
  <c r="N389" i="41"/>
  <c r="M389" i="41"/>
  <c r="N388" i="41"/>
  <c r="M388" i="41"/>
  <c r="N387" i="41"/>
  <c r="M387" i="41"/>
  <c r="N386" i="41"/>
  <c r="M386" i="41"/>
  <c r="N385" i="41"/>
  <c r="M385" i="41"/>
  <c r="N384" i="41"/>
  <c r="M384" i="41"/>
  <c r="N383" i="41"/>
  <c r="M383" i="41"/>
  <c r="N382" i="41"/>
  <c r="M382" i="41"/>
  <c r="N381" i="41"/>
  <c r="M381" i="41"/>
  <c r="N380" i="41"/>
  <c r="M380" i="41"/>
  <c r="N379" i="41"/>
  <c r="M379" i="41"/>
  <c r="N378" i="41"/>
  <c r="M378" i="41"/>
  <c r="N377" i="41"/>
  <c r="M377" i="41"/>
  <c r="N376" i="41"/>
  <c r="M376" i="41"/>
  <c r="N375" i="41"/>
  <c r="M375" i="41"/>
  <c r="N374" i="41"/>
  <c r="M374" i="41"/>
  <c r="N373" i="41"/>
  <c r="M373" i="41"/>
  <c r="N372" i="41"/>
  <c r="M372" i="41"/>
  <c r="N371" i="41"/>
  <c r="M371" i="41"/>
  <c r="N370" i="41"/>
  <c r="M370" i="41"/>
  <c r="N369" i="41"/>
  <c r="M369" i="41"/>
  <c r="N368" i="41"/>
  <c r="M368" i="41"/>
  <c r="N367" i="41"/>
  <c r="M367" i="41"/>
  <c r="N366" i="41"/>
  <c r="M366" i="41"/>
  <c r="N365" i="41"/>
  <c r="M365" i="41"/>
  <c r="N364" i="41"/>
  <c r="M364" i="41"/>
  <c r="N363" i="41"/>
  <c r="M363" i="41"/>
  <c r="N362" i="41"/>
  <c r="M362" i="41"/>
  <c r="N361" i="41"/>
  <c r="M361" i="41"/>
  <c r="N360" i="41"/>
  <c r="M360" i="41"/>
  <c r="N359" i="41"/>
  <c r="M359" i="41"/>
  <c r="N358" i="41"/>
  <c r="M358" i="41"/>
  <c r="N357" i="41"/>
  <c r="M357" i="41"/>
  <c r="N356" i="41"/>
  <c r="M356" i="41"/>
  <c r="M355" i="41"/>
  <c r="M354" i="41"/>
  <c r="M353" i="41"/>
  <c r="M352" i="41"/>
  <c r="M351" i="41"/>
  <c r="M350" i="41"/>
  <c r="M349" i="41"/>
  <c r="M348" i="41"/>
  <c r="M347" i="41"/>
  <c r="M346" i="41"/>
  <c r="M345" i="41"/>
  <c r="M344" i="41"/>
  <c r="M343" i="41"/>
  <c r="M342" i="41"/>
  <c r="M341" i="41"/>
  <c r="M340" i="41"/>
  <c r="M339" i="41"/>
  <c r="M338" i="41"/>
  <c r="M337" i="41"/>
  <c r="M336" i="41"/>
  <c r="M335" i="41"/>
  <c r="M334" i="41"/>
  <c r="M333" i="41"/>
  <c r="M332" i="41"/>
  <c r="M331" i="41"/>
  <c r="M330" i="41"/>
  <c r="M329" i="41"/>
  <c r="M328" i="41"/>
  <c r="M327" i="41"/>
  <c r="M326" i="41"/>
  <c r="M325" i="41"/>
  <c r="M324" i="41"/>
  <c r="M323" i="41"/>
  <c r="M322" i="41"/>
  <c r="M321" i="41"/>
  <c r="M320" i="41"/>
  <c r="M319" i="41"/>
  <c r="M318" i="41"/>
  <c r="M317" i="41"/>
  <c r="M316" i="41"/>
  <c r="M315" i="41"/>
  <c r="M314" i="41"/>
  <c r="M313" i="41"/>
  <c r="M312" i="41"/>
  <c r="M311" i="41"/>
  <c r="M310" i="41"/>
  <c r="M309" i="41"/>
  <c r="M308" i="41"/>
  <c r="M307" i="41"/>
  <c r="M306" i="41"/>
  <c r="M305" i="41"/>
  <c r="M304" i="41"/>
  <c r="M303" i="41"/>
  <c r="M302" i="41"/>
  <c r="M301" i="41"/>
  <c r="M300" i="41"/>
  <c r="M299" i="41"/>
  <c r="M298" i="41"/>
  <c r="M297" i="41"/>
  <c r="M296" i="41"/>
  <c r="M295" i="41"/>
  <c r="M294" i="41"/>
  <c r="M293" i="41"/>
  <c r="M292" i="41"/>
  <c r="M291" i="41"/>
  <c r="M290" i="41"/>
  <c r="M289" i="41"/>
  <c r="M288" i="41"/>
  <c r="M287" i="41"/>
  <c r="M286" i="41"/>
  <c r="M285" i="41"/>
  <c r="M284" i="41"/>
  <c r="M283" i="41"/>
  <c r="M282" i="41"/>
  <c r="M281" i="41"/>
  <c r="M280" i="41"/>
  <c r="M279" i="41"/>
  <c r="M278" i="41"/>
  <c r="M277" i="41"/>
  <c r="M276" i="41"/>
  <c r="M275" i="41"/>
  <c r="M274" i="41"/>
  <c r="M273" i="41"/>
  <c r="M272" i="41"/>
  <c r="M271" i="41"/>
  <c r="M270" i="41"/>
  <c r="M269" i="41"/>
  <c r="M268" i="41"/>
  <c r="M267" i="41"/>
  <c r="M266" i="41"/>
  <c r="M265" i="41"/>
  <c r="M264" i="41"/>
  <c r="M263" i="41"/>
  <c r="M262" i="41"/>
  <c r="M261" i="41"/>
  <c r="M260" i="41"/>
  <c r="M259" i="41"/>
  <c r="M258" i="41"/>
  <c r="M257" i="41"/>
  <c r="M256" i="41"/>
  <c r="M255" i="41"/>
  <c r="M254" i="41"/>
  <c r="M253" i="41"/>
  <c r="M252" i="41"/>
  <c r="M251" i="41"/>
  <c r="M250" i="41"/>
  <c r="M249" i="41"/>
  <c r="M248" i="41"/>
  <c r="M247" i="41"/>
  <c r="M246" i="41"/>
  <c r="M245" i="41"/>
  <c r="M244" i="41"/>
  <c r="M243" i="41"/>
  <c r="M242" i="41"/>
  <c r="M241" i="41"/>
  <c r="M240" i="41"/>
  <c r="M239" i="41"/>
  <c r="M238" i="41"/>
  <c r="M237" i="41"/>
  <c r="M236" i="41"/>
  <c r="M235" i="41"/>
  <c r="M234" i="41"/>
  <c r="M233" i="41"/>
  <c r="M232" i="41"/>
  <c r="M231" i="41"/>
  <c r="M230" i="41"/>
  <c r="M229" i="41"/>
  <c r="M228" i="41"/>
  <c r="M227" i="41"/>
  <c r="M226" i="41"/>
  <c r="M225" i="41"/>
  <c r="M224" i="41"/>
  <c r="M223" i="41"/>
  <c r="M222" i="41"/>
  <c r="M221" i="41"/>
  <c r="M220" i="41"/>
  <c r="M219" i="41"/>
  <c r="M218" i="41"/>
  <c r="M217" i="41"/>
  <c r="M216" i="41"/>
  <c r="M215" i="41"/>
  <c r="M214" i="41"/>
  <c r="M213" i="41"/>
  <c r="M212" i="41"/>
  <c r="M211" i="41"/>
  <c r="M210" i="41"/>
  <c r="M209" i="41"/>
  <c r="M208" i="41"/>
  <c r="M207" i="41"/>
  <c r="M206" i="41"/>
  <c r="M205" i="41"/>
  <c r="M204" i="41"/>
  <c r="M203" i="41"/>
  <c r="M202" i="41"/>
  <c r="M201" i="41"/>
  <c r="M200" i="41"/>
  <c r="N199" i="41"/>
  <c r="M199" i="41"/>
  <c r="N198" i="41"/>
  <c r="M198" i="41"/>
  <c r="N197" i="41"/>
  <c r="M197" i="41"/>
  <c r="N196" i="41"/>
  <c r="M196" i="41"/>
  <c r="N195" i="41"/>
  <c r="M195" i="41"/>
  <c r="N194" i="41"/>
  <c r="M194" i="41"/>
  <c r="N193" i="41"/>
  <c r="M193" i="41"/>
  <c r="N192" i="41"/>
  <c r="M192" i="41"/>
  <c r="N191" i="41"/>
  <c r="M191" i="41"/>
  <c r="N190" i="41"/>
  <c r="M190" i="41"/>
  <c r="N189" i="41"/>
  <c r="M189" i="41"/>
  <c r="N188" i="41"/>
  <c r="M188" i="41"/>
  <c r="N187" i="41"/>
  <c r="M187" i="41"/>
  <c r="N186" i="41"/>
  <c r="M186" i="41"/>
  <c r="N185" i="41"/>
  <c r="M185" i="41"/>
  <c r="N184" i="41"/>
  <c r="M184" i="41"/>
  <c r="N183" i="41"/>
  <c r="M183" i="41"/>
  <c r="N182" i="41"/>
  <c r="M182" i="41"/>
  <c r="N181" i="41"/>
  <c r="M181" i="41"/>
  <c r="N180" i="41"/>
  <c r="M180" i="41"/>
  <c r="N179" i="41"/>
  <c r="M179" i="41"/>
  <c r="N178" i="41"/>
  <c r="M178" i="41"/>
  <c r="N177" i="41"/>
  <c r="M177" i="41"/>
  <c r="N176" i="41"/>
  <c r="M176" i="41"/>
  <c r="N175" i="41"/>
  <c r="M175" i="41"/>
  <c r="N174" i="41"/>
  <c r="M174" i="41"/>
  <c r="N173" i="41"/>
  <c r="M173" i="41"/>
  <c r="N172" i="41"/>
  <c r="M172" i="41"/>
  <c r="N171" i="41"/>
  <c r="M171" i="41"/>
  <c r="N170" i="41"/>
  <c r="M170" i="41"/>
  <c r="N169" i="41"/>
  <c r="M169" i="41"/>
  <c r="N168" i="41"/>
  <c r="M168" i="41"/>
  <c r="N167" i="41"/>
  <c r="M167" i="41"/>
  <c r="M166" i="41"/>
  <c r="M165" i="41"/>
  <c r="M164" i="41"/>
  <c r="M163" i="41"/>
  <c r="M162" i="41"/>
  <c r="M161" i="41"/>
  <c r="M160" i="41"/>
  <c r="M159" i="41"/>
  <c r="M158" i="41"/>
  <c r="M157" i="41"/>
  <c r="M156" i="41"/>
  <c r="M155" i="41"/>
  <c r="M154" i="41"/>
  <c r="M153" i="41"/>
  <c r="M152" i="41"/>
  <c r="M151" i="41"/>
  <c r="M150" i="41"/>
  <c r="M149" i="41"/>
  <c r="M148" i="41"/>
  <c r="M147" i="41"/>
  <c r="M146" i="41"/>
  <c r="M145" i="41"/>
  <c r="M144" i="41"/>
  <c r="M143" i="41"/>
  <c r="M142" i="41"/>
  <c r="M141" i="41"/>
  <c r="M140" i="41"/>
  <c r="M139" i="41"/>
  <c r="M138" i="41"/>
  <c r="M137" i="41"/>
  <c r="M136" i="41"/>
  <c r="M135" i="41"/>
  <c r="M134" i="41"/>
  <c r="M133" i="41"/>
  <c r="M132" i="41"/>
  <c r="M131" i="41"/>
  <c r="M130" i="41"/>
  <c r="M129" i="41"/>
  <c r="M128" i="41"/>
  <c r="M127" i="41"/>
  <c r="M126" i="41"/>
  <c r="M125" i="41"/>
  <c r="M124" i="41"/>
  <c r="M123" i="41"/>
  <c r="M122" i="41"/>
  <c r="M121" i="41"/>
  <c r="M120" i="41"/>
  <c r="M119" i="41"/>
  <c r="M118" i="41"/>
  <c r="M117" i="41"/>
  <c r="M116" i="41"/>
  <c r="M115" i="41"/>
  <c r="M114" i="41"/>
  <c r="M113" i="41"/>
  <c r="M112" i="41"/>
  <c r="M111" i="41"/>
  <c r="M110" i="41"/>
  <c r="M109" i="41"/>
  <c r="M108" i="41"/>
  <c r="M107" i="41"/>
  <c r="M106" i="41"/>
  <c r="M105" i="41"/>
  <c r="M104" i="41"/>
  <c r="M103" i="41"/>
  <c r="M102" i="41"/>
  <c r="M101" i="41"/>
  <c r="M100" i="41"/>
  <c r="M99" i="41"/>
  <c r="M98" i="41"/>
  <c r="M97" i="41"/>
  <c r="M96" i="41"/>
  <c r="M95" i="41"/>
  <c r="M94" i="41"/>
  <c r="M93" i="41"/>
  <c r="M92" i="41"/>
  <c r="M91" i="41"/>
  <c r="M90" i="41"/>
  <c r="M89" i="41"/>
  <c r="M88" i="41"/>
  <c r="M87" i="41"/>
  <c r="M86" i="41"/>
  <c r="M85" i="41"/>
  <c r="M84" i="41"/>
  <c r="M83" i="41"/>
  <c r="M82" i="41"/>
  <c r="M81" i="41"/>
  <c r="M80" i="41"/>
  <c r="M79" i="41"/>
  <c r="M78" i="41"/>
  <c r="M77" i="41"/>
  <c r="M76" i="41"/>
  <c r="M75" i="41"/>
  <c r="M74" i="41"/>
  <c r="M73" i="41"/>
  <c r="M72" i="41"/>
  <c r="M71" i="41"/>
  <c r="M70" i="41"/>
  <c r="M69" i="41"/>
  <c r="M68" i="41"/>
  <c r="M67" i="41"/>
  <c r="M66" i="41"/>
  <c r="M65" i="41"/>
  <c r="M64" i="41"/>
  <c r="M63" i="41"/>
  <c r="M62" i="41"/>
  <c r="M61" i="41"/>
  <c r="M60" i="41"/>
  <c r="M59" i="41"/>
  <c r="M58" i="41"/>
  <c r="M57" i="41"/>
  <c r="M56" i="41"/>
  <c r="M55" i="41"/>
  <c r="M54" i="41"/>
  <c r="M53" i="41"/>
  <c r="M52" i="41"/>
  <c r="M51" i="41"/>
  <c r="M50" i="41"/>
  <c r="M49" i="41"/>
  <c r="M48" i="41"/>
  <c r="M47" i="41"/>
  <c r="M46" i="41"/>
  <c r="M45" i="41"/>
  <c r="M44" i="41"/>
  <c r="M43" i="41"/>
  <c r="M42" i="41"/>
  <c r="M41" i="41"/>
  <c r="M40" i="41"/>
  <c r="M39" i="41"/>
  <c r="M38" i="41"/>
  <c r="M37" i="41"/>
  <c r="M36" i="41"/>
  <c r="M35" i="41"/>
  <c r="M34" i="41"/>
  <c r="M33" i="41"/>
  <c r="M32" i="41"/>
  <c r="M31" i="41"/>
  <c r="M30" i="41"/>
  <c r="M29" i="41"/>
  <c r="M28" i="41"/>
  <c r="M27" i="41"/>
  <c r="M26" i="41"/>
  <c r="M25" i="41"/>
  <c r="M24" i="41"/>
  <c r="M23" i="41"/>
  <c r="M22" i="41"/>
  <c r="M21" i="41"/>
  <c r="M20" i="41"/>
  <c r="M19" i="41"/>
  <c r="M18" i="41"/>
  <c r="M17" i="41"/>
  <c r="M16" i="41"/>
  <c r="M15" i="41"/>
  <c r="M14" i="41"/>
  <c r="M13" i="41"/>
  <c r="M12" i="41"/>
  <c r="M11" i="41"/>
  <c r="M10" i="41"/>
  <c r="M9" i="41"/>
  <c r="M8" i="41"/>
  <c r="M7" i="41"/>
  <c r="M6" i="41"/>
  <c r="M5" i="41"/>
  <c r="M4" i="41"/>
  <c r="M3" i="41"/>
  <c r="D51" i="40"/>
  <c r="E51" i="40"/>
  <c r="F51" i="40"/>
  <c r="G51" i="40"/>
  <c r="H51" i="40"/>
  <c r="I51" i="40"/>
  <c r="D58" i="40"/>
  <c r="D61" i="40" s="1"/>
  <c r="E58" i="40"/>
  <c r="E61" i="40" s="1"/>
  <c r="F58" i="40"/>
  <c r="F61" i="40" s="1"/>
  <c r="G58" i="40"/>
  <c r="G61" i="40" s="1"/>
  <c r="H58" i="40"/>
  <c r="I58" i="40"/>
  <c r="I61" i="40" s="1"/>
  <c r="D59" i="40"/>
  <c r="E59" i="40"/>
  <c r="F59" i="40"/>
  <c r="G59" i="40"/>
  <c r="H59" i="40"/>
  <c r="I59" i="40"/>
  <c r="D60" i="40"/>
  <c r="E60" i="40"/>
  <c r="F60" i="40"/>
  <c r="G60" i="40"/>
  <c r="H60" i="40"/>
  <c r="I60" i="40"/>
  <c r="B61" i="40"/>
  <c r="C61" i="40"/>
  <c r="H61" i="40"/>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7"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7"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9"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3"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4" authorId="1">
      <text>
        <r>
          <rPr>
            <b/>
            <sz val="8"/>
            <color indexed="81"/>
            <rFont val="Tahoma"/>
            <family val="2"/>
          </rPr>
          <t>The URL for the data file that this metadata describes.  This will be fill in by the Information Manager.  You Do NOT need to fill in.</t>
        </r>
      </text>
    </comment>
    <comment ref="A35"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5"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6" authorId="3">
      <text>
        <r>
          <rPr>
            <b/>
            <sz val="8"/>
            <color indexed="81"/>
            <rFont val="Tahoma"/>
            <family val="2"/>
          </rPr>
          <t xml:space="preserve"> The date that data collection began for the dataset.</t>
        </r>
      </text>
    </comment>
    <comment ref="B36" authorId="3">
      <text>
        <r>
          <rPr>
            <b/>
            <sz val="8"/>
            <color indexed="81"/>
            <rFont val="Tahoma"/>
            <family val="2"/>
          </rPr>
          <t xml:space="preserve"> The date that data collection began for the dataset.</t>
        </r>
      </text>
    </comment>
    <comment ref="A37" authorId="0">
      <text>
        <r>
          <rPr>
            <b/>
            <sz val="8"/>
            <color indexed="81"/>
            <rFont val="Tahoma"/>
            <family val="2"/>
          </rPr>
          <t>The ending date of data collection.</t>
        </r>
        <r>
          <rPr>
            <sz val="8"/>
            <color indexed="81"/>
            <rFont val="Tahoma"/>
            <family val="2"/>
          </rPr>
          <t xml:space="preserve">
</t>
        </r>
      </text>
    </comment>
    <comment ref="B37" authorId="0">
      <text>
        <r>
          <rPr>
            <b/>
            <sz val="8"/>
            <color indexed="81"/>
            <rFont val="Tahoma"/>
            <family val="2"/>
          </rPr>
          <t>The ending date of data collection.</t>
        </r>
        <r>
          <rPr>
            <sz val="8"/>
            <color indexed="81"/>
            <rFont val="Tahoma"/>
            <family val="2"/>
          </rPr>
          <t xml:space="preserve">
</t>
        </r>
      </text>
    </comment>
    <comment ref="A38"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8"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9"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9"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40"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40"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41" authorId="4">
      <text>
        <r>
          <rPr>
            <sz val="8"/>
            <color indexed="81"/>
            <rFont val="Tahoma"/>
            <family val="2"/>
          </rPr>
          <t xml:space="preserve">A description of the Quality Control procedures that relate to the dataset. </t>
        </r>
      </text>
    </comment>
    <comment ref="B41" authorId="4">
      <text>
        <r>
          <rPr>
            <sz val="8"/>
            <color indexed="81"/>
            <rFont val="Tahoma"/>
            <family val="2"/>
          </rPr>
          <t xml:space="preserve">A description of the Quality Control procedures that relate to the dataset. </t>
        </r>
      </text>
    </comment>
    <comment ref="A42"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42"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3"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3"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9"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50"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50" authorId="1">
      <text>
        <r>
          <rPr>
            <b/>
            <sz val="9"/>
            <color indexed="81"/>
            <rFont val="Tahoma"/>
            <family val="2"/>
          </rPr>
          <t xml:space="preserve">The name of the sampling location or site number (from the official ARC LTER site list) see the "ARC LTER sites" worksheet Or enter a new site here.
</t>
        </r>
      </text>
    </comment>
    <comment ref="A51"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51"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1"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51"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51"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51"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51"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51"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51"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3"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3"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3"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3"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3"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3"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3"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3"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4"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4"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4"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4"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4"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4"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4"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4"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5"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5"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5"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5"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5"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5"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5"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5"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6"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6"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6"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6"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6"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6"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6"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6"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8"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8"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8"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8"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8"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8"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8"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8"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9"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9"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9"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9"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9"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9"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9"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9"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60"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61" authorId="1">
      <text>
        <r>
          <rPr>
            <b/>
            <sz val="9"/>
            <color indexed="81"/>
            <rFont val="Tahoma"/>
            <family val="2"/>
          </rPr>
          <t>This link is generated by a formula using the lat long.  It's a way oc checking the values entered.</t>
        </r>
      </text>
    </comment>
    <comment ref="A64"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4"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7"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7"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70"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226"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227" authorId="0">
      <text>
        <r>
          <rPr>
            <b/>
            <sz val="8"/>
            <color indexed="81"/>
            <rFont val="Tahoma"/>
            <family val="2"/>
          </rPr>
          <t>List the URL to an online protocol document.</t>
        </r>
      </text>
    </comment>
    <comment ref="A229" authorId="0">
      <text>
        <r>
          <rPr>
            <b/>
            <sz val="8"/>
            <color indexed="81"/>
            <rFont val="Tahoma"/>
            <family val="2"/>
          </rPr>
          <t>Describe the protocol used. Be as complete as possible.  Include any references and deviations used from references.</t>
        </r>
      </text>
    </comment>
    <comment ref="A236" authorId="3">
      <text>
        <r>
          <rPr>
            <b/>
            <sz val="8"/>
            <color indexed="81"/>
            <rFont val="Tahoma"/>
            <family val="2"/>
          </rPr>
          <t>This section describes the variables in the data set. Please be as complete as necessary.</t>
        </r>
      </text>
    </comment>
    <comment ref="A237"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237" authorId="3">
      <text>
        <r>
          <rPr>
            <b/>
            <sz val="8"/>
            <color indexed="81"/>
            <rFont val="Tahoma"/>
            <family val="2"/>
          </rPr>
          <t>Variable Description is an explanation of what the Variable represents. 
Include details about the units, e.g. microgram of NH4-N per gram of oven dried soil.</t>
        </r>
      </text>
    </comment>
    <comment ref="C237"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237"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237"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237"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237"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 ref="A238"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238" authorId="3">
      <text>
        <r>
          <rPr>
            <b/>
            <sz val="8"/>
            <color indexed="81"/>
            <rFont val="Tahoma"/>
            <family val="2"/>
          </rPr>
          <t>Variable Description is an explanation of what the Variable represents. 
Include details about the units, e.g. microgram of NH4-N per gram of oven dried soil.</t>
        </r>
      </text>
    </comment>
    <comment ref="C238"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238"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238"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238"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238"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List>
</comments>
</file>

<file path=xl/comments2.xml><?xml version="1.0" encoding="utf-8"?>
<comments xmlns="http://schemas.openxmlformats.org/spreadsheetml/2006/main">
  <authors>
    <author>toolik</author>
    <author>jdrysdale</author>
    <author>Laura</author>
  </authors>
  <commentList>
    <comment ref="P1" authorId="0">
      <text>
        <r>
          <rPr>
            <b/>
            <sz val="9"/>
            <color indexed="81"/>
            <rFont val="Tahoma"/>
            <family val="2"/>
          </rPr>
          <t>toolik:</t>
        </r>
        <r>
          <rPr>
            <sz val="9"/>
            <color indexed="81"/>
            <rFont val="Tahoma"/>
            <family val="2"/>
          </rPr>
          <t xml:space="preserve">
Use this area for correcting Aci and Light Response curves.</t>
        </r>
      </text>
    </comment>
    <comment ref="Q1" authorId="1">
      <text>
        <r>
          <rPr>
            <b/>
            <sz val="9"/>
            <color indexed="81"/>
            <rFont val="Tahoma"/>
            <family val="2"/>
          </rPr>
          <t>jdrysdale:</t>
        </r>
        <r>
          <rPr>
            <sz val="9"/>
            <color indexed="81"/>
            <rFont val="Tahoma"/>
            <family val="2"/>
          </rPr>
          <t xml:space="preserve">
Leaf mass area = Total Leaf area / Total dry weight</t>
        </r>
      </text>
    </comment>
    <comment ref="AH2" authorId="0">
      <text>
        <r>
          <rPr>
            <b/>
            <sz val="9"/>
            <color indexed="81"/>
            <rFont val="Tahoma"/>
            <family val="2"/>
          </rPr>
          <t>toolik:</t>
        </r>
        <r>
          <rPr>
            <sz val="9"/>
            <color indexed="81"/>
            <rFont val="Tahoma"/>
            <family val="2"/>
          </rPr>
          <t xml:space="preserve">
Measurement: 6</t>
        </r>
      </text>
    </comment>
    <comment ref="AI2" authorId="0">
      <text>
        <r>
          <rPr>
            <b/>
            <sz val="9"/>
            <color indexed="81"/>
            <rFont val="Tahoma"/>
            <family val="2"/>
          </rPr>
          <t>toolik:</t>
        </r>
        <r>
          <rPr>
            <sz val="9"/>
            <color indexed="81"/>
            <rFont val="Tahoma"/>
            <family val="2"/>
          </rPr>
          <t xml:space="preserve">
Measurement: 13</t>
        </r>
      </text>
    </comment>
    <comment ref="AU2" authorId="0">
      <text>
        <r>
          <rPr>
            <b/>
            <sz val="9"/>
            <color indexed="81"/>
            <rFont val="Tahoma"/>
            <family val="2"/>
          </rPr>
          <t>toolik:</t>
        </r>
        <r>
          <rPr>
            <sz val="9"/>
            <color indexed="81"/>
            <rFont val="Tahoma"/>
            <family val="2"/>
          </rPr>
          <t xml:space="preserve">
Measurement: 6</t>
        </r>
      </text>
    </comment>
    <comment ref="AV2" authorId="0">
      <text>
        <r>
          <rPr>
            <b/>
            <sz val="9"/>
            <color indexed="81"/>
            <rFont val="Tahoma"/>
            <family val="2"/>
          </rPr>
          <t>toolik:</t>
        </r>
        <r>
          <rPr>
            <sz val="9"/>
            <color indexed="81"/>
            <rFont val="Tahoma"/>
            <family val="2"/>
          </rPr>
          <t xml:space="preserve">
Measurement: 13</t>
        </r>
      </text>
    </comment>
    <comment ref="AC3" authorId="0">
      <text>
        <r>
          <rPr>
            <b/>
            <sz val="9"/>
            <color indexed="81"/>
            <rFont val="Tahoma"/>
            <family val="2"/>
          </rPr>
          <t>toolik:</t>
        </r>
        <r>
          <rPr>
            <sz val="9"/>
            <color indexed="81"/>
            <rFont val="Tahoma"/>
            <family val="2"/>
          </rPr>
          <t xml:space="preserve">
Measurement not good! Too many leaves in the chamber.</t>
        </r>
      </text>
    </comment>
    <comment ref="AD3" authorId="0">
      <text>
        <r>
          <rPr>
            <b/>
            <sz val="9"/>
            <color indexed="81"/>
            <rFont val="Tahoma"/>
            <family val="2"/>
          </rPr>
          <t>toolik:</t>
        </r>
        <r>
          <rPr>
            <sz val="9"/>
            <color indexed="81"/>
            <rFont val="Tahoma"/>
            <family val="2"/>
          </rPr>
          <t xml:space="preserve">
Measurement not good! Too many leaves in the chamber.</t>
        </r>
      </text>
    </comment>
    <comment ref="AE3" authorId="0">
      <text>
        <r>
          <rPr>
            <b/>
            <sz val="9"/>
            <color indexed="81"/>
            <rFont val="Tahoma"/>
            <family val="2"/>
          </rPr>
          <t>toolik:</t>
        </r>
        <r>
          <rPr>
            <sz val="9"/>
            <color indexed="81"/>
            <rFont val="Tahoma"/>
            <family val="2"/>
          </rPr>
          <t xml:space="preserve">
Measurement not good! Too many leaves in the chamber.</t>
        </r>
      </text>
    </comment>
    <comment ref="AF3" authorId="0">
      <text>
        <r>
          <rPr>
            <b/>
            <sz val="9"/>
            <color indexed="81"/>
            <rFont val="Tahoma"/>
            <family val="2"/>
          </rPr>
          <t>toolik:</t>
        </r>
        <r>
          <rPr>
            <sz val="9"/>
            <color indexed="81"/>
            <rFont val="Tahoma"/>
            <family val="2"/>
          </rPr>
          <t xml:space="preserve">
Measurement not good! Too many leaves in the chamber.</t>
        </r>
      </text>
    </comment>
    <comment ref="AG3" authorId="0">
      <text>
        <r>
          <rPr>
            <b/>
            <sz val="9"/>
            <color indexed="81"/>
            <rFont val="Tahoma"/>
            <family val="2"/>
          </rPr>
          <t>toolik:</t>
        </r>
        <r>
          <rPr>
            <sz val="9"/>
            <color indexed="81"/>
            <rFont val="Tahoma"/>
            <family val="2"/>
          </rPr>
          <t xml:space="preserve">
Measurement not good! Too many leaves in the chamber.</t>
        </r>
      </text>
    </comment>
    <comment ref="AH3" authorId="0">
      <text>
        <r>
          <rPr>
            <b/>
            <sz val="9"/>
            <color indexed="81"/>
            <rFont val="Tahoma"/>
            <family val="2"/>
          </rPr>
          <t>toolik:</t>
        </r>
        <r>
          <rPr>
            <sz val="9"/>
            <color indexed="81"/>
            <rFont val="Tahoma"/>
            <family val="2"/>
          </rPr>
          <t xml:space="preserve">
Measurement not good! Too many leaves in the chamber.</t>
        </r>
      </text>
    </comment>
    <comment ref="AI3" authorId="0">
      <text>
        <r>
          <rPr>
            <b/>
            <sz val="9"/>
            <color indexed="81"/>
            <rFont val="Tahoma"/>
            <family val="2"/>
          </rPr>
          <t>toolik:</t>
        </r>
        <r>
          <rPr>
            <sz val="9"/>
            <color indexed="81"/>
            <rFont val="Tahoma"/>
            <family val="2"/>
          </rPr>
          <t xml:space="preserve">
Measurement not good! Too many leaves in the chamber.</t>
        </r>
      </text>
    </comment>
    <comment ref="AJ3" authorId="0">
      <text>
        <r>
          <rPr>
            <b/>
            <sz val="9"/>
            <color indexed="81"/>
            <rFont val="Tahoma"/>
            <family val="2"/>
          </rPr>
          <t>toolik:</t>
        </r>
        <r>
          <rPr>
            <sz val="9"/>
            <color indexed="81"/>
            <rFont val="Tahoma"/>
            <family val="2"/>
          </rPr>
          <t xml:space="preserve">
Measurement not good! Too many leaves in the chamber.</t>
        </r>
      </text>
    </comment>
    <comment ref="AK3" authorId="0">
      <text>
        <r>
          <rPr>
            <b/>
            <sz val="9"/>
            <color indexed="81"/>
            <rFont val="Tahoma"/>
            <family val="2"/>
          </rPr>
          <t>toolik:</t>
        </r>
        <r>
          <rPr>
            <sz val="9"/>
            <color indexed="81"/>
            <rFont val="Tahoma"/>
            <family val="2"/>
          </rPr>
          <t xml:space="preserve">
Measurement not good! Too many leaves in the chamber.</t>
        </r>
      </text>
    </comment>
    <comment ref="AL3" authorId="0">
      <text>
        <r>
          <rPr>
            <b/>
            <sz val="9"/>
            <color indexed="81"/>
            <rFont val="Tahoma"/>
            <family val="2"/>
          </rPr>
          <t>toolik:</t>
        </r>
        <r>
          <rPr>
            <sz val="9"/>
            <color indexed="81"/>
            <rFont val="Tahoma"/>
            <family val="2"/>
          </rPr>
          <t xml:space="preserve">
Measurement not good! Too many leaves in the chamber.</t>
        </r>
      </text>
    </comment>
    <comment ref="AM3" authorId="0">
      <text>
        <r>
          <rPr>
            <b/>
            <sz val="9"/>
            <color indexed="81"/>
            <rFont val="Tahoma"/>
            <family val="2"/>
          </rPr>
          <t>toolik:</t>
        </r>
        <r>
          <rPr>
            <sz val="9"/>
            <color indexed="81"/>
            <rFont val="Tahoma"/>
            <family val="2"/>
          </rPr>
          <t xml:space="preserve">
Measurement not good! Too many leaves in the chamber.</t>
        </r>
      </text>
    </comment>
    <comment ref="AN3" authorId="0">
      <text>
        <r>
          <rPr>
            <b/>
            <sz val="9"/>
            <color indexed="81"/>
            <rFont val="Tahoma"/>
            <family val="2"/>
          </rPr>
          <t>toolik:</t>
        </r>
        <r>
          <rPr>
            <sz val="9"/>
            <color indexed="81"/>
            <rFont val="Tahoma"/>
            <family val="2"/>
          </rPr>
          <t xml:space="preserve">
Measurement not good! Too many leaves in the chamber.</t>
        </r>
      </text>
    </comment>
    <comment ref="AO3" authorId="0">
      <text>
        <r>
          <rPr>
            <b/>
            <sz val="9"/>
            <color indexed="81"/>
            <rFont val="Tahoma"/>
            <family val="2"/>
          </rPr>
          <t>toolik:</t>
        </r>
        <r>
          <rPr>
            <sz val="9"/>
            <color indexed="81"/>
            <rFont val="Tahoma"/>
            <family val="2"/>
          </rPr>
          <t xml:space="preserve">
Measurement not good! Too many leaves in the chamber.</t>
        </r>
      </text>
    </comment>
    <comment ref="AP3" authorId="0">
      <text>
        <r>
          <rPr>
            <b/>
            <sz val="9"/>
            <color indexed="81"/>
            <rFont val="Tahoma"/>
            <family val="2"/>
          </rPr>
          <t>toolik:</t>
        </r>
        <r>
          <rPr>
            <sz val="9"/>
            <color indexed="81"/>
            <rFont val="Tahoma"/>
            <family val="2"/>
          </rPr>
          <t xml:space="preserve">
Measurement not good! Too many leaves in the chamber.</t>
        </r>
      </text>
    </comment>
    <comment ref="AQ3" authorId="0">
      <text>
        <r>
          <rPr>
            <b/>
            <sz val="9"/>
            <color indexed="81"/>
            <rFont val="Tahoma"/>
            <family val="2"/>
          </rPr>
          <t>toolik:</t>
        </r>
        <r>
          <rPr>
            <sz val="9"/>
            <color indexed="81"/>
            <rFont val="Tahoma"/>
            <family val="2"/>
          </rPr>
          <t xml:space="preserve">
Measurement not good! Too many leaves in the chamber.</t>
        </r>
      </text>
    </comment>
    <comment ref="AR3" authorId="0">
      <text>
        <r>
          <rPr>
            <b/>
            <sz val="9"/>
            <color indexed="81"/>
            <rFont val="Tahoma"/>
            <family val="2"/>
          </rPr>
          <t>toolik:</t>
        </r>
        <r>
          <rPr>
            <sz val="9"/>
            <color indexed="81"/>
            <rFont val="Tahoma"/>
            <family val="2"/>
          </rPr>
          <t xml:space="preserve">
Measurement not good! Too many leaves in the chamber.</t>
        </r>
      </text>
    </comment>
    <comment ref="AS3" authorId="0">
      <text>
        <r>
          <rPr>
            <b/>
            <sz val="9"/>
            <color indexed="81"/>
            <rFont val="Tahoma"/>
            <family val="2"/>
          </rPr>
          <t>toolik:</t>
        </r>
        <r>
          <rPr>
            <sz val="9"/>
            <color indexed="81"/>
            <rFont val="Tahoma"/>
            <family val="2"/>
          </rPr>
          <t xml:space="preserve">
Measurement not good! Too many leaves in the chamber.</t>
        </r>
      </text>
    </comment>
    <comment ref="AT3" authorId="0">
      <text>
        <r>
          <rPr>
            <b/>
            <sz val="9"/>
            <color indexed="81"/>
            <rFont val="Tahoma"/>
            <family val="2"/>
          </rPr>
          <t>toolik:</t>
        </r>
        <r>
          <rPr>
            <sz val="9"/>
            <color indexed="81"/>
            <rFont val="Tahoma"/>
            <family val="2"/>
          </rPr>
          <t xml:space="preserve">
Measurement not good! Too many leaves in the chamber.</t>
        </r>
      </text>
    </comment>
    <comment ref="AU3" authorId="0">
      <text>
        <r>
          <rPr>
            <b/>
            <sz val="9"/>
            <color indexed="81"/>
            <rFont val="Tahoma"/>
            <family val="2"/>
          </rPr>
          <t>toolik:</t>
        </r>
        <r>
          <rPr>
            <sz val="9"/>
            <color indexed="81"/>
            <rFont val="Tahoma"/>
            <family val="2"/>
          </rPr>
          <t xml:space="preserve">
Measurement not good! Too many leaves in the chamber.</t>
        </r>
      </text>
    </comment>
    <comment ref="AV3" authorId="0">
      <text>
        <r>
          <rPr>
            <b/>
            <sz val="9"/>
            <color indexed="81"/>
            <rFont val="Tahoma"/>
            <family val="2"/>
          </rPr>
          <t>toolik:</t>
        </r>
        <r>
          <rPr>
            <sz val="9"/>
            <color indexed="81"/>
            <rFont val="Tahoma"/>
            <family val="2"/>
          </rPr>
          <t xml:space="preserve">
Measurement not good! Too many leaves in the chamber.</t>
        </r>
      </text>
    </comment>
    <comment ref="AW3" authorId="0">
      <text>
        <r>
          <rPr>
            <b/>
            <sz val="9"/>
            <color indexed="81"/>
            <rFont val="Tahoma"/>
            <family val="2"/>
          </rPr>
          <t>toolik:</t>
        </r>
        <r>
          <rPr>
            <sz val="9"/>
            <color indexed="81"/>
            <rFont val="Tahoma"/>
            <family val="2"/>
          </rPr>
          <t xml:space="preserve">
Measurement not good! Too many leaves in the chamber.</t>
        </r>
      </text>
    </comment>
    <comment ref="AX3" authorId="0">
      <text>
        <r>
          <rPr>
            <b/>
            <sz val="9"/>
            <color indexed="81"/>
            <rFont val="Tahoma"/>
            <family val="2"/>
          </rPr>
          <t>toolik:</t>
        </r>
        <r>
          <rPr>
            <sz val="9"/>
            <color indexed="81"/>
            <rFont val="Tahoma"/>
            <family val="2"/>
          </rPr>
          <t xml:space="preserve">
Measurement not good! Too many leaves in the chamber.</t>
        </r>
      </text>
    </comment>
    <comment ref="AY3" authorId="0">
      <text>
        <r>
          <rPr>
            <b/>
            <sz val="9"/>
            <color indexed="81"/>
            <rFont val="Tahoma"/>
            <family val="2"/>
          </rPr>
          <t>toolik:</t>
        </r>
        <r>
          <rPr>
            <sz val="9"/>
            <color indexed="81"/>
            <rFont val="Tahoma"/>
            <family val="2"/>
          </rPr>
          <t xml:space="preserve">
Measurement not good! Too many leaves in the chamber.</t>
        </r>
      </text>
    </comment>
    <comment ref="AZ3" authorId="0">
      <text>
        <r>
          <rPr>
            <b/>
            <sz val="9"/>
            <color indexed="81"/>
            <rFont val="Tahoma"/>
            <family val="2"/>
          </rPr>
          <t>toolik:</t>
        </r>
        <r>
          <rPr>
            <sz val="9"/>
            <color indexed="81"/>
            <rFont val="Tahoma"/>
            <family val="2"/>
          </rPr>
          <t xml:space="preserve">
Measurement not good! Too many leaves in the chamber.</t>
        </r>
      </text>
    </comment>
    <comment ref="BA3" authorId="0">
      <text>
        <r>
          <rPr>
            <b/>
            <sz val="9"/>
            <color indexed="81"/>
            <rFont val="Tahoma"/>
            <family val="2"/>
          </rPr>
          <t>toolik:</t>
        </r>
        <r>
          <rPr>
            <sz val="9"/>
            <color indexed="81"/>
            <rFont val="Tahoma"/>
            <family val="2"/>
          </rPr>
          <t xml:space="preserve">
Measurement not good! Too many leaves in the chamber.</t>
        </r>
      </text>
    </comment>
    <comment ref="BB3" authorId="0">
      <text>
        <r>
          <rPr>
            <b/>
            <sz val="9"/>
            <color indexed="81"/>
            <rFont val="Tahoma"/>
            <family val="2"/>
          </rPr>
          <t>toolik:</t>
        </r>
        <r>
          <rPr>
            <sz val="9"/>
            <color indexed="81"/>
            <rFont val="Tahoma"/>
            <family val="2"/>
          </rPr>
          <t xml:space="preserve">
Measurement not good! Too many leaves in the chamber.</t>
        </r>
      </text>
    </comment>
    <comment ref="AH8" authorId="0">
      <text>
        <r>
          <rPr>
            <b/>
            <sz val="9"/>
            <color indexed="81"/>
            <rFont val="Tahoma"/>
            <family val="2"/>
          </rPr>
          <t>toolik:</t>
        </r>
        <r>
          <rPr>
            <sz val="9"/>
            <color indexed="81"/>
            <rFont val="Tahoma"/>
            <family val="2"/>
          </rPr>
          <t xml:space="preserve">
Measurement: 13</t>
        </r>
      </text>
    </comment>
    <comment ref="AI8" authorId="0">
      <text>
        <r>
          <rPr>
            <b/>
            <sz val="9"/>
            <color indexed="81"/>
            <rFont val="Tahoma"/>
            <family val="2"/>
          </rPr>
          <t>toolik:</t>
        </r>
        <r>
          <rPr>
            <sz val="9"/>
            <color indexed="81"/>
            <rFont val="Tahoma"/>
            <family val="2"/>
          </rPr>
          <t xml:space="preserve">
Measurement: 6</t>
        </r>
      </text>
    </comment>
    <comment ref="AU8" authorId="0">
      <text>
        <r>
          <rPr>
            <b/>
            <sz val="9"/>
            <color indexed="81"/>
            <rFont val="Tahoma"/>
            <family val="2"/>
          </rPr>
          <t>toolik:</t>
        </r>
        <r>
          <rPr>
            <sz val="9"/>
            <color indexed="81"/>
            <rFont val="Tahoma"/>
            <family val="2"/>
          </rPr>
          <t xml:space="preserve">
Measurement: 13</t>
        </r>
      </text>
    </comment>
    <comment ref="AV8" authorId="0">
      <text>
        <r>
          <rPr>
            <b/>
            <sz val="9"/>
            <color indexed="81"/>
            <rFont val="Tahoma"/>
            <family val="2"/>
          </rPr>
          <t>toolik:</t>
        </r>
        <r>
          <rPr>
            <sz val="9"/>
            <color indexed="81"/>
            <rFont val="Tahoma"/>
            <family val="2"/>
          </rPr>
          <t xml:space="preserve">
Measurement: 6</t>
        </r>
      </text>
    </comment>
    <comment ref="AH57" authorId="2">
      <text>
        <r>
          <rPr>
            <b/>
            <sz val="9"/>
            <color indexed="81"/>
            <rFont val="Tahoma"/>
            <family val="2"/>
          </rPr>
          <t>Laura:</t>
        </r>
        <r>
          <rPr>
            <sz val="9"/>
            <color indexed="81"/>
            <rFont val="Tahoma"/>
            <family val="2"/>
          </rPr>
          <t xml:space="preserve">
Measurement: 13</t>
        </r>
      </text>
    </comment>
    <comment ref="AI57" authorId="2">
      <text>
        <r>
          <rPr>
            <b/>
            <sz val="9"/>
            <color indexed="81"/>
            <rFont val="Tahoma"/>
            <family val="2"/>
          </rPr>
          <t>Laura:</t>
        </r>
        <r>
          <rPr>
            <sz val="9"/>
            <color indexed="81"/>
            <rFont val="Tahoma"/>
            <family val="2"/>
          </rPr>
          <t xml:space="preserve">
Measurement: 6</t>
        </r>
      </text>
    </comment>
    <comment ref="AU57" authorId="2">
      <text>
        <r>
          <rPr>
            <b/>
            <sz val="9"/>
            <color indexed="81"/>
            <rFont val="Tahoma"/>
            <family val="2"/>
          </rPr>
          <t>Laura:</t>
        </r>
        <r>
          <rPr>
            <sz val="9"/>
            <color indexed="81"/>
            <rFont val="Tahoma"/>
            <family val="2"/>
          </rPr>
          <t xml:space="preserve">
Measurement: 13</t>
        </r>
      </text>
    </comment>
    <comment ref="AV57" authorId="2">
      <text>
        <r>
          <rPr>
            <b/>
            <sz val="9"/>
            <color indexed="81"/>
            <rFont val="Tahoma"/>
            <family val="2"/>
          </rPr>
          <t>Laura:</t>
        </r>
        <r>
          <rPr>
            <sz val="9"/>
            <color indexed="81"/>
            <rFont val="Tahoma"/>
            <family val="2"/>
          </rPr>
          <t xml:space="preserve">
Measurement: 6</t>
        </r>
      </text>
    </comment>
    <comment ref="AG63" authorId="2">
      <text>
        <r>
          <rPr>
            <b/>
            <sz val="9"/>
            <color indexed="81"/>
            <rFont val="Tahoma"/>
            <family val="2"/>
          </rPr>
          <t>Laura:</t>
        </r>
        <r>
          <rPr>
            <sz val="9"/>
            <color indexed="81"/>
            <rFont val="Tahoma"/>
            <family val="2"/>
          </rPr>
          <t xml:space="preserve">
Measurement: 13</t>
        </r>
      </text>
    </comment>
    <comment ref="AI63" authorId="2">
      <text>
        <r>
          <rPr>
            <b/>
            <sz val="9"/>
            <color indexed="81"/>
            <rFont val="Tahoma"/>
            <family val="2"/>
          </rPr>
          <t>Laura:</t>
        </r>
        <r>
          <rPr>
            <sz val="9"/>
            <color indexed="81"/>
            <rFont val="Tahoma"/>
            <family val="2"/>
          </rPr>
          <t xml:space="preserve">
Measurement: 1</t>
        </r>
      </text>
    </comment>
    <comment ref="AT63" authorId="2">
      <text>
        <r>
          <rPr>
            <b/>
            <sz val="9"/>
            <color indexed="81"/>
            <rFont val="Tahoma"/>
            <family val="2"/>
          </rPr>
          <t>Laura:</t>
        </r>
        <r>
          <rPr>
            <sz val="9"/>
            <color indexed="81"/>
            <rFont val="Tahoma"/>
            <family val="2"/>
          </rPr>
          <t xml:space="preserve">
Measurement: 13</t>
        </r>
      </text>
    </comment>
    <comment ref="AV63" authorId="2">
      <text>
        <r>
          <rPr>
            <b/>
            <sz val="9"/>
            <color indexed="81"/>
            <rFont val="Tahoma"/>
            <family val="2"/>
          </rPr>
          <t>Laura:</t>
        </r>
        <r>
          <rPr>
            <sz val="9"/>
            <color indexed="81"/>
            <rFont val="Tahoma"/>
            <family val="2"/>
          </rPr>
          <t xml:space="preserve">
Measurement: 1</t>
        </r>
      </text>
    </comment>
    <comment ref="AG73" authorId="0">
      <text>
        <r>
          <rPr>
            <b/>
            <sz val="9"/>
            <color indexed="81"/>
            <rFont val="Tahoma"/>
            <family val="2"/>
          </rPr>
          <t>toolik:</t>
        </r>
        <r>
          <rPr>
            <sz val="9"/>
            <color indexed="81"/>
            <rFont val="Tahoma"/>
            <family val="2"/>
          </rPr>
          <t xml:space="preserve">
Measurement 13
</t>
        </r>
      </text>
    </comment>
    <comment ref="AH73" authorId="0">
      <text>
        <r>
          <rPr>
            <b/>
            <sz val="9"/>
            <color indexed="81"/>
            <rFont val="Tahoma"/>
            <family val="2"/>
          </rPr>
          <t>toolik:</t>
        </r>
        <r>
          <rPr>
            <sz val="9"/>
            <color indexed="81"/>
            <rFont val="Tahoma"/>
            <family val="2"/>
          </rPr>
          <t xml:space="preserve">
Measurement 1
</t>
        </r>
      </text>
    </comment>
    <comment ref="AT73" authorId="0">
      <text>
        <r>
          <rPr>
            <b/>
            <sz val="9"/>
            <color indexed="81"/>
            <rFont val="Tahoma"/>
            <family val="2"/>
          </rPr>
          <t>toolik:</t>
        </r>
        <r>
          <rPr>
            <sz val="9"/>
            <color indexed="81"/>
            <rFont val="Tahoma"/>
            <family val="2"/>
          </rPr>
          <t xml:space="preserve">
Measurement 13
</t>
        </r>
      </text>
    </comment>
    <comment ref="AU73" authorId="0">
      <text>
        <r>
          <rPr>
            <b/>
            <sz val="9"/>
            <color indexed="81"/>
            <rFont val="Tahoma"/>
            <family val="2"/>
          </rPr>
          <t>toolik:</t>
        </r>
        <r>
          <rPr>
            <sz val="9"/>
            <color indexed="81"/>
            <rFont val="Tahoma"/>
            <family val="2"/>
          </rPr>
          <t xml:space="preserve">
Measurement 1</t>
        </r>
      </text>
    </comment>
    <comment ref="J82" authorId="0">
      <text>
        <r>
          <rPr>
            <b/>
            <sz val="9"/>
            <color indexed="81"/>
            <rFont val="Tahoma"/>
            <family val="2"/>
          </rPr>
          <t>toolik:</t>
        </r>
        <r>
          <rPr>
            <sz val="9"/>
            <color indexed="81"/>
            <rFont val="Tahoma"/>
            <family val="2"/>
          </rPr>
          <t xml:space="preserve">
Second shoot run (different area than "A") with both an A-Ci curve and Light Curve</t>
        </r>
      </text>
    </comment>
    <comment ref="J84" authorId="0">
      <text>
        <r>
          <rPr>
            <b/>
            <sz val="9"/>
            <color indexed="81"/>
            <rFont val="Tahoma"/>
            <family val="2"/>
          </rPr>
          <t>toolik:</t>
        </r>
        <r>
          <rPr>
            <sz val="9"/>
            <color indexed="81"/>
            <rFont val="Tahoma"/>
            <family val="2"/>
          </rPr>
          <t xml:space="preserve">
A-Ci Curve but no Light curve for this shoot</t>
        </r>
      </text>
    </comment>
    <comment ref="AG86" authorId="0">
      <text>
        <r>
          <rPr>
            <b/>
            <sz val="9"/>
            <color indexed="81"/>
            <rFont val="Tahoma"/>
            <family val="2"/>
          </rPr>
          <t>toolik:</t>
        </r>
        <r>
          <rPr>
            <sz val="9"/>
            <color indexed="81"/>
            <rFont val="Tahoma"/>
            <family val="2"/>
          </rPr>
          <t xml:space="preserve">
Measurement: 13</t>
        </r>
      </text>
    </comment>
    <comment ref="AI86" authorId="0">
      <text>
        <r>
          <rPr>
            <b/>
            <sz val="9"/>
            <color indexed="81"/>
            <rFont val="Tahoma"/>
            <family val="2"/>
          </rPr>
          <t>toolik:</t>
        </r>
        <r>
          <rPr>
            <sz val="9"/>
            <color indexed="81"/>
            <rFont val="Tahoma"/>
            <family val="2"/>
          </rPr>
          <t xml:space="preserve">
Measurement: 1</t>
        </r>
      </text>
    </comment>
    <comment ref="AT86" authorId="0">
      <text>
        <r>
          <rPr>
            <b/>
            <sz val="9"/>
            <color indexed="81"/>
            <rFont val="Tahoma"/>
            <family val="2"/>
          </rPr>
          <t>toolik:</t>
        </r>
        <r>
          <rPr>
            <sz val="9"/>
            <color indexed="81"/>
            <rFont val="Tahoma"/>
            <family val="2"/>
          </rPr>
          <t xml:space="preserve">
Measurement: 13</t>
        </r>
      </text>
    </comment>
    <comment ref="AV86" authorId="0">
      <text>
        <r>
          <rPr>
            <b/>
            <sz val="9"/>
            <color indexed="81"/>
            <rFont val="Tahoma"/>
            <family val="2"/>
          </rPr>
          <t>toolik:</t>
        </r>
        <r>
          <rPr>
            <sz val="9"/>
            <color indexed="81"/>
            <rFont val="Tahoma"/>
            <family val="2"/>
          </rPr>
          <t xml:space="preserve">
Measurement: 1</t>
        </r>
      </text>
    </comment>
    <comment ref="AG101" authorId="0">
      <text>
        <r>
          <rPr>
            <b/>
            <sz val="9"/>
            <color indexed="81"/>
            <rFont val="Tahoma"/>
            <family val="2"/>
          </rPr>
          <t>toolik:</t>
        </r>
        <r>
          <rPr>
            <sz val="9"/>
            <color indexed="81"/>
            <rFont val="Tahoma"/>
            <family val="2"/>
          </rPr>
          <t xml:space="preserve">
measurement: 6</t>
        </r>
      </text>
    </comment>
    <comment ref="AH101" authorId="0">
      <text>
        <r>
          <rPr>
            <b/>
            <sz val="9"/>
            <color indexed="81"/>
            <rFont val="Tahoma"/>
            <family val="2"/>
          </rPr>
          <t>toolik:</t>
        </r>
        <r>
          <rPr>
            <sz val="9"/>
            <color indexed="81"/>
            <rFont val="Tahoma"/>
            <family val="2"/>
          </rPr>
          <t xml:space="preserve">
Measurement: 1</t>
        </r>
      </text>
    </comment>
    <comment ref="AT101" authorId="0">
      <text>
        <r>
          <rPr>
            <b/>
            <sz val="9"/>
            <color indexed="81"/>
            <rFont val="Tahoma"/>
            <family val="2"/>
          </rPr>
          <t>toolik:</t>
        </r>
        <r>
          <rPr>
            <sz val="9"/>
            <color indexed="81"/>
            <rFont val="Tahoma"/>
            <family val="2"/>
          </rPr>
          <t xml:space="preserve">
measurement: 6</t>
        </r>
      </text>
    </comment>
    <comment ref="AU101" authorId="0">
      <text>
        <r>
          <rPr>
            <b/>
            <sz val="9"/>
            <color indexed="81"/>
            <rFont val="Tahoma"/>
            <family val="2"/>
          </rPr>
          <t>toolik:</t>
        </r>
        <r>
          <rPr>
            <sz val="9"/>
            <color indexed="81"/>
            <rFont val="Tahoma"/>
            <family val="2"/>
          </rPr>
          <t xml:space="preserve">
Measurement: 1</t>
        </r>
      </text>
    </comment>
    <comment ref="AG103" authorId="0">
      <text>
        <r>
          <rPr>
            <b/>
            <sz val="9"/>
            <color indexed="81"/>
            <rFont val="Tahoma"/>
            <family val="2"/>
          </rPr>
          <t>toolik:</t>
        </r>
        <r>
          <rPr>
            <sz val="9"/>
            <color indexed="81"/>
            <rFont val="Tahoma"/>
            <family val="2"/>
          </rPr>
          <t xml:space="preserve">
measurement: 6</t>
        </r>
      </text>
    </comment>
    <comment ref="AH103" authorId="0">
      <text>
        <r>
          <rPr>
            <b/>
            <sz val="9"/>
            <color indexed="81"/>
            <rFont val="Tahoma"/>
            <family val="2"/>
          </rPr>
          <t>toolik:</t>
        </r>
        <r>
          <rPr>
            <sz val="9"/>
            <color indexed="81"/>
            <rFont val="Tahoma"/>
            <family val="2"/>
          </rPr>
          <t xml:space="preserve">
Measurement: 1</t>
        </r>
      </text>
    </comment>
    <comment ref="AT103" authorId="0">
      <text>
        <r>
          <rPr>
            <b/>
            <sz val="9"/>
            <color indexed="81"/>
            <rFont val="Tahoma"/>
            <family val="2"/>
          </rPr>
          <t>toolik:</t>
        </r>
        <r>
          <rPr>
            <sz val="9"/>
            <color indexed="81"/>
            <rFont val="Tahoma"/>
            <family val="2"/>
          </rPr>
          <t xml:space="preserve">
measurement: 6</t>
        </r>
      </text>
    </comment>
    <comment ref="AU103" authorId="0">
      <text>
        <r>
          <rPr>
            <b/>
            <sz val="9"/>
            <color indexed="81"/>
            <rFont val="Tahoma"/>
            <family val="2"/>
          </rPr>
          <t>toolik:</t>
        </r>
        <r>
          <rPr>
            <sz val="9"/>
            <color indexed="81"/>
            <rFont val="Tahoma"/>
            <family val="2"/>
          </rPr>
          <t xml:space="preserve">
Measurement: 1</t>
        </r>
      </text>
    </comment>
    <comment ref="AG104" authorId="0">
      <text>
        <r>
          <rPr>
            <b/>
            <sz val="9"/>
            <color indexed="81"/>
            <rFont val="Tahoma"/>
            <family val="2"/>
          </rPr>
          <t>toolik:</t>
        </r>
        <r>
          <rPr>
            <sz val="9"/>
            <color indexed="81"/>
            <rFont val="Tahoma"/>
            <family val="2"/>
          </rPr>
          <t xml:space="preserve">
measurement: 13</t>
        </r>
      </text>
    </comment>
    <comment ref="AH104" authorId="0">
      <text>
        <r>
          <rPr>
            <b/>
            <sz val="9"/>
            <color indexed="81"/>
            <rFont val="Tahoma"/>
            <family val="2"/>
          </rPr>
          <t>toolik:</t>
        </r>
        <r>
          <rPr>
            <sz val="9"/>
            <color indexed="81"/>
            <rFont val="Tahoma"/>
            <family val="2"/>
          </rPr>
          <t xml:space="preserve">
Measurement: 1</t>
        </r>
      </text>
    </comment>
    <comment ref="AI104" authorId="0">
      <text>
        <r>
          <rPr>
            <b/>
            <sz val="9"/>
            <color indexed="81"/>
            <rFont val="Tahoma"/>
            <family val="2"/>
          </rPr>
          <t>toolik:</t>
        </r>
        <r>
          <rPr>
            <sz val="9"/>
            <color indexed="81"/>
            <rFont val="Tahoma"/>
            <family val="2"/>
          </rPr>
          <t xml:space="preserve">
Measurement: 6</t>
        </r>
      </text>
    </comment>
    <comment ref="AT104" authorId="0">
      <text>
        <r>
          <rPr>
            <b/>
            <sz val="9"/>
            <color indexed="81"/>
            <rFont val="Tahoma"/>
            <family val="2"/>
          </rPr>
          <t>toolik:</t>
        </r>
        <r>
          <rPr>
            <sz val="9"/>
            <color indexed="81"/>
            <rFont val="Tahoma"/>
            <family val="2"/>
          </rPr>
          <t xml:space="preserve">
measurement: 13</t>
        </r>
      </text>
    </comment>
    <comment ref="AU104" authorId="0">
      <text>
        <r>
          <rPr>
            <b/>
            <sz val="9"/>
            <color indexed="81"/>
            <rFont val="Tahoma"/>
            <family val="2"/>
          </rPr>
          <t>toolik:</t>
        </r>
        <r>
          <rPr>
            <sz val="9"/>
            <color indexed="81"/>
            <rFont val="Tahoma"/>
            <family val="2"/>
          </rPr>
          <t xml:space="preserve">
Measurement: 1</t>
        </r>
      </text>
    </comment>
    <comment ref="AV104" authorId="0">
      <text>
        <r>
          <rPr>
            <b/>
            <sz val="9"/>
            <color indexed="81"/>
            <rFont val="Tahoma"/>
            <family val="2"/>
          </rPr>
          <t>toolik:</t>
        </r>
        <r>
          <rPr>
            <sz val="9"/>
            <color indexed="81"/>
            <rFont val="Tahoma"/>
            <family val="2"/>
          </rPr>
          <t xml:space="preserve">
Measurement: 6</t>
        </r>
      </text>
    </comment>
    <comment ref="AG106" authorId="0">
      <text>
        <r>
          <rPr>
            <b/>
            <sz val="9"/>
            <color indexed="81"/>
            <rFont val="Tahoma"/>
            <family val="2"/>
          </rPr>
          <t>toolik:</t>
        </r>
        <r>
          <rPr>
            <sz val="9"/>
            <color indexed="81"/>
            <rFont val="Tahoma"/>
            <family val="2"/>
          </rPr>
          <t xml:space="preserve">
Measurement: 6</t>
        </r>
      </text>
    </comment>
    <comment ref="AH106" authorId="0">
      <text>
        <r>
          <rPr>
            <b/>
            <sz val="9"/>
            <color indexed="81"/>
            <rFont val="Tahoma"/>
            <family val="2"/>
          </rPr>
          <t>toolik:</t>
        </r>
        <r>
          <rPr>
            <sz val="9"/>
            <color indexed="81"/>
            <rFont val="Tahoma"/>
            <family val="2"/>
          </rPr>
          <t xml:space="preserve">
Measurement: 1</t>
        </r>
      </text>
    </comment>
    <comment ref="AT106" authorId="0">
      <text>
        <r>
          <rPr>
            <b/>
            <sz val="9"/>
            <color indexed="81"/>
            <rFont val="Tahoma"/>
            <family val="2"/>
          </rPr>
          <t>toolik:</t>
        </r>
        <r>
          <rPr>
            <sz val="9"/>
            <color indexed="81"/>
            <rFont val="Tahoma"/>
            <family val="2"/>
          </rPr>
          <t xml:space="preserve">
Measurement: 6</t>
        </r>
      </text>
    </comment>
    <comment ref="AU106" authorId="0">
      <text>
        <r>
          <rPr>
            <b/>
            <sz val="9"/>
            <color indexed="81"/>
            <rFont val="Tahoma"/>
            <family val="2"/>
          </rPr>
          <t>toolik:</t>
        </r>
        <r>
          <rPr>
            <sz val="9"/>
            <color indexed="81"/>
            <rFont val="Tahoma"/>
            <family val="2"/>
          </rPr>
          <t xml:space="preserve">
Measurement: 1</t>
        </r>
      </text>
    </comment>
    <comment ref="AG112" authorId="0">
      <text>
        <r>
          <rPr>
            <b/>
            <sz val="9"/>
            <color indexed="81"/>
            <rFont val="Tahoma"/>
            <family val="2"/>
          </rPr>
          <t>toolik:</t>
        </r>
        <r>
          <rPr>
            <sz val="9"/>
            <color indexed="81"/>
            <rFont val="Tahoma"/>
            <family val="2"/>
          </rPr>
          <t xml:space="preserve">
Measurement: 6</t>
        </r>
      </text>
    </comment>
    <comment ref="AH112" authorId="0">
      <text>
        <r>
          <rPr>
            <b/>
            <sz val="9"/>
            <color indexed="81"/>
            <rFont val="Tahoma"/>
            <family val="2"/>
          </rPr>
          <t>toolik:</t>
        </r>
        <r>
          <rPr>
            <sz val="9"/>
            <color indexed="81"/>
            <rFont val="Tahoma"/>
            <family val="2"/>
          </rPr>
          <t xml:space="preserve">
Measurement: 1</t>
        </r>
      </text>
    </comment>
    <comment ref="AT112" authorId="0">
      <text>
        <r>
          <rPr>
            <b/>
            <sz val="9"/>
            <color indexed="81"/>
            <rFont val="Tahoma"/>
            <family val="2"/>
          </rPr>
          <t>toolik:</t>
        </r>
        <r>
          <rPr>
            <sz val="9"/>
            <color indexed="81"/>
            <rFont val="Tahoma"/>
            <family val="2"/>
          </rPr>
          <t xml:space="preserve">
Measurement: 6</t>
        </r>
      </text>
    </comment>
    <comment ref="AU112" authorId="0">
      <text>
        <r>
          <rPr>
            <b/>
            <sz val="9"/>
            <color indexed="81"/>
            <rFont val="Tahoma"/>
            <family val="2"/>
          </rPr>
          <t>toolik:</t>
        </r>
        <r>
          <rPr>
            <sz val="9"/>
            <color indexed="81"/>
            <rFont val="Tahoma"/>
            <family val="2"/>
          </rPr>
          <t xml:space="preserve">
Measurement: 1</t>
        </r>
      </text>
    </comment>
    <comment ref="R114" authorId="0">
      <text>
        <r>
          <rPr>
            <b/>
            <sz val="9"/>
            <color indexed="81"/>
            <rFont val="Tahoma"/>
            <family val="2"/>
          </rPr>
          <t>toolik:</t>
        </r>
        <r>
          <rPr>
            <sz val="9"/>
            <color indexed="81"/>
            <rFont val="Tahoma"/>
            <family val="2"/>
          </rPr>
          <t xml:space="preserve">
No dark measurement; this value is from 20 PAR</t>
        </r>
      </text>
    </comment>
    <comment ref="AH114" authorId="0">
      <text>
        <r>
          <rPr>
            <b/>
            <sz val="9"/>
            <color indexed="81"/>
            <rFont val="Tahoma"/>
            <family val="2"/>
          </rPr>
          <t>toolik:</t>
        </r>
        <r>
          <rPr>
            <sz val="9"/>
            <color indexed="81"/>
            <rFont val="Tahoma"/>
            <family val="2"/>
          </rPr>
          <t xml:space="preserve">
Measurement: 13</t>
        </r>
      </text>
    </comment>
    <comment ref="AI114" authorId="0">
      <text>
        <r>
          <rPr>
            <b/>
            <sz val="9"/>
            <color indexed="81"/>
            <rFont val="Tahoma"/>
            <family val="2"/>
          </rPr>
          <t>toolik:</t>
        </r>
        <r>
          <rPr>
            <sz val="9"/>
            <color indexed="81"/>
            <rFont val="Tahoma"/>
            <family val="2"/>
          </rPr>
          <t xml:space="preserve">
Measurement: 6</t>
        </r>
      </text>
    </comment>
    <comment ref="AU114" authorId="0">
      <text>
        <r>
          <rPr>
            <b/>
            <sz val="9"/>
            <color indexed="81"/>
            <rFont val="Tahoma"/>
            <family val="2"/>
          </rPr>
          <t>toolik:</t>
        </r>
        <r>
          <rPr>
            <sz val="9"/>
            <color indexed="81"/>
            <rFont val="Tahoma"/>
            <family val="2"/>
          </rPr>
          <t xml:space="preserve">
Measurement: 13</t>
        </r>
      </text>
    </comment>
    <comment ref="AV114" authorId="0">
      <text>
        <r>
          <rPr>
            <b/>
            <sz val="9"/>
            <color indexed="81"/>
            <rFont val="Tahoma"/>
            <family val="2"/>
          </rPr>
          <t>toolik:</t>
        </r>
        <r>
          <rPr>
            <sz val="9"/>
            <color indexed="81"/>
            <rFont val="Tahoma"/>
            <family val="2"/>
          </rPr>
          <t xml:space="preserve">
Measurement: 6</t>
        </r>
      </text>
    </comment>
  </commentList>
</comments>
</file>

<file path=xl/comments3.xml><?xml version="1.0" encoding="utf-8"?>
<comments xmlns="http://schemas.openxmlformats.org/spreadsheetml/2006/main">
  <authors>
    <author>powell</author>
  </authors>
  <commentList>
    <comment ref="C579" authorId="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List>
</comments>
</file>

<file path=xl/sharedStrings.xml><?xml version="1.0" encoding="utf-8"?>
<sst xmlns="http://schemas.openxmlformats.org/spreadsheetml/2006/main" count="7093" uniqueCount="1856">
  <si>
    <t>Up-SALP-1</t>
  </si>
  <si>
    <t>Mid-SALP-3</t>
  </si>
  <si>
    <t>Mid-SALP-4</t>
  </si>
  <si>
    <t>Mid-SALP-9</t>
  </si>
  <si>
    <t>Up-BET-2</t>
  </si>
  <si>
    <t>Mid-BET-3</t>
  </si>
  <si>
    <t>Up-SALP-7</t>
  </si>
  <si>
    <t>Up-SALP-8</t>
  </si>
  <si>
    <t>Mid-BET-9</t>
  </si>
  <si>
    <t>Mid-BET-10</t>
  </si>
  <si>
    <t>Up-BET-7</t>
  </si>
  <si>
    <t>**not able to get rid of the 0 values</t>
  </si>
  <si>
    <t>Mid-SALP-10</t>
  </si>
  <si>
    <t>Up-BET-8</t>
  </si>
  <si>
    <t>PF007</t>
  </si>
  <si>
    <t>PF008</t>
  </si>
  <si>
    <t>PF009</t>
  </si>
  <si>
    <t>PF010</t>
  </si>
  <si>
    <t>PF011</t>
  </si>
  <si>
    <t>PF012</t>
  </si>
  <si>
    <t>PF013</t>
  </si>
  <si>
    <t>PF014</t>
  </si>
  <si>
    <t>PF015</t>
  </si>
  <si>
    <t>PF016</t>
  </si>
  <si>
    <t>PF017</t>
  </si>
  <si>
    <t>PF018</t>
  </si>
  <si>
    <t>PF019</t>
  </si>
  <si>
    <t>PF020</t>
  </si>
  <si>
    <t>DD-MMM-YY</t>
  </si>
  <si>
    <t>Up</t>
  </si>
  <si>
    <t>Mid</t>
  </si>
  <si>
    <t>Low</t>
  </si>
  <si>
    <t>Note last reading negative Ci therefore reading removed -- bad fit of points</t>
  </si>
  <si>
    <t>Upland</t>
  </si>
  <si>
    <t>BET</t>
  </si>
  <si>
    <t>SAL-P</t>
  </si>
  <si>
    <t>Fert</t>
  </si>
  <si>
    <t>None</t>
  </si>
  <si>
    <t>Betula nana</t>
  </si>
  <si>
    <t>Ledum palustre</t>
  </si>
  <si>
    <t>S. glauca</t>
  </si>
  <si>
    <t>V. uliginosum</t>
  </si>
  <si>
    <t>**ok fit but not fantastic</t>
  </si>
  <si>
    <t>Toolik</t>
  </si>
  <si>
    <t>PF002</t>
  </si>
  <si>
    <t>PF003</t>
  </si>
  <si>
    <t>PF004</t>
  </si>
  <si>
    <t>PF005</t>
  </si>
  <si>
    <t>PF006</t>
  </si>
  <si>
    <t>S. pulchra</t>
  </si>
  <si>
    <t>Up-BET-1</t>
  </si>
  <si>
    <t>First value omitted as first photosynthesis rate (400umol) did not fit the model</t>
  </si>
  <si>
    <t>upland</t>
  </si>
  <si>
    <t>Outlet</t>
  </si>
  <si>
    <t>***Poor fit for curves, R2 over 7.1</t>
  </si>
  <si>
    <t>***strange looking, Ci values never higher than 800 (all others up to 1200)</t>
  </si>
  <si>
    <t>**am not able to get Rd to be value other than 0…. Tried many combinations and removing data</t>
  </si>
  <si>
    <t>V. vitis-idaea</t>
  </si>
  <si>
    <t>V. uliginosa</t>
  </si>
  <si>
    <t>First value [400 CO2]  removed from model. Photosynthesis rate was low.</t>
  </si>
  <si>
    <t>Mid-BET-4</t>
  </si>
  <si>
    <t>Low-VUL-5</t>
  </si>
  <si>
    <t>Several rates from 1.5-4.4 do not align well in model</t>
  </si>
  <si>
    <t>Low-VUL-6</t>
  </si>
  <si>
    <t>First rate removed from model</t>
  </si>
  <si>
    <t>not recorded</t>
  </si>
  <si>
    <t>Up-SALG-2</t>
  </si>
  <si>
    <t>Ledum  palustre</t>
  </si>
  <si>
    <t>Up-SALP-3</t>
  </si>
  <si>
    <t>Mid-BET-2</t>
  </si>
  <si>
    <t>Up-SALP-5</t>
  </si>
  <si>
    <t>Mid-SALP-7</t>
  </si>
  <si>
    <t>Mid-SALP-8</t>
  </si>
  <si>
    <t>Mid-BET-6</t>
  </si>
  <si>
    <t>Mid-VUL-4</t>
  </si>
  <si>
    <t>Up-SALP-2</t>
  </si>
  <si>
    <t>13th measurement removed</t>
  </si>
  <si>
    <t>Not a good fit. Took reading 1 &amp; 13 out but still not good</t>
  </si>
  <si>
    <t>curve is reversed!!!!!! Concave upward?</t>
  </si>
  <si>
    <t>Bad fit for curve, looks strange</t>
  </si>
  <si>
    <t>note curve fit strange, first and last measurements removed but still not best fit</t>
  </si>
  <si>
    <t>Bad fit, strange curve, tried without 1st &amp; last but then gm is @max 30</t>
  </si>
  <si>
    <t>Mid-SALP-3-A</t>
  </si>
  <si>
    <t>Low-BET-5-A</t>
  </si>
  <si>
    <t>Low-SALP-6</t>
  </si>
  <si>
    <t>Great!</t>
  </si>
  <si>
    <t>great</t>
  </si>
  <si>
    <t>Very poor fit, line is almost linear</t>
  </si>
  <si>
    <t>Mid-SALG-4</t>
  </si>
  <si>
    <t>Mid-SALG-2</t>
  </si>
  <si>
    <t>Up-BET-6</t>
  </si>
  <si>
    <t>Mid-BET-5</t>
  </si>
  <si>
    <t>Low-BET-5</t>
  </si>
  <si>
    <t>Rates of Photosynthesis are all very low -- leaf area is very high, perhaps too many leaves in chamber; NOT A GOOD CURVE</t>
  </si>
  <si>
    <t>Low-BET-11</t>
  </si>
  <si>
    <t>Low-BET-12</t>
  </si>
  <si>
    <t>Low-VUL-2</t>
  </si>
  <si>
    <t>Low-VUL-3</t>
  </si>
  <si>
    <t>Low-VVI-6</t>
  </si>
  <si>
    <t>Low-BET-6</t>
  </si>
  <si>
    <t>Low-VUL-11</t>
  </si>
  <si>
    <t>Low-VUL-12</t>
  </si>
  <si>
    <t>Low-SALP-10</t>
  </si>
  <si>
    <t>Low-SALP-9</t>
  </si>
  <si>
    <t>Low-VVI-12</t>
  </si>
  <si>
    <t>Low-SALP-11</t>
  </si>
  <si>
    <t>Low-LEd-5</t>
  </si>
  <si>
    <t>Low-LEd-11</t>
  </si>
  <si>
    <t>Low-LEd-12</t>
  </si>
  <si>
    <t>Low-SALG-6</t>
  </si>
  <si>
    <t>Up-_-BET-8</t>
  </si>
  <si>
    <t>Mid-SALP-3-B</t>
  </si>
  <si>
    <t>Mid-SALP- 4</t>
  </si>
  <si>
    <t>Low-SALP- 6</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</si>
  <si>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</si>
  <si>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</si>
  <si>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</si>
  <si>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</si>
  <si>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</si>
  <si>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</si>
  <si>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</si>
  <si>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</si>
  <si>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</si>
  <si>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</si>
  <si>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</si>
  <si>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</si>
  <si>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</si>
  <si>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</si>
  <si>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</si>
  <si>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</si>
  <si>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</si>
  <si>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</si>
  <si>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Associated Researcher </t>
  </si>
  <si>
    <t xml:space="preserve">Data Manager </t>
  </si>
  <si>
    <t xml:space="preserve">Field Crew </t>
  </si>
  <si>
    <t>Email</t>
  </si>
  <si>
    <t>gshaver@mbl.edu</t>
  </si>
  <si>
    <t>erastetter@mbl.edu</t>
  </si>
  <si>
    <t>mat.williams@ed.ac.uk</t>
  </si>
  <si>
    <t>jlaundre@mbl.edu</t>
  </si>
  <si>
    <t>lvanderpol@mbl.edu</t>
  </si>
  <si>
    <t xml:space="preserve">First Name  </t>
  </si>
  <si>
    <t>Gaius</t>
  </si>
  <si>
    <t>Edward</t>
  </si>
  <si>
    <t>Mathew</t>
  </si>
  <si>
    <t>James</t>
  </si>
  <si>
    <t>Laura</t>
  </si>
  <si>
    <t xml:space="preserve">Last Name  </t>
  </si>
  <si>
    <t>Shaver</t>
  </si>
  <si>
    <t>Rastetter</t>
  </si>
  <si>
    <t>Williams</t>
  </si>
  <si>
    <t>Laundre</t>
  </si>
  <si>
    <t>van der Pol</t>
  </si>
  <si>
    <t>Organization</t>
  </si>
  <si>
    <t>Ecosystems Center at the Marine Biological Laboratory</t>
  </si>
  <si>
    <t>University of Edinburgh</t>
  </si>
  <si>
    <t>Address line 2</t>
  </si>
  <si>
    <t>7 MBL Street</t>
  </si>
  <si>
    <t>School of Geosciences</t>
  </si>
  <si>
    <t>Address line 3</t>
  </si>
  <si>
    <t>Darwin Building</t>
  </si>
  <si>
    <t xml:space="preserve"> City  </t>
  </si>
  <si>
    <t>Woods Hole</t>
  </si>
  <si>
    <t>Edinburgh</t>
  </si>
  <si>
    <t xml:space="preserve">State  </t>
  </si>
  <si>
    <t>MA</t>
  </si>
  <si>
    <t xml:space="preserve">Zip Code  </t>
  </si>
  <si>
    <t>02543</t>
  </si>
  <si>
    <t>EH9 EJU</t>
  </si>
  <si>
    <t>Country</t>
  </si>
  <si>
    <t>United States</t>
  </si>
  <si>
    <t>United Kingdom</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</si>
  <si>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</si>
  <si>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</si>
  <si>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</si>
  <si>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</si>
  <si>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</si>
  <si>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</si>
  <si>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</si>
  <si>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</si>
  <si>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</si>
  <si>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</si>
  <si>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</si>
  <si>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</si>
  <si>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</si>
  <si>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</si>
  <si>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Outlet site; co-located in Block 2 of the Shrub LTER sites; IVO 68° 38'008.1" N, 149° 35' 017.1"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</si>
  <si>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</si>
  <si>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</si>
  <si>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</si>
  <si>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</si>
  <si>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</si>
  <si>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</si>
  <si>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</si>
  <si>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</si>
  <si>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</si>
  <si>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</si>
  <si>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</si>
  <si>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Betula nana; Salix pulchra; Salix glauca</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</si>
  <si>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</si>
  <si>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</si>
  <si>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</si>
  <si>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</si>
  <si>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</si>
  <si>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</si>
  <si>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</si>
  <si>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</si>
  <si>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</si>
  <si>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</si>
  <si>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</si>
  <si>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</si>
  <si>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</si>
  <si>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</si>
  <si>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</si>
  <si>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</si>
  <si>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</si>
  <si>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</si>
  <si>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</si>
  <si>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</si>
  <si>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</si>
  <si>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 xml:space="preserve"> </t>
  </si>
  <si>
    <t xml:space="preserve">YEAR </t>
  </si>
  <si>
    <t xml:space="preserve"> year of measurement </t>
  </si>
  <si>
    <t>datetime</t>
  </si>
  <si>
    <t>YYYY</t>
  </si>
  <si>
    <t>text</t>
  </si>
  <si>
    <t>ampere</t>
  </si>
  <si>
    <t xml:space="preserve">DATE </t>
  </si>
  <si>
    <t xml:space="preserve"> date of measurement </t>
  </si>
  <si>
    <t>interval</t>
  </si>
  <si>
    <t>number</t>
  </si>
  <si>
    <t>amperePerMeter</t>
  </si>
  <si>
    <t xml:space="preserve">SITE </t>
  </si>
  <si>
    <t>nominal</t>
  </si>
  <si>
    <t>amperePerMeterSquared</t>
  </si>
  <si>
    <t xml:space="preserve">GROUP  </t>
  </si>
  <si>
    <t>Measurement location in relation to Toolik Lake LTER Shrub plots; In vicinity of Block1 = Upland, IVO Block 2 = Outlet</t>
  </si>
  <si>
    <t>ordinal</t>
  </si>
  <si>
    <t>angstrom</t>
  </si>
  <si>
    <t xml:space="preserve">PLOT </t>
  </si>
  <si>
    <t xml:space="preserve"> Individual plot identifier </t>
  </si>
  <si>
    <t xml:space="preserve">Lab Crew </t>
  </si>
  <si>
    <t>ratio</t>
  </si>
  <si>
    <t>atmosphere</t>
  </si>
  <si>
    <t xml:space="preserve"> control or fertilized annually (with N and P) </t>
  </si>
  <si>
    <t>bar</t>
  </si>
  <si>
    <t>becquerel</t>
  </si>
  <si>
    <t xml:space="preserve">PLOT SIZE </t>
  </si>
  <si>
    <t>becquerelPerGram</t>
  </si>
  <si>
    <t>becquerelPerMilligram</t>
  </si>
  <si>
    <t>becquerelPerMilliliter</t>
  </si>
  <si>
    <t>percent</t>
  </si>
  <si>
    <t>calorie</t>
  </si>
  <si>
    <t xml:space="preserve"> Dominant canopy vegetation</t>
  </si>
  <si>
    <t>candela</t>
  </si>
  <si>
    <t>candelaPerMeterSquared</t>
  </si>
  <si>
    <t>celsius</t>
  </si>
  <si>
    <t>centigram</t>
  </si>
  <si>
    <t>centimeter</t>
  </si>
  <si>
    <t>centimeterCubedPerCentimeterCubed</t>
  </si>
  <si>
    <t>centimeterPerSecond</t>
  </si>
  <si>
    <t>centimeterPerYear</t>
  </si>
  <si>
    <t>centimeterSquared</t>
  </si>
  <si>
    <t>centimeterSquaredPerFourHundredthMeterSquared</t>
  </si>
  <si>
    <t>centimeterSquaredPerGram</t>
  </si>
  <si>
    <t>centimolePerKilogram</t>
  </si>
  <si>
    <t>centisecond</t>
  </si>
  <si>
    <t>coulomb</t>
  </si>
  <si>
    <t>decibar</t>
  </si>
  <si>
    <t>decigram</t>
  </si>
  <si>
    <t>decimeter</t>
  </si>
  <si>
    <t>decisecond</t>
  </si>
  <si>
    <t>degree</t>
  </si>
  <si>
    <t>dimensionless</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</si>
  <si>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</si>
  <si>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</si>
  <si>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</si>
  <si>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</si>
  <si>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</si>
  <si>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</si>
  <si>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</si>
  <si>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</si>
  <si>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</si>
  <si>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</si>
  <si>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</si>
  <si>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</si>
  <si>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</si>
  <si>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</si>
  <si>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</si>
  <si>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</si>
  <si>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</si>
  <si>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</si>
  <si>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</si>
  <si>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</si>
  <si>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</si>
  <si>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</si>
  <si>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</si>
  <si>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</si>
  <si>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</si>
  <si>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</si>
  <si>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</si>
  <si>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</si>
  <si>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</si>
  <si>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</si>
  <si>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</si>
  <si>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</si>
  <si>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</si>
  <si>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</si>
  <si>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</si>
  <si>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</si>
  <si>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</si>
  <si>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</si>
  <si>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</si>
  <si>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</si>
  <si>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</si>
  <si>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</si>
  <si>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</si>
  <si>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</si>
  <si>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</si>
  <si>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</si>
  <si>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</si>
  <si>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</si>
  <si>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</si>
  <si>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</si>
  <si>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</si>
  <si>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</si>
  <si>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</si>
  <si>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</si>
  <si>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</si>
  <si>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</si>
  <si>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</si>
  <si>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</si>
  <si>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</si>
  <si>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</si>
  <si>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</si>
  <si>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</si>
  <si>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</si>
  <si>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</si>
  <si>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</si>
  <si>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</si>
  <si>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</si>
  <si>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</si>
  <si>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</si>
  <si>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</si>
  <si>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</si>
  <si>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</si>
  <si>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</si>
  <si>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</si>
  <si>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</si>
  <si>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</si>
  <si>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</si>
  <si>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</si>
  <si>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</si>
  <si>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</si>
  <si>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</si>
  <si>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</si>
  <si>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</si>
  <si>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</si>
  <si>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</si>
  <si>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</si>
  <si>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</si>
  <si>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</si>
  <si>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</si>
  <si>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</si>
  <si>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</si>
  <si>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</si>
  <si>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</si>
  <si>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</si>
  <si>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</si>
  <si>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</si>
  <si>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</si>
  <si>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</si>
  <si>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</si>
  <si>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</si>
  <si>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</si>
  <si>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</si>
  <si>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</si>
  <si>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</si>
  <si>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</si>
  <si>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</si>
  <si>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</si>
  <si>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</si>
  <si>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</si>
  <si>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</si>
  <si>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</si>
  <si>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</si>
  <si>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</si>
  <si>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</si>
  <si>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</si>
  <si>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</si>
  <si>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</si>
  <si>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</si>
  <si>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</si>
  <si>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</si>
  <si>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</si>
  <si>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</si>
  <si>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</si>
  <si>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</si>
  <si>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</si>
  <si>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</si>
  <si>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</si>
  <si>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</si>
  <si>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</si>
  <si>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</si>
  <si>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</si>
  <si>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</si>
  <si>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</si>
  <si>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</si>
  <si>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</si>
  <si>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</si>
  <si>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</si>
  <si>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</si>
  <si>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</si>
  <si>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</si>
  <si>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</si>
  <si>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</si>
  <si>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</si>
  <si>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</si>
  <si>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</si>
  <si>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</si>
  <si>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</si>
  <si>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</si>
  <si>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</si>
  <si>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</si>
  <si>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</si>
  <si>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</si>
  <si>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</si>
  <si>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</si>
  <si>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</si>
  <si>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</si>
  <si>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</si>
  <si>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</si>
  <si>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</si>
  <si>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</si>
  <si>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</si>
  <si>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</si>
  <si>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</si>
  <si>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</si>
  <si>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</si>
  <si>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</si>
  <si>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</si>
  <si>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</si>
  <si>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</si>
  <si>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</si>
  <si>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</si>
  <si>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</si>
  <si>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1m x 1m</t>
  </si>
  <si>
    <t xml:space="preserve">TREATMENT </t>
  </si>
  <si>
    <t xml:space="preserve"> 1m x 1m point frame size </t>
  </si>
  <si>
    <t xml:space="preserve">DOMINANT VEGETATION </t>
  </si>
  <si>
    <t xml:space="preserve">SPP </t>
  </si>
  <si>
    <t xml:space="preserve">COMMENTS </t>
  </si>
  <si>
    <t xml:space="preserve"> Shoot species sampled </t>
  </si>
  <si>
    <t xml:space="preserve">SHOOT ID </t>
  </si>
  <si>
    <t xml:space="preserve"> Identification for each shoot sampled (NOT unique); consists of canopy position (up/mid/low), species abbreviation, and a number </t>
  </si>
  <si>
    <t xml:space="preserve">CANOPY POSN </t>
  </si>
  <si>
    <t xml:space="preserve"> Relative position of shoot in the canopy </t>
  </si>
  <si>
    <t xml:space="preserve">SUM(LEAF, PETIOLE, STIPULE) AREA </t>
  </si>
  <si>
    <t xml:space="preserve">AMBIENT CO2 BEFORE MEASUREMENTS </t>
  </si>
  <si>
    <t xml:space="preserve">AMBIENT CO2 AFTER MEASUREMENTS </t>
  </si>
  <si>
    <t xml:space="preserve">AVG LEAF TEMP </t>
  </si>
  <si>
    <t xml:space="preserve">AVG PRESSURE </t>
  </si>
  <si>
    <t xml:space="preserve"> Average pressure during measurement </t>
  </si>
  <si>
    <t>shoot photosynthesis; shrub canopy; point frame; A/Ci curve; electron transport, carboxylation efficiency</t>
  </si>
  <si>
    <t xml:space="preserve">LMA </t>
  </si>
  <si>
    <t xml:space="preserve">Resp_Real </t>
  </si>
  <si>
    <t xml:space="preserve">Vcmax @LeafT </t>
  </si>
  <si>
    <t xml:space="preserve">Jmax @LeafT </t>
  </si>
  <si>
    <t xml:space="preserve">TPU @LeafT </t>
  </si>
  <si>
    <t xml:space="preserve">Rd @LeafT </t>
  </si>
  <si>
    <t xml:space="preserve">gm* @LeafT </t>
  </si>
  <si>
    <t xml:space="preserve">Vcmax @25°C </t>
  </si>
  <si>
    <t xml:space="preserve">Jmax @25°C </t>
  </si>
  <si>
    <t xml:space="preserve">TPU @25°C </t>
  </si>
  <si>
    <t xml:space="preserve">Rd @25°C </t>
  </si>
  <si>
    <t xml:space="preserve">gm* @25°C </t>
  </si>
  <si>
    <t xml:space="preserve">Ci 50 </t>
  </si>
  <si>
    <t xml:space="preserve">Ci 100 </t>
  </si>
  <si>
    <t xml:space="preserve">Ci 200 </t>
  </si>
  <si>
    <t xml:space="preserve"> Modeled CO2 concentration of the intercellular airspaces of the leaf when the target [CO2] was 200 umol CO2 </t>
  </si>
  <si>
    <t xml:space="preserve">Ci 300 </t>
  </si>
  <si>
    <t xml:space="preserve">Ci 400 (1) </t>
  </si>
  <si>
    <t xml:space="preserve">Ci 400 (6) </t>
  </si>
  <si>
    <t xml:space="preserve">Ci 400 (13) </t>
  </si>
  <si>
    <t xml:space="preserve">Ci 500 </t>
  </si>
  <si>
    <t xml:space="preserve">Ci 700 </t>
  </si>
  <si>
    <t xml:space="preserve">Ci 900 </t>
  </si>
  <si>
    <t xml:space="preserve">Ci 1300 </t>
  </si>
  <si>
    <t xml:space="preserve">Ci 1500 </t>
  </si>
  <si>
    <t xml:space="preserve">Ci 1700 </t>
  </si>
  <si>
    <t xml:space="preserve">Photo @ CO2R 50 </t>
  </si>
  <si>
    <t xml:space="preserve">Photo @ CO2R 100 </t>
  </si>
  <si>
    <t xml:space="preserve">Photo @ CO2R 200 </t>
  </si>
  <si>
    <t xml:space="preserve">Photo @ CO2R 300 </t>
  </si>
  <si>
    <t xml:space="preserve">Photo @ CO2R 400 (1) </t>
  </si>
  <si>
    <t xml:space="preserve">Photo @ CO2R 400 (6) </t>
  </si>
  <si>
    <t xml:space="preserve">Photo @ CO2R 400 (13) </t>
  </si>
  <si>
    <t xml:space="preserve">Photo @ CO2R 500 </t>
  </si>
  <si>
    <t xml:space="preserve">Photo @ CO2R 700 </t>
  </si>
  <si>
    <t xml:space="preserve">Photo @ CO2R 900 </t>
  </si>
  <si>
    <t xml:space="preserve">Photo @ CO2R 1300 </t>
  </si>
  <si>
    <t xml:space="preserve">Photo @ CO2R 1500 </t>
  </si>
  <si>
    <t xml:space="preserve">Photo @ CO2R 1700 </t>
  </si>
  <si>
    <t xml:space="preserve"> Notes on data quality and measurements </t>
  </si>
  <si>
    <t>micromolePerMeterSquaredPerSecondPerPascal</t>
  </si>
  <si>
    <t xml:space="preserve">http://www.blackwellpublishing.com/plantsci/pcecalculation/ </t>
  </si>
  <si>
    <t>ITEX Manual, updated 2011</t>
  </si>
  <si>
    <t>Low-SALG-5</t>
  </si>
  <si>
    <t>This was a season-long project, though it followed similar methods to ITEX projects performed starting in 2003 that are likely to be replicated in the future for reasearch at the Toolik Field Station, AK.</t>
  </si>
  <si>
    <t xml:space="preserve"> Leaf mass per unit area (g leaf per square cm leaf)</t>
  </si>
  <si>
    <t xml:space="preserve"> Modeled CO2 concentration of the intercellular airspaces of the leaf when the target [CO2] was 50 umol CO2 (umol CO2 per mole air)</t>
  </si>
  <si>
    <t xml:space="preserve"> Modeled CO2 concentration of the intercellular airspaces of the leaf when the target [CO2] was 100 umol CO2 (umol CO2 per mole air)</t>
  </si>
  <si>
    <t xml:space="preserve"> Modeled CO2 concentration of the intercellular airspaces of the leaf when the target [CO2] was 300 umol CO2 (umol CO2 per mole air)</t>
  </si>
  <si>
    <t xml:space="preserve"> Modeled CO2 concentration of the intercellular airspaces of the leaf when the target [CO2] was 400 umol CO2- first observation (umol CO2 per mole air)</t>
  </si>
  <si>
    <t xml:space="preserve"> Modeled CO2 concentration of the intercellular airspaces of the leaf when the target [CO2] was 400 umol CO2- sixth observation (umol CO2 per mole air)</t>
  </si>
  <si>
    <t xml:space="preserve"> Modeled CO2 concentration of the intercellular airspaces of the leaf when the target [CO2] was 400 umol CO2- thirteenth observation  (umol CO2 per mole air)</t>
  </si>
  <si>
    <t xml:space="preserve"> Modeled CO2 concentration of the intercellular airspaces of the leaf when the target [CO2] was 500 umol CO2 (umol CO2 per mole air)</t>
  </si>
  <si>
    <t xml:space="preserve"> Modeled CO2 concentration of the intercellular airspaces of the leaf when the target [CO2] was 700 umol CO2 (umol CO2 per mole air)</t>
  </si>
  <si>
    <t xml:space="preserve"> Modeled CO2 concentration of the intercellular airspaces of the leaf when the target [CO2] was 900 umol CO2 (umol CO2 per mole air)</t>
  </si>
  <si>
    <t xml:space="preserve"> Modeled CO2 concentration of the intercellular airspaces of the leaf when the target [CO2] was 1300 umol CO2 (umol CO2 per mole air)</t>
  </si>
  <si>
    <t xml:space="preserve"> Modeled CO2 concentration of the intercellular airspaces of the leaf when the target [CO2] was 1500 umol CO2 (umol CO2 per mole air)</t>
  </si>
  <si>
    <t xml:space="preserve"> Modeled CO2 concentration of the intercellular airspaces of the leaf when the target [CO2] was 1700 umol CO2 (umol CO2 per mole air)</t>
  </si>
  <si>
    <t xml:space="preserve"> Photosynthetic rate when the target [CO2] was 50 umol CO2 (umol CO2 per meter squared leaf per second)</t>
  </si>
  <si>
    <t xml:space="preserve"> Photosynthetic rate when the target [CO2] was 200 umol CO2 (umol CO2 per meter squared leaf per second)</t>
  </si>
  <si>
    <t xml:space="preserve"> Photosynthetic rate when the target [CO2] was 300 umol CO2 (umol CO2 per meter squared leaf per second)</t>
  </si>
  <si>
    <t xml:space="preserve"> Photosynthetic rate when the target [CO2] was 100 umol CO2 (umol CO2 per meter squared leaf per second)</t>
  </si>
  <si>
    <t xml:space="preserve"> Photosynthetic rate when the target [CO2] was 400 umol CO2 - first observation (umol CO2 per meter squared leaf per second)</t>
  </si>
  <si>
    <t xml:space="preserve"> Photosynthetic rate when the target [CO2] was 400 umol CO2 - sixth observation (umol CO2 per meter squared leaf per second)</t>
  </si>
  <si>
    <t xml:space="preserve"> Photosynthetic rate when the target [CO2] was 400 umol CO2 - thirteenth observation (umol CO2 per meter squared leaf per second)</t>
  </si>
  <si>
    <t xml:space="preserve"> Photosynthetic rate when the target [CO2] was 500 umol CO2 (umol CO2 per meter squared leaf per second)</t>
  </si>
  <si>
    <t xml:space="preserve"> Photosynthetic rate when the target [CO2] was 700 umol CO2 (umol CO2 per meter squared leaf per second)</t>
  </si>
  <si>
    <t xml:space="preserve"> Photosynthetic rate when the target [CO2] was 900 umol CO2 (umol CO2 per meter squared leaf per second)</t>
  </si>
  <si>
    <t xml:space="preserve"> Photosynthetic rate when the target [CO2] was 1300 umol CO2 (umol CO2 per meter squared leaf per second)</t>
  </si>
  <si>
    <t xml:space="preserve"> Photosynthetic rate when the target [CO2] was 1500 umol CO2 (umol CO2 per meter squared leaf per second)</t>
  </si>
  <si>
    <t xml:space="preserve"> Photosynthetic rate when the target [CO2] was 1700 umol CO2 (umol CO2 per meter squared leaf per second)</t>
  </si>
  <si>
    <t xml:space="preserve"> Modeled mesophyll conductance at 25°C (umol CO2 per meter squared leaf per second per Pascal)</t>
  </si>
  <si>
    <t xml:space="preserve"> Modeled respiration rate at 25°C (umol CO2 per meter squared leaf per second)</t>
  </si>
  <si>
    <t xml:space="preserve"> Modeled CO2 assimilation at maximum triose-phosphate utilization at 25°C (umol CO2 per meter squared leaf per second)</t>
  </si>
  <si>
    <t xml:space="preserve"> Modeled CO2 assimilation at maximum electron transportation efficiency at 25°C (umol CO2 per meter squared leaf per second)</t>
  </si>
  <si>
    <t xml:space="preserve"> Modeled CO2 assimilation at maximum carboxylation efficiency of the Rubisco enzyme at 25°C (umol CO2 per meter squared leaf per second)</t>
  </si>
  <si>
    <t xml:space="preserve"> Modeled mesophyll conductance at leaf temperature (umol CO2 per meter squared leaf per second per Pascal)</t>
  </si>
  <si>
    <t xml:space="preserve"> Modeled respiration rate at leaf temperature  (umol CO2 per meter squared leaf per second)</t>
  </si>
  <si>
    <t xml:space="preserve"> Modeled CO2 assimilation at maximum triose-phosphate utilization at leaf temperature  (umol CO2 per meter squared leaf per second)</t>
  </si>
  <si>
    <t xml:space="preserve"> Modeled CO2 assimilation at maximum electron transportation efficiency at leaf temperature  (umol CO2 per meter squared leaf per second)</t>
  </si>
  <si>
    <t xml:space="preserve"> Modeled CO2 assimilation at maximum carboxylation efficiency of the Rubisco enzyme at leaf temperature  (umol CO2 per meter squared leaf per second)</t>
  </si>
  <si>
    <t xml:space="preserve"> Average leaf temperature during measurement (deg C) </t>
  </si>
  <si>
    <t xml:space="preserve"> Carbon dioxide concentration in the room after taking measurements (umol CO2 per mole air)</t>
  </si>
  <si>
    <t xml:space="preserve"> Carbon dioxide concentration in the room at the beginning of measurements (umol CO2 per mole air)</t>
  </si>
  <si>
    <t>A/Ci curve parameters measured from shoots harvested at three levels in the canopy from 19 1m x 1m plots dominated by S. pulchra  and  B. nana shrubs near LTER Shrub plots at Toolik Field Station, AK the summer of 2012.</t>
  </si>
  <si>
    <t>2012_GS_ITEX_PF_ShootACiData</t>
  </si>
  <si>
    <t>747 m</t>
  </si>
  <si>
    <t>730 m</t>
  </si>
  <si>
    <t>Location Name</t>
  </si>
  <si>
    <t>LTER Shrub Block 1</t>
  </si>
  <si>
    <t>LTER Shrub Block 2</t>
  </si>
  <si>
    <t xml:space="preserve"> 2012_GS_ITEX_BF3_DiffuseLightData; 012_GS_ITEX_CH_SoilData; 2012_GS_ITEX_CHFluxData; 2012_GS_ITEX_LC_ParameterSummary; 2012_GS_ITEX_MaxCanopyHeight; 2012_GS_ITEX_PercentCover; 2012_GS_ITEX_CHN_Data; 2012_GS_ITEX_PF_LAISummary; 2012_GS_ITEX_RawPinDrop_Data; 2012_GS_ITEX_ShootACiData; 2012_GS_ITEX_ShootHarvestData; 2012_GS_ITEX_ShrubCanopy_DailyLogger; 2012_GS_ITEX_InstantLogger; 2012_GS_ITEX_SunScan_LAI; 2012_GS_ITEX_SunScan_PAR; 2012_GS_PFandCH_GPS; 2012_GS_ITEX_PF_ShootLightCurve; 2003-2004gsfluxleafN; 2003-2009gscurveparameters; 2003-2009gsflux; 2003-2009gsGPSandveg; 2003-2009gsharvestLAI-N; 2003-2009gsspecieslist; 2004-2009gscoverft; 2004-2009gscoversp; </t>
  </si>
  <si>
    <t xml:space="preserve"> Area of the shoot leaves, petioles, and stipules used to correct light curve data (square cm leaf+petiole+stipule)</t>
  </si>
  <si>
    <t xml:space="preserve"> Rate of CO2 change measured in the dark of light curve and used to estimate respiration rate  (umol CO2 per meter squared leaf per second)</t>
  </si>
  <si>
    <t>http://ecosystems.mbl.edu/ARC/meta_template.php?FileName=./terrest/tracegas/xlsfiles/2012_GS_ITEX_PF_ShootACiData.html</t>
  </si>
  <si>
    <t>http://metacat.lternet.edu/das/dataAccessServlet?docid=knb-lter-arc.10144&amp;amp;urlTail=terrest/tracegas/data/2012_GS_ITEX_PF_ShootACiData.csv</t>
  </si>
  <si>
    <t>Version 2: Updated units to current standards. Missing values changed to #N/A. CH 28Jan2013</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</si>
  <si>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</si>
  <si>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</si>
  <si>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</si>
  <si>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</si>
  <si>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</si>
  <si>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</si>
  <si>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</si>
  <si>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</si>
  <si>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</si>
  <si>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</si>
  <si>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</si>
  <si>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</si>
  <si>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</si>
  <si>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</si>
  <si>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</si>
  <si>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</si>
  <si>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</si>
  <si>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Link to Google Map</t>
  </si>
  <si>
    <t>Upland site; co-located in Block 1 of the Shrub LTER sites; IVO 68° 38'18.8" N, 149° 34' 07.2"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</si>
  <si>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Select Site or enter New One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</si>
  <si>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</si>
  <si>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</si>
  <si>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</si>
  <si>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</si>
  <si>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</si>
  <si>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</si>
  <si>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</si>
  <si>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</si>
  <si>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</si>
  <si>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</si>
  <si>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</si>
  <si>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</si>
  <si>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</si>
  <si>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</si>
  <si>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</si>
  <si>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</si>
  <si>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</si>
  <si>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</si>
  <si>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</si>
  <si>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</si>
  <si>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</si>
  <si>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</si>
  <si>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</si>
  <si>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</si>
  <si>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</si>
  <si>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</si>
  <si>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</si>
  <si>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</si>
  <si>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</si>
  <si>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</si>
  <si>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</si>
  <si>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</si>
  <si>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</si>
  <si>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</si>
  <si>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</si>
  <si>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</si>
  <si>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</si>
  <si>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</si>
  <si>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</si>
  <si>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</si>
  <si>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</si>
  <si>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</si>
  <si>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</si>
  <si>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</si>
  <si>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</si>
  <si>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</si>
  <si>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</si>
  <si>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</si>
  <si>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</si>
  <si>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</si>
  <si>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</si>
  <si>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</si>
  <si>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</si>
  <si>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</si>
  <si>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</si>
  <si>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</si>
  <si>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</si>
  <si>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</si>
  <si>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</si>
  <si>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</si>
  <si>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</si>
  <si>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</si>
  <si>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</si>
  <si>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</si>
  <si>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</si>
  <si>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</si>
  <si>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</si>
  <si>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</si>
  <si>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</si>
  <si>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</si>
  <si>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</si>
  <si>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</si>
  <si>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</si>
  <si>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</si>
  <si>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</si>
  <si>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</si>
  <si>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</si>
  <si>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</si>
  <si>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</si>
  <si>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</si>
  <si>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</si>
  <si>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</si>
  <si>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</si>
  <si>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</si>
  <si>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</si>
  <si>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</si>
  <si>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</si>
  <si>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</si>
  <si>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</si>
  <si>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</si>
  <si>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</si>
  <si>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</si>
  <si>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</si>
  <si>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</si>
  <si>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</si>
  <si>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</si>
  <si>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</si>
  <si>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</si>
  <si>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</si>
  <si>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</si>
  <si>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</si>
  <si>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</si>
  <si>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</si>
  <si>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</si>
  <si>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</si>
  <si>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</si>
  <si>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</si>
  <si>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</si>
  <si>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</si>
  <si>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</si>
  <si>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</si>
  <si>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</si>
  <si>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</si>
  <si>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</si>
  <si>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</si>
  <si>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</si>
  <si>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</si>
  <si>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</si>
  <si>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</si>
  <si>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</si>
  <si>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</si>
  <si>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</si>
  <si>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</si>
  <si>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</si>
  <si>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</si>
  <si>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</si>
  <si>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</si>
  <si>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</si>
  <si>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</si>
  <si>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</si>
  <si>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</si>
  <si>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</si>
  <si>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</si>
  <si>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</si>
  <si>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</si>
  <si>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</si>
  <si>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</si>
  <si>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</si>
  <si>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</si>
  <si>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</si>
  <si>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</si>
  <si>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</si>
  <si>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</si>
  <si>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</si>
  <si>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</si>
  <si>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</si>
  <si>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</si>
  <si>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</si>
  <si>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</si>
  <si>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</si>
  <si>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</si>
  <si>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</si>
  <si>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</si>
  <si>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</si>
  <si>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</si>
  <si>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</si>
  <si>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</si>
  <si>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</si>
  <si>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</si>
  <si>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</si>
  <si>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</si>
  <si>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</si>
  <si>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</si>
  <si>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</si>
  <si>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</si>
  <si>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</si>
  <si>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</si>
  <si>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</si>
  <si>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</si>
  <si>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</si>
  <si>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</si>
  <si>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</si>
  <si>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</si>
  <si>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</si>
  <si>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</si>
  <si>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</si>
  <si>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</si>
  <si>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</si>
  <si>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</si>
  <si>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</si>
  <si>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</si>
  <si>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</si>
  <si>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</si>
  <si>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</si>
  <si>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</si>
  <si>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</si>
  <si>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</si>
  <si>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</si>
  <si>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</si>
  <si>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</si>
  <si>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</si>
  <si>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</si>
  <si>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</si>
  <si>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</si>
  <si>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</si>
  <si>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</si>
  <si>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</si>
  <si>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</si>
  <si>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</si>
  <si>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</si>
  <si>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</si>
  <si>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</si>
  <si>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</si>
  <si>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</si>
  <si>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</si>
  <si>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</si>
  <si>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</si>
  <si>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</si>
  <si>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</si>
  <si>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</si>
  <si>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</si>
  <si>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</si>
  <si>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</si>
  <si>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</si>
  <si>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</si>
  <si>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</si>
  <si>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</si>
  <si>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</si>
  <si>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</si>
  <si>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</si>
  <si>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</si>
  <si>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</si>
  <si>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</si>
  <si>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</si>
  <si>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</si>
  <si>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</si>
  <si>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</si>
  <si>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</si>
  <si>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</si>
  <si>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</si>
  <si>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</si>
  <si>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</si>
  <si>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</si>
  <si>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</si>
  <si>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</si>
  <si>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</si>
  <si>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</si>
  <si>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</si>
  <si>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</si>
  <si>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</si>
  <si>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</si>
  <si>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</si>
  <si>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</si>
  <si>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</si>
  <si>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</si>
  <si>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</si>
  <si>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</si>
  <si>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</si>
  <si>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</si>
  <si>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</si>
  <si>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</si>
  <si>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</si>
  <si>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</si>
  <si>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</si>
  <si>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</si>
  <si>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</si>
  <si>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</si>
  <si>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</si>
  <si>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</si>
  <si>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</si>
  <si>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</si>
  <si>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</si>
  <si>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</si>
  <si>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</si>
  <si>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</si>
  <si>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</si>
  <si>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</si>
  <si>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</si>
  <si>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</si>
  <si>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</si>
  <si>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</si>
  <si>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</si>
  <si>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</si>
  <si>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</si>
  <si>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</si>
  <si>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</si>
  <si>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</si>
  <si>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</si>
  <si>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</si>
  <si>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</si>
  <si>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</si>
  <si>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</si>
  <si>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</si>
  <si>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</si>
  <si>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</si>
  <si>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</si>
  <si>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</si>
  <si>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</si>
  <si>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</si>
  <si>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</si>
  <si>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</si>
  <si>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</si>
  <si>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</si>
  <si>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</si>
  <si>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</si>
  <si>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</si>
  <si>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</si>
  <si>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</si>
  <si>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</si>
  <si>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</si>
  <si>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</si>
  <si>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</si>
  <si>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</si>
  <si>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</si>
  <si>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</si>
  <si>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</si>
  <si>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</si>
  <si>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</si>
  <si>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</si>
  <si>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</si>
  <si>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</si>
  <si>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</si>
  <si>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</si>
  <si>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</si>
  <si>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</si>
  <si>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</si>
  <si>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</si>
  <si>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</si>
  <si>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</si>
  <si>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</si>
  <si>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</si>
  <si>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</si>
  <si>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</si>
  <si>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</si>
  <si>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</si>
  <si>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</si>
  <si>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</si>
  <si>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</si>
  <si>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</si>
  <si>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</si>
  <si>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</si>
  <si>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</si>
  <si>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</si>
  <si>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</si>
  <si>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</si>
  <si>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</si>
  <si>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</si>
  <si>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</si>
  <si>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</si>
  <si>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</si>
  <si>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</si>
  <si>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</si>
  <si>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</si>
  <si>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</si>
  <si>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</si>
  <si>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</si>
  <si>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</si>
  <si>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</si>
  <si>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</si>
  <si>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</si>
  <si>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</si>
  <si>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</si>
  <si>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</si>
  <si>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</si>
  <si>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</si>
  <si>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</si>
  <si>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</si>
  <si>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</si>
  <si>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</si>
  <si>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</si>
  <si>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</si>
  <si>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</si>
  <si>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</si>
  <si>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</si>
  <si>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</si>
  <si>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</si>
  <si>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</si>
  <si>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</si>
  <si>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</si>
  <si>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</si>
  <si>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</si>
  <si>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</si>
  <si>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</si>
  <si>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</si>
  <si>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</si>
  <si>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</si>
  <si>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</si>
  <si>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</si>
  <si>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</si>
  <si>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</si>
  <si>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</si>
  <si>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</si>
  <si>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</si>
  <si>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</si>
  <si>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</si>
  <si>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</si>
  <si>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</si>
  <si>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</si>
  <si>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</si>
  <si>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</si>
  <si>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</si>
  <si>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</si>
  <si>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</si>
  <si>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</si>
  <si>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</si>
  <si>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</si>
  <si>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</si>
  <si>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</si>
  <si>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</si>
  <si>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</si>
  <si>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</si>
  <si>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</si>
  <si>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</si>
  <si>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</si>
  <si>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</si>
  <si>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</si>
  <si>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</si>
  <si>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</si>
  <si>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</si>
  <si>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</si>
  <si>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</si>
  <si>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</si>
  <si>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</si>
  <si>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</si>
  <si>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</si>
  <si>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</si>
  <si>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</si>
  <si>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</si>
  <si>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</si>
  <si>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</si>
  <si>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</si>
  <si>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</si>
  <si>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</si>
  <si>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</si>
  <si>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</si>
  <si>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</si>
  <si>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</si>
  <si>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</si>
  <si>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</si>
  <si>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</si>
  <si>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</si>
  <si>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</si>
  <si>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</si>
  <si>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</si>
  <si>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</si>
  <si>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</si>
  <si>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</si>
  <si>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</si>
  <si>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</si>
  <si>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</si>
  <si>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</si>
  <si>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</si>
  <si>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</si>
  <si>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</si>
  <si>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</si>
  <si>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</si>
  <si>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</si>
  <si>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</si>
  <si>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</si>
  <si>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</si>
  <si>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</si>
  <si>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</si>
  <si>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</si>
  <si>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</si>
  <si>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</si>
  <si>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</si>
  <si>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</si>
  <si>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</si>
  <si>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</si>
  <si>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</si>
  <si>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</si>
  <si>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</si>
  <si>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</si>
  <si>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</si>
  <si>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</si>
  <si>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</si>
  <si>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</si>
  <si>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</si>
  <si>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</si>
  <si>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</si>
  <si>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</si>
  <si>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</si>
  <si>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</si>
  <si>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</si>
  <si>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</si>
  <si>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</si>
  <si>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</si>
  <si>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</si>
  <si>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</si>
  <si>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</si>
  <si>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</si>
  <si>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</si>
  <si>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</si>
  <si>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</si>
  <si>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</si>
  <si>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</si>
  <si>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</si>
  <si>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</si>
  <si>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</si>
  <si>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</si>
  <si>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</si>
  <si>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</si>
  <si>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</si>
  <si>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</si>
  <si>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</si>
  <si>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</si>
  <si>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</si>
  <si>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</si>
  <si>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</si>
  <si>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</si>
  <si>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</si>
  <si>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</si>
  <si>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</si>
  <si>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</si>
  <si>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</si>
  <si>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</si>
  <si>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</si>
  <si>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</si>
  <si>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</si>
  <si>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</si>
  <si>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</si>
  <si>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</si>
  <si>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</si>
  <si>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</si>
  <si>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</si>
  <si>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</si>
  <si>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</si>
  <si>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</si>
  <si>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</si>
  <si>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</si>
  <si>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</si>
  <si>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</si>
  <si>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</si>
  <si>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</si>
  <si>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</si>
  <si>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</si>
  <si>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</si>
  <si>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</si>
  <si>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</si>
  <si>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</si>
  <si>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</si>
  <si>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</si>
  <si>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</si>
  <si>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</si>
  <si>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</si>
  <si>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</si>
  <si>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</si>
  <si>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</si>
  <si>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</si>
  <si>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</si>
  <si>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</si>
  <si>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</si>
  <si>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</si>
  <si>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</si>
  <si>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</si>
  <si>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</si>
  <si>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</si>
  <si>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</si>
  <si>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</si>
  <si>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</si>
  <si>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</si>
  <si>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</si>
  <si>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</si>
  <si>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</si>
  <si>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</si>
  <si>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</si>
  <si>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</si>
  <si>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</si>
  <si>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</si>
  <si>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</si>
  <si>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</si>
  <si>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</si>
  <si>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</si>
  <si>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</si>
  <si>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</si>
  <si>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</si>
  <si>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</si>
  <si>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</si>
  <si>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</si>
  <si>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</si>
  <si>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</si>
  <si>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</si>
  <si>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</si>
  <si>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</si>
  <si>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</si>
  <si>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</si>
  <si>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</si>
  <si>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</si>
  <si>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</si>
  <si>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</si>
  <si>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</si>
  <si>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</si>
  <si>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</si>
  <si>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</si>
  <si>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</si>
  <si>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</si>
  <si>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</si>
  <si>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</si>
  <si>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</si>
  <si>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</si>
  <si>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</si>
  <si>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</si>
  <si>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</si>
  <si>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</si>
  <si>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</si>
  <si>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</si>
  <si>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</si>
  <si>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</si>
  <si>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</si>
  <si>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</si>
  <si>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</si>
  <si>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</si>
  <si>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</si>
  <si>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</si>
  <si>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</si>
  <si>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</si>
  <si>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</si>
  <si>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</si>
  <si>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</si>
  <si>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</si>
  <si>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</si>
  <si>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</si>
  <si>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</si>
  <si>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</si>
  <si>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</si>
  <si>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</si>
  <si>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</si>
  <si>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</si>
  <si>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</si>
  <si>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</si>
  <si>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</si>
  <si>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</si>
  <si>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</si>
  <si>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</si>
  <si>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</si>
  <si>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</si>
  <si>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</si>
  <si>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</si>
  <si>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</si>
  <si>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</si>
  <si>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</si>
  <si>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</si>
  <si>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</si>
  <si>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</si>
  <si>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</si>
  <si>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</si>
  <si>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</si>
  <si>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</si>
  <si>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</si>
  <si>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</si>
  <si>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</si>
  <si>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</si>
  <si>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</si>
  <si>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</si>
  <si>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</si>
  <si>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</si>
  <si>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</si>
  <si>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</si>
  <si>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</si>
  <si>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</si>
  <si>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</si>
  <si>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</si>
  <si>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</si>
  <si>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</si>
  <si>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</si>
  <si>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</si>
  <si>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</si>
  <si>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</si>
  <si>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</si>
  <si>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</si>
  <si>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</si>
  <si>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</si>
  <si>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</si>
  <si>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</si>
  <si>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</si>
  <si>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</si>
  <si>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</si>
  <si>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</si>
  <si>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</si>
  <si>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</si>
  <si>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</si>
  <si>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</si>
  <si>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</si>
  <si>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</si>
  <si>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</si>
  <si>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</si>
  <si>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</si>
  <si>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</si>
  <si>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</si>
  <si>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</si>
  <si>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</si>
  <si>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</si>
  <si>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</si>
  <si>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</si>
  <si>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</si>
  <si>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</si>
  <si>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</si>
  <si>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</si>
  <si>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</si>
  <si>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</si>
  <si>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</si>
  <si>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</si>
  <si>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</si>
  <si>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</si>
  <si>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</si>
  <si>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</si>
  <si>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</si>
  <si>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</si>
  <si>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</si>
  <si>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</si>
  <si>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</si>
  <si>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</si>
  <si>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</si>
  <si>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</si>
  <si>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</si>
  <si>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</si>
  <si>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</si>
  <si>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</si>
  <si>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</si>
  <si>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</si>
  <si>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</si>
  <si>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</si>
  <si>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</si>
  <si>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</si>
  <si>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</si>
  <si>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</si>
  <si>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</si>
  <si>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</si>
  <si>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</si>
  <si>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</si>
  <si>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</si>
  <si>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</si>
  <si>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</si>
  <si>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</si>
  <si>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</si>
  <si>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</si>
  <si>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</si>
  <si>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</si>
  <si>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</si>
  <si>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</si>
  <si>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</si>
  <si>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</si>
  <si>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</si>
  <si>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</si>
  <si>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</si>
  <si>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</si>
  <si>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</si>
  <si>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</si>
  <si>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</si>
  <si>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</si>
  <si>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</si>
  <si>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</si>
  <si>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</si>
  <si>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</si>
  <si>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</si>
  <si>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</si>
  <si>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</si>
  <si>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</si>
  <si>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</si>
  <si>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</si>
  <si>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</si>
  <si>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</si>
  <si>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</si>
  <si>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</si>
  <si>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</si>
  <si>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</si>
  <si>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</si>
  <si>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</si>
  <si>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</si>
  <si>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</si>
  <si>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</si>
  <si>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</si>
  <si>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</si>
  <si>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</si>
  <si>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</si>
  <si>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</si>
  <si>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</si>
  <si>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</si>
  <si>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</si>
  <si>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</si>
  <si>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</si>
  <si>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</si>
  <si>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</si>
  <si>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</si>
  <si>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</si>
  <si>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</si>
  <si>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</si>
  <si>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</si>
  <si>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</si>
  <si>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</si>
  <si>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</si>
  <si>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</si>
  <si>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</si>
  <si>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</si>
  <si>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</si>
  <si>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</si>
  <si>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</si>
  <si>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</si>
  <si>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</si>
  <si>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</si>
  <si>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</si>
  <si>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</si>
  <si>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</si>
  <si>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</si>
  <si>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</si>
  <si>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</si>
  <si>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</si>
  <si>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</si>
  <si>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</si>
  <si>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</si>
  <si>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</si>
  <si>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</si>
  <si>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</si>
  <si>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</si>
  <si>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</si>
  <si>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</si>
  <si>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</si>
  <si>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</si>
  <si>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</si>
  <si>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</si>
  <si>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</si>
  <si>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</si>
  <si>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</si>
  <si>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</si>
  <si>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</si>
  <si>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</si>
  <si>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</si>
  <si>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</si>
  <si>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</si>
  <si>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</si>
  <si>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</si>
  <si>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</si>
  <si>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</si>
  <si>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</si>
  <si>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</si>
  <si>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</si>
  <si>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</si>
  <si>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</si>
  <si>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</si>
  <si>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</si>
  <si>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</si>
  <si>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</si>
  <si>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</si>
  <si>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</si>
  <si>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</si>
  <si>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</si>
  <si>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</si>
  <si>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</si>
  <si>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</si>
  <si>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</si>
  <si>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</si>
  <si>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</si>
  <si>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</si>
  <si>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</si>
  <si>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</si>
  <si>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</si>
  <si>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</si>
  <si>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</si>
  <si>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</si>
  <si>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</si>
  <si>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</si>
  <si>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</si>
  <si>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</si>
  <si>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</si>
  <si>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</si>
  <si>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</si>
  <si>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</si>
  <si>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</si>
  <si>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</si>
  <si>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</si>
  <si>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</si>
  <si>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</si>
  <si>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</si>
  <si>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</si>
  <si>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</si>
  <si>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</si>
  <si>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</si>
  <si>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</si>
  <si>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</si>
  <si>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</si>
  <si>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</si>
  <si>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</si>
  <si>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</si>
  <si>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</si>
  <si>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</si>
  <si>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</si>
  <si>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</si>
  <si>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</si>
  <si>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</si>
  <si>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</si>
  <si>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</si>
  <si>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</si>
  <si>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</si>
  <si>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</si>
  <si>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</si>
  <si>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</si>
  <si>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</si>
  <si>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</si>
  <si>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</si>
  <si>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</si>
  <si>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</si>
  <si>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</si>
  <si>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</si>
  <si>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</si>
  <si>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</si>
  <si>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</si>
  <si>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</si>
  <si>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</si>
  <si>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</si>
  <si>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</si>
  <si>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</si>
  <si>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</si>
  <si>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</si>
  <si>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</si>
  <si>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</si>
  <si>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</si>
  <si>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</si>
  <si>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</si>
  <si>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</si>
  <si>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</si>
  <si>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</si>
  <si>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</si>
  <si>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</si>
  <si>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</si>
  <si>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</si>
  <si>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</si>
  <si>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</si>
  <si>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</si>
  <si>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</si>
  <si>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</si>
  <si>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</si>
  <si>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</si>
  <si>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</si>
  <si>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</si>
  <si>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</si>
  <si>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</si>
  <si>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</si>
  <si>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</si>
  <si>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</si>
  <si>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</si>
  <si>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</si>
  <si>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</si>
  <si>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</si>
  <si>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</si>
  <si>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</si>
  <si>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</si>
  <si>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</si>
  <si>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</si>
  <si>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</si>
  <si>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</si>
  <si>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</si>
  <si>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</si>
  <si>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</si>
  <si>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</si>
  <si>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</si>
  <si>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</si>
  <si>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</si>
  <si>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</si>
  <si>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</si>
  <si>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</si>
  <si>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</si>
  <si>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</si>
  <si>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</si>
  <si>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</si>
  <si>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</si>
  <si>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</si>
  <si>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</si>
  <si>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</si>
  <si>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</si>
  <si>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</si>
  <si>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</si>
  <si>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</si>
  <si>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</si>
  <si>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</si>
  <si>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</si>
  <si>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</si>
  <si>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</si>
  <si>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</si>
  <si>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</si>
  <si>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</si>
  <si>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</si>
  <si>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</si>
  <si>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</si>
  <si>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</si>
  <si>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</si>
  <si>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</si>
  <si>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</si>
  <si>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</si>
  <si>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</si>
  <si>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</si>
  <si>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</si>
  <si>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</si>
  <si>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</si>
  <si>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</si>
  <si>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</si>
  <si>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</si>
  <si>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</si>
  <si>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</si>
  <si>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</si>
  <si>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</si>
  <si>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</si>
  <si>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</si>
  <si>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</si>
  <si>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</si>
  <si>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</si>
  <si>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</si>
  <si>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</si>
  <si>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</si>
  <si>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</si>
  <si>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</si>
  <si>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</si>
  <si>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</si>
  <si>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</si>
  <si>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</si>
  <si>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</si>
  <si>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</si>
  <si>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</si>
  <si>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</si>
  <si>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</si>
  <si>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</si>
  <si>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</si>
  <si>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</si>
  <si>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</si>
  <si>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</si>
  <si>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</si>
  <si>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</si>
  <si>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</si>
  <si>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</si>
  <si>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</si>
  <si>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</si>
  <si>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</si>
  <si>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</si>
  <si>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</si>
  <si>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</si>
  <si>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</si>
  <si>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</si>
  <si>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</si>
  <si>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</si>
  <si>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</si>
  <si>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</si>
  <si>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</si>
  <si>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</si>
  <si>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</si>
  <si>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</si>
  <si>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</si>
  <si>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</si>
  <si>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</si>
  <si>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</si>
  <si>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</si>
  <si>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</si>
  <si>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</si>
  <si>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</si>
  <si>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</si>
  <si>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</si>
  <si>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</si>
  <si>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</si>
  <si>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</si>
  <si>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</si>
  <si>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</si>
  <si>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</si>
  <si>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</si>
  <si>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</si>
  <si>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</si>
  <si>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</si>
  <si>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</si>
  <si>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</si>
  <si>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</si>
  <si>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</si>
  <si>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</si>
  <si>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</si>
  <si>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</si>
  <si>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</si>
  <si>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</si>
  <si>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</si>
  <si>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</si>
  <si>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</si>
  <si>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</si>
  <si>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</si>
  <si>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</si>
  <si>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</si>
  <si>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</si>
  <si>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</si>
  <si>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</si>
  <si>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</si>
  <si>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</si>
  <si>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</si>
  <si>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</si>
  <si>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</si>
  <si>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</si>
  <si>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</si>
  <si>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</si>
  <si>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</si>
  <si>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</si>
  <si>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</si>
  <si>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</si>
  <si>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</si>
  <si>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</si>
  <si>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</si>
  <si>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</si>
  <si>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</si>
  <si>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</si>
  <si>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</si>
  <si>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</si>
  <si>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</si>
  <si>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</si>
  <si>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</si>
  <si>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</si>
  <si>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</si>
  <si>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</si>
  <si>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</si>
  <si>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</si>
  <si>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</si>
  <si>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</si>
  <si>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</si>
  <si>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</si>
  <si>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</si>
  <si>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</si>
  <si>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</si>
  <si>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</si>
  <si>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</si>
  <si>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</si>
  <si>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</si>
  <si>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</si>
  <si>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</si>
  <si>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</si>
  <si>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</si>
  <si>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</si>
  <si>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</si>
  <si>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</si>
  <si>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</si>
  <si>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</si>
  <si>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</si>
  <si>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</si>
  <si>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</si>
  <si>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</si>
  <si>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</si>
  <si>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</si>
  <si>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</si>
  <si>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</si>
  <si>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</si>
  <si>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</si>
  <si>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</si>
  <si>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</si>
  <si>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</si>
  <si>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</si>
  <si>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</si>
  <si>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</si>
  <si>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</si>
  <si>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</si>
  <si>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</si>
  <si>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</si>
  <si>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</si>
  <si>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</si>
  <si>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</si>
  <si>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</si>
  <si>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</si>
  <si>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</si>
  <si>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</si>
  <si>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</si>
  <si>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</si>
  <si>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</si>
  <si>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</si>
  <si>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</si>
  <si>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</si>
  <si>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TFS Weather Station</t>
  </si>
  <si>
    <t>University of Alaska Fairbanks Toolik Field Station, North Slope of Alaska  
Coords in WGS84(ITRF00 - Ep. 1997.0) 
Accuracy should be good to ~ 90cm 
68.628228973N, 149.596001285W,  
Height (above ellipsoid) is 726.5m, give or take ~1.5m
Was the SRC LTER Toolik Main weather station.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</si>
  <si>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</si>
  <si>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</si>
  <si>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</si>
  <si>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</si>
  <si>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</si>
  <si>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</si>
  <si>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</si>
  <si>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</si>
  <si>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</si>
  <si>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</si>
  <si>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</si>
  <si>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</si>
  <si>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</si>
  <si>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</si>
  <si>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</si>
  <si>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</si>
  <si>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</si>
  <si>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</si>
  <si>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</si>
  <si>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</si>
  <si>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</si>
  <si>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</si>
  <si>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</si>
  <si>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</si>
  <si>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</si>
  <si>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</si>
  <si>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</si>
  <si>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</si>
  <si>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</si>
  <si>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</si>
  <si>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</si>
  <si>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</si>
  <si>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</si>
  <si>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</si>
  <si>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</si>
  <si>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</si>
  <si>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</si>
  <si>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</si>
  <si>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</si>
  <si>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</si>
  <si>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</si>
  <si>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</si>
  <si>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</si>
  <si>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</si>
  <si>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</si>
  <si>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</si>
  <si>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</si>
  <si>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</si>
  <si>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</si>
  <si>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</si>
  <si>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</si>
  <si>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</si>
  <si>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</si>
  <si>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</si>
  <si>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</si>
  <si>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</si>
  <si>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</si>
  <si>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</si>
  <si>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</si>
  <si>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</si>
  <si>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</si>
  <si>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</si>
  <si>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</si>
  <si>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</si>
  <si>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</si>
  <si>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</si>
  <si>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</si>
  <si>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</si>
  <si>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</si>
  <si>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</si>
  <si>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</si>
  <si>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</si>
  <si>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</si>
  <si>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</si>
  <si>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</si>
  <si>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</si>
  <si>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</si>
  <si>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</si>
  <si>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</si>
  <si>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</si>
  <si>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</si>
  <si>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</si>
  <si>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</si>
  <si>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</si>
  <si>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</si>
  <si>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</si>
  <si>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</si>
  <si>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</si>
  <si>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</si>
  <si>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</si>
  <si>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</si>
  <si>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</si>
  <si>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</si>
  <si>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</si>
  <si>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</si>
  <si>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</si>
  <si>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</si>
  <si>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</si>
  <si>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</si>
  <si>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</si>
  <si>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</si>
  <si>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</si>
  <si>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</si>
  <si>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</si>
  <si>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</si>
  <si>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</si>
  <si>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</si>
  <si>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</si>
  <si>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</si>
  <si>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</si>
  <si>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</si>
  <si>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</si>
  <si>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#N/A=Missing or Not Measured</t>
  </si>
  <si>
    <t xml:space="preserve">Version 3: Updated metadata to newer form (with sites sheet). CH April 2013. </t>
  </si>
  <si>
    <t>Version 4: Corrected eml excel file name wrong extension. JimL 16May13</t>
  </si>
  <si>
    <t>not recorded=Missing or Not Measured</t>
  </si>
  <si>
    <t>Version 5: Corrected the upper/lower case of missing value JimL 17May13</t>
  </si>
  <si>
    <t>2012_GS_ITEX_PF_ShootACiData.05</t>
  </si>
  <si>
    <t>knb-lter-arc.10144.5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</si>
</sst>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
    <numFmt numFmtId="165" formatCode="dd\-mmm\-yyyy"/>
    <numFmt numFmtId="166" formatCode="0.00000"/>
  </numFmts>
  <fonts count="5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sz val="10"/>
      <name val="Arial"/>
      <family val="2"/>
    </font>
    <font>
      <sz val="8"/>
      <name val="Verdana"/>
      <family val="2"/>
    </font>
    <font>
      <u/>
      <sz val="11"/>
      <color theme="10"/>
      <name val="Calibri"/>
      <family val="2"/>
      <scheme val="minor"/>
    </font>
    <font>
      <u/>
      <sz val="11"/>
      <color theme="11"/>
      <name val="Calibri"/>
      <family val="2"/>
      <scheme val="minor"/>
    </font>
    <font>
      <sz val="11"/>
      <name val="Calibri"/>
      <family val="2"/>
      <scheme val="minor"/>
    </font>
    <font>
      <sz val="11"/>
      <color indexed="8"/>
      <name val="Calibri"/>
      <family val="2"/>
      <scheme val="minor"/>
    </font>
    <font>
      <sz val="9"/>
      <color indexed="81"/>
      <name val="Tahoma"/>
      <family val="2"/>
    </font>
    <font>
      <b/>
      <sz val="9"/>
      <color indexed="81"/>
      <name val="Tahoma"/>
      <family val="2"/>
    </font>
    <font>
      <b/>
      <sz val="11"/>
      <color indexed="8"/>
      <name val="Calibri"/>
      <family val="2"/>
      <scheme val="minor"/>
    </font>
    <font>
      <b/>
      <sz val="11"/>
      <name val="Calibri"/>
      <family val="2"/>
      <scheme val="minor"/>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sz val="12"/>
      <color theme="1"/>
      <name val="Calibri"/>
      <family val="2"/>
      <scheme val="minor"/>
    </font>
    <font>
      <sz val="10"/>
      <color indexed="10"/>
      <name val="Arial"/>
      <family val="2"/>
    </font>
    <font>
      <b/>
      <sz val="8"/>
      <color indexed="39"/>
      <name val="Tahoma"/>
      <family val="2"/>
    </font>
    <font>
      <b/>
      <sz val="8"/>
      <color indexed="12"/>
      <name val="Arial"/>
      <family val="2"/>
    </font>
    <font>
      <b/>
      <sz val="8"/>
      <color indexed="10"/>
      <name val="Arial"/>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1"/>
        <bgColor indexed="64"/>
      </patternFill>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indexed="22"/>
        <bgColor indexed="64"/>
      </patternFill>
    </fill>
    <fill>
      <patternFill patternType="solid">
        <fgColor rgb="FF00FFFF"/>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bottom style="thin">
        <color auto="1"/>
      </bottom>
      <diagonal/>
    </border>
    <border>
      <left style="thin">
        <color auto="1"/>
      </left>
      <right/>
      <top/>
      <bottom style="thin">
        <color auto="1"/>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auto="1"/>
      </right>
      <top style="medium">
        <color indexed="64"/>
      </top>
      <bottom style="medium">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s>
  <cellStyleXfs count="5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 fillId="0" borderId="0"/>
    <xf numFmtId="0" fontId="1" fillId="8" borderId="8" applyNumberFormat="0" applyFont="0" applyAlignment="0" applyProtection="0"/>
    <xf numFmtId="0" fontId="19" fillId="0" borderId="0"/>
    <xf numFmtId="0" fontId="19" fillId="0" borderId="0"/>
    <xf numFmtId="0" fontId="21" fillId="0" borderId="0" applyNumberFormat="0" applyFill="0" applyBorder="0" applyAlignment="0" applyProtection="0"/>
    <xf numFmtId="0" fontId="22" fillId="0" borderId="0" applyNumberFormat="0" applyFill="0" applyBorder="0" applyAlignment="0" applyProtection="0"/>
    <xf numFmtId="0" fontId="1" fillId="0" borderId="0"/>
    <xf numFmtId="0" fontId="1" fillId="0" borderId="0"/>
    <xf numFmtId="0" fontId="33" fillId="0" borderId="0" applyNumberFormat="0" applyFill="0" applyBorder="0" applyAlignment="0" applyProtection="0">
      <alignment vertical="top"/>
      <protection locked="0"/>
    </xf>
    <xf numFmtId="0" fontId="1" fillId="0" borderId="0"/>
    <xf numFmtId="0" fontId="1" fillId="0" borderId="0"/>
    <xf numFmtId="0" fontId="46" fillId="0" borderId="0"/>
  </cellStyleXfs>
  <cellXfs count="150">
    <xf numFmtId="0" fontId="0" fillId="0" borderId="0" xfId="0"/>
    <xf numFmtId="0" fontId="24" fillId="0" borderId="0" xfId="41" applyFont="1" applyFill="1" applyBorder="1"/>
    <xf numFmtId="0" fontId="23" fillId="0" borderId="0" xfId="41" applyFont="1" applyFill="1" applyBorder="1" applyAlignment="1">
      <alignment horizontal="left"/>
    </xf>
    <xf numFmtId="0" fontId="0" fillId="0" borderId="0" xfId="0" applyFill="1" applyBorder="1"/>
    <xf numFmtId="2" fontId="23" fillId="0" borderId="0" xfId="0" applyNumberFormat="1" applyFont="1" applyFill="1" applyBorder="1"/>
    <xf numFmtId="2" fontId="23" fillId="0" borderId="0" xfId="0" applyNumberFormat="1" applyFont="1" applyFill="1" applyBorder="1" applyAlignment="1">
      <alignment vertical="center"/>
    </xf>
    <xf numFmtId="0" fontId="1" fillId="0" borderId="0" xfId="0" applyFont="1" applyFill="1" applyBorder="1"/>
    <xf numFmtId="0" fontId="24" fillId="0" borderId="0" xfId="41" applyFont="1" applyFill="1" applyBorder="1" applyAlignment="1">
      <alignment horizontal="right"/>
    </xf>
    <xf numFmtId="0" fontId="1" fillId="0" borderId="0" xfId="0" applyFont="1" applyFill="1" applyBorder="1" applyAlignment="1">
      <alignment horizontal="right"/>
    </xf>
    <xf numFmtId="164" fontId="24" fillId="0" borderId="0" xfId="41" applyNumberFormat="1" applyFont="1" applyFill="1" applyBorder="1"/>
    <xf numFmtId="15" fontId="1" fillId="0" borderId="0" xfId="0" applyNumberFormat="1" applyFont="1" applyFill="1" applyBorder="1"/>
    <xf numFmtId="0" fontId="24" fillId="0" borderId="0" xfId="41" applyFont="1" applyFill="1" applyBorder="1" applyAlignment="1">
      <alignment horizontal="left"/>
    </xf>
    <xf numFmtId="15" fontId="24" fillId="0" borderId="0" xfId="41" applyNumberFormat="1" applyFont="1" applyFill="1" applyBorder="1" applyAlignment="1">
      <alignment horizontal="left"/>
    </xf>
    <xf numFmtId="2" fontId="1" fillId="0" borderId="0" xfId="0" applyNumberFormat="1" applyFont="1" applyFill="1" applyBorder="1"/>
    <xf numFmtId="0" fontId="1" fillId="0" borderId="0" xfId="0" applyFont="1" applyFill="1" applyBorder="1" applyAlignment="1">
      <alignment horizontal="center" wrapText="1"/>
    </xf>
    <xf numFmtId="0" fontId="1" fillId="0" borderId="0" xfId="0" applyFont="1" applyFill="1" applyBorder="1" applyAlignment="1">
      <alignment horizontal="left"/>
    </xf>
    <xf numFmtId="2" fontId="1" fillId="0" borderId="0" xfId="0" applyNumberFormat="1" applyFont="1" applyFill="1" applyBorder="1" applyAlignment="1">
      <alignment horizontal="right"/>
    </xf>
    <xf numFmtId="2" fontId="1" fillId="0" borderId="0" xfId="0" applyNumberFormat="1" applyFont="1" applyFill="1" applyBorder="1" applyAlignment="1">
      <alignment horizontal="center" wrapText="1"/>
    </xf>
    <xf numFmtId="0" fontId="23" fillId="0" borderId="0" xfId="41" applyFont="1" applyFill="1" applyBorder="1" applyAlignment="1"/>
    <xf numFmtId="2" fontId="24" fillId="0" borderId="0" xfId="0" applyNumberFormat="1" applyFont="1" applyFill="1" applyBorder="1" applyAlignment="1">
      <alignment horizontal="right" wrapText="1"/>
    </xf>
    <xf numFmtId="2" fontId="18" fillId="0" borderId="0" xfId="0" applyNumberFormat="1" applyFont="1" applyFill="1" applyBorder="1" applyAlignment="1">
      <alignment horizontal="right" wrapText="1"/>
    </xf>
    <xf numFmtId="2" fontId="0" fillId="0" borderId="0" xfId="0" applyNumberFormat="1" applyFill="1" applyBorder="1" applyAlignment="1">
      <alignment horizontal="right"/>
    </xf>
    <xf numFmtId="0" fontId="1" fillId="0" borderId="0" xfId="0" applyFont="1" applyFill="1" applyBorder="1" applyAlignment="1">
      <alignment horizontal="right" wrapText="1"/>
    </xf>
    <xf numFmtId="0" fontId="1" fillId="0" borderId="0" xfId="0" applyFont="1" applyFill="1" applyBorder="1" applyAlignment="1"/>
    <xf numFmtId="0" fontId="24" fillId="0" borderId="0" xfId="41" applyNumberFormat="1" applyFont="1" applyFill="1" applyBorder="1" applyAlignment="1">
      <alignment horizontal="left"/>
    </xf>
    <xf numFmtId="2" fontId="0" fillId="0" borderId="0" xfId="0" applyNumberFormat="1" applyFont="1" applyFill="1" applyBorder="1" applyAlignment="1">
      <alignment horizontal="right"/>
    </xf>
    <xf numFmtId="2" fontId="1" fillId="0" borderId="0" xfId="0" applyNumberFormat="1" applyFont="1" applyFill="1" applyBorder="1" applyAlignment="1">
      <alignment horizontal="right" wrapText="1"/>
    </xf>
    <xf numFmtId="2" fontId="24" fillId="0" borderId="0" xfId="0" applyNumberFormat="1" applyFont="1" applyFill="1" applyBorder="1" applyAlignment="1">
      <alignment horizontal="right"/>
    </xf>
    <xf numFmtId="164" fontId="1" fillId="0" borderId="0" xfId="0" applyNumberFormat="1" applyFont="1" applyFill="1" applyBorder="1"/>
    <xf numFmtId="0" fontId="16" fillId="0" borderId="0" xfId="0" applyFont="1" applyFill="1" applyBorder="1" applyAlignment="1">
      <alignment horizontal="center" wrapText="1"/>
    </xf>
    <xf numFmtId="0" fontId="1" fillId="0" borderId="0" xfId="0" applyNumberFormat="1" applyFont="1" applyFill="1" applyBorder="1"/>
    <xf numFmtId="2" fontId="23" fillId="0" borderId="0" xfId="0" applyNumberFormat="1" applyFont="1" applyFill="1" applyBorder="1" applyAlignment="1">
      <alignment horizontal="right"/>
    </xf>
    <xf numFmtId="2" fontId="0" fillId="0" borderId="0" xfId="0" applyNumberFormat="1" applyFill="1" applyBorder="1"/>
    <xf numFmtId="0" fontId="0" fillId="0" borderId="0" xfId="0" applyFill="1" applyBorder="1" applyAlignment="1">
      <alignment horizontal="left"/>
    </xf>
    <xf numFmtId="1" fontId="1" fillId="0" borderId="0" xfId="0" applyNumberFormat="1" applyFont="1" applyFill="1" applyBorder="1" applyAlignment="1">
      <alignment horizontal="left"/>
    </xf>
    <xf numFmtId="164" fontId="27" fillId="0" borderId="0" xfId="41" applyNumberFormat="1" applyFont="1" applyFill="1" applyBorder="1" applyAlignment="1">
      <alignment horizontal="center" wrapText="1"/>
    </xf>
    <xf numFmtId="0" fontId="27" fillId="0" borderId="0" xfId="41" applyFont="1" applyFill="1" applyBorder="1" applyAlignment="1">
      <alignment horizontal="left" wrapText="1"/>
    </xf>
    <xf numFmtId="0" fontId="27" fillId="0" borderId="0" xfId="41" applyFont="1" applyFill="1" applyBorder="1" applyAlignment="1">
      <alignment horizontal="center" wrapText="1"/>
    </xf>
    <xf numFmtId="0" fontId="27" fillId="0" borderId="0" xfId="41" applyFont="1" applyFill="1" applyBorder="1" applyAlignment="1">
      <alignment wrapText="1"/>
    </xf>
    <xf numFmtId="2" fontId="18" fillId="0" borderId="0" xfId="0" applyNumberFormat="1" applyFont="1" applyFill="1" applyBorder="1" applyAlignment="1">
      <alignment horizontal="right"/>
    </xf>
    <xf numFmtId="1" fontId="1" fillId="0" borderId="0" xfId="0" applyNumberFormat="1" applyFont="1" applyFill="1" applyBorder="1" applyAlignment="1">
      <alignment horizontal="right"/>
    </xf>
    <xf numFmtId="1" fontId="1" fillId="0" borderId="0" xfId="0" applyNumberFormat="1" applyFont="1" applyFill="1" applyBorder="1" applyAlignment="1">
      <alignment horizontal="right" wrapText="1"/>
    </xf>
    <xf numFmtId="2" fontId="0" fillId="0" borderId="0" xfId="0" applyNumberFormat="1" applyFont="1" applyFill="1" applyBorder="1" applyAlignment="1">
      <alignment horizontal="right" wrapText="1"/>
    </xf>
    <xf numFmtId="0" fontId="27" fillId="0" borderId="0" xfId="41" applyFont="1" applyFill="1" applyBorder="1" applyAlignment="1">
      <alignment horizontal="right" wrapText="1"/>
    </xf>
    <xf numFmtId="0" fontId="24" fillId="0" borderId="0" xfId="41" applyFont="1" applyFill="1" applyBorder="1" applyAlignment="1"/>
    <xf numFmtId="0" fontId="1" fillId="0" borderId="0" xfId="0" applyNumberFormat="1" applyFont="1" applyFill="1" applyBorder="1" applyAlignment="1">
      <alignment horizontal="left"/>
    </xf>
    <xf numFmtId="1" fontId="1" fillId="0" borderId="0" xfId="0" applyNumberFormat="1" applyFont="1" applyFill="1" applyBorder="1" applyAlignment="1"/>
    <xf numFmtId="15" fontId="24" fillId="0" borderId="0" xfId="41" applyNumberFormat="1" applyFont="1" applyFill="1" applyBorder="1"/>
    <xf numFmtId="0" fontId="29" fillId="0" borderId="0" xfId="44" applyFont="1" applyAlignment="1" applyProtection="1">
      <alignment vertical="top"/>
    </xf>
    <xf numFmtId="0" fontId="19" fillId="0" borderId="0" xfId="44" applyFont="1" applyAlignment="1" applyProtection="1">
      <alignment horizontal="left" wrapText="1"/>
      <protection locked="0"/>
    </xf>
    <xf numFmtId="0" fontId="30" fillId="0" borderId="0" xfId="44" applyFont="1" applyProtection="1">
      <protection locked="0"/>
    </xf>
    <xf numFmtId="0" fontId="31" fillId="0" borderId="0" xfId="44" applyFont="1" applyProtection="1">
      <protection locked="0"/>
    </xf>
    <xf numFmtId="0" fontId="19" fillId="0" borderId="0" xfId="44" applyFont="1"/>
    <xf numFmtId="0" fontId="32" fillId="0" borderId="16" xfId="44" applyFont="1" applyFill="1" applyBorder="1" applyAlignment="1" applyProtection="1"/>
    <xf numFmtId="0" fontId="32" fillId="0" borderId="16" xfId="44" applyFont="1" applyFill="1" applyBorder="1" applyAlignment="1" applyProtection="1">
      <alignment horizontal="left"/>
    </xf>
    <xf numFmtId="0" fontId="19" fillId="0" borderId="0" xfId="44" applyFont="1" applyProtection="1">
      <protection locked="0"/>
    </xf>
    <xf numFmtId="0" fontId="32" fillId="0" borderId="18" xfId="44" applyFont="1" applyBorder="1" applyAlignment="1" applyProtection="1"/>
    <xf numFmtId="0" fontId="31" fillId="35" borderId="16" xfId="44" applyFont="1" applyFill="1" applyBorder="1" applyAlignment="1" applyProtection="1">
      <alignment vertical="top"/>
    </xf>
    <xf numFmtId="0" fontId="19" fillId="0" borderId="0" xfId="44" applyFont="1" applyFill="1" applyBorder="1"/>
    <xf numFmtId="0" fontId="19" fillId="0" borderId="0" xfId="44" applyFont="1" applyAlignment="1" applyProtection="1">
      <alignment vertical="top"/>
    </xf>
    <xf numFmtId="0" fontId="19" fillId="0" borderId="0" xfId="44" applyFont="1" applyAlignment="1" applyProtection="1">
      <protection locked="0"/>
    </xf>
    <xf numFmtId="0" fontId="19" fillId="0" borderId="0" xfId="44" applyNumberFormat="1" applyFont="1" applyAlignment="1" applyProtection="1">
      <alignment horizontal="left"/>
      <protection locked="0"/>
    </xf>
    <xf numFmtId="0" fontId="34" fillId="0" borderId="0" xfId="44" applyFont="1" applyAlignment="1" applyProtection="1">
      <protection locked="0"/>
    </xf>
    <xf numFmtId="0" fontId="19" fillId="37" borderId="16" xfId="44" applyFont="1" applyFill="1" applyBorder="1" applyAlignment="1" applyProtection="1">
      <alignment horizontal="left" wrapText="1"/>
      <protection locked="0"/>
    </xf>
    <xf numFmtId="0" fontId="19" fillId="0" borderId="0" xfId="44" applyFont="1" applyAlignment="1" applyProtection="1">
      <alignment vertical="top" wrapText="1"/>
    </xf>
    <xf numFmtId="0" fontId="35" fillId="35" borderId="16" xfId="44" applyFont="1" applyFill="1" applyBorder="1" applyAlignment="1" applyProtection="1">
      <alignment vertical="top" wrapText="1"/>
    </xf>
    <xf numFmtId="0" fontId="31" fillId="35" borderId="16" xfId="44" applyFont="1" applyFill="1" applyBorder="1" applyAlignment="1" applyProtection="1">
      <alignment horizontal="left" wrapText="1"/>
    </xf>
    <xf numFmtId="49" fontId="31" fillId="33" borderId="0" xfId="44" applyNumberFormat="1" applyFont="1" applyFill="1" applyBorder="1" applyAlignment="1" applyProtection="1">
      <alignment horizontal="right" vertical="top"/>
    </xf>
    <xf numFmtId="49" fontId="19" fillId="34" borderId="16" xfId="44" applyNumberFormat="1" applyFont="1" applyFill="1" applyBorder="1" applyAlignment="1" applyProtection="1">
      <alignment horizontal="left" wrapText="1"/>
      <protection locked="0"/>
    </xf>
    <xf numFmtId="49" fontId="19" fillId="0" borderId="0" xfId="44" applyNumberFormat="1" applyFont="1"/>
    <xf numFmtId="0" fontId="19" fillId="0" borderId="0" xfId="44" applyFont="1" applyFill="1" applyBorder="1" applyAlignment="1" applyProtection="1">
      <alignment horizontal="right" vertical="top"/>
    </xf>
    <xf numFmtId="0" fontId="19" fillId="0" borderId="0" xfId="44" applyFont="1" applyFill="1" applyAlignment="1" applyProtection="1">
      <alignment horizontal="left" wrapText="1"/>
      <protection locked="0"/>
    </xf>
    <xf numFmtId="0" fontId="19" fillId="0" borderId="0" xfId="44" applyFont="1" applyFill="1" applyProtection="1">
      <protection locked="0"/>
    </xf>
    <xf numFmtId="0" fontId="19" fillId="0" borderId="0" xfId="44" applyFont="1" applyFill="1" applyAlignment="1" applyProtection="1">
      <alignment horizontal="right" vertical="top" wrapText="1"/>
    </xf>
    <xf numFmtId="0" fontId="31" fillId="35" borderId="16" xfId="44" applyNumberFormat="1" applyFont="1" applyFill="1" applyBorder="1" applyAlignment="1" applyProtection="1">
      <alignment vertical="top" wrapText="1"/>
    </xf>
    <xf numFmtId="0" fontId="19" fillId="0" borderId="0" xfId="44" applyFont="1" applyBorder="1" applyAlignment="1" applyProtection="1">
      <alignment horizontal="left" wrapText="1"/>
      <protection locked="0"/>
    </xf>
    <xf numFmtId="0" fontId="32" fillId="0" borderId="16" xfId="44" applyFont="1" applyFill="1" applyBorder="1" applyAlignment="1" applyProtection="1">
      <alignment horizontal="right"/>
    </xf>
    <xf numFmtId="0" fontId="32" fillId="0" borderId="18" xfId="44" applyFont="1" applyBorder="1" applyAlignment="1"/>
    <xf numFmtId="0" fontId="31" fillId="38" borderId="0" xfId="44" applyNumberFormat="1" applyFont="1" applyFill="1" applyAlignment="1" applyProtection="1">
      <alignment horizontal="right" vertical="top" wrapText="1"/>
    </xf>
    <xf numFmtId="0" fontId="31" fillId="38" borderId="0" xfId="44" applyFont="1" applyFill="1" applyAlignment="1" applyProtection="1">
      <alignment horizontal="right" vertical="top" wrapText="1"/>
    </xf>
    <xf numFmtId="165" fontId="19" fillId="36" borderId="16" xfId="44" applyNumberFormat="1" applyFont="1" applyFill="1" applyBorder="1" applyAlignment="1" applyProtection="1">
      <alignment horizontal="left" wrapText="1"/>
      <protection locked="0"/>
    </xf>
    <xf numFmtId="0" fontId="31" fillId="38" borderId="0" xfId="44" applyFont="1" applyFill="1" applyAlignment="1" applyProtection="1">
      <alignment horizontal="right" vertical="top"/>
    </xf>
    <xf numFmtId="0" fontId="31" fillId="38" borderId="0" xfId="44" applyFont="1" applyFill="1" applyBorder="1" applyAlignment="1" applyProtection="1">
      <alignment horizontal="right" vertical="top"/>
    </xf>
    <xf numFmtId="0" fontId="19" fillId="36" borderId="16" xfId="44" applyFont="1" applyFill="1" applyBorder="1" applyAlignment="1" applyProtection="1">
      <alignment horizontal="left" vertical="top" wrapText="1"/>
      <protection locked="0"/>
    </xf>
    <xf numFmtId="0" fontId="31" fillId="35" borderId="19" xfId="44" applyFont="1" applyFill="1" applyBorder="1" applyAlignment="1" applyProtection="1">
      <alignment horizontal="left" vertical="top"/>
    </xf>
    <xf numFmtId="0" fontId="31" fillId="38" borderId="0" xfId="44" applyFont="1" applyFill="1" applyBorder="1" applyAlignment="1" applyProtection="1">
      <alignment horizontal="left" vertical="top"/>
    </xf>
    <xf numFmtId="0" fontId="19" fillId="36" borderId="12" xfId="44" applyFont="1" applyFill="1" applyBorder="1" applyAlignment="1" applyProtection="1">
      <alignment horizontal="left" wrapText="1"/>
      <protection locked="0"/>
    </xf>
    <xf numFmtId="0" fontId="19" fillId="36" borderId="15" xfId="44" applyFont="1" applyFill="1" applyBorder="1" applyAlignment="1" applyProtection="1">
      <alignment horizontal="left" wrapText="1"/>
      <protection locked="0"/>
    </xf>
    <xf numFmtId="0" fontId="31" fillId="35" borderId="16" xfId="44" applyFont="1" applyFill="1" applyBorder="1" applyAlignment="1" applyProtection="1">
      <alignment horizontal="left" vertical="top"/>
    </xf>
    <xf numFmtId="0" fontId="19" fillId="0" borderId="16" xfId="44" applyFont="1" applyBorder="1" applyAlignment="1" applyProtection="1">
      <alignment horizontal="left" wrapText="1"/>
      <protection locked="0"/>
    </xf>
    <xf numFmtId="0" fontId="31" fillId="0" borderId="0" xfId="44" applyFont="1" applyFill="1" applyBorder="1" applyAlignment="1" applyProtection="1">
      <alignment horizontal="right" vertical="top"/>
    </xf>
    <xf numFmtId="0" fontId="19" fillId="0" borderId="0" xfId="44" applyFont="1" applyFill="1" applyBorder="1" applyAlignment="1" applyProtection="1">
      <alignment horizontal="left" wrapText="1"/>
      <protection locked="0"/>
    </xf>
    <xf numFmtId="0" fontId="31" fillId="35" borderId="16" xfId="44" applyFont="1" applyFill="1" applyBorder="1" applyAlignment="1" applyProtection="1">
      <alignment wrapText="1"/>
    </xf>
    <xf numFmtId="0" fontId="31" fillId="38" borderId="0" xfId="44" applyFont="1" applyFill="1" applyBorder="1" applyAlignment="1" applyProtection="1">
      <alignment horizontal="right" wrapText="1"/>
    </xf>
    <xf numFmtId="0" fontId="31" fillId="38" borderId="17" xfId="44" applyFont="1" applyFill="1" applyBorder="1" applyAlignment="1" applyProtection="1">
      <alignment horizontal="right" wrapText="1"/>
    </xf>
    <xf numFmtId="0" fontId="31" fillId="35" borderId="16" xfId="44" applyFont="1" applyFill="1" applyBorder="1" applyAlignment="1" applyProtection="1">
      <alignment vertical="top" wrapText="1"/>
    </xf>
    <xf numFmtId="0" fontId="34" fillId="0" borderId="0" xfId="44" applyFont="1"/>
    <xf numFmtId="0" fontId="19" fillId="0" borderId="0" xfId="44" applyFont="1" applyAlignment="1" applyProtection="1"/>
    <xf numFmtId="0" fontId="19" fillId="0" borderId="0" xfId="44" applyNumberFormat="1" applyFont="1" applyAlignment="1" applyProtection="1">
      <protection locked="0"/>
    </xf>
    <xf numFmtId="0" fontId="19" fillId="0" borderId="0" xfId="44" applyFont="1" applyFill="1" applyAlignment="1" applyProtection="1">
      <alignment vertical="center"/>
      <protection locked="0"/>
    </xf>
    <xf numFmtId="0" fontId="19" fillId="0" borderId="0" xfId="44" applyFont="1" applyAlignment="1" applyProtection="1">
      <alignment vertical="center"/>
      <protection locked="0"/>
    </xf>
    <xf numFmtId="0" fontId="19" fillId="0" borderId="0" xfId="44" applyFont="1" applyAlignment="1" applyProtection="1">
      <alignment horizontal="left"/>
      <protection locked="0"/>
    </xf>
    <xf numFmtId="0" fontId="31" fillId="35" borderId="14" xfId="44" applyFont="1" applyFill="1" applyBorder="1" applyAlignment="1" applyProtection="1">
      <alignment horizontal="left"/>
    </xf>
    <xf numFmtId="0" fontId="19" fillId="35" borderId="13" xfId="44" applyNumberFormat="1" applyFont="1" applyFill="1" applyBorder="1" applyAlignment="1" applyProtection="1">
      <alignment horizontal="left"/>
    </xf>
    <xf numFmtId="0" fontId="31" fillId="35" borderId="11" xfId="44" applyFont="1" applyFill="1" applyBorder="1" applyAlignment="1" applyProtection="1">
      <alignment horizontal="right" wrapText="1"/>
    </xf>
    <xf numFmtId="0" fontId="19" fillId="36" borderId="17" xfId="44" applyFont="1" applyFill="1" applyBorder="1" applyAlignment="1" applyProtection="1">
      <alignment horizontal="left"/>
      <protection locked="0"/>
    </xf>
    <xf numFmtId="0" fontId="19" fillId="34" borderId="18" xfId="44" applyFont="1" applyFill="1" applyBorder="1" applyAlignment="1" applyProtection="1">
      <protection locked="0"/>
    </xf>
    <xf numFmtId="0" fontId="31" fillId="35" borderId="17" xfId="44" applyFont="1" applyFill="1" applyBorder="1" applyAlignment="1" applyProtection="1">
      <alignment horizontal="right"/>
    </xf>
    <xf numFmtId="0" fontId="19" fillId="34" borderId="10" xfId="44" applyFont="1" applyFill="1" applyBorder="1" applyAlignment="1" applyProtection="1">
      <protection locked="0"/>
    </xf>
    <xf numFmtId="0" fontId="31" fillId="0" borderId="0" xfId="44" applyFont="1" applyAlignment="1" applyProtection="1">
      <alignment horizontal="center" vertical="top"/>
    </xf>
    <xf numFmtId="0" fontId="31" fillId="35" borderId="16" xfId="44" applyFont="1" applyFill="1" applyBorder="1" applyAlignment="1" applyProtection="1">
      <alignment horizontal="right" vertical="top"/>
    </xf>
    <xf numFmtId="0" fontId="37" fillId="0" borderId="0" xfId="44" applyFont="1"/>
    <xf numFmtId="0" fontId="31" fillId="38" borderId="16" xfId="44" applyFont="1" applyFill="1" applyBorder="1" applyAlignment="1" applyProtection="1">
      <alignment vertical="center" wrapText="1"/>
    </xf>
    <xf numFmtId="0" fontId="31" fillId="38" borderId="16" xfId="44" applyFont="1" applyFill="1" applyBorder="1" applyAlignment="1" applyProtection="1">
      <alignment horizontal="left" vertical="center" wrapText="1"/>
    </xf>
    <xf numFmtId="0" fontId="31" fillId="0" borderId="0" xfId="44" applyFont="1" applyFill="1" applyBorder="1" applyAlignment="1" applyProtection="1">
      <alignment vertical="center" wrapText="1"/>
    </xf>
    <xf numFmtId="0" fontId="38" fillId="0" borderId="0" xfId="44" applyFont="1"/>
    <xf numFmtId="0" fontId="19" fillId="0" borderId="0" xfId="44" applyFont="1" applyAlignment="1" applyProtection="1">
      <alignment vertical="top" wrapText="1"/>
      <protection locked="0"/>
    </xf>
    <xf numFmtId="0" fontId="19" fillId="0" borderId="0" xfId="44" applyFont="1" applyAlignment="1" applyProtection="1">
      <alignment wrapText="1"/>
      <protection locked="0"/>
    </xf>
    <xf numFmtId="0" fontId="19" fillId="0" borderId="0" xfId="44" applyFont="1" applyAlignment="1">
      <alignment vertical="center" wrapText="1"/>
    </xf>
    <xf numFmtId="0" fontId="19" fillId="0" borderId="0" xfId="44" applyFont="1" applyAlignment="1">
      <alignment vertical="top"/>
    </xf>
    <xf numFmtId="0" fontId="16" fillId="0" borderId="0" xfId="0" applyFont="1" applyFill="1" applyBorder="1" applyAlignment="1">
      <alignment horizontal="center" vertical="center" wrapText="1"/>
    </xf>
    <xf numFmtId="1" fontId="0" fillId="0" borderId="0" xfId="0" applyNumberFormat="1" applyFill="1" applyBorder="1" applyAlignment="1">
      <alignment horizontal="left"/>
    </xf>
    <xf numFmtId="1" fontId="16" fillId="0" borderId="0" xfId="0" applyNumberFormat="1" applyFont="1" applyFill="1" applyBorder="1" applyAlignment="1">
      <alignment horizontal="right" wrapText="1"/>
    </xf>
    <xf numFmtId="0" fontId="16" fillId="0" borderId="0" xfId="0" applyFont="1" applyFill="1" applyBorder="1" applyAlignment="1">
      <alignment horizontal="right" wrapText="1"/>
    </xf>
    <xf numFmtId="2" fontId="16" fillId="0" borderId="0" xfId="0" applyNumberFormat="1" applyFont="1" applyFill="1" applyBorder="1" applyAlignment="1">
      <alignment horizontal="center" wrapText="1"/>
    </xf>
    <xf numFmtId="0" fontId="28" fillId="0" borderId="0" xfId="0" applyFont="1" applyFill="1" applyBorder="1" applyAlignment="1">
      <alignment horizontal="center" wrapText="1"/>
    </xf>
    <xf numFmtId="2" fontId="14" fillId="0" borderId="0" xfId="0" applyNumberFormat="1" applyFont="1" applyFill="1" applyBorder="1"/>
    <xf numFmtId="0" fontId="24" fillId="0" borderId="0" xfId="41" applyNumberFormat="1" applyFont="1" applyFill="1" applyBorder="1" applyAlignment="1">
      <alignment horizontal="center"/>
    </xf>
    <xf numFmtId="0" fontId="33" fillId="0" borderId="17" xfId="50" applyFill="1" applyBorder="1" applyAlignment="1" applyProtection="1">
      <alignment horizontal="left"/>
    </xf>
    <xf numFmtId="0" fontId="31" fillId="0" borderId="0" xfId="44" applyFont="1" applyFill="1" applyBorder="1" applyAlignment="1" applyProtection="1">
      <alignment horizontal="left" wrapText="1"/>
      <protection locked="0"/>
    </xf>
    <xf numFmtId="0" fontId="19" fillId="0" borderId="0" xfId="44" applyFont="1" applyFill="1" applyBorder="1" applyAlignment="1"/>
    <xf numFmtId="0" fontId="47" fillId="0" borderId="0" xfId="44" applyFont="1"/>
    <xf numFmtId="0" fontId="19" fillId="36" borderId="11" xfId="44" applyFont="1" applyFill="1" applyBorder="1" applyAlignment="1" applyProtection="1">
      <alignment horizontal="left"/>
      <protection locked="0"/>
    </xf>
    <xf numFmtId="0" fontId="33" fillId="36" borderId="16" xfId="50" applyFill="1" applyBorder="1" applyAlignment="1" applyProtection="1">
      <alignment horizontal="left" vertical="top" wrapText="1"/>
    </xf>
    <xf numFmtId="0" fontId="31" fillId="38" borderId="0" xfId="44" applyFont="1" applyFill="1" applyBorder="1" applyAlignment="1" applyProtection="1">
      <alignment horizontal="right" vertical="top" wrapText="1"/>
    </xf>
    <xf numFmtId="0" fontId="19" fillId="39" borderId="16" xfId="44" applyFont="1" applyFill="1" applyBorder="1" applyAlignment="1" applyProtection="1">
      <alignment horizontal="center" wrapText="1"/>
      <protection locked="0"/>
    </xf>
    <xf numFmtId="0" fontId="19" fillId="0" borderId="0" xfId="44" applyFont="1" applyAlignment="1" applyProtection="1">
      <alignment horizontal="right" vertical="top"/>
    </xf>
    <xf numFmtId="0" fontId="19" fillId="0" borderId="0" xfId="44"/>
    <xf numFmtId="0" fontId="49" fillId="0" borderId="0" xfId="44" applyFont="1" applyAlignment="1">
      <alignment horizontal="center" wrapText="1"/>
    </xf>
    <xf numFmtId="0" fontId="49" fillId="0" borderId="0" xfId="44" applyFont="1" applyAlignment="1">
      <alignment wrapText="1"/>
    </xf>
    <xf numFmtId="166" fontId="49" fillId="0" borderId="0" xfId="44" applyNumberFormat="1" applyFont="1" applyAlignment="1">
      <alignment wrapText="1"/>
    </xf>
    <xf numFmtId="1" fontId="49" fillId="0" borderId="0" xfId="44" applyNumberFormat="1" applyFont="1" applyAlignment="1">
      <alignment wrapText="1"/>
    </xf>
    <xf numFmtId="0" fontId="50" fillId="0" borderId="0" xfId="44" applyFont="1" applyAlignment="1">
      <alignment horizontal="center" wrapText="1"/>
    </xf>
    <xf numFmtId="0" fontId="33" fillId="0" borderId="0" xfId="50" applyAlignment="1" applyProtection="1"/>
    <xf numFmtId="0" fontId="19" fillId="0" borderId="0" xfId="44" applyAlignment="1"/>
    <xf numFmtId="1" fontId="19" fillId="0" borderId="0" xfId="44" applyNumberFormat="1"/>
    <xf numFmtId="0" fontId="19" fillId="36" borderId="17" xfId="44" applyFont="1" applyFill="1" applyBorder="1" applyAlignment="1" applyProtection="1">
      <alignment horizontal="left" wrapText="1"/>
      <protection locked="0"/>
    </xf>
    <xf numFmtId="0" fontId="19" fillId="0" borderId="18" xfId="44" applyFont="1" applyBorder="1" applyAlignment="1"/>
    <xf numFmtId="0" fontId="31" fillId="0" borderId="0" xfId="44" applyFont="1" applyFill="1" applyBorder="1" applyAlignment="1" applyProtection="1">
      <alignment horizontal="left" wrapText="1"/>
      <protection locked="0"/>
    </xf>
    <xf numFmtId="0" fontId="19" fillId="0" borderId="0" xfId="44" applyFont="1" applyFill="1" applyBorder="1" applyAlignment="1"/>
  </cellXfs>
  <cellStyles count="54">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Followed Hyperlink" xfId="4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hidden="1"/>
    <cellStyle name="Hyperlink" xfId="50" builtinId="8"/>
    <cellStyle name="Input" xfId="9" builtinId="20" customBuiltin="1"/>
    <cellStyle name="Linked Cell" xfId="12" builtinId="24" customBuiltin="1"/>
    <cellStyle name="Neutral" xfId="8" builtinId="28" customBuiltin="1"/>
    <cellStyle name="Normal" xfId="0" builtinId="0"/>
    <cellStyle name="Normal 2" xfId="44"/>
    <cellStyle name="Normal 2 2" xfId="45"/>
    <cellStyle name="Normal 3" xfId="42"/>
    <cellStyle name="Normal 3 2" xfId="53"/>
    <cellStyle name="Normal 4" xfId="41"/>
    <cellStyle name="Normal 5" xfId="48"/>
    <cellStyle name="Normal 5 2" xfId="51"/>
    <cellStyle name="Normal 6" xfId="49"/>
    <cellStyle name="Normal 7" xfId="52"/>
    <cellStyle name="Note 2" xfId="43"/>
    <cellStyle name="Output" xfId="10" builtinId="21" customBuiltin="1"/>
    <cellStyle name="Title" xfId="1" builtinId="15" customBuiltin="1"/>
    <cellStyle name="Total" xfId="16" builtinId="25" customBuiltin="1"/>
    <cellStyle name="Warning Text" xfId="14" builtinId="11" customBuiltin="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2"/>
  <colors>
    <mruColors>
      <color rgb="FFCCFFFF"/>
      <color rgb="FF53E75A"/>
      <color rgb="FFF90D45"/>
      <color rgb="FF00FF00"/>
      <color rgb="FFFF0066"/>
      <color rgb="FFCC66FF"/>
      <color rgb="FFCC0099"/>
      <color rgb="FF990099"/>
      <color rgb="FF660066"/>
      <color rgb="FF80008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15</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A/Ci  curve parameters and modeled carboxylation, electron transport, and triose-phosphate utilization efficiency rates from  shoots clipped from low, mid, and the top of tall, shrub canopies dominated either by Salix pulchra  or Betula nana species.  Six shoots were harvested from each 1m x 1m plot, two from each level in the canopy.  These plots were located near the LTER shrub plots at the Toolik Field Staion, AK for point frame measurements, and all measurements took place the summer of 2012.  The species harvested were chosen based on the species present in each plot, thus the species from each segment of the canopy may not be the same.  Additional information about each shoot can be found in the "PF_ShootLightcurve_Data" and "PF_ShootHarvest_Data" pages, regarding the light response curves, area, mass, leaf area index, and leaf nitrogen content of each shoot.  The file "PF_PercentCover" contains the species cover data for each plot.
 </a:t>
          </a:r>
        </a:p>
      </xdr:txBody>
    </xdr:sp>
    <xdr:clientData fLocksWithSheet="0"/>
  </xdr:twoCellAnchor>
  <xdr:twoCellAnchor>
    <xdr:from>
      <xdr:col>1</xdr:col>
      <xdr:colOff>30480</xdr:colOff>
      <xdr:row>69</xdr:row>
      <xdr:rowOff>17145</xdr:rowOff>
    </xdr:from>
    <xdr:to>
      <xdr:col>6</xdr:col>
      <xdr:colOff>817247</xdr:colOff>
      <xdr:row>222</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HARVEST METHOD: 
The methods for setting up each point frame plot are described below in the section titled "POINT FRAME PIN-DROP METHODS".    The methods here describe how each shoot was harvested from the plots which were used for the point frame method.
Six shoots were harvested from each of 19 1m x 1m point frame plots which were dominated either by Salix pulchra or Betula nana tall, shrub species.  The "shoots" described here are branch clippings between eight to ten inches long.  Whenever possible they were selected for appearing relatively healthy, intact leaves, and each shoot was taken from a different plant.  As these shoots were used for shoot-level and leaf-level measurements, shoots with bi-furcated stems -- or two stems from the same branch/height were cut -- one for leaf-level and the second for shoot-level analyses.
Before being cut, we measured the distance from the point frame to the highest tip on the shoot as well as the distance from the point frame to the shoot five inches from the tip.  This way, we could approximate the angle of the shoot relative to the ground.  Using the same criteria as for the pin-drop measurements, we measured the distance from the top of the shoot to the soil.  In addition, the row number and pin-hole number nearest to the shoot's location with respect to the point frame was also recorded .  
We then measured the leaf area index (LAI) of the shoot by holding an LAI-2000 (Li-Cor Inc., Lincoln, Nebraska, USA) in the exact location where the shoot had been and taking the average of three readings (one above, three below).  For these measurements we used the one-quarter cut out and took care to always hold the instrument level and with the technician's body casting a uniform shadow over the instrument's eye, with the technician standing between the instrument and the sun.  On occasion when it was raining during the shoot harvest, the area near where the shoot had been was marked with flagging tape, and the the LAI measurement was taken at a later date, using the height from frame/distance from ground meausrements as well as the row number and pin hole measurements as a guide.  
Once cut, the shoot was placed immediately into water and transported to the lab.  Once in the lab, the end of each shoot was clipped under water to ensure that there were no air bubbles in the stem that would inhibit the flow of water.  Shoots were then allowed to sit at ambient room conditions (~20-25 degrees Celsius) until the the photosynthetic rates could be measured.
A/Ci CURVE MEASUREMENT:
The A/Ci  curve measurements were taken using a Licor 6400 photosynthesis system (Li-Cor Inc., Lincoln, Nebraska, USA)  with an opaque conifer chamber with red-blue-green (RGB) light source attachment (model number 6400-22L).   The methods for setting up the LI-6400 are detailed  in the ITEX Manual as updated in 2011 as are the procedures for correcting and modeling the A/Ci data. 
Each shoot was oriented in the chamber so that the leaves were facing the RGB light source.  Care was taken to ensure that no leaves were caught between the foam gaskets.  Aditionally, adhesive, mounting tack was  used to ensure a seal around the end of the stem that protruded from the chamber and remained in water for the duration of measurements. 
The A/Ci curve measurements were conducted with the reference light level  set to a constant 1500 umol PAR m-2 s-1.  Each shoot was allowed to acclimate to the chamber conditions for 5-10 minutes or until the Ca:Ci ([CO2]amb to [CO2]internal to  the cell) ratio was stable around ~0.7 +/- 0.1.  The A/Ci curve measurements were taken at the following target chamber CO2 concentrations in the order listed (units are umol CO2):  400, 300, 200, 100, 50, 400, 500, 700, 900, 1300, 1500, 1700, 400.  The shoot was given a minimum of 60 seconds but not more than 180 seconds to adjust to each new CO2 concentration before a measurement was taken, and the instrument matched the reference and sample chambers prior to every measurement.  The block temperature of the infra-red gas analyzer (IRGA) was adjusted throughout the A/Ci measurement to maintain a leaf temperature as near as possible to 20 degrees Celsius.  
Once the measurment was complete, we took a light curve measurement, and then  each shoot was carefully cut from the stem that remained outside the chamber so that only the portion of the shoot inside the chamber remained.  This whole shoot was then photographed for later silhouette-area analysis with Image-J software [See "PF_ShootHarvest_Data" for details].  The leaves, stipules, petioles, green and brown stem, and other plant green organs were then clipped from the shoot, lain flat on a hinged, plexiglass folder, and scanned.  These images were subsequently processed with the Image-J software to calculate the area of each tissue type; the sum of the area of the leaves, petioles, and stipules were used to correct the default area used when taking the light curve measurements.  
Each tissue type was separated, placed in a coin envelope, labeled, and dried at 60 degrees Celsius at least three days before being weighed on a four-point balance with glass enclosure.  The mass of each sample can be found in the "PF_ShootHarvest_Data" file.  
CHN ANALYSIS:
Grinding:  All leaf samples were dried in an oven at 60°C before grinding. Samples were small enough to grind the entire sample without subsampling. Leaves were ground using the Retsch MM 200 for 3 minutes or until a talcum powder consistency was achieved.  
Weighing: After grinding, samples were stored in glass scintillation vials and dried again at 60°C for at least 36 hours. Once samples were removed, vials were tightly re-capped. When not in use, vials were stored in dessicators. 3.5-4.5 mg of each sample was weighed into a 10x12 mm tin capsule. A standard calibration curve was created using increasing amounts of aspartic acid (from about 0.2 mg to 5.0 mg). A chemical standard, acetanilide, and an organic sample, apple leaf, were run after the standard curve. Every ten samples, an aspartic  acid check standard and a duplicate  of an already-packed sample were run. 
CN analysis: CN analysis was run between 10/4/2012 and 11/15/2012 by Rachel Rubin using the ThermoScientific 2000 at the Ecosystems Center, MBL, Woods Hole, MA. Duplicate sample values were averaged (mass, %N and %C) before inclusion into final results.  The CHN data is available in the file "PF_CHN_Data".
CURVE MODELS:
Once corrected for the actual leaf area, the A/Ci curve for each shoot was modelled using the equations and Excel worksheet published by Sharkey et al. (2007).  The equations used in the model are listed below for reference, though the complete model description and worksheet can be found online and downloaded at:  http://www.blackwellpublishing.com/plantsci/pcecalculation/ .
The ITEX manual updated in 2011 also contains a description of how to process the LI-6400 data and use this model for A/Ci curve data.
The equations used in the A/Ci curve model are listed below, as described in Sharkey et al (2007):
Rubisco-limited photosynthesis: 
Where: 
A = rate of photosynthesis (umol CO2 m-2 s-1)
Vcmax = maximum velocity of Rubisco for carboxylation
Cc = partial pressure of CO2 at Rubisco
Kc = Michaelis constant of Rubisco for CO2
Omicron (</a:t>
          </a:r>
          <a:r>
            <a:rPr lang="el-GR"/>
            <a:t>Ο) = </a:t>
          </a:r>
          <a:r>
            <a:rPr lang="en-US"/>
            <a:t>partial pressure of O2 at Rubisco
Ko = inhibition constant (usually taken to be the Michaelis constant) of Rubisco for O2
Rd = rate of respiration (umol CO2 m-2 s-1)
</a:t>
          </a:r>
          <a:r>
            <a:rPr lang="az-Cyrl-AZ"/>
            <a:t>Г* = </a:t>
          </a:r>
          <a:r>
            <a:rPr lang="en-US"/>
            <a:t>CO2 concentration at which oxygenation proceeds at twice the rate of carboxylation, causing photosynthesis rate = respiration rate (photorespiration compensation point)
Rubisco  regeneration-limited photosynthesis: 
Where: 
A = rate of photosynthesis (umol CO2 m-2 s-1)
J = rate of electron transport (assumes 4 electrons / carboxylation and oxygenation)
Cc = partial pressure of CO2 at Rubisco
Rd = rate of respiration (umol CO2 m-2 s-1)
</a:t>
          </a:r>
          <a:r>
            <a:rPr lang="az-Cyrl-AZ"/>
            <a:t>Г* = </a:t>
          </a:r>
          <a:r>
            <a:rPr lang="en-US"/>
            <a:t>CO2 concentration at which oxygenation proceeds at twice the rate of carboxylation, causing photosynthesis rate = respiration rate (photorespiration compensation point)
Triose- phosphate unit (TPU)-limited photosynthes:  
Where: 
A = rate of photosynthesis (umol CO2 m-2 s-1)
TPU = rate of use of triose phosphates (can also be any export of C from the Calvin cycle)
Rd = rate of respiration (umol CO2 m-2 s-1)
Mesophyll Conductance (gm*)
Equations (1 ) - (3) were developed for chloroplast metabolism, and thus a relationship is needed between the chloroplast and leaf-level gas exchange.  This is done through the mesophyll conductance constant calculated with equation (4):
Where: 
Cc = partial pressure of CO2 at Rubisco (Pa)
Ci =  intercellular CO2 concentration (umol CO2)
A = rate of photosynthesis (umol CO2 m-2 s-1)
gm = mesophyll conductance rate (umol CO2 m-2 s-1 Pa-1 )
POINT FRAME PIN-DROP METHODS:
We preferentially selected tall shrub canopies dominated either by Betula nana  or  Salix pulchra, that is canopies that were greater than 75 cm height.  Care was taken to select fairly uniform canopies, that is avoiding the edge of a shrub stand or areas where the canopy had a large gaps, suggesting the area may have been disturbed.
We used  point frames constructed from a 1.1 m x 1.1 m aluminum square with holes in each corner to accomodate steel rod posts used as the legs of the point frame.  In this way, the frame could rest upon the four leg posts that had been hammered into the ground and remain adjustable in each corner.  The frame had a level on each side, and great care was taken to ensure that the frame was (a) unable to be pushed deeper into the ground and, (b) level on all four sides prior to taking measurements.  These factors were important to the measurement to have accurate data regarding the distance from the frame and the overall height of each point sampled in the canopy.
The aluminum frame had numbered, regularly spaced holes on two opposite sides in order to accomodate a metal bar that could be placed across the frame and locked into place.  [These holes on the frame are the row numbers.]  The bar that was placed across the frame similarly had numbered, evenly spaced holes in order to accomodate a pin--a long (100-200cm) metal rod with a diameter of ~3.175 mm.  [The holes on this bar are the pin hole numbers.]  Measurements were only ever taken from odd row numbers, and alternated even/odd  pin hole numbers  with each row; in this way, for every plot 25 evenly spaced locations were sampled covering an area of one square meter. 
The length of the pin was marked every half-centimeter so that the distance could be read easily.  Measurements were made by lowering the pin through a pin hole and, once encountering a leaf or stem, recording the following: row#, pin hole#, hit#, and the species hit. If the object hit was not a leaf, the plant tissue was noted; the diameter of each stem hit was estimated in millimeters, and the length of every graminoid blade hit was recorded from the point at which it was hit to the tip.  As the primary species of interest for this project were for a select number of species (B. nana, S. pulchra, S. glauca, S. reticulata, V. uliginosum, V. vitis, L. palustre), species that were not the target of interest were classified as functional groups--e.g. graminoid spp., forb, moss.
The last pin-hit recorded for each pin hole was always at the "soil" which was considered to be the transition between the green and brown plant material, often in a mossy layer. 
References: 
Sharkey, T.D., Bernacchi, C. J., Farquar, G.D. and Singaas, E.L., 2007. Fitting photosynthetic carbon dioxide response curves for C3 leaves. Plant, Cell and Environment, 30: 1035–1040. doi: 10.1111/j.1365-3040.2007.01710.x
http://www.blackwellpublishing.com/plantsci/pcecalculation/ 
</a:t>
          </a:r>
          <a:br>
            <a:rPr lang="en-US"/>
          </a:br>
          <a:r>
            <a:rPr lang="en-US"/>
            <a:t>ITEX Manual Updated in 2011.
 </a:t>
          </a:r>
        </a:p>
      </xdr:txBody>
    </xdr:sp>
    <xdr:clientData fLocksWithSheet="0"/>
  </xdr:twoCellAnchor>
  <xdr:twoCellAnchor>
    <xdr:from>
      <xdr:col>1</xdr:col>
      <xdr:colOff>19050</xdr:colOff>
      <xdr:row>227</xdr:row>
      <xdr:rowOff>152400</xdr:rowOff>
    </xdr:from>
    <xdr:to>
      <xdr:col>3</xdr:col>
      <xdr:colOff>2076450</xdr:colOff>
      <xdr:row>234</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Sharkey, T.D., Bernacchi, C. J., Farquar, G.D. and Singaas, E.L., 2007. Fitting photosynthetic carbon dioxide response curves for C3 leaves. Plant, Cell and Environment, 30: 1035–1040. doi: 10.1111/j.1365-3040.2007.01710.x
ITEX Manual, updated 2011
 </a:t>
          </a:r>
        </a:p>
      </xdr:txBody>
    </xdr:sp>
    <xdr:clientData fLocksWithSheet="0"/>
  </xdr:twoCellAnchor>
  <xdr:twoCellAnchor>
    <xdr:from>
      <xdr:col>0</xdr:col>
      <xdr:colOff>60960</xdr:colOff>
      <xdr:row>6</xdr:row>
      <xdr:rowOff>38099</xdr:rowOff>
    </xdr:from>
    <xdr:to>
      <xdr:col>0</xdr:col>
      <xdr:colOff>1590790</xdr:colOff>
      <xdr:row>14</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70</xdr:row>
      <xdr:rowOff>121920</xdr:rowOff>
    </xdr:from>
    <xdr:to>
      <xdr:col>0</xdr:col>
      <xdr:colOff>1727751</xdr:colOff>
      <xdr:row>84</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44&amp;amp;urlTail=terrest/tracegas/data/2012_GS_ITEX_PF_ShootACiData.csv" TargetMode="External"/><Relationship Id="rId1" Type="http://schemas.openxmlformats.org/officeDocument/2006/relationships/hyperlink" Target="http://ecosystems.mbl.edu/ARC/meta_template.php?FileName=./terrest/tracegas/xlsfiles/2012_GS_ITEX_PF_ShootACiData.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461"/>
  <sheetViews>
    <sheetView tabSelected="1" zoomScale="96" zoomScaleNormal="96" workbookViewId="0">
      <selection activeCell="B4" sqref="B4"/>
    </sheetView>
  </sheetViews>
  <sheetFormatPr defaultColWidth="8.85546875" defaultRowHeight="12.75" x14ac:dyDescent="0.2"/>
  <cols>
    <col min="1" max="1" width="26.140625" style="119" customWidth="1"/>
    <col min="2" max="2" width="46" style="49" bestFit="1" customWidth="1"/>
    <col min="3" max="4" width="30.7109375" style="55" customWidth="1"/>
    <col min="5" max="9" width="30.7109375" style="52" customWidth="1"/>
    <col min="10" max="16384" width="8.85546875" style="52"/>
  </cols>
  <sheetData>
    <row r="1" spans="1:6" ht="18" x14ac:dyDescent="0.25">
      <c r="A1" s="48" t="s">
        <v>114</v>
      </c>
      <c r="C1" s="50"/>
      <c r="D1" s="51"/>
    </row>
    <row r="2" spans="1:6" hidden="1" x14ac:dyDescent="0.2">
      <c r="A2" s="53" t="s">
        <v>115</v>
      </c>
      <c r="B2" s="54" t="s">
        <v>1855</v>
      </c>
    </row>
    <row r="3" spans="1:6" hidden="1" x14ac:dyDescent="0.2">
      <c r="A3" s="53" t="s">
        <v>116</v>
      </c>
      <c r="B3" s="54">
        <v>2012</v>
      </c>
    </row>
    <row r="4" spans="1:6" hidden="1" x14ac:dyDescent="0.2">
      <c r="A4" s="53" t="s">
        <v>117</v>
      </c>
      <c r="B4" s="128" t="s">
        <v>558</v>
      </c>
      <c r="C4" s="56"/>
    </row>
    <row r="5" spans="1:6" ht="22.5" customHeight="1" x14ac:dyDescent="0.2">
      <c r="A5" s="57" t="s">
        <v>118</v>
      </c>
      <c r="B5" s="146" t="s">
        <v>548</v>
      </c>
      <c r="C5" s="147"/>
      <c r="D5" s="52"/>
    </row>
    <row r="6" spans="1:6" ht="12.75" customHeight="1" x14ac:dyDescent="0.2">
      <c r="A6" s="57" t="s">
        <v>119</v>
      </c>
      <c r="B6" s="52"/>
      <c r="C6" s="52"/>
      <c r="D6" s="52"/>
      <c r="E6" s="58"/>
      <c r="F6" s="58"/>
    </row>
    <row r="7" spans="1:6" s="60" customFormat="1" x14ac:dyDescent="0.2">
      <c r="A7" s="59"/>
      <c r="B7" s="148"/>
      <c r="C7" s="149"/>
      <c r="D7" s="149"/>
    </row>
    <row r="8" spans="1:6" s="60" customFormat="1" x14ac:dyDescent="0.2">
      <c r="A8" s="59"/>
      <c r="B8" s="129"/>
      <c r="C8" s="130"/>
      <c r="D8" s="130"/>
    </row>
    <row r="9" spans="1:6" s="60" customFormat="1" x14ac:dyDescent="0.2">
      <c r="A9" s="59"/>
      <c r="B9" s="129"/>
      <c r="C9" s="130"/>
      <c r="D9" s="130"/>
    </row>
    <row r="10" spans="1:6" s="60" customFormat="1" x14ac:dyDescent="0.2">
      <c r="A10" s="59"/>
      <c r="B10" s="129"/>
      <c r="C10" s="130"/>
      <c r="D10" s="130"/>
    </row>
    <row r="11" spans="1:6" s="60" customFormat="1" x14ac:dyDescent="0.2">
      <c r="A11" s="59"/>
      <c r="B11" s="129"/>
      <c r="C11" s="130"/>
      <c r="D11" s="130"/>
    </row>
    <row r="12" spans="1:6" s="60" customFormat="1" x14ac:dyDescent="0.2">
      <c r="A12" s="59"/>
      <c r="B12" s="61"/>
    </row>
    <row r="13" spans="1:6" s="60" customFormat="1" x14ac:dyDescent="0.2">
      <c r="A13" s="59"/>
      <c r="B13" s="61"/>
    </row>
    <row r="14" spans="1:6" s="60" customFormat="1" x14ac:dyDescent="0.2">
      <c r="A14" s="59"/>
      <c r="B14" s="61"/>
    </row>
    <row r="15" spans="1:6" s="60" customFormat="1" ht="15" x14ac:dyDescent="0.2">
      <c r="A15" s="59"/>
      <c r="B15" s="62"/>
    </row>
    <row r="16" spans="1:6" s="60" customFormat="1" ht="15" x14ac:dyDescent="0.2">
      <c r="A16" s="59"/>
      <c r="B16" s="62"/>
    </row>
    <row r="17" spans="1:9" x14ac:dyDescent="0.2">
      <c r="A17" s="57" t="s">
        <v>120</v>
      </c>
      <c r="B17" s="63" t="s">
        <v>1854</v>
      </c>
    </row>
    <row r="18" spans="1:9" x14ac:dyDescent="0.2">
      <c r="A18" s="64"/>
    </row>
    <row r="19" spans="1:9" x14ac:dyDescent="0.2">
      <c r="A19" s="65" t="s">
        <v>121</v>
      </c>
      <c r="B19" s="66" t="s">
        <v>122</v>
      </c>
      <c r="C19" s="66" t="s">
        <v>123</v>
      </c>
      <c r="D19" s="66" t="s">
        <v>124</v>
      </c>
      <c r="E19" s="66" t="s">
        <v>125</v>
      </c>
      <c r="F19" s="66" t="s">
        <v>126</v>
      </c>
      <c r="G19" s="66" t="s">
        <v>127</v>
      </c>
      <c r="H19" s="66" t="s">
        <v>128</v>
      </c>
      <c r="I19" s="66" t="s">
        <v>129</v>
      </c>
    </row>
    <row r="20" spans="1:9" x14ac:dyDescent="0.2">
      <c r="A20" s="67" t="s">
        <v>130</v>
      </c>
      <c r="B20" s="68" t="s">
        <v>131</v>
      </c>
      <c r="C20" s="68" t="s">
        <v>132</v>
      </c>
      <c r="D20" s="68" t="s">
        <v>132</v>
      </c>
      <c r="E20" s="68" t="s">
        <v>133</v>
      </c>
      <c r="F20" s="68" t="s">
        <v>134</v>
      </c>
      <c r="G20" s="68"/>
      <c r="H20" s="68"/>
      <c r="I20" s="68"/>
    </row>
    <row r="21" spans="1:9" s="69" customFormat="1" x14ac:dyDescent="0.2">
      <c r="A21" s="67" t="s">
        <v>135</v>
      </c>
      <c r="B21" s="68" t="s">
        <v>136</v>
      </c>
      <c r="C21" s="68" t="s">
        <v>137</v>
      </c>
      <c r="D21" s="68" t="s">
        <v>138</v>
      </c>
      <c r="E21" s="68" t="s">
        <v>139</v>
      </c>
      <c r="F21" s="68" t="s">
        <v>140</v>
      </c>
      <c r="G21" s="68"/>
      <c r="H21" s="68"/>
      <c r="I21" s="68"/>
    </row>
    <row r="22" spans="1:9" s="69" customFormat="1" x14ac:dyDescent="0.2">
      <c r="A22" s="67" t="s">
        <v>141</v>
      </c>
      <c r="B22" s="68" t="s">
        <v>142</v>
      </c>
      <c r="C22" s="68" t="s">
        <v>143</v>
      </c>
      <c r="D22" s="68" t="s">
        <v>144</v>
      </c>
      <c r="E22" s="68" t="s">
        <v>145</v>
      </c>
      <c r="F22" s="68" t="s">
        <v>146</v>
      </c>
      <c r="G22" s="68"/>
      <c r="H22" s="68"/>
      <c r="I22" s="68"/>
    </row>
    <row r="23" spans="1:9" s="69" customFormat="1" x14ac:dyDescent="0.2">
      <c r="A23" s="67" t="s">
        <v>147</v>
      </c>
      <c r="B23" s="68" t="s">
        <v>148</v>
      </c>
      <c r="C23" s="68" t="s">
        <v>149</v>
      </c>
      <c r="D23" s="68" t="s">
        <v>150</v>
      </c>
      <c r="E23" s="68" t="s">
        <v>151</v>
      </c>
      <c r="F23" s="68" t="s">
        <v>152</v>
      </c>
      <c r="G23" s="68"/>
      <c r="H23" s="68"/>
      <c r="I23" s="68"/>
    </row>
    <row r="24" spans="1:9" s="69" customFormat="1" ht="25.5" x14ac:dyDescent="0.2">
      <c r="A24" s="67" t="s">
        <v>153</v>
      </c>
      <c r="B24" s="68" t="s">
        <v>154</v>
      </c>
      <c r="C24" s="68" t="s">
        <v>154</v>
      </c>
      <c r="D24" s="68" t="s">
        <v>155</v>
      </c>
      <c r="E24" s="68" t="s">
        <v>154</v>
      </c>
      <c r="F24" s="68" t="s">
        <v>154</v>
      </c>
      <c r="G24" s="68"/>
      <c r="H24" s="68"/>
      <c r="I24" s="68"/>
    </row>
    <row r="25" spans="1:9" s="69" customFormat="1" x14ac:dyDescent="0.2">
      <c r="A25" s="67" t="s">
        <v>156</v>
      </c>
      <c r="B25" s="68" t="s">
        <v>157</v>
      </c>
      <c r="C25" s="68" t="s">
        <v>157</v>
      </c>
      <c r="D25" s="68" t="s">
        <v>158</v>
      </c>
      <c r="E25" s="68" t="s">
        <v>157</v>
      </c>
      <c r="F25" s="68" t="s">
        <v>157</v>
      </c>
      <c r="G25" s="68"/>
      <c r="H25" s="68"/>
      <c r="I25" s="68"/>
    </row>
    <row r="26" spans="1:9" s="69" customFormat="1" x14ac:dyDescent="0.2">
      <c r="A26" s="67" t="s">
        <v>159</v>
      </c>
      <c r="B26" s="68"/>
      <c r="C26" s="68"/>
      <c r="D26" s="68" t="s">
        <v>160</v>
      </c>
      <c r="E26" s="68"/>
      <c r="F26" s="68"/>
      <c r="G26" s="68"/>
      <c r="H26" s="68"/>
      <c r="I26" s="68"/>
    </row>
    <row r="27" spans="1:9" s="69" customFormat="1" x14ac:dyDescent="0.2">
      <c r="A27" s="67" t="s">
        <v>161</v>
      </c>
      <c r="B27" s="68" t="s">
        <v>162</v>
      </c>
      <c r="C27" s="68" t="s">
        <v>162</v>
      </c>
      <c r="D27" s="68" t="s">
        <v>163</v>
      </c>
      <c r="E27" s="68" t="s">
        <v>162</v>
      </c>
      <c r="F27" s="68" t="s">
        <v>162</v>
      </c>
      <c r="G27" s="68"/>
      <c r="H27" s="68"/>
      <c r="I27" s="68"/>
    </row>
    <row r="28" spans="1:9" s="69" customFormat="1" x14ac:dyDescent="0.2">
      <c r="A28" s="67" t="s">
        <v>164</v>
      </c>
      <c r="B28" s="68" t="s">
        <v>165</v>
      </c>
      <c r="C28" s="68" t="s">
        <v>165</v>
      </c>
      <c r="D28" s="68"/>
      <c r="E28" s="68" t="s">
        <v>165</v>
      </c>
      <c r="F28" s="68" t="s">
        <v>165</v>
      </c>
      <c r="G28" s="68"/>
      <c r="H28" s="68"/>
      <c r="I28" s="68"/>
    </row>
    <row r="29" spans="1:9" s="69" customFormat="1" x14ac:dyDescent="0.2">
      <c r="A29" s="67" t="s">
        <v>166</v>
      </c>
      <c r="B29" s="68" t="s">
        <v>167</v>
      </c>
      <c r="C29" s="68" t="s">
        <v>167</v>
      </c>
      <c r="D29" s="68" t="s">
        <v>168</v>
      </c>
      <c r="E29" s="68" t="s">
        <v>167</v>
      </c>
      <c r="F29" s="68" t="s">
        <v>167</v>
      </c>
      <c r="G29" s="68"/>
      <c r="H29" s="68"/>
      <c r="I29" s="68"/>
    </row>
    <row r="30" spans="1:9" s="69" customFormat="1" x14ac:dyDescent="0.2">
      <c r="A30" s="67" t="s">
        <v>169</v>
      </c>
      <c r="B30" s="68" t="s">
        <v>170</v>
      </c>
      <c r="C30" s="68" t="s">
        <v>170</v>
      </c>
      <c r="D30" s="68" t="s">
        <v>171</v>
      </c>
      <c r="E30" s="68" t="s">
        <v>170</v>
      </c>
      <c r="F30" s="68" t="s">
        <v>170</v>
      </c>
      <c r="G30" s="68"/>
      <c r="H30" s="68"/>
      <c r="I30" s="68"/>
    </row>
    <row r="31" spans="1:9" x14ac:dyDescent="0.2">
      <c r="A31" s="70"/>
      <c r="B31" s="71"/>
      <c r="C31" s="72"/>
    </row>
    <row r="32" spans="1:9" x14ac:dyDescent="0.2">
      <c r="A32" s="73"/>
    </row>
    <row r="33" spans="1:9" x14ac:dyDescent="0.2">
      <c r="A33" s="74" t="s">
        <v>172</v>
      </c>
      <c r="B33" s="75"/>
    </row>
    <row r="34" spans="1:9" hidden="1" x14ac:dyDescent="0.2">
      <c r="A34" s="76" t="s">
        <v>173</v>
      </c>
      <c r="B34" s="128" t="s">
        <v>559</v>
      </c>
      <c r="C34" s="77"/>
    </row>
    <row r="35" spans="1:9" x14ac:dyDescent="0.2">
      <c r="A35" s="78" t="s">
        <v>174</v>
      </c>
      <c r="B35" s="63" t="s">
        <v>549</v>
      </c>
    </row>
    <row r="36" spans="1:9" x14ac:dyDescent="0.2">
      <c r="A36" s="79" t="s">
        <v>175</v>
      </c>
      <c r="B36" s="80">
        <v>41083</v>
      </c>
    </row>
    <row r="37" spans="1:9" x14ac:dyDescent="0.2">
      <c r="A37" s="79" t="s">
        <v>176</v>
      </c>
      <c r="B37" s="80">
        <v>41128</v>
      </c>
    </row>
    <row r="38" spans="1:9" x14ac:dyDescent="0.2">
      <c r="A38" s="81" t="s">
        <v>177</v>
      </c>
      <c r="B38" s="63">
        <v>115</v>
      </c>
    </row>
    <row r="39" spans="1:9" ht="267.75" x14ac:dyDescent="0.2">
      <c r="A39" s="81" t="s">
        <v>178</v>
      </c>
      <c r="B39" s="63" t="s">
        <v>555</v>
      </c>
    </row>
    <row r="40" spans="1:9" x14ac:dyDescent="0.2">
      <c r="A40" s="81" t="s">
        <v>179</v>
      </c>
      <c r="B40" s="63">
        <v>1</v>
      </c>
    </row>
    <row r="41" spans="1:9" x14ac:dyDescent="0.2">
      <c r="A41" s="82" t="s">
        <v>180</v>
      </c>
      <c r="B41" s="63"/>
    </row>
    <row r="42" spans="1:9" ht="51" x14ac:dyDescent="0.2">
      <c r="A42" s="82" t="s">
        <v>181</v>
      </c>
      <c r="B42" s="63" t="s">
        <v>508</v>
      </c>
    </row>
    <row r="43" spans="1:9" ht="25.5" x14ac:dyDescent="0.2">
      <c r="A43" s="81" t="s">
        <v>182</v>
      </c>
      <c r="B43" s="63" t="s">
        <v>560</v>
      </c>
    </row>
    <row r="44" spans="1:9" ht="25.5" x14ac:dyDescent="0.2">
      <c r="A44" s="81"/>
      <c r="B44" s="63" t="s">
        <v>1850</v>
      </c>
    </row>
    <row r="45" spans="1:9" ht="25.5" x14ac:dyDescent="0.2">
      <c r="A45" s="81"/>
      <c r="B45" s="63" t="s">
        <v>1851</v>
      </c>
    </row>
    <row r="46" spans="1:9" ht="25.5" x14ac:dyDescent="0.2">
      <c r="A46" s="81"/>
      <c r="B46" s="63" t="s">
        <v>1853</v>
      </c>
    </row>
    <row r="47" spans="1:9" x14ac:dyDescent="0.2">
      <c r="A47" s="81"/>
      <c r="B47" s="63"/>
    </row>
    <row r="48" spans="1:9" x14ac:dyDescent="0.2">
      <c r="A48" s="136"/>
      <c r="I48" s="52" t="s">
        <v>183</v>
      </c>
    </row>
    <row r="49" spans="1:19" x14ac:dyDescent="0.2">
      <c r="A49" s="74" t="s">
        <v>184</v>
      </c>
    </row>
    <row r="50" spans="1:19" x14ac:dyDescent="0.2">
      <c r="A50" s="82" t="s">
        <v>552</v>
      </c>
      <c r="B50" s="135" t="s">
        <v>553</v>
      </c>
      <c r="C50" s="135" t="s">
        <v>554</v>
      </c>
      <c r="D50" s="135" t="s">
        <v>580</v>
      </c>
      <c r="E50" s="135" t="s">
        <v>580</v>
      </c>
      <c r="F50" s="135" t="s">
        <v>580</v>
      </c>
      <c r="G50" s="135" t="s">
        <v>580</v>
      </c>
      <c r="H50" s="135" t="s">
        <v>580</v>
      </c>
      <c r="I50" s="135" t="s">
        <v>580</v>
      </c>
      <c r="J50" s="55"/>
      <c r="K50" s="55"/>
      <c r="L50" s="55"/>
      <c r="M50" s="55"/>
      <c r="N50" s="55"/>
      <c r="O50" s="55"/>
      <c r="P50" s="55"/>
      <c r="Q50" s="55"/>
    </row>
    <row r="51" spans="1:19" ht="165.75" x14ac:dyDescent="0.2">
      <c r="A51" s="134" t="s">
        <v>185</v>
      </c>
      <c r="B51" s="83" t="s">
        <v>579</v>
      </c>
      <c r="C51" s="83" t="s">
        <v>186</v>
      </c>
      <c r="D51" s="83" t="str">
        <f t="shared" ref="D51:I51" si="0">IF(ISNA(INDEX(Sites,MATCH(D50,Site_name,0),3)),"Enter Description", INDEX(Sites,MATCH(D50,Site_name,0),3))</f>
        <v>Enter Description</v>
      </c>
      <c r="E51" s="83" t="str">
        <f t="shared" si="0"/>
        <v>Enter Description</v>
      </c>
      <c r="F51" s="83" t="str">
        <f t="shared" si="0"/>
        <v>Enter Description</v>
      </c>
      <c r="G51" s="83" t="str">
        <f t="shared" si="0"/>
        <v>Enter Description</v>
      </c>
      <c r="H51" s="83" t="str">
        <f t="shared" si="0"/>
        <v>Enter Description</v>
      </c>
      <c r="I51" s="83" t="str">
        <f t="shared" si="0"/>
        <v>Enter Description</v>
      </c>
      <c r="J51" s="55"/>
      <c r="K51" s="55"/>
      <c r="L51" s="55"/>
      <c r="M51" s="55"/>
      <c r="N51" s="55"/>
      <c r="O51" s="55"/>
    </row>
    <row r="52" spans="1:19" x14ac:dyDescent="0.2">
      <c r="A52" s="84" t="s">
        <v>187</v>
      </c>
      <c r="C52" s="49"/>
      <c r="D52" s="49"/>
      <c r="E52" s="49"/>
      <c r="F52" s="49"/>
      <c r="G52" s="49"/>
      <c r="H52" s="49"/>
      <c r="I52" s="49"/>
    </row>
    <row r="53" spans="1:19" x14ac:dyDescent="0.2">
      <c r="A53" s="85" t="s">
        <v>188</v>
      </c>
      <c r="B53" s="63"/>
      <c r="C53" s="63"/>
      <c r="D53" s="63"/>
      <c r="E53" s="63"/>
      <c r="F53" s="63"/>
      <c r="G53" s="63"/>
      <c r="H53" s="63"/>
      <c r="I53" s="63"/>
      <c r="J53" s="55"/>
      <c r="K53" s="55"/>
      <c r="L53" s="55"/>
      <c r="M53" s="55"/>
      <c r="N53" s="55"/>
      <c r="O53" s="55"/>
      <c r="P53" s="55"/>
      <c r="Q53" s="55"/>
      <c r="R53" s="55"/>
      <c r="S53" s="55"/>
    </row>
    <row r="54" spans="1:19" x14ac:dyDescent="0.2">
      <c r="A54" s="85" t="s">
        <v>189</v>
      </c>
      <c r="B54" s="86"/>
      <c r="C54" s="86"/>
      <c r="D54" s="86"/>
      <c r="E54" s="86"/>
      <c r="F54" s="86"/>
      <c r="G54" s="86"/>
      <c r="H54" s="86"/>
      <c r="I54" s="86"/>
      <c r="J54" s="55"/>
      <c r="K54" s="55"/>
      <c r="L54" s="55"/>
      <c r="M54" s="55"/>
      <c r="N54" s="55"/>
      <c r="O54" s="55"/>
      <c r="P54" s="55"/>
      <c r="Q54" s="55"/>
      <c r="R54" s="55"/>
      <c r="S54" s="55"/>
    </row>
    <row r="55" spans="1:19" x14ac:dyDescent="0.2">
      <c r="A55" s="85" t="s">
        <v>190</v>
      </c>
      <c r="B55" s="63"/>
      <c r="C55" s="63"/>
      <c r="D55" s="63"/>
      <c r="E55" s="63"/>
      <c r="F55" s="63"/>
      <c r="G55" s="63"/>
      <c r="H55" s="63"/>
      <c r="I55" s="63"/>
      <c r="J55" s="55"/>
      <c r="K55" s="55"/>
      <c r="L55" s="55"/>
      <c r="M55" s="55"/>
      <c r="N55" s="55"/>
      <c r="O55" s="55"/>
      <c r="P55" s="55"/>
      <c r="Q55" s="55"/>
      <c r="R55" s="55"/>
      <c r="S55" s="55"/>
    </row>
    <row r="56" spans="1:19" x14ac:dyDescent="0.2">
      <c r="A56" s="85" t="s">
        <v>191</v>
      </c>
      <c r="B56" s="87"/>
      <c r="C56" s="87"/>
      <c r="D56" s="87"/>
      <c r="E56" s="87"/>
      <c r="F56" s="87"/>
      <c r="G56" s="87"/>
      <c r="H56" s="87"/>
      <c r="I56" s="87"/>
      <c r="J56" s="55"/>
      <c r="K56" s="55"/>
      <c r="L56" s="55"/>
      <c r="M56" s="55"/>
      <c r="N56" s="55"/>
      <c r="O56" s="55"/>
      <c r="P56" s="55"/>
      <c r="Q56" s="55"/>
      <c r="R56" s="55"/>
      <c r="S56" s="55"/>
    </row>
    <row r="57" spans="1:19" x14ac:dyDescent="0.2">
      <c r="A57" s="88" t="s">
        <v>192</v>
      </c>
      <c r="B57" s="89"/>
      <c r="C57" s="89"/>
      <c r="D57" s="89"/>
      <c r="E57" s="89"/>
      <c r="F57" s="89"/>
      <c r="G57" s="89"/>
      <c r="H57" s="89"/>
      <c r="I57" s="89"/>
    </row>
    <row r="58" spans="1:19" x14ac:dyDescent="0.2">
      <c r="A58" s="82" t="s">
        <v>193</v>
      </c>
      <c r="B58" s="83">
        <v>68.638555555555499</v>
      </c>
      <c r="C58" s="83">
        <v>68.635583333333301</v>
      </c>
      <c r="D58" s="83" t="str">
        <f t="shared" ref="D58:I58" si="1">IF(ISNA(INDEX(Sites,MATCH(D50,Site_name,0),4)),"In Decimal Degrees", INDEX(Sites,MATCH(D50,Site_name,0),4))</f>
        <v>In Decimal Degrees</v>
      </c>
      <c r="E58" s="83" t="str">
        <f t="shared" si="1"/>
        <v>In Decimal Degrees</v>
      </c>
      <c r="F58" s="83" t="str">
        <f t="shared" si="1"/>
        <v>In Decimal Degrees</v>
      </c>
      <c r="G58" s="83" t="str">
        <f t="shared" si="1"/>
        <v>In Decimal Degrees</v>
      </c>
      <c r="H58" s="83" t="str">
        <f t="shared" si="1"/>
        <v>In Decimal Degrees</v>
      </c>
      <c r="I58" s="83" t="str">
        <f t="shared" si="1"/>
        <v>In Decimal Degrees</v>
      </c>
      <c r="J58" s="55"/>
      <c r="K58" s="55"/>
      <c r="L58" s="55"/>
      <c r="M58" s="55"/>
      <c r="N58" s="55"/>
      <c r="O58" s="55"/>
      <c r="P58" s="55"/>
      <c r="Q58" s="55"/>
    </row>
    <row r="59" spans="1:19" x14ac:dyDescent="0.2">
      <c r="A59" s="82" t="s">
        <v>194</v>
      </c>
      <c r="B59" s="83">
        <v>-149.56866666666599</v>
      </c>
      <c r="C59" s="83">
        <v>-149.588083333333</v>
      </c>
      <c r="D59" s="83" t="str">
        <f t="shared" ref="D59:I59" si="2">IF(ISNA(INDEX(Sites,MATCH(D50,Site_name,0),5)),"In Decimal Degrees", INDEX(Sites,MATCH(D50,Site_name,0),5))</f>
        <v>In Decimal Degrees</v>
      </c>
      <c r="E59" s="83" t="str">
        <f t="shared" si="2"/>
        <v>In Decimal Degrees</v>
      </c>
      <c r="F59" s="83" t="str">
        <f t="shared" si="2"/>
        <v>In Decimal Degrees</v>
      </c>
      <c r="G59" s="83" t="str">
        <f t="shared" si="2"/>
        <v>In Decimal Degrees</v>
      </c>
      <c r="H59" s="83" t="str">
        <f t="shared" si="2"/>
        <v>In Decimal Degrees</v>
      </c>
      <c r="I59" s="83" t="str">
        <f t="shared" si="2"/>
        <v>In Decimal Degrees</v>
      </c>
      <c r="J59" s="55"/>
      <c r="K59" s="55"/>
      <c r="L59" s="55"/>
      <c r="M59" s="55"/>
      <c r="N59" s="55"/>
      <c r="O59" s="55"/>
      <c r="P59" s="55"/>
      <c r="Q59" s="55"/>
    </row>
    <row r="60" spans="1:19" x14ac:dyDescent="0.2">
      <c r="A60" s="82" t="s">
        <v>195</v>
      </c>
      <c r="B60" s="83" t="s">
        <v>550</v>
      </c>
      <c r="C60" s="83" t="s">
        <v>551</v>
      </c>
      <c r="D60" s="83" t="str">
        <f t="shared" ref="D60:I60" si="3">IF(ISNA(INDEX(Sites,MATCH(D50,Site_name,0),6)),"In Meters", INDEX(Sites,MATCH(D50,Site_name,0),6))</f>
        <v>In Meters</v>
      </c>
      <c r="E60" s="83" t="str">
        <f t="shared" si="3"/>
        <v>In Meters</v>
      </c>
      <c r="F60" s="83" t="str">
        <f t="shared" si="3"/>
        <v>In Meters</v>
      </c>
      <c r="G60" s="83" t="str">
        <f t="shared" si="3"/>
        <v>In Meters</v>
      </c>
      <c r="H60" s="83" t="str">
        <f t="shared" si="3"/>
        <v>In Meters</v>
      </c>
      <c r="I60" s="83" t="str">
        <f t="shared" si="3"/>
        <v>In Meters</v>
      </c>
      <c r="J60" s="55"/>
      <c r="K60" s="55"/>
      <c r="L60" s="55"/>
      <c r="M60" s="55"/>
      <c r="N60" s="55"/>
      <c r="O60" s="55"/>
      <c r="P60" s="55"/>
      <c r="Q60" s="55"/>
    </row>
    <row r="61" spans="1:19" x14ac:dyDescent="0.2">
      <c r="A61" s="82" t="s">
        <v>578</v>
      </c>
      <c r="B61" s="133" t="str">
        <f t="shared" ref="B61:I61" si="4">IF(ISNUMBER(B$58),HYPERLINK("http://maps.google.com/maps?q="&amp;B58&amp;","&amp;B59,"View on Google Map"),"")</f>
        <v>View on Google Map</v>
      </c>
      <c r="C61" s="133" t="str">
        <f t="shared" si="4"/>
        <v>View on Google Map</v>
      </c>
      <c r="D61" s="133" t="str">
        <f t="shared" si="4"/>
        <v/>
      </c>
      <c r="E61" s="133" t="str">
        <f t="shared" si="4"/>
        <v/>
      </c>
      <c r="F61" s="133" t="str">
        <f t="shared" si="4"/>
        <v/>
      </c>
      <c r="G61" s="133" t="str">
        <f t="shared" si="4"/>
        <v/>
      </c>
      <c r="H61" s="133" t="str">
        <f t="shared" si="4"/>
        <v/>
      </c>
      <c r="I61" s="133" t="str">
        <f t="shared" si="4"/>
        <v/>
      </c>
    </row>
    <row r="62" spans="1:19" x14ac:dyDescent="0.2">
      <c r="A62" s="90"/>
      <c r="B62" s="91"/>
      <c r="C62" s="91"/>
      <c r="D62" s="91"/>
    </row>
    <row r="63" spans="1:19" x14ac:dyDescent="0.2">
      <c r="A63" s="92" t="s">
        <v>196</v>
      </c>
      <c r="B63" s="91"/>
      <c r="C63" s="72"/>
    </row>
    <row r="64" spans="1:19" x14ac:dyDescent="0.2">
      <c r="A64" s="93" t="s">
        <v>197</v>
      </c>
      <c r="B64" s="63" t="s">
        <v>198</v>
      </c>
      <c r="C64" s="55" t="s">
        <v>199</v>
      </c>
    </row>
    <row r="65" spans="1:2" x14ac:dyDescent="0.2">
      <c r="A65" s="70"/>
    </row>
    <row r="66" spans="1:2" x14ac:dyDescent="0.2">
      <c r="A66" s="92" t="s">
        <v>200</v>
      </c>
    </row>
    <row r="67" spans="1:2" ht="38.25" x14ac:dyDescent="0.2">
      <c r="A67" s="94" t="s">
        <v>201</v>
      </c>
      <c r="B67" s="63" t="s">
        <v>463</v>
      </c>
    </row>
    <row r="68" spans="1:2" x14ac:dyDescent="0.2">
      <c r="A68" s="90"/>
      <c r="B68" s="91"/>
    </row>
    <row r="69" spans="1:2" s="60" customFormat="1" ht="15" x14ac:dyDescent="0.2">
      <c r="A69" s="59"/>
      <c r="B69" s="62"/>
    </row>
    <row r="70" spans="1:2" ht="15" x14ac:dyDescent="0.2">
      <c r="A70" s="95" t="s">
        <v>202</v>
      </c>
      <c r="B70" s="96"/>
    </row>
    <row r="71" spans="1:2" s="60" customFormat="1" x14ac:dyDescent="0.2">
      <c r="A71" s="97"/>
    </row>
    <row r="72" spans="1:2" s="60" customFormat="1" x14ac:dyDescent="0.2">
      <c r="A72" s="59"/>
      <c r="B72" s="98"/>
    </row>
    <row r="73" spans="1:2" s="60" customFormat="1" x14ac:dyDescent="0.2">
      <c r="A73" s="59"/>
    </row>
    <row r="74" spans="1:2" s="60" customFormat="1" x14ac:dyDescent="0.2">
      <c r="A74" s="59"/>
    </row>
    <row r="75" spans="1:2" s="60" customFormat="1" x14ac:dyDescent="0.2">
      <c r="A75" s="59"/>
    </row>
    <row r="76" spans="1:2" s="60" customFormat="1" x14ac:dyDescent="0.2">
      <c r="A76" s="59"/>
    </row>
    <row r="77" spans="1:2" s="60" customFormat="1" x14ac:dyDescent="0.2">
      <c r="A77" s="59"/>
    </row>
    <row r="78" spans="1:2" s="60" customFormat="1" x14ac:dyDescent="0.2">
      <c r="A78" s="59"/>
    </row>
    <row r="79" spans="1:2" s="60" customFormat="1" x14ac:dyDescent="0.2">
      <c r="A79" s="59"/>
    </row>
    <row r="80" spans="1:2" s="60" customFormat="1" x14ac:dyDescent="0.2">
      <c r="A80" s="59"/>
    </row>
    <row r="81" spans="1:2" s="60" customFormat="1" x14ac:dyDescent="0.2">
      <c r="A81" s="59"/>
    </row>
    <row r="82" spans="1:2" s="60" customFormat="1" x14ac:dyDescent="0.2">
      <c r="A82" s="59"/>
    </row>
    <row r="83" spans="1:2" s="60" customFormat="1" x14ac:dyDescent="0.2">
      <c r="A83" s="59"/>
    </row>
    <row r="84" spans="1:2" s="60" customFormat="1" x14ac:dyDescent="0.2">
      <c r="A84" s="59"/>
    </row>
    <row r="85" spans="1:2" s="60" customFormat="1" x14ac:dyDescent="0.2">
      <c r="A85" s="59"/>
    </row>
    <row r="86" spans="1:2" s="60" customFormat="1" x14ac:dyDescent="0.2">
      <c r="A86" s="59"/>
    </row>
    <row r="87" spans="1:2" s="60" customFormat="1" x14ac:dyDescent="0.2">
      <c r="A87" s="59"/>
    </row>
    <row r="88" spans="1:2" s="60" customFormat="1" x14ac:dyDescent="0.2">
      <c r="A88" s="59"/>
    </row>
    <row r="89" spans="1:2" s="60" customFormat="1" x14ac:dyDescent="0.2">
      <c r="A89" s="59"/>
    </row>
    <row r="90" spans="1:2" s="60" customFormat="1" x14ac:dyDescent="0.2">
      <c r="A90" s="59"/>
    </row>
    <row r="91" spans="1:2" s="60" customFormat="1" x14ac:dyDescent="0.2">
      <c r="A91" s="59"/>
    </row>
    <row r="92" spans="1:2" s="60" customFormat="1" x14ac:dyDescent="0.2">
      <c r="A92" s="59"/>
    </row>
    <row r="93" spans="1:2" s="60" customFormat="1" x14ac:dyDescent="0.2">
      <c r="A93" s="59"/>
    </row>
    <row r="94" spans="1:2" s="60" customFormat="1" x14ac:dyDescent="0.2">
      <c r="A94" s="59"/>
    </row>
    <row r="95" spans="1:2" s="60" customFormat="1" x14ac:dyDescent="0.2">
      <c r="A95" s="59"/>
      <c r="B95" s="61"/>
    </row>
    <row r="96" spans="1:2" s="60" customFormat="1" x14ac:dyDescent="0.2">
      <c r="A96" s="59"/>
      <c r="B96" s="61"/>
    </row>
    <row r="97" spans="1:10" s="60" customFormat="1" x14ac:dyDescent="0.2">
      <c r="A97" s="59"/>
      <c r="B97" s="61"/>
    </row>
    <row r="98" spans="1:10" s="100" customFormat="1" x14ac:dyDescent="0.2">
      <c r="A98" s="59"/>
      <c r="B98" s="61"/>
      <c r="C98" s="60"/>
      <c r="D98" s="60"/>
      <c r="E98" s="60"/>
      <c r="F98" s="60"/>
      <c r="G98" s="60"/>
      <c r="H98" s="60"/>
      <c r="I98" s="60"/>
      <c r="J98" s="99"/>
    </row>
    <row r="99" spans="1:10" s="60" customFormat="1" x14ac:dyDescent="0.2">
      <c r="A99" s="59"/>
      <c r="B99" s="61"/>
    </row>
    <row r="100" spans="1:10" s="60" customFormat="1" x14ac:dyDescent="0.2">
      <c r="A100" s="59"/>
      <c r="B100" s="61"/>
    </row>
    <row r="101" spans="1:10" s="60" customFormat="1" x14ac:dyDescent="0.2">
      <c r="A101" s="59"/>
      <c r="B101" s="61"/>
    </row>
    <row r="102" spans="1:10" s="60" customFormat="1" x14ac:dyDescent="0.2">
      <c r="A102" s="59"/>
      <c r="B102" s="61"/>
    </row>
    <row r="103" spans="1:10" s="60" customFormat="1" x14ac:dyDescent="0.2">
      <c r="A103" s="59"/>
      <c r="B103" s="61"/>
    </row>
    <row r="104" spans="1:10" s="60" customFormat="1" x14ac:dyDescent="0.2">
      <c r="A104" s="59"/>
      <c r="B104" s="61"/>
    </row>
    <row r="105" spans="1:10" s="60" customFormat="1" x14ac:dyDescent="0.2">
      <c r="A105" s="59"/>
      <c r="B105" s="61"/>
    </row>
    <row r="106" spans="1:10" s="60" customFormat="1" x14ac:dyDescent="0.2">
      <c r="A106" s="59"/>
      <c r="B106" s="61"/>
    </row>
    <row r="107" spans="1:10" s="60" customFormat="1" x14ac:dyDescent="0.2">
      <c r="A107" s="59"/>
      <c r="B107" s="61"/>
    </row>
    <row r="108" spans="1:10" s="60" customFormat="1" x14ac:dyDescent="0.2">
      <c r="A108" s="59"/>
      <c r="B108" s="61"/>
    </row>
    <row r="109" spans="1:10" s="60" customFormat="1" x14ac:dyDescent="0.2">
      <c r="A109" s="59"/>
      <c r="B109" s="61"/>
    </row>
    <row r="110" spans="1:10" s="60" customFormat="1" x14ac:dyDescent="0.2">
      <c r="A110" s="59"/>
      <c r="B110" s="61"/>
    </row>
    <row r="111" spans="1:10" s="60" customFormat="1" x14ac:dyDescent="0.2">
      <c r="A111" s="59"/>
      <c r="B111" s="61"/>
    </row>
    <row r="112" spans="1:10" s="60" customFormat="1" x14ac:dyDescent="0.2">
      <c r="A112" s="59"/>
      <c r="B112" s="61"/>
    </row>
    <row r="113" spans="1:2" s="60" customFormat="1" x14ac:dyDescent="0.2">
      <c r="A113" s="59"/>
      <c r="B113" s="61"/>
    </row>
    <row r="114" spans="1:2" s="60" customFormat="1" x14ac:dyDescent="0.2">
      <c r="A114" s="59"/>
      <c r="B114" s="61"/>
    </row>
    <row r="115" spans="1:2" s="60" customFormat="1" x14ac:dyDescent="0.2">
      <c r="A115" s="59"/>
      <c r="B115" s="61"/>
    </row>
    <row r="116" spans="1:2" s="60" customFormat="1" x14ac:dyDescent="0.2">
      <c r="A116" s="59"/>
      <c r="B116" s="61"/>
    </row>
    <row r="117" spans="1:2" s="60" customFormat="1" x14ac:dyDescent="0.2">
      <c r="A117" s="59"/>
      <c r="B117" s="61"/>
    </row>
    <row r="118" spans="1:2" s="60" customFormat="1" x14ac:dyDescent="0.2">
      <c r="A118" s="59"/>
      <c r="B118" s="61"/>
    </row>
    <row r="119" spans="1:2" s="60" customFormat="1" x14ac:dyDescent="0.2">
      <c r="A119" s="59"/>
      <c r="B119" s="61"/>
    </row>
    <row r="120" spans="1:2" s="60" customFormat="1" x14ac:dyDescent="0.2">
      <c r="A120" s="59"/>
      <c r="B120" s="61"/>
    </row>
    <row r="121" spans="1:2" s="60" customFormat="1" x14ac:dyDescent="0.2">
      <c r="A121" s="59"/>
      <c r="B121" s="61"/>
    </row>
    <row r="122" spans="1:2" s="60" customFormat="1" x14ac:dyDescent="0.2">
      <c r="A122" s="59"/>
      <c r="B122" s="61"/>
    </row>
    <row r="123" spans="1:2" s="60" customFormat="1" x14ac:dyDescent="0.2">
      <c r="A123" s="59"/>
      <c r="B123" s="61"/>
    </row>
    <row r="124" spans="1:2" s="60" customFormat="1" x14ac:dyDescent="0.2">
      <c r="A124" s="59"/>
      <c r="B124" s="61"/>
    </row>
    <row r="125" spans="1:2" s="60" customFormat="1" x14ac:dyDescent="0.2">
      <c r="A125" s="59"/>
      <c r="B125" s="61"/>
    </row>
    <row r="126" spans="1:2" s="60" customFormat="1" x14ac:dyDescent="0.2">
      <c r="A126" s="59"/>
      <c r="B126" s="61"/>
    </row>
    <row r="127" spans="1:2" s="60" customFormat="1" x14ac:dyDescent="0.2">
      <c r="A127" s="59"/>
      <c r="B127" s="61"/>
    </row>
    <row r="128" spans="1:2" s="60" customFormat="1" x14ac:dyDescent="0.2">
      <c r="A128" s="59"/>
      <c r="B128" s="61"/>
    </row>
    <row r="129" spans="1:2" s="60" customFormat="1" x14ac:dyDescent="0.2">
      <c r="A129" s="59"/>
      <c r="B129" s="61"/>
    </row>
    <row r="130" spans="1:2" s="60" customFormat="1" x14ac:dyDescent="0.2">
      <c r="A130" s="59"/>
      <c r="B130" s="61"/>
    </row>
    <row r="131" spans="1:2" s="60" customFormat="1" x14ac:dyDescent="0.2">
      <c r="A131" s="59"/>
      <c r="B131" s="61"/>
    </row>
    <row r="132" spans="1:2" s="60" customFormat="1" x14ac:dyDescent="0.2">
      <c r="A132" s="59"/>
      <c r="B132" s="61"/>
    </row>
    <row r="133" spans="1:2" s="60" customFormat="1" x14ac:dyDescent="0.2">
      <c r="A133" s="59"/>
      <c r="B133" s="61"/>
    </row>
    <row r="134" spans="1:2" s="60" customFormat="1" x14ac:dyDescent="0.2">
      <c r="A134" s="59"/>
      <c r="B134" s="61"/>
    </row>
    <row r="135" spans="1:2" s="60" customFormat="1" x14ac:dyDescent="0.2">
      <c r="A135" s="59"/>
      <c r="B135" s="61"/>
    </row>
    <row r="136" spans="1:2" s="60" customFormat="1" x14ac:dyDescent="0.2">
      <c r="A136" s="59"/>
      <c r="B136" s="61"/>
    </row>
    <row r="137" spans="1:2" s="60" customFormat="1" x14ac:dyDescent="0.2">
      <c r="A137" s="59"/>
      <c r="B137" s="61"/>
    </row>
    <row r="138" spans="1:2" s="60" customFormat="1" x14ac:dyDescent="0.2">
      <c r="A138" s="59"/>
      <c r="B138" s="61"/>
    </row>
    <row r="139" spans="1:2" s="60" customFormat="1" x14ac:dyDescent="0.2">
      <c r="A139" s="59"/>
      <c r="B139" s="61"/>
    </row>
    <row r="140" spans="1:2" s="60" customFormat="1" x14ac:dyDescent="0.2">
      <c r="A140" s="59"/>
      <c r="B140" s="61"/>
    </row>
    <row r="141" spans="1:2" s="60" customFormat="1" x14ac:dyDescent="0.2">
      <c r="A141" s="59"/>
      <c r="B141" s="61"/>
    </row>
    <row r="142" spans="1:2" s="60" customFormat="1" x14ac:dyDescent="0.2">
      <c r="A142" s="59"/>
      <c r="B142" s="61"/>
    </row>
    <row r="143" spans="1:2" s="60" customFormat="1" x14ac:dyDescent="0.2">
      <c r="A143" s="59"/>
      <c r="B143" s="61"/>
    </row>
    <row r="144" spans="1:2" s="60" customFormat="1" x14ac:dyDescent="0.2">
      <c r="A144" s="59"/>
      <c r="B144" s="61"/>
    </row>
    <row r="145" spans="1:2" s="60" customFormat="1" x14ac:dyDescent="0.2">
      <c r="A145" s="59"/>
      <c r="B145" s="61"/>
    </row>
    <row r="146" spans="1:2" s="60" customFormat="1" x14ac:dyDescent="0.2">
      <c r="A146" s="59"/>
      <c r="B146" s="61"/>
    </row>
    <row r="147" spans="1:2" s="60" customFormat="1" x14ac:dyDescent="0.2">
      <c r="A147" s="59"/>
      <c r="B147" s="61"/>
    </row>
    <row r="148" spans="1:2" s="60" customFormat="1" x14ac:dyDescent="0.2">
      <c r="A148" s="59"/>
      <c r="B148" s="61"/>
    </row>
    <row r="149" spans="1:2" s="60" customFormat="1" x14ac:dyDescent="0.2">
      <c r="A149" s="59"/>
      <c r="B149" s="61"/>
    </row>
    <row r="150" spans="1:2" s="60" customFormat="1" x14ac:dyDescent="0.2">
      <c r="A150" s="59"/>
      <c r="B150" s="61"/>
    </row>
    <row r="151" spans="1:2" s="60" customFormat="1" x14ac:dyDescent="0.2">
      <c r="A151" s="59"/>
      <c r="B151" s="61"/>
    </row>
    <row r="152" spans="1:2" s="60" customFormat="1" x14ac:dyDescent="0.2">
      <c r="A152" s="59"/>
      <c r="B152" s="61"/>
    </row>
    <row r="153" spans="1:2" s="60" customFormat="1" x14ac:dyDescent="0.2">
      <c r="A153" s="59"/>
      <c r="B153" s="61"/>
    </row>
    <row r="154" spans="1:2" s="60" customFormat="1" x14ac:dyDescent="0.2">
      <c r="A154" s="59"/>
      <c r="B154" s="61"/>
    </row>
    <row r="155" spans="1:2" s="60" customFormat="1" x14ac:dyDescent="0.2">
      <c r="A155" s="59"/>
      <c r="B155" s="61"/>
    </row>
    <row r="156" spans="1:2" s="60" customFormat="1" x14ac:dyDescent="0.2">
      <c r="A156" s="59"/>
      <c r="B156" s="61"/>
    </row>
    <row r="157" spans="1:2" s="60" customFormat="1" x14ac:dyDescent="0.2">
      <c r="A157" s="59"/>
      <c r="B157" s="61"/>
    </row>
    <row r="158" spans="1:2" s="60" customFormat="1" x14ac:dyDescent="0.2">
      <c r="A158" s="59"/>
      <c r="B158" s="61"/>
    </row>
    <row r="159" spans="1:2" s="60" customFormat="1" x14ac:dyDescent="0.2">
      <c r="A159" s="59"/>
      <c r="B159" s="61"/>
    </row>
    <row r="160" spans="1:2" s="60" customFormat="1" x14ac:dyDescent="0.2">
      <c r="A160" s="59"/>
      <c r="B160" s="61"/>
    </row>
    <row r="161" spans="1:2" s="60" customFormat="1" x14ac:dyDescent="0.2">
      <c r="A161" s="59"/>
      <c r="B161" s="61"/>
    </row>
    <row r="162" spans="1:2" s="60" customFormat="1" x14ac:dyDescent="0.2">
      <c r="A162" s="59"/>
      <c r="B162" s="61"/>
    </row>
    <row r="163" spans="1:2" s="60" customFormat="1" x14ac:dyDescent="0.2">
      <c r="A163" s="59"/>
      <c r="B163" s="61"/>
    </row>
    <row r="164" spans="1:2" s="60" customFormat="1" x14ac:dyDescent="0.2">
      <c r="A164" s="59"/>
      <c r="B164" s="61"/>
    </row>
    <row r="165" spans="1:2" s="60" customFormat="1" x14ac:dyDescent="0.2">
      <c r="A165" s="59"/>
      <c r="B165" s="61"/>
    </row>
    <row r="166" spans="1:2" s="60" customFormat="1" x14ac:dyDescent="0.2">
      <c r="A166" s="59"/>
      <c r="B166" s="61"/>
    </row>
    <row r="167" spans="1:2" s="60" customFormat="1" x14ac:dyDescent="0.2">
      <c r="A167" s="59"/>
      <c r="B167" s="61"/>
    </row>
    <row r="168" spans="1:2" s="60" customFormat="1" x14ac:dyDescent="0.2">
      <c r="A168" s="59"/>
      <c r="B168" s="61"/>
    </row>
    <row r="169" spans="1:2" s="60" customFormat="1" x14ac:dyDescent="0.2">
      <c r="A169" s="59"/>
      <c r="B169" s="61"/>
    </row>
    <row r="170" spans="1:2" s="60" customFormat="1" x14ac:dyDescent="0.2">
      <c r="A170" s="59"/>
      <c r="B170" s="61"/>
    </row>
    <row r="171" spans="1:2" s="60" customFormat="1" x14ac:dyDescent="0.2">
      <c r="A171" s="59"/>
      <c r="B171" s="61"/>
    </row>
    <row r="172" spans="1:2" s="60" customFormat="1" x14ac:dyDescent="0.2">
      <c r="A172" s="59"/>
      <c r="B172" s="61"/>
    </row>
    <row r="173" spans="1:2" s="60" customFormat="1" x14ac:dyDescent="0.2">
      <c r="A173" s="59"/>
      <c r="B173" s="61"/>
    </row>
    <row r="174" spans="1:2" s="60" customFormat="1" x14ac:dyDescent="0.2">
      <c r="A174" s="59"/>
      <c r="B174" s="61"/>
    </row>
    <row r="175" spans="1:2" s="60" customFormat="1" x14ac:dyDescent="0.2">
      <c r="A175" s="59"/>
      <c r="B175" s="61"/>
    </row>
    <row r="176" spans="1:2" s="60" customFormat="1" x14ac:dyDescent="0.2">
      <c r="A176" s="59"/>
      <c r="B176" s="61"/>
    </row>
    <row r="177" spans="1:2" s="60" customFormat="1" x14ac:dyDescent="0.2">
      <c r="A177" s="59"/>
      <c r="B177" s="61"/>
    </row>
    <row r="178" spans="1:2" s="60" customFormat="1" x14ac:dyDescent="0.2">
      <c r="A178" s="59"/>
      <c r="B178" s="61"/>
    </row>
    <row r="179" spans="1:2" s="60" customFormat="1" x14ac:dyDescent="0.2">
      <c r="A179" s="59"/>
      <c r="B179" s="61"/>
    </row>
    <row r="180" spans="1:2" s="60" customFormat="1" x14ac:dyDescent="0.2">
      <c r="A180" s="59"/>
      <c r="B180" s="61"/>
    </row>
    <row r="181" spans="1:2" s="60" customFormat="1" x14ac:dyDescent="0.2">
      <c r="A181" s="59"/>
      <c r="B181" s="61"/>
    </row>
    <row r="182" spans="1:2" s="60" customFormat="1" x14ac:dyDescent="0.2">
      <c r="A182" s="59"/>
      <c r="B182" s="61"/>
    </row>
    <row r="183" spans="1:2" s="60" customFormat="1" x14ac:dyDescent="0.2">
      <c r="A183" s="59"/>
      <c r="B183" s="61"/>
    </row>
    <row r="184" spans="1:2" s="60" customFormat="1" x14ac:dyDescent="0.2">
      <c r="A184" s="59"/>
      <c r="B184" s="61"/>
    </row>
    <row r="185" spans="1:2" s="60" customFormat="1" x14ac:dyDescent="0.2">
      <c r="A185" s="59"/>
      <c r="B185" s="61"/>
    </row>
    <row r="186" spans="1:2" s="60" customFormat="1" x14ac:dyDescent="0.2">
      <c r="A186" s="59"/>
      <c r="B186" s="61"/>
    </row>
    <row r="187" spans="1:2" s="60" customFormat="1" x14ac:dyDescent="0.2">
      <c r="A187" s="59"/>
      <c r="B187" s="61"/>
    </row>
    <row r="188" spans="1:2" s="60" customFormat="1" x14ac:dyDescent="0.2">
      <c r="A188" s="59"/>
      <c r="B188" s="61"/>
    </row>
    <row r="189" spans="1:2" s="60" customFormat="1" x14ac:dyDescent="0.2">
      <c r="A189" s="59"/>
      <c r="B189" s="61"/>
    </row>
    <row r="190" spans="1:2" s="60" customFormat="1" x14ac:dyDescent="0.2">
      <c r="A190" s="59"/>
      <c r="B190" s="61"/>
    </row>
    <row r="191" spans="1:2" s="60" customFormat="1" x14ac:dyDescent="0.2">
      <c r="A191" s="59"/>
      <c r="B191" s="61"/>
    </row>
    <row r="192" spans="1:2" s="60" customFormat="1" x14ac:dyDescent="0.2">
      <c r="A192" s="59"/>
      <c r="B192" s="61"/>
    </row>
    <row r="193" spans="1:2" s="60" customFormat="1" x14ac:dyDescent="0.2">
      <c r="A193" s="59"/>
      <c r="B193" s="61"/>
    </row>
    <row r="194" spans="1:2" s="60" customFormat="1" x14ac:dyDescent="0.2">
      <c r="A194" s="59"/>
      <c r="B194" s="61"/>
    </row>
    <row r="195" spans="1:2" s="60" customFormat="1" x14ac:dyDescent="0.2">
      <c r="A195" s="59"/>
      <c r="B195" s="61"/>
    </row>
    <row r="196" spans="1:2" s="60" customFormat="1" x14ac:dyDescent="0.2">
      <c r="A196" s="59"/>
      <c r="B196" s="61"/>
    </row>
    <row r="197" spans="1:2" s="60" customFormat="1" x14ac:dyDescent="0.2">
      <c r="A197" s="59"/>
      <c r="B197" s="61"/>
    </row>
    <row r="198" spans="1:2" s="60" customFormat="1" x14ac:dyDescent="0.2">
      <c r="A198" s="59"/>
      <c r="B198" s="61"/>
    </row>
    <row r="199" spans="1:2" s="60" customFormat="1" x14ac:dyDescent="0.2">
      <c r="A199" s="59"/>
      <c r="B199" s="61"/>
    </row>
    <row r="200" spans="1:2" s="60" customFormat="1" x14ac:dyDescent="0.2">
      <c r="A200" s="59"/>
      <c r="B200" s="61"/>
    </row>
    <row r="201" spans="1:2" s="60" customFormat="1" x14ac:dyDescent="0.2">
      <c r="A201" s="59"/>
      <c r="B201" s="61"/>
    </row>
    <row r="202" spans="1:2" s="60" customFormat="1" x14ac:dyDescent="0.2">
      <c r="A202" s="59"/>
      <c r="B202" s="61"/>
    </row>
    <row r="203" spans="1:2" s="60" customFormat="1" x14ac:dyDescent="0.2">
      <c r="A203" s="59"/>
      <c r="B203" s="61"/>
    </row>
    <row r="204" spans="1:2" s="60" customFormat="1" x14ac:dyDescent="0.2">
      <c r="A204" s="59"/>
      <c r="B204" s="61"/>
    </row>
    <row r="205" spans="1:2" s="60" customFormat="1" x14ac:dyDescent="0.2">
      <c r="A205" s="59"/>
      <c r="B205" s="61"/>
    </row>
    <row r="206" spans="1:2" s="60" customFormat="1" x14ac:dyDescent="0.2">
      <c r="A206" s="59"/>
      <c r="B206" s="61"/>
    </row>
    <row r="207" spans="1:2" s="60" customFormat="1" x14ac:dyDescent="0.2">
      <c r="A207" s="59"/>
      <c r="B207" s="61"/>
    </row>
    <row r="208" spans="1:2" s="60" customFormat="1" x14ac:dyDescent="0.2">
      <c r="A208" s="59"/>
      <c r="B208" s="61"/>
    </row>
    <row r="209" spans="1:2" s="60" customFormat="1" x14ac:dyDescent="0.2">
      <c r="A209" s="59"/>
      <c r="B209" s="61"/>
    </row>
    <row r="210" spans="1:2" s="60" customFormat="1" x14ac:dyDescent="0.2">
      <c r="A210" s="59"/>
      <c r="B210" s="61"/>
    </row>
    <row r="211" spans="1:2" s="60" customFormat="1" x14ac:dyDescent="0.2">
      <c r="A211" s="59"/>
      <c r="B211" s="61"/>
    </row>
    <row r="212" spans="1:2" s="60" customFormat="1" x14ac:dyDescent="0.2">
      <c r="A212" s="59"/>
      <c r="B212" s="61"/>
    </row>
    <row r="213" spans="1:2" s="60" customFormat="1" x14ac:dyDescent="0.2">
      <c r="A213" s="59"/>
      <c r="B213" s="61"/>
    </row>
    <row r="214" spans="1:2" s="60" customFormat="1" x14ac:dyDescent="0.2">
      <c r="A214" s="59"/>
      <c r="B214" s="61"/>
    </row>
    <row r="215" spans="1:2" s="60" customFormat="1" x14ac:dyDescent="0.2">
      <c r="A215" s="59"/>
      <c r="B215" s="61"/>
    </row>
    <row r="216" spans="1:2" s="60" customFormat="1" x14ac:dyDescent="0.2">
      <c r="A216" s="59"/>
      <c r="B216" s="61"/>
    </row>
    <row r="217" spans="1:2" s="60" customFormat="1" x14ac:dyDescent="0.2">
      <c r="A217" s="59"/>
      <c r="B217" s="61"/>
    </row>
    <row r="218" spans="1:2" s="60" customFormat="1" x14ac:dyDescent="0.2">
      <c r="A218" s="59"/>
      <c r="B218" s="61"/>
    </row>
    <row r="219" spans="1:2" s="60" customFormat="1" x14ac:dyDescent="0.2">
      <c r="A219" s="59"/>
      <c r="B219" s="61"/>
    </row>
    <row r="220" spans="1:2" s="60" customFormat="1" x14ac:dyDescent="0.2">
      <c r="A220" s="59"/>
      <c r="B220" s="61"/>
    </row>
    <row r="221" spans="1:2" s="60" customFormat="1" x14ac:dyDescent="0.2">
      <c r="A221" s="59"/>
      <c r="B221" s="61"/>
    </row>
    <row r="222" spans="1:2" s="60" customFormat="1" x14ac:dyDescent="0.2">
      <c r="A222" s="59"/>
      <c r="B222" s="61"/>
    </row>
    <row r="223" spans="1:2" s="60" customFormat="1" x14ac:dyDescent="0.2">
      <c r="A223" s="59"/>
      <c r="B223" s="101"/>
    </row>
    <row r="224" spans="1:2" s="60" customFormat="1" ht="13.5" thickBot="1" x14ac:dyDescent="0.25">
      <c r="A224" s="59"/>
      <c r="B224" s="61"/>
    </row>
    <row r="225" spans="1:14" s="60" customFormat="1" ht="13.5" thickBot="1" x14ac:dyDescent="0.25">
      <c r="A225" s="102" t="s">
        <v>203</v>
      </c>
      <c r="B225" s="103"/>
    </row>
    <row r="226" spans="1:14" s="60" customFormat="1" x14ac:dyDescent="0.2">
      <c r="A226" s="104" t="s">
        <v>204</v>
      </c>
      <c r="B226" s="105" t="s">
        <v>506</v>
      </c>
      <c r="C226" s="106"/>
    </row>
    <row r="227" spans="1:14" s="60" customFormat="1" x14ac:dyDescent="0.2">
      <c r="A227" s="107" t="s">
        <v>205</v>
      </c>
      <c r="B227" s="132" t="s">
        <v>505</v>
      </c>
      <c r="C227" s="108"/>
    </row>
    <row r="228" spans="1:14" s="60" customFormat="1" x14ac:dyDescent="0.2">
      <c r="A228" s="109" t="s">
        <v>206</v>
      </c>
      <c r="B228" s="49"/>
    </row>
    <row r="229" spans="1:14" s="60" customFormat="1" x14ac:dyDescent="0.2">
      <c r="A229" s="110" t="s">
        <v>207</v>
      </c>
      <c r="B229" s="49"/>
    </row>
    <row r="230" spans="1:14" s="60" customFormat="1" x14ac:dyDescent="0.2">
      <c r="A230" s="109"/>
      <c r="B230" s="49"/>
    </row>
    <row r="231" spans="1:14" s="60" customFormat="1" x14ac:dyDescent="0.2">
      <c r="A231" s="109"/>
      <c r="B231" s="49"/>
    </row>
    <row r="232" spans="1:14" s="60" customFormat="1" x14ac:dyDescent="0.2">
      <c r="A232" s="109"/>
      <c r="B232" s="49"/>
    </row>
    <row r="233" spans="1:14" x14ac:dyDescent="0.2">
      <c r="A233" s="59"/>
      <c r="C233" s="90"/>
      <c r="D233" s="91"/>
    </row>
    <row r="234" spans="1:14" x14ac:dyDescent="0.2">
      <c r="A234" s="59"/>
      <c r="C234" s="90"/>
      <c r="D234" s="91"/>
    </row>
    <row r="235" spans="1:14" x14ac:dyDescent="0.2">
      <c r="A235" s="59"/>
      <c r="C235" s="90"/>
      <c r="D235" s="91"/>
    </row>
    <row r="236" spans="1:14" x14ac:dyDescent="0.2">
      <c r="A236" s="95" t="s">
        <v>208</v>
      </c>
      <c r="K236" s="111" t="s">
        <v>209</v>
      </c>
    </row>
    <row r="237" spans="1:14" ht="28.15" customHeight="1" x14ac:dyDescent="0.2">
      <c r="A237" s="112" t="s">
        <v>210</v>
      </c>
      <c r="B237" s="112" t="s">
        <v>211</v>
      </c>
      <c r="C237" s="112" t="s">
        <v>212</v>
      </c>
      <c r="D237" s="113" t="s">
        <v>213</v>
      </c>
      <c r="E237" s="112" t="s">
        <v>214</v>
      </c>
      <c r="F237" s="112" t="s">
        <v>215</v>
      </c>
      <c r="G237" s="112" t="s">
        <v>216</v>
      </c>
      <c r="H237" s="114"/>
      <c r="I237" s="114"/>
      <c r="K237" s="115" t="s">
        <v>130</v>
      </c>
      <c r="L237" s="115" t="s">
        <v>217</v>
      </c>
      <c r="M237" s="115" t="s">
        <v>218</v>
      </c>
      <c r="N237" s="115" t="s">
        <v>219</v>
      </c>
    </row>
    <row r="238" spans="1:14" x14ac:dyDescent="0.2">
      <c r="A238" s="116" t="s">
        <v>221</v>
      </c>
      <c r="B238" s="117" t="s">
        <v>222</v>
      </c>
      <c r="C238" s="117" t="s">
        <v>223</v>
      </c>
      <c r="D238" s="117"/>
      <c r="E238" s="117" t="s">
        <v>224</v>
      </c>
      <c r="F238" s="117"/>
      <c r="G238" s="117"/>
      <c r="H238" s="117"/>
      <c r="I238" s="117"/>
      <c r="L238" s="52" t="s">
        <v>220</v>
      </c>
      <c r="M238" s="131"/>
    </row>
    <row r="239" spans="1:14" x14ac:dyDescent="0.2">
      <c r="A239" s="116" t="s">
        <v>227</v>
      </c>
      <c r="B239" s="117" t="s">
        <v>228</v>
      </c>
      <c r="C239" s="117" t="s">
        <v>223</v>
      </c>
      <c r="D239" s="117"/>
      <c r="E239" s="117" t="s">
        <v>28</v>
      </c>
      <c r="F239" s="117"/>
      <c r="G239" s="117"/>
      <c r="H239" s="117"/>
      <c r="I239" s="117"/>
      <c r="K239" s="52" t="s">
        <v>131</v>
      </c>
      <c r="L239" s="52" t="s">
        <v>223</v>
      </c>
      <c r="M239" s="52" t="s">
        <v>225</v>
      </c>
      <c r="N239" s="52" t="s">
        <v>226</v>
      </c>
    </row>
    <row r="240" spans="1:14" x14ac:dyDescent="0.2">
      <c r="A240" s="116" t="s">
        <v>232</v>
      </c>
      <c r="B240" s="117" t="s">
        <v>43</v>
      </c>
      <c r="C240" s="117" t="s">
        <v>225</v>
      </c>
      <c r="D240" s="117"/>
      <c r="E240" s="117"/>
      <c r="F240" s="117"/>
      <c r="G240" s="117"/>
      <c r="H240" s="117"/>
      <c r="I240" s="117"/>
      <c r="K240" s="52" t="s">
        <v>132</v>
      </c>
      <c r="L240" s="52" t="s">
        <v>229</v>
      </c>
      <c r="M240" s="52" t="s">
        <v>230</v>
      </c>
      <c r="N240" s="52" t="s">
        <v>231</v>
      </c>
    </row>
    <row r="241" spans="1:14" ht="38.25" x14ac:dyDescent="0.2">
      <c r="A241" s="116" t="s">
        <v>235</v>
      </c>
      <c r="B241" s="117" t="s">
        <v>236</v>
      </c>
      <c r="C241" s="117" t="s">
        <v>225</v>
      </c>
      <c r="D241" s="117"/>
      <c r="E241" s="117"/>
      <c r="F241" s="117"/>
      <c r="G241" s="117"/>
      <c r="H241" s="117"/>
      <c r="I241" s="117"/>
      <c r="K241" s="52" t="s">
        <v>133</v>
      </c>
      <c r="L241" s="52" t="s">
        <v>233</v>
      </c>
      <c r="M241" s="52" t="s">
        <v>223</v>
      </c>
      <c r="N241" s="52" t="s">
        <v>234</v>
      </c>
    </row>
    <row r="242" spans="1:14" x14ac:dyDescent="0.2">
      <c r="A242" s="116" t="s">
        <v>239</v>
      </c>
      <c r="B242" s="117" t="s">
        <v>240</v>
      </c>
      <c r="C242" s="117" t="s">
        <v>225</v>
      </c>
      <c r="D242" s="117"/>
      <c r="E242" s="117"/>
      <c r="F242" s="117"/>
      <c r="G242" s="117"/>
      <c r="H242" s="117"/>
      <c r="I242" s="117"/>
      <c r="K242" s="52" t="s">
        <v>134</v>
      </c>
      <c r="L242" s="52" t="s">
        <v>237</v>
      </c>
      <c r="N242" s="52" t="s">
        <v>238</v>
      </c>
    </row>
    <row r="243" spans="1:14" x14ac:dyDescent="0.2">
      <c r="A243" s="116" t="s">
        <v>447</v>
      </c>
      <c r="B243" s="117" t="s">
        <v>244</v>
      </c>
      <c r="C243" s="117" t="s">
        <v>225</v>
      </c>
      <c r="D243" s="117"/>
      <c r="E243" s="117"/>
      <c r="F243" s="117"/>
      <c r="G243" s="117"/>
      <c r="H243" s="117"/>
      <c r="I243" s="117"/>
      <c r="K243" s="52" t="s">
        <v>241</v>
      </c>
      <c r="L243" s="52" t="s">
        <v>242</v>
      </c>
      <c r="N243" s="52" t="s">
        <v>243</v>
      </c>
    </row>
    <row r="244" spans="1:14" x14ac:dyDescent="0.2">
      <c r="A244" s="116" t="s">
        <v>247</v>
      </c>
      <c r="B244" s="117" t="s">
        <v>448</v>
      </c>
      <c r="C244" s="117" t="s">
        <v>225</v>
      </c>
      <c r="D244" s="117"/>
      <c r="E244" s="117"/>
      <c r="F244" s="117"/>
      <c r="G244" s="117"/>
      <c r="H244" s="117"/>
      <c r="I244" s="117"/>
      <c r="N244" s="52" t="s">
        <v>245</v>
      </c>
    </row>
    <row r="245" spans="1:14" x14ac:dyDescent="0.2">
      <c r="A245" s="116" t="s">
        <v>449</v>
      </c>
      <c r="B245" s="117" t="s">
        <v>253</v>
      </c>
      <c r="C245" s="117" t="s">
        <v>225</v>
      </c>
      <c r="D245" s="117"/>
      <c r="E245" s="117"/>
      <c r="F245" s="117"/>
      <c r="G245" s="117"/>
      <c r="H245" s="117"/>
      <c r="I245" s="117"/>
      <c r="N245" s="52" t="s">
        <v>246</v>
      </c>
    </row>
    <row r="246" spans="1:14" x14ac:dyDescent="0.2">
      <c r="A246" s="116" t="s">
        <v>450</v>
      </c>
      <c r="B246" s="117" t="s">
        <v>452</v>
      </c>
      <c r="C246" s="117" t="s">
        <v>225</v>
      </c>
      <c r="D246" s="117"/>
      <c r="E246" s="117"/>
      <c r="F246" s="117"/>
      <c r="G246" s="117"/>
      <c r="H246" s="117"/>
      <c r="I246" s="117"/>
      <c r="N246" s="52" t="s">
        <v>248</v>
      </c>
    </row>
    <row r="247" spans="1:14" ht="38.25" x14ac:dyDescent="0.2">
      <c r="A247" s="116" t="s">
        <v>453</v>
      </c>
      <c r="B247" s="117" t="s">
        <v>454</v>
      </c>
      <c r="C247" s="117" t="s">
        <v>225</v>
      </c>
      <c r="D247" s="117"/>
      <c r="E247" s="117"/>
      <c r="F247" s="117"/>
      <c r="G247" s="117"/>
      <c r="H247" s="117"/>
      <c r="I247" s="117"/>
      <c r="N247" s="52" t="s">
        <v>249</v>
      </c>
    </row>
    <row r="248" spans="1:14" x14ac:dyDescent="0.2">
      <c r="A248" s="116" t="s">
        <v>455</v>
      </c>
      <c r="B248" s="117" t="s">
        <v>456</v>
      </c>
      <c r="C248" s="117" t="s">
        <v>225</v>
      </c>
      <c r="D248" s="117"/>
      <c r="E248" s="117"/>
      <c r="F248" s="117"/>
      <c r="G248" s="117"/>
      <c r="H248" s="117"/>
      <c r="I248" s="117"/>
      <c r="N248" s="52" t="s">
        <v>250</v>
      </c>
    </row>
    <row r="249" spans="1:14" ht="25.5" x14ac:dyDescent="0.2">
      <c r="A249" s="116" t="s">
        <v>458</v>
      </c>
      <c r="B249" s="117" t="s">
        <v>547</v>
      </c>
      <c r="C249" s="117" t="s">
        <v>230</v>
      </c>
      <c r="D249" s="117" t="s">
        <v>372</v>
      </c>
      <c r="E249" s="117"/>
      <c r="F249" s="117"/>
      <c r="G249" s="117" t="s">
        <v>1852</v>
      </c>
      <c r="H249" s="117"/>
      <c r="I249" s="117"/>
      <c r="N249" s="52" t="s">
        <v>252</v>
      </c>
    </row>
    <row r="250" spans="1:14" ht="25.5" x14ac:dyDescent="0.2">
      <c r="A250" s="116" t="s">
        <v>459</v>
      </c>
      <c r="B250" s="117" t="s">
        <v>546</v>
      </c>
      <c r="C250" s="117" t="s">
        <v>230</v>
      </c>
      <c r="D250" s="117" t="s">
        <v>372</v>
      </c>
      <c r="E250" s="117"/>
      <c r="F250" s="117"/>
      <c r="G250" s="117" t="s">
        <v>1852</v>
      </c>
      <c r="H250" s="117"/>
      <c r="I250" s="117"/>
      <c r="N250" s="52" t="s">
        <v>254</v>
      </c>
    </row>
    <row r="251" spans="1:14" ht="25.5" x14ac:dyDescent="0.2">
      <c r="A251" s="116" t="s">
        <v>460</v>
      </c>
      <c r="B251" s="117" t="s">
        <v>545</v>
      </c>
      <c r="C251" s="117" t="s">
        <v>230</v>
      </c>
      <c r="D251" s="117" t="s">
        <v>256</v>
      </c>
      <c r="E251" s="117"/>
      <c r="F251" s="117"/>
      <c r="G251" s="117" t="s">
        <v>1849</v>
      </c>
      <c r="H251" s="117"/>
      <c r="I251" s="117"/>
      <c r="N251" s="52" t="s">
        <v>255</v>
      </c>
    </row>
    <row r="252" spans="1:14" x14ac:dyDescent="0.2">
      <c r="A252" s="116" t="s">
        <v>461</v>
      </c>
      <c r="B252" s="117" t="s">
        <v>462</v>
      </c>
      <c r="C252" s="117" t="s">
        <v>230</v>
      </c>
      <c r="D252" s="117" t="s">
        <v>243</v>
      </c>
      <c r="E252" s="117"/>
      <c r="F252" s="117"/>
      <c r="G252" s="117" t="s">
        <v>1849</v>
      </c>
      <c r="H252" s="117"/>
      <c r="I252" s="117"/>
      <c r="N252" s="52" t="s">
        <v>256</v>
      </c>
    </row>
    <row r="253" spans="1:14" ht="38.25" x14ac:dyDescent="0.2">
      <c r="A253" s="116" t="s">
        <v>457</v>
      </c>
      <c r="B253" s="117" t="s">
        <v>556</v>
      </c>
      <c r="C253" s="117" t="s">
        <v>230</v>
      </c>
      <c r="D253" s="117" t="s">
        <v>262</v>
      </c>
      <c r="E253" s="117"/>
      <c r="F253" s="117"/>
      <c r="G253" s="117" t="s">
        <v>1849</v>
      </c>
      <c r="H253" s="117"/>
      <c r="I253" s="117"/>
      <c r="N253" s="52" t="s">
        <v>257</v>
      </c>
    </row>
    <row r="254" spans="1:14" x14ac:dyDescent="0.2">
      <c r="A254" s="116" t="s">
        <v>464</v>
      </c>
      <c r="B254" s="117" t="s">
        <v>509</v>
      </c>
      <c r="C254" s="117" t="s">
        <v>230</v>
      </c>
      <c r="D254" s="117" t="s">
        <v>285</v>
      </c>
      <c r="E254" s="117"/>
      <c r="F254" s="117"/>
      <c r="G254" s="117" t="s">
        <v>1849</v>
      </c>
      <c r="H254" s="117"/>
      <c r="I254" s="117"/>
      <c r="N254" s="52" t="s">
        <v>258</v>
      </c>
    </row>
    <row r="255" spans="1:14" ht="38.25" x14ac:dyDescent="0.2">
      <c r="A255" s="116" t="s">
        <v>465</v>
      </c>
      <c r="B255" s="117" t="s">
        <v>557</v>
      </c>
      <c r="C255" s="117" t="s">
        <v>230</v>
      </c>
      <c r="D255" s="117" t="s">
        <v>370</v>
      </c>
      <c r="E255" s="117"/>
      <c r="F255" s="117"/>
      <c r="G255" s="117" t="s">
        <v>1849</v>
      </c>
      <c r="H255" s="117"/>
      <c r="I255" s="117"/>
      <c r="N255" s="52" t="s">
        <v>259</v>
      </c>
    </row>
    <row r="256" spans="1:14" ht="51" x14ac:dyDescent="0.2">
      <c r="A256" s="116" t="s">
        <v>466</v>
      </c>
      <c r="B256" s="117" t="s">
        <v>544</v>
      </c>
      <c r="C256" s="117" t="s">
        <v>230</v>
      </c>
      <c r="D256" s="117" t="s">
        <v>370</v>
      </c>
      <c r="E256" s="117"/>
      <c r="F256" s="117"/>
      <c r="G256" s="117" t="s">
        <v>1849</v>
      </c>
      <c r="H256" s="117"/>
      <c r="I256" s="117"/>
      <c r="N256" s="52" t="s">
        <v>260</v>
      </c>
    </row>
    <row r="257" spans="1:14" ht="38.25" x14ac:dyDescent="0.2">
      <c r="A257" s="116" t="s">
        <v>467</v>
      </c>
      <c r="B257" s="117" t="s">
        <v>543</v>
      </c>
      <c r="C257" s="117" t="s">
        <v>230</v>
      </c>
      <c r="D257" s="117" t="s">
        <v>370</v>
      </c>
      <c r="E257" s="117"/>
      <c r="F257" s="117"/>
      <c r="G257" s="117" t="s">
        <v>1849</v>
      </c>
      <c r="H257" s="117"/>
      <c r="I257" s="117"/>
      <c r="N257" s="52" t="s">
        <v>261</v>
      </c>
    </row>
    <row r="258" spans="1:14" ht="38.25" x14ac:dyDescent="0.2">
      <c r="A258" s="116" t="s">
        <v>468</v>
      </c>
      <c r="B258" s="117" t="s">
        <v>542</v>
      </c>
      <c r="C258" s="117" t="s">
        <v>230</v>
      </c>
      <c r="D258" s="117" t="s">
        <v>370</v>
      </c>
      <c r="E258" s="117"/>
      <c r="F258" s="117"/>
      <c r="G258" s="117" t="s">
        <v>1849</v>
      </c>
      <c r="H258" s="117"/>
      <c r="I258" s="117"/>
      <c r="N258" s="52" t="s">
        <v>262</v>
      </c>
    </row>
    <row r="259" spans="1:14" ht="25.5" x14ac:dyDescent="0.2">
      <c r="A259" s="116" t="s">
        <v>469</v>
      </c>
      <c r="B259" s="117" t="s">
        <v>541</v>
      </c>
      <c r="C259" s="117" t="s">
        <v>230</v>
      </c>
      <c r="D259" s="117" t="s">
        <v>370</v>
      </c>
      <c r="E259" s="117"/>
      <c r="F259" s="117"/>
      <c r="G259" s="117" t="s">
        <v>1849</v>
      </c>
      <c r="H259" s="117"/>
      <c r="I259" s="117"/>
      <c r="N259" s="52" t="s">
        <v>263</v>
      </c>
    </row>
    <row r="260" spans="1:14" ht="38.25" x14ac:dyDescent="0.2">
      <c r="A260" s="116" t="s">
        <v>470</v>
      </c>
      <c r="B260" s="117" t="s">
        <v>540</v>
      </c>
      <c r="C260" s="117" t="s">
        <v>230</v>
      </c>
      <c r="D260" s="117" t="s">
        <v>504</v>
      </c>
      <c r="E260" s="117"/>
      <c r="F260" s="117"/>
      <c r="G260" s="117" t="s">
        <v>1849</v>
      </c>
      <c r="H260" s="117"/>
      <c r="I260" s="117"/>
      <c r="N260" s="52" t="s">
        <v>264</v>
      </c>
    </row>
    <row r="261" spans="1:14" ht="38.25" x14ac:dyDescent="0.2">
      <c r="A261" s="116" t="s">
        <v>471</v>
      </c>
      <c r="B261" s="117" t="s">
        <v>539</v>
      </c>
      <c r="C261" s="117" t="s">
        <v>230</v>
      </c>
      <c r="D261" s="117" t="s">
        <v>370</v>
      </c>
      <c r="E261" s="117"/>
      <c r="F261" s="117"/>
      <c r="G261" s="117" t="s">
        <v>1849</v>
      </c>
      <c r="H261" s="117"/>
      <c r="I261" s="117"/>
      <c r="N261" s="52" t="s">
        <v>265</v>
      </c>
    </row>
    <row r="262" spans="1:14" ht="38.25" x14ac:dyDescent="0.2">
      <c r="A262" s="116" t="s">
        <v>472</v>
      </c>
      <c r="B262" s="117" t="s">
        <v>538</v>
      </c>
      <c r="C262" s="117" t="s">
        <v>230</v>
      </c>
      <c r="D262" s="117" t="s">
        <v>370</v>
      </c>
      <c r="E262" s="117"/>
      <c r="F262" s="117"/>
      <c r="G262" s="117" t="s">
        <v>1849</v>
      </c>
      <c r="H262" s="117"/>
      <c r="I262" s="117"/>
      <c r="N262" s="52" t="s">
        <v>266</v>
      </c>
    </row>
    <row r="263" spans="1:14" ht="38.25" x14ac:dyDescent="0.2">
      <c r="A263" s="116" t="s">
        <v>473</v>
      </c>
      <c r="B263" s="117" t="s">
        <v>537</v>
      </c>
      <c r="C263" s="117" t="s">
        <v>230</v>
      </c>
      <c r="D263" s="117" t="s">
        <v>370</v>
      </c>
      <c r="E263" s="117"/>
      <c r="F263" s="117"/>
      <c r="G263" s="117" t="s">
        <v>1849</v>
      </c>
      <c r="H263" s="117"/>
      <c r="I263" s="117"/>
      <c r="N263" s="52" t="s">
        <v>267</v>
      </c>
    </row>
    <row r="264" spans="1:14" ht="25.5" x14ac:dyDescent="0.2">
      <c r="A264" s="116" t="s">
        <v>474</v>
      </c>
      <c r="B264" s="117" t="s">
        <v>536</v>
      </c>
      <c r="C264" s="117" t="s">
        <v>230</v>
      </c>
      <c r="D264" s="117" t="s">
        <v>370</v>
      </c>
      <c r="E264" s="117"/>
      <c r="F264" s="117"/>
      <c r="G264" s="117" t="s">
        <v>1849</v>
      </c>
      <c r="H264" s="117"/>
      <c r="I264" s="117"/>
      <c r="N264" s="52" t="s">
        <v>268</v>
      </c>
    </row>
    <row r="265" spans="1:14" ht="25.5" x14ac:dyDescent="0.2">
      <c r="A265" s="116" t="s">
        <v>475</v>
      </c>
      <c r="B265" s="117" t="s">
        <v>535</v>
      </c>
      <c r="C265" s="117" t="s">
        <v>230</v>
      </c>
      <c r="D265" s="117" t="s">
        <v>504</v>
      </c>
      <c r="E265" s="117"/>
      <c r="F265" s="117"/>
      <c r="G265" s="117" t="s">
        <v>1849</v>
      </c>
      <c r="H265" s="117"/>
      <c r="I265" s="117"/>
      <c r="N265" s="52" t="s">
        <v>269</v>
      </c>
    </row>
    <row r="266" spans="1:14" ht="38.25" x14ac:dyDescent="0.2">
      <c r="A266" s="116" t="s">
        <v>476</v>
      </c>
      <c r="B266" s="117" t="s">
        <v>510</v>
      </c>
      <c r="C266" s="117" t="s">
        <v>230</v>
      </c>
      <c r="D266" s="117" t="s">
        <v>372</v>
      </c>
      <c r="E266" s="117"/>
      <c r="F266" s="117"/>
      <c r="G266" s="117" t="s">
        <v>1849</v>
      </c>
      <c r="H266" s="117"/>
      <c r="I266" s="117"/>
      <c r="N266" s="52" t="s">
        <v>270</v>
      </c>
    </row>
    <row r="267" spans="1:14" ht="38.25" x14ac:dyDescent="0.2">
      <c r="A267" s="116" t="s">
        <v>477</v>
      </c>
      <c r="B267" s="117" t="s">
        <v>511</v>
      </c>
      <c r="C267" s="117" t="s">
        <v>230</v>
      </c>
      <c r="D267" s="117" t="s">
        <v>372</v>
      </c>
      <c r="E267" s="117"/>
      <c r="F267" s="117"/>
      <c r="G267" s="117" t="s">
        <v>1849</v>
      </c>
      <c r="H267" s="117"/>
      <c r="I267" s="117"/>
      <c r="N267" s="52" t="s">
        <v>271</v>
      </c>
    </row>
    <row r="268" spans="1:14" ht="38.25" x14ac:dyDescent="0.2">
      <c r="A268" s="116" t="s">
        <v>478</v>
      </c>
      <c r="B268" s="117" t="s">
        <v>479</v>
      </c>
      <c r="C268" s="117" t="s">
        <v>230</v>
      </c>
      <c r="D268" s="117" t="s">
        <v>372</v>
      </c>
      <c r="E268" s="117"/>
      <c r="F268" s="117"/>
      <c r="G268" s="117" t="s">
        <v>1849</v>
      </c>
      <c r="H268" s="117"/>
      <c r="I268" s="117"/>
      <c r="N268" s="52" t="s">
        <v>272</v>
      </c>
    </row>
    <row r="269" spans="1:14" ht="38.25" x14ac:dyDescent="0.2">
      <c r="A269" s="116" t="s">
        <v>480</v>
      </c>
      <c r="B269" s="117" t="s">
        <v>512</v>
      </c>
      <c r="C269" s="117" t="s">
        <v>230</v>
      </c>
      <c r="D269" s="117" t="s">
        <v>372</v>
      </c>
      <c r="E269" s="117"/>
      <c r="F269" s="117"/>
      <c r="G269" s="117" t="s">
        <v>1849</v>
      </c>
      <c r="H269" s="117"/>
      <c r="I269" s="117"/>
      <c r="N269" s="52" t="s">
        <v>273</v>
      </c>
    </row>
    <row r="270" spans="1:14" ht="38.25" x14ac:dyDescent="0.2">
      <c r="A270" s="116" t="s">
        <v>481</v>
      </c>
      <c r="B270" s="117" t="s">
        <v>513</v>
      </c>
      <c r="C270" s="117" t="s">
        <v>230</v>
      </c>
      <c r="D270" s="117" t="s">
        <v>372</v>
      </c>
      <c r="E270" s="117"/>
      <c r="F270" s="117"/>
      <c r="G270" s="117" t="s">
        <v>1849</v>
      </c>
      <c r="H270" s="117"/>
      <c r="I270" s="117"/>
      <c r="N270" s="52" t="s">
        <v>274</v>
      </c>
    </row>
    <row r="271" spans="1:14" ht="38.25" x14ac:dyDescent="0.2">
      <c r="A271" s="116" t="s">
        <v>482</v>
      </c>
      <c r="B271" s="117" t="s">
        <v>514</v>
      </c>
      <c r="C271" s="117" t="s">
        <v>230</v>
      </c>
      <c r="D271" s="117" t="s">
        <v>372</v>
      </c>
      <c r="E271" s="117"/>
      <c r="F271" s="117"/>
      <c r="G271" s="117" t="s">
        <v>1849</v>
      </c>
      <c r="H271" s="117"/>
      <c r="I271" s="117"/>
      <c r="N271" s="52" t="s">
        <v>275</v>
      </c>
    </row>
    <row r="272" spans="1:14" ht="51" x14ac:dyDescent="0.2">
      <c r="A272" s="116" t="s">
        <v>483</v>
      </c>
      <c r="B272" s="117" t="s">
        <v>515</v>
      </c>
      <c r="C272" s="117" t="s">
        <v>230</v>
      </c>
      <c r="D272" s="117" t="s">
        <v>372</v>
      </c>
      <c r="E272" s="117"/>
      <c r="F272" s="117"/>
      <c r="G272" s="117" t="s">
        <v>1849</v>
      </c>
      <c r="H272" s="117"/>
      <c r="I272" s="117"/>
      <c r="N272" s="52" t="s">
        <v>577</v>
      </c>
    </row>
    <row r="273" spans="1:14" ht="38.25" x14ac:dyDescent="0.2">
      <c r="A273" s="116" t="s">
        <v>484</v>
      </c>
      <c r="B273" s="117" t="s">
        <v>516</v>
      </c>
      <c r="C273" s="117" t="s">
        <v>230</v>
      </c>
      <c r="D273" s="117" t="s">
        <v>372</v>
      </c>
      <c r="E273" s="117"/>
      <c r="F273" s="117"/>
      <c r="G273" s="117" t="s">
        <v>1849</v>
      </c>
      <c r="H273" s="117"/>
      <c r="I273" s="117"/>
      <c r="N273" s="52" t="s">
        <v>276</v>
      </c>
    </row>
    <row r="274" spans="1:14" ht="38.25" x14ac:dyDescent="0.2">
      <c r="A274" s="116" t="s">
        <v>485</v>
      </c>
      <c r="B274" s="117" t="s">
        <v>517</v>
      </c>
      <c r="C274" s="117" t="s">
        <v>230</v>
      </c>
      <c r="D274" s="117" t="s">
        <v>372</v>
      </c>
      <c r="E274" s="117"/>
      <c r="F274" s="117"/>
      <c r="G274" s="117" t="s">
        <v>1849</v>
      </c>
      <c r="H274" s="117"/>
      <c r="I274" s="117"/>
      <c r="N274" s="52" t="s">
        <v>277</v>
      </c>
    </row>
    <row r="275" spans="1:14" ht="38.25" x14ac:dyDescent="0.2">
      <c r="A275" s="116" t="s">
        <v>486</v>
      </c>
      <c r="B275" s="117" t="s">
        <v>518</v>
      </c>
      <c r="C275" s="117" t="s">
        <v>230</v>
      </c>
      <c r="D275" s="117" t="s">
        <v>372</v>
      </c>
      <c r="E275" s="117"/>
      <c r="F275" s="117"/>
      <c r="G275" s="117" t="s">
        <v>1849</v>
      </c>
      <c r="H275" s="117"/>
      <c r="I275" s="117"/>
      <c r="N275" s="52" t="s">
        <v>278</v>
      </c>
    </row>
    <row r="276" spans="1:14" ht="38.25" x14ac:dyDescent="0.2">
      <c r="A276" s="116" t="s">
        <v>487</v>
      </c>
      <c r="B276" s="117" t="s">
        <v>519</v>
      </c>
      <c r="C276" s="117" t="s">
        <v>230</v>
      </c>
      <c r="D276" s="117" t="s">
        <v>372</v>
      </c>
      <c r="E276" s="117"/>
      <c r="F276" s="117"/>
      <c r="G276" s="117" t="s">
        <v>1849</v>
      </c>
      <c r="H276" s="117"/>
      <c r="I276" s="117"/>
      <c r="N276" s="52" t="s">
        <v>279</v>
      </c>
    </row>
    <row r="277" spans="1:14" ht="38.25" x14ac:dyDescent="0.2">
      <c r="A277" s="116" t="s">
        <v>488</v>
      </c>
      <c r="B277" s="117" t="s">
        <v>520</v>
      </c>
      <c r="C277" s="117" t="s">
        <v>230</v>
      </c>
      <c r="D277" s="117" t="s">
        <v>372</v>
      </c>
      <c r="E277" s="117"/>
      <c r="F277" s="117"/>
      <c r="G277" s="117" t="s">
        <v>1849</v>
      </c>
      <c r="H277" s="117"/>
      <c r="I277" s="117"/>
      <c r="N277" s="52" t="s">
        <v>280</v>
      </c>
    </row>
    <row r="278" spans="1:14" ht="38.25" x14ac:dyDescent="0.2">
      <c r="A278" s="116" t="s">
        <v>489</v>
      </c>
      <c r="B278" s="117" t="s">
        <v>521</v>
      </c>
      <c r="C278" s="117" t="s">
        <v>230</v>
      </c>
      <c r="D278" s="117" t="s">
        <v>372</v>
      </c>
      <c r="E278" s="117"/>
      <c r="F278" s="117"/>
      <c r="G278" s="117" t="s">
        <v>1849</v>
      </c>
      <c r="H278" s="117"/>
      <c r="I278" s="117"/>
      <c r="N278" s="52" t="s">
        <v>281</v>
      </c>
    </row>
    <row r="279" spans="1:14" ht="38.25" x14ac:dyDescent="0.2">
      <c r="A279" s="116" t="s">
        <v>490</v>
      </c>
      <c r="B279" s="117" t="s">
        <v>522</v>
      </c>
      <c r="C279" s="117" t="s">
        <v>230</v>
      </c>
      <c r="D279" s="117" t="s">
        <v>370</v>
      </c>
      <c r="E279" s="117"/>
      <c r="F279" s="117"/>
      <c r="G279" s="117" t="s">
        <v>1849</v>
      </c>
      <c r="H279" s="117"/>
      <c r="I279" s="117"/>
      <c r="N279" s="52" t="s">
        <v>282</v>
      </c>
    </row>
    <row r="280" spans="1:14" ht="38.25" x14ac:dyDescent="0.2">
      <c r="A280" s="116" t="s">
        <v>491</v>
      </c>
      <c r="B280" s="117" t="s">
        <v>525</v>
      </c>
      <c r="C280" s="117" t="s">
        <v>230</v>
      </c>
      <c r="D280" s="117" t="s">
        <v>370</v>
      </c>
      <c r="E280" s="117"/>
      <c r="F280" s="117"/>
      <c r="G280" s="117" t="s">
        <v>1849</v>
      </c>
      <c r="H280" s="117"/>
      <c r="I280" s="117"/>
      <c r="N280" s="52" t="s">
        <v>283</v>
      </c>
    </row>
    <row r="281" spans="1:14" ht="38.25" x14ac:dyDescent="0.2">
      <c r="A281" s="116" t="s">
        <v>492</v>
      </c>
      <c r="B281" s="117" t="s">
        <v>523</v>
      </c>
      <c r="C281" s="117" t="s">
        <v>230</v>
      </c>
      <c r="D281" s="117" t="s">
        <v>370</v>
      </c>
      <c r="E281" s="117"/>
      <c r="F281" s="117"/>
      <c r="G281" s="117" t="s">
        <v>1849</v>
      </c>
      <c r="H281" s="117"/>
      <c r="I281" s="117"/>
      <c r="N281" s="52" t="s">
        <v>284</v>
      </c>
    </row>
    <row r="282" spans="1:14" ht="38.25" x14ac:dyDescent="0.2">
      <c r="A282" s="116" t="s">
        <v>493</v>
      </c>
      <c r="B282" s="117" t="s">
        <v>524</v>
      </c>
      <c r="C282" s="117" t="s">
        <v>230</v>
      </c>
      <c r="D282" s="117" t="s">
        <v>370</v>
      </c>
      <c r="E282" s="117"/>
      <c r="F282" s="117"/>
      <c r="G282" s="117" t="s">
        <v>1849</v>
      </c>
      <c r="H282" s="117"/>
      <c r="I282" s="117"/>
      <c r="N282" s="52" t="s">
        <v>285</v>
      </c>
    </row>
    <row r="283" spans="1:14" ht="38.25" x14ac:dyDescent="0.2">
      <c r="A283" s="116" t="s">
        <v>494</v>
      </c>
      <c r="B283" s="117" t="s">
        <v>526</v>
      </c>
      <c r="C283" s="117" t="s">
        <v>230</v>
      </c>
      <c r="D283" s="117" t="s">
        <v>370</v>
      </c>
      <c r="E283" s="117"/>
      <c r="F283" s="117"/>
      <c r="G283" s="117" t="s">
        <v>1849</v>
      </c>
      <c r="H283" s="117"/>
      <c r="I283" s="117"/>
      <c r="N283" s="52" t="s">
        <v>286</v>
      </c>
    </row>
    <row r="284" spans="1:14" ht="38.25" x14ac:dyDescent="0.2">
      <c r="A284" s="116" t="s">
        <v>495</v>
      </c>
      <c r="B284" s="117" t="s">
        <v>527</v>
      </c>
      <c r="C284" s="117" t="s">
        <v>230</v>
      </c>
      <c r="D284" s="117" t="s">
        <v>370</v>
      </c>
      <c r="E284" s="117"/>
      <c r="F284" s="117"/>
      <c r="G284" s="117" t="s">
        <v>1849</v>
      </c>
      <c r="H284" s="117"/>
      <c r="I284" s="117"/>
      <c r="N284" s="52" t="s">
        <v>287</v>
      </c>
    </row>
    <row r="285" spans="1:14" ht="38.25" x14ac:dyDescent="0.2">
      <c r="A285" s="116" t="s">
        <v>496</v>
      </c>
      <c r="B285" s="117" t="s">
        <v>528</v>
      </c>
      <c r="C285" s="117" t="s">
        <v>230</v>
      </c>
      <c r="D285" s="117" t="s">
        <v>370</v>
      </c>
      <c r="E285" s="117"/>
      <c r="F285" s="117"/>
      <c r="G285" s="117" t="s">
        <v>1849</v>
      </c>
      <c r="H285" s="117"/>
      <c r="I285" s="117"/>
      <c r="N285" s="52" t="s">
        <v>288</v>
      </c>
    </row>
    <row r="286" spans="1:14" ht="38.25" x14ac:dyDescent="0.2">
      <c r="A286" s="116" t="s">
        <v>497</v>
      </c>
      <c r="B286" s="117" t="s">
        <v>529</v>
      </c>
      <c r="C286" s="117" t="s">
        <v>230</v>
      </c>
      <c r="D286" s="117" t="s">
        <v>370</v>
      </c>
      <c r="E286" s="117"/>
      <c r="F286" s="117"/>
      <c r="G286" s="117" t="s">
        <v>1849</v>
      </c>
      <c r="H286" s="117"/>
      <c r="I286" s="117"/>
      <c r="N286" s="52" t="s">
        <v>289</v>
      </c>
    </row>
    <row r="287" spans="1:14" ht="38.25" x14ac:dyDescent="0.2">
      <c r="A287" s="116" t="s">
        <v>498</v>
      </c>
      <c r="B287" s="117" t="s">
        <v>530</v>
      </c>
      <c r="C287" s="117" t="s">
        <v>230</v>
      </c>
      <c r="D287" s="117" t="s">
        <v>370</v>
      </c>
      <c r="E287" s="117"/>
      <c r="F287" s="117"/>
      <c r="G287" s="117" t="s">
        <v>1849</v>
      </c>
      <c r="H287" s="117"/>
      <c r="I287" s="117"/>
      <c r="N287" s="52" t="s">
        <v>290</v>
      </c>
    </row>
    <row r="288" spans="1:14" ht="38.25" x14ac:dyDescent="0.2">
      <c r="A288" s="116" t="s">
        <v>499</v>
      </c>
      <c r="B288" s="117" t="s">
        <v>531</v>
      </c>
      <c r="C288" s="117" t="s">
        <v>230</v>
      </c>
      <c r="D288" s="117" t="s">
        <v>370</v>
      </c>
      <c r="E288" s="117"/>
      <c r="F288" s="117"/>
      <c r="G288" s="117" t="s">
        <v>1849</v>
      </c>
      <c r="H288" s="117"/>
      <c r="I288" s="117"/>
      <c r="N288" s="52" t="s">
        <v>291</v>
      </c>
    </row>
    <row r="289" spans="1:14" ht="38.25" x14ac:dyDescent="0.2">
      <c r="A289" s="116" t="s">
        <v>500</v>
      </c>
      <c r="B289" s="117" t="s">
        <v>532</v>
      </c>
      <c r="C289" s="117" t="s">
        <v>230</v>
      </c>
      <c r="D289" s="117" t="s">
        <v>370</v>
      </c>
      <c r="E289" s="117"/>
      <c r="F289" s="117"/>
      <c r="G289" s="117" t="s">
        <v>1849</v>
      </c>
      <c r="H289" s="117"/>
      <c r="I289" s="117"/>
      <c r="N289" s="52" t="s">
        <v>292</v>
      </c>
    </row>
    <row r="290" spans="1:14" ht="38.25" x14ac:dyDescent="0.2">
      <c r="A290" s="116" t="s">
        <v>501</v>
      </c>
      <c r="B290" s="117" t="s">
        <v>533</v>
      </c>
      <c r="C290" s="117" t="s">
        <v>230</v>
      </c>
      <c r="D290" s="117" t="s">
        <v>370</v>
      </c>
      <c r="E290" s="117"/>
      <c r="F290" s="117"/>
      <c r="G290" s="117" t="s">
        <v>1849</v>
      </c>
      <c r="H290" s="117"/>
      <c r="I290" s="117"/>
      <c r="N290" s="52" t="s">
        <v>293</v>
      </c>
    </row>
    <row r="291" spans="1:14" ht="38.25" x14ac:dyDescent="0.2">
      <c r="A291" s="116" t="s">
        <v>502</v>
      </c>
      <c r="B291" s="117" t="s">
        <v>534</v>
      </c>
      <c r="C291" s="117" t="s">
        <v>230</v>
      </c>
      <c r="D291" s="117" t="s">
        <v>370</v>
      </c>
      <c r="E291" s="117"/>
      <c r="F291" s="117"/>
      <c r="G291" s="117" t="s">
        <v>1849</v>
      </c>
      <c r="H291" s="117"/>
      <c r="I291" s="117"/>
      <c r="N291" s="52" t="s">
        <v>294</v>
      </c>
    </row>
    <row r="292" spans="1:14" x14ac:dyDescent="0.2">
      <c r="A292" s="116" t="s">
        <v>451</v>
      </c>
      <c r="B292" s="117" t="s">
        <v>503</v>
      </c>
      <c r="C292" s="117" t="s">
        <v>225</v>
      </c>
      <c r="D292" s="117"/>
      <c r="E292" s="117"/>
      <c r="F292" s="117"/>
      <c r="G292" s="117"/>
      <c r="H292" s="117"/>
      <c r="I292" s="117"/>
      <c r="N292" s="52" t="s">
        <v>295</v>
      </c>
    </row>
    <row r="293" spans="1:14" x14ac:dyDescent="0.2">
      <c r="A293" s="116"/>
      <c r="B293" s="117"/>
      <c r="C293" s="117"/>
      <c r="D293" s="117"/>
      <c r="E293" s="117"/>
      <c r="F293" s="117"/>
      <c r="G293" s="117"/>
      <c r="H293" s="117"/>
      <c r="I293" s="117"/>
      <c r="N293" s="52" t="s">
        <v>296</v>
      </c>
    </row>
    <row r="294" spans="1:14" x14ac:dyDescent="0.2">
      <c r="A294" s="116"/>
      <c r="B294" s="117"/>
      <c r="C294" s="117"/>
      <c r="D294" s="117"/>
      <c r="E294" s="117"/>
      <c r="F294" s="117"/>
      <c r="G294" s="117"/>
      <c r="H294" s="117"/>
      <c r="I294" s="117"/>
      <c r="N294" s="52" t="s">
        <v>297</v>
      </c>
    </row>
    <row r="295" spans="1:14" x14ac:dyDescent="0.2">
      <c r="A295" s="116"/>
      <c r="B295" s="117"/>
      <c r="C295" s="117"/>
      <c r="D295" s="117"/>
      <c r="E295" s="117"/>
      <c r="F295" s="117"/>
      <c r="G295" s="117"/>
      <c r="H295" s="117"/>
      <c r="I295" s="117"/>
      <c r="N295" s="52" t="s">
        <v>298</v>
      </c>
    </row>
    <row r="296" spans="1:14" x14ac:dyDescent="0.2">
      <c r="A296" s="116"/>
      <c r="B296" s="117"/>
      <c r="C296" s="117"/>
      <c r="D296" s="117"/>
      <c r="E296" s="117"/>
      <c r="F296" s="117"/>
      <c r="G296" s="117"/>
      <c r="H296" s="117"/>
      <c r="I296" s="117"/>
      <c r="N296" s="52" t="s">
        <v>299</v>
      </c>
    </row>
    <row r="297" spans="1:14" x14ac:dyDescent="0.2">
      <c r="A297" s="116"/>
      <c r="B297" s="117"/>
      <c r="C297" s="117"/>
      <c r="D297" s="117"/>
      <c r="E297" s="117"/>
      <c r="F297" s="117"/>
      <c r="G297" s="117"/>
      <c r="H297" s="117"/>
      <c r="I297" s="117"/>
      <c r="N297" s="52" t="s">
        <v>300</v>
      </c>
    </row>
    <row r="298" spans="1:14" x14ac:dyDescent="0.2">
      <c r="A298" s="116"/>
      <c r="B298" s="117"/>
      <c r="C298" s="117"/>
      <c r="D298" s="117"/>
      <c r="E298" s="117"/>
      <c r="F298" s="117"/>
      <c r="G298" s="117"/>
      <c r="H298" s="117"/>
      <c r="I298" s="117"/>
      <c r="N298" s="52" t="s">
        <v>301</v>
      </c>
    </row>
    <row r="299" spans="1:14" x14ac:dyDescent="0.2">
      <c r="A299" s="116"/>
      <c r="B299" s="117"/>
      <c r="C299" s="117"/>
      <c r="D299" s="117"/>
      <c r="E299" s="117"/>
      <c r="F299" s="117"/>
      <c r="G299" s="117"/>
      <c r="H299" s="117"/>
      <c r="I299" s="117"/>
      <c r="N299" s="52" t="s">
        <v>302</v>
      </c>
    </row>
    <row r="300" spans="1:14" x14ac:dyDescent="0.2">
      <c r="A300" s="116"/>
      <c r="B300" s="117"/>
      <c r="C300" s="117"/>
      <c r="D300" s="117"/>
      <c r="E300" s="117"/>
      <c r="F300" s="117"/>
      <c r="G300" s="117"/>
      <c r="H300" s="117"/>
      <c r="I300" s="117"/>
      <c r="N300" s="52" t="s">
        <v>303</v>
      </c>
    </row>
    <row r="301" spans="1:14" x14ac:dyDescent="0.2">
      <c r="A301" s="116"/>
      <c r="B301" s="117"/>
      <c r="C301" s="117"/>
      <c r="D301" s="117"/>
      <c r="E301" s="117"/>
      <c r="F301" s="117"/>
      <c r="G301" s="117"/>
      <c r="H301" s="117"/>
      <c r="I301" s="117"/>
      <c r="N301" s="52" t="s">
        <v>304</v>
      </c>
    </row>
    <row r="302" spans="1:14" x14ac:dyDescent="0.2">
      <c r="A302" s="116"/>
      <c r="B302" s="117"/>
      <c r="C302" s="117"/>
      <c r="D302" s="117"/>
      <c r="E302" s="117"/>
      <c r="F302" s="117"/>
      <c r="G302" s="117"/>
      <c r="H302" s="117"/>
      <c r="I302" s="117"/>
      <c r="N302" s="52" t="s">
        <v>305</v>
      </c>
    </row>
    <row r="303" spans="1:14" x14ac:dyDescent="0.2">
      <c r="A303" s="116"/>
      <c r="B303" s="117"/>
      <c r="C303" s="117"/>
      <c r="D303" s="117"/>
      <c r="E303" s="117"/>
      <c r="F303" s="117"/>
      <c r="G303" s="117"/>
      <c r="H303" s="117"/>
      <c r="I303" s="117"/>
      <c r="N303" s="52" t="s">
        <v>306</v>
      </c>
    </row>
    <row r="304" spans="1:14" x14ac:dyDescent="0.2">
      <c r="A304" s="116"/>
      <c r="B304" s="117"/>
      <c r="C304" s="117"/>
      <c r="D304" s="117"/>
      <c r="E304" s="117"/>
      <c r="F304" s="117"/>
      <c r="G304" s="117"/>
      <c r="H304" s="117"/>
      <c r="I304" s="117"/>
      <c r="N304" s="52" t="s">
        <v>307</v>
      </c>
    </row>
    <row r="305" spans="1:14" x14ac:dyDescent="0.2">
      <c r="A305" s="116"/>
      <c r="B305" s="117"/>
      <c r="C305" s="117"/>
      <c r="D305" s="117"/>
      <c r="E305" s="117"/>
      <c r="F305" s="117"/>
      <c r="G305" s="117"/>
      <c r="H305" s="117"/>
      <c r="I305" s="117"/>
      <c r="N305" s="52" t="s">
        <v>308</v>
      </c>
    </row>
    <row r="306" spans="1:14" x14ac:dyDescent="0.2">
      <c r="A306" s="116"/>
      <c r="B306" s="117"/>
      <c r="C306" s="117"/>
      <c r="D306" s="117"/>
      <c r="E306" s="117"/>
      <c r="F306" s="117"/>
      <c r="G306" s="117"/>
      <c r="H306" s="117"/>
      <c r="I306" s="117"/>
      <c r="N306" s="52" t="s">
        <v>309</v>
      </c>
    </row>
    <row r="307" spans="1:14" x14ac:dyDescent="0.2">
      <c r="A307" s="116"/>
      <c r="B307" s="117"/>
      <c r="C307" s="117"/>
      <c r="D307" s="117"/>
      <c r="E307" s="117"/>
      <c r="F307" s="117"/>
      <c r="G307" s="117"/>
      <c r="H307" s="117"/>
      <c r="I307" s="117"/>
      <c r="N307" s="52" t="s">
        <v>310</v>
      </c>
    </row>
    <row r="308" spans="1:14" x14ac:dyDescent="0.2">
      <c r="A308" s="116"/>
      <c r="B308" s="117"/>
      <c r="C308" s="117"/>
      <c r="D308" s="117"/>
      <c r="E308" s="117"/>
      <c r="F308" s="117"/>
      <c r="G308" s="117"/>
      <c r="H308" s="117"/>
      <c r="I308" s="117"/>
      <c r="N308" s="52" t="s">
        <v>311</v>
      </c>
    </row>
    <row r="309" spans="1:14" x14ac:dyDescent="0.2">
      <c r="A309" s="116"/>
      <c r="B309" s="117"/>
      <c r="C309" s="117"/>
      <c r="D309" s="117"/>
      <c r="E309" s="117"/>
      <c r="F309" s="117"/>
      <c r="G309" s="117"/>
      <c r="H309" s="117"/>
      <c r="I309" s="117"/>
      <c r="N309" s="52" t="s">
        <v>576</v>
      </c>
    </row>
    <row r="310" spans="1:14" x14ac:dyDescent="0.2">
      <c r="A310" s="116"/>
      <c r="B310" s="117"/>
      <c r="C310" s="117"/>
      <c r="D310" s="117"/>
      <c r="E310" s="117"/>
      <c r="F310" s="117"/>
      <c r="G310" s="117"/>
      <c r="H310" s="117"/>
      <c r="I310" s="117"/>
      <c r="N310" s="52" t="s">
        <v>312</v>
      </c>
    </row>
    <row r="311" spans="1:14" x14ac:dyDescent="0.2">
      <c r="A311" s="116"/>
      <c r="B311" s="117"/>
      <c r="C311" s="117"/>
      <c r="D311" s="117"/>
      <c r="E311" s="117"/>
      <c r="F311" s="117"/>
      <c r="G311" s="117"/>
      <c r="H311" s="117"/>
      <c r="I311" s="117"/>
      <c r="N311" s="52" t="s">
        <v>313</v>
      </c>
    </row>
    <row r="312" spans="1:14" x14ac:dyDescent="0.2">
      <c r="A312" s="116"/>
      <c r="B312" s="117"/>
      <c r="C312" s="117"/>
      <c r="D312" s="117"/>
      <c r="E312" s="117"/>
      <c r="F312" s="117"/>
      <c r="G312" s="117"/>
      <c r="H312" s="117"/>
      <c r="I312" s="117"/>
      <c r="N312" s="52" t="s">
        <v>314</v>
      </c>
    </row>
    <row r="313" spans="1:14" x14ac:dyDescent="0.2">
      <c r="A313" s="116"/>
      <c r="B313" s="117"/>
      <c r="C313" s="117"/>
      <c r="D313" s="117"/>
      <c r="E313" s="117"/>
      <c r="F313" s="117"/>
      <c r="G313" s="117"/>
      <c r="H313" s="117"/>
      <c r="I313" s="117"/>
      <c r="N313" s="52" t="s">
        <v>315</v>
      </c>
    </row>
    <row r="314" spans="1:14" x14ac:dyDescent="0.2">
      <c r="A314" s="116"/>
      <c r="B314" s="117"/>
      <c r="C314" s="117"/>
      <c r="D314" s="117"/>
      <c r="E314" s="117"/>
      <c r="F314" s="117"/>
      <c r="G314" s="117"/>
      <c r="H314" s="117"/>
      <c r="I314" s="117"/>
      <c r="N314" s="52" t="s">
        <v>316</v>
      </c>
    </row>
    <row r="315" spans="1:14" x14ac:dyDescent="0.2">
      <c r="A315" s="116"/>
      <c r="B315" s="117"/>
      <c r="C315" s="117"/>
      <c r="D315" s="117"/>
      <c r="E315" s="117"/>
      <c r="F315" s="117"/>
      <c r="G315" s="117"/>
      <c r="H315" s="117"/>
      <c r="I315" s="117"/>
      <c r="N315" s="52" t="s">
        <v>317</v>
      </c>
    </row>
    <row r="316" spans="1:14" x14ac:dyDescent="0.2">
      <c r="A316" s="116"/>
      <c r="B316" s="117"/>
      <c r="C316" s="117"/>
      <c r="D316" s="117"/>
      <c r="E316" s="117"/>
      <c r="F316" s="117"/>
      <c r="G316" s="117"/>
      <c r="H316" s="117"/>
      <c r="I316" s="117"/>
      <c r="N316" s="52" t="s">
        <v>318</v>
      </c>
    </row>
    <row r="317" spans="1:14" x14ac:dyDescent="0.2">
      <c r="A317" s="116"/>
      <c r="B317" s="117"/>
      <c r="C317" s="117"/>
      <c r="D317" s="117"/>
      <c r="E317" s="117"/>
      <c r="F317" s="117"/>
      <c r="G317" s="117"/>
      <c r="H317" s="117"/>
      <c r="I317" s="117"/>
      <c r="N317" s="52" t="s">
        <v>319</v>
      </c>
    </row>
    <row r="318" spans="1:14" x14ac:dyDescent="0.2">
      <c r="A318" s="116"/>
      <c r="B318" s="117"/>
      <c r="C318" s="117"/>
      <c r="D318" s="117"/>
      <c r="E318" s="117"/>
      <c r="F318" s="117"/>
      <c r="G318" s="117"/>
      <c r="H318" s="117"/>
      <c r="I318" s="117"/>
      <c r="N318" s="52" t="s">
        <v>320</v>
      </c>
    </row>
    <row r="319" spans="1:14" x14ac:dyDescent="0.2">
      <c r="A319" s="116"/>
      <c r="B319" s="117"/>
      <c r="C319" s="117"/>
      <c r="D319" s="117"/>
      <c r="E319" s="117"/>
      <c r="F319" s="117"/>
      <c r="G319" s="117"/>
      <c r="H319" s="117"/>
      <c r="I319" s="117"/>
      <c r="L319" s="118"/>
      <c r="M319" s="118"/>
      <c r="N319" s="52" t="s">
        <v>321</v>
      </c>
    </row>
    <row r="320" spans="1:14" x14ac:dyDescent="0.2">
      <c r="A320" s="116"/>
      <c r="B320" s="117"/>
      <c r="C320" s="117"/>
      <c r="D320" s="117"/>
      <c r="E320" s="117"/>
      <c r="F320" s="117"/>
      <c r="G320" s="117"/>
      <c r="H320" s="117"/>
      <c r="I320" s="117"/>
      <c r="N320" s="52" t="s">
        <v>322</v>
      </c>
    </row>
    <row r="321" spans="1:14" x14ac:dyDescent="0.2">
      <c r="A321" s="116"/>
      <c r="B321" s="117"/>
      <c r="C321" s="117"/>
      <c r="D321" s="117"/>
      <c r="E321" s="117"/>
      <c r="F321" s="117"/>
      <c r="G321" s="117"/>
      <c r="H321" s="117"/>
      <c r="I321" s="117"/>
      <c r="N321" s="52" t="s">
        <v>323</v>
      </c>
    </row>
    <row r="322" spans="1:14" x14ac:dyDescent="0.2">
      <c r="A322" s="116"/>
      <c r="B322" s="117"/>
      <c r="C322" s="117"/>
      <c r="D322" s="117"/>
      <c r="E322" s="117"/>
      <c r="F322" s="117"/>
      <c r="G322" s="117"/>
      <c r="H322" s="117"/>
      <c r="I322" s="117"/>
      <c r="N322" s="52" t="s">
        <v>324</v>
      </c>
    </row>
    <row r="323" spans="1:14" x14ac:dyDescent="0.2">
      <c r="A323" s="116"/>
      <c r="B323" s="117"/>
      <c r="C323" s="117"/>
      <c r="D323" s="117"/>
      <c r="E323" s="117"/>
      <c r="F323" s="117"/>
      <c r="G323" s="117"/>
      <c r="H323" s="117"/>
      <c r="I323" s="117"/>
      <c r="N323" s="52" t="s">
        <v>325</v>
      </c>
    </row>
    <row r="324" spans="1:14" x14ac:dyDescent="0.2">
      <c r="A324" s="116"/>
      <c r="B324" s="117"/>
      <c r="C324" s="117"/>
      <c r="D324" s="117"/>
      <c r="E324" s="117"/>
      <c r="F324" s="117"/>
      <c r="G324" s="117"/>
      <c r="H324" s="117"/>
      <c r="I324" s="117"/>
      <c r="N324" s="52" t="s">
        <v>326</v>
      </c>
    </row>
    <row r="325" spans="1:14" x14ac:dyDescent="0.2">
      <c r="A325" s="116"/>
      <c r="B325" s="117"/>
      <c r="C325" s="117"/>
      <c r="D325" s="117"/>
      <c r="E325" s="117"/>
      <c r="F325" s="117"/>
      <c r="G325" s="117"/>
      <c r="H325" s="117"/>
      <c r="I325" s="117"/>
      <c r="N325" s="52" t="s">
        <v>327</v>
      </c>
    </row>
    <row r="326" spans="1:14" x14ac:dyDescent="0.2">
      <c r="A326" s="116"/>
      <c r="B326" s="117"/>
      <c r="C326" s="117"/>
      <c r="D326" s="117"/>
      <c r="E326" s="117"/>
      <c r="F326" s="117"/>
      <c r="G326" s="117"/>
      <c r="H326" s="117"/>
      <c r="I326" s="117"/>
      <c r="N326" s="52" t="s">
        <v>328</v>
      </c>
    </row>
    <row r="327" spans="1:14" x14ac:dyDescent="0.2">
      <c r="A327" s="116"/>
      <c r="B327" s="117"/>
      <c r="C327" s="117"/>
      <c r="D327" s="117"/>
      <c r="E327" s="117"/>
      <c r="F327" s="117"/>
      <c r="G327" s="117"/>
      <c r="H327" s="117"/>
      <c r="I327" s="117"/>
      <c r="N327" s="52" t="s">
        <v>329</v>
      </c>
    </row>
    <row r="328" spans="1:14" x14ac:dyDescent="0.2">
      <c r="A328" s="116"/>
      <c r="B328" s="117"/>
      <c r="C328" s="117"/>
      <c r="D328" s="117"/>
      <c r="E328" s="117"/>
      <c r="F328" s="117"/>
      <c r="G328" s="117"/>
      <c r="H328" s="117"/>
      <c r="I328" s="117"/>
      <c r="N328" s="52" t="s">
        <v>575</v>
      </c>
    </row>
    <row r="329" spans="1:14" x14ac:dyDescent="0.2">
      <c r="A329" s="116"/>
      <c r="B329" s="117"/>
      <c r="C329" s="117"/>
      <c r="D329" s="117"/>
      <c r="E329" s="117"/>
      <c r="F329" s="117"/>
      <c r="G329" s="117"/>
      <c r="H329" s="117"/>
      <c r="I329" s="117"/>
      <c r="N329" s="52" t="s">
        <v>330</v>
      </c>
    </row>
    <row r="330" spans="1:14" x14ac:dyDescent="0.2">
      <c r="A330" s="116"/>
      <c r="B330" s="117"/>
      <c r="C330" s="117"/>
      <c r="D330" s="117"/>
      <c r="E330" s="117"/>
      <c r="F330" s="117"/>
      <c r="G330" s="117"/>
      <c r="H330" s="117"/>
      <c r="I330" s="117"/>
      <c r="N330" s="52" t="s">
        <v>331</v>
      </c>
    </row>
    <row r="331" spans="1:14" x14ac:dyDescent="0.2">
      <c r="A331" s="116"/>
      <c r="B331" s="117"/>
      <c r="C331" s="117"/>
      <c r="D331" s="117"/>
      <c r="E331" s="117"/>
      <c r="F331" s="117"/>
      <c r="G331" s="117"/>
      <c r="H331" s="117"/>
      <c r="I331" s="117"/>
      <c r="N331" s="52" t="s">
        <v>332</v>
      </c>
    </row>
    <row r="332" spans="1:14" x14ac:dyDescent="0.2">
      <c r="A332" s="116"/>
      <c r="B332" s="117"/>
      <c r="C332" s="117"/>
      <c r="D332" s="117"/>
      <c r="E332" s="117"/>
      <c r="F332" s="117"/>
      <c r="G332" s="117"/>
      <c r="H332" s="117"/>
      <c r="I332" s="117"/>
      <c r="N332" s="52" t="s">
        <v>333</v>
      </c>
    </row>
    <row r="333" spans="1:14" x14ac:dyDescent="0.2">
      <c r="A333" s="116"/>
      <c r="B333" s="117"/>
      <c r="C333" s="117"/>
      <c r="D333" s="117"/>
      <c r="E333" s="117"/>
      <c r="F333" s="117"/>
      <c r="G333" s="117"/>
      <c r="H333" s="117"/>
      <c r="I333" s="117"/>
      <c r="N333" s="52" t="s">
        <v>334</v>
      </c>
    </row>
    <row r="334" spans="1:14" x14ac:dyDescent="0.2">
      <c r="A334" s="116"/>
      <c r="B334" s="117"/>
      <c r="C334" s="117"/>
      <c r="D334" s="117"/>
      <c r="E334" s="117"/>
      <c r="F334" s="117"/>
      <c r="G334" s="117"/>
      <c r="H334" s="117"/>
      <c r="I334" s="117"/>
      <c r="N334" s="52" t="s">
        <v>335</v>
      </c>
    </row>
    <row r="335" spans="1:14" x14ac:dyDescent="0.2">
      <c r="A335" s="116"/>
      <c r="B335" s="117"/>
      <c r="C335" s="117"/>
      <c r="D335" s="117"/>
      <c r="E335" s="117"/>
      <c r="F335" s="117"/>
      <c r="G335" s="117"/>
      <c r="H335" s="117"/>
      <c r="I335" s="117"/>
      <c r="N335" s="52" t="s">
        <v>336</v>
      </c>
    </row>
    <row r="336" spans="1:14" x14ac:dyDescent="0.2">
      <c r="A336" s="116"/>
      <c r="B336" s="117"/>
      <c r="C336" s="117"/>
      <c r="D336" s="117"/>
      <c r="E336" s="117"/>
      <c r="F336" s="117"/>
      <c r="G336" s="117"/>
      <c r="H336" s="117"/>
      <c r="I336" s="117"/>
      <c r="N336" s="52" t="s">
        <v>574</v>
      </c>
    </row>
    <row r="337" spans="1:14" x14ac:dyDescent="0.2">
      <c r="A337" s="116"/>
      <c r="B337" s="117"/>
      <c r="C337" s="117"/>
      <c r="D337" s="117"/>
      <c r="E337" s="117"/>
      <c r="F337" s="117"/>
      <c r="G337" s="117"/>
      <c r="H337" s="117"/>
      <c r="I337" s="117"/>
      <c r="N337" s="52" t="s">
        <v>337</v>
      </c>
    </row>
    <row r="338" spans="1:14" x14ac:dyDescent="0.2">
      <c r="A338" s="116"/>
      <c r="B338" s="117"/>
      <c r="C338" s="117"/>
      <c r="D338" s="117"/>
      <c r="E338" s="117"/>
      <c r="F338" s="117"/>
      <c r="G338" s="117"/>
      <c r="H338" s="117"/>
      <c r="I338" s="117"/>
      <c r="N338" s="52" t="s">
        <v>338</v>
      </c>
    </row>
    <row r="339" spans="1:14" x14ac:dyDescent="0.2">
      <c r="A339" s="116"/>
      <c r="B339" s="117"/>
      <c r="C339" s="117"/>
      <c r="D339" s="117"/>
      <c r="E339" s="117"/>
      <c r="F339" s="117"/>
      <c r="G339" s="117"/>
      <c r="H339" s="117"/>
      <c r="I339" s="117"/>
      <c r="N339" s="52" t="s">
        <v>339</v>
      </c>
    </row>
    <row r="340" spans="1:14" x14ac:dyDescent="0.2">
      <c r="A340" s="116"/>
      <c r="B340" s="117"/>
      <c r="C340" s="117"/>
      <c r="D340" s="117"/>
      <c r="E340" s="117"/>
      <c r="F340" s="117"/>
      <c r="G340" s="117"/>
      <c r="H340" s="117"/>
      <c r="I340" s="117"/>
      <c r="N340" s="52" t="s">
        <v>573</v>
      </c>
    </row>
    <row r="341" spans="1:14" x14ac:dyDescent="0.2">
      <c r="A341" s="116"/>
      <c r="B341" s="117"/>
      <c r="C341" s="117"/>
      <c r="D341" s="117"/>
      <c r="E341" s="117"/>
      <c r="F341" s="117"/>
      <c r="G341" s="117"/>
      <c r="H341" s="117"/>
      <c r="I341" s="117"/>
      <c r="N341" s="52" t="s">
        <v>340</v>
      </c>
    </row>
    <row r="342" spans="1:14" x14ac:dyDescent="0.2">
      <c r="A342" s="116"/>
      <c r="B342" s="117"/>
      <c r="C342" s="117"/>
      <c r="D342" s="117"/>
      <c r="E342" s="117"/>
      <c r="F342" s="117"/>
      <c r="G342" s="117"/>
      <c r="H342" s="117"/>
      <c r="I342" s="117"/>
      <c r="N342" s="52" t="s">
        <v>341</v>
      </c>
    </row>
    <row r="343" spans="1:14" x14ac:dyDescent="0.2">
      <c r="A343" s="116"/>
      <c r="B343" s="117"/>
      <c r="C343" s="117"/>
      <c r="D343" s="117"/>
      <c r="E343" s="117"/>
      <c r="F343" s="117"/>
      <c r="G343" s="117"/>
      <c r="H343" s="117"/>
      <c r="I343" s="117"/>
      <c r="N343" s="52" t="s">
        <v>342</v>
      </c>
    </row>
    <row r="344" spans="1:14" x14ac:dyDescent="0.2">
      <c r="A344" s="116"/>
      <c r="B344" s="117"/>
      <c r="C344" s="117"/>
      <c r="D344" s="117"/>
      <c r="E344" s="117"/>
      <c r="F344" s="117"/>
      <c r="G344" s="117"/>
      <c r="H344" s="117"/>
      <c r="I344" s="117"/>
      <c r="N344" s="52" t="s">
        <v>343</v>
      </c>
    </row>
    <row r="345" spans="1:14" x14ac:dyDescent="0.2">
      <c r="A345" s="116"/>
      <c r="B345" s="117"/>
      <c r="C345" s="117"/>
      <c r="D345" s="117"/>
      <c r="E345" s="117"/>
      <c r="F345" s="117"/>
      <c r="G345" s="117"/>
      <c r="H345" s="117"/>
      <c r="I345" s="117"/>
      <c r="N345" s="52" t="s">
        <v>344</v>
      </c>
    </row>
    <row r="346" spans="1:14" x14ac:dyDescent="0.2">
      <c r="A346" s="116"/>
      <c r="B346" s="117"/>
      <c r="C346" s="117"/>
      <c r="D346" s="117"/>
      <c r="E346" s="117"/>
      <c r="F346" s="117"/>
      <c r="G346" s="117"/>
      <c r="H346" s="117"/>
      <c r="I346" s="117"/>
      <c r="N346" s="52" t="s">
        <v>345</v>
      </c>
    </row>
    <row r="347" spans="1:14" x14ac:dyDescent="0.2">
      <c r="A347" s="116"/>
      <c r="B347" s="117"/>
      <c r="C347" s="117"/>
      <c r="D347" s="117"/>
      <c r="E347" s="117"/>
      <c r="F347" s="117"/>
      <c r="G347" s="117"/>
      <c r="H347" s="117"/>
      <c r="I347" s="117"/>
      <c r="N347" s="52" t="s">
        <v>346</v>
      </c>
    </row>
    <row r="348" spans="1:14" x14ac:dyDescent="0.2">
      <c r="A348" s="116"/>
      <c r="B348" s="117"/>
      <c r="C348" s="117"/>
      <c r="D348" s="117"/>
      <c r="E348" s="117"/>
      <c r="F348" s="117"/>
      <c r="G348" s="117"/>
      <c r="H348" s="117"/>
      <c r="I348" s="117"/>
      <c r="N348" s="52" t="s">
        <v>347</v>
      </c>
    </row>
    <row r="349" spans="1:14" x14ac:dyDescent="0.2">
      <c r="A349" s="116"/>
      <c r="B349" s="117"/>
      <c r="C349" s="117"/>
      <c r="D349" s="117"/>
      <c r="E349" s="117"/>
      <c r="F349" s="117"/>
      <c r="G349" s="117"/>
      <c r="H349" s="117"/>
      <c r="I349" s="117"/>
      <c r="N349" s="52" t="s">
        <v>348</v>
      </c>
    </row>
    <row r="350" spans="1:14" x14ac:dyDescent="0.2">
      <c r="A350" s="116"/>
      <c r="B350" s="117"/>
      <c r="C350" s="117"/>
      <c r="D350" s="117"/>
      <c r="E350" s="117"/>
      <c r="F350" s="117"/>
      <c r="G350" s="117"/>
      <c r="H350" s="117"/>
      <c r="I350" s="117"/>
      <c r="N350" s="52" t="s">
        <v>349</v>
      </c>
    </row>
    <row r="351" spans="1:14" x14ac:dyDescent="0.2">
      <c r="A351" s="116"/>
      <c r="B351" s="117"/>
      <c r="C351" s="117"/>
      <c r="D351" s="117"/>
      <c r="E351" s="117"/>
      <c r="F351" s="117"/>
      <c r="G351" s="117"/>
      <c r="H351" s="117"/>
      <c r="I351" s="117"/>
      <c r="N351" s="52" t="s">
        <v>350</v>
      </c>
    </row>
    <row r="352" spans="1:14" x14ac:dyDescent="0.2">
      <c r="A352" s="116"/>
      <c r="B352" s="117"/>
      <c r="C352" s="117"/>
      <c r="D352" s="117"/>
      <c r="E352" s="117"/>
      <c r="F352" s="117"/>
      <c r="G352" s="117"/>
      <c r="H352" s="117"/>
      <c r="I352" s="117"/>
      <c r="N352" s="52" t="s">
        <v>351</v>
      </c>
    </row>
    <row r="353" spans="1:14" x14ac:dyDescent="0.2">
      <c r="A353" s="116"/>
      <c r="B353" s="117"/>
      <c r="C353" s="117"/>
      <c r="D353" s="117"/>
      <c r="E353" s="117"/>
      <c r="F353" s="117"/>
      <c r="G353" s="117"/>
      <c r="H353" s="117"/>
      <c r="I353" s="117"/>
      <c r="N353" s="52" t="s">
        <v>352</v>
      </c>
    </row>
    <row r="354" spans="1:14" x14ac:dyDescent="0.2">
      <c r="A354" s="116"/>
      <c r="B354" s="117"/>
      <c r="C354" s="117"/>
      <c r="D354" s="117"/>
      <c r="E354" s="117"/>
      <c r="F354" s="117"/>
      <c r="G354" s="117"/>
      <c r="H354" s="117"/>
      <c r="I354" s="117"/>
      <c r="N354" s="52" t="s">
        <v>353</v>
      </c>
    </row>
    <row r="355" spans="1:14" x14ac:dyDescent="0.2">
      <c r="A355" s="116"/>
      <c r="B355" s="117"/>
      <c r="C355" s="117"/>
      <c r="D355" s="117"/>
      <c r="E355" s="117"/>
      <c r="F355" s="117"/>
      <c r="G355" s="117"/>
      <c r="H355" s="117"/>
      <c r="I355" s="117"/>
      <c r="N355" s="52" t="s">
        <v>354</v>
      </c>
    </row>
    <row r="356" spans="1:14" x14ac:dyDescent="0.2">
      <c r="A356" s="116"/>
      <c r="B356" s="117"/>
      <c r="C356" s="117"/>
      <c r="D356" s="117"/>
      <c r="E356" s="117"/>
      <c r="F356" s="117"/>
      <c r="G356" s="117"/>
      <c r="H356" s="117"/>
      <c r="I356" s="117"/>
      <c r="N356" s="52" t="s">
        <v>355</v>
      </c>
    </row>
    <row r="357" spans="1:14" x14ac:dyDescent="0.2">
      <c r="A357" s="116"/>
      <c r="B357" s="117"/>
      <c r="C357" s="117"/>
      <c r="D357" s="117"/>
      <c r="E357" s="117"/>
      <c r="F357" s="117"/>
      <c r="G357" s="117"/>
      <c r="H357" s="117"/>
      <c r="I357" s="117"/>
      <c r="N357" s="52" t="s">
        <v>356</v>
      </c>
    </row>
    <row r="358" spans="1:14" x14ac:dyDescent="0.2">
      <c r="A358" s="116"/>
      <c r="B358" s="117"/>
      <c r="C358" s="117"/>
      <c r="D358" s="117"/>
      <c r="E358" s="117"/>
      <c r="F358" s="117"/>
      <c r="G358" s="117"/>
      <c r="H358" s="117"/>
      <c r="I358" s="117"/>
      <c r="N358" s="52" t="s">
        <v>357</v>
      </c>
    </row>
    <row r="359" spans="1:14" x14ac:dyDescent="0.2">
      <c r="A359" s="116"/>
      <c r="B359" s="117"/>
      <c r="C359" s="117"/>
      <c r="D359" s="117"/>
      <c r="E359" s="117"/>
      <c r="F359" s="117"/>
      <c r="G359" s="117"/>
      <c r="H359" s="117"/>
      <c r="I359" s="117"/>
      <c r="N359" s="52" t="s">
        <v>358</v>
      </c>
    </row>
    <row r="360" spans="1:14" x14ac:dyDescent="0.2">
      <c r="A360" s="116"/>
      <c r="B360" s="117"/>
      <c r="C360" s="117"/>
      <c r="D360" s="117"/>
      <c r="E360" s="117"/>
      <c r="F360" s="117"/>
      <c r="G360" s="117"/>
      <c r="H360" s="117"/>
      <c r="I360" s="117"/>
      <c r="N360" s="52" t="s">
        <v>359</v>
      </c>
    </row>
    <row r="361" spans="1:14" x14ac:dyDescent="0.2">
      <c r="A361" s="116"/>
      <c r="B361" s="117"/>
      <c r="C361" s="117"/>
      <c r="D361" s="117"/>
      <c r="E361" s="117"/>
      <c r="F361" s="117"/>
      <c r="G361" s="117"/>
      <c r="H361" s="117"/>
      <c r="I361" s="117"/>
      <c r="N361" s="52" t="s">
        <v>359</v>
      </c>
    </row>
    <row r="362" spans="1:14" x14ac:dyDescent="0.2">
      <c r="A362" s="116"/>
      <c r="B362" s="117"/>
      <c r="C362" s="117"/>
      <c r="D362" s="117"/>
      <c r="E362" s="117"/>
      <c r="F362" s="117"/>
      <c r="G362" s="117"/>
      <c r="H362" s="117"/>
      <c r="I362" s="117"/>
      <c r="N362" s="52" t="s">
        <v>360</v>
      </c>
    </row>
    <row r="363" spans="1:14" x14ac:dyDescent="0.2">
      <c r="A363" s="116"/>
      <c r="B363" s="117"/>
      <c r="C363" s="117"/>
      <c r="D363" s="117"/>
      <c r="E363" s="117"/>
      <c r="F363" s="117"/>
      <c r="G363" s="117"/>
      <c r="H363" s="117"/>
      <c r="I363" s="117"/>
      <c r="N363" s="52" t="s">
        <v>361</v>
      </c>
    </row>
    <row r="364" spans="1:14" x14ac:dyDescent="0.2">
      <c r="A364" s="116"/>
      <c r="B364" s="117"/>
      <c r="C364" s="117"/>
      <c r="D364" s="117"/>
      <c r="E364" s="117"/>
      <c r="F364" s="117"/>
      <c r="G364" s="117"/>
      <c r="H364" s="117"/>
      <c r="I364" s="117"/>
      <c r="N364" s="52" t="s">
        <v>362</v>
      </c>
    </row>
    <row r="365" spans="1:14" x14ac:dyDescent="0.2">
      <c r="A365" s="116"/>
      <c r="B365" s="117"/>
      <c r="C365" s="117"/>
      <c r="D365" s="117"/>
      <c r="E365" s="117"/>
      <c r="F365" s="117"/>
      <c r="G365" s="117"/>
      <c r="H365" s="117"/>
      <c r="I365" s="117"/>
      <c r="N365" s="52" t="s">
        <v>363</v>
      </c>
    </row>
    <row r="366" spans="1:14" x14ac:dyDescent="0.2">
      <c r="A366" s="116"/>
      <c r="B366" s="117"/>
      <c r="C366" s="117"/>
      <c r="D366" s="117"/>
      <c r="E366" s="117"/>
      <c r="F366" s="117"/>
      <c r="G366" s="117"/>
      <c r="H366" s="117"/>
      <c r="I366" s="117"/>
      <c r="N366" s="52" t="s">
        <v>364</v>
      </c>
    </row>
    <row r="367" spans="1:14" x14ac:dyDescent="0.2">
      <c r="A367" s="116"/>
      <c r="B367" s="117"/>
      <c r="C367" s="117"/>
      <c r="D367" s="117"/>
      <c r="E367" s="117"/>
      <c r="F367" s="117"/>
      <c r="G367" s="117"/>
      <c r="H367" s="117"/>
      <c r="I367" s="117"/>
      <c r="N367" s="52" t="s">
        <v>365</v>
      </c>
    </row>
    <row r="368" spans="1:14" x14ac:dyDescent="0.2">
      <c r="A368" s="116"/>
      <c r="B368" s="117"/>
      <c r="C368" s="117"/>
      <c r="D368" s="117"/>
      <c r="E368" s="117"/>
      <c r="F368" s="117"/>
      <c r="G368" s="117"/>
      <c r="H368" s="117"/>
      <c r="I368" s="117"/>
      <c r="N368" s="52" t="s">
        <v>366</v>
      </c>
    </row>
    <row r="369" spans="1:14" x14ac:dyDescent="0.2">
      <c r="A369" s="116"/>
      <c r="B369" s="117"/>
      <c r="C369" s="117"/>
      <c r="D369" s="117"/>
      <c r="E369" s="117"/>
      <c r="F369" s="117"/>
      <c r="G369" s="117"/>
      <c r="H369" s="117"/>
      <c r="I369" s="117"/>
      <c r="N369" s="52" t="s">
        <v>572</v>
      </c>
    </row>
    <row r="370" spans="1:14" x14ac:dyDescent="0.2">
      <c r="A370" s="116"/>
      <c r="B370" s="117"/>
      <c r="C370" s="117"/>
      <c r="D370" s="117"/>
      <c r="E370" s="117"/>
      <c r="F370" s="117"/>
      <c r="G370" s="117"/>
      <c r="H370" s="117"/>
      <c r="I370" s="117"/>
      <c r="N370" s="52" t="s">
        <v>367</v>
      </c>
    </row>
    <row r="371" spans="1:14" x14ac:dyDescent="0.2">
      <c r="A371" s="116"/>
      <c r="B371" s="117"/>
      <c r="C371" s="117"/>
      <c r="D371" s="117"/>
      <c r="E371" s="117"/>
      <c r="F371" s="117"/>
      <c r="G371" s="117"/>
      <c r="H371" s="117"/>
      <c r="I371" s="117"/>
      <c r="N371" s="52" t="s">
        <v>368</v>
      </c>
    </row>
    <row r="372" spans="1:14" x14ac:dyDescent="0.2">
      <c r="A372" s="116"/>
      <c r="B372" s="117"/>
      <c r="C372" s="117"/>
      <c r="D372" s="117"/>
      <c r="E372" s="117"/>
      <c r="F372" s="117"/>
      <c r="G372" s="117"/>
      <c r="H372" s="117"/>
      <c r="I372" s="117"/>
      <c r="N372" s="52" t="s">
        <v>369</v>
      </c>
    </row>
    <row r="373" spans="1:14" x14ac:dyDescent="0.2">
      <c r="A373" s="116"/>
      <c r="B373" s="117"/>
      <c r="C373" s="117"/>
      <c r="D373" s="117"/>
      <c r="E373" s="117"/>
      <c r="F373" s="117"/>
      <c r="G373" s="117"/>
      <c r="H373" s="117"/>
      <c r="I373" s="117"/>
      <c r="N373" s="52" t="s">
        <v>371</v>
      </c>
    </row>
    <row r="374" spans="1:14" x14ac:dyDescent="0.2">
      <c r="A374" s="116"/>
      <c r="B374" s="117"/>
      <c r="C374" s="117"/>
      <c r="D374" s="117"/>
      <c r="E374" s="117"/>
      <c r="F374" s="117"/>
      <c r="G374" s="117"/>
      <c r="H374" s="117"/>
      <c r="I374" s="117"/>
      <c r="N374" s="52" t="s">
        <v>370</v>
      </c>
    </row>
    <row r="375" spans="1:14" x14ac:dyDescent="0.2">
      <c r="A375" s="116"/>
      <c r="B375" s="117"/>
      <c r="C375" s="117"/>
      <c r="D375" s="117"/>
      <c r="E375" s="117"/>
      <c r="F375" s="117"/>
      <c r="G375" s="117"/>
      <c r="H375" s="117"/>
      <c r="I375" s="117"/>
      <c r="N375" s="52" t="s">
        <v>372</v>
      </c>
    </row>
    <row r="376" spans="1:14" x14ac:dyDescent="0.2">
      <c r="A376" s="116"/>
      <c r="B376" s="117"/>
      <c r="C376" s="117"/>
      <c r="D376" s="117"/>
      <c r="E376" s="117"/>
      <c r="F376" s="117"/>
      <c r="G376" s="117"/>
      <c r="H376" s="117"/>
      <c r="I376" s="117"/>
      <c r="N376" s="52" t="s">
        <v>373</v>
      </c>
    </row>
    <row r="377" spans="1:14" x14ac:dyDescent="0.2">
      <c r="A377" s="116"/>
      <c r="B377" s="117"/>
      <c r="C377" s="117"/>
      <c r="D377" s="117"/>
      <c r="E377" s="117"/>
      <c r="F377" s="117"/>
      <c r="G377" s="117"/>
      <c r="H377" s="117"/>
      <c r="I377" s="117"/>
      <c r="N377" s="52" t="s">
        <v>374</v>
      </c>
    </row>
    <row r="378" spans="1:14" x14ac:dyDescent="0.2">
      <c r="A378" s="116"/>
      <c r="B378" s="117"/>
      <c r="C378" s="117"/>
      <c r="D378" s="117"/>
      <c r="E378" s="117"/>
      <c r="F378" s="117"/>
      <c r="G378" s="117"/>
      <c r="H378" s="117"/>
      <c r="I378" s="117"/>
      <c r="N378" s="52" t="s">
        <v>375</v>
      </c>
    </row>
    <row r="379" spans="1:14" x14ac:dyDescent="0.2">
      <c r="A379" s="116"/>
      <c r="B379" s="117"/>
      <c r="C379" s="117"/>
      <c r="D379" s="117"/>
      <c r="E379" s="117"/>
      <c r="F379" s="117"/>
      <c r="G379" s="117"/>
      <c r="H379" s="117"/>
      <c r="I379" s="117"/>
      <c r="N379" s="52" t="s">
        <v>376</v>
      </c>
    </row>
    <row r="380" spans="1:14" x14ac:dyDescent="0.2">
      <c r="A380" s="116"/>
      <c r="B380" s="117"/>
      <c r="C380" s="117"/>
      <c r="D380" s="117"/>
      <c r="E380" s="117"/>
      <c r="F380" s="117"/>
      <c r="G380" s="117"/>
      <c r="H380" s="117"/>
      <c r="I380" s="117"/>
      <c r="N380" s="52" t="s">
        <v>377</v>
      </c>
    </row>
    <row r="381" spans="1:14" x14ac:dyDescent="0.2">
      <c r="A381" s="116"/>
      <c r="B381" s="117"/>
      <c r="C381" s="117"/>
      <c r="D381" s="117"/>
      <c r="E381" s="117"/>
      <c r="F381" s="117"/>
      <c r="G381" s="117"/>
      <c r="H381" s="117"/>
      <c r="I381" s="117"/>
      <c r="N381" s="52" t="s">
        <v>378</v>
      </c>
    </row>
    <row r="382" spans="1:14" x14ac:dyDescent="0.2">
      <c r="A382" s="116"/>
      <c r="B382" s="117"/>
      <c r="C382" s="117"/>
      <c r="D382" s="117"/>
      <c r="E382" s="117"/>
      <c r="F382" s="117"/>
      <c r="G382" s="117"/>
      <c r="H382" s="117"/>
      <c r="I382" s="117"/>
      <c r="N382" s="52" t="s">
        <v>379</v>
      </c>
    </row>
    <row r="383" spans="1:14" x14ac:dyDescent="0.2">
      <c r="A383" s="116"/>
      <c r="B383" s="117"/>
      <c r="C383" s="117"/>
      <c r="D383" s="117"/>
      <c r="E383" s="117"/>
      <c r="F383" s="117"/>
      <c r="G383" s="117"/>
      <c r="H383" s="117"/>
      <c r="I383" s="117"/>
      <c r="N383" s="52" t="s">
        <v>380</v>
      </c>
    </row>
    <row r="384" spans="1:14" x14ac:dyDescent="0.2">
      <c r="A384" s="116"/>
      <c r="B384" s="117"/>
      <c r="C384" s="117"/>
      <c r="D384" s="117"/>
      <c r="E384" s="117"/>
      <c r="F384" s="117"/>
      <c r="G384" s="117"/>
      <c r="H384" s="117"/>
      <c r="I384" s="117"/>
      <c r="N384" s="52" t="s">
        <v>381</v>
      </c>
    </row>
    <row r="385" spans="1:14" x14ac:dyDescent="0.2">
      <c r="A385" s="116"/>
      <c r="B385" s="117"/>
      <c r="C385" s="117"/>
      <c r="D385" s="117"/>
      <c r="E385" s="117"/>
      <c r="F385" s="117"/>
      <c r="G385" s="117"/>
      <c r="H385" s="117"/>
      <c r="I385" s="117"/>
      <c r="N385" s="52" t="s">
        <v>382</v>
      </c>
    </row>
    <row r="386" spans="1:14" x14ac:dyDescent="0.2">
      <c r="A386" s="116"/>
      <c r="B386" s="117"/>
      <c r="C386" s="117"/>
      <c r="D386" s="117"/>
      <c r="E386" s="117"/>
      <c r="F386" s="117"/>
      <c r="G386" s="117"/>
      <c r="H386" s="117"/>
      <c r="I386" s="117"/>
      <c r="N386" s="52" t="s">
        <v>383</v>
      </c>
    </row>
    <row r="387" spans="1:14" x14ac:dyDescent="0.2">
      <c r="A387" s="116"/>
      <c r="B387" s="117"/>
      <c r="C387" s="117"/>
      <c r="D387" s="117"/>
      <c r="E387" s="117"/>
      <c r="F387" s="117"/>
      <c r="G387" s="117"/>
      <c r="H387" s="117"/>
      <c r="I387" s="117"/>
      <c r="N387" s="52" t="s">
        <v>384</v>
      </c>
    </row>
    <row r="388" spans="1:14" x14ac:dyDescent="0.2">
      <c r="A388" s="116"/>
      <c r="B388" s="117"/>
      <c r="C388" s="117"/>
      <c r="D388" s="117"/>
      <c r="E388" s="117"/>
      <c r="F388" s="117"/>
      <c r="G388" s="117"/>
      <c r="H388" s="117"/>
      <c r="I388" s="117"/>
      <c r="N388" s="52" t="s">
        <v>385</v>
      </c>
    </row>
    <row r="389" spans="1:14" x14ac:dyDescent="0.2">
      <c r="A389" s="116"/>
      <c r="B389" s="117"/>
      <c r="C389" s="117"/>
      <c r="D389" s="117"/>
      <c r="E389" s="117"/>
      <c r="F389" s="117"/>
      <c r="G389" s="117"/>
      <c r="H389" s="117"/>
      <c r="I389" s="117"/>
      <c r="N389" s="52" t="s">
        <v>386</v>
      </c>
    </row>
    <row r="390" spans="1:14" x14ac:dyDescent="0.2">
      <c r="A390" s="116"/>
      <c r="B390" s="117"/>
      <c r="C390" s="117"/>
      <c r="D390" s="117"/>
      <c r="E390" s="117"/>
      <c r="F390" s="117"/>
      <c r="G390" s="117"/>
      <c r="H390" s="117"/>
      <c r="I390" s="117"/>
      <c r="N390" s="52" t="s">
        <v>387</v>
      </c>
    </row>
    <row r="391" spans="1:14" x14ac:dyDescent="0.2">
      <c r="A391" s="116"/>
      <c r="B391" s="117"/>
      <c r="C391" s="117"/>
      <c r="D391" s="117"/>
      <c r="E391" s="117"/>
      <c r="F391" s="117"/>
      <c r="G391" s="117"/>
      <c r="H391" s="117"/>
      <c r="I391" s="117"/>
      <c r="N391" s="52" t="s">
        <v>388</v>
      </c>
    </row>
    <row r="392" spans="1:14" x14ac:dyDescent="0.2">
      <c r="A392" s="116"/>
      <c r="B392" s="117"/>
      <c r="C392" s="117"/>
      <c r="D392" s="117"/>
      <c r="E392" s="117"/>
      <c r="F392" s="117"/>
      <c r="G392" s="117"/>
      <c r="H392" s="117"/>
      <c r="I392" s="117"/>
      <c r="N392" s="52" t="s">
        <v>389</v>
      </c>
    </row>
    <row r="393" spans="1:14" x14ac:dyDescent="0.2">
      <c r="A393" s="116"/>
      <c r="B393" s="117"/>
      <c r="C393" s="117"/>
      <c r="D393" s="117"/>
      <c r="E393" s="117"/>
      <c r="F393" s="117"/>
      <c r="G393" s="117"/>
      <c r="H393" s="117"/>
      <c r="I393" s="117"/>
      <c r="N393" s="52" t="s">
        <v>390</v>
      </c>
    </row>
    <row r="394" spans="1:14" x14ac:dyDescent="0.2">
      <c r="A394" s="116"/>
      <c r="B394" s="117"/>
      <c r="C394" s="117"/>
      <c r="D394" s="117"/>
      <c r="E394" s="117"/>
      <c r="F394" s="117"/>
      <c r="G394" s="117"/>
      <c r="H394" s="117"/>
      <c r="I394" s="117"/>
      <c r="N394" s="52" t="s">
        <v>391</v>
      </c>
    </row>
    <row r="395" spans="1:14" x14ac:dyDescent="0.2">
      <c r="A395" s="116"/>
      <c r="B395" s="117"/>
      <c r="C395" s="117"/>
      <c r="D395" s="117"/>
      <c r="E395" s="117"/>
      <c r="F395" s="117"/>
      <c r="G395" s="117"/>
      <c r="H395" s="117"/>
      <c r="I395" s="117"/>
      <c r="N395" s="52" t="s">
        <v>392</v>
      </c>
    </row>
    <row r="396" spans="1:14" x14ac:dyDescent="0.2">
      <c r="A396" s="116"/>
      <c r="B396" s="117"/>
      <c r="C396" s="117"/>
      <c r="D396" s="117"/>
      <c r="E396" s="117"/>
      <c r="F396" s="117"/>
      <c r="G396" s="117"/>
      <c r="H396" s="117"/>
      <c r="I396" s="117"/>
      <c r="N396" s="52" t="s">
        <v>393</v>
      </c>
    </row>
    <row r="397" spans="1:14" x14ac:dyDescent="0.2">
      <c r="A397" s="116"/>
      <c r="B397" s="117"/>
      <c r="C397" s="117"/>
      <c r="D397" s="117"/>
      <c r="E397" s="117"/>
      <c r="F397" s="117"/>
      <c r="G397" s="117"/>
      <c r="H397" s="117"/>
      <c r="I397" s="117"/>
      <c r="N397" s="52" t="s">
        <v>394</v>
      </c>
    </row>
    <row r="398" spans="1:14" x14ac:dyDescent="0.2">
      <c r="A398" s="116"/>
      <c r="B398" s="117"/>
      <c r="C398" s="117"/>
      <c r="D398" s="117"/>
      <c r="E398" s="117"/>
      <c r="F398" s="117"/>
      <c r="G398" s="117"/>
      <c r="H398" s="117"/>
      <c r="I398" s="117"/>
      <c r="N398" s="52" t="s">
        <v>395</v>
      </c>
    </row>
    <row r="399" spans="1:14" x14ac:dyDescent="0.2">
      <c r="A399" s="116"/>
      <c r="B399" s="117"/>
      <c r="C399" s="117"/>
      <c r="D399" s="117"/>
      <c r="E399" s="117"/>
      <c r="F399" s="117"/>
      <c r="G399" s="117"/>
      <c r="H399" s="117"/>
      <c r="I399" s="117"/>
      <c r="N399" s="52" t="s">
        <v>396</v>
      </c>
    </row>
    <row r="400" spans="1:14" x14ac:dyDescent="0.2">
      <c r="A400" s="116"/>
      <c r="B400" s="117"/>
      <c r="C400" s="117"/>
      <c r="D400" s="117"/>
      <c r="E400" s="117"/>
      <c r="F400" s="117"/>
      <c r="G400" s="117"/>
      <c r="H400" s="117"/>
      <c r="I400" s="117"/>
      <c r="N400" s="52" t="s">
        <v>571</v>
      </c>
    </row>
    <row r="401" spans="1:14" x14ac:dyDescent="0.2">
      <c r="A401" s="116"/>
      <c r="B401" s="117"/>
      <c r="C401" s="117"/>
      <c r="D401" s="117"/>
      <c r="E401" s="117"/>
      <c r="F401" s="117"/>
      <c r="G401" s="117"/>
      <c r="H401" s="117"/>
      <c r="I401" s="117"/>
      <c r="N401" s="52" t="s">
        <v>397</v>
      </c>
    </row>
    <row r="402" spans="1:14" x14ac:dyDescent="0.2">
      <c r="A402" s="116"/>
      <c r="B402" s="117"/>
      <c r="C402" s="117"/>
      <c r="D402" s="117"/>
      <c r="E402" s="117"/>
      <c r="F402" s="117"/>
      <c r="G402" s="117"/>
      <c r="H402" s="117"/>
      <c r="I402" s="117"/>
      <c r="N402" s="52" t="s">
        <v>570</v>
      </c>
    </row>
    <row r="403" spans="1:14" x14ac:dyDescent="0.2">
      <c r="A403" s="116"/>
      <c r="B403" s="117"/>
      <c r="C403" s="117"/>
      <c r="D403" s="117"/>
      <c r="E403" s="117"/>
      <c r="F403" s="117"/>
      <c r="G403" s="117"/>
      <c r="H403" s="117"/>
      <c r="I403" s="117"/>
      <c r="N403" s="52" t="s">
        <v>398</v>
      </c>
    </row>
    <row r="404" spans="1:14" x14ac:dyDescent="0.2">
      <c r="A404" s="116"/>
      <c r="B404" s="117"/>
      <c r="C404" s="117"/>
      <c r="D404" s="117"/>
      <c r="E404" s="117"/>
      <c r="F404" s="117"/>
      <c r="G404" s="117"/>
      <c r="H404" s="117"/>
      <c r="I404" s="117"/>
      <c r="N404" s="52" t="s">
        <v>399</v>
      </c>
    </row>
    <row r="405" spans="1:14" x14ac:dyDescent="0.2">
      <c r="A405" s="116"/>
      <c r="B405" s="117"/>
      <c r="C405" s="117"/>
      <c r="D405" s="117"/>
      <c r="E405" s="117"/>
      <c r="F405" s="117"/>
      <c r="G405" s="117"/>
      <c r="H405" s="117"/>
      <c r="I405" s="117"/>
      <c r="N405" s="52" t="s">
        <v>400</v>
      </c>
    </row>
    <row r="406" spans="1:14" x14ac:dyDescent="0.2">
      <c r="A406" s="116"/>
      <c r="B406" s="117"/>
      <c r="C406" s="117"/>
      <c r="D406" s="117"/>
      <c r="E406" s="117"/>
      <c r="F406" s="117"/>
      <c r="G406" s="117"/>
      <c r="H406" s="117"/>
      <c r="I406" s="117"/>
      <c r="N406" s="52" t="s">
        <v>401</v>
      </c>
    </row>
    <row r="407" spans="1:14" x14ac:dyDescent="0.2">
      <c r="A407" s="116"/>
      <c r="B407" s="117"/>
      <c r="C407" s="117"/>
      <c r="D407" s="117"/>
      <c r="E407" s="117"/>
      <c r="F407" s="117"/>
      <c r="G407" s="117"/>
      <c r="H407" s="117"/>
      <c r="I407" s="117"/>
      <c r="N407" s="52" t="s">
        <v>402</v>
      </c>
    </row>
    <row r="408" spans="1:14" x14ac:dyDescent="0.2">
      <c r="A408" s="116"/>
      <c r="B408" s="117"/>
      <c r="C408" s="117"/>
      <c r="D408" s="117"/>
      <c r="E408" s="117"/>
      <c r="F408" s="117"/>
      <c r="G408" s="117"/>
      <c r="H408" s="117"/>
      <c r="I408" s="117"/>
      <c r="N408" s="52" t="s">
        <v>403</v>
      </c>
    </row>
    <row r="409" spans="1:14" x14ac:dyDescent="0.2">
      <c r="A409" s="116"/>
      <c r="B409" s="117"/>
      <c r="C409" s="117"/>
      <c r="D409" s="117"/>
      <c r="E409" s="117"/>
      <c r="F409" s="117"/>
      <c r="G409" s="117"/>
      <c r="H409" s="117"/>
      <c r="I409" s="117"/>
      <c r="N409" s="52" t="s">
        <v>404</v>
      </c>
    </row>
    <row r="410" spans="1:14" x14ac:dyDescent="0.2">
      <c r="A410" s="116"/>
      <c r="B410" s="117"/>
      <c r="C410" s="117"/>
      <c r="D410" s="117"/>
      <c r="E410" s="117"/>
      <c r="F410" s="117"/>
      <c r="G410" s="117"/>
      <c r="H410" s="117"/>
      <c r="I410" s="117"/>
      <c r="N410" s="52" t="s">
        <v>405</v>
      </c>
    </row>
    <row r="411" spans="1:14" x14ac:dyDescent="0.2">
      <c r="A411" s="116"/>
      <c r="B411" s="117"/>
      <c r="C411" s="117"/>
      <c r="D411" s="117"/>
      <c r="E411" s="117"/>
      <c r="F411" s="117"/>
      <c r="G411" s="117"/>
      <c r="H411" s="117"/>
      <c r="I411" s="117"/>
      <c r="N411" s="52" t="s">
        <v>406</v>
      </c>
    </row>
    <row r="412" spans="1:14" x14ac:dyDescent="0.2">
      <c r="A412" s="116"/>
      <c r="B412" s="117"/>
      <c r="C412" s="117"/>
      <c r="D412" s="117"/>
      <c r="E412" s="117"/>
      <c r="F412" s="117"/>
      <c r="G412" s="117"/>
      <c r="H412" s="117"/>
      <c r="I412" s="117"/>
      <c r="N412" s="52" t="s">
        <v>407</v>
      </c>
    </row>
    <row r="413" spans="1:14" x14ac:dyDescent="0.2">
      <c r="A413" s="116"/>
      <c r="B413" s="117"/>
      <c r="C413" s="117"/>
      <c r="D413" s="117"/>
      <c r="E413" s="117"/>
      <c r="F413" s="117"/>
      <c r="G413" s="117"/>
      <c r="H413" s="117"/>
      <c r="I413" s="117"/>
      <c r="N413" s="52" t="s">
        <v>408</v>
      </c>
    </row>
    <row r="414" spans="1:14" x14ac:dyDescent="0.2">
      <c r="A414" s="116"/>
      <c r="B414" s="117"/>
      <c r="C414" s="117"/>
      <c r="D414" s="117"/>
      <c r="E414" s="117"/>
      <c r="F414" s="117"/>
      <c r="G414" s="117"/>
      <c r="H414" s="117"/>
      <c r="I414" s="117"/>
      <c r="N414" s="52" t="s">
        <v>409</v>
      </c>
    </row>
    <row r="415" spans="1:14" x14ac:dyDescent="0.2">
      <c r="A415" s="116"/>
      <c r="B415" s="117"/>
      <c r="C415" s="117"/>
      <c r="D415" s="117"/>
      <c r="E415" s="117"/>
      <c r="F415" s="117"/>
      <c r="G415" s="117"/>
      <c r="H415" s="117"/>
      <c r="I415" s="117"/>
      <c r="N415" s="52" t="s">
        <v>410</v>
      </c>
    </row>
    <row r="416" spans="1:14" x14ac:dyDescent="0.2">
      <c r="A416" s="116"/>
      <c r="B416" s="117"/>
      <c r="C416" s="117"/>
      <c r="D416" s="117"/>
      <c r="E416" s="117"/>
      <c r="F416" s="117"/>
      <c r="G416" s="117"/>
      <c r="H416" s="117"/>
      <c r="I416" s="117"/>
      <c r="N416" s="52" t="s">
        <v>411</v>
      </c>
    </row>
    <row r="417" spans="1:14" x14ac:dyDescent="0.2">
      <c r="A417" s="116"/>
      <c r="B417" s="117"/>
      <c r="C417" s="117"/>
      <c r="D417" s="117"/>
      <c r="E417" s="117"/>
      <c r="F417" s="117"/>
      <c r="G417" s="117"/>
      <c r="H417" s="117"/>
      <c r="I417" s="117"/>
      <c r="N417" s="52" t="s">
        <v>412</v>
      </c>
    </row>
    <row r="418" spans="1:14" x14ac:dyDescent="0.2">
      <c r="A418" s="116"/>
      <c r="B418" s="117"/>
      <c r="C418" s="117"/>
      <c r="D418" s="117"/>
      <c r="E418" s="117"/>
      <c r="F418" s="117"/>
      <c r="G418" s="117"/>
      <c r="H418" s="117"/>
      <c r="I418" s="117"/>
      <c r="N418" s="52" t="s">
        <v>413</v>
      </c>
    </row>
    <row r="419" spans="1:14" x14ac:dyDescent="0.2">
      <c r="A419" s="116"/>
      <c r="B419" s="117"/>
      <c r="C419" s="117"/>
      <c r="D419" s="117"/>
      <c r="E419" s="117"/>
      <c r="F419" s="117"/>
      <c r="G419" s="117"/>
      <c r="H419" s="117"/>
      <c r="I419" s="117"/>
      <c r="N419" s="52" t="s">
        <v>414</v>
      </c>
    </row>
    <row r="420" spans="1:14" x14ac:dyDescent="0.2">
      <c r="A420" s="116"/>
      <c r="B420" s="117"/>
      <c r="C420" s="117"/>
      <c r="D420" s="117"/>
      <c r="E420" s="117"/>
      <c r="F420" s="117"/>
      <c r="G420" s="117"/>
      <c r="H420" s="117"/>
      <c r="I420" s="117"/>
      <c r="N420" s="52" t="s">
        <v>415</v>
      </c>
    </row>
    <row r="421" spans="1:14" x14ac:dyDescent="0.2">
      <c r="A421" s="116"/>
      <c r="B421" s="117"/>
      <c r="C421" s="117"/>
      <c r="D421" s="117"/>
      <c r="E421" s="117"/>
      <c r="F421" s="117"/>
      <c r="G421" s="117"/>
      <c r="N421" s="52" t="s">
        <v>416</v>
      </c>
    </row>
    <row r="422" spans="1:14" x14ac:dyDescent="0.2">
      <c r="A422" s="116"/>
      <c r="B422" s="117"/>
      <c r="C422" s="117"/>
      <c r="D422" s="117"/>
      <c r="E422" s="117"/>
      <c r="F422" s="117"/>
      <c r="G422" s="117"/>
      <c r="N422" s="52" t="s">
        <v>417</v>
      </c>
    </row>
    <row r="423" spans="1:14" x14ac:dyDescent="0.2">
      <c r="A423" s="116"/>
      <c r="B423" s="117"/>
      <c r="C423" s="117"/>
      <c r="D423" s="117"/>
      <c r="E423" s="117"/>
      <c r="F423" s="117"/>
      <c r="G423" s="117"/>
      <c r="N423" s="52" t="s">
        <v>418</v>
      </c>
    </row>
    <row r="424" spans="1:14" x14ac:dyDescent="0.2">
      <c r="A424" s="116"/>
      <c r="B424" s="117"/>
      <c r="C424" s="117"/>
      <c r="D424" s="117"/>
      <c r="E424" s="117"/>
      <c r="F424" s="117"/>
      <c r="G424" s="117"/>
      <c r="N424" s="52" t="s">
        <v>569</v>
      </c>
    </row>
    <row r="425" spans="1:14" x14ac:dyDescent="0.2">
      <c r="A425" s="116"/>
      <c r="B425" s="117"/>
      <c r="C425" s="117"/>
      <c r="D425" s="117"/>
      <c r="E425" s="117"/>
      <c r="F425" s="117"/>
      <c r="G425" s="117"/>
      <c r="N425" s="52" t="s">
        <v>568</v>
      </c>
    </row>
    <row r="426" spans="1:14" x14ac:dyDescent="0.2">
      <c r="A426" s="116"/>
      <c r="B426" s="117"/>
      <c r="C426" s="117"/>
      <c r="D426" s="117"/>
      <c r="E426" s="117"/>
      <c r="F426" s="117"/>
      <c r="G426" s="117"/>
      <c r="N426" s="52" t="s">
        <v>567</v>
      </c>
    </row>
    <row r="427" spans="1:14" x14ac:dyDescent="0.2">
      <c r="A427" s="116"/>
      <c r="B427" s="117"/>
      <c r="C427" s="117"/>
      <c r="D427" s="117"/>
      <c r="E427" s="117"/>
      <c r="F427" s="117"/>
      <c r="G427" s="117"/>
      <c r="N427" s="52" t="s">
        <v>566</v>
      </c>
    </row>
    <row r="428" spans="1:14" x14ac:dyDescent="0.2">
      <c r="A428" s="116"/>
      <c r="B428" s="117"/>
      <c r="C428" s="117"/>
      <c r="D428" s="117"/>
      <c r="E428" s="117"/>
      <c r="F428" s="117"/>
      <c r="G428" s="117"/>
      <c r="N428" s="52" t="s">
        <v>565</v>
      </c>
    </row>
    <row r="429" spans="1:14" x14ac:dyDescent="0.2">
      <c r="A429" s="116"/>
      <c r="B429" s="117"/>
      <c r="C429" s="117"/>
      <c r="D429" s="117"/>
      <c r="E429" s="117"/>
      <c r="F429" s="117"/>
      <c r="G429" s="117"/>
      <c r="N429" s="52" t="s">
        <v>564</v>
      </c>
    </row>
    <row r="430" spans="1:14" x14ac:dyDescent="0.2">
      <c r="A430" s="116"/>
      <c r="B430" s="117"/>
      <c r="C430" s="117"/>
      <c r="D430" s="117"/>
      <c r="E430" s="117"/>
      <c r="F430" s="117"/>
      <c r="G430" s="117"/>
      <c r="N430" s="52" t="s">
        <v>230</v>
      </c>
    </row>
    <row r="431" spans="1:14" x14ac:dyDescent="0.2">
      <c r="A431" s="116"/>
      <c r="B431" s="117"/>
      <c r="C431" s="117"/>
      <c r="D431" s="117"/>
      <c r="E431" s="117"/>
      <c r="F431" s="117"/>
      <c r="G431" s="117"/>
      <c r="N431" s="52" t="s">
        <v>419</v>
      </c>
    </row>
    <row r="432" spans="1:14" x14ac:dyDescent="0.2">
      <c r="A432" s="116"/>
      <c r="B432" s="117"/>
      <c r="C432" s="117"/>
      <c r="D432" s="117"/>
      <c r="E432" s="117"/>
      <c r="F432" s="117"/>
      <c r="G432" s="117"/>
      <c r="N432" s="52" t="s">
        <v>420</v>
      </c>
    </row>
    <row r="433" spans="1:14" x14ac:dyDescent="0.2">
      <c r="A433" s="116"/>
      <c r="B433" s="117"/>
      <c r="C433" s="117"/>
      <c r="D433" s="117"/>
      <c r="E433" s="117"/>
      <c r="F433" s="117"/>
      <c r="G433" s="117"/>
      <c r="N433" s="52" t="s">
        <v>421</v>
      </c>
    </row>
    <row r="434" spans="1:14" x14ac:dyDescent="0.2">
      <c r="A434" s="116"/>
      <c r="B434" s="117"/>
      <c r="C434" s="117"/>
      <c r="D434" s="117"/>
      <c r="E434" s="117"/>
      <c r="F434" s="117"/>
      <c r="G434" s="117"/>
      <c r="N434" s="52" t="s">
        <v>422</v>
      </c>
    </row>
    <row r="435" spans="1:14" x14ac:dyDescent="0.2">
      <c r="A435" s="116"/>
      <c r="B435" s="117"/>
      <c r="C435" s="117"/>
      <c r="D435" s="117"/>
      <c r="E435" s="117"/>
      <c r="F435" s="117"/>
      <c r="G435" s="117"/>
      <c r="N435" s="52" t="s">
        <v>423</v>
      </c>
    </row>
    <row r="436" spans="1:14" x14ac:dyDescent="0.2">
      <c r="A436" s="116"/>
      <c r="B436" s="117"/>
      <c r="C436" s="117"/>
      <c r="D436" s="117"/>
      <c r="E436" s="117"/>
      <c r="F436" s="117"/>
      <c r="G436" s="117"/>
      <c r="N436" s="52" t="s">
        <v>424</v>
      </c>
    </row>
    <row r="437" spans="1:14" x14ac:dyDescent="0.2">
      <c r="A437" s="116"/>
      <c r="B437" s="117"/>
      <c r="C437" s="117"/>
      <c r="D437" s="117"/>
      <c r="E437" s="117"/>
      <c r="F437" s="117"/>
      <c r="G437" s="117"/>
      <c r="N437" s="52" t="s">
        <v>425</v>
      </c>
    </row>
    <row r="438" spans="1:14" x14ac:dyDescent="0.2">
      <c r="A438" s="116"/>
      <c r="B438" s="117"/>
      <c r="C438" s="117"/>
      <c r="D438" s="117"/>
      <c r="E438" s="117"/>
      <c r="F438" s="117"/>
      <c r="G438" s="117"/>
      <c r="N438" s="52" t="s">
        <v>426</v>
      </c>
    </row>
    <row r="439" spans="1:14" x14ac:dyDescent="0.2">
      <c r="A439" s="116"/>
      <c r="B439" s="117"/>
      <c r="C439" s="117"/>
      <c r="D439" s="117"/>
      <c r="E439" s="117"/>
      <c r="F439" s="117"/>
      <c r="G439" s="117"/>
      <c r="N439" s="52" t="s">
        <v>427</v>
      </c>
    </row>
    <row r="440" spans="1:14" x14ac:dyDescent="0.2">
      <c r="A440" s="116"/>
      <c r="B440" s="117"/>
      <c r="C440" s="117"/>
      <c r="D440" s="117"/>
      <c r="E440" s="117"/>
      <c r="F440" s="117"/>
      <c r="G440" s="117"/>
      <c r="N440" s="52" t="s">
        <v>428</v>
      </c>
    </row>
    <row r="441" spans="1:14" x14ac:dyDescent="0.2">
      <c r="A441" s="116"/>
      <c r="B441" s="117"/>
      <c r="C441" s="117"/>
      <c r="D441" s="117"/>
      <c r="E441" s="117"/>
      <c r="F441" s="117"/>
      <c r="G441" s="117"/>
      <c r="N441" s="52" t="s">
        <v>429</v>
      </c>
    </row>
    <row r="442" spans="1:14" x14ac:dyDescent="0.2">
      <c r="A442" s="116"/>
      <c r="B442" s="117"/>
      <c r="C442" s="117"/>
      <c r="D442" s="117"/>
      <c r="E442" s="117"/>
      <c r="F442" s="117"/>
      <c r="G442" s="117"/>
      <c r="N442" s="52" t="s">
        <v>430</v>
      </c>
    </row>
    <row r="443" spans="1:14" x14ac:dyDescent="0.2">
      <c r="A443" s="116"/>
      <c r="B443" s="117"/>
      <c r="C443" s="117"/>
      <c r="D443" s="117"/>
      <c r="E443" s="117"/>
      <c r="F443" s="117"/>
      <c r="G443" s="117"/>
      <c r="N443" s="52" t="s">
        <v>251</v>
      </c>
    </row>
    <row r="444" spans="1:14" x14ac:dyDescent="0.2">
      <c r="A444" s="116"/>
      <c r="B444" s="117"/>
      <c r="C444" s="117"/>
      <c r="D444" s="117"/>
      <c r="E444" s="117"/>
      <c r="F444" s="117"/>
      <c r="G444" s="117"/>
      <c r="N444" s="52" t="s">
        <v>431</v>
      </c>
    </row>
    <row r="445" spans="1:14" x14ac:dyDescent="0.2">
      <c r="A445" s="116"/>
      <c r="B445" s="117"/>
      <c r="C445" s="117"/>
      <c r="D445" s="117"/>
      <c r="E445" s="117"/>
      <c r="F445" s="117"/>
      <c r="G445" s="117"/>
      <c r="N445" s="52" t="s">
        <v>432</v>
      </c>
    </row>
    <row r="446" spans="1:14" x14ac:dyDescent="0.2">
      <c r="A446" s="116"/>
      <c r="B446" s="117"/>
      <c r="C446" s="117"/>
      <c r="D446" s="117"/>
      <c r="E446" s="117"/>
      <c r="F446" s="117"/>
      <c r="G446" s="117"/>
      <c r="N446" s="52" t="s">
        <v>563</v>
      </c>
    </row>
    <row r="447" spans="1:14" x14ac:dyDescent="0.2">
      <c r="A447" s="116"/>
      <c r="B447" s="117"/>
      <c r="C447" s="117"/>
      <c r="D447" s="117"/>
      <c r="E447" s="117"/>
      <c r="F447" s="117"/>
      <c r="G447" s="117"/>
      <c r="N447" s="52" t="s">
        <v>433</v>
      </c>
    </row>
    <row r="448" spans="1:14" x14ac:dyDescent="0.2">
      <c r="A448" s="116"/>
      <c r="B448" s="117"/>
      <c r="C448" s="117"/>
      <c r="D448" s="117"/>
      <c r="E448" s="117"/>
      <c r="F448" s="117"/>
      <c r="G448" s="117"/>
      <c r="N448" s="52" t="s">
        <v>434</v>
      </c>
    </row>
    <row r="449" spans="1:14" x14ac:dyDescent="0.2">
      <c r="A449" s="116"/>
      <c r="B449" s="117"/>
      <c r="C449" s="117"/>
      <c r="D449" s="117"/>
      <c r="E449" s="117"/>
      <c r="F449" s="117"/>
      <c r="G449" s="117"/>
      <c r="N449" s="52" t="s">
        <v>562</v>
      </c>
    </row>
    <row r="450" spans="1:14" x14ac:dyDescent="0.2">
      <c r="C450" s="117"/>
      <c r="N450" s="52" t="s">
        <v>435</v>
      </c>
    </row>
    <row r="451" spans="1:14" x14ac:dyDescent="0.2">
      <c r="N451" s="52" t="s">
        <v>436</v>
      </c>
    </row>
    <row r="452" spans="1:14" x14ac:dyDescent="0.2">
      <c r="N452" s="52" t="s">
        <v>561</v>
      </c>
    </row>
    <row r="453" spans="1:14" x14ac:dyDescent="0.2">
      <c r="N453" s="52" t="s">
        <v>437</v>
      </c>
    </row>
    <row r="454" spans="1:14" x14ac:dyDescent="0.2">
      <c r="N454" s="52" t="s">
        <v>438</v>
      </c>
    </row>
    <row r="455" spans="1:14" x14ac:dyDescent="0.2">
      <c r="N455" s="52" t="s">
        <v>439</v>
      </c>
    </row>
    <row r="456" spans="1:14" x14ac:dyDescent="0.2">
      <c r="N456" s="52" t="s">
        <v>440</v>
      </c>
    </row>
    <row r="457" spans="1:14" x14ac:dyDescent="0.2">
      <c r="N457" s="52" t="s">
        <v>441</v>
      </c>
    </row>
    <row r="458" spans="1:14" x14ac:dyDescent="0.2">
      <c r="N458" s="52" t="s">
        <v>442</v>
      </c>
    </row>
    <row r="459" spans="1:14" x14ac:dyDescent="0.2">
      <c r="N459" s="52" t="s">
        <v>443</v>
      </c>
    </row>
    <row r="460" spans="1:14" x14ac:dyDescent="0.2">
      <c r="N460" s="52" t="s">
        <v>444</v>
      </c>
    </row>
    <row r="461" spans="1:14" x14ac:dyDescent="0.2">
      <c r="N461" s="52" t="s">
        <v>445</v>
      </c>
    </row>
  </sheetData>
  <sheetProtection sheet="1" objects="1" scenarios="1"/>
  <mergeCells count="2">
    <mergeCell ref="B5:C5"/>
    <mergeCell ref="B7:D7"/>
  </mergeCells>
  <conditionalFormatting sqref="B238:B449">
    <cfRule type="expression" dxfId="10" priority="10" stopIfTrue="1">
      <formula>A238&lt;&gt;""</formula>
    </cfRule>
  </conditionalFormatting>
  <conditionalFormatting sqref="C238:C450">
    <cfRule type="expression" dxfId="9" priority="9" stopIfTrue="1">
      <formula>A238&lt;&gt;""</formula>
    </cfRule>
  </conditionalFormatting>
  <conditionalFormatting sqref="D238:D449">
    <cfRule type="expression" dxfId="8" priority="7" stopIfTrue="1">
      <formula>OR(C238="date",C238="text")</formula>
    </cfRule>
    <cfRule type="expression" dxfId="7" priority="8" stopIfTrue="1">
      <formula>OR(C238="number")</formula>
    </cfRule>
  </conditionalFormatting>
  <conditionalFormatting sqref="E238:E449">
    <cfRule type="expression" dxfId="6" priority="5" stopIfTrue="1">
      <formula>OR(C238="number",C238="text")</formula>
    </cfRule>
    <cfRule type="expression" dxfId="5" priority="6" stopIfTrue="1">
      <formula>OR(C238="datetime")</formula>
    </cfRule>
  </conditionalFormatting>
  <conditionalFormatting sqref="F238:G449">
    <cfRule type="expression" dxfId="4" priority="3" stopIfTrue="1">
      <formula>OR($C238="number", $C238="text")</formula>
    </cfRule>
    <cfRule type="expression" dxfId="3" priority="4" stopIfTrue="1">
      <formula>OR($C238="date")</formula>
    </cfRule>
  </conditionalFormatting>
  <conditionalFormatting sqref="B51:I51">
    <cfRule type="expression" dxfId="2" priority="2" stopIfTrue="1">
      <formula>NOT(ISBLANK($B$53:$B$60))</formula>
    </cfRule>
  </conditionalFormatting>
  <conditionalFormatting sqref="B58:AO61">
    <cfRule type="expression" dxfId="1" priority="1" stopIfTrue="1">
      <formula>NOT(ISBLANK($B$53:$B$60))</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238:D449 IZ238:IZ449 SV238:SV449 ACR238:ACR449 AMN238:AMN449 AWJ238:AWJ449 BGF238:BGF449 BQB238:BQB449 BZX238:BZX449 CJT238:CJT449 CTP238:CTP449 DDL238:DDL449 DNH238:DNH449 DXD238:DXD449 EGZ238:EGZ449 EQV238:EQV449 FAR238:FAR449 FKN238:FKN449 FUJ238:FUJ449 GEF238:GEF449 GOB238:GOB449 GXX238:GXX449 HHT238:HHT449 HRP238:HRP449 IBL238:IBL449 ILH238:ILH449 IVD238:IVD449 JEZ238:JEZ449 JOV238:JOV449 JYR238:JYR449 KIN238:KIN449 KSJ238:KSJ449 LCF238:LCF449 LMB238:LMB449 LVX238:LVX449 MFT238:MFT449 MPP238:MPP449 MZL238:MZL449 NJH238:NJH449 NTD238:NTD449 OCZ238:OCZ449 OMV238:OMV449 OWR238:OWR449 PGN238:PGN449 PQJ238:PQJ449 QAF238:QAF449 QKB238:QKB449 QTX238:QTX449 RDT238:RDT449 RNP238:RNP449 RXL238:RXL449 SHH238:SHH449 SRD238:SRD449 TAZ238:TAZ449 TKV238:TKV449 TUR238:TUR449 UEN238:UEN449 UOJ238:UOJ449 UYF238:UYF449 VIB238:VIB449 VRX238:VRX449 WBT238:WBT449 WLP238:WLP449 WVL238:WVL449 D65774:D65985 IZ65774:IZ65985 SV65774:SV65985 ACR65774:ACR65985 AMN65774:AMN65985 AWJ65774:AWJ65985 BGF65774:BGF65985 BQB65774:BQB65985 BZX65774:BZX65985 CJT65774:CJT65985 CTP65774:CTP65985 DDL65774:DDL65985 DNH65774:DNH65985 DXD65774:DXD65985 EGZ65774:EGZ65985 EQV65774:EQV65985 FAR65774:FAR65985 FKN65774:FKN65985 FUJ65774:FUJ65985 GEF65774:GEF65985 GOB65774:GOB65985 GXX65774:GXX65985 HHT65774:HHT65985 HRP65774:HRP65985 IBL65774:IBL65985 ILH65774:ILH65985 IVD65774:IVD65985 JEZ65774:JEZ65985 JOV65774:JOV65985 JYR65774:JYR65985 KIN65774:KIN65985 KSJ65774:KSJ65985 LCF65774:LCF65985 LMB65774:LMB65985 LVX65774:LVX65985 MFT65774:MFT65985 MPP65774:MPP65985 MZL65774:MZL65985 NJH65774:NJH65985 NTD65774:NTD65985 OCZ65774:OCZ65985 OMV65774:OMV65985 OWR65774:OWR65985 PGN65774:PGN65985 PQJ65774:PQJ65985 QAF65774:QAF65985 QKB65774:QKB65985 QTX65774:QTX65985 RDT65774:RDT65985 RNP65774:RNP65985 RXL65774:RXL65985 SHH65774:SHH65985 SRD65774:SRD65985 TAZ65774:TAZ65985 TKV65774:TKV65985 TUR65774:TUR65985 UEN65774:UEN65985 UOJ65774:UOJ65985 UYF65774:UYF65985 VIB65774:VIB65985 VRX65774:VRX65985 WBT65774:WBT65985 WLP65774:WLP65985 WVL65774:WVL65985 D131310:D131521 IZ131310:IZ131521 SV131310:SV131521 ACR131310:ACR131521 AMN131310:AMN131521 AWJ131310:AWJ131521 BGF131310:BGF131521 BQB131310:BQB131521 BZX131310:BZX131521 CJT131310:CJT131521 CTP131310:CTP131521 DDL131310:DDL131521 DNH131310:DNH131521 DXD131310:DXD131521 EGZ131310:EGZ131521 EQV131310:EQV131521 FAR131310:FAR131521 FKN131310:FKN131521 FUJ131310:FUJ131521 GEF131310:GEF131521 GOB131310:GOB131521 GXX131310:GXX131521 HHT131310:HHT131521 HRP131310:HRP131521 IBL131310:IBL131521 ILH131310:ILH131521 IVD131310:IVD131521 JEZ131310:JEZ131521 JOV131310:JOV131521 JYR131310:JYR131521 KIN131310:KIN131521 KSJ131310:KSJ131521 LCF131310:LCF131521 LMB131310:LMB131521 LVX131310:LVX131521 MFT131310:MFT131521 MPP131310:MPP131521 MZL131310:MZL131521 NJH131310:NJH131521 NTD131310:NTD131521 OCZ131310:OCZ131521 OMV131310:OMV131521 OWR131310:OWR131521 PGN131310:PGN131521 PQJ131310:PQJ131521 QAF131310:QAF131521 QKB131310:QKB131521 QTX131310:QTX131521 RDT131310:RDT131521 RNP131310:RNP131521 RXL131310:RXL131521 SHH131310:SHH131521 SRD131310:SRD131521 TAZ131310:TAZ131521 TKV131310:TKV131521 TUR131310:TUR131521 UEN131310:UEN131521 UOJ131310:UOJ131521 UYF131310:UYF131521 VIB131310:VIB131521 VRX131310:VRX131521 WBT131310:WBT131521 WLP131310:WLP131521 WVL131310:WVL131521 D196846:D197057 IZ196846:IZ197057 SV196846:SV197057 ACR196846:ACR197057 AMN196846:AMN197057 AWJ196846:AWJ197057 BGF196846:BGF197057 BQB196846:BQB197057 BZX196846:BZX197057 CJT196846:CJT197057 CTP196846:CTP197057 DDL196846:DDL197057 DNH196846:DNH197057 DXD196846:DXD197057 EGZ196846:EGZ197057 EQV196846:EQV197057 FAR196846:FAR197057 FKN196846:FKN197057 FUJ196846:FUJ197057 GEF196846:GEF197057 GOB196846:GOB197057 GXX196846:GXX197057 HHT196846:HHT197057 HRP196846:HRP197057 IBL196846:IBL197057 ILH196846:ILH197057 IVD196846:IVD197057 JEZ196846:JEZ197057 JOV196846:JOV197057 JYR196846:JYR197057 KIN196846:KIN197057 KSJ196846:KSJ197057 LCF196846:LCF197057 LMB196846:LMB197057 LVX196846:LVX197057 MFT196846:MFT197057 MPP196846:MPP197057 MZL196846:MZL197057 NJH196846:NJH197057 NTD196846:NTD197057 OCZ196846:OCZ197057 OMV196846:OMV197057 OWR196846:OWR197057 PGN196846:PGN197057 PQJ196846:PQJ197057 QAF196846:QAF197057 QKB196846:QKB197057 QTX196846:QTX197057 RDT196846:RDT197057 RNP196846:RNP197057 RXL196846:RXL197057 SHH196846:SHH197057 SRD196846:SRD197057 TAZ196846:TAZ197057 TKV196846:TKV197057 TUR196846:TUR197057 UEN196846:UEN197057 UOJ196846:UOJ197057 UYF196846:UYF197057 VIB196846:VIB197057 VRX196846:VRX197057 WBT196846:WBT197057 WLP196846:WLP197057 WVL196846:WVL197057 D262382:D262593 IZ262382:IZ262593 SV262382:SV262593 ACR262382:ACR262593 AMN262382:AMN262593 AWJ262382:AWJ262593 BGF262382:BGF262593 BQB262382:BQB262593 BZX262382:BZX262593 CJT262382:CJT262593 CTP262382:CTP262593 DDL262382:DDL262593 DNH262382:DNH262593 DXD262382:DXD262593 EGZ262382:EGZ262593 EQV262382:EQV262593 FAR262382:FAR262593 FKN262382:FKN262593 FUJ262382:FUJ262593 GEF262382:GEF262593 GOB262382:GOB262593 GXX262382:GXX262593 HHT262382:HHT262593 HRP262382:HRP262593 IBL262382:IBL262593 ILH262382:ILH262593 IVD262382:IVD262593 JEZ262382:JEZ262593 JOV262382:JOV262593 JYR262382:JYR262593 KIN262382:KIN262593 KSJ262382:KSJ262593 LCF262382:LCF262593 LMB262382:LMB262593 LVX262382:LVX262593 MFT262382:MFT262593 MPP262382:MPP262593 MZL262382:MZL262593 NJH262382:NJH262593 NTD262382:NTD262593 OCZ262382:OCZ262593 OMV262382:OMV262593 OWR262382:OWR262593 PGN262382:PGN262593 PQJ262382:PQJ262593 QAF262382:QAF262593 QKB262382:QKB262593 QTX262382:QTX262593 RDT262382:RDT262593 RNP262382:RNP262593 RXL262382:RXL262593 SHH262382:SHH262593 SRD262382:SRD262593 TAZ262382:TAZ262593 TKV262382:TKV262593 TUR262382:TUR262593 UEN262382:UEN262593 UOJ262382:UOJ262593 UYF262382:UYF262593 VIB262382:VIB262593 VRX262382:VRX262593 WBT262382:WBT262593 WLP262382:WLP262593 WVL262382:WVL262593 D327918:D328129 IZ327918:IZ328129 SV327918:SV328129 ACR327918:ACR328129 AMN327918:AMN328129 AWJ327918:AWJ328129 BGF327918:BGF328129 BQB327918:BQB328129 BZX327918:BZX328129 CJT327918:CJT328129 CTP327918:CTP328129 DDL327918:DDL328129 DNH327918:DNH328129 DXD327918:DXD328129 EGZ327918:EGZ328129 EQV327918:EQV328129 FAR327918:FAR328129 FKN327918:FKN328129 FUJ327918:FUJ328129 GEF327918:GEF328129 GOB327918:GOB328129 GXX327918:GXX328129 HHT327918:HHT328129 HRP327918:HRP328129 IBL327918:IBL328129 ILH327918:ILH328129 IVD327918:IVD328129 JEZ327918:JEZ328129 JOV327918:JOV328129 JYR327918:JYR328129 KIN327918:KIN328129 KSJ327918:KSJ328129 LCF327918:LCF328129 LMB327918:LMB328129 LVX327918:LVX328129 MFT327918:MFT328129 MPP327918:MPP328129 MZL327918:MZL328129 NJH327918:NJH328129 NTD327918:NTD328129 OCZ327918:OCZ328129 OMV327918:OMV328129 OWR327918:OWR328129 PGN327918:PGN328129 PQJ327918:PQJ328129 QAF327918:QAF328129 QKB327918:QKB328129 QTX327918:QTX328129 RDT327918:RDT328129 RNP327918:RNP328129 RXL327918:RXL328129 SHH327918:SHH328129 SRD327918:SRD328129 TAZ327918:TAZ328129 TKV327918:TKV328129 TUR327918:TUR328129 UEN327918:UEN328129 UOJ327918:UOJ328129 UYF327918:UYF328129 VIB327918:VIB328129 VRX327918:VRX328129 WBT327918:WBT328129 WLP327918:WLP328129 WVL327918:WVL328129 D393454:D393665 IZ393454:IZ393665 SV393454:SV393665 ACR393454:ACR393665 AMN393454:AMN393665 AWJ393454:AWJ393665 BGF393454:BGF393665 BQB393454:BQB393665 BZX393454:BZX393665 CJT393454:CJT393665 CTP393454:CTP393665 DDL393454:DDL393665 DNH393454:DNH393665 DXD393454:DXD393665 EGZ393454:EGZ393665 EQV393454:EQV393665 FAR393454:FAR393665 FKN393454:FKN393665 FUJ393454:FUJ393665 GEF393454:GEF393665 GOB393454:GOB393665 GXX393454:GXX393665 HHT393454:HHT393665 HRP393454:HRP393665 IBL393454:IBL393665 ILH393454:ILH393665 IVD393454:IVD393665 JEZ393454:JEZ393665 JOV393454:JOV393665 JYR393454:JYR393665 KIN393454:KIN393665 KSJ393454:KSJ393665 LCF393454:LCF393665 LMB393454:LMB393665 LVX393454:LVX393665 MFT393454:MFT393665 MPP393454:MPP393665 MZL393454:MZL393665 NJH393454:NJH393665 NTD393454:NTD393665 OCZ393454:OCZ393665 OMV393454:OMV393665 OWR393454:OWR393665 PGN393454:PGN393665 PQJ393454:PQJ393665 QAF393454:QAF393665 QKB393454:QKB393665 QTX393454:QTX393665 RDT393454:RDT393665 RNP393454:RNP393665 RXL393454:RXL393665 SHH393454:SHH393665 SRD393454:SRD393665 TAZ393454:TAZ393665 TKV393454:TKV393665 TUR393454:TUR393665 UEN393454:UEN393665 UOJ393454:UOJ393665 UYF393454:UYF393665 VIB393454:VIB393665 VRX393454:VRX393665 WBT393454:WBT393665 WLP393454:WLP393665 WVL393454:WVL393665 D458990:D459201 IZ458990:IZ459201 SV458990:SV459201 ACR458990:ACR459201 AMN458990:AMN459201 AWJ458990:AWJ459201 BGF458990:BGF459201 BQB458990:BQB459201 BZX458990:BZX459201 CJT458990:CJT459201 CTP458990:CTP459201 DDL458990:DDL459201 DNH458990:DNH459201 DXD458990:DXD459201 EGZ458990:EGZ459201 EQV458990:EQV459201 FAR458990:FAR459201 FKN458990:FKN459201 FUJ458990:FUJ459201 GEF458990:GEF459201 GOB458990:GOB459201 GXX458990:GXX459201 HHT458990:HHT459201 HRP458990:HRP459201 IBL458990:IBL459201 ILH458990:ILH459201 IVD458990:IVD459201 JEZ458990:JEZ459201 JOV458990:JOV459201 JYR458990:JYR459201 KIN458990:KIN459201 KSJ458990:KSJ459201 LCF458990:LCF459201 LMB458990:LMB459201 LVX458990:LVX459201 MFT458990:MFT459201 MPP458990:MPP459201 MZL458990:MZL459201 NJH458990:NJH459201 NTD458990:NTD459201 OCZ458990:OCZ459201 OMV458990:OMV459201 OWR458990:OWR459201 PGN458990:PGN459201 PQJ458990:PQJ459201 QAF458990:QAF459201 QKB458990:QKB459201 QTX458990:QTX459201 RDT458990:RDT459201 RNP458990:RNP459201 RXL458990:RXL459201 SHH458990:SHH459201 SRD458990:SRD459201 TAZ458990:TAZ459201 TKV458990:TKV459201 TUR458990:TUR459201 UEN458990:UEN459201 UOJ458990:UOJ459201 UYF458990:UYF459201 VIB458990:VIB459201 VRX458990:VRX459201 WBT458990:WBT459201 WLP458990:WLP459201 WVL458990:WVL459201 D524526:D524737 IZ524526:IZ524737 SV524526:SV524737 ACR524526:ACR524737 AMN524526:AMN524737 AWJ524526:AWJ524737 BGF524526:BGF524737 BQB524526:BQB524737 BZX524526:BZX524737 CJT524526:CJT524737 CTP524526:CTP524737 DDL524526:DDL524737 DNH524526:DNH524737 DXD524526:DXD524737 EGZ524526:EGZ524737 EQV524526:EQV524737 FAR524526:FAR524737 FKN524526:FKN524737 FUJ524526:FUJ524737 GEF524526:GEF524737 GOB524526:GOB524737 GXX524526:GXX524737 HHT524526:HHT524737 HRP524526:HRP524737 IBL524526:IBL524737 ILH524526:ILH524737 IVD524526:IVD524737 JEZ524526:JEZ524737 JOV524526:JOV524737 JYR524526:JYR524737 KIN524526:KIN524737 KSJ524526:KSJ524737 LCF524526:LCF524737 LMB524526:LMB524737 LVX524526:LVX524737 MFT524526:MFT524737 MPP524526:MPP524737 MZL524526:MZL524737 NJH524526:NJH524737 NTD524526:NTD524737 OCZ524526:OCZ524737 OMV524526:OMV524737 OWR524526:OWR524737 PGN524526:PGN524737 PQJ524526:PQJ524737 QAF524526:QAF524737 QKB524526:QKB524737 QTX524526:QTX524737 RDT524526:RDT524737 RNP524526:RNP524737 RXL524526:RXL524737 SHH524526:SHH524737 SRD524526:SRD524737 TAZ524526:TAZ524737 TKV524526:TKV524737 TUR524526:TUR524737 UEN524526:UEN524737 UOJ524526:UOJ524737 UYF524526:UYF524737 VIB524526:VIB524737 VRX524526:VRX524737 WBT524526:WBT524737 WLP524526:WLP524737 WVL524526:WVL524737 D590062:D590273 IZ590062:IZ590273 SV590062:SV590273 ACR590062:ACR590273 AMN590062:AMN590273 AWJ590062:AWJ590273 BGF590062:BGF590273 BQB590062:BQB590273 BZX590062:BZX590273 CJT590062:CJT590273 CTP590062:CTP590273 DDL590062:DDL590273 DNH590062:DNH590273 DXD590062:DXD590273 EGZ590062:EGZ590273 EQV590062:EQV590273 FAR590062:FAR590273 FKN590062:FKN590273 FUJ590062:FUJ590273 GEF590062:GEF590273 GOB590062:GOB590273 GXX590062:GXX590273 HHT590062:HHT590273 HRP590062:HRP590273 IBL590062:IBL590273 ILH590062:ILH590273 IVD590062:IVD590273 JEZ590062:JEZ590273 JOV590062:JOV590273 JYR590062:JYR590273 KIN590062:KIN590273 KSJ590062:KSJ590273 LCF590062:LCF590273 LMB590062:LMB590273 LVX590062:LVX590273 MFT590062:MFT590273 MPP590062:MPP590273 MZL590062:MZL590273 NJH590062:NJH590273 NTD590062:NTD590273 OCZ590062:OCZ590273 OMV590062:OMV590273 OWR590062:OWR590273 PGN590062:PGN590273 PQJ590062:PQJ590273 QAF590062:QAF590273 QKB590062:QKB590273 QTX590062:QTX590273 RDT590062:RDT590273 RNP590062:RNP590273 RXL590062:RXL590273 SHH590062:SHH590273 SRD590062:SRD590273 TAZ590062:TAZ590273 TKV590062:TKV590273 TUR590062:TUR590273 UEN590062:UEN590273 UOJ590062:UOJ590273 UYF590062:UYF590273 VIB590062:VIB590273 VRX590062:VRX590273 WBT590062:WBT590273 WLP590062:WLP590273 WVL590062:WVL590273 D655598:D655809 IZ655598:IZ655809 SV655598:SV655809 ACR655598:ACR655809 AMN655598:AMN655809 AWJ655598:AWJ655809 BGF655598:BGF655809 BQB655598:BQB655809 BZX655598:BZX655809 CJT655598:CJT655809 CTP655598:CTP655809 DDL655598:DDL655809 DNH655598:DNH655809 DXD655598:DXD655809 EGZ655598:EGZ655809 EQV655598:EQV655809 FAR655598:FAR655809 FKN655598:FKN655809 FUJ655598:FUJ655809 GEF655598:GEF655809 GOB655598:GOB655809 GXX655598:GXX655809 HHT655598:HHT655809 HRP655598:HRP655809 IBL655598:IBL655809 ILH655598:ILH655809 IVD655598:IVD655809 JEZ655598:JEZ655809 JOV655598:JOV655809 JYR655598:JYR655809 KIN655598:KIN655809 KSJ655598:KSJ655809 LCF655598:LCF655809 LMB655598:LMB655809 LVX655598:LVX655809 MFT655598:MFT655809 MPP655598:MPP655809 MZL655598:MZL655809 NJH655598:NJH655809 NTD655598:NTD655809 OCZ655598:OCZ655809 OMV655598:OMV655809 OWR655598:OWR655809 PGN655598:PGN655809 PQJ655598:PQJ655809 QAF655598:QAF655809 QKB655598:QKB655809 QTX655598:QTX655809 RDT655598:RDT655809 RNP655598:RNP655809 RXL655598:RXL655809 SHH655598:SHH655809 SRD655598:SRD655809 TAZ655598:TAZ655809 TKV655598:TKV655809 TUR655598:TUR655809 UEN655598:UEN655809 UOJ655598:UOJ655809 UYF655598:UYF655809 VIB655598:VIB655809 VRX655598:VRX655809 WBT655598:WBT655809 WLP655598:WLP655809 WVL655598:WVL655809 D721134:D721345 IZ721134:IZ721345 SV721134:SV721345 ACR721134:ACR721345 AMN721134:AMN721345 AWJ721134:AWJ721345 BGF721134:BGF721345 BQB721134:BQB721345 BZX721134:BZX721345 CJT721134:CJT721345 CTP721134:CTP721345 DDL721134:DDL721345 DNH721134:DNH721345 DXD721134:DXD721345 EGZ721134:EGZ721345 EQV721134:EQV721345 FAR721134:FAR721345 FKN721134:FKN721345 FUJ721134:FUJ721345 GEF721134:GEF721345 GOB721134:GOB721345 GXX721134:GXX721345 HHT721134:HHT721345 HRP721134:HRP721345 IBL721134:IBL721345 ILH721134:ILH721345 IVD721134:IVD721345 JEZ721134:JEZ721345 JOV721134:JOV721345 JYR721134:JYR721345 KIN721134:KIN721345 KSJ721134:KSJ721345 LCF721134:LCF721345 LMB721134:LMB721345 LVX721134:LVX721345 MFT721134:MFT721345 MPP721134:MPP721345 MZL721134:MZL721345 NJH721134:NJH721345 NTD721134:NTD721345 OCZ721134:OCZ721345 OMV721134:OMV721345 OWR721134:OWR721345 PGN721134:PGN721345 PQJ721134:PQJ721345 QAF721134:QAF721345 QKB721134:QKB721345 QTX721134:QTX721345 RDT721134:RDT721345 RNP721134:RNP721345 RXL721134:RXL721345 SHH721134:SHH721345 SRD721134:SRD721345 TAZ721134:TAZ721345 TKV721134:TKV721345 TUR721134:TUR721345 UEN721134:UEN721345 UOJ721134:UOJ721345 UYF721134:UYF721345 VIB721134:VIB721345 VRX721134:VRX721345 WBT721134:WBT721345 WLP721134:WLP721345 WVL721134:WVL721345 D786670:D786881 IZ786670:IZ786881 SV786670:SV786881 ACR786670:ACR786881 AMN786670:AMN786881 AWJ786670:AWJ786881 BGF786670:BGF786881 BQB786670:BQB786881 BZX786670:BZX786881 CJT786670:CJT786881 CTP786670:CTP786881 DDL786670:DDL786881 DNH786670:DNH786881 DXD786670:DXD786881 EGZ786670:EGZ786881 EQV786670:EQV786881 FAR786670:FAR786881 FKN786670:FKN786881 FUJ786670:FUJ786881 GEF786670:GEF786881 GOB786670:GOB786881 GXX786670:GXX786881 HHT786670:HHT786881 HRP786670:HRP786881 IBL786670:IBL786881 ILH786670:ILH786881 IVD786670:IVD786881 JEZ786670:JEZ786881 JOV786670:JOV786881 JYR786670:JYR786881 KIN786670:KIN786881 KSJ786670:KSJ786881 LCF786670:LCF786881 LMB786670:LMB786881 LVX786670:LVX786881 MFT786670:MFT786881 MPP786670:MPP786881 MZL786670:MZL786881 NJH786670:NJH786881 NTD786670:NTD786881 OCZ786670:OCZ786881 OMV786670:OMV786881 OWR786670:OWR786881 PGN786670:PGN786881 PQJ786670:PQJ786881 QAF786670:QAF786881 QKB786670:QKB786881 QTX786670:QTX786881 RDT786670:RDT786881 RNP786670:RNP786881 RXL786670:RXL786881 SHH786670:SHH786881 SRD786670:SRD786881 TAZ786670:TAZ786881 TKV786670:TKV786881 TUR786670:TUR786881 UEN786670:UEN786881 UOJ786670:UOJ786881 UYF786670:UYF786881 VIB786670:VIB786881 VRX786670:VRX786881 WBT786670:WBT786881 WLP786670:WLP786881 WVL786670:WVL786881 D852206:D852417 IZ852206:IZ852417 SV852206:SV852417 ACR852206:ACR852417 AMN852206:AMN852417 AWJ852206:AWJ852417 BGF852206:BGF852417 BQB852206:BQB852417 BZX852206:BZX852417 CJT852206:CJT852417 CTP852206:CTP852417 DDL852206:DDL852417 DNH852206:DNH852417 DXD852206:DXD852417 EGZ852206:EGZ852417 EQV852206:EQV852417 FAR852206:FAR852417 FKN852206:FKN852417 FUJ852206:FUJ852417 GEF852206:GEF852417 GOB852206:GOB852417 GXX852206:GXX852417 HHT852206:HHT852417 HRP852206:HRP852417 IBL852206:IBL852417 ILH852206:ILH852417 IVD852206:IVD852417 JEZ852206:JEZ852417 JOV852206:JOV852417 JYR852206:JYR852417 KIN852206:KIN852417 KSJ852206:KSJ852417 LCF852206:LCF852417 LMB852206:LMB852417 LVX852206:LVX852417 MFT852206:MFT852417 MPP852206:MPP852417 MZL852206:MZL852417 NJH852206:NJH852417 NTD852206:NTD852417 OCZ852206:OCZ852417 OMV852206:OMV852417 OWR852206:OWR852417 PGN852206:PGN852417 PQJ852206:PQJ852417 QAF852206:QAF852417 QKB852206:QKB852417 QTX852206:QTX852417 RDT852206:RDT852417 RNP852206:RNP852417 RXL852206:RXL852417 SHH852206:SHH852417 SRD852206:SRD852417 TAZ852206:TAZ852417 TKV852206:TKV852417 TUR852206:TUR852417 UEN852206:UEN852417 UOJ852206:UOJ852417 UYF852206:UYF852417 VIB852206:VIB852417 VRX852206:VRX852417 WBT852206:WBT852417 WLP852206:WLP852417 WVL852206:WVL852417 D917742:D917953 IZ917742:IZ917953 SV917742:SV917953 ACR917742:ACR917953 AMN917742:AMN917953 AWJ917742:AWJ917953 BGF917742:BGF917953 BQB917742:BQB917953 BZX917742:BZX917953 CJT917742:CJT917953 CTP917742:CTP917953 DDL917742:DDL917953 DNH917742:DNH917953 DXD917742:DXD917953 EGZ917742:EGZ917953 EQV917742:EQV917953 FAR917742:FAR917953 FKN917742:FKN917953 FUJ917742:FUJ917953 GEF917742:GEF917953 GOB917742:GOB917953 GXX917742:GXX917953 HHT917742:HHT917953 HRP917742:HRP917953 IBL917742:IBL917953 ILH917742:ILH917953 IVD917742:IVD917953 JEZ917742:JEZ917953 JOV917742:JOV917953 JYR917742:JYR917953 KIN917742:KIN917953 KSJ917742:KSJ917953 LCF917742:LCF917953 LMB917742:LMB917953 LVX917742:LVX917953 MFT917742:MFT917953 MPP917742:MPP917953 MZL917742:MZL917953 NJH917742:NJH917953 NTD917742:NTD917953 OCZ917742:OCZ917953 OMV917742:OMV917953 OWR917742:OWR917953 PGN917742:PGN917953 PQJ917742:PQJ917953 QAF917742:QAF917953 QKB917742:QKB917953 QTX917742:QTX917953 RDT917742:RDT917953 RNP917742:RNP917953 RXL917742:RXL917953 SHH917742:SHH917953 SRD917742:SRD917953 TAZ917742:TAZ917953 TKV917742:TKV917953 TUR917742:TUR917953 UEN917742:UEN917953 UOJ917742:UOJ917953 UYF917742:UYF917953 VIB917742:VIB917953 VRX917742:VRX917953 WBT917742:WBT917953 WLP917742:WLP917953 WVL917742:WVL917953 D983278:D983489 IZ983278:IZ983489 SV983278:SV983489 ACR983278:ACR983489 AMN983278:AMN983489 AWJ983278:AWJ983489 BGF983278:BGF983489 BQB983278:BQB983489 BZX983278:BZX983489 CJT983278:CJT983489 CTP983278:CTP983489 DDL983278:DDL983489 DNH983278:DNH983489 DXD983278:DXD983489 EGZ983278:EGZ983489 EQV983278:EQV983489 FAR983278:FAR983489 FKN983278:FKN983489 FUJ983278:FUJ983489 GEF983278:GEF983489 GOB983278:GOB983489 GXX983278:GXX983489 HHT983278:HHT983489 HRP983278:HRP983489 IBL983278:IBL983489 ILH983278:ILH983489 IVD983278:IVD983489 JEZ983278:JEZ983489 JOV983278:JOV983489 JYR983278:JYR983489 KIN983278:KIN983489 KSJ983278:KSJ983489 LCF983278:LCF983489 LMB983278:LMB983489 LVX983278:LVX983489 MFT983278:MFT983489 MPP983278:MPP983489 MZL983278:MZL983489 NJH983278:NJH983489 NTD983278:NTD983489 OCZ983278:OCZ983489 OMV983278:OMV983489 OWR983278:OWR983489 PGN983278:PGN983489 PQJ983278:PQJ983489 QAF983278:QAF983489 QKB983278:QKB983489 QTX983278:QTX983489 RDT983278:RDT983489 RNP983278:RNP983489 RXL983278:RXL983489 SHH983278:SHH983489 SRD983278:SRD983489 TAZ983278:TAZ983489 TKV983278:TKV983489 TUR983278:TUR983489 UEN983278:UEN983489 UOJ983278:UOJ983489 UYF983278:UYF983489 VIB983278:VIB983489 VRX983278:VRX983489 WBT983278:WBT983489 WLP983278:WLP983489 WVL983278:WVL983489">
      <formula1>$N$238:$N$461</formula1>
    </dataValidation>
    <dataValidation type="list" errorStyle="information" allowBlank="1" showInputMessage="1" showErrorMessage="1" errorTitle="New Site" error="If a site is not in the list enter a new Name" prompt="Select a site name or enter a new one" sqref="WVJ983202:WVQ983202 IX50:JE50 ST50:TA50 ACP50:ACW50 AML50:AMS50 AWH50:AWO50 BGD50:BGK50 BPZ50:BQG50 BZV50:CAC50 CJR50:CJY50 CTN50:CTU50 DDJ50:DDQ50 DNF50:DNM50 DXB50:DXI50 EGX50:EHE50 EQT50:ERA50 FAP50:FAW50 FKL50:FKS50 FUH50:FUO50 GED50:GEK50 GNZ50:GOG50 GXV50:GYC50 HHR50:HHY50 HRN50:HRU50 IBJ50:IBQ50 ILF50:ILM50 IVB50:IVI50 JEX50:JFE50 JOT50:JPA50 JYP50:JYW50 KIL50:KIS50 KSH50:KSO50 LCD50:LCK50 LLZ50:LMG50 LVV50:LWC50 MFR50:MFY50 MPN50:MPU50 MZJ50:MZQ50 NJF50:NJM50 NTB50:NTI50 OCX50:ODE50 OMT50:ONA50 OWP50:OWW50 PGL50:PGS50 PQH50:PQO50 QAD50:QAK50 QJZ50:QKG50 QTV50:QUC50 RDR50:RDY50 RNN50:RNU50 RXJ50:RXQ50 SHF50:SHM50 SRB50:SRI50 TAX50:TBE50 TKT50:TLA50 TUP50:TUW50 UEL50:UES50 UOH50:UOO50 UYD50:UYK50 VHZ50:VIG50 VRV50:VSC50 WBR50:WBY50 WLN50:WLU50 WVJ50:WVQ50 B65698:I65698 IX65698:JE65698 ST65698:TA65698 ACP65698:ACW65698 AML65698:AMS65698 AWH65698:AWO65698 BGD65698:BGK65698 BPZ65698:BQG65698 BZV65698:CAC65698 CJR65698:CJY65698 CTN65698:CTU65698 DDJ65698:DDQ65698 DNF65698:DNM65698 DXB65698:DXI65698 EGX65698:EHE65698 EQT65698:ERA65698 FAP65698:FAW65698 FKL65698:FKS65698 FUH65698:FUO65698 GED65698:GEK65698 GNZ65698:GOG65698 GXV65698:GYC65698 HHR65698:HHY65698 HRN65698:HRU65698 IBJ65698:IBQ65698 ILF65698:ILM65698 IVB65698:IVI65698 JEX65698:JFE65698 JOT65698:JPA65698 JYP65698:JYW65698 KIL65698:KIS65698 KSH65698:KSO65698 LCD65698:LCK65698 LLZ65698:LMG65698 LVV65698:LWC65698 MFR65698:MFY65698 MPN65698:MPU65698 MZJ65698:MZQ65698 NJF65698:NJM65698 NTB65698:NTI65698 OCX65698:ODE65698 OMT65698:ONA65698 OWP65698:OWW65698 PGL65698:PGS65698 PQH65698:PQO65698 QAD65698:QAK65698 QJZ65698:QKG65698 QTV65698:QUC65698 RDR65698:RDY65698 RNN65698:RNU65698 RXJ65698:RXQ65698 SHF65698:SHM65698 SRB65698:SRI65698 TAX65698:TBE65698 TKT65698:TLA65698 TUP65698:TUW65698 UEL65698:UES65698 UOH65698:UOO65698 UYD65698:UYK65698 VHZ65698:VIG65698 VRV65698:VSC65698 WBR65698:WBY65698 WLN65698:WLU65698 WVJ65698:WVQ65698 B131234:I131234 IX131234:JE131234 ST131234:TA131234 ACP131234:ACW131234 AML131234:AMS131234 AWH131234:AWO131234 BGD131234:BGK131234 BPZ131234:BQG131234 BZV131234:CAC131234 CJR131234:CJY131234 CTN131234:CTU131234 DDJ131234:DDQ131234 DNF131234:DNM131234 DXB131234:DXI131234 EGX131234:EHE131234 EQT131234:ERA131234 FAP131234:FAW131234 FKL131234:FKS131234 FUH131234:FUO131234 GED131234:GEK131234 GNZ131234:GOG131234 GXV131234:GYC131234 HHR131234:HHY131234 HRN131234:HRU131234 IBJ131234:IBQ131234 ILF131234:ILM131234 IVB131234:IVI131234 JEX131234:JFE131234 JOT131234:JPA131234 JYP131234:JYW131234 KIL131234:KIS131234 KSH131234:KSO131234 LCD131234:LCK131234 LLZ131234:LMG131234 LVV131234:LWC131234 MFR131234:MFY131234 MPN131234:MPU131234 MZJ131234:MZQ131234 NJF131234:NJM131234 NTB131234:NTI131234 OCX131234:ODE131234 OMT131234:ONA131234 OWP131234:OWW131234 PGL131234:PGS131234 PQH131234:PQO131234 QAD131234:QAK131234 QJZ131234:QKG131234 QTV131234:QUC131234 RDR131234:RDY131234 RNN131234:RNU131234 RXJ131234:RXQ131234 SHF131234:SHM131234 SRB131234:SRI131234 TAX131234:TBE131234 TKT131234:TLA131234 TUP131234:TUW131234 UEL131234:UES131234 UOH131234:UOO131234 UYD131234:UYK131234 VHZ131234:VIG131234 VRV131234:VSC131234 WBR131234:WBY131234 WLN131234:WLU131234 WVJ131234:WVQ131234 B196770:I196770 IX196770:JE196770 ST196770:TA196770 ACP196770:ACW196770 AML196770:AMS196770 AWH196770:AWO196770 BGD196770:BGK196770 BPZ196770:BQG196770 BZV196770:CAC196770 CJR196770:CJY196770 CTN196770:CTU196770 DDJ196770:DDQ196770 DNF196770:DNM196770 DXB196770:DXI196770 EGX196770:EHE196770 EQT196770:ERA196770 FAP196770:FAW196770 FKL196770:FKS196770 FUH196770:FUO196770 GED196770:GEK196770 GNZ196770:GOG196770 GXV196770:GYC196770 HHR196770:HHY196770 HRN196770:HRU196770 IBJ196770:IBQ196770 ILF196770:ILM196770 IVB196770:IVI196770 JEX196770:JFE196770 JOT196770:JPA196770 JYP196770:JYW196770 KIL196770:KIS196770 KSH196770:KSO196770 LCD196770:LCK196770 LLZ196770:LMG196770 LVV196770:LWC196770 MFR196770:MFY196770 MPN196770:MPU196770 MZJ196770:MZQ196770 NJF196770:NJM196770 NTB196770:NTI196770 OCX196770:ODE196770 OMT196770:ONA196770 OWP196770:OWW196770 PGL196770:PGS196770 PQH196770:PQO196770 QAD196770:QAK196770 QJZ196770:QKG196770 QTV196770:QUC196770 RDR196770:RDY196770 RNN196770:RNU196770 RXJ196770:RXQ196770 SHF196770:SHM196770 SRB196770:SRI196770 TAX196770:TBE196770 TKT196770:TLA196770 TUP196770:TUW196770 UEL196770:UES196770 UOH196770:UOO196770 UYD196770:UYK196770 VHZ196770:VIG196770 VRV196770:VSC196770 WBR196770:WBY196770 WLN196770:WLU196770 WVJ196770:WVQ196770 B262306:I262306 IX262306:JE262306 ST262306:TA262306 ACP262306:ACW262306 AML262306:AMS262306 AWH262306:AWO262306 BGD262306:BGK262306 BPZ262306:BQG262306 BZV262306:CAC262306 CJR262306:CJY262306 CTN262306:CTU262306 DDJ262306:DDQ262306 DNF262306:DNM262306 DXB262306:DXI262306 EGX262306:EHE262306 EQT262306:ERA262306 FAP262306:FAW262306 FKL262306:FKS262306 FUH262306:FUO262306 GED262306:GEK262306 GNZ262306:GOG262306 GXV262306:GYC262306 HHR262306:HHY262306 HRN262306:HRU262306 IBJ262306:IBQ262306 ILF262306:ILM262306 IVB262306:IVI262306 JEX262306:JFE262306 JOT262306:JPA262306 JYP262306:JYW262306 KIL262306:KIS262306 KSH262306:KSO262306 LCD262306:LCK262306 LLZ262306:LMG262306 LVV262306:LWC262306 MFR262306:MFY262306 MPN262306:MPU262306 MZJ262306:MZQ262306 NJF262306:NJM262306 NTB262306:NTI262306 OCX262306:ODE262306 OMT262306:ONA262306 OWP262306:OWW262306 PGL262306:PGS262306 PQH262306:PQO262306 QAD262306:QAK262306 QJZ262306:QKG262306 QTV262306:QUC262306 RDR262306:RDY262306 RNN262306:RNU262306 RXJ262306:RXQ262306 SHF262306:SHM262306 SRB262306:SRI262306 TAX262306:TBE262306 TKT262306:TLA262306 TUP262306:TUW262306 UEL262306:UES262306 UOH262306:UOO262306 UYD262306:UYK262306 VHZ262306:VIG262306 VRV262306:VSC262306 WBR262306:WBY262306 WLN262306:WLU262306 WVJ262306:WVQ262306 B327842:I327842 IX327842:JE327842 ST327842:TA327842 ACP327842:ACW327842 AML327842:AMS327842 AWH327842:AWO327842 BGD327842:BGK327842 BPZ327842:BQG327842 BZV327842:CAC327842 CJR327842:CJY327842 CTN327842:CTU327842 DDJ327842:DDQ327842 DNF327842:DNM327842 DXB327842:DXI327842 EGX327842:EHE327842 EQT327842:ERA327842 FAP327842:FAW327842 FKL327842:FKS327842 FUH327842:FUO327842 GED327842:GEK327842 GNZ327842:GOG327842 GXV327842:GYC327842 HHR327842:HHY327842 HRN327842:HRU327842 IBJ327842:IBQ327842 ILF327842:ILM327842 IVB327842:IVI327842 JEX327842:JFE327842 JOT327842:JPA327842 JYP327842:JYW327842 KIL327842:KIS327842 KSH327842:KSO327842 LCD327842:LCK327842 LLZ327842:LMG327842 LVV327842:LWC327842 MFR327842:MFY327842 MPN327842:MPU327842 MZJ327842:MZQ327842 NJF327842:NJM327842 NTB327842:NTI327842 OCX327842:ODE327842 OMT327842:ONA327842 OWP327842:OWW327842 PGL327842:PGS327842 PQH327842:PQO327842 QAD327842:QAK327842 QJZ327842:QKG327842 QTV327842:QUC327842 RDR327842:RDY327842 RNN327842:RNU327842 RXJ327842:RXQ327842 SHF327842:SHM327842 SRB327842:SRI327842 TAX327842:TBE327842 TKT327842:TLA327842 TUP327842:TUW327842 UEL327842:UES327842 UOH327842:UOO327842 UYD327842:UYK327842 VHZ327842:VIG327842 VRV327842:VSC327842 WBR327842:WBY327842 WLN327842:WLU327842 WVJ327842:WVQ327842 B393378:I393378 IX393378:JE393378 ST393378:TA393378 ACP393378:ACW393378 AML393378:AMS393378 AWH393378:AWO393378 BGD393378:BGK393378 BPZ393378:BQG393378 BZV393378:CAC393378 CJR393378:CJY393378 CTN393378:CTU393378 DDJ393378:DDQ393378 DNF393378:DNM393378 DXB393378:DXI393378 EGX393378:EHE393378 EQT393378:ERA393378 FAP393378:FAW393378 FKL393378:FKS393378 FUH393378:FUO393378 GED393378:GEK393378 GNZ393378:GOG393378 GXV393378:GYC393378 HHR393378:HHY393378 HRN393378:HRU393378 IBJ393378:IBQ393378 ILF393378:ILM393378 IVB393378:IVI393378 JEX393378:JFE393378 JOT393378:JPA393378 JYP393378:JYW393378 KIL393378:KIS393378 KSH393378:KSO393378 LCD393378:LCK393378 LLZ393378:LMG393378 LVV393378:LWC393378 MFR393378:MFY393378 MPN393378:MPU393378 MZJ393378:MZQ393378 NJF393378:NJM393378 NTB393378:NTI393378 OCX393378:ODE393378 OMT393378:ONA393378 OWP393378:OWW393378 PGL393378:PGS393378 PQH393378:PQO393378 QAD393378:QAK393378 QJZ393378:QKG393378 QTV393378:QUC393378 RDR393378:RDY393378 RNN393378:RNU393378 RXJ393378:RXQ393378 SHF393378:SHM393378 SRB393378:SRI393378 TAX393378:TBE393378 TKT393378:TLA393378 TUP393378:TUW393378 UEL393378:UES393378 UOH393378:UOO393378 UYD393378:UYK393378 VHZ393378:VIG393378 VRV393378:VSC393378 WBR393378:WBY393378 WLN393378:WLU393378 WVJ393378:WVQ393378 B458914:I458914 IX458914:JE458914 ST458914:TA458914 ACP458914:ACW458914 AML458914:AMS458914 AWH458914:AWO458914 BGD458914:BGK458914 BPZ458914:BQG458914 BZV458914:CAC458914 CJR458914:CJY458914 CTN458914:CTU458914 DDJ458914:DDQ458914 DNF458914:DNM458914 DXB458914:DXI458914 EGX458914:EHE458914 EQT458914:ERA458914 FAP458914:FAW458914 FKL458914:FKS458914 FUH458914:FUO458914 GED458914:GEK458914 GNZ458914:GOG458914 GXV458914:GYC458914 HHR458914:HHY458914 HRN458914:HRU458914 IBJ458914:IBQ458914 ILF458914:ILM458914 IVB458914:IVI458914 JEX458914:JFE458914 JOT458914:JPA458914 JYP458914:JYW458914 KIL458914:KIS458914 KSH458914:KSO458914 LCD458914:LCK458914 LLZ458914:LMG458914 LVV458914:LWC458914 MFR458914:MFY458914 MPN458914:MPU458914 MZJ458914:MZQ458914 NJF458914:NJM458914 NTB458914:NTI458914 OCX458914:ODE458914 OMT458914:ONA458914 OWP458914:OWW458914 PGL458914:PGS458914 PQH458914:PQO458914 QAD458914:QAK458914 QJZ458914:QKG458914 QTV458914:QUC458914 RDR458914:RDY458914 RNN458914:RNU458914 RXJ458914:RXQ458914 SHF458914:SHM458914 SRB458914:SRI458914 TAX458914:TBE458914 TKT458914:TLA458914 TUP458914:TUW458914 UEL458914:UES458914 UOH458914:UOO458914 UYD458914:UYK458914 VHZ458914:VIG458914 VRV458914:VSC458914 WBR458914:WBY458914 WLN458914:WLU458914 WVJ458914:WVQ458914 B524450:I524450 IX524450:JE524450 ST524450:TA524450 ACP524450:ACW524450 AML524450:AMS524450 AWH524450:AWO524450 BGD524450:BGK524450 BPZ524450:BQG524450 BZV524450:CAC524450 CJR524450:CJY524450 CTN524450:CTU524450 DDJ524450:DDQ524450 DNF524450:DNM524450 DXB524450:DXI524450 EGX524450:EHE524450 EQT524450:ERA524450 FAP524450:FAW524450 FKL524450:FKS524450 FUH524450:FUO524450 GED524450:GEK524450 GNZ524450:GOG524450 GXV524450:GYC524450 HHR524450:HHY524450 HRN524450:HRU524450 IBJ524450:IBQ524450 ILF524450:ILM524450 IVB524450:IVI524450 JEX524450:JFE524450 JOT524450:JPA524450 JYP524450:JYW524450 KIL524450:KIS524450 KSH524450:KSO524450 LCD524450:LCK524450 LLZ524450:LMG524450 LVV524450:LWC524450 MFR524450:MFY524450 MPN524450:MPU524450 MZJ524450:MZQ524450 NJF524450:NJM524450 NTB524450:NTI524450 OCX524450:ODE524450 OMT524450:ONA524450 OWP524450:OWW524450 PGL524450:PGS524450 PQH524450:PQO524450 QAD524450:QAK524450 QJZ524450:QKG524450 QTV524450:QUC524450 RDR524450:RDY524450 RNN524450:RNU524450 RXJ524450:RXQ524450 SHF524450:SHM524450 SRB524450:SRI524450 TAX524450:TBE524450 TKT524450:TLA524450 TUP524450:TUW524450 UEL524450:UES524450 UOH524450:UOO524450 UYD524450:UYK524450 VHZ524450:VIG524450 VRV524450:VSC524450 WBR524450:WBY524450 WLN524450:WLU524450 WVJ524450:WVQ524450 B589986:I589986 IX589986:JE589986 ST589986:TA589986 ACP589986:ACW589986 AML589986:AMS589986 AWH589986:AWO589986 BGD589986:BGK589986 BPZ589986:BQG589986 BZV589986:CAC589986 CJR589986:CJY589986 CTN589986:CTU589986 DDJ589986:DDQ589986 DNF589986:DNM589986 DXB589986:DXI589986 EGX589986:EHE589986 EQT589986:ERA589986 FAP589986:FAW589986 FKL589986:FKS589986 FUH589986:FUO589986 GED589986:GEK589986 GNZ589986:GOG589986 GXV589986:GYC589986 HHR589986:HHY589986 HRN589986:HRU589986 IBJ589986:IBQ589986 ILF589986:ILM589986 IVB589986:IVI589986 JEX589986:JFE589986 JOT589986:JPA589986 JYP589986:JYW589986 KIL589986:KIS589986 KSH589986:KSO589986 LCD589986:LCK589986 LLZ589986:LMG589986 LVV589986:LWC589986 MFR589986:MFY589986 MPN589986:MPU589986 MZJ589986:MZQ589986 NJF589986:NJM589986 NTB589986:NTI589986 OCX589986:ODE589986 OMT589986:ONA589986 OWP589986:OWW589986 PGL589986:PGS589986 PQH589986:PQO589986 QAD589986:QAK589986 QJZ589986:QKG589986 QTV589986:QUC589986 RDR589986:RDY589986 RNN589986:RNU589986 RXJ589986:RXQ589986 SHF589986:SHM589986 SRB589986:SRI589986 TAX589986:TBE589986 TKT589986:TLA589986 TUP589986:TUW589986 UEL589986:UES589986 UOH589986:UOO589986 UYD589986:UYK589986 VHZ589986:VIG589986 VRV589986:VSC589986 WBR589986:WBY589986 WLN589986:WLU589986 WVJ589986:WVQ589986 B655522:I655522 IX655522:JE655522 ST655522:TA655522 ACP655522:ACW655522 AML655522:AMS655522 AWH655522:AWO655522 BGD655522:BGK655522 BPZ655522:BQG655522 BZV655522:CAC655522 CJR655522:CJY655522 CTN655522:CTU655522 DDJ655522:DDQ655522 DNF655522:DNM655522 DXB655522:DXI655522 EGX655522:EHE655522 EQT655522:ERA655522 FAP655522:FAW655522 FKL655522:FKS655522 FUH655522:FUO655522 GED655522:GEK655522 GNZ655522:GOG655522 GXV655522:GYC655522 HHR655522:HHY655522 HRN655522:HRU655522 IBJ655522:IBQ655522 ILF655522:ILM655522 IVB655522:IVI655522 JEX655522:JFE655522 JOT655522:JPA655522 JYP655522:JYW655522 KIL655522:KIS655522 KSH655522:KSO655522 LCD655522:LCK655522 LLZ655522:LMG655522 LVV655522:LWC655522 MFR655522:MFY655522 MPN655522:MPU655522 MZJ655522:MZQ655522 NJF655522:NJM655522 NTB655522:NTI655522 OCX655522:ODE655522 OMT655522:ONA655522 OWP655522:OWW655522 PGL655522:PGS655522 PQH655522:PQO655522 QAD655522:QAK655522 QJZ655522:QKG655522 QTV655522:QUC655522 RDR655522:RDY655522 RNN655522:RNU655522 RXJ655522:RXQ655522 SHF655522:SHM655522 SRB655522:SRI655522 TAX655522:TBE655522 TKT655522:TLA655522 TUP655522:TUW655522 UEL655522:UES655522 UOH655522:UOO655522 UYD655522:UYK655522 VHZ655522:VIG655522 VRV655522:VSC655522 WBR655522:WBY655522 WLN655522:WLU655522 WVJ655522:WVQ655522 B721058:I721058 IX721058:JE721058 ST721058:TA721058 ACP721058:ACW721058 AML721058:AMS721058 AWH721058:AWO721058 BGD721058:BGK721058 BPZ721058:BQG721058 BZV721058:CAC721058 CJR721058:CJY721058 CTN721058:CTU721058 DDJ721058:DDQ721058 DNF721058:DNM721058 DXB721058:DXI721058 EGX721058:EHE721058 EQT721058:ERA721058 FAP721058:FAW721058 FKL721058:FKS721058 FUH721058:FUO721058 GED721058:GEK721058 GNZ721058:GOG721058 GXV721058:GYC721058 HHR721058:HHY721058 HRN721058:HRU721058 IBJ721058:IBQ721058 ILF721058:ILM721058 IVB721058:IVI721058 JEX721058:JFE721058 JOT721058:JPA721058 JYP721058:JYW721058 KIL721058:KIS721058 KSH721058:KSO721058 LCD721058:LCK721058 LLZ721058:LMG721058 LVV721058:LWC721058 MFR721058:MFY721058 MPN721058:MPU721058 MZJ721058:MZQ721058 NJF721058:NJM721058 NTB721058:NTI721058 OCX721058:ODE721058 OMT721058:ONA721058 OWP721058:OWW721058 PGL721058:PGS721058 PQH721058:PQO721058 QAD721058:QAK721058 QJZ721058:QKG721058 QTV721058:QUC721058 RDR721058:RDY721058 RNN721058:RNU721058 RXJ721058:RXQ721058 SHF721058:SHM721058 SRB721058:SRI721058 TAX721058:TBE721058 TKT721058:TLA721058 TUP721058:TUW721058 UEL721058:UES721058 UOH721058:UOO721058 UYD721058:UYK721058 VHZ721058:VIG721058 VRV721058:VSC721058 WBR721058:WBY721058 WLN721058:WLU721058 WVJ721058:WVQ721058 B786594:I786594 IX786594:JE786594 ST786594:TA786594 ACP786594:ACW786594 AML786594:AMS786594 AWH786594:AWO786594 BGD786594:BGK786594 BPZ786594:BQG786594 BZV786594:CAC786594 CJR786594:CJY786594 CTN786594:CTU786594 DDJ786594:DDQ786594 DNF786594:DNM786594 DXB786594:DXI786594 EGX786594:EHE786594 EQT786594:ERA786594 FAP786594:FAW786594 FKL786594:FKS786594 FUH786594:FUO786594 GED786594:GEK786594 GNZ786594:GOG786594 GXV786594:GYC786594 HHR786594:HHY786594 HRN786594:HRU786594 IBJ786594:IBQ786594 ILF786594:ILM786594 IVB786594:IVI786594 JEX786594:JFE786594 JOT786594:JPA786594 JYP786594:JYW786594 KIL786594:KIS786594 KSH786594:KSO786594 LCD786594:LCK786594 LLZ786594:LMG786594 LVV786594:LWC786594 MFR786594:MFY786594 MPN786594:MPU786594 MZJ786594:MZQ786594 NJF786594:NJM786594 NTB786594:NTI786594 OCX786594:ODE786594 OMT786594:ONA786594 OWP786594:OWW786594 PGL786594:PGS786594 PQH786594:PQO786594 QAD786594:QAK786594 QJZ786594:QKG786594 QTV786594:QUC786594 RDR786594:RDY786594 RNN786594:RNU786594 RXJ786594:RXQ786594 SHF786594:SHM786594 SRB786594:SRI786594 TAX786594:TBE786594 TKT786594:TLA786594 TUP786594:TUW786594 UEL786594:UES786594 UOH786594:UOO786594 UYD786594:UYK786594 VHZ786594:VIG786594 VRV786594:VSC786594 WBR786594:WBY786594 WLN786594:WLU786594 WVJ786594:WVQ786594 B852130:I852130 IX852130:JE852130 ST852130:TA852130 ACP852130:ACW852130 AML852130:AMS852130 AWH852130:AWO852130 BGD852130:BGK852130 BPZ852130:BQG852130 BZV852130:CAC852130 CJR852130:CJY852130 CTN852130:CTU852130 DDJ852130:DDQ852130 DNF852130:DNM852130 DXB852130:DXI852130 EGX852130:EHE852130 EQT852130:ERA852130 FAP852130:FAW852130 FKL852130:FKS852130 FUH852130:FUO852130 GED852130:GEK852130 GNZ852130:GOG852130 GXV852130:GYC852130 HHR852130:HHY852130 HRN852130:HRU852130 IBJ852130:IBQ852130 ILF852130:ILM852130 IVB852130:IVI852130 JEX852130:JFE852130 JOT852130:JPA852130 JYP852130:JYW852130 KIL852130:KIS852130 KSH852130:KSO852130 LCD852130:LCK852130 LLZ852130:LMG852130 LVV852130:LWC852130 MFR852130:MFY852130 MPN852130:MPU852130 MZJ852130:MZQ852130 NJF852130:NJM852130 NTB852130:NTI852130 OCX852130:ODE852130 OMT852130:ONA852130 OWP852130:OWW852130 PGL852130:PGS852130 PQH852130:PQO852130 QAD852130:QAK852130 QJZ852130:QKG852130 QTV852130:QUC852130 RDR852130:RDY852130 RNN852130:RNU852130 RXJ852130:RXQ852130 SHF852130:SHM852130 SRB852130:SRI852130 TAX852130:TBE852130 TKT852130:TLA852130 TUP852130:TUW852130 UEL852130:UES852130 UOH852130:UOO852130 UYD852130:UYK852130 VHZ852130:VIG852130 VRV852130:VSC852130 WBR852130:WBY852130 WLN852130:WLU852130 WVJ852130:WVQ852130 B917666:I917666 IX917666:JE917666 ST917666:TA917666 ACP917666:ACW917666 AML917666:AMS917666 AWH917666:AWO917666 BGD917666:BGK917666 BPZ917666:BQG917666 BZV917666:CAC917666 CJR917666:CJY917666 CTN917666:CTU917666 DDJ917666:DDQ917666 DNF917666:DNM917666 DXB917666:DXI917666 EGX917666:EHE917666 EQT917666:ERA917666 FAP917666:FAW917666 FKL917666:FKS917666 FUH917666:FUO917666 GED917666:GEK917666 GNZ917666:GOG917666 GXV917666:GYC917666 HHR917666:HHY917666 HRN917666:HRU917666 IBJ917666:IBQ917666 ILF917666:ILM917666 IVB917666:IVI917666 JEX917666:JFE917666 JOT917666:JPA917666 JYP917666:JYW917666 KIL917666:KIS917666 KSH917666:KSO917666 LCD917666:LCK917666 LLZ917666:LMG917666 LVV917666:LWC917666 MFR917666:MFY917666 MPN917666:MPU917666 MZJ917666:MZQ917666 NJF917666:NJM917666 NTB917666:NTI917666 OCX917666:ODE917666 OMT917666:ONA917666 OWP917666:OWW917666 PGL917666:PGS917666 PQH917666:PQO917666 QAD917666:QAK917666 QJZ917666:QKG917666 QTV917666:QUC917666 RDR917666:RDY917666 RNN917666:RNU917666 RXJ917666:RXQ917666 SHF917666:SHM917666 SRB917666:SRI917666 TAX917666:TBE917666 TKT917666:TLA917666 TUP917666:TUW917666 UEL917666:UES917666 UOH917666:UOO917666 UYD917666:UYK917666 VHZ917666:VIG917666 VRV917666:VSC917666 WBR917666:WBY917666 WLN917666:WLU917666 WVJ917666:WVQ917666 B983202:I983202 IX983202:JE983202 ST983202:TA983202 ACP983202:ACW983202 AML983202:AMS983202 AWH983202:AWO983202 BGD983202:BGK983202 BPZ983202:BQG983202 BZV983202:CAC983202 CJR983202:CJY983202 CTN983202:CTU983202 DDJ983202:DDQ983202 DNF983202:DNM983202 DXB983202:DXI983202 EGX983202:EHE983202 EQT983202:ERA983202 FAP983202:FAW983202 FKL983202:FKS983202 FUH983202:FUO983202 GED983202:GEK983202 GNZ983202:GOG983202 GXV983202:GYC983202 HHR983202:HHY983202 HRN983202:HRU983202 IBJ983202:IBQ983202 ILF983202:ILM983202 IVB983202:IVI983202 JEX983202:JFE983202 JOT983202:JPA983202 JYP983202:JYW983202 KIL983202:KIS983202 KSH983202:KSO983202 LCD983202:LCK983202 LLZ983202:LMG983202 LVV983202:LWC983202 MFR983202:MFY983202 MPN983202:MPU983202 MZJ983202:MZQ983202 NJF983202:NJM983202 NTB983202:NTI983202 OCX983202:ODE983202 OMT983202:ONA983202 OWP983202:OWW983202 PGL983202:PGS983202 PQH983202:PQO983202 QAD983202:QAK983202 QJZ983202:QKG983202 QTV983202:QUC983202 RDR983202:RDY983202 RNN983202:RNU983202 RXJ983202:RXQ983202 SHF983202:SHM983202 SRB983202:SRI983202 TAX983202:TBE983202 TKT983202:TLA983202 TUP983202:TUW983202 UEL983202:UES983202 UOH983202:UOO983202 UYD983202:UYK983202 VHZ983202:VIG983202 VRV983202:VSC983202 WBR983202:WBY983202 WLN983202:WLU983202 B50:I50">
      <formula1>Site_name_list</formula1>
    </dataValidation>
    <dataValidation type="custom" allowBlank="1" showInputMessage="1" showErrorMessage="1" sqref="B21:I21 IX21:JE21 ST21:TA21 ACP21:ACW21 AML21:AMS21 AWH21:AWO21 BGD21:BGK21 BPZ21:BQG21 BZV21:CAC21 CJR21:CJY21 CTN21:CTU21 DDJ21:DDQ21 DNF21:DNM21 DXB21:DXI21 EGX21:EHE21 EQT21:ERA21 FAP21:FAW21 FKL21:FKS21 FUH21:FUO21 GED21:GEK21 GNZ21:GOG21 GXV21:GYC21 HHR21:HHY21 HRN21:HRU21 IBJ21:IBQ21 ILF21:ILM21 IVB21:IVI21 JEX21:JFE21 JOT21:JPA21 JYP21:JYW21 KIL21:KIS21 KSH21:KSO21 LCD21:LCK21 LLZ21:LMG21 LVV21:LWC21 MFR21:MFY21 MPN21:MPU21 MZJ21:MZQ21 NJF21:NJM21 NTB21:NTI21 OCX21:ODE21 OMT21:ONA21 OWP21:OWW21 PGL21:PGS21 PQH21:PQO21 QAD21:QAK21 QJZ21:QKG21 QTV21:QUC21 RDR21:RDY21 RNN21:RNU21 RXJ21:RXQ21 SHF21:SHM21 SRB21:SRI21 TAX21:TBE21 TKT21:TLA21 TUP21:TUW21 UEL21:UES21 UOH21:UOO21 UYD21:UYK21 VHZ21:VIG21 VRV21:VSC21 WBR21:WBY21 WLN21:WLU21 WVJ21:WVQ21 B65670:I65670 IX65670:JE65670 ST65670:TA65670 ACP65670:ACW65670 AML65670:AMS65670 AWH65670:AWO65670 BGD65670:BGK65670 BPZ65670:BQG65670 BZV65670:CAC65670 CJR65670:CJY65670 CTN65670:CTU65670 DDJ65670:DDQ65670 DNF65670:DNM65670 DXB65670:DXI65670 EGX65670:EHE65670 EQT65670:ERA65670 FAP65670:FAW65670 FKL65670:FKS65670 FUH65670:FUO65670 GED65670:GEK65670 GNZ65670:GOG65670 GXV65670:GYC65670 HHR65670:HHY65670 HRN65670:HRU65670 IBJ65670:IBQ65670 ILF65670:ILM65670 IVB65670:IVI65670 JEX65670:JFE65670 JOT65670:JPA65670 JYP65670:JYW65670 KIL65670:KIS65670 KSH65670:KSO65670 LCD65670:LCK65670 LLZ65670:LMG65670 LVV65670:LWC65670 MFR65670:MFY65670 MPN65670:MPU65670 MZJ65670:MZQ65670 NJF65670:NJM65670 NTB65670:NTI65670 OCX65670:ODE65670 OMT65670:ONA65670 OWP65670:OWW65670 PGL65670:PGS65670 PQH65670:PQO65670 QAD65670:QAK65670 QJZ65670:QKG65670 QTV65670:QUC65670 RDR65670:RDY65670 RNN65670:RNU65670 RXJ65670:RXQ65670 SHF65670:SHM65670 SRB65670:SRI65670 TAX65670:TBE65670 TKT65670:TLA65670 TUP65670:TUW65670 UEL65670:UES65670 UOH65670:UOO65670 UYD65670:UYK65670 VHZ65670:VIG65670 VRV65670:VSC65670 WBR65670:WBY65670 WLN65670:WLU65670 WVJ65670:WVQ65670 B131206:I131206 IX131206:JE131206 ST131206:TA131206 ACP131206:ACW131206 AML131206:AMS131206 AWH131206:AWO131206 BGD131206:BGK131206 BPZ131206:BQG131206 BZV131206:CAC131206 CJR131206:CJY131206 CTN131206:CTU131206 DDJ131206:DDQ131206 DNF131206:DNM131206 DXB131206:DXI131206 EGX131206:EHE131206 EQT131206:ERA131206 FAP131206:FAW131206 FKL131206:FKS131206 FUH131206:FUO131206 GED131206:GEK131206 GNZ131206:GOG131206 GXV131206:GYC131206 HHR131206:HHY131206 HRN131206:HRU131206 IBJ131206:IBQ131206 ILF131206:ILM131206 IVB131206:IVI131206 JEX131206:JFE131206 JOT131206:JPA131206 JYP131206:JYW131206 KIL131206:KIS131206 KSH131206:KSO131206 LCD131206:LCK131206 LLZ131206:LMG131206 LVV131206:LWC131206 MFR131206:MFY131206 MPN131206:MPU131206 MZJ131206:MZQ131206 NJF131206:NJM131206 NTB131206:NTI131206 OCX131206:ODE131206 OMT131206:ONA131206 OWP131206:OWW131206 PGL131206:PGS131206 PQH131206:PQO131206 QAD131206:QAK131206 QJZ131206:QKG131206 QTV131206:QUC131206 RDR131206:RDY131206 RNN131206:RNU131206 RXJ131206:RXQ131206 SHF131206:SHM131206 SRB131206:SRI131206 TAX131206:TBE131206 TKT131206:TLA131206 TUP131206:TUW131206 UEL131206:UES131206 UOH131206:UOO131206 UYD131206:UYK131206 VHZ131206:VIG131206 VRV131206:VSC131206 WBR131206:WBY131206 WLN131206:WLU131206 WVJ131206:WVQ131206 B196742:I196742 IX196742:JE196742 ST196742:TA196742 ACP196742:ACW196742 AML196742:AMS196742 AWH196742:AWO196742 BGD196742:BGK196742 BPZ196742:BQG196742 BZV196742:CAC196742 CJR196742:CJY196742 CTN196742:CTU196742 DDJ196742:DDQ196742 DNF196742:DNM196742 DXB196742:DXI196742 EGX196742:EHE196742 EQT196742:ERA196742 FAP196742:FAW196742 FKL196742:FKS196742 FUH196742:FUO196742 GED196742:GEK196742 GNZ196742:GOG196742 GXV196742:GYC196742 HHR196742:HHY196742 HRN196742:HRU196742 IBJ196742:IBQ196742 ILF196742:ILM196742 IVB196742:IVI196742 JEX196742:JFE196742 JOT196742:JPA196742 JYP196742:JYW196742 KIL196742:KIS196742 KSH196742:KSO196742 LCD196742:LCK196742 LLZ196742:LMG196742 LVV196742:LWC196742 MFR196742:MFY196742 MPN196742:MPU196742 MZJ196742:MZQ196742 NJF196742:NJM196742 NTB196742:NTI196742 OCX196742:ODE196742 OMT196742:ONA196742 OWP196742:OWW196742 PGL196742:PGS196742 PQH196742:PQO196742 QAD196742:QAK196742 QJZ196742:QKG196742 QTV196742:QUC196742 RDR196742:RDY196742 RNN196742:RNU196742 RXJ196742:RXQ196742 SHF196742:SHM196742 SRB196742:SRI196742 TAX196742:TBE196742 TKT196742:TLA196742 TUP196742:TUW196742 UEL196742:UES196742 UOH196742:UOO196742 UYD196742:UYK196742 VHZ196742:VIG196742 VRV196742:VSC196742 WBR196742:WBY196742 WLN196742:WLU196742 WVJ196742:WVQ196742 B262278:I262278 IX262278:JE262278 ST262278:TA262278 ACP262278:ACW262278 AML262278:AMS262278 AWH262278:AWO262278 BGD262278:BGK262278 BPZ262278:BQG262278 BZV262278:CAC262278 CJR262278:CJY262278 CTN262278:CTU262278 DDJ262278:DDQ262278 DNF262278:DNM262278 DXB262278:DXI262278 EGX262278:EHE262278 EQT262278:ERA262278 FAP262278:FAW262278 FKL262278:FKS262278 FUH262278:FUO262278 GED262278:GEK262278 GNZ262278:GOG262278 GXV262278:GYC262278 HHR262278:HHY262278 HRN262278:HRU262278 IBJ262278:IBQ262278 ILF262278:ILM262278 IVB262278:IVI262278 JEX262278:JFE262278 JOT262278:JPA262278 JYP262278:JYW262278 KIL262278:KIS262278 KSH262278:KSO262278 LCD262278:LCK262278 LLZ262278:LMG262278 LVV262278:LWC262278 MFR262278:MFY262278 MPN262278:MPU262278 MZJ262278:MZQ262278 NJF262278:NJM262278 NTB262278:NTI262278 OCX262278:ODE262278 OMT262278:ONA262278 OWP262278:OWW262278 PGL262278:PGS262278 PQH262278:PQO262278 QAD262278:QAK262278 QJZ262278:QKG262278 QTV262278:QUC262278 RDR262278:RDY262278 RNN262278:RNU262278 RXJ262278:RXQ262278 SHF262278:SHM262278 SRB262278:SRI262278 TAX262278:TBE262278 TKT262278:TLA262278 TUP262278:TUW262278 UEL262278:UES262278 UOH262278:UOO262278 UYD262278:UYK262278 VHZ262278:VIG262278 VRV262278:VSC262278 WBR262278:WBY262278 WLN262278:WLU262278 WVJ262278:WVQ262278 B327814:I327814 IX327814:JE327814 ST327814:TA327814 ACP327814:ACW327814 AML327814:AMS327814 AWH327814:AWO327814 BGD327814:BGK327814 BPZ327814:BQG327814 BZV327814:CAC327814 CJR327814:CJY327814 CTN327814:CTU327814 DDJ327814:DDQ327814 DNF327814:DNM327814 DXB327814:DXI327814 EGX327814:EHE327814 EQT327814:ERA327814 FAP327814:FAW327814 FKL327814:FKS327814 FUH327814:FUO327814 GED327814:GEK327814 GNZ327814:GOG327814 GXV327814:GYC327814 HHR327814:HHY327814 HRN327814:HRU327814 IBJ327814:IBQ327814 ILF327814:ILM327814 IVB327814:IVI327814 JEX327814:JFE327814 JOT327814:JPA327814 JYP327814:JYW327814 KIL327814:KIS327814 KSH327814:KSO327814 LCD327814:LCK327814 LLZ327814:LMG327814 LVV327814:LWC327814 MFR327814:MFY327814 MPN327814:MPU327814 MZJ327814:MZQ327814 NJF327814:NJM327814 NTB327814:NTI327814 OCX327814:ODE327814 OMT327814:ONA327814 OWP327814:OWW327814 PGL327814:PGS327814 PQH327814:PQO327814 QAD327814:QAK327814 QJZ327814:QKG327814 QTV327814:QUC327814 RDR327814:RDY327814 RNN327814:RNU327814 RXJ327814:RXQ327814 SHF327814:SHM327814 SRB327814:SRI327814 TAX327814:TBE327814 TKT327814:TLA327814 TUP327814:TUW327814 UEL327814:UES327814 UOH327814:UOO327814 UYD327814:UYK327814 VHZ327814:VIG327814 VRV327814:VSC327814 WBR327814:WBY327814 WLN327814:WLU327814 WVJ327814:WVQ327814 B393350:I393350 IX393350:JE393350 ST393350:TA393350 ACP393350:ACW393350 AML393350:AMS393350 AWH393350:AWO393350 BGD393350:BGK393350 BPZ393350:BQG393350 BZV393350:CAC393350 CJR393350:CJY393350 CTN393350:CTU393350 DDJ393350:DDQ393350 DNF393350:DNM393350 DXB393350:DXI393350 EGX393350:EHE393350 EQT393350:ERA393350 FAP393350:FAW393350 FKL393350:FKS393350 FUH393350:FUO393350 GED393350:GEK393350 GNZ393350:GOG393350 GXV393350:GYC393350 HHR393350:HHY393350 HRN393350:HRU393350 IBJ393350:IBQ393350 ILF393350:ILM393350 IVB393350:IVI393350 JEX393350:JFE393350 JOT393350:JPA393350 JYP393350:JYW393350 KIL393350:KIS393350 KSH393350:KSO393350 LCD393350:LCK393350 LLZ393350:LMG393350 LVV393350:LWC393350 MFR393350:MFY393350 MPN393350:MPU393350 MZJ393350:MZQ393350 NJF393350:NJM393350 NTB393350:NTI393350 OCX393350:ODE393350 OMT393350:ONA393350 OWP393350:OWW393350 PGL393350:PGS393350 PQH393350:PQO393350 QAD393350:QAK393350 QJZ393350:QKG393350 QTV393350:QUC393350 RDR393350:RDY393350 RNN393350:RNU393350 RXJ393350:RXQ393350 SHF393350:SHM393350 SRB393350:SRI393350 TAX393350:TBE393350 TKT393350:TLA393350 TUP393350:TUW393350 UEL393350:UES393350 UOH393350:UOO393350 UYD393350:UYK393350 VHZ393350:VIG393350 VRV393350:VSC393350 WBR393350:WBY393350 WLN393350:WLU393350 WVJ393350:WVQ393350 B458886:I458886 IX458886:JE458886 ST458886:TA458886 ACP458886:ACW458886 AML458886:AMS458886 AWH458886:AWO458886 BGD458886:BGK458886 BPZ458886:BQG458886 BZV458886:CAC458886 CJR458886:CJY458886 CTN458886:CTU458886 DDJ458886:DDQ458886 DNF458886:DNM458886 DXB458886:DXI458886 EGX458886:EHE458886 EQT458886:ERA458886 FAP458886:FAW458886 FKL458886:FKS458886 FUH458886:FUO458886 GED458886:GEK458886 GNZ458886:GOG458886 GXV458886:GYC458886 HHR458886:HHY458886 HRN458886:HRU458886 IBJ458886:IBQ458886 ILF458886:ILM458886 IVB458886:IVI458886 JEX458886:JFE458886 JOT458886:JPA458886 JYP458886:JYW458886 KIL458886:KIS458886 KSH458886:KSO458886 LCD458886:LCK458886 LLZ458886:LMG458886 LVV458886:LWC458886 MFR458886:MFY458886 MPN458886:MPU458886 MZJ458886:MZQ458886 NJF458886:NJM458886 NTB458886:NTI458886 OCX458886:ODE458886 OMT458886:ONA458886 OWP458886:OWW458886 PGL458886:PGS458886 PQH458886:PQO458886 QAD458886:QAK458886 QJZ458886:QKG458886 QTV458886:QUC458886 RDR458886:RDY458886 RNN458886:RNU458886 RXJ458886:RXQ458886 SHF458886:SHM458886 SRB458886:SRI458886 TAX458886:TBE458886 TKT458886:TLA458886 TUP458886:TUW458886 UEL458886:UES458886 UOH458886:UOO458886 UYD458886:UYK458886 VHZ458886:VIG458886 VRV458886:VSC458886 WBR458886:WBY458886 WLN458886:WLU458886 WVJ458886:WVQ458886 B524422:I524422 IX524422:JE524422 ST524422:TA524422 ACP524422:ACW524422 AML524422:AMS524422 AWH524422:AWO524422 BGD524422:BGK524422 BPZ524422:BQG524422 BZV524422:CAC524422 CJR524422:CJY524422 CTN524422:CTU524422 DDJ524422:DDQ524422 DNF524422:DNM524422 DXB524422:DXI524422 EGX524422:EHE524422 EQT524422:ERA524422 FAP524422:FAW524422 FKL524422:FKS524422 FUH524422:FUO524422 GED524422:GEK524422 GNZ524422:GOG524422 GXV524422:GYC524422 HHR524422:HHY524422 HRN524422:HRU524422 IBJ524422:IBQ524422 ILF524422:ILM524422 IVB524422:IVI524422 JEX524422:JFE524422 JOT524422:JPA524422 JYP524422:JYW524422 KIL524422:KIS524422 KSH524422:KSO524422 LCD524422:LCK524422 LLZ524422:LMG524422 LVV524422:LWC524422 MFR524422:MFY524422 MPN524422:MPU524422 MZJ524422:MZQ524422 NJF524422:NJM524422 NTB524422:NTI524422 OCX524422:ODE524422 OMT524422:ONA524422 OWP524422:OWW524422 PGL524422:PGS524422 PQH524422:PQO524422 QAD524422:QAK524422 QJZ524422:QKG524422 QTV524422:QUC524422 RDR524422:RDY524422 RNN524422:RNU524422 RXJ524422:RXQ524422 SHF524422:SHM524422 SRB524422:SRI524422 TAX524422:TBE524422 TKT524422:TLA524422 TUP524422:TUW524422 UEL524422:UES524422 UOH524422:UOO524422 UYD524422:UYK524422 VHZ524422:VIG524422 VRV524422:VSC524422 WBR524422:WBY524422 WLN524422:WLU524422 WVJ524422:WVQ524422 B589958:I589958 IX589958:JE589958 ST589958:TA589958 ACP589958:ACW589958 AML589958:AMS589958 AWH589958:AWO589958 BGD589958:BGK589958 BPZ589958:BQG589958 BZV589958:CAC589958 CJR589958:CJY589958 CTN589958:CTU589958 DDJ589958:DDQ589958 DNF589958:DNM589958 DXB589958:DXI589958 EGX589958:EHE589958 EQT589958:ERA589958 FAP589958:FAW589958 FKL589958:FKS589958 FUH589958:FUO589958 GED589958:GEK589958 GNZ589958:GOG589958 GXV589958:GYC589958 HHR589958:HHY589958 HRN589958:HRU589958 IBJ589958:IBQ589958 ILF589958:ILM589958 IVB589958:IVI589958 JEX589958:JFE589958 JOT589958:JPA589958 JYP589958:JYW589958 KIL589958:KIS589958 KSH589958:KSO589958 LCD589958:LCK589958 LLZ589958:LMG589958 LVV589958:LWC589958 MFR589958:MFY589958 MPN589958:MPU589958 MZJ589958:MZQ589958 NJF589958:NJM589958 NTB589958:NTI589958 OCX589958:ODE589958 OMT589958:ONA589958 OWP589958:OWW589958 PGL589958:PGS589958 PQH589958:PQO589958 QAD589958:QAK589958 QJZ589958:QKG589958 QTV589958:QUC589958 RDR589958:RDY589958 RNN589958:RNU589958 RXJ589958:RXQ589958 SHF589958:SHM589958 SRB589958:SRI589958 TAX589958:TBE589958 TKT589958:TLA589958 TUP589958:TUW589958 UEL589958:UES589958 UOH589958:UOO589958 UYD589958:UYK589958 VHZ589958:VIG589958 VRV589958:VSC589958 WBR589958:WBY589958 WLN589958:WLU589958 WVJ589958:WVQ589958 B655494:I655494 IX655494:JE655494 ST655494:TA655494 ACP655494:ACW655494 AML655494:AMS655494 AWH655494:AWO655494 BGD655494:BGK655494 BPZ655494:BQG655494 BZV655494:CAC655494 CJR655494:CJY655494 CTN655494:CTU655494 DDJ655494:DDQ655494 DNF655494:DNM655494 DXB655494:DXI655494 EGX655494:EHE655494 EQT655494:ERA655494 FAP655494:FAW655494 FKL655494:FKS655494 FUH655494:FUO655494 GED655494:GEK655494 GNZ655494:GOG655494 GXV655494:GYC655494 HHR655494:HHY655494 HRN655494:HRU655494 IBJ655494:IBQ655494 ILF655494:ILM655494 IVB655494:IVI655494 JEX655494:JFE655494 JOT655494:JPA655494 JYP655494:JYW655494 KIL655494:KIS655494 KSH655494:KSO655494 LCD655494:LCK655494 LLZ655494:LMG655494 LVV655494:LWC655494 MFR655494:MFY655494 MPN655494:MPU655494 MZJ655494:MZQ655494 NJF655494:NJM655494 NTB655494:NTI655494 OCX655494:ODE655494 OMT655494:ONA655494 OWP655494:OWW655494 PGL655494:PGS655494 PQH655494:PQO655494 QAD655494:QAK655494 QJZ655494:QKG655494 QTV655494:QUC655494 RDR655494:RDY655494 RNN655494:RNU655494 RXJ655494:RXQ655494 SHF655494:SHM655494 SRB655494:SRI655494 TAX655494:TBE655494 TKT655494:TLA655494 TUP655494:TUW655494 UEL655494:UES655494 UOH655494:UOO655494 UYD655494:UYK655494 VHZ655494:VIG655494 VRV655494:VSC655494 WBR655494:WBY655494 WLN655494:WLU655494 WVJ655494:WVQ655494 B721030:I721030 IX721030:JE721030 ST721030:TA721030 ACP721030:ACW721030 AML721030:AMS721030 AWH721030:AWO721030 BGD721030:BGK721030 BPZ721030:BQG721030 BZV721030:CAC721030 CJR721030:CJY721030 CTN721030:CTU721030 DDJ721030:DDQ721030 DNF721030:DNM721030 DXB721030:DXI721030 EGX721030:EHE721030 EQT721030:ERA721030 FAP721030:FAW721030 FKL721030:FKS721030 FUH721030:FUO721030 GED721030:GEK721030 GNZ721030:GOG721030 GXV721030:GYC721030 HHR721030:HHY721030 HRN721030:HRU721030 IBJ721030:IBQ721030 ILF721030:ILM721030 IVB721030:IVI721030 JEX721030:JFE721030 JOT721030:JPA721030 JYP721030:JYW721030 KIL721030:KIS721030 KSH721030:KSO721030 LCD721030:LCK721030 LLZ721030:LMG721030 LVV721030:LWC721030 MFR721030:MFY721030 MPN721030:MPU721030 MZJ721030:MZQ721030 NJF721030:NJM721030 NTB721030:NTI721030 OCX721030:ODE721030 OMT721030:ONA721030 OWP721030:OWW721030 PGL721030:PGS721030 PQH721030:PQO721030 QAD721030:QAK721030 QJZ721030:QKG721030 QTV721030:QUC721030 RDR721030:RDY721030 RNN721030:RNU721030 RXJ721030:RXQ721030 SHF721030:SHM721030 SRB721030:SRI721030 TAX721030:TBE721030 TKT721030:TLA721030 TUP721030:TUW721030 UEL721030:UES721030 UOH721030:UOO721030 UYD721030:UYK721030 VHZ721030:VIG721030 VRV721030:VSC721030 WBR721030:WBY721030 WLN721030:WLU721030 WVJ721030:WVQ721030 B786566:I786566 IX786566:JE786566 ST786566:TA786566 ACP786566:ACW786566 AML786566:AMS786566 AWH786566:AWO786566 BGD786566:BGK786566 BPZ786566:BQG786566 BZV786566:CAC786566 CJR786566:CJY786566 CTN786566:CTU786566 DDJ786566:DDQ786566 DNF786566:DNM786566 DXB786566:DXI786566 EGX786566:EHE786566 EQT786566:ERA786566 FAP786566:FAW786566 FKL786566:FKS786566 FUH786566:FUO786566 GED786566:GEK786566 GNZ786566:GOG786566 GXV786566:GYC786566 HHR786566:HHY786566 HRN786566:HRU786566 IBJ786566:IBQ786566 ILF786566:ILM786566 IVB786566:IVI786566 JEX786566:JFE786566 JOT786566:JPA786566 JYP786566:JYW786566 KIL786566:KIS786566 KSH786566:KSO786566 LCD786566:LCK786566 LLZ786566:LMG786566 LVV786566:LWC786566 MFR786566:MFY786566 MPN786566:MPU786566 MZJ786566:MZQ786566 NJF786566:NJM786566 NTB786566:NTI786566 OCX786566:ODE786566 OMT786566:ONA786566 OWP786566:OWW786566 PGL786566:PGS786566 PQH786566:PQO786566 QAD786566:QAK786566 QJZ786566:QKG786566 QTV786566:QUC786566 RDR786566:RDY786566 RNN786566:RNU786566 RXJ786566:RXQ786566 SHF786566:SHM786566 SRB786566:SRI786566 TAX786566:TBE786566 TKT786566:TLA786566 TUP786566:TUW786566 UEL786566:UES786566 UOH786566:UOO786566 UYD786566:UYK786566 VHZ786566:VIG786566 VRV786566:VSC786566 WBR786566:WBY786566 WLN786566:WLU786566 WVJ786566:WVQ786566 B852102:I852102 IX852102:JE852102 ST852102:TA852102 ACP852102:ACW852102 AML852102:AMS852102 AWH852102:AWO852102 BGD852102:BGK852102 BPZ852102:BQG852102 BZV852102:CAC852102 CJR852102:CJY852102 CTN852102:CTU852102 DDJ852102:DDQ852102 DNF852102:DNM852102 DXB852102:DXI852102 EGX852102:EHE852102 EQT852102:ERA852102 FAP852102:FAW852102 FKL852102:FKS852102 FUH852102:FUO852102 GED852102:GEK852102 GNZ852102:GOG852102 GXV852102:GYC852102 HHR852102:HHY852102 HRN852102:HRU852102 IBJ852102:IBQ852102 ILF852102:ILM852102 IVB852102:IVI852102 JEX852102:JFE852102 JOT852102:JPA852102 JYP852102:JYW852102 KIL852102:KIS852102 KSH852102:KSO852102 LCD852102:LCK852102 LLZ852102:LMG852102 LVV852102:LWC852102 MFR852102:MFY852102 MPN852102:MPU852102 MZJ852102:MZQ852102 NJF852102:NJM852102 NTB852102:NTI852102 OCX852102:ODE852102 OMT852102:ONA852102 OWP852102:OWW852102 PGL852102:PGS852102 PQH852102:PQO852102 QAD852102:QAK852102 QJZ852102:QKG852102 QTV852102:QUC852102 RDR852102:RDY852102 RNN852102:RNU852102 RXJ852102:RXQ852102 SHF852102:SHM852102 SRB852102:SRI852102 TAX852102:TBE852102 TKT852102:TLA852102 TUP852102:TUW852102 UEL852102:UES852102 UOH852102:UOO852102 UYD852102:UYK852102 VHZ852102:VIG852102 VRV852102:VSC852102 WBR852102:WBY852102 WLN852102:WLU852102 WVJ852102:WVQ852102 B917638:I917638 IX917638:JE917638 ST917638:TA917638 ACP917638:ACW917638 AML917638:AMS917638 AWH917638:AWO917638 BGD917638:BGK917638 BPZ917638:BQG917638 BZV917638:CAC917638 CJR917638:CJY917638 CTN917638:CTU917638 DDJ917638:DDQ917638 DNF917638:DNM917638 DXB917638:DXI917638 EGX917638:EHE917638 EQT917638:ERA917638 FAP917638:FAW917638 FKL917638:FKS917638 FUH917638:FUO917638 GED917638:GEK917638 GNZ917638:GOG917638 GXV917638:GYC917638 HHR917638:HHY917638 HRN917638:HRU917638 IBJ917638:IBQ917638 ILF917638:ILM917638 IVB917638:IVI917638 JEX917638:JFE917638 JOT917638:JPA917638 JYP917638:JYW917638 KIL917638:KIS917638 KSH917638:KSO917638 LCD917638:LCK917638 LLZ917638:LMG917638 LVV917638:LWC917638 MFR917638:MFY917638 MPN917638:MPU917638 MZJ917638:MZQ917638 NJF917638:NJM917638 NTB917638:NTI917638 OCX917638:ODE917638 OMT917638:ONA917638 OWP917638:OWW917638 PGL917638:PGS917638 PQH917638:PQO917638 QAD917638:QAK917638 QJZ917638:QKG917638 QTV917638:QUC917638 RDR917638:RDY917638 RNN917638:RNU917638 RXJ917638:RXQ917638 SHF917638:SHM917638 SRB917638:SRI917638 TAX917638:TBE917638 TKT917638:TLA917638 TUP917638:TUW917638 UEL917638:UES917638 UOH917638:UOO917638 UYD917638:UYK917638 VHZ917638:VIG917638 VRV917638:VSC917638 WBR917638:WBY917638 WLN917638:WLU917638 WVJ917638:WVQ917638 B983174:I983174 IX983174:JE983174 ST983174:TA983174 ACP983174:ACW983174 AML983174:AMS983174 AWH983174:AWO983174 BGD983174:BGK983174 BPZ983174:BQG983174 BZV983174:CAC983174 CJR983174:CJY983174 CTN983174:CTU983174 DDJ983174:DDQ983174 DNF983174:DNM983174 DXB983174:DXI983174 EGX983174:EHE983174 EQT983174:ERA983174 FAP983174:FAW983174 FKL983174:FKS983174 FUH983174:FUO983174 GED983174:GEK983174 GNZ983174:GOG983174 GXV983174:GYC983174 HHR983174:HHY983174 HRN983174:HRU983174 IBJ983174:IBQ983174 ILF983174:ILM983174 IVB983174:IVI983174 JEX983174:JFE983174 JOT983174:JPA983174 JYP983174:JYW983174 KIL983174:KIS983174 KSH983174:KSO983174 LCD983174:LCK983174 LLZ983174:LMG983174 LVV983174:LWC983174 MFR983174:MFY983174 MPN983174:MPU983174 MZJ983174:MZQ983174 NJF983174:NJM983174 NTB983174:NTI983174 OCX983174:ODE983174 OMT983174:ONA983174 OWP983174:OWW983174 PGL983174:PGS983174 PQH983174:PQO983174 QAD983174:QAK983174 QJZ983174:QKG983174 QTV983174:QUC983174 RDR983174:RDY983174 RNN983174:RNU983174 RXJ983174:RXQ983174 SHF983174:SHM983174 SRB983174:SRI983174 TAX983174:TBE983174 TKT983174:TLA983174 TUP983174:TUW983174 UEL983174:UES983174 UOH983174:UOO983174 UYD983174:UYK983174 VHZ983174:VIG983174 VRV983174:VSC983174 WBR983174:WBY983174 WLN983174:WLU983174 WVJ983174:WVQ983174">
      <formula1>NOT(ISERR(AND(FIND(".",B21),FIND("@",B21))))</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20:I20 IX20:JE20 ST20:TA20 ACP20:ACW20 AML20:AMS20 AWH20:AWO20 BGD20:BGK20 BPZ20:BQG20 BZV20:CAC20 CJR20:CJY20 CTN20:CTU20 DDJ20:DDQ20 DNF20:DNM20 DXB20:DXI20 EGX20:EHE20 EQT20:ERA20 FAP20:FAW20 FKL20:FKS20 FUH20:FUO20 GED20:GEK20 GNZ20:GOG20 GXV20:GYC20 HHR20:HHY20 HRN20:HRU20 IBJ20:IBQ20 ILF20:ILM20 IVB20:IVI20 JEX20:JFE20 JOT20:JPA20 JYP20:JYW20 KIL20:KIS20 KSH20:KSO20 LCD20:LCK20 LLZ20:LMG20 LVV20:LWC20 MFR20:MFY20 MPN20:MPU20 MZJ20:MZQ20 NJF20:NJM20 NTB20:NTI20 OCX20:ODE20 OMT20:ONA20 OWP20:OWW20 PGL20:PGS20 PQH20:PQO20 QAD20:QAK20 QJZ20:QKG20 QTV20:QUC20 RDR20:RDY20 RNN20:RNU20 RXJ20:RXQ20 SHF20:SHM20 SRB20:SRI20 TAX20:TBE20 TKT20:TLA20 TUP20:TUW20 UEL20:UES20 UOH20:UOO20 UYD20:UYK20 VHZ20:VIG20 VRV20:VSC20 WBR20:WBY20 WLN20:WLU20 WVJ20:WVQ20 B65669:I65669 IX65669:JE65669 ST65669:TA65669 ACP65669:ACW65669 AML65669:AMS65669 AWH65669:AWO65669 BGD65669:BGK65669 BPZ65669:BQG65669 BZV65669:CAC65669 CJR65669:CJY65669 CTN65669:CTU65669 DDJ65669:DDQ65669 DNF65669:DNM65669 DXB65669:DXI65669 EGX65669:EHE65669 EQT65669:ERA65669 FAP65669:FAW65669 FKL65669:FKS65669 FUH65669:FUO65669 GED65669:GEK65669 GNZ65669:GOG65669 GXV65669:GYC65669 HHR65669:HHY65669 HRN65669:HRU65669 IBJ65669:IBQ65669 ILF65669:ILM65669 IVB65669:IVI65669 JEX65669:JFE65669 JOT65669:JPA65669 JYP65669:JYW65669 KIL65669:KIS65669 KSH65669:KSO65669 LCD65669:LCK65669 LLZ65669:LMG65669 LVV65669:LWC65669 MFR65669:MFY65669 MPN65669:MPU65669 MZJ65669:MZQ65669 NJF65669:NJM65669 NTB65669:NTI65669 OCX65669:ODE65669 OMT65669:ONA65669 OWP65669:OWW65669 PGL65669:PGS65669 PQH65669:PQO65669 QAD65669:QAK65669 QJZ65669:QKG65669 QTV65669:QUC65669 RDR65669:RDY65669 RNN65669:RNU65669 RXJ65669:RXQ65669 SHF65669:SHM65669 SRB65669:SRI65669 TAX65669:TBE65669 TKT65669:TLA65669 TUP65669:TUW65669 UEL65669:UES65669 UOH65669:UOO65669 UYD65669:UYK65669 VHZ65669:VIG65669 VRV65669:VSC65669 WBR65669:WBY65669 WLN65669:WLU65669 WVJ65669:WVQ65669 B131205:I131205 IX131205:JE131205 ST131205:TA131205 ACP131205:ACW131205 AML131205:AMS131205 AWH131205:AWO131205 BGD131205:BGK131205 BPZ131205:BQG131205 BZV131205:CAC131205 CJR131205:CJY131205 CTN131205:CTU131205 DDJ131205:DDQ131205 DNF131205:DNM131205 DXB131205:DXI131205 EGX131205:EHE131205 EQT131205:ERA131205 FAP131205:FAW131205 FKL131205:FKS131205 FUH131205:FUO131205 GED131205:GEK131205 GNZ131205:GOG131205 GXV131205:GYC131205 HHR131205:HHY131205 HRN131205:HRU131205 IBJ131205:IBQ131205 ILF131205:ILM131205 IVB131205:IVI131205 JEX131205:JFE131205 JOT131205:JPA131205 JYP131205:JYW131205 KIL131205:KIS131205 KSH131205:KSO131205 LCD131205:LCK131205 LLZ131205:LMG131205 LVV131205:LWC131205 MFR131205:MFY131205 MPN131205:MPU131205 MZJ131205:MZQ131205 NJF131205:NJM131205 NTB131205:NTI131205 OCX131205:ODE131205 OMT131205:ONA131205 OWP131205:OWW131205 PGL131205:PGS131205 PQH131205:PQO131205 QAD131205:QAK131205 QJZ131205:QKG131205 QTV131205:QUC131205 RDR131205:RDY131205 RNN131205:RNU131205 RXJ131205:RXQ131205 SHF131205:SHM131205 SRB131205:SRI131205 TAX131205:TBE131205 TKT131205:TLA131205 TUP131205:TUW131205 UEL131205:UES131205 UOH131205:UOO131205 UYD131205:UYK131205 VHZ131205:VIG131205 VRV131205:VSC131205 WBR131205:WBY131205 WLN131205:WLU131205 WVJ131205:WVQ131205 B196741:I196741 IX196741:JE196741 ST196741:TA196741 ACP196741:ACW196741 AML196741:AMS196741 AWH196741:AWO196741 BGD196741:BGK196741 BPZ196741:BQG196741 BZV196741:CAC196741 CJR196741:CJY196741 CTN196741:CTU196741 DDJ196741:DDQ196741 DNF196741:DNM196741 DXB196741:DXI196741 EGX196741:EHE196741 EQT196741:ERA196741 FAP196741:FAW196741 FKL196741:FKS196741 FUH196741:FUO196741 GED196741:GEK196741 GNZ196741:GOG196741 GXV196741:GYC196741 HHR196741:HHY196741 HRN196741:HRU196741 IBJ196741:IBQ196741 ILF196741:ILM196741 IVB196741:IVI196741 JEX196741:JFE196741 JOT196741:JPA196741 JYP196741:JYW196741 KIL196741:KIS196741 KSH196741:KSO196741 LCD196741:LCK196741 LLZ196741:LMG196741 LVV196741:LWC196741 MFR196741:MFY196741 MPN196741:MPU196741 MZJ196741:MZQ196741 NJF196741:NJM196741 NTB196741:NTI196741 OCX196741:ODE196741 OMT196741:ONA196741 OWP196741:OWW196741 PGL196741:PGS196741 PQH196741:PQO196741 QAD196741:QAK196741 QJZ196741:QKG196741 QTV196741:QUC196741 RDR196741:RDY196741 RNN196741:RNU196741 RXJ196741:RXQ196741 SHF196741:SHM196741 SRB196741:SRI196741 TAX196741:TBE196741 TKT196741:TLA196741 TUP196741:TUW196741 UEL196741:UES196741 UOH196741:UOO196741 UYD196741:UYK196741 VHZ196741:VIG196741 VRV196741:VSC196741 WBR196741:WBY196741 WLN196741:WLU196741 WVJ196741:WVQ196741 B262277:I262277 IX262277:JE262277 ST262277:TA262277 ACP262277:ACW262277 AML262277:AMS262277 AWH262277:AWO262277 BGD262277:BGK262277 BPZ262277:BQG262277 BZV262277:CAC262277 CJR262277:CJY262277 CTN262277:CTU262277 DDJ262277:DDQ262277 DNF262277:DNM262277 DXB262277:DXI262277 EGX262277:EHE262277 EQT262277:ERA262277 FAP262277:FAW262277 FKL262277:FKS262277 FUH262277:FUO262277 GED262277:GEK262277 GNZ262277:GOG262277 GXV262277:GYC262277 HHR262277:HHY262277 HRN262277:HRU262277 IBJ262277:IBQ262277 ILF262277:ILM262277 IVB262277:IVI262277 JEX262277:JFE262277 JOT262277:JPA262277 JYP262277:JYW262277 KIL262277:KIS262277 KSH262277:KSO262277 LCD262277:LCK262277 LLZ262277:LMG262277 LVV262277:LWC262277 MFR262277:MFY262277 MPN262277:MPU262277 MZJ262277:MZQ262277 NJF262277:NJM262277 NTB262277:NTI262277 OCX262277:ODE262277 OMT262277:ONA262277 OWP262277:OWW262277 PGL262277:PGS262277 PQH262277:PQO262277 QAD262277:QAK262277 QJZ262277:QKG262277 QTV262277:QUC262277 RDR262277:RDY262277 RNN262277:RNU262277 RXJ262277:RXQ262277 SHF262277:SHM262277 SRB262277:SRI262277 TAX262277:TBE262277 TKT262277:TLA262277 TUP262277:TUW262277 UEL262277:UES262277 UOH262277:UOO262277 UYD262277:UYK262277 VHZ262277:VIG262277 VRV262277:VSC262277 WBR262277:WBY262277 WLN262277:WLU262277 WVJ262277:WVQ262277 B327813:I327813 IX327813:JE327813 ST327813:TA327813 ACP327813:ACW327813 AML327813:AMS327813 AWH327813:AWO327813 BGD327813:BGK327813 BPZ327813:BQG327813 BZV327813:CAC327813 CJR327813:CJY327813 CTN327813:CTU327813 DDJ327813:DDQ327813 DNF327813:DNM327813 DXB327813:DXI327813 EGX327813:EHE327813 EQT327813:ERA327813 FAP327813:FAW327813 FKL327813:FKS327813 FUH327813:FUO327813 GED327813:GEK327813 GNZ327813:GOG327813 GXV327813:GYC327813 HHR327813:HHY327813 HRN327813:HRU327813 IBJ327813:IBQ327813 ILF327813:ILM327813 IVB327813:IVI327813 JEX327813:JFE327813 JOT327813:JPA327813 JYP327813:JYW327813 KIL327813:KIS327813 KSH327813:KSO327813 LCD327813:LCK327813 LLZ327813:LMG327813 LVV327813:LWC327813 MFR327813:MFY327813 MPN327813:MPU327813 MZJ327813:MZQ327813 NJF327813:NJM327813 NTB327813:NTI327813 OCX327813:ODE327813 OMT327813:ONA327813 OWP327813:OWW327813 PGL327813:PGS327813 PQH327813:PQO327813 QAD327813:QAK327813 QJZ327813:QKG327813 QTV327813:QUC327813 RDR327813:RDY327813 RNN327813:RNU327813 RXJ327813:RXQ327813 SHF327813:SHM327813 SRB327813:SRI327813 TAX327813:TBE327813 TKT327813:TLA327813 TUP327813:TUW327813 UEL327813:UES327813 UOH327813:UOO327813 UYD327813:UYK327813 VHZ327813:VIG327813 VRV327813:VSC327813 WBR327813:WBY327813 WLN327813:WLU327813 WVJ327813:WVQ327813 B393349:I393349 IX393349:JE393349 ST393349:TA393349 ACP393349:ACW393349 AML393349:AMS393349 AWH393349:AWO393349 BGD393349:BGK393349 BPZ393349:BQG393349 BZV393349:CAC393349 CJR393349:CJY393349 CTN393349:CTU393349 DDJ393349:DDQ393349 DNF393349:DNM393349 DXB393349:DXI393349 EGX393349:EHE393349 EQT393349:ERA393349 FAP393349:FAW393349 FKL393349:FKS393349 FUH393349:FUO393349 GED393349:GEK393349 GNZ393349:GOG393349 GXV393349:GYC393349 HHR393349:HHY393349 HRN393349:HRU393349 IBJ393349:IBQ393349 ILF393349:ILM393349 IVB393349:IVI393349 JEX393349:JFE393349 JOT393349:JPA393349 JYP393349:JYW393349 KIL393349:KIS393349 KSH393349:KSO393349 LCD393349:LCK393349 LLZ393349:LMG393349 LVV393349:LWC393349 MFR393349:MFY393349 MPN393349:MPU393349 MZJ393349:MZQ393349 NJF393349:NJM393349 NTB393349:NTI393349 OCX393349:ODE393349 OMT393349:ONA393349 OWP393349:OWW393349 PGL393349:PGS393349 PQH393349:PQO393349 QAD393349:QAK393349 QJZ393349:QKG393349 QTV393349:QUC393349 RDR393349:RDY393349 RNN393349:RNU393349 RXJ393349:RXQ393349 SHF393349:SHM393349 SRB393349:SRI393349 TAX393349:TBE393349 TKT393349:TLA393349 TUP393349:TUW393349 UEL393349:UES393349 UOH393349:UOO393349 UYD393349:UYK393349 VHZ393349:VIG393349 VRV393349:VSC393349 WBR393349:WBY393349 WLN393349:WLU393349 WVJ393349:WVQ393349 B458885:I458885 IX458885:JE458885 ST458885:TA458885 ACP458885:ACW458885 AML458885:AMS458885 AWH458885:AWO458885 BGD458885:BGK458885 BPZ458885:BQG458885 BZV458885:CAC458885 CJR458885:CJY458885 CTN458885:CTU458885 DDJ458885:DDQ458885 DNF458885:DNM458885 DXB458885:DXI458885 EGX458885:EHE458885 EQT458885:ERA458885 FAP458885:FAW458885 FKL458885:FKS458885 FUH458885:FUO458885 GED458885:GEK458885 GNZ458885:GOG458885 GXV458885:GYC458885 HHR458885:HHY458885 HRN458885:HRU458885 IBJ458885:IBQ458885 ILF458885:ILM458885 IVB458885:IVI458885 JEX458885:JFE458885 JOT458885:JPA458885 JYP458885:JYW458885 KIL458885:KIS458885 KSH458885:KSO458885 LCD458885:LCK458885 LLZ458885:LMG458885 LVV458885:LWC458885 MFR458885:MFY458885 MPN458885:MPU458885 MZJ458885:MZQ458885 NJF458885:NJM458885 NTB458885:NTI458885 OCX458885:ODE458885 OMT458885:ONA458885 OWP458885:OWW458885 PGL458885:PGS458885 PQH458885:PQO458885 QAD458885:QAK458885 QJZ458885:QKG458885 QTV458885:QUC458885 RDR458885:RDY458885 RNN458885:RNU458885 RXJ458885:RXQ458885 SHF458885:SHM458885 SRB458885:SRI458885 TAX458885:TBE458885 TKT458885:TLA458885 TUP458885:TUW458885 UEL458885:UES458885 UOH458885:UOO458885 UYD458885:UYK458885 VHZ458885:VIG458885 VRV458885:VSC458885 WBR458885:WBY458885 WLN458885:WLU458885 WVJ458885:WVQ458885 B524421:I524421 IX524421:JE524421 ST524421:TA524421 ACP524421:ACW524421 AML524421:AMS524421 AWH524421:AWO524421 BGD524421:BGK524421 BPZ524421:BQG524421 BZV524421:CAC524421 CJR524421:CJY524421 CTN524421:CTU524421 DDJ524421:DDQ524421 DNF524421:DNM524421 DXB524421:DXI524421 EGX524421:EHE524421 EQT524421:ERA524421 FAP524421:FAW524421 FKL524421:FKS524421 FUH524421:FUO524421 GED524421:GEK524421 GNZ524421:GOG524421 GXV524421:GYC524421 HHR524421:HHY524421 HRN524421:HRU524421 IBJ524421:IBQ524421 ILF524421:ILM524421 IVB524421:IVI524421 JEX524421:JFE524421 JOT524421:JPA524421 JYP524421:JYW524421 KIL524421:KIS524421 KSH524421:KSO524421 LCD524421:LCK524421 LLZ524421:LMG524421 LVV524421:LWC524421 MFR524421:MFY524421 MPN524421:MPU524421 MZJ524421:MZQ524421 NJF524421:NJM524421 NTB524421:NTI524421 OCX524421:ODE524421 OMT524421:ONA524421 OWP524421:OWW524421 PGL524421:PGS524421 PQH524421:PQO524421 QAD524421:QAK524421 QJZ524421:QKG524421 QTV524421:QUC524421 RDR524421:RDY524421 RNN524421:RNU524421 RXJ524421:RXQ524421 SHF524421:SHM524421 SRB524421:SRI524421 TAX524421:TBE524421 TKT524421:TLA524421 TUP524421:TUW524421 UEL524421:UES524421 UOH524421:UOO524421 UYD524421:UYK524421 VHZ524421:VIG524421 VRV524421:VSC524421 WBR524421:WBY524421 WLN524421:WLU524421 WVJ524421:WVQ524421 B589957:I589957 IX589957:JE589957 ST589957:TA589957 ACP589957:ACW589957 AML589957:AMS589957 AWH589957:AWO589957 BGD589957:BGK589957 BPZ589957:BQG589957 BZV589957:CAC589957 CJR589957:CJY589957 CTN589957:CTU589957 DDJ589957:DDQ589957 DNF589957:DNM589957 DXB589957:DXI589957 EGX589957:EHE589957 EQT589957:ERA589957 FAP589957:FAW589957 FKL589957:FKS589957 FUH589957:FUO589957 GED589957:GEK589957 GNZ589957:GOG589957 GXV589957:GYC589957 HHR589957:HHY589957 HRN589957:HRU589957 IBJ589957:IBQ589957 ILF589957:ILM589957 IVB589957:IVI589957 JEX589957:JFE589957 JOT589957:JPA589957 JYP589957:JYW589957 KIL589957:KIS589957 KSH589957:KSO589957 LCD589957:LCK589957 LLZ589957:LMG589957 LVV589957:LWC589957 MFR589957:MFY589957 MPN589957:MPU589957 MZJ589957:MZQ589957 NJF589957:NJM589957 NTB589957:NTI589957 OCX589957:ODE589957 OMT589957:ONA589957 OWP589957:OWW589957 PGL589957:PGS589957 PQH589957:PQO589957 QAD589957:QAK589957 QJZ589957:QKG589957 QTV589957:QUC589957 RDR589957:RDY589957 RNN589957:RNU589957 RXJ589957:RXQ589957 SHF589957:SHM589957 SRB589957:SRI589957 TAX589957:TBE589957 TKT589957:TLA589957 TUP589957:TUW589957 UEL589957:UES589957 UOH589957:UOO589957 UYD589957:UYK589957 VHZ589957:VIG589957 VRV589957:VSC589957 WBR589957:WBY589957 WLN589957:WLU589957 WVJ589957:WVQ589957 B655493:I655493 IX655493:JE655493 ST655493:TA655493 ACP655493:ACW655493 AML655493:AMS655493 AWH655493:AWO655493 BGD655493:BGK655493 BPZ655493:BQG655493 BZV655493:CAC655493 CJR655493:CJY655493 CTN655493:CTU655493 DDJ655493:DDQ655493 DNF655493:DNM655493 DXB655493:DXI655493 EGX655493:EHE655493 EQT655493:ERA655493 FAP655493:FAW655493 FKL655493:FKS655493 FUH655493:FUO655493 GED655493:GEK655493 GNZ655493:GOG655493 GXV655493:GYC655493 HHR655493:HHY655493 HRN655493:HRU655493 IBJ655493:IBQ655493 ILF655493:ILM655493 IVB655493:IVI655493 JEX655493:JFE655493 JOT655493:JPA655493 JYP655493:JYW655493 KIL655493:KIS655493 KSH655493:KSO655493 LCD655493:LCK655493 LLZ655493:LMG655493 LVV655493:LWC655493 MFR655493:MFY655493 MPN655493:MPU655493 MZJ655493:MZQ655493 NJF655493:NJM655493 NTB655493:NTI655493 OCX655493:ODE655493 OMT655493:ONA655493 OWP655493:OWW655493 PGL655493:PGS655493 PQH655493:PQO655493 QAD655493:QAK655493 QJZ655493:QKG655493 QTV655493:QUC655493 RDR655493:RDY655493 RNN655493:RNU655493 RXJ655493:RXQ655493 SHF655493:SHM655493 SRB655493:SRI655493 TAX655493:TBE655493 TKT655493:TLA655493 TUP655493:TUW655493 UEL655493:UES655493 UOH655493:UOO655493 UYD655493:UYK655493 VHZ655493:VIG655493 VRV655493:VSC655493 WBR655493:WBY655493 WLN655493:WLU655493 WVJ655493:WVQ655493 B721029:I721029 IX721029:JE721029 ST721029:TA721029 ACP721029:ACW721029 AML721029:AMS721029 AWH721029:AWO721029 BGD721029:BGK721029 BPZ721029:BQG721029 BZV721029:CAC721029 CJR721029:CJY721029 CTN721029:CTU721029 DDJ721029:DDQ721029 DNF721029:DNM721029 DXB721029:DXI721029 EGX721029:EHE721029 EQT721029:ERA721029 FAP721029:FAW721029 FKL721029:FKS721029 FUH721029:FUO721029 GED721029:GEK721029 GNZ721029:GOG721029 GXV721029:GYC721029 HHR721029:HHY721029 HRN721029:HRU721029 IBJ721029:IBQ721029 ILF721029:ILM721029 IVB721029:IVI721029 JEX721029:JFE721029 JOT721029:JPA721029 JYP721029:JYW721029 KIL721029:KIS721029 KSH721029:KSO721029 LCD721029:LCK721029 LLZ721029:LMG721029 LVV721029:LWC721029 MFR721029:MFY721029 MPN721029:MPU721029 MZJ721029:MZQ721029 NJF721029:NJM721029 NTB721029:NTI721029 OCX721029:ODE721029 OMT721029:ONA721029 OWP721029:OWW721029 PGL721029:PGS721029 PQH721029:PQO721029 QAD721029:QAK721029 QJZ721029:QKG721029 QTV721029:QUC721029 RDR721029:RDY721029 RNN721029:RNU721029 RXJ721029:RXQ721029 SHF721029:SHM721029 SRB721029:SRI721029 TAX721029:TBE721029 TKT721029:TLA721029 TUP721029:TUW721029 UEL721029:UES721029 UOH721029:UOO721029 UYD721029:UYK721029 VHZ721029:VIG721029 VRV721029:VSC721029 WBR721029:WBY721029 WLN721029:WLU721029 WVJ721029:WVQ721029 B786565:I786565 IX786565:JE786565 ST786565:TA786565 ACP786565:ACW786565 AML786565:AMS786565 AWH786565:AWO786565 BGD786565:BGK786565 BPZ786565:BQG786565 BZV786565:CAC786565 CJR786565:CJY786565 CTN786565:CTU786565 DDJ786565:DDQ786565 DNF786565:DNM786565 DXB786565:DXI786565 EGX786565:EHE786565 EQT786565:ERA786565 FAP786565:FAW786565 FKL786565:FKS786565 FUH786565:FUO786565 GED786565:GEK786565 GNZ786565:GOG786565 GXV786565:GYC786565 HHR786565:HHY786565 HRN786565:HRU786565 IBJ786565:IBQ786565 ILF786565:ILM786565 IVB786565:IVI786565 JEX786565:JFE786565 JOT786565:JPA786565 JYP786565:JYW786565 KIL786565:KIS786565 KSH786565:KSO786565 LCD786565:LCK786565 LLZ786565:LMG786565 LVV786565:LWC786565 MFR786565:MFY786565 MPN786565:MPU786565 MZJ786565:MZQ786565 NJF786565:NJM786565 NTB786565:NTI786565 OCX786565:ODE786565 OMT786565:ONA786565 OWP786565:OWW786565 PGL786565:PGS786565 PQH786565:PQO786565 QAD786565:QAK786565 QJZ786565:QKG786565 QTV786565:QUC786565 RDR786565:RDY786565 RNN786565:RNU786565 RXJ786565:RXQ786565 SHF786565:SHM786565 SRB786565:SRI786565 TAX786565:TBE786565 TKT786565:TLA786565 TUP786565:TUW786565 UEL786565:UES786565 UOH786565:UOO786565 UYD786565:UYK786565 VHZ786565:VIG786565 VRV786565:VSC786565 WBR786565:WBY786565 WLN786565:WLU786565 WVJ786565:WVQ786565 B852101:I852101 IX852101:JE852101 ST852101:TA852101 ACP852101:ACW852101 AML852101:AMS852101 AWH852101:AWO852101 BGD852101:BGK852101 BPZ852101:BQG852101 BZV852101:CAC852101 CJR852101:CJY852101 CTN852101:CTU852101 DDJ852101:DDQ852101 DNF852101:DNM852101 DXB852101:DXI852101 EGX852101:EHE852101 EQT852101:ERA852101 FAP852101:FAW852101 FKL852101:FKS852101 FUH852101:FUO852101 GED852101:GEK852101 GNZ852101:GOG852101 GXV852101:GYC852101 HHR852101:HHY852101 HRN852101:HRU852101 IBJ852101:IBQ852101 ILF852101:ILM852101 IVB852101:IVI852101 JEX852101:JFE852101 JOT852101:JPA852101 JYP852101:JYW852101 KIL852101:KIS852101 KSH852101:KSO852101 LCD852101:LCK852101 LLZ852101:LMG852101 LVV852101:LWC852101 MFR852101:MFY852101 MPN852101:MPU852101 MZJ852101:MZQ852101 NJF852101:NJM852101 NTB852101:NTI852101 OCX852101:ODE852101 OMT852101:ONA852101 OWP852101:OWW852101 PGL852101:PGS852101 PQH852101:PQO852101 QAD852101:QAK852101 QJZ852101:QKG852101 QTV852101:QUC852101 RDR852101:RDY852101 RNN852101:RNU852101 RXJ852101:RXQ852101 SHF852101:SHM852101 SRB852101:SRI852101 TAX852101:TBE852101 TKT852101:TLA852101 TUP852101:TUW852101 UEL852101:UES852101 UOH852101:UOO852101 UYD852101:UYK852101 VHZ852101:VIG852101 VRV852101:VSC852101 WBR852101:WBY852101 WLN852101:WLU852101 WVJ852101:WVQ852101 B917637:I917637 IX917637:JE917637 ST917637:TA917637 ACP917637:ACW917637 AML917637:AMS917637 AWH917637:AWO917637 BGD917637:BGK917637 BPZ917637:BQG917637 BZV917637:CAC917637 CJR917637:CJY917637 CTN917637:CTU917637 DDJ917637:DDQ917637 DNF917637:DNM917637 DXB917637:DXI917637 EGX917637:EHE917637 EQT917637:ERA917637 FAP917637:FAW917637 FKL917637:FKS917637 FUH917637:FUO917637 GED917637:GEK917637 GNZ917637:GOG917637 GXV917637:GYC917637 HHR917637:HHY917637 HRN917637:HRU917637 IBJ917637:IBQ917637 ILF917637:ILM917637 IVB917637:IVI917637 JEX917637:JFE917637 JOT917637:JPA917637 JYP917637:JYW917637 KIL917637:KIS917637 KSH917637:KSO917637 LCD917637:LCK917637 LLZ917637:LMG917637 LVV917637:LWC917637 MFR917637:MFY917637 MPN917637:MPU917637 MZJ917637:MZQ917637 NJF917637:NJM917637 NTB917637:NTI917637 OCX917637:ODE917637 OMT917637:ONA917637 OWP917637:OWW917637 PGL917637:PGS917637 PQH917637:PQO917637 QAD917637:QAK917637 QJZ917637:QKG917637 QTV917637:QUC917637 RDR917637:RDY917637 RNN917637:RNU917637 RXJ917637:RXQ917637 SHF917637:SHM917637 SRB917637:SRI917637 TAX917637:TBE917637 TKT917637:TLA917637 TUP917637:TUW917637 UEL917637:UES917637 UOH917637:UOO917637 UYD917637:UYK917637 VHZ917637:VIG917637 VRV917637:VSC917637 WBR917637:WBY917637 WLN917637:WLU917637 WVJ917637:WVQ917637 B983173:I983173 IX983173:JE983173 ST983173:TA983173 ACP983173:ACW983173 AML983173:AMS983173 AWH983173:AWO983173 BGD983173:BGK983173 BPZ983173:BQG983173 BZV983173:CAC983173 CJR983173:CJY983173 CTN983173:CTU983173 DDJ983173:DDQ983173 DNF983173:DNM983173 DXB983173:DXI983173 EGX983173:EHE983173 EQT983173:ERA983173 FAP983173:FAW983173 FKL983173:FKS983173 FUH983173:FUO983173 GED983173:GEK983173 GNZ983173:GOG983173 GXV983173:GYC983173 HHR983173:HHY983173 HRN983173:HRU983173 IBJ983173:IBQ983173 ILF983173:ILM983173 IVB983173:IVI983173 JEX983173:JFE983173 JOT983173:JPA983173 JYP983173:JYW983173 KIL983173:KIS983173 KSH983173:KSO983173 LCD983173:LCK983173 LLZ983173:LMG983173 LVV983173:LWC983173 MFR983173:MFY983173 MPN983173:MPU983173 MZJ983173:MZQ983173 NJF983173:NJM983173 NTB983173:NTI983173 OCX983173:ODE983173 OMT983173:ONA983173 OWP983173:OWW983173 PGL983173:PGS983173 PQH983173:PQO983173 QAD983173:QAK983173 QJZ983173:QKG983173 QTV983173:QUC983173 RDR983173:RDY983173 RNN983173:RNU983173 RXJ983173:RXQ983173 SHF983173:SHM983173 SRB983173:SRI983173 TAX983173:TBE983173 TKT983173:TLA983173 TUP983173:TUW983173 UEL983173:UES983173 UOH983173:UOO983173 UYD983173:UYK983173 VHZ983173:VIG983173 VRV983173:VSC983173 WBR983173:WBY983173 WLN983173:WLU983173 WVJ983173:WVQ983173">
      <formula1>$K$238:$K$243</formula1>
    </dataValidation>
    <dataValidation type="list" allowBlank="1" showInputMessage="1" showErrorMessage="1" error="Please Select fromt he drop-down list." promptTitle="Data Type" prompt="Please select DateTime, Number or Text from the drop-down list." sqref="C238:C450 IY238:IY450 SU238:SU450 ACQ238:ACQ450 AMM238:AMM450 AWI238:AWI450 BGE238:BGE450 BQA238:BQA450 BZW238:BZW450 CJS238:CJS450 CTO238:CTO450 DDK238:DDK450 DNG238:DNG450 DXC238:DXC450 EGY238:EGY450 EQU238:EQU450 FAQ238:FAQ450 FKM238:FKM450 FUI238:FUI450 GEE238:GEE450 GOA238:GOA450 GXW238:GXW450 HHS238:HHS450 HRO238:HRO450 IBK238:IBK450 ILG238:ILG450 IVC238:IVC450 JEY238:JEY450 JOU238:JOU450 JYQ238:JYQ450 KIM238:KIM450 KSI238:KSI450 LCE238:LCE450 LMA238:LMA450 LVW238:LVW450 MFS238:MFS450 MPO238:MPO450 MZK238:MZK450 NJG238:NJG450 NTC238:NTC450 OCY238:OCY450 OMU238:OMU450 OWQ238:OWQ450 PGM238:PGM450 PQI238:PQI450 QAE238:QAE450 QKA238:QKA450 QTW238:QTW450 RDS238:RDS450 RNO238:RNO450 RXK238:RXK450 SHG238:SHG450 SRC238:SRC450 TAY238:TAY450 TKU238:TKU450 TUQ238:TUQ450 UEM238:UEM450 UOI238:UOI450 UYE238:UYE450 VIA238:VIA450 VRW238:VRW450 WBS238:WBS450 WLO238:WLO450 WVK238:WVK450 C65774:C65986 IY65774:IY65986 SU65774:SU65986 ACQ65774:ACQ65986 AMM65774:AMM65986 AWI65774:AWI65986 BGE65774:BGE65986 BQA65774:BQA65986 BZW65774:BZW65986 CJS65774:CJS65986 CTO65774:CTO65986 DDK65774:DDK65986 DNG65774:DNG65986 DXC65774:DXC65986 EGY65774:EGY65986 EQU65774:EQU65986 FAQ65774:FAQ65986 FKM65774:FKM65986 FUI65774:FUI65986 GEE65774:GEE65986 GOA65774:GOA65986 GXW65774:GXW65986 HHS65774:HHS65986 HRO65774:HRO65986 IBK65774:IBK65986 ILG65774:ILG65986 IVC65774:IVC65986 JEY65774:JEY65986 JOU65774:JOU65986 JYQ65774:JYQ65986 KIM65774:KIM65986 KSI65774:KSI65986 LCE65774:LCE65986 LMA65774:LMA65986 LVW65774:LVW65986 MFS65774:MFS65986 MPO65774:MPO65986 MZK65774:MZK65986 NJG65774:NJG65986 NTC65774:NTC65986 OCY65774:OCY65986 OMU65774:OMU65986 OWQ65774:OWQ65986 PGM65774:PGM65986 PQI65774:PQI65986 QAE65774:QAE65986 QKA65774:QKA65986 QTW65774:QTW65986 RDS65774:RDS65986 RNO65774:RNO65986 RXK65774:RXK65986 SHG65774:SHG65986 SRC65774:SRC65986 TAY65774:TAY65986 TKU65774:TKU65986 TUQ65774:TUQ65986 UEM65774:UEM65986 UOI65774:UOI65986 UYE65774:UYE65986 VIA65774:VIA65986 VRW65774:VRW65986 WBS65774:WBS65986 WLO65774:WLO65986 WVK65774:WVK65986 C131310:C131522 IY131310:IY131522 SU131310:SU131522 ACQ131310:ACQ131522 AMM131310:AMM131522 AWI131310:AWI131522 BGE131310:BGE131522 BQA131310:BQA131522 BZW131310:BZW131522 CJS131310:CJS131522 CTO131310:CTO131522 DDK131310:DDK131522 DNG131310:DNG131522 DXC131310:DXC131522 EGY131310:EGY131522 EQU131310:EQU131522 FAQ131310:FAQ131522 FKM131310:FKM131522 FUI131310:FUI131522 GEE131310:GEE131522 GOA131310:GOA131522 GXW131310:GXW131522 HHS131310:HHS131522 HRO131310:HRO131522 IBK131310:IBK131522 ILG131310:ILG131522 IVC131310:IVC131522 JEY131310:JEY131522 JOU131310:JOU131522 JYQ131310:JYQ131522 KIM131310:KIM131522 KSI131310:KSI131522 LCE131310:LCE131522 LMA131310:LMA131522 LVW131310:LVW131522 MFS131310:MFS131522 MPO131310:MPO131522 MZK131310:MZK131522 NJG131310:NJG131522 NTC131310:NTC131522 OCY131310:OCY131522 OMU131310:OMU131522 OWQ131310:OWQ131522 PGM131310:PGM131522 PQI131310:PQI131522 QAE131310:QAE131522 QKA131310:QKA131522 QTW131310:QTW131522 RDS131310:RDS131522 RNO131310:RNO131522 RXK131310:RXK131522 SHG131310:SHG131522 SRC131310:SRC131522 TAY131310:TAY131522 TKU131310:TKU131522 TUQ131310:TUQ131522 UEM131310:UEM131522 UOI131310:UOI131522 UYE131310:UYE131522 VIA131310:VIA131522 VRW131310:VRW131522 WBS131310:WBS131522 WLO131310:WLO131522 WVK131310:WVK131522 C196846:C197058 IY196846:IY197058 SU196846:SU197058 ACQ196846:ACQ197058 AMM196846:AMM197058 AWI196846:AWI197058 BGE196846:BGE197058 BQA196846:BQA197058 BZW196846:BZW197058 CJS196846:CJS197058 CTO196846:CTO197058 DDK196846:DDK197058 DNG196846:DNG197058 DXC196846:DXC197058 EGY196846:EGY197058 EQU196846:EQU197058 FAQ196846:FAQ197058 FKM196846:FKM197058 FUI196846:FUI197058 GEE196846:GEE197058 GOA196846:GOA197058 GXW196846:GXW197058 HHS196846:HHS197058 HRO196846:HRO197058 IBK196846:IBK197058 ILG196846:ILG197058 IVC196846:IVC197058 JEY196846:JEY197058 JOU196846:JOU197058 JYQ196846:JYQ197058 KIM196846:KIM197058 KSI196846:KSI197058 LCE196846:LCE197058 LMA196846:LMA197058 LVW196846:LVW197058 MFS196846:MFS197058 MPO196846:MPO197058 MZK196846:MZK197058 NJG196846:NJG197058 NTC196846:NTC197058 OCY196846:OCY197058 OMU196846:OMU197058 OWQ196846:OWQ197058 PGM196846:PGM197058 PQI196846:PQI197058 QAE196846:QAE197058 QKA196846:QKA197058 QTW196846:QTW197058 RDS196846:RDS197058 RNO196846:RNO197058 RXK196846:RXK197058 SHG196846:SHG197058 SRC196846:SRC197058 TAY196846:TAY197058 TKU196846:TKU197058 TUQ196846:TUQ197058 UEM196846:UEM197058 UOI196846:UOI197058 UYE196846:UYE197058 VIA196846:VIA197058 VRW196846:VRW197058 WBS196846:WBS197058 WLO196846:WLO197058 WVK196846:WVK197058 C262382:C262594 IY262382:IY262594 SU262382:SU262594 ACQ262382:ACQ262594 AMM262382:AMM262594 AWI262382:AWI262594 BGE262382:BGE262594 BQA262382:BQA262594 BZW262382:BZW262594 CJS262382:CJS262594 CTO262382:CTO262594 DDK262382:DDK262594 DNG262382:DNG262594 DXC262382:DXC262594 EGY262382:EGY262594 EQU262382:EQU262594 FAQ262382:FAQ262594 FKM262382:FKM262594 FUI262382:FUI262594 GEE262382:GEE262594 GOA262382:GOA262594 GXW262382:GXW262594 HHS262382:HHS262594 HRO262382:HRO262594 IBK262382:IBK262594 ILG262382:ILG262594 IVC262382:IVC262594 JEY262382:JEY262594 JOU262382:JOU262594 JYQ262382:JYQ262594 KIM262382:KIM262594 KSI262382:KSI262594 LCE262382:LCE262594 LMA262382:LMA262594 LVW262382:LVW262594 MFS262382:MFS262594 MPO262382:MPO262594 MZK262382:MZK262594 NJG262382:NJG262594 NTC262382:NTC262594 OCY262382:OCY262594 OMU262382:OMU262594 OWQ262382:OWQ262594 PGM262382:PGM262594 PQI262382:PQI262594 QAE262382:QAE262594 QKA262382:QKA262594 QTW262382:QTW262594 RDS262382:RDS262594 RNO262382:RNO262594 RXK262382:RXK262594 SHG262382:SHG262594 SRC262382:SRC262594 TAY262382:TAY262594 TKU262382:TKU262594 TUQ262382:TUQ262594 UEM262382:UEM262594 UOI262382:UOI262594 UYE262382:UYE262594 VIA262382:VIA262594 VRW262382:VRW262594 WBS262382:WBS262594 WLO262382:WLO262594 WVK262382:WVK262594 C327918:C328130 IY327918:IY328130 SU327918:SU328130 ACQ327918:ACQ328130 AMM327918:AMM328130 AWI327918:AWI328130 BGE327918:BGE328130 BQA327918:BQA328130 BZW327918:BZW328130 CJS327918:CJS328130 CTO327918:CTO328130 DDK327918:DDK328130 DNG327918:DNG328130 DXC327918:DXC328130 EGY327918:EGY328130 EQU327918:EQU328130 FAQ327918:FAQ328130 FKM327918:FKM328130 FUI327918:FUI328130 GEE327918:GEE328130 GOA327918:GOA328130 GXW327918:GXW328130 HHS327918:HHS328130 HRO327918:HRO328130 IBK327918:IBK328130 ILG327918:ILG328130 IVC327918:IVC328130 JEY327918:JEY328130 JOU327918:JOU328130 JYQ327918:JYQ328130 KIM327918:KIM328130 KSI327918:KSI328130 LCE327918:LCE328130 LMA327918:LMA328130 LVW327918:LVW328130 MFS327918:MFS328130 MPO327918:MPO328130 MZK327918:MZK328130 NJG327918:NJG328130 NTC327918:NTC328130 OCY327918:OCY328130 OMU327918:OMU328130 OWQ327918:OWQ328130 PGM327918:PGM328130 PQI327918:PQI328130 QAE327918:QAE328130 QKA327918:QKA328130 QTW327918:QTW328130 RDS327918:RDS328130 RNO327918:RNO328130 RXK327918:RXK328130 SHG327918:SHG328130 SRC327918:SRC328130 TAY327918:TAY328130 TKU327918:TKU328130 TUQ327918:TUQ328130 UEM327918:UEM328130 UOI327918:UOI328130 UYE327918:UYE328130 VIA327918:VIA328130 VRW327918:VRW328130 WBS327918:WBS328130 WLO327918:WLO328130 WVK327918:WVK328130 C393454:C393666 IY393454:IY393666 SU393454:SU393666 ACQ393454:ACQ393666 AMM393454:AMM393666 AWI393454:AWI393666 BGE393454:BGE393666 BQA393454:BQA393666 BZW393454:BZW393666 CJS393454:CJS393666 CTO393454:CTO393666 DDK393454:DDK393666 DNG393454:DNG393666 DXC393454:DXC393666 EGY393454:EGY393666 EQU393454:EQU393666 FAQ393454:FAQ393666 FKM393454:FKM393666 FUI393454:FUI393666 GEE393454:GEE393666 GOA393454:GOA393666 GXW393454:GXW393666 HHS393454:HHS393666 HRO393454:HRO393666 IBK393454:IBK393666 ILG393454:ILG393666 IVC393454:IVC393666 JEY393454:JEY393666 JOU393454:JOU393666 JYQ393454:JYQ393666 KIM393454:KIM393666 KSI393454:KSI393666 LCE393454:LCE393666 LMA393454:LMA393666 LVW393454:LVW393666 MFS393454:MFS393666 MPO393454:MPO393666 MZK393454:MZK393666 NJG393454:NJG393666 NTC393454:NTC393666 OCY393454:OCY393666 OMU393454:OMU393666 OWQ393454:OWQ393666 PGM393454:PGM393666 PQI393454:PQI393666 QAE393454:QAE393666 QKA393454:QKA393666 QTW393454:QTW393666 RDS393454:RDS393666 RNO393454:RNO393666 RXK393454:RXK393666 SHG393454:SHG393666 SRC393454:SRC393666 TAY393454:TAY393666 TKU393454:TKU393666 TUQ393454:TUQ393666 UEM393454:UEM393666 UOI393454:UOI393666 UYE393454:UYE393666 VIA393454:VIA393666 VRW393454:VRW393666 WBS393454:WBS393666 WLO393454:WLO393666 WVK393454:WVK393666 C458990:C459202 IY458990:IY459202 SU458990:SU459202 ACQ458990:ACQ459202 AMM458990:AMM459202 AWI458990:AWI459202 BGE458990:BGE459202 BQA458990:BQA459202 BZW458990:BZW459202 CJS458990:CJS459202 CTO458990:CTO459202 DDK458990:DDK459202 DNG458990:DNG459202 DXC458990:DXC459202 EGY458990:EGY459202 EQU458990:EQU459202 FAQ458990:FAQ459202 FKM458990:FKM459202 FUI458990:FUI459202 GEE458990:GEE459202 GOA458990:GOA459202 GXW458990:GXW459202 HHS458990:HHS459202 HRO458990:HRO459202 IBK458990:IBK459202 ILG458990:ILG459202 IVC458990:IVC459202 JEY458990:JEY459202 JOU458990:JOU459202 JYQ458990:JYQ459202 KIM458990:KIM459202 KSI458990:KSI459202 LCE458990:LCE459202 LMA458990:LMA459202 LVW458990:LVW459202 MFS458990:MFS459202 MPO458990:MPO459202 MZK458990:MZK459202 NJG458990:NJG459202 NTC458990:NTC459202 OCY458990:OCY459202 OMU458990:OMU459202 OWQ458990:OWQ459202 PGM458990:PGM459202 PQI458990:PQI459202 QAE458990:QAE459202 QKA458990:QKA459202 QTW458990:QTW459202 RDS458990:RDS459202 RNO458990:RNO459202 RXK458990:RXK459202 SHG458990:SHG459202 SRC458990:SRC459202 TAY458990:TAY459202 TKU458990:TKU459202 TUQ458990:TUQ459202 UEM458990:UEM459202 UOI458990:UOI459202 UYE458990:UYE459202 VIA458990:VIA459202 VRW458990:VRW459202 WBS458990:WBS459202 WLO458990:WLO459202 WVK458990:WVK459202 C524526:C524738 IY524526:IY524738 SU524526:SU524738 ACQ524526:ACQ524738 AMM524526:AMM524738 AWI524526:AWI524738 BGE524526:BGE524738 BQA524526:BQA524738 BZW524526:BZW524738 CJS524526:CJS524738 CTO524526:CTO524738 DDK524526:DDK524738 DNG524526:DNG524738 DXC524526:DXC524738 EGY524526:EGY524738 EQU524526:EQU524738 FAQ524526:FAQ524738 FKM524526:FKM524738 FUI524526:FUI524738 GEE524526:GEE524738 GOA524526:GOA524738 GXW524526:GXW524738 HHS524526:HHS524738 HRO524526:HRO524738 IBK524526:IBK524738 ILG524526:ILG524738 IVC524526:IVC524738 JEY524526:JEY524738 JOU524526:JOU524738 JYQ524526:JYQ524738 KIM524526:KIM524738 KSI524526:KSI524738 LCE524526:LCE524738 LMA524526:LMA524738 LVW524526:LVW524738 MFS524526:MFS524738 MPO524526:MPO524738 MZK524526:MZK524738 NJG524526:NJG524738 NTC524526:NTC524738 OCY524526:OCY524738 OMU524526:OMU524738 OWQ524526:OWQ524738 PGM524526:PGM524738 PQI524526:PQI524738 QAE524526:QAE524738 QKA524526:QKA524738 QTW524526:QTW524738 RDS524526:RDS524738 RNO524526:RNO524738 RXK524526:RXK524738 SHG524526:SHG524738 SRC524526:SRC524738 TAY524526:TAY524738 TKU524526:TKU524738 TUQ524526:TUQ524738 UEM524526:UEM524738 UOI524526:UOI524738 UYE524526:UYE524738 VIA524526:VIA524738 VRW524526:VRW524738 WBS524526:WBS524738 WLO524526:WLO524738 WVK524526:WVK524738 C590062:C590274 IY590062:IY590274 SU590062:SU590274 ACQ590062:ACQ590274 AMM590062:AMM590274 AWI590062:AWI590274 BGE590062:BGE590274 BQA590062:BQA590274 BZW590062:BZW590274 CJS590062:CJS590274 CTO590062:CTO590274 DDK590062:DDK590274 DNG590062:DNG590274 DXC590062:DXC590274 EGY590062:EGY590274 EQU590062:EQU590274 FAQ590062:FAQ590274 FKM590062:FKM590274 FUI590062:FUI590274 GEE590062:GEE590274 GOA590062:GOA590274 GXW590062:GXW590274 HHS590062:HHS590274 HRO590062:HRO590274 IBK590062:IBK590274 ILG590062:ILG590274 IVC590062:IVC590274 JEY590062:JEY590274 JOU590062:JOU590274 JYQ590062:JYQ590274 KIM590062:KIM590274 KSI590062:KSI590274 LCE590062:LCE590274 LMA590062:LMA590274 LVW590062:LVW590274 MFS590062:MFS590274 MPO590062:MPO590274 MZK590062:MZK590274 NJG590062:NJG590274 NTC590062:NTC590274 OCY590062:OCY590274 OMU590062:OMU590274 OWQ590062:OWQ590274 PGM590062:PGM590274 PQI590062:PQI590274 QAE590062:QAE590274 QKA590062:QKA590274 QTW590062:QTW590274 RDS590062:RDS590274 RNO590062:RNO590274 RXK590062:RXK590274 SHG590062:SHG590274 SRC590062:SRC590274 TAY590062:TAY590274 TKU590062:TKU590274 TUQ590062:TUQ590274 UEM590062:UEM590274 UOI590062:UOI590274 UYE590062:UYE590274 VIA590062:VIA590274 VRW590062:VRW590274 WBS590062:WBS590274 WLO590062:WLO590274 WVK590062:WVK590274 C655598:C655810 IY655598:IY655810 SU655598:SU655810 ACQ655598:ACQ655810 AMM655598:AMM655810 AWI655598:AWI655810 BGE655598:BGE655810 BQA655598:BQA655810 BZW655598:BZW655810 CJS655598:CJS655810 CTO655598:CTO655810 DDK655598:DDK655810 DNG655598:DNG655810 DXC655598:DXC655810 EGY655598:EGY655810 EQU655598:EQU655810 FAQ655598:FAQ655810 FKM655598:FKM655810 FUI655598:FUI655810 GEE655598:GEE655810 GOA655598:GOA655810 GXW655598:GXW655810 HHS655598:HHS655810 HRO655598:HRO655810 IBK655598:IBK655810 ILG655598:ILG655810 IVC655598:IVC655810 JEY655598:JEY655810 JOU655598:JOU655810 JYQ655598:JYQ655810 KIM655598:KIM655810 KSI655598:KSI655810 LCE655598:LCE655810 LMA655598:LMA655810 LVW655598:LVW655810 MFS655598:MFS655810 MPO655598:MPO655810 MZK655598:MZK655810 NJG655598:NJG655810 NTC655598:NTC655810 OCY655598:OCY655810 OMU655598:OMU655810 OWQ655598:OWQ655810 PGM655598:PGM655810 PQI655598:PQI655810 QAE655598:QAE655810 QKA655598:QKA655810 QTW655598:QTW655810 RDS655598:RDS655810 RNO655598:RNO655810 RXK655598:RXK655810 SHG655598:SHG655810 SRC655598:SRC655810 TAY655598:TAY655810 TKU655598:TKU655810 TUQ655598:TUQ655810 UEM655598:UEM655810 UOI655598:UOI655810 UYE655598:UYE655810 VIA655598:VIA655810 VRW655598:VRW655810 WBS655598:WBS655810 WLO655598:WLO655810 WVK655598:WVK655810 C721134:C721346 IY721134:IY721346 SU721134:SU721346 ACQ721134:ACQ721346 AMM721134:AMM721346 AWI721134:AWI721346 BGE721134:BGE721346 BQA721134:BQA721346 BZW721134:BZW721346 CJS721134:CJS721346 CTO721134:CTO721346 DDK721134:DDK721346 DNG721134:DNG721346 DXC721134:DXC721346 EGY721134:EGY721346 EQU721134:EQU721346 FAQ721134:FAQ721346 FKM721134:FKM721346 FUI721134:FUI721346 GEE721134:GEE721346 GOA721134:GOA721346 GXW721134:GXW721346 HHS721134:HHS721346 HRO721134:HRO721346 IBK721134:IBK721346 ILG721134:ILG721346 IVC721134:IVC721346 JEY721134:JEY721346 JOU721134:JOU721346 JYQ721134:JYQ721346 KIM721134:KIM721346 KSI721134:KSI721346 LCE721134:LCE721346 LMA721134:LMA721346 LVW721134:LVW721346 MFS721134:MFS721346 MPO721134:MPO721346 MZK721134:MZK721346 NJG721134:NJG721346 NTC721134:NTC721346 OCY721134:OCY721346 OMU721134:OMU721346 OWQ721134:OWQ721346 PGM721134:PGM721346 PQI721134:PQI721346 QAE721134:QAE721346 QKA721134:QKA721346 QTW721134:QTW721346 RDS721134:RDS721346 RNO721134:RNO721346 RXK721134:RXK721346 SHG721134:SHG721346 SRC721134:SRC721346 TAY721134:TAY721346 TKU721134:TKU721346 TUQ721134:TUQ721346 UEM721134:UEM721346 UOI721134:UOI721346 UYE721134:UYE721346 VIA721134:VIA721346 VRW721134:VRW721346 WBS721134:WBS721346 WLO721134:WLO721346 WVK721134:WVK721346 C786670:C786882 IY786670:IY786882 SU786670:SU786882 ACQ786670:ACQ786882 AMM786670:AMM786882 AWI786670:AWI786882 BGE786670:BGE786882 BQA786670:BQA786882 BZW786670:BZW786882 CJS786670:CJS786882 CTO786670:CTO786882 DDK786670:DDK786882 DNG786670:DNG786882 DXC786670:DXC786882 EGY786670:EGY786882 EQU786670:EQU786882 FAQ786670:FAQ786882 FKM786670:FKM786882 FUI786670:FUI786882 GEE786670:GEE786882 GOA786670:GOA786882 GXW786670:GXW786882 HHS786670:HHS786882 HRO786670:HRO786882 IBK786670:IBK786882 ILG786670:ILG786882 IVC786670:IVC786882 JEY786670:JEY786882 JOU786670:JOU786882 JYQ786670:JYQ786882 KIM786670:KIM786882 KSI786670:KSI786882 LCE786670:LCE786882 LMA786670:LMA786882 LVW786670:LVW786882 MFS786670:MFS786882 MPO786670:MPO786882 MZK786670:MZK786882 NJG786670:NJG786882 NTC786670:NTC786882 OCY786670:OCY786882 OMU786670:OMU786882 OWQ786670:OWQ786882 PGM786670:PGM786882 PQI786670:PQI786882 QAE786670:QAE786882 QKA786670:QKA786882 QTW786670:QTW786882 RDS786670:RDS786882 RNO786670:RNO786882 RXK786670:RXK786882 SHG786670:SHG786882 SRC786670:SRC786882 TAY786670:TAY786882 TKU786670:TKU786882 TUQ786670:TUQ786882 UEM786670:UEM786882 UOI786670:UOI786882 UYE786670:UYE786882 VIA786670:VIA786882 VRW786670:VRW786882 WBS786670:WBS786882 WLO786670:WLO786882 WVK786670:WVK786882 C852206:C852418 IY852206:IY852418 SU852206:SU852418 ACQ852206:ACQ852418 AMM852206:AMM852418 AWI852206:AWI852418 BGE852206:BGE852418 BQA852206:BQA852418 BZW852206:BZW852418 CJS852206:CJS852418 CTO852206:CTO852418 DDK852206:DDK852418 DNG852206:DNG852418 DXC852206:DXC852418 EGY852206:EGY852418 EQU852206:EQU852418 FAQ852206:FAQ852418 FKM852206:FKM852418 FUI852206:FUI852418 GEE852206:GEE852418 GOA852206:GOA852418 GXW852206:GXW852418 HHS852206:HHS852418 HRO852206:HRO852418 IBK852206:IBK852418 ILG852206:ILG852418 IVC852206:IVC852418 JEY852206:JEY852418 JOU852206:JOU852418 JYQ852206:JYQ852418 KIM852206:KIM852418 KSI852206:KSI852418 LCE852206:LCE852418 LMA852206:LMA852418 LVW852206:LVW852418 MFS852206:MFS852418 MPO852206:MPO852418 MZK852206:MZK852418 NJG852206:NJG852418 NTC852206:NTC852418 OCY852206:OCY852418 OMU852206:OMU852418 OWQ852206:OWQ852418 PGM852206:PGM852418 PQI852206:PQI852418 QAE852206:QAE852418 QKA852206:QKA852418 QTW852206:QTW852418 RDS852206:RDS852418 RNO852206:RNO852418 RXK852206:RXK852418 SHG852206:SHG852418 SRC852206:SRC852418 TAY852206:TAY852418 TKU852206:TKU852418 TUQ852206:TUQ852418 UEM852206:UEM852418 UOI852206:UOI852418 UYE852206:UYE852418 VIA852206:VIA852418 VRW852206:VRW852418 WBS852206:WBS852418 WLO852206:WLO852418 WVK852206:WVK852418 C917742:C917954 IY917742:IY917954 SU917742:SU917954 ACQ917742:ACQ917954 AMM917742:AMM917954 AWI917742:AWI917954 BGE917742:BGE917954 BQA917742:BQA917954 BZW917742:BZW917954 CJS917742:CJS917954 CTO917742:CTO917954 DDK917742:DDK917954 DNG917742:DNG917954 DXC917742:DXC917954 EGY917742:EGY917954 EQU917742:EQU917954 FAQ917742:FAQ917954 FKM917742:FKM917954 FUI917742:FUI917954 GEE917742:GEE917954 GOA917742:GOA917954 GXW917742:GXW917954 HHS917742:HHS917954 HRO917742:HRO917954 IBK917742:IBK917954 ILG917742:ILG917954 IVC917742:IVC917954 JEY917742:JEY917954 JOU917742:JOU917954 JYQ917742:JYQ917954 KIM917742:KIM917954 KSI917742:KSI917954 LCE917742:LCE917954 LMA917742:LMA917954 LVW917742:LVW917954 MFS917742:MFS917954 MPO917742:MPO917954 MZK917742:MZK917954 NJG917742:NJG917954 NTC917742:NTC917954 OCY917742:OCY917954 OMU917742:OMU917954 OWQ917742:OWQ917954 PGM917742:PGM917954 PQI917742:PQI917954 QAE917742:QAE917954 QKA917742:QKA917954 QTW917742:QTW917954 RDS917742:RDS917954 RNO917742:RNO917954 RXK917742:RXK917954 SHG917742:SHG917954 SRC917742:SRC917954 TAY917742:TAY917954 TKU917742:TKU917954 TUQ917742:TUQ917954 UEM917742:UEM917954 UOI917742:UOI917954 UYE917742:UYE917954 VIA917742:VIA917954 VRW917742:VRW917954 WBS917742:WBS917954 WLO917742:WLO917954 WVK917742:WVK917954 C983278:C983490 IY983278:IY983490 SU983278:SU983490 ACQ983278:ACQ983490 AMM983278:AMM983490 AWI983278:AWI983490 BGE983278:BGE983490 BQA983278:BQA983490 BZW983278:BZW983490 CJS983278:CJS983490 CTO983278:CTO983490 DDK983278:DDK983490 DNG983278:DNG983490 DXC983278:DXC983490 EGY983278:EGY983490 EQU983278:EQU983490 FAQ983278:FAQ983490 FKM983278:FKM983490 FUI983278:FUI983490 GEE983278:GEE983490 GOA983278:GOA983490 GXW983278:GXW983490 HHS983278:HHS983490 HRO983278:HRO983490 IBK983278:IBK983490 ILG983278:ILG983490 IVC983278:IVC983490 JEY983278:JEY983490 JOU983278:JOU983490 JYQ983278:JYQ983490 KIM983278:KIM983490 KSI983278:KSI983490 LCE983278:LCE983490 LMA983278:LMA983490 LVW983278:LVW983490 MFS983278:MFS983490 MPO983278:MPO983490 MZK983278:MZK983490 NJG983278:NJG983490 NTC983278:NTC983490 OCY983278:OCY983490 OMU983278:OMU983490 OWQ983278:OWQ983490 PGM983278:PGM983490 PQI983278:PQI983490 QAE983278:QAE983490 QKA983278:QKA983490 QTW983278:QTW983490 RDS983278:RDS983490 RNO983278:RNO983490 RXK983278:RXK983490 SHG983278:SHG983490 SRC983278:SRC983490 TAY983278:TAY983490 TKU983278:TKU983490 TUQ983278:TUQ983490 UEM983278:UEM983490 UOI983278:UOI983490 UYE983278:UYE983490 VIA983278:VIA983490 VRW983278:VRW983490 WBS983278:WBS983490 WLO983278:WLO983490 WVK983278:WVK983490">
      <formula1>$M$239:$M$241</formula1>
    </dataValidation>
  </dataValidations>
  <hyperlinks>
    <hyperlink ref="B4" r:id="rId1"/>
    <hyperlink ref="B34" r:id="rId2"/>
  </hyperlinks>
  <printOptions gridLines="1"/>
  <pageMargins left="0.53" right="0.38" top="0.5" bottom="0.5" header="0.5" footer="0.5"/>
  <pageSetup scale="99" fitToHeight="10" orientation="landscape" cellComments="atEnd" r:id="rId3"/>
  <headerFooter alignWithMargins="0"/>
  <rowBreaks count="1" manualBreakCount="1">
    <brk id="64" max="5" man="1"/>
  </rowBreaks>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BC116"/>
  <sheetViews>
    <sheetView zoomScale="70" zoomScaleNormal="70" zoomScalePageLayoutView="70" workbookViewId="0">
      <pane ySplit="1" topLeftCell="A2" activePane="bottomLeft" state="frozen"/>
      <selection pane="bottomLeft"/>
    </sheetView>
  </sheetViews>
  <sheetFormatPr defaultColWidth="8.85546875" defaultRowHeight="15" x14ac:dyDescent="0.25"/>
  <cols>
    <col min="1" max="1" width="8.85546875" style="6" customWidth="1"/>
    <col min="2" max="2" width="12.42578125" style="28" customWidth="1"/>
    <col min="3" max="3" width="9" style="15" customWidth="1"/>
    <col min="4" max="4" width="9" style="6" customWidth="1"/>
    <col min="5" max="5" width="14.7109375" style="15" customWidth="1"/>
    <col min="6" max="8" width="9" style="15" customWidth="1"/>
    <col min="9" max="9" width="14.42578125" style="23" customWidth="1"/>
    <col min="10" max="10" width="15.85546875" style="15" bestFit="1" customWidth="1"/>
    <col min="11" max="11" width="9.140625" style="8" customWidth="1"/>
    <col min="12" max="12" width="10" style="40" bestFit="1" customWidth="1"/>
    <col min="13" max="13" width="13.42578125" style="40" bestFit="1" customWidth="1"/>
    <col min="14" max="14" width="6.7109375" style="8" customWidth="1"/>
    <col min="15" max="15" width="9.140625" style="8" customWidth="1"/>
    <col min="16" max="17" width="7.85546875" style="6" customWidth="1"/>
    <col min="18" max="22" width="9" style="6" customWidth="1"/>
    <col min="23" max="23" width="11.42578125" style="6" customWidth="1"/>
    <col min="24" max="27" width="9" style="6" customWidth="1"/>
    <col min="28" max="28" width="11" style="6" customWidth="1"/>
    <col min="29" max="55" width="11.42578125" style="6" customWidth="1"/>
    <col min="56" max="16384" width="8.85546875" style="6"/>
  </cols>
  <sheetData>
    <row r="1" spans="1:55" s="29" customFormat="1" ht="75.75" customHeight="1" x14ac:dyDescent="0.25">
      <c r="A1" s="29" t="s">
        <v>221</v>
      </c>
      <c r="B1" s="35" t="s">
        <v>227</v>
      </c>
      <c r="C1" s="36" t="s">
        <v>232</v>
      </c>
      <c r="D1" s="37" t="s">
        <v>235</v>
      </c>
      <c r="E1" s="36" t="s">
        <v>239</v>
      </c>
      <c r="F1" s="36" t="s">
        <v>447</v>
      </c>
      <c r="G1" s="29" t="s">
        <v>247</v>
      </c>
      <c r="H1" s="36" t="s">
        <v>449</v>
      </c>
      <c r="I1" s="38" t="s">
        <v>450</v>
      </c>
      <c r="J1" s="36" t="s">
        <v>453</v>
      </c>
      <c r="K1" s="43" t="s">
        <v>455</v>
      </c>
      <c r="L1" s="122" t="s">
        <v>458</v>
      </c>
      <c r="M1" s="122" t="s">
        <v>459</v>
      </c>
      <c r="N1" s="123" t="s">
        <v>460</v>
      </c>
      <c r="O1" s="123" t="s">
        <v>461</v>
      </c>
      <c r="P1" s="124" t="s">
        <v>457</v>
      </c>
      <c r="Q1" s="120" t="s">
        <v>464</v>
      </c>
      <c r="R1" s="29" t="s">
        <v>465</v>
      </c>
      <c r="S1" s="125" t="s">
        <v>466</v>
      </c>
      <c r="T1" s="125" t="s">
        <v>467</v>
      </c>
      <c r="U1" s="125" t="s">
        <v>468</v>
      </c>
      <c r="V1" s="125" t="s">
        <v>469</v>
      </c>
      <c r="W1" s="125" t="s">
        <v>470</v>
      </c>
      <c r="X1" s="125" t="s">
        <v>471</v>
      </c>
      <c r="Y1" s="125" t="s">
        <v>472</v>
      </c>
      <c r="Z1" s="125" t="s">
        <v>473</v>
      </c>
      <c r="AA1" s="125" t="s">
        <v>474</v>
      </c>
      <c r="AB1" s="125" t="s">
        <v>475</v>
      </c>
      <c r="AC1" s="29" t="s">
        <v>476</v>
      </c>
      <c r="AD1" s="29" t="s">
        <v>477</v>
      </c>
      <c r="AE1" s="29" t="s">
        <v>478</v>
      </c>
      <c r="AF1" s="29" t="s">
        <v>480</v>
      </c>
      <c r="AG1" s="29" t="s">
        <v>481</v>
      </c>
      <c r="AH1" s="29" t="s">
        <v>482</v>
      </c>
      <c r="AI1" s="29" t="s">
        <v>483</v>
      </c>
      <c r="AJ1" s="29" t="s">
        <v>484</v>
      </c>
      <c r="AK1" s="29" t="s">
        <v>485</v>
      </c>
      <c r="AL1" s="29" t="s">
        <v>486</v>
      </c>
      <c r="AM1" s="29" t="s">
        <v>487</v>
      </c>
      <c r="AN1" s="29" t="s">
        <v>488</v>
      </c>
      <c r="AO1" s="29" t="s">
        <v>489</v>
      </c>
      <c r="AP1" s="29" t="s">
        <v>490</v>
      </c>
      <c r="AQ1" s="29" t="s">
        <v>491</v>
      </c>
      <c r="AR1" s="29" t="s">
        <v>492</v>
      </c>
      <c r="AS1" s="29" t="s">
        <v>493</v>
      </c>
      <c r="AT1" s="29" t="s">
        <v>494</v>
      </c>
      <c r="AU1" s="29" t="s">
        <v>495</v>
      </c>
      <c r="AV1" s="29" t="s">
        <v>496</v>
      </c>
      <c r="AW1" s="29" t="s">
        <v>497</v>
      </c>
      <c r="AX1" s="29" t="s">
        <v>498</v>
      </c>
      <c r="AY1" s="29" t="s">
        <v>499</v>
      </c>
      <c r="AZ1" s="29" t="s">
        <v>500</v>
      </c>
      <c r="BA1" s="29" t="s">
        <v>501</v>
      </c>
      <c r="BB1" s="29" t="s">
        <v>502</v>
      </c>
      <c r="BC1" s="29" t="s">
        <v>451</v>
      </c>
    </row>
    <row r="2" spans="1:55" x14ac:dyDescent="0.25">
      <c r="A2" s="6">
        <v>2012</v>
      </c>
      <c r="B2" s="28">
        <v>41083</v>
      </c>
      <c r="C2" s="11" t="s">
        <v>43</v>
      </c>
      <c r="D2" s="2" t="s">
        <v>53</v>
      </c>
      <c r="E2" s="2" t="s">
        <v>44</v>
      </c>
      <c r="F2" s="2" t="s">
        <v>37</v>
      </c>
      <c r="G2" s="2" t="s">
        <v>446</v>
      </c>
      <c r="H2" s="2" t="s">
        <v>34</v>
      </c>
      <c r="I2" s="23" t="s">
        <v>38</v>
      </c>
      <c r="J2" s="15" t="s">
        <v>50</v>
      </c>
      <c r="K2" s="40" t="s">
        <v>29</v>
      </c>
      <c r="L2" s="40">
        <v>550</v>
      </c>
      <c r="M2" s="40">
        <v>400</v>
      </c>
      <c r="N2" s="16">
        <v>22.411040672889122</v>
      </c>
      <c r="O2" s="16">
        <v>92.837153508112976</v>
      </c>
      <c r="P2" s="13">
        <v>15.128</v>
      </c>
      <c r="Q2" s="25">
        <v>76.679005817028028</v>
      </c>
      <c r="R2" s="16">
        <v>3.1168566266250188</v>
      </c>
      <c r="S2" s="13">
        <v>57.558885381222915</v>
      </c>
      <c r="T2" s="13">
        <v>88.141019743928339</v>
      </c>
      <c r="U2" s="13">
        <v>7.0301713004881998</v>
      </c>
      <c r="V2" s="13">
        <v>3.5034765818574303</v>
      </c>
      <c r="W2" s="13">
        <v>1.3350641710076792</v>
      </c>
      <c r="X2" s="13">
        <v>72.526972893948169</v>
      </c>
      <c r="Y2" s="13">
        <v>102.93673789092828</v>
      </c>
      <c r="Z2" s="13">
        <v>8.3192854191255883</v>
      </c>
      <c r="AA2" s="13">
        <v>4.125725650939879</v>
      </c>
      <c r="AB2" s="13">
        <v>1.5901801023637123</v>
      </c>
      <c r="AC2" s="13">
        <v>59.332990538144813</v>
      </c>
      <c r="AD2" s="13">
        <v>83.741748660883673</v>
      </c>
      <c r="AE2" s="13">
        <v>134.03344729254513</v>
      </c>
      <c r="AF2" s="13">
        <v>195.63626834960965</v>
      </c>
      <c r="AG2" s="13"/>
      <c r="AH2" s="13">
        <v>256.3704691588606</v>
      </c>
      <c r="AI2" s="13">
        <v>256.97240495189612</v>
      </c>
      <c r="AJ2" s="13">
        <v>330.73352974717278</v>
      </c>
      <c r="AK2" s="13">
        <v>491.00855269117113</v>
      </c>
      <c r="AL2" s="13">
        <v>663.27549287880618</v>
      </c>
      <c r="AM2" s="13">
        <v>1027.7659039551118</v>
      </c>
      <c r="AN2" s="13">
        <v>1214.4946100300001</v>
      </c>
      <c r="AO2" s="13">
        <v>1394.6240700898484</v>
      </c>
      <c r="AP2" s="13">
        <v>-0.75991296644950357</v>
      </c>
      <c r="AQ2" s="13">
        <v>0.89544968067300057</v>
      </c>
      <c r="AR2" s="13">
        <v>3.8359863187017735</v>
      </c>
      <c r="AS2" s="13">
        <v>6.0178207361639364</v>
      </c>
      <c r="AT2" s="13"/>
      <c r="AU2" s="13">
        <v>9.1455908231842375</v>
      </c>
      <c r="AV2" s="13">
        <v>9.2005878315214282</v>
      </c>
      <c r="AW2" s="13">
        <v>10.92319901343444</v>
      </c>
      <c r="AX2" s="13">
        <v>13.354745470720701</v>
      </c>
      <c r="AY2" s="13">
        <v>14.783052449797127</v>
      </c>
      <c r="AZ2" s="13">
        <v>16.362340594766032</v>
      </c>
      <c r="BA2" s="13">
        <v>16.787145130973851</v>
      </c>
      <c r="BB2" s="13">
        <v>17.587039330413933</v>
      </c>
      <c r="BC2" s="13" t="s">
        <v>51</v>
      </c>
    </row>
    <row r="3" spans="1:55" x14ac:dyDescent="0.25">
      <c r="A3" s="6">
        <v>2012</v>
      </c>
      <c r="B3" s="28">
        <v>41083</v>
      </c>
      <c r="C3" s="11" t="s">
        <v>43</v>
      </c>
      <c r="D3" s="2" t="s">
        <v>53</v>
      </c>
      <c r="E3" s="2" t="s">
        <v>44</v>
      </c>
      <c r="F3" s="2" t="s">
        <v>37</v>
      </c>
      <c r="G3" s="2" t="s">
        <v>446</v>
      </c>
      <c r="H3" s="2" t="s">
        <v>34</v>
      </c>
      <c r="I3" s="23" t="s">
        <v>40</v>
      </c>
      <c r="J3" s="15" t="s">
        <v>66</v>
      </c>
      <c r="K3" s="8" t="s">
        <v>29</v>
      </c>
      <c r="L3" s="40">
        <v>550</v>
      </c>
      <c r="M3" s="40">
        <v>400</v>
      </c>
      <c r="N3" s="16">
        <v>20.333275428185097</v>
      </c>
      <c r="O3" s="16">
        <v>92.758669926570008</v>
      </c>
      <c r="P3" s="13">
        <v>106.473</v>
      </c>
      <c r="Q3" s="25">
        <v>69.426051675072543</v>
      </c>
      <c r="R3" s="16">
        <v>1.175935256618162</v>
      </c>
      <c r="S3" s="4">
        <v>6.7477429290292212</v>
      </c>
      <c r="T3" s="13">
        <v>11.188985802016621</v>
      </c>
      <c r="U3" s="13">
        <v>0.8863214263620639</v>
      </c>
      <c r="V3" s="13">
        <v>2.1300453467571785</v>
      </c>
      <c r="W3" s="13">
        <v>1.1322240883464715E-2</v>
      </c>
      <c r="X3" s="4">
        <v>10.263350004964664</v>
      </c>
      <c r="Y3" s="13">
        <v>14.829019598077092</v>
      </c>
      <c r="Z3" s="13">
        <v>1.2119624601217844</v>
      </c>
      <c r="AA3" s="13">
        <v>2.8670478839420319</v>
      </c>
      <c r="AB3" s="13">
        <v>1.5556688282209453E-2</v>
      </c>
      <c r="AC3" s="13">
        <v>73.142153077529485</v>
      </c>
      <c r="AD3" s="13">
        <v>118.20955833072979</v>
      </c>
      <c r="AE3" s="13">
        <v>206.97411300056612</v>
      </c>
      <c r="AF3" s="13">
        <v>296.73580114005739</v>
      </c>
      <c r="AG3" s="13"/>
      <c r="AH3" s="13">
        <v>375.21078139841654</v>
      </c>
      <c r="AI3" s="13"/>
      <c r="AJ3" s="13">
        <v>468.18705287291436</v>
      </c>
      <c r="AK3" s="13">
        <v>644.9717478544178</v>
      </c>
      <c r="AL3" s="13">
        <v>825.93052296937981</v>
      </c>
      <c r="AM3" s="13">
        <v>1183.3642470223956</v>
      </c>
      <c r="AN3" s="13">
        <v>1368.6586726323192</v>
      </c>
      <c r="AO3" s="13">
        <v>1554.0638393231593</v>
      </c>
      <c r="AP3" s="13">
        <v>-0.14432475688449042</v>
      </c>
      <c r="AQ3" s="13">
        <v>-0.11915780960658519</v>
      </c>
      <c r="AR3" s="13">
        <v>-7.6540265099341753E-2</v>
      </c>
      <c r="AS3" s="13">
        <v>-4.2892051055371506E-2</v>
      </c>
      <c r="AT3" s="13"/>
      <c r="AU3" s="13">
        <v>6.9253712459205141E-2</v>
      </c>
      <c r="AV3" s="13"/>
      <c r="AW3" s="13">
        <v>0.10068539944233783</v>
      </c>
      <c r="AX3" s="13">
        <v>0.19995863482045756</v>
      </c>
      <c r="AY3" s="13">
        <v>0.26907348792846819</v>
      </c>
      <c r="AZ3" s="13">
        <v>0.44429000065868268</v>
      </c>
      <c r="BA3" s="13">
        <v>0.49609031482630228</v>
      </c>
      <c r="BB3" s="13">
        <v>0.54133320856091827</v>
      </c>
      <c r="BC3" s="32" t="s">
        <v>93</v>
      </c>
    </row>
    <row r="4" spans="1:55" x14ac:dyDescent="0.25">
      <c r="A4" s="6">
        <v>2012</v>
      </c>
      <c r="B4" s="28">
        <v>41083</v>
      </c>
      <c r="C4" s="11" t="s">
        <v>43</v>
      </c>
      <c r="D4" s="2" t="s">
        <v>53</v>
      </c>
      <c r="E4" s="2" t="s">
        <v>44</v>
      </c>
      <c r="F4" s="2" t="s">
        <v>37</v>
      </c>
      <c r="G4" s="2" t="s">
        <v>446</v>
      </c>
      <c r="H4" s="2" t="s">
        <v>34</v>
      </c>
      <c r="I4" s="23" t="s">
        <v>38</v>
      </c>
      <c r="J4" s="15" t="s">
        <v>60</v>
      </c>
      <c r="K4" s="8" t="s">
        <v>30</v>
      </c>
      <c r="L4" s="40">
        <v>550</v>
      </c>
      <c r="M4" s="40">
        <v>400</v>
      </c>
      <c r="N4" s="16">
        <v>21.692780568049503</v>
      </c>
      <c r="O4" s="16">
        <v>92.615236722505998</v>
      </c>
      <c r="P4" s="13">
        <v>47.228000000000002</v>
      </c>
      <c r="Q4" s="25">
        <v>62.46294571017193</v>
      </c>
      <c r="R4" s="16">
        <v>1.7042479534168895</v>
      </c>
      <c r="S4" s="13">
        <v>32.261308846146207</v>
      </c>
      <c r="T4" s="13">
        <v>60.70175505561221</v>
      </c>
      <c r="U4" s="13">
        <v>4.7122828602025049</v>
      </c>
      <c r="V4" s="13">
        <v>1.2064333042847242</v>
      </c>
      <c r="W4" s="13">
        <v>3.6234153505756375</v>
      </c>
      <c r="X4" s="13">
        <v>43.370721884349827</v>
      </c>
      <c r="Y4" s="13">
        <v>74.044788188323409</v>
      </c>
      <c r="Z4" s="13">
        <v>5.85747871723611</v>
      </c>
      <c r="AA4" s="13">
        <v>1.4875700207043998</v>
      </c>
      <c r="AB4" s="13">
        <v>4.5332228597976476</v>
      </c>
      <c r="AC4" s="13">
        <v>51.626539468725603</v>
      </c>
      <c r="AD4" s="13">
        <v>71.762321861274188</v>
      </c>
      <c r="AE4" s="13">
        <v>115.29384248967348</v>
      </c>
      <c r="AF4" s="13">
        <v>164.29037427094732</v>
      </c>
      <c r="AG4" s="13"/>
      <c r="AH4" s="13">
        <v>223.52100909636067</v>
      </c>
      <c r="AI4" s="13">
        <v>228.94290164322757</v>
      </c>
      <c r="AJ4" s="13">
        <v>288.55560565914726</v>
      </c>
      <c r="AK4" s="13">
        <v>440.16921204313883</v>
      </c>
      <c r="AL4" s="13">
        <v>609.77656459829598</v>
      </c>
      <c r="AM4" s="13">
        <v>793.14035732366415</v>
      </c>
      <c r="AN4" s="13">
        <v>979.51903590477252</v>
      </c>
      <c r="AO4" s="13">
        <v>1362.0032914622477</v>
      </c>
      <c r="AP4" s="13">
        <v>-0.17136479958307932</v>
      </c>
      <c r="AQ4" s="13">
        <v>1.0217551633803466</v>
      </c>
      <c r="AR4" s="13">
        <v>3.0161003585739992</v>
      </c>
      <c r="AS4" s="13">
        <v>4.736268143738295</v>
      </c>
      <c r="AT4" s="13"/>
      <c r="AU4" s="13">
        <v>7.0171813007087724</v>
      </c>
      <c r="AV4" s="13">
        <v>7.0932870333787577</v>
      </c>
      <c r="AW4" s="13">
        <v>8.5805084130573075</v>
      </c>
      <c r="AX4" s="13">
        <v>10.53641975914376</v>
      </c>
      <c r="AY4" s="13">
        <v>11.562447326968122</v>
      </c>
      <c r="AZ4" s="13">
        <v>12.185588090418332</v>
      </c>
      <c r="BA4" s="13">
        <v>12.606400862614015</v>
      </c>
      <c r="BB4" s="13">
        <v>12.926573550091787</v>
      </c>
      <c r="BC4" s="13"/>
    </row>
    <row r="5" spans="1:55" x14ac:dyDescent="0.25">
      <c r="A5" s="6">
        <v>2012</v>
      </c>
      <c r="B5" s="28">
        <v>41083</v>
      </c>
      <c r="C5" s="11" t="s">
        <v>43</v>
      </c>
      <c r="D5" s="2" t="s">
        <v>53</v>
      </c>
      <c r="E5" s="2" t="s">
        <v>44</v>
      </c>
      <c r="F5" s="2" t="s">
        <v>37</v>
      </c>
      <c r="G5" s="2" t="s">
        <v>446</v>
      </c>
      <c r="H5" s="2" t="s">
        <v>34</v>
      </c>
      <c r="I5" s="23" t="s">
        <v>49</v>
      </c>
      <c r="J5" s="15" t="s">
        <v>1</v>
      </c>
      <c r="K5" s="8" t="s">
        <v>30</v>
      </c>
      <c r="L5" s="40">
        <v>550</v>
      </c>
      <c r="M5" s="40">
        <v>400</v>
      </c>
      <c r="N5" s="16">
        <v>20.27201094994178</v>
      </c>
      <c r="O5" s="16">
        <v>92.689583998460037</v>
      </c>
      <c r="P5" s="13">
        <v>43.494999999999997</v>
      </c>
      <c r="Q5" s="25">
        <v>47.062880790895505</v>
      </c>
      <c r="R5" s="16">
        <v>1.0317247650039874</v>
      </c>
      <c r="S5" s="13">
        <v>6.823760435051951</v>
      </c>
      <c r="T5" s="13">
        <v>22.069047044059822</v>
      </c>
      <c r="U5" s="13">
        <v>2.9917215449669166</v>
      </c>
      <c r="V5" s="13">
        <v>1.3228303122891012</v>
      </c>
      <c r="W5" s="13">
        <v>0.77976818644016488</v>
      </c>
      <c r="X5" s="13">
        <v>10.437157086936057</v>
      </c>
      <c r="Y5" s="13">
        <v>29.358694400351609</v>
      </c>
      <c r="Z5" s="13">
        <v>4.1087768728723759</v>
      </c>
      <c r="AA5" s="13">
        <v>1.7876159119021193</v>
      </c>
      <c r="AB5" s="13">
        <v>1.0759528422385003</v>
      </c>
      <c r="AC5" s="13">
        <v>61.811224033131872</v>
      </c>
      <c r="AD5" s="13">
        <v>102.09517203320409</v>
      </c>
      <c r="AE5" s="13">
        <v>187.04005484024196</v>
      </c>
      <c r="AF5" s="13">
        <v>278.55950111123343</v>
      </c>
      <c r="AG5" s="13"/>
      <c r="AH5" s="13">
        <v>317.89086268728755</v>
      </c>
      <c r="AI5" s="13"/>
      <c r="AJ5" s="13">
        <v>375.66624276349609</v>
      </c>
      <c r="AK5" s="13">
        <v>493.26078588019709</v>
      </c>
      <c r="AL5" s="13">
        <v>599.27470135857152</v>
      </c>
      <c r="AM5" s="13">
        <v>839.56785945698323</v>
      </c>
      <c r="AN5" s="13">
        <v>956.67911018863583</v>
      </c>
      <c r="AO5" s="13">
        <v>1087.599610404802</v>
      </c>
      <c r="AP5" s="13">
        <v>-0.12578265941747369</v>
      </c>
      <c r="AQ5" s="13">
        <v>-5.5424335295866801E-2</v>
      </c>
      <c r="AR5" s="13">
        <v>7.1826842056926229E-2</v>
      </c>
      <c r="AS5" s="13">
        <v>0.16339652469322508</v>
      </c>
      <c r="AT5" s="13"/>
      <c r="AU5" s="13">
        <v>0.68574512099236506</v>
      </c>
      <c r="AV5" s="13"/>
      <c r="AW5" s="13">
        <v>1.107519715409905</v>
      </c>
      <c r="AX5" s="13">
        <v>2.002903943819748</v>
      </c>
      <c r="AY5" s="13">
        <v>3.1601101403557985</v>
      </c>
      <c r="AZ5" s="13">
        <v>5.248665951622427</v>
      </c>
      <c r="BA5" s="13">
        <v>6.5406944203439856</v>
      </c>
      <c r="BB5" s="13">
        <v>7.6523341481055178</v>
      </c>
      <c r="BC5" s="13"/>
    </row>
    <row r="6" spans="1:55" x14ac:dyDescent="0.25">
      <c r="A6" s="6">
        <v>2012</v>
      </c>
      <c r="B6" s="28">
        <v>41083</v>
      </c>
      <c r="C6" s="11" t="s">
        <v>43</v>
      </c>
      <c r="D6" s="2" t="s">
        <v>53</v>
      </c>
      <c r="E6" s="2" t="s">
        <v>44</v>
      </c>
      <c r="F6" s="2" t="s">
        <v>37</v>
      </c>
      <c r="G6" s="2" t="s">
        <v>446</v>
      </c>
      <c r="H6" s="2" t="s">
        <v>34</v>
      </c>
      <c r="I6" s="23" t="s">
        <v>41</v>
      </c>
      <c r="J6" s="15" t="s">
        <v>63</v>
      </c>
      <c r="K6" s="8" t="s">
        <v>31</v>
      </c>
      <c r="L6" s="40">
        <v>550</v>
      </c>
      <c r="M6" s="40">
        <v>400</v>
      </c>
      <c r="N6" s="16">
        <v>21.208906026986931</v>
      </c>
      <c r="O6" s="16">
        <v>92.555502671461838</v>
      </c>
      <c r="P6" s="13">
        <v>29.387</v>
      </c>
      <c r="Q6" s="25">
        <v>42.808044373362364</v>
      </c>
      <c r="R6" s="16">
        <v>0.96881725709258182</v>
      </c>
      <c r="S6" s="13">
        <v>32.403325984287434</v>
      </c>
      <c r="T6" s="13">
        <v>43.811365740182211</v>
      </c>
      <c r="U6" s="13">
        <v>3.3552206950851975</v>
      </c>
      <c r="V6" s="13">
        <v>1.4266777415718725</v>
      </c>
      <c r="W6" s="13">
        <v>0.35309902764749618</v>
      </c>
      <c r="X6" s="13">
        <v>45.51247541113127</v>
      </c>
      <c r="Y6" s="13">
        <v>55.038315363090838</v>
      </c>
      <c r="Z6" s="13">
        <v>4.3132417277452415</v>
      </c>
      <c r="AA6" s="13">
        <v>1.8147225961193234</v>
      </c>
      <c r="AB6" s="13">
        <v>0.45669450958813157</v>
      </c>
      <c r="AC6" s="13">
        <v>51.019828932434869</v>
      </c>
      <c r="AD6" s="13">
        <v>81.277142990550999</v>
      </c>
      <c r="AE6" s="13">
        <v>144.83826803443355</v>
      </c>
      <c r="AF6" s="13">
        <v>215.82023828035025</v>
      </c>
      <c r="AG6" s="13"/>
      <c r="AH6" s="13">
        <v>276.67362079654413</v>
      </c>
      <c r="AI6" s="13">
        <v>279.35608943660628</v>
      </c>
      <c r="AJ6" s="13">
        <v>350.89344076872976</v>
      </c>
      <c r="AK6" s="13">
        <v>512.07314861562304</v>
      </c>
      <c r="AL6" s="13">
        <v>684.61629121638339</v>
      </c>
      <c r="AM6" s="13">
        <v>866.20383433601762</v>
      </c>
      <c r="AN6" s="13">
        <v>1052.3734957416332</v>
      </c>
      <c r="AO6" s="13">
        <v>1430.7394627770029</v>
      </c>
      <c r="AP6" s="13">
        <v>-0.11673140501756554</v>
      </c>
      <c r="AQ6" s="13">
        <v>0.59740688559618116</v>
      </c>
      <c r="AR6" s="13">
        <v>1.8570039475269839</v>
      </c>
      <c r="AS6" s="13">
        <v>2.9211043110308106</v>
      </c>
      <c r="AT6" s="13"/>
      <c r="AU6" s="13">
        <v>4.370305981941204</v>
      </c>
      <c r="AV6" s="13">
        <v>4.3320315890098495</v>
      </c>
      <c r="AW6" s="13">
        <v>5.2827359296324694</v>
      </c>
      <c r="AX6" s="13">
        <v>6.6196695251729274</v>
      </c>
      <c r="AY6" s="13">
        <v>7.4374728067692608</v>
      </c>
      <c r="AZ6" s="13">
        <v>7.9529252920607671</v>
      </c>
      <c r="BA6" s="13">
        <v>8.3106403950538592</v>
      </c>
      <c r="BB6" s="13">
        <v>8.6389990043659886</v>
      </c>
      <c r="BC6" s="13" t="s">
        <v>64</v>
      </c>
    </row>
    <row r="7" spans="1:55" s="14" customFormat="1" x14ac:dyDescent="0.25">
      <c r="A7" s="6">
        <v>2012</v>
      </c>
      <c r="B7" s="28">
        <v>41083</v>
      </c>
      <c r="C7" s="11" t="s">
        <v>43</v>
      </c>
      <c r="D7" s="2" t="s">
        <v>53</v>
      </c>
      <c r="E7" s="2" t="s">
        <v>44</v>
      </c>
      <c r="F7" s="2" t="s">
        <v>37</v>
      </c>
      <c r="G7" s="2" t="s">
        <v>446</v>
      </c>
      <c r="H7" s="2" t="s">
        <v>34</v>
      </c>
      <c r="I7" s="23" t="s">
        <v>41</v>
      </c>
      <c r="J7" s="15" t="s">
        <v>61</v>
      </c>
      <c r="K7" s="8" t="s">
        <v>31</v>
      </c>
      <c r="L7" s="40">
        <v>550</v>
      </c>
      <c r="M7" s="40">
        <v>400</v>
      </c>
      <c r="N7" s="16">
        <v>20.072329741257889</v>
      </c>
      <c r="O7" s="16">
        <v>92.635435251089248</v>
      </c>
      <c r="P7" s="13">
        <v>15.757999999999999</v>
      </c>
      <c r="Q7" s="25">
        <v>46.262216017261075</v>
      </c>
      <c r="R7" s="16">
        <v>1.0522466564792461</v>
      </c>
      <c r="S7" s="13">
        <v>16.447147549416709</v>
      </c>
      <c r="T7" s="13">
        <v>42.996101330264359</v>
      </c>
      <c r="U7" s="13">
        <v>3.3279772528132261</v>
      </c>
      <c r="V7" s="13">
        <v>1.8482235402888487</v>
      </c>
      <c r="W7" s="13">
        <v>0.29068391271549898</v>
      </c>
      <c r="X7" s="13">
        <v>25.619414808764656</v>
      </c>
      <c r="Y7" s="13">
        <v>57.903441308486933</v>
      </c>
      <c r="Z7" s="13">
        <v>4.6361551296038899</v>
      </c>
      <c r="AA7" s="13">
        <v>2.5301634729037681</v>
      </c>
      <c r="AB7" s="13">
        <v>0.40668764305814525</v>
      </c>
      <c r="AC7" s="13">
        <v>60.798728256999723</v>
      </c>
      <c r="AD7" s="13">
        <v>93.489562815147679</v>
      </c>
      <c r="AE7" s="13">
        <v>157.98922574538892</v>
      </c>
      <c r="AF7" s="13">
        <v>231.11612087647779</v>
      </c>
      <c r="AG7" s="13"/>
      <c r="AH7" s="13">
        <v>262.12467190568583</v>
      </c>
      <c r="AI7" s="13"/>
      <c r="AJ7" s="13">
        <v>333.54428965972238</v>
      </c>
      <c r="AK7" s="13">
        <v>483.28440764826706</v>
      </c>
      <c r="AL7" s="13">
        <v>648.82069625345821</v>
      </c>
      <c r="AM7" s="13">
        <v>1009.7283700347588</v>
      </c>
      <c r="AN7" s="13">
        <v>1192.9597612050745</v>
      </c>
      <c r="AO7" s="13">
        <v>1380.1601661894822</v>
      </c>
      <c r="AP7" s="13">
        <v>-0.3675640752087827</v>
      </c>
      <c r="AQ7" s="13">
        <v>8.6768062923058303E-2</v>
      </c>
      <c r="AR7" s="13">
        <v>0.9754267412202301</v>
      </c>
      <c r="AS7" s="13">
        <v>1.5776002334969497</v>
      </c>
      <c r="AT7" s="13"/>
      <c r="AU7" s="13">
        <v>3.6916356260956205</v>
      </c>
      <c r="AV7" s="13"/>
      <c r="AW7" s="13">
        <v>4.4657190555681598</v>
      </c>
      <c r="AX7" s="13">
        <v>5.8310718308407159</v>
      </c>
      <c r="AY7" s="13">
        <v>6.6981554473953508</v>
      </c>
      <c r="AZ7" s="13">
        <v>7.5310539745919707</v>
      </c>
      <c r="BA7" s="13">
        <v>7.9039596087856765</v>
      </c>
      <c r="BB7" s="13">
        <v>8.1357100494159305</v>
      </c>
      <c r="BC7" s="13" t="s">
        <v>62</v>
      </c>
    </row>
    <row r="8" spans="1:55" x14ac:dyDescent="0.25">
      <c r="A8" s="6">
        <v>2012</v>
      </c>
      <c r="B8" s="47">
        <v>41086</v>
      </c>
      <c r="C8" s="11" t="s">
        <v>43</v>
      </c>
      <c r="D8" s="6" t="s">
        <v>53</v>
      </c>
      <c r="E8" s="11" t="s">
        <v>45</v>
      </c>
      <c r="F8" s="11" t="s">
        <v>37</v>
      </c>
      <c r="G8" s="2" t="s">
        <v>446</v>
      </c>
      <c r="H8" s="15" t="s">
        <v>35</v>
      </c>
      <c r="I8" s="23" t="s">
        <v>49</v>
      </c>
      <c r="J8" s="15" t="s">
        <v>6</v>
      </c>
      <c r="K8" s="8" t="s">
        <v>29</v>
      </c>
      <c r="L8" s="40">
        <v>540</v>
      </c>
      <c r="M8" s="40">
        <v>540</v>
      </c>
      <c r="N8" s="16">
        <v>21.354825973510742</v>
      </c>
      <c r="O8" s="16">
        <v>91.757674584021942</v>
      </c>
      <c r="P8" s="13">
        <v>38.438000000000002</v>
      </c>
      <c r="Q8" s="25">
        <v>87.153337842759768</v>
      </c>
      <c r="R8" s="16">
        <v>2.3569635288154678</v>
      </c>
      <c r="S8" s="13">
        <v>56.248808312438257</v>
      </c>
      <c r="T8" s="13">
        <v>86.122276235997177</v>
      </c>
      <c r="U8" s="13">
        <v>6.6574232705204901</v>
      </c>
      <c r="V8" s="13">
        <v>1.7229798667949454</v>
      </c>
      <c r="W8" s="13">
        <v>1.1378353564104187</v>
      </c>
      <c r="X8" s="5">
        <v>77.966845051929383</v>
      </c>
      <c r="Y8" s="13">
        <v>107.23433697619326</v>
      </c>
      <c r="Z8" s="13">
        <v>8.4716492385542477</v>
      </c>
      <c r="AA8" s="13">
        <v>2.171129146882361</v>
      </c>
      <c r="AB8" s="13">
        <v>1.4569640870117953</v>
      </c>
      <c r="AC8" s="13">
        <v>49.139325777345697</v>
      </c>
      <c r="AD8" s="13">
        <v>71.891900403084662</v>
      </c>
      <c r="AE8" s="13">
        <v>118.32475600448777</v>
      </c>
      <c r="AF8" s="13">
        <v>169.21135783028353</v>
      </c>
      <c r="AG8" s="13"/>
      <c r="AH8" s="13">
        <v>215.78730096442189</v>
      </c>
      <c r="AI8" s="13">
        <v>229.98475959933987</v>
      </c>
      <c r="AJ8" s="13">
        <v>291.49489368063558</v>
      </c>
      <c r="AK8" s="13">
        <v>434.64853793839694</v>
      </c>
      <c r="AL8" s="13">
        <v>592.57443038812096</v>
      </c>
      <c r="AM8" s="13">
        <v>756.31512096350457</v>
      </c>
      <c r="AN8" s="13">
        <v>919.18189924692444</v>
      </c>
      <c r="AO8" s="13">
        <v>1268.1625297338635</v>
      </c>
      <c r="AP8" s="13">
        <v>-8.3136983049068969E-2</v>
      </c>
      <c r="AQ8" s="13">
        <v>1.2776158333027225</v>
      </c>
      <c r="AR8" s="13">
        <v>3.7793499381280866</v>
      </c>
      <c r="AS8" s="13">
        <v>5.8939314216459904</v>
      </c>
      <c r="AT8" s="13"/>
      <c r="AU8" s="13">
        <v>7.7051385935868719</v>
      </c>
      <c r="AV8" s="13">
        <v>8.7948032174132571</v>
      </c>
      <c r="AW8" s="13">
        <v>10.939984406888739</v>
      </c>
      <c r="AX8" s="13">
        <v>13.819028283192267</v>
      </c>
      <c r="AY8" s="13">
        <v>15.546070708784072</v>
      </c>
      <c r="AZ8" s="13">
        <v>16.62198520234438</v>
      </c>
      <c r="BA8" s="13">
        <v>17.374176651036656</v>
      </c>
      <c r="BB8" s="13">
        <v>18.249219205909402</v>
      </c>
      <c r="BC8" s="13"/>
    </row>
    <row r="9" spans="1:55" x14ac:dyDescent="0.25">
      <c r="A9" s="6">
        <v>2012</v>
      </c>
      <c r="B9" s="47">
        <v>41086</v>
      </c>
      <c r="C9" s="11" t="s">
        <v>43</v>
      </c>
      <c r="D9" s="6" t="s">
        <v>53</v>
      </c>
      <c r="E9" s="11" t="s">
        <v>45</v>
      </c>
      <c r="F9" s="11" t="s">
        <v>37</v>
      </c>
      <c r="G9" s="2" t="s">
        <v>446</v>
      </c>
      <c r="H9" s="15" t="s">
        <v>35</v>
      </c>
      <c r="I9" s="23" t="s">
        <v>49</v>
      </c>
      <c r="J9" s="15" t="s">
        <v>7</v>
      </c>
      <c r="K9" s="8" t="s">
        <v>29</v>
      </c>
      <c r="L9" s="40">
        <v>540</v>
      </c>
      <c r="M9" s="40">
        <v>540</v>
      </c>
      <c r="N9" s="16">
        <v>20.497199572049656</v>
      </c>
      <c r="O9" s="16">
        <v>91.802969125600967</v>
      </c>
      <c r="P9" s="13">
        <v>38.816000000000003</v>
      </c>
      <c r="Q9" s="25">
        <v>85.454451772464949</v>
      </c>
      <c r="R9" s="16">
        <v>2.2270045976325288</v>
      </c>
      <c r="S9" s="4">
        <v>40.370461640872001</v>
      </c>
      <c r="T9" s="4">
        <v>92.243002059103603</v>
      </c>
      <c r="U9" s="5">
        <v>7.1261537680300719</v>
      </c>
      <c r="V9" s="13">
        <v>0.88082322901835863</v>
      </c>
      <c r="W9" s="13">
        <v>0.7243762054427566</v>
      </c>
      <c r="X9" s="13">
        <v>60.49273096914785</v>
      </c>
      <c r="Y9" s="13">
        <v>121.03006794740061</v>
      </c>
      <c r="Z9" s="13">
        <v>9.6315791941988156</v>
      </c>
      <c r="AA9" s="13">
        <v>1.1730744723684716</v>
      </c>
      <c r="AB9" s="13">
        <v>0.98406002315540808</v>
      </c>
      <c r="AC9" s="13">
        <v>46.453372167916221</v>
      </c>
      <c r="AD9" s="13">
        <v>69.703304655239648</v>
      </c>
      <c r="AE9" s="13">
        <v>116.98375334692923</v>
      </c>
      <c r="AF9" s="13">
        <v>167.53868793906537</v>
      </c>
      <c r="AG9" s="13"/>
      <c r="AH9" s="13">
        <v>212.21697533983573</v>
      </c>
      <c r="AI9" s="13">
        <v>230.00710283086244</v>
      </c>
      <c r="AJ9" s="13">
        <v>265.220140173407</v>
      </c>
      <c r="AK9" s="13">
        <v>391.01101141864439</v>
      </c>
      <c r="AL9" s="13">
        <v>539.42352867995157</v>
      </c>
      <c r="AM9" s="13">
        <v>885.51193026076487</v>
      </c>
      <c r="AN9" s="13">
        <v>1066.5240808530634</v>
      </c>
      <c r="AO9" s="13">
        <v>1251.0470447881507</v>
      </c>
      <c r="AP9" s="13">
        <v>7.4299213877160208E-2</v>
      </c>
      <c r="AQ9" s="13">
        <v>1.043012879626104</v>
      </c>
      <c r="AR9" s="13">
        <v>2.8483508558485351</v>
      </c>
      <c r="AS9" s="13">
        <v>4.3388634546116407</v>
      </c>
      <c r="AT9" s="13"/>
      <c r="AU9" s="13">
        <v>7.494274784944321</v>
      </c>
      <c r="AV9" s="13">
        <v>9.5263468504330433</v>
      </c>
      <c r="AW9" s="13">
        <v>9.7727939487583892</v>
      </c>
      <c r="AX9" s="13">
        <v>13.398984403038909</v>
      </c>
      <c r="AY9" s="13">
        <v>16.023522143285287</v>
      </c>
      <c r="AZ9" s="13">
        <v>18.666050610220662</v>
      </c>
      <c r="BA9" s="13">
        <v>19.727163761814584</v>
      </c>
      <c r="BB9" s="13">
        <v>20.49764895429038</v>
      </c>
      <c r="BC9" s="13"/>
    </row>
    <row r="10" spans="1:55" x14ac:dyDescent="0.25">
      <c r="A10" s="6">
        <v>2012</v>
      </c>
      <c r="B10" s="47">
        <v>41086</v>
      </c>
      <c r="C10" s="11" t="s">
        <v>43</v>
      </c>
      <c r="D10" s="6" t="s">
        <v>53</v>
      </c>
      <c r="E10" s="11" t="s">
        <v>45</v>
      </c>
      <c r="F10" s="11" t="s">
        <v>37</v>
      </c>
      <c r="G10" s="2" t="s">
        <v>446</v>
      </c>
      <c r="H10" s="15" t="s">
        <v>35</v>
      </c>
      <c r="I10" s="23" t="s">
        <v>38</v>
      </c>
      <c r="J10" s="15" t="s">
        <v>9</v>
      </c>
      <c r="K10" s="8" t="s">
        <v>30</v>
      </c>
      <c r="L10" s="40">
        <v>540</v>
      </c>
      <c r="M10" s="40">
        <v>540</v>
      </c>
      <c r="N10" s="16">
        <v>20.19285436776968</v>
      </c>
      <c r="O10" s="16">
        <v>91.820348886343155</v>
      </c>
      <c r="P10" s="13">
        <v>14.006</v>
      </c>
      <c r="Q10" s="25">
        <v>64.900756818506352</v>
      </c>
      <c r="R10" s="16">
        <v>1.5422401824969032</v>
      </c>
      <c r="S10" s="13">
        <v>59.965195881625775</v>
      </c>
      <c r="T10" s="13">
        <v>101.18839623278188</v>
      </c>
      <c r="U10" s="13">
        <v>7.6491721950920732</v>
      </c>
      <c r="V10" s="13">
        <v>1.9472524829710172</v>
      </c>
      <c r="W10" s="13">
        <v>2.6826137046136931</v>
      </c>
      <c r="X10" s="13">
        <v>92.3838563766585</v>
      </c>
      <c r="Y10" s="13">
        <v>135.26728667644727</v>
      </c>
      <c r="Z10" s="13">
        <v>10.564658168532539</v>
      </c>
      <c r="AA10" s="13">
        <v>2.6449706964095592</v>
      </c>
      <c r="AB10" s="13">
        <v>3.72193014290694</v>
      </c>
      <c r="AC10" s="13">
        <v>47.617290947033652</v>
      </c>
      <c r="AD10" s="13">
        <v>67.672153381609547</v>
      </c>
      <c r="AE10" s="13">
        <v>106.49931389863326</v>
      </c>
      <c r="AF10" s="13">
        <v>146.6999530765876</v>
      </c>
      <c r="AG10" s="13">
        <v>189.72806320578889</v>
      </c>
      <c r="AH10" s="13">
        <v>207.90895755056124</v>
      </c>
      <c r="AI10" s="13">
        <v>221.46824401790147</v>
      </c>
      <c r="AJ10" s="13">
        <v>281.65589098271437</v>
      </c>
      <c r="AK10" s="13">
        <v>416.03747021108245</v>
      </c>
      <c r="AL10" s="13">
        <v>568.53968974304973</v>
      </c>
      <c r="AM10" s="13">
        <v>943.75028961091562</v>
      </c>
      <c r="AN10" s="13">
        <v>1140.8253304533841</v>
      </c>
      <c r="AO10" s="13">
        <v>1338.1305158979253</v>
      </c>
      <c r="AP10" s="13">
        <v>2.4680305861524157E-2</v>
      </c>
      <c r="AQ10" s="13">
        <v>1.6680298934221003</v>
      </c>
      <c r="AR10" s="13">
        <v>4.8998916915954753</v>
      </c>
      <c r="AS10" s="13">
        <v>7.8239072714666893</v>
      </c>
      <c r="AT10" s="13">
        <v>10.255124887746584</v>
      </c>
      <c r="AU10" s="13">
        <v>10.901366996048603</v>
      </c>
      <c r="AV10" s="13">
        <v>11.183037498603879</v>
      </c>
      <c r="AW10" s="13">
        <v>12.7196992289064</v>
      </c>
      <c r="AX10" s="13">
        <v>16.741901368374492</v>
      </c>
      <c r="AY10" s="13">
        <v>19.741757114949234</v>
      </c>
      <c r="AZ10" s="13">
        <v>20.886593527054494</v>
      </c>
      <c r="BA10" s="13">
        <v>20.969595224275462</v>
      </c>
      <c r="BB10" s="13">
        <v>21.000270942557218</v>
      </c>
      <c r="BC10" s="13"/>
    </row>
    <row r="11" spans="1:55" x14ac:dyDescent="0.25">
      <c r="A11" s="6">
        <v>2012</v>
      </c>
      <c r="B11" s="47">
        <v>41086</v>
      </c>
      <c r="C11" s="11" t="s">
        <v>43</v>
      </c>
      <c r="D11" s="6" t="s">
        <v>53</v>
      </c>
      <c r="E11" s="11" t="s">
        <v>45</v>
      </c>
      <c r="F11" s="11" t="s">
        <v>37</v>
      </c>
      <c r="G11" s="2" t="s">
        <v>446</v>
      </c>
      <c r="H11" s="15" t="s">
        <v>35</v>
      </c>
      <c r="I11" s="23" t="s">
        <v>49</v>
      </c>
      <c r="J11" s="15" t="s">
        <v>3</v>
      </c>
      <c r="K11" s="8" t="s">
        <v>30</v>
      </c>
      <c r="L11" s="40">
        <v>540</v>
      </c>
      <c r="M11" s="40">
        <v>540</v>
      </c>
      <c r="N11" s="16">
        <v>21.824343754695011</v>
      </c>
      <c r="O11" s="16">
        <v>91.773848313551682</v>
      </c>
      <c r="P11" s="13">
        <v>20.253</v>
      </c>
      <c r="Q11" s="25">
        <v>67.644299609934322</v>
      </c>
      <c r="R11" s="16">
        <v>1.489978039113617</v>
      </c>
      <c r="S11" s="13">
        <v>38.566557568069236</v>
      </c>
      <c r="T11" s="13">
        <v>93.550836243713704</v>
      </c>
      <c r="U11" s="13">
        <v>6.9274460678189067</v>
      </c>
      <c r="V11" s="13">
        <v>1.8152354745493791</v>
      </c>
      <c r="W11" s="13">
        <v>0.68056856046089487</v>
      </c>
      <c r="X11" s="13">
        <v>51.234582769018225</v>
      </c>
      <c r="Y11" s="13">
        <v>113.20665753368222</v>
      </c>
      <c r="Z11" s="13">
        <v>8.533176097768866</v>
      </c>
      <c r="AA11" s="13">
        <v>2.2194295204018104</v>
      </c>
      <c r="AB11" s="13">
        <v>0.84380682202091695</v>
      </c>
      <c r="AC11" s="13">
        <v>53.644681902552129</v>
      </c>
      <c r="AD11" s="13">
        <v>79.583038591273834</v>
      </c>
      <c r="AE11" s="13">
        <v>129.80836759676998</v>
      </c>
      <c r="AF11" s="13">
        <v>182.0847044764763</v>
      </c>
      <c r="AG11" s="13"/>
      <c r="AH11" s="13">
        <v>239.42451881354825</v>
      </c>
      <c r="AI11" s="13">
        <v>258.76869383668497</v>
      </c>
      <c r="AJ11" s="13">
        <v>297.99299222290716</v>
      </c>
      <c r="AK11" s="13">
        <v>442.12266200586635</v>
      </c>
      <c r="AL11" s="13">
        <v>609.81997726755537</v>
      </c>
      <c r="AM11" s="13">
        <v>793.60209071776637</v>
      </c>
      <c r="AN11" s="13">
        <v>985.50781284076913</v>
      </c>
      <c r="AO11" s="13">
        <v>1372.2572570750247</v>
      </c>
      <c r="AP11" s="13">
        <v>-0.22607350759333644</v>
      </c>
      <c r="AQ11" s="13">
        <v>0.68309013733744173</v>
      </c>
      <c r="AR11" s="13">
        <v>2.3605528419746689</v>
      </c>
      <c r="AS11" s="13">
        <v>3.741609624357304</v>
      </c>
      <c r="AT11" s="13"/>
      <c r="AU11" s="13">
        <v>7.1701408464942347</v>
      </c>
      <c r="AV11" s="13">
        <v>9.1477784998526257</v>
      </c>
      <c r="AW11" s="13">
        <v>9.8354674319373512</v>
      </c>
      <c r="AX11" s="13">
        <v>13.464659225393511</v>
      </c>
      <c r="AY11" s="13">
        <v>16.043375865622536</v>
      </c>
      <c r="AZ11" s="13">
        <v>17.550015478445168</v>
      </c>
      <c r="BA11" s="13">
        <v>18.393839157931911</v>
      </c>
      <c r="BB11" s="13">
        <v>18.967127493092704</v>
      </c>
      <c r="BC11" s="13" t="s">
        <v>59</v>
      </c>
    </row>
    <row r="12" spans="1:55" x14ac:dyDescent="0.25">
      <c r="A12" s="6">
        <v>2012</v>
      </c>
      <c r="B12" s="47">
        <v>41086</v>
      </c>
      <c r="C12" s="11" t="s">
        <v>43</v>
      </c>
      <c r="D12" s="6" t="s">
        <v>53</v>
      </c>
      <c r="E12" s="11" t="s">
        <v>45</v>
      </c>
      <c r="F12" s="11" t="s">
        <v>37</v>
      </c>
      <c r="G12" s="2" t="s">
        <v>446</v>
      </c>
      <c r="H12" s="15" t="s">
        <v>35</v>
      </c>
      <c r="I12" s="23" t="s">
        <v>38</v>
      </c>
      <c r="J12" s="15" t="s">
        <v>95</v>
      </c>
      <c r="K12" s="8" t="s">
        <v>31</v>
      </c>
      <c r="L12" s="40">
        <v>540</v>
      </c>
      <c r="M12" s="40">
        <v>540</v>
      </c>
      <c r="N12" s="26">
        <v>21.804056020883415</v>
      </c>
      <c r="O12" s="26">
        <v>91.792160621056183</v>
      </c>
      <c r="P12" s="13">
        <v>11.869</v>
      </c>
      <c r="Q12" s="25">
        <v>51.39438874378633</v>
      </c>
      <c r="R12" s="16">
        <v>1.3295627942847037</v>
      </c>
      <c r="S12" s="13">
        <v>55.283657974234679</v>
      </c>
      <c r="T12" s="13">
        <v>106.47317003990364</v>
      </c>
      <c r="U12" s="13">
        <v>7.4678980666169288</v>
      </c>
      <c r="V12" s="13">
        <v>2.0936363213394498</v>
      </c>
      <c r="W12" s="13">
        <v>1.753013768862741</v>
      </c>
      <c r="X12" s="13">
        <v>73.577471504640627</v>
      </c>
      <c r="Y12" s="13">
        <v>129.00282100851484</v>
      </c>
      <c r="Z12" s="13">
        <v>9.2117672036637881</v>
      </c>
      <c r="AA12" s="13">
        <v>2.5631539434541506</v>
      </c>
      <c r="AB12" s="13">
        <v>2.1765085934838746</v>
      </c>
      <c r="AC12" s="13">
        <v>52.947978765156925</v>
      </c>
      <c r="AD12" s="13">
        <v>70.5699158992945</v>
      </c>
      <c r="AE12" s="13">
        <v>104.18550075067238</v>
      </c>
      <c r="AF12" s="13">
        <v>144.35396448098535</v>
      </c>
      <c r="AG12" s="13"/>
      <c r="AH12" s="13">
        <v>188.01033201413162</v>
      </c>
      <c r="AI12" s="13">
        <v>216.8363686995495</v>
      </c>
      <c r="AJ12" s="13">
        <v>234.85100931679142</v>
      </c>
      <c r="AK12" s="13">
        <v>365.68366297268659</v>
      </c>
      <c r="AL12" s="13">
        <v>514.83259011230427</v>
      </c>
      <c r="AM12" s="13">
        <v>691.84953748808152</v>
      </c>
      <c r="AN12" s="13">
        <v>888.29414560923169</v>
      </c>
      <c r="AO12" s="13">
        <v>1278.0233578446987</v>
      </c>
      <c r="AP12" s="13">
        <v>-0.21704058627491751</v>
      </c>
      <c r="AQ12" s="13">
        <v>1.0748302026857051</v>
      </c>
      <c r="AR12" s="13">
        <v>3.3530500252509823</v>
      </c>
      <c r="AS12" s="13">
        <v>5.0416742848290719</v>
      </c>
      <c r="AT12" s="13"/>
      <c r="AU12" s="13">
        <v>9.4153874258045178</v>
      </c>
      <c r="AV12" s="13">
        <v>9.5244811753302567</v>
      </c>
      <c r="AW12" s="13">
        <v>12.375869208488442</v>
      </c>
      <c r="AX12" s="13">
        <v>16.177515538455136</v>
      </c>
      <c r="AY12" s="13">
        <v>18.968606456272543</v>
      </c>
      <c r="AZ12" s="13">
        <v>20.295809888466483</v>
      </c>
      <c r="BA12" s="13">
        <v>20.428555931441451</v>
      </c>
      <c r="BB12" s="13">
        <v>20.191562065263803</v>
      </c>
      <c r="BC12" s="17"/>
    </row>
    <row r="13" spans="1:55" s="14" customFormat="1" x14ac:dyDescent="0.25">
      <c r="A13" s="6">
        <v>2012</v>
      </c>
      <c r="B13" s="47">
        <v>41086</v>
      </c>
      <c r="C13" s="11" t="s">
        <v>43</v>
      </c>
      <c r="D13" s="6" t="s">
        <v>53</v>
      </c>
      <c r="E13" s="11" t="s">
        <v>45</v>
      </c>
      <c r="F13" s="11" t="s">
        <v>37</v>
      </c>
      <c r="G13" s="2" t="s">
        <v>446</v>
      </c>
      <c r="H13" s="15" t="s">
        <v>35</v>
      </c>
      <c r="I13" s="23" t="s">
        <v>38</v>
      </c>
      <c r="J13" s="15" t="s">
        <v>94</v>
      </c>
      <c r="K13" s="8" t="s">
        <v>31</v>
      </c>
      <c r="L13" s="40">
        <v>540</v>
      </c>
      <c r="M13" s="40">
        <v>540</v>
      </c>
      <c r="N13" s="16">
        <v>20.720538359421951</v>
      </c>
      <c r="O13" s="16">
        <v>91.828758239746094</v>
      </c>
      <c r="P13" s="13">
        <v>19.033000000000001</v>
      </c>
      <c r="Q13" s="25">
        <v>48.704880996164555</v>
      </c>
      <c r="R13" s="16">
        <v>1.0022823815470578</v>
      </c>
      <c r="S13" s="13">
        <v>42.978961571799672</v>
      </c>
      <c r="T13" s="13">
        <v>76.212884898487715</v>
      </c>
      <c r="U13" s="13">
        <v>5.9449352768374499</v>
      </c>
      <c r="V13" s="13">
        <v>2.0121511746104663</v>
      </c>
      <c r="W13" s="13">
        <v>1.1478321984817641</v>
      </c>
      <c r="X13" s="4">
        <v>63.104915253455538</v>
      </c>
      <c r="Y13" s="4">
        <v>98.640041265738773</v>
      </c>
      <c r="Z13" s="4">
        <v>7.9091008694893041</v>
      </c>
      <c r="AA13" s="5">
        <v>2.6413490384491949</v>
      </c>
      <c r="AB13" s="13">
        <v>1.5354353644995138</v>
      </c>
      <c r="AC13" s="13">
        <v>51.024649874467116</v>
      </c>
      <c r="AD13" s="13">
        <v>68.131528935821706</v>
      </c>
      <c r="AE13" s="13">
        <v>104.71116755877149</v>
      </c>
      <c r="AF13" s="13">
        <v>143.98364091008656</v>
      </c>
      <c r="AG13" s="13">
        <v>170.84595266907357</v>
      </c>
      <c r="AH13" s="13">
        <v>186.49859150210617</v>
      </c>
      <c r="AI13" s="13">
        <v>215.75766678202794</v>
      </c>
      <c r="AJ13" s="13">
        <v>244.28266392484795</v>
      </c>
      <c r="AK13" s="13">
        <v>380.97358426627125</v>
      </c>
      <c r="AL13" s="13">
        <v>523.93490139620474</v>
      </c>
      <c r="AM13" s="13">
        <v>871.89561423486225</v>
      </c>
      <c r="AN13" s="13">
        <v>1060.0701711227298</v>
      </c>
      <c r="AO13" s="13">
        <v>1256.24479441207</v>
      </c>
      <c r="AP13" s="13">
        <v>-9.5059159557663461E-2</v>
      </c>
      <c r="AQ13" s="13">
        <v>0.77267342533400829</v>
      </c>
      <c r="AR13" s="13">
        <v>2.2250881574584067</v>
      </c>
      <c r="AS13" s="13">
        <v>3.3934373090457473</v>
      </c>
      <c r="AT13" s="13">
        <v>4.6567473664046961</v>
      </c>
      <c r="AU13" s="13">
        <v>6.4333075371524098</v>
      </c>
      <c r="AV13" s="13">
        <v>7.0121822451911324</v>
      </c>
      <c r="AW13" s="13">
        <v>8.1443245580751569</v>
      </c>
      <c r="AX13" s="13">
        <v>10.606207131920918</v>
      </c>
      <c r="AY13" s="13">
        <v>13.007136605156969</v>
      </c>
      <c r="AZ13" s="13">
        <v>15.106132187884691</v>
      </c>
      <c r="BA13" s="13">
        <v>15.654179255089637</v>
      </c>
      <c r="BB13" s="13">
        <v>15.822658339977357</v>
      </c>
      <c r="BC13" s="13"/>
    </row>
    <row r="14" spans="1:55" x14ac:dyDescent="0.25">
      <c r="A14" s="6">
        <v>2012</v>
      </c>
      <c r="B14" s="47">
        <v>41086</v>
      </c>
      <c r="C14" s="11" t="s">
        <v>43</v>
      </c>
      <c r="D14" s="6" t="s">
        <v>53</v>
      </c>
      <c r="E14" s="11" t="s">
        <v>46</v>
      </c>
      <c r="F14" s="11" t="s">
        <v>37</v>
      </c>
      <c r="G14" s="2" t="s">
        <v>446</v>
      </c>
      <c r="H14" s="11" t="s">
        <v>34</v>
      </c>
      <c r="I14" s="23" t="s">
        <v>38</v>
      </c>
      <c r="J14" s="33" t="s">
        <v>50</v>
      </c>
      <c r="K14" s="8" t="s">
        <v>29</v>
      </c>
      <c r="L14" s="40">
        <v>540</v>
      </c>
      <c r="M14" s="40" t="s">
        <v>65</v>
      </c>
      <c r="N14" s="16">
        <v>20.701793230496921</v>
      </c>
      <c r="O14" s="16">
        <v>91.741814246544465</v>
      </c>
      <c r="P14" s="3">
        <v>9.4009999999999998</v>
      </c>
      <c r="Q14" s="25">
        <v>91.054143176257838</v>
      </c>
      <c r="R14" s="21">
        <v>4.5078319001206504</v>
      </c>
      <c r="S14" s="13">
        <v>81.848480551104444</v>
      </c>
      <c r="T14" s="13">
        <v>134.60348578784865</v>
      </c>
      <c r="U14" s="13">
        <v>10.163318950123918</v>
      </c>
      <c r="V14" s="13">
        <v>4.9713837205260312</v>
      </c>
      <c r="W14" s="13">
        <v>1.8005691371663268</v>
      </c>
      <c r="X14" s="13">
        <v>120.38120164987322</v>
      </c>
      <c r="Y14" s="13">
        <v>174.41303401077877</v>
      </c>
      <c r="Z14" s="13">
        <v>13.539116985098232</v>
      </c>
      <c r="AA14" s="13">
        <v>6.5338399841460735</v>
      </c>
      <c r="AB14" s="13">
        <v>2.411710854294582</v>
      </c>
      <c r="AC14" s="13">
        <v>54.263210056738075</v>
      </c>
      <c r="AD14" s="13">
        <v>80.80970721146187</v>
      </c>
      <c r="AE14" s="13">
        <v>135.17378343128476</v>
      </c>
      <c r="AF14" s="13">
        <v>194.1039472485204</v>
      </c>
      <c r="AG14" s="13">
        <v>259.77183848897272</v>
      </c>
      <c r="AH14" s="13">
        <v>263.8847289157053</v>
      </c>
      <c r="AI14" s="13">
        <v>264.59478808446943</v>
      </c>
      <c r="AJ14" s="13">
        <v>325.67167281733401</v>
      </c>
      <c r="AK14" s="13">
        <v>480.31618635970597</v>
      </c>
      <c r="AL14" s="13">
        <v>655.57514750589905</v>
      </c>
      <c r="AM14" s="13">
        <v>839.99412893339661</v>
      </c>
      <c r="AN14" s="13">
        <v>1031.19151705631</v>
      </c>
      <c r="AO14" s="13">
        <v>1413.7675122708858</v>
      </c>
      <c r="AP14" s="13">
        <v>-0.75801675851203831</v>
      </c>
      <c r="AQ14" s="13">
        <v>1.5229478083627555</v>
      </c>
      <c r="AR14" s="13">
        <v>5.8409875937770144</v>
      </c>
      <c r="AS14" s="13">
        <v>9.6875361558008635</v>
      </c>
      <c r="AT14" s="13">
        <v>13.578490371781596</v>
      </c>
      <c r="AU14" s="13">
        <v>13.423308811810813</v>
      </c>
      <c r="AV14" s="13">
        <v>12.318523371663606</v>
      </c>
      <c r="AW14" s="13">
        <v>16.944417885910131</v>
      </c>
      <c r="AX14" s="13">
        <v>21.199735878248216</v>
      </c>
      <c r="AY14" s="13">
        <v>23.293321654373397</v>
      </c>
      <c r="AZ14" s="13">
        <v>24.454596848122183</v>
      </c>
      <c r="BA14" s="13">
        <v>24.858180307089707</v>
      </c>
      <c r="BB14" s="13">
        <v>25.518560769700994</v>
      </c>
      <c r="BC14" s="13"/>
    </row>
    <row r="15" spans="1:55" x14ac:dyDescent="0.25">
      <c r="A15" s="6">
        <v>2012</v>
      </c>
      <c r="B15" s="47">
        <v>41086</v>
      </c>
      <c r="C15" s="11" t="s">
        <v>43</v>
      </c>
      <c r="D15" s="6" t="s">
        <v>53</v>
      </c>
      <c r="E15" s="11" t="s">
        <v>46</v>
      </c>
      <c r="F15" s="11" t="s">
        <v>37</v>
      </c>
      <c r="G15" s="2" t="s">
        <v>446</v>
      </c>
      <c r="H15" s="11" t="s">
        <v>34</v>
      </c>
      <c r="I15" s="23" t="s">
        <v>38</v>
      </c>
      <c r="J15" s="33" t="s">
        <v>90</v>
      </c>
      <c r="K15" s="8" t="s">
        <v>29</v>
      </c>
      <c r="L15" s="40">
        <v>540</v>
      </c>
      <c r="M15" s="40" t="s">
        <v>65</v>
      </c>
      <c r="N15" s="26">
        <v>20.314987329336311</v>
      </c>
      <c r="O15" s="26">
        <v>91.807914733886719</v>
      </c>
      <c r="P15" s="3">
        <v>10.118</v>
      </c>
      <c r="Q15" s="25">
        <v>75.014825064241947</v>
      </c>
      <c r="R15" s="21">
        <v>4.8321364846332031</v>
      </c>
      <c r="S15" s="13">
        <v>49.356378345295674</v>
      </c>
      <c r="T15" s="13">
        <v>95.887603162639564</v>
      </c>
      <c r="U15" s="13">
        <v>7.4780086400384649</v>
      </c>
      <c r="V15" s="13">
        <v>2.7652527171951289</v>
      </c>
      <c r="W15" s="13">
        <v>1.7653184474786716</v>
      </c>
      <c r="X15" s="13">
        <v>75.196655461416526</v>
      </c>
      <c r="Y15" s="13">
        <v>127.22460486563848</v>
      </c>
      <c r="Z15" s="13">
        <v>10.238795693907894</v>
      </c>
      <c r="AA15" s="13">
        <v>3.7264515136437928</v>
      </c>
      <c r="AB15" s="13">
        <v>2.4286105754758438</v>
      </c>
      <c r="AC15" s="13">
        <v>53.393052397620622</v>
      </c>
      <c r="AD15" s="13">
        <v>79.224660456539453</v>
      </c>
      <c r="AE15" s="13">
        <v>135.49547042695963</v>
      </c>
      <c r="AF15" s="13">
        <v>195.85904418274998</v>
      </c>
      <c r="AG15" s="13">
        <v>252.01004568447811</v>
      </c>
      <c r="AH15" s="13">
        <v>267.30064554488661</v>
      </c>
      <c r="AI15" s="13">
        <v>273.2967716679151</v>
      </c>
      <c r="AJ15" s="13">
        <v>328.30762508963966</v>
      </c>
      <c r="AK15" s="13">
        <v>484.41305606052345</v>
      </c>
      <c r="AL15" s="13">
        <v>655.95873394575324</v>
      </c>
      <c r="AM15" s="13">
        <v>1027.043267494533</v>
      </c>
      <c r="AN15" s="13">
        <v>1221.0708894023253</v>
      </c>
      <c r="AO15" s="13">
        <v>1408.6402958999408</v>
      </c>
      <c r="AP15" s="13">
        <v>-0.46535891437301447</v>
      </c>
      <c r="AQ15" s="13">
        <v>1.4144047345620316</v>
      </c>
      <c r="AR15" s="13">
        <v>4.4672475175479267</v>
      </c>
      <c r="AS15" s="13">
        <v>7.3362538361424612</v>
      </c>
      <c r="AT15" s="13">
        <v>10.832141579479789</v>
      </c>
      <c r="AU15" s="13">
        <v>9.8662247329085151</v>
      </c>
      <c r="AV15" s="13">
        <v>8.7598641505813895</v>
      </c>
      <c r="AW15" s="13">
        <v>12.471995338597559</v>
      </c>
      <c r="AX15" s="13">
        <v>15.549020194413947</v>
      </c>
      <c r="AY15" s="13">
        <v>17.58973302787685</v>
      </c>
      <c r="AZ15" s="13">
        <v>19.219772257606291</v>
      </c>
      <c r="BA15" s="13">
        <v>19.254590226959035</v>
      </c>
      <c r="BB15" s="13">
        <v>19.84383408545067</v>
      </c>
      <c r="BC15" s="17"/>
    </row>
    <row r="16" spans="1:55" x14ac:dyDescent="0.25">
      <c r="A16" s="6">
        <v>2012</v>
      </c>
      <c r="B16" s="47">
        <v>41086</v>
      </c>
      <c r="C16" s="11" t="s">
        <v>43</v>
      </c>
      <c r="D16" s="6" t="s">
        <v>53</v>
      </c>
      <c r="E16" s="11" t="s">
        <v>46</v>
      </c>
      <c r="F16" s="11" t="s">
        <v>37</v>
      </c>
      <c r="G16" s="2" t="s">
        <v>446</v>
      </c>
      <c r="H16" s="11" t="s">
        <v>34</v>
      </c>
      <c r="I16" s="23" t="s">
        <v>38</v>
      </c>
      <c r="J16" s="33" t="s">
        <v>91</v>
      </c>
      <c r="K16" s="8" t="s">
        <v>30</v>
      </c>
      <c r="L16" s="40">
        <v>540</v>
      </c>
      <c r="M16" s="40" t="s">
        <v>65</v>
      </c>
      <c r="N16" s="16">
        <v>20.613817801842323</v>
      </c>
      <c r="O16" s="16">
        <v>91.762430044320908</v>
      </c>
      <c r="P16" s="3">
        <v>9.8409999999999993</v>
      </c>
      <c r="Q16" s="25">
        <v>48.470683873590083</v>
      </c>
      <c r="R16" s="20">
        <v>1.0765659445110645</v>
      </c>
      <c r="S16" s="13">
        <v>36.494199220747262</v>
      </c>
      <c r="T16" s="13">
        <v>77.231211580461377</v>
      </c>
      <c r="U16" s="13">
        <v>5.5884639976374686</v>
      </c>
      <c r="V16" s="13">
        <v>2.2392742744479519</v>
      </c>
      <c r="W16" s="13">
        <v>5.0347791782698597</v>
      </c>
      <c r="X16" s="13">
        <v>54.106548150299808</v>
      </c>
      <c r="Y16" s="13">
        <v>100.61264306831939</v>
      </c>
      <c r="Z16" s="13">
        <v>7.4911379078148537</v>
      </c>
      <c r="AA16" s="13">
        <v>2.9598393375352412</v>
      </c>
      <c r="AB16" s="13">
        <v>6.7847812718421761</v>
      </c>
      <c r="AC16" s="13">
        <v>57.00201755391388</v>
      </c>
      <c r="AD16" s="13">
        <v>74.736446490237512</v>
      </c>
      <c r="AE16" s="13">
        <v>116.26692853605935</v>
      </c>
      <c r="AF16" s="13">
        <v>159.28517220532706</v>
      </c>
      <c r="AG16" s="13">
        <v>215.0527068378677</v>
      </c>
      <c r="AH16" s="13">
        <v>218.75828041825758</v>
      </c>
      <c r="AI16" s="13">
        <v>234.63012410030228</v>
      </c>
      <c r="AJ16" s="13">
        <v>277.58124647491638</v>
      </c>
      <c r="AK16" s="13">
        <v>421.55778433873621</v>
      </c>
      <c r="AL16" s="13">
        <v>588.84092666383435</v>
      </c>
      <c r="AM16" s="13">
        <v>772.63236175754059</v>
      </c>
      <c r="AN16" s="13">
        <v>963.60916491890066</v>
      </c>
      <c r="AO16" s="13">
        <v>1353.0781469481558</v>
      </c>
      <c r="AP16" s="13">
        <v>-0.44069103860453207</v>
      </c>
      <c r="AQ16" s="13">
        <v>0.88359539015455901</v>
      </c>
      <c r="AR16" s="13">
        <v>3.1217670045219652</v>
      </c>
      <c r="AS16" s="13">
        <v>5.1451074248711555</v>
      </c>
      <c r="AT16" s="13">
        <v>6.6737306756350634</v>
      </c>
      <c r="AU16" s="13">
        <v>8.2545496341443432</v>
      </c>
      <c r="AV16" s="13">
        <v>7.6637957602786964</v>
      </c>
      <c r="AW16" s="13">
        <v>10.472022000064328</v>
      </c>
      <c r="AX16" s="13">
        <v>13.081643598918493</v>
      </c>
      <c r="AY16" s="13">
        <v>14.399069502020335</v>
      </c>
      <c r="AZ16" s="13">
        <v>14.803777565676167</v>
      </c>
      <c r="BA16" s="13">
        <v>14.851028705527364</v>
      </c>
      <c r="BB16" s="13">
        <v>14.627664131187181</v>
      </c>
      <c r="BC16" s="13"/>
    </row>
    <row r="17" spans="1:55" x14ac:dyDescent="0.25">
      <c r="A17" s="6">
        <v>2012</v>
      </c>
      <c r="B17" s="47">
        <v>41086</v>
      </c>
      <c r="C17" s="11" t="s">
        <v>43</v>
      </c>
      <c r="D17" s="6" t="s">
        <v>53</v>
      </c>
      <c r="E17" s="11" t="s">
        <v>46</v>
      </c>
      <c r="F17" s="11" t="s">
        <v>37</v>
      </c>
      <c r="G17" s="2" t="s">
        <v>446</v>
      </c>
      <c r="H17" s="11" t="s">
        <v>34</v>
      </c>
      <c r="I17" s="23" t="s">
        <v>38</v>
      </c>
      <c r="J17" s="33" t="s">
        <v>60</v>
      </c>
      <c r="K17" s="8" t="s">
        <v>30</v>
      </c>
      <c r="L17" s="40">
        <v>540</v>
      </c>
      <c r="M17" s="40" t="s">
        <v>65</v>
      </c>
      <c r="N17" s="16">
        <v>20.360898971557617</v>
      </c>
      <c r="O17" s="16">
        <v>91.800367502065811</v>
      </c>
      <c r="P17" s="3">
        <v>15.673999999999999</v>
      </c>
      <c r="Q17" s="25">
        <v>66.032920760495088</v>
      </c>
      <c r="R17" s="39">
        <v>1.9965919484692569</v>
      </c>
      <c r="S17" s="13">
        <v>49.192670722034244</v>
      </c>
      <c r="T17" s="13">
        <v>82.105174656700441</v>
      </c>
      <c r="U17" s="13">
        <v>5.8271973279522937</v>
      </c>
      <c r="V17" s="13">
        <v>1.6540148139707596</v>
      </c>
      <c r="W17" s="13">
        <v>2.9956648349558495</v>
      </c>
      <c r="X17" s="13">
        <v>74.633989322233646</v>
      </c>
      <c r="Y17" s="13">
        <v>108.63177297616163</v>
      </c>
      <c r="Z17" s="13">
        <v>7.9525169890422838</v>
      </c>
      <c r="AA17" s="13">
        <v>2.2223292558170025</v>
      </c>
      <c r="AB17" s="13">
        <v>4.1081591644820765</v>
      </c>
      <c r="AC17" s="13">
        <v>47.987073000721587</v>
      </c>
      <c r="AD17" s="13">
        <v>72.719491731095459</v>
      </c>
      <c r="AE17" s="13">
        <v>119.17212433910302</v>
      </c>
      <c r="AF17" s="13">
        <v>173.15877495680562</v>
      </c>
      <c r="AG17" s="13">
        <v>236.13525244991826</v>
      </c>
      <c r="AH17" s="13">
        <v>242.1773895212566</v>
      </c>
      <c r="AI17" s="13">
        <v>256.65978963386613</v>
      </c>
      <c r="AJ17" s="13">
        <v>310.23693052751389</v>
      </c>
      <c r="AK17" s="13">
        <v>474.05684531911771</v>
      </c>
      <c r="AL17" s="13">
        <v>657.4050142626503</v>
      </c>
      <c r="AM17" s="13">
        <v>1045.9597481094738</v>
      </c>
      <c r="AN17" s="13">
        <v>1243.2127082318809</v>
      </c>
      <c r="AO17" s="13">
        <v>1435.5435081547498</v>
      </c>
      <c r="AP17" s="13">
        <v>4.0167464680995829E-2</v>
      </c>
      <c r="AQ17" s="13">
        <v>1.6965616491493047</v>
      </c>
      <c r="AR17" s="13">
        <v>5.1931208889903608</v>
      </c>
      <c r="AS17" s="13">
        <v>8.0055885548757946</v>
      </c>
      <c r="AT17" s="13">
        <v>10.473087269920311</v>
      </c>
      <c r="AU17" s="13">
        <v>10.531760624185317</v>
      </c>
      <c r="AV17" s="13">
        <v>9.4756253768773107</v>
      </c>
      <c r="AW17" s="13">
        <v>12.64805655649219</v>
      </c>
      <c r="AX17" s="13">
        <v>15.007383071582877</v>
      </c>
      <c r="AY17" s="13">
        <v>15.885491443778422</v>
      </c>
      <c r="AZ17" s="13">
        <v>15.861389577175526</v>
      </c>
      <c r="BA17" s="13">
        <v>15.752083694562197</v>
      </c>
      <c r="BB17" s="13">
        <v>15.869225779300637</v>
      </c>
      <c r="BC17" s="13"/>
    </row>
    <row r="18" spans="1:55" x14ac:dyDescent="0.25">
      <c r="A18" s="6">
        <v>2012</v>
      </c>
      <c r="B18" s="47">
        <v>41086</v>
      </c>
      <c r="C18" s="11" t="s">
        <v>43</v>
      </c>
      <c r="D18" s="6" t="s">
        <v>53</v>
      </c>
      <c r="E18" s="11" t="s">
        <v>46</v>
      </c>
      <c r="F18" s="11" t="s">
        <v>37</v>
      </c>
      <c r="G18" s="2" t="s">
        <v>446</v>
      </c>
      <c r="H18" s="11" t="s">
        <v>34</v>
      </c>
      <c r="I18" s="23" t="s">
        <v>41</v>
      </c>
      <c r="J18" s="33" t="s">
        <v>97</v>
      </c>
      <c r="K18" s="8" t="s">
        <v>31</v>
      </c>
      <c r="L18" s="40">
        <v>540</v>
      </c>
      <c r="M18" s="40" t="s">
        <v>65</v>
      </c>
      <c r="N18" s="16">
        <v>20.95314304645245</v>
      </c>
      <c r="O18" s="16">
        <v>91.750322195199814</v>
      </c>
      <c r="P18" s="3">
        <v>11.311</v>
      </c>
      <c r="Q18" s="25">
        <v>54.106621872513472</v>
      </c>
      <c r="R18" s="21">
        <v>1.0110966101273033</v>
      </c>
      <c r="S18" s="4">
        <v>57.423779092621793</v>
      </c>
      <c r="T18" s="13">
        <v>90.111318387658656</v>
      </c>
      <c r="U18" s="4">
        <v>6.7533238989500504</v>
      </c>
      <c r="V18" s="4">
        <v>2.9615377135509515</v>
      </c>
      <c r="W18" s="4">
        <v>0.86883765018082137</v>
      </c>
      <c r="X18" s="13">
        <v>82.549541053386491</v>
      </c>
      <c r="Y18" s="13">
        <v>114.98270831073344</v>
      </c>
      <c r="Z18" s="13">
        <v>8.8385927046876294</v>
      </c>
      <c r="AA18" s="13">
        <v>3.8296646541347821</v>
      </c>
      <c r="AB18" s="13">
        <v>1.1437217352223052</v>
      </c>
      <c r="AC18" s="13">
        <v>52.629414249625569</v>
      </c>
      <c r="AD18" s="13">
        <v>77.644996605566632</v>
      </c>
      <c r="AE18" s="13">
        <v>127.0779545460806</v>
      </c>
      <c r="AF18" s="13">
        <v>179.6387778232386</v>
      </c>
      <c r="AG18" s="13">
        <v>233.37032423276247</v>
      </c>
      <c r="AH18" s="13">
        <v>239.76213168297721</v>
      </c>
      <c r="AI18" s="13">
        <v>251.69975344070315</v>
      </c>
      <c r="AJ18" s="13">
        <v>296.01819687178471</v>
      </c>
      <c r="AK18" s="13">
        <v>435.37464338188261</v>
      </c>
      <c r="AL18" s="13">
        <v>595.98474562589229</v>
      </c>
      <c r="AM18" s="13">
        <v>765.33466809803758</v>
      </c>
      <c r="AN18" s="13">
        <v>946.13800731773915</v>
      </c>
      <c r="AO18" s="13">
        <v>1314.9648979147876</v>
      </c>
      <c r="AP18" s="13">
        <v>-0.26325435607169806</v>
      </c>
      <c r="AQ18" s="13">
        <v>0.77385051280563288</v>
      </c>
      <c r="AR18" s="13">
        <v>2.836946646959372</v>
      </c>
      <c r="AS18" s="13">
        <v>4.6781680941162369</v>
      </c>
      <c r="AT18" s="13">
        <v>7.071228618532782</v>
      </c>
      <c r="AU18" s="13">
        <v>6.1774692236783126</v>
      </c>
      <c r="AV18" s="13">
        <v>6.378345817118964</v>
      </c>
      <c r="AW18" s="13">
        <v>8.8218233985762495</v>
      </c>
      <c r="AX18" s="13">
        <v>11.49619786623246</v>
      </c>
      <c r="AY18" s="13">
        <v>13.130106223141915</v>
      </c>
      <c r="AZ18" s="13">
        <v>14.293584843921254</v>
      </c>
      <c r="BA18" s="13">
        <v>14.902067644711863</v>
      </c>
      <c r="BB18" s="13">
        <v>15.68484221464046</v>
      </c>
      <c r="BC18" s="13"/>
    </row>
    <row r="19" spans="1:55" s="14" customFormat="1" x14ac:dyDescent="0.25">
      <c r="A19" s="6">
        <v>2012</v>
      </c>
      <c r="B19" s="47">
        <v>41086</v>
      </c>
      <c r="C19" s="11" t="s">
        <v>43</v>
      </c>
      <c r="D19" s="6" t="s">
        <v>53</v>
      </c>
      <c r="E19" s="11" t="s">
        <v>46</v>
      </c>
      <c r="F19" s="11" t="s">
        <v>37</v>
      </c>
      <c r="G19" s="2" t="s">
        <v>446</v>
      </c>
      <c r="H19" s="11" t="s">
        <v>34</v>
      </c>
      <c r="I19" s="23" t="s">
        <v>41</v>
      </c>
      <c r="J19" s="33" t="s">
        <v>96</v>
      </c>
      <c r="K19" s="22" t="s">
        <v>31</v>
      </c>
      <c r="L19" s="40">
        <v>540</v>
      </c>
      <c r="M19" s="40" t="s">
        <v>65</v>
      </c>
      <c r="N19" s="16">
        <v>20.258941943828876</v>
      </c>
      <c r="O19" s="16">
        <v>91.790769136868988</v>
      </c>
      <c r="P19" s="3">
        <v>27.722000000000001</v>
      </c>
      <c r="Q19" s="42">
        <v>39.607531924103597</v>
      </c>
      <c r="R19" s="21">
        <v>0.7085635025144158</v>
      </c>
      <c r="S19" s="13">
        <v>95.557814206480714</v>
      </c>
      <c r="T19" s="13">
        <v>176.38548650284042</v>
      </c>
      <c r="U19" s="13">
        <v>13.518413425410463</v>
      </c>
      <c r="V19" s="13">
        <v>3.7774084874342053</v>
      </c>
      <c r="W19" s="13">
        <v>2.115027920178417</v>
      </c>
      <c r="X19" s="13">
        <v>146.33314138829417</v>
      </c>
      <c r="Y19" s="13">
        <v>234.83569712355151</v>
      </c>
      <c r="Z19" s="13">
        <v>18.583234518804112</v>
      </c>
      <c r="AA19" s="13">
        <v>5.1089526683270998</v>
      </c>
      <c r="AB19" s="13">
        <v>2.9210371059012736</v>
      </c>
      <c r="AC19" s="13">
        <v>49.676401283207483</v>
      </c>
      <c r="AD19" s="13">
        <v>74.820058261518497</v>
      </c>
      <c r="AE19" s="13">
        <v>124.71825526358855</v>
      </c>
      <c r="AF19" s="13">
        <v>177.83518524210473</v>
      </c>
      <c r="AG19" s="13">
        <v>233.2621535344048</v>
      </c>
      <c r="AH19" s="13">
        <v>240.9218243942039</v>
      </c>
      <c r="AI19" s="13">
        <v>244.84640820874782</v>
      </c>
      <c r="AJ19" s="13">
        <v>293.8798286512399</v>
      </c>
      <c r="AK19" s="13">
        <v>433.3299565239459</v>
      </c>
      <c r="AL19" s="13">
        <v>592.98276517249906</v>
      </c>
      <c r="AM19" s="13">
        <v>961.40111698167073</v>
      </c>
      <c r="AN19" s="13">
        <v>1144.7558970255675</v>
      </c>
      <c r="AO19" s="13">
        <v>1333.3756540807074</v>
      </c>
      <c r="AP19" s="13">
        <v>-3.3187460507777766E-2</v>
      </c>
      <c r="AQ19" s="13">
        <v>0.88762565737411059</v>
      </c>
      <c r="AR19" s="13">
        <v>2.6921806792151934</v>
      </c>
      <c r="AS19" s="13">
        <v>4.317601591491437</v>
      </c>
      <c r="AT19" s="13">
        <v>6.3055401498486949</v>
      </c>
      <c r="AU19" s="13">
        <v>6.1221599769172901</v>
      </c>
      <c r="AV19" s="13">
        <v>5.6120996355115444</v>
      </c>
      <c r="AW19" s="13">
        <v>7.8861935481030949</v>
      </c>
      <c r="AX19" s="13">
        <v>10.203138026088604</v>
      </c>
      <c r="AY19" s="13">
        <v>11.750401477990845</v>
      </c>
      <c r="AZ19" s="13">
        <v>12.618338708092848</v>
      </c>
      <c r="BA19" s="13">
        <v>13.127752240364956</v>
      </c>
      <c r="BB19" s="13">
        <v>13.266670242124826</v>
      </c>
      <c r="BC19" s="17"/>
    </row>
    <row r="20" spans="1:55" x14ac:dyDescent="0.25">
      <c r="A20" s="6">
        <v>2012</v>
      </c>
      <c r="B20" s="47">
        <v>41088</v>
      </c>
      <c r="C20" s="11" t="s">
        <v>43</v>
      </c>
      <c r="D20" s="12" t="s">
        <v>33</v>
      </c>
      <c r="E20" s="11" t="s">
        <v>47</v>
      </c>
      <c r="F20" s="11" t="s">
        <v>37</v>
      </c>
      <c r="G20" s="2" t="s">
        <v>446</v>
      </c>
      <c r="H20" s="11" t="s">
        <v>34</v>
      </c>
      <c r="I20" s="44" t="s">
        <v>38</v>
      </c>
      <c r="J20" s="15" t="s">
        <v>50</v>
      </c>
      <c r="K20" s="8" t="s">
        <v>29</v>
      </c>
      <c r="L20" s="40">
        <v>460</v>
      </c>
      <c r="M20" s="40">
        <v>465</v>
      </c>
      <c r="N20" s="16">
        <v>20.2980286524846</v>
      </c>
      <c r="O20" s="16">
        <v>92.296812204214248</v>
      </c>
      <c r="P20" s="6">
        <v>15.355</v>
      </c>
      <c r="Q20" s="25">
        <v>90.524259198957992</v>
      </c>
      <c r="R20" s="16">
        <v>2.6387409447350993</v>
      </c>
      <c r="S20" s="13">
        <v>121.76318147958395</v>
      </c>
      <c r="T20" s="13">
        <v>106.00570649424112</v>
      </c>
      <c r="U20" s="13">
        <v>8.3295541924498799</v>
      </c>
      <c r="V20" s="13">
        <v>6.7616881719376734</v>
      </c>
      <c r="W20" s="13">
        <v>0.84064926679653018</v>
      </c>
      <c r="X20" s="13">
        <v>185.7989525877019</v>
      </c>
      <c r="Y20" s="13">
        <v>140.79572921316588</v>
      </c>
      <c r="Z20" s="13">
        <v>11.41849242241085</v>
      </c>
      <c r="AA20" s="13">
        <v>9.12206134758598</v>
      </c>
      <c r="AB20" s="13">
        <v>1.1578699957833225</v>
      </c>
      <c r="AC20" s="13">
        <v>51.832733843482394</v>
      </c>
      <c r="AD20" s="13">
        <v>81.458387112706504</v>
      </c>
      <c r="AE20" s="13">
        <v>146.70853409645346</v>
      </c>
      <c r="AF20" s="13">
        <v>222.66681342330324</v>
      </c>
      <c r="AG20" s="13">
        <v>272.25982688804839</v>
      </c>
      <c r="AH20" s="13">
        <v>287.18086670307395</v>
      </c>
      <c r="AI20" s="13">
        <v>307.43832385737909</v>
      </c>
      <c r="AJ20" s="13">
        <v>364.91662351134022</v>
      </c>
      <c r="AK20" s="13">
        <v>534.84840380567664</v>
      </c>
      <c r="AL20" s="13">
        <v>712.36708474170086</v>
      </c>
      <c r="AM20" s="13">
        <v>1084.8100217841118</v>
      </c>
      <c r="AN20" s="13">
        <v>1273.5176690526714</v>
      </c>
      <c r="AO20" s="13">
        <v>1460.4284504129982</v>
      </c>
      <c r="AP20" s="13">
        <v>-0.36925513677255201</v>
      </c>
      <c r="AQ20" s="13">
        <v>1.3704901716267399</v>
      </c>
      <c r="AR20" s="13">
        <v>4.4265992150616391</v>
      </c>
      <c r="AS20" s="13">
        <v>6.5359741844333268</v>
      </c>
      <c r="AT20" s="13">
        <v>10.736526468160378</v>
      </c>
      <c r="AU20" s="13">
        <v>9.4947243230505833</v>
      </c>
      <c r="AV20" s="13">
        <v>7.8505454861648989</v>
      </c>
      <c r="AW20" s="13">
        <v>11.373213098871107</v>
      </c>
      <c r="AX20" s="13">
        <v>13.753147998948807</v>
      </c>
      <c r="AY20" s="13">
        <v>15.29798906853013</v>
      </c>
      <c r="AZ20" s="13">
        <v>16.932719374092592</v>
      </c>
      <c r="BA20" s="13">
        <v>17.549834846850281</v>
      </c>
      <c r="BB20" s="13">
        <v>18.227081670625967</v>
      </c>
      <c r="BC20" s="13"/>
    </row>
    <row r="21" spans="1:55" x14ac:dyDescent="0.25">
      <c r="A21" s="6">
        <v>2012</v>
      </c>
      <c r="B21" s="47">
        <v>41088</v>
      </c>
      <c r="C21" s="11" t="s">
        <v>43</v>
      </c>
      <c r="D21" s="12" t="s">
        <v>33</v>
      </c>
      <c r="E21" s="11" t="s">
        <v>47</v>
      </c>
      <c r="F21" s="11" t="s">
        <v>37</v>
      </c>
      <c r="G21" s="2" t="s">
        <v>446</v>
      </c>
      <c r="H21" s="11" t="s">
        <v>34</v>
      </c>
      <c r="I21" s="44" t="s">
        <v>38</v>
      </c>
      <c r="J21" s="15" t="s">
        <v>4</v>
      </c>
      <c r="K21" s="8" t="s">
        <v>29</v>
      </c>
      <c r="L21" s="40">
        <v>460</v>
      </c>
      <c r="M21" s="40">
        <v>465</v>
      </c>
      <c r="N21" s="16">
        <v>20.565747187687801</v>
      </c>
      <c r="O21" s="16">
        <v>92.441617525540863</v>
      </c>
      <c r="P21" s="6">
        <v>21.247</v>
      </c>
      <c r="Q21" s="25">
        <v>81.423259754318238</v>
      </c>
      <c r="R21" s="16">
        <v>2.2763054468790398</v>
      </c>
      <c r="S21" s="13">
        <v>69.628911791448388</v>
      </c>
      <c r="T21" s="13">
        <v>98.930527160742344</v>
      </c>
      <c r="U21" s="13">
        <v>7.5847694098310159</v>
      </c>
      <c r="V21" s="13">
        <v>1.1933828601952896</v>
      </c>
      <c r="W21" s="13">
        <v>2.2774354691805705</v>
      </c>
      <c r="X21" s="13">
        <v>103.68522045555537</v>
      </c>
      <c r="Y21" s="13">
        <v>129.26103454411952</v>
      </c>
      <c r="Z21" s="13">
        <v>10.201764654104293</v>
      </c>
      <c r="AA21" s="13">
        <v>1.5823068283399506</v>
      </c>
      <c r="AB21" s="13">
        <v>3.0792482180091016</v>
      </c>
      <c r="AC21" s="13">
        <v>45.23005419475848</v>
      </c>
      <c r="AD21" s="13">
        <v>68.845131227910912</v>
      </c>
      <c r="AE21" s="13">
        <v>119.30934834318454</v>
      </c>
      <c r="AF21" s="13">
        <v>176.11719091405632</v>
      </c>
      <c r="AG21" s="13">
        <v>241.1930031691914</v>
      </c>
      <c r="AH21" s="13">
        <v>242.70651226919631</v>
      </c>
      <c r="AI21" s="13">
        <v>247.90300500098687</v>
      </c>
      <c r="AJ21" s="13">
        <v>311.9803169346701</v>
      </c>
      <c r="AK21" s="13">
        <v>471.95276321496721</v>
      </c>
      <c r="AL21" s="13">
        <v>648.5109020747517</v>
      </c>
      <c r="AM21" s="13">
        <v>1025.936326904377</v>
      </c>
      <c r="AN21" s="13">
        <v>1218.4971524507996</v>
      </c>
      <c r="AO21" s="13">
        <v>1411.760837206928</v>
      </c>
      <c r="AP21" s="13">
        <v>0.37011103234497916</v>
      </c>
      <c r="AQ21" s="13">
        <v>2.5434858191662566</v>
      </c>
      <c r="AR21" s="13">
        <v>6.436859922774711</v>
      </c>
      <c r="AS21" s="13">
        <v>9.7708382292620204</v>
      </c>
      <c r="AT21" s="13">
        <v>12.546829589182813</v>
      </c>
      <c r="AU21" s="13">
        <v>12.595801396587891</v>
      </c>
      <c r="AV21" s="13">
        <v>12.3647970214687</v>
      </c>
      <c r="AW21" s="13">
        <v>15.034088420729976</v>
      </c>
      <c r="AX21" s="13">
        <v>18.118590010065009</v>
      </c>
      <c r="AY21" s="13">
        <v>19.765856535403056</v>
      </c>
      <c r="AZ21" s="13">
        <v>21.130456066029399</v>
      </c>
      <c r="BA21" s="13">
        <v>21.459883858072288</v>
      </c>
      <c r="BB21" s="13">
        <v>21.662360939261532</v>
      </c>
      <c r="BC21" s="13"/>
    </row>
    <row r="22" spans="1:55" ht="16.5" customHeight="1" x14ac:dyDescent="0.25">
      <c r="A22" s="6">
        <v>2012</v>
      </c>
      <c r="B22" s="47">
        <v>41088</v>
      </c>
      <c r="C22" s="11" t="s">
        <v>43</v>
      </c>
      <c r="D22" s="12" t="s">
        <v>33</v>
      </c>
      <c r="E22" s="11" t="s">
        <v>47</v>
      </c>
      <c r="F22" s="11" t="s">
        <v>37</v>
      </c>
      <c r="G22" s="2" t="s">
        <v>446</v>
      </c>
      <c r="H22" s="11" t="s">
        <v>34</v>
      </c>
      <c r="I22" s="44" t="s">
        <v>38</v>
      </c>
      <c r="J22" s="15" t="s">
        <v>60</v>
      </c>
      <c r="K22" s="8" t="s">
        <v>30</v>
      </c>
      <c r="L22" s="40">
        <v>460</v>
      </c>
      <c r="M22" s="40">
        <v>465</v>
      </c>
      <c r="N22" s="16">
        <v>19.26073353107159</v>
      </c>
      <c r="O22" s="16">
        <v>92.447359525240387</v>
      </c>
      <c r="P22" s="6">
        <v>17.437999999999999</v>
      </c>
      <c r="Q22" s="25">
        <v>58.206216309209779</v>
      </c>
      <c r="R22" s="27">
        <v>1.2510604189782104</v>
      </c>
      <c r="S22" s="13">
        <v>56.159987516202357</v>
      </c>
      <c r="T22" s="13">
        <v>81.557903791902532</v>
      </c>
      <c r="U22" s="13">
        <v>6.4350148737380026</v>
      </c>
      <c r="V22" s="13">
        <v>2.5694187037522731</v>
      </c>
      <c r="W22" s="13">
        <v>0.77117134443899527</v>
      </c>
      <c r="X22" s="4">
        <v>94.234114689887221</v>
      </c>
      <c r="Y22" s="5">
        <v>115.46431572144617</v>
      </c>
      <c r="Z22" s="13">
        <v>9.5036700193156118</v>
      </c>
      <c r="AA22" s="13">
        <v>3.7082293236828834</v>
      </c>
      <c r="AB22" s="13">
        <v>1.1415972390505018</v>
      </c>
      <c r="AC22" s="13">
        <v>50.494910726816457</v>
      </c>
      <c r="AD22" s="13">
        <v>76.044900179833249</v>
      </c>
      <c r="AE22" s="13">
        <v>132.33463549961473</v>
      </c>
      <c r="AF22" s="13">
        <v>196.54354653147769</v>
      </c>
      <c r="AG22" s="13">
        <v>243.78499831065071</v>
      </c>
      <c r="AH22" s="13">
        <v>250.89566103466333</v>
      </c>
      <c r="AI22" s="13">
        <v>272.35707715953754</v>
      </c>
      <c r="AJ22" s="13">
        <v>317.09634235377223</v>
      </c>
      <c r="AK22" s="13">
        <v>470.79670633116183</v>
      </c>
      <c r="AL22" s="13">
        <v>639.63282359335301</v>
      </c>
      <c r="AM22" s="13">
        <v>1004.2008359024786</v>
      </c>
      <c r="AN22" s="13">
        <v>1187.8067308147495</v>
      </c>
      <c r="AO22" s="13">
        <v>1372.5957287945494</v>
      </c>
      <c r="AP22" s="13">
        <v>-2.9530295994137871E-2</v>
      </c>
      <c r="AQ22" s="13">
        <v>1.2316745945201184</v>
      </c>
      <c r="AR22" s="13">
        <v>3.621631642583524</v>
      </c>
      <c r="AS22" s="13">
        <v>5.5337965959138771</v>
      </c>
      <c r="AT22" s="13">
        <v>8.5651156485698277</v>
      </c>
      <c r="AU22" s="13">
        <v>8.1368029438400722</v>
      </c>
      <c r="AV22" s="13">
        <v>6.8618440622597303</v>
      </c>
      <c r="AW22" s="13">
        <v>9.9876880942609034</v>
      </c>
      <c r="AX22" s="13">
        <v>12.444347893807604</v>
      </c>
      <c r="AY22" s="13">
        <v>13.98911491230616</v>
      </c>
      <c r="AZ22" s="13">
        <v>15.468998566029139</v>
      </c>
      <c r="BA22" s="13">
        <v>16.23156554942695</v>
      </c>
      <c r="BB22" s="13">
        <v>16.735644181206062</v>
      </c>
      <c r="BC22" s="13"/>
    </row>
    <row r="23" spans="1:55" x14ac:dyDescent="0.25">
      <c r="A23" s="6">
        <v>2012</v>
      </c>
      <c r="B23" s="47">
        <v>41088</v>
      </c>
      <c r="C23" s="11" t="s">
        <v>43</v>
      </c>
      <c r="D23" s="12" t="s">
        <v>33</v>
      </c>
      <c r="E23" s="11" t="s">
        <v>47</v>
      </c>
      <c r="F23" s="11" t="s">
        <v>37</v>
      </c>
      <c r="G23" s="2" t="s">
        <v>446</v>
      </c>
      <c r="H23" s="11" t="s">
        <v>34</v>
      </c>
      <c r="I23" s="44" t="s">
        <v>38</v>
      </c>
      <c r="J23" s="15" t="s">
        <v>5</v>
      </c>
      <c r="K23" s="8" t="s">
        <v>30</v>
      </c>
      <c r="L23" s="40">
        <v>460</v>
      </c>
      <c r="M23" s="40">
        <v>465</v>
      </c>
      <c r="N23" s="16">
        <v>20.3451718550462</v>
      </c>
      <c r="O23" s="16">
        <v>92.302188579852768</v>
      </c>
      <c r="P23" s="6">
        <v>13.837</v>
      </c>
      <c r="Q23" s="25">
        <v>65.765700657657007</v>
      </c>
      <c r="R23" s="16">
        <v>1.4524332364627586</v>
      </c>
      <c r="S23" s="13">
        <v>51.369237634876789</v>
      </c>
      <c r="T23" s="13">
        <v>85.869267565638708</v>
      </c>
      <c r="U23" s="13">
        <v>6.7962072808956835</v>
      </c>
      <c r="V23" s="13">
        <v>1.7594005073681247</v>
      </c>
      <c r="W23" s="13">
        <v>1.5486523304822601</v>
      </c>
      <c r="X23" s="13">
        <v>78.048113059324507</v>
      </c>
      <c r="Y23" s="13">
        <v>113.72154679837273</v>
      </c>
      <c r="Z23" s="13">
        <v>9.2853250100721656</v>
      </c>
      <c r="AA23" s="13">
        <v>2.3663344647215334</v>
      </c>
      <c r="AB23" s="13">
        <v>2.1260864050216028</v>
      </c>
      <c r="AC23" s="13">
        <v>48.400926902544867</v>
      </c>
      <c r="AD23" s="13">
        <v>78.699326128878312</v>
      </c>
      <c r="AE23" s="13">
        <v>141.79713232843909</v>
      </c>
      <c r="AF23" s="13">
        <v>213.88555412257173</v>
      </c>
      <c r="AG23" s="13">
        <v>278.05321038206677</v>
      </c>
      <c r="AH23" s="13">
        <v>280.96378675801265</v>
      </c>
      <c r="AI23" s="13">
        <v>296.76804002042974</v>
      </c>
      <c r="AJ23" s="13">
        <v>359.78261229227388</v>
      </c>
      <c r="AK23" s="13">
        <v>531.44060777196785</v>
      </c>
      <c r="AL23" s="13">
        <v>713.09664965352226</v>
      </c>
      <c r="AM23" s="13">
        <v>1093.0008063044168</v>
      </c>
      <c r="AN23" s="13">
        <v>1283.0801222860553</v>
      </c>
      <c r="AO23" s="13">
        <v>1473.3278433534663</v>
      </c>
      <c r="AP23" s="13">
        <v>-1.65369130891534E-2</v>
      </c>
      <c r="AQ23" s="13">
        <v>1.9361302973693568</v>
      </c>
      <c r="AR23" s="13">
        <v>5.3502038055462737</v>
      </c>
      <c r="AS23" s="13">
        <v>7.957030817233588</v>
      </c>
      <c r="AT23" s="13">
        <v>11.129460095363575</v>
      </c>
      <c r="AU23" s="13">
        <v>10.941362311090936</v>
      </c>
      <c r="AV23" s="13">
        <v>9.6098217672212787</v>
      </c>
      <c r="AW23" s="13">
        <v>12.887951441280558</v>
      </c>
      <c r="AX23" s="13">
        <v>15.258844466515857</v>
      </c>
      <c r="AY23" s="13">
        <v>16.514085419017629</v>
      </c>
      <c r="AZ23" s="13">
        <v>17.56324013558417</v>
      </c>
      <c r="BA23" s="13">
        <v>18.242030277663222</v>
      </c>
      <c r="BB23" s="13">
        <v>18.629222520371648</v>
      </c>
      <c r="BC23" s="13"/>
    </row>
    <row r="24" spans="1:55" x14ac:dyDescent="0.25">
      <c r="A24" s="6">
        <v>2012</v>
      </c>
      <c r="B24" s="47">
        <v>41088</v>
      </c>
      <c r="C24" s="11" t="s">
        <v>43</v>
      </c>
      <c r="D24" s="12" t="s">
        <v>33</v>
      </c>
      <c r="E24" s="11" t="s">
        <v>47</v>
      </c>
      <c r="F24" s="11" t="s">
        <v>37</v>
      </c>
      <c r="G24" s="2" t="s">
        <v>446</v>
      </c>
      <c r="H24" s="11" t="s">
        <v>34</v>
      </c>
      <c r="I24" s="44" t="s">
        <v>39</v>
      </c>
      <c r="J24" s="15" t="s">
        <v>106</v>
      </c>
      <c r="K24" s="8" t="s">
        <v>31</v>
      </c>
      <c r="L24" s="40">
        <v>460</v>
      </c>
      <c r="M24" s="40">
        <v>465</v>
      </c>
      <c r="N24" s="16">
        <v>20.341625066903923</v>
      </c>
      <c r="O24" s="16">
        <v>92.311441861666168</v>
      </c>
      <c r="P24" s="6">
        <v>3.4020000000000001</v>
      </c>
      <c r="Q24" s="25">
        <v>94.356261022927669</v>
      </c>
      <c r="R24" s="19">
        <v>2.3031593962194217</v>
      </c>
      <c r="S24" s="13">
        <v>71.826370792663113</v>
      </c>
      <c r="T24" s="13">
        <v>130.87621935258414</v>
      </c>
      <c r="U24" s="13">
        <v>9.9530981799189711</v>
      </c>
      <c r="V24" s="13">
        <v>9.1008881445931618</v>
      </c>
      <c r="W24" s="13">
        <v>0.90017712713894971</v>
      </c>
      <c r="X24" s="13">
        <v>109.16507723622385</v>
      </c>
      <c r="Y24" s="13">
        <v>173.36449685388607</v>
      </c>
      <c r="Z24" s="13">
        <v>13.601860522998592</v>
      </c>
      <c r="AA24" s="13">
        <v>12.243200773365697</v>
      </c>
      <c r="AB24" s="13">
        <v>1.2361228043781682</v>
      </c>
      <c r="AC24" s="13">
        <v>72.136545469547173</v>
      </c>
      <c r="AD24" s="13">
        <v>96.36529350697819</v>
      </c>
      <c r="AE24" s="13">
        <v>145.58716802779966</v>
      </c>
      <c r="AF24" s="13">
        <v>198.40800590505222</v>
      </c>
      <c r="AG24" s="13">
        <v>206.55142292446897</v>
      </c>
      <c r="AH24" s="13">
        <v>257.12269051721665</v>
      </c>
      <c r="AI24" s="13"/>
      <c r="AJ24" s="13">
        <v>287.19523536119806</v>
      </c>
      <c r="AK24" s="13">
        <v>415.62987469033692</v>
      </c>
      <c r="AL24" s="13">
        <v>574.5922540788348</v>
      </c>
      <c r="AM24" s="13">
        <v>906.04796830117039</v>
      </c>
      <c r="AN24" s="13">
        <v>1091.3889736088199</v>
      </c>
      <c r="AO24" s="13">
        <v>1246.7215584302999</v>
      </c>
      <c r="AP24" s="13">
        <v>-1.2426027545598779</v>
      </c>
      <c r="AQ24" s="13">
        <v>-5.5264174766181005E-3</v>
      </c>
      <c r="AR24" s="13">
        <v>2.3728655390434326</v>
      </c>
      <c r="AS24" s="13">
        <v>4.515701525222612</v>
      </c>
      <c r="AT24" s="13">
        <v>9.571795471671825</v>
      </c>
      <c r="AU24" s="13">
        <v>6.2511706053800156</v>
      </c>
      <c r="AV24" s="13"/>
      <c r="AW24" s="13">
        <v>10.634945996039148</v>
      </c>
      <c r="AX24" s="13">
        <v>14.545338935580308</v>
      </c>
      <c r="AY24" s="13">
        <v>16.420706139949072</v>
      </c>
      <c r="AZ24" s="13">
        <v>19.674536388668475</v>
      </c>
      <c r="BA24" s="13">
        <v>19.927511051843588</v>
      </c>
      <c r="BB24" s="13">
        <v>20.758410709693692</v>
      </c>
      <c r="BC24" s="13" t="s">
        <v>32</v>
      </c>
    </row>
    <row r="25" spans="1:55" s="14" customFormat="1" x14ac:dyDescent="0.25">
      <c r="A25" s="6">
        <v>2012</v>
      </c>
      <c r="B25" s="47">
        <v>41088</v>
      </c>
      <c r="C25" s="11" t="s">
        <v>43</v>
      </c>
      <c r="D25" s="12" t="s">
        <v>33</v>
      </c>
      <c r="E25" s="11" t="s">
        <v>47</v>
      </c>
      <c r="F25" s="11" t="s">
        <v>37</v>
      </c>
      <c r="G25" s="2" t="s">
        <v>446</v>
      </c>
      <c r="H25" s="11" t="s">
        <v>34</v>
      </c>
      <c r="I25" s="23" t="s">
        <v>57</v>
      </c>
      <c r="J25" s="15" t="s">
        <v>98</v>
      </c>
      <c r="K25" s="22" t="s">
        <v>31</v>
      </c>
      <c r="L25" s="40">
        <v>460</v>
      </c>
      <c r="M25" s="40">
        <v>465</v>
      </c>
      <c r="N25" s="26">
        <v>20.165306238027718</v>
      </c>
      <c r="O25" s="26">
        <v>92.457325862004211</v>
      </c>
      <c r="P25" s="6">
        <v>14.643000000000001</v>
      </c>
      <c r="Q25" s="25">
        <v>121.96954176056818</v>
      </c>
      <c r="R25" s="16">
        <v>1.2440842020750216</v>
      </c>
      <c r="S25" s="4">
        <v>48.838016853315864</v>
      </c>
      <c r="T25" s="13">
        <v>63.182136563195719</v>
      </c>
      <c r="U25" s="4">
        <v>4.8510044171587818</v>
      </c>
      <c r="V25" s="4">
        <v>2.5757686058839804</v>
      </c>
      <c r="W25" s="13">
        <v>0.44060418414832747</v>
      </c>
      <c r="X25" s="13">
        <v>75.430583969162413</v>
      </c>
      <c r="Y25" s="13">
        <v>84.603939202092832</v>
      </c>
      <c r="Z25" s="13">
        <v>6.7131450846729388</v>
      </c>
      <c r="AA25" s="13">
        <v>3.5049457407065274</v>
      </c>
      <c r="AB25" s="13">
        <v>0.61247463857242634</v>
      </c>
      <c r="AC25" s="13">
        <v>52.045039785324583</v>
      </c>
      <c r="AD25" s="13">
        <v>79.47950790805929</v>
      </c>
      <c r="AE25" s="13">
        <v>133.77297532027501</v>
      </c>
      <c r="AF25" s="13">
        <v>196.4572002615694</v>
      </c>
      <c r="AG25" s="13">
        <v>259.02904333922959</v>
      </c>
      <c r="AH25" s="13">
        <v>266.66552093270099</v>
      </c>
      <c r="AI25" s="13">
        <v>274.02835609137361</v>
      </c>
      <c r="AJ25" s="13">
        <v>329.53100795079581</v>
      </c>
      <c r="AK25" s="13">
        <v>489.44211507437655</v>
      </c>
      <c r="AL25" s="13">
        <v>659.6287563140113</v>
      </c>
      <c r="AM25" s="13">
        <v>1021.0447743517743</v>
      </c>
      <c r="AN25" s="13">
        <v>1203.2870197341967</v>
      </c>
      <c r="AO25" s="13">
        <v>1384.238889561979</v>
      </c>
      <c r="AP25" s="13">
        <v>-0.13636503537903988</v>
      </c>
      <c r="AQ25" s="13">
        <v>0.69113689271600953</v>
      </c>
      <c r="AR25" s="13">
        <v>2.2017637368360012</v>
      </c>
      <c r="AS25" s="13">
        <v>3.3504762852305987</v>
      </c>
      <c r="AT25" s="13">
        <v>5.5249798690429088</v>
      </c>
      <c r="AU25" s="13">
        <v>4.2104777765288164</v>
      </c>
      <c r="AV25" s="13">
        <v>5.0060095774033373</v>
      </c>
      <c r="AW25" s="13">
        <v>6.9807965986711373</v>
      </c>
      <c r="AX25" s="13">
        <v>8.7691861040525314</v>
      </c>
      <c r="AY25" s="13">
        <v>10.021323507331179</v>
      </c>
      <c r="AZ25" s="13">
        <v>11.378013029634673</v>
      </c>
      <c r="BA25" s="13">
        <v>11.841978498947933</v>
      </c>
      <c r="BB25" s="13">
        <v>12.112480684116116</v>
      </c>
      <c r="BC25" s="17"/>
    </row>
    <row r="26" spans="1:55" x14ac:dyDescent="0.25">
      <c r="A26" s="6">
        <v>2012</v>
      </c>
      <c r="B26" s="10">
        <v>41088</v>
      </c>
      <c r="C26" s="11" t="s">
        <v>43</v>
      </c>
      <c r="D26" s="2" t="s">
        <v>33</v>
      </c>
      <c r="E26" s="2" t="s">
        <v>48</v>
      </c>
      <c r="F26" s="2" t="s">
        <v>37</v>
      </c>
      <c r="G26" s="2" t="s">
        <v>446</v>
      </c>
      <c r="H26" s="2" t="s">
        <v>35</v>
      </c>
      <c r="I26" s="23" t="s">
        <v>49</v>
      </c>
      <c r="J26" s="15" t="s">
        <v>6</v>
      </c>
      <c r="K26" s="7" t="s">
        <v>29</v>
      </c>
      <c r="L26" s="40">
        <v>460</v>
      </c>
      <c r="M26" s="40">
        <v>465</v>
      </c>
      <c r="N26" s="16">
        <v>20.6238583784837</v>
      </c>
      <c r="O26" s="16">
        <v>92.324718768780045</v>
      </c>
      <c r="P26" s="6">
        <v>34.109000000000002</v>
      </c>
      <c r="Q26" s="25">
        <v>80.917060013486179</v>
      </c>
      <c r="R26" s="16">
        <v>1.7932292103662824</v>
      </c>
      <c r="S26" s="4">
        <v>35.936958894685446</v>
      </c>
      <c r="T26" s="4">
        <v>68.150198128525972</v>
      </c>
      <c r="U26" s="5">
        <v>5.132019833633418</v>
      </c>
      <c r="V26" s="13">
        <v>1.1441649116320036</v>
      </c>
      <c r="W26" s="13">
        <v>0.65610302064278569</v>
      </c>
      <c r="X26" s="13">
        <v>53.231692218470045</v>
      </c>
      <c r="Y26" s="13">
        <v>88.727865230108122</v>
      </c>
      <c r="Z26" s="13">
        <v>6.87440653591519</v>
      </c>
      <c r="AA26" s="13">
        <v>1.5113586608792779</v>
      </c>
      <c r="AB26" s="13">
        <v>0.88353972309683748</v>
      </c>
      <c r="AC26" s="13">
        <v>48.336062808422923</v>
      </c>
      <c r="AD26" s="13">
        <v>72.664773595834703</v>
      </c>
      <c r="AE26" s="13">
        <v>121.01778247835185</v>
      </c>
      <c r="AF26" s="13">
        <v>173.7291576912466</v>
      </c>
      <c r="AG26" s="13">
        <v>224.35515092292351</v>
      </c>
      <c r="AH26" s="13">
        <v>225.3260070416672</v>
      </c>
      <c r="AI26" s="13">
        <v>234.7306717170876</v>
      </c>
      <c r="AJ26" s="13">
        <v>282.70474823113028</v>
      </c>
      <c r="AK26" s="13">
        <v>411.56209812609029</v>
      </c>
      <c r="AL26" s="13">
        <v>549.04669923263157</v>
      </c>
      <c r="AM26" s="13">
        <v>853.66938664750205</v>
      </c>
      <c r="AN26" s="13">
        <v>997.23657121887493</v>
      </c>
      <c r="AO26" s="13">
        <v>1142.9056237458758</v>
      </c>
      <c r="AP26" s="13">
        <v>-2.6947717236508986E-2</v>
      </c>
      <c r="AQ26" s="13">
        <v>0.8625812196468583</v>
      </c>
      <c r="AR26" s="13">
        <v>2.4661955689290149</v>
      </c>
      <c r="AS26" s="13">
        <v>3.9009948340785696</v>
      </c>
      <c r="AT26" s="13">
        <v>6.3592830260229984</v>
      </c>
      <c r="AU26" s="13">
        <v>4.3264971914727326</v>
      </c>
      <c r="AV26" s="13">
        <v>5.054764081033003</v>
      </c>
      <c r="AW26" s="13">
        <v>8.0492572340017698</v>
      </c>
      <c r="AX26" s="13">
        <v>10.457664474825521</v>
      </c>
      <c r="AY26" s="13">
        <v>11.834722637889843</v>
      </c>
      <c r="AZ26" s="13">
        <v>13.5751154681338</v>
      </c>
      <c r="BA26" s="13">
        <v>13.944988494219938</v>
      </c>
      <c r="BB26" s="13">
        <v>14.252003422338413</v>
      </c>
      <c r="BC26" s="13"/>
    </row>
    <row r="27" spans="1:55" x14ac:dyDescent="0.25">
      <c r="A27" s="6">
        <v>2012</v>
      </c>
      <c r="B27" s="10">
        <v>41088</v>
      </c>
      <c r="C27" s="11" t="s">
        <v>43</v>
      </c>
      <c r="D27" s="2" t="s">
        <v>33</v>
      </c>
      <c r="E27" s="2" t="s">
        <v>48</v>
      </c>
      <c r="F27" s="2" t="s">
        <v>37</v>
      </c>
      <c r="G27" s="2" t="s">
        <v>446</v>
      </c>
      <c r="H27" s="2" t="s">
        <v>35</v>
      </c>
      <c r="I27" s="23" t="s">
        <v>49</v>
      </c>
      <c r="J27" s="15" t="s">
        <v>7</v>
      </c>
      <c r="K27" s="7" t="s">
        <v>29</v>
      </c>
      <c r="L27" s="40">
        <v>460</v>
      </c>
      <c r="M27" s="40">
        <v>465</v>
      </c>
      <c r="N27" s="16">
        <v>20.178146068866436</v>
      </c>
      <c r="O27" s="16">
        <v>92.469313988318817</v>
      </c>
      <c r="P27" s="6">
        <v>40.091999999999999</v>
      </c>
      <c r="Q27" s="25">
        <v>90.54175396587847</v>
      </c>
      <c r="R27" s="16">
        <v>3.6828657006276599</v>
      </c>
      <c r="S27" s="13">
        <v>78.858747096635099</v>
      </c>
      <c r="T27" s="13">
        <v>138.9240779121115</v>
      </c>
      <c r="U27" s="13">
        <v>10.959680456793835</v>
      </c>
      <c r="V27" s="13">
        <v>0</v>
      </c>
      <c r="W27" s="13">
        <v>6.4084082617367857</v>
      </c>
      <c r="X27" s="13">
        <v>121.6550218122901</v>
      </c>
      <c r="Y27" s="13">
        <v>185.87953447021692</v>
      </c>
      <c r="Z27" s="13">
        <v>15.152854943414013</v>
      </c>
      <c r="AA27" s="13">
        <v>0</v>
      </c>
      <c r="AB27" s="13">
        <v>8.9002676210265257</v>
      </c>
      <c r="AC27" s="13">
        <v>39.321788170214631</v>
      </c>
      <c r="AD27" s="13">
        <v>60.858783294556275</v>
      </c>
      <c r="AE27" s="13">
        <v>106.27366697527711</v>
      </c>
      <c r="AF27" s="13">
        <v>155.89586037788513</v>
      </c>
      <c r="AG27" s="13">
        <v>208.88569807823339</v>
      </c>
      <c r="AH27" s="13">
        <v>210.10626055122879</v>
      </c>
      <c r="AI27" s="13">
        <v>217.10039650766635</v>
      </c>
      <c r="AJ27" s="13">
        <v>278.27949881601256</v>
      </c>
      <c r="AK27" s="13">
        <v>422.05140715334699</v>
      </c>
      <c r="AL27" s="13">
        <v>573.23873005010353</v>
      </c>
      <c r="AM27" s="13">
        <v>911.23497467403683</v>
      </c>
      <c r="AN27" s="13">
        <v>1067.6250567086418</v>
      </c>
      <c r="AO27" s="13">
        <v>1226.3684200769451</v>
      </c>
      <c r="AP27" s="13">
        <v>0.54799055105253691</v>
      </c>
      <c r="AQ27" s="13">
        <v>1.8324821405590035</v>
      </c>
      <c r="AR27" s="13">
        <v>4.3983333810312644</v>
      </c>
      <c r="AS27" s="13">
        <v>6.6910470037680883</v>
      </c>
      <c r="AT27" s="13">
        <v>8.5919434189701516</v>
      </c>
      <c r="AU27" s="13">
        <v>6.4175524122488845</v>
      </c>
      <c r="AV27" s="13">
        <v>8.9695361240159368</v>
      </c>
      <c r="AW27" s="13">
        <v>10.817369732051333</v>
      </c>
      <c r="AX27" s="13">
        <v>13.248882523525378</v>
      </c>
      <c r="AY27" s="13">
        <v>14.539536659207624</v>
      </c>
      <c r="AZ27" s="13">
        <v>15.769689075603535</v>
      </c>
      <c r="BA27" s="13">
        <v>16.143017092767614</v>
      </c>
      <c r="BB27" s="13">
        <v>16.347024528798915</v>
      </c>
      <c r="BC27" s="13" t="s">
        <v>56</v>
      </c>
    </row>
    <row r="28" spans="1:55" x14ac:dyDescent="0.25">
      <c r="A28" s="6">
        <v>2012</v>
      </c>
      <c r="B28" s="10">
        <v>41088</v>
      </c>
      <c r="C28" s="11" t="s">
        <v>43</v>
      </c>
      <c r="D28" s="2" t="s">
        <v>33</v>
      </c>
      <c r="E28" s="2" t="s">
        <v>48</v>
      </c>
      <c r="F28" s="2" t="s">
        <v>37</v>
      </c>
      <c r="G28" s="2" t="s">
        <v>446</v>
      </c>
      <c r="H28" s="2" t="s">
        <v>35</v>
      </c>
      <c r="I28" s="23" t="s">
        <v>38</v>
      </c>
      <c r="J28" s="15" t="s">
        <v>8</v>
      </c>
      <c r="K28" s="7" t="s">
        <v>30</v>
      </c>
      <c r="L28" s="40">
        <v>460</v>
      </c>
      <c r="M28" s="40">
        <v>465</v>
      </c>
      <c r="N28" s="16">
        <v>20.274616388174202</v>
      </c>
      <c r="O28" s="16">
        <v>92.3321773822491</v>
      </c>
      <c r="P28" s="6">
        <v>17.358000000000001</v>
      </c>
      <c r="Q28" s="25">
        <v>57.610323770019583</v>
      </c>
      <c r="R28" s="16">
        <v>0.54447889817574868</v>
      </c>
      <c r="S28" s="13">
        <v>131.79117777373116</v>
      </c>
      <c r="T28" s="13">
        <v>84.783584841402103</v>
      </c>
      <c r="U28" s="13">
        <v>6.5272778831932934</v>
      </c>
      <c r="V28" s="13">
        <v>4.7480030153535999</v>
      </c>
      <c r="W28" s="13">
        <v>0.91508461925310713</v>
      </c>
      <c r="X28" s="13">
        <v>201.53084072600456</v>
      </c>
      <c r="Y28" s="13">
        <v>112.77050833429888</v>
      </c>
      <c r="Z28" s="13">
        <v>8.9627838292679645</v>
      </c>
      <c r="AA28" s="13">
        <v>6.415163482401546</v>
      </c>
      <c r="AB28" s="13">
        <v>1.2624395372358963</v>
      </c>
      <c r="AC28" s="13">
        <v>48.421377002263775</v>
      </c>
      <c r="AD28" s="13">
        <v>71.299901702899362</v>
      </c>
      <c r="AE28" s="13">
        <v>116.38070254038159</v>
      </c>
      <c r="AF28" s="13">
        <v>167.85252748533256</v>
      </c>
      <c r="AG28" s="13">
        <v>242.31725601733106</v>
      </c>
      <c r="AH28" s="13">
        <v>243.14021452962953</v>
      </c>
      <c r="AI28" s="13">
        <v>297.02152058266461</v>
      </c>
      <c r="AJ28" s="13">
        <v>345.80722925144426</v>
      </c>
      <c r="AK28" s="13">
        <v>493.27274137394676</v>
      </c>
      <c r="AL28" s="13">
        <v>672.99142089387931</v>
      </c>
      <c r="AM28" s="13">
        <v>1055.0159336617505</v>
      </c>
      <c r="AN28" s="13">
        <v>1242.0001617068995</v>
      </c>
      <c r="AO28" s="13">
        <v>1429.9551007358154</v>
      </c>
      <c r="AP28" s="13">
        <v>-3.0222187811485501E-2</v>
      </c>
      <c r="AQ28" s="13">
        <v>1.5143148866060867</v>
      </c>
      <c r="AR28" s="13">
        <v>4.3366431708829909</v>
      </c>
      <c r="AS28" s="13">
        <v>6.7796752913456304</v>
      </c>
      <c r="AT28" s="13">
        <v>7.8792821095536345</v>
      </c>
      <c r="AU28" s="13">
        <v>9.5098816144846197</v>
      </c>
      <c r="AV28" s="13">
        <v>5.8377520566970462</v>
      </c>
      <c r="AW28" s="13">
        <v>9.0460387518685579</v>
      </c>
      <c r="AX28" s="13">
        <v>12.311909150649667</v>
      </c>
      <c r="AY28" s="13">
        <v>13.395910798501321</v>
      </c>
      <c r="AZ28" s="13">
        <v>13.934589212817936</v>
      </c>
      <c r="BA28" s="13">
        <v>14.472259792798896</v>
      </c>
      <c r="BB28" s="13">
        <v>14.833815186281191</v>
      </c>
      <c r="BC28" s="13" t="s">
        <v>42</v>
      </c>
    </row>
    <row r="29" spans="1:55" x14ac:dyDescent="0.25">
      <c r="A29" s="6">
        <v>2012</v>
      </c>
      <c r="B29" s="10">
        <v>41088</v>
      </c>
      <c r="C29" s="11" t="s">
        <v>43</v>
      </c>
      <c r="D29" s="2" t="s">
        <v>33</v>
      </c>
      <c r="E29" s="2" t="s">
        <v>48</v>
      </c>
      <c r="F29" s="2" t="s">
        <v>37</v>
      </c>
      <c r="G29" s="2" t="s">
        <v>446</v>
      </c>
      <c r="H29" s="2" t="s">
        <v>35</v>
      </c>
      <c r="I29" s="23" t="s">
        <v>38</v>
      </c>
      <c r="J29" s="15" t="s">
        <v>9</v>
      </c>
      <c r="K29" s="7" t="s">
        <v>30</v>
      </c>
      <c r="L29" s="40">
        <v>460</v>
      </c>
      <c r="M29" s="40">
        <v>465</v>
      </c>
      <c r="N29" s="16">
        <v>20.444190098689152</v>
      </c>
      <c r="O29" s="16">
        <v>92.476165184607879</v>
      </c>
      <c r="P29" s="6">
        <v>22.472999999999999</v>
      </c>
      <c r="Q29" s="25">
        <v>46.277755528856851</v>
      </c>
      <c r="R29" s="16">
        <v>0.97420146160979904</v>
      </c>
      <c r="S29" s="13">
        <v>45.173310585565524</v>
      </c>
      <c r="T29" s="13">
        <v>77.579811712676758</v>
      </c>
      <c r="U29" s="13">
        <v>6.0623970853141227</v>
      </c>
      <c r="V29" s="13">
        <v>1.1345048846140839</v>
      </c>
      <c r="W29" s="13">
        <v>4.5238767356497194</v>
      </c>
      <c r="X29" s="13">
        <v>68.017347730891345</v>
      </c>
      <c r="Y29" s="13">
        <v>102.1218254290891</v>
      </c>
      <c r="Z29" s="13">
        <v>8.2246957568061987</v>
      </c>
      <c r="AA29" s="13">
        <v>1.5161185775519594</v>
      </c>
      <c r="AB29" s="13">
        <v>6.1682356960243201</v>
      </c>
      <c r="AC29" s="13">
        <v>46.572268531173364</v>
      </c>
      <c r="AD29" s="13">
        <v>67.516515273634766</v>
      </c>
      <c r="AE29" s="13">
        <v>112.05708938006704</v>
      </c>
      <c r="AF29" s="13">
        <v>161.98763923668804</v>
      </c>
      <c r="AG29" s="13">
        <v>226.1116823069535</v>
      </c>
      <c r="AH29" s="13">
        <v>230.40939197621779</v>
      </c>
      <c r="AI29" s="13">
        <v>263.00007333602076</v>
      </c>
      <c r="AJ29" s="13">
        <v>321.80867247018858</v>
      </c>
      <c r="AK29" s="13">
        <v>462.92756117059724</v>
      </c>
      <c r="AL29" s="13">
        <v>636.59693951264353</v>
      </c>
      <c r="AM29" s="13">
        <v>1019.2726812276763</v>
      </c>
      <c r="AN29" s="13">
        <v>1209.4102554390322</v>
      </c>
      <c r="AO29" s="13">
        <v>1400.5671406645256</v>
      </c>
      <c r="AP29" s="13">
        <v>0.21275250449185651</v>
      </c>
      <c r="AQ29" s="13">
        <v>1.7985192676213309</v>
      </c>
      <c r="AR29" s="13">
        <v>4.8177467717260392</v>
      </c>
      <c r="AS29" s="13">
        <v>7.4385704808697319</v>
      </c>
      <c r="AT29" s="13">
        <v>10.903750553861167</v>
      </c>
      <c r="AU29" s="13">
        <v>9.0026776862911184</v>
      </c>
      <c r="AV29" s="13">
        <v>7.9907923404404961</v>
      </c>
      <c r="AW29" s="13">
        <v>10.599471613238883</v>
      </c>
      <c r="AX29" s="13">
        <v>14.339501212110036</v>
      </c>
      <c r="AY29" s="13">
        <v>15.717025339150171</v>
      </c>
      <c r="AZ29" s="13">
        <v>16.309781682522441</v>
      </c>
      <c r="BA29" s="13">
        <v>16.768048087827303</v>
      </c>
      <c r="BB29" s="13">
        <v>17.052675471528932</v>
      </c>
      <c r="BC29" s="13"/>
    </row>
    <row r="30" spans="1:55" x14ac:dyDescent="0.25">
      <c r="A30" s="6">
        <v>2012</v>
      </c>
      <c r="B30" s="10">
        <v>41088</v>
      </c>
      <c r="C30" s="11" t="s">
        <v>43</v>
      </c>
      <c r="D30" s="2" t="s">
        <v>33</v>
      </c>
      <c r="E30" s="2" t="s">
        <v>48</v>
      </c>
      <c r="F30" s="2" t="s">
        <v>37</v>
      </c>
      <c r="G30" s="2" t="s">
        <v>446</v>
      </c>
      <c r="H30" s="2" t="s">
        <v>35</v>
      </c>
      <c r="I30" s="23" t="s">
        <v>67</v>
      </c>
      <c r="J30" s="15" t="s">
        <v>108</v>
      </c>
      <c r="K30" s="7" t="s">
        <v>31</v>
      </c>
      <c r="L30" s="40">
        <v>460</v>
      </c>
      <c r="M30" s="40">
        <v>465</v>
      </c>
      <c r="N30" s="26">
        <v>19.956160471989559</v>
      </c>
      <c r="O30" s="26">
        <v>92.377791771521942</v>
      </c>
      <c r="P30" s="6">
        <v>7.5750000000000002</v>
      </c>
      <c r="Q30" s="25">
        <v>121.98019801980197</v>
      </c>
      <c r="R30" s="16">
        <v>1.5089537824893999</v>
      </c>
      <c r="S30" s="13">
        <v>60.608597666875227</v>
      </c>
      <c r="T30" s="13">
        <v>99.118859697144245</v>
      </c>
      <c r="U30" s="13">
        <v>7.7939901540841792</v>
      </c>
      <c r="V30" s="13">
        <v>2.9738726387856627</v>
      </c>
      <c r="W30" s="13">
        <v>1.5162545006310504</v>
      </c>
      <c r="X30" s="13">
        <v>95.416957264947385</v>
      </c>
      <c r="Y30" s="13">
        <v>134.44083839339632</v>
      </c>
      <c r="Z30" s="13">
        <v>10.948299021355965</v>
      </c>
      <c r="AA30" s="13">
        <v>4.1019643017825187</v>
      </c>
      <c r="AB30" s="13">
        <v>2.1385217543842288</v>
      </c>
      <c r="AC30" s="13">
        <v>51.912589378238515</v>
      </c>
      <c r="AD30" s="13">
        <v>76.689468661246067</v>
      </c>
      <c r="AE30" s="13">
        <v>127.8596002874506</v>
      </c>
      <c r="AF30" s="13">
        <v>181.33578172624885</v>
      </c>
      <c r="AG30" s="13">
        <v>239.94197191019256</v>
      </c>
      <c r="AH30" s="13">
        <v>243.22256057825498</v>
      </c>
      <c r="AI30" s="13">
        <v>258.91740157952506</v>
      </c>
      <c r="AJ30" s="13">
        <v>306.21431761781417</v>
      </c>
      <c r="AK30" s="13">
        <v>471.57406910042579</v>
      </c>
      <c r="AL30" s="13">
        <v>642.21213163486334</v>
      </c>
      <c r="AM30" s="13">
        <v>1016.933551169168</v>
      </c>
      <c r="AN30" s="13">
        <v>1204.6446310690135</v>
      </c>
      <c r="AO30" s="13">
        <v>1393.1771682398114</v>
      </c>
      <c r="AP30" s="13">
        <v>-0.15045390800189867</v>
      </c>
      <c r="AQ30" s="13">
        <v>1.4974222277846054</v>
      </c>
      <c r="AR30" s="13">
        <v>4.7995334050894245</v>
      </c>
      <c r="AS30" s="13">
        <v>7.7893360241079366</v>
      </c>
      <c r="AT30" s="13">
        <v>10.998249572826255</v>
      </c>
      <c r="AU30" s="13">
        <v>10.253570567060667</v>
      </c>
      <c r="AV30" s="13">
        <v>9.9737564913543526</v>
      </c>
      <c r="AW30" s="13">
        <v>13.460766821070683</v>
      </c>
      <c r="AX30" s="13">
        <v>15.880303516950589</v>
      </c>
      <c r="AY30" s="13">
        <v>17.663618326577129</v>
      </c>
      <c r="AZ30" s="13">
        <v>19.195947528386423</v>
      </c>
      <c r="BA30" s="13">
        <v>19.922780529783143</v>
      </c>
      <c r="BB30" s="13">
        <v>20.408106418601022</v>
      </c>
      <c r="BC30" s="17"/>
    </row>
    <row r="31" spans="1:55" s="14" customFormat="1" x14ac:dyDescent="0.25">
      <c r="A31" s="6">
        <v>2012</v>
      </c>
      <c r="B31" s="10">
        <v>41088</v>
      </c>
      <c r="C31" s="11" t="s">
        <v>43</v>
      </c>
      <c r="D31" s="2" t="s">
        <v>33</v>
      </c>
      <c r="E31" s="2" t="s">
        <v>48</v>
      </c>
      <c r="F31" s="2" t="s">
        <v>37</v>
      </c>
      <c r="G31" s="2" t="s">
        <v>446</v>
      </c>
      <c r="H31" s="2" t="s">
        <v>35</v>
      </c>
      <c r="I31" s="23" t="s">
        <v>67</v>
      </c>
      <c r="J31" s="15" t="s">
        <v>107</v>
      </c>
      <c r="K31" s="7" t="s">
        <v>31</v>
      </c>
      <c r="L31" s="40">
        <v>460</v>
      </c>
      <c r="M31" s="40">
        <v>465</v>
      </c>
      <c r="N31" s="16">
        <v>20.046220485980694</v>
      </c>
      <c r="O31" s="26">
        <v>92.230443514310394</v>
      </c>
      <c r="P31" s="6">
        <v>9.6300000000000008</v>
      </c>
      <c r="Q31" s="25">
        <v>147.35202492211837</v>
      </c>
      <c r="R31" s="16">
        <v>1.6384395364463338</v>
      </c>
      <c r="S31" s="13">
        <v>45.936926570549204</v>
      </c>
      <c r="T31" s="13">
        <v>88.4176369093598</v>
      </c>
      <c r="U31" s="13">
        <v>7.0330673273525672</v>
      </c>
      <c r="V31" s="13">
        <v>2.6520650867864544</v>
      </c>
      <c r="W31" s="13">
        <v>2.1805010936493097</v>
      </c>
      <c r="X31" s="13">
        <v>71.72605565076617</v>
      </c>
      <c r="Y31" s="13">
        <v>119.26434625021639</v>
      </c>
      <c r="Z31" s="13">
        <v>9.8159629413154512</v>
      </c>
      <c r="AA31" s="13">
        <v>3.6367562563921751</v>
      </c>
      <c r="AB31" s="13">
        <v>3.0562088736414137</v>
      </c>
      <c r="AC31" s="13">
        <v>53.366656275124328</v>
      </c>
      <c r="AD31" s="13">
        <v>77.811250689297879</v>
      </c>
      <c r="AE31" s="13">
        <v>124.35867651800271</v>
      </c>
      <c r="AF31" s="13">
        <v>176.94538267839192</v>
      </c>
      <c r="AG31" s="13">
        <v>234.37894179816448</v>
      </c>
      <c r="AH31" s="13">
        <v>235.91710327305299</v>
      </c>
      <c r="AI31" s="13">
        <v>248.84265379595521</v>
      </c>
      <c r="AJ31" s="13">
        <v>294.29659870352725</v>
      </c>
      <c r="AK31" s="13">
        <v>445.29678729880555</v>
      </c>
      <c r="AL31" s="13">
        <v>618.16310929810084</v>
      </c>
      <c r="AM31" s="13">
        <v>990.80874183135643</v>
      </c>
      <c r="AN31" s="13">
        <v>1175.8798784895596</v>
      </c>
      <c r="AO31" s="13">
        <v>1356.5071244900334</v>
      </c>
      <c r="AP31" s="13">
        <v>-0.32629732627190444</v>
      </c>
      <c r="AQ31" s="13">
        <v>1.1707788922344644</v>
      </c>
      <c r="AR31" s="13">
        <v>4.0927503055889494</v>
      </c>
      <c r="AS31" s="13">
        <v>6.6571586392582169</v>
      </c>
      <c r="AT31" s="13">
        <v>9.3729656261081775</v>
      </c>
      <c r="AU31" s="13">
        <v>8.8716612482465678</v>
      </c>
      <c r="AV31" s="13">
        <v>8.5198884011758462</v>
      </c>
      <c r="AW31" s="13">
        <v>11.784044810846753</v>
      </c>
      <c r="AX31" s="13">
        <v>14.550039270753024</v>
      </c>
      <c r="AY31" s="13">
        <v>16.023922990351071</v>
      </c>
      <c r="AZ31" s="13">
        <v>17.195193883570493</v>
      </c>
      <c r="BA31" s="13">
        <v>17.73581479705728</v>
      </c>
      <c r="BB31" s="13">
        <v>18.447138225443855</v>
      </c>
      <c r="BC31" s="13"/>
    </row>
    <row r="32" spans="1:55" x14ac:dyDescent="0.25">
      <c r="A32" s="6">
        <v>2012</v>
      </c>
      <c r="B32" s="10">
        <v>41089</v>
      </c>
      <c r="C32" s="11" t="s">
        <v>43</v>
      </c>
      <c r="D32" s="2" t="s">
        <v>33</v>
      </c>
      <c r="E32" s="2" t="s">
        <v>14</v>
      </c>
      <c r="F32" s="2" t="s">
        <v>37</v>
      </c>
      <c r="G32" s="2" t="s">
        <v>446</v>
      </c>
      <c r="H32" s="2" t="s">
        <v>35</v>
      </c>
      <c r="I32" s="23" t="s">
        <v>49</v>
      </c>
      <c r="J32" s="15" t="s">
        <v>0</v>
      </c>
      <c r="K32" s="8" t="s">
        <v>29</v>
      </c>
      <c r="L32" s="40">
        <v>550</v>
      </c>
      <c r="M32" s="40">
        <v>465</v>
      </c>
      <c r="N32" s="16">
        <v>20.079109191894531</v>
      </c>
      <c r="O32" s="16">
        <v>92.195104158841644</v>
      </c>
      <c r="P32" s="13">
        <v>15.337</v>
      </c>
      <c r="Q32" s="25">
        <v>80.198213470691783</v>
      </c>
      <c r="R32" s="16">
        <v>1.5686208039276708</v>
      </c>
      <c r="S32" s="4">
        <v>112.41598614809919</v>
      </c>
      <c r="T32" s="4">
        <v>90.627733938687456</v>
      </c>
      <c r="U32" s="4">
        <v>6.7630397734806094</v>
      </c>
      <c r="V32" s="5">
        <v>4.3653836259649283</v>
      </c>
      <c r="W32" s="13">
        <v>0.69153862588966242</v>
      </c>
      <c r="X32" s="13">
        <v>174.99982487240032</v>
      </c>
      <c r="Y32" s="13">
        <v>121.99881319644327</v>
      </c>
      <c r="Z32" s="13">
        <v>9.4169259413889499</v>
      </c>
      <c r="AA32" s="13">
        <v>5.9734527242792623</v>
      </c>
      <c r="AB32" s="13">
        <v>0.96705719792364708</v>
      </c>
      <c r="AC32" s="13">
        <v>48.989044218923084</v>
      </c>
      <c r="AD32" s="13">
        <v>75.024087770864668</v>
      </c>
      <c r="AE32" s="13">
        <v>132.1465311386857</v>
      </c>
      <c r="AF32" s="13">
        <v>197.08489600954633</v>
      </c>
      <c r="AG32" s="13">
        <v>248.90782012193588</v>
      </c>
      <c r="AH32" s="13">
        <v>272.52015875082708</v>
      </c>
      <c r="AI32" s="13"/>
      <c r="AJ32" s="13">
        <v>310.35426271842533</v>
      </c>
      <c r="AK32" s="13">
        <v>442.74961321221866</v>
      </c>
      <c r="AL32" s="13">
        <v>578.02263988977404</v>
      </c>
      <c r="AM32" s="13">
        <v>872.7930211236976</v>
      </c>
      <c r="AN32" s="13">
        <v>1012.6821317218713</v>
      </c>
      <c r="AO32" s="13">
        <v>1139.7276535958865</v>
      </c>
      <c r="AP32" s="13">
        <v>-5.2131407081985055E-2</v>
      </c>
      <c r="AQ32" s="13">
        <v>1.3423831468620624</v>
      </c>
      <c r="AR32" s="13">
        <v>4.1119583779911197</v>
      </c>
      <c r="AS32" s="13">
        <v>6.9162727792653858</v>
      </c>
      <c r="AT32" s="13">
        <v>8.4805656681400183</v>
      </c>
      <c r="AU32" s="13">
        <v>9.6528952710734295</v>
      </c>
      <c r="AV32" s="13"/>
      <c r="AW32" s="13">
        <v>9.8704674018107301</v>
      </c>
      <c r="AX32" s="13">
        <v>11.986072898445203</v>
      </c>
      <c r="AY32" s="13">
        <v>13.144458308569563</v>
      </c>
      <c r="AZ32" s="13">
        <v>15.542767178001348</v>
      </c>
      <c r="BA32" s="13">
        <v>15.523100592398437</v>
      </c>
      <c r="BB32" s="13">
        <v>15.923748288320009</v>
      </c>
      <c r="BC32" s="13"/>
    </row>
    <row r="33" spans="1:55" x14ac:dyDescent="0.25">
      <c r="A33" s="6">
        <v>2012</v>
      </c>
      <c r="B33" s="10">
        <v>41089</v>
      </c>
      <c r="C33" s="11" t="s">
        <v>43</v>
      </c>
      <c r="D33" s="2" t="s">
        <v>33</v>
      </c>
      <c r="E33" s="2" t="s">
        <v>14</v>
      </c>
      <c r="F33" s="2" t="s">
        <v>37</v>
      </c>
      <c r="G33" s="2" t="s">
        <v>446</v>
      </c>
      <c r="H33" s="2" t="s">
        <v>35</v>
      </c>
      <c r="I33" s="23" t="s">
        <v>49</v>
      </c>
      <c r="J33" s="15" t="s">
        <v>68</v>
      </c>
      <c r="K33" s="8" t="s">
        <v>29</v>
      </c>
      <c r="L33" s="40">
        <v>550</v>
      </c>
      <c r="M33" s="40">
        <v>465</v>
      </c>
      <c r="N33" s="16">
        <v>20.188285827636719</v>
      </c>
      <c r="O33" s="16">
        <v>92.279183607835037</v>
      </c>
      <c r="P33" s="13">
        <v>20.997</v>
      </c>
      <c r="Q33" s="25">
        <v>80.963947230556755</v>
      </c>
      <c r="R33" s="16">
        <v>2.0184842475413736</v>
      </c>
      <c r="S33" s="13">
        <v>51.346662010256381</v>
      </c>
      <c r="T33" s="13">
        <v>65.656098393075141</v>
      </c>
      <c r="U33" s="13">
        <v>5.1682303318549074</v>
      </c>
      <c r="V33" s="13">
        <v>1.6071214214733469</v>
      </c>
      <c r="W33" s="13">
        <v>0.55437392652345518</v>
      </c>
      <c r="X33" s="13">
        <v>79.138940247794849</v>
      </c>
      <c r="Y33" s="13">
        <v>87.792797513808353</v>
      </c>
      <c r="Z33" s="13">
        <v>7.140429923384044</v>
      </c>
      <c r="AA33" s="13">
        <v>2.1836143766495537</v>
      </c>
      <c r="AB33" s="13">
        <v>0.76939686567144683</v>
      </c>
      <c r="AC33" s="13">
        <v>46.630828504386258</v>
      </c>
      <c r="AD33" s="13">
        <v>74.124586239335343</v>
      </c>
      <c r="AE33" s="13">
        <v>127.19921110950135</v>
      </c>
      <c r="AF33" s="13">
        <v>181.75966971119689</v>
      </c>
      <c r="AG33" s="13">
        <v>238.13478728481707</v>
      </c>
      <c r="AH33" s="13">
        <v>240.30925113857319</v>
      </c>
      <c r="AI33" s="13"/>
      <c r="AJ33" s="13">
        <v>296.7658662426216</v>
      </c>
      <c r="AK33" s="13">
        <v>453.88322066711515</v>
      </c>
      <c r="AL33" s="13">
        <v>541.36061814381412</v>
      </c>
      <c r="AM33" s="13">
        <v>867.83694291743848</v>
      </c>
      <c r="AN33" s="13">
        <v>1053.8130653984897</v>
      </c>
      <c r="AO33" s="13">
        <v>1165.7364307772534</v>
      </c>
      <c r="AP33" s="13">
        <v>9.4079300216924705E-2</v>
      </c>
      <c r="AQ33" s="13">
        <v>0.92978317533536969</v>
      </c>
      <c r="AR33" s="13">
        <v>2.6284809161092753</v>
      </c>
      <c r="AS33" s="13">
        <v>4.2953600794759996</v>
      </c>
      <c r="AT33" s="13">
        <v>6.0188814965551485</v>
      </c>
      <c r="AU33" s="13">
        <v>5.978733514008014</v>
      </c>
      <c r="AV33" s="13"/>
      <c r="AW33" s="13">
        <v>7.5712501946914541</v>
      </c>
      <c r="AX33" s="13">
        <v>8.3238446254255862</v>
      </c>
      <c r="AY33" s="13">
        <v>11.985122158117839</v>
      </c>
      <c r="AZ33" s="13">
        <v>13.342701612806536</v>
      </c>
      <c r="BA33" s="13">
        <v>12.689696308177956</v>
      </c>
      <c r="BB33" s="13">
        <v>13.897586291241913</v>
      </c>
      <c r="BC33" s="13"/>
    </row>
    <row r="34" spans="1:55" x14ac:dyDescent="0.25">
      <c r="A34" s="6">
        <v>2012</v>
      </c>
      <c r="B34" s="10">
        <v>41089</v>
      </c>
      <c r="C34" s="11" t="s">
        <v>43</v>
      </c>
      <c r="D34" s="2" t="s">
        <v>33</v>
      </c>
      <c r="E34" s="2" t="s">
        <v>14</v>
      </c>
      <c r="F34" s="2" t="s">
        <v>37</v>
      </c>
      <c r="G34" s="2" t="s">
        <v>446</v>
      </c>
      <c r="H34" s="2" t="s">
        <v>35</v>
      </c>
      <c r="I34" s="23" t="s">
        <v>38</v>
      </c>
      <c r="J34" s="15" t="s">
        <v>69</v>
      </c>
      <c r="K34" s="22" t="s">
        <v>30</v>
      </c>
      <c r="L34" s="40">
        <v>550</v>
      </c>
      <c r="M34" s="40">
        <v>465</v>
      </c>
      <c r="N34" s="16">
        <v>19.912580196674053</v>
      </c>
      <c r="O34" s="16">
        <v>92.345352759728058</v>
      </c>
      <c r="P34" s="13">
        <v>21.556999999999999</v>
      </c>
      <c r="Q34" s="25">
        <v>49.171962703530177</v>
      </c>
      <c r="R34" s="16">
        <v>0.53853197121953955</v>
      </c>
      <c r="S34" s="13">
        <v>41.38547138006485</v>
      </c>
      <c r="T34" s="13">
        <v>76.45966920788949</v>
      </c>
      <c r="U34" s="13">
        <v>5.854269827465667</v>
      </c>
      <c r="V34" s="13">
        <v>7.1004765874843848E-2</v>
      </c>
      <c r="W34" s="13">
        <v>4.0741176339259662</v>
      </c>
      <c r="X34" s="13">
        <v>65.413985551489745</v>
      </c>
      <c r="Y34" s="13">
        <v>103.98501729732031</v>
      </c>
      <c r="Z34" s="13">
        <v>8.2492677771249401</v>
      </c>
      <c r="AA34" s="13">
        <v>9.8216949130150402E-2</v>
      </c>
      <c r="AB34" s="13">
        <v>5.763541987688507</v>
      </c>
      <c r="AC34" s="13">
        <v>40.044316746091376</v>
      </c>
      <c r="AD34" s="13">
        <v>61.911819335683269</v>
      </c>
      <c r="AE34" s="13">
        <v>107.5869121467701</v>
      </c>
      <c r="AF34" s="13">
        <v>159.88961493570878</v>
      </c>
      <c r="AG34" s="13">
        <v>215.33142541328525</v>
      </c>
      <c r="AH34" s="13">
        <v>218.83989260665885</v>
      </c>
      <c r="AI34" s="13">
        <v>227.00999851931371</v>
      </c>
      <c r="AJ34" s="13">
        <v>285.176488484846</v>
      </c>
      <c r="AK34" s="13">
        <v>444.35262757937318</v>
      </c>
      <c r="AL34" s="13">
        <v>620.21924707437222</v>
      </c>
      <c r="AM34" s="13">
        <v>996.15354039476028</v>
      </c>
      <c r="AN34" s="13">
        <v>1190.577008542869</v>
      </c>
      <c r="AO34" s="13">
        <v>1386.7053068687526</v>
      </c>
      <c r="AP34" s="13">
        <v>0.5336406996426416</v>
      </c>
      <c r="AQ34" s="13">
        <v>2.1901919527029503</v>
      </c>
      <c r="AR34" s="13">
        <v>5.3106405790139632</v>
      </c>
      <c r="AS34" s="13">
        <v>8.0665238751057657</v>
      </c>
      <c r="AT34" s="13">
        <v>10.642601173603428</v>
      </c>
      <c r="AU34" s="13">
        <v>10.619677638403745</v>
      </c>
      <c r="AV34" s="13">
        <v>10.451937346907476</v>
      </c>
      <c r="AW34" s="13">
        <v>12.641494041675289</v>
      </c>
      <c r="AX34" s="13">
        <v>15.027778218959314</v>
      </c>
      <c r="AY34" s="13">
        <v>16.247053764713094</v>
      </c>
      <c r="AZ34" s="13">
        <v>17.365258709038752</v>
      </c>
      <c r="BA34" s="13">
        <v>17.511004001364004</v>
      </c>
      <c r="BB34" s="13">
        <v>17.472629582355655</v>
      </c>
      <c r="BC34" s="13" t="s">
        <v>55</v>
      </c>
    </row>
    <row r="35" spans="1:55" x14ac:dyDescent="0.25">
      <c r="A35" s="6">
        <v>2012</v>
      </c>
      <c r="B35" s="10">
        <v>41089</v>
      </c>
      <c r="C35" s="11" t="s">
        <v>43</v>
      </c>
      <c r="D35" s="2" t="s">
        <v>33</v>
      </c>
      <c r="E35" s="2" t="s">
        <v>14</v>
      </c>
      <c r="F35" s="2" t="s">
        <v>37</v>
      </c>
      <c r="G35" s="2" t="s">
        <v>446</v>
      </c>
      <c r="H35" s="2" t="s">
        <v>35</v>
      </c>
      <c r="I35" s="23" t="s">
        <v>49</v>
      </c>
      <c r="J35" s="15" t="s">
        <v>2</v>
      </c>
      <c r="K35" s="22" t="s">
        <v>30</v>
      </c>
      <c r="L35" s="40">
        <v>550</v>
      </c>
      <c r="M35" s="40">
        <v>465</v>
      </c>
      <c r="N35" s="16">
        <v>20.572524290818436</v>
      </c>
      <c r="O35" s="16">
        <v>92.135850759652939</v>
      </c>
      <c r="P35" s="13">
        <v>36.201000000000001</v>
      </c>
      <c r="Q35" s="25">
        <v>56.62826993729454</v>
      </c>
      <c r="R35" s="27">
        <v>0.84949189502633138</v>
      </c>
      <c r="S35" s="13">
        <v>4.141331920220555</v>
      </c>
      <c r="T35" s="13">
        <v>61.960836967854455</v>
      </c>
      <c r="U35" s="13">
        <v>3.571776677954972</v>
      </c>
      <c r="V35" s="13">
        <v>0.17159178878069123</v>
      </c>
      <c r="W35" s="13">
        <v>0.4273732740014215</v>
      </c>
      <c r="X35" s="13">
        <v>6.1630998813380478</v>
      </c>
      <c r="Y35" s="13">
        <v>80.92345869434341</v>
      </c>
      <c r="Z35" s="13">
        <v>4.801852533446838</v>
      </c>
      <c r="AA35" s="13">
        <v>0.22741392124205834</v>
      </c>
      <c r="AB35" s="13">
        <v>0.57756715057691732</v>
      </c>
      <c r="AC35" s="13">
        <v>49.872472271416584</v>
      </c>
      <c r="AD35" s="13">
        <v>78.801489293139028</v>
      </c>
      <c r="AE35" s="13">
        <v>138.42653820320541</v>
      </c>
      <c r="AF35" s="13"/>
      <c r="AG35" s="13"/>
      <c r="AH35" s="13">
        <v>199.8970112009753</v>
      </c>
      <c r="AI35" s="13"/>
      <c r="AJ35" s="13">
        <v>238.15401259642326</v>
      </c>
      <c r="AK35" s="13">
        <v>316.15894265820464</v>
      </c>
      <c r="AL35" s="13">
        <v>410.58624838184841</v>
      </c>
      <c r="AM35" s="13">
        <v>641.55697889698877</v>
      </c>
      <c r="AN35" s="13">
        <v>736.61670080063755</v>
      </c>
      <c r="AO35" s="13">
        <v>874.25181405549324</v>
      </c>
      <c r="AP35" s="13">
        <v>-2.9652413496616067E-2</v>
      </c>
      <c r="AQ35" s="13">
        <v>0.20403309413807863</v>
      </c>
      <c r="AR35" s="13">
        <v>0.51832048080270454</v>
      </c>
      <c r="AS35" s="13"/>
      <c r="AT35" s="13"/>
      <c r="AU35" s="13">
        <v>2.8078580561936124</v>
      </c>
      <c r="AV35" s="13"/>
      <c r="AW35" s="13">
        <v>4.0909859351372431</v>
      </c>
      <c r="AX35" s="13">
        <v>6.5878128644201857</v>
      </c>
      <c r="AY35" s="13">
        <v>9.0856506986950301</v>
      </c>
      <c r="AZ35" s="13">
        <v>11.994202779806372</v>
      </c>
      <c r="BA35" s="13">
        <v>11.992402208511699</v>
      </c>
      <c r="BB35" s="13">
        <v>10.543747364253997</v>
      </c>
      <c r="BC35" s="13" t="s">
        <v>54</v>
      </c>
    </row>
    <row r="36" spans="1:55" x14ac:dyDescent="0.25">
      <c r="A36" s="6">
        <v>2012</v>
      </c>
      <c r="B36" s="10">
        <v>41089</v>
      </c>
      <c r="C36" s="11" t="s">
        <v>43</v>
      </c>
      <c r="D36" s="2" t="s">
        <v>33</v>
      </c>
      <c r="E36" s="2" t="s">
        <v>14</v>
      </c>
      <c r="F36" s="2" t="s">
        <v>37</v>
      </c>
      <c r="G36" s="2" t="s">
        <v>446</v>
      </c>
      <c r="H36" s="2" t="s">
        <v>35</v>
      </c>
      <c r="I36" s="23" t="s">
        <v>38</v>
      </c>
      <c r="J36" s="15" t="s">
        <v>99</v>
      </c>
      <c r="K36" s="22" t="s">
        <v>31</v>
      </c>
      <c r="L36" s="40">
        <v>550</v>
      </c>
      <c r="M36" s="40">
        <v>465</v>
      </c>
      <c r="N36" s="26">
        <v>20.470342782827522</v>
      </c>
      <c r="O36" s="16">
        <v>92.199576744666473</v>
      </c>
      <c r="P36" s="13">
        <v>8.923</v>
      </c>
      <c r="Q36" s="25">
        <v>45.948671971310098</v>
      </c>
      <c r="R36" s="16">
        <v>0.24140336128189754</v>
      </c>
      <c r="S36" s="13">
        <v>51.967455318307628</v>
      </c>
      <c r="T36" s="13">
        <v>93.031948945387214</v>
      </c>
      <c r="U36" s="13">
        <v>7.145928266747485</v>
      </c>
      <c r="V36" s="13">
        <v>1.3107108194423134</v>
      </c>
      <c r="W36" s="13">
        <v>30</v>
      </c>
      <c r="X36" s="13">
        <v>78.060965159709042</v>
      </c>
      <c r="Y36" s="13">
        <v>122.26615871251298</v>
      </c>
      <c r="Z36" s="13">
        <v>9.6767200740902624</v>
      </c>
      <c r="AA36" s="13">
        <v>1.7486324140522942</v>
      </c>
      <c r="AB36" s="13">
        <v>40.830581501219278</v>
      </c>
      <c r="AC36" s="13">
        <v>45.451495123805621</v>
      </c>
      <c r="AD36" s="13">
        <v>62.60245516726544</v>
      </c>
      <c r="AE36" s="13">
        <v>95.151615881433145</v>
      </c>
      <c r="AF36" s="13">
        <v>129.96184539946358</v>
      </c>
      <c r="AG36" s="13">
        <v>170.73797917945518</v>
      </c>
      <c r="AH36" s="13">
        <v>179.46314363972814</v>
      </c>
      <c r="AI36" s="13"/>
      <c r="AJ36" s="13">
        <v>234.83713175343348</v>
      </c>
      <c r="AK36" s="13">
        <v>378.78011967355104</v>
      </c>
      <c r="AL36" s="13">
        <v>551.06596639810004</v>
      </c>
      <c r="AM36" s="13">
        <v>927.79496256219193</v>
      </c>
      <c r="AN36" s="13">
        <v>1123.5533438521315</v>
      </c>
      <c r="AO36" s="13">
        <v>1318.1875739612062</v>
      </c>
      <c r="AP36" s="13">
        <v>0.19819775423482761</v>
      </c>
      <c r="AQ36" s="13">
        <v>1.8242976653030936</v>
      </c>
      <c r="AR36" s="13">
        <v>4.9341671008476826</v>
      </c>
      <c r="AS36" s="13">
        <v>7.719128588305268</v>
      </c>
      <c r="AT36" s="13">
        <v>9.9611009490286087</v>
      </c>
      <c r="AU36" s="13">
        <v>11.308631932387552</v>
      </c>
      <c r="AV36" s="13"/>
      <c r="AW36" s="13">
        <v>13.829737293317356</v>
      </c>
      <c r="AX36" s="13">
        <v>16.895798167610895</v>
      </c>
      <c r="AY36" s="13">
        <v>18.48201654802882</v>
      </c>
      <c r="AZ36" s="13">
        <v>19.606283231273039</v>
      </c>
      <c r="BA36" s="13">
        <v>19.969120406968237</v>
      </c>
      <c r="BB36" s="13">
        <v>20.147384661435041</v>
      </c>
      <c r="BC36" s="13"/>
    </row>
    <row r="37" spans="1:55" s="14" customFormat="1" x14ac:dyDescent="0.25">
      <c r="A37" s="6">
        <v>2012</v>
      </c>
      <c r="B37" s="10">
        <v>41089</v>
      </c>
      <c r="C37" s="11" t="s">
        <v>43</v>
      </c>
      <c r="D37" s="2" t="s">
        <v>33</v>
      </c>
      <c r="E37" s="2" t="s">
        <v>14</v>
      </c>
      <c r="F37" s="2" t="s">
        <v>37</v>
      </c>
      <c r="G37" s="2" t="s">
        <v>446</v>
      </c>
      <c r="H37" s="2" t="s">
        <v>35</v>
      </c>
      <c r="I37" s="23" t="s">
        <v>38</v>
      </c>
      <c r="J37" s="15" t="s">
        <v>92</v>
      </c>
      <c r="K37" s="22" t="s">
        <v>31</v>
      </c>
      <c r="L37" s="40">
        <v>550</v>
      </c>
      <c r="M37" s="40">
        <v>465</v>
      </c>
      <c r="N37" s="16">
        <v>20.611293792724609</v>
      </c>
      <c r="O37" s="16">
        <v>92.109269362229568</v>
      </c>
      <c r="P37" s="13">
        <v>11.605</v>
      </c>
      <c r="Q37" s="25">
        <v>37.052994398965957</v>
      </c>
      <c r="R37" s="19">
        <v>0.58870123353467918</v>
      </c>
      <c r="S37" s="13">
        <v>34.310091252754333</v>
      </c>
      <c r="T37" s="13">
        <v>67.319692282927832</v>
      </c>
      <c r="U37" s="13">
        <v>5.093430110926171</v>
      </c>
      <c r="V37" s="13">
        <v>1.356184164073402</v>
      </c>
      <c r="W37" s="13">
        <v>3.2879578107113132</v>
      </c>
      <c r="X37" s="13">
        <v>50.880067071202951</v>
      </c>
      <c r="Y37" s="13">
        <v>87.713997368514484</v>
      </c>
      <c r="Z37" s="13">
        <v>6.8287817705488978</v>
      </c>
      <c r="AA37" s="13">
        <v>1.7928765691499122</v>
      </c>
      <c r="AB37" s="13">
        <v>4.4315680748847601</v>
      </c>
      <c r="AC37" s="13">
        <v>49.790030713839371</v>
      </c>
      <c r="AD37" s="13">
        <v>71.762149436802261</v>
      </c>
      <c r="AE37" s="13">
        <v>113.51088642601982</v>
      </c>
      <c r="AF37" s="13">
        <v>156.53087721318113</v>
      </c>
      <c r="AG37" s="13">
        <v>209.4899827353465</v>
      </c>
      <c r="AH37" s="13">
        <v>224.86962033316556</v>
      </c>
      <c r="AI37" s="13">
        <v>243.29367495993569</v>
      </c>
      <c r="AJ37" s="13">
        <v>289.0213293458466</v>
      </c>
      <c r="AK37" s="13">
        <v>449.20827280474509</v>
      </c>
      <c r="AL37" s="13">
        <v>626.4858095819518</v>
      </c>
      <c r="AM37" s="13">
        <v>1003.5477008144194</v>
      </c>
      <c r="AN37" s="13">
        <v>1198.335370540126</v>
      </c>
      <c r="AO37" s="13">
        <v>1391.6815816381343</v>
      </c>
      <c r="AP37" s="13">
        <v>-9.220471265284437E-2</v>
      </c>
      <c r="AQ37" s="13">
        <v>1.1201460952069091</v>
      </c>
      <c r="AR37" s="13">
        <v>3.2936148032444512</v>
      </c>
      <c r="AS37" s="13">
        <v>5.1619384611020145</v>
      </c>
      <c r="AT37" s="13">
        <v>6.611800013422604</v>
      </c>
      <c r="AU37" s="13">
        <v>8.044353088935889</v>
      </c>
      <c r="AV37" s="13">
        <v>7.6988579090807567</v>
      </c>
      <c r="AW37" s="13">
        <v>9.9824087013099447</v>
      </c>
      <c r="AX37" s="13">
        <v>12.072428840129117</v>
      </c>
      <c r="AY37" s="13">
        <v>13.048486335320723</v>
      </c>
      <c r="AZ37" s="13">
        <v>13.779379382063343</v>
      </c>
      <c r="BA37" s="13">
        <v>13.909801993516574</v>
      </c>
      <c r="BB37" s="13">
        <v>13.932002755883008</v>
      </c>
      <c r="BC37" s="17"/>
    </row>
    <row r="38" spans="1:55" x14ac:dyDescent="0.25">
      <c r="A38" s="6">
        <v>2012</v>
      </c>
      <c r="B38" s="10">
        <v>41089</v>
      </c>
      <c r="C38" s="11" t="s">
        <v>43</v>
      </c>
      <c r="D38" s="2" t="s">
        <v>33</v>
      </c>
      <c r="E38" s="2" t="s">
        <v>15</v>
      </c>
      <c r="F38" s="2" t="s">
        <v>37</v>
      </c>
      <c r="G38" s="2" t="s">
        <v>446</v>
      </c>
      <c r="H38" s="2" t="s">
        <v>34</v>
      </c>
      <c r="I38" s="18" t="s">
        <v>38</v>
      </c>
      <c r="J38" s="2" t="s">
        <v>10</v>
      </c>
      <c r="K38" s="22" t="s">
        <v>29</v>
      </c>
      <c r="L38" s="40">
        <v>460</v>
      </c>
      <c r="M38" s="40">
        <v>464</v>
      </c>
      <c r="N38" s="16">
        <v>20.416323588444637</v>
      </c>
      <c r="O38" s="16">
        <v>92.048224815955535</v>
      </c>
      <c r="P38" s="13">
        <v>16</v>
      </c>
      <c r="Q38" s="25">
        <v>73.749999999999986</v>
      </c>
      <c r="R38" s="16">
        <v>2.3785364432820919</v>
      </c>
      <c r="S38" s="13">
        <v>43.491174112482653</v>
      </c>
      <c r="T38" s="13">
        <v>73.987168597655511</v>
      </c>
      <c r="U38" s="13">
        <v>5.8719379369593785</v>
      </c>
      <c r="V38" s="13">
        <v>2.4207621546692684</v>
      </c>
      <c r="W38" s="13">
        <v>1.2832213903426755</v>
      </c>
      <c r="X38" s="13">
        <v>65.651138551378907</v>
      </c>
      <c r="Y38" s="13">
        <v>97.55907670392601</v>
      </c>
      <c r="Z38" s="13">
        <v>7.9820806662502166</v>
      </c>
      <c r="AA38" s="13">
        <v>3.2408758884449238</v>
      </c>
      <c r="AB38" s="13">
        <v>1.7530299323823642</v>
      </c>
      <c r="AC38" s="13">
        <v>52.993025005101686</v>
      </c>
      <c r="AD38" s="13">
        <v>80.809323567323389</v>
      </c>
      <c r="AE38" s="13">
        <v>138.24530695906765</v>
      </c>
      <c r="AF38" s="13">
        <v>206.53450784545552</v>
      </c>
      <c r="AG38" s="13">
        <v>262.38812811248113</v>
      </c>
      <c r="AH38" s="13">
        <v>269.54296148019006</v>
      </c>
      <c r="AI38" s="13">
        <v>282.35525465309513</v>
      </c>
      <c r="AJ38" s="13">
        <v>337.67810923928857</v>
      </c>
      <c r="AK38" s="13">
        <v>506.16609675143832</v>
      </c>
      <c r="AL38" s="13">
        <v>685.39394219826102</v>
      </c>
      <c r="AM38" s="13">
        <v>1061.2407709039824</v>
      </c>
      <c r="AN38" s="13">
        <v>1250.3017180992606</v>
      </c>
      <c r="AO38" s="13">
        <v>1435.6886536909269</v>
      </c>
      <c r="AP38" s="13">
        <v>-0.31569247298184239</v>
      </c>
      <c r="AQ38" s="13">
        <v>1.1469315087828464</v>
      </c>
      <c r="AR38" s="13">
        <v>3.7278673194185905</v>
      </c>
      <c r="AS38" s="13">
        <v>5.8225012050992566</v>
      </c>
      <c r="AT38" s="13">
        <v>8.6790283354163371</v>
      </c>
      <c r="AU38" s="13">
        <v>8.0375180767879968</v>
      </c>
      <c r="AV38" s="13">
        <v>7.447432641067123</v>
      </c>
      <c r="AW38" s="13">
        <v>10.26254468708391</v>
      </c>
      <c r="AX38" s="13">
        <v>12.270324832330928</v>
      </c>
      <c r="AY38" s="13">
        <v>13.226782057737692</v>
      </c>
      <c r="AZ38" s="13">
        <v>14.25688989007852</v>
      </c>
      <c r="BA38" s="13">
        <v>14.67326600390456</v>
      </c>
      <c r="BB38" s="13">
        <v>15.195051854324516</v>
      </c>
      <c r="BC38" s="13"/>
    </row>
    <row r="39" spans="1:55" x14ac:dyDescent="0.25">
      <c r="A39" s="6">
        <v>2012</v>
      </c>
      <c r="B39" s="10">
        <v>41089</v>
      </c>
      <c r="C39" s="11" t="s">
        <v>43</v>
      </c>
      <c r="D39" s="2" t="s">
        <v>33</v>
      </c>
      <c r="E39" s="2" t="s">
        <v>15</v>
      </c>
      <c r="F39" s="2" t="s">
        <v>37</v>
      </c>
      <c r="G39" s="2" t="s">
        <v>446</v>
      </c>
      <c r="H39" s="2" t="s">
        <v>34</v>
      </c>
      <c r="I39" s="23" t="s">
        <v>38</v>
      </c>
      <c r="J39" s="2" t="s">
        <v>110</v>
      </c>
      <c r="K39" s="22" t="s">
        <v>29</v>
      </c>
      <c r="L39" s="40">
        <v>460</v>
      </c>
      <c r="M39" s="40">
        <v>464</v>
      </c>
      <c r="N39" s="16">
        <v>20.184757232666016</v>
      </c>
      <c r="O39" s="16">
        <v>92.188419635479264</v>
      </c>
      <c r="P39" s="13">
        <v>15.189</v>
      </c>
      <c r="Q39" s="25">
        <v>71.762459674764628</v>
      </c>
      <c r="R39" s="16">
        <v>2.0645637345370251</v>
      </c>
      <c r="S39" s="13">
        <v>34.938716702651313</v>
      </c>
      <c r="T39" s="13">
        <v>87.194204360223083</v>
      </c>
      <c r="U39" s="13">
        <v>6.8420384762918509</v>
      </c>
      <c r="V39" s="13">
        <v>0.52871247860569093</v>
      </c>
      <c r="W39" s="13">
        <v>30</v>
      </c>
      <c r="X39" s="13">
        <v>53.867262868008297</v>
      </c>
      <c r="Y39" s="13">
        <v>116.61796938207304</v>
      </c>
      <c r="Z39" s="13">
        <v>9.455343318457075</v>
      </c>
      <c r="AA39" s="13">
        <v>0.71853212314735215</v>
      </c>
      <c r="AB39" s="13">
        <v>41.646173505444899</v>
      </c>
      <c r="AC39" s="13">
        <v>43.027412174993593</v>
      </c>
      <c r="AD39" s="13">
        <v>60.553463219348409</v>
      </c>
      <c r="AE39" s="13">
        <v>94.896967763140367</v>
      </c>
      <c r="AF39" s="13">
        <v>134.3976528631699</v>
      </c>
      <c r="AG39" s="13">
        <v>172.97828080840867</v>
      </c>
      <c r="AH39" s="13">
        <v>181.50616023407844</v>
      </c>
      <c r="AI39" s="13">
        <v>194.53010267306271</v>
      </c>
      <c r="AJ39" s="13">
        <v>227.19060425321996</v>
      </c>
      <c r="AK39" s="13">
        <v>358.75041934700516</v>
      </c>
      <c r="AL39" s="13">
        <v>520.81405865264469</v>
      </c>
      <c r="AM39" s="13">
        <v>888.2666508441539</v>
      </c>
      <c r="AN39" s="13">
        <v>1080.95998928474</v>
      </c>
      <c r="AO39" s="13">
        <v>1267.2785007215518</v>
      </c>
      <c r="AP39" s="13">
        <v>0.27875219346286956</v>
      </c>
      <c r="AQ39" s="13">
        <v>1.5644311429857316</v>
      </c>
      <c r="AR39" s="13">
        <v>3.9073214152328211</v>
      </c>
      <c r="AS39" s="13">
        <v>5.8680177665706834</v>
      </c>
      <c r="AT39" s="13">
        <v>9.6139008446171346</v>
      </c>
      <c r="AU39" s="13">
        <v>7.3839678900522072</v>
      </c>
      <c r="AV39" s="13">
        <v>10.022083317922689</v>
      </c>
      <c r="AW39" s="13">
        <v>12.016037214316409</v>
      </c>
      <c r="AX39" s="13">
        <v>15.42548655138731</v>
      </c>
      <c r="AY39" s="13">
        <v>17.384422287374253</v>
      </c>
      <c r="AZ39" s="13">
        <v>19.001098638967253</v>
      </c>
      <c r="BA39" s="13">
        <v>19.506511800277995</v>
      </c>
      <c r="BB39" s="13">
        <v>19.997402279016892</v>
      </c>
      <c r="BC39" s="13"/>
    </row>
    <row r="40" spans="1:55" x14ac:dyDescent="0.25">
      <c r="A40" s="6">
        <v>2012</v>
      </c>
      <c r="B40" s="10">
        <v>41089</v>
      </c>
      <c r="C40" s="11" t="s">
        <v>43</v>
      </c>
      <c r="D40" s="2" t="s">
        <v>33</v>
      </c>
      <c r="E40" s="2" t="s">
        <v>15</v>
      </c>
      <c r="F40" s="2" t="s">
        <v>37</v>
      </c>
      <c r="G40" s="2" t="s">
        <v>446</v>
      </c>
      <c r="H40" s="2" t="s">
        <v>34</v>
      </c>
      <c r="I40" s="23" t="s">
        <v>49</v>
      </c>
      <c r="J40" s="2" t="s">
        <v>12</v>
      </c>
      <c r="K40" s="22" t="s">
        <v>30</v>
      </c>
      <c r="L40" s="40">
        <v>460</v>
      </c>
      <c r="M40" s="40">
        <v>464</v>
      </c>
      <c r="N40" s="16">
        <v>20.191134966336765</v>
      </c>
      <c r="O40" s="16">
        <v>92.062962458683899</v>
      </c>
      <c r="P40" s="13">
        <v>23.385000000000002</v>
      </c>
      <c r="Q40" s="25">
        <v>83.386786401539439</v>
      </c>
      <c r="R40" s="16">
        <v>2.1995494986352688</v>
      </c>
      <c r="S40" s="13">
        <v>65.928833544997048</v>
      </c>
      <c r="T40" s="13">
        <v>87.865158807510994</v>
      </c>
      <c r="U40" s="13">
        <v>6.425844726642322</v>
      </c>
      <c r="V40" s="13">
        <v>2.1624528208425966</v>
      </c>
      <c r="W40" s="13">
        <v>0.81533919055706783</v>
      </c>
      <c r="X40" s="13">
        <v>101.58753246976413</v>
      </c>
      <c r="Y40" s="13">
        <v>117.46935538302797</v>
      </c>
      <c r="Z40" s="13">
        <v>8.8761470368524193</v>
      </c>
      <c r="AA40" s="13">
        <v>2.9376067667750285</v>
      </c>
      <c r="AB40" s="13">
        <v>1.1313582792142285</v>
      </c>
      <c r="AC40" s="13">
        <v>47.246301870074539</v>
      </c>
      <c r="AD40" s="13">
        <v>74.209757271029645</v>
      </c>
      <c r="AE40" s="13">
        <v>127.48978530456341</v>
      </c>
      <c r="AF40" s="13">
        <v>188.41087837340135</v>
      </c>
      <c r="AG40" s="13">
        <v>234.42651815322836</v>
      </c>
      <c r="AH40" s="13"/>
      <c r="AI40" s="13">
        <v>257.40299284264847</v>
      </c>
      <c r="AJ40" s="13">
        <v>290.94828117137342</v>
      </c>
      <c r="AK40" s="13">
        <v>415.14494449203823</v>
      </c>
      <c r="AL40" s="13">
        <v>545.78423185087047</v>
      </c>
      <c r="AM40" s="13">
        <v>843.34133788967222</v>
      </c>
      <c r="AN40" s="13">
        <v>994.75004212503359</v>
      </c>
      <c r="AO40" s="13">
        <v>1152.3575766181345</v>
      </c>
      <c r="AP40" s="13">
        <v>3.87058515368158E-2</v>
      </c>
      <c r="AQ40" s="13">
        <v>1.3036270114100352</v>
      </c>
      <c r="AR40" s="13">
        <v>3.8643172443248659</v>
      </c>
      <c r="AS40" s="13">
        <v>6.374650975978394</v>
      </c>
      <c r="AT40" s="13">
        <v>8.429406079454834</v>
      </c>
      <c r="AU40" s="13"/>
      <c r="AV40" s="13">
        <v>8.4289383249172083</v>
      </c>
      <c r="AW40" s="13">
        <v>10.286420794948166</v>
      </c>
      <c r="AX40" s="13">
        <v>12.995710235566694</v>
      </c>
      <c r="AY40" s="13">
        <v>14.597263604540897</v>
      </c>
      <c r="AZ40" s="13">
        <v>16.988991392668172</v>
      </c>
      <c r="BA40" s="13">
        <v>17.111614081940608</v>
      </c>
      <c r="BB40" s="13">
        <v>17.115076515011051</v>
      </c>
      <c r="BC40" s="13"/>
    </row>
    <row r="41" spans="1:55" x14ac:dyDescent="0.25">
      <c r="A41" s="6">
        <v>2012</v>
      </c>
      <c r="B41" s="10">
        <v>41089</v>
      </c>
      <c r="C41" s="11" t="s">
        <v>43</v>
      </c>
      <c r="D41" s="2" t="s">
        <v>33</v>
      </c>
      <c r="E41" s="2" t="s">
        <v>15</v>
      </c>
      <c r="F41" s="2" t="s">
        <v>37</v>
      </c>
      <c r="G41" s="2" t="s">
        <v>446</v>
      </c>
      <c r="H41" s="2" t="s">
        <v>34</v>
      </c>
      <c r="I41" s="23" t="s">
        <v>38</v>
      </c>
      <c r="J41" s="2" t="s">
        <v>8</v>
      </c>
      <c r="K41" s="22" t="s">
        <v>30</v>
      </c>
      <c r="L41" s="40">
        <v>460</v>
      </c>
      <c r="M41" s="40">
        <v>464</v>
      </c>
      <c r="N41" s="16">
        <v>19.987330510066105</v>
      </c>
      <c r="O41" s="16">
        <v>92.214962299053482</v>
      </c>
      <c r="P41" s="13">
        <v>17.844000000000001</v>
      </c>
      <c r="Q41" s="25">
        <v>67.809908092355968</v>
      </c>
      <c r="R41" s="16">
        <v>1.447922119026896</v>
      </c>
      <c r="S41" s="13">
        <v>69.861351765888259</v>
      </c>
      <c r="T41" s="13">
        <v>138.54481863384825</v>
      </c>
      <c r="U41" s="13">
        <v>10.959670431820941</v>
      </c>
      <c r="V41" s="126">
        <v>0</v>
      </c>
      <c r="W41" s="13">
        <v>12.23155247065419</v>
      </c>
      <c r="X41" s="13">
        <v>109.67061800767333</v>
      </c>
      <c r="Y41" s="13">
        <v>187.5570038186508</v>
      </c>
      <c r="Z41" s="13">
        <v>15.360847034839509</v>
      </c>
      <c r="AA41" s="126">
        <v>0</v>
      </c>
      <c r="AB41" s="13">
        <v>17.214061288901497</v>
      </c>
      <c r="AC41" s="13">
        <v>39.497184924750634</v>
      </c>
      <c r="AD41" s="13">
        <v>63.633156387062023</v>
      </c>
      <c r="AE41" s="13">
        <v>113.79833938106449</v>
      </c>
      <c r="AF41" s="13">
        <v>180.66522415288972</v>
      </c>
      <c r="AG41" s="13">
        <v>232.45237856019207</v>
      </c>
      <c r="AH41" s="13"/>
      <c r="AI41" s="13">
        <v>243.7845670853882</v>
      </c>
      <c r="AJ41" s="13">
        <v>304.68135725047142</v>
      </c>
      <c r="AK41" s="13">
        <v>470.50260884409261</v>
      </c>
      <c r="AL41" s="13">
        <v>654.52119153080616</v>
      </c>
      <c r="AM41" s="13">
        <v>1032.637634182556</v>
      </c>
      <c r="AN41" s="13">
        <v>1223.2371391065049</v>
      </c>
      <c r="AO41" s="13">
        <v>1413.4654085826746</v>
      </c>
      <c r="AP41" s="13">
        <v>0.66009802012772922</v>
      </c>
      <c r="AQ41" s="13">
        <v>2.5354795920394149</v>
      </c>
      <c r="AR41" s="13">
        <v>5.7986529906715889</v>
      </c>
      <c r="AS41" s="13">
        <v>8.2269186365581142</v>
      </c>
      <c r="AT41" s="13">
        <v>11.527902868931172</v>
      </c>
      <c r="AU41" s="13"/>
      <c r="AV41" s="13">
        <v>10.875899673110462</v>
      </c>
      <c r="AW41" s="13">
        <v>13.391934466507953</v>
      </c>
      <c r="AX41" s="13">
        <v>15.633064023973658</v>
      </c>
      <c r="AY41" s="13">
        <v>16.698221126637399</v>
      </c>
      <c r="AZ41" s="13">
        <v>17.776885692137736</v>
      </c>
      <c r="BA41" s="13">
        <v>18.23642659219637</v>
      </c>
      <c r="BB41" s="13">
        <v>18.615207350344207</v>
      </c>
      <c r="BC41" s="13" t="s">
        <v>11</v>
      </c>
    </row>
    <row r="42" spans="1:55" x14ac:dyDescent="0.25">
      <c r="A42" s="6">
        <v>2012</v>
      </c>
      <c r="B42" s="10">
        <v>41089</v>
      </c>
      <c r="C42" s="11" t="s">
        <v>43</v>
      </c>
      <c r="D42" s="2" t="s">
        <v>33</v>
      </c>
      <c r="E42" s="2" t="s">
        <v>15</v>
      </c>
      <c r="F42" s="2" t="s">
        <v>37</v>
      </c>
      <c r="G42" s="2" t="s">
        <v>446</v>
      </c>
      <c r="H42" s="2" t="s">
        <v>34</v>
      </c>
      <c r="I42" s="23" t="s">
        <v>41</v>
      </c>
      <c r="J42" s="2" t="s">
        <v>101</v>
      </c>
      <c r="K42" s="22" t="s">
        <v>31</v>
      </c>
      <c r="L42" s="40">
        <v>460</v>
      </c>
      <c r="M42" s="40">
        <v>464</v>
      </c>
      <c r="N42" s="26">
        <v>20.33661020719088</v>
      </c>
      <c r="O42" s="26">
        <v>92.062998258150543</v>
      </c>
      <c r="P42" s="13">
        <v>14.332000000000001</v>
      </c>
      <c r="Q42" s="25">
        <v>47.934691599218525</v>
      </c>
      <c r="R42" s="16">
        <v>0.95543871924949375</v>
      </c>
      <c r="S42" s="13">
        <v>58.011497117844094</v>
      </c>
      <c r="T42" s="13">
        <v>69.546118571989126</v>
      </c>
      <c r="U42" s="13">
        <v>5.3824722368926228</v>
      </c>
      <c r="V42" s="13">
        <v>2.1697167749179682</v>
      </c>
      <c r="W42" s="13">
        <v>0.79132953746991808</v>
      </c>
      <c r="X42" s="13">
        <v>88.208931269013789</v>
      </c>
      <c r="Y42" s="13">
        <v>92.152225741532945</v>
      </c>
      <c r="Z42" s="13">
        <v>7.3582868463050559</v>
      </c>
      <c r="AA42" s="13">
        <v>2.9198149242707592</v>
      </c>
      <c r="AB42" s="13">
        <v>1.0870307787474587</v>
      </c>
      <c r="AC42" s="13">
        <v>48.759602701145518</v>
      </c>
      <c r="AD42" s="13">
        <v>75.208102212416875</v>
      </c>
      <c r="AE42" s="13">
        <v>130.19709182556414</v>
      </c>
      <c r="AF42" s="13">
        <v>193.21590973629552</v>
      </c>
      <c r="AG42" s="13"/>
      <c r="AH42" s="13">
        <v>255.24232642681457</v>
      </c>
      <c r="AI42" s="13">
        <v>263.89662911319493</v>
      </c>
      <c r="AJ42" s="13">
        <v>329.1839887763054</v>
      </c>
      <c r="AK42" s="13">
        <v>499.31912650866178</v>
      </c>
      <c r="AL42" s="13">
        <v>675.9973545521899</v>
      </c>
      <c r="AM42" s="13">
        <v>1046.8162987295959</v>
      </c>
      <c r="AN42" s="13">
        <v>1235.7671102680433</v>
      </c>
      <c r="AO42" s="13">
        <v>1425.6060170484632</v>
      </c>
      <c r="AP42" s="13">
        <v>-4.8731779983564275E-2</v>
      </c>
      <c r="AQ42" s="13">
        <v>1.198883712510004</v>
      </c>
      <c r="AR42" s="13">
        <v>3.5632501750699945</v>
      </c>
      <c r="AS42" s="13">
        <v>5.4361105682386901</v>
      </c>
      <c r="AT42" s="13"/>
      <c r="AU42" s="13">
        <v>7.9432865515817248</v>
      </c>
      <c r="AV42" s="13">
        <v>7.5763024219348667</v>
      </c>
      <c r="AW42" s="13">
        <v>9.5347767776946526</v>
      </c>
      <c r="AX42" s="13">
        <v>11.135242466751192</v>
      </c>
      <c r="AY42" s="13">
        <v>12.299962253765122</v>
      </c>
      <c r="AZ42" s="13">
        <v>13.37538271823237</v>
      </c>
      <c r="BA42" s="13">
        <v>13.767111385602419</v>
      </c>
      <c r="BB42" s="13">
        <v>13.97770665555929</v>
      </c>
      <c r="BC42" s="17"/>
    </row>
    <row r="43" spans="1:55" s="14" customFormat="1" x14ac:dyDescent="0.25">
      <c r="A43" s="6">
        <v>2012</v>
      </c>
      <c r="B43" s="10">
        <v>41089</v>
      </c>
      <c r="C43" s="11" t="s">
        <v>43</v>
      </c>
      <c r="D43" s="2" t="s">
        <v>33</v>
      </c>
      <c r="E43" s="2" t="s">
        <v>15</v>
      </c>
      <c r="F43" s="2" t="s">
        <v>37</v>
      </c>
      <c r="G43" s="2" t="s">
        <v>446</v>
      </c>
      <c r="H43" s="2" t="s">
        <v>34</v>
      </c>
      <c r="I43" s="23" t="s">
        <v>41</v>
      </c>
      <c r="J43" s="2" t="s">
        <v>100</v>
      </c>
      <c r="K43" s="22" t="s">
        <v>31</v>
      </c>
      <c r="L43" s="40">
        <v>460</v>
      </c>
      <c r="M43" s="40">
        <v>464</v>
      </c>
      <c r="N43" s="16">
        <v>20.254886480478142</v>
      </c>
      <c r="O43" s="16">
        <v>92.214165320763215</v>
      </c>
      <c r="P43" s="13">
        <v>10.773999999999999</v>
      </c>
      <c r="Q43" s="25">
        <v>40.467792834601816</v>
      </c>
      <c r="R43" s="16">
        <v>0.59706537288541961</v>
      </c>
      <c r="S43" s="13">
        <v>59.221572904280968</v>
      </c>
      <c r="T43" s="13">
        <v>67.465514627275667</v>
      </c>
      <c r="U43" s="13">
        <v>5.1510036927300842</v>
      </c>
      <c r="V43" s="13">
        <v>1.7203349064185174</v>
      </c>
      <c r="W43" s="13">
        <v>0.74024741533878335</v>
      </c>
      <c r="X43" s="13">
        <v>90.72295550279533</v>
      </c>
      <c r="Y43" s="13">
        <v>89.844424887288682</v>
      </c>
      <c r="Z43" s="13">
        <v>7.0829290431344347</v>
      </c>
      <c r="AA43" s="13">
        <v>2.3273681397486836</v>
      </c>
      <c r="AB43" s="13">
        <v>1.0226332380247487</v>
      </c>
      <c r="AC43" s="13">
        <v>47.478882648133329</v>
      </c>
      <c r="AD43" s="13">
        <v>75.176857072139782</v>
      </c>
      <c r="AE43" s="13">
        <v>129.49342193613273</v>
      </c>
      <c r="AF43" s="13">
        <v>194.10998007486424</v>
      </c>
      <c r="AG43" s="13"/>
      <c r="AH43" s="13">
        <v>257.60330073412553</v>
      </c>
      <c r="AI43" s="13">
        <v>266.45653920995471</v>
      </c>
      <c r="AJ43" s="13">
        <v>329.67839212505964</v>
      </c>
      <c r="AK43" s="13">
        <v>501.76667275287161</v>
      </c>
      <c r="AL43" s="13">
        <v>678.83157654139211</v>
      </c>
      <c r="AM43" s="13">
        <v>1053.1202499816709</v>
      </c>
      <c r="AN43" s="13">
        <v>1243.9964889705891</v>
      </c>
      <c r="AO43" s="13">
        <v>1436.7514432055586</v>
      </c>
      <c r="AP43" s="13">
        <v>8.7339791233602748E-2</v>
      </c>
      <c r="AQ43" s="13">
        <v>1.3338946854671458</v>
      </c>
      <c r="AR43" s="13">
        <v>3.6403745335456263</v>
      </c>
      <c r="AS43" s="13">
        <v>5.3979830324771836</v>
      </c>
      <c r="AT43" s="13"/>
      <c r="AU43" s="13">
        <v>7.8528237544398216</v>
      </c>
      <c r="AV43" s="13">
        <v>7.5287397926031696</v>
      </c>
      <c r="AW43" s="13">
        <v>9.5635866668313145</v>
      </c>
      <c r="AX43" s="13">
        <v>11.130369847958821</v>
      </c>
      <c r="AY43" s="13">
        <v>12.325639149266836</v>
      </c>
      <c r="AZ43" s="13">
        <v>13.366599160080817</v>
      </c>
      <c r="BA43" s="13">
        <v>13.699079754818708</v>
      </c>
      <c r="BB43" s="13">
        <v>13.739757288121275</v>
      </c>
      <c r="BC43" s="13"/>
    </row>
    <row r="44" spans="1:55" s="14" customFormat="1" x14ac:dyDescent="0.25">
      <c r="A44" s="6">
        <v>2012</v>
      </c>
      <c r="B44" s="28">
        <v>41097</v>
      </c>
      <c r="C44" s="15" t="s">
        <v>43</v>
      </c>
      <c r="D44" s="6" t="s">
        <v>53</v>
      </c>
      <c r="E44" s="15" t="s">
        <v>16</v>
      </c>
      <c r="F44" s="15" t="s">
        <v>37</v>
      </c>
      <c r="G44" s="2" t="s">
        <v>446</v>
      </c>
      <c r="H44" s="15" t="s">
        <v>35</v>
      </c>
      <c r="I44" s="23" t="s">
        <v>49</v>
      </c>
      <c r="J44" s="15" t="s">
        <v>70</v>
      </c>
      <c r="K44" s="8" t="s">
        <v>29</v>
      </c>
      <c r="L44" s="40">
        <v>410</v>
      </c>
      <c r="M44" s="40">
        <v>500</v>
      </c>
      <c r="N44" s="16">
        <v>19.927108177771935</v>
      </c>
      <c r="O44" s="16">
        <v>93.033622154822723</v>
      </c>
      <c r="P44" s="3">
        <v>20.477</v>
      </c>
      <c r="Q44" s="25">
        <v>89.368559847633932</v>
      </c>
      <c r="R44" s="16">
        <v>1.6108889328721132</v>
      </c>
      <c r="S44" s="13">
        <v>11.93867404050758</v>
      </c>
      <c r="T44" s="13">
        <v>84.287678517254434</v>
      </c>
      <c r="U44" s="13">
        <v>5.4180470305433177</v>
      </c>
      <c r="V44" s="13">
        <v>0.42731827828451624</v>
      </c>
      <c r="W44" s="13">
        <v>0.51600296404464052</v>
      </c>
      <c r="X44" s="13">
        <v>18.845235457258649</v>
      </c>
      <c r="Y44" s="13">
        <v>114.52876092940481</v>
      </c>
      <c r="Z44" s="13">
        <v>7.6266414218515379</v>
      </c>
      <c r="AA44" s="13">
        <v>0.59052804160623618</v>
      </c>
      <c r="AB44" s="13">
        <v>0.72923902764248882</v>
      </c>
      <c r="AC44" s="13">
        <v>49.287560844259566</v>
      </c>
      <c r="AD44" s="13">
        <v>76.758809269659665</v>
      </c>
      <c r="AE44" s="13">
        <v>132.63023633539279</v>
      </c>
      <c r="AF44" s="13">
        <v>198.11454990760359</v>
      </c>
      <c r="AG44" s="13"/>
      <c r="AH44" s="13">
        <v>219.07649677124547</v>
      </c>
      <c r="AI44" s="13"/>
      <c r="AJ44" s="13">
        <v>266.40889394417979</v>
      </c>
      <c r="AK44" s="13">
        <v>381.06590236947369</v>
      </c>
      <c r="AL44" s="13">
        <v>506.17643307557273</v>
      </c>
      <c r="AM44" s="13">
        <v>798.47012937221336</v>
      </c>
      <c r="AN44" s="13">
        <v>940.20515017755429</v>
      </c>
      <c r="AO44" s="13">
        <v>1081.0165462640718</v>
      </c>
      <c r="AP44" s="13">
        <v>-3.7944368927300173E-2</v>
      </c>
      <c r="AQ44" s="13">
        <v>0.50118981864547485</v>
      </c>
      <c r="AR44" s="13">
        <v>1.4658943495384513</v>
      </c>
      <c r="AS44" s="13">
        <v>2.104485167470469</v>
      </c>
      <c r="AT44" s="13"/>
      <c r="AU44" s="13">
        <v>5.1867222423422348</v>
      </c>
      <c r="AV44" s="13"/>
      <c r="AW44" s="13">
        <v>7.3551430539636273</v>
      </c>
      <c r="AX44" s="13">
        <v>10.945442272270595</v>
      </c>
      <c r="AY44" s="13">
        <v>14.013358747982464</v>
      </c>
      <c r="AZ44" s="13">
        <v>17.15056481723898</v>
      </c>
      <c r="BA44" s="13">
        <v>17.017565428297484</v>
      </c>
      <c r="BB44" s="13">
        <v>15.826832552583374</v>
      </c>
      <c r="BC44" s="13"/>
    </row>
    <row r="45" spans="1:55" s="14" customFormat="1" x14ac:dyDescent="0.25">
      <c r="A45" s="6">
        <v>2012</v>
      </c>
      <c r="B45" s="28">
        <v>41097</v>
      </c>
      <c r="C45" s="15" t="s">
        <v>43</v>
      </c>
      <c r="D45" s="6" t="s">
        <v>53</v>
      </c>
      <c r="E45" s="15" t="s">
        <v>16</v>
      </c>
      <c r="F45" s="15" t="s">
        <v>37</v>
      </c>
      <c r="G45" s="2" t="s">
        <v>446</v>
      </c>
      <c r="H45" s="15" t="s">
        <v>35</v>
      </c>
      <c r="I45" s="23" t="s">
        <v>49</v>
      </c>
      <c r="J45" s="15" t="s">
        <v>0</v>
      </c>
      <c r="K45" s="8" t="s">
        <v>29</v>
      </c>
      <c r="L45" s="40">
        <v>410</v>
      </c>
      <c r="M45" s="40">
        <v>500</v>
      </c>
      <c r="N45" s="16">
        <v>19.823720638568584</v>
      </c>
      <c r="O45" s="16">
        <v>93.052706204927887</v>
      </c>
      <c r="P45" s="3">
        <v>27.609000000000002</v>
      </c>
      <c r="Q45" s="25">
        <v>105.40041290883406</v>
      </c>
      <c r="R45" s="16">
        <v>1.9718963496127266</v>
      </c>
      <c r="S45" s="13">
        <v>37.5577061303104</v>
      </c>
      <c r="T45" s="13">
        <v>110.30248937683345</v>
      </c>
      <c r="U45" s="13">
        <v>8.188255383729226</v>
      </c>
      <c r="V45" s="13">
        <v>1.633119722207943</v>
      </c>
      <c r="W45" s="13">
        <v>0.44122197759534509</v>
      </c>
      <c r="X45" s="13">
        <v>59.848547191367899</v>
      </c>
      <c r="Y45" s="13">
        <v>150.83321032258397</v>
      </c>
      <c r="Z45" s="13">
        <v>11.611860627824662</v>
      </c>
      <c r="AA45" s="13">
        <v>2.2720866193341607</v>
      </c>
      <c r="AB45" s="13">
        <v>0.62804990450686138</v>
      </c>
      <c r="AC45" s="13">
        <v>48.29533276855306</v>
      </c>
      <c r="AD45" s="13">
        <v>75.92048060153617</v>
      </c>
      <c r="AE45" s="13">
        <v>132.20877032074782</v>
      </c>
      <c r="AF45" s="13">
        <v>193.70649580490851</v>
      </c>
      <c r="AG45" s="13"/>
      <c r="AH45" s="13">
        <v>239.381976775721</v>
      </c>
      <c r="AI45" s="13"/>
      <c r="AJ45" s="13">
        <v>296.17096621805547</v>
      </c>
      <c r="AK45" s="13">
        <v>426.35605530948897</v>
      </c>
      <c r="AL45" s="13">
        <v>573.99024324301433</v>
      </c>
      <c r="AM45" s="13">
        <v>914.34278545602922</v>
      </c>
      <c r="AN45" s="13">
        <v>1101.6179954609181</v>
      </c>
      <c r="AO45" s="13">
        <v>1297.6343071933209</v>
      </c>
      <c r="AP45" s="13">
        <v>-1.3753445084940124E-2</v>
      </c>
      <c r="AQ45" s="13">
        <v>0.82205041978485016</v>
      </c>
      <c r="AR45" s="13">
        <v>2.2641361532229416</v>
      </c>
      <c r="AS45" s="13">
        <v>3.6058560761907179</v>
      </c>
      <c r="AT45" s="13"/>
      <c r="AU45" s="13">
        <v>6.3497268368078128</v>
      </c>
      <c r="AV45" s="13"/>
      <c r="AW45" s="13">
        <v>8.6216974932201378</v>
      </c>
      <c r="AX45" s="13">
        <v>12.598890396760108</v>
      </c>
      <c r="AY45" s="13">
        <v>16.111674067424605</v>
      </c>
      <c r="AZ45" s="13">
        <v>20.206714109073687</v>
      </c>
      <c r="BA45" s="13">
        <v>21.868418071142685</v>
      </c>
      <c r="BB45" s="13">
        <v>22.931676105420891</v>
      </c>
      <c r="BC45" s="13"/>
    </row>
    <row r="46" spans="1:55" s="14" customFormat="1" x14ac:dyDescent="0.25">
      <c r="A46" s="6">
        <v>2012</v>
      </c>
      <c r="B46" s="28">
        <v>41097</v>
      </c>
      <c r="C46" s="15" t="s">
        <v>43</v>
      </c>
      <c r="D46" s="6" t="s">
        <v>53</v>
      </c>
      <c r="E46" s="15" t="s">
        <v>16</v>
      </c>
      <c r="F46" s="15" t="s">
        <v>37</v>
      </c>
      <c r="G46" s="2" t="s">
        <v>446</v>
      </c>
      <c r="H46" s="15" t="s">
        <v>35</v>
      </c>
      <c r="I46" s="23" t="s">
        <v>49</v>
      </c>
      <c r="J46" s="15" t="s">
        <v>72</v>
      </c>
      <c r="K46" s="8" t="s">
        <v>30</v>
      </c>
      <c r="L46" s="40">
        <v>410</v>
      </c>
      <c r="M46" s="40">
        <v>500</v>
      </c>
      <c r="N46" s="16">
        <v>20.188494902390701</v>
      </c>
      <c r="O46" s="16">
        <v>92.982756981482879</v>
      </c>
      <c r="P46" s="3">
        <v>15.054</v>
      </c>
      <c r="Q46" s="25">
        <v>57.127673707984584</v>
      </c>
      <c r="R46" s="27">
        <v>0.9914821239091719</v>
      </c>
      <c r="S46" s="13">
        <v>24.115372356567132</v>
      </c>
      <c r="T46" s="13">
        <v>79.985249811332366</v>
      </c>
      <c r="U46" s="13">
        <v>6.6419853288071007</v>
      </c>
      <c r="V46" s="13">
        <v>3.0901194066292561</v>
      </c>
      <c r="W46" s="13">
        <v>0.61034885525511262</v>
      </c>
      <c r="X46" s="13">
        <v>37.167529493427011</v>
      </c>
      <c r="Y46" s="13">
        <v>106.95181287104533</v>
      </c>
      <c r="Z46" s="13">
        <v>9.1764338310014484</v>
      </c>
      <c r="AA46" s="13">
        <v>4.1985238897768555</v>
      </c>
      <c r="AB46" s="13">
        <v>0.84707030344907042</v>
      </c>
      <c r="AC46" s="13">
        <v>62.41033185543278</v>
      </c>
      <c r="AD46" s="13">
        <v>94.378918197373494</v>
      </c>
      <c r="AE46" s="13">
        <v>160.80614926197811</v>
      </c>
      <c r="AF46" s="13"/>
      <c r="AG46" s="13"/>
      <c r="AH46" s="13">
        <v>219.07744955786669</v>
      </c>
      <c r="AI46" s="13"/>
      <c r="AJ46" s="13">
        <v>259.34393943221517</v>
      </c>
      <c r="AK46" s="13">
        <v>344.60836193023243</v>
      </c>
      <c r="AL46" s="13">
        <v>490.63171469885515</v>
      </c>
      <c r="AM46" s="13">
        <v>898.38714873258039</v>
      </c>
      <c r="AN46" s="13">
        <v>1147.9103588114526</v>
      </c>
      <c r="AO46" s="13">
        <v>1386.1360910033463</v>
      </c>
      <c r="AP46" s="13">
        <v>-0.16738926136203289</v>
      </c>
      <c r="AQ46" s="13">
        <v>2.6864720095843321E-2</v>
      </c>
      <c r="AR46" s="13">
        <v>0.43443427615841151</v>
      </c>
      <c r="AS46" s="13"/>
      <c r="AT46" s="13"/>
      <c r="AU46" s="13">
        <v>2.13887180880762</v>
      </c>
      <c r="AV46" s="13"/>
      <c r="AW46" s="13">
        <v>3.2933871642242729</v>
      </c>
      <c r="AX46" s="13">
        <v>6.3385625848781695</v>
      </c>
      <c r="AY46" s="13">
        <v>10.126147399921001</v>
      </c>
      <c r="AZ46" s="13">
        <v>14.295828249342705</v>
      </c>
      <c r="BA46" s="13">
        <v>16.185313072081048</v>
      </c>
      <c r="BB46" s="13">
        <v>16.835843062143017</v>
      </c>
      <c r="BC46" s="13"/>
    </row>
    <row r="47" spans="1:55" s="14" customFormat="1" x14ac:dyDescent="0.25">
      <c r="A47" s="6">
        <v>2012</v>
      </c>
      <c r="B47" s="28">
        <v>41097</v>
      </c>
      <c r="C47" s="15" t="s">
        <v>43</v>
      </c>
      <c r="D47" s="6" t="s">
        <v>53</v>
      </c>
      <c r="E47" s="15" t="s">
        <v>16</v>
      </c>
      <c r="F47" s="15" t="s">
        <v>37</v>
      </c>
      <c r="G47" s="2" t="s">
        <v>446</v>
      </c>
      <c r="H47" s="15" t="s">
        <v>35</v>
      </c>
      <c r="I47" s="23" t="s">
        <v>49</v>
      </c>
      <c r="J47" s="15" t="s">
        <v>71</v>
      </c>
      <c r="K47" s="8" t="s">
        <v>30</v>
      </c>
      <c r="L47" s="40">
        <v>410</v>
      </c>
      <c r="M47" s="40">
        <v>500</v>
      </c>
      <c r="N47" s="16">
        <v>20.424625836885891</v>
      </c>
      <c r="O47" s="16">
        <v>93.009716914250305</v>
      </c>
      <c r="P47" s="3">
        <v>31.943999999999999</v>
      </c>
      <c r="Q47" s="25">
        <v>79.201101928374655</v>
      </c>
      <c r="R47" s="16">
        <v>1.3344243528447488</v>
      </c>
      <c r="S47" s="13">
        <v>23.688264510554397</v>
      </c>
      <c r="T47" s="13">
        <v>91.660613332251202</v>
      </c>
      <c r="U47" s="13">
        <v>5.7580988993084334</v>
      </c>
      <c r="V47" s="13">
        <v>1.1402802933391005</v>
      </c>
      <c r="W47" s="13">
        <v>0.49484546205108987</v>
      </c>
      <c r="X47" s="13">
        <v>35.73103774832456</v>
      </c>
      <c r="Y47" s="13">
        <v>120.80172213688989</v>
      </c>
      <c r="Z47" s="13">
        <v>7.8227193437268951</v>
      </c>
      <c r="AA47" s="13">
        <v>1.5257678533356243</v>
      </c>
      <c r="AB47" s="13">
        <v>0.67562822984909143</v>
      </c>
      <c r="AC47" s="13">
        <v>48.853244154104289</v>
      </c>
      <c r="AD47" s="13">
        <v>72.751722148398244</v>
      </c>
      <c r="AE47" s="13">
        <v>123.97174225014609</v>
      </c>
      <c r="AF47" s="13">
        <v>182.19364664245532</v>
      </c>
      <c r="AG47" s="13"/>
      <c r="AH47" s="13">
        <v>209.91911375606833</v>
      </c>
      <c r="AI47" s="13"/>
      <c r="AJ47" s="13">
        <v>257.68399032471171</v>
      </c>
      <c r="AK47" s="13">
        <v>361.58478529845183</v>
      </c>
      <c r="AL47" s="13">
        <v>483.88890785752153</v>
      </c>
      <c r="AM47" s="13">
        <v>769.48728897913543</v>
      </c>
      <c r="AN47" s="13">
        <v>909.27826260483926</v>
      </c>
      <c r="AO47" s="13">
        <v>1037.8724942518597</v>
      </c>
      <c r="AP47" s="13">
        <v>-8.343195378872922E-3</v>
      </c>
      <c r="AQ47" s="13">
        <v>0.63854773726809677</v>
      </c>
      <c r="AR47" s="13">
        <v>1.7545787871429119</v>
      </c>
      <c r="AS47" s="13">
        <v>2.559087834151355</v>
      </c>
      <c r="AT47" s="13"/>
      <c r="AU47" s="13">
        <v>5.4465065295238375</v>
      </c>
      <c r="AV47" s="13"/>
      <c r="AW47" s="13">
        <v>7.4080695526831599</v>
      </c>
      <c r="AX47" s="13">
        <v>11.025098332051796</v>
      </c>
      <c r="AY47" s="13">
        <v>14.059875808194068</v>
      </c>
      <c r="AZ47" s="13">
        <v>17.332246181297748</v>
      </c>
      <c r="BA47" s="13">
        <v>17.395260280657698</v>
      </c>
      <c r="BB47" s="13">
        <v>16.134015711176207</v>
      </c>
      <c r="BC47" s="13"/>
    </row>
    <row r="48" spans="1:55" s="14" customFormat="1" x14ac:dyDescent="0.25">
      <c r="A48" s="6">
        <v>2012</v>
      </c>
      <c r="B48" s="28">
        <v>41097</v>
      </c>
      <c r="C48" s="15" t="s">
        <v>43</v>
      </c>
      <c r="D48" s="6" t="s">
        <v>53</v>
      </c>
      <c r="E48" s="15" t="s">
        <v>16</v>
      </c>
      <c r="F48" s="15" t="s">
        <v>37</v>
      </c>
      <c r="G48" s="2" t="s">
        <v>446</v>
      </c>
      <c r="H48" s="15" t="s">
        <v>35</v>
      </c>
      <c r="I48" s="23" t="s">
        <v>49</v>
      </c>
      <c r="J48" s="15" t="s">
        <v>102</v>
      </c>
      <c r="K48" s="8" t="s">
        <v>31</v>
      </c>
      <c r="L48" s="40">
        <v>410</v>
      </c>
      <c r="M48" s="40">
        <v>500</v>
      </c>
      <c r="N48" s="16">
        <v>20.396916902982273</v>
      </c>
      <c r="O48" s="16">
        <v>93.119515639085037</v>
      </c>
      <c r="P48" s="6">
        <v>22.593</v>
      </c>
      <c r="Q48" s="25">
        <v>59.31040587792679</v>
      </c>
      <c r="R48" s="16">
        <v>0.90714173815615951</v>
      </c>
      <c r="S48" s="13">
        <v>15.195606217445404</v>
      </c>
      <c r="T48" s="13">
        <v>56.506171158225065</v>
      </c>
      <c r="U48" s="13">
        <v>3.7923856711077186</v>
      </c>
      <c r="V48" s="13">
        <v>0.4569916668709576</v>
      </c>
      <c r="W48" s="13">
        <v>0.41055745033537971</v>
      </c>
      <c r="X48" s="13">
        <v>22.97881768631089</v>
      </c>
      <c r="Y48" s="13">
        <v>74.597380676993694</v>
      </c>
      <c r="Z48" s="13">
        <v>5.162330162927633</v>
      </c>
      <c r="AA48" s="13">
        <v>0.61258206144693805</v>
      </c>
      <c r="AB48" s="13">
        <v>0.56162321758962186</v>
      </c>
      <c r="AC48" s="13">
        <v>49.41447611431699</v>
      </c>
      <c r="AD48" s="13">
        <v>75.710995939111982</v>
      </c>
      <c r="AE48" s="13">
        <v>135.75905443200048</v>
      </c>
      <c r="AF48" s="13">
        <v>208.29154497583534</v>
      </c>
      <c r="AG48" s="13"/>
      <c r="AH48" s="13">
        <v>209.03892609427339</v>
      </c>
      <c r="AI48" s="13"/>
      <c r="AJ48" s="13">
        <v>252.48995062907886</v>
      </c>
      <c r="AK48" s="13">
        <v>354.8111817178218</v>
      </c>
      <c r="AL48" s="13">
        <v>464.15803044093451</v>
      </c>
      <c r="AM48" s="13">
        <v>719.90173529279889</v>
      </c>
      <c r="AN48" s="13">
        <v>844.5199713261685</v>
      </c>
      <c r="AO48" s="13">
        <v>983.66646406566815</v>
      </c>
      <c r="AP48" s="13">
        <v>7.2235716056699038E-3</v>
      </c>
      <c r="AQ48" s="13">
        <v>0.445192443897656</v>
      </c>
      <c r="AR48" s="13">
        <v>1.1935472033593086</v>
      </c>
      <c r="AS48" s="13">
        <v>1.890876453438137</v>
      </c>
      <c r="AT48" s="13"/>
      <c r="AU48" s="13">
        <v>3.8098421187029405</v>
      </c>
      <c r="AV48" s="13"/>
      <c r="AW48" s="13">
        <v>5.1849869372394952</v>
      </c>
      <c r="AX48" s="13">
        <v>7.5412692349924866</v>
      </c>
      <c r="AY48" s="13">
        <v>9.2552425253044621</v>
      </c>
      <c r="AZ48" s="13">
        <v>11.352026637562101</v>
      </c>
      <c r="BA48" s="13">
        <v>11.290043440555776</v>
      </c>
      <c r="BB48" s="13">
        <v>10.920168250120863</v>
      </c>
      <c r="BC48" s="13"/>
    </row>
    <row r="49" spans="1:55" s="14" customFormat="1" x14ac:dyDescent="0.25">
      <c r="A49" s="6">
        <v>2012</v>
      </c>
      <c r="B49" s="28">
        <v>41097</v>
      </c>
      <c r="C49" s="15" t="s">
        <v>43</v>
      </c>
      <c r="D49" s="6" t="s">
        <v>53</v>
      </c>
      <c r="E49" s="15" t="s">
        <v>16</v>
      </c>
      <c r="F49" s="15" t="s">
        <v>37</v>
      </c>
      <c r="G49" s="2" t="s">
        <v>446</v>
      </c>
      <c r="H49" s="15" t="s">
        <v>35</v>
      </c>
      <c r="I49" s="23" t="s">
        <v>49</v>
      </c>
      <c r="J49" s="15" t="s">
        <v>103</v>
      </c>
      <c r="K49" s="8" t="s">
        <v>31</v>
      </c>
      <c r="L49" s="40">
        <v>410</v>
      </c>
      <c r="M49" s="40">
        <v>500</v>
      </c>
      <c r="N49" s="16">
        <v>20.466603205754208</v>
      </c>
      <c r="O49" s="16">
        <v>93.076830937312195</v>
      </c>
      <c r="P49" s="6">
        <v>24.963000000000001</v>
      </c>
      <c r="Q49" s="25">
        <v>38.937627688979681</v>
      </c>
      <c r="R49" s="19">
        <v>0.92815570630958344</v>
      </c>
      <c r="S49" s="13">
        <v>9.4515096675846202</v>
      </c>
      <c r="T49" s="13">
        <v>28.327263934845551</v>
      </c>
      <c r="U49" s="13">
        <v>2.6946479199682782</v>
      </c>
      <c r="V49" s="13">
        <v>1.8793112946650017</v>
      </c>
      <c r="W49" s="13">
        <v>1.7682126771981848</v>
      </c>
      <c r="X49" s="13">
        <v>14.567026340428797</v>
      </c>
      <c r="Y49" s="13">
        <v>37.877636672443941</v>
      </c>
      <c r="Z49" s="13">
        <v>3.7228715679616835</v>
      </c>
      <c r="AA49" s="13">
        <v>2.5534072728876724</v>
      </c>
      <c r="AB49" s="13">
        <v>2.4540071405732569</v>
      </c>
      <c r="AC49" s="13">
        <v>58.206576154769181</v>
      </c>
      <c r="AD49" s="13">
        <v>101.30738004555882</v>
      </c>
      <c r="AE49" s="13">
        <v>189.82731971371027</v>
      </c>
      <c r="AF49" s="13">
        <v>278.7422146304956</v>
      </c>
      <c r="AG49" s="13"/>
      <c r="AH49" s="13">
        <v>311.11513389717095</v>
      </c>
      <c r="AI49" s="13"/>
      <c r="AJ49" s="13">
        <v>359.95609326541785</v>
      </c>
      <c r="AK49" s="13">
        <v>469.6954404379357</v>
      </c>
      <c r="AL49" s="13">
        <v>597.06106182431859</v>
      </c>
      <c r="AM49" s="13">
        <v>888.43277005327081</v>
      </c>
      <c r="AN49" s="13">
        <v>1047.6481558067535</v>
      </c>
      <c r="AO49" s="13">
        <v>1247.0474385488913</v>
      </c>
      <c r="AP49" s="13">
        <v>-0.10210115659210521</v>
      </c>
      <c r="AQ49" s="13">
        <v>-4.643166526888217E-2</v>
      </c>
      <c r="AR49" s="13">
        <v>6.6809641335937572E-2</v>
      </c>
      <c r="AS49" s="13">
        <v>0.18420237652758703</v>
      </c>
      <c r="AT49" s="13"/>
      <c r="AU49" s="13">
        <v>1.0780585808556604</v>
      </c>
      <c r="AV49" s="13"/>
      <c r="AW49" s="13">
        <v>1.957455131871132</v>
      </c>
      <c r="AX49" s="13">
        <v>3.677717207179084</v>
      </c>
      <c r="AY49" s="13">
        <v>5.206194431933941</v>
      </c>
      <c r="AZ49" s="13">
        <v>6.9082066660950137</v>
      </c>
      <c r="BA49" s="13">
        <v>6.954493915371736</v>
      </c>
      <c r="BB49" s="13">
        <v>6.2046253447879538</v>
      </c>
      <c r="BC49" s="13"/>
    </row>
    <row r="50" spans="1:55" x14ac:dyDescent="0.25">
      <c r="A50" s="6">
        <v>2012</v>
      </c>
      <c r="B50" s="9">
        <v>41097</v>
      </c>
      <c r="C50" s="11" t="s">
        <v>43</v>
      </c>
      <c r="D50" s="2" t="s">
        <v>53</v>
      </c>
      <c r="E50" s="11" t="s">
        <v>17</v>
      </c>
      <c r="F50" s="2" t="s">
        <v>37</v>
      </c>
      <c r="G50" s="2" t="s">
        <v>446</v>
      </c>
      <c r="H50" s="2" t="s">
        <v>34</v>
      </c>
      <c r="I50" s="23" t="s">
        <v>38</v>
      </c>
      <c r="J50" s="34" t="s">
        <v>4</v>
      </c>
      <c r="K50" s="8" t="s">
        <v>29</v>
      </c>
      <c r="L50" s="40">
        <v>410</v>
      </c>
      <c r="M50" s="40">
        <v>500</v>
      </c>
      <c r="N50" s="16">
        <v>22.410244428194485</v>
      </c>
      <c r="O50" s="16">
        <v>93.050771273099457</v>
      </c>
      <c r="P50" s="13">
        <v>10.137</v>
      </c>
      <c r="Q50" s="25">
        <v>93.716089572851914</v>
      </c>
      <c r="R50" s="16">
        <v>3.5691652875736843</v>
      </c>
      <c r="S50" s="13">
        <v>44.418307770408454</v>
      </c>
      <c r="T50" s="13">
        <v>93.084875479380088</v>
      </c>
      <c r="U50" s="13">
        <v>6.8863945437198835</v>
      </c>
      <c r="V50" s="13">
        <v>2.0731655443825741</v>
      </c>
      <c r="W50" s="13">
        <v>1.1678375671180845</v>
      </c>
      <c r="X50" s="13">
        <v>55.97321990768463</v>
      </c>
      <c r="Y50" s="13">
        <v>108.71572207654432</v>
      </c>
      <c r="Z50" s="13">
        <v>8.1495845658847852</v>
      </c>
      <c r="AA50" s="13">
        <v>2.4415026300597757</v>
      </c>
      <c r="AB50" s="13">
        <v>1.3910739496094771</v>
      </c>
      <c r="AC50" s="13">
        <v>55.30797548191277</v>
      </c>
      <c r="AD50" s="13">
        <v>84.469011990947351</v>
      </c>
      <c r="AE50" s="13">
        <v>144.05761263653167</v>
      </c>
      <c r="AF50" s="13">
        <v>214.55257197653728</v>
      </c>
      <c r="AG50" s="13">
        <v>301.00855549921914</v>
      </c>
      <c r="AH50" s="13"/>
      <c r="AI50" s="13">
        <v>279.85249528169339</v>
      </c>
      <c r="AJ50" s="13"/>
      <c r="AK50" s="13">
        <v>342.63286961298388</v>
      </c>
      <c r="AL50" s="13">
        <v>499.64640016699491</v>
      </c>
      <c r="AM50" s="13">
        <v>667.82212354891533</v>
      </c>
      <c r="AN50" s="13">
        <v>1028.6288257784599</v>
      </c>
      <c r="AO50" s="13">
        <v>1237.5069407935032</v>
      </c>
      <c r="AP50" s="13">
        <v>-0.67750956963705433</v>
      </c>
      <c r="AQ50" s="13">
        <v>1.0844631574874717</v>
      </c>
      <c r="AR50" s="13">
        <v>4.2121954428211268</v>
      </c>
      <c r="AS50" s="13">
        <v>6.7242275470806554</v>
      </c>
      <c r="AT50" s="13">
        <v>8.1362758498709304</v>
      </c>
      <c r="AU50" s="13"/>
      <c r="AV50" s="13">
        <v>8.9763239904281633</v>
      </c>
      <c r="AW50" s="13"/>
      <c r="AX50" s="13">
        <v>12.030079728585894</v>
      </c>
      <c r="AY50" s="13">
        <v>15.155232394999937</v>
      </c>
      <c r="AZ50" s="13">
        <v>17.253606623410349</v>
      </c>
      <c r="BA50" s="13">
        <v>19.879564842811437</v>
      </c>
      <c r="BB50" s="13">
        <v>18.877014694331397</v>
      </c>
      <c r="BC50" s="13"/>
    </row>
    <row r="51" spans="1:55" x14ac:dyDescent="0.25">
      <c r="A51" s="6">
        <v>2012</v>
      </c>
      <c r="B51" s="9">
        <v>41097</v>
      </c>
      <c r="C51" s="11" t="s">
        <v>43</v>
      </c>
      <c r="D51" s="2" t="s">
        <v>53</v>
      </c>
      <c r="E51" s="11" t="s">
        <v>17</v>
      </c>
      <c r="F51" s="2" t="s">
        <v>37</v>
      </c>
      <c r="G51" s="2" t="s">
        <v>446</v>
      </c>
      <c r="H51" s="2" t="s">
        <v>34</v>
      </c>
      <c r="I51" s="23" t="s">
        <v>38</v>
      </c>
      <c r="J51" s="34" t="s">
        <v>50</v>
      </c>
      <c r="K51" s="8" t="s">
        <v>29</v>
      </c>
      <c r="L51" s="40">
        <v>410</v>
      </c>
      <c r="M51" s="40">
        <v>500</v>
      </c>
      <c r="N51" s="16">
        <v>20.280937341543343</v>
      </c>
      <c r="O51" s="16">
        <v>93.187663151667664</v>
      </c>
      <c r="P51" s="13">
        <v>12.423999999999999</v>
      </c>
      <c r="Q51" s="25">
        <v>95.782356728911779</v>
      </c>
      <c r="R51" s="16">
        <v>3.7893000534903245</v>
      </c>
      <c r="S51" s="13">
        <v>46.262648222927737</v>
      </c>
      <c r="T51" s="13">
        <v>88.372169055775004</v>
      </c>
      <c r="U51" s="13">
        <v>7.0408308222753737</v>
      </c>
      <c r="V51" s="13">
        <v>2.8324845308122897</v>
      </c>
      <c r="W51" s="13">
        <v>0.80575147418686444</v>
      </c>
      <c r="X51" s="13">
        <v>70.702558988732378</v>
      </c>
      <c r="Y51" s="13">
        <v>117.49812192624564</v>
      </c>
      <c r="Z51" s="13">
        <v>9.6636074611161167</v>
      </c>
      <c r="AA51" s="13">
        <v>3.8254839812397909</v>
      </c>
      <c r="AB51" s="13">
        <v>1.1111181964550068</v>
      </c>
      <c r="AC51" s="13">
        <v>56.724553558045073</v>
      </c>
      <c r="AD51" s="13">
        <v>83.104964432279942</v>
      </c>
      <c r="AE51" s="13">
        <v>138.51189395424456</v>
      </c>
      <c r="AF51" s="13">
        <v>201.56145787030471</v>
      </c>
      <c r="AG51" s="13">
        <v>269.29704024774213</v>
      </c>
      <c r="AH51" s="13"/>
      <c r="AI51" s="13">
        <v>272.18504650334262</v>
      </c>
      <c r="AJ51" s="13">
        <v>328.44742772419153</v>
      </c>
      <c r="AK51" s="13">
        <v>480.88437527919314</v>
      </c>
      <c r="AL51" s="13">
        <v>650.40573977413806</v>
      </c>
      <c r="AM51" s="13">
        <v>1014.499655586518</v>
      </c>
      <c r="AN51" s="13">
        <v>1196.261973328677</v>
      </c>
      <c r="AO51" s="13">
        <v>1382.7488583032741</v>
      </c>
      <c r="AP51" s="13">
        <v>-0.45925680935618829</v>
      </c>
      <c r="AQ51" s="13">
        <v>0.91798661158485395</v>
      </c>
      <c r="AR51" s="13">
        <v>3.6035189455939913</v>
      </c>
      <c r="AS51" s="13">
        <v>5.7750507605376002</v>
      </c>
      <c r="AT51" s="13">
        <v>7.6020827356133163</v>
      </c>
      <c r="AU51" s="13"/>
      <c r="AV51" s="13">
        <v>7.7658196325808841</v>
      </c>
      <c r="AW51" s="13">
        <v>10.404074060032983</v>
      </c>
      <c r="AX51" s="13">
        <v>13.255410514719296</v>
      </c>
      <c r="AY51" s="13">
        <v>15.080787250555145</v>
      </c>
      <c r="AZ51" s="13">
        <v>16.893943909743768</v>
      </c>
      <c r="BA51" s="13">
        <v>17.704327300728824</v>
      </c>
      <c r="BB51" s="13">
        <v>18.290027156975558</v>
      </c>
      <c r="BC51" s="13"/>
    </row>
    <row r="52" spans="1:55" x14ac:dyDescent="0.25">
      <c r="A52" s="6">
        <v>2012</v>
      </c>
      <c r="B52" s="9">
        <v>41097</v>
      </c>
      <c r="C52" s="11" t="s">
        <v>43</v>
      </c>
      <c r="D52" s="2" t="s">
        <v>53</v>
      </c>
      <c r="E52" s="11" t="s">
        <v>17</v>
      </c>
      <c r="F52" s="2" t="s">
        <v>37</v>
      </c>
      <c r="G52" s="2" t="s">
        <v>446</v>
      </c>
      <c r="H52" s="2" t="s">
        <v>34</v>
      </c>
      <c r="I52" s="23" t="s">
        <v>38</v>
      </c>
      <c r="J52" s="34" t="s">
        <v>73</v>
      </c>
      <c r="K52" s="8" t="s">
        <v>30</v>
      </c>
      <c r="L52" s="40">
        <v>410</v>
      </c>
      <c r="M52" s="40">
        <v>500</v>
      </c>
      <c r="N52" s="16">
        <v>20.155616466815655</v>
      </c>
      <c r="O52" s="16">
        <v>93.159399179311905</v>
      </c>
      <c r="P52" s="13">
        <v>20.196999999999999</v>
      </c>
      <c r="Q52" s="25">
        <v>61.890379759370198</v>
      </c>
      <c r="R52" s="16">
        <v>0.74760120392236751</v>
      </c>
      <c r="S52" s="13">
        <v>48.668552194954636</v>
      </c>
      <c r="T52" s="13">
        <v>87.284993091947754</v>
      </c>
      <c r="U52" s="13">
        <v>6.5074859229611439</v>
      </c>
      <c r="V52" s="13">
        <v>1.589019556669222</v>
      </c>
      <c r="W52" s="13">
        <v>2.7194240902957252</v>
      </c>
      <c r="X52" s="13">
        <v>75.235401478163581</v>
      </c>
      <c r="Y52" s="13">
        <v>116.9483617093743</v>
      </c>
      <c r="Z52" s="13">
        <v>9.0117235294353382</v>
      </c>
      <c r="AA52" s="13">
        <v>2.1635982896185899</v>
      </c>
      <c r="AB52" s="13">
        <v>3.7827549566749941</v>
      </c>
      <c r="AC52" s="13">
        <v>46.122123483588702</v>
      </c>
      <c r="AD52" s="13">
        <v>62.358386608883507</v>
      </c>
      <c r="AE52" s="13">
        <v>95.613613818643927</v>
      </c>
      <c r="AF52" s="13">
        <v>133.17330273389135</v>
      </c>
      <c r="AG52" s="13"/>
      <c r="AH52" s="13">
        <v>169.85356977665296</v>
      </c>
      <c r="AI52" s="13">
        <v>187.12314210399117</v>
      </c>
      <c r="AJ52" s="13">
        <v>215.35817741956612</v>
      </c>
      <c r="AK52" s="13">
        <v>337.04931837907998</v>
      </c>
      <c r="AL52" s="13">
        <v>485.44330726719846</v>
      </c>
      <c r="AM52" s="13">
        <v>846.01206870326428</v>
      </c>
      <c r="AN52" s="13">
        <v>1030.9823645683593</v>
      </c>
      <c r="AO52" s="13">
        <v>1222.2103205149619</v>
      </c>
      <c r="AP52" s="13">
        <v>0.1343124800143666</v>
      </c>
      <c r="AQ52" s="13">
        <v>1.2302940844403127</v>
      </c>
      <c r="AR52" s="13">
        <v>3.3324621010477551</v>
      </c>
      <c r="AS52" s="13">
        <v>5.2542275874215525</v>
      </c>
      <c r="AT52" s="13"/>
      <c r="AU52" s="13">
        <v>8.3660198896018017</v>
      </c>
      <c r="AV52" s="13">
        <v>8.5924874579755901</v>
      </c>
      <c r="AW52" s="13">
        <v>10.674006814629049</v>
      </c>
      <c r="AX52" s="13">
        <v>13.951887160489715</v>
      </c>
      <c r="AY52" s="13">
        <v>16.166806689765149</v>
      </c>
      <c r="AZ52" s="13">
        <v>17.670319345069728</v>
      </c>
      <c r="BA52" s="13">
        <v>18.24873432012258</v>
      </c>
      <c r="BB52" s="13">
        <v>18.555298530956293</v>
      </c>
      <c r="BC52" s="13"/>
    </row>
    <row r="53" spans="1:55" x14ac:dyDescent="0.25">
      <c r="A53" s="6">
        <v>2012</v>
      </c>
      <c r="B53" s="9">
        <v>41097</v>
      </c>
      <c r="C53" s="11" t="s">
        <v>43</v>
      </c>
      <c r="D53" s="2" t="s">
        <v>53</v>
      </c>
      <c r="E53" s="11" t="s">
        <v>17</v>
      </c>
      <c r="F53" s="2" t="s">
        <v>37</v>
      </c>
      <c r="G53" s="2" t="s">
        <v>446</v>
      </c>
      <c r="H53" s="2" t="s">
        <v>34</v>
      </c>
      <c r="I53" s="23" t="s">
        <v>38</v>
      </c>
      <c r="J53" s="34" t="s">
        <v>60</v>
      </c>
      <c r="K53" s="8" t="s">
        <v>30</v>
      </c>
      <c r="L53" s="40">
        <v>410</v>
      </c>
      <c r="M53" s="40">
        <v>500</v>
      </c>
      <c r="N53" s="16">
        <v>20.593769220205452</v>
      </c>
      <c r="O53" s="16">
        <v>93.172293442946213</v>
      </c>
      <c r="P53" s="13">
        <v>18.484999999999999</v>
      </c>
      <c r="Q53" s="25">
        <v>76.007573708412224</v>
      </c>
      <c r="R53" s="16">
        <v>1.0850174499875755</v>
      </c>
      <c r="S53" s="13">
        <v>57.626601887198433</v>
      </c>
      <c r="T53" s="13">
        <v>89.210606710620027</v>
      </c>
      <c r="U53" s="13">
        <v>6.8395343343440889</v>
      </c>
      <c r="V53" s="13">
        <v>2.0113338847524114</v>
      </c>
      <c r="W53" s="13">
        <v>0.91623064744087235</v>
      </c>
      <c r="X53" s="13">
        <v>85.593714431427344</v>
      </c>
      <c r="Y53" s="13">
        <v>116.36141458482129</v>
      </c>
      <c r="Z53" s="13">
        <v>9.1811683045183159</v>
      </c>
      <c r="AA53" s="13">
        <v>2.6619998473930866</v>
      </c>
      <c r="AB53" s="13">
        <v>1.2364087971384443</v>
      </c>
      <c r="AC53" s="13">
        <v>49.29475038511405</v>
      </c>
      <c r="AD53" s="13">
        <v>72.267389458829356</v>
      </c>
      <c r="AE53" s="13">
        <v>120.06636559513238</v>
      </c>
      <c r="AF53" s="13">
        <v>173.77282578402244</v>
      </c>
      <c r="AG53" s="13"/>
      <c r="AH53" s="13">
        <v>221.68212469737543</v>
      </c>
      <c r="AI53" s="13">
        <v>231.51854410872605</v>
      </c>
      <c r="AJ53" s="13">
        <v>279.45769919352472</v>
      </c>
      <c r="AK53" s="13">
        <v>415.63322034033638</v>
      </c>
      <c r="AL53" s="13">
        <v>573.61442832783405</v>
      </c>
      <c r="AM53" s="13">
        <v>933.05544253228834</v>
      </c>
      <c r="AN53" s="13">
        <v>1117.7492177921092</v>
      </c>
      <c r="AO53" s="13">
        <v>1307.1875483674733</v>
      </c>
      <c r="AP53" s="13">
        <v>2.6925519330404546E-2</v>
      </c>
      <c r="AQ53" s="13">
        <v>1.2036808572730038</v>
      </c>
      <c r="AR53" s="13">
        <v>3.5010685940020845</v>
      </c>
      <c r="AS53" s="13">
        <v>5.5811380805561148</v>
      </c>
      <c r="AT53" s="13"/>
      <c r="AU53" s="13">
        <v>8.269213488725347</v>
      </c>
      <c r="AV53" s="13">
        <v>8.3743294876737142</v>
      </c>
      <c r="AW53" s="13">
        <v>10.397895403007251</v>
      </c>
      <c r="AX53" s="13">
        <v>13.583959306378727</v>
      </c>
      <c r="AY53" s="13">
        <v>15.692538704357691</v>
      </c>
      <c r="AZ53" s="13">
        <v>17.496075857853224</v>
      </c>
      <c r="BA53" s="13">
        <v>18.100834845170816</v>
      </c>
      <c r="BB53" s="13">
        <v>18.507282976142033</v>
      </c>
      <c r="BC53" s="13"/>
    </row>
    <row r="54" spans="1:55" x14ac:dyDescent="0.25">
      <c r="A54" s="6">
        <v>2012</v>
      </c>
      <c r="B54" s="9">
        <v>41097</v>
      </c>
      <c r="C54" s="11" t="s">
        <v>43</v>
      </c>
      <c r="D54" s="2" t="s">
        <v>53</v>
      </c>
      <c r="E54" s="11" t="s">
        <v>17</v>
      </c>
      <c r="F54" s="2" t="s">
        <v>37</v>
      </c>
      <c r="G54" s="2" t="s">
        <v>446</v>
      </c>
      <c r="H54" s="2" t="s">
        <v>34</v>
      </c>
      <c r="I54" s="23" t="s">
        <v>57</v>
      </c>
      <c r="J54" s="34" t="s">
        <v>104</v>
      </c>
      <c r="K54" s="8" t="s">
        <v>31</v>
      </c>
      <c r="L54" s="40">
        <v>410</v>
      </c>
      <c r="M54" s="40">
        <v>500</v>
      </c>
      <c r="N54" s="16">
        <v>20.561563198383038</v>
      </c>
      <c r="O54" s="16">
        <v>92.843880286583527</v>
      </c>
      <c r="P54" s="13">
        <v>9.48</v>
      </c>
      <c r="Q54" s="25">
        <v>106.01265822784811</v>
      </c>
      <c r="R54" s="16">
        <v>0.73579579610889034</v>
      </c>
      <c r="S54" s="13">
        <v>28.101893783693328</v>
      </c>
      <c r="T54" s="13">
        <v>43.872663762669063</v>
      </c>
      <c r="U54" s="13">
        <v>3.5150188226417529</v>
      </c>
      <c r="V54" s="13">
        <v>2.134592983435557</v>
      </c>
      <c r="W54" s="13">
        <v>0.53002232187608345</v>
      </c>
      <c r="X54" s="13">
        <v>41.862807196386107</v>
      </c>
      <c r="Y54" s="13">
        <v>57.337998309646174</v>
      </c>
      <c r="Z54" s="13">
        <v>4.7292170385821342</v>
      </c>
      <c r="AA54" s="13">
        <v>2.8310237426248062</v>
      </c>
      <c r="AB54" s="13">
        <v>0.71683370112912792</v>
      </c>
      <c r="AC54" s="13">
        <v>58.585998826859338</v>
      </c>
      <c r="AD54" s="13">
        <v>79.232675143115515</v>
      </c>
      <c r="AE54" s="13">
        <v>127.62304256925954</v>
      </c>
      <c r="AF54" s="13">
        <v>167.73834765723328</v>
      </c>
      <c r="AG54" s="13"/>
      <c r="AH54" s="13">
        <v>237.43666493021414</v>
      </c>
      <c r="AI54" s="13">
        <v>299.82831194712014</v>
      </c>
      <c r="AJ54" s="13">
        <v>324.73544686857286</v>
      </c>
      <c r="AK54" s="13">
        <v>498.68116045493446</v>
      </c>
      <c r="AL54" s="13">
        <v>684.46072624369162</v>
      </c>
      <c r="AM54" s="13">
        <v>1056.3551649568781</v>
      </c>
      <c r="AN54" s="13">
        <v>1242.1154055747475</v>
      </c>
      <c r="AO54" s="13">
        <v>1423.352574898212</v>
      </c>
      <c r="AP54" s="13">
        <v>-0.23360186405547315</v>
      </c>
      <c r="AQ54" s="13">
        <v>0.41973433009420735</v>
      </c>
      <c r="AR54" s="13">
        <v>1.39836138367211</v>
      </c>
      <c r="AS54" s="13">
        <v>2.3016840417622757</v>
      </c>
      <c r="AT54" s="13"/>
      <c r="AU54" s="13">
        <v>4.4166757215937267</v>
      </c>
      <c r="AV54" s="13">
        <v>3.046724078920219</v>
      </c>
      <c r="AW54" s="13">
        <v>5.2775370208104668</v>
      </c>
      <c r="AX54" s="13">
        <v>6.544644654926703</v>
      </c>
      <c r="AY54" s="13">
        <v>7.3220702808463001</v>
      </c>
      <c r="AZ54" s="13">
        <v>8.2042870066137734</v>
      </c>
      <c r="BA54" s="13">
        <v>8.2462110271982745</v>
      </c>
      <c r="BB54" s="13">
        <v>8.4104669053774614</v>
      </c>
      <c r="BC54" s="13"/>
    </row>
    <row r="55" spans="1:55" x14ac:dyDescent="0.25">
      <c r="A55" s="6">
        <v>2012</v>
      </c>
      <c r="B55" s="9">
        <v>41097</v>
      </c>
      <c r="C55" s="11" t="s">
        <v>43</v>
      </c>
      <c r="D55" s="2" t="s">
        <v>53</v>
      </c>
      <c r="E55" s="11" t="s">
        <v>17</v>
      </c>
      <c r="F55" s="2" t="s">
        <v>37</v>
      </c>
      <c r="G55" s="2" t="s">
        <v>446</v>
      </c>
      <c r="H55" s="2" t="s">
        <v>34</v>
      </c>
      <c r="I55" s="23" t="s">
        <v>38</v>
      </c>
      <c r="J55" s="34" t="s">
        <v>94</v>
      </c>
      <c r="K55" s="8" t="s">
        <v>31</v>
      </c>
      <c r="L55" s="40">
        <v>410</v>
      </c>
      <c r="M55" s="40">
        <v>500</v>
      </c>
      <c r="N55" s="16">
        <v>19.996907160832333</v>
      </c>
      <c r="O55" s="16">
        <v>92.70625598614032</v>
      </c>
      <c r="P55" s="13">
        <v>7.391</v>
      </c>
      <c r="Q55" s="25">
        <v>46.272493573264782</v>
      </c>
      <c r="R55" s="16">
        <v>0.87323870616181076</v>
      </c>
      <c r="S55" s="13">
        <v>20.443847439439246</v>
      </c>
      <c r="T55" s="13">
        <v>46.836686298391662</v>
      </c>
      <c r="U55" s="13">
        <v>3.5602692106907461</v>
      </c>
      <c r="V55" s="13">
        <v>3.0227522381296916</v>
      </c>
      <c r="W55" s="13">
        <v>0.45589247555990847</v>
      </c>
      <c r="X55" s="13">
        <v>32.065323214733148</v>
      </c>
      <c r="Y55" s="13">
        <v>63.368524821739044</v>
      </c>
      <c r="Z55" s="13">
        <v>4.9865808049164686</v>
      </c>
      <c r="AA55" s="13">
        <v>4.1583678278031897</v>
      </c>
      <c r="AB55" s="13">
        <v>0.64117337777836003</v>
      </c>
      <c r="AC55" s="13">
        <v>67.171505387271182</v>
      </c>
      <c r="AD55" s="13">
        <v>102.0623858656088</v>
      </c>
      <c r="AE55" s="13">
        <v>160.16996645470988</v>
      </c>
      <c r="AF55" s="13">
        <v>215.46102576956207</v>
      </c>
      <c r="AG55" s="13"/>
      <c r="AH55" s="13">
        <v>248.65141633692633</v>
      </c>
      <c r="AI55" s="13"/>
      <c r="AJ55" s="13">
        <v>327.22128272416802</v>
      </c>
      <c r="AK55" s="13">
        <v>471.37491584597302</v>
      </c>
      <c r="AL55" s="13">
        <v>629.28739896763295</v>
      </c>
      <c r="AM55" s="13">
        <v>973.54736867308191</v>
      </c>
      <c r="AN55" s="13">
        <v>1146.0580495149159</v>
      </c>
      <c r="AO55" s="13">
        <v>1330.7888793566483</v>
      </c>
      <c r="AP55" s="13">
        <v>-0.4271168956899557</v>
      </c>
      <c r="AQ55" s="13">
        <v>-9.7913154892169382E-2</v>
      </c>
      <c r="AR55" s="13">
        <v>0.63153697246440232</v>
      </c>
      <c r="AS55" s="13">
        <v>1.3142360045886297</v>
      </c>
      <c r="AT55" s="13"/>
      <c r="AU55" s="13">
        <v>3.2960751853750461</v>
      </c>
      <c r="AV55" s="13"/>
      <c r="AW55" s="13">
        <v>3.9023584079273355</v>
      </c>
      <c r="AX55" s="13">
        <v>5.3916283322213454</v>
      </c>
      <c r="AY55" s="13">
        <v>6.4485683131295346</v>
      </c>
      <c r="AZ55" s="13">
        <v>7.7327709760367815</v>
      </c>
      <c r="BA55" s="13">
        <v>8.1152863471955943</v>
      </c>
      <c r="BB55" s="13">
        <v>8.3293407943483988</v>
      </c>
      <c r="BC55" s="13"/>
    </row>
    <row r="56" spans="1:55" x14ac:dyDescent="0.25">
      <c r="A56" s="6">
        <v>2012</v>
      </c>
      <c r="B56" s="9">
        <v>41103</v>
      </c>
      <c r="C56" s="11" t="s">
        <v>43</v>
      </c>
      <c r="D56" s="2" t="s">
        <v>53</v>
      </c>
      <c r="E56" s="11" t="s">
        <v>18</v>
      </c>
      <c r="F56" s="2" t="s">
        <v>37</v>
      </c>
      <c r="G56" s="2" t="s">
        <v>446</v>
      </c>
      <c r="H56" s="2" t="s">
        <v>34</v>
      </c>
      <c r="I56" s="23" t="s">
        <v>38</v>
      </c>
      <c r="J56" s="34" t="s">
        <v>4</v>
      </c>
      <c r="K56" s="8" t="s">
        <v>29</v>
      </c>
      <c r="L56" s="40">
        <v>505</v>
      </c>
      <c r="M56" s="40">
        <v>420</v>
      </c>
      <c r="N56" s="16">
        <v>19.826883022601788</v>
      </c>
      <c r="O56" s="16">
        <v>92.696622995229873</v>
      </c>
      <c r="P56" s="13">
        <v>18.562000000000001</v>
      </c>
      <c r="Q56" s="25">
        <v>103.97586466975541</v>
      </c>
      <c r="R56" s="16">
        <v>2.4487825563055376</v>
      </c>
      <c r="S56" s="13">
        <v>32.519069500629904</v>
      </c>
      <c r="T56" s="13">
        <v>61.787117162907641</v>
      </c>
      <c r="U56" s="13">
        <v>4.9849675672792451</v>
      </c>
      <c r="V56" s="13">
        <v>1.3657424728950887</v>
      </c>
      <c r="W56" s="13">
        <v>1.4855248144378574</v>
      </c>
      <c r="X56" s="13">
        <v>51.804433992087347</v>
      </c>
      <c r="Y56" s="13">
        <v>84.474398082441468</v>
      </c>
      <c r="Z56" s="13">
        <v>7.0676363980484069</v>
      </c>
      <c r="AA56" s="13">
        <v>1.8997060103376813</v>
      </c>
      <c r="AB56" s="13">
        <v>2.1140803150188101</v>
      </c>
      <c r="AC56" s="13">
        <v>51.455552263512644</v>
      </c>
      <c r="AD56" s="13">
        <v>76.030118491691368</v>
      </c>
      <c r="AE56" s="13">
        <v>127.54301460213121</v>
      </c>
      <c r="AF56" s="13">
        <v>184.80432460635538</v>
      </c>
      <c r="AG56" s="13">
        <v>250.86520255335643</v>
      </c>
      <c r="AH56" s="13">
        <v>256.30946561346462</v>
      </c>
      <c r="AI56" s="13"/>
      <c r="AJ56" s="13">
        <v>330.41658342670593</v>
      </c>
      <c r="AK56" s="13">
        <v>496.43176320600116</v>
      </c>
      <c r="AL56" s="13">
        <v>672.99937803564217</v>
      </c>
      <c r="AM56" s="13">
        <v>1046.5009690315619</v>
      </c>
      <c r="AN56" s="13">
        <v>1232.3717487984327</v>
      </c>
      <c r="AO56" s="13">
        <v>1417.5432995018364</v>
      </c>
      <c r="AP56" s="13">
        <v>-0.12284716003303636</v>
      </c>
      <c r="AQ56" s="13">
        <v>1.1967893939703305</v>
      </c>
      <c r="AR56" s="13">
        <v>3.6646304262528884</v>
      </c>
      <c r="AS56" s="13">
        <v>5.8044968037446614</v>
      </c>
      <c r="AT56" s="13">
        <v>7.4188909775414418</v>
      </c>
      <c r="AU56" s="13">
        <v>7.67832868392785</v>
      </c>
      <c r="AV56" s="13"/>
      <c r="AW56" s="13">
        <v>9.0894991581303497</v>
      </c>
      <c r="AX56" s="13">
        <v>10.834826792303081</v>
      </c>
      <c r="AY56" s="13">
        <v>11.922906332182992</v>
      </c>
      <c r="AZ56" s="13">
        <v>12.815861854152194</v>
      </c>
      <c r="BA56" s="13">
        <v>13.228590984429458</v>
      </c>
      <c r="BB56" s="13">
        <v>13.589168938177833</v>
      </c>
      <c r="BC56" s="13"/>
    </row>
    <row r="57" spans="1:55" x14ac:dyDescent="0.25">
      <c r="A57" s="6">
        <v>2012</v>
      </c>
      <c r="B57" s="9">
        <v>41103</v>
      </c>
      <c r="C57" s="11" t="s">
        <v>43</v>
      </c>
      <c r="D57" s="2" t="s">
        <v>53</v>
      </c>
      <c r="E57" s="11" t="s">
        <v>18</v>
      </c>
      <c r="F57" s="2" t="s">
        <v>37</v>
      </c>
      <c r="G57" s="2" t="s">
        <v>446</v>
      </c>
      <c r="H57" s="2" t="s">
        <v>34</v>
      </c>
      <c r="I57" s="23" t="s">
        <v>38</v>
      </c>
      <c r="J57" s="34" t="s">
        <v>50</v>
      </c>
      <c r="K57" s="8" t="s">
        <v>29</v>
      </c>
      <c r="L57" s="40">
        <v>505</v>
      </c>
      <c r="M57" s="40">
        <v>420</v>
      </c>
      <c r="N57" s="16">
        <v>19.778817543616661</v>
      </c>
      <c r="O57" s="16">
        <v>92.564684941218445</v>
      </c>
      <c r="P57" s="13">
        <v>25.713000000000001</v>
      </c>
      <c r="Q57" s="25">
        <v>89.060008555983345</v>
      </c>
      <c r="R57" s="16">
        <v>2.4102903687904469</v>
      </c>
      <c r="S57" s="13">
        <v>41.112691644461137</v>
      </c>
      <c r="T57" s="13">
        <v>78.028096840261739</v>
      </c>
      <c r="U57" s="13">
        <v>6.2044165533293851</v>
      </c>
      <c r="V57" s="13">
        <v>1.4531094857376092</v>
      </c>
      <c r="W57" s="13">
        <v>1.3180929469095222</v>
      </c>
      <c r="X57" s="13">
        <v>65.783354499795408</v>
      </c>
      <c r="Y57" s="13">
        <v>106.9947621589518</v>
      </c>
      <c r="Z57" s="13">
        <v>8.8269692868156415</v>
      </c>
      <c r="AA57" s="13">
        <v>2.0275571105943686</v>
      </c>
      <c r="AB57" s="13">
        <v>1.882081908180318</v>
      </c>
      <c r="AC57" s="13">
        <v>49.038314958981879</v>
      </c>
      <c r="AD57" s="13">
        <v>75.865613890785966</v>
      </c>
      <c r="AE57" s="13">
        <v>127.27239027625492</v>
      </c>
      <c r="AF57" s="13">
        <v>185.90896967748191</v>
      </c>
      <c r="AG57" s="13">
        <v>251.79824548360088</v>
      </c>
      <c r="AH57" s="13">
        <v>252.58226708853107</v>
      </c>
      <c r="AI57" s="13">
        <v>257.57115387219443</v>
      </c>
      <c r="AJ57" s="13">
        <v>326.18188970737282</v>
      </c>
      <c r="AK57" s="13">
        <v>484.95769355692477</v>
      </c>
      <c r="AL57" s="13">
        <v>657.47057128499557</v>
      </c>
      <c r="AM57" s="13">
        <v>1025.4345645284391</v>
      </c>
      <c r="AN57" s="13">
        <v>1211.8030631589481</v>
      </c>
      <c r="AO57" s="13">
        <v>1399.172419793249</v>
      </c>
      <c r="AP57" s="13">
        <v>-9.9968592073107571E-2</v>
      </c>
      <c r="AQ57" s="13">
        <v>1.3934740970410648</v>
      </c>
      <c r="AR57" s="13">
        <v>4.4240834345435882</v>
      </c>
      <c r="AS57" s="13">
        <v>6.9325536760155542</v>
      </c>
      <c r="AT57" s="13">
        <v>8.9297172101053146</v>
      </c>
      <c r="AU57" s="13">
        <v>9.0261802004440082</v>
      </c>
      <c r="AV57" s="13">
        <v>8.965322481675118</v>
      </c>
      <c r="AW57" s="13">
        <v>11.053480924941228</v>
      </c>
      <c r="AX57" s="13">
        <v>13.609517667896965</v>
      </c>
      <c r="AY57" s="13">
        <v>15.131387558669394</v>
      </c>
      <c r="AZ57" s="13">
        <v>16.463782296949319</v>
      </c>
      <c r="BA57" s="13">
        <v>16.795359297969512</v>
      </c>
      <c r="BB57" s="13">
        <v>17.160124271020592</v>
      </c>
      <c r="BC57" s="13"/>
    </row>
    <row r="58" spans="1:55" x14ac:dyDescent="0.25">
      <c r="A58" s="6">
        <v>2012</v>
      </c>
      <c r="B58" s="9">
        <v>41103</v>
      </c>
      <c r="C58" s="11" t="s">
        <v>43</v>
      </c>
      <c r="D58" s="2" t="s">
        <v>53</v>
      </c>
      <c r="E58" s="11" t="s">
        <v>18</v>
      </c>
      <c r="F58" s="2" t="s">
        <v>37</v>
      </c>
      <c r="G58" s="2" t="s">
        <v>446</v>
      </c>
      <c r="H58" s="2" t="s">
        <v>34</v>
      </c>
      <c r="I58" s="23" t="s">
        <v>38</v>
      </c>
      <c r="J58" s="34" t="s">
        <v>5</v>
      </c>
      <c r="K58" s="8" t="s">
        <v>30</v>
      </c>
      <c r="L58" s="40">
        <v>505</v>
      </c>
      <c r="M58" s="40">
        <v>420</v>
      </c>
      <c r="N58" s="16">
        <v>20.068728080162636</v>
      </c>
      <c r="O58" s="16">
        <v>92.719296382023742</v>
      </c>
      <c r="P58" s="13">
        <v>16.407</v>
      </c>
      <c r="Q58" s="25">
        <v>63.387578472603145</v>
      </c>
      <c r="R58" s="16">
        <v>1.1083932747695973</v>
      </c>
      <c r="S58" s="13">
        <v>39.978112642782861</v>
      </c>
      <c r="T58" s="13">
        <v>63.04771445973828</v>
      </c>
      <c r="U58" s="13">
        <v>5.0204395810784721</v>
      </c>
      <c r="V58" s="13">
        <v>1.6374570357129379</v>
      </c>
      <c r="W58" s="13">
        <v>0.74735220266768576</v>
      </c>
      <c r="X58" s="13">
        <v>62.293661675304683</v>
      </c>
      <c r="Y58" s="13">
        <v>84.926007470539702</v>
      </c>
      <c r="Z58" s="13">
        <v>6.9956994206691965</v>
      </c>
      <c r="AA58" s="13">
        <v>2.2421543636851951</v>
      </c>
      <c r="AB58" s="13">
        <v>1.045860637355317</v>
      </c>
      <c r="AC58" s="13">
        <v>50.800236347969708</v>
      </c>
      <c r="AD58" s="13">
        <v>75.219296833008698</v>
      </c>
      <c r="AE58" s="13">
        <v>122.56723567950233</v>
      </c>
      <c r="AF58" s="13">
        <v>170.90442351377328</v>
      </c>
      <c r="AG58" s="13">
        <v>228.27054213692003</v>
      </c>
      <c r="AH58" s="13">
        <v>244.95588190908867</v>
      </c>
      <c r="AI58" s="13">
        <v>246.7841257914807</v>
      </c>
      <c r="AJ58" s="13">
        <v>315.54075670562321</v>
      </c>
      <c r="AK58" s="13">
        <v>467.68831488990446</v>
      </c>
      <c r="AL58" s="13">
        <v>631.96435212277606</v>
      </c>
      <c r="AM58" s="13">
        <v>1008.4243037708226</v>
      </c>
      <c r="AN58" s="13">
        <v>1191.7588792947704</v>
      </c>
      <c r="AO58" s="13">
        <v>1380.835596514725</v>
      </c>
      <c r="AP58" s="13">
        <v>-5.9713378083551046E-2</v>
      </c>
      <c r="AQ58" s="13">
        <v>0.89841041624434537</v>
      </c>
      <c r="AR58" s="13">
        <v>2.8276712139885922</v>
      </c>
      <c r="AS58" s="13">
        <v>4.6369588336741776</v>
      </c>
      <c r="AT58" s="13">
        <v>6.0821237282771614</v>
      </c>
      <c r="AU58" s="13">
        <v>6.4210878655863759</v>
      </c>
      <c r="AV58" s="13">
        <v>7.0414392490659488</v>
      </c>
      <c r="AW58" s="13">
        <v>7.8784190202064011</v>
      </c>
      <c r="AX58" s="13">
        <v>10.070740426502887</v>
      </c>
      <c r="AY58" s="13">
        <v>11.610874794613236</v>
      </c>
      <c r="AZ58" s="13">
        <v>12.426746783606911</v>
      </c>
      <c r="BA58" s="13">
        <v>13.005308483893547</v>
      </c>
      <c r="BB58" s="13">
        <v>13.423868260891298</v>
      </c>
      <c r="BC58" s="13"/>
    </row>
    <row r="59" spans="1:55" x14ac:dyDescent="0.25">
      <c r="A59" s="6">
        <v>2012</v>
      </c>
      <c r="B59" s="9">
        <v>41103</v>
      </c>
      <c r="C59" s="11" t="s">
        <v>43</v>
      </c>
      <c r="D59" s="2" t="s">
        <v>53</v>
      </c>
      <c r="E59" s="11" t="s">
        <v>18</v>
      </c>
      <c r="F59" s="2" t="s">
        <v>37</v>
      </c>
      <c r="G59" s="2" t="s">
        <v>446</v>
      </c>
      <c r="H59" s="2" t="s">
        <v>34</v>
      </c>
      <c r="I59" s="23" t="s">
        <v>41</v>
      </c>
      <c r="J59" s="34" t="s">
        <v>74</v>
      </c>
      <c r="K59" s="8" t="s">
        <v>30</v>
      </c>
      <c r="L59" s="40">
        <v>505</v>
      </c>
      <c r="M59" s="40">
        <v>420</v>
      </c>
      <c r="N59" s="16">
        <v>20.120905802800106</v>
      </c>
      <c r="O59" s="16">
        <v>92.586084219125595</v>
      </c>
      <c r="P59" s="13">
        <v>23.04</v>
      </c>
      <c r="Q59" s="19">
        <v>50.564236111111114</v>
      </c>
      <c r="R59" s="16">
        <v>0.7320227680211806</v>
      </c>
      <c r="S59" s="13">
        <v>33.645681827717198</v>
      </c>
      <c r="T59" s="13">
        <v>66.026892194635309</v>
      </c>
      <c r="U59" s="13">
        <v>5.0979045572828916</v>
      </c>
      <c r="V59" s="13">
        <v>1.7476293045737095</v>
      </c>
      <c r="W59" s="13">
        <v>0.74772682163224879</v>
      </c>
      <c r="X59" s="13">
        <v>52.177135617859868</v>
      </c>
      <c r="Y59" s="13">
        <v>88.654499020227746</v>
      </c>
      <c r="Z59" s="13">
        <v>7.0772142168781951</v>
      </c>
      <c r="AA59" s="13">
        <v>2.3849240635661024</v>
      </c>
      <c r="AB59" s="13">
        <v>1.0426044772597911</v>
      </c>
      <c r="AC59" s="13">
        <v>48.770203398172058</v>
      </c>
      <c r="AD59" s="13">
        <v>74.735019424575867</v>
      </c>
      <c r="AE59" s="13">
        <v>124.74702919259573</v>
      </c>
      <c r="AF59" s="13">
        <v>180.48670279518086</v>
      </c>
      <c r="AG59" s="13"/>
      <c r="AH59" s="13">
        <v>223.4369491396015</v>
      </c>
      <c r="AI59" s="13">
        <v>229.91358772472131</v>
      </c>
      <c r="AJ59" s="13">
        <v>276.5315815526115</v>
      </c>
      <c r="AK59" s="13">
        <v>400.35626955284459</v>
      </c>
      <c r="AL59" s="13">
        <v>544.44091956639579</v>
      </c>
      <c r="AM59" s="13">
        <v>894.788662734902</v>
      </c>
      <c r="AN59" s="13">
        <v>1081.3474836715095</v>
      </c>
      <c r="AO59" s="13">
        <v>1268.2180305101767</v>
      </c>
      <c r="AP59" s="13">
        <v>-5.0931677355104926E-2</v>
      </c>
      <c r="AQ59" s="13">
        <v>0.71241791529706677</v>
      </c>
      <c r="AR59" s="13">
        <v>2.1500468890411999</v>
      </c>
      <c r="AS59" s="13">
        <v>3.4167316330379895</v>
      </c>
      <c r="AT59" s="13"/>
      <c r="AU59" s="13">
        <v>5.4361945433025207</v>
      </c>
      <c r="AV59" s="13">
        <v>5.565051199881986</v>
      </c>
      <c r="AW59" s="13">
        <v>7.0226496914972625</v>
      </c>
      <c r="AX59" s="13">
        <v>9.4838328527142099</v>
      </c>
      <c r="AY59" s="13">
        <v>11.371462196192786</v>
      </c>
      <c r="AZ59" s="13">
        <v>12.818900590659641</v>
      </c>
      <c r="BA59" s="13">
        <v>13.24977164386082</v>
      </c>
      <c r="BB59" s="13">
        <v>13.546082976510061</v>
      </c>
      <c r="BC59" s="13"/>
    </row>
    <row r="60" spans="1:55" x14ac:dyDescent="0.25">
      <c r="A60" s="6">
        <v>2012</v>
      </c>
      <c r="B60" s="9">
        <v>41103</v>
      </c>
      <c r="C60" s="11" t="s">
        <v>43</v>
      </c>
      <c r="D60" s="2" t="s">
        <v>53</v>
      </c>
      <c r="E60" s="11" t="s">
        <v>18</v>
      </c>
      <c r="F60" s="2" t="s">
        <v>37</v>
      </c>
      <c r="G60" s="2" t="s">
        <v>446</v>
      </c>
      <c r="H60" s="2" t="s">
        <v>34</v>
      </c>
      <c r="I60" s="23" t="s">
        <v>41</v>
      </c>
      <c r="J60" s="34" t="s">
        <v>61</v>
      </c>
      <c r="K60" s="8" t="s">
        <v>31</v>
      </c>
      <c r="L60" s="40">
        <v>505</v>
      </c>
      <c r="M60" s="40">
        <v>420</v>
      </c>
      <c r="N60" s="16">
        <v>20.141448534452</v>
      </c>
      <c r="O60" s="16">
        <v>92.557895366962143</v>
      </c>
      <c r="P60" s="13">
        <v>12.628</v>
      </c>
      <c r="Q60" s="42">
        <v>314.38074121000949</v>
      </c>
      <c r="R60" s="16">
        <v>0.32661377725942087</v>
      </c>
      <c r="S60" s="13">
        <v>24.049538648639867</v>
      </c>
      <c r="T60" s="13">
        <v>49.455739397264097</v>
      </c>
      <c r="U60" s="13">
        <v>3.8479874639455107</v>
      </c>
      <c r="V60" s="13">
        <v>1.1698173394601985</v>
      </c>
      <c r="W60" s="13">
        <v>0.77451320986360006</v>
      </c>
      <c r="X60" s="13">
        <v>37.225677774410833</v>
      </c>
      <c r="Y60" s="13">
        <v>66.320675497271026</v>
      </c>
      <c r="Z60" s="13">
        <v>5.3341766053889526</v>
      </c>
      <c r="AA60" s="13">
        <v>1.5942798050380733</v>
      </c>
      <c r="AB60" s="13">
        <v>1.0784170701445399</v>
      </c>
      <c r="AC60" s="13">
        <v>51.329757295707218</v>
      </c>
      <c r="AD60" s="13">
        <v>77.029039864786839</v>
      </c>
      <c r="AE60" s="13">
        <v>126.11320935989092</v>
      </c>
      <c r="AF60" s="13">
        <v>182.7997660246503</v>
      </c>
      <c r="AG60" s="13">
        <v>240.64633707952282</v>
      </c>
      <c r="AH60" s="13"/>
      <c r="AI60" s="13">
        <v>249.7524765390072</v>
      </c>
      <c r="AJ60" s="13">
        <v>292.60702680347725</v>
      </c>
      <c r="AK60" s="13">
        <v>436.78910955162189</v>
      </c>
      <c r="AL60" s="13">
        <v>598.94180720711211</v>
      </c>
      <c r="AM60" s="13">
        <v>971.54045941859192</v>
      </c>
      <c r="AN60" s="13">
        <v>1153.231950915743</v>
      </c>
      <c r="AO60" s="13">
        <v>1339.5216029890466</v>
      </c>
      <c r="AP60" s="13">
        <v>-0.11788522546831255</v>
      </c>
      <c r="AQ60" s="13">
        <v>0.64278217081093592</v>
      </c>
      <c r="AR60" s="13">
        <v>2.1198018986769922</v>
      </c>
      <c r="AS60" s="13">
        <v>3.4011184361501567</v>
      </c>
      <c r="AT60" s="13">
        <v>4.612382548136444</v>
      </c>
      <c r="AU60" s="13"/>
      <c r="AV60" s="13">
        <v>4.5875516394311537</v>
      </c>
      <c r="AW60" s="13">
        <v>6.3845084920927384</v>
      </c>
      <c r="AX60" s="13">
        <v>8.1214591470875934</v>
      </c>
      <c r="AY60" s="13">
        <v>9.2754116013921024</v>
      </c>
      <c r="AZ60" s="13">
        <v>9.8567494153166706</v>
      </c>
      <c r="BA60" s="13">
        <v>10.162770468116982</v>
      </c>
      <c r="BB60" s="13">
        <v>10.374146302001105</v>
      </c>
      <c r="BC60" s="13"/>
    </row>
    <row r="61" spans="1:55" s="14" customFormat="1" x14ac:dyDescent="0.25">
      <c r="A61" s="6">
        <v>2012</v>
      </c>
      <c r="B61" s="9">
        <v>41103</v>
      </c>
      <c r="C61" s="11" t="s">
        <v>43</v>
      </c>
      <c r="D61" s="2" t="s">
        <v>53</v>
      </c>
      <c r="E61" s="11" t="s">
        <v>18</v>
      </c>
      <c r="F61" s="2" t="s">
        <v>37</v>
      </c>
      <c r="G61" s="2" t="s">
        <v>446</v>
      </c>
      <c r="H61" s="2" t="s">
        <v>34</v>
      </c>
      <c r="I61" s="23" t="s">
        <v>38</v>
      </c>
      <c r="J61" s="34" t="s">
        <v>99</v>
      </c>
      <c r="K61" s="8" t="s">
        <v>31</v>
      </c>
      <c r="L61" s="40">
        <v>505</v>
      </c>
      <c r="M61" s="40">
        <v>420</v>
      </c>
      <c r="N61" s="16">
        <v>20.171280347383938</v>
      </c>
      <c r="O61" s="16">
        <v>92.691544165978058</v>
      </c>
      <c r="P61" s="13">
        <v>19.425000000000001</v>
      </c>
      <c r="Q61" s="25">
        <v>59.202059202059196</v>
      </c>
      <c r="R61" s="16">
        <v>0.9453194793470886</v>
      </c>
      <c r="S61" s="13">
        <v>51.289428161181888</v>
      </c>
      <c r="T61" s="13">
        <v>77.937367324919194</v>
      </c>
      <c r="U61" s="13">
        <v>5.9812742295941712</v>
      </c>
      <c r="V61" s="13">
        <v>1.383242219824931</v>
      </c>
      <c r="W61" s="13">
        <v>0.99224201024316283</v>
      </c>
      <c r="X61" s="13">
        <v>79.173590932055944</v>
      </c>
      <c r="Y61" s="13">
        <v>104.32365034684145</v>
      </c>
      <c r="Z61" s="13">
        <v>8.2737612167549806</v>
      </c>
      <c r="AA61" s="13">
        <v>1.8815008757311271</v>
      </c>
      <c r="AB61" s="13">
        <v>1.3787236416322639</v>
      </c>
      <c r="AC61" s="13">
        <v>48.251023689734083</v>
      </c>
      <c r="AD61" s="13">
        <v>72.429131148822478</v>
      </c>
      <c r="AE61" s="13">
        <v>122.46221236480025</v>
      </c>
      <c r="AF61" s="13">
        <v>174.3850504811912</v>
      </c>
      <c r="AG61" s="13">
        <v>231.18029206962058</v>
      </c>
      <c r="AH61" s="13">
        <v>240.82408957495377</v>
      </c>
      <c r="AI61" s="13">
        <v>240.75362295094317</v>
      </c>
      <c r="AJ61" s="13">
        <v>311.01216346325185</v>
      </c>
      <c r="AK61" s="13">
        <v>461.67866732948289</v>
      </c>
      <c r="AL61" s="13">
        <v>622.58509236799273</v>
      </c>
      <c r="AM61" s="13">
        <v>995.46412471897759</v>
      </c>
      <c r="AN61" s="13">
        <v>1184.8346339158516</v>
      </c>
      <c r="AO61" s="13">
        <v>1379.2478757934916</v>
      </c>
      <c r="AP61" s="13">
        <v>6.3151408083721924E-2</v>
      </c>
      <c r="AQ61" s="13">
        <v>1.4085659487556534</v>
      </c>
      <c r="AR61" s="13">
        <v>4.0114241581313408</v>
      </c>
      <c r="AS61" s="13">
        <v>6.5253423207390471</v>
      </c>
      <c r="AT61" s="13">
        <v>8.6949996394550588</v>
      </c>
      <c r="AU61" s="13">
        <v>8.6528075130486588</v>
      </c>
      <c r="AV61" s="13">
        <v>8.8643797409099694</v>
      </c>
      <c r="AW61" s="13">
        <v>10.326169853603949</v>
      </c>
      <c r="AX61" s="13">
        <v>12.993798914485357</v>
      </c>
      <c r="AY61" s="13">
        <v>15.069441971209811</v>
      </c>
      <c r="AZ61" s="13">
        <v>16.156745330715836</v>
      </c>
      <c r="BA61" s="13">
        <v>16.434757944629737</v>
      </c>
      <c r="BB61" s="13">
        <v>16.560584639853801</v>
      </c>
      <c r="BC61" s="13"/>
    </row>
    <row r="62" spans="1:55" x14ac:dyDescent="0.25">
      <c r="A62" s="6">
        <v>2012</v>
      </c>
      <c r="B62" s="10">
        <v>41103</v>
      </c>
      <c r="C62" s="45" t="s">
        <v>43</v>
      </c>
      <c r="D62" s="30" t="s">
        <v>53</v>
      </c>
      <c r="E62" s="45" t="s">
        <v>19</v>
      </c>
      <c r="F62" s="45" t="s">
        <v>37</v>
      </c>
      <c r="G62" s="2" t="s">
        <v>446</v>
      </c>
      <c r="H62" s="45" t="s">
        <v>34</v>
      </c>
      <c r="I62" s="23" t="s">
        <v>38</v>
      </c>
      <c r="J62" s="34" t="s">
        <v>10</v>
      </c>
      <c r="K62" s="8" t="s">
        <v>29</v>
      </c>
      <c r="L62" s="40">
        <v>505</v>
      </c>
      <c r="M62" s="40" t="s">
        <v>65</v>
      </c>
      <c r="N62" s="16">
        <v>20.100563782912033</v>
      </c>
      <c r="O62" s="16">
        <v>92.57157076322116</v>
      </c>
      <c r="P62" s="13">
        <v>15.28</v>
      </c>
      <c r="Q62" s="25">
        <v>76.439790575916234</v>
      </c>
      <c r="R62" s="16">
        <v>3.0649201745016854</v>
      </c>
      <c r="S62" s="13">
        <v>26.523853736747057</v>
      </c>
      <c r="T62" s="13">
        <v>62.998386246100658</v>
      </c>
      <c r="U62" s="13">
        <v>5.2674651636616394</v>
      </c>
      <c r="V62" s="13">
        <v>1.7216187087652466</v>
      </c>
      <c r="W62" s="13">
        <v>2.9844426650314992</v>
      </c>
      <c r="X62" s="13">
        <v>41.209249924117898</v>
      </c>
      <c r="Y62" s="13">
        <v>84.693826605209196</v>
      </c>
      <c r="Z62" s="13">
        <v>7.323239225939548</v>
      </c>
      <c r="AA62" s="13">
        <v>2.3525311493563454</v>
      </c>
      <c r="AB62" s="13">
        <v>4.1672793065970657</v>
      </c>
      <c r="AC62" s="13">
        <v>54.521302513086567</v>
      </c>
      <c r="AD62" s="13">
        <v>82.448081987653623</v>
      </c>
      <c r="AE62" s="13">
        <v>135.25904965813714</v>
      </c>
      <c r="AF62" s="13">
        <v>202.56880349160221</v>
      </c>
      <c r="AG62" s="13"/>
      <c r="AH62" s="13">
        <v>267.73238739414126</v>
      </c>
      <c r="AI62" s="13">
        <v>258.48094147943539</v>
      </c>
      <c r="AJ62" s="13">
        <v>338.85020151264149</v>
      </c>
      <c r="AK62" s="13">
        <v>500.64667463648112</v>
      </c>
      <c r="AL62" s="13">
        <v>672.68751399330984</v>
      </c>
      <c r="AM62" s="13">
        <v>1041.964370746125</v>
      </c>
      <c r="AN62" s="13">
        <v>1226.8696378280392</v>
      </c>
      <c r="AO62" s="13">
        <v>1413.4989806540743</v>
      </c>
      <c r="AP62" s="13">
        <v>-0.40516732097426111</v>
      </c>
      <c r="AQ62" s="13">
        <v>0.87786717556029337</v>
      </c>
      <c r="AR62" s="13">
        <v>3.3492818448647825</v>
      </c>
      <c r="AS62" s="13">
        <v>5.1746752977830202</v>
      </c>
      <c r="AT62" s="13"/>
      <c r="AU62" s="13">
        <v>7.1316935357460443</v>
      </c>
      <c r="AV62" s="13">
        <v>7.626309954141238</v>
      </c>
      <c r="AW62" s="13">
        <v>8.6711635896030117</v>
      </c>
      <c r="AX62" s="13">
        <v>10.694405992837497</v>
      </c>
      <c r="AY62" s="13">
        <v>11.99021447783135</v>
      </c>
      <c r="AZ62" s="13">
        <v>13.146075954387413</v>
      </c>
      <c r="BA62" s="13">
        <v>13.65999502462091</v>
      </c>
      <c r="BB62" s="13">
        <v>14.080787724137355</v>
      </c>
      <c r="BC62" s="13"/>
    </row>
    <row r="63" spans="1:55" x14ac:dyDescent="0.25">
      <c r="A63" s="6">
        <v>2012</v>
      </c>
      <c r="B63" s="10">
        <v>41103</v>
      </c>
      <c r="C63" s="45" t="s">
        <v>43</v>
      </c>
      <c r="D63" s="30" t="s">
        <v>53</v>
      </c>
      <c r="E63" s="45" t="s">
        <v>19</v>
      </c>
      <c r="F63" s="45" t="s">
        <v>37</v>
      </c>
      <c r="G63" s="2" t="s">
        <v>446</v>
      </c>
      <c r="H63" s="45" t="s">
        <v>34</v>
      </c>
      <c r="I63" s="23" t="s">
        <v>38</v>
      </c>
      <c r="J63" s="34" t="s">
        <v>13</v>
      </c>
      <c r="K63" s="8" t="s">
        <v>29</v>
      </c>
      <c r="L63" s="40">
        <v>505</v>
      </c>
      <c r="M63" s="40" t="s">
        <v>65</v>
      </c>
      <c r="N63" s="16">
        <v>19.986140617957481</v>
      </c>
      <c r="O63" s="16">
        <v>92.70554293118991</v>
      </c>
      <c r="P63" s="13">
        <v>20.111000000000001</v>
      </c>
      <c r="Q63" s="25">
        <v>75.580528069215845</v>
      </c>
      <c r="R63" s="16">
        <v>1.5509120029577974</v>
      </c>
      <c r="S63" s="13">
        <v>36.897836256182288</v>
      </c>
      <c r="T63" s="13">
        <v>72.000963820446344</v>
      </c>
      <c r="U63" s="13">
        <v>5.684170583527858</v>
      </c>
      <c r="V63" s="13">
        <v>0.9755236656303059</v>
      </c>
      <c r="W63" s="13">
        <v>5.0430908753815666</v>
      </c>
      <c r="X63" s="13">
        <v>57.929724224081788</v>
      </c>
      <c r="Y63" s="13">
        <v>97.479448279865622</v>
      </c>
      <c r="Z63" s="13">
        <v>7.9674942451954172</v>
      </c>
      <c r="AA63" s="13">
        <v>1.3429559671615949</v>
      </c>
      <c r="AB63" s="13">
        <v>7.0979744061457746</v>
      </c>
      <c r="AC63" s="13">
        <v>47.575904204061544</v>
      </c>
      <c r="AD63" s="13">
        <v>70.266921709353568</v>
      </c>
      <c r="AE63" s="13">
        <v>115.78943740805708</v>
      </c>
      <c r="AF63" s="13">
        <v>172.8661969206866</v>
      </c>
      <c r="AG63" s="13">
        <v>236.94471358453742</v>
      </c>
      <c r="AH63" s="13">
        <v>238.92428242907303</v>
      </c>
      <c r="AI63" s="13">
        <v>240.30243277009345</v>
      </c>
      <c r="AJ63" s="13">
        <v>307.40451646509524</v>
      </c>
      <c r="AK63" s="13">
        <v>470.33601443196358</v>
      </c>
      <c r="AL63" s="13">
        <v>648.18252139972776</v>
      </c>
      <c r="AM63" s="13">
        <v>1024.8497688546486</v>
      </c>
      <c r="AN63" s="13">
        <v>1214.3574257681353</v>
      </c>
      <c r="AO63" s="13">
        <v>1404.3823383706417</v>
      </c>
      <c r="AP63" s="13">
        <v>0.12600010370070255</v>
      </c>
      <c r="AQ63" s="13">
        <v>1.7248119493824074</v>
      </c>
      <c r="AR63" s="13">
        <v>4.9464202002671351</v>
      </c>
      <c r="AS63" s="13">
        <v>7.5141236289689104</v>
      </c>
      <c r="AT63" s="13">
        <v>9.6927277945251795</v>
      </c>
      <c r="AU63" s="13">
        <v>9.6123186763067938</v>
      </c>
      <c r="AV63" s="13">
        <v>9.2194564870452123</v>
      </c>
      <c r="AW63" s="13">
        <v>11.503863190168028</v>
      </c>
      <c r="AX63" s="13">
        <v>13.595350260672999</v>
      </c>
      <c r="AY63" s="13">
        <v>14.736675047846877</v>
      </c>
      <c r="AZ63" s="13">
        <v>15.516425537271251</v>
      </c>
      <c r="BA63" s="13">
        <v>15.841573702747954</v>
      </c>
      <c r="BB63" s="13">
        <v>16.076989073381441</v>
      </c>
      <c r="BC63" s="13"/>
    </row>
    <row r="64" spans="1:55" x14ac:dyDescent="0.25">
      <c r="A64" s="6">
        <v>2012</v>
      </c>
      <c r="B64" s="10">
        <v>41103</v>
      </c>
      <c r="C64" s="45" t="s">
        <v>43</v>
      </c>
      <c r="D64" s="30" t="s">
        <v>53</v>
      </c>
      <c r="E64" s="45" t="s">
        <v>19</v>
      </c>
      <c r="F64" s="45" t="s">
        <v>37</v>
      </c>
      <c r="G64" s="2" t="s">
        <v>446</v>
      </c>
      <c r="H64" s="45" t="s">
        <v>34</v>
      </c>
      <c r="I64" s="23" t="s">
        <v>38</v>
      </c>
      <c r="J64" s="34" t="s">
        <v>8</v>
      </c>
      <c r="K64" s="8" t="s">
        <v>30</v>
      </c>
      <c r="L64" s="40">
        <v>505</v>
      </c>
      <c r="M64" s="40" t="s">
        <v>65</v>
      </c>
      <c r="N64" s="16">
        <v>20.144382476806641</v>
      </c>
      <c r="O64" s="16">
        <v>93.246540949894836</v>
      </c>
      <c r="P64" s="13">
        <v>14.379</v>
      </c>
      <c r="Q64" s="25">
        <v>51.463940468739132</v>
      </c>
      <c r="R64" s="16">
        <v>0.59757434695247946</v>
      </c>
      <c r="S64" s="13">
        <v>32.393716036745083</v>
      </c>
      <c r="T64" s="13">
        <v>70.406448434325299</v>
      </c>
      <c r="U64" s="13">
        <v>5.1904086459302849</v>
      </c>
      <c r="V64" s="13">
        <v>0.84975775496392003</v>
      </c>
      <c r="W64" s="13">
        <v>30</v>
      </c>
      <c r="X64" s="13">
        <v>50.127984099521008</v>
      </c>
      <c r="Y64" s="13">
        <v>94.398798066773637</v>
      </c>
      <c r="Z64" s="13">
        <v>7.1935679431794091</v>
      </c>
      <c r="AA64" s="13">
        <v>1.1578677997632709</v>
      </c>
      <c r="AB64" s="13">
        <v>41.762916733207021</v>
      </c>
      <c r="AC64" s="13">
        <v>46.500728786094271</v>
      </c>
      <c r="AD64" s="13">
        <v>74.255852050989219</v>
      </c>
      <c r="AE64" s="13">
        <v>131.36330682188427</v>
      </c>
      <c r="AF64" s="13">
        <v>192.72931290272962</v>
      </c>
      <c r="AG64" s="13">
        <v>262.38402005849531</v>
      </c>
      <c r="AH64" s="13">
        <v>262.40155082739454</v>
      </c>
      <c r="AI64" s="13"/>
      <c r="AJ64" s="13">
        <v>333.93276137684484</v>
      </c>
      <c r="AK64" s="13">
        <v>504.65199520266316</v>
      </c>
      <c r="AL64" s="13">
        <v>691.70572686531273</v>
      </c>
      <c r="AM64" s="13">
        <v>1082.7556223278918</v>
      </c>
      <c r="AN64" s="13">
        <v>1278.8149676323264</v>
      </c>
      <c r="AO64" s="13">
        <v>1477.991165804222</v>
      </c>
      <c r="AP64" s="13">
        <v>0.20941462411938863</v>
      </c>
      <c r="AQ64" s="13">
        <v>1.8505764944333427</v>
      </c>
      <c r="AR64" s="13">
        <v>5.0457844255778292</v>
      </c>
      <c r="AS64" s="13">
        <v>7.9724700254145073</v>
      </c>
      <c r="AT64" s="13">
        <v>10.09714224987578</v>
      </c>
      <c r="AU64" s="13">
        <v>10.232417832623179</v>
      </c>
      <c r="AV64" s="13"/>
      <c r="AW64" s="13">
        <v>12.325213657676954</v>
      </c>
      <c r="AX64" s="13">
        <v>14.271096782444145</v>
      </c>
      <c r="AY64" s="13">
        <v>15.003557730638521</v>
      </c>
      <c r="AZ64" s="13">
        <v>15.107185115705878</v>
      </c>
      <c r="BA64" s="13">
        <v>14.89213001753809</v>
      </c>
      <c r="BB64" s="13">
        <v>14.72147979463646</v>
      </c>
      <c r="BC64" s="13"/>
    </row>
    <row r="65" spans="1:55" x14ac:dyDescent="0.25">
      <c r="A65" s="6">
        <v>2012</v>
      </c>
      <c r="B65" s="10">
        <v>41103</v>
      </c>
      <c r="C65" s="45" t="s">
        <v>43</v>
      </c>
      <c r="D65" s="30" t="s">
        <v>53</v>
      </c>
      <c r="E65" s="45" t="s">
        <v>19</v>
      </c>
      <c r="F65" s="45" t="s">
        <v>37</v>
      </c>
      <c r="G65" s="2" t="s">
        <v>446</v>
      </c>
      <c r="H65" s="45" t="s">
        <v>34</v>
      </c>
      <c r="I65" s="23" t="s">
        <v>49</v>
      </c>
      <c r="J65" s="34" t="s">
        <v>12</v>
      </c>
      <c r="K65" s="8" t="s">
        <v>30</v>
      </c>
      <c r="L65" s="40">
        <v>505</v>
      </c>
      <c r="M65" s="40" t="s">
        <v>65</v>
      </c>
      <c r="N65" s="16">
        <v>20.155000246488132</v>
      </c>
      <c r="O65" s="16">
        <v>93.145233741173371</v>
      </c>
      <c r="P65" s="13">
        <v>22.96</v>
      </c>
      <c r="Q65" s="25">
        <v>71.864111498257827</v>
      </c>
      <c r="R65" s="16">
        <v>1.0388668173162345</v>
      </c>
      <c r="S65" s="13">
        <v>48.180456773888643</v>
      </c>
      <c r="T65" s="13">
        <v>90.005520576433113</v>
      </c>
      <c r="U65" s="13">
        <v>6.9339802168176137</v>
      </c>
      <c r="V65" s="13">
        <v>1.7381510944147396</v>
      </c>
      <c r="W65" s="13">
        <v>0.72215051579918266</v>
      </c>
      <c r="X65" s="13">
        <v>74.485060271307262</v>
      </c>
      <c r="Y65" s="13">
        <v>120.598008097744</v>
      </c>
      <c r="Z65" s="13">
        <v>9.6027653608708494</v>
      </c>
      <c r="AA65" s="13">
        <v>2.3667493755051026</v>
      </c>
      <c r="AB65" s="13">
        <v>1.0045638609687491</v>
      </c>
      <c r="AC65" s="13">
        <v>47.318337730290715</v>
      </c>
      <c r="AD65" s="13">
        <v>74.495896849451611</v>
      </c>
      <c r="AE65" s="13">
        <v>127.89580563835844</v>
      </c>
      <c r="AF65" s="13">
        <v>186.81746296865026</v>
      </c>
      <c r="AG65" s="13">
        <v>233.57066573061164</v>
      </c>
      <c r="AH65" s="13">
        <v>253.91331646637866</v>
      </c>
      <c r="AI65" s="13"/>
      <c r="AJ65" s="13">
        <v>289.04473283940075</v>
      </c>
      <c r="AK65" s="13">
        <v>418.97257636038393</v>
      </c>
      <c r="AL65" s="13">
        <v>562.71518655093053</v>
      </c>
      <c r="AM65" s="13">
        <v>900.06547130699209</v>
      </c>
      <c r="AN65" s="13">
        <v>1044.6426750180758</v>
      </c>
      <c r="AO65" s="13">
        <v>1180.9021815475371</v>
      </c>
      <c r="AP65" s="13">
        <v>2.5961964951706995E-2</v>
      </c>
      <c r="AQ65" s="13">
        <v>1.0762122992073404</v>
      </c>
      <c r="AR65" s="13">
        <v>3.1441945855044287</v>
      </c>
      <c r="AS65" s="13">
        <v>5.2349113199062085</v>
      </c>
      <c r="AT65" s="13">
        <v>7.3133559754382418</v>
      </c>
      <c r="AU65" s="13">
        <v>7.0720711721757805</v>
      </c>
      <c r="AV65" s="13"/>
      <c r="AW65" s="13">
        <v>9.4224234248427496</v>
      </c>
      <c r="AX65" s="13">
        <v>12.694422882006061</v>
      </c>
      <c r="AY65" s="13">
        <v>15.33730493319114</v>
      </c>
      <c r="AZ65" s="13">
        <v>17.614633512475486</v>
      </c>
      <c r="BA65" s="13">
        <v>18.877916151537637</v>
      </c>
      <c r="BB65" s="13">
        <v>19.063798979661669</v>
      </c>
      <c r="BC65" s="13"/>
    </row>
    <row r="66" spans="1:55" x14ac:dyDescent="0.25">
      <c r="A66" s="6">
        <v>2012</v>
      </c>
      <c r="B66" s="10">
        <v>41103</v>
      </c>
      <c r="C66" s="45" t="s">
        <v>43</v>
      </c>
      <c r="D66" s="30" t="s">
        <v>53</v>
      </c>
      <c r="E66" s="45" t="s">
        <v>19</v>
      </c>
      <c r="F66" s="45" t="s">
        <v>37</v>
      </c>
      <c r="G66" s="2" t="s">
        <v>446</v>
      </c>
      <c r="H66" s="45" t="s">
        <v>34</v>
      </c>
      <c r="I66" s="23" t="s">
        <v>38</v>
      </c>
      <c r="J66" s="34" t="s">
        <v>94</v>
      </c>
      <c r="K66" s="8" t="s">
        <v>31</v>
      </c>
      <c r="L66" s="40">
        <v>505</v>
      </c>
      <c r="M66" s="40" t="s">
        <v>65</v>
      </c>
      <c r="N66" s="16">
        <v>19.94257325392503</v>
      </c>
      <c r="O66" s="16">
        <v>93.115031902606674</v>
      </c>
      <c r="P66" s="13">
        <v>11.590999999999999</v>
      </c>
      <c r="Q66" s="25">
        <v>32.784056595634546</v>
      </c>
      <c r="R66" s="16">
        <v>1.4920254404421893</v>
      </c>
      <c r="S66" s="13">
        <v>25.386373005807787</v>
      </c>
      <c r="T66" s="13">
        <v>47.243853909282755</v>
      </c>
      <c r="U66" s="13">
        <v>3.7979161287928669</v>
      </c>
      <c r="V66" s="13">
        <v>1.7845775636466727</v>
      </c>
      <c r="W66" s="13">
        <v>0.844059332315238</v>
      </c>
      <c r="X66" s="13">
        <v>40.015820704244526</v>
      </c>
      <c r="Y66" s="13">
        <v>64.133202390436253</v>
      </c>
      <c r="Z66" s="13">
        <v>5.3401663022731807</v>
      </c>
      <c r="AA66" s="13">
        <v>2.46370216508048</v>
      </c>
      <c r="AB66" s="13">
        <v>1.1915829403243818</v>
      </c>
      <c r="AC66" s="13">
        <v>53.894633706408555</v>
      </c>
      <c r="AD66" s="13">
        <v>87.02391998080715</v>
      </c>
      <c r="AE66" s="13">
        <v>148.19628695574517</v>
      </c>
      <c r="AF66" s="13">
        <v>216.70520362173121</v>
      </c>
      <c r="AG66" s="13">
        <v>288.29281983558036</v>
      </c>
      <c r="AH66" s="13">
        <v>301.03012943083377</v>
      </c>
      <c r="AI66" s="13">
        <v>304.09730584366019</v>
      </c>
      <c r="AJ66" s="13">
        <v>383.38226358178889</v>
      </c>
      <c r="AK66" s="13">
        <v>562.29769546057696</v>
      </c>
      <c r="AL66" s="13">
        <v>746.67279426201674</v>
      </c>
      <c r="AM66" s="13">
        <v>1132.0245438585782</v>
      </c>
      <c r="AN66" s="13">
        <v>1323.7889544555219</v>
      </c>
      <c r="AO66" s="13">
        <v>1513.276423773638</v>
      </c>
      <c r="AP66" s="13">
        <v>-0.37735623646447741</v>
      </c>
      <c r="AQ66" s="13">
        <v>0.62729726902125127</v>
      </c>
      <c r="AR66" s="13">
        <v>2.6923974218825144</v>
      </c>
      <c r="AS66" s="13">
        <v>4.4338604312349021</v>
      </c>
      <c r="AT66" s="13">
        <v>5.8512086399111398</v>
      </c>
      <c r="AU66" s="13">
        <v>5.7103240379453668</v>
      </c>
      <c r="AV66" s="13">
        <v>5.7042575861420231</v>
      </c>
      <c r="AW66" s="13">
        <v>6.8416120102548472</v>
      </c>
      <c r="AX66" s="13">
        <v>7.9597565964584867</v>
      </c>
      <c r="AY66" s="13">
        <v>8.6748850076345274</v>
      </c>
      <c r="AZ66" s="13">
        <v>9.0364910652695301</v>
      </c>
      <c r="BA66" s="13">
        <v>9.2568812295792977</v>
      </c>
      <c r="BB66" s="13">
        <v>9.6091612092042133</v>
      </c>
      <c r="BC66" s="13"/>
    </row>
    <row r="67" spans="1:55" x14ac:dyDescent="0.25">
      <c r="A67" s="6">
        <v>2012</v>
      </c>
      <c r="B67" s="10">
        <v>41103</v>
      </c>
      <c r="C67" s="45" t="s">
        <v>43</v>
      </c>
      <c r="D67" s="30" t="s">
        <v>53</v>
      </c>
      <c r="E67" s="45" t="s">
        <v>19</v>
      </c>
      <c r="F67" s="45" t="s">
        <v>37</v>
      </c>
      <c r="G67" s="2" t="s">
        <v>446</v>
      </c>
      <c r="H67" s="45" t="s">
        <v>34</v>
      </c>
      <c r="I67" s="23" t="s">
        <v>38</v>
      </c>
      <c r="J67" s="34" t="s">
        <v>95</v>
      </c>
      <c r="K67" s="8" t="s">
        <v>31</v>
      </c>
      <c r="L67" s="41">
        <v>505</v>
      </c>
      <c r="M67" s="40" t="s">
        <v>65</v>
      </c>
      <c r="N67" s="16">
        <v>19.914903200589695</v>
      </c>
      <c r="O67" s="16">
        <v>93.278685349684494</v>
      </c>
      <c r="P67" s="13">
        <v>14.45</v>
      </c>
      <c r="Q67" s="42">
        <v>42.906574394463668</v>
      </c>
      <c r="R67" s="16">
        <v>1.0543470884079764</v>
      </c>
      <c r="S67" s="13">
        <v>42.787234227432045</v>
      </c>
      <c r="T67" s="13">
        <v>84.258934873272025</v>
      </c>
      <c r="U67" s="13">
        <v>6.4784172396912778</v>
      </c>
      <c r="V67" s="13">
        <v>1.3299277516008192</v>
      </c>
      <c r="W67" s="13">
        <v>0.96460523120967712</v>
      </c>
      <c r="X67" s="13">
        <v>67.615243551648106</v>
      </c>
      <c r="Y67" s="13">
        <v>114.5756405222033</v>
      </c>
      <c r="Z67" s="13">
        <v>9.1272360354346116</v>
      </c>
      <c r="AA67" s="13">
        <v>1.8393375869736079</v>
      </c>
      <c r="AB67" s="13">
        <v>1.3643803023989056</v>
      </c>
      <c r="AC67" s="13">
        <v>49.20915964210932</v>
      </c>
      <c r="AD67" s="13">
        <v>78.170340252433803</v>
      </c>
      <c r="AE67" s="13">
        <v>135.33771120375872</v>
      </c>
      <c r="AF67" s="13">
        <v>194.83530489073797</v>
      </c>
      <c r="AG67" s="13">
        <v>258.59662760157221</v>
      </c>
      <c r="AH67" s="13">
        <v>275.58682775730398</v>
      </c>
      <c r="AI67" s="13">
        <v>278.85103898022112</v>
      </c>
      <c r="AJ67" s="13">
        <v>343.6191299354748</v>
      </c>
      <c r="AK67" s="13">
        <v>498.24905685846915</v>
      </c>
      <c r="AL67" s="13">
        <v>680.52506124221998</v>
      </c>
      <c r="AM67" s="13">
        <v>1059.0048609586304</v>
      </c>
      <c r="AN67" s="13">
        <v>1250.6529259918445</v>
      </c>
      <c r="AO67" s="13">
        <v>1445.6502296712331</v>
      </c>
      <c r="AP67" s="13">
        <v>1.450268543234858E-2</v>
      </c>
      <c r="AQ67" s="13">
        <v>1.4331454335218026</v>
      </c>
      <c r="AR67" s="13">
        <v>4.2099161587623612</v>
      </c>
      <c r="AS67" s="13">
        <v>6.7731081570642271</v>
      </c>
      <c r="AT67" s="13">
        <v>8.8667321998740753</v>
      </c>
      <c r="AU67" s="13">
        <v>9.6817318068289602</v>
      </c>
      <c r="AV67" s="13">
        <v>8.7833279042878605</v>
      </c>
      <c r="AW67" s="13">
        <v>11.471961710315677</v>
      </c>
      <c r="AX67" s="13">
        <v>14.937930216219335</v>
      </c>
      <c r="AY67" s="13">
        <v>16.607159147101672</v>
      </c>
      <c r="AZ67" s="13">
        <v>17.713987152996047</v>
      </c>
      <c r="BA67" s="13">
        <v>18.031624846027334</v>
      </c>
      <c r="BB67" s="13">
        <v>18.105329161047795</v>
      </c>
      <c r="BC67" s="13"/>
    </row>
    <row r="68" spans="1:55" x14ac:dyDescent="0.25">
      <c r="A68" s="6">
        <v>2012</v>
      </c>
      <c r="B68" s="9">
        <v>41107</v>
      </c>
      <c r="C68" s="11" t="s">
        <v>43</v>
      </c>
      <c r="D68" s="2" t="s">
        <v>53</v>
      </c>
      <c r="E68" s="11" t="s">
        <v>20</v>
      </c>
      <c r="F68" s="2" t="s">
        <v>37</v>
      </c>
      <c r="G68" s="2" t="s">
        <v>446</v>
      </c>
      <c r="H68" s="2" t="s">
        <v>35</v>
      </c>
      <c r="I68" s="23" t="s">
        <v>49</v>
      </c>
      <c r="J68" s="12" t="s">
        <v>75</v>
      </c>
      <c r="K68" s="8" t="s">
        <v>29</v>
      </c>
      <c r="L68" s="40">
        <v>541.66666666666663</v>
      </c>
      <c r="M68" s="40" t="s">
        <v>65</v>
      </c>
      <c r="N68" s="16">
        <v>20.158270469078651</v>
      </c>
      <c r="O68" s="16">
        <v>92.823014479417068</v>
      </c>
      <c r="P68" s="13">
        <v>10.629</v>
      </c>
      <c r="Q68" s="25">
        <v>93.533138891682583</v>
      </c>
      <c r="R68" s="16">
        <v>1.624469425491452</v>
      </c>
      <c r="S68" s="13">
        <v>33.417563444728593</v>
      </c>
      <c r="T68" s="13">
        <v>55.77987011156727</v>
      </c>
      <c r="U68" s="13">
        <v>4.1464851044985265</v>
      </c>
      <c r="V68" s="13">
        <v>3.6044136063382419</v>
      </c>
      <c r="W68" s="13">
        <v>0.19104934434336862</v>
      </c>
      <c r="X68" s="13">
        <v>51.646788062852764</v>
      </c>
      <c r="Y68" s="13">
        <v>74.72420687422111</v>
      </c>
      <c r="Z68" s="13">
        <v>5.7410652972665304</v>
      </c>
      <c r="AA68" s="13">
        <v>4.906900481970637</v>
      </c>
      <c r="AB68" s="13">
        <v>0.26570327144724382</v>
      </c>
      <c r="AC68" s="13">
        <v>60.515562807548058</v>
      </c>
      <c r="AD68" s="13">
        <v>93.758299828401192</v>
      </c>
      <c r="AE68" s="13">
        <v>158.95030201995661</v>
      </c>
      <c r="AF68" s="13">
        <v>227.07725389896567</v>
      </c>
      <c r="AG68" s="13">
        <v>289.72750347689811</v>
      </c>
      <c r="AH68" s="13"/>
      <c r="AI68" s="13"/>
      <c r="AJ68" s="13">
        <v>350.52643393408346</v>
      </c>
      <c r="AK68" s="13">
        <v>485.33366080097869</v>
      </c>
      <c r="AL68" s="13">
        <v>621.22141302682473</v>
      </c>
      <c r="AM68" s="13">
        <v>910.3159366418181</v>
      </c>
      <c r="AN68" s="13">
        <v>1065.0329552688779</v>
      </c>
      <c r="AO68" s="13">
        <v>1230.7722239059658</v>
      </c>
      <c r="AP68" s="13">
        <v>-0.35937421118690016</v>
      </c>
      <c r="AQ68" s="13">
        <v>8.9268392785864181E-2</v>
      </c>
      <c r="AR68" s="13">
        <v>1.0397275604406377</v>
      </c>
      <c r="AS68" s="13">
        <v>2.2328474269847294</v>
      </c>
      <c r="AT68" s="13">
        <v>2.5399124018777921</v>
      </c>
      <c r="AU68" s="13"/>
      <c r="AV68" s="13"/>
      <c r="AW68" s="13">
        <v>3.4084222266932627</v>
      </c>
      <c r="AX68" s="13">
        <v>4.9347626975346008</v>
      </c>
      <c r="AY68" s="13">
        <v>6.379808583646625</v>
      </c>
      <c r="AZ68" s="13">
        <v>8.5745855856738498</v>
      </c>
      <c r="BA68" s="13">
        <v>8.8350094268762209</v>
      </c>
      <c r="BB68" s="13">
        <v>8.8353275323724247</v>
      </c>
      <c r="BC68" s="13" t="s">
        <v>76</v>
      </c>
    </row>
    <row r="69" spans="1:55" x14ac:dyDescent="0.25">
      <c r="A69" s="6">
        <v>2012</v>
      </c>
      <c r="B69" s="9">
        <v>41107</v>
      </c>
      <c r="C69" s="11" t="s">
        <v>43</v>
      </c>
      <c r="D69" s="2" t="s">
        <v>53</v>
      </c>
      <c r="E69" s="11" t="s">
        <v>20</v>
      </c>
      <c r="F69" s="2" t="s">
        <v>37</v>
      </c>
      <c r="G69" s="2" t="s">
        <v>446</v>
      </c>
      <c r="H69" s="2" t="s">
        <v>35</v>
      </c>
      <c r="I69" s="46" t="s">
        <v>49</v>
      </c>
      <c r="J69" s="12" t="s">
        <v>0</v>
      </c>
      <c r="K69" s="40" t="s">
        <v>29</v>
      </c>
      <c r="L69" s="40">
        <v>541.66666666666663</v>
      </c>
      <c r="M69" s="40" t="s">
        <v>65</v>
      </c>
      <c r="N69" s="16">
        <v>20.097597562349758</v>
      </c>
      <c r="O69" s="16">
        <v>92.955366281362686</v>
      </c>
      <c r="P69" s="13">
        <v>37.270000000000003</v>
      </c>
      <c r="Q69" s="25">
        <v>94.324324324324309</v>
      </c>
      <c r="R69" s="16">
        <v>1.4928420188351901</v>
      </c>
      <c r="S69" s="13">
        <v>32.204921076865922</v>
      </c>
      <c r="T69" s="13">
        <v>48.227603789404306</v>
      </c>
      <c r="U69" s="13">
        <v>3.1249205853591482</v>
      </c>
      <c r="V69" s="13">
        <v>2.9022049726374477</v>
      </c>
      <c r="W69" s="13">
        <v>0.10019305632183699</v>
      </c>
      <c r="X69" s="13">
        <v>50.049303206460714</v>
      </c>
      <c r="Y69" s="13">
        <v>64.848078722185491</v>
      </c>
      <c r="Z69" s="13">
        <v>4.3454279242299165</v>
      </c>
      <c r="AA69" s="13">
        <v>3.9665239054867083</v>
      </c>
      <c r="AB69" s="13">
        <v>0.13993177723702313</v>
      </c>
      <c r="AC69" s="13">
        <v>57.253683844282392</v>
      </c>
      <c r="AD69" s="13">
        <v>89.509760791136415</v>
      </c>
      <c r="AE69" s="13">
        <v>153.49862768900101</v>
      </c>
      <c r="AF69" s="13">
        <v>219.22445773410723</v>
      </c>
      <c r="AG69" s="13">
        <v>277.70091668489573</v>
      </c>
      <c r="AH69" s="13">
        <v>283.58823704785215</v>
      </c>
      <c r="AI69" s="13"/>
      <c r="AJ69" s="13">
        <v>338.21115114835465</v>
      </c>
      <c r="AK69" s="13">
        <v>465.93770010732572</v>
      </c>
      <c r="AL69" s="13">
        <v>593.26968160268916</v>
      </c>
      <c r="AM69" s="13">
        <v>873.31426283991084</v>
      </c>
      <c r="AN69" s="13">
        <v>1017.9249142777368</v>
      </c>
      <c r="AO69" s="13">
        <v>1171.1981950527318</v>
      </c>
      <c r="AP69" s="13">
        <v>-0.11812821536248289</v>
      </c>
      <c r="AQ69" s="13">
        <v>0.12414828446623796</v>
      </c>
      <c r="AR69" s="13">
        <v>0.61010945932513394</v>
      </c>
      <c r="AS69" s="13">
        <v>1.1170840762876091</v>
      </c>
      <c r="AT69" s="13">
        <v>1.579813221222826</v>
      </c>
      <c r="AU69" s="13">
        <v>1.7364779203025542</v>
      </c>
      <c r="AV69" s="13"/>
      <c r="AW69" s="13">
        <v>2.1215951486139302</v>
      </c>
      <c r="AX69" s="13">
        <v>3.1455876329479366</v>
      </c>
      <c r="AY69" s="13">
        <v>4.1370967309859026</v>
      </c>
      <c r="AZ69" s="13">
        <v>5.7377557300454356</v>
      </c>
      <c r="BA69" s="13">
        <v>6.2245888675775438</v>
      </c>
      <c r="BB69" s="13">
        <v>6.4725179702585542</v>
      </c>
      <c r="BC69" s="13"/>
    </row>
    <row r="70" spans="1:55" x14ac:dyDescent="0.25">
      <c r="A70" s="6">
        <v>2012</v>
      </c>
      <c r="B70" s="9">
        <v>41107</v>
      </c>
      <c r="C70" s="11" t="s">
        <v>43</v>
      </c>
      <c r="D70" s="2" t="s">
        <v>53</v>
      </c>
      <c r="E70" s="11" t="s">
        <v>20</v>
      </c>
      <c r="F70" s="2" t="s">
        <v>37</v>
      </c>
      <c r="G70" s="2" t="s">
        <v>446</v>
      </c>
      <c r="H70" s="2" t="s">
        <v>35</v>
      </c>
      <c r="I70" s="23" t="s">
        <v>49</v>
      </c>
      <c r="J70" s="12" t="s">
        <v>2</v>
      </c>
      <c r="K70" s="8" t="s">
        <v>30</v>
      </c>
      <c r="L70" s="40">
        <v>541.66666666666663</v>
      </c>
      <c r="M70" s="40" t="s">
        <v>65</v>
      </c>
      <c r="N70" s="16">
        <v>20.061802057119515</v>
      </c>
      <c r="O70" s="16">
        <v>92.841627267690811</v>
      </c>
      <c r="P70" s="13">
        <v>26.435000000000002</v>
      </c>
      <c r="Q70" s="42">
        <v>69.743511566751778</v>
      </c>
      <c r="R70" s="16">
        <v>1.0153957284283004</v>
      </c>
      <c r="S70" s="13">
        <v>5.2538530967975285</v>
      </c>
      <c r="T70" s="13">
        <v>13.79246649580103</v>
      </c>
      <c r="U70" s="13">
        <v>1.5115809829642626</v>
      </c>
      <c r="V70" s="13">
        <v>0.90140544122916522</v>
      </c>
      <c r="W70" s="13">
        <v>4.9767801676395905E-2</v>
      </c>
      <c r="X70" s="13">
        <v>8.1917070421147429</v>
      </c>
      <c r="Y70" s="13">
        <v>18.586517836445001</v>
      </c>
      <c r="Z70" s="13">
        <v>2.1073457778665725</v>
      </c>
      <c r="AA70" s="13">
        <v>1.2348408380072404</v>
      </c>
      <c r="AB70" s="13">
        <v>6.9679599908351958E-2</v>
      </c>
      <c r="AC70" s="4">
        <v>52.235572905621112</v>
      </c>
      <c r="AD70" s="13">
        <v>101.13006273056411</v>
      </c>
      <c r="AE70" s="13">
        <v>179.60799471293643</v>
      </c>
      <c r="AF70" s="13">
        <v>249.64910893096888</v>
      </c>
      <c r="AG70" s="13">
        <v>312.87523192789808</v>
      </c>
      <c r="AH70" s="13">
        <v>325.82824166665586</v>
      </c>
      <c r="AI70" s="13"/>
      <c r="AJ70" s="13">
        <v>386.2992908448291</v>
      </c>
      <c r="AK70" s="13">
        <v>537.53871934324332</v>
      </c>
      <c r="AL70" s="13">
        <v>680.22247072490552</v>
      </c>
      <c r="AM70" s="13">
        <v>960.2456100429805</v>
      </c>
      <c r="AN70" s="13">
        <v>1101.3636041955692</v>
      </c>
      <c r="AO70" s="13">
        <v>1233.4513503532301</v>
      </c>
      <c r="AP70" s="13">
        <v>-3.1651478484080016E-2</v>
      </c>
      <c r="AQ70" s="13">
        <v>-3.7245167624391763E-2</v>
      </c>
      <c r="AR70" s="13">
        <v>0.1130853570633585</v>
      </c>
      <c r="AS70" s="13">
        <v>0.34976341115728032</v>
      </c>
      <c r="AT70" s="13">
        <v>0.62322378558876745</v>
      </c>
      <c r="AU70" s="13">
        <v>0.53139611678019172</v>
      </c>
      <c r="AV70" s="13"/>
      <c r="AW70" s="13">
        <v>0.82526058830553517</v>
      </c>
      <c r="AX70" s="13">
        <v>1.1871259748610363</v>
      </c>
      <c r="AY70" s="13">
        <v>1.6379572848930262</v>
      </c>
      <c r="AZ70" s="13">
        <v>2.5813186450850614</v>
      </c>
      <c r="BA70" s="13">
        <v>3.0837918965238087</v>
      </c>
      <c r="BB70" s="13">
        <v>3.633340815227621</v>
      </c>
      <c r="BC70" s="13" t="s">
        <v>78</v>
      </c>
    </row>
    <row r="71" spans="1:55" x14ac:dyDescent="0.25">
      <c r="A71" s="6">
        <v>2012</v>
      </c>
      <c r="B71" s="9">
        <v>41107</v>
      </c>
      <c r="C71" s="11" t="s">
        <v>43</v>
      </c>
      <c r="D71" s="2" t="s">
        <v>53</v>
      </c>
      <c r="E71" s="11" t="s">
        <v>20</v>
      </c>
      <c r="F71" s="2" t="s">
        <v>37</v>
      </c>
      <c r="G71" s="2" t="s">
        <v>446</v>
      </c>
      <c r="H71" s="2" t="s">
        <v>35</v>
      </c>
      <c r="I71" s="23" t="s">
        <v>49</v>
      </c>
      <c r="J71" s="12" t="s">
        <v>1</v>
      </c>
      <c r="K71" s="8" t="s">
        <v>30</v>
      </c>
      <c r="L71" s="40">
        <v>541.66666666666663</v>
      </c>
      <c r="M71" s="40" t="s">
        <v>65</v>
      </c>
      <c r="N71" s="16">
        <v>19.961355502788837</v>
      </c>
      <c r="O71" s="16">
        <v>92.968424870417664</v>
      </c>
      <c r="P71" s="13">
        <v>25.259</v>
      </c>
      <c r="Q71" s="25">
        <v>64.531454135159748</v>
      </c>
      <c r="R71" s="16">
        <v>0.97937890009015927</v>
      </c>
      <c r="S71" s="13">
        <v>15.592837472223337</v>
      </c>
      <c r="T71" s="13">
        <v>66.270371453336921</v>
      </c>
      <c r="U71" s="13">
        <v>5.2357347066713595</v>
      </c>
      <c r="V71" s="13">
        <v>1.194477533173812</v>
      </c>
      <c r="W71" s="13">
        <v>0.31929017417830152</v>
      </c>
      <c r="X71" s="13">
        <v>24.536359357040116</v>
      </c>
      <c r="Y71" s="13">
        <v>89.857773641688141</v>
      </c>
      <c r="Z71" s="13">
        <v>7.3519555321401455</v>
      </c>
      <c r="AA71" s="13">
        <v>1.6470279378680268</v>
      </c>
      <c r="AB71" s="13">
        <v>0.45016370235574993</v>
      </c>
      <c r="AC71" s="13">
        <v>51.777079892451582</v>
      </c>
      <c r="AD71" s="13">
        <v>83.387609554912828</v>
      </c>
      <c r="AE71" s="13">
        <v>153.52155675477781</v>
      </c>
      <c r="AF71" s="13">
        <v>222.39086537655373</v>
      </c>
      <c r="AG71" s="13"/>
      <c r="AH71" s="13">
        <v>263.13331197839045</v>
      </c>
      <c r="AI71" s="13"/>
      <c r="AJ71" s="13">
        <v>322.32909318521746</v>
      </c>
      <c r="AK71" s="13">
        <v>459.91802150647101</v>
      </c>
      <c r="AL71" s="13">
        <v>624.81325067691262</v>
      </c>
      <c r="AM71" s="13">
        <v>993.11425838654293</v>
      </c>
      <c r="AN71" s="13">
        <v>1190.1133269820241</v>
      </c>
      <c r="AO71" s="13">
        <v>1386.3934678546239</v>
      </c>
      <c r="AP71" s="13">
        <v>-5.5982109478762303E-2</v>
      </c>
      <c r="AQ71" s="13">
        <v>0.27224145491139273</v>
      </c>
      <c r="AR71" s="13">
        <v>0.71641818438901972</v>
      </c>
      <c r="AS71" s="13">
        <v>1.122887415898036</v>
      </c>
      <c r="AT71" s="13"/>
      <c r="AU71" s="13">
        <v>3.3079740368760358</v>
      </c>
      <c r="AV71" s="13"/>
      <c r="AW71" s="13">
        <v>5.1563912284181015</v>
      </c>
      <c r="AX71" s="13">
        <v>8.5109197779397636</v>
      </c>
      <c r="AY71" s="13">
        <v>11.52282660337934</v>
      </c>
      <c r="AZ71" s="13">
        <v>14.252380396399769</v>
      </c>
      <c r="BA71" s="13">
        <v>15.271161002080133</v>
      </c>
      <c r="BB71" s="13">
        <v>15.736290541062141</v>
      </c>
      <c r="BC71" s="13" t="s">
        <v>77</v>
      </c>
    </row>
    <row r="72" spans="1:55" x14ac:dyDescent="0.25">
      <c r="A72" s="6">
        <v>2012</v>
      </c>
      <c r="B72" s="9">
        <v>41107</v>
      </c>
      <c r="C72" s="11" t="s">
        <v>43</v>
      </c>
      <c r="D72" s="2" t="s">
        <v>53</v>
      </c>
      <c r="E72" s="11" t="s">
        <v>20</v>
      </c>
      <c r="F72" s="2" t="s">
        <v>37</v>
      </c>
      <c r="G72" s="2" t="s">
        <v>446</v>
      </c>
      <c r="H72" s="2" t="s">
        <v>35</v>
      </c>
      <c r="I72" s="23" t="s">
        <v>41</v>
      </c>
      <c r="J72" s="12" t="s">
        <v>63</v>
      </c>
      <c r="K72" s="8" t="s">
        <v>31</v>
      </c>
      <c r="L72" s="40">
        <v>541.66666666666663</v>
      </c>
      <c r="M72" s="40" t="s">
        <v>65</v>
      </c>
      <c r="N72" s="16">
        <v>20.010190963745117</v>
      </c>
      <c r="O72" s="16">
        <v>93.01436204176683</v>
      </c>
      <c r="P72" s="13">
        <v>10.349</v>
      </c>
      <c r="Q72" s="25">
        <v>46.767803652526808</v>
      </c>
      <c r="R72" s="16">
        <v>0.90710348272003227</v>
      </c>
      <c r="S72" s="13">
        <v>36.32790994174109</v>
      </c>
      <c r="T72" s="13">
        <v>62.771386449165675</v>
      </c>
      <c r="U72" s="13">
        <v>4.9882080405847136</v>
      </c>
      <c r="V72" s="13">
        <v>1.5878693384013169</v>
      </c>
      <c r="W72" s="13">
        <v>0.52020473292086433</v>
      </c>
      <c r="X72" s="13">
        <v>56.909648983005582</v>
      </c>
      <c r="Y72" s="13">
        <v>84.858371720569821</v>
      </c>
      <c r="Z72" s="13">
        <v>6.979941715277115</v>
      </c>
      <c r="AA72" s="13">
        <v>2.1825316244480866</v>
      </c>
      <c r="AB72" s="13">
        <v>0.73094874498492146</v>
      </c>
      <c r="AC72" s="13">
        <v>50.362495233860336</v>
      </c>
      <c r="AD72" s="13">
        <v>86.027598311535002</v>
      </c>
      <c r="AE72" s="13">
        <v>158.7794601919982</v>
      </c>
      <c r="AF72" s="13">
        <v>233.59787079431399</v>
      </c>
      <c r="AG72" s="13">
        <v>310.65926511096785</v>
      </c>
      <c r="AH72" s="13">
        <v>312.09760430628614</v>
      </c>
      <c r="AI72" s="13"/>
      <c r="AJ72" s="13">
        <v>388.85343365160827</v>
      </c>
      <c r="AK72" s="13">
        <v>563.70664958853399</v>
      </c>
      <c r="AL72" s="13">
        <v>745.70540098283107</v>
      </c>
      <c r="AM72" s="13">
        <v>1122.0541486319546</v>
      </c>
      <c r="AN72" s="13">
        <v>1310.9589144755898</v>
      </c>
      <c r="AO72" s="13">
        <v>1500.8893157286566</v>
      </c>
      <c r="AP72" s="13">
        <v>-5.8364595846083583E-2</v>
      </c>
      <c r="AQ72" s="13">
        <v>0.97077036404453354</v>
      </c>
      <c r="AR72" s="13">
        <v>3.1588259830490149</v>
      </c>
      <c r="AS72" s="13">
        <v>5.278116620777646</v>
      </c>
      <c r="AT72" s="13">
        <v>6.8704754528690639</v>
      </c>
      <c r="AU72" s="13">
        <v>6.9993812450054147</v>
      </c>
      <c r="AV72" s="13"/>
      <c r="AW72" s="13">
        <v>8.5668884281527031</v>
      </c>
      <c r="AX72" s="13">
        <v>10.316369327200166</v>
      </c>
      <c r="AY72" s="13">
        <v>11.384938784888858</v>
      </c>
      <c r="AZ72" s="13">
        <v>12.599722997047756</v>
      </c>
      <c r="BA72" s="13">
        <v>13.01820200158487</v>
      </c>
      <c r="BB72" s="13">
        <v>13.376762169344639</v>
      </c>
      <c r="BC72" s="17"/>
    </row>
    <row r="73" spans="1:55" s="14" customFormat="1" x14ac:dyDescent="0.25">
      <c r="A73" s="6">
        <v>2012</v>
      </c>
      <c r="B73" s="9">
        <v>41107</v>
      </c>
      <c r="C73" s="11" t="s">
        <v>43</v>
      </c>
      <c r="D73" s="2" t="s">
        <v>53</v>
      </c>
      <c r="E73" s="11" t="s">
        <v>20</v>
      </c>
      <c r="F73" s="2" t="s">
        <v>37</v>
      </c>
      <c r="G73" s="2" t="s">
        <v>446</v>
      </c>
      <c r="H73" s="2" t="s">
        <v>35</v>
      </c>
      <c r="I73" s="23" t="s">
        <v>41</v>
      </c>
      <c r="J73" s="12" t="s">
        <v>61</v>
      </c>
      <c r="K73" s="8" t="s">
        <v>31</v>
      </c>
      <c r="L73" s="40">
        <v>541.66666666666663</v>
      </c>
      <c r="M73" s="40" t="s">
        <v>65</v>
      </c>
      <c r="N73" s="16">
        <v>20.031216107881985</v>
      </c>
      <c r="O73" s="16">
        <v>92.878217843862686</v>
      </c>
      <c r="P73" s="13">
        <v>12.959</v>
      </c>
      <c r="Q73" s="25">
        <v>49.309360290145847</v>
      </c>
      <c r="R73" s="16">
        <v>0.82316191706300079</v>
      </c>
      <c r="S73" s="13">
        <v>27.370663514981633</v>
      </c>
      <c r="T73" s="13">
        <v>55.171540777751716</v>
      </c>
      <c r="U73" s="13">
        <v>4.4481622419873919</v>
      </c>
      <c r="V73" s="13">
        <v>1.2273982719713006</v>
      </c>
      <c r="W73" s="13">
        <v>0.46942226847686958</v>
      </c>
      <c r="X73" s="13">
        <v>42.795294143764146</v>
      </c>
      <c r="Y73" s="13">
        <v>74.488138230369245</v>
      </c>
      <c r="Z73" s="13">
        <v>6.2149081481436337</v>
      </c>
      <c r="AA73" s="13">
        <v>1.684761797235421</v>
      </c>
      <c r="AB73" s="13">
        <v>0.65863165362458176</v>
      </c>
      <c r="AC73" s="4">
        <v>50.713420220224727</v>
      </c>
      <c r="AD73" s="13">
        <v>84.567093129354589</v>
      </c>
      <c r="AE73" s="13">
        <v>153.64365533908662</v>
      </c>
      <c r="AF73" s="13">
        <v>226.39206830294006</v>
      </c>
      <c r="AG73" s="13">
        <v>293.99387688763022</v>
      </c>
      <c r="AH73" s="13">
        <v>300.6898287131495</v>
      </c>
      <c r="AI73" s="13"/>
      <c r="AJ73" s="13">
        <v>353.0775008278577</v>
      </c>
      <c r="AK73" s="13">
        <v>527.38660531339281</v>
      </c>
      <c r="AL73" s="13">
        <v>698.95650734096296</v>
      </c>
      <c r="AM73" s="13">
        <v>1067.7419778247197</v>
      </c>
      <c r="AN73" s="13">
        <v>1247.9832772954348</v>
      </c>
      <c r="AO73" s="13">
        <v>1432.0857589610544</v>
      </c>
      <c r="AP73" s="13">
        <v>-1.1910491126558839E-2</v>
      </c>
      <c r="AQ73" s="13">
        <v>0.76077677678747013</v>
      </c>
      <c r="AR73" s="13">
        <v>2.4942082089362967</v>
      </c>
      <c r="AS73" s="13">
        <v>4.2167044642648257</v>
      </c>
      <c r="AT73" s="13">
        <v>5.20160477072658</v>
      </c>
      <c r="AU73" s="13">
        <v>5.7613885892948247</v>
      </c>
      <c r="AV73" s="13"/>
      <c r="AW73" s="13">
        <v>7.8811786488446121</v>
      </c>
      <c r="AX73" s="13">
        <v>8.8720373437820417</v>
      </c>
      <c r="AY73" s="13">
        <v>10.054220220314276</v>
      </c>
      <c r="AZ73" s="13">
        <v>11.158771606386052</v>
      </c>
      <c r="BA73" s="13">
        <v>11.699553976956429</v>
      </c>
      <c r="BB73" s="13">
        <v>12.117094508929597</v>
      </c>
      <c r="BC73" s="13"/>
    </row>
    <row r="74" spans="1:55" x14ac:dyDescent="0.25">
      <c r="A74" s="6">
        <v>2012</v>
      </c>
      <c r="B74" s="9">
        <v>41107</v>
      </c>
      <c r="C74" s="11" t="s">
        <v>43</v>
      </c>
      <c r="D74" s="2" t="s">
        <v>53</v>
      </c>
      <c r="E74" s="11" t="s">
        <v>21</v>
      </c>
      <c r="F74" s="2" t="s">
        <v>37</v>
      </c>
      <c r="G74" s="2" t="s">
        <v>446</v>
      </c>
      <c r="H74" s="2" t="s">
        <v>35</v>
      </c>
      <c r="I74" s="46" t="s">
        <v>49</v>
      </c>
      <c r="J74" s="34" t="s">
        <v>6</v>
      </c>
      <c r="K74" s="40" t="s">
        <v>29</v>
      </c>
      <c r="L74" s="40">
        <v>540.66666666666663</v>
      </c>
      <c r="M74" s="40" t="s">
        <v>65</v>
      </c>
      <c r="N74" s="16">
        <v>20.160928139319786</v>
      </c>
      <c r="O74" s="16">
        <v>92.500837472768936</v>
      </c>
      <c r="P74" s="13">
        <v>15.352</v>
      </c>
      <c r="Q74" s="42">
        <v>105.59186637618011</v>
      </c>
      <c r="R74" s="16">
        <v>1.9975077686607288</v>
      </c>
      <c r="S74" s="13">
        <v>49.006948307705201</v>
      </c>
      <c r="T74" s="13">
        <v>79.972441227612748</v>
      </c>
      <c r="U74" s="13">
        <v>6.1249654978582138</v>
      </c>
      <c r="V74" s="13">
        <v>2.4378423091773622</v>
      </c>
      <c r="W74" s="13">
        <v>0.44042764912887183</v>
      </c>
      <c r="X74" s="13">
        <v>75.721772781671405</v>
      </c>
      <c r="Y74" s="13">
        <v>107.11574864453608</v>
      </c>
      <c r="Z74" s="13">
        <v>8.4787858898264812</v>
      </c>
      <c r="AA74" s="13">
        <v>3.3182062735043139</v>
      </c>
      <c r="AB74" s="13">
        <v>0.61241511063364007</v>
      </c>
      <c r="AC74" s="13">
        <v>49.668561693692169</v>
      </c>
      <c r="AD74" s="13">
        <v>81.598111398384333</v>
      </c>
      <c r="AE74" s="13">
        <v>134.93150687003876</v>
      </c>
      <c r="AF74" s="13">
        <v>192.65871854369749</v>
      </c>
      <c r="AG74" s="13">
        <v>253.07933923189663</v>
      </c>
      <c r="AH74" s="13">
        <v>255.54214241463069</v>
      </c>
      <c r="AI74" s="13"/>
      <c r="AJ74" s="13">
        <v>318.56264056043892</v>
      </c>
      <c r="AK74" s="13">
        <v>458.61868003156582</v>
      </c>
      <c r="AL74" s="13">
        <v>610.97843150892061</v>
      </c>
      <c r="AM74" s="13">
        <v>949.7294773677055</v>
      </c>
      <c r="AN74" s="13">
        <v>1120.598787955</v>
      </c>
      <c r="AO74" s="13">
        <v>1294.006983611024</v>
      </c>
      <c r="AP74" s="13">
        <v>-5.0385479512024212E-2</v>
      </c>
      <c r="AQ74" s="13">
        <v>0.60295667511792927</v>
      </c>
      <c r="AR74" s="13">
        <v>2.350499264076205</v>
      </c>
      <c r="AS74" s="13">
        <v>3.9229952134402652</v>
      </c>
      <c r="AT74" s="13">
        <v>5.9037747401496743</v>
      </c>
      <c r="AU74" s="13">
        <v>5.8382492042462797</v>
      </c>
      <c r="AV74" s="13"/>
      <c r="AW74" s="13">
        <v>7.651033457007129</v>
      </c>
      <c r="AX74" s="13">
        <v>10.409016957968658</v>
      </c>
      <c r="AY74" s="13">
        <v>12.410347993167674</v>
      </c>
      <c r="AZ74" s="13">
        <v>14.572892784543022</v>
      </c>
      <c r="BA74" s="13">
        <v>15.311100675307681</v>
      </c>
      <c r="BB74" s="13">
        <v>15.937065551854028</v>
      </c>
      <c r="BC74" s="13"/>
    </row>
    <row r="75" spans="1:55" x14ac:dyDescent="0.25">
      <c r="A75" s="6">
        <v>2012</v>
      </c>
      <c r="B75" s="9">
        <v>41107</v>
      </c>
      <c r="C75" s="11" t="s">
        <v>43</v>
      </c>
      <c r="D75" s="2" t="s">
        <v>53</v>
      </c>
      <c r="E75" s="11" t="s">
        <v>21</v>
      </c>
      <c r="F75" s="2" t="s">
        <v>37</v>
      </c>
      <c r="G75" s="2" t="s">
        <v>446</v>
      </c>
      <c r="H75" s="2" t="s">
        <v>35</v>
      </c>
      <c r="I75" s="46" t="s">
        <v>49</v>
      </c>
      <c r="J75" s="34" t="s">
        <v>7</v>
      </c>
      <c r="K75" s="40" t="s">
        <v>29</v>
      </c>
      <c r="L75" s="40">
        <v>540.66666666666663</v>
      </c>
      <c r="M75" s="40" t="s">
        <v>65</v>
      </c>
      <c r="N75" s="16">
        <v>19.894145965576172</v>
      </c>
      <c r="O75" s="16">
        <v>92.628341087928192</v>
      </c>
      <c r="P75" s="13">
        <v>31.590999999999998</v>
      </c>
      <c r="Q75" s="25">
        <v>101.22908842608398</v>
      </c>
      <c r="R75" s="16">
        <v>1.3471355101481652</v>
      </c>
      <c r="S75" s="13">
        <v>23.366455672059239</v>
      </c>
      <c r="T75" s="13">
        <v>65.423734250030122</v>
      </c>
      <c r="U75" s="13">
        <v>4.1895307171067406</v>
      </c>
      <c r="V75" s="13">
        <v>2.492674322991248</v>
      </c>
      <c r="W75" s="13">
        <v>0.16788662767940399</v>
      </c>
      <c r="X75" s="13">
        <v>36.995428730735725</v>
      </c>
      <c r="Y75" s="13">
        <v>89.077068356589464</v>
      </c>
      <c r="Z75" s="13">
        <v>5.9112847410495561</v>
      </c>
      <c r="AA75" s="13">
        <v>3.4521100487120147</v>
      </c>
      <c r="AB75" s="13">
        <v>0.23780888420131777</v>
      </c>
      <c r="AC75" s="13">
        <v>55.417501977085173</v>
      </c>
      <c r="AD75" s="13">
        <v>87.12724676607705</v>
      </c>
      <c r="AE75" s="13">
        <v>150.24032733157185</v>
      </c>
      <c r="AF75" s="13">
        <v>193.72274639406481</v>
      </c>
      <c r="AG75" s="13">
        <v>253.56572276569548</v>
      </c>
      <c r="AH75" s="13">
        <v>264.37316178703452</v>
      </c>
      <c r="AI75" s="13"/>
      <c r="AJ75" s="13">
        <v>305.62989282011034</v>
      </c>
      <c r="AK75" s="13">
        <v>420.14621331587125</v>
      </c>
      <c r="AL75" s="13">
        <v>540.95860057299103</v>
      </c>
      <c r="AM75" s="13">
        <v>795.197394139278</v>
      </c>
      <c r="AN75" s="13">
        <v>931.5807061226518</v>
      </c>
      <c r="AO75" s="13">
        <v>1062.0654745781303</v>
      </c>
      <c r="AP75" s="13">
        <v>-9.7299840126915102E-2</v>
      </c>
      <c r="AQ75" s="13">
        <v>0.14583811979265793</v>
      </c>
      <c r="AR75" s="13">
        <v>0.54745400002803735</v>
      </c>
      <c r="AS75" s="13">
        <v>1.2050148479528984</v>
      </c>
      <c r="AT75" s="13">
        <v>2.071535440787688</v>
      </c>
      <c r="AU75" s="13">
        <v>1.97113136417267</v>
      </c>
      <c r="AV75" s="13"/>
      <c r="AW75" s="13">
        <v>2.9661118187103828</v>
      </c>
      <c r="AX75" s="13">
        <v>4.6876997371149409</v>
      </c>
      <c r="AY75" s="13">
        <v>6.461044124162588</v>
      </c>
      <c r="AZ75" s="13">
        <v>9.1158005639587554</v>
      </c>
      <c r="BA75" s="13">
        <v>9.9672715484291867</v>
      </c>
      <c r="BB75" s="13">
        <v>10.075931996770475</v>
      </c>
      <c r="BC75" s="13" t="s">
        <v>79</v>
      </c>
    </row>
    <row r="76" spans="1:55" x14ac:dyDescent="0.25">
      <c r="A76" s="6">
        <v>2012</v>
      </c>
      <c r="B76" s="9">
        <v>41107</v>
      </c>
      <c r="C76" s="11" t="s">
        <v>43</v>
      </c>
      <c r="D76" s="2" t="s">
        <v>53</v>
      </c>
      <c r="E76" s="11" t="s">
        <v>21</v>
      </c>
      <c r="F76" s="2" t="s">
        <v>37</v>
      </c>
      <c r="G76" s="2" t="s">
        <v>446</v>
      </c>
      <c r="H76" s="2" t="s">
        <v>35</v>
      </c>
      <c r="I76" s="46" t="s">
        <v>49</v>
      </c>
      <c r="J76" s="34" t="s">
        <v>12</v>
      </c>
      <c r="K76" s="40" t="s">
        <v>30</v>
      </c>
      <c r="L76" s="40">
        <v>540.66666666666663</v>
      </c>
      <c r="M76" s="40" t="s">
        <v>65</v>
      </c>
      <c r="N76" s="16">
        <v>20.23455810546875</v>
      </c>
      <c r="O76" s="16">
        <v>92.441683255709137</v>
      </c>
      <c r="P76" s="13">
        <v>15.008000000000001</v>
      </c>
      <c r="Q76" s="25">
        <v>69.067013484838114</v>
      </c>
      <c r="R76" s="16">
        <v>1.1515452575160421</v>
      </c>
      <c r="S76" s="13">
        <v>9.1604994118344329</v>
      </c>
      <c r="T76" s="13">
        <v>21.210522173705257</v>
      </c>
      <c r="U76" s="13">
        <v>2.1398299664125009</v>
      </c>
      <c r="V76" s="13">
        <v>0.98228575204609259</v>
      </c>
      <c r="W76" s="13">
        <v>0.68198894469886395</v>
      </c>
      <c r="X76" s="13">
        <v>14.059255073960676</v>
      </c>
      <c r="Y76" s="13">
        <v>28.281484622433243</v>
      </c>
      <c r="Z76" s="13">
        <v>2.9466546995819822</v>
      </c>
      <c r="AA76" s="13">
        <v>1.3306449571541783</v>
      </c>
      <c r="AB76" s="13">
        <v>0.9434787104212965</v>
      </c>
      <c r="AC76" s="13">
        <v>66.226842076137956</v>
      </c>
      <c r="AD76" s="13">
        <v>93.141038600914115</v>
      </c>
      <c r="AE76" s="13">
        <v>137.26350636319384</v>
      </c>
      <c r="AF76" s="13">
        <v>185.18518565486093</v>
      </c>
      <c r="AG76" s="13"/>
      <c r="AH76" s="13">
        <v>262.50516335278377</v>
      </c>
      <c r="AI76" s="13"/>
      <c r="AJ76" s="13">
        <v>329.81025698752455</v>
      </c>
      <c r="AK76" s="13">
        <v>457.62916848459628</v>
      </c>
      <c r="AL76" s="13">
        <v>591.73557566760257</v>
      </c>
      <c r="AM76" s="13">
        <v>842.04578711364059</v>
      </c>
      <c r="AN76" s="13">
        <v>986.29396665571619</v>
      </c>
      <c r="AO76" s="13">
        <v>1123.9918358123125</v>
      </c>
      <c r="AP76" s="13">
        <v>-0.27583193977341386</v>
      </c>
      <c r="AQ76" s="13">
        <v>5.6776679821097048E-2</v>
      </c>
      <c r="AR76" s="13">
        <v>1.2298364086222209</v>
      </c>
      <c r="AS76" s="13">
        <v>3.4247921806443817</v>
      </c>
      <c r="AT76" s="13"/>
      <c r="AU76" s="13">
        <v>1.5847901395654818</v>
      </c>
      <c r="AV76" s="13"/>
      <c r="AW76" s="13">
        <v>1.8394795198563607</v>
      </c>
      <c r="AX76" s="13">
        <v>2.5385151908899415</v>
      </c>
      <c r="AY76" s="13">
        <v>3.0971493053271479</v>
      </c>
      <c r="AZ76" s="13">
        <v>4.4842095733875862</v>
      </c>
      <c r="BA76" s="13">
        <v>4.9412329261583556</v>
      </c>
      <c r="BB76" s="13">
        <v>5.4372280444252938</v>
      </c>
      <c r="BC76" s="13" t="s">
        <v>81</v>
      </c>
    </row>
    <row r="77" spans="1:55" x14ac:dyDescent="0.25">
      <c r="A77" s="6">
        <v>2012</v>
      </c>
      <c r="B77" s="9">
        <v>41107</v>
      </c>
      <c r="C77" s="11" t="s">
        <v>43</v>
      </c>
      <c r="D77" s="2" t="s">
        <v>53</v>
      </c>
      <c r="E77" s="11" t="s">
        <v>21</v>
      </c>
      <c r="F77" s="2" t="s">
        <v>37</v>
      </c>
      <c r="G77" s="2" t="s">
        <v>446</v>
      </c>
      <c r="H77" s="2" t="s">
        <v>35</v>
      </c>
      <c r="I77" s="46" t="s">
        <v>49</v>
      </c>
      <c r="J77" s="34" t="s">
        <v>3</v>
      </c>
      <c r="K77" s="40" t="s">
        <v>30</v>
      </c>
      <c r="L77" s="40">
        <v>540.66666666666663</v>
      </c>
      <c r="M77" s="40" t="s">
        <v>65</v>
      </c>
      <c r="N77" s="16">
        <v>20.096330642700195</v>
      </c>
      <c r="O77" s="16">
        <v>92.453520554762619</v>
      </c>
      <c r="P77" s="13">
        <v>25.443999999999999</v>
      </c>
      <c r="Q77" s="25">
        <v>72.488752470251868</v>
      </c>
      <c r="R77" s="16">
        <v>1.2038394250977276</v>
      </c>
      <c r="S77" s="13">
        <v>13.124501828406352</v>
      </c>
      <c r="T77" s="13">
        <v>43.884450500797925</v>
      </c>
      <c r="U77" s="13">
        <v>3.0742605726307515</v>
      </c>
      <c r="V77" s="13">
        <v>0.79131358436916399</v>
      </c>
      <c r="W77" s="13">
        <v>30</v>
      </c>
      <c r="X77" s="13">
        <v>20.399001083637714</v>
      </c>
      <c r="Y77" s="13">
        <v>59.01275345984925</v>
      </c>
      <c r="Z77" s="13">
        <v>4.2753684146526432</v>
      </c>
      <c r="AA77" s="13">
        <v>1.0815990980472907</v>
      </c>
      <c r="AB77" s="13">
        <v>41.902327407547709</v>
      </c>
      <c r="AC77" s="13">
        <v>49.308690787376321</v>
      </c>
      <c r="AD77" s="13">
        <v>73.56201649003188</v>
      </c>
      <c r="AE77" s="13">
        <v>123.68008702091701</v>
      </c>
      <c r="AF77" s="13">
        <v>181.09439173023773</v>
      </c>
      <c r="AG77" s="13">
        <v>247.87951276836563</v>
      </c>
      <c r="AH77" s="13"/>
      <c r="AI77" s="13"/>
      <c r="AJ77" s="13">
        <v>253.38667478176774</v>
      </c>
      <c r="AK77" s="13">
        <v>356.62035680232333</v>
      </c>
      <c r="AL77" s="13">
        <v>467.45596773477581</v>
      </c>
      <c r="AM77" s="13">
        <v>709.44935241213432</v>
      </c>
      <c r="AN77" s="13">
        <v>864.68207937691739</v>
      </c>
      <c r="AO77" s="13">
        <v>1021.41331918821</v>
      </c>
      <c r="AP77" s="13">
        <v>-2.0374603411889621E-2</v>
      </c>
      <c r="AQ77" s="13">
        <v>0.47341577215714092</v>
      </c>
      <c r="AR77" s="13">
        <v>1.2995423135963831</v>
      </c>
      <c r="AS77" s="13">
        <v>1.881553133697236</v>
      </c>
      <c r="AT77" s="13">
        <v>2.2710108003993166</v>
      </c>
      <c r="AU77" s="13"/>
      <c r="AV77" s="13"/>
      <c r="AW77" s="13">
        <v>5.389666792407195</v>
      </c>
      <c r="AX77" s="13">
        <v>7.1704539683468056</v>
      </c>
      <c r="AY77" s="13">
        <v>8.1518768176092866</v>
      </c>
      <c r="AZ77" s="13">
        <v>9.5639894617408849</v>
      </c>
      <c r="BA77" s="13">
        <v>8.8108590467222463</v>
      </c>
      <c r="BB77" s="13">
        <v>8.4314700282610193</v>
      </c>
      <c r="BC77" s="13" t="s">
        <v>80</v>
      </c>
    </row>
    <row r="78" spans="1:55" x14ac:dyDescent="0.25">
      <c r="A78" s="6">
        <v>2012</v>
      </c>
      <c r="B78" s="9">
        <v>41107</v>
      </c>
      <c r="C78" s="11" t="s">
        <v>43</v>
      </c>
      <c r="D78" s="2" t="s">
        <v>53</v>
      </c>
      <c r="E78" s="11" t="s">
        <v>21</v>
      </c>
      <c r="F78" s="2" t="s">
        <v>37</v>
      </c>
      <c r="G78" s="2" t="s">
        <v>446</v>
      </c>
      <c r="H78" s="2" t="s">
        <v>35</v>
      </c>
      <c r="I78" s="46" t="s">
        <v>58</v>
      </c>
      <c r="J78" s="34" t="s">
        <v>100</v>
      </c>
      <c r="K78" s="40" t="s">
        <v>31</v>
      </c>
      <c r="L78" s="40">
        <v>540.66666666666663</v>
      </c>
      <c r="M78" s="40" t="s">
        <v>65</v>
      </c>
      <c r="N78" s="16">
        <v>19.97987174987793</v>
      </c>
      <c r="O78" s="16">
        <v>92.56754713792067</v>
      </c>
      <c r="P78" s="13">
        <v>14.397</v>
      </c>
      <c r="Q78" s="25">
        <v>46.19017850941168</v>
      </c>
      <c r="R78" s="26">
        <v>0.95221170981244552</v>
      </c>
      <c r="S78" s="13">
        <v>38.259619106321338</v>
      </c>
      <c r="T78" s="13">
        <v>70.14418085679587</v>
      </c>
      <c r="U78" s="13">
        <v>5.4754955668329544</v>
      </c>
      <c r="V78" s="13">
        <v>1.5284342506041815</v>
      </c>
      <c r="W78" s="13">
        <v>0.82468528375828176</v>
      </c>
      <c r="X78" s="13">
        <v>60.102172920869315</v>
      </c>
      <c r="Y78" s="13">
        <v>95.00220848981958</v>
      </c>
      <c r="Z78" s="13">
        <v>7.6784393512906828</v>
      </c>
      <c r="AA78" s="13">
        <v>2.1049777767504292</v>
      </c>
      <c r="AB78" s="13">
        <v>1.1612209902732984</v>
      </c>
      <c r="AC78" s="13">
        <v>49.597300363641011</v>
      </c>
      <c r="AD78" s="13">
        <v>81.749040888861629</v>
      </c>
      <c r="AE78" s="13">
        <v>144.73837828441651</v>
      </c>
      <c r="AF78" s="13">
        <v>209.31134579573805</v>
      </c>
      <c r="AG78" s="13">
        <v>276.70373832926253</v>
      </c>
      <c r="AH78" s="13">
        <v>279.40283506781054</v>
      </c>
      <c r="AI78" s="13">
        <v>284.03325242397864</v>
      </c>
      <c r="AJ78" s="13">
        <v>352.2373080928304</v>
      </c>
      <c r="AK78" s="13">
        <v>522.88898454715684</v>
      </c>
      <c r="AL78" s="13">
        <v>696.46844979202228</v>
      </c>
      <c r="AM78" s="13">
        <v>1074.0896526534079</v>
      </c>
      <c r="AN78" s="13">
        <v>1259.1216688809643</v>
      </c>
      <c r="AO78" s="13">
        <v>1450.8788547230401</v>
      </c>
      <c r="AP78" s="13">
        <v>-3.7705692331685928E-2</v>
      </c>
      <c r="AQ78" s="13">
        <v>1.2277373139252719</v>
      </c>
      <c r="AR78" s="13">
        <v>3.6462621951681187</v>
      </c>
      <c r="AS78" s="13">
        <v>5.9659725940002142</v>
      </c>
      <c r="AT78" s="13">
        <v>8.0664182992547868</v>
      </c>
      <c r="AU78" s="13">
        <v>8.0969370286147768</v>
      </c>
      <c r="AV78" s="13">
        <v>7.7083211621279659</v>
      </c>
      <c r="AW78" s="13">
        <v>9.8996505929370517</v>
      </c>
      <c r="AX78" s="13">
        <v>11.925342918306534</v>
      </c>
      <c r="AY78" s="13">
        <v>13.415825727372972</v>
      </c>
      <c r="AZ78" s="13">
        <v>14.168513009779065</v>
      </c>
      <c r="BA78" s="13">
        <v>14.788757635867963</v>
      </c>
      <c r="BB78" s="13">
        <v>14.89806028670278</v>
      </c>
      <c r="BC78" s="13"/>
    </row>
    <row r="79" spans="1:55" s="14" customFormat="1" x14ac:dyDescent="0.25">
      <c r="A79" s="6">
        <v>2012</v>
      </c>
      <c r="B79" s="9">
        <v>41107</v>
      </c>
      <c r="C79" s="11" t="s">
        <v>43</v>
      </c>
      <c r="D79" s="2" t="s">
        <v>53</v>
      </c>
      <c r="E79" s="11" t="s">
        <v>21</v>
      </c>
      <c r="F79" s="2" t="s">
        <v>37</v>
      </c>
      <c r="G79" s="2" t="s">
        <v>446</v>
      </c>
      <c r="H79" s="2" t="s">
        <v>35</v>
      </c>
      <c r="I79" s="46" t="s">
        <v>58</v>
      </c>
      <c r="J79" s="34" t="s">
        <v>101</v>
      </c>
      <c r="K79" s="40" t="s">
        <v>31</v>
      </c>
      <c r="L79" s="40">
        <v>540.66666666666663</v>
      </c>
      <c r="M79" s="40" t="s">
        <v>65</v>
      </c>
      <c r="N79" s="16">
        <v>20.146018395057091</v>
      </c>
      <c r="O79" s="16">
        <v>92.58565579927884</v>
      </c>
      <c r="P79" s="13">
        <v>15.378</v>
      </c>
      <c r="Q79" s="25">
        <v>44.54415398621407</v>
      </c>
      <c r="R79" s="16">
        <v>0.89062012773512811</v>
      </c>
      <c r="S79" s="13">
        <v>38.908914474605524</v>
      </c>
      <c r="T79" s="13">
        <v>68.715736066922005</v>
      </c>
      <c r="U79" s="13">
        <v>5.352576816785124</v>
      </c>
      <c r="V79" s="13">
        <v>1.6957716673206624</v>
      </c>
      <c r="W79" s="13">
        <v>0.51828503003100579</v>
      </c>
      <c r="X79" s="13">
        <v>60.200997085710576</v>
      </c>
      <c r="Y79" s="13">
        <v>92.122691859596259</v>
      </c>
      <c r="Z79" s="13">
        <v>7.4174563695565592</v>
      </c>
      <c r="AA79" s="13">
        <v>2.3103891190896482</v>
      </c>
      <c r="AB79" s="13">
        <v>0.72142131057038417</v>
      </c>
      <c r="AC79" s="13">
        <v>50.409671458098032</v>
      </c>
      <c r="AD79" s="13">
        <v>82.110581203356602</v>
      </c>
      <c r="AE79" s="13">
        <v>146.35256927643533</v>
      </c>
      <c r="AF79" s="13">
        <v>215.01775626375539</v>
      </c>
      <c r="AG79" s="13">
        <v>280.83454134504507</v>
      </c>
      <c r="AH79" s="13">
        <v>283.04886147348031</v>
      </c>
      <c r="AI79" s="13">
        <v>284.93031268166345</v>
      </c>
      <c r="AJ79" s="13">
        <v>348.2428402211973</v>
      </c>
      <c r="AK79" s="13">
        <v>503.01762861278263</v>
      </c>
      <c r="AL79" s="13">
        <v>675.10106204912972</v>
      </c>
      <c r="AM79" s="13">
        <v>1040.1798033484333</v>
      </c>
      <c r="AN79" s="13">
        <v>1222.3338785325934</v>
      </c>
      <c r="AO79" s="13">
        <v>1412.7293173404937</v>
      </c>
      <c r="AP79" s="13">
        <v>-9.3856379440920776E-2</v>
      </c>
      <c r="AQ79" s="13">
        <v>0.90605423103971083</v>
      </c>
      <c r="AR79" s="13">
        <v>2.8576828828699079</v>
      </c>
      <c r="AS79" s="13">
        <v>4.7639312273321153</v>
      </c>
      <c r="AT79" s="13">
        <v>6.6204478725846307</v>
      </c>
      <c r="AU79" s="13">
        <v>6.3416613567964335</v>
      </c>
      <c r="AV79" s="13">
        <v>6.3388817706861262</v>
      </c>
      <c r="AW79" s="13">
        <v>8.3995120363090212</v>
      </c>
      <c r="AX79" s="13">
        <v>10.655171114932344</v>
      </c>
      <c r="AY79" s="13">
        <v>12.148115066332437</v>
      </c>
      <c r="AZ79" s="13">
        <v>13.458097628903095</v>
      </c>
      <c r="BA79" s="13">
        <v>14.007097411880871</v>
      </c>
      <c r="BB79" s="13">
        <v>14.361963388593781</v>
      </c>
      <c r="BC79" s="17"/>
    </row>
    <row r="80" spans="1:55" x14ac:dyDescent="0.25">
      <c r="A80" s="6">
        <v>2012</v>
      </c>
      <c r="B80" s="47">
        <v>41109</v>
      </c>
      <c r="C80" s="11" t="s">
        <v>43</v>
      </c>
      <c r="D80" s="6" t="s">
        <v>33</v>
      </c>
      <c r="E80" s="11" t="s">
        <v>22</v>
      </c>
      <c r="F80" s="11" t="s">
        <v>37</v>
      </c>
      <c r="G80" s="2" t="s">
        <v>446</v>
      </c>
      <c r="H80" s="11" t="s">
        <v>35</v>
      </c>
      <c r="I80" s="23" t="s">
        <v>49</v>
      </c>
      <c r="J80" s="15" t="s">
        <v>75</v>
      </c>
      <c r="K80" s="8" t="s">
        <v>29</v>
      </c>
      <c r="L80" s="40">
        <v>765</v>
      </c>
      <c r="M80" s="40">
        <v>565</v>
      </c>
      <c r="N80" s="16">
        <v>20.108998372004582</v>
      </c>
      <c r="O80" s="16">
        <v>92.567197946401748</v>
      </c>
      <c r="P80" s="13">
        <v>32.173000000000002</v>
      </c>
      <c r="Q80" s="42">
        <v>89.995446562154427</v>
      </c>
      <c r="R80" s="16">
        <v>1.3137368427803686</v>
      </c>
      <c r="S80" s="13">
        <v>34.654998577704212</v>
      </c>
      <c r="T80" s="13">
        <v>62.362003669181803</v>
      </c>
      <c r="U80" s="13">
        <v>4.8523319136435843</v>
      </c>
      <c r="V80" s="13">
        <v>0.78987013392939809</v>
      </c>
      <c r="W80" s="13">
        <v>1.0644865953294771</v>
      </c>
      <c r="X80" s="13">
        <v>53.800866072952239</v>
      </c>
      <c r="Y80" s="13">
        <v>83.794879190032091</v>
      </c>
      <c r="Z80" s="13">
        <v>6.7420259914124383</v>
      </c>
      <c r="AA80" s="13">
        <v>1.0787391311647017</v>
      </c>
      <c r="AB80" s="13">
        <v>1.4855096892363957</v>
      </c>
      <c r="AC80" s="13">
        <v>46.68727981125128</v>
      </c>
      <c r="AD80" s="13">
        <v>75.193351869844449</v>
      </c>
      <c r="AE80" s="13">
        <v>132.75072777430509</v>
      </c>
      <c r="AF80" s="13">
        <v>196.12451064871451</v>
      </c>
      <c r="AG80" s="13">
        <v>264.29628218865378</v>
      </c>
      <c r="AH80" s="13">
        <v>264.9223956491478</v>
      </c>
      <c r="AI80" s="13" t="e">
        <v>#N/A</v>
      </c>
      <c r="AJ80" s="13">
        <v>334.72303909130437</v>
      </c>
      <c r="AK80" s="13">
        <v>489.52259348755371</v>
      </c>
      <c r="AL80" s="13">
        <v>648.44034957721965</v>
      </c>
      <c r="AM80" s="13">
        <v>987.05834751205111</v>
      </c>
      <c r="AN80" s="13">
        <v>1138.3335371233977</v>
      </c>
      <c r="AO80" s="13">
        <v>1285.3245875857367</v>
      </c>
      <c r="AP80" s="13">
        <v>4.0132713060417956E-2</v>
      </c>
      <c r="AQ80" s="13">
        <v>1.3995625408555004</v>
      </c>
      <c r="AR80" s="13">
        <v>3.9552437547916606</v>
      </c>
      <c r="AS80" s="13">
        <v>6.2020985346930502</v>
      </c>
      <c r="AT80" s="13">
        <v>7.9645090068822837</v>
      </c>
      <c r="AU80" s="13">
        <v>7.8506762574960485</v>
      </c>
      <c r="AV80" s="13" t="e">
        <v>#N/A</v>
      </c>
      <c r="AW80" s="13">
        <v>9.3561674120505955</v>
      </c>
      <c r="AX80" s="13">
        <v>11.230112255896287</v>
      </c>
      <c r="AY80" s="13">
        <v>12.292451698802095</v>
      </c>
      <c r="AZ80" s="13">
        <v>13.451396016332621</v>
      </c>
      <c r="BA80" s="13">
        <v>13.693102345095715</v>
      </c>
      <c r="BB80" s="13">
        <v>13.767136546162542</v>
      </c>
      <c r="BC80" s="13"/>
    </row>
    <row r="81" spans="1:55" x14ac:dyDescent="0.25">
      <c r="A81" s="6">
        <v>2012</v>
      </c>
      <c r="B81" s="47">
        <v>41109</v>
      </c>
      <c r="C81" s="11" t="s">
        <v>43</v>
      </c>
      <c r="D81" s="6" t="s">
        <v>33</v>
      </c>
      <c r="E81" s="11" t="s">
        <v>22</v>
      </c>
      <c r="F81" s="11" t="s">
        <v>37</v>
      </c>
      <c r="G81" s="2" t="s">
        <v>446</v>
      </c>
      <c r="H81" s="11" t="s">
        <v>35</v>
      </c>
      <c r="I81" s="46" t="s">
        <v>49</v>
      </c>
      <c r="J81" s="15" t="s">
        <v>0</v>
      </c>
      <c r="K81" s="40" t="s">
        <v>29</v>
      </c>
      <c r="L81" s="40">
        <v>765</v>
      </c>
      <c r="M81" s="40">
        <v>565</v>
      </c>
      <c r="N81" s="16">
        <v>20.066613123967098</v>
      </c>
      <c r="O81" s="16">
        <v>92.691638653094955</v>
      </c>
      <c r="P81" s="13">
        <v>33.923999999999999</v>
      </c>
      <c r="Q81" s="25">
        <v>107.63921866590687</v>
      </c>
      <c r="R81" s="16">
        <v>1.4466246117998933</v>
      </c>
      <c r="S81" s="13">
        <v>27.336307891542923</v>
      </c>
      <c r="T81" s="13">
        <v>37.092946900245529</v>
      </c>
      <c r="U81" s="13">
        <v>2.7635457697535246</v>
      </c>
      <c r="V81" s="13">
        <v>1.4043897301803712</v>
      </c>
      <c r="W81" s="13">
        <v>0.14077067328714166</v>
      </c>
      <c r="X81" s="13">
        <v>42.603509639993199</v>
      </c>
      <c r="Y81" s="13">
        <v>49.971122867234058</v>
      </c>
      <c r="Z81" s="13">
        <v>3.8514272961888842</v>
      </c>
      <c r="AA81" s="13">
        <v>1.9232814825908653</v>
      </c>
      <c r="AB81" s="13">
        <v>0.19702639569732025</v>
      </c>
      <c r="AC81" s="13">
        <v>50.038077215129533</v>
      </c>
      <c r="AD81" s="13">
        <v>83.498979222756418</v>
      </c>
      <c r="AE81" s="13">
        <v>138.93794181845334</v>
      </c>
      <c r="AF81" s="13">
        <v>198.19327781888521</v>
      </c>
      <c r="AG81" s="13">
        <v>249.3204567788483</v>
      </c>
      <c r="AH81" s="13">
        <v>256.88483213316914</v>
      </c>
      <c r="AI81" s="13" t="e">
        <v>#N/A</v>
      </c>
      <c r="AJ81" s="13">
        <v>306.55953266579337</v>
      </c>
      <c r="AK81" s="13">
        <v>427.26653414466625</v>
      </c>
      <c r="AL81" s="13">
        <v>556.41878489005614</v>
      </c>
      <c r="AM81" s="13">
        <v>822.48994648503503</v>
      </c>
      <c r="AN81" s="13">
        <v>957.29818029060891</v>
      </c>
      <c r="AO81" s="13">
        <v>1105.5756159685379</v>
      </c>
      <c r="AP81" s="13">
        <v>-2.9916939590152545E-3</v>
      </c>
      <c r="AQ81" s="13">
        <v>0.22047147626378022</v>
      </c>
      <c r="AR81" s="13">
        <v>0.87709867714480005</v>
      </c>
      <c r="AS81" s="13">
        <v>1.5397794905429816</v>
      </c>
      <c r="AT81" s="13">
        <v>2.0513511283503068</v>
      </c>
      <c r="AU81" s="13">
        <v>2.2460004559135873</v>
      </c>
      <c r="AV81" s="13" t="e">
        <v>#N/A</v>
      </c>
      <c r="AW81" s="13">
        <v>2.6053020755630834</v>
      </c>
      <c r="AX81" s="13">
        <v>3.5732026619052304</v>
      </c>
      <c r="AY81" s="13">
        <v>4.4242990720273063</v>
      </c>
      <c r="AZ81" s="13">
        <v>5.9258032369635849</v>
      </c>
      <c r="BA81" s="13">
        <v>6.4705544038760792</v>
      </c>
      <c r="BB81" s="13">
        <v>6.8862379496509769</v>
      </c>
      <c r="BC81" s="13" t="s">
        <v>76</v>
      </c>
    </row>
    <row r="82" spans="1:55" x14ac:dyDescent="0.25">
      <c r="A82" s="6">
        <v>2012</v>
      </c>
      <c r="B82" s="47">
        <v>41109</v>
      </c>
      <c r="C82" s="11" t="s">
        <v>43</v>
      </c>
      <c r="D82" s="6" t="s">
        <v>33</v>
      </c>
      <c r="E82" s="11" t="s">
        <v>22</v>
      </c>
      <c r="F82" s="11" t="s">
        <v>37</v>
      </c>
      <c r="G82" s="2" t="s">
        <v>446</v>
      </c>
      <c r="H82" s="11" t="s">
        <v>35</v>
      </c>
      <c r="I82" s="23" t="s">
        <v>49</v>
      </c>
      <c r="J82" s="15" t="s">
        <v>111</v>
      </c>
      <c r="K82" s="8" t="s">
        <v>30</v>
      </c>
      <c r="L82" s="40">
        <v>765</v>
      </c>
      <c r="M82" s="40">
        <v>565</v>
      </c>
      <c r="N82" s="16">
        <v>20.099739221426155</v>
      </c>
      <c r="O82" s="16">
        <v>92.621086707481965</v>
      </c>
      <c r="P82" s="13">
        <v>15.327</v>
      </c>
      <c r="Q82" s="25">
        <v>73.748263774059126</v>
      </c>
      <c r="R82" s="16">
        <v>0.44299147046983417</v>
      </c>
      <c r="S82" s="13">
        <v>53.085138270785009</v>
      </c>
      <c r="T82" s="13">
        <v>106.90302542253693</v>
      </c>
      <c r="U82" s="13">
        <v>8.3155043887449178</v>
      </c>
      <c r="V82" s="13">
        <v>2.6619276822874762</v>
      </c>
      <c r="W82" s="13">
        <v>0.99057117535473216</v>
      </c>
      <c r="X82" s="13">
        <v>82.482869224681238</v>
      </c>
      <c r="Y82" s="13">
        <v>143.72566105169872</v>
      </c>
      <c r="Z82" s="13">
        <v>11.561541036495944</v>
      </c>
      <c r="AA82" s="13">
        <v>3.6376247561767894</v>
      </c>
      <c r="AB82" s="13">
        <v>1.3832475036134961</v>
      </c>
      <c r="AC82" s="13">
        <v>48.664470428751727</v>
      </c>
      <c r="AD82" s="13">
        <v>75.918370112574863</v>
      </c>
      <c r="AE82" s="13">
        <v>129.7144960275933</v>
      </c>
      <c r="AF82" s="13">
        <v>188.25864629932335</v>
      </c>
      <c r="AG82" s="13">
        <v>239.02528488694</v>
      </c>
      <c r="AH82" s="13">
        <v>244.45618347626692</v>
      </c>
      <c r="AI82" s="13" t="e">
        <v>#N/A</v>
      </c>
      <c r="AJ82" s="13">
        <v>295.57195947973224</v>
      </c>
      <c r="AK82" s="13">
        <v>431.17487279819551</v>
      </c>
      <c r="AL82" s="13">
        <v>586.2098809063998</v>
      </c>
      <c r="AM82" s="13">
        <v>946.0788639935347</v>
      </c>
      <c r="AN82" s="13">
        <v>1123.9207893828955</v>
      </c>
      <c r="AO82" s="13">
        <v>1310.5528981444986</v>
      </c>
      <c r="AP82" s="13">
        <v>1.799339274208216E-2</v>
      </c>
      <c r="AQ82" s="13">
        <v>1.1672847101567301</v>
      </c>
      <c r="AR82" s="13">
        <v>3.3215200292312081</v>
      </c>
      <c r="AS82" s="13">
        <v>5.2899980633306543</v>
      </c>
      <c r="AT82" s="13">
        <v>8.3665055671723039</v>
      </c>
      <c r="AU82" s="13">
        <v>9.2221608148265872</v>
      </c>
      <c r="AV82" s="13" t="e">
        <v>#N/A</v>
      </c>
      <c r="AW82" s="13">
        <v>11.150266146949278</v>
      </c>
      <c r="AX82" s="13">
        <v>15.338926250184885</v>
      </c>
      <c r="AY82" s="13">
        <v>18.40512711473454</v>
      </c>
      <c r="AZ82" s="13">
        <v>20.947021195237703</v>
      </c>
      <c r="BA82" s="13">
        <v>21.993419029610717</v>
      </c>
      <c r="BB82" s="13">
        <v>22.284593546090232</v>
      </c>
      <c r="BC82" s="13" t="s">
        <v>76</v>
      </c>
    </row>
    <row r="83" spans="1:55" x14ac:dyDescent="0.25">
      <c r="A83" s="6">
        <v>2012</v>
      </c>
      <c r="B83" s="47">
        <v>41109</v>
      </c>
      <c r="C83" s="11" t="s">
        <v>43</v>
      </c>
      <c r="D83" s="6" t="s">
        <v>33</v>
      </c>
      <c r="E83" s="11" t="s">
        <v>22</v>
      </c>
      <c r="F83" s="11" t="s">
        <v>37</v>
      </c>
      <c r="G83" s="2" t="s">
        <v>446</v>
      </c>
      <c r="H83" s="11" t="s">
        <v>35</v>
      </c>
      <c r="I83" s="23" t="s">
        <v>38</v>
      </c>
      <c r="J83" s="15" t="s">
        <v>60</v>
      </c>
      <c r="K83" s="8" t="s">
        <v>30</v>
      </c>
      <c r="L83" s="40">
        <v>765</v>
      </c>
      <c r="M83" s="40">
        <v>565</v>
      </c>
      <c r="N83" s="16">
        <v>20.220448567317082</v>
      </c>
      <c r="O83" s="16">
        <v>92.639795743502106</v>
      </c>
      <c r="P83" s="13">
        <v>17.869999999999997</v>
      </c>
      <c r="Q83" s="25">
        <v>58.241318153212433</v>
      </c>
      <c r="R83" s="26">
        <v>1.999879180365302</v>
      </c>
      <c r="S83" s="13">
        <v>47.159627622321921</v>
      </c>
      <c r="T83" s="13">
        <v>109.99712562371656</v>
      </c>
      <c r="U83" s="13">
        <v>8.5820980665105839</v>
      </c>
      <c r="V83" s="13">
        <v>1.5085137955294641</v>
      </c>
      <c r="W83" s="13">
        <v>2.5246242042511682</v>
      </c>
      <c r="X83" s="13">
        <v>72.472452257368886</v>
      </c>
      <c r="Y83" s="13">
        <v>146.79393154283107</v>
      </c>
      <c r="Z83" s="13">
        <v>11.82987445267916</v>
      </c>
      <c r="AA83" s="13">
        <v>2.0453652745642539</v>
      </c>
      <c r="AB83" s="13">
        <v>3.4960382623546749</v>
      </c>
      <c r="AC83" s="13">
        <v>48.566814142848081</v>
      </c>
      <c r="AD83" s="13">
        <v>75.612142509085928</v>
      </c>
      <c r="AE83" s="13">
        <v>131.07921838594575</v>
      </c>
      <c r="AF83" s="13">
        <v>188.89152585989746</v>
      </c>
      <c r="AG83" s="13" t="e">
        <v>#N/A</v>
      </c>
      <c r="AH83" s="13">
        <v>254.70375184190141</v>
      </c>
      <c r="AI83" s="13">
        <v>255.30211315524832</v>
      </c>
      <c r="AJ83" s="13">
        <v>327.31464231937844</v>
      </c>
      <c r="AK83" s="13">
        <v>469.89078949038179</v>
      </c>
      <c r="AL83" s="13">
        <v>627.35181516679495</v>
      </c>
      <c r="AM83" s="13">
        <v>996.67999784115716</v>
      </c>
      <c r="AN83" s="13">
        <v>1188.0523014993832</v>
      </c>
      <c r="AO83" s="13">
        <v>1379.2644247784267</v>
      </c>
      <c r="AP83" s="13">
        <v>2.2464520012581361E-2</v>
      </c>
      <c r="AQ83" s="13">
        <v>1.8873273045918588</v>
      </c>
      <c r="AR83" s="13">
        <v>5.582430708940568</v>
      </c>
      <c r="AS83" s="13">
        <v>9.0095377590599064</v>
      </c>
      <c r="AT83" s="13" t="e">
        <v>#N/A</v>
      </c>
      <c r="AU83" s="13">
        <v>11.972008672775576</v>
      </c>
      <c r="AV83" s="13">
        <v>11.85520856940397</v>
      </c>
      <c r="AW83" s="13">
        <v>14.200600911093508</v>
      </c>
      <c r="AX83" s="13">
        <v>18.922448904640586</v>
      </c>
      <c r="AY83" s="13">
        <v>21.957240746291646</v>
      </c>
      <c r="AZ83" s="13">
        <v>23.674376402597709</v>
      </c>
      <c r="BA83" s="13">
        <v>24.037997914662974</v>
      </c>
      <c r="BB83" s="13">
        <v>24.237822235254622</v>
      </c>
      <c r="BC83" s="13"/>
    </row>
    <row r="84" spans="1:55" x14ac:dyDescent="0.25">
      <c r="A84" s="6">
        <v>2012</v>
      </c>
      <c r="B84" s="47">
        <v>41109</v>
      </c>
      <c r="C84" s="11" t="s">
        <v>43</v>
      </c>
      <c r="D84" s="6" t="s">
        <v>33</v>
      </c>
      <c r="E84" s="11" t="s">
        <v>22</v>
      </c>
      <c r="F84" s="11" t="s">
        <v>37</v>
      </c>
      <c r="G84" s="2" t="s">
        <v>446</v>
      </c>
      <c r="H84" s="11" t="s">
        <v>35</v>
      </c>
      <c r="I84" s="23" t="s">
        <v>49</v>
      </c>
      <c r="J84" s="15" t="s">
        <v>82</v>
      </c>
      <c r="K84" s="8" t="s">
        <v>30</v>
      </c>
      <c r="L84" s="40">
        <v>765</v>
      </c>
      <c r="M84" s="40">
        <v>565</v>
      </c>
      <c r="N84" s="16">
        <v>19.993048154390774</v>
      </c>
      <c r="O84" s="16">
        <v>92.509704002967254</v>
      </c>
      <c r="P84" s="13">
        <v>37.531999999999996</v>
      </c>
      <c r="Q84" s="25">
        <v>59.869366073122478</v>
      </c>
      <c r="R84" s="21" t="e">
        <v>#N/A</v>
      </c>
      <c r="S84" s="13">
        <v>45.880134853873969</v>
      </c>
      <c r="T84" s="13">
        <v>67.996492268562463</v>
      </c>
      <c r="U84" s="13">
        <v>5.1655529988374944</v>
      </c>
      <c r="V84" s="13">
        <v>0.87256657743920163</v>
      </c>
      <c r="W84" s="13">
        <v>0.71440307967202477</v>
      </c>
      <c r="X84" s="13">
        <v>71.986477892026201</v>
      </c>
      <c r="Y84" s="13">
        <v>92.018876101359865</v>
      </c>
      <c r="Z84" s="13">
        <v>7.2369700968490935</v>
      </c>
      <c r="AA84" s="13">
        <v>1.2006812943957323</v>
      </c>
      <c r="AB84" s="13">
        <v>1.0050153839138571</v>
      </c>
      <c r="AC84" s="13">
        <v>44.8483789843796</v>
      </c>
      <c r="AD84" s="13">
        <v>69.536661657772456</v>
      </c>
      <c r="AE84" s="13">
        <v>118.82311052851867</v>
      </c>
      <c r="AF84" s="13">
        <v>172.73746978381027</v>
      </c>
      <c r="AG84" s="13">
        <v>230.29794270194427</v>
      </c>
      <c r="AH84" s="13" t="e">
        <v>#N/A</v>
      </c>
      <c r="AI84" s="13">
        <v>234.6658489370908</v>
      </c>
      <c r="AJ84" s="13">
        <v>289.05344278770156</v>
      </c>
      <c r="AK84" s="13">
        <v>439.21388387722783</v>
      </c>
      <c r="AL84" s="13">
        <v>604.43898981619873</v>
      </c>
      <c r="AM84" s="13">
        <v>974.40254945514323</v>
      </c>
      <c r="AN84" s="13">
        <v>1161.8386097392543</v>
      </c>
      <c r="AO84" s="13">
        <v>1355.3093283468102</v>
      </c>
      <c r="AP84" s="13">
        <v>0.16873166493906744</v>
      </c>
      <c r="AQ84" s="13">
        <v>1.1768784661766798</v>
      </c>
      <c r="AR84" s="13">
        <v>3.1650532281970998</v>
      </c>
      <c r="AS84" s="13">
        <v>5.0135462710048477</v>
      </c>
      <c r="AT84" s="13">
        <v>7.0222134651710384</v>
      </c>
      <c r="AU84" s="13" t="e">
        <v>#N/A</v>
      </c>
      <c r="AV84" s="13">
        <v>7.5227155981461671</v>
      </c>
      <c r="AW84" s="13">
        <v>8.9570890349241736</v>
      </c>
      <c r="AX84" s="13">
        <v>11.277222943545219</v>
      </c>
      <c r="AY84" s="13">
        <v>12.891605479031298</v>
      </c>
      <c r="AZ84" s="13">
        <v>14.064453651524342</v>
      </c>
      <c r="BA84" s="13">
        <v>14.488410248945964</v>
      </c>
      <c r="BB84" s="13">
        <v>14.624102388418487</v>
      </c>
      <c r="BC84" s="13" t="s">
        <v>85</v>
      </c>
    </row>
    <row r="85" spans="1:55" s="14" customFormat="1" x14ac:dyDescent="0.25">
      <c r="A85" s="6">
        <v>2012</v>
      </c>
      <c r="B85" s="47">
        <v>41109</v>
      </c>
      <c r="C85" s="11" t="s">
        <v>43</v>
      </c>
      <c r="D85" s="6" t="s">
        <v>33</v>
      </c>
      <c r="E85" s="11" t="s">
        <v>22</v>
      </c>
      <c r="F85" s="11" t="s">
        <v>37</v>
      </c>
      <c r="G85" s="2" t="s">
        <v>446</v>
      </c>
      <c r="H85" s="11" t="s">
        <v>35</v>
      </c>
      <c r="I85" s="23" t="s">
        <v>38</v>
      </c>
      <c r="J85" s="15" t="s">
        <v>83</v>
      </c>
      <c r="K85" s="8" t="s">
        <v>31</v>
      </c>
      <c r="L85" s="40">
        <v>765</v>
      </c>
      <c r="M85" s="40">
        <v>565</v>
      </c>
      <c r="N85" s="16">
        <v>20.135317875788761</v>
      </c>
      <c r="O85" s="16">
        <v>92.485038757324219</v>
      </c>
      <c r="P85" s="13">
        <v>12.625999999999999</v>
      </c>
      <c r="Q85" s="25">
        <v>56.28925752939282</v>
      </c>
      <c r="R85" s="16">
        <v>0.65107410648641428</v>
      </c>
      <c r="S85" s="13">
        <v>22.528651988329564</v>
      </c>
      <c r="T85" s="13">
        <v>56.892646537381793</v>
      </c>
      <c r="U85" s="13">
        <v>4.5174649287434958</v>
      </c>
      <c r="V85" s="13">
        <v>0.66548884976188238</v>
      </c>
      <c r="W85" s="13">
        <v>30</v>
      </c>
      <c r="X85" s="13">
        <v>34.891070422378853</v>
      </c>
      <c r="Y85" s="13">
        <v>76.322364710186974</v>
      </c>
      <c r="Z85" s="13">
        <v>6.2649639938225556</v>
      </c>
      <c r="AA85" s="13">
        <v>0.90731895360067494</v>
      </c>
      <c r="AB85" s="13">
        <v>41.789176380611913</v>
      </c>
      <c r="AC85" s="13">
        <v>48.645036593076085</v>
      </c>
      <c r="AD85" s="13">
        <v>78.556462311484253</v>
      </c>
      <c r="AE85" s="13">
        <v>137.16818906786099</v>
      </c>
      <c r="AF85" s="13">
        <v>198.9395928504772</v>
      </c>
      <c r="AG85" s="13">
        <v>266.08433992753857</v>
      </c>
      <c r="AH85" s="13">
        <v>268.68914665877446</v>
      </c>
      <c r="AI85" s="13">
        <v>276.99641437674285</v>
      </c>
      <c r="AJ85" s="13">
        <v>371.04706239951224</v>
      </c>
      <c r="AK85" s="13">
        <v>526.76987928815993</v>
      </c>
      <c r="AL85" s="13">
        <v>691.80704390403889</v>
      </c>
      <c r="AM85" s="13">
        <v>1071.5069455484816</v>
      </c>
      <c r="AN85" s="13">
        <v>1261.917522856914</v>
      </c>
      <c r="AO85" s="13">
        <v>1453.8316712834292</v>
      </c>
      <c r="AP85" s="13">
        <v>-0.10405378087852897</v>
      </c>
      <c r="AQ85" s="13">
        <v>1.2298456433443359</v>
      </c>
      <c r="AR85" s="13">
        <v>3.6972354718903149</v>
      </c>
      <c r="AS85" s="13">
        <v>6.0530462530342231</v>
      </c>
      <c r="AT85" s="13">
        <v>7.9513971431683457</v>
      </c>
      <c r="AU85" s="13">
        <v>7.7301641366210134</v>
      </c>
      <c r="AV85" s="13">
        <v>7.4811345179716531</v>
      </c>
      <c r="AW85" s="13">
        <v>7.6323133246450992</v>
      </c>
      <c r="AX85" s="13">
        <v>10.241427871185618</v>
      </c>
      <c r="AY85" s="13">
        <v>12.096461126598074</v>
      </c>
      <c r="AZ85" s="13">
        <v>12.653564195553338</v>
      </c>
      <c r="BA85" s="13">
        <v>12.825234909396503</v>
      </c>
      <c r="BB85" s="13">
        <v>12.886906391219371</v>
      </c>
      <c r="BC85" s="17"/>
    </row>
    <row r="86" spans="1:55" x14ac:dyDescent="0.25">
      <c r="A86" s="6">
        <v>2012</v>
      </c>
      <c r="B86" s="47">
        <v>41109</v>
      </c>
      <c r="C86" s="11" t="s">
        <v>43</v>
      </c>
      <c r="D86" s="6" t="s">
        <v>33</v>
      </c>
      <c r="E86" s="11" t="s">
        <v>22</v>
      </c>
      <c r="F86" s="11" t="s">
        <v>37</v>
      </c>
      <c r="G86" s="2" t="s">
        <v>446</v>
      </c>
      <c r="H86" s="11" t="s">
        <v>35</v>
      </c>
      <c r="I86" s="23" t="s">
        <v>49</v>
      </c>
      <c r="J86" s="15" t="s">
        <v>84</v>
      </c>
      <c r="K86" s="8" t="s">
        <v>31</v>
      </c>
      <c r="L86" s="40">
        <v>765</v>
      </c>
      <c r="M86" s="40">
        <v>565</v>
      </c>
      <c r="N86" s="16">
        <v>20.163093860332783</v>
      </c>
      <c r="O86" s="16">
        <v>92.463761549729568</v>
      </c>
      <c r="P86" s="13">
        <v>16.169999999999998</v>
      </c>
      <c r="Q86" s="13">
        <v>103.21318098604887</v>
      </c>
      <c r="R86" s="16">
        <v>1.5827479854956485</v>
      </c>
      <c r="S86" s="13">
        <v>23.027861025408328</v>
      </c>
      <c r="T86" s="13">
        <v>93.125145324086972</v>
      </c>
      <c r="U86" s="13">
        <v>6.1268776751752609</v>
      </c>
      <c r="V86" s="13">
        <v>0.66078588601243937</v>
      </c>
      <c r="W86" s="13">
        <v>0.69121954901757243</v>
      </c>
      <c r="X86" s="13">
        <v>35.573844799088754</v>
      </c>
      <c r="Y86" s="13">
        <v>124.71601058022594</v>
      </c>
      <c r="Z86" s="13">
        <v>8.4801224542387441</v>
      </c>
      <c r="AA86" s="13">
        <v>0.89928536667130199</v>
      </c>
      <c r="AB86" s="13">
        <v>0.96099719955549456</v>
      </c>
      <c r="AC86" s="13">
        <v>50.085573508671047</v>
      </c>
      <c r="AD86" s="13">
        <v>72.862193527417375</v>
      </c>
      <c r="AE86" s="13">
        <v>120.59323274436765</v>
      </c>
      <c r="AF86" s="13">
        <v>175.23127128142355</v>
      </c>
      <c r="AG86" s="13">
        <v>228.72034515521131</v>
      </c>
      <c r="AH86" s="13" t="e">
        <v>#N/A</v>
      </c>
      <c r="AI86" s="13">
        <v>241.95300271112777</v>
      </c>
      <c r="AJ86" s="13">
        <v>251.57929271431331</v>
      </c>
      <c r="AK86" s="13">
        <v>349.04380930191439</v>
      </c>
      <c r="AL86" s="13">
        <v>448.57071443734856</v>
      </c>
      <c r="AM86" s="13">
        <v>684.71916720402294</v>
      </c>
      <c r="AN86" s="13">
        <v>812.99361663528418</v>
      </c>
      <c r="AO86" s="13">
        <v>950.88583043116546</v>
      </c>
      <c r="AP86" s="13">
        <v>-0.1012962532258935</v>
      </c>
      <c r="AQ86" s="13">
        <v>0.79290530661219472</v>
      </c>
      <c r="AR86" s="13">
        <v>2.3384793193046076</v>
      </c>
      <c r="AS86" s="13">
        <v>3.7270964268656943</v>
      </c>
      <c r="AT86" s="13">
        <v>3.7948825231986176</v>
      </c>
      <c r="AU86" s="13" t="e">
        <v>#N/A</v>
      </c>
      <c r="AV86" s="13">
        <v>5.058098904442101</v>
      </c>
      <c r="AW86" s="13">
        <v>8.771383135221571</v>
      </c>
      <c r="AX86" s="13">
        <v>12.695637377766923</v>
      </c>
      <c r="AY86" s="13">
        <v>15.391255173228043</v>
      </c>
      <c r="AZ86" s="13">
        <v>18.443541479943292</v>
      </c>
      <c r="BA86" s="13">
        <v>17.99301609276969</v>
      </c>
      <c r="BB86" s="13">
        <v>17.719857381753403</v>
      </c>
      <c r="BC86" s="13"/>
    </row>
    <row r="87" spans="1:55" x14ac:dyDescent="0.25">
      <c r="A87" s="6">
        <v>2012</v>
      </c>
      <c r="B87" s="9">
        <v>41109</v>
      </c>
      <c r="C87" s="11" t="s">
        <v>43</v>
      </c>
      <c r="D87" s="2" t="s">
        <v>33</v>
      </c>
      <c r="E87" s="11" t="s">
        <v>23</v>
      </c>
      <c r="F87" s="2" t="s">
        <v>37</v>
      </c>
      <c r="G87" s="2" t="s">
        <v>446</v>
      </c>
      <c r="H87" s="2" t="s">
        <v>34</v>
      </c>
      <c r="I87" s="23" t="s">
        <v>49</v>
      </c>
      <c r="J87" s="34" t="s">
        <v>7</v>
      </c>
      <c r="K87" s="8" t="s">
        <v>29</v>
      </c>
      <c r="L87" s="40">
        <v>765</v>
      </c>
      <c r="M87" s="40">
        <v>565</v>
      </c>
      <c r="N87" s="16">
        <v>20.125293438251202</v>
      </c>
      <c r="O87" s="16">
        <v>92.534823491023133</v>
      </c>
      <c r="P87" s="13">
        <v>19.897000000000002</v>
      </c>
      <c r="Q87" s="13">
        <v>11.789270799871506</v>
      </c>
      <c r="R87" s="16">
        <v>2.5011576185039517</v>
      </c>
      <c r="S87" s="13">
        <v>47.380255264049993</v>
      </c>
      <c r="T87" s="13">
        <v>82.546883397639689</v>
      </c>
      <c r="U87" s="13">
        <v>5.5915258699277581</v>
      </c>
      <c r="V87" s="13">
        <v>3.5006171505938557</v>
      </c>
      <c r="W87" s="13">
        <v>0.3201573677978411</v>
      </c>
      <c r="X87" s="13">
        <v>73.447024567530917</v>
      </c>
      <c r="Y87" s="13">
        <v>110.80608770272103</v>
      </c>
      <c r="Z87" s="13">
        <v>7.7600572816366888</v>
      </c>
      <c r="AA87" s="13">
        <v>4.7758011357442305</v>
      </c>
      <c r="AB87" s="13">
        <v>0.4462805643002814</v>
      </c>
      <c r="AC87" s="13">
        <v>55.517532730263859</v>
      </c>
      <c r="AD87" s="13">
        <v>82.728372081965929</v>
      </c>
      <c r="AE87" s="13">
        <v>139.64310101863649</v>
      </c>
      <c r="AF87" s="13">
        <v>194.54998065614828</v>
      </c>
      <c r="AG87" s="13">
        <v>238.21211632531566</v>
      </c>
      <c r="AH87" s="13">
        <v>246.30062163223502</v>
      </c>
      <c r="AI87" s="13" t="e">
        <v>#N/A</v>
      </c>
      <c r="AJ87" s="13">
        <v>291.51828477300734</v>
      </c>
      <c r="AK87" s="13">
        <v>400.7237420861361</v>
      </c>
      <c r="AL87" s="13">
        <v>517.53089352350958</v>
      </c>
      <c r="AM87" s="13">
        <v>763.40785102915356</v>
      </c>
      <c r="AN87" s="13">
        <v>908.09181767619077</v>
      </c>
      <c r="AO87" s="13">
        <v>1055.4925928234186</v>
      </c>
      <c r="AP87" s="13">
        <v>-0.1806947864976671</v>
      </c>
      <c r="AQ87" s="13">
        <v>0.40267523792773391</v>
      </c>
      <c r="AR87" s="13">
        <v>1.4780783364911065</v>
      </c>
      <c r="AS87" s="13">
        <v>2.6614507959031473</v>
      </c>
      <c r="AT87" s="13">
        <v>4.0390602781109708</v>
      </c>
      <c r="AU87" s="13">
        <v>3.9092555161765907</v>
      </c>
      <c r="AV87" s="13" t="e">
        <v>#N/A</v>
      </c>
      <c r="AW87" s="13">
        <v>5.3122100719717213</v>
      </c>
      <c r="AX87" s="13">
        <v>7.6769425045370223</v>
      </c>
      <c r="AY87" s="13">
        <v>9.5726171021677295</v>
      </c>
      <c r="AZ87" s="13">
        <v>12.726991493988756</v>
      </c>
      <c r="BA87" s="13">
        <v>13.14206482307698</v>
      </c>
      <c r="BB87" s="13">
        <v>13.273959110689868</v>
      </c>
      <c r="BC87" s="13"/>
    </row>
    <row r="88" spans="1:55" x14ac:dyDescent="0.25">
      <c r="A88" s="6">
        <v>2012</v>
      </c>
      <c r="B88" s="9">
        <v>41109</v>
      </c>
      <c r="C88" s="11" t="s">
        <v>43</v>
      </c>
      <c r="D88" s="2" t="s">
        <v>33</v>
      </c>
      <c r="E88" s="11" t="s">
        <v>23</v>
      </c>
      <c r="F88" s="2" t="s">
        <v>37</v>
      </c>
      <c r="G88" s="2" t="s">
        <v>446</v>
      </c>
      <c r="H88" s="2" t="s">
        <v>34</v>
      </c>
      <c r="I88" s="46" t="s">
        <v>38</v>
      </c>
      <c r="J88" s="34" t="s">
        <v>10</v>
      </c>
      <c r="K88" s="40" t="s">
        <v>29</v>
      </c>
      <c r="L88" s="40">
        <v>765</v>
      </c>
      <c r="M88" s="40">
        <v>565</v>
      </c>
      <c r="N88" s="16">
        <v>20.235382960392879</v>
      </c>
      <c r="O88" s="16">
        <v>92.401799715482269</v>
      </c>
      <c r="P88" s="13">
        <v>25.816000000000003</v>
      </c>
      <c r="Q88" s="13">
        <v>103.77210831115978</v>
      </c>
      <c r="R88" s="16">
        <v>1.8709045382129175</v>
      </c>
      <c r="S88" s="13">
        <v>70.864525605818415</v>
      </c>
      <c r="T88" s="13">
        <v>116.18209509795162</v>
      </c>
      <c r="U88" s="13">
        <v>8.7321542934680796</v>
      </c>
      <c r="V88" s="13">
        <v>1.2332592665440738</v>
      </c>
      <c r="W88" s="13">
        <v>1.5188084317729111</v>
      </c>
      <c r="X88" s="13">
        <v>108.75252276186676</v>
      </c>
      <c r="Y88" s="13">
        <v>154.90594005150663</v>
      </c>
      <c r="Z88" s="13">
        <v>12.023913881216201</v>
      </c>
      <c r="AA88" s="13">
        <v>1.6705347458384059</v>
      </c>
      <c r="AB88" s="13">
        <v>2.1010333429627486</v>
      </c>
      <c r="AC88" s="13">
        <v>45.888471092049173</v>
      </c>
      <c r="AD88" s="13">
        <v>70.934040357744479</v>
      </c>
      <c r="AE88" s="13">
        <v>122.24614453714057</v>
      </c>
      <c r="AF88" s="13">
        <v>177.59115375548785</v>
      </c>
      <c r="AG88" s="13">
        <v>237.13314084716319</v>
      </c>
      <c r="AH88" s="13">
        <v>238.08332075577755</v>
      </c>
      <c r="AI88" s="13">
        <v>239.29919269124267</v>
      </c>
      <c r="AJ88" s="13">
        <v>300.06348086815666</v>
      </c>
      <c r="AK88" s="13">
        <v>446.28851414140001</v>
      </c>
      <c r="AL88" s="13">
        <v>611.26470641451101</v>
      </c>
      <c r="AM88" s="13">
        <v>980.58250469205234</v>
      </c>
      <c r="AN88" s="13">
        <v>1172.6519481911253</v>
      </c>
      <c r="AO88" s="13">
        <v>1364.3289458754994</v>
      </c>
      <c r="AP88" s="13">
        <v>0.24239638492804258</v>
      </c>
      <c r="AQ88" s="13">
        <v>2.2516976165855493</v>
      </c>
      <c r="AR88" s="13">
        <v>6.1698475628455283</v>
      </c>
      <c r="AS88" s="13">
        <v>9.7935725554172404</v>
      </c>
      <c r="AT88" s="13">
        <v>13.007231703032271</v>
      </c>
      <c r="AU88" s="13">
        <v>13.096226715677874</v>
      </c>
      <c r="AV88" s="13">
        <v>12.927740600462521</v>
      </c>
      <c r="AW88" s="13">
        <v>16.03197013413385</v>
      </c>
      <c r="AX88" s="13">
        <v>20.27176651651083</v>
      </c>
      <c r="AY88" s="13">
        <v>22.853656752539301</v>
      </c>
      <c r="AZ88" s="13">
        <v>24.59821924658598</v>
      </c>
      <c r="BA88" s="13">
        <v>24.881050604461411</v>
      </c>
      <c r="BB88" s="13">
        <v>25.04535679851169</v>
      </c>
      <c r="BC88" s="13" t="s">
        <v>86</v>
      </c>
    </row>
    <row r="89" spans="1:55" x14ac:dyDescent="0.25">
      <c r="A89" s="6">
        <v>2012</v>
      </c>
      <c r="B89" s="9">
        <v>41109</v>
      </c>
      <c r="C89" s="11" t="s">
        <v>43</v>
      </c>
      <c r="D89" s="2" t="s">
        <v>33</v>
      </c>
      <c r="E89" s="11" t="s">
        <v>23</v>
      </c>
      <c r="F89" s="2" t="s">
        <v>37</v>
      </c>
      <c r="G89" s="2" t="s">
        <v>446</v>
      </c>
      <c r="H89" s="2" t="s">
        <v>34</v>
      </c>
      <c r="I89" s="23" t="s">
        <v>38</v>
      </c>
      <c r="J89" s="34" t="s">
        <v>9</v>
      </c>
      <c r="K89" s="8" t="s">
        <v>30</v>
      </c>
      <c r="L89" s="40">
        <v>765</v>
      </c>
      <c r="M89" s="40">
        <v>565</v>
      </c>
      <c r="N89" s="16">
        <v>19.997475844163162</v>
      </c>
      <c r="O89" s="16">
        <v>92.516862722543564</v>
      </c>
      <c r="P89" s="13">
        <v>20.291</v>
      </c>
      <c r="Q89" s="13">
        <v>85.382342631078174</v>
      </c>
      <c r="R89" s="16">
        <v>1.5290600721621221</v>
      </c>
      <c r="S89" s="13">
        <v>50.640007500072613</v>
      </c>
      <c r="T89" s="13">
        <v>96.247085195534666</v>
      </c>
      <c r="U89" s="13">
        <v>7.2356581771023949</v>
      </c>
      <c r="V89" s="13">
        <v>1.3931886394577275</v>
      </c>
      <c r="W89" s="13">
        <v>1.5080490648531533</v>
      </c>
      <c r="X89" s="13">
        <v>79.422612521047029</v>
      </c>
      <c r="Y89" s="13">
        <v>130.21464961812632</v>
      </c>
      <c r="Z89" s="13">
        <v>10.133988124361879</v>
      </c>
      <c r="AA89" s="13">
        <v>1.9165238982574504</v>
      </c>
      <c r="AB89" s="13">
        <v>2.1208569939135886</v>
      </c>
      <c r="AC89" s="13">
        <v>47.415455067125102</v>
      </c>
      <c r="AD89" s="13">
        <v>74.310733727009094</v>
      </c>
      <c r="AE89" s="13">
        <v>126.82878953801011</v>
      </c>
      <c r="AF89" s="13">
        <v>181.52385806559317</v>
      </c>
      <c r="AG89" s="13">
        <v>244.82518264920208</v>
      </c>
      <c r="AH89" s="13">
        <v>245.36672655339302</v>
      </c>
      <c r="AI89" s="13">
        <v>248.20991598401542</v>
      </c>
      <c r="AJ89" s="13">
        <v>307.79412475170386</v>
      </c>
      <c r="AK89" s="13">
        <v>455.41623577566179</v>
      </c>
      <c r="AL89" s="13">
        <v>621.80916422187829</v>
      </c>
      <c r="AM89" s="13">
        <v>999.94336379523963</v>
      </c>
      <c r="AN89" s="13">
        <v>1191.0171891310945</v>
      </c>
      <c r="AO89" s="13">
        <v>1380.7068492840126</v>
      </c>
      <c r="AP89" s="13">
        <v>0.10456181547524809</v>
      </c>
      <c r="AQ89" s="13">
        <v>1.796325841097304</v>
      </c>
      <c r="AR89" s="13">
        <v>5.0194653928716191</v>
      </c>
      <c r="AS89" s="13">
        <v>8.0683042954421396</v>
      </c>
      <c r="AT89" s="13">
        <v>10.589193334480102</v>
      </c>
      <c r="AU89" s="13">
        <v>10.964929611837531</v>
      </c>
      <c r="AV89" s="13">
        <v>10.479149200377421</v>
      </c>
      <c r="AW89" s="13">
        <v>13.566216406534105</v>
      </c>
      <c r="AX89" s="13">
        <v>17.195137959469967</v>
      </c>
      <c r="AY89" s="13">
        <v>19.202919415562501</v>
      </c>
      <c r="AZ89" s="13">
        <v>20.158042345821695</v>
      </c>
      <c r="BA89" s="13">
        <v>20.301214545453707</v>
      </c>
      <c r="BB89" s="13">
        <v>20.31379543703035</v>
      </c>
      <c r="BC89" s="13"/>
    </row>
    <row r="90" spans="1:55" x14ac:dyDescent="0.25">
      <c r="A90" s="6">
        <v>2012</v>
      </c>
      <c r="B90" s="9">
        <v>41109</v>
      </c>
      <c r="C90" s="11" t="s">
        <v>43</v>
      </c>
      <c r="D90" s="2" t="s">
        <v>33</v>
      </c>
      <c r="E90" s="11" t="s">
        <v>23</v>
      </c>
      <c r="F90" s="2" t="s">
        <v>37</v>
      </c>
      <c r="G90" s="2" t="s">
        <v>446</v>
      </c>
      <c r="H90" s="2" t="s">
        <v>34</v>
      </c>
      <c r="I90" s="23" t="s">
        <v>38</v>
      </c>
      <c r="J90" s="34" t="s">
        <v>8</v>
      </c>
      <c r="K90" s="8" t="s">
        <v>30</v>
      </c>
      <c r="L90" s="40">
        <v>765</v>
      </c>
      <c r="M90" s="40">
        <v>565</v>
      </c>
      <c r="N90" s="21" t="e">
        <v>#N/A</v>
      </c>
      <c r="O90" s="21" t="e">
        <v>#N/A</v>
      </c>
      <c r="P90" s="13">
        <v>24.013999999999999</v>
      </c>
      <c r="Q90" s="13">
        <v>63.084804606460892</v>
      </c>
      <c r="R90" s="16">
        <v>1.3807463868815582</v>
      </c>
      <c r="S90" s="21" t="e">
        <v>#N/A</v>
      </c>
      <c r="T90" s="21" t="e">
        <v>#N/A</v>
      </c>
      <c r="U90" s="21" t="e">
        <v>#N/A</v>
      </c>
      <c r="V90" s="21" t="e">
        <v>#N/A</v>
      </c>
      <c r="W90" s="21" t="e">
        <v>#N/A</v>
      </c>
      <c r="X90" s="21" t="e">
        <v>#N/A</v>
      </c>
      <c r="Y90" s="21" t="e">
        <v>#N/A</v>
      </c>
      <c r="Z90" s="21" t="e">
        <v>#N/A</v>
      </c>
      <c r="AA90" s="21" t="e">
        <v>#N/A</v>
      </c>
      <c r="AB90" s="21" t="e">
        <v>#N/A</v>
      </c>
      <c r="AC90" s="21" t="e">
        <v>#N/A</v>
      </c>
      <c r="AD90" s="21" t="e">
        <v>#N/A</v>
      </c>
      <c r="AE90" s="21" t="e">
        <v>#N/A</v>
      </c>
      <c r="AF90" s="21" t="e">
        <v>#N/A</v>
      </c>
      <c r="AG90" s="21" t="e">
        <v>#N/A</v>
      </c>
      <c r="AH90" s="21" t="e">
        <v>#N/A</v>
      </c>
      <c r="AI90" s="21" t="e">
        <v>#N/A</v>
      </c>
      <c r="AJ90" s="21" t="e">
        <v>#N/A</v>
      </c>
      <c r="AK90" s="21" t="e">
        <v>#N/A</v>
      </c>
      <c r="AL90" s="21" t="e">
        <v>#N/A</v>
      </c>
      <c r="AM90" s="21" t="e">
        <v>#N/A</v>
      </c>
      <c r="AN90" s="21" t="e">
        <v>#N/A</v>
      </c>
      <c r="AO90" s="21" t="e">
        <v>#N/A</v>
      </c>
      <c r="AP90" s="21" t="e">
        <v>#N/A</v>
      </c>
      <c r="AQ90" s="21" t="e">
        <v>#N/A</v>
      </c>
      <c r="AR90" s="21" t="e">
        <v>#N/A</v>
      </c>
      <c r="AS90" s="21" t="e">
        <v>#N/A</v>
      </c>
      <c r="AT90" s="21" t="e">
        <v>#N/A</v>
      </c>
      <c r="AU90" s="21" t="e">
        <v>#N/A</v>
      </c>
      <c r="AV90" s="21" t="e">
        <v>#N/A</v>
      </c>
      <c r="AW90" s="21" t="e">
        <v>#N/A</v>
      </c>
      <c r="AX90" s="21" t="e">
        <v>#N/A</v>
      </c>
      <c r="AY90" s="21" t="e">
        <v>#N/A</v>
      </c>
      <c r="AZ90" s="21" t="e">
        <v>#N/A</v>
      </c>
      <c r="BA90" s="21" t="e">
        <v>#N/A</v>
      </c>
      <c r="BB90" s="21" t="e">
        <v>#N/A</v>
      </c>
      <c r="BC90" s="13"/>
    </row>
    <row r="91" spans="1:55" x14ac:dyDescent="0.25">
      <c r="A91" s="6">
        <v>2012</v>
      </c>
      <c r="B91" s="9">
        <v>41109</v>
      </c>
      <c r="C91" s="11" t="s">
        <v>43</v>
      </c>
      <c r="D91" s="2" t="s">
        <v>33</v>
      </c>
      <c r="E91" s="11" t="s">
        <v>23</v>
      </c>
      <c r="F91" s="2" t="s">
        <v>37</v>
      </c>
      <c r="G91" s="2" t="s">
        <v>446</v>
      </c>
      <c r="H91" s="2" t="s">
        <v>34</v>
      </c>
      <c r="I91" s="23" t="s">
        <v>38</v>
      </c>
      <c r="J91" s="34" t="s">
        <v>95</v>
      </c>
      <c r="K91" s="8" t="s">
        <v>31</v>
      </c>
      <c r="L91" s="40">
        <v>765</v>
      </c>
      <c r="M91" s="40">
        <v>565</v>
      </c>
      <c r="N91" s="16">
        <v>20.135624665480393</v>
      </c>
      <c r="O91" s="16">
        <v>92.524766775277939</v>
      </c>
      <c r="P91" s="13">
        <v>10.224</v>
      </c>
      <c r="Q91" s="13">
        <v>71.484914218102929</v>
      </c>
      <c r="R91" s="16">
        <v>1.6737498833066964</v>
      </c>
      <c r="S91" s="13">
        <v>35.654320384270619</v>
      </c>
      <c r="T91" s="13">
        <v>70.853291920093</v>
      </c>
      <c r="U91" s="13">
        <v>5.4597950512062789</v>
      </c>
      <c r="V91" s="13">
        <v>1.9485874218180712</v>
      </c>
      <c r="W91" s="13">
        <v>1.3939301873717447</v>
      </c>
      <c r="X91" s="13">
        <v>55.217797300779353</v>
      </c>
      <c r="Y91" s="13">
        <v>95.048996225914152</v>
      </c>
      <c r="Z91" s="13">
        <v>7.5716515509862257</v>
      </c>
      <c r="AA91" s="13">
        <v>2.6566262031928871</v>
      </c>
      <c r="AB91" s="13">
        <v>1.9416651729774361</v>
      </c>
      <c r="AC91" s="13">
        <v>51.939806362690888</v>
      </c>
      <c r="AD91" s="13">
        <v>84.35819596741085</v>
      </c>
      <c r="AE91" s="13">
        <v>151.45133837818625</v>
      </c>
      <c r="AF91" s="13">
        <v>221.2336419953663</v>
      </c>
      <c r="AG91" s="13">
        <v>294.30194249413785</v>
      </c>
      <c r="AH91" s="13">
        <v>296.07641587394318</v>
      </c>
      <c r="AI91" s="13" t="e">
        <v>#N/A</v>
      </c>
      <c r="AJ91" s="13">
        <v>373.14805620872801</v>
      </c>
      <c r="AK91" s="13">
        <v>543.68878111027789</v>
      </c>
      <c r="AL91" s="13">
        <v>723.26439319295798</v>
      </c>
      <c r="AM91" s="13">
        <v>1098.8787865070346</v>
      </c>
      <c r="AN91" s="13">
        <v>1278.5320731603701</v>
      </c>
      <c r="AO91" s="13">
        <v>1463.1172156820235</v>
      </c>
      <c r="AP91" s="13">
        <v>-0.2558977452670621</v>
      </c>
      <c r="AQ91" s="13">
        <v>1.2214360335315984</v>
      </c>
      <c r="AR91" s="13">
        <v>4.0451753657074523</v>
      </c>
      <c r="AS91" s="13">
        <v>6.7530937299953475</v>
      </c>
      <c r="AT91" s="13">
        <v>8.9135386978367528</v>
      </c>
      <c r="AU91" s="13">
        <v>8.9360348688506868</v>
      </c>
      <c r="AV91" s="13" t="e">
        <v>#N/A</v>
      </c>
      <c r="AW91" s="13">
        <v>10.71091004256224</v>
      </c>
      <c r="AX91" s="13">
        <v>12.670648680975386</v>
      </c>
      <c r="AY91" s="13">
        <v>13.567912443140926</v>
      </c>
      <c r="AZ91" s="13">
        <v>14.087987945212056</v>
      </c>
      <c r="BA91" s="13">
        <v>14.233138761157395</v>
      </c>
      <c r="BB91" s="13">
        <v>14.430805942237686</v>
      </c>
      <c r="BC91" s="17"/>
    </row>
    <row r="92" spans="1:55" s="14" customFormat="1" x14ac:dyDescent="0.25">
      <c r="A92" s="6">
        <v>2012</v>
      </c>
      <c r="B92" s="9">
        <v>41109</v>
      </c>
      <c r="C92" s="11" t="s">
        <v>43</v>
      </c>
      <c r="D92" s="2" t="s">
        <v>33</v>
      </c>
      <c r="E92" s="11" t="s">
        <v>23</v>
      </c>
      <c r="F92" s="2" t="s">
        <v>37</v>
      </c>
      <c r="G92" s="2" t="s">
        <v>446</v>
      </c>
      <c r="H92" s="2" t="s">
        <v>34</v>
      </c>
      <c r="I92" s="23" t="s">
        <v>49</v>
      </c>
      <c r="J92" s="34" t="s">
        <v>105</v>
      </c>
      <c r="K92" s="8" t="s">
        <v>31</v>
      </c>
      <c r="L92" s="40">
        <v>765</v>
      </c>
      <c r="M92" s="40">
        <v>565</v>
      </c>
      <c r="N92" s="26">
        <v>20.085232808039738</v>
      </c>
      <c r="O92" s="31">
        <v>92.379323519193207</v>
      </c>
      <c r="P92" s="13">
        <v>16.03</v>
      </c>
      <c r="Q92" s="13">
        <v>60.114804768813471</v>
      </c>
      <c r="R92" s="16">
        <v>1.9268749746100193</v>
      </c>
      <c r="S92" s="13">
        <v>10.473048736659083</v>
      </c>
      <c r="T92" s="13">
        <v>27.224915721783063</v>
      </c>
      <c r="U92" s="13">
        <v>2.5720911243735536</v>
      </c>
      <c r="V92" s="13">
        <v>2.6741916662180567</v>
      </c>
      <c r="W92" s="13">
        <v>9.762471531798729E-2</v>
      </c>
      <c r="X92" s="13">
        <v>16.294447053654519</v>
      </c>
      <c r="Y92" s="13">
        <v>36.635128133475583</v>
      </c>
      <c r="Z92" s="13">
        <v>3.5798393934328985</v>
      </c>
      <c r="AA92" s="13">
        <v>3.6578253856990228</v>
      </c>
      <c r="AB92" s="13">
        <v>0.13646177227236847</v>
      </c>
      <c r="AC92" s="13">
        <v>67.734472325358496</v>
      </c>
      <c r="AD92" s="13">
        <v>112.0216950728707</v>
      </c>
      <c r="AE92" s="13">
        <v>195.66212307544393</v>
      </c>
      <c r="AF92" s="13">
        <v>281.33250305782224</v>
      </c>
      <c r="AG92" s="13">
        <v>362.51116581667617</v>
      </c>
      <c r="AH92" s="13" t="e">
        <v>#N/A</v>
      </c>
      <c r="AI92" s="13" t="e">
        <v>#N/A</v>
      </c>
      <c r="AJ92" s="13">
        <v>433.29473736332869</v>
      </c>
      <c r="AK92" s="13">
        <v>594.1097560690672</v>
      </c>
      <c r="AL92" s="13">
        <v>758.59231682803397</v>
      </c>
      <c r="AM92" s="13">
        <v>1089.0643072805569</v>
      </c>
      <c r="AN92" s="13">
        <v>1253.2784422953014</v>
      </c>
      <c r="AO92" s="13">
        <v>1423.7280792450053</v>
      </c>
      <c r="AP92" s="13">
        <v>-0.47446734271015145</v>
      </c>
      <c r="AQ92" s="13">
        <v>-0.35337611952385545</v>
      </c>
      <c r="AR92" s="13">
        <v>-5.6815511047511334E-2</v>
      </c>
      <c r="AS92" s="13">
        <v>0.24499381265985481</v>
      </c>
      <c r="AT92" s="13">
        <v>0.60074175093625937</v>
      </c>
      <c r="AU92" s="13" t="e">
        <v>#N/A</v>
      </c>
      <c r="AV92" s="13" t="e">
        <v>#N/A</v>
      </c>
      <c r="AW92" s="13">
        <v>1.1926578735226743</v>
      </c>
      <c r="AX92" s="13">
        <v>1.9687717532920364</v>
      </c>
      <c r="AY92" s="13">
        <v>2.6156485731658425</v>
      </c>
      <c r="AZ92" s="13">
        <v>3.905499935327585</v>
      </c>
      <c r="BA92" s="13">
        <v>4.5374401281187344</v>
      </c>
      <c r="BB92" s="13">
        <v>5.042112681399181</v>
      </c>
      <c r="BC92" s="13" t="s">
        <v>87</v>
      </c>
    </row>
    <row r="93" spans="1:55" x14ac:dyDescent="0.25">
      <c r="A93" s="6">
        <v>2012</v>
      </c>
      <c r="B93" s="10">
        <v>41117</v>
      </c>
      <c r="C93" s="11" t="s">
        <v>43</v>
      </c>
      <c r="D93" s="1" t="s">
        <v>52</v>
      </c>
      <c r="E93" s="11" t="s">
        <v>24</v>
      </c>
      <c r="F93" s="11" t="s">
        <v>37</v>
      </c>
      <c r="G93" s="2" t="s">
        <v>446</v>
      </c>
      <c r="H93" s="11" t="s">
        <v>34</v>
      </c>
      <c r="I93" s="46" t="s">
        <v>38</v>
      </c>
      <c r="J93" s="34" t="s">
        <v>50</v>
      </c>
      <c r="K93" s="40" t="s">
        <v>29</v>
      </c>
      <c r="L93" s="40">
        <v>390</v>
      </c>
      <c r="M93" s="40">
        <v>532</v>
      </c>
      <c r="N93" s="16">
        <v>20.129970990694485</v>
      </c>
      <c r="O93" s="16">
        <v>92.617439270019531</v>
      </c>
      <c r="P93" s="13">
        <v>10.146000000000001</v>
      </c>
      <c r="Q93" s="13">
        <v>112.81191025372195</v>
      </c>
      <c r="R93" s="16">
        <v>2.8651827621638555</v>
      </c>
      <c r="S93" s="13">
        <v>94.852846935242084</v>
      </c>
      <c r="T93" s="13">
        <v>127.93014024866437</v>
      </c>
      <c r="U93" s="13">
        <v>9.8640947832806649</v>
      </c>
      <c r="V93" s="13">
        <v>3.3964890996293158</v>
      </c>
      <c r="W93" s="13">
        <v>0.75561040922116762</v>
      </c>
      <c r="X93" s="13">
        <v>146.97436545108448</v>
      </c>
      <c r="Y93" s="13">
        <v>171.67660126721407</v>
      </c>
      <c r="Z93" s="13">
        <v>13.68506280520157</v>
      </c>
      <c r="AA93" s="13">
        <v>4.632336081180684</v>
      </c>
      <c r="AB93" s="13">
        <v>1.052934907486696</v>
      </c>
      <c r="AC93" s="13">
        <v>49.944837481926591</v>
      </c>
      <c r="AD93" s="13">
        <v>76.92245482855256</v>
      </c>
      <c r="AE93" s="13">
        <v>129.66661260558485</v>
      </c>
      <c r="AF93" s="13">
        <v>187.04203995394184</v>
      </c>
      <c r="AG93" s="13">
        <v>244.95762466501003</v>
      </c>
      <c r="AH93" s="13">
        <v>242.09328621647219</v>
      </c>
      <c r="AI93" s="13" t="e">
        <v>#N/A</v>
      </c>
      <c r="AJ93" s="13">
        <v>303.58215281092606</v>
      </c>
      <c r="AK93" s="13">
        <v>438.10810412644486</v>
      </c>
      <c r="AL93" s="13">
        <v>582.5144776729951</v>
      </c>
      <c r="AM93" s="13">
        <v>909.68330554156501</v>
      </c>
      <c r="AN93" s="13">
        <v>1081.4340639519191</v>
      </c>
      <c r="AO93" s="13">
        <v>1268.3881664808132</v>
      </c>
      <c r="AP93" s="13">
        <v>-8.7229730547603954E-2</v>
      </c>
      <c r="AQ93" s="13">
        <v>1.4920632521540131</v>
      </c>
      <c r="AR93" s="13">
        <v>4.4815006977837513</v>
      </c>
      <c r="AS93" s="13">
        <v>7.3123833259581694</v>
      </c>
      <c r="AT93" s="13">
        <v>9.981501258439037</v>
      </c>
      <c r="AU93" s="13">
        <v>9.4987520120755615</v>
      </c>
      <c r="AV93" s="13" t="e">
        <v>#N/A</v>
      </c>
      <c r="AW93" s="13">
        <v>12.426556657573498</v>
      </c>
      <c r="AX93" s="13">
        <v>16.487267191696994</v>
      </c>
      <c r="AY93" s="13">
        <v>19.794106145988678</v>
      </c>
      <c r="AZ93" s="13">
        <v>24.045320267198253</v>
      </c>
      <c r="BA93" s="13">
        <v>25.266245647565178</v>
      </c>
      <c r="BB93" s="13">
        <v>26.195810214025986</v>
      </c>
      <c r="BC93" s="13"/>
    </row>
    <row r="94" spans="1:55" x14ac:dyDescent="0.25">
      <c r="A94" s="6">
        <v>2012</v>
      </c>
      <c r="B94" s="10">
        <v>41117</v>
      </c>
      <c r="C94" s="11" t="s">
        <v>43</v>
      </c>
      <c r="D94" s="1" t="s">
        <v>52</v>
      </c>
      <c r="E94" s="11" t="s">
        <v>24</v>
      </c>
      <c r="F94" s="11" t="s">
        <v>37</v>
      </c>
      <c r="G94" s="2" t="s">
        <v>446</v>
      </c>
      <c r="H94" s="11" t="s">
        <v>34</v>
      </c>
      <c r="I94" s="46" t="s">
        <v>38</v>
      </c>
      <c r="J94" s="34" t="s">
        <v>4</v>
      </c>
      <c r="K94" s="40" t="s">
        <v>29</v>
      </c>
      <c r="L94" s="40">
        <v>390</v>
      </c>
      <c r="M94" s="40">
        <v>532</v>
      </c>
      <c r="N94" s="16">
        <v>20.31646391061636</v>
      </c>
      <c r="O94" s="16">
        <v>92.566880446213943</v>
      </c>
      <c r="P94" s="13">
        <v>20.8</v>
      </c>
      <c r="Q94" s="13">
        <v>107.12343665035344</v>
      </c>
      <c r="R94" s="16">
        <v>2.4007081048941603</v>
      </c>
      <c r="S94" s="13">
        <v>79.93468108472473</v>
      </c>
      <c r="T94" s="13">
        <v>104.38727067607351</v>
      </c>
      <c r="U94" s="13">
        <v>8.1365067000883169</v>
      </c>
      <c r="V94" s="13">
        <v>4.2280967796592863</v>
      </c>
      <c r="W94" s="13">
        <v>0.66282240672454817</v>
      </c>
      <c r="X94" s="13">
        <v>121.76766462014443</v>
      </c>
      <c r="Y94" s="13">
        <v>138.48950826999788</v>
      </c>
      <c r="Z94" s="13">
        <v>11.139232689282474</v>
      </c>
      <c r="AA94" s="13">
        <v>5.6972335030143917</v>
      </c>
      <c r="AB94" s="13">
        <v>0.91177480856131743</v>
      </c>
      <c r="AC94" s="13">
        <v>54.507943336229935</v>
      </c>
      <c r="AD94" s="13">
        <v>72.999975954164384</v>
      </c>
      <c r="AE94" s="13">
        <v>115.01283515590083</v>
      </c>
      <c r="AF94" s="13">
        <v>159.23484885006673</v>
      </c>
      <c r="AG94" s="13" t="e">
        <v>#N/A</v>
      </c>
      <c r="AH94" s="13">
        <v>200.70910479928781</v>
      </c>
      <c r="AI94" s="13">
        <v>209.83814100530594</v>
      </c>
      <c r="AJ94" s="13">
        <v>252.06468426937681</v>
      </c>
      <c r="AK94" s="13">
        <v>362.59477573239963</v>
      </c>
      <c r="AL94" s="13">
        <v>488.98400795275847</v>
      </c>
      <c r="AM94" s="13">
        <v>630.24753400460952</v>
      </c>
      <c r="AN94" s="13">
        <v>777.89545552916638</v>
      </c>
      <c r="AO94" s="13">
        <v>1099.1143702167058</v>
      </c>
      <c r="AP94" s="13">
        <v>-0.21751880424332962</v>
      </c>
      <c r="AQ94" s="13">
        <v>0.82194626898809964</v>
      </c>
      <c r="AR94" s="13">
        <v>2.6349833509199105</v>
      </c>
      <c r="AS94" s="13">
        <v>4.4165408721192438</v>
      </c>
      <c r="AT94" s="13" t="e">
        <v>#N/A</v>
      </c>
      <c r="AU94" s="13">
        <v>6.6359586957251011</v>
      </c>
      <c r="AV94" s="13">
        <v>6.5246411073824522</v>
      </c>
      <c r="AW94" s="13">
        <v>8.3713698803492527</v>
      </c>
      <c r="AX94" s="13">
        <v>11.447029764196049</v>
      </c>
      <c r="AY94" s="13">
        <v>13.961385897405872</v>
      </c>
      <c r="AZ94" s="13">
        <v>15.994103354106445</v>
      </c>
      <c r="BA94" s="13">
        <v>17.632178233333033</v>
      </c>
      <c r="BB94" s="13">
        <v>20.18139562115072</v>
      </c>
      <c r="BC94" s="13"/>
    </row>
    <row r="95" spans="1:55" x14ac:dyDescent="0.25">
      <c r="A95" s="6">
        <v>2012</v>
      </c>
      <c r="B95" s="10">
        <v>41117</v>
      </c>
      <c r="C95" s="11" t="s">
        <v>43</v>
      </c>
      <c r="D95" s="1" t="s">
        <v>52</v>
      </c>
      <c r="E95" s="11" t="s">
        <v>24</v>
      </c>
      <c r="F95" s="11" t="s">
        <v>37</v>
      </c>
      <c r="G95" s="2" t="s">
        <v>446</v>
      </c>
      <c r="H95" s="11" t="s">
        <v>34</v>
      </c>
      <c r="I95" s="46" t="s">
        <v>49</v>
      </c>
      <c r="J95" s="34" t="s">
        <v>1</v>
      </c>
      <c r="K95" s="40" t="s">
        <v>30</v>
      </c>
      <c r="L95" s="40">
        <v>390</v>
      </c>
      <c r="M95" s="40">
        <v>532</v>
      </c>
      <c r="N95" s="16">
        <v>20.147069784311149</v>
      </c>
      <c r="O95" s="16">
        <v>92.567739633413467</v>
      </c>
      <c r="P95" s="13">
        <v>21.234000000000002</v>
      </c>
      <c r="Q95" s="13">
        <v>68.778497720182386</v>
      </c>
      <c r="R95" s="16">
        <v>0.99361665996340787</v>
      </c>
      <c r="S95" s="13">
        <v>18.16841043827727</v>
      </c>
      <c r="T95" s="13">
        <v>67.262739644006444</v>
      </c>
      <c r="U95" s="13">
        <v>5.1244491061992621</v>
      </c>
      <c r="V95" s="13">
        <v>2.3651971888160475</v>
      </c>
      <c r="W95" s="13">
        <v>30</v>
      </c>
      <c r="X95" s="13">
        <v>28.107990142115323</v>
      </c>
      <c r="Y95" s="13">
        <v>90.168935254270437</v>
      </c>
      <c r="Z95" s="13">
        <v>7.1007903136384378</v>
      </c>
      <c r="AA95" s="13">
        <v>3.2222222510106806</v>
      </c>
      <c r="AB95" s="13">
        <v>41.755135239647132</v>
      </c>
      <c r="AC95" s="13">
        <v>55.246475041761421</v>
      </c>
      <c r="AD95" s="13">
        <v>86.045926660385362</v>
      </c>
      <c r="AE95" s="13">
        <v>155.00817805350843</v>
      </c>
      <c r="AF95" s="13" t="e">
        <v>#N/A</v>
      </c>
      <c r="AG95" s="13" t="e">
        <v>#N/A</v>
      </c>
      <c r="AH95" s="13">
        <v>221.71079522125643</v>
      </c>
      <c r="AI95" s="13">
        <v>270.1105610969995</v>
      </c>
      <c r="AJ95" s="13">
        <v>281.34047343045671</v>
      </c>
      <c r="AK95" s="13">
        <v>387.93069561826059</v>
      </c>
      <c r="AL95" s="13">
        <v>508.592092147546</v>
      </c>
      <c r="AM95" s="13">
        <v>772.14215458787771</v>
      </c>
      <c r="AN95" s="13">
        <v>868.48130716997412</v>
      </c>
      <c r="AO95" s="13">
        <v>975.4894233613345</v>
      </c>
      <c r="AP95" s="13">
        <v>-8.7455176349078956E-2</v>
      </c>
      <c r="AQ95" s="13">
        <v>0.12294578651270137</v>
      </c>
      <c r="AR95" s="13">
        <v>0.38459818909432336</v>
      </c>
      <c r="AS95" s="13" t="e">
        <v>#N/A</v>
      </c>
      <c r="AT95" s="13" t="e">
        <v>#N/A</v>
      </c>
      <c r="AU95" s="13">
        <v>2.6252587478664346</v>
      </c>
      <c r="AV95" s="13">
        <v>2.0545818612407958</v>
      </c>
      <c r="AW95" s="13">
        <v>3.781197380326605</v>
      </c>
      <c r="AX95" s="13">
        <v>6.295400114062768</v>
      </c>
      <c r="AY95" s="13">
        <v>8.7833174350700833</v>
      </c>
      <c r="AZ95" s="13">
        <v>12.079227639322029</v>
      </c>
      <c r="BA95" s="13">
        <v>13.159015590275631</v>
      </c>
      <c r="BB95" s="13">
        <v>13.008150706301844</v>
      </c>
      <c r="BC95" s="13"/>
    </row>
    <row r="96" spans="1:55" x14ac:dyDescent="0.25">
      <c r="A96" s="6">
        <v>2012</v>
      </c>
      <c r="B96" s="10">
        <v>41117</v>
      </c>
      <c r="C96" s="11" t="s">
        <v>43</v>
      </c>
      <c r="D96" s="1" t="s">
        <v>52</v>
      </c>
      <c r="E96" s="11" t="s">
        <v>24</v>
      </c>
      <c r="F96" s="11" t="s">
        <v>37</v>
      </c>
      <c r="G96" s="2" t="s">
        <v>446</v>
      </c>
      <c r="H96" s="11" t="s">
        <v>34</v>
      </c>
      <c r="I96" s="46" t="s">
        <v>38</v>
      </c>
      <c r="J96" s="34" t="s">
        <v>60</v>
      </c>
      <c r="K96" s="40" t="s">
        <v>30</v>
      </c>
      <c r="L96" s="40">
        <v>390</v>
      </c>
      <c r="M96" s="40">
        <v>532</v>
      </c>
      <c r="N96" s="16">
        <v>20.039153906015251</v>
      </c>
      <c r="O96" s="16">
        <v>92.515838623046875</v>
      </c>
      <c r="P96" s="13">
        <v>30.16</v>
      </c>
      <c r="Q96" s="13">
        <v>63.839940011588666</v>
      </c>
      <c r="R96" s="16">
        <v>1.2571167502972982</v>
      </c>
      <c r="S96" s="13">
        <v>31.078649567294928</v>
      </c>
      <c r="T96" s="13">
        <v>82.127784613779809</v>
      </c>
      <c r="U96" s="13">
        <v>6.6303282264615122</v>
      </c>
      <c r="V96" s="13">
        <v>3.3595623682349309</v>
      </c>
      <c r="W96" s="13">
        <v>3.7250951352458253</v>
      </c>
      <c r="X96" s="4">
        <v>48.557653313815521</v>
      </c>
      <c r="Y96" s="5">
        <v>110.8282178040877</v>
      </c>
      <c r="Z96" s="13">
        <v>9.2585419798931365</v>
      </c>
      <c r="AA96" s="13">
        <v>4.6090554172501328</v>
      </c>
      <c r="AB96" s="13">
        <v>5.2236858667286663</v>
      </c>
      <c r="AC96" s="13">
        <v>62.101284287836883</v>
      </c>
      <c r="AD96" s="13">
        <v>80.616503553534713</v>
      </c>
      <c r="AE96" s="13">
        <v>119.86454866750715</v>
      </c>
      <c r="AF96" s="13">
        <v>160.17131398871814</v>
      </c>
      <c r="AG96" s="13" t="e">
        <v>#N/A</v>
      </c>
      <c r="AH96" s="13">
        <v>174.1303701029251</v>
      </c>
      <c r="AI96" s="13">
        <v>185.8308158217213</v>
      </c>
      <c r="AJ96" s="13">
        <v>209.5943642281045</v>
      </c>
      <c r="AK96" s="13">
        <v>284.08446996674911</v>
      </c>
      <c r="AL96" s="13">
        <v>372.7297465912124</v>
      </c>
      <c r="AM96" s="13">
        <v>472.27890681224386</v>
      </c>
      <c r="AN96" s="13">
        <v>588.53177077635735</v>
      </c>
      <c r="AO96" s="13">
        <v>866.79313118184973</v>
      </c>
      <c r="AP96" s="13">
        <v>-0.22780517189614358</v>
      </c>
      <c r="AQ96" s="13">
        <v>0.25634075009793239</v>
      </c>
      <c r="AR96" s="13">
        <v>1.0975589327766373</v>
      </c>
      <c r="AS96" s="13">
        <v>1.8724731871857878</v>
      </c>
      <c r="AT96" s="13" t="e">
        <v>#N/A</v>
      </c>
      <c r="AU96" s="13">
        <v>3.7190688419037472</v>
      </c>
      <c r="AV96" s="13">
        <v>4.3447082333011595</v>
      </c>
      <c r="AW96" s="13">
        <v>5.0329125000489379</v>
      </c>
      <c r="AX96" s="13">
        <v>7.5527010151674272</v>
      </c>
      <c r="AY96" s="13">
        <v>9.9091727632508473</v>
      </c>
      <c r="AZ96" s="13">
        <v>12.113553605926924</v>
      </c>
      <c r="BA96" s="13">
        <v>13.982263110334994</v>
      </c>
      <c r="BB96" s="13">
        <v>16.53142957273657</v>
      </c>
      <c r="BC96" s="13"/>
    </row>
    <row r="97" spans="1:55" x14ac:dyDescent="0.25">
      <c r="A97" s="6">
        <v>2012</v>
      </c>
      <c r="B97" s="10">
        <v>41117</v>
      </c>
      <c r="C97" s="11" t="s">
        <v>43</v>
      </c>
      <c r="D97" s="1" t="s">
        <v>52</v>
      </c>
      <c r="E97" s="11" t="s">
        <v>24</v>
      </c>
      <c r="F97" s="11" t="s">
        <v>37</v>
      </c>
      <c r="G97" s="2" t="s">
        <v>446</v>
      </c>
      <c r="H97" s="11" t="s">
        <v>34</v>
      </c>
      <c r="I97" s="46" t="s">
        <v>38</v>
      </c>
      <c r="J97" s="34" t="s">
        <v>99</v>
      </c>
      <c r="K97" s="40" t="s">
        <v>31</v>
      </c>
      <c r="L97" s="40">
        <v>390</v>
      </c>
      <c r="M97" s="40">
        <v>532</v>
      </c>
      <c r="N97" s="16">
        <v>20.275834890512321</v>
      </c>
      <c r="O97" s="16">
        <v>92.4600589458759</v>
      </c>
      <c r="P97" s="13">
        <v>16.741</v>
      </c>
      <c r="Q97" s="13">
        <v>48.060044791477509</v>
      </c>
      <c r="R97" s="16">
        <v>1.0074827159070634</v>
      </c>
      <c r="S97" s="13">
        <v>59.630344065502406</v>
      </c>
      <c r="T97" s="13">
        <v>84.81552313195813</v>
      </c>
      <c r="U97" s="13">
        <v>6.4477572444936584</v>
      </c>
      <c r="V97" s="13">
        <v>2.6720050475207286</v>
      </c>
      <c r="W97" s="13">
        <v>1.1553248960292557</v>
      </c>
      <c r="X97" s="4">
        <v>91.174669121728968</v>
      </c>
      <c r="Y97" s="5">
        <v>112.8045593778162</v>
      </c>
      <c r="Z97" s="13">
        <v>8.8528237732339878</v>
      </c>
      <c r="AA97" s="13">
        <v>3.6099378206299715</v>
      </c>
      <c r="AB97" s="13">
        <v>1.5937375366636286</v>
      </c>
      <c r="AC97" s="13">
        <v>50.147137224641426</v>
      </c>
      <c r="AD97" s="13">
        <v>68.390683279817324</v>
      </c>
      <c r="AE97" s="13">
        <v>102.33231692665009</v>
      </c>
      <c r="AF97" s="13">
        <v>137.03848527873768</v>
      </c>
      <c r="AG97" s="13" t="e">
        <v>#N/A</v>
      </c>
      <c r="AH97" s="13">
        <v>186.01981395603696</v>
      </c>
      <c r="AI97" s="13">
        <v>198.86236810772436</v>
      </c>
      <c r="AJ97" s="13">
        <v>242.56568854005914</v>
      </c>
      <c r="AK97" s="13">
        <v>367.59808944547564</v>
      </c>
      <c r="AL97" s="13">
        <v>515.09722375327794</v>
      </c>
      <c r="AM97" s="13">
        <v>688.47802210929399</v>
      </c>
      <c r="AN97" s="13">
        <v>873.73951209644144</v>
      </c>
      <c r="AO97" s="13">
        <v>1242.3602395419466</v>
      </c>
      <c r="AP97" s="13">
        <v>-0.10558472170879804</v>
      </c>
      <c r="AQ97" s="13">
        <v>0.89029745793568915</v>
      </c>
      <c r="AR97" s="13">
        <v>2.7724861533127738</v>
      </c>
      <c r="AS97" s="13">
        <v>4.4506135423627562</v>
      </c>
      <c r="AT97" s="13" t="e">
        <v>#N/A</v>
      </c>
      <c r="AU97" s="13">
        <v>7.2597453015479267</v>
      </c>
      <c r="AV97" s="13">
        <v>7.7620577043755494</v>
      </c>
      <c r="AW97" s="13">
        <v>9.0931449391009362</v>
      </c>
      <c r="AX97" s="13">
        <v>12.040550606982386</v>
      </c>
      <c r="AY97" s="13">
        <v>14.161055889345921</v>
      </c>
      <c r="AZ97" s="13">
        <v>15.275243967082552</v>
      </c>
      <c r="BA97" s="13">
        <v>15.825623993060582</v>
      </c>
      <c r="BB97" s="13">
        <v>16.671303566086415</v>
      </c>
      <c r="BC97" s="13"/>
    </row>
    <row r="98" spans="1:55" ht="15.75" customHeight="1" x14ac:dyDescent="0.25">
      <c r="A98" s="6">
        <v>2012</v>
      </c>
      <c r="B98" s="10">
        <v>41117</v>
      </c>
      <c r="C98" s="11" t="s">
        <v>43</v>
      </c>
      <c r="D98" s="1" t="s">
        <v>52</v>
      </c>
      <c r="E98" s="11" t="s">
        <v>24</v>
      </c>
      <c r="F98" s="11" t="s">
        <v>37</v>
      </c>
      <c r="G98" s="2" t="s">
        <v>446</v>
      </c>
      <c r="H98" s="11" t="s">
        <v>34</v>
      </c>
      <c r="I98" s="46" t="s">
        <v>38</v>
      </c>
      <c r="J98" s="34" t="s">
        <v>92</v>
      </c>
      <c r="K98" s="40" t="s">
        <v>31</v>
      </c>
      <c r="L98" s="40">
        <v>390</v>
      </c>
      <c r="M98" s="40">
        <v>532</v>
      </c>
      <c r="N98" s="16">
        <v>20.02406457754282</v>
      </c>
      <c r="O98" s="16">
        <v>92.517684349646942</v>
      </c>
      <c r="P98" s="13">
        <v>17.864999999999998</v>
      </c>
      <c r="Q98" s="13">
        <v>47.016692658695774</v>
      </c>
      <c r="R98" s="16">
        <v>0.93364973497168624</v>
      </c>
      <c r="S98" s="13">
        <v>48.953344910789234</v>
      </c>
      <c r="T98" s="13">
        <v>93.413130214562003</v>
      </c>
      <c r="U98" s="13">
        <v>6.8508426261475508</v>
      </c>
      <c r="V98" s="13">
        <v>3.4599395221394547</v>
      </c>
      <c r="W98" s="13">
        <v>0.47712602951404903</v>
      </c>
      <c r="X98" s="13">
        <v>76.590869599085806</v>
      </c>
      <c r="Y98" s="13">
        <v>126.17424978348637</v>
      </c>
      <c r="Z98" s="13">
        <v>9.576795646343454</v>
      </c>
      <c r="AA98" s="13">
        <v>4.7514167825061202</v>
      </c>
      <c r="AB98" s="13">
        <v>0.66977288804441237</v>
      </c>
      <c r="AC98" s="13">
        <v>58.149624896739077</v>
      </c>
      <c r="AD98" s="13">
        <v>79.562037780073524</v>
      </c>
      <c r="AE98" s="13">
        <v>124.70538630712161</v>
      </c>
      <c r="AF98" s="13">
        <v>169.23708943650303</v>
      </c>
      <c r="AG98" s="13" t="e">
        <v>#N/A</v>
      </c>
      <c r="AH98" s="13">
        <v>212.90615986567641</v>
      </c>
      <c r="AI98" s="13">
        <v>229.96412654247311</v>
      </c>
      <c r="AJ98" s="13">
        <v>265.23782833511137</v>
      </c>
      <c r="AK98" s="13">
        <v>378.05649342558632</v>
      </c>
      <c r="AL98" s="13">
        <v>496.28270984217443</v>
      </c>
      <c r="AM98" s="13">
        <v>793.36491172064018</v>
      </c>
      <c r="AN98" s="13">
        <v>960.41203872348331</v>
      </c>
      <c r="AO98" s="13">
        <v>1138.8582169628014</v>
      </c>
      <c r="AP98" s="13">
        <v>-0.26782634119544713</v>
      </c>
      <c r="AQ98" s="13">
        <v>0.5217002096700285</v>
      </c>
      <c r="AR98" s="13">
        <v>1.8454480351076403</v>
      </c>
      <c r="AS98" s="13">
        <v>3.068622726904263</v>
      </c>
      <c r="AT98" s="13" t="e">
        <v>#N/A</v>
      </c>
      <c r="AU98" s="13">
        <v>5.3046566779623134</v>
      </c>
      <c r="AV98" s="13">
        <v>5.3284367301327107</v>
      </c>
      <c r="AW98" s="13">
        <v>6.8791429034113838</v>
      </c>
      <c r="AX98" s="13">
        <v>9.6748127495815606</v>
      </c>
      <c r="AY98" s="13">
        <v>12.303025807983879</v>
      </c>
      <c r="AZ98" s="13">
        <v>15.437307966401614</v>
      </c>
      <c r="BA98" s="13">
        <v>16.488822226774435</v>
      </c>
      <c r="BB98" s="13">
        <v>17.092641449835067</v>
      </c>
      <c r="BC98" s="13"/>
    </row>
    <row r="99" spans="1:55" x14ac:dyDescent="0.25">
      <c r="A99" s="6">
        <v>2012</v>
      </c>
      <c r="B99" s="9">
        <v>41124</v>
      </c>
      <c r="C99" s="24" t="s">
        <v>43</v>
      </c>
      <c r="D99" s="127" t="s">
        <v>33</v>
      </c>
      <c r="E99" s="24" t="s">
        <v>25</v>
      </c>
      <c r="F99" s="24" t="s">
        <v>36</v>
      </c>
      <c r="G99" s="2" t="s">
        <v>446</v>
      </c>
      <c r="H99" s="24" t="s">
        <v>35</v>
      </c>
      <c r="I99" s="46" t="s">
        <v>49</v>
      </c>
      <c r="J99" s="34" t="s">
        <v>0</v>
      </c>
      <c r="K99" s="40" t="s">
        <v>29</v>
      </c>
      <c r="L99" s="40">
        <v>663.33333333333337</v>
      </c>
      <c r="M99" s="40">
        <v>640</v>
      </c>
      <c r="N99" s="16">
        <v>20.592438331017128</v>
      </c>
      <c r="O99" s="16">
        <v>92.553270193246689</v>
      </c>
      <c r="P99" s="13">
        <v>15.023</v>
      </c>
      <c r="Q99" s="13">
        <v>115.56455554779696</v>
      </c>
      <c r="R99" s="16">
        <v>1.9689491713524288</v>
      </c>
      <c r="S99" s="13">
        <v>53.013165069348005</v>
      </c>
      <c r="T99" s="13">
        <v>82.047199031786505</v>
      </c>
      <c r="U99" s="13">
        <v>6.4266079829226577</v>
      </c>
      <c r="V99" s="13">
        <v>4.2917828168533125</v>
      </c>
      <c r="W99" s="13">
        <v>0.58081640612336771</v>
      </c>
      <c r="X99" s="13">
        <v>78.750847029384147</v>
      </c>
      <c r="Y99" s="13">
        <v>107.02657548872273</v>
      </c>
      <c r="Z99" s="13">
        <v>8.627682006341999</v>
      </c>
      <c r="AA99" s="13">
        <v>5.6806622652488521</v>
      </c>
      <c r="AB99" s="13">
        <v>0.78385566723879996</v>
      </c>
      <c r="AC99" s="13">
        <v>61.438579627752759</v>
      </c>
      <c r="AD99" s="13">
        <v>84.235152902144307</v>
      </c>
      <c r="AE99" s="13">
        <v>145.03238130486238</v>
      </c>
      <c r="AF99" s="13">
        <v>210.40417904564009</v>
      </c>
      <c r="AG99" s="13">
        <v>271.45720434440568</v>
      </c>
      <c r="AH99" s="13">
        <v>278.26779960994253</v>
      </c>
      <c r="AI99" s="13" t="e">
        <v>#N/A</v>
      </c>
      <c r="AJ99" s="13">
        <v>341.17708149824466</v>
      </c>
      <c r="AK99" s="13">
        <v>492.85707699400029</v>
      </c>
      <c r="AL99" s="13">
        <v>659.80236582590067</v>
      </c>
      <c r="AM99" s="13">
        <v>1015.2701411162639</v>
      </c>
      <c r="AN99" s="13">
        <v>1203.2475820738221</v>
      </c>
      <c r="AO99" s="13">
        <v>1389.4027532634761</v>
      </c>
      <c r="AP99" s="13">
        <v>-0.69325246723508527</v>
      </c>
      <c r="AQ99" s="13">
        <v>0.6991581894267479</v>
      </c>
      <c r="AR99" s="13">
        <v>2.7012778826876698</v>
      </c>
      <c r="AS99" s="13">
        <v>4.47002834866037</v>
      </c>
      <c r="AT99" s="13">
        <v>6.4498273633552179</v>
      </c>
      <c r="AU99" s="13">
        <v>6.0583305859634562</v>
      </c>
      <c r="AV99" s="13" t="e">
        <v>#N/A</v>
      </c>
      <c r="AW99" s="13">
        <v>8.0419549305899007</v>
      </c>
      <c r="AX99" s="13">
        <v>10.481464142019458</v>
      </c>
      <c r="AY99" s="13">
        <v>12.170718026829642</v>
      </c>
      <c r="AZ99" s="13">
        <v>14.058663127803769</v>
      </c>
      <c r="BA99" s="13">
        <v>14.531227339065115</v>
      </c>
      <c r="BB99" s="13">
        <v>14.988071699077826</v>
      </c>
      <c r="BC99" s="13"/>
    </row>
    <row r="100" spans="1:55" x14ac:dyDescent="0.25">
      <c r="A100" s="6">
        <v>2012</v>
      </c>
      <c r="B100" s="9">
        <v>41124</v>
      </c>
      <c r="C100" s="24" t="s">
        <v>43</v>
      </c>
      <c r="D100" s="127" t="s">
        <v>33</v>
      </c>
      <c r="E100" s="24" t="s">
        <v>25</v>
      </c>
      <c r="F100" s="24" t="s">
        <v>36</v>
      </c>
      <c r="G100" s="2" t="s">
        <v>446</v>
      </c>
      <c r="H100" s="24" t="s">
        <v>35</v>
      </c>
      <c r="I100" s="46" t="s">
        <v>49</v>
      </c>
      <c r="J100" s="34" t="s">
        <v>68</v>
      </c>
      <c r="K100" s="40" t="s">
        <v>29</v>
      </c>
      <c r="L100" s="40">
        <v>663.33333333333337</v>
      </c>
      <c r="M100" s="40">
        <v>640</v>
      </c>
      <c r="N100" s="16">
        <v>20.240963715773361</v>
      </c>
      <c r="O100" s="16">
        <v>92.607019864595856</v>
      </c>
      <c r="P100" s="13">
        <v>19.560000000000002</v>
      </c>
      <c r="Q100" s="13">
        <v>90.101727757145156</v>
      </c>
      <c r="R100" s="16">
        <v>1.3392570835241331</v>
      </c>
      <c r="S100" s="13">
        <v>60.590593703341668</v>
      </c>
      <c r="T100" s="13">
        <v>110.38795986160129</v>
      </c>
      <c r="U100" s="13">
        <v>8.1732311817078713</v>
      </c>
      <c r="V100" s="13">
        <v>1.4596624497986912</v>
      </c>
      <c r="W100" s="13">
        <v>1.8836795864303462</v>
      </c>
      <c r="X100" s="13">
        <v>93.777987742680082</v>
      </c>
      <c r="Y100" s="13">
        <v>148.02223606974863</v>
      </c>
      <c r="Z100" s="13">
        <v>11.329119147033261</v>
      </c>
      <c r="AA100" s="13">
        <v>1.9891631600127837</v>
      </c>
      <c r="AB100" s="13">
        <v>2.6226145588782024</v>
      </c>
      <c r="AC100" s="13">
        <v>53.263484466870445</v>
      </c>
      <c r="AD100" s="13">
        <v>84.056616642780796</v>
      </c>
      <c r="AE100" s="13">
        <v>149.61691423315074</v>
      </c>
      <c r="AF100" s="13">
        <v>215.94634180698372</v>
      </c>
      <c r="AG100" s="13" t="e">
        <v>#N/A</v>
      </c>
      <c r="AH100" s="13">
        <v>280.56768594046918</v>
      </c>
      <c r="AI100" s="13">
        <v>291.5089693248047</v>
      </c>
      <c r="AJ100" s="13">
        <v>351.81281107311423</v>
      </c>
      <c r="AK100" s="13">
        <v>505.01674811665498</v>
      </c>
      <c r="AL100" s="13">
        <v>670.57095459734569</v>
      </c>
      <c r="AM100" s="13">
        <v>844.7225742929412</v>
      </c>
      <c r="AN100" s="13">
        <v>1022.8807933806265</v>
      </c>
      <c r="AO100" s="13">
        <v>1388.6804873655619</v>
      </c>
      <c r="AP100" s="13">
        <v>-0.27705226870894051</v>
      </c>
      <c r="AQ100" s="13">
        <v>0.56775540791741497</v>
      </c>
      <c r="AR100" s="13">
        <v>1.8227008399587523</v>
      </c>
      <c r="AS100" s="13">
        <v>3.0429544196892704</v>
      </c>
      <c r="AT100" s="13" t="e">
        <v>#N/A</v>
      </c>
      <c r="AU100" s="13">
        <v>5.2880234958997834</v>
      </c>
      <c r="AV100" s="13">
        <v>5.4608373181324481</v>
      </c>
      <c r="AW100" s="13">
        <v>7.1004625609552949</v>
      </c>
      <c r="AX100" s="13">
        <v>9.8543339767813087</v>
      </c>
      <c r="AY100" s="13">
        <v>11.979801001519379</v>
      </c>
      <c r="AZ100" s="13">
        <v>13.232290161418597</v>
      </c>
      <c r="BA100" s="13">
        <v>14.027807401068046</v>
      </c>
      <c r="BB100" s="13">
        <v>14.998469451470227</v>
      </c>
      <c r="BC100" s="13"/>
    </row>
    <row r="101" spans="1:55" x14ac:dyDescent="0.25">
      <c r="A101" s="6">
        <v>2012</v>
      </c>
      <c r="B101" s="9">
        <v>41124</v>
      </c>
      <c r="C101" s="24" t="s">
        <v>43</v>
      </c>
      <c r="D101" s="127" t="s">
        <v>33</v>
      </c>
      <c r="E101" s="24" t="s">
        <v>25</v>
      </c>
      <c r="F101" s="24" t="s">
        <v>36</v>
      </c>
      <c r="G101" s="2" t="s">
        <v>446</v>
      </c>
      <c r="H101" s="24" t="s">
        <v>35</v>
      </c>
      <c r="I101" s="46" t="s">
        <v>40</v>
      </c>
      <c r="J101" s="34" t="s">
        <v>89</v>
      </c>
      <c r="K101" s="40" t="s">
        <v>30</v>
      </c>
      <c r="L101" s="40">
        <v>663.33333333333337</v>
      </c>
      <c r="M101" s="40">
        <v>640</v>
      </c>
      <c r="N101" s="16">
        <v>20.142460896418644</v>
      </c>
      <c r="O101" s="16">
        <v>92.489201472355774</v>
      </c>
      <c r="P101" s="13">
        <v>20.306000000000001</v>
      </c>
      <c r="Q101" s="13">
        <v>81.689009388964195</v>
      </c>
      <c r="R101" s="16">
        <v>2.1321362579791092</v>
      </c>
      <c r="S101" s="13">
        <v>52.577789802877042</v>
      </c>
      <c r="T101" s="13">
        <v>94.511881573865864</v>
      </c>
      <c r="U101" s="13">
        <v>7.5799427395477812</v>
      </c>
      <c r="V101" s="13">
        <v>1.7351745600858632</v>
      </c>
      <c r="W101" s="13">
        <v>0.61986791369081151</v>
      </c>
      <c r="X101" s="13">
        <v>81.6051585786564</v>
      </c>
      <c r="Y101" s="13">
        <v>126.97294466684872</v>
      </c>
      <c r="Z101" s="13">
        <v>10.529829972559845</v>
      </c>
      <c r="AA101" s="13">
        <v>2.3693387402080335</v>
      </c>
      <c r="AB101" s="13">
        <v>0.86487310651531368</v>
      </c>
      <c r="AC101" s="13">
        <v>46.046409277363196</v>
      </c>
      <c r="AD101" s="13">
        <v>73.330724516676767</v>
      </c>
      <c r="AE101" s="13">
        <v>128.07742823423513</v>
      </c>
      <c r="AF101" s="13">
        <v>184.03454949866423</v>
      </c>
      <c r="AG101" s="13">
        <v>240.63333055353345</v>
      </c>
      <c r="AH101" s="13">
        <v>242.95676661726532</v>
      </c>
      <c r="AI101" s="13" t="e">
        <v>#N/A</v>
      </c>
      <c r="AJ101" s="13">
        <v>295.38572791141473</v>
      </c>
      <c r="AK101" s="13">
        <v>414.34653740786422</v>
      </c>
      <c r="AL101" s="13">
        <v>538.6443451349279</v>
      </c>
      <c r="AM101" s="13">
        <v>828.25330442451173</v>
      </c>
      <c r="AN101" s="13">
        <v>975.85924078793437</v>
      </c>
      <c r="AO101" s="13">
        <v>1137.4693154277625</v>
      </c>
      <c r="AP101" s="13">
        <v>0.26334422739719265</v>
      </c>
      <c r="AQ101" s="13">
        <v>2.1858749375244542</v>
      </c>
      <c r="AR101" s="13">
        <v>5.9726663017053916</v>
      </c>
      <c r="AS101" s="13">
        <v>9.8176517864294812</v>
      </c>
      <c r="AT101" s="13">
        <v>12.684291420033819</v>
      </c>
      <c r="AU101" s="13">
        <v>13.34824018735163</v>
      </c>
      <c r="AV101" s="13" t="e">
        <v>#N/A</v>
      </c>
      <c r="AW101" s="13">
        <v>15.353951121310784</v>
      </c>
      <c r="AX101" s="13">
        <v>18.549475096368688</v>
      </c>
      <c r="AY101" s="13">
        <v>20.472152427304305</v>
      </c>
      <c r="AZ101" s="13">
        <v>23.348630924437277</v>
      </c>
      <c r="BA101" s="13">
        <v>23.2021480404564</v>
      </c>
      <c r="BB101" s="13">
        <v>23.060043385690228</v>
      </c>
      <c r="BC101" s="13"/>
    </row>
    <row r="102" spans="1:55" x14ac:dyDescent="0.25">
      <c r="A102" s="6">
        <v>2012</v>
      </c>
      <c r="B102" s="9">
        <v>41124</v>
      </c>
      <c r="C102" s="24" t="s">
        <v>43</v>
      </c>
      <c r="D102" s="127" t="s">
        <v>33</v>
      </c>
      <c r="E102" s="24" t="s">
        <v>25</v>
      </c>
      <c r="F102" s="24" t="s">
        <v>36</v>
      </c>
      <c r="G102" s="2" t="s">
        <v>446</v>
      </c>
      <c r="H102" s="24" t="s">
        <v>35</v>
      </c>
      <c r="I102" s="46" t="s">
        <v>40</v>
      </c>
      <c r="J102" s="34" t="s">
        <v>88</v>
      </c>
      <c r="K102" s="40" t="s">
        <v>30</v>
      </c>
      <c r="L102" s="40">
        <v>663.33333333333337</v>
      </c>
      <c r="M102" s="40">
        <v>640</v>
      </c>
      <c r="N102" s="16">
        <v>20.115720602182243</v>
      </c>
      <c r="O102" s="16">
        <v>92.577454200157746</v>
      </c>
      <c r="P102" s="13">
        <v>23.743000000000002</v>
      </c>
      <c r="Q102" s="13">
        <v>64.275356137507458</v>
      </c>
      <c r="R102" s="16">
        <v>1.2251632064536726</v>
      </c>
      <c r="S102" s="13">
        <v>56.683613667813098</v>
      </c>
      <c r="T102" s="13">
        <v>101.32310559483611</v>
      </c>
      <c r="U102" s="13">
        <v>7.402652281865973</v>
      </c>
      <c r="V102" s="13">
        <v>1.8355813292814955</v>
      </c>
      <c r="W102" s="13">
        <v>1.4147775928291759</v>
      </c>
      <c r="X102" s="13">
        <v>87.945611144771647</v>
      </c>
      <c r="Y102" s="13">
        <v>136.0901426853612</v>
      </c>
      <c r="Z102" s="13">
        <v>10.280607727273964</v>
      </c>
      <c r="AA102" s="13">
        <v>2.505791682059797</v>
      </c>
      <c r="AB102" s="13">
        <v>1.9734266086205419</v>
      </c>
      <c r="AC102" s="13">
        <v>47.021336297803735</v>
      </c>
      <c r="AD102" s="13">
        <v>75.059603683977429</v>
      </c>
      <c r="AE102" s="13">
        <v>131.71416972227465</v>
      </c>
      <c r="AF102" s="13">
        <v>188.71801988744357</v>
      </c>
      <c r="AG102" s="13">
        <v>250.18585998139969</v>
      </c>
      <c r="AH102" s="13">
        <v>255.63626420668808</v>
      </c>
      <c r="AI102" s="13" t="e">
        <v>#N/A</v>
      </c>
      <c r="AJ102" s="13">
        <v>317.61448789188205</v>
      </c>
      <c r="AK102" s="13">
        <v>472.57863208293213</v>
      </c>
      <c r="AL102" s="13">
        <v>644.04896577009686</v>
      </c>
      <c r="AM102" s="13">
        <v>829.58264306469289</v>
      </c>
      <c r="AN102" s="13">
        <v>1023.481134930428</v>
      </c>
      <c r="AO102" s="13">
        <v>1415.3905549675487</v>
      </c>
      <c r="AP102" s="13">
        <v>1.2255369286545196E-2</v>
      </c>
      <c r="AQ102" s="13">
        <v>1.7475499917416317</v>
      </c>
      <c r="AR102" s="13">
        <v>5.1218708756270477</v>
      </c>
      <c r="AS102" s="13">
        <v>8.445782901799447</v>
      </c>
      <c r="AT102" s="13">
        <v>11.464418673883944</v>
      </c>
      <c r="AU102" s="13">
        <v>11.254050207136068</v>
      </c>
      <c r="AV102" s="13" t="e">
        <v>#N/A</v>
      </c>
      <c r="AW102" s="13">
        <v>14.282126778043184</v>
      </c>
      <c r="AX102" s="13">
        <v>17.601519343348919</v>
      </c>
      <c r="AY102" s="13">
        <v>19.580358757949003</v>
      </c>
      <c r="AZ102" s="13">
        <v>20.356934135606117</v>
      </c>
      <c r="BA102" s="13">
        <v>20.553224650100763</v>
      </c>
      <c r="BB102" s="13">
        <v>20.37241413645825</v>
      </c>
      <c r="BC102" s="13"/>
    </row>
    <row r="103" spans="1:55" x14ac:dyDescent="0.25">
      <c r="A103" s="6">
        <v>2012</v>
      </c>
      <c r="B103" s="9">
        <v>41124</v>
      </c>
      <c r="C103" s="24" t="s">
        <v>43</v>
      </c>
      <c r="D103" s="127" t="s">
        <v>33</v>
      </c>
      <c r="E103" s="24" t="s">
        <v>25</v>
      </c>
      <c r="F103" s="24" t="s">
        <v>36</v>
      </c>
      <c r="G103" s="2" t="s">
        <v>446</v>
      </c>
      <c r="H103" s="24" t="s">
        <v>35</v>
      </c>
      <c r="I103" s="46" t="s">
        <v>40</v>
      </c>
      <c r="J103" s="34" t="s">
        <v>109</v>
      </c>
      <c r="K103" s="40" t="s">
        <v>31</v>
      </c>
      <c r="L103" s="40">
        <v>663.33333333333337</v>
      </c>
      <c r="M103" s="40">
        <v>640</v>
      </c>
      <c r="N103" s="16">
        <v>20.111722469329834</v>
      </c>
      <c r="O103" s="16">
        <v>92.775393803914383</v>
      </c>
      <c r="P103" s="13">
        <v>21.419</v>
      </c>
      <c r="Q103" s="13">
        <v>76.394561091625434</v>
      </c>
      <c r="R103" s="16">
        <v>1.413416085393622</v>
      </c>
      <c r="S103" s="13">
        <v>52.577774679125561</v>
      </c>
      <c r="T103" s="13">
        <v>94.511880380762577</v>
      </c>
      <c r="U103" s="13">
        <v>7.5799414386886683</v>
      </c>
      <c r="V103" s="13">
        <v>1.7351704829071763</v>
      </c>
      <c r="W103" s="13">
        <v>0.61986774691165847</v>
      </c>
      <c r="X103" s="13">
        <v>81.605135105320187</v>
      </c>
      <c r="Y103" s="13">
        <v>126.97294306396202</v>
      </c>
      <c r="Z103" s="13">
        <v>10.529828165445235</v>
      </c>
      <c r="AA103" s="13">
        <v>2.3693331729195104</v>
      </c>
      <c r="AB103" s="13">
        <v>0.8648728738160546</v>
      </c>
      <c r="AC103" s="13">
        <v>50.221151035566415</v>
      </c>
      <c r="AD103" s="13">
        <v>77.515272497335431</v>
      </c>
      <c r="AE103" s="13">
        <v>137.69156914666598</v>
      </c>
      <c r="AF103" s="13">
        <v>201.9280970981219</v>
      </c>
      <c r="AG103" s="13">
        <v>268.24507623756904</v>
      </c>
      <c r="AH103" s="13">
        <v>278.16417328786923</v>
      </c>
      <c r="AI103" s="13" t="e">
        <v>#N/A</v>
      </c>
      <c r="AJ103" s="13">
        <v>333.54140892848761</v>
      </c>
      <c r="AK103" s="13">
        <v>486.7246968020865</v>
      </c>
      <c r="AL103" s="13">
        <v>648.46250622632601</v>
      </c>
      <c r="AM103" s="13">
        <v>817.91050175979569</v>
      </c>
      <c r="AN103" s="13">
        <v>995.59417598808352</v>
      </c>
      <c r="AO103" s="13">
        <v>1367.1647685140501</v>
      </c>
      <c r="AP103" s="13">
        <v>-0.22631220162236707</v>
      </c>
      <c r="AQ103" s="13">
        <v>1.3018091471670237</v>
      </c>
      <c r="AR103" s="13">
        <v>3.7051892810189102</v>
      </c>
      <c r="AS103" s="13">
        <v>6.0403199990276706</v>
      </c>
      <c r="AT103" s="13">
        <v>8.1549141047567169</v>
      </c>
      <c r="AU103" s="13">
        <v>7.7264921903415109</v>
      </c>
      <c r="AV103" s="13" t="e">
        <v>#N/A</v>
      </c>
      <c r="AW103" s="13">
        <v>10.639491720568053</v>
      </c>
      <c r="AX103" s="13">
        <v>13.837774640315894</v>
      </c>
      <c r="AY103" s="13">
        <v>16.348592702884034</v>
      </c>
      <c r="AZ103" s="13">
        <v>18.296446863852712</v>
      </c>
      <c r="BA103" s="13">
        <v>19.66580057523803</v>
      </c>
      <c r="BB103" s="13">
        <v>21.004670724111779</v>
      </c>
      <c r="BC103" s="13"/>
    </row>
    <row r="104" spans="1:55" x14ac:dyDescent="0.25">
      <c r="A104" s="6">
        <v>2012</v>
      </c>
      <c r="B104" s="9">
        <v>41124</v>
      </c>
      <c r="C104" s="24" t="s">
        <v>43</v>
      </c>
      <c r="D104" s="127" t="s">
        <v>33</v>
      </c>
      <c r="E104" s="24" t="s">
        <v>25</v>
      </c>
      <c r="F104" s="24" t="s">
        <v>36</v>
      </c>
      <c r="G104" s="2" t="s">
        <v>446</v>
      </c>
      <c r="H104" s="24" t="s">
        <v>35</v>
      </c>
      <c r="I104" s="46" t="s">
        <v>40</v>
      </c>
      <c r="J104" s="121" t="s">
        <v>507</v>
      </c>
      <c r="K104" s="40" t="s">
        <v>31</v>
      </c>
      <c r="L104" s="40">
        <v>663.33333333333337</v>
      </c>
      <c r="M104" s="40">
        <v>640</v>
      </c>
      <c r="N104" s="16">
        <v>20.309572660006008</v>
      </c>
      <c r="O104" s="16">
        <v>92.824492821326629</v>
      </c>
      <c r="P104" s="13">
        <v>26.324000000000002</v>
      </c>
      <c r="Q104" s="13">
        <v>52.875262625476608</v>
      </c>
      <c r="R104" s="16">
        <v>1.4480843154449934</v>
      </c>
      <c r="S104" s="13">
        <v>47.211154617501009</v>
      </c>
      <c r="T104" s="13">
        <v>81.073514143241013</v>
      </c>
      <c r="U104" s="13">
        <v>6.4540143614307555</v>
      </c>
      <c r="V104" s="13">
        <v>1.8118808702630178</v>
      </c>
      <c r="W104" s="13">
        <v>0.66206775503032167</v>
      </c>
      <c r="X104" s="13">
        <v>71.963855812154918</v>
      </c>
      <c r="Y104" s="13">
        <v>107.60484495833849</v>
      </c>
      <c r="Z104" s="13">
        <v>8.8401607107286839</v>
      </c>
      <c r="AA104" s="13">
        <v>2.4425454018955381</v>
      </c>
      <c r="AB104" s="13">
        <v>0.91117151184978229</v>
      </c>
      <c r="AC104" s="13">
        <v>49.638340935817858</v>
      </c>
      <c r="AD104" s="13">
        <v>81.280654235947409</v>
      </c>
      <c r="AE104" s="13">
        <v>144.06186375623702</v>
      </c>
      <c r="AF104" s="13">
        <v>210.79927845376375</v>
      </c>
      <c r="AG104" s="13">
        <v>275.28246780994391</v>
      </c>
      <c r="AH104" s="13">
        <v>281.82309274418833</v>
      </c>
      <c r="AI104" s="13">
        <v>281.98924676267438</v>
      </c>
      <c r="AJ104" s="13">
        <v>351.72139207147029</v>
      </c>
      <c r="AK104" s="13">
        <v>511.69385711860292</v>
      </c>
      <c r="AL104" s="13">
        <v>679.35742390783446</v>
      </c>
      <c r="AM104" s="13">
        <v>1045.828088955931</v>
      </c>
      <c r="AN104" s="13">
        <v>1231.7978201045246</v>
      </c>
      <c r="AO104" s="13">
        <v>1421.1963820913898</v>
      </c>
      <c r="AP104" s="13">
        <v>-5.2659680467296632E-2</v>
      </c>
      <c r="AQ104" s="13">
        <v>1.2104428689621998</v>
      </c>
      <c r="AR104" s="13">
        <v>3.585314808717829</v>
      </c>
      <c r="AS104" s="13">
        <v>5.8121849166603354</v>
      </c>
      <c r="AT104" s="13">
        <v>8.6093920516899836</v>
      </c>
      <c r="AU104" s="13">
        <v>7.6205175443988864</v>
      </c>
      <c r="AV104" s="13">
        <v>7.8417204815668722</v>
      </c>
      <c r="AW104" s="13">
        <v>9.9663425697284129</v>
      </c>
      <c r="AX104" s="13">
        <v>12.675935828699938</v>
      </c>
      <c r="AY104" s="13">
        <v>14.699176683446026</v>
      </c>
      <c r="AZ104" s="13">
        <v>16.435525264848426</v>
      </c>
      <c r="BA104" s="13">
        <v>17.169790301442255</v>
      </c>
      <c r="BB104" s="13">
        <v>17.550171710077109</v>
      </c>
      <c r="BC104" s="13"/>
    </row>
    <row r="105" spans="1:55" x14ac:dyDescent="0.25">
      <c r="A105" s="6">
        <v>2012</v>
      </c>
      <c r="B105" s="9">
        <v>41124</v>
      </c>
      <c r="C105" s="11" t="s">
        <v>43</v>
      </c>
      <c r="D105" s="2" t="s">
        <v>33</v>
      </c>
      <c r="E105" s="11" t="s">
        <v>26</v>
      </c>
      <c r="F105" s="2" t="s">
        <v>37</v>
      </c>
      <c r="G105" s="2" t="s">
        <v>446</v>
      </c>
      <c r="H105" s="2" t="s">
        <v>34</v>
      </c>
      <c r="I105" s="46" t="s">
        <v>38</v>
      </c>
      <c r="J105" s="34" t="s">
        <v>13</v>
      </c>
      <c r="K105" s="40" t="s">
        <v>29</v>
      </c>
      <c r="L105" s="40">
        <v>663.33333333333337</v>
      </c>
      <c r="M105" s="40">
        <v>640</v>
      </c>
      <c r="N105" s="16">
        <v>20.13170917217548</v>
      </c>
      <c r="O105" s="16">
        <v>92.627868065467254</v>
      </c>
      <c r="P105" s="13">
        <v>10.616999999999999</v>
      </c>
      <c r="Q105" s="13">
        <v>92.420911784383051</v>
      </c>
      <c r="R105" s="16">
        <v>1.9783603615291807</v>
      </c>
      <c r="S105" s="13">
        <v>51.665348042308089</v>
      </c>
      <c r="T105" s="13">
        <v>87.473316367748538</v>
      </c>
      <c r="U105" s="13">
        <v>6.7893905542997626</v>
      </c>
      <c r="V105" s="13">
        <v>2.7282151550527325</v>
      </c>
      <c r="W105" s="13">
        <v>1.0448662253332155</v>
      </c>
      <c r="X105" s="13">
        <v>80.042679754425762</v>
      </c>
      <c r="Y105" s="13">
        <v>117.3728045578213</v>
      </c>
      <c r="Z105" s="13">
        <v>9.418168578745016</v>
      </c>
      <c r="AA105" s="13">
        <v>3.7204843561338916</v>
      </c>
      <c r="AB105" s="13">
        <v>1.4558342506556217</v>
      </c>
      <c r="AC105" s="13">
        <v>52.606351590556727</v>
      </c>
      <c r="AD105" s="13">
        <v>81.933751572881846</v>
      </c>
      <c r="AE105" s="13">
        <v>141.75190298515344</v>
      </c>
      <c r="AF105" s="13">
        <v>204.8818232499936</v>
      </c>
      <c r="AG105" s="13">
        <v>271.05589942560266</v>
      </c>
      <c r="AH105" s="13">
        <v>272.66571026794696</v>
      </c>
      <c r="AI105" s="13" t="e">
        <v>#N/A</v>
      </c>
      <c r="AJ105" s="13">
        <v>345.05337916741155</v>
      </c>
      <c r="AK105" s="13">
        <v>507.33545876149566</v>
      </c>
      <c r="AL105" s="13">
        <v>684.44415896621808</v>
      </c>
      <c r="AM105" s="13">
        <v>1055.1049292771065</v>
      </c>
      <c r="AN105" s="13">
        <v>1246.9649205184737</v>
      </c>
      <c r="AO105" s="13">
        <v>1436.5600501411443</v>
      </c>
      <c r="AP105" s="13">
        <v>-0.27058238104509141</v>
      </c>
      <c r="AQ105" s="13">
        <v>1.2623582125770845</v>
      </c>
      <c r="AR105" s="13">
        <v>4.323899072756781</v>
      </c>
      <c r="AS105" s="13">
        <v>7.192633443963115</v>
      </c>
      <c r="AT105" s="13">
        <v>9.6898217889095104</v>
      </c>
      <c r="AU105" s="13">
        <v>9.5498342025424829</v>
      </c>
      <c r="AV105" s="13" t="e">
        <v>#N/A</v>
      </c>
      <c r="AW105" s="13">
        <v>11.593325502721154</v>
      </c>
      <c r="AX105" s="13">
        <v>14.197577172582964</v>
      </c>
      <c r="AY105" s="13">
        <v>15.695841076451641</v>
      </c>
      <c r="AZ105" s="13">
        <v>17.118107293960108</v>
      </c>
      <c r="BA105" s="13">
        <v>17.27811333198439</v>
      </c>
      <c r="BB105" s="13">
        <v>17.639962569102916</v>
      </c>
      <c r="BC105" s="13"/>
    </row>
    <row r="106" spans="1:55" x14ac:dyDescent="0.25">
      <c r="A106" s="6">
        <v>2012</v>
      </c>
      <c r="B106" s="9">
        <v>41124</v>
      </c>
      <c r="C106" s="11" t="s">
        <v>43</v>
      </c>
      <c r="D106" s="2" t="s">
        <v>33</v>
      </c>
      <c r="E106" s="11" t="s">
        <v>26</v>
      </c>
      <c r="F106" s="2" t="s">
        <v>37</v>
      </c>
      <c r="G106" s="2" t="s">
        <v>446</v>
      </c>
      <c r="H106" s="2" t="s">
        <v>34</v>
      </c>
      <c r="I106" s="46" t="s">
        <v>38</v>
      </c>
      <c r="J106" s="34" t="s">
        <v>10</v>
      </c>
      <c r="K106" s="40" t="s">
        <v>29</v>
      </c>
      <c r="L106" s="40">
        <v>663.33333333333337</v>
      </c>
      <c r="M106" s="40">
        <v>640</v>
      </c>
      <c r="N106" s="16">
        <v>20.108055701622597</v>
      </c>
      <c r="O106" s="16">
        <v>92.650029695951019</v>
      </c>
      <c r="P106" s="13">
        <v>12.346</v>
      </c>
      <c r="Q106" s="13">
        <v>87.437515365074177</v>
      </c>
      <c r="R106" s="16">
        <v>1.7785057776178375</v>
      </c>
      <c r="S106" s="13">
        <v>55.728680819331032</v>
      </c>
      <c r="T106" s="13">
        <v>92.300308713333806</v>
      </c>
      <c r="U106" s="13">
        <v>7.0971486446697805</v>
      </c>
      <c r="V106" s="13">
        <v>2.0539941670684274</v>
      </c>
      <c r="W106" s="13">
        <v>0.90036564016979259</v>
      </c>
      <c r="X106" s="13">
        <v>86.524590124629995</v>
      </c>
      <c r="Y106" s="13">
        <v>124.02970431771722</v>
      </c>
      <c r="Z106" s="13">
        <v>9.8617289476011702</v>
      </c>
      <c r="AA106" s="13">
        <v>2.8053464835944206</v>
      </c>
      <c r="AB106" s="13">
        <v>1.2565581767976144</v>
      </c>
      <c r="AC106" s="13">
        <v>50.179497755876305</v>
      </c>
      <c r="AD106" s="13">
        <v>78.873384406537539</v>
      </c>
      <c r="AE106" s="13">
        <v>136.68286172223083</v>
      </c>
      <c r="AF106" s="13">
        <v>197.83644614419157</v>
      </c>
      <c r="AG106" s="13">
        <v>262.98397938037328</v>
      </c>
      <c r="AH106" s="13">
        <v>266.24380929762884</v>
      </c>
      <c r="AI106" s="13" t="e">
        <v>#N/A</v>
      </c>
      <c r="AJ106" s="13">
        <v>328.66790292962321</v>
      </c>
      <c r="AK106" s="13">
        <v>483.14804990876502</v>
      </c>
      <c r="AL106" s="13">
        <v>647.39630698061262</v>
      </c>
      <c r="AM106" s="13">
        <v>1009.567075500761</v>
      </c>
      <c r="AN106" s="13">
        <v>1202.3577294611714</v>
      </c>
      <c r="AO106" s="13">
        <v>1392.8678127117844</v>
      </c>
      <c r="AP106" s="13">
        <v>-7.6977265780691959E-2</v>
      </c>
      <c r="AQ106" s="13">
        <v>1.4850503996127016</v>
      </c>
      <c r="AR106" s="13">
        <v>4.4110098285943655</v>
      </c>
      <c r="AS106" s="13">
        <v>7.1559561876223965</v>
      </c>
      <c r="AT106" s="13">
        <v>9.5772023334741601</v>
      </c>
      <c r="AU106" s="13">
        <v>9.5032980841443617</v>
      </c>
      <c r="AV106" s="13" t="e">
        <v>#N/A</v>
      </c>
      <c r="AW106" s="13">
        <v>11.898737678659517</v>
      </c>
      <c r="AX106" s="13">
        <v>14.801649227721954</v>
      </c>
      <c r="AY106" s="13">
        <v>16.820890819417102</v>
      </c>
      <c r="AZ106" s="13">
        <v>18.676306860817185</v>
      </c>
      <c r="BA106" s="13">
        <v>19.002156496467716</v>
      </c>
      <c r="BB106" s="13">
        <v>19.237455668769428</v>
      </c>
      <c r="BC106" s="13"/>
    </row>
    <row r="107" spans="1:55" x14ac:dyDescent="0.25">
      <c r="A107" s="6">
        <v>2012</v>
      </c>
      <c r="B107" s="9">
        <v>41125</v>
      </c>
      <c r="C107" s="11" t="s">
        <v>43</v>
      </c>
      <c r="D107" s="2" t="s">
        <v>33</v>
      </c>
      <c r="E107" s="11" t="s">
        <v>26</v>
      </c>
      <c r="F107" s="2" t="s">
        <v>37</v>
      </c>
      <c r="G107" s="2" t="s">
        <v>446</v>
      </c>
      <c r="H107" s="2" t="s">
        <v>34</v>
      </c>
      <c r="I107" s="46" t="s">
        <v>38</v>
      </c>
      <c r="J107" s="34" t="s">
        <v>8</v>
      </c>
      <c r="K107" s="40" t="s">
        <v>30</v>
      </c>
      <c r="L107" s="40">
        <v>595</v>
      </c>
      <c r="M107" s="40">
        <v>627.5</v>
      </c>
      <c r="N107" s="16">
        <v>19.838794414813702</v>
      </c>
      <c r="O107" s="16">
        <v>92.76405686598558</v>
      </c>
      <c r="P107" s="13">
        <v>8.0250000000000004</v>
      </c>
      <c r="Q107" s="13">
        <v>67.020068156001514</v>
      </c>
      <c r="R107" s="16">
        <v>1.5681465203505196</v>
      </c>
      <c r="S107" s="13">
        <v>42.371131137979333</v>
      </c>
      <c r="T107" s="13">
        <v>88.671775300307175</v>
      </c>
      <c r="U107" s="13">
        <v>7.0185860625497316</v>
      </c>
      <c r="V107" s="13">
        <v>1.6894436058190136</v>
      </c>
      <c r="W107" s="13">
        <v>2.8101440544649829</v>
      </c>
      <c r="X107" s="13">
        <v>67.425679470116961</v>
      </c>
      <c r="Y107" s="13">
        <v>121.14189546248946</v>
      </c>
      <c r="Z107" s="13">
        <v>9.9423776071923022</v>
      </c>
      <c r="AA107" s="13">
        <v>2.3481455832084857</v>
      </c>
      <c r="AB107" s="13">
        <v>3.9958637402138817</v>
      </c>
      <c r="AC107" s="13">
        <v>48.88102299621066</v>
      </c>
      <c r="AD107" s="13">
        <v>78.590559480914294</v>
      </c>
      <c r="AE107" s="13">
        <v>143.67608558127935</v>
      </c>
      <c r="AF107" s="13">
        <v>208.09997238805721</v>
      </c>
      <c r="AG107" s="13">
        <v>277.48420036674383</v>
      </c>
      <c r="AH107" s="13">
        <v>287.32278495013458</v>
      </c>
      <c r="AI107" s="13" t="e">
        <v>#N/A</v>
      </c>
      <c r="AJ107" s="13">
        <v>361.86745940275097</v>
      </c>
      <c r="AK107" s="13">
        <v>532.01119551317822</v>
      </c>
      <c r="AL107" s="13">
        <v>717.09652467107878</v>
      </c>
      <c r="AM107" s="13">
        <v>904.76619265514262</v>
      </c>
      <c r="AN107" s="13">
        <v>1094.9500164451315</v>
      </c>
      <c r="AO107" s="13">
        <v>1475.0663417277433</v>
      </c>
      <c r="AP107" s="13">
        <v>-8.412797542942263E-2</v>
      </c>
      <c r="AQ107" s="13">
        <v>2.0822612057362173</v>
      </c>
      <c r="AR107" s="13">
        <v>5.5699148183139577</v>
      </c>
      <c r="AS107" s="13">
        <v>9.2321339563861144</v>
      </c>
      <c r="AT107" s="13">
        <v>12.527596037923788</v>
      </c>
      <c r="AU107" s="13">
        <v>11.421201910859363</v>
      </c>
      <c r="AV107" s="13" t="e">
        <v>#N/A</v>
      </c>
      <c r="AW107" s="13">
        <v>13.992190924205223</v>
      </c>
      <c r="AX107" s="13">
        <v>16.744538206902501</v>
      </c>
      <c r="AY107" s="13">
        <v>17.833847422253839</v>
      </c>
      <c r="AZ107" s="13">
        <v>18.33838470116288</v>
      </c>
      <c r="BA107" s="13">
        <v>18.597564644086646</v>
      </c>
      <c r="BB107" s="13">
        <v>19.366326887717815</v>
      </c>
      <c r="BC107" s="13"/>
    </row>
    <row r="108" spans="1:55" x14ac:dyDescent="0.25">
      <c r="A108" s="6">
        <v>2012</v>
      </c>
      <c r="B108" s="9">
        <v>41125</v>
      </c>
      <c r="C108" s="11" t="s">
        <v>43</v>
      </c>
      <c r="D108" s="2" t="s">
        <v>33</v>
      </c>
      <c r="E108" s="11" t="s">
        <v>26</v>
      </c>
      <c r="F108" s="2" t="s">
        <v>37</v>
      </c>
      <c r="G108" s="2" t="s">
        <v>446</v>
      </c>
      <c r="H108" s="2" t="s">
        <v>34</v>
      </c>
      <c r="I108" s="46" t="s">
        <v>38</v>
      </c>
      <c r="J108" s="34" t="s">
        <v>9</v>
      </c>
      <c r="K108" s="40" t="s">
        <v>30</v>
      </c>
      <c r="L108" s="40">
        <v>595</v>
      </c>
      <c r="M108" s="40">
        <v>627.5</v>
      </c>
      <c r="N108" s="16">
        <v>19.911105962900017</v>
      </c>
      <c r="O108" s="16">
        <v>92.810695354755111</v>
      </c>
      <c r="P108" s="13">
        <v>11.396000000000001</v>
      </c>
      <c r="Q108" s="13">
        <v>64.855470179290151</v>
      </c>
      <c r="R108" s="16">
        <v>1.2849971713307682</v>
      </c>
      <c r="S108" s="13">
        <v>32.207455366404083</v>
      </c>
      <c r="T108" s="13">
        <v>84.680153228670179</v>
      </c>
      <c r="U108" s="13">
        <v>6.6095410353708068</v>
      </c>
      <c r="V108" s="13">
        <v>1.6422842855943236</v>
      </c>
      <c r="W108" s="13">
        <v>30</v>
      </c>
      <c r="X108" s="13">
        <v>50.91405602958055</v>
      </c>
      <c r="Y108" s="13">
        <v>115.17529987820845</v>
      </c>
      <c r="Z108" s="13">
        <v>9.3145065705626564</v>
      </c>
      <c r="AA108" s="13">
        <v>2.2718982277508908</v>
      </c>
      <c r="AB108" s="13">
        <v>42.444519323290656</v>
      </c>
      <c r="AC108" s="13">
        <v>50.783403323342377</v>
      </c>
      <c r="AD108" s="13">
        <v>80.725615438053239</v>
      </c>
      <c r="AE108" s="13">
        <v>142.19724883660811</v>
      </c>
      <c r="AF108" s="13">
        <v>202.7284735878998</v>
      </c>
      <c r="AG108" s="13">
        <v>268.81399454441038</v>
      </c>
      <c r="AH108" s="13">
        <v>280.64989122656164</v>
      </c>
      <c r="AI108" s="13" t="e">
        <v>#N/A</v>
      </c>
      <c r="AJ108" s="13">
        <v>358.1901558575712</v>
      </c>
      <c r="AK108" s="13">
        <v>512.47678076498505</v>
      </c>
      <c r="AL108" s="13">
        <v>690.69730250444377</v>
      </c>
      <c r="AM108" s="13">
        <v>1068.0166225054288</v>
      </c>
      <c r="AN108" s="13">
        <v>1261.3371020661043</v>
      </c>
      <c r="AO108" s="13">
        <v>1454.4052221169725</v>
      </c>
      <c r="AP108" s="13">
        <v>-0.1515405837080219</v>
      </c>
      <c r="AQ108" s="13">
        <v>1.4623748769611806</v>
      </c>
      <c r="AR108" s="13">
        <v>4.6149686648115589</v>
      </c>
      <c r="AS108" s="13">
        <v>7.8804643637077607</v>
      </c>
      <c r="AT108" s="13">
        <v>10.501835408903734</v>
      </c>
      <c r="AU108" s="13">
        <v>9.776529495398222</v>
      </c>
      <c r="AV108" s="13" t="e">
        <v>#N/A</v>
      </c>
      <c r="AW108" s="13">
        <v>11.66145904394639</v>
      </c>
      <c r="AX108" s="13">
        <v>15.32727178937046</v>
      </c>
      <c r="AY108" s="13">
        <v>16.923691313214675</v>
      </c>
      <c r="AZ108" s="13">
        <v>18.113644361138022</v>
      </c>
      <c r="BA108" s="13">
        <v>18.197108113141109</v>
      </c>
      <c r="BB108" s="13">
        <v>18.186346448067248</v>
      </c>
      <c r="BC108" s="13"/>
    </row>
    <row r="109" spans="1:55" x14ac:dyDescent="0.25">
      <c r="A109" s="6">
        <v>2012</v>
      </c>
      <c r="B109" s="9">
        <v>41125</v>
      </c>
      <c r="C109" s="11" t="s">
        <v>43</v>
      </c>
      <c r="D109" s="2" t="s">
        <v>33</v>
      </c>
      <c r="E109" s="11" t="s">
        <v>26</v>
      </c>
      <c r="F109" s="2" t="s">
        <v>37</v>
      </c>
      <c r="G109" s="2" t="s">
        <v>446</v>
      </c>
      <c r="H109" s="2" t="s">
        <v>34</v>
      </c>
      <c r="I109" s="46" t="s">
        <v>38</v>
      </c>
      <c r="J109" s="34" t="s">
        <v>94</v>
      </c>
      <c r="K109" s="40" t="s">
        <v>31</v>
      </c>
      <c r="L109" s="40">
        <v>595</v>
      </c>
      <c r="M109" s="40">
        <v>627.5</v>
      </c>
      <c r="N109" s="16">
        <v>20.347984020526592</v>
      </c>
      <c r="O109" s="16">
        <v>92.761166499211242</v>
      </c>
      <c r="P109" s="13">
        <v>9.3019999999999996</v>
      </c>
      <c r="Q109" s="13">
        <v>65.616797900262455</v>
      </c>
      <c r="R109" s="16">
        <v>1.3943199480436583</v>
      </c>
      <c r="S109" s="4">
        <v>40.502469165189453</v>
      </c>
      <c r="T109" s="4">
        <v>76.453916578001923</v>
      </c>
      <c r="U109" s="5">
        <v>6.0137244063429796</v>
      </c>
      <c r="V109" s="13">
        <v>1.5083530566014602</v>
      </c>
      <c r="W109" s="13">
        <v>1.1584343705363553</v>
      </c>
      <c r="X109" s="13">
        <v>61.521848793020524</v>
      </c>
      <c r="Y109" s="13">
        <v>101.23481041262828</v>
      </c>
      <c r="Z109" s="13">
        <v>8.214614212685353</v>
      </c>
      <c r="AA109" s="13">
        <v>2.0283145850242992</v>
      </c>
      <c r="AB109" s="13">
        <v>1.5900612149695974</v>
      </c>
      <c r="AC109" s="13">
        <v>48.95456778441617</v>
      </c>
      <c r="AD109" s="13">
        <v>78.287572909190388</v>
      </c>
      <c r="AE109" s="13">
        <v>135.4518564165279</v>
      </c>
      <c r="AF109" s="13">
        <v>194.30538562430985</v>
      </c>
      <c r="AG109" s="13">
        <v>256.98317315625644</v>
      </c>
      <c r="AH109" s="13">
        <v>273.99781561218992</v>
      </c>
      <c r="AI109" s="13" t="e">
        <v>#N/A</v>
      </c>
      <c r="AJ109" s="13">
        <v>345.57420308092679</v>
      </c>
      <c r="AK109" s="13">
        <v>495.22065341546994</v>
      </c>
      <c r="AL109" s="13">
        <v>669.85674988308153</v>
      </c>
      <c r="AM109" s="13">
        <v>845.7080837510523</v>
      </c>
      <c r="AN109" s="13">
        <v>1029.3008424791637</v>
      </c>
      <c r="AO109" s="13">
        <v>1398.1094175996182</v>
      </c>
      <c r="AP109" s="13">
        <v>-6.3970180952719335E-2</v>
      </c>
      <c r="AQ109" s="13">
        <v>1.2175409695575734</v>
      </c>
      <c r="AR109" s="13">
        <v>4.0658360744106412</v>
      </c>
      <c r="AS109" s="13">
        <v>6.584166846193269</v>
      </c>
      <c r="AT109" s="13">
        <v>8.8082206922887867</v>
      </c>
      <c r="AU109" s="13">
        <v>8.3997008573080532</v>
      </c>
      <c r="AV109" s="13" t="e">
        <v>#N/A</v>
      </c>
      <c r="AW109" s="13">
        <v>10.618850900335122</v>
      </c>
      <c r="AX109" s="13">
        <v>13.551007621270669</v>
      </c>
      <c r="AY109" s="13">
        <v>14.750983893816647</v>
      </c>
      <c r="AZ109" s="13">
        <v>15.521584469678441</v>
      </c>
      <c r="BA109" s="13">
        <v>15.828886143781398</v>
      </c>
      <c r="BB109" s="13">
        <v>16.53282857643115</v>
      </c>
      <c r="BC109" s="13"/>
    </row>
    <row r="110" spans="1:55" x14ac:dyDescent="0.25">
      <c r="A110" s="6">
        <v>2012</v>
      </c>
      <c r="B110" s="9">
        <v>41125</v>
      </c>
      <c r="C110" s="11" t="s">
        <v>43</v>
      </c>
      <c r="D110" s="2" t="s">
        <v>33</v>
      </c>
      <c r="E110" s="11" t="s">
        <v>26</v>
      </c>
      <c r="F110" s="2" t="s">
        <v>37</v>
      </c>
      <c r="G110" s="2" t="s">
        <v>446</v>
      </c>
      <c r="H110" s="2" t="s">
        <v>34</v>
      </c>
      <c r="I110" s="46" t="s">
        <v>38</v>
      </c>
      <c r="J110" s="34" t="s">
        <v>95</v>
      </c>
      <c r="K110" s="40" t="s">
        <v>31</v>
      </c>
      <c r="L110" s="40">
        <v>595</v>
      </c>
      <c r="M110" s="40">
        <v>627.5</v>
      </c>
      <c r="N110" s="16">
        <v>20.207653192373421</v>
      </c>
      <c r="O110" s="16">
        <v>92.805912311260514</v>
      </c>
      <c r="P110" s="13">
        <v>12.654999999999999</v>
      </c>
      <c r="Q110" s="13">
        <v>61.892417368762146</v>
      </c>
      <c r="R110" s="16">
        <v>1.4663607024950072</v>
      </c>
      <c r="S110" s="13">
        <v>48.630207996324906</v>
      </c>
      <c r="T110" s="13">
        <v>84.278314027302656</v>
      </c>
      <c r="U110" s="13">
        <v>6.5922607931965755</v>
      </c>
      <c r="V110" s="13">
        <v>2.1578464926680678</v>
      </c>
      <c r="W110" s="13">
        <v>0.96307331514595684</v>
      </c>
      <c r="X110" s="13">
        <v>74.819721681760882</v>
      </c>
      <c r="Y110" s="13">
        <v>112.55986012454423</v>
      </c>
      <c r="Z110" s="13">
        <v>9.095302526901115</v>
      </c>
      <c r="AA110" s="13">
        <v>2.9282113281537656</v>
      </c>
      <c r="AB110" s="13">
        <v>1.3348237735880493</v>
      </c>
      <c r="AC110" s="13">
        <v>51.344864625039406</v>
      </c>
      <c r="AD110" s="13">
        <v>78.931940379037911</v>
      </c>
      <c r="AE110" s="13">
        <v>132.08637796529408</v>
      </c>
      <c r="AF110" s="13">
        <v>186.38726319889415</v>
      </c>
      <c r="AG110" s="13">
        <v>245.9070879581777</v>
      </c>
      <c r="AH110" s="13">
        <v>259.01748067871659</v>
      </c>
      <c r="AI110" s="13" t="e">
        <v>#N/A</v>
      </c>
      <c r="AJ110" s="13">
        <v>322.74459960098102</v>
      </c>
      <c r="AK110" s="13">
        <v>458.92458601138736</v>
      </c>
      <c r="AL110" s="13">
        <v>621.80806817258895</v>
      </c>
      <c r="AM110" s="13">
        <v>981.88718523837429</v>
      </c>
      <c r="AN110" s="13">
        <v>1167.1139557987974</v>
      </c>
      <c r="AO110" s="13">
        <v>1354.2616278966345</v>
      </c>
      <c r="AP110" s="13">
        <v>-0.14043356912185578</v>
      </c>
      <c r="AQ110" s="13">
        <v>1.1984974119370662</v>
      </c>
      <c r="AR110" s="13">
        <v>3.8300431502967363</v>
      </c>
      <c r="AS110" s="13">
        <v>6.4310105072213029</v>
      </c>
      <c r="AT110" s="13">
        <v>8.7222868603527068</v>
      </c>
      <c r="AU110" s="13">
        <v>8.043144222471124</v>
      </c>
      <c r="AV110" s="13" t="e">
        <v>#N/A</v>
      </c>
      <c r="AW110" s="13">
        <v>10.053296828075215</v>
      </c>
      <c r="AX110" s="13">
        <v>13.629752244279157</v>
      </c>
      <c r="AY110" s="13">
        <v>15.359392407735085</v>
      </c>
      <c r="AZ110" s="13">
        <v>16.885419779831398</v>
      </c>
      <c r="BA110" s="13">
        <v>17.28397583336961</v>
      </c>
      <c r="BB110" s="13">
        <v>17.618949679633715</v>
      </c>
      <c r="BC110" s="13"/>
    </row>
    <row r="111" spans="1:55" x14ac:dyDescent="0.25">
      <c r="A111" s="6">
        <v>2012</v>
      </c>
      <c r="B111" s="9">
        <v>41128</v>
      </c>
      <c r="C111" s="11" t="s">
        <v>43</v>
      </c>
      <c r="D111" s="2" t="s">
        <v>53</v>
      </c>
      <c r="E111" s="11" t="s">
        <v>27</v>
      </c>
      <c r="F111" s="2" t="s">
        <v>36</v>
      </c>
      <c r="G111" s="2" t="s">
        <v>446</v>
      </c>
      <c r="H111" s="2" t="s">
        <v>34</v>
      </c>
      <c r="I111" s="46" t="s">
        <v>38</v>
      </c>
      <c r="J111" s="34" t="s">
        <v>50</v>
      </c>
      <c r="K111" s="40" t="s">
        <v>29</v>
      </c>
      <c r="L111" s="40">
        <v>680</v>
      </c>
      <c r="M111" s="40">
        <v>621.66666666666663</v>
      </c>
      <c r="N111" s="16">
        <v>20.068374780508186</v>
      </c>
      <c r="O111" s="16">
        <v>92.70904541015625</v>
      </c>
      <c r="P111" s="13">
        <v>9.6549999999999994</v>
      </c>
      <c r="Q111" s="13">
        <v>85.122210414452709</v>
      </c>
      <c r="R111" s="16">
        <v>2.2770431595036147</v>
      </c>
      <c r="S111" s="4">
        <v>53.23955537836671</v>
      </c>
      <c r="T111" s="5">
        <v>94.594898294639066</v>
      </c>
      <c r="U111" s="13">
        <v>7.5022827499228431</v>
      </c>
      <c r="V111" s="13">
        <v>2.7304063309520314</v>
      </c>
      <c r="W111" s="13">
        <v>0.9960914240141151</v>
      </c>
      <c r="X111" s="13">
        <v>82.960243019840078</v>
      </c>
      <c r="Y111" s="13">
        <v>127.42319718260093</v>
      </c>
      <c r="Z111" s="13">
        <v>10.454271874632127</v>
      </c>
      <c r="AA111" s="13">
        <v>3.7388051750093227</v>
      </c>
      <c r="AB111" s="13">
        <v>1.3939857855509412</v>
      </c>
      <c r="AC111" s="13">
        <v>52.609632078292329</v>
      </c>
      <c r="AD111" s="13">
        <v>81.33466635920999</v>
      </c>
      <c r="AE111" s="13">
        <v>138.09356633947027</v>
      </c>
      <c r="AF111" s="13">
        <v>197.17090190381415</v>
      </c>
      <c r="AG111" s="13">
        <v>264.04824829646816</v>
      </c>
      <c r="AH111" s="13">
        <v>265.88551872382646</v>
      </c>
      <c r="AI111" s="13">
        <v>275.82419003269155</v>
      </c>
      <c r="AJ111" s="13">
        <v>337.65694751903237</v>
      </c>
      <c r="AK111" s="13">
        <v>497.66532644261275</v>
      </c>
      <c r="AL111" s="13">
        <v>669.36449635884924</v>
      </c>
      <c r="AM111" s="13">
        <v>1033.7211482820599</v>
      </c>
      <c r="AN111" s="13">
        <v>1220.971516420916</v>
      </c>
      <c r="AO111" s="13">
        <v>1409.7640015561117</v>
      </c>
      <c r="AP111" s="13">
        <v>-0.3178365526100867</v>
      </c>
      <c r="AQ111" s="13">
        <v>1.3027713205034424</v>
      </c>
      <c r="AR111" s="13">
        <v>4.3181829737355857</v>
      </c>
      <c r="AS111" s="13">
        <v>6.9859278769913216</v>
      </c>
      <c r="AT111" s="13">
        <v>9.5169783120987077</v>
      </c>
      <c r="AU111" s="13">
        <v>9.8396304867387094</v>
      </c>
      <c r="AV111" s="13">
        <v>9.3115631916887853</v>
      </c>
      <c r="AW111" s="13">
        <v>12.013943278319102</v>
      </c>
      <c r="AX111" s="13">
        <v>14.861690721551753</v>
      </c>
      <c r="AY111" s="13">
        <v>16.755516575449043</v>
      </c>
      <c r="AZ111" s="13">
        <v>18.815550901450028</v>
      </c>
      <c r="BA111" s="13">
        <v>19.296117860885769</v>
      </c>
      <c r="BB111" s="13">
        <v>19.776442963929533</v>
      </c>
      <c r="BC111" s="13"/>
    </row>
    <row r="112" spans="1:55" x14ac:dyDescent="0.25">
      <c r="A112" s="6">
        <v>2012</v>
      </c>
      <c r="B112" s="9">
        <v>41128</v>
      </c>
      <c r="C112" s="11" t="s">
        <v>43</v>
      </c>
      <c r="D112" s="2" t="s">
        <v>53</v>
      </c>
      <c r="E112" s="11" t="s">
        <v>27</v>
      </c>
      <c r="F112" s="2" t="s">
        <v>36</v>
      </c>
      <c r="G112" s="2" t="s">
        <v>446</v>
      </c>
      <c r="H112" s="2" t="s">
        <v>34</v>
      </c>
      <c r="I112" s="46" t="s">
        <v>38</v>
      </c>
      <c r="J112" s="34" t="s">
        <v>4</v>
      </c>
      <c r="K112" s="40" t="s">
        <v>29</v>
      </c>
      <c r="L112" s="40">
        <v>681</v>
      </c>
      <c r="M112" s="40">
        <v>621.66666666666663</v>
      </c>
      <c r="N112" s="16">
        <v>20.163906537569485</v>
      </c>
      <c r="O112" s="16">
        <v>92.662418658916764</v>
      </c>
      <c r="P112" s="13">
        <v>12.438000000000001</v>
      </c>
      <c r="Q112" s="13">
        <v>782.70252324037176</v>
      </c>
      <c r="R112" s="16">
        <v>2.0036394726143771</v>
      </c>
      <c r="S112" s="13">
        <v>51.985670699012253</v>
      </c>
      <c r="T112" s="13">
        <v>95.104449227231484</v>
      </c>
      <c r="U112" s="13">
        <v>7.7152000459690138</v>
      </c>
      <c r="V112" s="13">
        <v>2.0888766096822105</v>
      </c>
      <c r="W112" s="13">
        <v>0.95393353585964757</v>
      </c>
      <c r="X112" s="13">
        <v>80.302417828328856</v>
      </c>
      <c r="Y112" s="13">
        <v>127.36040158581514</v>
      </c>
      <c r="Z112" s="13">
        <v>10.677877250485333</v>
      </c>
      <c r="AA112" s="13">
        <v>2.8426714315978034</v>
      </c>
      <c r="AB112" s="13">
        <v>1.3261717000410014</v>
      </c>
      <c r="AC112" s="13">
        <v>49.826145910167412</v>
      </c>
      <c r="AD112" s="13">
        <v>77.76954735286364</v>
      </c>
      <c r="AE112" s="13">
        <v>132.02780350034737</v>
      </c>
      <c r="AF112" s="13">
        <v>190.20692187730936</v>
      </c>
      <c r="AG112" s="13">
        <v>252.03157116600568</v>
      </c>
      <c r="AH112" s="13">
        <v>253.66069149683025</v>
      </c>
      <c r="AI112" s="13" t="e">
        <v>#N/A</v>
      </c>
      <c r="AJ112" s="13">
        <v>318.24231101877604</v>
      </c>
      <c r="AK112" s="13">
        <v>462.21239156446546</v>
      </c>
      <c r="AL112" s="13">
        <v>622.49755482596061</v>
      </c>
      <c r="AM112" s="13">
        <v>792.17502298202305</v>
      </c>
      <c r="AN112" s="13">
        <v>970.77041030734131</v>
      </c>
      <c r="AO112" s="13">
        <v>1333.0571442753649</v>
      </c>
      <c r="AP112" s="13">
        <v>-0.12873181580993751</v>
      </c>
      <c r="AQ112" s="13">
        <v>1.2530060976711239</v>
      </c>
      <c r="AR112" s="13">
        <v>4.0723987063761617</v>
      </c>
      <c r="AS112" s="13">
        <v>6.6241023375022223</v>
      </c>
      <c r="AT112" s="13">
        <v>9.1437206513851645</v>
      </c>
      <c r="AU112" s="13">
        <v>8.9473799243885814</v>
      </c>
      <c r="AV112" s="13" t="e">
        <v>#N/A</v>
      </c>
      <c r="AW112" s="13">
        <v>11.272364540778097</v>
      </c>
      <c r="AX112" s="13">
        <v>14.704834438504058</v>
      </c>
      <c r="AY112" s="13">
        <v>16.866452360477808</v>
      </c>
      <c r="AZ112" s="13">
        <v>18.438958216914422</v>
      </c>
      <c r="BA112" s="13">
        <v>19.436926765427483</v>
      </c>
      <c r="BB112" s="13">
        <v>21.05672507822598</v>
      </c>
      <c r="BC112" s="13"/>
    </row>
    <row r="113" spans="1:55" x14ac:dyDescent="0.25">
      <c r="A113" s="6">
        <v>2012</v>
      </c>
      <c r="B113" s="9">
        <v>41128</v>
      </c>
      <c r="C113" s="11" t="s">
        <v>43</v>
      </c>
      <c r="D113" s="2" t="s">
        <v>53</v>
      </c>
      <c r="E113" s="11" t="s">
        <v>27</v>
      </c>
      <c r="F113" s="2" t="s">
        <v>36</v>
      </c>
      <c r="G113" s="2" t="s">
        <v>446</v>
      </c>
      <c r="H113" s="2" t="s">
        <v>34</v>
      </c>
      <c r="I113" s="46" t="s">
        <v>38</v>
      </c>
      <c r="J113" s="34" t="s">
        <v>5</v>
      </c>
      <c r="K113" s="40" t="s">
        <v>30</v>
      </c>
      <c r="L113" s="40">
        <v>682</v>
      </c>
      <c r="M113" s="40">
        <v>621.66666666666663</v>
      </c>
      <c r="N113" s="16">
        <v>20.086580129770134</v>
      </c>
      <c r="O113" s="16">
        <v>92.658053471491883</v>
      </c>
      <c r="P113" s="13">
        <v>14.998999999999999</v>
      </c>
      <c r="Q113" s="13">
        <v>57.051106859797763</v>
      </c>
      <c r="R113" s="16">
        <v>1.1940745895491278</v>
      </c>
      <c r="S113" s="13">
        <v>47.085113670638691</v>
      </c>
      <c r="T113" s="13">
        <v>85.170241274110836</v>
      </c>
      <c r="U113" s="13">
        <v>6.6323747076172292</v>
      </c>
      <c r="V113" s="13">
        <v>2.010716183855326</v>
      </c>
      <c r="W113" s="13">
        <v>0.87536632162846117</v>
      </c>
      <c r="X113" s="13">
        <v>73.248148993741864</v>
      </c>
      <c r="Y113" s="13">
        <v>114.59960397445096</v>
      </c>
      <c r="Z113" s="13">
        <v>9.2300582257175847</v>
      </c>
      <c r="AA113" s="13">
        <v>2.7500667961898042</v>
      </c>
      <c r="AB113" s="13">
        <v>1.223490128229263</v>
      </c>
      <c r="AC113" s="13">
        <v>49.016585737279371</v>
      </c>
      <c r="AD113" s="13">
        <v>77.874519440413295</v>
      </c>
      <c r="AE113" s="13">
        <v>133.36187539917702</v>
      </c>
      <c r="AF113" s="13">
        <v>189.55063321134313</v>
      </c>
      <c r="AG113" s="13">
        <v>250.81127267319047</v>
      </c>
      <c r="AH113" s="13">
        <v>253.70044100936826</v>
      </c>
      <c r="AI113" s="13" t="e">
        <v>#N/A</v>
      </c>
      <c r="AJ113" s="13">
        <v>321.17937108585517</v>
      </c>
      <c r="AK113" s="13">
        <v>468.17182833256578</v>
      </c>
      <c r="AL113" s="13">
        <v>633.80832643194969</v>
      </c>
      <c r="AM113" s="13">
        <v>813.64344166569651</v>
      </c>
      <c r="AN113" s="13">
        <v>996.71730972624255</v>
      </c>
      <c r="AO113" s="13">
        <v>1370.1957952736093</v>
      </c>
      <c r="AP113" s="13">
        <v>-6.4354237467669953E-2</v>
      </c>
      <c r="AQ113" s="13">
        <v>1.0615733549799309</v>
      </c>
      <c r="AR113" s="13">
        <v>3.5421215478270072</v>
      </c>
      <c r="AS113" s="13">
        <v>5.9443180905202579</v>
      </c>
      <c r="AT113" s="13">
        <v>8.1041196739247834</v>
      </c>
      <c r="AU113" s="13">
        <v>8.3007937642449878</v>
      </c>
      <c r="AV113" s="13" t="e">
        <v>#N/A</v>
      </c>
      <c r="AW113" s="13">
        <v>10.409738864620065</v>
      </c>
      <c r="AX113" s="13">
        <v>13.423662186278225</v>
      </c>
      <c r="AY113" s="13">
        <v>15.308892120371461</v>
      </c>
      <c r="AZ113" s="13">
        <v>16.391072214781548</v>
      </c>
      <c r="BA113" s="13">
        <v>17.053264155547719</v>
      </c>
      <c r="BB113" s="13">
        <v>17.886418992908389</v>
      </c>
      <c r="BC113" s="13"/>
    </row>
    <row r="114" spans="1:55" x14ac:dyDescent="0.25">
      <c r="A114" s="6">
        <v>2012</v>
      </c>
      <c r="B114" s="9">
        <v>41128</v>
      </c>
      <c r="C114" s="11" t="s">
        <v>43</v>
      </c>
      <c r="D114" s="2" t="s">
        <v>53</v>
      </c>
      <c r="E114" s="11" t="s">
        <v>27</v>
      </c>
      <c r="F114" s="2" t="s">
        <v>36</v>
      </c>
      <c r="G114" s="2" t="s">
        <v>446</v>
      </c>
      <c r="H114" s="2" t="s">
        <v>34</v>
      </c>
      <c r="I114" s="46" t="s">
        <v>49</v>
      </c>
      <c r="J114" s="34" t="s">
        <v>112</v>
      </c>
      <c r="K114" s="40" t="s">
        <v>30</v>
      </c>
      <c r="L114" s="40">
        <v>683</v>
      </c>
      <c r="M114" s="40">
        <v>621.66666666666663</v>
      </c>
      <c r="N114" s="16">
        <v>20.132183808546799</v>
      </c>
      <c r="O114" s="16">
        <v>92.70501708984375</v>
      </c>
      <c r="P114" s="13">
        <v>43.244</v>
      </c>
      <c r="Q114" s="13">
        <v>94.826767916468924</v>
      </c>
      <c r="R114" s="16">
        <v>1.4711671254369434</v>
      </c>
      <c r="S114" s="13">
        <v>40.334511666426437</v>
      </c>
      <c r="T114" s="13">
        <v>53.093157832125456</v>
      </c>
      <c r="U114" s="13">
        <v>4.2036292691490393</v>
      </c>
      <c r="V114" s="13">
        <v>2.906753327294874</v>
      </c>
      <c r="W114" s="13">
        <v>0.28225057062180547</v>
      </c>
      <c r="X114" s="13">
        <v>62.485641489579955</v>
      </c>
      <c r="Y114" s="13">
        <v>71.2389963722391</v>
      </c>
      <c r="Z114" s="13">
        <v>5.8310311296773136</v>
      </c>
      <c r="AA114" s="13">
        <v>3.9638359499875149</v>
      </c>
      <c r="AB114" s="13">
        <v>0.39325275620705691</v>
      </c>
      <c r="AC114" s="13">
        <v>53.099231555606487</v>
      </c>
      <c r="AD114" s="13">
        <v>89.03502906036924</v>
      </c>
      <c r="AE114" s="13">
        <v>160.80456299605368</v>
      </c>
      <c r="AF114" s="13">
        <v>234.77473359756226</v>
      </c>
      <c r="AG114" s="13">
        <v>311.76354998303941</v>
      </c>
      <c r="AH114" s="13">
        <v>316.95733128233405</v>
      </c>
      <c r="AI114" s="13">
        <v>324.88842672066005</v>
      </c>
      <c r="AJ114" s="13">
        <v>405.78211067218746</v>
      </c>
      <c r="AK114" s="13">
        <v>576.19744109946873</v>
      </c>
      <c r="AL114" s="13">
        <v>755.42040873215058</v>
      </c>
      <c r="AM114" s="13">
        <v>1130.1783551991482</v>
      </c>
      <c r="AN114" s="13">
        <v>1317.0818478044646</v>
      </c>
      <c r="AO114" s="13">
        <v>1506.9494396234988</v>
      </c>
      <c r="AP114" s="13">
        <v>-0.27102727284761691</v>
      </c>
      <c r="AQ114" s="13">
        <v>0.4892174732766349</v>
      </c>
      <c r="AR114" s="13">
        <v>1.8825068344154614</v>
      </c>
      <c r="AS114" s="13">
        <v>3.2125421016394387</v>
      </c>
      <c r="AT114" s="13">
        <v>4.3604997589398202</v>
      </c>
      <c r="AU114" s="13">
        <v>4.6880367495967468</v>
      </c>
      <c r="AV114" s="13">
        <v>4.1998851176274936</v>
      </c>
      <c r="AW114" s="13">
        <v>5.336678263182514</v>
      </c>
      <c r="AX114" s="13">
        <v>6.8731277099069272</v>
      </c>
      <c r="AY114" s="13">
        <v>7.9122757672385262</v>
      </c>
      <c r="AZ114" s="13">
        <v>8.9776662516667862</v>
      </c>
      <c r="BA114" s="13">
        <v>9.3532991910754397</v>
      </c>
      <c r="BB114" s="13">
        <v>9.7041329541472017</v>
      </c>
      <c r="BC114" s="13"/>
    </row>
    <row r="115" spans="1:55" x14ac:dyDescent="0.25">
      <c r="A115" s="6">
        <v>2012</v>
      </c>
      <c r="B115" s="9">
        <v>41128</v>
      </c>
      <c r="C115" s="11" t="s">
        <v>43</v>
      </c>
      <c r="D115" s="2" t="s">
        <v>53</v>
      </c>
      <c r="E115" s="11" t="s">
        <v>27</v>
      </c>
      <c r="F115" s="2" t="s">
        <v>36</v>
      </c>
      <c r="G115" s="2" t="s">
        <v>446</v>
      </c>
      <c r="H115" s="2" t="s">
        <v>34</v>
      </c>
      <c r="I115" s="46" t="s">
        <v>49</v>
      </c>
      <c r="J115" s="34" t="s">
        <v>113</v>
      </c>
      <c r="K115" s="40" t="s">
        <v>31</v>
      </c>
      <c r="L115" s="40">
        <v>685</v>
      </c>
      <c r="M115" s="40">
        <v>621.66666666666663</v>
      </c>
      <c r="N115" s="16">
        <v>20.185006801898663</v>
      </c>
      <c r="O115" s="16">
        <v>92.751696659968445</v>
      </c>
      <c r="P115" s="13">
        <v>17.466999999999999</v>
      </c>
      <c r="Q115" s="13">
        <v>58.451075804654984</v>
      </c>
      <c r="R115" s="16">
        <v>0.83255313724149915</v>
      </c>
      <c r="S115" s="13">
        <v>28.500221327099599</v>
      </c>
      <c r="T115" s="13">
        <v>56.358752392184762</v>
      </c>
      <c r="U115" s="13">
        <v>4.3344066698522639</v>
      </c>
      <c r="V115" s="13">
        <v>1.6240640302995524</v>
      </c>
      <c r="W115" s="13">
        <v>0.51471688533549287</v>
      </c>
      <c r="X115" s="13">
        <v>43.939619701925395</v>
      </c>
      <c r="Y115" s="13">
        <v>75.375911193290676</v>
      </c>
      <c r="Z115" s="13">
        <v>5.9898192373656265</v>
      </c>
      <c r="AA115" s="13">
        <v>2.2071037430395175</v>
      </c>
      <c r="AB115" s="13">
        <v>0.71452059513744481</v>
      </c>
      <c r="AC115" s="13">
        <v>51.99532777578851</v>
      </c>
      <c r="AD115" s="13">
        <v>84.074788558045043</v>
      </c>
      <c r="AE115" s="13">
        <v>148.92283276512944</v>
      </c>
      <c r="AF115" s="13">
        <v>215.67732740035055</v>
      </c>
      <c r="AG115" s="13">
        <v>283.18184371631344</v>
      </c>
      <c r="AH115" s="13">
        <v>289.36390717998603</v>
      </c>
      <c r="AI115" s="13">
        <v>300.27629815475251</v>
      </c>
      <c r="AJ115" s="13">
        <v>367.43818153881256</v>
      </c>
      <c r="AK115" s="13">
        <v>539.40354070572948</v>
      </c>
      <c r="AL115" s="13">
        <v>722.286474571893</v>
      </c>
      <c r="AM115" s="13">
        <v>1098.9227633697635</v>
      </c>
      <c r="AN115" s="13">
        <v>1283.9063137596795</v>
      </c>
      <c r="AO115" s="13">
        <v>1476.1926193973648</v>
      </c>
      <c r="AP115" s="13">
        <v>-0.14797241483143539</v>
      </c>
      <c r="AQ115" s="13">
        <v>0.70758217878865559</v>
      </c>
      <c r="AR115" s="13">
        <v>2.2466517608120515</v>
      </c>
      <c r="AS115" s="13">
        <v>3.6897223975614555</v>
      </c>
      <c r="AT115" s="13">
        <v>4.9756231607632282</v>
      </c>
      <c r="AU115" s="13">
        <v>5.7985531165661639</v>
      </c>
      <c r="AV115" s="13">
        <v>5.6820116615274348</v>
      </c>
      <c r="AW115" s="13">
        <v>7.352042716565089</v>
      </c>
      <c r="AX115" s="13">
        <v>9.2048293148325691</v>
      </c>
      <c r="AY115" s="13">
        <v>10.201686230184581</v>
      </c>
      <c r="AZ115" s="13">
        <v>11.004076737994261</v>
      </c>
      <c r="BA115" s="13">
        <v>11.364583126362243</v>
      </c>
      <c r="BB115" s="13">
        <v>11.379152966153073</v>
      </c>
      <c r="BC115" s="13"/>
    </row>
    <row r="116" spans="1:55" x14ac:dyDescent="0.25">
      <c r="A116" s="6">
        <v>2012</v>
      </c>
      <c r="B116" s="9">
        <v>41128</v>
      </c>
      <c r="C116" s="11" t="s">
        <v>43</v>
      </c>
      <c r="D116" s="2" t="s">
        <v>53</v>
      </c>
      <c r="E116" s="11" t="s">
        <v>27</v>
      </c>
      <c r="F116" s="2" t="s">
        <v>36</v>
      </c>
      <c r="G116" s="2" t="s">
        <v>446</v>
      </c>
      <c r="H116" s="2" t="s">
        <v>34</v>
      </c>
      <c r="I116" s="46" t="s">
        <v>38</v>
      </c>
      <c r="J116" s="34" t="s">
        <v>92</v>
      </c>
      <c r="K116" s="40" t="s">
        <v>31</v>
      </c>
      <c r="L116" s="40">
        <v>684</v>
      </c>
      <c r="M116" s="40">
        <v>621.66666666666663</v>
      </c>
      <c r="N116" s="16">
        <v>20.112617932833157</v>
      </c>
      <c r="O116" s="16">
        <v>92.703122065617492</v>
      </c>
      <c r="P116" s="13">
        <v>24.971</v>
      </c>
      <c r="Q116" s="13">
        <v>56.501611969909895</v>
      </c>
      <c r="R116" s="16">
        <v>1.7636206376030195</v>
      </c>
      <c r="S116" s="13">
        <v>47.588698325199239</v>
      </c>
      <c r="T116" s="13">
        <v>77.776859593636985</v>
      </c>
      <c r="U116" s="13">
        <v>6.0136212574749663</v>
      </c>
      <c r="V116" s="13">
        <v>2.5422048567096662</v>
      </c>
      <c r="W116" s="13">
        <v>0.51738406029833606</v>
      </c>
      <c r="X116" s="13">
        <v>73.855625535503634</v>
      </c>
      <c r="Y116" s="13">
        <v>104.48436535122924</v>
      </c>
      <c r="Z116" s="13">
        <v>8.3534087718522869</v>
      </c>
      <c r="AA116" s="13">
        <v>3.4711173537688294</v>
      </c>
      <c r="AB116" s="13">
        <v>0.72183728040499939</v>
      </c>
      <c r="AC116" s="13">
        <v>51.775051246737526</v>
      </c>
      <c r="AD116" s="13">
        <v>79.068981202132989</v>
      </c>
      <c r="AE116" s="13">
        <v>138.24144292687134</v>
      </c>
      <c r="AF116" s="13">
        <v>197.83534962774695</v>
      </c>
      <c r="AG116" s="13">
        <v>261.15103754861019</v>
      </c>
      <c r="AH116" s="13">
        <v>261.64749859066495</v>
      </c>
      <c r="AI116" s="13" t="e">
        <v>#N/A</v>
      </c>
      <c r="AJ116" s="13">
        <v>324.27223795050526</v>
      </c>
      <c r="AK116" s="13">
        <v>465.13550130393389</v>
      </c>
      <c r="AL116" s="13">
        <v>619.71722500855674</v>
      </c>
      <c r="AM116" s="13">
        <v>785.81138120809112</v>
      </c>
      <c r="AN116" s="13">
        <v>963.8338421485779</v>
      </c>
      <c r="AO116" s="13">
        <v>1332.3618191048008</v>
      </c>
      <c r="AP116" s="13">
        <v>-0.24336241814190596</v>
      </c>
      <c r="AQ116" s="13">
        <v>0.87945125478351516</v>
      </c>
      <c r="AR116" s="13">
        <v>2.681325948321553</v>
      </c>
      <c r="AS116" s="13">
        <v>4.565429250449851</v>
      </c>
      <c r="AT116" s="13">
        <v>6.1732883187456711</v>
      </c>
      <c r="AU116" s="13">
        <v>6.2570483594158306</v>
      </c>
      <c r="AV116" s="13" t="e">
        <v>#N/A</v>
      </c>
      <c r="AW116" s="13">
        <v>7.9694634293323565</v>
      </c>
      <c r="AX116" s="13">
        <v>10.56321389462715</v>
      </c>
      <c r="AY116" s="13">
        <v>12.442556878334951</v>
      </c>
      <c r="AZ116" s="13">
        <v>13.730654582552004</v>
      </c>
      <c r="BA116" s="13">
        <v>14.57827694260618</v>
      </c>
      <c r="BB116" s="13">
        <v>15.498669750766226</v>
      </c>
      <c r="BC116" s="13"/>
    </row>
  </sheetData>
  <sortState ref="B3:CN117">
    <sortCondition descending="1" ref="K3:K117"/>
  </sortState>
  <phoneticPr fontId="20" type="noConversion"/>
  <dataValidations count="7">
    <dataValidation type="list" allowBlank="1" showInputMessage="1" showErrorMessage="1" sqref="P32 K26:K31 K62:K73 K2:K7 K80:K92">
      <formula1>CanopyPosition</formula1>
    </dataValidation>
    <dataValidation type="list" allowBlank="1" showInputMessage="1" showErrorMessage="1" sqref="F26:F37 F41:F43 F68:F98 F50:F61 F105:F116 F2:F13">
      <formula1>Treatment</formula1>
    </dataValidation>
    <dataValidation type="list" allowBlank="1" showInputMessage="1" showErrorMessage="1" sqref="H41:H43 H105:H116 H68:H98 H50:H61 H26:H31 H2:H7">
      <formula1>DomVeg</formula1>
    </dataValidation>
    <dataValidation type="list" allowBlank="1" showInputMessage="1" showErrorMessage="1" sqref="I2:I7 I42:I54 I81:I86 I26:I31 I69:I73 K44:K55 I56:I67 I88:I92 J3:J14 J57:J62 J33:J38 J45:J50 J100:J105">
      <formula1>Species</formula1>
    </dataValidation>
    <dataValidation type="list" allowBlank="1" showInputMessage="1" showErrorMessage="1" sqref="E41:E43 E105:E116 E26:E37 E50:E61 E68:E98 E2:E7">
      <formula1>SampleID</formula1>
    </dataValidation>
    <dataValidation type="list" allowBlank="1" showInputMessage="1" showErrorMessage="1" sqref="D105:D116 D26:D37 D50:D61 D68:D98 D41:D43 D2:D7">
      <formula1>Group</formula1>
    </dataValidation>
    <dataValidation type="list" allowBlank="1" showInputMessage="1" showErrorMessage="1" sqref="C41:C43 C26:C37 C50:C61 C68:C98 C105:C116 C2:C7">
      <formula1>Site</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N638"/>
  <sheetViews>
    <sheetView topLeftCell="A539" zoomScale="96" zoomScaleNormal="96" workbookViewId="0">
      <selection activeCell="B587" sqref="B587"/>
    </sheetView>
  </sheetViews>
  <sheetFormatPr defaultRowHeight="12.75" x14ac:dyDescent="0.2"/>
  <cols>
    <col min="1" max="1" width="9.140625" style="137"/>
    <col min="2" max="2" width="26.5703125" style="137" customWidth="1"/>
    <col min="3" max="3" width="51.85546875" style="137" customWidth="1"/>
    <col min="4" max="4" width="11.7109375" style="137" customWidth="1"/>
    <col min="5" max="5" width="13.85546875" style="137" customWidth="1"/>
    <col min="6" max="257" width="9.140625" style="137"/>
    <col min="258" max="258" width="26.5703125" style="137" customWidth="1"/>
    <col min="259" max="259" width="51.85546875" style="137" customWidth="1"/>
    <col min="260" max="260" width="11.7109375" style="137" customWidth="1"/>
    <col min="261" max="261" width="13.85546875" style="137" customWidth="1"/>
    <col min="262" max="513" width="9.140625" style="137"/>
    <col min="514" max="514" width="26.5703125" style="137" customWidth="1"/>
    <col min="515" max="515" width="51.85546875" style="137" customWidth="1"/>
    <col min="516" max="516" width="11.7109375" style="137" customWidth="1"/>
    <col min="517" max="517" width="13.85546875" style="137" customWidth="1"/>
    <col min="518" max="769" width="9.140625" style="137"/>
    <col min="770" max="770" width="26.5703125" style="137" customWidth="1"/>
    <col min="771" max="771" width="51.85546875" style="137" customWidth="1"/>
    <col min="772" max="772" width="11.7109375" style="137" customWidth="1"/>
    <col min="773" max="773" width="13.85546875" style="137" customWidth="1"/>
    <col min="774" max="1025" width="9.140625" style="137"/>
    <col min="1026" max="1026" width="26.5703125" style="137" customWidth="1"/>
    <col min="1027" max="1027" width="51.85546875" style="137" customWidth="1"/>
    <col min="1028" max="1028" width="11.7109375" style="137" customWidth="1"/>
    <col min="1029" max="1029" width="13.85546875" style="137" customWidth="1"/>
    <col min="1030" max="1281" width="9.140625" style="137"/>
    <col min="1282" max="1282" width="26.5703125" style="137" customWidth="1"/>
    <col min="1283" max="1283" width="51.85546875" style="137" customWidth="1"/>
    <col min="1284" max="1284" width="11.7109375" style="137" customWidth="1"/>
    <col min="1285" max="1285" width="13.85546875" style="137" customWidth="1"/>
    <col min="1286" max="1537" width="9.140625" style="137"/>
    <col min="1538" max="1538" width="26.5703125" style="137" customWidth="1"/>
    <col min="1539" max="1539" width="51.85546875" style="137" customWidth="1"/>
    <col min="1540" max="1540" width="11.7109375" style="137" customWidth="1"/>
    <col min="1541" max="1541" width="13.85546875" style="137" customWidth="1"/>
    <col min="1542" max="1793" width="9.140625" style="137"/>
    <col min="1794" max="1794" width="26.5703125" style="137" customWidth="1"/>
    <col min="1795" max="1795" width="51.85546875" style="137" customWidth="1"/>
    <col min="1796" max="1796" width="11.7109375" style="137" customWidth="1"/>
    <col min="1797" max="1797" width="13.85546875" style="137" customWidth="1"/>
    <col min="1798" max="2049" width="9.140625" style="137"/>
    <col min="2050" max="2050" width="26.5703125" style="137" customWidth="1"/>
    <col min="2051" max="2051" width="51.85546875" style="137" customWidth="1"/>
    <col min="2052" max="2052" width="11.7109375" style="137" customWidth="1"/>
    <col min="2053" max="2053" width="13.85546875" style="137" customWidth="1"/>
    <col min="2054" max="2305" width="9.140625" style="137"/>
    <col min="2306" max="2306" width="26.5703125" style="137" customWidth="1"/>
    <col min="2307" max="2307" width="51.85546875" style="137" customWidth="1"/>
    <col min="2308" max="2308" width="11.7109375" style="137" customWidth="1"/>
    <col min="2309" max="2309" width="13.85546875" style="137" customWidth="1"/>
    <col min="2310" max="2561" width="9.140625" style="137"/>
    <col min="2562" max="2562" width="26.5703125" style="137" customWidth="1"/>
    <col min="2563" max="2563" width="51.85546875" style="137" customWidth="1"/>
    <col min="2564" max="2564" width="11.7109375" style="137" customWidth="1"/>
    <col min="2565" max="2565" width="13.85546875" style="137" customWidth="1"/>
    <col min="2566" max="2817" width="9.140625" style="137"/>
    <col min="2818" max="2818" width="26.5703125" style="137" customWidth="1"/>
    <col min="2819" max="2819" width="51.85546875" style="137" customWidth="1"/>
    <col min="2820" max="2820" width="11.7109375" style="137" customWidth="1"/>
    <col min="2821" max="2821" width="13.85546875" style="137" customWidth="1"/>
    <col min="2822" max="3073" width="9.140625" style="137"/>
    <col min="3074" max="3074" width="26.5703125" style="137" customWidth="1"/>
    <col min="3075" max="3075" width="51.85546875" style="137" customWidth="1"/>
    <col min="3076" max="3076" width="11.7109375" style="137" customWidth="1"/>
    <col min="3077" max="3077" width="13.85546875" style="137" customWidth="1"/>
    <col min="3078" max="3329" width="9.140625" style="137"/>
    <col min="3330" max="3330" width="26.5703125" style="137" customWidth="1"/>
    <col min="3331" max="3331" width="51.85546875" style="137" customWidth="1"/>
    <col min="3332" max="3332" width="11.7109375" style="137" customWidth="1"/>
    <col min="3333" max="3333" width="13.85546875" style="137" customWidth="1"/>
    <col min="3334" max="3585" width="9.140625" style="137"/>
    <col min="3586" max="3586" width="26.5703125" style="137" customWidth="1"/>
    <col min="3587" max="3587" width="51.85546875" style="137" customWidth="1"/>
    <col min="3588" max="3588" width="11.7109375" style="137" customWidth="1"/>
    <col min="3589" max="3589" width="13.85546875" style="137" customWidth="1"/>
    <col min="3590" max="3841" width="9.140625" style="137"/>
    <col min="3842" max="3842" width="26.5703125" style="137" customWidth="1"/>
    <col min="3843" max="3843" width="51.85546875" style="137" customWidth="1"/>
    <col min="3844" max="3844" width="11.7109375" style="137" customWidth="1"/>
    <col min="3845" max="3845" width="13.85546875" style="137" customWidth="1"/>
    <col min="3846" max="4097" width="9.140625" style="137"/>
    <col min="4098" max="4098" width="26.5703125" style="137" customWidth="1"/>
    <col min="4099" max="4099" width="51.85546875" style="137" customWidth="1"/>
    <col min="4100" max="4100" width="11.7109375" style="137" customWidth="1"/>
    <col min="4101" max="4101" width="13.85546875" style="137" customWidth="1"/>
    <col min="4102" max="4353" width="9.140625" style="137"/>
    <col min="4354" max="4354" width="26.5703125" style="137" customWidth="1"/>
    <col min="4355" max="4355" width="51.85546875" style="137" customWidth="1"/>
    <col min="4356" max="4356" width="11.7109375" style="137" customWidth="1"/>
    <col min="4357" max="4357" width="13.85546875" style="137" customWidth="1"/>
    <col min="4358" max="4609" width="9.140625" style="137"/>
    <col min="4610" max="4610" width="26.5703125" style="137" customWidth="1"/>
    <col min="4611" max="4611" width="51.85546875" style="137" customWidth="1"/>
    <col min="4612" max="4612" width="11.7109375" style="137" customWidth="1"/>
    <col min="4613" max="4613" width="13.85546875" style="137" customWidth="1"/>
    <col min="4614" max="4865" width="9.140625" style="137"/>
    <col min="4866" max="4866" width="26.5703125" style="137" customWidth="1"/>
    <col min="4867" max="4867" width="51.85546875" style="137" customWidth="1"/>
    <col min="4868" max="4868" width="11.7109375" style="137" customWidth="1"/>
    <col min="4869" max="4869" width="13.85546875" style="137" customWidth="1"/>
    <col min="4870" max="5121" width="9.140625" style="137"/>
    <col min="5122" max="5122" width="26.5703125" style="137" customWidth="1"/>
    <col min="5123" max="5123" width="51.85546875" style="137" customWidth="1"/>
    <col min="5124" max="5124" width="11.7109375" style="137" customWidth="1"/>
    <col min="5125" max="5125" width="13.85546875" style="137" customWidth="1"/>
    <col min="5126" max="5377" width="9.140625" style="137"/>
    <col min="5378" max="5378" width="26.5703125" style="137" customWidth="1"/>
    <col min="5379" max="5379" width="51.85546875" style="137" customWidth="1"/>
    <col min="5380" max="5380" width="11.7109375" style="137" customWidth="1"/>
    <col min="5381" max="5381" width="13.85546875" style="137" customWidth="1"/>
    <col min="5382" max="5633" width="9.140625" style="137"/>
    <col min="5634" max="5634" width="26.5703125" style="137" customWidth="1"/>
    <col min="5635" max="5635" width="51.85546875" style="137" customWidth="1"/>
    <col min="5636" max="5636" width="11.7109375" style="137" customWidth="1"/>
    <col min="5637" max="5637" width="13.85546875" style="137" customWidth="1"/>
    <col min="5638" max="5889" width="9.140625" style="137"/>
    <col min="5890" max="5890" width="26.5703125" style="137" customWidth="1"/>
    <col min="5891" max="5891" width="51.85546875" style="137" customWidth="1"/>
    <col min="5892" max="5892" width="11.7109375" style="137" customWidth="1"/>
    <col min="5893" max="5893" width="13.85546875" style="137" customWidth="1"/>
    <col min="5894" max="6145" width="9.140625" style="137"/>
    <col min="6146" max="6146" width="26.5703125" style="137" customWidth="1"/>
    <col min="6147" max="6147" width="51.85546875" style="137" customWidth="1"/>
    <col min="6148" max="6148" width="11.7109375" style="137" customWidth="1"/>
    <col min="6149" max="6149" width="13.85546875" style="137" customWidth="1"/>
    <col min="6150" max="6401" width="9.140625" style="137"/>
    <col min="6402" max="6402" width="26.5703125" style="137" customWidth="1"/>
    <col min="6403" max="6403" width="51.85546875" style="137" customWidth="1"/>
    <col min="6404" max="6404" width="11.7109375" style="137" customWidth="1"/>
    <col min="6405" max="6405" width="13.85546875" style="137" customWidth="1"/>
    <col min="6406" max="6657" width="9.140625" style="137"/>
    <col min="6658" max="6658" width="26.5703125" style="137" customWidth="1"/>
    <col min="6659" max="6659" width="51.85546875" style="137" customWidth="1"/>
    <col min="6660" max="6660" width="11.7109375" style="137" customWidth="1"/>
    <col min="6661" max="6661" width="13.85546875" style="137" customWidth="1"/>
    <col min="6662" max="6913" width="9.140625" style="137"/>
    <col min="6914" max="6914" width="26.5703125" style="137" customWidth="1"/>
    <col min="6915" max="6915" width="51.85546875" style="137" customWidth="1"/>
    <col min="6916" max="6916" width="11.7109375" style="137" customWidth="1"/>
    <col min="6917" max="6917" width="13.85546875" style="137" customWidth="1"/>
    <col min="6918" max="7169" width="9.140625" style="137"/>
    <col min="7170" max="7170" width="26.5703125" style="137" customWidth="1"/>
    <col min="7171" max="7171" width="51.85546875" style="137" customWidth="1"/>
    <col min="7172" max="7172" width="11.7109375" style="137" customWidth="1"/>
    <col min="7173" max="7173" width="13.85546875" style="137" customWidth="1"/>
    <col min="7174" max="7425" width="9.140625" style="137"/>
    <col min="7426" max="7426" width="26.5703125" style="137" customWidth="1"/>
    <col min="7427" max="7427" width="51.85546875" style="137" customWidth="1"/>
    <col min="7428" max="7428" width="11.7109375" style="137" customWidth="1"/>
    <col min="7429" max="7429" width="13.85546875" style="137" customWidth="1"/>
    <col min="7430" max="7681" width="9.140625" style="137"/>
    <col min="7682" max="7682" width="26.5703125" style="137" customWidth="1"/>
    <col min="7683" max="7683" width="51.85546875" style="137" customWidth="1"/>
    <col min="7684" max="7684" width="11.7109375" style="137" customWidth="1"/>
    <col min="7685" max="7685" width="13.85546875" style="137" customWidth="1"/>
    <col min="7686" max="7937" width="9.140625" style="137"/>
    <col min="7938" max="7938" width="26.5703125" style="137" customWidth="1"/>
    <col min="7939" max="7939" width="51.85546875" style="137" customWidth="1"/>
    <col min="7940" max="7940" width="11.7109375" style="137" customWidth="1"/>
    <col min="7941" max="7941" width="13.85546875" style="137" customWidth="1"/>
    <col min="7942" max="8193" width="9.140625" style="137"/>
    <col min="8194" max="8194" width="26.5703125" style="137" customWidth="1"/>
    <col min="8195" max="8195" width="51.85546875" style="137" customWidth="1"/>
    <col min="8196" max="8196" width="11.7109375" style="137" customWidth="1"/>
    <col min="8197" max="8197" width="13.85546875" style="137" customWidth="1"/>
    <col min="8198" max="8449" width="9.140625" style="137"/>
    <col min="8450" max="8450" width="26.5703125" style="137" customWidth="1"/>
    <col min="8451" max="8451" width="51.85546875" style="137" customWidth="1"/>
    <col min="8452" max="8452" width="11.7109375" style="137" customWidth="1"/>
    <col min="8453" max="8453" width="13.85546875" style="137" customWidth="1"/>
    <col min="8454" max="8705" width="9.140625" style="137"/>
    <col min="8706" max="8706" width="26.5703125" style="137" customWidth="1"/>
    <col min="8707" max="8707" width="51.85546875" style="137" customWidth="1"/>
    <col min="8708" max="8708" width="11.7109375" style="137" customWidth="1"/>
    <col min="8709" max="8709" width="13.85546875" style="137" customWidth="1"/>
    <col min="8710" max="8961" width="9.140625" style="137"/>
    <col min="8962" max="8962" width="26.5703125" style="137" customWidth="1"/>
    <col min="8963" max="8963" width="51.85546875" style="137" customWidth="1"/>
    <col min="8964" max="8964" width="11.7109375" style="137" customWidth="1"/>
    <col min="8965" max="8965" width="13.85546875" style="137" customWidth="1"/>
    <col min="8966" max="9217" width="9.140625" style="137"/>
    <col min="9218" max="9218" width="26.5703125" style="137" customWidth="1"/>
    <col min="9219" max="9219" width="51.85546875" style="137" customWidth="1"/>
    <col min="9220" max="9220" width="11.7109375" style="137" customWidth="1"/>
    <col min="9221" max="9221" width="13.85546875" style="137" customWidth="1"/>
    <col min="9222" max="9473" width="9.140625" style="137"/>
    <col min="9474" max="9474" width="26.5703125" style="137" customWidth="1"/>
    <col min="9475" max="9475" width="51.85546875" style="137" customWidth="1"/>
    <col min="9476" max="9476" width="11.7109375" style="137" customWidth="1"/>
    <col min="9477" max="9477" width="13.85546875" style="137" customWidth="1"/>
    <col min="9478" max="9729" width="9.140625" style="137"/>
    <col min="9730" max="9730" width="26.5703125" style="137" customWidth="1"/>
    <col min="9731" max="9731" width="51.85546875" style="137" customWidth="1"/>
    <col min="9732" max="9732" width="11.7109375" style="137" customWidth="1"/>
    <col min="9733" max="9733" width="13.85546875" style="137" customWidth="1"/>
    <col min="9734" max="9985" width="9.140625" style="137"/>
    <col min="9986" max="9986" width="26.5703125" style="137" customWidth="1"/>
    <col min="9987" max="9987" width="51.85546875" style="137" customWidth="1"/>
    <col min="9988" max="9988" width="11.7109375" style="137" customWidth="1"/>
    <col min="9989" max="9989" width="13.85546875" style="137" customWidth="1"/>
    <col min="9990" max="10241" width="9.140625" style="137"/>
    <col min="10242" max="10242" width="26.5703125" style="137" customWidth="1"/>
    <col min="10243" max="10243" width="51.85546875" style="137" customWidth="1"/>
    <col min="10244" max="10244" width="11.7109375" style="137" customWidth="1"/>
    <col min="10245" max="10245" width="13.85546875" style="137" customWidth="1"/>
    <col min="10246" max="10497" width="9.140625" style="137"/>
    <col min="10498" max="10498" width="26.5703125" style="137" customWidth="1"/>
    <col min="10499" max="10499" width="51.85546875" style="137" customWidth="1"/>
    <col min="10500" max="10500" width="11.7109375" style="137" customWidth="1"/>
    <col min="10501" max="10501" width="13.85546875" style="137" customWidth="1"/>
    <col min="10502" max="10753" width="9.140625" style="137"/>
    <col min="10754" max="10754" width="26.5703125" style="137" customWidth="1"/>
    <col min="10755" max="10755" width="51.85546875" style="137" customWidth="1"/>
    <col min="10756" max="10756" width="11.7109375" style="137" customWidth="1"/>
    <col min="10757" max="10757" width="13.85546875" style="137" customWidth="1"/>
    <col min="10758" max="11009" width="9.140625" style="137"/>
    <col min="11010" max="11010" width="26.5703125" style="137" customWidth="1"/>
    <col min="11011" max="11011" width="51.85546875" style="137" customWidth="1"/>
    <col min="11012" max="11012" width="11.7109375" style="137" customWidth="1"/>
    <col min="11013" max="11013" width="13.85546875" style="137" customWidth="1"/>
    <col min="11014" max="11265" width="9.140625" style="137"/>
    <col min="11266" max="11266" width="26.5703125" style="137" customWidth="1"/>
    <col min="11267" max="11267" width="51.85546875" style="137" customWidth="1"/>
    <col min="11268" max="11268" width="11.7109375" style="137" customWidth="1"/>
    <col min="11269" max="11269" width="13.85546875" style="137" customWidth="1"/>
    <col min="11270" max="11521" width="9.140625" style="137"/>
    <col min="11522" max="11522" width="26.5703125" style="137" customWidth="1"/>
    <col min="11523" max="11523" width="51.85546875" style="137" customWidth="1"/>
    <col min="11524" max="11524" width="11.7109375" style="137" customWidth="1"/>
    <col min="11525" max="11525" width="13.85546875" style="137" customWidth="1"/>
    <col min="11526" max="11777" width="9.140625" style="137"/>
    <col min="11778" max="11778" width="26.5703125" style="137" customWidth="1"/>
    <col min="11779" max="11779" width="51.85546875" style="137" customWidth="1"/>
    <col min="11780" max="11780" width="11.7109375" style="137" customWidth="1"/>
    <col min="11781" max="11781" width="13.85546875" style="137" customWidth="1"/>
    <col min="11782" max="12033" width="9.140625" style="137"/>
    <col min="12034" max="12034" width="26.5703125" style="137" customWidth="1"/>
    <col min="12035" max="12035" width="51.85546875" style="137" customWidth="1"/>
    <col min="12036" max="12036" width="11.7109375" style="137" customWidth="1"/>
    <col min="12037" max="12037" width="13.85546875" style="137" customWidth="1"/>
    <col min="12038" max="12289" width="9.140625" style="137"/>
    <col min="12290" max="12290" width="26.5703125" style="137" customWidth="1"/>
    <col min="12291" max="12291" width="51.85546875" style="137" customWidth="1"/>
    <col min="12292" max="12292" width="11.7109375" style="137" customWidth="1"/>
    <col min="12293" max="12293" width="13.85546875" style="137" customWidth="1"/>
    <col min="12294" max="12545" width="9.140625" style="137"/>
    <col min="12546" max="12546" width="26.5703125" style="137" customWidth="1"/>
    <col min="12547" max="12547" width="51.85546875" style="137" customWidth="1"/>
    <col min="12548" max="12548" width="11.7109375" style="137" customWidth="1"/>
    <col min="12549" max="12549" width="13.85546875" style="137" customWidth="1"/>
    <col min="12550" max="12801" width="9.140625" style="137"/>
    <col min="12802" max="12802" width="26.5703125" style="137" customWidth="1"/>
    <col min="12803" max="12803" width="51.85546875" style="137" customWidth="1"/>
    <col min="12804" max="12804" width="11.7109375" style="137" customWidth="1"/>
    <col min="12805" max="12805" width="13.85546875" style="137" customWidth="1"/>
    <col min="12806" max="13057" width="9.140625" style="137"/>
    <col min="13058" max="13058" width="26.5703125" style="137" customWidth="1"/>
    <col min="13059" max="13059" width="51.85546875" style="137" customWidth="1"/>
    <col min="13060" max="13060" width="11.7109375" style="137" customWidth="1"/>
    <col min="13061" max="13061" width="13.85546875" style="137" customWidth="1"/>
    <col min="13062" max="13313" width="9.140625" style="137"/>
    <col min="13314" max="13314" width="26.5703125" style="137" customWidth="1"/>
    <col min="13315" max="13315" width="51.85546875" style="137" customWidth="1"/>
    <col min="13316" max="13316" width="11.7109375" style="137" customWidth="1"/>
    <col min="13317" max="13317" width="13.85546875" style="137" customWidth="1"/>
    <col min="13318" max="13569" width="9.140625" style="137"/>
    <col min="13570" max="13570" width="26.5703125" style="137" customWidth="1"/>
    <col min="13571" max="13571" width="51.85546875" style="137" customWidth="1"/>
    <col min="13572" max="13572" width="11.7109375" style="137" customWidth="1"/>
    <col min="13573" max="13573" width="13.85546875" style="137" customWidth="1"/>
    <col min="13574" max="13825" width="9.140625" style="137"/>
    <col min="13826" max="13826" width="26.5703125" style="137" customWidth="1"/>
    <col min="13827" max="13827" width="51.85546875" style="137" customWidth="1"/>
    <col min="13828" max="13828" width="11.7109375" style="137" customWidth="1"/>
    <col min="13829" max="13829" width="13.85546875" style="137" customWidth="1"/>
    <col min="13830" max="14081" width="9.140625" style="137"/>
    <col min="14082" max="14082" width="26.5703125" style="137" customWidth="1"/>
    <col min="14083" max="14083" width="51.85546875" style="137" customWidth="1"/>
    <col min="14084" max="14084" width="11.7109375" style="137" customWidth="1"/>
    <col min="14085" max="14085" width="13.85546875" style="137" customWidth="1"/>
    <col min="14086" max="14337" width="9.140625" style="137"/>
    <col min="14338" max="14338" width="26.5703125" style="137" customWidth="1"/>
    <col min="14339" max="14339" width="51.85546875" style="137" customWidth="1"/>
    <col min="14340" max="14340" width="11.7109375" style="137" customWidth="1"/>
    <col min="14341" max="14341" width="13.85546875" style="137" customWidth="1"/>
    <col min="14342" max="14593" width="9.140625" style="137"/>
    <col min="14594" max="14594" width="26.5703125" style="137" customWidth="1"/>
    <col min="14595" max="14595" width="51.85546875" style="137" customWidth="1"/>
    <col min="14596" max="14596" width="11.7109375" style="137" customWidth="1"/>
    <col min="14597" max="14597" width="13.85546875" style="137" customWidth="1"/>
    <col min="14598" max="14849" width="9.140625" style="137"/>
    <col min="14850" max="14850" width="26.5703125" style="137" customWidth="1"/>
    <col min="14851" max="14851" width="51.85546875" style="137" customWidth="1"/>
    <col min="14852" max="14852" width="11.7109375" style="137" customWidth="1"/>
    <col min="14853" max="14853" width="13.85546875" style="137" customWidth="1"/>
    <col min="14854" max="15105" width="9.140625" style="137"/>
    <col min="15106" max="15106" width="26.5703125" style="137" customWidth="1"/>
    <col min="15107" max="15107" width="51.85546875" style="137" customWidth="1"/>
    <col min="15108" max="15108" width="11.7109375" style="137" customWidth="1"/>
    <col min="15109" max="15109" width="13.85546875" style="137" customWidth="1"/>
    <col min="15110" max="15361" width="9.140625" style="137"/>
    <col min="15362" max="15362" width="26.5703125" style="137" customWidth="1"/>
    <col min="15363" max="15363" width="51.85546875" style="137" customWidth="1"/>
    <col min="15364" max="15364" width="11.7109375" style="137" customWidth="1"/>
    <col min="15365" max="15365" width="13.85546875" style="137" customWidth="1"/>
    <col min="15366" max="15617" width="9.140625" style="137"/>
    <col min="15618" max="15618" width="26.5703125" style="137" customWidth="1"/>
    <col min="15619" max="15619" width="51.85546875" style="137" customWidth="1"/>
    <col min="15620" max="15620" width="11.7109375" style="137" customWidth="1"/>
    <col min="15621" max="15621" width="13.85546875" style="137" customWidth="1"/>
    <col min="15622" max="15873" width="9.140625" style="137"/>
    <col min="15874" max="15874" width="26.5703125" style="137" customWidth="1"/>
    <col min="15875" max="15875" width="51.85546875" style="137" customWidth="1"/>
    <col min="15876" max="15876" width="11.7109375" style="137" customWidth="1"/>
    <col min="15877" max="15877" width="13.85546875" style="137" customWidth="1"/>
    <col min="15878" max="16129" width="9.140625" style="137"/>
    <col min="16130" max="16130" width="26.5703125" style="137" customWidth="1"/>
    <col min="16131" max="16131" width="51.85546875" style="137" customWidth="1"/>
    <col min="16132" max="16132" width="11.7109375" style="137" customWidth="1"/>
    <col min="16133" max="16133" width="13.85546875" style="137" customWidth="1"/>
    <col min="16134" max="16384" width="9.140625" style="137"/>
  </cols>
  <sheetData>
    <row r="1" spans="1:14" x14ac:dyDescent="0.2">
      <c r="B1" s="52"/>
    </row>
    <row r="2" spans="1:14" ht="45" x14ac:dyDescent="0.2">
      <c r="A2" s="138" t="s">
        <v>581</v>
      </c>
      <c r="B2" s="139" t="s">
        <v>580</v>
      </c>
      <c r="C2" s="139" t="s">
        <v>582</v>
      </c>
      <c r="D2" s="140" t="s">
        <v>583</v>
      </c>
      <c r="E2" s="140" t="s">
        <v>584</v>
      </c>
      <c r="F2" s="141" t="s">
        <v>585</v>
      </c>
      <c r="G2" s="139" t="s">
        <v>586</v>
      </c>
      <c r="H2" s="139" t="s">
        <v>587</v>
      </c>
      <c r="I2" s="139" t="s">
        <v>588</v>
      </c>
      <c r="J2" s="139" t="s">
        <v>589</v>
      </c>
      <c r="K2" s="142" t="s">
        <v>590</v>
      </c>
      <c r="L2" s="139" t="s">
        <v>591</v>
      </c>
      <c r="M2" s="139" t="s">
        <v>592</v>
      </c>
      <c r="N2" s="139" t="s">
        <v>593</v>
      </c>
    </row>
    <row r="3" spans="1:14" x14ac:dyDescent="0.2">
      <c r="A3" s="137">
        <v>1169</v>
      </c>
      <c r="B3" s="52" t="s">
        <v>594</v>
      </c>
      <c r="C3" s="52" t="s">
        <v>595</v>
      </c>
      <c r="D3" s="137">
        <v>68.99666666666667</v>
      </c>
      <c r="E3" s="137">
        <v>-150.28100000000001</v>
      </c>
      <c r="F3" s="137" t="s">
        <v>596</v>
      </c>
      <c r="G3" s="137" t="s">
        <v>597</v>
      </c>
      <c r="H3" s="137" t="s">
        <v>596</v>
      </c>
      <c r="I3" s="137" t="s">
        <v>596</v>
      </c>
      <c r="J3" s="137" t="s">
        <v>598</v>
      </c>
      <c r="K3" s="137" t="s">
        <v>596</v>
      </c>
      <c r="L3" s="137" t="s">
        <v>596</v>
      </c>
      <c r="M3" s="143" t="str">
        <f t="shared" ref="M3:M66" si="0">HYPERLINK("http://maps.google.com/maps?q="&amp;D3&amp;","&amp;E3,"View on Google Map")</f>
        <v>View on Google Map</v>
      </c>
    </row>
    <row r="4" spans="1:14" x14ac:dyDescent="0.2">
      <c r="A4" s="137">
        <v>1170</v>
      </c>
      <c r="B4" s="52" t="s">
        <v>599</v>
      </c>
      <c r="C4" s="52" t="s">
        <v>600</v>
      </c>
      <c r="D4" s="137">
        <v>68.952222222222218</v>
      </c>
      <c r="E4" s="137">
        <v>-150.21249999999998</v>
      </c>
      <c r="F4" s="137" t="s">
        <v>596</v>
      </c>
      <c r="G4" s="137" t="s">
        <v>597</v>
      </c>
      <c r="H4" s="137" t="s">
        <v>596</v>
      </c>
      <c r="I4" s="137" t="s">
        <v>596</v>
      </c>
      <c r="J4" s="137" t="s">
        <v>598</v>
      </c>
      <c r="K4" s="137" t="s">
        <v>596</v>
      </c>
      <c r="L4" s="137" t="s">
        <v>596</v>
      </c>
      <c r="M4" s="143" t="str">
        <f t="shared" si="0"/>
        <v>View on Google Map</v>
      </c>
    </row>
    <row r="5" spans="1:14" x14ac:dyDescent="0.2">
      <c r="A5" s="137">
        <v>1171</v>
      </c>
      <c r="B5" s="52" t="s">
        <v>601</v>
      </c>
      <c r="C5" s="52" t="s">
        <v>602</v>
      </c>
      <c r="D5" s="137">
        <v>68.934444444444452</v>
      </c>
      <c r="E5" s="137">
        <v>-150.2727777777778</v>
      </c>
      <c r="F5" s="137" t="s">
        <v>596</v>
      </c>
      <c r="G5" s="137" t="s">
        <v>597</v>
      </c>
      <c r="H5" s="137" t="s">
        <v>596</v>
      </c>
      <c r="I5" s="137" t="s">
        <v>596</v>
      </c>
      <c r="J5" s="137" t="s">
        <v>603</v>
      </c>
      <c r="K5" s="137" t="s">
        <v>596</v>
      </c>
      <c r="L5" s="137" t="s">
        <v>604</v>
      </c>
      <c r="M5" s="143" t="str">
        <f t="shared" si="0"/>
        <v>View on Google Map</v>
      </c>
    </row>
    <row r="6" spans="1:14" x14ac:dyDescent="0.2">
      <c r="A6" s="137">
        <v>518</v>
      </c>
      <c r="B6" s="137" t="s">
        <v>605</v>
      </c>
      <c r="C6" s="137" t="s">
        <v>606</v>
      </c>
      <c r="D6" s="137">
        <v>68.900986000000003</v>
      </c>
      <c r="E6" s="137">
        <v>-151.308469</v>
      </c>
      <c r="F6" s="137">
        <v>350</v>
      </c>
      <c r="G6" s="137" t="s">
        <v>607</v>
      </c>
      <c r="H6" s="137" t="s">
        <v>596</v>
      </c>
      <c r="I6" s="137" t="s">
        <v>596</v>
      </c>
      <c r="J6" s="137" t="s">
        <v>608</v>
      </c>
      <c r="K6" s="137" t="s">
        <v>596</v>
      </c>
      <c r="L6" s="137" t="s">
        <v>609</v>
      </c>
      <c r="M6" s="143" t="str">
        <f t="shared" si="0"/>
        <v>View on Google Map</v>
      </c>
    </row>
    <row r="7" spans="1:14" x14ac:dyDescent="0.2">
      <c r="A7" s="137">
        <v>478</v>
      </c>
      <c r="B7" s="137" t="s">
        <v>610</v>
      </c>
      <c r="C7" s="137" t="s">
        <v>596</v>
      </c>
      <c r="D7" s="137">
        <v>68.510069999999999</v>
      </c>
      <c r="E7" s="137">
        <v>-149.62691000000001</v>
      </c>
      <c r="F7" s="137">
        <v>996</v>
      </c>
      <c r="G7" s="137" t="s">
        <v>607</v>
      </c>
      <c r="H7" s="137" t="s">
        <v>596</v>
      </c>
      <c r="I7" s="137" t="s">
        <v>596</v>
      </c>
      <c r="J7" s="137" t="s">
        <v>608</v>
      </c>
      <c r="K7" s="137" t="s">
        <v>596</v>
      </c>
      <c r="L7" s="137" t="s">
        <v>596</v>
      </c>
      <c r="M7" s="143" t="str">
        <f t="shared" si="0"/>
        <v>View on Google Map</v>
      </c>
    </row>
    <row r="8" spans="1:14" x14ac:dyDescent="0.2">
      <c r="A8" s="137">
        <v>479</v>
      </c>
      <c r="B8" s="137" t="s">
        <v>611</v>
      </c>
      <c r="C8" s="137" t="s">
        <v>596</v>
      </c>
      <c r="D8" s="137">
        <v>68.505080000000007</v>
      </c>
      <c r="E8" s="137">
        <v>-149.62766999999999</v>
      </c>
      <c r="F8" s="137">
        <v>986</v>
      </c>
      <c r="G8" s="137" t="s">
        <v>607</v>
      </c>
      <c r="H8" s="137" t="s">
        <v>596</v>
      </c>
      <c r="I8" s="137" t="s">
        <v>596</v>
      </c>
      <c r="J8" s="137" t="s">
        <v>608</v>
      </c>
      <c r="K8" s="137" t="s">
        <v>596</v>
      </c>
      <c r="L8" s="137" t="s">
        <v>596</v>
      </c>
      <c r="M8" s="143" t="str">
        <f t="shared" si="0"/>
        <v>View on Google Map</v>
      </c>
    </row>
    <row r="9" spans="1:14" x14ac:dyDescent="0.2">
      <c r="A9" s="137">
        <v>480</v>
      </c>
      <c r="B9" s="137" t="s">
        <v>612</v>
      </c>
      <c r="C9" s="137" t="s">
        <v>596</v>
      </c>
      <c r="D9" s="137">
        <v>68.502449999999996</v>
      </c>
      <c r="E9" s="137">
        <v>-149.63137</v>
      </c>
      <c r="F9" s="137">
        <v>982</v>
      </c>
      <c r="G9" s="137" t="s">
        <v>607</v>
      </c>
      <c r="H9" s="137" t="s">
        <v>596</v>
      </c>
      <c r="I9" s="137" t="s">
        <v>596</v>
      </c>
      <c r="J9" s="137" t="s">
        <v>608</v>
      </c>
      <c r="K9" s="137" t="s">
        <v>596</v>
      </c>
      <c r="L9" s="137" t="s">
        <v>596</v>
      </c>
      <c r="M9" s="143" t="str">
        <f t="shared" si="0"/>
        <v>View on Google Map</v>
      </c>
    </row>
    <row r="10" spans="1:14" x14ac:dyDescent="0.2">
      <c r="B10" s="137" t="s">
        <v>613</v>
      </c>
      <c r="C10" s="137" t="s">
        <v>614</v>
      </c>
      <c r="D10" s="137">
        <v>69.375833333333333</v>
      </c>
      <c r="E10" s="137">
        <v>-150.68138888888899</v>
      </c>
      <c r="G10" s="137" t="s">
        <v>615</v>
      </c>
      <c r="J10" s="137" t="s">
        <v>603</v>
      </c>
      <c r="L10" s="137" t="s">
        <v>604</v>
      </c>
      <c r="M10" s="143" t="str">
        <f t="shared" si="0"/>
        <v>View on Google Map</v>
      </c>
    </row>
    <row r="11" spans="1:14" x14ac:dyDescent="0.2">
      <c r="B11" s="137" t="s">
        <v>616</v>
      </c>
      <c r="C11" s="137" t="s">
        <v>614</v>
      </c>
      <c r="D11" s="137">
        <v>69.322777777777773</v>
      </c>
      <c r="E11" s="137">
        <v>-150.95055555555601</v>
      </c>
      <c r="G11" s="137" t="s">
        <v>615</v>
      </c>
      <c r="J11" s="137" t="s">
        <v>603</v>
      </c>
      <c r="L11" s="137" t="s">
        <v>604</v>
      </c>
      <c r="M11" s="143" t="str">
        <f t="shared" si="0"/>
        <v>View on Google Map</v>
      </c>
    </row>
    <row r="12" spans="1:14" x14ac:dyDescent="0.2">
      <c r="B12" s="137" t="s">
        <v>617</v>
      </c>
      <c r="C12" s="137" t="s">
        <v>614</v>
      </c>
      <c r="D12" s="137">
        <v>69.328055555555565</v>
      </c>
      <c r="E12" s="137">
        <v>-150.238055555556</v>
      </c>
      <c r="G12" s="137" t="s">
        <v>615</v>
      </c>
      <c r="J12" s="137" t="s">
        <v>603</v>
      </c>
      <c r="L12" s="137" t="s">
        <v>604</v>
      </c>
      <c r="M12" s="143" t="str">
        <f t="shared" si="0"/>
        <v>View on Google Map</v>
      </c>
    </row>
    <row r="13" spans="1:14" x14ac:dyDescent="0.2">
      <c r="B13" s="137" t="s">
        <v>618</v>
      </c>
      <c r="C13" s="137" t="s">
        <v>614</v>
      </c>
      <c r="D13" s="137">
        <v>69.30361111111111</v>
      </c>
      <c r="E13" s="137">
        <v>-149.56083333333299</v>
      </c>
      <c r="G13" s="137" t="s">
        <v>615</v>
      </c>
      <c r="J13" s="137" t="s">
        <v>603</v>
      </c>
      <c r="L13" s="137" t="s">
        <v>604</v>
      </c>
      <c r="M13" s="143" t="str">
        <f t="shared" si="0"/>
        <v>View on Google Map</v>
      </c>
    </row>
    <row r="14" spans="1:14" x14ac:dyDescent="0.2">
      <c r="A14" s="137">
        <v>7</v>
      </c>
      <c r="B14" s="137" t="s">
        <v>619</v>
      </c>
      <c r="C14" s="137" t="s">
        <v>620</v>
      </c>
      <c r="D14" s="137">
        <v>68.95</v>
      </c>
      <c r="E14" s="137">
        <v>-148.86666666666667</v>
      </c>
      <c r="F14" s="137">
        <v>360</v>
      </c>
      <c r="G14" s="137" t="s">
        <v>621</v>
      </c>
      <c r="H14" s="137" t="s">
        <v>596</v>
      </c>
      <c r="I14" s="137" t="s">
        <v>596</v>
      </c>
      <c r="J14" s="137" t="s">
        <v>622</v>
      </c>
      <c r="K14" s="137" t="s">
        <v>596</v>
      </c>
      <c r="L14" s="137" t="s">
        <v>623</v>
      </c>
      <c r="M14" s="143" t="str">
        <f t="shared" si="0"/>
        <v>View on Google Map</v>
      </c>
    </row>
    <row r="15" spans="1:14" x14ac:dyDescent="0.2">
      <c r="A15" s="137">
        <v>517</v>
      </c>
      <c r="B15" s="137" t="s">
        <v>624</v>
      </c>
      <c r="C15" s="137" t="s">
        <v>606</v>
      </c>
      <c r="D15" s="137">
        <v>68.467832999999999</v>
      </c>
      <c r="E15" s="137">
        <v>-151.47916699999999</v>
      </c>
      <c r="F15" s="137">
        <v>732</v>
      </c>
      <c r="G15" s="137" t="s">
        <v>607</v>
      </c>
      <c r="H15" s="137" t="s">
        <v>596</v>
      </c>
      <c r="I15" s="137" t="s">
        <v>596</v>
      </c>
      <c r="J15" s="137" t="s">
        <v>608</v>
      </c>
      <c r="K15" s="137" t="s">
        <v>596</v>
      </c>
      <c r="L15" s="137" t="s">
        <v>609</v>
      </c>
      <c r="M15" s="143" t="str">
        <f t="shared" si="0"/>
        <v>View on Google Map</v>
      </c>
    </row>
    <row r="16" spans="1:14" x14ac:dyDescent="0.2">
      <c r="A16" s="137">
        <v>516</v>
      </c>
      <c r="B16" s="137" t="s">
        <v>625</v>
      </c>
      <c r="C16" s="137" t="s">
        <v>606</v>
      </c>
      <c r="D16" s="137">
        <v>68.467500000000001</v>
      </c>
      <c r="E16" s="137">
        <v>-151.49433300000001</v>
      </c>
      <c r="F16" s="137">
        <v>769</v>
      </c>
      <c r="G16" s="137" t="s">
        <v>607</v>
      </c>
      <c r="H16" s="137" t="s">
        <v>596</v>
      </c>
      <c r="I16" s="137" t="s">
        <v>596</v>
      </c>
      <c r="J16" s="137" t="s">
        <v>608</v>
      </c>
      <c r="K16" s="137" t="s">
        <v>596</v>
      </c>
      <c r="L16" s="137" t="s">
        <v>609</v>
      </c>
      <c r="M16" s="143" t="str">
        <f t="shared" si="0"/>
        <v>View on Google Map</v>
      </c>
    </row>
    <row r="17" spans="1:13" x14ac:dyDescent="0.2">
      <c r="A17" s="137">
        <v>515</v>
      </c>
      <c r="B17" s="137" t="s">
        <v>626</v>
      </c>
      <c r="C17" s="137" t="s">
        <v>606</v>
      </c>
      <c r="D17" s="137">
        <v>68.463999999999999</v>
      </c>
      <c r="E17" s="137">
        <v>-151.51516699999999</v>
      </c>
      <c r="F17" s="137">
        <v>809</v>
      </c>
      <c r="G17" s="137" t="s">
        <v>607</v>
      </c>
      <c r="H17" s="137" t="s">
        <v>596</v>
      </c>
      <c r="I17" s="137" t="s">
        <v>596</v>
      </c>
      <c r="J17" s="137" t="s">
        <v>608</v>
      </c>
      <c r="K17" s="137" t="s">
        <v>596</v>
      </c>
      <c r="L17" s="137" t="s">
        <v>609</v>
      </c>
      <c r="M17" s="143" t="str">
        <f t="shared" si="0"/>
        <v>View on Google Map</v>
      </c>
    </row>
    <row r="18" spans="1:13" x14ac:dyDescent="0.2">
      <c r="A18" s="137">
        <v>1177</v>
      </c>
      <c r="B18" s="137" t="s">
        <v>627</v>
      </c>
      <c r="C18" s="137" t="s">
        <v>628</v>
      </c>
      <c r="D18" s="137">
        <v>68.99539</v>
      </c>
      <c r="E18" s="137">
        <v>-150.28278</v>
      </c>
      <c r="F18" s="137" t="s">
        <v>596</v>
      </c>
      <c r="G18" s="137" t="s">
        <v>597</v>
      </c>
      <c r="H18" s="137" t="s">
        <v>596</v>
      </c>
      <c r="I18" s="137" t="s">
        <v>596</v>
      </c>
      <c r="J18" s="137" t="s">
        <v>603</v>
      </c>
      <c r="K18" s="137" t="s">
        <v>596</v>
      </c>
      <c r="L18" s="137" t="s">
        <v>604</v>
      </c>
      <c r="M18" s="143" t="str">
        <f t="shared" si="0"/>
        <v>View on Google Map</v>
      </c>
    </row>
    <row r="19" spans="1:13" x14ac:dyDescent="0.2">
      <c r="A19" s="137">
        <v>1178</v>
      </c>
      <c r="B19" s="137" t="s">
        <v>629</v>
      </c>
      <c r="C19" s="137" t="s">
        <v>628</v>
      </c>
      <c r="D19" s="137">
        <v>68.996089999999995</v>
      </c>
      <c r="E19" s="137">
        <v>-150.29223999999999</v>
      </c>
      <c r="F19" s="137" t="s">
        <v>596</v>
      </c>
      <c r="G19" s="137" t="s">
        <v>597</v>
      </c>
      <c r="H19" s="137" t="s">
        <v>596</v>
      </c>
      <c r="I19" s="137" t="s">
        <v>596</v>
      </c>
      <c r="J19" s="137" t="s">
        <v>603</v>
      </c>
      <c r="K19" s="137" t="s">
        <v>596</v>
      </c>
      <c r="L19" s="137" t="s">
        <v>604</v>
      </c>
      <c r="M19" s="143" t="str">
        <f t="shared" si="0"/>
        <v>View on Google Map</v>
      </c>
    </row>
    <row r="20" spans="1:13" x14ac:dyDescent="0.2">
      <c r="A20" s="137">
        <v>1179</v>
      </c>
      <c r="B20" s="137" t="s">
        <v>630</v>
      </c>
      <c r="C20" s="137" t="s">
        <v>631</v>
      </c>
      <c r="D20" s="137">
        <v>68.953829999999996</v>
      </c>
      <c r="E20" s="137">
        <v>-150.20697000000001</v>
      </c>
      <c r="F20" s="137" t="s">
        <v>596</v>
      </c>
      <c r="G20" s="137" t="s">
        <v>597</v>
      </c>
      <c r="H20" s="137" t="s">
        <v>596</v>
      </c>
      <c r="I20" s="137" t="s">
        <v>596</v>
      </c>
      <c r="J20" s="137" t="s">
        <v>603</v>
      </c>
      <c r="K20" s="137" t="s">
        <v>596</v>
      </c>
      <c r="L20" s="137" t="s">
        <v>604</v>
      </c>
      <c r="M20" s="143" t="str">
        <f t="shared" si="0"/>
        <v>View on Google Map</v>
      </c>
    </row>
    <row r="21" spans="1:13" x14ac:dyDescent="0.2">
      <c r="A21" s="137">
        <v>1180</v>
      </c>
      <c r="B21" s="52" t="s">
        <v>632</v>
      </c>
      <c r="C21" s="137" t="s">
        <v>631</v>
      </c>
      <c r="D21" s="137">
        <v>68.951099999999997</v>
      </c>
      <c r="E21" s="137">
        <v>-150.20966000000001</v>
      </c>
      <c r="F21" s="137" t="s">
        <v>596</v>
      </c>
      <c r="G21" s="137" t="s">
        <v>597</v>
      </c>
      <c r="H21" s="137" t="s">
        <v>596</v>
      </c>
      <c r="I21" s="137" t="s">
        <v>596</v>
      </c>
      <c r="J21" s="137" t="s">
        <v>603</v>
      </c>
      <c r="K21" s="137" t="s">
        <v>596</v>
      </c>
      <c r="L21" s="137" t="s">
        <v>604</v>
      </c>
      <c r="M21" s="143" t="str">
        <f t="shared" si="0"/>
        <v>View on Google Map</v>
      </c>
    </row>
    <row r="22" spans="1:13" x14ac:dyDescent="0.2">
      <c r="A22" s="137">
        <v>1181</v>
      </c>
      <c r="B22" s="52" t="s">
        <v>633</v>
      </c>
      <c r="C22" s="137" t="s">
        <v>631</v>
      </c>
      <c r="D22" s="137">
        <v>68.950720000000004</v>
      </c>
      <c r="E22" s="137">
        <v>-150.19745</v>
      </c>
      <c r="F22" s="137" t="s">
        <v>596</v>
      </c>
      <c r="G22" s="137" t="s">
        <v>597</v>
      </c>
      <c r="H22" s="137" t="s">
        <v>596</v>
      </c>
      <c r="I22" s="137" t="s">
        <v>596</v>
      </c>
      <c r="J22" s="137" t="s">
        <v>603</v>
      </c>
      <c r="K22" s="137" t="s">
        <v>596</v>
      </c>
      <c r="L22" s="137" t="s">
        <v>604</v>
      </c>
      <c r="M22" s="143" t="str">
        <f t="shared" si="0"/>
        <v>View on Google Map</v>
      </c>
    </row>
    <row r="23" spans="1:13" x14ac:dyDescent="0.2">
      <c r="A23" s="137">
        <v>1182</v>
      </c>
      <c r="B23" s="52" t="s">
        <v>634</v>
      </c>
      <c r="C23" s="137" t="s">
        <v>631</v>
      </c>
      <c r="D23" s="137">
        <v>68.950149999999994</v>
      </c>
      <c r="E23" s="137">
        <v>-150.19701000000001</v>
      </c>
      <c r="F23" s="137" t="s">
        <v>596</v>
      </c>
      <c r="G23" s="137" t="s">
        <v>597</v>
      </c>
      <c r="H23" s="137" t="s">
        <v>596</v>
      </c>
      <c r="I23" s="137" t="s">
        <v>596</v>
      </c>
      <c r="J23" s="137" t="s">
        <v>603</v>
      </c>
      <c r="K23" s="137" t="s">
        <v>596</v>
      </c>
      <c r="L23" s="137" t="s">
        <v>604</v>
      </c>
      <c r="M23" s="143" t="str">
        <f t="shared" si="0"/>
        <v>View on Google Map</v>
      </c>
    </row>
    <row r="24" spans="1:13" x14ac:dyDescent="0.2">
      <c r="A24" s="137">
        <v>1183</v>
      </c>
      <c r="B24" s="52" t="s">
        <v>635</v>
      </c>
      <c r="C24" s="137" t="s">
        <v>631</v>
      </c>
      <c r="D24" s="137">
        <v>68.949629999999999</v>
      </c>
      <c r="E24" s="137">
        <v>-150.19672</v>
      </c>
      <c r="F24" s="137" t="s">
        <v>596</v>
      </c>
      <c r="G24" s="137" t="s">
        <v>597</v>
      </c>
      <c r="H24" s="137" t="s">
        <v>596</v>
      </c>
      <c r="I24" s="137" t="s">
        <v>596</v>
      </c>
      <c r="J24" s="137" t="s">
        <v>603</v>
      </c>
      <c r="K24" s="137" t="s">
        <v>596</v>
      </c>
      <c r="L24" s="137" t="s">
        <v>604</v>
      </c>
      <c r="M24" s="143" t="str">
        <f t="shared" si="0"/>
        <v>View on Google Map</v>
      </c>
    </row>
    <row r="25" spans="1:13" x14ac:dyDescent="0.2">
      <c r="A25" s="137">
        <v>1184</v>
      </c>
      <c r="B25" s="52" t="s">
        <v>636</v>
      </c>
      <c r="C25" s="137" t="s">
        <v>631</v>
      </c>
      <c r="D25" s="137">
        <v>68.952349999999996</v>
      </c>
      <c r="E25" s="137">
        <v>-150.20769999999999</v>
      </c>
      <c r="F25" s="137" t="s">
        <v>596</v>
      </c>
      <c r="G25" s="137" t="s">
        <v>597</v>
      </c>
      <c r="H25" s="137" t="s">
        <v>596</v>
      </c>
      <c r="I25" s="137" t="s">
        <v>596</v>
      </c>
      <c r="J25" s="137" t="s">
        <v>603</v>
      </c>
      <c r="K25" s="137" t="s">
        <v>596</v>
      </c>
      <c r="L25" s="137" t="s">
        <v>604</v>
      </c>
      <c r="M25" s="143" t="str">
        <f t="shared" si="0"/>
        <v>View on Google Map</v>
      </c>
    </row>
    <row r="26" spans="1:13" x14ac:dyDescent="0.2">
      <c r="A26" s="137">
        <v>1185</v>
      </c>
      <c r="B26" s="52" t="s">
        <v>637</v>
      </c>
      <c r="C26" s="137" t="s">
        <v>631</v>
      </c>
      <c r="D26" s="137">
        <v>68.933340000000001</v>
      </c>
      <c r="E26" s="137">
        <v>-150.27288999999999</v>
      </c>
      <c r="F26" s="137" t="s">
        <v>596</v>
      </c>
      <c r="G26" s="137" t="s">
        <v>597</v>
      </c>
      <c r="H26" s="137" t="s">
        <v>596</v>
      </c>
      <c r="I26" s="137" t="s">
        <v>596</v>
      </c>
      <c r="J26" s="137" t="s">
        <v>603</v>
      </c>
      <c r="K26" s="137" t="s">
        <v>596</v>
      </c>
      <c r="L26" s="137" t="s">
        <v>604</v>
      </c>
      <c r="M26" s="143" t="str">
        <f t="shared" si="0"/>
        <v>View on Google Map</v>
      </c>
    </row>
    <row r="27" spans="1:13" x14ac:dyDescent="0.2">
      <c r="A27" s="137">
        <v>1186</v>
      </c>
      <c r="B27" s="137" t="s">
        <v>638</v>
      </c>
      <c r="C27" s="137" t="s">
        <v>631</v>
      </c>
      <c r="D27" s="137">
        <v>68.935190000000006</v>
      </c>
      <c r="E27" s="137">
        <v>-150.26884000000001</v>
      </c>
      <c r="F27" s="137" t="s">
        <v>596</v>
      </c>
      <c r="G27" s="137" t="s">
        <v>597</v>
      </c>
      <c r="H27" s="137" t="s">
        <v>596</v>
      </c>
      <c r="I27" s="137" t="s">
        <v>596</v>
      </c>
      <c r="J27" s="137" t="s">
        <v>603</v>
      </c>
      <c r="K27" s="137" t="s">
        <v>596</v>
      </c>
      <c r="L27" s="137" t="s">
        <v>604</v>
      </c>
      <c r="M27" s="143" t="str">
        <f t="shared" si="0"/>
        <v>View on Google Map</v>
      </c>
    </row>
    <row r="28" spans="1:13" x14ac:dyDescent="0.2">
      <c r="A28" s="137">
        <v>1187</v>
      </c>
      <c r="B28" s="52" t="s">
        <v>639</v>
      </c>
      <c r="C28" s="137" t="s">
        <v>631</v>
      </c>
      <c r="D28" s="137">
        <v>68.997339999999994</v>
      </c>
      <c r="E28" s="137">
        <v>-150.30745999999999</v>
      </c>
      <c r="F28" s="137" t="s">
        <v>596</v>
      </c>
      <c r="G28" s="137" t="s">
        <v>597</v>
      </c>
      <c r="H28" s="137" t="s">
        <v>596</v>
      </c>
      <c r="I28" s="137" t="s">
        <v>596</v>
      </c>
      <c r="J28" s="137" t="s">
        <v>603</v>
      </c>
      <c r="K28" s="137" t="s">
        <v>596</v>
      </c>
      <c r="L28" s="137" t="s">
        <v>604</v>
      </c>
      <c r="M28" s="143" t="str">
        <f t="shared" si="0"/>
        <v>View on Google Map</v>
      </c>
    </row>
    <row r="29" spans="1:13" x14ac:dyDescent="0.2">
      <c r="A29" s="137">
        <v>1188</v>
      </c>
      <c r="B29" s="52" t="s">
        <v>640</v>
      </c>
      <c r="C29" s="137" t="s">
        <v>631</v>
      </c>
      <c r="D29" s="137">
        <v>68.950779999999995</v>
      </c>
      <c r="E29" s="137">
        <v>-150.19788</v>
      </c>
      <c r="F29" s="137" t="s">
        <v>596</v>
      </c>
      <c r="G29" s="137" t="s">
        <v>597</v>
      </c>
      <c r="H29" s="137" t="s">
        <v>596</v>
      </c>
      <c r="I29" s="137" t="s">
        <v>596</v>
      </c>
      <c r="J29" s="137" t="s">
        <v>603</v>
      </c>
      <c r="K29" s="137" t="s">
        <v>596</v>
      </c>
      <c r="L29" s="137" t="s">
        <v>604</v>
      </c>
      <c r="M29" s="143" t="str">
        <f t="shared" si="0"/>
        <v>View on Google Map</v>
      </c>
    </row>
    <row r="30" spans="1:13" x14ac:dyDescent="0.2">
      <c r="A30" s="137">
        <v>1189</v>
      </c>
      <c r="B30" s="52" t="s">
        <v>641</v>
      </c>
      <c r="C30" s="137" t="s">
        <v>631</v>
      </c>
      <c r="D30" s="137">
        <v>68.954440000000005</v>
      </c>
      <c r="E30" s="137">
        <v>-150.20644999999999</v>
      </c>
      <c r="F30" s="137" t="s">
        <v>596</v>
      </c>
      <c r="G30" s="137" t="s">
        <v>597</v>
      </c>
      <c r="H30" s="137" t="s">
        <v>596</v>
      </c>
      <c r="I30" s="137" t="s">
        <v>596</v>
      </c>
      <c r="J30" s="137" t="s">
        <v>603</v>
      </c>
      <c r="K30" s="137" t="s">
        <v>596</v>
      </c>
      <c r="L30" s="137" t="s">
        <v>604</v>
      </c>
      <c r="M30" s="143" t="str">
        <f t="shared" si="0"/>
        <v>View on Google Map</v>
      </c>
    </row>
    <row r="31" spans="1:13" x14ac:dyDescent="0.2">
      <c r="A31" s="137">
        <v>1190</v>
      </c>
      <c r="B31" s="52" t="s">
        <v>642</v>
      </c>
      <c r="C31" s="137" t="s">
        <v>631</v>
      </c>
      <c r="D31" s="137">
        <v>69.116330000000005</v>
      </c>
      <c r="E31" s="137">
        <v>-150.79077000000001</v>
      </c>
      <c r="F31" s="137" t="s">
        <v>596</v>
      </c>
      <c r="G31" s="137" t="s">
        <v>597</v>
      </c>
      <c r="H31" s="137" t="s">
        <v>596</v>
      </c>
      <c r="I31" s="137" t="s">
        <v>596</v>
      </c>
      <c r="J31" s="137" t="s">
        <v>603</v>
      </c>
      <c r="K31" s="137" t="s">
        <v>596</v>
      </c>
      <c r="L31" s="137" t="s">
        <v>604</v>
      </c>
      <c r="M31" s="143" t="str">
        <f t="shared" si="0"/>
        <v>View on Google Map</v>
      </c>
    </row>
    <row r="32" spans="1:13" x14ac:dyDescent="0.2">
      <c r="A32" s="137">
        <v>1191</v>
      </c>
      <c r="B32" s="52" t="s">
        <v>643</v>
      </c>
      <c r="C32" s="137" t="s">
        <v>631</v>
      </c>
      <c r="D32" s="137">
        <v>69.116150000000005</v>
      </c>
      <c r="E32" s="137">
        <v>-150.79553999999999</v>
      </c>
      <c r="F32" s="137" t="s">
        <v>596</v>
      </c>
      <c r="G32" s="137" t="s">
        <v>597</v>
      </c>
      <c r="H32" s="137" t="s">
        <v>596</v>
      </c>
      <c r="I32" s="137" t="s">
        <v>596</v>
      </c>
      <c r="J32" s="137" t="s">
        <v>603</v>
      </c>
      <c r="K32" s="137" t="s">
        <v>596</v>
      </c>
      <c r="L32" s="137" t="s">
        <v>604</v>
      </c>
      <c r="M32" s="143" t="str">
        <f t="shared" si="0"/>
        <v>View on Google Map</v>
      </c>
    </row>
    <row r="33" spans="1:14" x14ac:dyDescent="0.2">
      <c r="A33" s="137">
        <v>3</v>
      </c>
      <c r="B33" s="137" t="s">
        <v>644</v>
      </c>
      <c r="C33" s="137" t="s">
        <v>645</v>
      </c>
      <c r="D33" s="137">
        <v>68.266666666666666</v>
      </c>
      <c r="E33" s="137">
        <v>-149.44999999999999</v>
      </c>
      <c r="F33" s="137">
        <v>914</v>
      </c>
      <c r="G33" s="137" t="s">
        <v>621</v>
      </c>
      <c r="H33" s="137" t="s">
        <v>596</v>
      </c>
      <c r="I33" s="137" t="s">
        <v>596</v>
      </c>
      <c r="J33" s="137" t="s">
        <v>622</v>
      </c>
      <c r="K33" s="137" t="s">
        <v>596</v>
      </c>
      <c r="L33" s="137" t="s">
        <v>623</v>
      </c>
      <c r="M33" s="143" t="str">
        <f t="shared" si="0"/>
        <v>View on Google Map</v>
      </c>
    </row>
    <row r="34" spans="1:14" x14ac:dyDescent="0.2">
      <c r="A34" s="137">
        <v>2</v>
      </c>
      <c r="B34" s="137" t="s">
        <v>646</v>
      </c>
      <c r="C34" s="137" t="s">
        <v>647</v>
      </c>
      <c r="D34" s="137">
        <v>68.266666666666666</v>
      </c>
      <c r="E34" s="137">
        <v>-149.46666666666667</v>
      </c>
      <c r="F34" s="137">
        <v>914</v>
      </c>
      <c r="G34" s="137" t="s">
        <v>621</v>
      </c>
      <c r="H34" s="137" t="s">
        <v>596</v>
      </c>
      <c r="I34" s="137" t="s">
        <v>596</v>
      </c>
      <c r="J34" s="137" t="s">
        <v>622</v>
      </c>
      <c r="K34" s="137" t="s">
        <v>596</v>
      </c>
      <c r="L34" s="137" t="s">
        <v>623</v>
      </c>
      <c r="M34" s="143" t="str">
        <f t="shared" si="0"/>
        <v>View on Google Map</v>
      </c>
    </row>
    <row r="35" spans="1:14" x14ac:dyDescent="0.2">
      <c r="A35" s="137">
        <v>25</v>
      </c>
      <c r="B35" s="137" t="s">
        <v>648</v>
      </c>
      <c r="C35" s="137" t="s">
        <v>596</v>
      </c>
      <c r="D35" s="137" t="s">
        <v>596</v>
      </c>
      <c r="E35" s="137" t="s">
        <v>596</v>
      </c>
      <c r="F35" s="137">
        <v>1097</v>
      </c>
      <c r="G35" s="137" t="s">
        <v>621</v>
      </c>
      <c r="H35" s="137" t="s">
        <v>649</v>
      </c>
      <c r="I35" s="137" t="s">
        <v>596</v>
      </c>
      <c r="J35" s="137" t="s">
        <v>622</v>
      </c>
      <c r="K35" s="137" t="s">
        <v>596</v>
      </c>
      <c r="L35" s="137" t="s">
        <v>596</v>
      </c>
      <c r="M35" s="143" t="str">
        <f t="shared" si="0"/>
        <v>View on Google Map</v>
      </c>
    </row>
    <row r="36" spans="1:14" x14ac:dyDescent="0.2">
      <c r="A36" s="137">
        <v>26</v>
      </c>
      <c r="B36" s="137" t="s">
        <v>650</v>
      </c>
      <c r="C36" s="137" t="s">
        <v>596</v>
      </c>
      <c r="D36" s="137" t="s">
        <v>596</v>
      </c>
      <c r="E36" s="137" t="s">
        <v>596</v>
      </c>
      <c r="F36" s="137">
        <v>1280</v>
      </c>
      <c r="G36" s="137" t="s">
        <v>621</v>
      </c>
      <c r="H36" s="137" t="s">
        <v>651</v>
      </c>
      <c r="I36" s="137" t="s">
        <v>596</v>
      </c>
      <c r="J36" s="137" t="s">
        <v>622</v>
      </c>
      <c r="K36" s="137" t="s">
        <v>596</v>
      </c>
      <c r="L36" s="137" t="s">
        <v>596</v>
      </c>
      <c r="M36" s="143" t="str">
        <f t="shared" si="0"/>
        <v>View on Google Map</v>
      </c>
    </row>
    <row r="37" spans="1:14" x14ac:dyDescent="0.2">
      <c r="A37" s="137">
        <v>27</v>
      </c>
      <c r="B37" s="137" t="s">
        <v>652</v>
      </c>
      <c r="C37" s="137" t="s">
        <v>596</v>
      </c>
      <c r="D37" s="137" t="s">
        <v>596</v>
      </c>
      <c r="E37" s="137" t="s">
        <v>596</v>
      </c>
      <c r="F37" s="137">
        <v>1555</v>
      </c>
      <c r="G37" s="137" t="s">
        <v>621</v>
      </c>
      <c r="H37" s="137" t="s">
        <v>653</v>
      </c>
      <c r="I37" s="137" t="s">
        <v>596</v>
      </c>
      <c r="J37" s="137" t="s">
        <v>622</v>
      </c>
      <c r="K37" s="137" t="s">
        <v>596</v>
      </c>
      <c r="L37" s="137" t="s">
        <v>596</v>
      </c>
      <c r="M37" s="143" t="str">
        <f t="shared" si="0"/>
        <v>View on Google Map</v>
      </c>
    </row>
    <row r="38" spans="1:14" ht="12.75" customHeight="1" x14ac:dyDescent="0.2">
      <c r="A38" s="137">
        <v>138</v>
      </c>
      <c r="B38" s="137" t="s">
        <v>654</v>
      </c>
      <c r="C38" s="137" t="s">
        <v>596</v>
      </c>
      <c r="D38" s="137">
        <v>70.283333333333331</v>
      </c>
      <c r="E38" s="137">
        <v>-148.30000000000001</v>
      </c>
      <c r="F38" s="137">
        <v>6</v>
      </c>
      <c r="G38" s="137" t="s">
        <v>607</v>
      </c>
      <c r="H38" s="137" t="s">
        <v>655</v>
      </c>
      <c r="I38" s="137" t="s">
        <v>596</v>
      </c>
      <c r="J38" s="137" t="s">
        <v>622</v>
      </c>
      <c r="K38" s="137" t="s">
        <v>596</v>
      </c>
      <c r="L38" s="137" t="s">
        <v>623</v>
      </c>
      <c r="M38" s="143" t="str">
        <f t="shared" si="0"/>
        <v>View on Google Map</v>
      </c>
    </row>
    <row r="39" spans="1:14" ht="12.75" customHeight="1" x14ac:dyDescent="0.2">
      <c r="A39" s="137">
        <v>31</v>
      </c>
      <c r="B39" s="137" t="s">
        <v>656</v>
      </c>
      <c r="C39" s="137" t="s">
        <v>596</v>
      </c>
      <c r="D39" s="137">
        <v>68.957566666999995</v>
      </c>
      <c r="E39" s="137">
        <v>-150.236266667</v>
      </c>
      <c r="F39" s="137">
        <v>386.18</v>
      </c>
      <c r="G39" s="137" t="s">
        <v>621</v>
      </c>
      <c r="H39" s="137" t="s">
        <v>596</v>
      </c>
      <c r="I39" s="137" t="s">
        <v>596</v>
      </c>
      <c r="J39" s="137" t="s">
        <v>657</v>
      </c>
      <c r="K39" s="137" t="s">
        <v>596</v>
      </c>
      <c r="L39" s="137" t="s">
        <v>604</v>
      </c>
      <c r="M39" s="143" t="str">
        <f t="shared" si="0"/>
        <v>View on Google Map</v>
      </c>
    </row>
    <row r="40" spans="1:14" ht="12.75" customHeight="1" x14ac:dyDescent="0.2">
      <c r="A40" s="137">
        <v>131</v>
      </c>
      <c r="B40" s="137" t="s">
        <v>658</v>
      </c>
      <c r="C40" s="137" t="s">
        <v>596</v>
      </c>
      <c r="D40" s="137">
        <v>70.333333333333329</v>
      </c>
      <c r="E40" s="137">
        <v>-148.93333333333334</v>
      </c>
      <c r="F40" s="137">
        <v>3</v>
      </c>
      <c r="G40" s="137" t="s">
        <v>607</v>
      </c>
      <c r="H40" s="137" t="s">
        <v>659</v>
      </c>
      <c r="I40" s="137" t="s">
        <v>596</v>
      </c>
      <c r="J40" s="137" t="s">
        <v>622</v>
      </c>
      <c r="K40" s="137" t="s">
        <v>596</v>
      </c>
      <c r="L40" s="137" t="s">
        <v>623</v>
      </c>
      <c r="M40" s="143" t="str">
        <f t="shared" si="0"/>
        <v>View on Google Map</v>
      </c>
    </row>
    <row r="41" spans="1:14" s="144" customFormat="1" ht="12.75" customHeight="1" x14ac:dyDescent="0.2">
      <c r="A41" s="137">
        <v>132</v>
      </c>
      <c r="B41" s="137" t="s">
        <v>660</v>
      </c>
      <c r="C41" s="137" t="s">
        <v>596</v>
      </c>
      <c r="D41" s="137">
        <v>70.333333333333329</v>
      </c>
      <c r="E41" s="137">
        <v>-148.93333333333334</v>
      </c>
      <c r="F41" s="137">
        <v>3</v>
      </c>
      <c r="G41" s="137" t="s">
        <v>607</v>
      </c>
      <c r="H41" s="137" t="s">
        <v>661</v>
      </c>
      <c r="I41" s="137" t="s">
        <v>596</v>
      </c>
      <c r="J41" s="137" t="s">
        <v>622</v>
      </c>
      <c r="K41" s="137" t="s">
        <v>596</v>
      </c>
      <c r="L41" s="137" t="s">
        <v>623</v>
      </c>
      <c r="M41" s="143" t="str">
        <f t="shared" si="0"/>
        <v>View on Google Map</v>
      </c>
      <c r="N41" s="137"/>
    </row>
    <row r="42" spans="1:14" ht="12.75" customHeight="1" x14ac:dyDescent="0.2">
      <c r="A42" s="137">
        <v>141</v>
      </c>
      <c r="B42" s="137" t="s">
        <v>662</v>
      </c>
      <c r="C42" s="137" t="s">
        <v>663</v>
      </c>
      <c r="D42" s="137">
        <v>68.63333333333334</v>
      </c>
      <c r="E42" s="137">
        <v>-149.6</v>
      </c>
      <c r="F42" s="137">
        <v>720</v>
      </c>
      <c r="G42" s="137" t="s">
        <v>607</v>
      </c>
      <c r="H42" s="137" t="s">
        <v>664</v>
      </c>
      <c r="I42" s="137" t="s">
        <v>665</v>
      </c>
      <c r="J42" s="137" t="s">
        <v>622</v>
      </c>
      <c r="K42" s="137" t="s">
        <v>596</v>
      </c>
      <c r="L42" s="137" t="s">
        <v>623</v>
      </c>
      <c r="M42" s="143" t="str">
        <f t="shared" si="0"/>
        <v>View on Google Map</v>
      </c>
    </row>
    <row r="43" spans="1:14" ht="12.75" customHeight="1" x14ac:dyDescent="0.2">
      <c r="A43" s="137">
        <v>160</v>
      </c>
      <c r="B43" s="137" t="s">
        <v>666</v>
      </c>
      <c r="C43" s="137" t="s">
        <v>596</v>
      </c>
      <c r="D43" s="137">
        <v>68.599999999999994</v>
      </c>
      <c r="E43" s="137">
        <v>-149.18333333333334</v>
      </c>
      <c r="F43" s="137">
        <v>864</v>
      </c>
      <c r="G43" s="137" t="s">
        <v>607</v>
      </c>
      <c r="H43" s="137" t="s">
        <v>667</v>
      </c>
      <c r="I43" s="137" t="s">
        <v>668</v>
      </c>
      <c r="J43" s="137" t="s">
        <v>622</v>
      </c>
      <c r="K43" s="137">
        <v>246</v>
      </c>
      <c r="L43" s="137" t="s">
        <v>623</v>
      </c>
      <c r="M43" s="143" t="str">
        <f t="shared" si="0"/>
        <v>View on Google Map</v>
      </c>
    </row>
    <row r="44" spans="1:14" ht="12.75" customHeight="1" x14ac:dyDescent="0.2">
      <c r="A44" s="137">
        <v>481</v>
      </c>
      <c r="B44" s="137" t="s">
        <v>669</v>
      </c>
      <c r="C44" s="137" t="s">
        <v>596</v>
      </c>
      <c r="D44" s="137">
        <v>68.976716667000005</v>
      </c>
      <c r="E44" s="137">
        <v>-150.20383333300001</v>
      </c>
      <c r="F44" s="137">
        <v>362</v>
      </c>
      <c r="G44" s="137" t="s">
        <v>607</v>
      </c>
      <c r="H44" s="137" t="s">
        <v>596</v>
      </c>
      <c r="I44" s="137" t="s">
        <v>596</v>
      </c>
      <c r="J44" s="137" t="s">
        <v>657</v>
      </c>
      <c r="K44" s="137" t="s">
        <v>596</v>
      </c>
      <c r="L44" s="137" t="s">
        <v>604</v>
      </c>
      <c r="M44" s="143" t="str">
        <f t="shared" si="0"/>
        <v>View on Google Map</v>
      </c>
    </row>
    <row r="45" spans="1:14" x14ac:dyDescent="0.2">
      <c r="A45" s="137">
        <v>21</v>
      </c>
      <c r="B45" s="137" t="s">
        <v>670</v>
      </c>
      <c r="C45" s="137" t="s">
        <v>596</v>
      </c>
      <c r="D45" s="137" t="s">
        <v>596</v>
      </c>
      <c r="E45" s="137" t="s">
        <v>596</v>
      </c>
      <c r="F45" s="137" t="s">
        <v>596</v>
      </c>
      <c r="G45" s="137" t="s">
        <v>621</v>
      </c>
      <c r="H45" s="137" t="s">
        <v>596</v>
      </c>
      <c r="I45" s="137" t="s">
        <v>596</v>
      </c>
      <c r="J45" s="137" t="s">
        <v>622</v>
      </c>
      <c r="K45" s="137" t="s">
        <v>596</v>
      </c>
      <c r="L45" s="137" t="s">
        <v>596</v>
      </c>
      <c r="M45" s="143" t="str">
        <f t="shared" si="0"/>
        <v>View on Google Map</v>
      </c>
      <c r="N45" s="144"/>
    </row>
    <row r="46" spans="1:14" x14ac:dyDescent="0.2">
      <c r="A46" s="137">
        <v>470</v>
      </c>
      <c r="B46" s="137" t="s">
        <v>671</v>
      </c>
      <c r="C46" s="137" t="s">
        <v>596</v>
      </c>
      <c r="D46" s="137">
        <v>68.829459999999997</v>
      </c>
      <c r="E46" s="137">
        <v>-149.77891</v>
      </c>
      <c r="F46" s="137">
        <v>634</v>
      </c>
      <c r="G46" s="137" t="s">
        <v>607</v>
      </c>
      <c r="H46" s="137" t="s">
        <v>596</v>
      </c>
      <c r="I46" s="137" t="s">
        <v>596</v>
      </c>
      <c r="J46" s="137" t="s">
        <v>608</v>
      </c>
      <c r="K46" s="137" t="s">
        <v>596</v>
      </c>
      <c r="L46" s="137" t="s">
        <v>596</v>
      </c>
      <c r="M46" s="143" t="str">
        <f t="shared" si="0"/>
        <v>View on Google Map</v>
      </c>
    </row>
    <row r="47" spans="1:14" x14ac:dyDescent="0.2">
      <c r="A47" s="137">
        <v>471</v>
      </c>
      <c r="B47" s="137" t="s">
        <v>672</v>
      </c>
      <c r="C47" s="137" t="s">
        <v>596</v>
      </c>
      <c r="D47" s="137">
        <v>68.832939999999994</v>
      </c>
      <c r="E47" s="137">
        <v>-149.76775000000001</v>
      </c>
      <c r="F47" s="137">
        <v>624</v>
      </c>
      <c r="G47" s="137" t="s">
        <v>607</v>
      </c>
      <c r="H47" s="137" t="s">
        <v>596</v>
      </c>
      <c r="I47" s="137" t="s">
        <v>596</v>
      </c>
      <c r="J47" s="137" t="s">
        <v>608</v>
      </c>
      <c r="K47" s="137" t="s">
        <v>596</v>
      </c>
      <c r="L47" s="137" t="s">
        <v>596</v>
      </c>
      <c r="M47" s="143" t="str">
        <f t="shared" si="0"/>
        <v>View on Google Map</v>
      </c>
    </row>
    <row r="48" spans="1:14" x14ac:dyDescent="0.2">
      <c r="A48" s="137">
        <v>472</v>
      </c>
      <c r="B48" s="137" t="s">
        <v>673</v>
      </c>
      <c r="C48" s="137" t="s">
        <v>596</v>
      </c>
      <c r="D48" s="137">
        <v>68.828059999999994</v>
      </c>
      <c r="E48" s="137">
        <v>-149.76449</v>
      </c>
      <c r="F48" s="137">
        <v>624</v>
      </c>
      <c r="G48" s="137" t="s">
        <v>607</v>
      </c>
      <c r="H48" s="137" t="s">
        <v>596</v>
      </c>
      <c r="I48" s="137" t="s">
        <v>596</v>
      </c>
      <c r="J48" s="137" t="s">
        <v>608</v>
      </c>
      <c r="K48" s="137" t="s">
        <v>596</v>
      </c>
      <c r="L48" s="137" t="s">
        <v>596</v>
      </c>
      <c r="M48" s="143" t="str">
        <f t="shared" si="0"/>
        <v>View on Google Map</v>
      </c>
    </row>
    <row r="49" spans="1:13" x14ac:dyDescent="0.2">
      <c r="A49" s="137">
        <v>473</v>
      </c>
      <c r="B49" s="137" t="s">
        <v>674</v>
      </c>
      <c r="C49" s="137" t="s">
        <v>596</v>
      </c>
      <c r="D49" s="137">
        <v>68.826400000000007</v>
      </c>
      <c r="E49" s="137">
        <v>-149.7585</v>
      </c>
      <c r="F49" s="137">
        <v>592</v>
      </c>
      <c r="G49" s="137" t="s">
        <v>607</v>
      </c>
      <c r="H49" s="137" t="s">
        <v>596</v>
      </c>
      <c r="I49" s="137" t="s">
        <v>596</v>
      </c>
      <c r="J49" s="137" t="s">
        <v>608</v>
      </c>
      <c r="K49" s="137" t="s">
        <v>596</v>
      </c>
      <c r="L49" s="137" t="s">
        <v>596</v>
      </c>
      <c r="M49" s="143" t="str">
        <f t="shared" si="0"/>
        <v>View on Google Map</v>
      </c>
    </row>
    <row r="50" spans="1:13" x14ac:dyDescent="0.2">
      <c r="A50" s="137">
        <v>474</v>
      </c>
      <c r="B50" s="137" t="s">
        <v>675</v>
      </c>
      <c r="C50" s="137" t="s">
        <v>596</v>
      </c>
      <c r="D50" s="137">
        <v>68.827349999999996</v>
      </c>
      <c r="E50" s="137">
        <v>-149.74993000000001</v>
      </c>
      <c r="F50" s="137">
        <v>592</v>
      </c>
      <c r="G50" s="137" t="s">
        <v>607</v>
      </c>
      <c r="H50" s="137" t="s">
        <v>596</v>
      </c>
      <c r="I50" s="137" t="s">
        <v>596</v>
      </c>
      <c r="J50" s="137" t="s">
        <v>608</v>
      </c>
      <c r="K50" s="137" t="s">
        <v>596</v>
      </c>
      <c r="L50" s="137" t="s">
        <v>596</v>
      </c>
      <c r="M50" s="143" t="str">
        <f t="shared" si="0"/>
        <v>View on Google Map</v>
      </c>
    </row>
    <row r="51" spans="1:13" x14ac:dyDescent="0.2">
      <c r="A51" s="137">
        <v>475</v>
      </c>
      <c r="B51" s="137" t="s">
        <v>676</v>
      </c>
      <c r="C51" s="137" t="s">
        <v>596</v>
      </c>
      <c r="D51" s="137">
        <v>68.831180000000003</v>
      </c>
      <c r="E51" s="137">
        <v>-149.74606</v>
      </c>
      <c r="F51" s="137">
        <v>593</v>
      </c>
      <c r="G51" s="137" t="s">
        <v>607</v>
      </c>
      <c r="H51" s="137" t="s">
        <v>677</v>
      </c>
      <c r="I51" s="137" t="s">
        <v>596</v>
      </c>
      <c r="J51" s="137" t="s">
        <v>608</v>
      </c>
      <c r="K51" s="137" t="s">
        <v>596</v>
      </c>
      <c r="L51" s="137" t="s">
        <v>596</v>
      </c>
      <c r="M51" s="143" t="str">
        <f t="shared" si="0"/>
        <v>View on Google Map</v>
      </c>
    </row>
    <row r="52" spans="1:13" x14ac:dyDescent="0.2">
      <c r="A52" s="137">
        <v>476</v>
      </c>
      <c r="B52" s="137" t="s">
        <v>678</v>
      </c>
      <c r="C52" s="137" t="s">
        <v>596</v>
      </c>
      <c r="D52" s="137">
        <v>68.825339999999997</v>
      </c>
      <c r="E52" s="137">
        <v>-149.76837</v>
      </c>
      <c r="F52" s="137">
        <v>621</v>
      </c>
      <c r="G52" s="137" t="s">
        <v>607</v>
      </c>
      <c r="H52" s="137" t="s">
        <v>596</v>
      </c>
      <c r="I52" s="137" t="s">
        <v>596</v>
      </c>
      <c r="J52" s="137" t="s">
        <v>608</v>
      </c>
      <c r="K52" s="137" t="s">
        <v>596</v>
      </c>
      <c r="L52" s="137" t="s">
        <v>596</v>
      </c>
      <c r="M52" s="143" t="str">
        <f t="shared" si="0"/>
        <v>View on Google Map</v>
      </c>
    </row>
    <row r="53" spans="1:13" x14ac:dyDescent="0.2">
      <c r="A53" s="137">
        <v>477</v>
      </c>
      <c r="B53" s="137" t="s">
        <v>679</v>
      </c>
      <c r="C53" s="137" t="s">
        <v>596</v>
      </c>
      <c r="D53" s="137">
        <v>68.821740000000005</v>
      </c>
      <c r="E53" s="137">
        <v>-149.76378</v>
      </c>
      <c r="F53" s="137">
        <v>605</v>
      </c>
      <c r="G53" s="137" t="s">
        <v>607</v>
      </c>
      <c r="H53" s="137" t="s">
        <v>596</v>
      </c>
      <c r="I53" s="137" t="s">
        <v>596</v>
      </c>
      <c r="J53" s="137" t="s">
        <v>608</v>
      </c>
      <c r="K53" s="137" t="s">
        <v>596</v>
      </c>
      <c r="L53" s="137" t="s">
        <v>596</v>
      </c>
      <c r="M53" s="143" t="str">
        <f t="shared" si="0"/>
        <v>View on Google Map</v>
      </c>
    </row>
    <row r="54" spans="1:13" x14ac:dyDescent="0.2">
      <c r="A54" s="137">
        <v>1174</v>
      </c>
      <c r="B54" s="137" t="s">
        <v>680</v>
      </c>
      <c r="C54" s="137" t="s">
        <v>596</v>
      </c>
      <c r="D54" s="137">
        <v>68.933938330000004</v>
      </c>
      <c r="E54" s="137">
        <v>-150.27111830000001</v>
      </c>
      <c r="F54" s="137" t="s">
        <v>596</v>
      </c>
      <c r="G54" s="137" t="s">
        <v>597</v>
      </c>
      <c r="H54" s="137" t="s">
        <v>596</v>
      </c>
      <c r="I54" s="137" t="s">
        <v>596</v>
      </c>
      <c r="J54" s="137" t="s">
        <v>603</v>
      </c>
      <c r="K54" s="137" t="s">
        <v>596</v>
      </c>
      <c r="L54" s="137" t="s">
        <v>604</v>
      </c>
      <c r="M54" s="143" t="str">
        <f t="shared" si="0"/>
        <v>View on Google Map</v>
      </c>
    </row>
    <row r="55" spans="1:13" x14ac:dyDescent="0.2">
      <c r="A55" s="137">
        <v>242</v>
      </c>
      <c r="B55" s="137" t="s">
        <v>681</v>
      </c>
      <c r="C55" s="137" t="s">
        <v>596</v>
      </c>
      <c r="D55" s="137" t="s">
        <v>596</v>
      </c>
      <c r="E55" s="137" t="s">
        <v>596</v>
      </c>
      <c r="F55" s="137">
        <v>390.2439024390244</v>
      </c>
      <c r="G55" s="137" t="s">
        <v>607</v>
      </c>
      <c r="H55" s="137" t="s">
        <v>596</v>
      </c>
      <c r="I55" s="137" t="s">
        <v>596</v>
      </c>
      <c r="J55" s="137" t="s">
        <v>622</v>
      </c>
      <c r="K55" s="137" t="s">
        <v>596</v>
      </c>
      <c r="L55" s="137" t="s">
        <v>682</v>
      </c>
      <c r="M55" s="143" t="str">
        <f t="shared" si="0"/>
        <v>View on Google Map</v>
      </c>
    </row>
    <row r="56" spans="1:13" x14ac:dyDescent="0.2">
      <c r="A56" s="137">
        <v>192</v>
      </c>
      <c r="B56" s="137" t="s">
        <v>683</v>
      </c>
      <c r="C56" s="137" t="s">
        <v>596</v>
      </c>
      <c r="D56" s="137">
        <v>69.233333333333334</v>
      </c>
      <c r="E56" s="137">
        <v>-148.94999999999999</v>
      </c>
      <c r="F56" s="137">
        <v>325</v>
      </c>
      <c r="G56" s="137" t="s">
        <v>607</v>
      </c>
      <c r="H56" s="137" t="s">
        <v>684</v>
      </c>
      <c r="I56" s="137" t="s">
        <v>596</v>
      </c>
      <c r="J56" s="137" t="s">
        <v>622</v>
      </c>
      <c r="K56" s="137" t="s">
        <v>596</v>
      </c>
      <c r="L56" s="137" t="s">
        <v>685</v>
      </c>
      <c r="M56" s="143" t="str">
        <f t="shared" si="0"/>
        <v>View on Google Map</v>
      </c>
    </row>
    <row r="57" spans="1:13" x14ac:dyDescent="0.2">
      <c r="A57" s="137">
        <v>277</v>
      </c>
      <c r="B57" s="137" t="s">
        <v>683</v>
      </c>
      <c r="C57" s="137" t="s">
        <v>596</v>
      </c>
      <c r="D57" s="137">
        <v>70.374600000000001</v>
      </c>
      <c r="E57" s="137">
        <v>-149.06383333333332</v>
      </c>
      <c r="F57" s="137">
        <v>6</v>
      </c>
      <c r="G57" s="137" t="s">
        <v>607</v>
      </c>
      <c r="H57" s="137" t="s">
        <v>686</v>
      </c>
      <c r="I57" s="137" t="s">
        <v>596</v>
      </c>
      <c r="J57" s="137" t="s">
        <v>622</v>
      </c>
      <c r="K57" s="137" t="s">
        <v>596</v>
      </c>
      <c r="L57" s="137" t="s">
        <v>687</v>
      </c>
      <c r="M57" s="143" t="str">
        <f t="shared" si="0"/>
        <v>View on Google Map</v>
      </c>
    </row>
    <row r="58" spans="1:13" x14ac:dyDescent="0.2">
      <c r="A58" s="137">
        <v>193</v>
      </c>
      <c r="B58" s="137" t="s">
        <v>688</v>
      </c>
      <c r="C58" s="137" t="s">
        <v>596</v>
      </c>
      <c r="D58" s="137">
        <v>69.283333333333331</v>
      </c>
      <c r="E58" s="137">
        <v>-148.9</v>
      </c>
      <c r="F58" s="137">
        <v>346</v>
      </c>
      <c r="G58" s="137" t="s">
        <v>607</v>
      </c>
      <c r="H58" s="137" t="s">
        <v>689</v>
      </c>
      <c r="I58" s="137" t="s">
        <v>596</v>
      </c>
      <c r="J58" s="137" t="s">
        <v>622</v>
      </c>
      <c r="K58" s="137" t="s">
        <v>596</v>
      </c>
      <c r="L58" s="137" t="s">
        <v>685</v>
      </c>
      <c r="M58" s="143" t="str">
        <f t="shared" si="0"/>
        <v>View on Google Map</v>
      </c>
    </row>
    <row r="59" spans="1:13" x14ac:dyDescent="0.2">
      <c r="A59" s="137">
        <v>278</v>
      </c>
      <c r="B59" s="137" t="s">
        <v>688</v>
      </c>
      <c r="C59" s="137" t="s">
        <v>596</v>
      </c>
      <c r="D59" s="137">
        <v>70.374600000000001</v>
      </c>
      <c r="E59" s="137">
        <v>-149.06383333333332</v>
      </c>
      <c r="F59" s="137">
        <v>6</v>
      </c>
      <c r="G59" s="137" t="s">
        <v>607</v>
      </c>
      <c r="H59" s="137" t="s">
        <v>690</v>
      </c>
      <c r="I59" s="137" t="s">
        <v>596</v>
      </c>
      <c r="J59" s="137" t="s">
        <v>622</v>
      </c>
      <c r="K59" s="137" t="s">
        <v>596</v>
      </c>
      <c r="L59" s="137" t="s">
        <v>687</v>
      </c>
      <c r="M59" s="143" t="str">
        <f t="shared" si="0"/>
        <v>View on Google Map</v>
      </c>
    </row>
    <row r="60" spans="1:13" x14ac:dyDescent="0.2">
      <c r="A60" s="137">
        <v>194</v>
      </c>
      <c r="B60" s="137" t="s">
        <v>691</v>
      </c>
      <c r="C60" s="137" t="s">
        <v>596</v>
      </c>
      <c r="D60" s="137">
        <v>69.716666666666669</v>
      </c>
      <c r="E60" s="137">
        <v>-149.44999999999999</v>
      </c>
      <c r="F60" s="137">
        <v>91</v>
      </c>
      <c r="G60" s="137" t="s">
        <v>607</v>
      </c>
      <c r="H60" s="137" t="s">
        <v>692</v>
      </c>
      <c r="I60" s="137" t="s">
        <v>596</v>
      </c>
      <c r="J60" s="137" t="s">
        <v>622</v>
      </c>
      <c r="K60" s="137" t="s">
        <v>596</v>
      </c>
      <c r="L60" s="137" t="s">
        <v>685</v>
      </c>
      <c r="M60" s="143" t="str">
        <f t="shared" si="0"/>
        <v>View on Google Map</v>
      </c>
    </row>
    <row r="61" spans="1:13" x14ac:dyDescent="0.2">
      <c r="A61" s="137">
        <v>279</v>
      </c>
      <c r="B61" s="137" t="s">
        <v>691</v>
      </c>
      <c r="C61" s="137" t="s">
        <v>596</v>
      </c>
      <c r="D61" s="137">
        <v>70.367750000000001</v>
      </c>
      <c r="E61" s="137">
        <v>-148.8357</v>
      </c>
      <c r="F61" s="137">
        <v>6</v>
      </c>
      <c r="G61" s="137" t="s">
        <v>607</v>
      </c>
      <c r="H61" s="137" t="s">
        <v>693</v>
      </c>
      <c r="I61" s="137" t="s">
        <v>596</v>
      </c>
      <c r="J61" s="137" t="s">
        <v>622</v>
      </c>
      <c r="K61" s="137" t="s">
        <v>596</v>
      </c>
      <c r="L61" s="137" t="s">
        <v>687</v>
      </c>
      <c r="M61" s="143" t="str">
        <f t="shared" si="0"/>
        <v>View on Google Map</v>
      </c>
    </row>
    <row r="62" spans="1:13" x14ac:dyDescent="0.2">
      <c r="A62" s="137">
        <v>195</v>
      </c>
      <c r="B62" s="137" t="s">
        <v>694</v>
      </c>
      <c r="C62" s="137" t="s">
        <v>596</v>
      </c>
      <c r="D62" s="137">
        <v>69.716666666666669</v>
      </c>
      <c r="E62" s="137">
        <v>-149.44999999999999</v>
      </c>
      <c r="F62" s="137">
        <v>91</v>
      </c>
      <c r="G62" s="137" t="s">
        <v>607</v>
      </c>
      <c r="H62" s="137" t="s">
        <v>695</v>
      </c>
      <c r="I62" s="137" t="s">
        <v>596</v>
      </c>
      <c r="J62" s="137" t="s">
        <v>622</v>
      </c>
      <c r="K62" s="137" t="s">
        <v>596</v>
      </c>
      <c r="L62" s="137" t="s">
        <v>685</v>
      </c>
      <c r="M62" s="143" t="str">
        <f t="shared" si="0"/>
        <v>View on Google Map</v>
      </c>
    </row>
    <row r="63" spans="1:13" x14ac:dyDescent="0.2">
      <c r="A63" s="137">
        <v>280</v>
      </c>
      <c r="B63" s="137" t="s">
        <v>694</v>
      </c>
      <c r="C63" s="137" t="s">
        <v>596</v>
      </c>
      <c r="D63" s="137">
        <v>70.367750000000001</v>
      </c>
      <c r="E63" s="137">
        <v>-148.8357</v>
      </c>
      <c r="F63" s="137">
        <v>6</v>
      </c>
      <c r="G63" s="137" t="s">
        <v>607</v>
      </c>
      <c r="H63" s="137" t="s">
        <v>696</v>
      </c>
      <c r="I63" s="137" t="s">
        <v>596</v>
      </c>
      <c r="J63" s="137" t="s">
        <v>622</v>
      </c>
      <c r="K63" s="137" t="s">
        <v>596</v>
      </c>
      <c r="L63" s="137" t="s">
        <v>687</v>
      </c>
      <c r="M63" s="143" t="str">
        <f t="shared" si="0"/>
        <v>View on Google Map</v>
      </c>
    </row>
    <row r="64" spans="1:13" x14ac:dyDescent="0.2">
      <c r="A64" s="137">
        <v>196</v>
      </c>
      <c r="B64" s="137" t="s">
        <v>697</v>
      </c>
      <c r="C64" s="137" t="s">
        <v>596</v>
      </c>
      <c r="D64" s="137">
        <v>69.833333333333329</v>
      </c>
      <c r="E64" s="137">
        <v>-149.75</v>
      </c>
      <c r="F64" s="137">
        <v>80</v>
      </c>
      <c r="G64" s="137" t="s">
        <v>607</v>
      </c>
      <c r="H64" s="137" t="s">
        <v>698</v>
      </c>
      <c r="I64" s="137" t="s">
        <v>596</v>
      </c>
      <c r="J64" s="137" t="s">
        <v>622</v>
      </c>
      <c r="K64" s="137" t="s">
        <v>596</v>
      </c>
      <c r="L64" s="137" t="s">
        <v>685</v>
      </c>
      <c r="M64" s="143" t="str">
        <f t="shared" si="0"/>
        <v>View on Google Map</v>
      </c>
    </row>
    <row r="65" spans="1:13" x14ac:dyDescent="0.2">
      <c r="A65" s="137">
        <v>281</v>
      </c>
      <c r="B65" s="137" t="s">
        <v>697</v>
      </c>
      <c r="C65" s="137" t="s">
        <v>596</v>
      </c>
      <c r="D65" s="137">
        <v>70.26821666666666</v>
      </c>
      <c r="E65" s="137">
        <v>-149.20859999999999</v>
      </c>
      <c r="F65" s="137">
        <v>15</v>
      </c>
      <c r="G65" s="137" t="s">
        <v>607</v>
      </c>
      <c r="H65" s="137" t="s">
        <v>699</v>
      </c>
      <c r="I65" s="137" t="s">
        <v>596</v>
      </c>
      <c r="J65" s="137" t="s">
        <v>622</v>
      </c>
      <c r="K65" s="137" t="s">
        <v>596</v>
      </c>
      <c r="L65" s="137" t="s">
        <v>687</v>
      </c>
      <c r="M65" s="143" t="str">
        <f t="shared" si="0"/>
        <v>View on Google Map</v>
      </c>
    </row>
    <row r="66" spans="1:13" x14ac:dyDescent="0.2">
      <c r="A66" s="137">
        <v>197</v>
      </c>
      <c r="B66" s="137" t="s">
        <v>700</v>
      </c>
      <c r="C66" s="137" t="s">
        <v>596</v>
      </c>
      <c r="D66" s="137">
        <v>70.283333333333331</v>
      </c>
      <c r="E66" s="137">
        <v>-150.19999999999999</v>
      </c>
      <c r="F66" s="137">
        <v>12</v>
      </c>
      <c r="G66" s="137" t="s">
        <v>607</v>
      </c>
      <c r="H66" s="137" t="s">
        <v>701</v>
      </c>
      <c r="I66" s="137" t="s">
        <v>596</v>
      </c>
      <c r="J66" s="137" t="s">
        <v>622</v>
      </c>
      <c r="K66" s="137" t="s">
        <v>596</v>
      </c>
      <c r="L66" s="137" t="s">
        <v>685</v>
      </c>
      <c r="M66" s="143" t="str">
        <f t="shared" si="0"/>
        <v>View on Google Map</v>
      </c>
    </row>
    <row r="67" spans="1:13" x14ac:dyDescent="0.2">
      <c r="A67" s="137">
        <v>282</v>
      </c>
      <c r="B67" s="137" t="s">
        <v>700</v>
      </c>
      <c r="C67" s="137" t="s">
        <v>596</v>
      </c>
      <c r="D67" s="137">
        <v>70.26821666666666</v>
      </c>
      <c r="E67" s="137">
        <v>-149.20859999999999</v>
      </c>
      <c r="F67" s="137">
        <v>15</v>
      </c>
      <c r="G67" s="137" t="s">
        <v>607</v>
      </c>
      <c r="H67" s="137" t="s">
        <v>702</v>
      </c>
      <c r="I67" s="137" t="s">
        <v>596</v>
      </c>
      <c r="J67" s="137" t="s">
        <v>622</v>
      </c>
      <c r="K67" s="137" t="s">
        <v>596</v>
      </c>
      <c r="L67" s="137" t="s">
        <v>687</v>
      </c>
      <c r="M67" s="143" t="str">
        <f t="shared" ref="M67:M130" si="1">HYPERLINK("http://maps.google.com/maps?q="&amp;D67&amp;","&amp;E67,"View on Google Map")</f>
        <v>View on Google Map</v>
      </c>
    </row>
    <row r="68" spans="1:13" x14ac:dyDescent="0.2">
      <c r="A68" s="137">
        <v>198</v>
      </c>
      <c r="B68" s="137" t="s">
        <v>703</v>
      </c>
      <c r="C68" s="137" t="s">
        <v>596</v>
      </c>
      <c r="D68" s="137">
        <v>70.283333333333331</v>
      </c>
      <c r="E68" s="137">
        <v>-150.19999999999999</v>
      </c>
      <c r="F68" s="137">
        <v>12</v>
      </c>
      <c r="G68" s="137" t="s">
        <v>607</v>
      </c>
      <c r="H68" s="137" t="s">
        <v>704</v>
      </c>
      <c r="I68" s="137" t="s">
        <v>596</v>
      </c>
      <c r="J68" s="137" t="s">
        <v>622</v>
      </c>
      <c r="K68" s="137" t="s">
        <v>596</v>
      </c>
      <c r="L68" s="137" t="s">
        <v>685</v>
      </c>
      <c r="M68" s="143" t="str">
        <f t="shared" si="1"/>
        <v>View on Google Map</v>
      </c>
    </row>
    <row r="69" spans="1:13" x14ac:dyDescent="0.2">
      <c r="A69" s="137">
        <v>283</v>
      </c>
      <c r="B69" s="137" t="s">
        <v>703</v>
      </c>
      <c r="C69" s="137" t="s">
        <v>596</v>
      </c>
      <c r="D69" s="137">
        <v>70.184266666666673</v>
      </c>
      <c r="E69" s="137">
        <v>-149.15443333333334</v>
      </c>
      <c r="F69" s="137">
        <v>15</v>
      </c>
      <c r="G69" s="137" t="s">
        <v>607</v>
      </c>
      <c r="H69" s="137" t="s">
        <v>705</v>
      </c>
      <c r="I69" s="137" t="s">
        <v>596</v>
      </c>
      <c r="J69" s="137" t="s">
        <v>622</v>
      </c>
      <c r="K69" s="137" t="s">
        <v>596</v>
      </c>
      <c r="L69" s="137" t="s">
        <v>687</v>
      </c>
      <c r="M69" s="143" t="str">
        <f t="shared" si="1"/>
        <v>View on Google Map</v>
      </c>
    </row>
    <row r="70" spans="1:13" x14ac:dyDescent="0.2">
      <c r="A70" s="137">
        <v>199</v>
      </c>
      <c r="B70" s="137" t="s">
        <v>706</v>
      </c>
      <c r="C70" s="137" t="s">
        <v>596</v>
      </c>
      <c r="D70" s="137">
        <v>70.416666666666671</v>
      </c>
      <c r="E70" s="137">
        <v>-150.19999999999999</v>
      </c>
      <c r="F70" s="137">
        <v>4</v>
      </c>
      <c r="G70" s="137" t="s">
        <v>607</v>
      </c>
      <c r="H70" s="137" t="s">
        <v>707</v>
      </c>
      <c r="I70" s="137" t="s">
        <v>596</v>
      </c>
      <c r="J70" s="137" t="s">
        <v>622</v>
      </c>
      <c r="K70" s="137" t="s">
        <v>596</v>
      </c>
      <c r="L70" s="137" t="s">
        <v>685</v>
      </c>
      <c r="M70" s="143" t="str">
        <f t="shared" si="1"/>
        <v>View on Google Map</v>
      </c>
    </row>
    <row r="71" spans="1:13" x14ac:dyDescent="0.2">
      <c r="A71" s="137">
        <v>284</v>
      </c>
      <c r="B71" s="137" t="s">
        <v>706</v>
      </c>
      <c r="C71" s="137" t="s">
        <v>596</v>
      </c>
      <c r="D71" s="137">
        <v>70.184266666666673</v>
      </c>
      <c r="E71" s="137">
        <v>-149.15443333333334</v>
      </c>
      <c r="F71" s="137">
        <v>15</v>
      </c>
      <c r="G71" s="137" t="s">
        <v>607</v>
      </c>
      <c r="H71" s="137" t="s">
        <v>708</v>
      </c>
      <c r="I71" s="137" t="s">
        <v>596</v>
      </c>
      <c r="J71" s="137" t="s">
        <v>622</v>
      </c>
      <c r="K71" s="137" t="s">
        <v>596</v>
      </c>
      <c r="L71" s="137" t="s">
        <v>687</v>
      </c>
      <c r="M71" s="143" t="str">
        <f t="shared" si="1"/>
        <v>View on Google Map</v>
      </c>
    </row>
    <row r="72" spans="1:13" x14ac:dyDescent="0.2">
      <c r="A72" s="137">
        <v>200</v>
      </c>
      <c r="B72" s="137" t="s">
        <v>709</v>
      </c>
      <c r="C72" s="137" t="s">
        <v>596</v>
      </c>
      <c r="D72" s="137">
        <v>70.283333333333331</v>
      </c>
      <c r="E72" s="137">
        <v>-149.81666666666666</v>
      </c>
      <c r="F72" s="137">
        <v>28.963414634146343</v>
      </c>
      <c r="G72" s="137" t="s">
        <v>607</v>
      </c>
      <c r="H72" s="137" t="s">
        <v>710</v>
      </c>
      <c r="I72" s="137" t="s">
        <v>596</v>
      </c>
      <c r="J72" s="137" t="s">
        <v>622</v>
      </c>
      <c r="K72" s="137" t="s">
        <v>596</v>
      </c>
      <c r="L72" s="137" t="s">
        <v>685</v>
      </c>
      <c r="M72" s="143" t="str">
        <f t="shared" si="1"/>
        <v>View on Google Map</v>
      </c>
    </row>
    <row r="73" spans="1:13" x14ac:dyDescent="0.2">
      <c r="A73" s="137">
        <v>285</v>
      </c>
      <c r="B73" s="137" t="s">
        <v>709</v>
      </c>
      <c r="C73" s="137" t="s">
        <v>596</v>
      </c>
      <c r="D73" s="137">
        <v>70.126099999999994</v>
      </c>
      <c r="E73" s="137">
        <v>-149.33773333333335</v>
      </c>
      <c r="F73" s="137">
        <v>30</v>
      </c>
      <c r="G73" s="137" t="s">
        <v>607</v>
      </c>
      <c r="H73" s="137" t="s">
        <v>711</v>
      </c>
      <c r="I73" s="137" t="s">
        <v>596</v>
      </c>
      <c r="J73" s="137" t="s">
        <v>622</v>
      </c>
      <c r="K73" s="137" t="s">
        <v>596</v>
      </c>
      <c r="L73" s="137" t="s">
        <v>687</v>
      </c>
      <c r="M73" s="143" t="str">
        <f t="shared" si="1"/>
        <v>View on Google Map</v>
      </c>
    </row>
    <row r="74" spans="1:13" x14ac:dyDescent="0.2">
      <c r="A74" s="137">
        <v>201</v>
      </c>
      <c r="B74" s="137" t="s">
        <v>712</v>
      </c>
      <c r="C74" s="137" t="s">
        <v>596</v>
      </c>
      <c r="D74" s="137">
        <v>70.283333333333331</v>
      </c>
      <c r="E74" s="137">
        <v>-149.81666666666666</v>
      </c>
      <c r="F74" s="137">
        <v>28.963414634146343</v>
      </c>
      <c r="G74" s="137" t="s">
        <v>607</v>
      </c>
      <c r="H74" s="137" t="s">
        <v>713</v>
      </c>
      <c r="I74" s="137" t="s">
        <v>596</v>
      </c>
      <c r="J74" s="137" t="s">
        <v>622</v>
      </c>
      <c r="K74" s="137" t="s">
        <v>596</v>
      </c>
      <c r="L74" s="137" t="s">
        <v>685</v>
      </c>
      <c r="M74" s="143" t="str">
        <f t="shared" si="1"/>
        <v>View on Google Map</v>
      </c>
    </row>
    <row r="75" spans="1:13" x14ac:dyDescent="0.2">
      <c r="A75" s="137">
        <v>286</v>
      </c>
      <c r="B75" s="137" t="s">
        <v>712</v>
      </c>
      <c r="C75" s="137" t="s">
        <v>596</v>
      </c>
      <c r="D75" s="137">
        <v>70.126099999999994</v>
      </c>
      <c r="E75" s="137">
        <v>-149.33773333333335</v>
      </c>
      <c r="F75" s="137">
        <v>30</v>
      </c>
      <c r="G75" s="137" t="s">
        <v>607</v>
      </c>
      <c r="H75" s="137" t="s">
        <v>714</v>
      </c>
      <c r="I75" s="137" t="s">
        <v>596</v>
      </c>
      <c r="J75" s="137" t="s">
        <v>622</v>
      </c>
      <c r="K75" s="137" t="s">
        <v>596</v>
      </c>
      <c r="L75" s="137" t="s">
        <v>687</v>
      </c>
      <c r="M75" s="143" t="str">
        <f t="shared" si="1"/>
        <v>View on Google Map</v>
      </c>
    </row>
    <row r="76" spans="1:13" x14ac:dyDescent="0.2">
      <c r="A76" s="137">
        <v>202</v>
      </c>
      <c r="B76" s="137" t="s">
        <v>715</v>
      </c>
      <c r="C76" s="137" t="s">
        <v>596</v>
      </c>
      <c r="D76" s="137">
        <v>70.45</v>
      </c>
      <c r="E76" s="137">
        <v>-149.16666666666666</v>
      </c>
      <c r="F76" s="137">
        <v>4.8780487804878048</v>
      </c>
      <c r="G76" s="137" t="s">
        <v>607</v>
      </c>
      <c r="H76" s="137" t="s">
        <v>716</v>
      </c>
      <c r="I76" s="137" t="s">
        <v>596</v>
      </c>
      <c r="J76" s="137" t="s">
        <v>622</v>
      </c>
      <c r="K76" s="137" t="s">
        <v>596</v>
      </c>
      <c r="L76" s="137" t="s">
        <v>685</v>
      </c>
      <c r="M76" s="143" t="str">
        <f t="shared" si="1"/>
        <v>View on Google Map</v>
      </c>
    </row>
    <row r="77" spans="1:13" x14ac:dyDescent="0.2">
      <c r="A77" s="137">
        <v>287</v>
      </c>
      <c r="B77" s="137" t="s">
        <v>715</v>
      </c>
      <c r="C77" s="137" t="s">
        <v>596</v>
      </c>
      <c r="D77" s="137">
        <v>69.9221</v>
      </c>
      <c r="E77" s="137">
        <v>-149.34523333333334</v>
      </c>
      <c r="F77" s="137">
        <v>61</v>
      </c>
      <c r="G77" s="137" t="s">
        <v>607</v>
      </c>
      <c r="H77" s="137" t="s">
        <v>717</v>
      </c>
      <c r="I77" s="137" t="s">
        <v>596</v>
      </c>
      <c r="J77" s="137" t="s">
        <v>622</v>
      </c>
      <c r="K77" s="137" t="s">
        <v>596</v>
      </c>
      <c r="L77" s="137" t="s">
        <v>687</v>
      </c>
      <c r="M77" s="143" t="str">
        <f t="shared" si="1"/>
        <v>View on Google Map</v>
      </c>
    </row>
    <row r="78" spans="1:13" x14ac:dyDescent="0.2">
      <c r="A78" s="137">
        <v>203</v>
      </c>
      <c r="B78" s="137" t="s">
        <v>718</v>
      </c>
      <c r="C78" s="137" t="s">
        <v>596</v>
      </c>
      <c r="D78" s="137">
        <v>70.233333333333334</v>
      </c>
      <c r="E78" s="137">
        <v>-148.88333333333333</v>
      </c>
      <c r="F78" s="137">
        <v>17.682926829268293</v>
      </c>
      <c r="G78" s="137" t="s">
        <v>607</v>
      </c>
      <c r="H78" s="137" t="s">
        <v>719</v>
      </c>
      <c r="I78" s="137" t="s">
        <v>596</v>
      </c>
      <c r="J78" s="137" t="s">
        <v>622</v>
      </c>
      <c r="K78" s="137" t="s">
        <v>596</v>
      </c>
      <c r="L78" s="137" t="s">
        <v>685</v>
      </c>
      <c r="M78" s="143" t="str">
        <f t="shared" si="1"/>
        <v>View on Google Map</v>
      </c>
    </row>
    <row r="79" spans="1:13" x14ac:dyDescent="0.2">
      <c r="A79" s="137">
        <v>288</v>
      </c>
      <c r="B79" s="137" t="s">
        <v>718</v>
      </c>
      <c r="C79" s="137" t="s">
        <v>596</v>
      </c>
      <c r="D79" s="137">
        <v>69.9221</v>
      </c>
      <c r="E79" s="137">
        <v>-149.34523333333334</v>
      </c>
      <c r="F79" s="137">
        <v>61</v>
      </c>
      <c r="G79" s="137" t="s">
        <v>607</v>
      </c>
      <c r="H79" s="137" t="s">
        <v>720</v>
      </c>
      <c r="I79" s="137" t="s">
        <v>596</v>
      </c>
      <c r="J79" s="137" t="s">
        <v>622</v>
      </c>
      <c r="K79" s="137" t="s">
        <v>596</v>
      </c>
      <c r="L79" s="137" t="s">
        <v>687</v>
      </c>
      <c r="M79" s="143" t="str">
        <f t="shared" si="1"/>
        <v>View on Google Map</v>
      </c>
    </row>
    <row r="80" spans="1:13" x14ac:dyDescent="0.2">
      <c r="A80" s="137">
        <v>204</v>
      </c>
      <c r="B80" s="137" t="s">
        <v>721</v>
      </c>
      <c r="C80" s="137" t="s">
        <v>596</v>
      </c>
      <c r="D80" s="137">
        <v>70.233333333333334</v>
      </c>
      <c r="E80" s="137">
        <v>-148.88333333333333</v>
      </c>
      <c r="F80" s="137">
        <v>17.682926829268293</v>
      </c>
      <c r="G80" s="137" t="s">
        <v>607</v>
      </c>
      <c r="H80" s="137" t="s">
        <v>722</v>
      </c>
      <c r="I80" s="137" t="s">
        <v>596</v>
      </c>
      <c r="J80" s="137" t="s">
        <v>622</v>
      </c>
      <c r="K80" s="137" t="s">
        <v>596</v>
      </c>
      <c r="L80" s="137" t="s">
        <v>685</v>
      </c>
      <c r="M80" s="143" t="str">
        <f t="shared" si="1"/>
        <v>View on Google Map</v>
      </c>
    </row>
    <row r="81" spans="1:13" x14ac:dyDescent="0.2">
      <c r="A81" s="137">
        <v>289</v>
      </c>
      <c r="B81" s="137" t="s">
        <v>721</v>
      </c>
      <c r="C81" s="137" t="s">
        <v>596</v>
      </c>
      <c r="D81" s="137">
        <v>69.986533333333327</v>
      </c>
      <c r="E81" s="137">
        <v>-150.08543333333333</v>
      </c>
      <c r="F81" s="137">
        <v>125</v>
      </c>
      <c r="G81" s="137" t="s">
        <v>607</v>
      </c>
      <c r="H81" s="137" t="s">
        <v>723</v>
      </c>
      <c r="I81" s="137" t="s">
        <v>596</v>
      </c>
      <c r="J81" s="137" t="s">
        <v>622</v>
      </c>
      <c r="K81" s="137" t="s">
        <v>596</v>
      </c>
      <c r="L81" s="137" t="s">
        <v>687</v>
      </c>
      <c r="M81" s="143" t="str">
        <f t="shared" si="1"/>
        <v>View on Google Map</v>
      </c>
    </row>
    <row r="82" spans="1:13" x14ac:dyDescent="0.2">
      <c r="A82" s="137">
        <v>205</v>
      </c>
      <c r="B82" s="137" t="s">
        <v>724</v>
      </c>
      <c r="C82" s="137" t="s">
        <v>596</v>
      </c>
      <c r="D82" s="137">
        <v>70.13333333333334</v>
      </c>
      <c r="E82" s="137">
        <v>-148.6</v>
      </c>
      <c r="F82" s="137">
        <v>24.390243902439025</v>
      </c>
      <c r="G82" s="137" t="s">
        <v>607</v>
      </c>
      <c r="H82" s="137" t="s">
        <v>725</v>
      </c>
      <c r="I82" s="137" t="s">
        <v>596</v>
      </c>
      <c r="J82" s="137" t="s">
        <v>622</v>
      </c>
      <c r="K82" s="137" t="s">
        <v>596</v>
      </c>
      <c r="L82" s="137" t="s">
        <v>685</v>
      </c>
      <c r="M82" s="143" t="str">
        <f t="shared" si="1"/>
        <v>View on Google Map</v>
      </c>
    </row>
    <row r="83" spans="1:13" x14ac:dyDescent="0.2">
      <c r="A83" s="137">
        <v>290</v>
      </c>
      <c r="B83" s="137" t="s">
        <v>724</v>
      </c>
      <c r="C83" s="137" t="s">
        <v>596</v>
      </c>
      <c r="D83" s="137">
        <v>69.986533333333327</v>
      </c>
      <c r="E83" s="137">
        <v>-150.08543333333333</v>
      </c>
      <c r="F83" s="137">
        <v>125</v>
      </c>
      <c r="G83" s="137" t="s">
        <v>607</v>
      </c>
      <c r="H83" s="137" t="s">
        <v>726</v>
      </c>
      <c r="I83" s="137" t="s">
        <v>596</v>
      </c>
      <c r="J83" s="137" t="s">
        <v>622</v>
      </c>
      <c r="K83" s="137" t="s">
        <v>596</v>
      </c>
      <c r="L83" s="137" t="s">
        <v>687</v>
      </c>
      <c r="M83" s="143" t="str">
        <f t="shared" si="1"/>
        <v>View on Google Map</v>
      </c>
    </row>
    <row r="84" spans="1:13" x14ac:dyDescent="0.2">
      <c r="A84" s="137">
        <v>291</v>
      </c>
      <c r="B84" s="137" t="s">
        <v>727</v>
      </c>
      <c r="C84" s="137" t="s">
        <v>596</v>
      </c>
      <c r="D84" s="137">
        <v>69.639166666666668</v>
      </c>
      <c r="E84" s="137">
        <v>-149.73946666666666</v>
      </c>
      <c r="F84" s="137">
        <v>91</v>
      </c>
      <c r="G84" s="137" t="s">
        <v>607</v>
      </c>
      <c r="H84" s="137" t="s">
        <v>728</v>
      </c>
      <c r="I84" s="137" t="s">
        <v>596</v>
      </c>
      <c r="J84" s="137" t="s">
        <v>622</v>
      </c>
      <c r="K84" s="137" t="s">
        <v>596</v>
      </c>
      <c r="L84" s="137" t="s">
        <v>687</v>
      </c>
      <c r="M84" s="143" t="str">
        <f t="shared" si="1"/>
        <v>View on Google Map</v>
      </c>
    </row>
    <row r="85" spans="1:13" x14ac:dyDescent="0.2">
      <c r="A85" s="137">
        <v>206</v>
      </c>
      <c r="B85" s="137" t="s">
        <v>729</v>
      </c>
      <c r="C85" s="137" t="s">
        <v>596</v>
      </c>
      <c r="D85" s="137">
        <v>70.11666666666666</v>
      </c>
      <c r="E85" s="137">
        <v>-146.16666666666666</v>
      </c>
      <c r="F85" s="137">
        <v>3.0487804878048781</v>
      </c>
      <c r="G85" s="137" t="s">
        <v>607</v>
      </c>
      <c r="H85" s="137" t="s">
        <v>730</v>
      </c>
      <c r="I85" s="137" t="s">
        <v>596</v>
      </c>
      <c r="J85" s="137" t="s">
        <v>622</v>
      </c>
      <c r="K85" s="137" t="s">
        <v>596</v>
      </c>
      <c r="L85" s="137" t="s">
        <v>685</v>
      </c>
      <c r="M85" s="143" t="str">
        <f t="shared" si="1"/>
        <v>View on Google Map</v>
      </c>
    </row>
    <row r="86" spans="1:13" x14ac:dyDescent="0.2">
      <c r="A86" s="137">
        <v>292</v>
      </c>
      <c r="B86" s="137" t="s">
        <v>729</v>
      </c>
      <c r="C86" s="137" t="s">
        <v>596</v>
      </c>
      <c r="D86" s="137">
        <v>69.639166666666668</v>
      </c>
      <c r="E86" s="137">
        <v>-149.73946666666666</v>
      </c>
      <c r="F86" s="137">
        <v>91</v>
      </c>
      <c r="G86" s="137" t="s">
        <v>607</v>
      </c>
      <c r="H86" s="137" t="s">
        <v>731</v>
      </c>
      <c r="I86" s="137" t="s">
        <v>596</v>
      </c>
      <c r="J86" s="137" t="s">
        <v>622</v>
      </c>
      <c r="K86" s="137" t="s">
        <v>596</v>
      </c>
      <c r="L86" s="137" t="s">
        <v>687</v>
      </c>
      <c r="M86" s="143" t="str">
        <f t="shared" si="1"/>
        <v>View on Google Map</v>
      </c>
    </row>
    <row r="87" spans="1:13" x14ac:dyDescent="0.2">
      <c r="A87" s="137">
        <v>207</v>
      </c>
      <c r="B87" s="137" t="s">
        <v>732</v>
      </c>
      <c r="C87" s="137" t="s">
        <v>596</v>
      </c>
      <c r="D87" s="137">
        <v>70.099999999999994</v>
      </c>
      <c r="E87" s="137">
        <v>-146.26666666666668</v>
      </c>
      <c r="F87" s="137">
        <v>9.1463414634146343</v>
      </c>
      <c r="G87" s="137" t="s">
        <v>607</v>
      </c>
      <c r="H87" s="137" t="s">
        <v>733</v>
      </c>
      <c r="I87" s="137" t="s">
        <v>596</v>
      </c>
      <c r="J87" s="137" t="s">
        <v>622</v>
      </c>
      <c r="K87" s="137" t="s">
        <v>596</v>
      </c>
      <c r="L87" s="137" t="s">
        <v>685</v>
      </c>
      <c r="M87" s="143" t="str">
        <f t="shared" si="1"/>
        <v>View on Google Map</v>
      </c>
    </row>
    <row r="88" spans="1:13" x14ac:dyDescent="0.2">
      <c r="A88" s="137">
        <v>293</v>
      </c>
      <c r="B88" s="137" t="s">
        <v>732</v>
      </c>
      <c r="C88" s="137" t="s">
        <v>596</v>
      </c>
      <c r="D88" s="137">
        <v>68.820783333333338</v>
      </c>
      <c r="E88" s="137">
        <v>-149.7646</v>
      </c>
      <c r="F88" s="137">
        <v>579</v>
      </c>
      <c r="G88" s="137" t="s">
        <v>607</v>
      </c>
      <c r="H88" s="137" t="s">
        <v>734</v>
      </c>
      <c r="I88" s="137" t="s">
        <v>596</v>
      </c>
      <c r="J88" s="137" t="s">
        <v>622</v>
      </c>
      <c r="K88" s="137" t="s">
        <v>596</v>
      </c>
      <c r="L88" s="137" t="s">
        <v>687</v>
      </c>
      <c r="M88" s="143" t="str">
        <f t="shared" si="1"/>
        <v>View on Google Map</v>
      </c>
    </row>
    <row r="89" spans="1:13" x14ac:dyDescent="0.2">
      <c r="A89" s="137">
        <v>208</v>
      </c>
      <c r="B89" s="137" t="s">
        <v>735</v>
      </c>
      <c r="C89" s="137" t="s">
        <v>596</v>
      </c>
      <c r="D89" s="137">
        <v>70.05</v>
      </c>
      <c r="E89" s="137">
        <v>-146.98333333333332</v>
      </c>
      <c r="F89" s="137">
        <v>24.390243902439025</v>
      </c>
      <c r="G89" s="137" t="s">
        <v>607</v>
      </c>
      <c r="H89" s="137" t="s">
        <v>736</v>
      </c>
      <c r="I89" s="137" t="s">
        <v>596</v>
      </c>
      <c r="J89" s="137" t="s">
        <v>622</v>
      </c>
      <c r="K89" s="137" t="s">
        <v>596</v>
      </c>
      <c r="L89" s="137" t="s">
        <v>685</v>
      </c>
      <c r="M89" s="143" t="str">
        <f t="shared" si="1"/>
        <v>View on Google Map</v>
      </c>
    </row>
    <row r="90" spans="1:13" x14ac:dyDescent="0.2">
      <c r="A90" s="137">
        <v>294</v>
      </c>
      <c r="B90" s="137" t="s">
        <v>735</v>
      </c>
      <c r="C90" s="137" t="s">
        <v>596</v>
      </c>
      <c r="D90" s="137">
        <v>68.820616666666666</v>
      </c>
      <c r="E90" s="137">
        <v>-149.74383333333333</v>
      </c>
      <c r="F90" s="137">
        <v>579</v>
      </c>
      <c r="G90" s="137" t="s">
        <v>607</v>
      </c>
      <c r="H90" s="137" t="s">
        <v>737</v>
      </c>
      <c r="I90" s="137" t="s">
        <v>596</v>
      </c>
      <c r="J90" s="137" t="s">
        <v>622</v>
      </c>
      <c r="K90" s="137" t="s">
        <v>596</v>
      </c>
      <c r="L90" s="137" t="s">
        <v>687</v>
      </c>
      <c r="M90" s="143" t="str">
        <f t="shared" si="1"/>
        <v>View on Google Map</v>
      </c>
    </row>
    <row r="91" spans="1:13" x14ac:dyDescent="0.2">
      <c r="A91" s="137">
        <v>209</v>
      </c>
      <c r="B91" s="137" t="s">
        <v>738</v>
      </c>
      <c r="C91" s="137" t="s">
        <v>596</v>
      </c>
      <c r="D91" s="137">
        <v>70.05</v>
      </c>
      <c r="E91" s="137">
        <v>-146.98333333333332</v>
      </c>
      <c r="F91" s="137">
        <v>24.390243902439025</v>
      </c>
      <c r="G91" s="137" t="s">
        <v>607</v>
      </c>
      <c r="H91" s="137" t="s">
        <v>739</v>
      </c>
      <c r="I91" s="137" t="s">
        <v>596</v>
      </c>
      <c r="J91" s="137" t="s">
        <v>622</v>
      </c>
      <c r="K91" s="137" t="s">
        <v>596</v>
      </c>
      <c r="L91" s="137" t="s">
        <v>685</v>
      </c>
      <c r="M91" s="143" t="str">
        <f t="shared" si="1"/>
        <v>View on Google Map</v>
      </c>
    </row>
    <row r="92" spans="1:13" x14ac:dyDescent="0.2">
      <c r="A92" s="137">
        <v>295</v>
      </c>
      <c r="B92" s="137" t="s">
        <v>738</v>
      </c>
      <c r="C92" s="137" t="s">
        <v>596</v>
      </c>
      <c r="D92" s="137">
        <v>68.821529999999996</v>
      </c>
      <c r="E92" s="137">
        <v>-149.05867000000001</v>
      </c>
      <c r="F92" s="137">
        <v>518</v>
      </c>
      <c r="G92" s="137" t="s">
        <v>607</v>
      </c>
      <c r="H92" s="137" t="s">
        <v>740</v>
      </c>
      <c r="I92" s="137" t="s">
        <v>596</v>
      </c>
      <c r="J92" s="137" t="s">
        <v>622</v>
      </c>
      <c r="K92" s="137" t="s">
        <v>596</v>
      </c>
      <c r="L92" s="137" t="s">
        <v>687</v>
      </c>
      <c r="M92" s="143" t="str">
        <f t="shared" si="1"/>
        <v>View on Google Map</v>
      </c>
    </row>
    <row r="93" spans="1:13" x14ac:dyDescent="0.2">
      <c r="A93" s="137">
        <v>210</v>
      </c>
      <c r="B93" s="137" t="s">
        <v>741</v>
      </c>
      <c r="C93" s="137" t="s">
        <v>596</v>
      </c>
      <c r="D93" s="137">
        <v>70.150000000000006</v>
      </c>
      <c r="E93" s="137">
        <v>-147.36666666666667</v>
      </c>
      <c r="F93" s="137">
        <v>6.7073170731707323</v>
      </c>
      <c r="G93" s="137" t="s">
        <v>607</v>
      </c>
      <c r="H93" s="137" t="s">
        <v>742</v>
      </c>
      <c r="I93" s="137" t="s">
        <v>596</v>
      </c>
      <c r="J93" s="137" t="s">
        <v>622</v>
      </c>
      <c r="K93" s="137" t="s">
        <v>596</v>
      </c>
      <c r="L93" s="137" t="s">
        <v>685</v>
      </c>
      <c r="M93" s="143" t="str">
        <f t="shared" si="1"/>
        <v>View on Google Map</v>
      </c>
    </row>
    <row r="94" spans="1:13" x14ac:dyDescent="0.2">
      <c r="A94" s="137">
        <v>296</v>
      </c>
      <c r="B94" s="137" t="s">
        <v>741</v>
      </c>
      <c r="C94" s="137" t="s">
        <v>596</v>
      </c>
      <c r="D94" s="137">
        <v>68.817116666666664</v>
      </c>
      <c r="E94" s="137">
        <v>-149.05956666666665</v>
      </c>
      <c r="F94" s="137">
        <v>518</v>
      </c>
      <c r="G94" s="137" t="s">
        <v>607</v>
      </c>
      <c r="H94" s="137" t="s">
        <v>743</v>
      </c>
      <c r="I94" s="137" t="s">
        <v>596</v>
      </c>
      <c r="J94" s="137" t="s">
        <v>622</v>
      </c>
      <c r="K94" s="137" t="s">
        <v>596</v>
      </c>
      <c r="L94" s="137" t="s">
        <v>687</v>
      </c>
      <c r="M94" s="143" t="str">
        <f t="shared" si="1"/>
        <v>View on Google Map</v>
      </c>
    </row>
    <row r="95" spans="1:13" x14ac:dyDescent="0.2">
      <c r="A95" s="137">
        <v>211</v>
      </c>
      <c r="B95" s="137" t="s">
        <v>744</v>
      </c>
      <c r="C95" s="137" t="s">
        <v>596</v>
      </c>
      <c r="D95" s="137">
        <v>70.150000000000006</v>
      </c>
      <c r="E95" s="137">
        <v>-147.36666666666667</v>
      </c>
      <c r="F95" s="137">
        <v>6.7073170731707323</v>
      </c>
      <c r="G95" s="137" t="s">
        <v>607</v>
      </c>
      <c r="H95" s="137" t="s">
        <v>745</v>
      </c>
      <c r="I95" s="137" t="s">
        <v>596</v>
      </c>
      <c r="J95" s="137" t="s">
        <v>622</v>
      </c>
      <c r="K95" s="137" t="s">
        <v>596</v>
      </c>
      <c r="L95" s="137" t="s">
        <v>685</v>
      </c>
      <c r="M95" s="143" t="str">
        <f t="shared" si="1"/>
        <v>View on Google Map</v>
      </c>
    </row>
    <row r="96" spans="1:13" x14ac:dyDescent="0.2">
      <c r="A96" s="137">
        <v>297</v>
      </c>
      <c r="B96" s="137" t="s">
        <v>744</v>
      </c>
      <c r="C96" s="137" t="s">
        <v>596</v>
      </c>
      <c r="D96" s="137">
        <v>69.356183333333334</v>
      </c>
      <c r="E96" s="137">
        <v>-150.21899999999999</v>
      </c>
      <c r="F96" s="137">
        <v>168</v>
      </c>
      <c r="G96" s="137" t="s">
        <v>607</v>
      </c>
      <c r="H96" s="137" t="s">
        <v>746</v>
      </c>
      <c r="I96" s="137" t="s">
        <v>596</v>
      </c>
      <c r="J96" s="137" t="s">
        <v>622</v>
      </c>
      <c r="K96" s="137" t="s">
        <v>596</v>
      </c>
      <c r="L96" s="137" t="s">
        <v>687</v>
      </c>
      <c r="M96" s="143" t="str">
        <f t="shared" si="1"/>
        <v>View on Google Map</v>
      </c>
    </row>
    <row r="97" spans="1:13" x14ac:dyDescent="0.2">
      <c r="A97" s="137">
        <v>212</v>
      </c>
      <c r="B97" s="137" t="s">
        <v>747</v>
      </c>
      <c r="C97" s="137" t="s">
        <v>596</v>
      </c>
      <c r="D97" s="137">
        <v>70.033333333333331</v>
      </c>
      <c r="E97" s="137">
        <v>-147.65</v>
      </c>
      <c r="F97" s="137">
        <v>28.04878048780488</v>
      </c>
      <c r="G97" s="137" t="s">
        <v>607</v>
      </c>
      <c r="H97" s="137" t="s">
        <v>748</v>
      </c>
      <c r="I97" s="137" t="s">
        <v>596</v>
      </c>
      <c r="J97" s="137" t="s">
        <v>622</v>
      </c>
      <c r="K97" s="137" t="s">
        <v>596</v>
      </c>
      <c r="L97" s="137" t="s">
        <v>685</v>
      </c>
      <c r="M97" s="143" t="str">
        <f t="shared" si="1"/>
        <v>View on Google Map</v>
      </c>
    </row>
    <row r="98" spans="1:13" x14ac:dyDescent="0.2">
      <c r="A98" s="137">
        <v>298</v>
      </c>
      <c r="B98" s="137" t="s">
        <v>747</v>
      </c>
      <c r="C98" s="137" t="s">
        <v>596</v>
      </c>
      <c r="D98" s="137">
        <v>69.356183333333334</v>
      </c>
      <c r="E98" s="137">
        <v>-150.21899999999999</v>
      </c>
      <c r="F98" s="137">
        <v>168</v>
      </c>
      <c r="G98" s="137" t="s">
        <v>607</v>
      </c>
      <c r="H98" s="137" t="s">
        <v>749</v>
      </c>
      <c r="I98" s="137" t="s">
        <v>596</v>
      </c>
      <c r="J98" s="137" t="s">
        <v>622</v>
      </c>
      <c r="K98" s="137" t="s">
        <v>596</v>
      </c>
      <c r="L98" s="137" t="s">
        <v>687</v>
      </c>
      <c r="M98" s="143" t="str">
        <f t="shared" si="1"/>
        <v>View on Google Map</v>
      </c>
    </row>
    <row r="99" spans="1:13" x14ac:dyDescent="0.2">
      <c r="A99" s="137">
        <v>213</v>
      </c>
      <c r="B99" s="137" t="s">
        <v>750</v>
      </c>
      <c r="C99" s="137" t="s">
        <v>596</v>
      </c>
      <c r="D99" s="137">
        <v>70.033333333333331</v>
      </c>
      <c r="E99" s="137">
        <v>-147.65</v>
      </c>
      <c r="F99" s="137">
        <v>28.04878048780488</v>
      </c>
      <c r="G99" s="137" t="s">
        <v>607</v>
      </c>
      <c r="H99" s="137" t="s">
        <v>751</v>
      </c>
      <c r="I99" s="137" t="s">
        <v>596</v>
      </c>
      <c r="J99" s="137" t="s">
        <v>622</v>
      </c>
      <c r="K99" s="137" t="s">
        <v>596</v>
      </c>
      <c r="L99" s="137" t="s">
        <v>685</v>
      </c>
      <c r="M99" s="143" t="str">
        <f t="shared" si="1"/>
        <v>View on Google Map</v>
      </c>
    </row>
    <row r="100" spans="1:13" x14ac:dyDescent="0.2">
      <c r="A100" s="137">
        <v>299</v>
      </c>
      <c r="B100" s="137" t="s">
        <v>750</v>
      </c>
      <c r="C100" s="137" t="s">
        <v>596</v>
      </c>
      <c r="D100" s="137">
        <v>69.5458</v>
      </c>
      <c r="E100" s="137">
        <v>-150.37883333333335</v>
      </c>
      <c r="F100" s="137">
        <v>107</v>
      </c>
      <c r="G100" s="137" t="s">
        <v>607</v>
      </c>
      <c r="H100" s="137" t="s">
        <v>752</v>
      </c>
      <c r="I100" s="137" t="s">
        <v>596</v>
      </c>
      <c r="J100" s="137" t="s">
        <v>622</v>
      </c>
      <c r="K100" s="137" t="s">
        <v>596</v>
      </c>
      <c r="L100" s="137" t="s">
        <v>687</v>
      </c>
      <c r="M100" s="143" t="str">
        <f t="shared" si="1"/>
        <v>View on Google Map</v>
      </c>
    </row>
    <row r="101" spans="1:13" x14ac:dyDescent="0.2">
      <c r="A101" s="137">
        <v>214</v>
      </c>
      <c r="B101" s="137" t="s">
        <v>753</v>
      </c>
      <c r="C101" s="137" t="s">
        <v>596</v>
      </c>
      <c r="D101" s="137">
        <v>69.833333333333329</v>
      </c>
      <c r="E101" s="137">
        <v>-147.93333333333334</v>
      </c>
      <c r="F101" s="137">
        <v>92.987804878048792</v>
      </c>
      <c r="G101" s="137" t="s">
        <v>607</v>
      </c>
      <c r="H101" s="137" t="s">
        <v>754</v>
      </c>
      <c r="I101" s="137" t="s">
        <v>596</v>
      </c>
      <c r="J101" s="137" t="s">
        <v>622</v>
      </c>
      <c r="K101" s="137" t="s">
        <v>596</v>
      </c>
      <c r="L101" s="137" t="s">
        <v>685</v>
      </c>
      <c r="M101" s="143" t="str">
        <f t="shared" si="1"/>
        <v>View on Google Map</v>
      </c>
    </row>
    <row r="102" spans="1:13" x14ac:dyDescent="0.2">
      <c r="A102" s="137">
        <v>300</v>
      </c>
      <c r="B102" s="137" t="s">
        <v>753</v>
      </c>
      <c r="C102" s="137" t="s">
        <v>596</v>
      </c>
      <c r="D102" s="137">
        <v>69.5458</v>
      </c>
      <c r="E102" s="137">
        <v>-150.37883333333335</v>
      </c>
      <c r="F102" s="137">
        <v>107</v>
      </c>
      <c r="G102" s="137" t="s">
        <v>607</v>
      </c>
      <c r="H102" s="137" t="s">
        <v>755</v>
      </c>
      <c r="I102" s="137" t="s">
        <v>596</v>
      </c>
      <c r="J102" s="137" t="s">
        <v>622</v>
      </c>
      <c r="K102" s="137" t="s">
        <v>596</v>
      </c>
      <c r="L102" s="137" t="s">
        <v>687</v>
      </c>
      <c r="M102" s="143" t="str">
        <f t="shared" si="1"/>
        <v>View on Google Map</v>
      </c>
    </row>
    <row r="103" spans="1:13" x14ac:dyDescent="0.2">
      <c r="A103" s="137">
        <v>215</v>
      </c>
      <c r="B103" s="137" t="s">
        <v>756</v>
      </c>
      <c r="C103" s="137" t="s">
        <v>596</v>
      </c>
      <c r="D103" s="137">
        <v>69.833333333333329</v>
      </c>
      <c r="E103" s="137">
        <v>-147.93333333333334</v>
      </c>
      <c r="F103" s="137">
        <v>92.987804878048792</v>
      </c>
      <c r="G103" s="137" t="s">
        <v>607</v>
      </c>
      <c r="H103" s="137" t="s">
        <v>757</v>
      </c>
      <c r="I103" s="137" t="s">
        <v>596</v>
      </c>
      <c r="J103" s="137" t="s">
        <v>622</v>
      </c>
      <c r="K103" s="137" t="s">
        <v>596</v>
      </c>
      <c r="L103" s="137" t="s">
        <v>685</v>
      </c>
      <c r="M103" s="143" t="str">
        <f t="shared" si="1"/>
        <v>View on Google Map</v>
      </c>
    </row>
    <row r="104" spans="1:13" x14ac:dyDescent="0.2">
      <c r="A104" s="137">
        <v>301</v>
      </c>
      <c r="B104" s="137" t="s">
        <v>756</v>
      </c>
      <c r="C104" s="137" t="s">
        <v>596</v>
      </c>
      <c r="D104" s="137">
        <v>69.523700000000005</v>
      </c>
      <c r="E104" s="137">
        <v>-150.55269999999999</v>
      </c>
      <c r="F104" s="137">
        <v>107</v>
      </c>
      <c r="G104" s="137" t="s">
        <v>607</v>
      </c>
      <c r="H104" s="137" t="s">
        <v>758</v>
      </c>
      <c r="I104" s="137" t="s">
        <v>596</v>
      </c>
      <c r="J104" s="137" t="s">
        <v>622</v>
      </c>
      <c r="K104" s="137" t="s">
        <v>596</v>
      </c>
      <c r="L104" s="137" t="s">
        <v>687</v>
      </c>
      <c r="M104" s="143" t="str">
        <f t="shared" si="1"/>
        <v>View on Google Map</v>
      </c>
    </row>
    <row r="105" spans="1:13" x14ac:dyDescent="0.2">
      <c r="A105" s="137">
        <v>216</v>
      </c>
      <c r="B105" s="137" t="s">
        <v>759</v>
      </c>
      <c r="C105" s="137" t="s">
        <v>596</v>
      </c>
      <c r="D105" s="137">
        <v>69.88333333333334</v>
      </c>
      <c r="E105" s="137">
        <v>-148.63333333333333</v>
      </c>
      <c r="F105" s="137">
        <v>118.90243902439025</v>
      </c>
      <c r="G105" s="137" t="s">
        <v>607</v>
      </c>
      <c r="H105" s="137" t="s">
        <v>760</v>
      </c>
      <c r="I105" s="137" t="s">
        <v>596</v>
      </c>
      <c r="J105" s="137" t="s">
        <v>622</v>
      </c>
      <c r="K105" s="137" t="s">
        <v>596</v>
      </c>
      <c r="L105" s="137" t="s">
        <v>685</v>
      </c>
      <c r="M105" s="143" t="str">
        <f t="shared" si="1"/>
        <v>View on Google Map</v>
      </c>
    </row>
    <row r="106" spans="1:13" x14ac:dyDescent="0.2">
      <c r="A106" s="137">
        <v>302</v>
      </c>
      <c r="B106" s="137" t="s">
        <v>759</v>
      </c>
      <c r="C106" s="137" t="s">
        <v>596</v>
      </c>
      <c r="D106" s="137">
        <v>69.523700000000005</v>
      </c>
      <c r="E106" s="137">
        <v>-150.55269999999999</v>
      </c>
      <c r="F106" s="137">
        <v>107</v>
      </c>
      <c r="G106" s="137" t="s">
        <v>607</v>
      </c>
      <c r="H106" s="137" t="s">
        <v>761</v>
      </c>
      <c r="I106" s="137" t="s">
        <v>596</v>
      </c>
      <c r="J106" s="137" t="s">
        <v>622</v>
      </c>
      <c r="K106" s="137" t="s">
        <v>596</v>
      </c>
      <c r="L106" s="137" t="s">
        <v>687</v>
      </c>
      <c r="M106" s="143" t="str">
        <f t="shared" si="1"/>
        <v>View on Google Map</v>
      </c>
    </row>
    <row r="107" spans="1:13" x14ac:dyDescent="0.2">
      <c r="A107" s="137">
        <v>217</v>
      </c>
      <c r="B107" s="137" t="s">
        <v>762</v>
      </c>
      <c r="C107" s="137" t="s">
        <v>596</v>
      </c>
      <c r="D107" s="137">
        <v>69.7</v>
      </c>
      <c r="E107" s="137">
        <v>-148.48333333333332</v>
      </c>
      <c r="F107" s="137">
        <v>125</v>
      </c>
      <c r="G107" s="137" t="s">
        <v>607</v>
      </c>
      <c r="H107" s="137" t="s">
        <v>763</v>
      </c>
      <c r="I107" s="137" t="s">
        <v>596</v>
      </c>
      <c r="J107" s="137" t="s">
        <v>622</v>
      </c>
      <c r="K107" s="137" t="s">
        <v>596</v>
      </c>
      <c r="L107" s="137" t="s">
        <v>685</v>
      </c>
      <c r="M107" s="143" t="str">
        <f t="shared" si="1"/>
        <v>View on Google Map</v>
      </c>
    </row>
    <row r="108" spans="1:13" x14ac:dyDescent="0.2">
      <c r="A108" s="137">
        <v>303</v>
      </c>
      <c r="B108" s="137" t="s">
        <v>762</v>
      </c>
      <c r="C108" s="137" t="s">
        <v>596</v>
      </c>
      <c r="D108" s="137">
        <v>69.610399999999998</v>
      </c>
      <c r="E108" s="137">
        <v>-148.82113333333334</v>
      </c>
      <c r="F108" s="137">
        <v>107</v>
      </c>
      <c r="G108" s="137" t="s">
        <v>607</v>
      </c>
      <c r="H108" s="137" t="s">
        <v>764</v>
      </c>
      <c r="I108" s="137" t="s">
        <v>596</v>
      </c>
      <c r="J108" s="137" t="s">
        <v>622</v>
      </c>
      <c r="K108" s="137" t="s">
        <v>596</v>
      </c>
      <c r="L108" s="137" t="s">
        <v>687</v>
      </c>
      <c r="M108" s="143" t="str">
        <f t="shared" si="1"/>
        <v>View on Google Map</v>
      </c>
    </row>
    <row r="109" spans="1:13" x14ac:dyDescent="0.2">
      <c r="A109" s="137">
        <v>218</v>
      </c>
      <c r="B109" s="137" t="s">
        <v>765</v>
      </c>
      <c r="C109" s="137" t="s">
        <v>596</v>
      </c>
      <c r="D109" s="137">
        <v>69.7</v>
      </c>
      <c r="E109" s="137">
        <v>-148.48333333333332</v>
      </c>
      <c r="F109" s="137">
        <v>125</v>
      </c>
      <c r="G109" s="137" t="s">
        <v>607</v>
      </c>
      <c r="H109" s="137" t="s">
        <v>766</v>
      </c>
      <c r="I109" s="137" t="s">
        <v>596</v>
      </c>
      <c r="J109" s="137" t="s">
        <v>622</v>
      </c>
      <c r="K109" s="137" t="s">
        <v>596</v>
      </c>
      <c r="L109" s="137" t="s">
        <v>685</v>
      </c>
      <c r="M109" s="143" t="str">
        <f t="shared" si="1"/>
        <v>View on Google Map</v>
      </c>
    </row>
    <row r="110" spans="1:13" x14ac:dyDescent="0.2">
      <c r="A110" s="137">
        <v>304</v>
      </c>
      <c r="B110" s="137" t="s">
        <v>765</v>
      </c>
      <c r="C110" s="137" t="s">
        <v>596</v>
      </c>
      <c r="D110" s="137">
        <v>69.610399999999998</v>
      </c>
      <c r="E110" s="137">
        <v>-148.82113333333334</v>
      </c>
      <c r="F110" s="137">
        <v>107</v>
      </c>
      <c r="G110" s="137" t="s">
        <v>607</v>
      </c>
      <c r="H110" s="137" t="s">
        <v>767</v>
      </c>
      <c r="I110" s="137" t="s">
        <v>596</v>
      </c>
      <c r="J110" s="137" t="s">
        <v>622</v>
      </c>
      <c r="K110" s="137" t="s">
        <v>596</v>
      </c>
      <c r="L110" s="137" t="s">
        <v>687</v>
      </c>
      <c r="M110" s="143" t="str">
        <f t="shared" si="1"/>
        <v>View on Google Map</v>
      </c>
    </row>
    <row r="111" spans="1:13" x14ac:dyDescent="0.2">
      <c r="A111" s="137">
        <v>232</v>
      </c>
      <c r="B111" s="137" t="s">
        <v>768</v>
      </c>
      <c r="C111" s="137" t="s">
        <v>596</v>
      </c>
      <c r="D111" s="137">
        <v>69.266666666666666</v>
      </c>
      <c r="E111" s="137">
        <v>-148.46666666666667</v>
      </c>
      <c r="F111" s="137">
        <v>338.71951219512198</v>
      </c>
      <c r="G111" s="137" t="s">
        <v>607</v>
      </c>
      <c r="H111" s="137" t="s">
        <v>769</v>
      </c>
      <c r="I111" s="137" t="s">
        <v>596</v>
      </c>
      <c r="J111" s="137" t="s">
        <v>622</v>
      </c>
      <c r="K111" s="137" t="s">
        <v>596</v>
      </c>
      <c r="L111" s="137" t="s">
        <v>685</v>
      </c>
      <c r="M111" s="143" t="str">
        <f t="shared" si="1"/>
        <v>View on Google Map</v>
      </c>
    </row>
    <row r="112" spans="1:13" x14ac:dyDescent="0.2">
      <c r="A112" s="137">
        <v>239</v>
      </c>
      <c r="B112" s="137" t="s">
        <v>770</v>
      </c>
      <c r="C112" s="137" t="s">
        <v>771</v>
      </c>
      <c r="D112" s="137" t="s">
        <v>596</v>
      </c>
      <c r="E112" s="137" t="s">
        <v>596</v>
      </c>
      <c r="F112" s="137" t="s">
        <v>596</v>
      </c>
      <c r="G112" s="137" t="s">
        <v>607</v>
      </c>
      <c r="H112" s="137" t="s">
        <v>596</v>
      </c>
      <c r="I112" s="137" t="s">
        <v>596</v>
      </c>
      <c r="J112" s="137" t="s">
        <v>622</v>
      </c>
      <c r="K112" s="137" t="s">
        <v>596</v>
      </c>
      <c r="L112" s="137" t="s">
        <v>772</v>
      </c>
      <c r="M112" s="143" t="str">
        <f t="shared" si="1"/>
        <v>View on Google Map</v>
      </c>
    </row>
    <row r="113" spans="1:13" x14ac:dyDescent="0.2">
      <c r="A113" s="137">
        <v>144</v>
      </c>
      <c r="B113" s="137" t="s">
        <v>773</v>
      </c>
      <c r="C113" s="137" t="s">
        <v>774</v>
      </c>
      <c r="D113" s="137">
        <v>68.63333333333334</v>
      </c>
      <c r="E113" s="137">
        <v>-149.6</v>
      </c>
      <c r="F113" s="137">
        <v>719</v>
      </c>
      <c r="G113" s="137" t="s">
        <v>607</v>
      </c>
      <c r="H113" s="137" t="s">
        <v>596</v>
      </c>
      <c r="I113" s="137" t="s">
        <v>596</v>
      </c>
      <c r="J113" s="137" t="s">
        <v>622</v>
      </c>
      <c r="K113" s="137" t="s">
        <v>596</v>
      </c>
      <c r="L113" s="137" t="s">
        <v>623</v>
      </c>
      <c r="M113" s="143" t="str">
        <f t="shared" si="1"/>
        <v>View on Google Map</v>
      </c>
    </row>
    <row r="114" spans="1:13" x14ac:dyDescent="0.2">
      <c r="A114" s="137">
        <v>401</v>
      </c>
      <c r="B114" s="137" t="s">
        <v>775</v>
      </c>
      <c r="C114" s="137" t="s">
        <v>596</v>
      </c>
      <c r="D114" s="137" t="s">
        <v>596</v>
      </c>
      <c r="E114" s="137" t="s">
        <v>596</v>
      </c>
      <c r="F114" s="137" t="s">
        <v>596</v>
      </c>
      <c r="G114" s="137" t="s">
        <v>607</v>
      </c>
      <c r="H114" s="137" t="s">
        <v>596</v>
      </c>
      <c r="I114" s="137" t="s">
        <v>596</v>
      </c>
      <c r="J114" s="137" t="s">
        <v>622</v>
      </c>
      <c r="K114" s="137" t="s">
        <v>596</v>
      </c>
      <c r="L114" s="137" t="s">
        <v>776</v>
      </c>
      <c r="M114" s="143" t="str">
        <f t="shared" si="1"/>
        <v>View on Google Map</v>
      </c>
    </row>
    <row r="115" spans="1:13" x14ac:dyDescent="0.2">
      <c r="A115" s="137">
        <v>403</v>
      </c>
      <c r="B115" s="137" t="s">
        <v>777</v>
      </c>
      <c r="C115" s="137" t="s">
        <v>596</v>
      </c>
      <c r="D115" s="137" t="s">
        <v>596</v>
      </c>
      <c r="E115" s="137" t="s">
        <v>596</v>
      </c>
      <c r="F115" s="137" t="s">
        <v>596</v>
      </c>
      <c r="G115" s="137" t="s">
        <v>607</v>
      </c>
      <c r="H115" s="137" t="s">
        <v>596</v>
      </c>
      <c r="I115" s="137" t="s">
        <v>596</v>
      </c>
      <c r="J115" s="137" t="s">
        <v>622</v>
      </c>
      <c r="K115" s="137" t="s">
        <v>596</v>
      </c>
      <c r="L115" s="137" t="s">
        <v>778</v>
      </c>
      <c r="M115" s="143" t="str">
        <f t="shared" si="1"/>
        <v>View on Google Map</v>
      </c>
    </row>
    <row r="116" spans="1:13" x14ac:dyDescent="0.2">
      <c r="A116" s="137">
        <v>403</v>
      </c>
      <c r="B116" s="137" t="s">
        <v>777</v>
      </c>
      <c r="C116" s="137" t="s">
        <v>596</v>
      </c>
      <c r="D116" s="137" t="s">
        <v>596</v>
      </c>
      <c r="E116" s="137" t="s">
        <v>596</v>
      </c>
      <c r="F116" s="137" t="s">
        <v>596</v>
      </c>
      <c r="G116" s="137" t="s">
        <v>607</v>
      </c>
      <c r="H116" s="137" t="s">
        <v>596</v>
      </c>
      <c r="I116" s="137" t="s">
        <v>596</v>
      </c>
      <c r="J116" s="137" t="s">
        <v>622</v>
      </c>
      <c r="K116" s="137" t="s">
        <v>596</v>
      </c>
      <c r="L116" s="137" t="s">
        <v>778</v>
      </c>
      <c r="M116" s="143" t="str">
        <f t="shared" si="1"/>
        <v>View on Google Map</v>
      </c>
    </row>
    <row r="117" spans="1:13" x14ac:dyDescent="0.2">
      <c r="A117" s="137">
        <v>1209</v>
      </c>
      <c r="B117" s="137" t="s">
        <v>779</v>
      </c>
      <c r="C117" s="137" t="s">
        <v>780</v>
      </c>
      <c r="D117" s="137">
        <v>68.934420000000003</v>
      </c>
      <c r="E117" s="137">
        <v>-150.21242000000001</v>
      </c>
      <c r="F117" s="137" t="s">
        <v>596</v>
      </c>
      <c r="G117" s="137" t="s">
        <v>597</v>
      </c>
      <c r="H117" s="137" t="s">
        <v>596</v>
      </c>
      <c r="I117" s="137" t="s">
        <v>596</v>
      </c>
      <c r="J117" s="137" t="s">
        <v>603</v>
      </c>
      <c r="K117" s="137" t="s">
        <v>596</v>
      </c>
      <c r="L117" s="137" t="s">
        <v>604</v>
      </c>
      <c r="M117" s="143" t="str">
        <f t="shared" si="1"/>
        <v>View on Google Map</v>
      </c>
    </row>
    <row r="118" spans="1:13" x14ac:dyDescent="0.2">
      <c r="A118" s="137">
        <v>482</v>
      </c>
      <c r="B118" s="137" t="s">
        <v>781</v>
      </c>
      <c r="C118" s="137" t="s">
        <v>596</v>
      </c>
      <c r="D118" s="137">
        <v>68.951483332999999</v>
      </c>
      <c r="E118" s="137">
        <v>-150.194333333</v>
      </c>
      <c r="F118" s="137">
        <v>399</v>
      </c>
      <c r="G118" s="137" t="s">
        <v>607</v>
      </c>
      <c r="H118" s="137" t="s">
        <v>596</v>
      </c>
      <c r="I118" s="137" t="s">
        <v>596</v>
      </c>
      <c r="J118" s="137" t="s">
        <v>657</v>
      </c>
      <c r="K118" s="137" t="s">
        <v>596</v>
      </c>
      <c r="L118" s="137" t="s">
        <v>604</v>
      </c>
      <c r="M118" s="143" t="str">
        <f t="shared" si="1"/>
        <v>View on Google Map</v>
      </c>
    </row>
    <row r="119" spans="1:13" x14ac:dyDescent="0.2">
      <c r="A119" s="137">
        <v>483</v>
      </c>
      <c r="B119" s="137" t="s">
        <v>782</v>
      </c>
      <c r="C119" s="137" t="s">
        <v>596</v>
      </c>
      <c r="D119" s="137">
        <v>68.950783333000004</v>
      </c>
      <c r="E119" s="137">
        <v>-150.19835</v>
      </c>
      <c r="F119" s="137">
        <v>399</v>
      </c>
      <c r="G119" s="137" t="s">
        <v>621</v>
      </c>
      <c r="H119" s="137" t="s">
        <v>783</v>
      </c>
      <c r="I119" s="137" t="s">
        <v>596</v>
      </c>
      <c r="J119" s="137" t="s">
        <v>657</v>
      </c>
      <c r="K119" s="137" t="s">
        <v>596</v>
      </c>
      <c r="L119" s="137" t="s">
        <v>604</v>
      </c>
      <c r="M119" s="143" t="str">
        <f t="shared" si="1"/>
        <v>View on Google Map</v>
      </c>
    </row>
    <row r="120" spans="1:13" x14ac:dyDescent="0.2">
      <c r="A120" s="137">
        <v>484</v>
      </c>
      <c r="B120" s="137" t="s">
        <v>784</v>
      </c>
      <c r="C120" s="137" t="s">
        <v>596</v>
      </c>
      <c r="D120" s="137">
        <v>68.957549999999998</v>
      </c>
      <c r="E120" s="137">
        <v>-150.200916667</v>
      </c>
      <c r="F120" s="137">
        <v>399</v>
      </c>
      <c r="G120" s="137" t="s">
        <v>607</v>
      </c>
      <c r="H120" s="137" t="s">
        <v>785</v>
      </c>
      <c r="I120" s="137" t="s">
        <v>786</v>
      </c>
      <c r="J120" s="137" t="s">
        <v>657</v>
      </c>
      <c r="K120" s="137" t="s">
        <v>596</v>
      </c>
      <c r="L120" s="137" t="s">
        <v>604</v>
      </c>
      <c r="M120" s="143" t="str">
        <f t="shared" si="1"/>
        <v>View on Google Map</v>
      </c>
    </row>
    <row r="121" spans="1:13" x14ac:dyDescent="0.2">
      <c r="A121" s="137">
        <v>485</v>
      </c>
      <c r="B121" s="137" t="s">
        <v>787</v>
      </c>
      <c r="C121" s="137" t="s">
        <v>596</v>
      </c>
      <c r="D121" s="137">
        <v>68.95675</v>
      </c>
      <c r="E121" s="137">
        <v>-150.19700833300001</v>
      </c>
      <c r="F121" s="137">
        <v>399</v>
      </c>
      <c r="G121" s="137" t="s">
        <v>607</v>
      </c>
      <c r="H121" s="137" t="s">
        <v>788</v>
      </c>
      <c r="I121" s="137" t="s">
        <v>596</v>
      </c>
      <c r="J121" s="137" t="s">
        <v>657</v>
      </c>
      <c r="K121" s="137" t="s">
        <v>596</v>
      </c>
      <c r="L121" s="137" t="s">
        <v>604</v>
      </c>
      <c r="M121" s="143" t="str">
        <f t="shared" si="1"/>
        <v>View on Google Map</v>
      </c>
    </row>
    <row r="122" spans="1:13" x14ac:dyDescent="0.2">
      <c r="A122" s="137">
        <v>514</v>
      </c>
      <c r="B122" s="137" t="s">
        <v>789</v>
      </c>
      <c r="C122" s="137" t="s">
        <v>606</v>
      </c>
      <c r="D122" s="137">
        <v>68.418130000000005</v>
      </c>
      <c r="E122" s="137">
        <v>-151.58454</v>
      </c>
      <c r="F122" s="137">
        <v>876</v>
      </c>
      <c r="G122" s="137" t="s">
        <v>607</v>
      </c>
      <c r="H122" s="137" t="s">
        <v>596</v>
      </c>
      <c r="I122" s="137" t="s">
        <v>596</v>
      </c>
      <c r="J122" s="137" t="s">
        <v>608</v>
      </c>
      <c r="K122" s="137" t="s">
        <v>596</v>
      </c>
      <c r="L122" s="137" t="s">
        <v>609</v>
      </c>
      <c r="M122" s="143" t="str">
        <f t="shared" si="1"/>
        <v>View on Google Map</v>
      </c>
    </row>
    <row r="123" spans="1:13" x14ac:dyDescent="0.2">
      <c r="A123" s="137">
        <v>400</v>
      </c>
      <c r="B123" s="137" t="s">
        <v>790</v>
      </c>
      <c r="C123" s="137" t="s">
        <v>596</v>
      </c>
      <c r="D123" s="137" t="s">
        <v>596</v>
      </c>
      <c r="E123" s="137" t="s">
        <v>596</v>
      </c>
      <c r="F123" s="137" t="s">
        <v>596</v>
      </c>
      <c r="G123" s="137" t="s">
        <v>607</v>
      </c>
      <c r="H123" s="137" t="s">
        <v>596</v>
      </c>
      <c r="I123" s="137" t="s">
        <v>596</v>
      </c>
      <c r="J123" s="137" t="s">
        <v>622</v>
      </c>
      <c r="K123" s="137" t="s">
        <v>596</v>
      </c>
      <c r="L123" s="137" t="s">
        <v>776</v>
      </c>
      <c r="M123" s="143" t="str">
        <f t="shared" si="1"/>
        <v>View on Google Map</v>
      </c>
    </row>
    <row r="124" spans="1:13" x14ac:dyDescent="0.2">
      <c r="A124" s="137">
        <v>137</v>
      </c>
      <c r="B124" s="137" t="s">
        <v>791</v>
      </c>
      <c r="C124" s="137" t="s">
        <v>596</v>
      </c>
      <c r="D124" s="137">
        <v>70.3</v>
      </c>
      <c r="E124" s="137">
        <v>-148.28333333333333</v>
      </c>
      <c r="F124" s="137">
        <v>6</v>
      </c>
      <c r="G124" s="137" t="s">
        <v>607</v>
      </c>
      <c r="H124" s="137" t="s">
        <v>792</v>
      </c>
      <c r="I124" s="137" t="s">
        <v>596</v>
      </c>
      <c r="J124" s="137" t="s">
        <v>622</v>
      </c>
      <c r="K124" s="137" t="s">
        <v>596</v>
      </c>
      <c r="L124" s="137" t="s">
        <v>623</v>
      </c>
      <c r="M124" s="143" t="str">
        <f t="shared" si="1"/>
        <v>View on Google Map</v>
      </c>
    </row>
    <row r="125" spans="1:13" x14ac:dyDescent="0.2">
      <c r="A125" s="137">
        <v>146</v>
      </c>
      <c r="B125" s="137" t="s">
        <v>793</v>
      </c>
      <c r="C125" s="137" t="s">
        <v>596</v>
      </c>
      <c r="D125" s="137">
        <v>68.626195602799996</v>
      </c>
      <c r="E125" s="137">
        <v>-149.55534770599999</v>
      </c>
      <c r="F125" s="137">
        <v>762</v>
      </c>
      <c r="G125" s="137" t="s">
        <v>607</v>
      </c>
      <c r="H125" s="137" t="s">
        <v>794</v>
      </c>
      <c r="I125" s="137" t="s">
        <v>795</v>
      </c>
      <c r="J125" s="137" t="s">
        <v>622</v>
      </c>
      <c r="K125" s="137" t="s">
        <v>596</v>
      </c>
      <c r="L125" s="137" t="s">
        <v>596</v>
      </c>
      <c r="M125" s="143" t="str">
        <f t="shared" si="1"/>
        <v>View on Google Map</v>
      </c>
    </row>
    <row r="126" spans="1:13" x14ac:dyDescent="0.2">
      <c r="A126" s="137">
        <v>18</v>
      </c>
      <c r="B126" s="137" t="s">
        <v>796</v>
      </c>
      <c r="C126" s="137" t="s">
        <v>596</v>
      </c>
      <c r="D126" s="137" t="s">
        <v>596</v>
      </c>
      <c r="E126" s="137" t="s">
        <v>596</v>
      </c>
      <c r="F126" s="137">
        <v>762</v>
      </c>
      <c r="G126" s="137" t="s">
        <v>621</v>
      </c>
      <c r="H126" s="137" t="s">
        <v>797</v>
      </c>
      <c r="I126" s="137" t="s">
        <v>798</v>
      </c>
      <c r="J126" s="137" t="s">
        <v>622</v>
      </c>
      <c r="K126" s="137" t="s">
        <v>596</v>
      </c>
      <c r="L126" s="137" t="s">
        <v>596</v>
      </c>
      <c r="M126" s="143" t="str">
        <f t="shared" si="1"/>
        <v>View on Google Map</v>
      </c>
    </row>
    <row r="127" spans="1:13" x14ac:dyDescent="0.2">
      <c r="A127" s="137">
        <v>310</v>
      </c>
      <c r="B127" s="137" t="s">
        <v>799</v>
      </c>
      <c r="C127" s="137" t="s">
        <v>596</v>
      </c>
      <c r="D127" s="137">
        <v>68.622894947099994</v>
      </c>
      <c r="E127" s="137">
        <v>-149.54328383999999</v>
      </c>
      <c r="F127" s="137" t="s">
        <v>596</v>
      </c>
      <c r="G127" s="137" t="s">
        <v>607</v>
      </c>
      <c r="H127" s="137" t="s">
        <v>800</v>
      </c>
      <c r="I127" s="137" t="s">
        <v>801</v>
      </c>
      <c r="J127" s="137" t="s">
        <v>622</v>
      </c>
      <c r="K127" s="137" t="s">
        <v>596</v>
      </c>
      <c r="L127" s="137" t="s">
        <v>596</v>
      </c>
      <c r="M127" s="143" t="str">
        <f t="shared" si="1"/>
        <v>View on Google Map</v>
      </c>
    </row>
    <row r="128" spans="1:13" x14ac:dyDescent="0.2">
      <c r="A128" s="137">
        <v>311</v>
      </c>
      <c r="B128" s="137" t="s">
        <v>802</v>
      </c>
      <c r="C128" s="137" t="s">
        <v>596</v>
      </c>
      <c r="D128" s="137">
        <v>68.623910828999996</v>
      </c>
      <c r="E128" s="137">
        <v>-149.53118563999999</v>
      </c>
      <c r="F128" s="137" t="s">
        <v>596</v>
      </c>
      <c r="G128" s="137" t="s">
        <v>607</v>
      </c>
      <c r="H128" s="137" t="s">
        <v>803</v>
      </c>
      <c r="I128" s="137" t="s">
        <v>804</v>
      </c>
      <c r="J128" s="137" t="s">
        <v>622</v>
      </c>
      <c r="K128" s="137" t="s">
        <v>596</v>
      </c>
      <c r="L128" s="137" t="s">
        <v>596</v>
      </c>
      <c r="M128" s="143" t="str">
        <f t="shared" si="1"/>
        <v>View on Google Map</v>
      </c>
    </row>
    <row r="129" spans="1:13" x14ac:dyDescent="0.2">
      <c r="A129" s="137">
        <v>312</v>
      </c>
      <c r="B129" s="137" t="s">
        <v>805</v>
      </c>
      <c r="C129" s="137" t="s">
        <v>596</v>
      </c>
      <c r="D129" s="137">
        <v>68.6277698106</v>
      </c>
      <c r="E129" s="137">
        <v>-149.497737003</v>
      </c>
      <c r="F129" s="137" t="s">
        <v>596</v>
      </c>
      <c r="G129" s="137" t="s">
        <v>607</v>
      </c>
      <c r="H129" s="137" t="s">
        <v>806</v>
      </c>
      <c r="I129" s="137" t="s">
        <v>807</v>
      </c>
      <c r="J129" s="137" t="s">
        <v>622</v>
      </c>
      <c r="K129" s="137" t="s">
        <v>596</v>
      </c>
      <c r="L129" s="137" t="s">
        <v>596</v>
      </c>
      <c r="M129" s="143" t="str">
        <f t="shared" si="1"/>
        <v>View on Google Map</v>
      </c>
    </row>
    <row r="130" spans="1:13" x14ac:dyDescent="0.2">
      <c r="A130" s="137">
        <v>145</v>
      </c>
      <c r="B130" s="137" t="s">
        <v>808</v>
      </c>
      <c r="C130" s="137" t="s">
        <v>596</v>
      </c>
      <c r="D130" s="137">
        <v>68.642611000000002</v>
      </c>
      <c r="E130" s="137">
        <v>-149.458079</v>
      </c>
      <c r="F130" s="137">
        <v>800</v>
      </c>
      <c r="G130" s="137" t="s">
        <v>607</v>
      </c>
      <c r="H130" s="137" t="s">
        <v>809</v>
      </c>
      <c r="I130" s="137" t="s">
        <v>810</v>
      </c>
      <c r="J130" s="137" t="s">
        <v>622</v>
      </c>
      <c r="K130" s="137" t="s">
        <v>596</v>
      </c>
      <c r="L130" s="137" t="s">
        <v>596</v>
      </c>
      <c r="M130" s="143" t="str">
        <f t="shared" si="1"/>
        <v>View on Google Map</v>
      </c>
    </row>
    <row r="131" spans="1:13" x14ac:dyDescent="0.2">
      <c r="A131" s="137">
        <v>399</v>
      </c>
      <c r="B131" s="137" t="s">
        <v>811</v>
      </c>
      <c r="C131" s="137" t="s">
        <v>596</v>
      </c>
      <c r="D131" s="137">
        <v>68.643427058300006</v>
      </c>
      <c r="E131" s="137">
        <v>-149.44056459199999</v>
      </c>
      <c r="F131" s="137">
        <v>792</v>
      </c>
      <c r="G131" s="137" t="s">
        <v>607</v>
      </c>
      <c r="H131" s="137" t="s">
        <v>812</v>
      </c>
      <c r="I131" s="137" t="s">
        <v>813</v>
      </c>
      <c r="J131" s="137" t="s">
        <v>622</v>
      </c>
      <c r="K131" s="137" t="s">
        <v>596</v>
      </c>
      <c r="L131" s="137" t="s">
        <v>596</v>
      </c>
      <c r="M131" s="143" t="str">
        <f t="shared" ref="M131:M194" si="2">HYPERLINK("http://maps.google.com/maps?q="&amp;D131&amp;","&amp;E131,"View on Google Map")</f>
        <v>View on Google Map</v>
      </c>
    </row>
    <row r="132" spans="1:13" x14ac:dyDescent="0.2">
      <c r="A132" s="137">
        <v>1605</v>
      </c>
      <c r="B132" s="137" t="s">
        <v>814</v>
      </c>
      <c r="C132" s="137" t="s">
        <v>596</v>
      </c>
      <c r="D132" s="137" t="s">
        <v>596</v>
      </c>
      <c r="E132" s="137" t="s">
        <v>596</v>
      </c>
      <c r="F132" s="137" t="s">
        <v>596</v>
      </c>
      <c r="G132" s="137" t="s">
        <v>621</v>
      </c>
      <c r="H132" s="137" t="s">
        <v>815</v>
      </c>
      <c r="I132" s="137" t="s">
        <v>816</v>
      </c>
      <c r="J132" s="137" t="s">
        <v>622</v>
      </c>
      <c r="K132" s="137" t="s">
        <v>596</v>
      </c>
      <c r="L132" s="137" t="s">
        <v>596</v>
      </c>
      <c r="M132" s="143" t="str">
        <f t="shared" si="2"/>
        <v>View on Google Map</v>
      </c>
    </row>
    <row r="133" spans="1:13" x14ac:dyDescent="0.2">
      <c r="A133" s="137">
        <v>1606</v>
      </c>
      <c r="B133" s="137" t="s">
        <v>817</v>
      </c>
      <c r="C133" s="137" t="s">
        <v>596</v>
      </c>
      <c r="D133" s="137" t="s">
        <v>596</v>
      </c>
      <c r="E133" s="137" t="s">
        <v>596</v>
      </c>
      <c r="F133" s="137" t="s">
        <v>596</v>
      </c>
      <c r="G133" s="137" t="s">
        <v>621</v>
      </c>
      <c r="H133" s="137" t="s">
        <v>818</v>
      </c>
      <c r="I133" s="137" t="s">
        <v>819</v>
      </c>
      <c r="J133" s="137" t="s">
        <v>622</v>
      </c>
      <c r="K133" s="137" t="s">
        <v>596</v>
      </c>
      <c r="L133" s="137" t="s">
        <v>596</v>
      </c>
      <c r="M133" s="143" t="str">
        <f t="shared" si="2"/>
        <v>View on Google Map</v>
      </c>
    </row>
    <row r="134" spans="1:13" x14ac:dyDescent="0.2">
      <c r="A134" s="137">
        <v>1604</v>
      </c>
      <c r="B134" s="137" t="s">
        <v>820</v>
      </c>
      <c r="C134" s="137" t="s">
        <v>596</v>
      </c>
      <c r="D134" s="137" t="s">
        <v>596</v>
      </c>
      <c r="E134" s="137" t="s">
        <v>596</v>
      </c>
      <c r="F134" s="137" t="s">
        <v>596</v>
      </c>
      <c r="G134" s="137" t="s">
        <v>621</v>
      </c>
      <c r="H134" s="137" t="s">
        <v>821</v>
      </c>
      <c r="I134" s="137" t="s">
        <v>822</v>
      </c>
      <c r="J134" s="137" t="s">
        <v>622</v>
      </c>
      <c r="K134" s="137" t="s">
        <v>596</v>
      </c>
      <c r="L134" s="137" t="s">
        <v>596</v>
      </c>
      <c r="M134" s="143" t="str">
        <f t="shared" si="2"/>
        <v>View on Google Map</v>
      </c>
    </row>
    <row r="135" spans="1:13" x14ac:dyDescent="0.2">
      <c r="A135" s="137">
        <v>24</v>
      </c>
      <c r="B135" s="137" t="s">
        <v>823</v>
      </c>
      <c r="C135" s="137" t="s">
        <v>596</v>
      </c>
      <c r="D135" s="137" t="s">
        <v>596</v>
      </c>
      <c r="E135" s="137" t="s">
        <v>596</v>
      </c>
      <c r="F135" s="137" t="s">
        <v>596</v>
      </c>
      <c r="G135" s="137" t="s">
        <v>621</v>
      </c>
      <c r="H135" s="137" t="s">
        <v>596</v>
      </c>
      <c r="I135" s="137" t="s">
        <v>596</v>
      </c>
      <c r="J135" s="137" t="s">
        <v>622</v>
      </c>
      <c r="K135" s="137" t="s">
        <v>596</v>
      </c>
      <c r="L135" s="137" t="s">
        <v>596</v>
      </c>
      <c r="M135" s="143" t="str">
        <f t="shared" si="2"/>
        <v>View on Google Map</v>
      </c>
    </row>
    <row r="136" spans="1:13" x14ac:dyDescent="0.2">
      <c r="A136" s="137">
        <v>143</v>
      </c>
      <c r="B136" s="137" t="s">
        <v>824</v>
      </c>
      <c r="C136" s="137" t="s">
        <v>825</v>
      </c>
      <c r="D136" s="137">
        <v>68.650000000000006</v>
      </c>
      <c r="E136" s="137">
        <v>-148.5</v>
      </c>
      <c r="F136" s="137">
        <v>525</v>
      </c>
      <c r="G136" s="137" t="s">
        <v>607</v>
      </c>
      <c r="H136" s="137" t="s">
        <v>596</v>
      </c>
      <c r="I136" s="137" t="s">
        <v>596</v>
      </c>
      <c r="J136" s="137" t="s">
        <v>622</v>
      </c>
      <c r="K136" s="137" t="s">
        <v>596</v>
      </c>
      <c r="L136" s="137" t="s">
        <v>623</v>
      </c>
      <c r="M136" s="143" t="str">
        <f t="shared" si="2"/>
        <v>View on Google Map</v>
      </c>
    </row>
    <row r="137" spans="1:13" x14ac:dyDescent="0.2">
      <c r="A137" s="137">
        <v>464</v>
      </c>
      <c r="B137" s="137" t="s">
        <v>826</v>
      </c>
      <c r="C137" s="137" t="s">
        <v>596</v>
      </c>
      <c r="D137" s="137">
        <v>68.793719999999993</v>
      </c>
      <c r="E137" s="137">
        <v>-149.47560999999999</v>
      </c>
      <c r="F137" s="137">
        <v>702</v>
      </c>
      <c r="G137" s="137" t="s">
        <v>607</v>
      </c>
      <c r="H137" s="137" t="s">
        <v>596</v>
      </c>
      <c r="I137" s="137" t="s">
        <v>596</v>
      </c>
      <c r="J137" s="137" t="s">
        <v>608</v>
      </c>
      <c r="K137" s="137" t="s">
        <v>596</v>
      </c>
      <c r="L137" s="137" t="s">
        <v>596</v>
      </c>
      <c r="M137" s="143" t="str">
        <f t="shared" si="2"/>
        <v>View on Google Map</v>
      </c>
    </row>
    <row r="138" spans="1:13" x14ac:dyDescent="0.2">
      <c r="A138" s="137">
        <v>465</v>
      </c>
      <c r="B138" s="137" t="s">
        <v>827</v>
      </c>
      <c r="C138" s="137" t="s">
        <v>596</v>
      </c>
      <c r="D138" s="137">
        <v>68.796220000000005</v>
      </c>
      <c r="E138" s="137">
        <v>-149.48222000000001</v>
      </c>
      <c r="F138" s="137">
        <v>698</v>
      </c>
      <c r="G138" s="137" t="s">
        <v>607</v>
      </c>
      <c r="H138" s="137" t="s">
        <v>596</v>
      </c>
      <c r="I138" s="137" t="s">
        <v>596</v>
      </c>
      <c r="J138" s="137" t="s">
        <v>608</v>
      </c>
      <c r="K138" s="137" t="s">
        <v>596</v>
      </c>
      <c r="L138" s="137" t="s">
        <v>596</v>
      </c>
      <c r="M138" s="143" t="str">
        <f t="shared" si="2"/>
        <v>View on Google Map</v>
      </c>
    </row>
    <row r="139" spans="1:13" x14ac:dyDescent="0.2">
      <c r="A139" s="137">
        <v>466</v>
      </c>
      <c r="B139" s="137" t="s">
        <v>828</v>
      </c>
      <c r="C139" s="137" t="s">
        <v>596</v>
      </c>
      <c r="D139" s="137">
        <v>68.798249999999996</v>
      </c>
      <c r="E139" s="137">
        <v>-149.47832</v>
      </c>
      <c r="F139" s="137">
        <v>697</v>
      </c>
      <c r="G139" s="137" t="s">
        <v>607</v>
      </c>
      <c r="H139" s="137" t="s">
        <v>596</v>
      </c>
      <c r="I139" s="137" t="s">
        <v>596</v>
      </c>
      <c r="J139" s="137" t="s">
        <v>608</v>
      </c>
      <c r="K139" s="137" t="s">
        <v>596</v>
      </c>
      <c r="L139" s="137" t="s">
        <v>596</v>
      </c>
      <c r="M139" s="143" t="str">
        <f t="shared" si="2"/>
        <v>View on Google Map</v>
      </c>
    </row>
    <row r="140" spans="1:13" x14ac:dyDescent="0.2">
      <c r="A140" s="137">
        <v>467</v>
      </c>
      <c r="B140" s="137" t="s">
        <v>829</v>
      </c>
      <c r="C140" s="137" t="s">
        <v>596</v>
      </c>
      <c r="D140" s="137">
        <v>68.794659999999993</v>
      </c>
      <c r="E140" s="137">
        <v>-149.46985000000001</v>
      </c>
      <c r="F140" s="137">
        <v>702</v>
      </c>
      <c r="G140" s="137" t="s">
        <v>607</v>
      </c>
      <c r="H140" s="137" t="s">
        <v>596</v>
      </c>
      <c r="I140" s="137" t="s">
        <v>596</v>
      </c>
      <c r="J140" s="137" t="s">
        <v>608</v>
      </c>
      <c r="K140" s="137" t="s">
        <v>596</v>
      </c>
      <c r="L140" s="137" t="s">
        <v>596</v>
      </c>
      <c r="M140" s="143" t="str">
        <f t="shared" si="2"/>
        <v>View on Google Map</v>
      </c>
    </row>
    <row r="141" spans="1:13" x14ac:dyDescent="0.2">
      <c r="A141" s="137">
        <v>468</v>
      </c>
      <c r="B141" s="137" t="s">
        <v>830</v>
      </c>
      <c r="C141" s="137" t="s">
        <v>596</v>
      </c>
      <c r="D141" s="137">
        <v>68.797669999999997</v>
      </c>
      <c r="E141" s="137">
        <v>-149.46574000000001</v>
      </c>
      <c r="F141" s="137">
        <v>692</v>
      </c>
      <c r="G141" s="137" t="s">
        <v>607</v>
      </c>
      <c r="H141" s="137" t="s">
        <v>596</v>
      </c>
      <c r="I141" s="137" t="s">
        <v>596</v>
      </c>
      <c r="J141" s="137" t="s">
        <v>608</v>
      </c>
      <c r="K141" s="137" t="s">
        <v>596</v>
      </c>
      <c r="L141" s="137" t="s">
        <v>596</v>
      </c>
      <c r="M141" s="143" t="str">
        <f t="shared" si="2"/>
        <v>View on Google Map</v>
      </c>
    </row>
    <row r="142" spans="1:13" x14ac:dyDescent="0.2">
      <c r="A142" s="137">
        <v>469</v>
      </c>
      <c r="B142" s="137" t="s">
        <v>831</v>
      </c>
      <c r="C142" s="137" t="s">
        <v>596</v>
      </c>
      <c r="D142" s="137">
        <v>68.802390000000003</v>
      </c>
      <c r="E142" s="137">
        <v>-149.46473</v>
      </c>
      <c r="F142" s="137">
        <v>683</v>
      </c>
      <c r="G142" s="137" t="s">
        <v>607</v>
      </c>
      <c r="H142" s="137" t="s">
        <v>596</v>
      </c>
      <c r="I142" s="137" t="s">
        <v>596</v>
      </c>
      <c r="J142" s="137" t="s">
        <v>608</v>
      </c>
      <c r="K142" s="137" t="s">
        <v>596</v>
      </c>
      <c r="L142" s="137" t="s">
        <v>596</v>
      </c>
      <c r="M142" s="143" t="str">
        <f t="shared" si="2"/>
        <v>View on Google Map</v>
      </c>
    </row>
    <row r="143" spans="1:13" x14ac:dyDescent="0.2">
      <c r="A143" s="137">
        <v>406</v>
      </c>
      <c r="B143" s="137" t="s">
        <v>832</v>
      </c>
      <c r="C143" s="137" t="s">
        <v>596</v>
      </c>
      <c r="D143" s="137" t="s">
        <v>596</v>
      </c>
      <c r="E143" s="137" t="s">
        <v>596</v>
      </c>
      <c r="F143" s="137" t="s">
        <v>596</v>
      </c>
      <c r="G143" s="137" t="s">
        <v>607</v>
      </c>
      <c r="H143" s="137" t="s">
        <v>596</v>
      </c>
      <c r="I143" s="137" t="s">
        <v>596</v>
      </c>
      <c r="J143" s="137" t="s">
        <v>622</v>
      </c>
      <c r="K143" s="137" t="s">
        <v>596</v>
      </c>
      <c r="L143" s="137" t="s">
        <v>778</v>
      </c>
      <c r="M143" s="143" t="str">
        <f t="shared" si="2"/>
        <v>View on Google Map</v>
      </c>
    </row>
    <row r="144" spans="1:13" x14ac:dyDescent="0.2">
      <c r="A144" s="137">
        <v>407</v>
      </c>
      <c r="B144" s="137" t="s">
        <v>833</v>
      </c>
      <c r="C144" s="137" t="s">
        <v>596</v>
      </c>
      <c r="D144" s="137" t="s">
        <v>596</v>
      </c>
      <c r="E144" s="137" t="s">
        <v>596</v>
      </c>
      <c r="F144" s="137" t="s">
        <v>596</v>
      </c>
      <c r="G144" s="137" t="s">
        <v>607</v>
      </c>
      <c r="H144" s="137" t="s">
        <v>596</v>
      </c>
      <c r="I144" s="137" t="s">
        <v>596</v>
      </c>
      <c r="J144" s="137" t="s">
        <v>622</v>
      </c>
      <c r="K144" s="137" t="s">
        <v>596</v>
      </c>
      <c r="L144" s="137" t="s">
        <v>778</v>
      </c>
      <c r="M144" s="143" t="str">
        <f t="shared" si="2"/>
        <v>View on Google Map</v>
      </c>
    </row>
    <row r="145" spans="1:13" x14ac:dyDescent="0.2">
      <c r="A145" s="137">
        <v>164</v>
      </c>
      <c r="B145" s="137" t="s">
        <v>834</v>
      </c>
      <c r="C145" s="137" t="s">
        <v>596</v>
      </c>
      <c r="D145" s="137">
        <v>68.683333333333337</v>
      </c>
      <c r="E145" s="137">
        <v>-149.07666666666699</v>
      </c>
      <c r="F145" s="137">
        <v>770</v>
      </c>
      <c r="G145" s="137" t="s">
        <v>607</v>
      </c>
      <c r="H145" s="137" t="s">
        <v>835</v>
      </c>
      <c r="I145" s="137" t="s">
        <v>836</v>
      </c>
      <c r="J145" s="137" t="s">
        <v>622</v>
      </c>
      <c r="K145" s="137">
        <v>274</v>
      </c>
      <c r="L145" s="137" t="s">
        <v>596</v>
      </c>
      <c r="M145" s="143" t="str">
        <f t="shared" si="2"/>
        <v>View on Google Map</v>
      </c>
    </row>
    <row r="146" spans="1:13" x14ac:dyDescent="0.2">
      <c r="A146" s="137">
        <v>165</v>
      </c>
      <c r="B146" s="137" t="s">
        <v>837</v>
      </c>
      <c r="C146" s="137" t="s">
        <v>596</v>
      </c>
      <c r="D146" s="137">
        <v>68.683333333333337</v>
      </c>
      <c r="E146" s="137">
        <v>-149.1</v>
      </c>
      <c r="F146" s="137">
        <v>785</v>
      </c>
      <c r="G146" s="137" t="s">
        <v>607</v>
      </c>
      <c r="H146" s="137" t="s">
        <v>838</v>
      </c>
      <c r="I146" s="137" t="s">
        <v>839</v>
      </c>
      <c r="J146" s="137" t="s">
        <v>622</v>
      </c>
      <c r="K146" s="137">
        <v>275</v>
      </c>
      <c r="L146" s="137" t="s">
        <v>596</v>
      </c>
      <c r="M146" s="143" t="str">
        <f t="shared" si="2"/>
        <v>View on Google Map</v>
      </c>
    </row>
    <row r="147" spans="1:13" x14ac:dyDescent="0.2">
      <c r="A147" s="137">
        <v>166</v>
      </c>
      <c r="B147" s="137" t="s">
        <v>840</v>
      </c>
      <c r="C147" s="137" t="s">
        <v>596</v>
      </c>
      <c r="D147" s="137">
        <v>68.666666666666671</v>
      </c>
      <c r="E147" s="137">
        <v>-149.1</v>
      </c>
      <c r="F147" s="137">
        <v>792</v>
      </c>
      <c r="G147" s="137" t="s">
        <v>607</v>
      </c>
      <c r="H147" s="137" t="s">
        <v>841</v>
      </c>
      <c r="I147" s="137" t="s">
        <v>842</v>
      </c>
      <c r="J147" s="137" t="s">
        <v>622</v>
      </c>
      <c r="K147" s="137">
        <v>276</v>
      </c>
      <c r="L147" s="137" t="s">
        <v>596</v>
      </c>
      <c r="M147" s="143" t="str">
        <f t="shared" si="2"/>
        <v>View on Google Map</v>
      </c>
    </row>
    <row r="148" spans="1:13" x14ac:dyDescent="0.2">
      <c r="A148" s="137">
        <v>167</v>
      </c>
      <c r="B148" s="137" t="s">
        <v>843</v>
      </c>
      <c r="C148" s="137" t="s">
        <v>596</v>
      </c>
      <c r="D148" s="137">
        <v>68.680000000000007</v>
      </c>
      <c r="E148" s="137">
        <v>-149.071666666667</v>
      </c>
      <c r="F148" s="137">
        <v>754</v>
      </c>
      <c r="G148" s="137" t="s">
        <v>607</v>
      </c>
      <c r="H148" s="137" t="s">
        <v>844</v>
      </c>
      <c r="I148" s="137" t="s">
        <v>845</v>
      </c>
      <c r="J148" s="137" t="s">
        <v>622</v>
      </c>
      <c r="K148" s="137" t="s">
        <v>596</v>
      </c>
      <c r="L148" s="137" t="s">
        <v>596</v>
      </c>
      <c r="M148" s="143" t="str">
        <f t="shared" si="2"/>
        <v>View on Google Map</v>
      </c>
    </row>
    <row r="149" spans="1:13" x14ac:dyDescent="0.2">
      <c r="A149" s="137">
        <v>168</v>
      </c>
      <c r="B149" s="137" t="s">
        <v>846</v>
      </c>
      <c r="C149" s="137" t="s">
        <v>596</v>
      </c>
      <c r="D149" s="137">
        <v>68.674999999999997</v>
      </c>
      <c r="E149" s="137">
        <v>-149.06</v>
      </c>
      <c r="F149" s="137" t="s">
        <v>596</v>
      </c>
      <c r="G149" s="137" t="s">
        <v>607</v>
      </c>
      <c r="H149" s="137" t="s">
        <v>847</v>
      </c>
      <c r="I149" s="137" t="s">
        <v>848</v>
      </c>
      <c r="J149" s="137" t="s">
        <v>622</v>
      </c>
      <c r="K149" s="137" t="s">
        <v>596</v>
      </c>
      <c r="L149" s="137" t="s">
        <v>596</v>
      </c>
      <c r="M149" s="143" t="str">
        <f t="shared" si="2"/>
        <v>View on Google Map</v>
      </c>
    </row>
    <row r="150" spans="1:13" x14ac:dyDescent="0.2">
      <c r="A150" s="137">
        <v>124</v>
      </c>
      <c r="B150" s="137" t="s">
        <v>849</v>
      </c>
      <c r="C150" s="137" t="s">
        <v>596</v>
      </c>
      <c r="D150" s="137">
        <v>68.466666666666669</v>
      </c>
      <c r="E150" s="137">
        <v>-149.5</v>
      </c>
      <c r="F150" s="137">
        <v>802</v>
      </c>
      <c r="G150" s="137" t="s">
        <v>607</v>
      </c>
      <c r="H150" s="137" t="s">
        <v>850</v>
      </c>
      <c r="I150" s="137" t="s">
        <v>596</v>
      </c>
      <c r="J150" s="137" t="s">
        <v>622</v>
      </c>
      <c r="K150" s="137" t="s">
        <v>596</v>
      </c>
      <c r="L150" s="137" t="s">
        <v>623</v>
      </c>
      <c r="M150" s="143" t="str">
        <f t="shared" si="2"/>
        <v>View on Google Map</v>
      </c>
    </row>
    <row r="151" spans="1:13" x14ac:dyDescent="0.2">
      <c r="A151" s="137">
        <v>432</v>
      </c>
      <c r="B151" s="137" t="s">
        <v>851</v>
      </c>
      <c r="C151" s="137" t="s">
        <v>596</v>
      </c>
      <c r="D151" s="137" t="s">
        <v>596</v>
      </c>
      <c r="E151" s="137" t="s">
        <v>596</v>
      </c>
      <c r="F151" s="137">
        <v>800</v>
      </c>
      <c r="G151" s="137" t="s">
        <v>607</v>
      </c>
      <c r="H151" s="137" t="s">
        <v>852</v>
      </c>
      <c r="I151" s="137" t="s">
        <v>596</v>
      </c>
      <c r="J151" s="137" t="s">
        <v>622</v>
      </c>
      <c r="K151" s="137" t="s">
        <v>596</v>
      </c>
      <c r="L151" s="137" t="s">
        <v>853</v>
      </c>
      <c r="M151" s="143" t="str">
        <f t="shared" si="2"/>
        <v>View on Google Map</v>
      </c>
    </row>
    <row r="152" spans="1:13" x14ac:dyDescent="0.2">
      <c r="A152" s="137">
        <v>433</v>
      </c>
      <c r="B152" s="137" t="s">
        <v>854</v>
      </c>
      <c r="C152" s="137" t="s">
        <v>596</v>
      </c>
      <c r="D152" s="137" t="s">
        <v>596</v>
      </c>
      <c r="E152" s="137" t="s">
        <v>596</v>
      </c>
      <c r="F152" s="137">
        <v>800</v>
      </c>
      <c r="G152" s="137" t="s">
        <v>607</v>
      </c>
      <c r="H152" s="137" t="s">
        <v>855</v>
      </c>
      <c r="I152" s="137" t="s">
        <v>596</v>
      </c>
      <c r="J152" s="137" t="s">
        <v>622</v>
      </c>
      <c r="K152" s="137" t="s">
        <v>596</v>
      </c>
      <c r="L152" s="137" t="s">
        <v>853</v>
      </c>
      <c r="M152" s="143" t="str">
        <f t="shared" si="2"/>
        <v>View on Google Map</v>
      </c>
    </row>
    <row r="153" spans="1:13" x14ac:dyDescent="0.2">
      <c r="A153" s="137">
        <v>434</v>
      </c>
      <c r="B153" s="137" t="s">
        <v>856</v>
      </c>
      <c r="C153" s="137" t="s">
        <v>596</v>
      </c>
      <c r="D153" s="137" t="s">
        <v>596</v>
      </c>
      <c r="E153" s="137" t="s">
        <v>596</v>
      </c>
      <c r="F153" s="137">
        <v>801</v>
      </c>
      <c r="G153" s="137" t="s">
        <v>607</v>
      </c>
      <c r="H153" s="137" t="s">
        <v>857</v>
      </c>
      <c r="I153" s="137" t="s">
        <v>596</v>
      </c>
      <c r="J153" s="137" t="s">
        <v>622</v>
      </c>
      <c r="K153" s="137" t="s">
        <v>596</v>
      </c>
      <c r="L153" s="137" t="s">
        <v>853</v>
      </c>
      <c r="M153" s="143" t="str">
        <f t="shared" si="2"/>
        <v>View on Google Map</v>
      </c>
    </row>
    <row r="154" spans="1:13" x14ac:dyDescent="0.2">
      <c r="A154" s="137">
        <v>435</v>
      </c>
      <c r="B154" s="137" t="s">
        <v>858</v>
      </c>
      <c r="C154" s="137" t="s">
        <v>596</v>
      </c>
      <c r="D154" s="137" t="s">
        <v>596</v>
      </c>
      <c r="E154" s="137" t="s">
        <v>596</v>
      </c>
      <c r="F154" s="137">
        <v>802</v>
      </c>
      <c r="G154" s="137" t="s">
        <v>607</v>
      </c>
      <c r="H154" s="137" t="s">
        <v>859</v>
      </c>
      <c r="I154" s="137" t="s">
        <v>596</v>
      </c>
      <c r="J154" s="137" t="s">
        <v>622</v>
      </c>
      <c r="K154" s="137" t="s">
        <v>596</v>
      </c>
      <c r="L154" s="137" t="s">
        <v>853</v>
      </c>
      <c r="M154" s="143" t="str">
        <f t="shared" si="2"/>
        <v>View on Google Map</v>
      </c>
    </row>
    <row r="155" spans="1:13" x14ac:dyDescent="0.2">
      <c r="A155" s="137">
        <v>436</v>
      </c>
      <c r="B155" s="137" t="s">
        <v>860</v>
      </c>
      <c r="C155" s="137" t="s">
        <v>596</v>
      </c>
      <c r="D155" s="137" t="s">
        <v>596</v>
      </c>
      <c r="E155" s="137" t="s">
        <v>596</v>
      </c>
      <c r="F155" s="137">
        <v>803</v>
      </c>
      <c r="G155" s="137" t="s">
        <v>607</v>
      </c>
      <c r="H155" s="137" t="s">
        <v>861</v>
      </c>
      <c r="I155" s="137" t="s">
        <v>596</v>
      </c>
      <c r="J155" s="137" t="s">
        <v>622</v>
      </c>
      <c r="K155" s="137" t="s">
        <v>596</v>
      </c>
      <c r="L155" s="137" t="s">
        <v>853</v>
      </c>
      <c r="M155" s="143" t="str">
        <f t="shared" si="2"/>
        <v>View on Google Map</v>
      </c>
    </row>
    <row r="156" spans="1:13" x14ac:dyDescent="0.2">
      <c r="A156" s="137">
        <v>437</v>
      </c>
      <c r="B156" s="137" t="s">
        <v>862</v>
      </c>
      <c r="C156" s="137" t="s">
        <v>596</v>
      </c>
      <c r="D156" s="137" t="s">
        <v>596</v>
      </c>
      <c r="E156" s="137" t="s">
        <v>596</v>
      </c>
      <c r="F156" s="137">
        <v>804</v>
      </c>
      <c r="G156" s="137" t="s">
        <v>607</v>
      </c>
      <c r="H156" s="137" t="s">
        <v>863</v>
      </c>
      <c r="I156" s="137" t="s">
        <v>596</v>
      </c>
      <c r="J156" s="137" t="s">
        <v>622</v>
      </c>
      <c r="K156" s="137" t="s">
        <v>596</v>
      </c>
      <c r="L156" s="137" t="s">
        <v>853</v>
      </c>
      <c r="M156" s="143" t="str">
        <f t="shared" si="2"/>
        <v>View on Google Map</v>
      </c>
    </row>
    <row r="157" spans="1:13" x14ac:dyDescent="0.2">
      <c r="A157" s="137">
        <v>438</v>
      </c>
      <c r="B157" s="137" t="s">
        <v>864</v>
      </c>
      <c r="C157" s="137" t="s">
        <v>596</v>
      </c>
      <c r="D157" s="137" t="s">
        <v>596</v>
      </c>
      <c r="E157" s="137" t="s">
        <v>596</v>
      </c>
      <c r="F157" s="137">
        <v>805</v>
      </c>
      <c r="G157" s="137" t="s">
        <v>607</v>
      </c>
      <c r="H157" s="137" t="s">
        <v>865</v>
      </c>
      <c r="I157" s="137" t="s">
        <v>596</v>
      </c>
      <c r="J157" s="137" t="s">
        <v>622</v>
      </c>
      <c r="K157" s="137" t="s">
        <v>596</v>
      </c>
      <c r="L157" s="137" t="s">
        <v>853</v>
      </c>
      <c r="M157" s="143" t="str">
        <f t="shared" si="2"/>
        <v>View on Google Map</v>
      </c>
    </row>
    <row r="158" spans="1:13" x14ac:dyDescent="0.2">
      <c r="A158" s="137">
        <v>439</v>
      </c>
      <c r="B158" s="137" t="s">
        <v>866</v>
      </c>
      <c r="C158" s="137" t="s">
        <v>596</v>
      </c>
      <c r="D158" s="137" t="s">
        <v>596</v>
      </c>
      <c r="E158" s="137" t="s">
        <v>596</v>
      </c>
      <c r="F158" s="137">
        <v>807</v>
      </c>
      <c r="G158" s="137" t="s">
        <v>607</v>
      </c>
      <c r="H158" s="137" t="s">
        <v>867</v>
      </c>
      <c r="I158" s="137" t="s">
        <v>596</v>
      </c>
      <c r="J158" s="137" t="s">
        <v>622</v>
      </c>
      <c r="K158" s="137" t="s">
        <v>596</v>
      </c>
      <c r="L158" s="137" t="s">
        <v>853</v>
      </c>
      <c r="M158" s="143" t="str">
        <f t="shared" si="2"/>
        <v>View on Google Map</v>
      </c>
    </row>
    <row r="159" spans="1:13" x14ac:dyDescent="0.2">
      <c r="A159" s="137">
        <v>440</v>
      </c>
      <c r="B159" s="137" t="s">
        <v>868</v>
      </c>
      <c r="C159" s="137" t="s">
        <v>596</v>
      </c>
      <c r="D159" s="137" t="s">
        <v>596</v>
      </c>
      <c r="E159" s="137" t="s">
        <v>596</v>
      </c>
      <c r="F159" s="137">
        <v>805</v>
      </c>
      <c r="G159" s="137" t="s">
        <v>607</v>
      </c>
      <c r="H159" s="137" t="s">
        <v>869</v>
      </c>
      <c r="I159" s="137" t="s">
        <v>596</v>
      </c>
      <c r="J159" s="137" t="s">
        <v>622</v>
      </c>
      <c r="K159" s="137" t="s">
        <v>596</v>
      </c>
      <c r="L159" s="137" t="s">
        <v>853</v>
      </c>
      <c r="M159" s="143" t="str">
        <f t="shared" si="2"/>
        <v>View on Google Map</v>
      </c>
    </row>
    <row r="160" spans="1:13" x14ac:dyDescent="0.2">
      <c r="A160" s="137">
        <v>441</v>
      </c>
      <c r="B160" s="137" t="s">
        <v>870</v>
      </c>
      <c r="C160" s="137" t="s">
        <v>596</v>
      </c>
      <c r="D160" s="137" t="s">
        <v>596</v>
      </c>
      <c r="E160" s="137" t="s">
        <v>596</v>
      </c>
      <c r="F160" s="137">
        <v>805</v>
      </c>
      <c r="G160" s="137" t="s">
        <v>607</v>
      </c>
      <c r="H160" s="137" t="s">
        <v>871</v>
      </c>
      <c r="I160" s="137" t="s">
        <v>596</v>
      </c>
      <c r="J160" s="137" t="s">
        <v>622</v>
      </c>
      <c r="K160" s="137" t="s">
        <v>596</v>
      </c>
      <c r="L160" s="137" t="s">
        <v>853</v>
      </c>
      <c r="M160" s="143" t="str">
        <f t="shared" si="2"/>
        <v>View on Google Map</v>
      </c>
    </row>
    <row r="161" spans="1:14" x14ac:dyDescent="0.2">
      <c r="A161" s="137">
        <v>442</v>
      </c>
      <c r="B161" s="137" t="s">
        <v>872</v>
      </c>
      <c r="C161" s="137" t="s">
        <v>596</v>
      </c>
      <c r="D161" s="137" t="s">
        <v>596</v>
      </c>
      <c r="E161" s="137" t="s">
        <v>596</v>
      </c>
      <c r="F161" s="137">
        <v>805</v>
      </c>
      <c r="G161" s="137" t="s">
        <v>607</v>
      </c>
      <c r="H161" s="137" t="s">
        <v>873</v>
      </c>
      <c r="I161" s="137" t="s">
        <v>596</v>
      </c>
      <c r="J161" s="137" t="s">
        <v>622</v>
      </c>
      <c r="K161" s="137" t="s">
        <v>596</v>
      </c>
      <c r="L161" s="137" t="s">
        <v>853</v>
      </c>
      <c r="M161" s="143" t="str">
        <f t="shared" si="2"/>
        <v>View on Google Map</v>
      </c>
    </row>
    <row r="162" spans="1:14" x14ac:dyDescent="0.2">
      <c r="A162" s="137">
        <v>443</v>
      </c>
      <c r="B162" s="137" t="s">
        <v>874</v>
      </c>
      <c r="C162" s="137" t="s">
        <v>596</v>
      </c>
      <c r="D162" s="137" t="s">
        <v>596</v>
      </c>
      <c r="E162" s="137" t="s">
        <v>596</v>
      </c>
      <c r="F162" s="137">
        <v>812</v>
      </c>
      <c r="G162" s="137" t="s">
        <v>607</v>
      </c>
      <c r="H162" s="137" t="s">
        <v>875</v>
      </c>
      <c r="I162" s="137" t="s">
        <v>596</v>
      </c>
      <c r="J162" s="137" t="s">
        <v>622</v>
      </c>
      <c r="K162" s="137" t="s">
        <v>596</v>
      </c>
      <c r="L162" s="137" t="s">
        <v>853</v>
      </c>
      <c r="M162" s="143" t="str">
        <f t="shared" si="2"/>
        <v>View on Google Map</v>
      </c>
    </row>
    <row r="163" spans="1:14" x14ac:dyDescent="0.2">
      <c r="A163" s="137">
        <v>28</v>
      </c>
      <c r="B163" s="137" t="s">
        <v>876</v>
      </c>
      <c r="C163" s="137" t="s">
        <v>596</v>
      </c>
      <c r="D163" s="137" t="s">
        <v>596</v>
      </c>
      <c r="E163" s="137" t="s">
        <v>596</v>
      </c>
      <c r="F163" s="137">
        <v>1189</v>
      </c>
      <c r="G163" s="137" t="s">
        <v>621</v>
      </c>
      <c r="H163" s="137" t="s">
        <v>877</v>
      </c>
      <c r="I163" s="137" t="s">
        <v>596</v>
      </c>
      <c r="J163" s="137" t="s">
        <v>622</v>
      </c>
      <c r="K163" s="137" t="s">
        <v>596</v>
      </c>
      <c r="L163" s="137" t="s">
        <v>596</v>
      </c>
      <c r="M163" s="143" t="str">
        <f t="shared" si="2"/>
        <v>View on Google Map</v>
      </c>
    </row>
    <row r="164" spans="1:14" x14ac:dyDescent="0.2">
      <c r="A164" s="137">
        <v>29</v>
      </c>
      <c r="B164" s="137" t="s">
        <v>878</v>
      </c>
      <c r="C164" s="137" t="s">
        <v>596</v>
      </c>
      <c r="D164" s="137" t="s">
        <v>596</v>
      </c>
      <c r="E164" s="137" t="s">
        <v>596</v>
      </c>
      <c r="F164" s="137">
        <v>1372</v>
      </c>
      <c r="G164" s="137" t="s">
        <v>621</v>
      </c>
      <c r="H164" s="137" t="s">
        <v>879</v>
      </c>
      <c r="I164" s="137" t="s">
        <v>596</v>
      </c>
      <c r="J164" s="137" t="s">
        <v>622</v>
      </c>
      <c r="K164" s="137" t="s">
        <v>596</v>
      </c>
      <c r="L164" s="137" t="s">
        <v>596</v>
      </c>
      <c r="M164" s="143" t="str">
        <f t="shared" si="2"/>
        <v>View on Google Map</v>
      </c>
    </row>
    <row r="165" spans="1:14" x14ac:dyDescent="0.2">
      <c r="A165" s="137">
        <v>30</v>
      </c>
      <c r="B165" s="137" t="s">
        <v>880</v>
      </c>
      <c r="C165" s="137" t="s">
        <v>596</v>
      </c>
      <c r="D165" s="137" t="s">
        <v>596</v>
      </c>
      <c r="E165" s="137" t="s">
        <v>596</v>
      </c>
      <c r="F165" s="137">
        <v>1463</v>
      </c>
      <c r="G165" s="137" t="s">
        <v>621</v>
      </c>
      <c r="H165" s="137" t="s">
        <v>881</v>
      </c>
      <c r="I165" s="137" t="s">
        <v>596</v>
      </c>
      <c r="J165" s="137" t="s">
        <v>622</v>
      </c>
      <c r="K165" s="137" t="s">
        <v>596</v>
      </c>
      <c r="L165" s="137" t="s">
        <v>596</v>
      </c>
      <c r="M165" s="143" t="str">
        <f t="shared" si="2"/>
        <v>View on Google Map</v>
      </c>
    </row>
    <row r="166" spans="1:14" x14ac:dyDescent="0.2">
      <c r="A166" s="137">
        <v>142</v>
      </c>
      <c r="B166" s="137" t="s">
        <v>882</v>
      </c>
      <c r="C166" s="137" t="s">
        <v>883</v>
      </c>
      <c r="D166" s="137">
        <v>68.53698</v>
      </c>
      <c r="E166" s="137">
        <v>-149.23740000000001</v>
      </c>
      <c r="F166" s="137">
        <v>883</v>
      </c>
      <c r="G166" s="137" t="s">
        <v>607</v>
      </c>
      <c r="H166" s="137" t="s">
        <v>884</v>
      </c>
      <c r="I166" s="137" t="s">
        <v>885</v>
      </c>
      <c r="J166" s="137" t="s">
        <v>622</v>
      </c>
      <c r="K166" s="137" t="s">
        <v>596</v>
      </c>
      <c r="L166" s="137" t="s">
        <v>623</v>
      </c>
      <c r="M166" s="143" t="str">
        <f t="shared" si="2"/>
        <v>View on Google Map</v>
      </c>
    </row>
    <row r="167" spans="1:14" x14ac:dyDescent="0.2">
      <c r="A167" s="137">
        <v>416</v>
      </c>
      <c r="B167" s="137" t="s">
        <v>886</v>
      </c>
      <c r="C167" s="137" t="s">
        <v>887</v>
      </c>
      <c r="D167" s="137">
        <v>68.496079978500006</v>
      </c>
      <c r="E167" s="137">
        <v>-149.60215567200001</v>
      </c>
      <c r="F167" s="137">
        <v>938</v>
      </c>
      <c r="G167" s="137" t="s">
        <v>607</v>
      </c>
      <c r="H167" s="137" t="s">
        <v>888</v>
      </c>
      <c r="I167" s="137" t="s">
        <v>596</v>
      </c>
      <c r="J167" s="137" t="s">
        <v>889</v>
      </c>
      <c r="K167" s="137" t="s">
        <v>596</v>
      </c>
      <c r="L167" s="137" t="s">
        <v>890</v>
      </c>
      <c r="M167" s="143" t="str">
        <f t="shared" si="2"/>
        <v>View on Google Map</v>
      </c>
      <c r="N167" s="137">
        <f>VALUE(MID(B167,5,3))</f>
        <v>100</v>
      </c>
    </row>
    <row r="168" spans="1:14" x14ac:dyDescent="0.2">
      <c r="A168" s="137">
        <v>417</v>
      </c>
      <c r="B168" s="137" t="s">
        <v>891</v>
      </c>
      <c r="C168" s="137" t="s">
        <v>892</v>
      </c>
      <c r="D168" s="137">
        <v>68.491641939700003</v>
      </c>
      <c r="E168" s="137">
        <v>-149.60743984699999</v>
      </c>
      <c r="F168" s="137">
        <v>937</v>
      </c>
      <c r="G168" s="137" t="s">
        <v>607</v>
      </c>
      <c r="H168" s="137" t="s">
        <v>893</v>
      </c>
      <c r="I168" s="137" t="s">
        <v>596</v>
      </c>
      <c r="J168" s="137" t="s">
        <v>889</v>
      </c>
      <c r="K168" s="137" t="s">
        <v>596</v>
      </c>
      <c r="L168" s="137" t="s">
        <v>890</v>
      </c>
      <c r="M168" s="143" t="str">
        <f t="shared" si="2"/>
        <v>View on Google Map</v>
      </c>
      <c r="N168" s="137">
        <f>VALUE(MID(B168,5,3))</f>
        <v>101</v>
      </c>
    </row>
    <row r="169" spans="1:14" x14ac:dyDescent="0.2">
      <c r="A169" s="137">
        <v>418</v>
      </c>
      <c r="B169" s="137" t="s">
        <v>894</v>
      </c>
      <c r="C169" s="137" t="s">
        <v>895</v>
      </c>
      <c r="D169" s="137">
        <v>68.485971524799993</v>
      </c>
      <c r="E169" s="137">
        <v>-149.611957343</v>
      </c>
      <c r="F169" s="137">
        <v>936</v>
      </c>
      <c r="G169" s="137" t="s">
        <v>607</v>
      </c>
      <c r="H169" s="137" t="s">
        <v>596</v>
      </c>
      <c r="I169" s="137" t="s">
        <v>596</v>
      </c>
      <c r="J169" s="137" t="s">
        <v>889</v>
      </c>
      <c r="K169" s="137" t="s">
        <v>596</v>
      </c>
      <c r="L169" s="137" t="s">
        <v>890</v>
      </c>
      <c r="M169" s="143" t="str">
        <f t="shared" si="2"/>
        <v>View on Google Map</v>
      </c>
      <c r="N169" s="137">
        <f>VALUE(MID(B169,5,3))</f>
        <v>102</v>
      </c>
    </row>
    <row r="170" spans="1:14" x14ac:dyDescent="0.2">
      <c r="A170" s="137">
        <v>419</v>
      </c>
      <c r="B170" s="137" t="s">
        <v>896</v>
      </c>
      <c r="C170" s="137" t="s">
        <v>897</v>
      </c>
      <c r="D170" s="137">
        <v>68.486418246300005</v>
      </c>
      <c r="E170" s="137">
        <v>-149.623539768</v>
      </c>
      <c r="F170" s="137">
        <v>934</v>
      </c>
      <c r="G170" s="137" t="s">
        <v>607</v>
      </c>
      <c r="H170" s="137" t="s">
        <v>898</v>
      </c>
      <c r="I170" s="137" t="s">
        <v>596</v>
      </c>
      <c r="J170" s="137" t="s">
        <v>889</v>
      </c>
      <c r="K170" s="137" t="s">
        <v>596</v>
      </c>
      <c r="L170" s="137" t="s">
        <v>890</v>
      </c>
      <c r="M170" s="143" t="str">
        <f t="shared" si="2"/>
        <v>View on Google Map</v>
      </c>
      <c r="N170" s="137">
        <f>VALUE(MID(B170,5,3))</f>
        <v>103</v>
      </c>
    </row>
    <row r="171" spans="1:14" x14ac:dyDescent="0.2">
      <c r="A171" s="137">
        <v>420</v>
      </c>
      <c r="B171" s="137" t="s">
        <v>899</v>
      </c>
      <c r="C171" s="137" t="s">
        <v>900</v>
      </c>
      <c r="D171" s="137">
        <v>68.480358182399996</v>
      </c>
      <c r="E171" s="137">
        <v>-149.621808276</v>
      </c>
      <c r="F171" s="137" t="s">
        <v>596</v>
      </c>
      <c r="G171" s="137" t="s">
        <v>607</v>
      </c>
      <c r="H171" s="137" t="s">
        <v>899</v>
      </c>
      <c r="I171" s="137" t="s">
        <v>596</v>
      </c>
      <c r="J171" s="137" t="s">
        <v>889</v>
      </c>
      <c r="K171" s="137" t="s">
        <v>596</v>
      </c>
      <c r="L171" s="137" t="s">
        <v>890</v>
      </c>
      <c r="M171" s="143" t="str">
        <f t="shared" si="2"/>
        <v>View on Google Map</v>
      </c>
      <c r="N171" s="137">
        <f t="shared" ref="N171:N198" si="3">VALUE(MID(H171,5,3))</f>
        <v>104</v>
      </c>
    </row>
    <row r="172" spans="1:14" x14ac:dyDescent="0.2">
      <c r="A172" s="137">
        <v>421</v>
      </c>
      <c r="B172" s="137" t="s">
        <v>901</v>
      </c>
      <c r="C172" s="137" t="s">
        <v>902</v>
      </c>
      <c r="D172" s="137">
        <v>68.487163894299997</v>
      </c>
      <c r="E172" s="137">
        <v>-149.57470926400001</v>
      </c>
      <c r="F172" s="137" t="s">
        <v>596</v>
      </c>
      <c r="G172" s="137" t="s">
        <v>607</v>
      </c>
      <c r="H172" s="137" t="s">
        <v>901</v>
      </c>
      <c r="I172" s="137" t="s">
        <v>596</v>
      </c>
      <c r="J172" s="137" t="s">
        <v>889</v>
      </c>
      <c r="K172" s="137" t="s">
        <v>596</v>
      </c>
      <c r="L172" s="137" t="s">
        <v>890</v>
      </c>
      <c r="M172" s="143" t="str">
        <f t="shared" si="2"/>
        <v>View on Google Map</v>
      </c>
      <c r="N172" s="137">
        <f t="shared" si="3"/>
        <v>105</v>
      </c>
    </row>
    <row r="173" spans="1:14" x14ac:dyDescent="0.2">
      <c r="A173" s="137">
        <v>422</v>
      </c>
      <c r="B173" s="137" t="s">
        <v>903</v>
      </c>
      <c r="C173" s="137" t="s">
        <v>904</v>
      </c>
      <c r="D173" s="137">
        <v>68.482007853900001</v>
      </c>
      <c r="E173" s="137">
        <v>-149.57357543099999</v>
      </c>
      <c r="F173" s="137" t="s">
        <v>596</v>
      </c>
      <c r="G173" s="137" t="s">
        <v>607</v>
      </c>
      <c r="H173" s="137" t="s">
        <v>903</v>
      </c>
      <c r="I173" s="137" t="s">
        <v>596</v>
      </c>
      <c r="J173" s="137" t="s">
        <v>889</v>
      </c>
      <c r="K173" s="137" t="s">
        <v>596</v>
      </c>
      <c r="L173" s="137" t="s">
        <v>890</v>
      </c>
      <c r="M173" s="143" t="str">
        <f t="shared" si="2"/>
        <v>View on Google Map</v>
      </c>
      <c r="N173" s="137">
        <f t="shared" si="3"/>
        <v>106</v>
      </c>
    </row>
    <row r="174" spans="1:14" x14ac:dyDescent="0.2">
      <c r="A174" s="137">
        <v>423</v>
      </c>
      <c r="B174" s="137" t="s">
        <v>905</v>
      </c>
      <c r="C174" s="137" t="s">
        <v>906</v>
      </c>
      <c r="D174" s="137">
        <v>68.480117783099999</v>
      </c>
      <c r="E174" s="137">
        <v>-149.553733964</v>
      </c>
      <c r="F174" s="137" t="s">
        <v>596</v>
      </c>
      <c r="G174" s="137" t="s">
        <v>607</v>
      </c>
      <c r="H174" s="137" t="s">
        <v>905</v>
      </c>
      <c r="I174" s="137" t="s">
        <v>596</v>
      </c>
      <c r="J174" s="137" t="s">
        <v>889</v>
      </c>
      <c r="K174" s="137" t="s">
        <v>596</v>
      </c>
      <c r="L174" s="137" t="s">
        <v>890</v>
      </c>
      <c r="M174" s="143" t="str">
        <f t="shared" si="2"/>
        <v>View on Google Map</v>
      </c>
      <c r="N174" s="137">
        <f t="shared" si="3"/>
        <v>107</v>
      </c>
    </row>
    <row r="175" spans="1:14" x14ac:dyDescent="0.2">
      <c r="A175" s="137">
        <v>424</v>
      </c>
      <c r="B175" s="137" t="s">
        <v>907</v>
      </c>
      <c r="C175" s="137" t="s">
        <v>908</v>
      </c>
      <c r="D175" s="137">
        <v>68.553470657600002</v>
      </c>
      <c r="E175" s="137">
        <v>-149.16702515599999</v>
      </c>
      <c r="F175" s="137" t="s">
        <v>596</v>
      </c>
      <c r="G175" s="137" t="s">
        <v>607</v>
      </c>
      <c r="H175" s="137" t="s">
        <v>907</v>
      </c>
      <c r="I175" s="137" t="s">
        <v>596</v>
      </c>
      <c r="J175" s="137" t="s">
        <v>889</v>
      </c>
      <c r="K175" s="137" t="s">
        <v>596</v>
      </c>
      <c r="L175" s="137" t="s">
        <v>890</v>
      </c>
      <c r="M175" s="143" t="str">
        <f t="shared" si="2"/>
        <v>View on Google Map</v>
      </c>
      <c r="N175" s="137">
        <f t="shared" si="3"/>
        <v>108</v>
      </c>
    </row>
    <row r="176" spans="1:14" x14ac:dyDescent="0.2">
      <c r="A176" s="137">
        <v>425</v>
      </c>
      <c r="B176" s="137" t="s">
        <v>909</v>
      </c>
      <c r="C176" s="137" t="s">
        <v>910</v>
      </c>
      <c r="D176" s="137">
        <v>68.557082457700005</v>
      </c>
      <c r="E176" s="137">
        <v>-149.154445686</v>
      </c>
      <c r="F176" s="137" t="s">
        <v>596</v>
      </c>
      <c r="G176" s="137" t="s">
        <v>607</v>
      </c>
      <c r="H176" s="137" t="s">
        <v>909</v>
      </c>
      <c r="I176" s="137" t="s">
        <v>596</v>
      </c>
      <c r="J176" s="137" t="s">
        <v>889</v>
      </c>
      <c r="K176" s="137" t="s">
        <v>596</v>
      </c>
      <c r="L176" s="137" t="s">
        <v>890</v>
      </c>
      <c r="M176" s="143" t="str">
        <f t="shared" si="2"/>
        <v>View on Google Map</v>
      </c>
      <c r="N176" s="137">
        <f t="shared" si="3"/>
        <v>109</v>
      </c>
    </row>
    <row r="177" spans="1:14" x14ac:dyDescent="0.2">
      <c r="A177" s="137">
        <v>426</v>
      </c>
      <c r="B177" s="137" t="s">
        <v>911</v>
      </c>
      <c r="C177" s="137" t="s">
        <v>912</v>
      </c>
      <c r="D177" s="137">
        <v>68.732874005799999</v>
      </c>
      <c r="E177" s="137">
        <v>-149.401461627</v>
      </c>
      <c r="F177" s="137" t="s">
        <v>596</v>
      </c>
      <c r="G177" s="137" t="s">
        <v>607</v>
      </c>
      <c r="H177" s="137" t="s">
        <v>911</v>
      </c>
      <c r="I177" s="137" t="s">
        <v>596</v>
      </c>
      <c r="J177" s="137" t="s">
        <v>889</v>
      </c>
      <c r="K177" s="137" t="s">
        <v>596</v>
      </c>
      <c r="L177" s="137" t="s">
        <v>890</v>
      </c>
      <c r="M177" s="143" t="str">
        <f t="shared" si="2"/>
        <v>View on Google Map</v>
      </c>
      <c r="N177" s="137">
        <f t="shared" si="3"/>
        <v>110</v>
      </c>
    </row>
    <row r="178" spans="1:14" x14ac:dyDescent="0.2">
      <c r="A178" s="137">
        <v>427</v>
      </c>
      <c r="B178" s="137" t="s">
        <v>913</v>
      </c>
      <c r="C178" s="137" t="s">
        <v>914</v>
      </c>
      <c r="D178" s="137">
        <v>68.728437910899999</v>
      </c>
      <c r="E178" s="137">
        <v>-149.39298449200001</v>
      </c>
      <c r="F178" s="137" t="s">
        <v>596</v>
      </c>
      <c r="G178" s="137" t="s">
        <v>607</v>
      </c>
      <c r="H178" s="137" t="s">
        <v>913</v>
      </c>
      <c r="I178" s="137" t="s">
        <v>596</v>
      </c>
      <c r="J178" s="137" t="s">
        <v>889</v>
      </c>
      <c r="K178" s="137" t="s">
        <v>596</v>
      </c>
      <c r="L178" s="137" t="s">
        <v>890</v>
      </c>
      <c r="M178" s="143" t="str">
        <f t="shared" si="2"/>
        <v>View on Google Map</v>
      </c>
      <c r="N178" s="137">
        <f t="shared" si="3"/>
        <v>111</v>
      </c>
    </row>
    <row r="179" spans="1:14" x14ac:dyDescent="0.2">
      <c r="A179" s="137">
        <v>428</v>
      </c>
      <c r="B179" s="137" t="s">
        <v>915</v>
      </c>
      <c r="C179" s="137" t="s">
        <v>916</v>
      </c>
      <c r="D179" s="137">
        <v>68.671908805499996</v>
      </c>
      <c r="E179" s="137">
        <v>-149.24817348299999</v>
      </c>
      <c r="F179" s="137" t="s">
        <v>596</v>
      </c>
      <c r="G179" s="137" t="s">
        <v>607</v>
      </c>
      <c r="H179" s="137" t="s">
        <v>915</v>
      </c>
      <c r="I179" s="137" t="s">
        <v>596</v>
      </c>
      <c r="J179" s="137" t="s">
        <v>889</v>
      </c>
      <c r="K179" s="137" t="s">
        <v>596</v>
      </c>
      <c r="L179" s="137" t="s">
        <v>890</v>
      </c>
      <c r="M179" s="143" t="str">
        <f t="shared" si="2"/>
        <v>View on Google Map</v>
      </c>
      <c r="N179" s="137">
        <f t="shared" si="3"/>
        <v>112</v>
      </c>
    </row>
    <row r="180" spans="1:14" x14ac:dyDescent="0.2">
      <c r="A180" s="137">
        <v>429</v>
      </c>
      <c r="B180" s="137" t="s">
        <v>917</v>
      </c>
      <c r="C180" s="137" t="s">
        <v>918</v>
      </c>
      <c r="D180" s="137">
        <v>68.679427639400004</v>
      </c>
      <c r="E180" s="137">
        <v>-149.23947084900001</v>
      </c>
      <c r="F180" s="137" t="s">
        <v>596</v>
      </c>
      <c r="G180" s="137" t="s">
        <v>607</v>
      </c>
      <c r="H180" s="137" t="s">
        <v>917</v>
      </c>
      <c r="I180" s="137" t="s">
        <v>596</v>
      </c>
      <c r="J180" s="137" t="s">
        <v>889</v>
      </c>
      <c r="K180" s="137" t="s">
        <v>596</v>
      </c>
      <c r="L180" s="137" t="s">
        <v>890</v>
      </c>
      <c r="M180" s="143" t="str">
        <f t="shared" si="2"/>
        <v>View on Google Map</v>
      </c>
      <c r="N180" s="137">
        <f t="shared" si="3"/>
        <v>113</v>
      </c>
    </row>
    <row r="181" spans="1:14" x14ac:dyDescent="0.2">
      <c r="A181" s="137">
        <v>430</v>
      </c>
      <c r="B181" s="137" t="s">
        <v>919</v>
      </c>
      <c r="C181" s="137" t="s">
        <v>920</v>
      </c>
      <c r="D181" s="137">
        <v>68.679424428600001</v>
      </c>
      <c r="E181" s="137">
        <v>-149.22969695099999</v>
      </c>
      <c r="F181" s="137" t="s">
        <v>596</v>
      </c>
      <c r="G181" s="137" t="s">
        <v>607</v>
      </c>
      <c r="H181" s="137" t="s">
        <v>919</v>
      </c>
      <c r="I181" s="137" t="s">
        <v>596</v>
      </c>
      <c r="J181" s="137" t="s">
        <v>889</v>
      </c>
      <c r="K181" s="137" t="s">
        <v>596</v>
      </c>
      <c r="L181" s="137" t="s">
        <v>890</v>
      </c>
      <c r="M181" s="143" t="str">
        <f t="shared" si="2"/>
        <v>View on Google Map</v>
      </c>
      <c r="N181" s="137">
        <f t="shared" si="3"/>
        <v>114</v>
      </c>
    </row>
    <row r="182" spans="1:14" x14ac:dyDescent="0.2">
      <c r="A182" s="137">
        <v>398</v>
      </c>
      <c r="B182" s="137" t="s">
        <v>921</v>
      </c>
      <c r="C182" s="137" t="s">
        <v>922</v>
      </c>
      <c r="D182" s="137">
        <v>68.569791782099998</v>
      </c>
      <c r="E182" s="137">
        <v>-149.43938491</v>
      </c>
      <c r="F182" s="137" t="s">
        <v>596</v>
      </c>
      <c r="G182" s="137" t="s">
        <v>607</v>
      </c>
      <c r="H182" s="137" t="s">
        <v>921</v>
      </c>
      <c r="I182" s="137" t="s">
        <v>596</v>
      </c>
      <c r="J182" s="137" t="s">
        <v>889</v>
      </c>
      <c r="K182" s="137" t="s">
        <v>596</v>
      </c>
      <c r="L182" s="137" t="s">
        <v>890</v>
      </c>
      <c r="M182" s="143" t="str">
        <f t="shared" si="2"/>
        <v>View on Google Map</v>
      </c>
      <c r="N182" s="137">
        <f t="shared" si="3"/>
        <v>82</v>
      </c>
    </row>
    <row r="183" spans="1:14" x14ac:dyDescent="0.2">
      <c r="A183" s="137">
        <v>389</v>
      </c>
      <c r="B183" s="137" t="s">
        <v>923</v>
      </c>
      <c r="C183" s="137" t="s">
        <v>924</v>
      </c>
      <c r="D183" s="137">
        <v>68.568883214500005</v>
      </c>
      <c r="E183" s="137">
        <v>-149.432996798</v>
      </c>
      <c r="F183" s="137" t="s">
        <v>596</v>
      </c>
      <c r="G183" s="137" t="s">
        <v>607</v>
      </c>
      <c r="H183" s="137" t="s">
        <v>923</v>
      </c>
      <c r="I183" s="137" t="s">
        <v>596</v>
      </c>
      <c r="J183" s="137" t="s">
        <v>889</v>
      </c>
      <c r="K183" s="137" t="s">
        <v>596</v>
      </c>
      <c r="L183" s="137" t="s">
        <v>890</v>
      </c>
      <c r="M183" s="143" t="str">
        <f t="shared" si="2"/>
        <v>View on Google Map</v>
      </c>
      <c r="N183" s="137">
        <f t="shared" si="3"/>
        <v>83</v>
      </c>
    </row>
    <row r="184" spans="1:14" x14ac:dyDescent="0.2">
      <c r="A184" s="137">
        <v>390</v>
      </c>
      <c r="B184" s="137" t="s">
        <v>925</v>
      </c>
      <c r="C184" s="137" t="s">
        <v>926</v>
      </c>
      <c r="D184" s="137">
        <v>68.571446755099998</v>
      </c>
      <c r="E184" s="137">
        <v>-149.43614776499999</v>
      </c>
      <c r="F184" s="137" t="s">
        <v>596</v>
      </c>
      <c r="G184" s="137" t="s">
        <v>607</v>
      </c>
      <c r="H184" s="137" t="s">
        <v>925</v>
      </c>
      <c r="I184" s="137" t="s">
        <v>596</v>
      </c>
      <c r="J184" s="137" t="s">
        <v>889</v>
      </c>
      <c r="K184" s="137" t="s">
        <v>596</v>
      </c>
      <c r="L184" s="137" t="s">
        <v>890</v>
      </c>
      <c r="M184" s="143" t="str">
        <f t="shared" si="2"/>
        <v>View on Google Map</v>
      </c>
      <c r="N184" s="137">
        <f t="shared" si="3"/>
        <v>84</v>
      </c>
    </row>
    <row r="185" spans="1:14" x14ac:dyDescent="0.2">
      <c r="A185" s="137">
        <v>391</v>
      </c>
      <c r="B185" s="137" t="s">
        <v>927</v>
      </c>
      <c r="C185" s="137" t="s">
        <v>928</v>
      </c>
      <c r="D185" s="137">
        <v>68.600419015400007</v>
      </c>
      <c r="E185" s="137">
        <v>-149.438677388</v>
      </c>
      <c r="F185" s="137" t="s">
        <v>596</v>
      </c>
      <c r="G185" s="137" t="s">
        <v>607</v>
      </c>
      <c r="H185" s="137" t="s">
        <v>927</v>
      </c>
      <c r="I185" s="137" t="s">
        <v>596</v>
      </c>
      <c r="J185" s="137" t="s">
        <v>889</v>
      </c>
      <c r="K185" s="137" t="s">
        <v>596</v>
      </c>
      <c r="L185" s="137" t="s">
        <v>890</v>
      </c>
      <c r="M185" s="143" t="str">
        <f t="shared" si="2"/>
        <v>View on Google Map</v>
      </c>
      <c r="N185" s="137">
        <f t="shared" si="3"/>
        <v>85</v>
      </c>
    </row>
    <row r="186" spans="1:14" x14ac:dyDescent="0.2">
      <c r="A186" s="137">
        <v>392</v>
      </c>
      <c r="B186" s="137" t="s">
        <v>929</v>
      </c>
      <c r="C186" s="137" t="s">
        <v>930</v>
      </c>
      <c r="D186" s="137">
        <v>68.632424610200005</v>
      </c>
      <c r="E186" s="137">
        <v>-149.41874062799999</v>
      </c>
      <c r="F186" s="137" t="s">
        <v>596</v>
      </c>
      <c r="G186" s="137" t="s">
        <v>607</v>
      </c>
      <c r="H186" s="137" t="s">
        <v>929</v>
      </c>
      <c r="I186" s="137" t="s">
        <v>596</v>
      </c>
      <c r="J186" s="137" t="s">
        <v>889</v>
      </c>
      <c r="K186" s="137" t="s">
        <v>596</v>
      </c>
      <c r="L186" s="137" t="s">
        <v>890</v>
      </c>
      <c r="M186" s="143" t="str">
        <f t="shared" si="2"/>
        <v>View on Google Map</v>
      </c>
      <c r="N186" s="137">
        <f t="shared" si="3"/>
        <v>86</v>
      </c>
    </row>
    <row r="187" spans="1:14" x14ac:dyDescent="0.2">
      <c r="A187" s="137">
        <v>393</v>
      </c>
      <c r="B187" s="137" t="s">
        <v>931</v>
      </c>
      <c r="C187" s="137" t="s">
        <v>932</v>
      </c>
      <c r="D187" s="137">
        <v>68.505704965899994</v>
      </c>
      <c r="E187" s="137">
        <v>-149.516276081</v>
      </c>
      <c r="F187" s="137" t="s">
        <v>596</v>
      </c>
      <c r="G187" s="137" t="s">
        <v>607</v>
      </c>
      <c r="H187" s="137" t="s">
        <v>931</v>
      </c>
      <c r="I187" s="137" t="s">
        <v>596</v>
      </c>
      <c r="J187" s="137" t="s">
        <v>889</v>
      </c>
      <c r="K187" s="137" t="s">
        <v>596</v>
      </c>
      <c r="L187" s="137" t="s">
        <v>890</v>
      </c>
      <c r="M187" s="143" t="str">
        <f t="shared" si="2"/>
        <v>View on Google Map</v>
      </c>
      <c r="N187" s="137">
        <f t="shared" si="3"/>
        <v>87</v>
      </c>
    </row>
    <row r="188" spans="1:14" x14ac:dyDescent="0.2">
      <c r="A188" s="137">
        <v>394</v>
      </c>
      <c r="B188" s="137" t="s">
        <v>933</v>
      </c>
      <c r="C188" s="137" t="s">
        <v>934</v>
      </c>
      <c r="D188" s="137">
        <v>68.509234808599999</v>
      </c>
      <c r="E188" s="137">
        <v>-149.58917678500001</v>
      </c>
      <c r="F188" s="137" t="s">
        <v>596</v>
      </c>
      <c r="G188" s="137" t="s">
        <v>607</v>
      </c>
      <c r="H188" s="137" t="s">
        <v>933</v>
      </c>
      <c r="I188" s="137" t="s">
        <v>596</v>
      </c>
      <c r="J188" s="137" t="s">
        <v>889</v>
      </c>
      <c r="K188" s="137" t="s">
        <v>596</v>
      </c>
      <c r="L188" s="137" t="s">
        <v>890</v>
      </c>
      <c r="M188" s="143" t="str">
        <f t="shared" si="2"/>
        <v>View on Google Map</v>
      </c>
      <c r="N188" s="137">
        <f t="shared" si="3"/>
        <v>88</v>
      </c>
    </row>
    <row r="189" spans="1:14" x14ac:dyDescent="0.2">
      <c r="A189" s="137">
        <v>395</v>
      </c>
      <c r="B189" s="137" t="s">
        <v>935</v>
      </c>
      <c r="C189" s="137" t="s">
        <v>936</v>
      </c>
      <c r="D189" s="137">
        <v>68.525650531300002</v>
      </c>
      <c r="E189" s="137">
        <v>-149.54161982299999</v>
      </c>
      <c r="F189" s="137" t="s">
        <v>596</v>
      </c>
      <c r="G189" s="137" t="s">
        <v>607</v>
      </c>
      <c r="H189" s="137" t="s">
        <v>935</v>
      </c>
      <c r="I189" s="137" t="s">
        <v>596</v>
      </c>
      <c r="J189" s="137" t="s">
        <v>889</v>
      </c>
      <c r="K189" s="137" t="s">
        <v>596</v>
      </c>
      <c r="L189" s="137" t="s">
        <v>890</v>
      </c>
      <c r="M189" s="143" t="str">
        <f t="shared" si="2"/>
        <v>View on Google Map</v>
      </c>
      <c r="N189" s="137">
        <f t="shared" si="3"/>
        <v>89</v>
      </c>
    </row>
    <row r="190" spans="1:14" x14ac:dyDescent="0.2">
      <c r="A190" s="137">
        <v>396</v>
      </c>
      <c r="B190" s="137" t="s">
        <v>937</v>
      </c>
      <c r="C190" s="137" t="s">
        <v>938</v>
      </c>
      <c r="D190" s="137">
        <v>68.531020060399996</v>
      </c>
      <c r="E190" s="137">
        <v>-149.54062336999999</v>
      </c>
      <c r="F190" s="137" t="s">
        <v>596</v>
      </c>
      <c r="G190" s="137" t="s">
        <v>607</v>
      </c>
      <c r="H190" s="137" t="s">
        <v>937</v>
      </c>
      <c r="I190" s="137" t="s">
        <v>596</v>
      </c>
      <c r="J190" s="137" t="s">
        <v>889</v>
      </c>
      <c r="K190" s="137" t="s">
        <v>596</v>
      </c>
      <c r="L190" s="137" t="s">
        <v>890</v>
      </c>
      <c r="M190" s="143" t="str">
        <f t="shared" si="2"/>
        <v>View on Google Map</v>
      </c>
      <c r="N190" s="137">
        <f t="shared" si="3"/>
        <v>90</v>
      </c>
    </row>
    <row r="191" spans="1:14" x14ac:dyDescent="0.2">
      <c r="A191" s="137">
        <v>397</v>
      </c>
      <c r="B191" s="137" t="s">
        <v>939</v>
      </c>
      <c r="C191" s="137" t="s">
        <v>940</v>
      </c>
      <c r="D191" s="137">
        <v>68.623892844400004</v>
      </c>
      <c r="E191" s="137">
        <v>-149.46955988600001</v>
      </c>
      <c r="F191" s="137" t="s">
        <v>596</v>
      </c>
      <c r="G191" s="137" t="s">
        <v>607</v>
      </c>
      <c r="H191" s="137" t="s">
        <v>939</v>
      </c>
      <c r="I191" s="137" t="s">
        <v>596</v>
      </c>
      <c r="J191" s="137" t="s">
        <v>889</v>
      </c>
      <c r="K191" s="137" t="s">
        <v>596</v>
      </c>
      <c r="L191" s="137" t="s">
        <v>890</v>
      </c>
      <c r="M191" s="143" t="str">
        <f t="shared" si="2"/>
        <v>View on Google Map</v>
      </c>
      <c r="N191" s="137">
        <f t="shared" si="3"/>
        <v>91</v>
      </c>
    </row>
    <row r="192" spans="1:14" x14ac:dyDescent="0.2">
      <c r="A192" s="137">
        <v>408</v>
      </c>
      <c r="B192" s="137" t="s">
        <v>941</v>
      </c>
      <c r="C192" s="137" t="s">
        <v>942</v>
      </c>
      <c r="D192" s="137">
        <v>68.606945965400001</v>
      </c>
      <c r="E192" s="137">
        <v>-149.195806014</v>
      </c>
      <c r="F192" s="137" t="s">
        <v>596</v>
      </c>
      <c r="G192" s="137" t="s">
        <v>607</v>
      </c>
      <c r="H192" s="137" t="s">
        <v>941</v>
      </c>
      <c r="I192" s="137" t="s">
        <v>596</v>
      </c>
      <c r="J192" s="137" t="s">
        <v>889</v>
      </c>
      <c r="K192" s="137" t="s">
        <v>596</v>
      </c>
      <c r="L192" s="137" t="s">
        <v>890</v>
      </c>
      <c r="M192" s="143" t="str">
        <f t="shared" si="2"/>
        <v>View on Google Map</v>
      </c>
      <c r="N192" s="137">
        <f t="shared" si="3"/>
        <v>92</v>
      </c>
    </row>
    <row r="193" spans="1:14" x14ac:dyDescent="0.2">
      <c r="A193" s="137">
        <v>409</v>
      </c>
      <c r="B193" s="137" t="s">
        <v>943</v>
      </c>
      <c r="C193" s="137" t="s">
        <v>944</v>
      </c>
      <c r="D193" s="137">
        <v>68.613688053999994</v>
      </c>
      <c r="E193" s="137">
        <v>-149.20287565500001</v>
      </c>
      <c r="F193" s="137" t="s">
        <v>596</v>
      </c>
      <c r="G193" s="137" t="s">
        <v>607</v>
      </c>
      <c r="H193" s="137" t="s">
        <v>943</v>
      </c>
      <c r="I193" s="137" t="s">
        <v>596</v>
      </c>
      <c r="J193" s="137" t="s">
        <v>889</v>
      </c>
      <c r="K193" s="137" t="s">
        <v>596</v>
      </c>
      <c r="L193" s="137" t="s">
        <v>890</v>
      </c>
      <c r="M193" s="143" t="str">
        <f t="shared" si="2"/>
        <v>View on Google Map</v>
      </c>
      <c r="N193" s="137">
        <f t="shared" si="3"/>
        <v>93</v>
      </c>
    </row>
    <row r="194" spans="1:14" x14ac:dyDescent="0.2">
      <c r="A194" s="137">
        <v>410</v>
      </c>
      <c r="B194" s="137" t="s">
        <v>945</v>
      </c>
      <c r="C194" s="137" t="s">
        <v>946</v>
      </c>
      <c r="D194" s="137">
        <v>68.617322837200007</v>
      </c>
      <c r="E194" s="137">
        <v>-149.21640989900001</v>
      </c>
      <c r="F194" s="137" t="s">
        <v>596</v>
      </c>
      <c r="G194" s="137" t="s">
        <v>607</v>
      </c>
      <c r="H194" s="137" t="s">
        <v>945</v>
      </c>
      <c r="I194" s="137" t="s">
        <v>596</v>
      </c>
      <c r="J194" s="137" t="s">
        <v>889</v>
      </c>
      <c r="K194" s="137" t="s">
        <v>596</v>
      </c>
      <c r="L194" s="137" t="s">
        <v>890</v>
      </c>
      <c r="M194" s="143" t="str">
        <f t="shared" si="2"/>
        <v>View on Google Map</v>
      </c>
      <c r="N194" s="137">
        <f t="shared" si="3"/>
        <v>94</v>
      </c>
    </row>
    <row r="195" spans="1:14" x14ac:dyDescent="0.2">
      <c r="A195" s="137">
        <v>411</v>
      </c>
      <c r="B195" s="137" t="s">
        <v>947</v>
      </c>
      <c r="C195" s="137" t="s">
        <v>948</v>
      </c>
      <c r="D195" s="137">
        <v>68.613551663999999</v>
      </c>
      <c r="E195" s="137">
        <v>-149.21844056</v>
      </c>
      <c r="F195" s="137" t="s">
        <v>596</v>
      </c>
      <c r="G195" s="137" t="s">
        <v>607</v>
      </c>
      <c r="H195" s="137" t="s">
        <v>947</v>
      </c>
      <c r="I195" s="137" t="s">
        <v>596</v>
      </c>
      <c r="J195" s="137" t="s">
        <v>889</v>
      </c>
      <c r="K195" s="137" t="s">
        <v>596</v>
      </c>
      <c r="L195" s="137" t="s">
        <v>890</v>
      </c>
      <c r="M195" s="143" t="str">
        <f t="shared" ref="M195:M258" si="4">HYPERLINK("http://maps.google.com/maps?q="&amp;D195&amp;","&amp;E195,"View on Google Map")</f>
        <v>View on Google Map</v>
      </c>
      <c r="N195" s="137">
        <f t="shared" si="3"/>
        <v>95</v>
      </c>
    </row>
    <row r="196" spans="1:14" x14ac:dyDescent="0.2">
      <c r="A196" s="137">
        <v>412</v>
      </c>
      <c r="B196" s="137" t="s">
        <v>949</v>
      </c>
      <c r="C196" s="137" t="s">
        <v>950</v>
      </c>
      <c r="D196" s="137">
        <v>68.609572079800003</v>
      </c>
      <c r="E196" s="137">
        <v>-149.20865205600001</v>
      </c>
      <c r="F196" s="137" t="s">
        <v>596</v>
      </c>
      <c r="G196" s="137" t="s">
        <v>607</v>
      </c>
      <c r="H196" s="137" t="s">
        <v>949</v>
      </c>
      <c r="I196" s="137" t="s">
        <v>596</v>
      </c>
      <c r="J196" s="137" t="s">
        <v>889</v>
      </c>
      <c r="K196" s="137" t="s">
        <v>596</v>
      </c>
      <c r="L196" s="137" t="s">
        <v>890</v>
      </c>
      <c r="M196" s="143" t="str">
        <f t="shared" si="4"/>
        <v>View on Google Map</v>
      </c>
      <c r="N196" s="137">
        <f t="shared" si="3"/>
        <v>96</v>
      </c>
    </row>
    <row r="197" spans="1:14" x14ac:dyDescent="0.2">
      <c r="A197" s="137">
        <v>413</v>
      </c>
      <c r="B197" s="137" t="s">
        <v>951</v>
      </c>
      <c r="C197" s="137" t="s">
        <v>952</v>
      </c>
      <c r="D197" s="137">
        <v>68.607097540200002</v>
      </c>
      <c r="E197" s="137">
        <v>-149.21482030499999</v>
      </c>
      <c r="F197" s="137" t="s">
        <v>596</v>
      </c>
      <c r="G197" s="137" t="s">
        <v>607</v>
      </c>
      <c r="H197" s="137" t="s">
        <v>951</v>
      </c>
      <c r="I197" s="137" t="s">
        <v>596</v>
      </c>
      <c r="J197" s="137" t="s">
        <v>889</v>
      </c>
      <c r="K197" s="137" t="s">
        <v>596</v>
      </c>
      <c r="L197" s="137" t="s">
        <v>890</v>
      </c>
      <c r="M197" s="143" t="str">
        <f t="shared" si="4"/>
        <v>View on Google Map</v>
      </c>
      <c r="N197" s="137">
        <f t="shared" si="3"/>
        <v>97</v>
      </c>
    </row>
    <row r="198" spans="1:14" x14ac:dyDescent="0.2">
      <c r="A198" s="137">
        <v>414</v>
      </c>
      <c r="B198" s="137" t="s">
        <v>953</v>
      </c>
      <c r="C198" s="137" t="s">
        <v>954</v>
      </c>
      <c r="D198" s="137">
        <v>68.605198711400007</v>
      </c>
      <c r="E198" s="137">
        <v>-149.27215046800001</v>
      </c>
      <c r="F198" s="137" t="s">
        <v>596</v>
      </c>
      <c r="G198" s="137" t="s">
        <v>607</v>
      </c>
      <c r="H198" s="137" t="s">
        <v>953</v>
      </c>
      <c r="I198" s="137" t="s">
        <v>596</v>
      </c>
      <c r="J198" s="137" t="s">
        <v>889</v>
      </c>
      <c r="K198" s="137" t="s">
        <v>596</v>
      </c>
      <c r="L198" s="137" t="s">
        <v>890</v>
      </c>
      <c r="M198" s="143" t="str">
        <f t="shared" si="4"/>
        <v>View on Google Map</v>
      </c>
      <c r="N198" s="137">
        <f t="shared" si="3"/>
        <v>98</v>
      </c>
    </row>
    <row r="199" spans="1:14" x14ac:dyDescent="0.2">
      <c r="A199" s="137">
        <v>415</v>
      </c>
      <c r="B199" s="137" t="s">
        <v>955</v>
      </c>
      <c r="C199" s="137" t="s">
        <v>956</v>
      </c>
      <c r="D199" s="137">
        <v>68.498375922400001</v>
      </c>
      <c r="E199" s="137">
        <v>-149.59842284699999</v>
      </c>
      <c r="F199" s="137">
        <v>947</v>
      </c>
      <c r="G199" s="137" t="s">
        <v>607</v>
      </c>
      <c r="H199" s="137" t="s">
        <v>957</v>
      </c>
      <c r="I199" s="137" t="s">
        <v>596</v>
      </c>
      <c r="J199" s="137" t="s">
        <v>889</v>
      </c>
      <c r="K199" s="137" t="s">
        <v>596</v>
      </c>
      <c r="L199" s="137" t="s">
        <v>890</v>
      </c>
      <c r="M199" s="143" t="str">
        <f t="shared" si="4"/>
        <v>View on Google Map</v>
      </c>
      <c r="N199" s="137">
        <f>VALUE(MID(B199,5,3))</f>
        <v>99</v>
      </c>
    </row>
    <row r="200" spans="1:14" x14ac:dyDescent="0.2">
      <c r="A200" s="137">
        <v>402</v>
      </c>
      <c r="B200" s="137" t="s">
        <v>958</v>
      </c>
      <c r="C200" s="137" t="s">
        <v>596</v>
      </c>
      <c r="D200" s="137" t="s">
        <v>596</v>
      </c>
      <c r="E200" s="137" t="s">
        <v>596</v>
      </c>
      <c r="F200" s="137" t="s">
        <v>596</v>
      </c>
      <c r="G200" s="137" t="s">
        <v>607</v>
      </c>
      <c r="H200" s="137" t="s">
        <v>596</v>
      </c>
      <c r="I200" s="137" t="s">
        <v>596</v>
      </c>
      <c r="J200" s="137" t="s">
        <v>622</v>
      </c>
      <c r="K200" s="137" t="s">
        <v>596</v>
      </c>
      <c r="L200" s="137" t="s">
        <v>776</v>
      </c>
      <c r="M200" s="143" t="str">
        <f t="shared" si="4"/>
        <v>View on Google Map</v>
      </c>
    </row>
    <row r="201" spans="1:14" x14ac:dyDescent="0.2">
      <c r="A201" s="137">
        <v>8</v>
      </c>
      <c r="B201" s="137" t="s">
        <v>959</v>
      </c>
      <c r="C201" s="137" t="s">
        <v>620</v>
      </c>
      <c r="D201" s="137">
        <v>69.150000000000006</v>
      </c>
      <c r="E201" s="137">
        <v>-148.83333333333334</v>
      </c>
      <c r="F201" s="137">
        <v>290</v>
      </c>
      <c r="G201" s="137" t="s">
        <v>621</v>
      </c>
      <c r="H201" s="137" t="s">
        <v>596</v>
      </c>
      <c r="I201" s="137" t="s">
        <v>596</v>
      </c>
      <c r="J201" s="137" t="s">
        <v>622</v>
      </c>
      <c r="K201" s="137" t="s">
        <v>596</v>
      </c>
      <c r="L201" s="137" t="s">
        <v>623</v>
      </c>
      <c r="M201" s="143" t="str">
        <f t="shared" si="4"/>
        <v>View on Google Map</v>
      </c>
    </row>
    <row r="202" spans="1:14" x14ac:dyDescent="0.2">
      <c r="A202" s="137">
        <v>219</v>
      </c>
      <c r="B202" s="137" t="s">
        <v>960</v>
      </c>
      <c r="C202" s="137" t="s">
        <v>596</v>
      </c>
      <c r="D202" s="137">
        <v>69.8</v>
      </c>
      <c r="E202" s="137">
        <v>-151.83333333333334</v>
      </c>
      <c r="F202" s="137">
        <v>60.365853658536601</v>
      </c>
      <c r="G202" s="137" t="s">
        <v>607</v>
      </c>
      <c r="H202" s="137" t="s">
        <v>961</v>
      </c>
      <c r="I202" s="137" t="s">
        <v>596</v>
      </c>
      <c r="J202" s="137" t="s">
        <v>622</v>
      </c>
      <c r="K202" s="137" t="s">
        <v>596</v>
      </c>
      <c r="L202" s="137" t="s">
        <v>962</v>
      </c>
      <c r="M202" s="143" t="str">
        <f t="shared" si="4"/>
        <v>View on Google Map</v>
      </c>
    </row>
    <row r="203" spans="1:14" x14ac:dyDescent="0.2">
      <c r="A203" s="137">
        <v>220</v>
      </c>
      <c r="B203" s="137" t="s">
        <v>963</v>
      </c>
      <c r="C203" s="137" t="s">
        <v>596</v>
      </c>
      <c r="D203" s="137">
        <v>69.75</v>
      </c>
      <c r="E203" s="137">
        <v>-151.5</v>
      </c>
      <c r="F203" s="137">
        <v>60.365853658536587</v>
      </c>
      <c r="G203" s="137" t="s">
        <v>607</v>
      </c>
      <c r="H203" s="137" t="s">
        <v>964</v>
      </c>
      <c r="I203" s="137" t="s">
        <v>596</v>
      </c>
      <c r="J203" s="137" t="s">
        <v>622</v>
      </c>
      <c r="K203" s="137" t="s">
        <v>596</v>
      </c>
      <c r="L203" s="137" t="s">
        <v>962</v>
      </c>
      <c r="M203" s="143" t="str">
        <f t="shared" si="4"/>
        <v>View on Google Map</v>
      </c>
    </row>
    <row r="204" spans="1:14" x14ac:dyDescent="0.2">
      <c r="A204" s="137">
        <v>221</v>
      </c>
      <c r="B204" s="137" t="s">
        <v>965</v>
      </c>
      <c r="C204" s="137" t="s">
        <v>596</v>
      </c>
      <c r="D204" s="137">
        <v>69.75</v>
      </c>
      <c r="E204" s="137">
        <v>-151.5</v>
      </c>
      <c r="F204" s="137">
        <v>30.487804878048781</v>
      </c>
      <c r="G204" s="137" t="s">
        <v>607</v>
      </c>
      <c r="H204" s="137" t="s">
        <v>966</v>
      </c>
      <c r="I204" s="137" t="s">
        <v>596</v>
      </c>
      <c r="J204" s="137" t="s">
        <v>622</v>
      </c>
      <c r="K204" s="137" t="s">
        <v>596</v>
      </c>
      <c r="L204" s="137" t="s">
        <v>962</v>
      </c>
      <c r="M204" s="143" t="str">
        <f t="shared" si="4"/>
        <v>View on Google Map</v>
      </c>
    </row>
    <row r="205" spans="1:14" x14ac:dyDescent="0.2">
      <c r="A205" s="137">
        <v>222</v>
      </c>
      <c r="B205" s="137" t="s">
        <v>967</v>
      </c>
      <c r="C205" s="137" t="s">
        <v>596</v>
      </c>
      <c r="D205" s="137">
        <v>69.7</v>
      </c>
      <c r="E205" s="137">
        <v>-151.16666666666666</v>
      </c>
      <c r="F205" s="137">
        <v>42.682926829268297</v>
      </c>
      <c r="G205" s="137" t="s">
        <v>607</v>
      </c>
      <c r="H205" s="137" t="s">
        <v>968</v>
      </c>
      <c r="I205" s="137" t="s">
        <v>596</v>
      </c>
      <c r="J205" s="137" t="s">
        <v>622</v>
      </c>
      <c r="K205" s="137" t="s">
        <v>596</v>
      </c>
      <c r="L205" s="137" t="s">
        <v>962</v>
      </c>
      <c r="M205" s="143" t="str">
        <f t="shared" si="4"/>
        <v>View on Google Map</v>
      </c>
    </row>
    <row r="206" spans="1:14" x14ac:dyDescent="0.2">
      <c r="A206" s="137">
        <v>223</v>
      </c>
      <c r="B206" s="137" t="s">
        <v>969</v>
      </c>
      <c r="C206" s="137" t="s">
        <v>596</v>
      </c>
      <c r="D206" s="137">
        <v>69.7</v>
      </c>
      <c r="E206" s="137">
        <v>-151.16666666666666</v>
      </c>
      <c r="F206" s="137">
        <v>42.682926829268297</v>
      </c>
      <c r="G206" s="137" t="s">
        <v>607</v>
      </c>
      <c r="H206" s="137" t="s">
        <v>970</v>
      </c>
      <c r="I206" s="137" t="s">
        <v>596</v>
      </c>
      <c r="J206" s="137" t="s">
        <v>622</v>
      </c>
      <c r="K206" s="137" t="s">
        <v>596</v>
      </c>
      <c r="L206" s="137" t="s">
        <v>962</v>
      </c>
      <c r="M206" s="143" t="str">
        <f t="shared" si="4"/>
        <v>View on Google Map</v>
      </c>
    </row>
    <row r="207" spans="1:14" x14ac:dyDescent="0.2">
      <c r="A207" s="137">
        <v>224</v>
      </c>
      <c r="B207" s="137" t="s">
        <v>971</v>
      </c>
      <c r="C207" s="137" t="s">
        <v>596</v>
      </c>
      <c r="D207" s="137">
        <v>69.516666666666666</v>
      </c>
      <c r="E207" s="137">
        <v>-150.86666666666667</v>
      </c>
      <c r="F207" s="137">
        <v>60.975609756097562</v>
      </c>
      <c r="G207" s="137" t="s">
        <v>607</v>
      </c>
      <c r="H207" s="137" t="s">
        <v>972</v>
      </c>
      <c r="I207" s="137" t="s">
        <v>596</v>
      </c>
      <c r="J207" s="137" t="s">
        <v>622</v>
      </c>
      <c r="K207" s="137" t="s">
        <v>596</v>
      </c>
      <c r="L207" s="137" t="s">
        <v>962</v>
      </c>
      <c r="M207" s="143" t="str">
        <f t="shared" si="4"/>
        <v>View on Google Map</v>
      </c>
    </row>
    <row r="208" spans="1:14" x14ac:dyDescent="0.2">
      <c r="A208" s="137">
        <v>225</v>
      </c>
      <c r="B208" s="137" t="s">
        <v>973</v>
      </c>
      <c r="C208" s="137" t="s">
        <v>596</v>
      </c>
      <c r="D208" s="137">
        <v>69.516666666666666</v>
      </c>
      <c r="E208" s="137">
        <v>-150.86666666666667</v>
      </c>
      <c r="F208" s="137">
        <v>60.975609756097562</v>
      </c>
      <c r="G208" s="137" t="s">
        <v>607</v>
      </c>
      <c r="H208" s="137" t="s">
        <v>974</v>
      </c>
      <c r="I208" s="137" t="s">
        <v>596</v>
      </c>
      <c r="J208" s="137" t="s">
        <v>622</v>
      </c>
      <c r="K208" s="137" t="s">
        <v>596</v>
      </c>
      <c r="L208" s="137" t="s">
        <v>962</v>
      </c>
      <c r="M208" s="143" t="str">
        <f t="shared" si="4"/>
        <v>View on Google Map</v>
      </c>
    </row>
    <row r="209" spans="1:13" x14ac:dyDescent="0.2">
      <c r="A209" s="137">
        <v>226</v>
      </c>
      <c r="B209" s="137" t="s">
        <v>975</v>
      </c>
      <c r="C209" s="137" t="s">
        <v>596</v>
      </c>
      <c r="D209" s="137">
        <v>69.25</v>
      </c>
      <c r="E209" s="137">
        <v>-150.43333333333334</v>
      </c>
      <c r="F209" s="137">
        <v>182.92682926829269</v>
      </c>
      <c r="G209" s="137" t="s">
        <v>607</v>
      </c>
      <c r="H209" s="137" t="s">
        <v>976</v>
      </c>
      <c r="I209" s="137" t="s">
        <v>596</v>
      </c>
      <c r="J209" s="137" t="s">
        <v>622</v>
      </c>
      <c r="K209" s="137" t="s">
        <v>596</v>
      </c>
      <c r="L209" s="137" t="s">
        <v>962</v>
      </c>
      <c r="M209" s="143" t="str">
        <f t="shared" si="4"/>
        <v>View on Google Map</v>
      </c>
    </row>
    <row r="210" spans="1:13" x14ac:dyDescent="0.2">
      <c r="A210" s="137">
        <v>227</v>
      </c>
      <c r="B210" s="137" t="s">
        <v>977</v>
      </c>
      <c r="C210" s="137" t="s">
        <v>596</v>
      </c>
      <c r="D210" s="137">
        <v>69.25</v>
      </c>
      <c r="E210" s="137">
        <v>-150.43333333333334</v>
      </c>
      <c r="F210" s="137">
        <v>182.92682926829269</v>
      </c>
      <c r="G210" s="137" t="s">
        <v>607</v>
      </c>
      <c r="H210" s="137" t="s">
        <v>978</v>
      </c>
      <c r="I210" s="137" t="s">
        <v>596</v>
      </c>
      <c r="J210" s="137" t="s">
        <v>622</v>
      </c>
      <c r="K210" s="137" t="s">
        <v>596</v>
      </c>
      <c r="L210" s="137" t="s">
        <v>962</v>
      </c>
      <c r="M210" s="143" t="str">
        <f t="shared" si="4"/>
        <v>View on Google Map</v>
      </c>
    </row>
    <row r="211" spans="1:13" x14ac:dyDescent="0.2">
      <c r="A211" s="137">
        <v>228</v>
      </c>
      <c r="B211" s="137" t="s">
        <v>979</v>
      </c>
      <c r="C211" s="137" t="s">
        <v>596</v>
      </c>
      <c r="D211" s="137">
        <v>69.25</v>
      </c>
      <c r="E211" s="137">
        <v>-151.16666666666666</v>
      </c>
      <c r="F211" s="137">
        <v>182.92682926829269</v>
      </c>
      <c r="G211" s="137" t="s">
        <v>607</v>
      </c>
      <c r="H211" s="137" t="s">
        <v>980</v>
      </c>
      <c r="I211" s="137" t="s">
        <v>596</v>
      </c>
      <c r="J211" s="137" t="s">
        <v>622</v>
      </c>
      <c r="K211" s="137" t="s">
        <v>596</v>
      </c>
      <c r="L211" s="137" t="s">
        <v>962</v>
      </c>
      <c r="M211" s="143" t="str">
        <f t="shared" si="4"/>
        <v>View on Google Map</v>
      </c>
    </row>
    <row r="212" spans="1:13" x14ac:dyDescent="0.2">
      <c r="A212" s="137">
        <v>229</v>
      </c>
      <c r="B212" s="137" t="s">
        <v>981</v>
      </c>
      <c r="C212" s="137" t="s">
        <v>596</v>
      </c>
      <c r="D212" s="137">
        <v>69.233333333333334</v>
      </c>
      <c r="E212" s="137">
        <v>-151.63333333333333</v>
      </c>
      <c r="F212" s="137">
        <v>178.35365853658539</v>
      </c>
      <c r="G212" s="137" t="s">
        <v>607</v>
      </c>
      <c r="H212" s="137" t="s">
        <v>982</v>
      </c>
      <c r="I212" s="137" t="s">
        <v>596</v>
      </c>
      <c r="J212" s="137" t="s">
        <v>622</v>
      </c>
      <c r="K212" s="137" t="s">
        <v>596</v>
      </c>
      <c r="L212" s="137" t="s">
        <v>962</v>
      </c>
      <c r="M212" s="143" t="str">
        <f t="shared" si="4"/>
        <v>View on Google Map</v>
      </c>
    </row>
    <row r="213" spans="1:13" x14ac:dyDescent="0.2">
      <c r="A213" s="137">
        <v>230</v>
      </c>
      <c r="B213" s="137" t="s">
        <v>983</v>
      </c>
      <c r="C213" s="137" t="s">
        <v>596</v>
      </c>
      <c r="D213" s="137">
        <v>68.900000000000006</v>
      </c>
      <c r="E213" s="137">
        <v>-151.28333333333333</v>
      </c>
      <c r="F213" s="137">
        <v>335.36585365853659</v>
      </c>
      <c r="G213" s="137" t="s">
        <v>607</v>
      </c>
      <c r="H213" s="137" t="s">
        <v>984</v>
      </c>
      <c r="I213" s="137" t="s">
        <v>596</v>
      </c>
      <c r="J213" s="137" t="s">
        <v>622</v>
      </c>
      <c r="K213" s="137" t="s">
        <v>596</v>
      </c>
      <c r="L213" s="137" t="s">
        <v>962</v>
      </c>
      <c r="M213" s="143" t="str">
        <f t="shared" si="4"/>
        <v>View on Google Map</v>
      </c>
    </row>
    <row r="214" spans="1:13" x14ac:dyDescent="0.2">
      <c r="A214" s="137">
        <v>231</v>
      </c>
      <c r="B214" s="137" t="s">
        <v>985</v>
      </c>
      <c r="C214" s="137" t="s">
        <v>596</v>
      </c>
      <c r="D214" s="137">
        <v>68.8</v>
      </c>
      <c r="E214" s="137">
        <v>-150.80000000000001</v>
      </c>
      <c r="F214" s="137">
        <v>411.58536585365857</v>
      </c>
      <c r="G214" s="137" t="s">
        <v>607</v>
      </c>
      <c r="H214" s="137" t="s">
        <v>986</v>
      </c>
      <c r="I214" s="137" t="s">
        <v>596</v>
      </c>
      <c r="J214" s="137" t="s">
        <v>622</v>
      </c>
      <c r="K214" s="137" t="s">
        <v>596</v>
      </c>
      <c r="L214" s="137" t="s">
        <v>962</v>
      </c>
      <c r="M214" s="143" t="str">
        <f t="shared" si="4"/>
        <v>View on Google Map</v>
      </c>
    </row>
    <row r="215" spans="1:13" x14ac:dyDescent="0.2">
      <c r="A215" s="137">
        <v>237</v>
      </c>
      <c r="B215" s="137" t="s">
        <v>987</v>
      </c>
      <c r="C215" s="137" t="s">
        <v>596</v>
      </c>
      <c r="D215" s="137">
        <v>68.783333333333331</v>
      </c>
      <c r="E215" s="137" t="s">
        <v>596</v>
      </c>
      <c r="F215" s="137">
        <v>681.40243902439033</v>
      </c>
      <c r="G215" s="137" t="s">
        <v>607</v>
      </c>
      <c r="H215" s="137" t="s">
        <v>988</v>
      </c>
      <c r="I215" s="137" t="s">
        <v>989</v>
      </c>
      <c r="J215" s="137" t="s">
        <v>622</v>
      </c>
      <c r="K215" s="137" t="s">
        <v>596</v>
      </c>
      <c r="L215" s="137" t="s">
        <v>962</v>
      </c>
      <c r="M215" s="143" t="str">
        <f t="shared" si="4"/>
        <v>View on Google Map</v>
      </c>
    </row>
    <row r="216" spans="1:13" x14ac:dyDescent="0.2">
      <c r="A216" s="137">
        <v>238</v>
      </c>
      <c r="B216" s="137" t="s">
        <v>990</v>
      </c>
      <c r="C216" s="137" t="s">
        <v>596</v>
      </c>
      <c r="D216" s="137">
        <v>68.783333333333331</v>
      </c>
      <c r="E216" s="137" t="s">
        <v>596</v>
      </c>
      <c r="F216" s="137">
        <v>681.40243902439033</v>
      </c>
      <c r="G216" s="137" t="s">
        <v>607</v>
      </c>
      <c r="H216" s="137" t="s">
        <v>991</v>
      </c>
      <c r="I216" s="137" t="s">
        <v>989</v>
      </c>
      <c r="J216" s="137" t="s">
        <v>622</v>
      </c>
      <c r="K216" s="137" t="s">
        <v>596</v>
      </c>
      <c r="L216" s="137" t="s">
        <v>962</v>
      </c>
      <c r="M216" s="143" t="str">
        <f t="shared" si="4"/>
        <v>View on Google Map</v>
      </c>
    </row>
    <row r="217" spans="1:13" x14ac:dyDescent="0.2">
      <c r="A217" s="137">
        <v>10</v>
      </c>
      <c r="B217" s="137" t="s">
        <v>992</v>
      </c>
      <c r="C217" s="137" t="s">
        <v>993</v>
      </c>
      <c r="D217" s="137">
        <v>68.644702925000004</v>
      </c>
      <c r="E217" s="137">
        <v>-149.41200613611099</v>
      </c>
      <c r="F217" s="137">
        <v>751.33799999999997</v>
      </c>
      <c r="G217" s="137" t="s">
        <v>621</v>
      </c>
      <c r="H217" s="137" t="s">
        <v>596</v>
      </c>
      <c r="I217" s="137" t="s">
        <v>596</v>
      </c>
      <c r="J217" s="137" t="s">
        <v>622</v>
      </c>
      <c r="K217" s="137" t="s">
        <v>596</v>
      </c>
      <c r="L217" s="137" t="s">
        <v>596</v>
      </c>
      <c r="M217" s="143" t="str">
        <f t="shared" si="4"/>
        <v>View on Google Map</v>
      </c>
    </row>
    <row r="218" spans="1:13" x14ac:dyDescent="0.2">
      <c r="A218" s="137">
        <v>486</v>
      </c>
      <c r="B218" s="137" t="s">
        <v>994</v>
      </c>
      <c r="C218" s="137" t="s">
        <v>596</v>
      </c>
      <c r="D218" s="137">
        <v>68.958333332999999</v>
      </c>
      <c r="E218" s="137">
        <v>-150.302016667</v>
      </c>
      <c r="F218" s="137">
        <v>382</v>
      </c>
      <c r="G218" s="137" t="s">
        <v>607</v>
      </c>
      <c r="H218" s="137" t="s">
        <v>596</v>
      </c>
      <c r="I218" s="137" t="s">
        <v>596</v>
      </c>
      <c r="J218" s="137" t="s">
        <v>657</v>
      </c>
      <c r="K218" s="137" t="s">
        <v>596</v>
      </c>
      <c r="L218" s="137" t="s">
        <v>604</v>
      </c>
      <c r="M218" s="143" t="str">
        <f t="shared" si="4"/>
        <v>View on Google Map</v>
      </c>
    </row>
    <row r="219" spans="1:13" x14ac:dyDescent="0.2">
      <c r="A219" s="137">
        <v>388</v>
      </c>
      <c r="B219" s="137" t="s">
        <v>995</v>
      </c>
      <c r="C219" s="137" t="s">
        <v>596</v>
      </c>
      <c r="D219" s="137">
        <v>68.556340000000006</v>
      </c>
      <c r="E219" s="137">
        <v>-149.56628000000001</v>
      </c>
      <c r="F219" s="137">
        <v>801</v>
      </c>
      <c r="G219" s="137" t="s">
        <v>607</v>
      </c>
      <c r="H219" s="137" t="s">
        <v>596</v>
      </c>
      <c r="I219" s="137" t="s">
        <v>596</v>
      </c>
      <c r="J219" s="137" t="s">
        <v>622</v>
      </c>
      <c r="K219" s="137" t="s">
        <v>596</v>
      </c>
      <c r="L219" s="137" t="s">
        <v>996</v>
      </c>
      <c r="M219" s="143" t="str">
        <f t="shared" si="4"/>
        <v>View on Google Map</v>
      </c>
    </row>
    <row r="220" spans="1:13" x14ac:dyDescent="0.2">
      <c r="A220" s="137">
        <v>450</v>
      </c>
      <c r="B220" s="137" t="s">
        <v>997</v>
      </c>
      <c r="C220" s="137" t="s">
        <v>596</v>
      </c>
      <c r="D220" s="137">
        <v>68.553610000000006</v>
      </c>
      <c r="E220" s="137">
        <v>-149.53397000000001</v>
      </c>
      <c r="F220" s="137">
        <v>820</v>
      </c>
      <c r="G220" s="137" t="s">
        <v>607</v>
      </c>
      <c r="H220" s="137" t="s">
        <v>998</v>
      </c>
      <c r="I220" s="137" t="s">
        <v>596</v>
      </c>
      <c r="J220" s="137" t="s">
        <v>608</v>
      </c>
      <c r="K220" s="137" t="s">
        <v>596</v>
      </c>
      <c r="L220" s="137" t="s">
        <v>596</v>
      </c>
      <c r="M220" s="143" t="str">
        <f t="shared" si="4"/>
        <v>View on Google Map</v>
      </c>
    </row>
    <row r="221" spans="1:13" x14ac:dyDescent="0.2">
      <c r="A221" s="137">
        <v>451</v>
      </c>
      <c r="B221" s="137" t="s">
        <v>999</v>
      </c>
      <c r="C221" s="137" t="s">
        <v>596</v>
      </c>
      <c r="D221" s="137">
        <v>68.545929999999998</v>
      </c>
      <c r="E221" s="137">
        <v>-149.54213999999999</v>
      </c>
      <c r="F221" s="137">
        <v>852</v>
      </c>
      <c r="G221" s="137" t="s">
        <v>607</v>
      </c>
      <c r="H221" s="137" t="s">
        <v>1000</v>
      </c>
      <c r="I221" s="137" t="s">
        <v>596</v>
      </c>
      <c r="J221" s="137" t="s">
        <v>608</v>
      </c>
      <c r="K221" s="137" t="s">
        <v>596</v>
      </c>
      <c r="L221" s="137" t="s">
        <v>596</v>
      </c>
      <c r="M221" s="143" t="str">
        <f t="shared" si="4"/>
        <v>View on Google Map</v>
      </c>
    </row>
    <row r="222" spans="1:13" x14ac:dyDescent="0.2">
      <c r="A222" s="137">
        <v>531</v>
      </c>
      <c r="B222" s="137" t="s">
        <v>1001</v>
      </c>
      <c r="C222" s="137" t="s">
        <v>1002</v>
      </c>
      <c r="D222" s="137">
        <v>68.556769000000003</v>
      </c>
      <c r="E222" s="137">
        <v>-149.555385</v>
      </c>
      <c r="F222" s="137">
        <v>805</v>
      </c>
      <c r="G222" s="137" t="s">
        <v>621</v>
      </c>
      <c r="H222" s="137" t="s">
        <v>596</v>
      </c>
      <c r="I222" s="137" t="s">
        <v>596</v>
      </c>
      <c r="J222" s="137" t="s">
        <v>608</v>
      </c>
      <c r="K222" s="137" t="s">
        <v>596</v>
      </c>
      <c r="L222" s="137" t="s">
        <v>1003</v>
      </c>
      <c r="M222" s="143" t="str">
        <f t="shared" si="4"/>
        <v>View on Google Map</v>
      </c>
    </row>
    <row r="223" spans="1:13" x14ac:dyDescent="0.2">
      <c r="A223" s="137">
        <v>532</v>
      </c>
      <c r="B223" s="137" t="s">
        <v>1004</v>
      </c>
      <c r="C223" s="137" t="s">
        <v>1002</v>
      </c>
      <c r="D223" s="137">
        <v>68.556635999999997</v>
      </c>
      <c r="E223" s="137">
        <v>-149.574457</v>
      </c>
      <c r="F223" s="137">
        <v>803</v>
      </c>
      <c r="G223" s="137" t="s">
        <v>621</v>
      </c>
      <c r="H223" s="137" t="s">
        <v>596</v>
      </c>
      <c r="I223" s="137" t="s">
        <v>596</v>
      </c>
      <c r="J223" s="137" t="s">
        <v>608</v>
      </c>
      <c r="K223" s="137" t="s">
        <v>596</v>
      </c>
      <c r="L223" s="137" t="s">
        <v>1003</v>
      </c>
      <c r="M223" s="143" t="str">
        <f t="shared" si="4"/>
        <v>View on Google Map</v>
      </c>
    </row>
    <row r="224" spans="1:13" x14ac:dyDescent="0.2">
      <c r="A224" s="137">
        <v>120</v>
      </c>
      <c r="B224" s="137" t="s">
        <v>1005</v>
      </c>
      <c r="C224" s="137" t="s">
        <v>596</v>
      </c>
      <c r="D224" s="137">
        <v>68.610781000000003</v>
      </c>
      <c r="E224" s="137">
        <v>-149.600742</v>
      </c>
      <c r="F224" s="137">
        <v>736</v>
      </c>
      <c r="G224" s="137" t="s">
        <v>607</v>
      </c>
      <c r="H224" s="137" t="s">
        <v>1006</v>
      </c>
      <c r="I224" s="137" t="s">
        <v>596</v>
      </c>
      <c r="J224" s="137" t="s">
        <v>622</v>
      </c>
      <c r="K224" s="137">
        <v>313</v>
      </c>
      <c r="L224" s="137" t="s">
        <v>996</v>
      </c>
      <c r="M224" s="143" t="str">
        <f t="shared" si="4"/>
        <v>View on Google Map</v>
      </c>
    </row>
    <row r="225" spans="1:13" x14ac:dyDescent="0.2">
      <c r="A225" s="137">
        <v>191</v>
      </c>
      <c r="B225" s="137" t="s">
        <v>1007</v>
      </c>
      <c r="C225" s="137" t="s">
        <v>1008</v>
      </c>
      <c r="D225" s="137">
        <v>68.610349999999997</v>
      </c>
      <c r="E225" s="137">
        <v>-149.59976599999999</v>
      </c>
      <c r="F225" s="137">
        <v>736</v>
      </c>
      <c r="G225" s="137" t="s">
        <v>621</v>
      </c>
      <c r="H225" s="137" t="s">
        <v>1009</v>
      </c>
      <c r="I225" s="137" t="s">
        <v>1010</v>
      </c>
      <c r="J225" s="137" t="s">
        <v>622</v>
      </c>
      <c r="K225" s="137" t="s">
        <v>596</v>
      </c>
      <c r="L225" s="137" t="s">
        <v>1011</v>
      </c>
      <c r="M225" s="143" t="str">
        <f t="shared" si="4"/>
        <v>View on Google Map</v>
      </c>
    </row>
    <row r="226" spans="1:13" x14ac:dyDescent="0.2">
      <c r="A226" s="137">
        <v>243</v>
      </c>
      <c r="B226" s="137" t="s">
        <v>1012</v>
      </c>
      <c r="C226" s="137" t="s">
        <v>596</v>
      </c>
      <c r="D226" s="137">
        <v>68.611682999999999</v>
      </c>
      <c r="E226" s="137">
        <v>-149.599254</v>
      </c>
      <c r="F226" s="137">
        <v>736</v>
      </c>
      <c r="G226" s="137" t="s">
        <v>621</v>
      </c>
      <c r="H226" s="137" t="s">
        <v>1013</v>
      </c>
      <c r="I226" s="137" t="s">
        <v>1014</v>
      </c>
      <c r="J226" s="137" t="s">
        <v>622</v>
      </c>
      <c r="K226" s="137" t="s">
        <v>596</v>
      </c>
      <c r="L226" s="137" t="s">
        <v>1011</v>
      </c>
      <c r="M226" s="143" t="str">
        <f t="shared" si="4"/>
        <v>View on Google Map</v>
      </c>
    </row>
    <row r="227" spans="1:13" x14ac:dyDescent="0.2">
      <c r="A227" s="137">
        <v>111</v>
      </c>
      <c r="B227" s="137" t="s">
        <v>1015</v>
      </c>
      <c r="C227" s="137" t="s">
        <v>596</v>
      </c>
      <c r="D227" s="137">
        <v>68.568713078900004</v>
      </c>
      <c r="E227" s="137">
        <v>-149.58807625</v>
      </c>
      <c r="F227" s="137">
        <v>785</v>
      </c>
      <c r="G227" s="137" t="s">
        <v>607</v>
      </c>
      <c r="H227" s="137" t="s">
        <v>1016</v>
      </c>
      <c r="I227" s="137" t="s">
        <v>1017</v>
      </c>
      <c r="J227" s="137" t="s">
        <v>622</v>
      </c>
      <c r="K227" s="137" t="s">
        <v>596</v>
      </c>
      <c r="L227" s="137" t="s">
        <v>996</v>
      </c>
      <c r="M227" s="143" t="str">
        <f t="shared" si="4"/>
        <v>View on Google Map</v>
      </c>
    </row>
    <row r="228" spans="1:13" x14ac:dyDescent="0.2">
      <c r="A228" s="137">
        <v>175</v>
      </c>
      <c r="B228" s="137" t="s">
        <v>1018</v>
      </c>
      <c r="C228" s="137" t="s">
        <v>596</v>
      </c>
      <c r="D228" s="137">
        <v>68.573999999999998</v>
      </c>
      <c r="E228" s="137">
        <v>-149.58356599999999</v>
      </c>
      <c r="F228" s="137">
        <v>774</v>
      </c>
      <c r="G228" s="137" t="s">
        <v>621</v>
      </c>
      <c r="H228" s="137" t="s">
        <v>1019</v>
      </c>
      <c r="I228" s="137" t="s">
        <v>1020</v>
      </c>
      <c r="J228" s="137" t="s">
        <v>622</v>
      </c>
      <c r="K228" s="137" t="s">
        <v>596</v>
      </c>
      <c r="L228" s="137" t="s">
        <v>1011</v>
      </c>
      <c r="M228" s="143" t="str">
        <f t="shared" si="4"/>
        <v>View on Google Map</v>
      </c>
    </row>
    <row r="229" spans="1:13" x14ac:dyDescent="0.2">
      <c r="A229" s="137">
        <v>174</v>
      </c>
      <c r="B229" s="137" t="s">
        <v>1021</v>
      </c>
      <c r="C229" s="137" t="s">
        <v>596</v>
      </c>
      <c r="D229" s="137">
        <v>68.572295999999994</v>
      </c>
      <c r="E229" s="137">
        <v>-149.58101400000001</v>
      </c>
      <c r="F229" s="137">
        <v>785</v>
      </c>
      <c r="G229" s="137" t="s">
        <v>621</v>
      </c>
      <c r="H229" s="137" t="s">
        <v>1022</v>
      </c>
      <c r="I229" s="137" t="s">
        <v>1023</v>
      </c>
      <c r="J229" s="137" t="s">
        <v>622</v>
      </c>
      <c r="K229" s="137" t="s">
        <v>596</v>
      </c>
      <c r="L229" s="137" t="s">
        <v>1011</v>
      </c>
      <c r="M229" s="143" t="str">
        <f t="shared" si="4"/>
        <v>View on Google Map</v>
      </c>
    </row>
    <row r="230" spans="1:13" x14ac:dyDescent="0.2">
      <c r="A230" s="137">
        <v>112</v>
      </c>
      <c r="B230" s="137" t="s">
        <v>1024</v>
      </c>
      <c r="C230" s="137" t="s">
        <v>596</v>
      </c>
      <c r="D230" s="137">
        <v>68.571319563299994</v>
      </c>
      <c r="E230" s="137">
        <v>-149.56588161799999</v>
      </c>
      <c r="F230" s="137">
        <v>785</v>
      </c>
      <c r="G230" s="137" t="s">
        <v>607</v>
      </c>
      <c r="H230" s="137" t="s">
        <v>1025</v>
      </c>
      <c r="I230" s="137" t="s">
        <v>1026</v>
      </c>
      <c r="J230" s="137" t="s">
        <v>622</v>
      </c>
      <c r="K230" s="137" t="s">
        <v>596</v>
      </c>
      <c r="L230" s="137" t="s">
        <v>996</v>
      </c>
      <c r="M230" s="143" t="str">
        <f t="shared" si="4"/>
        <v>View on Google Map</v>
      </c>
    </row>
    <row r="231" spans="1:13" x14ac:dyDescent="0.2">
      <c r="A231" s="137">
        <v>176</v>
      </c>
      <c r="B231" s="137" t="s">
        <v>1027</v>
      </c>
      <c r="C231" s="137" t="s">
        <v>596</v>
      </c>
      <c r="D231" s="137">
        <v>68.574783330000002</v>
      </c>
      <c r="E231" s="137">
        <v>-149.58205000000001</v>
      </c>
      <c r="F231" s="137">
        <v>774</v>
      </c>
      <c r="G231" s="137" t="s">
        <v>621</v>
      </c>
      <c r="H231" s="137" t="s">
        <v>1028</v>
      </c>
      <c r="I231" s="137" t="s">
        <v>1029</v>
      </c>
      <c r="J231" s="137" t="s">
        <v>622</v>
      </c>
      <c r="K231" s="137" t="s">
        <v>596</v>
      </c>
      <c r="L231" s="137" t="s">
        <v>1011</v>
      </c>
      <c r="M231" s="143" t="str">
        <f t="shared" si="4"/>
        <v>View on Google Map</v>
      </c>
    </row>
    <row r="232" spans="1:13" x14ac:dyDescent="0.2">
      <c r="A232" s="137">
        <v>173</v>
      </c>
      <c r="B232" s="137" t="s">
        <v>1030</v>
      </c>
      <c r="C232" s="137" t="s">
        <v>596</v>
      </c>
      <c r="D232" s="137">
        <v>68.572546000000003</v>
      </c>
      <c r="E232" s="137">
        <v>-149.570268</v>
      </c>
      <c r="F232" s="137">
        <v>785</v>
      </c>
      <c r="G232" s="137" t="s">
        <v>621</v>
      </c>
      <c r="H232" s="137" t="s">
        <v>1031</v>
      </c>
      <c r="I232" s="137" t="s">
        <v>1032</v>
      </c>
      <c r="J232" s="137" t="s">
        <v>622</v>
      </c>
      <c r="K232" s="137" t="s">
        <v>596</v>
      </c>
      <c r="L232" s="137" t="s">
        <v>1011</v>
      </c>
      <c r="M232" s="143" t="str">
        <f t="shared" si="4"/>
        <v>View on Google Map</v>
      </c>
    </row>
    <row r="233" spans="1:13" x14ac:dyDescent="0.2">
      <c r="A233" s="137">
        <v>113</v>
      </c>
      <c r="B233" s="137" t="s">
        <v>1033</v>
      </c>
      <c r="C233" s="137" t="s">
        <v>596</v>
      </c>
      <c r="D233" s="137">
        <v>68.575536630100004</v>
      </c>
      <c r="E233" s="137">
        <v>-149.583644456</v>
      </c>
      <c r="F233" s="137">
        <v>774</v>
      </c>
      <c r="G233" s="137" t="s">
        <v>607</v>
      </c>
      <c r="H233" s="137" t="s">
        <v>1034</v>
      </c>
      <c r="I233" s="137" t="s">
        <v>1035</v>
      </c>
      <c r="J233" s="137" t="s">
        <v>622</v>
      </c>
      <c r="K233" s="137" t="s">
        <v>596</v>
      </c>
      <c r="L233" s="137" t="s">
        <v>996</v>
      </c>
      <c r="M233" s="143" t="str">
        <f t="shared" si="4"/>
        <v>View on Google Map</v>
      </c>
    </row>
    <row r="234" spans="1:13" x14ac:dyDescent="0.2">
      <c r="A234" s="137">
        <v>177</v>
      </c>
      <c r="B234" s="137" t="s">
        <v>1036</v>
      </c>
      <c r="C234" s="137" t="s">
        <v>596</v>
      </c>
      <c r="D234" s="137">
        <v>68.577539999999999</v>
      </c>
      <c r="E234" s="137">
        <v>-149.58200299999999</v>
      </c>
      <c r="F234" s="137">
        <v>774</v>
      </c>
      <c r="G234" s="137" t="s">
        <v>621</v>
      </c>
      <c r="H234" s="137" t="s">
        <v>1037</v>
      </c>
      <c r="I234" s="137" t="s">
        <v>1038</v>
      </c>
      <c r="J234" s="137" t="s">
        <v>622</v>
      </c>
      <c r="K234" s="137" t="s">
        <v>596</v>
      </c>
      <c r="L234" s="137" t="s">
        <v>1011</v>
      </c>
      <c r="M234" s="143" t="str">
        <f t="shared" si="4"/>
        <v>View on Google Map</v>
      </c>
    </row>
    <row r="235" spans="1:13" x14ac:dyDescent="0.2">
      <c r="A235" s="137">
        <v>114</v>
      </c>
      <c r="B235" s="137" t="s">
        <v>1039</v>
      </c>
      <c r="C235" s="137" t="s">
        <v>596</v>
      </c>
      <c r="D235" s="137">
        <v>68.579567150000003</v>
      </c>
      <c r="E235" s="137">
        <v>-149.58405938000001</v>
      </c>
      <c r="F235" s="137">
        <v>770</v>
      </c>
      <c r="G235" s="137" t="s">
        <v>607</v>
      </c>
      <c r="H235" s="137" t="s">
        <v>1040</v>
      </c>
      <c r="I235" s="137" t="s">
        <v>1041</v>
      </c>
      <c r="J235" s="137" t="s">
        <v>622</v>
      </c>
      <c r="K235" s="137" t="s">
        <v>596</v>
      </c>
      <c r="L235" s="137" t="s">
        <v>996</v>
      </c>
      <c r="M235" s="143" t="str">
        <f t="shared" si="4"/>
        <v>View on Google Map</v>
      </c>
    </row>
    <row r="236" spans="1:13" x14ac:dyDescent="0.2">
      <c r="A236" s="137">
        <v>179</v>
      </c>
      <c r="B236" s="137" t="s">
        <v>1042</v>
      </c>
      <c r="C236" s="137" t="s">
        <v>596</v>
      </c>
      <c r="D236" s="137">
        <v>68.584233330000004</v>
      </c>
      <c r="E236" s="137">
        <v>-149.58359999999999</v>
      </c>
      <c r="F236" s="137">
        <v>770</v>
      </c>
      <c r="G236" s="137" t="s">
        <v>621</v>
      </c>
      <c r="H236" s="137" t="s">
        <v>1043</v>
      </c>
      <c r="I236" s="137" t="s">
        <v>1044</v>
      </c>
      <c r="J236" s="137" t="s">
        <v>622</v>
      </c>
      <c r="K236" s="137" t="s">
        <v>596</v>
      </c>
      <c r="L236" s="137" t="s">
        <v>1011</v>
      </c>
      <c r="M236" s="143" t="str">
        <f t="shared" si="4"/>
        <v>View on Google Map</v>
      </c>
    </row>
    <row r="237" spans="1:13" x14ac:dyDescent="0.2">
      <c r="A237" s="137">
        <v>178</v>
      </c>
      <c r="B237" s="137" t="s">
        <v>1045</v>
      </c>
      <c r="C237" s="137" t="s">
        <v>596</v>
      </c>
      <c r="D237" s="137">
        <v>68.581429999999997</v>
      </c>
      <c r="E237" s="137">
        <v>-149.58609999999999</v>
      </c>
      <c r="F237" s="137">
        <v>770</v>
      </c>
      <c r="G237" s="137" t="s">
        <v>621</v>
      </c>
      <c r="H237" s="137" t="s">
        <v>1046</v>
      </c>
      <c r="I237" s="137" t="s">
        <v>1047</v>
      </c>
      <c r="J237" s="137" t="s">
        <v>622</v>
      </c>
      <c r="K237" s="137" t="s">
        <v>596</v>
      </c>
      <c r="L237" s="137" t="s">
        <v>1011</v>
      </c>
      <c r="M237" s="143" t="str">
        <f t="shared" si="4"/>
        <v>View on Google Map</v>
      </c>
    </row>
    <row r="238" spans="1:13" x14ac:dyDescent="0.2">
      <c r="A238" s="137">
        <v>115</v>
      </c>
      <c r="B238" s="137" t="s">
        <v>1048</v>
      </c>
      <c r="C238" s="137" t="s">
        <v>596</v>
      </c>
      <c r="D238" s="137">
        <v>68.587387439099999</v>
      </c>
      <c r="E238" s="137">
        <v>-149.589625877</v>
      </c>
      <c r="F238" s="137">
        <v>767</v>
      </c>
      <c r="G238" s="137" t="s">
        <v>607</v>
      </c>
      <c r="H238" s="137" t="s">
        <v>1049</v>
      </c>
      <c r="I238" s="137" t="s">
        <v>1050</v>
      </c>
      <c r="J238" s="137" t="s">
        <v>622</v>
      </c>
      <c r="K238" s="137" t="s">
        <v>596</v>
      </c>
      <c r="L238" s="137" t="s">
        <v>996</v>
      </c>
      <c r="M238" s="143" t="str">
        <f t="shared" si="4"/>
        <v>View on Google Map</v>
      </c>
    </row>
    <row r="239" spans="1:13" x14ac:dyDescent="0.2">
      <c r="A239" s="137">
        <v>181</v>
      </c>
      <c r="B239" s="137" t="s">
        <v>1051</v>
      </c>
      <c r="C239" s="137" t="s">
        <v>596</v>
      </c>
      <c r="D239" s="137">
        <v>68.594916670000003</v>
      </c>
      <c r="E239" s="137">
        <v>-149.58631600000001</v>
      </c>
      <c r="F239" s="137">
        <v>754</v>
      </c>
      <c r="G239" s="137" t="s">
        <v>621</v>
      </c>
      <c r="H239" s="137" t="s">
        <v>1052</v>
      </c>
      <c r="I239" s="137" t="s">
        <v>1053</v>
      </c>
      <c r="J239" s="137" t="s">
        <v>622</v>
      </c>
      <c r="K239" s="137" t="s">
        <v>596</v>
      </c>
      <c r="L239" s="137" t="s">
        <v>1011</v>
      </c>
      <c r="M239" s="143" t="str">
        <f t="shared" si="4"/>
        <v>View on Google Map</v>
      </c>
    </row>
    <row r="240" spans="1:13" x14ac:dyDescent="0.2">
      <c r="A240" s="137">
        <v>180</v>
      </c>
      <c r="B240" s="137" t="s">
        <v>1054</v>
      </c>
      <c r="C240" s="137" t="s">
        <v>596</v>
      </c>
      <c r="D240" s="137">
        <v>68.589087000000006</v>
      </c>
      <c r="E240" s="137">
        <v>-149.58921900000001</v>
      </c>
      <c r="F240" s="137">
        <v>767</v>
      </c>
      <c r="G240" s="137" t="s">
        <v>621</v>
      </c>
      <c r="H240" s="137" t="s">
        <v>1055</v>
      </c>
      <c r="I240" s="137" t="s">
        <v>1056</v>
      </c>
      <c r="J240" s="137" t="s">
        <v>622</v>
      </c>
      <c r="K240" s="137" t="s">
        <v>596</v>
      </c>
      <c r="L240" s="137" t="s">
        <v>1011</v>
      </c>
      <c r="M240" s="143" t="str">
        <f t="shared" si="4"/>
        <v>View on Google Map</v>
      </c>
    </row>
    <row r="241" spans="1:13" x14ac:dyDescent="0.2">
      <c r="A241" s="137">
        <v>116</v>
      </c>
      <c r="B241" s="137" t="s">
        <v>1057</v>
      </c>
      <c r="C241" s="137" t="s">
        <v>596</v>
      </c>
      <c r="D241" s="137">
        <v>68.596592403900004</v>
      </c>
      <c r="E241" s="137">
        <v>-149.59264335</v>
      </c>
      <c r="F241" s="137">
        <v>754</v>
      </c>
      <c r="G241" s="137" t="s">
        <v>607</v>
      </c>
      <c r="H241" s="137" t="s">
        <v>1058</v>
      </c>
      <c r="I241" s="137" t="s">
        <v>1059</v>
      </c>
      <c r="J241" s="137" t="s">
        <v>622</v>
      </c>
      <c r="K241" s="137" t="s">
        <v>596</v>
      </c>
      <c r="L241" s="137" t="s">
        <v>996</v>
      </c>
      <c r="M241" s="143" t="str">
        <f t="shared" si="4"/>
        <v>View on Google Map</v>
      </c>
    </row>
    <row r="242" spans="1:13" x14ac:dyDescent="0.2">
      <c r="A242" s="137">
        <v>431</v>
      </c>
      <c r="B242" s="137" t="s">
        <v>1060</v>
      </c>
      <c r="C242" s="137" t="s">
        <v>596</v>
      </c>
      <c r="D242" s="137">
        <v>68.582061999999993</v>
      </c>
      <c r="E242" s="137">
        <v>-149.62293199999999</v>
      </c>
      <c r="F242" s="137">
        <v>806</v>
      </c>
      <c r="G242" s="137" t="s">
        <v>607</v>
      </c>
      <c r="H242" s="137" t="s">
        <v>1061</v>
      </c>
      <c r="I242" s="137" t="s">
        <v>1062</v>
      </c>
      <c r="J242" s="137" t="s">
        <v>622</v>
      </c>
      <c r="K242" s="137" t="s">
        <v>596</v>
      </c>
      <c r="L242" s="137" t="s">
        <v>996</v>
      </c>
      <c r="M242" s="143" t="str">
        <f t="shared" si="4"/>
        <v>View on Google Map</v>
      </c>
    </row>
    <row r="243" spans="1:13" x14ac:dyDescent="0.2">
      <c r="A243" s="137">
        <v>444</v>
      </c>
      <c r="B243" s="137" t="s">
        <v>1063</v>
      </c>
      <c r="C243" s="137" t="s">
        <v>596</v>
      </c>
      <c r="D243" s="137">
        <v>68.578643</v>
      </c>
      <c r="E243" s="137">
        <v>-149.62110200000001</v>
      </c>
      <c r="F243" s="137">
        <v>808</v>
      </c>
      <c r="G243" s="137" t="s">
        <v>621</v>
      </c>
      <c r="H243" s="137" t="s">
        <v>1064</v>
      </c>
      <c r="I243" s="137" t="s">
        <v>1065</v>
      </c>
      <c r="J243" s="137" t="s">
        <v>622</v>
      </c>
      <c r="K243" s="137" t="s">
        <v>596</v>
      </c>
      <c r="L243" s="137" t="s">
        <v>1011</v>
      </c>
      <c r="M243" s="143" t="str">
        <f t="shared" si="4"/>
        <v>View on Google Map</v>
      </c>
    </row>
    <row r="244" spans="1:13" x14ac:dyDescent="0.2">
      <c r="A244" s="137">
        <v>535</v>
      </c>
      <c r="B244" s="137" t="s">
        <v>1066</v>
      </c>
      <c r="C244" s="137" t="s">
        <v>1067</v>
      </c>
      <c r="D244" s="137">
        <v>68.585839000000007</v>
      </c>
      <c r="E244" s="137">
        <v>-149.62222299999999</v>
      </c>
      <c r="F244" s="137">
        <v>805</v>
      </c>
      <c r="G244" s="137" t="s">
        <v>621</v>
      </c>
      <c r="H244" s="137" t="s">
        <v>596</v>
      </c>
      <c r="I244" s="137" t="s">
        <v>596</v>
      </c>
      <c r="J244" s="137" t="s">
        <v>608</v>
      </c>
      <c r="K244" s="137" t="s">
        <v>596</v>
      </c>
      <c r="L244" s="137" t="s">
        <v>1068</v>
      </c>
      <c r="M244" s="143" t="str">
        <f t="shared" si="4"/>
        <v>View on Google Map</v>
      </c>
    </row>
    <row r="245" spans="1:13" x14ac:dyDescent="0.2">
      <c r="A245" s="137">
        <v>536</v>
      </c>
      <c r="B245" s="137" t="s">
        <v>1069</v>
      </c>
      <c r="C245" s="137" t="s">
        <v>1067</v>
      </c>
      <c r="D245" s="137">
        <v>68.591329999999999</v>
      </c>
      <c r="E245" s="137">
        <v>-149.61154199999999</v>
      </c>
      <c r="F245" s="137">
        <v>775</v>
      </c>
      <c r="G245" s="137" t="s">
        <v>621</v>
      </c>
      <c r="H245" s="137" t="s">
        <v>596</v>
      </c>
      <c r="I245" s="137" t="s">
        <v>596</v>
      </c>
      <c r="J245" s="137" t="s">
        <v>608</v>
      </c>
      <c r="K245" s="137" t="s">
        <v>596</v>
      </c>
      <c r="L245" s="137" t="s">
        <v>1068</v>
      </c>
      <c r="M245" s="143" t="str">
        <f t="shared" si="4"/>
        <v>View on Google Map</v>
      </c>
    </row>
    <row r="246" spans="1:13" x14ac:dyDescent="0.2">
      <c r="A246" s="137">
        <v>445</v>
      </c>
      <c r="B246" s="137" t="s">
        <v>1070</v>
      </c>
      <c r="C246" s="137" t="s">
        <v>596</v>
      </c>
      <c r="D246" s="137">
        <v>68.583569999999995</v>
      </c>
      <c r="E246" s="137">
        <v>-149.62384</v>
      </c>
      <c r="F246" s="137">
        <v>808</v>
      </c>
      <c r="G246" s="137" t="s">
        <v>621</v>
      </c>
      <c r="H246" s="137" t="s">
        <v>1071</v>
      </c>
      <c r="I246" s="137" t="s">
        <v>1072</v>
      </c>
      <c r="J246" s="137" t="s">
        <v>622</v>
      </c>
      <c r="K246" s="137" t="s">
        <v>596</v>
      </c>
      <c r="L246" s="137" t="s">
        <v>1011</v>
      </c>
      <c r="M246" s="143" t="str">
        <f t="shared" si="4"/>
        <v>View on Google Map</v>
      </c>
    </row>
    <row r="247" spans="1:13" x14ac:dyDescent="0.2">
      <c r="A247" s="137">
        <v>182</v>
      </c>
      <c r="B247" s="137" t="s">
        <v>1073</v>
      </c>
      <c r="C247" s="137" t="s">
        <v>596</v>
      </c>
      <c r="D247" s="137">
        <v>68.596883329999997</v>
      </c>
      <c r="E247" s="137">
        <v>-149.60124999999999</v>
      </c>
      <c r="F247" s="137">
        <v>754</v>
      </c>
      <c r="G247" s="137" t="s">
        <v>621</v>
      </c>
      <c r="H247" s="137" t="s">
        <v>1074</v>
      </c>
      <c r="I247" s="137" t="s">
        <v>1075</v>
      </c>
      <c r="J247" s="137" t="s">
        <v>622</v>
      </c>
      <c r="K247" s="137" t="s">
        <v>596</v>
      </c>
      <c r="L247" s="137" t="s">
        <v>1011</v>
      </c>
      <c r="M247" s="143" t="str">
        <f t="shared" si="4"/>
        <v>View on Google Map</v>
      </c>
    </row>
    <row r="248" spans="1:13" x14ac:dyDescent="0.2">
      <c r="A248" s="137">
        <v>183</v>
      </c>
      <c r="B248" s="137" t="s">
        <v>1076</v>
      </c>
      <c r="C248" s="137" t="s">
        <v>596</v>
      </c>
      <c r="D248" s="137">
        <v>68.598684000000006</v>
      </c>
      <c r="E248" s="137">
        <v>-149.599853</v>
      </c>
      <c r="F248" s="137">
        <v>754</v>
      </c>
      <c r="G248" s="137" t="s">
        <v>621</v>
      </c>
      <c r="H248" s="137" t="s">
        <v>1077</v>
      </c>
      <c r="I248" s="137" t="s">
        <v>1078</v>
      </c>
      <c r="J248" s="137" t="s">
        <v>622</v>
      </c>
      <c r="K248" s="137" t="s">
        <v>596</v>
      </c>
      <c r="L248" s="137" t="s">
        <v>1011</v>
      </c>
      <c r="M248" s="143" t="str">
        <f t="shared" si="4"/>
        <v>View on Google Map</v>
      </c>
    </row>
    <row r="249" spans="1:13" x14ac:dyDescent="0.2">
      <c r="A249" s="137">
        <v>117</v>
      </c>
      <c r="B249" s="137" t="s">
        <v>1079</v>
      </c>
      <c r="C249" s="137" t="s">
        <v>596</v>
      </c>
      <c r="D249" s="137">
        <v>68.600874798199996</v>
      </c>
      <c r="E249" s="137">
        <v>-149.596582063</v>
      </c>
      <c r="F249" s="137">
        <v>742</v>
      </c>
      <c r="G249" s="137" t="s">
        <v>607</v>
      </c>
      <c r="H249" s="137" t="s">
        <v>1080</v>
      </c>
      <c r="I249" s="137" t="s">
        <v>1081</v>
      </c>
      <c r="J249" s="137" t="s">
        <v>622</v>
      </c>
      <c r="K249" s="137" t="s">
        <v>596</v>
      </c>
      <c r="L249" s="137" t="s">
        <v>996</v>
      </c>
      <c r="M249" s="143" t="str">
        <f t="shared" si="4"/>
        <v>View on Google Map</v>
      </c>
    </row>
    <row r="250" spans="1:13" x14ac:dyDescent="0.2">
      <c r="A250" s="137">
        <v>187</v>
      </c>
      <c r="B250" s="137" t="s">
        <v>1082</v>
      </c>
      <c r="C250" s="137" t="s">
        <v>596</v>
      </c>
      <c r="D250" s="137">
        <v>68.618183329999994</v>
      </c>
      <c r="E250" s="137">
        <v>-149.596766</v>
      </c>
      <c r="F250" s="137">
        <v>728</v>
      </c>
      <c r="G250" s="137" t="s">
        <v>621</v>
      </c>
      <c r="H250" s="137" t="s">
        <v>1083</v>
      </c>
      <c r="I250" s="137" t="s">
        <v>1084</v>
      </c>
      <c r="J250" s="137" t="s">
        <v>622</v>
      </c>
      <c r="K250" s="137" t="s">
        <v>596</v>
      </c>
      <c r="L250" s="137" t="s">
        <v>1011</v>
      </c>
      <c r="M250" s="143" t="str">
        <f t="shared" si="4"/>
        <v>View on Google Map</v>
      </c>
    </row>
    <row r="251" spans="1:13" x14ac:dyDescent="0.2">
      <c r="A251" s="137">
        <v>184</v>
      </c>
      <c r="B251" s="137" t="s">
        <v>1085</v>
      </c>
      <c r="C251" s="137" t="s">
        <v>596</v>
      </c>
      <c r="D251" s="137">
        <v>68.601830000000007</v>
      </c>
      <c r="E251" s="137">
        <v>-149.59671299999999</v>
      </c>
      <c r="F251" s="137">
        <v>742</v>
      </c>
      <c r="G251" s="137" t="s">
        <v>621</v>
      </c>
      <c r="H251" s="137" t="s">
        <v>1086</v>
      </c>
      <c r="I251" s="137" t="s">
        <v>1087</v>
      </c>
      <c r="J251" s="137" t="s">
        <v>622</v>
      </c>
      <c r="K251" s="137" t="s">
        <v>596</v>
      </c>
      <c r="L251" s="137" t="s">
        <v>1011</v>
      </c>
      <c r="M251" s="143" t="str">
        <f t="shared" si="4"/>
        <v>View on Google Map</v>
      </c>
    </row>
    <row r="252" spans="1:13" x14ac:dyDescent="0.2">
      <c r="A252" s="137">
        <v>118</v>
      </c>
      <c r="B252" s="137" t="s">
        <v>1088</v>
      </c>
      <c r="C252" s="137" t="s">
        <v>596</v>
      </c>
      <c r="D252" s="137">
        <v>68.6101575207</v>
      </c>
      <c r="E252" s="137">
        <v>-149.582211513</v>
      </c>
      <c r="F252" s="137">
        <v>744</v>
      </c>
      <c r="G252" s="137" t="s">
        <v>607</v>
      </c>
      <c r="H252" s="137" t="s">
        <v>1089</v>
      </c>
      <c r="I252" s="137" t="s">
        <v>1090</v>
      </c>
      <c r="J252" s="137" t="s">
        <v>622</v>
      </c>
      <c r="K252" s="137" t="s">
        <v>596</v>
      </c>
      <c r="L252" s="137" t="s">
        <v>996</v>
      </c>
      <c r="M252" s="143" t="str">
        <f t="shared" si="4"/>
        <v>View on Google Map</v>
      </c>
    </row>
    <row r="253" spans="1:13" x14ac:dyDescent="0.2">
      <c r="A253" s="137">
        <v>172</v>
      </c>
      <c r="B253" s="137" t="s">
        <v>1091</v>
      </c>
      <c r="C253" s="137" t="s">
        <v>596</v>
      </c>
      <c r="D253" s="137">
        <v>68.573666666666668</v>
      </c>
      <c r="E253" s="137">
        <v>-149.53716666666699</v>
      </c>
      <c r="F253" s="137">
        <v>808</v>
      </c>
      <c r="G253" s="137" t="s">
        <v>621</v>
      </c>
      <c r="H253" s="137" t="s">
        <v>1092</v>
      </c>
      <c r="I253" s="137" t="s">
        <v>1093</v>
      </c>
      <c r="J253" s="137" t="s">
        <v>622</v>
      </c>
      <c r="K253" s="137" t="s">
        <v>596</v>
      </c>
      <c r="L253" s="137" t="s">
        <v>1011</v>
      </c>
      <c r="M253" s="143" t="str">
        <f t="shared" si="4"/>
        <v>View on Google Map</v>
      </c>
    </row>
    <row r="254" spans="1:13" x14ac:dyDescent="0.2">
      <c r="A254" s="137">
        <v>533</v>
      </c>
      <c r="B254" s="137" t="s">
        <v>1094</v>
      </c>
      <c r="C254" s="137" t="s">
        <v>1067</v>
      </c>
      <c r="D254" s="137">
        <v>68.599999999999994</v>
      </c>
      <c r="E254" s="137">
        <v>-149.57599999999999</v>
      </c>
      <c r="F254" s="137">
        <v>762</v>
      </c>
      <c r="G254" s="137" t="s">
        <v>621</v>
      </c>
      <c r="H254" s="137" t="s">
        <v>596</v>
      </c>
      <c r="I254" s="137" t="s">
        <v>596</v>
      </c>
      <c r="J254" s="137" t="s">
        <v>608</v>
      </c>
      <c r="K254" s="137" t="s">
        <v>596</v>
      </c>
      <c r="L254" s="137" t="s">
        <v>1068</v>
      </c>
      <c r="M254" s="143" t="str">
        <f t="shared" si="4"/>
        <v>View on Google Map</v>
      </c>
    </row>
    <row r="255" spans="1:13" x14ac:dyDescent="0.2">
      <c r="A255" s="137">
        <v>534</v>
      </c>
      <c r="B255" s="137" t="s">
        <v>1095</v>
      </c>
      <c r="C255" s="137" t="s">
        <v>1067</v>
      </c>
      <c r="D255" s="137">
        <v>68.601493000000005</v>
      </c>
      <c r="E255" s="137">
        <v>-149.579071</v>
      </c>
      <c r="F255" s="137">
        <v>760</v>
      </c>
      <c r="G255" s="137" t="s">
        <v>621</v>
      </c>
      <c r="H255" s="137" t="s">
        <v>596</v>
      </c>
      <c r="I255" s="137" t="s">
        <v>596</v>
      </c>
      <c r="J255" s="137" t="s">
        <v>608</v>
      </c>
      <c r="K255" s="137" t="s">
        <v>596</v>
      </c>
      <c r="L255" s="137" t="s">
        <v>1068</v>
      </c>
      <c r="M255" s="143" t="str">
        <f t="shared" si="4"/>
        <v>View on Google Map</v>
      </c>
    </row>
    <row r="256" spans="1:13" x14ac:dyDescent="0.2">
      <c r="A256" s="137">
        <v>185</v>
      </c>
      <c r="B256" s="137" t="s">
        <v>1096</v>
      </c>
      <c r="C256" s="137" t="s">
        <v>596</v>
      </c>
      <c r="D256" s="137">
        <v>68.60853333</v>
      </c>
      <c r="E256" s="137">
        <v>-149.58763300000001</v>
      </c>
      <c r="F256" s="137">
        <v>744</v>
      </c>
      <c r="G256" s="137" t="s">
        <v>621</v>
      </c>
      <c r="H256" s="137" t="s">
        <v>1097</v>
      </c>
      <c r="I256" s="137" t="s">
        <v>1098</v>
      </c>
      <c r="J256" s="137" t="s">
        <v>622</v>
      </c>
      <c r="K256" s="137" t="s">
        <v>596</v>
      </c>
      <c r="L256" s="137" t="s">
        <v>1011</v>
      </c>
      <c r="M256" s="143" t="str">
        <f t="shared" si="4"/>
        <v>View on Google Map</v>
      </c>
    </row>
    <row r="257" spans="1:13" x14ac:dyDescent="0.2">
      <c r="A257" s="137">
        <v>547</v>
      </c>
      <c r="B257" s="137" t="s">
        <v>1099</v>
      </c>
      <c r="C257" s="137" t="s">
        <v>1100</v>
      </c>
      <c r="D257" s="137">
        <v>68.611012000000002</v>
      </c>
      <c r="E257" s="137">
        <v>-149.57365200000001</v>
      </c>
      <c r="F257" s="137">
        <v>744</v>
      </c>
      <c r="G257" s="137" t="s">
        <v>621</v>
      </c>
      <c r="H257" s="137" t="s">
        <v>596</v>
      </c>
      <c r="I257" s="137" t="s">
        <v>596</v>
      </c>
      <c r="J257" s="137" t="s">
        <v>1101</v>
      </c>
      <c r="K257" s="137" t="s">
        <v>596</v>
      </c>
      <c r="L257" s="137" t="s">
        <v>1102</v>
      </c>
      <c r="M257" s="143" t="str">
        <f t="shared" si="4"/>
        <v>View on Google Map</v>
      </c>
    </row>
    <row r="258" spans="1:13" x14ac:dyDescent="0.2">
      <c r="A258" s="137">
        <v>548</v>
      </c>
      <c r="B258" s="137" t="s">
        <v>1103</v>
      </c>
      <c r="C258" s="137" t="s">
        <v>1100</v>
      </c>
      <c r="D258" s="137">
        <v>68.612117999999995</v>
      </c>
      <c r="E258" s="137">
        <v>-149.576359</v>
      </c>
      <c r="F258" s="137">
        <v>744</v>
      </c>
      <c r="G258" s="137" t="s">
        <v>621</v>
      </c>
      <c r="H258" s="137" t="s">
        <v>596</v>
      </c>
      <c r="I258" s="137" t="s">
        <v>596</v>
      </c>
      <c r="J258" s="137" t="s">
        <v>1101</v>
      </c>
      <c r="K258" s="137" t="s">
        <v>596</v>
      </c>
      <c r="L258" s="137" t="s">
        <v>1102</v>
      </c>
      <c r="M258" s="143" t="str">
        <f t="shared" si="4"/>
        <v>View on Google Map</v>
      </c>
    </row>
    <row r="259" spans="1:13" x14ac:dyDescent="0.2">
      <c r="A259" s="137">
        <v>546</v>
      </c>
      <c r="B259" s="137" t="s">
        <v>1104</v>
      </c>
      <c r="C259" s="137" t="s">
        <v>1100</v>
      </c>
      <c r="D259" s="137">
        <v>68.608949999999993</v>
      </c>
      <c r="E259" s="137">
        <v>-149.57907399999999</v>
      </c>
      <c r="F259" s="137">
        <v>744</v>
      </c>
      <c r="G259" s="137" t="s">
        <v>621</v>
      </c>
      <c r="H259" s="137" t="s">
        <v>596</v>
      </c>
      <c r="I259" s="137" t="s">
        <v>596</v>
      </c>
      <c r="J259" s="137" t="s">
        <v>1101</v>
      </c>
      <c r="K259" s="137" t="s">
        <v>596</v>
      </c>
      <c r="L259" s="137" t="s">
        <v>1102</v>
      </c>
      <c r="M259" s="143" t="str">
        <f t="shared" ref="M259:M322" si="5">HYPERLINK("http://maps.google.com/maps?q="&amp;D259&amp;","&amp;E259,"View on Google Map")</f>
        <v>View on Google Map</v>
      </c>
    </row>
    <row r="260" spans="1:13" x14ac:dyDescent="0.2">
      <c r="A260" s="137">
        <v>545</v>
      </c>
      <c r="B260" s="137" t="s">
        <v>1105</v>
      </c>
      <c r="C260" s="137" t="s">
        <v>1100</v>
      </c>
      <c r="D260" s="137">
        <v>68.609307999999999</v>
      </c>
      <c r="E260" s="137">
        <v>-149.57375200000001</v>
      </c>
      <c r="F260" s="137">
        <v>744</v>
      </c>
      <c r="G260" s="137" t="s">
        <v>621</v>
      </c>
      <c r="H260" s="137" t="s">
        <v>596</v>
      </c>
      <c r="I260" s="137" t="s">
        <v>596</v>
      </c>
      <c r="J260" s="137" t="s">
        <v>1101</v>
      </c>
      <c r="K260" s="137" t="s">
        <v>596</v>
      </c>
      <c r="L260" s="137" t="s">
        <v>1102</v>
      </c>
      <c r="M260" s="143" t="str">
        <f t="shared" si="5"/>
        <v>View on Google Map</v>
      </c>
    </row>
    <row r="261" spans="1:13" x14ac:dyDescent="0.2">
      <c r="A261" s="137">
        <v>549</v>
      </c>
      <c r="B261" s="137" t="s">
        <v>1106</v>
      </c>
      <c r="C261" s="137" t="s">
        <v>596</v>
      </c>
      <c r="D261" s="137" t="s">
        <v>596</v>
      </c>
      <c r="E261" s="137" t="s">
        <v>596</v>
      </c>
      <c r="F261" s="137" t="s">
        <v>596</v>
      </c>
      <c r="G261" s="137" t="s">
        <v>621</v>
      </c>
      <c r="H261" s="137" t="s">
        <v>596</v>
      </c>
      <c r="I261" s="137" t="s">
        <v>596</v>
      </c>
      <c r="J261" s="137" t="s">
        <v>608</v>
      </c>
      <c r="K261" s="137" t="s">
        <v>596</v>
      </c>
      <c r="L261" s="137" t="s">
        <v>1107</v>
      </c>
      <c r="M261" s="143" t="str">
        <f t="shared" si="5"/>
        <v>View on Google Map</v>
      </c>
    </row>
    <row r="262" spans="1:13" x14ac:dyDescent="0.2">
      <c r="A262" s="137">
        <v>188</v>
      </c>
      <c r="B262" s="137" t="s">
        <v>1108</v>
      </c>
      <c r="C262" s="137" t="s">
        <v>596</v>
      </c>
      <c r="D262" s="137">
        <v>68.61838333</v>
      </c>
      <c r="E262" s="137">
        <v>-149.59649999999999</v>
      </c>
      <c r="F262" s="137">
        <v>728</v>
      </c>
      <c r="G262" s="137" t="s">
        <v>621</v>
      </c>
      <c r="H262" s="137" t="s">
        <v>1109</v>
      </c>
      <c r="I262" s="137" t="s">
        <v>1110</v>
      </c>
      <c r="J262" s="137" t="s">
        <v>622</v>
      </c>
      <c r="K262" s="137" t="s">
        <v>596</v>
      </c>
      <c r="L262" s="137" t="s">
        <v>1011</v>
      </c>
      <c r="M262" s="143" t="str">
        <f t="shared" si="5"/>
        <v>View on Google Map</v>
      </c>
    </row>
    <row r="263" spans="1:13" x14ac:dyDescent="0.2">
      <c r="A263" s="137">
        <v>541</v>
      </c>
      <c r="B263" s="137" t="s">
        <v>1111</v>
      </c>
      <c r="C263" s="137" t="s">
        <v>1100</v>
      </c>
      <c r="D263" s="137">
        <v>68.609846000000005</v>
      </c>
      <c r="E263" s="137">
        <v>-149.58295100000001</v>
      </c>
      <c r="F263" s="137">
        <v>744</v>
      </c>
      <c r="G263" s="137" t="s">
        <v>607</v>
      </c>
      <c r="H263" s="137" t="s">
        <v>596</v>
      </c>
      <c r="I263" s="137" t="s">
        <v>596</v>
      </c>
      <c r="J263" s="137" t="s">
        <v>1101</v>
      </c>
      <c r="K263" s="137" t="s">
        <v>596</v>
      </c>
      <c r="L263" s="137" t="s">
        <v>1102</v>
      </c>
      <c r="M263" s="143" t="str">
        <f t="shared" si="5"/>
        <v>View on Google Map</v>
      </c>
    </row>
    <row r="264" spans="1:13" x14ac:dyDescent="0.2">
      <c r="A264" s="137">
        <v>539</v>
      </c>
      <c r="B264" s="137" t="s">
        <v>1112</v>
      </c>
      <c r="C264" s="137" t="s">
        <v>1100</v>
      </c>
      <c r="D264" s="137">
        <v>68.610575999999995</v>
      </c>
      <c r="E264" s="137">
        <v>-149.576018</v>
      </c>
      <c r="F264" s="137">
        <v>744</v>
      </c>
      <c r="G264" s="137" t="s">
        <v>607</v>
      </c>
      <c r="H264" s="137" t="s">
        <v>596</v>
      </c>
      <c r="I264" s="137" t="s">
        <v>596</v>
      </c>
      <c r="J264" s="137" t="s">
        <v>1101</v>
      </c>
      <c r="K264" s="137" t="s">
        <v>596</v>
      </c>
      <c r="L264" s="137" t="s">
        <v>1102</v>
      </c>
      <c r="M264" s="143" t="str">
        <f t="shared" si="5"/>
        <v>View on Google Map</v>
      </c>
    </row>
    <row r="265" spans="1:13" x14ac:dyDescent="0.2">
      <c r="A265" s="137">
        <v>538</v>
      </c>
      <c r="B265" s="137" t="s">
        <v>1113</v>
      </c>
      <c r="C265" s="137" t="s">
        <v>1100</v>
      </c>
      <c r="D265" s="137">
        <v>68.610889</v>
      </c>
      <c r="E265" s="137">
        <v>-149.576108</v>
      </c>
      <c r="F265" s="137">
        <v>744</v>
      </c>
      <c r="G265" s="137" t="s">
        <v>621</v>
      </c>
      <c r="H265" s="137" t="s">
        <v>596</v>
      </c>
      <c r="I265" s="137" t="s">
        <v>596</v>
      </c>
      <c r="J265" s="137" t="s">
        <v>1101</v>
      </c>
      <c r="K265" s="137" t="s">
        <v>596</v>
      </c>
      <c r="L265" s="137" t="s">
        <v>1102</v>
      </c>
      <c r="M265" s="143" t="str">
        <f t="shared" si="5"/>
        <v>View on Google Map</v>
      </c>
    </row>
    <row r="266" spans="1:13" x14ac:dyDescent="0.2">
      <c r="A266" s="137">
        <v>544</v>
      </c>
      <c r="B266" s="137" t="s">
        <v>1114</v>
      </c>
      <c r="C266" s="137" t="s">
        <v>1100</v>
      </c>
      <c r="D266" s="137">
        <v>68.610529</v>
      </c>
      <c r="E266" s="137">
        <v>-149.58864199999999</v>
      </c>
      <c r="F266" s="137">
        <v>744</v>
      </c>
      <c r="G266" s="137" t="s">
        <v>607</v>
      </c>
      <c r="H266" s="137" t="s">
        <v>596</v>
      </c>
      <c r="I266" s="137" t="s">
        <v>596</v>
      </c>
      <c r="J266" s="137" t="s">
        <v>1101</v>
      </c>
      <c r="K266" s="137" t="s">
        <v>596</v>
      </c>
      <c r="L266" s="137" t="s">
        <v>1102</v>
      </c>
      <c r="M266" s="143" t="str">
        <f t="shared" si="5"/>
        <v>View on Google Map</v>
      </c>
    </row>
    <row r="267" spans="1:13" x14ac:dyDescent="0.2">
      <c r="A267" s="137">
        <v>540</v>
      </c>
      <c r="B267" s="137" t="s">
        <v>1115</v>
      </c>
      <c r="C267" s="137" t="s">
        <v>1100</v>
      </c>
      <c r="D267" s="137">
        <v>68.609842</v>
      </c>
      <c r="E267" s="137">
        <v>-149.575346</v>
      </c>
      <c r="F267" s="137">
        <v>744</v>
      </c>
      <c r="G267" s="137" t="s">
        <v>607</v>
      </c>
      <c r="H267" s="137" t="s">
        <v>596</v>
      </c>
      <c r="I267" s="137" t="s">
        <v>596</v>
      </c>
      <c r="J267" s="137" t="s">
        <v>1101</v>
      </c>
      <c r="K267" s="137" t="s">
        <v>596</v>
      </c>
      <c r="L267" s="137" t="s">
        <v>1102</v>
      </c>
      <c r="M267" s="143" t="str">
        <f t="shared" si="5"/>
        <v>View on Google Map</v>
      </c>
    </row>
    <row r="268" spans="1:13" x14ac:dyDescent="0.2">
      <c r="A268" s="137">
        <v>542</v>
      </c>
      <c r="B268" s="137" t="s">
        <v>1116</v>
      </c>
      <c r="C268" s="137" t="s">
        <v>1100</v>
      </c>
      <c r="D268" s="137">
        <v>68.609202999999994</v>
      </c>
      <c r="E268" s="137">
        <v>-149.588257</v>
      </c>
      <c r="F268" s="137">
        <v>744</v>
      </c>
      <c r="G268" s="137" t="s">
        <v>607</v>
      </c>
      <c r="H268" s="137" t="s">
        <v>596</v>
      </c>
      <c r="I268" s="137" t="s">
        <v>596</v>
      </c>
      <c r="J268" s="137" t="s">
        <v>1101</v>
      </c>
      <c r="K268" s="137" t="s">
        <v>596</v>
      </c>
      <c r="L268" s="137" t="s">
        <v>1102</v>
      </c>
      <c r="M268" s="143" t="str">
        <f t="shared" si="5"/>
        <v>View on Google Map</v>
      </c>
    </row>
    <row r="269" spans="1:13" x14ac:dyDescent="0.2">
      <c r="A269" s="137">
        <v>543</v>
      </c>
      <c r="B269" s="137" t="s">
        <v>1117</v>
      </c>
      <c r="C269" s="137" t="s">
        <v>1100</v>
      </c>
      <c r="D269" s="137">
        <v>68.610028</v>
      </c>
      <c r="E269" s="137">
        <v>-149.588391</v>
      </c>
      <c r="F269" s="137">
        <v>744</v>
      </c>
      <c r="G269" s="137" t="s">
        <v>607</v>
      </c>
      <c r="H269" s="137" t="s">
        <v>596</v>
      </c>
      <c r="I269" s="137" t="s">
        <v>596</v>
      </c>
      <c r="J269" s="137" t="s">
        <v>1101</v>
      </c>
      <c r="K269" s="137" t="s">
        <v>596</v>
      </c>
      <c r="L269" s="137" t="s">
        <v>1102</v>
      </c>
      <c r="M269" s="143" t="str">
        <f t="shared" si="5"/>
        <v>View on Google Map</v>
      </c>
    </row>
    <row r="270" spans="1:13" x14ac:dyDescent="0.2">
      <c r="A270" s="137">
        <v>537</v>
      </c>
      <c r="B270" s="137" t="s">
        <v>1118</v>
      </c>
      <c r="C270" s="137" t="s">
        <v>1100</v>
      </c>
      <c r="D270" s="137">
        <v>68.611514</v>
      </c>
      <c r="E270" s="137">
        <v>-149.577617</v>
      </c>
      <c r="F270" s="137">
        <v>744</v>
      </c>
      <c r="G270" s="137" t="s">
        <v>621</v>
      </c>
      <c r="H270" s="137" t="s">
        <v>596</v>
      </c>
      <c r="I270" s="137" t="s">
        <v>596</v>
      </c>
      <c r="J270" s="137" t="s">
        <v>1101</v>
      </c>
      <c r="K270" s="137" t="s">
        <v>596</v>
      </c>
      <c r="L270" s="137" t="s">
        <v>1102</v>
      </c>
      <c r="M270" s="143" t="str">
        <f t="shared" si="5"/>
        <v>View on Google Map</v>
      </c>
    </row>
    <row r="271" spans="1:13" x14ac:dyDescent="0.2">
      <c r="A271" s="137">
        <v>15</v>
      </c>
      <c r="B271" s="137" t="s">
        <v>1119</v>
      </c>
      <c r="C271" s="137" t="s">
        <v>596</v>
      </c>
      <c r="D271" s="137" t="s">
        <v>596</v>
      </c>
      <c r="E271" s="137" t="s">
        <v>596</v>
      </c>
      <c r="F271" s="137">
        <v>744</v>
      </c>
      <c r="G271" s="137" t="s">
        <v>621</v>
      </c>
      <c r="H271" s="137" t="s">
        <v>1120</v>
      </c>
      <c r="I271" s="137" t="s">
        <v>1121</v>
      </c>
      <c r="J271" s="137" t="s">
        <v>622</v>
      </c>
      <c r="K271" s="137">
        <v>186</v>
      </c>
      <c r="L271" s="137" t="s">
        <v>596</v>
      </c>
      <c r="M271" s="143" t="str">
        <f t="shared" si="5"/>
        <v>View on Google Map</v>
      </c>
    </row>
    <row r="272" spans="1:13" x14ac:dyDescent="0.2">
      <c r="A272" s="137">
        <v>305</v>
      </c>
      <c r="B272" s="137" t="s">
        <v>1122</v>
      </c>
      <c r="C272" s="137" t="s">
        <v>1123</v>
      </c>
      <c r="D272" s="137" t="s">
        <v>596</v>
      </c>
      <c r="E272" s="137" t="s">
        <v>596</v>
      </c>
      <c r="F272" s="137" t="s">
        <v>596</v>
      </c>
      <c r="G272" s="137" t="s">
        <v>621</v>
      </c>
      <c r="H272" s="137" t="s">
        <v>1124</v>
      </c>
      <c r="I272" s="137" t="s">
        <v>1125</v>
      </c>
      <c r="J272" s="137" t="s">
        <v>622</v>
      </c>
      <c r="K272" s="137" t="s">
        <v>596</v>
      </c>
      <c r="L272" s="137" t="s">
        <v>1011</v>
      </c>
      <c r="M272" s="143" t="str">
        <f t="shared" si="5"/>
        <v>View on Google Map</v>
      </c>
    </row>
    <row r="273" spans="1:13" x14ac:dyDescent="0.2">
      <c r="A273" s="137">
        <v>119</v>
      </c>
      <c r="B273" s="137" t="s">
        <v>1126</v>
      </c>
      <c r="C273" s="137" t="s">
        <v>596</v>
      </c>
      <c r="D273" s="137">
        <v>68.618964513199998</v>
      </c>
      <c r="E273" s="137">
        <v>-149.59549733099999</v>
      </c>
      <c r="F273" s="137">
        <v>728</v>
      </c>
      <c r="G273" s="137" t="s">
        <v>607</v>
      </c>
      <c r="H273" s="137" t="s">
        <v>1127</v>
      </c>
      <c r="I273" s="137" t="s">
        <v>1128</v>
      </c>
      <c r="J273" s="137" t="s">
        <v>622</v>
      </c>
      <c r="K273" s="137" t="s">
        <v>596</v>
      </c>
      <c r="L273" s="137" t="s">
        <v>996</v>
      </c>
      <c r="M273" s="143" t="str">
        <f t="shared" si="5"/>
        <v>View on Google Map</v>
      </c>
    </row>
    <row r="274" spans="1:13" x14ac:dyDescent="0.2">
      <c r="A274" s="137">
        <v>244</v>
      </c>
      <c r="B274" s="137" t="s">
        <v>1129</v>
      </c>
      <c r="C274" s="137" t="s">
        <v>596</v>
      </c>
      <c r="D274" s="137">
        <v>68.619383330000005</v>
      </c>
      <c r="E274" s="137">
        <v>-149.59528299999999</v>
      </c>
      <c r="F274" s="137">
        <v>728</v>
      </c>
      <c r="G274" s="137" t="s">
        <v>621</v>
      </c>
      <c r="H274" s="137" t="s">
        <v>1130</v>
      </c>
      <c r="I274" s="137" t="s">
        <v>1131</v>
      </c>
      <c r="J274" s="137" t="s">
        <v>622</v>
      </c>
      <c r="K274" s="137" t="s">
        <v>596</v>
      </c>
      <c r="L274" s="137" t="s">
        <v>1011</v>
      </c>
      <c r="M274" s="143" t="str">
        <f t="shared" si="5"/>
        <v>View on Google Map</v>
      </c>
    </row>
    <row r="275" spans="1:13" x14ac:dyDescent="0.2">
      <c r="B275" s="137" t="s">
        <v>1132</v>
      </c>
      <c r="C275" s="137" t="s">
        <v>993</v>
      </c>
      <c r="D275" s="137">
        <v>68.544377999999995</v>
      </c>
      <c r="E275" s="137">
        <v>-149.521467</v>
      </c>
      <c r="G275" s="137" t="s">
        <v>1133</v>
      </c>
      <c r="J275" s="52" t="s">
        <v>622</v>
      </c>
      <c r="M275" s="143" t="str">
        <f t="shared" si="5"/>
        <v>View on Google Map</v>
      </c>
    </row>
    <row r="276" spans="1:13" x14ac:dyDescent="0.2">
      <c r="B276" s="137" t="s">
        <v>1134</v>
      </c>
      <c r="C276" s="137" t="s">
        <v>993</v>
      </c>
      <c r="D276" s="137">
        <v>68.548204999999996</v>
      </c>
      <c r="E276" s="137">
        <v>-149.52195</v>
      </c>
      <c r="G276" s="137" t="s">
        <v>1133</v>
      </c>
      <c r="J276" s="52" t="s">
        <v>622</v>
      </c>
      <c r="M276" s="143" t="str">
        <f t="shared" si="5"/>
        <v>View on Google Map</v>
      </c>
    </row>
    <row r="277" spans="1:13" x14ac:dyDescent="0.2">
      <c r="B277" s="137" t="s">
        <v>1135</v>
      </c>
      <c r="C277" s="137" t="s">
        <v>993</v>
      </c>
      <c r="D277" s="137">
        <v>68.548062999999999</v>
      </c>
      <c r="E277" s="137">
        <v>-149.521309</v>
      </c>
      <c r="G277" s="137" t="s">
        <v>1133</v>
      </c>
      <c r="J277" s="52" t="s">
        <v>622</v>
      </c>
      <c r="M277" s="143" t="str">
        <f t="shared" si="5"/>
        <v>View on Google Map</v>
      </c>
    </row>
    <row r="278" spans="1:13" x14ac:dyDescent="0.2">
      <c r="B278" s="137" t="s">
        <v>1136</v>
      </c>
      <c r="C278" s="137" t="s">
        <v>993</v>
      </c>
      <c r="D278" s="137">
        <v>68.544113999999993</v>
      </c>
      <c r="E278" s="137">
        <v>-149.52220800000001</v>
      </c>
      <c r="G278" s="137" t="s">
        <v>1133</v>
      </c>
      <c r="J278" s="52" t="s">
        <v>622</v>
      </c>
      <c r="M278" s="143" t="str">
        <f t="shared" si="5"/>
        <v>View on Google Map</v>
      </c>
    </row>
    <row r="279" spans="1:13" x14ac:dyDescent="0.2">
      <c r="B279" s="137" t="s">
        <v>1137</v>
      </c>
      <c r="C279" s="137" t="s">
        <v>993</v>
      </c>
      <c r="D279" s="137">
        <v>68.547873999999993</v>
      </c>
      <c r="E279" s="137">
        <v>-149.52158900000001</v>
      </c>
      <c r="G279" s="137" t="s">
        <v>1133</v>
      </c>
      <c r="J279" s="52" t="s">
        <v>622</v>
      </c>
      <c r="M279" s="143" t="str">
        <f t="shared" si="5"/>
        <v>View on Google Map</v>
      </c>
    </row>
    <row r="280" spans="1:13" x14ac:dyDescent="0.2">
      <c r="B280" s="137" t="s">
        <v>1138</v>
      </c>
      <c r="C280" s="137" t="s">
        <v>993</v>
      </c>
      <c r="D280" s="137">
        <v>68.616620304999998</v>
      </c>
      <c r="E280" s="137">
        <v>-149.31797396100001</v>
      </c>
      <c r="F280" s="137">
        <v>880.55700000000002</v>
      </c>
      <c r="G280" s="137" t="s">
        <v>1133</v>
      </c>
      <c r="J280" s="52" t="s">
        <v>622</v>
      </c>
      <c r="M280" s="143" t="str">
        <f t="shared" si="5"/>
        <v>View on Google Map</v>
      </c>
    </row>
    <row r="281" spans="1:13" x14ac:dyDescent="0.2">
      <c r="B281" s="137" t="s">
        <v>1139</v>
      </c>
      <c r="C281" s="137" t="s">
        <v>993</v>
      </c>
      <c r="D281" s="137">
        <v>68.618287679000005</v>
      </c>
      <c r="E281" s="137">
        <v>-149.318578011</v>
      </c>
      <c r="F281" s="137">
        <v>877.59500000000003</v>
      </c>
      <c r="G281" s="137" t="s">
        <v>1133</v>
      </c>
      <c r="J281" s="52" t="s">
        <v>622</v>
      </c>
      <c r="M281" s="143" t="str">
        <f t="shared" si="5"/>
        <v>View on Google Map</v>
      </c>
    </row>
    <row r="282" spans="1:13" x14ac:dyDescent="0.2">
      <c r="B282" s="137" t="s">
        <v>1140</v>
      </c>
      <c r="C282" s="137" t="s">
        <v>993</v>
      </c>
      <c r="D282" s="137">
        <v>68.619548409999993</v>
      </c>
      <c r="E282" s="137">
        <v>-149.31832187699999</v>
      </c>
      <c r="F282" s="137">
        <v>875.59299999999996</v>
      </c>
      <c r="G282" s="137" t="s">
        <v>1133</v>
      </c>
      <c r="J282" s="52" t="s">
        <v>622</v>
      </c>
      <c r="M282" s="143" t="str">
        <f t="shared" si="5"/>
        <v>View on Google Map</v>
      </c>
    </row>
    <row r="283" spans="1:13" x14ac:dyDescent="0.2">
      <c r="B283" s="137" t="s">
        <v>1141</v>
      </c>
      <c r="C283" s="137" t="s">
        <v>993</v>
      </c>
      <c r="D283" s="137">
        <v>68.621317497999996</v>
      </c>
      <c r="E283" s="137">
        <v>-149.31921364300001</v>
      </c>
      <c r="F283" s="137">
        <v>874.15200000000004</v>
      </c>
      <c r="G283" s="137" t="s">
        <v>1133</v>
      </c>
      <c r="J283" s="52" t="s">
        <v>622</v>
      </c>
      <c r="M283" s="143" t="str">
        <f t="shared" si="5"/>
        <v>View on Google Map</v>
      </c>
    </row>
    <row r="284" spans="1:13" x14ac:dyDescent="0.2">
      <c r="A284" s="137">
        <v>11</v>
      </c>
      <c r="B284" s="137" t="s">
        <v>1142</v>
      </c>
      <c r="C284" s="137" t="s">
        <v>596</v>
      </c>
      <c r="D284" s="137" t="s">
        <v>596</v>
      </c>
      <c r="E284" s="137" t="s">
        <v>596</v>
      </c>
      <c r="F284" s="137">
        <v>884</v>
      </c>
      <c r="G284" s="137" t="s">
        <v>621</v>
      </c>
      <c r="H284" s="137" t="s">
        <v>1143</v>
      </c>
      <c r="I284" s="137" t="s">
        <v>1144</v>
      </c>
      <c r="J284" s="137" t="s">
        <v>622</v>
      </c>
      <c r="K284" s="137" t="s">
        <v>596</v>
      </c>
      <c r="L284" s="137" t="s">
        <v>596</v>
      </c>
      <c r="M284" s="143" t="str">
        <f t="shared" si="5"/>
        <v>View on Google Map</v>
      </c>
    </row>
    <row r="285" spans="1:13" x14ac:dyDescent="0.2">
      <c r="B285" s="137" t="s">
        <v>1145</v>
      </c>
      <c r="C285" s="137" t="s">
        <v>993</v>
      </c>
      <c r="D285" s="137">
        <v>68.625256622999999</v>
      </c>
      <c r="E285" s="137">
        <v>-149.32463380199999</v>
      </c>
      <c r="F285" s="137">
        <v>862.80799999999999</v>
      </c>
      <c r="G285" s="137" t="s">
        <v>1133</v>
      </c>
      <c r="J285" s="52" t="s">
        <v>622</v>
      </c>
      <c r="M285" s="143" t="str">
        <f t="shared" si="5"/>
        <v>View on Google Map</v>
      </c>
    </row>
    <row r="286" spans="1:13" x14ac:dyDescent="0.2">
      <c r="B286" s="137" t="s">
        <v>1146</v>
      </c>
      <c r="C286" s="137" t="s">
        <v>993</v>
      </c>
      <c r="D286" s="137">
        <v>68.641922837999999</v>
      </c>
      <c r="E286" s="137">
        <v>-149.342972559</v>
      </c>
      <c r="F286" s="137">
        <v>834.62599999999998</v>
      </c>
      <c r="G286" s="137" t="s">
        <v>1133</v>
      </c>
      <c r="J286" s="52" t="s">
        <v>622</v>
      </c>
      <c r="M286" s="143" t="str">
        <f t="shared" si="5"/>
        <v>View on Google Map</v>
      </c>
    </row>
    <row r="287" spans="1:13" x14ac:dyDescent="0.2">
      <c r="A287" s="137">
        <v>1141</v>
      </c>
      <c r="B287" s="137" t="s">
        <v>1147</v>
      </c>
      <c r="C287" s="137" t="s">
        <v>596</v>
      </c>
      <c r="D287" s="137" t="s">
        <v>596</v>
      </c>
      <c r="E287" s="137" t="s">
        <v>596</v>
      </c>
      <c r="F287" s="137" t="s">
        <v>596</v>
      </c>
      <c r="G287" s="137" t="s">
        <v>597</v>
      </c>
      <c r="H287" s="137" t="s">
        <v>1148</v>
      </c>
      <c r="I287" s="137" t="s">
        <v>596</v>
      </c>
      <c r="J287" s="137" t="s">
        <v>622</v>
      </c>
      <c r="K287" s="137" t="s">
        <v>596</v>
      </c>
      <c r="L287" s="137" t="s">
        <v>596</v>
      </c>
      <c r="M287" s="143" t="str">
        <f t="shared" si="5"/>
        <v>View on Google Map</v>
      </c>
    </row>
    <row r="288" spans="1:13" x14ac:dyDescent="0.2">
      <c r="A288" s="137">
        <v>1142</v>
      </c>
      <c r="B288" s="137" t="s">
        <v>1149</v>
      </c>
      <c r="C288" s="137" t="s">
        <v>596</v>
      </c>
      <c r="D288" s="137" t="s">
        <v>596</v>
      </c>
      <c r="E288" s="137" t="s">
        <v>596</v>
      </c>
      <c r="F288" s="137" t="s">
        <v>596</v>
      </c>
      <c r="G288" s="137" t="s">
        <v>621</v>
      </c>
      <c r="H288" s="137" t="s">
        <v>1150</v>
      </c>
      <c r="I288" s="137" t="s">
        <v>596</v>
      </c>
      <c r="J288" s="137" t="s">
        <v>1151</v>
      </c>
      <c r="K288" s="137" t="s">
        <v>596</v>
      </c>
      <c r="L288" s="137" t="s">
        <v>596</v>
      </c>
      <c r="M288" s="143" t="str">
        <f t="shared" si="5"/>
        <v>View on Google Map</v>
      </c>
    </row>
    <row r="289" spans="1:13" x14ac:dyDescent="0.2">
      <c r="A289" s="137">
        <v>1143</v>
      </c>
      <c r="B289" s="137" t="s">
        <v>1152</v>
      </c>
      <c r="C289" s="137" t="s">
        <v>596</v>
      </c>
      <c r="D289" s="137" t="s">
        <v>596</v>
      </c>
      <c r="E289" s="137" t="s">
        <v>596</v>
      </c>
      <c r="F289" s="137" t="s">
        <v>596</v>
      </c>
      <c r="G289" s="137" t="s">
        <v>621</v>
      </c>
      <c r="H289" s="137" t="s">
        <v>596</v>
      </c>
      <c r="I289" s="137" t="s">
        <v>596</v>
      </c>
      <c r="J289" s="137" t="s">
        <v>1151</v>
      </c>
      <c r="K289" s="137" t="s">
        <v>596</v>
      </c>
      <c r="L289" s="137" t="s">
        <v>596</v>
      </c>
      <c r="M289" s="143" t="str">
        <f t="shared" si="5"/>
        <v>View on Google Map</v>
      </c>
    </row>
    <row r="290" spans="1:13" x14ac:dyDescent="0.2">
      <c r="A290" s="137">
        <v>1140</v>
      </c>
      <c r="B290" s="137" t="s">
        <v>1153</v>
      </c>
      <c r="C290" s="137" t="s">
        <v>596</v>
      </c>
      <c r="D290" s="137" t="s">
        <v>596</v>
      </c>
      <c r="E290" s="137" t="s">
        <v>596</v>
      </c>
      <c r="F290" s="137" t="s">
        <v>596</v>
      </c>
      <c r="G290" s="137" t="s">
        <v>597</v>
      </c>
      <c r="H290" s="137" t="s">
        <v>1154</v>
      </c>
      <c r="I290" s="137" t="s">
        <v>1155</v>
      </c>
      <c r="J290" s="137" t="s">
        <v>622</v>
      </c>
      <c r="K290" s="137" t="s">
        <v>596</v>
      </c>
      <c r="L290" s="137" t="s">
        <v>596</v>
      </c>
      <c r="M290" s="143" t="str">
        <f t="shared" si="5"/>
        <v>View on Google Map</v>
      </c>
    </row>
    <row r="291" spans="1:13" x14ac:dyDescent="0.2">
      <c r="A291" s="137">
        <v>1173</v>
      </c>
      <c r="B291" s="137" t="s">
        <v>1156</v>
      </c>
      <c r="C291" s="137" t="s">
        <v>596</v>
      </c>
      <c r="D291" s="137" t="s">
        <v>596</v>
      </c>
      <c r="E291" s="137" t="s">
        <v>596</v>
      </c>
      <c r="F291" s="137" t="s">
        <v>596</v>
      </c>
      <c r="G291" s="137" t="s">
        <v>597</v>
      </c>
      <c r="H291" s="137" t="s">
        <v>1157</v>
      </c>
      <c r="I291" s="137" t="s">
        <v>596</v>
      </c>
      <c r="J291" s="137" t="s">
        <v>603</v>
      </c>
      <c r="K291" s="137" t="s">
        <v>596</v>
      </c>
      <c r="L291" s="137" t="s">
        <v>604</v>
      </c>
      <c r="M291" s="143" t="str">
        <f t="shared" si="5"/>
        <v>View on Google Map</v>
      </c>
    </row>
    <row r="292" spans="1:13" x14ac:dyDescent="0.2">
      <c r="A292" s="137">
        <v>1144</v>
      </c>
      <c r="B292" s="137" t="s">
        <v>1158</v>
      </c>
      <c r="C292" s="137" t="s">
        <v>596</v>
      </c>
      <c r="D292" s="137" t="s">
        <v>596</v>
      </c>
      <c r="E292" s="137" t="s">
        <v>596</v>
      </c>
      <c r="F292" s="137" t="s">
        <v>596</v>
      </c>
      <c r="G292" s="137" t="s">
        <v>621</v>
      </c>
      <c r="H292" s="137" t="s">
        <v>1158</v>
      </c>
      <c r="I292" s="137" t="s">
        <v>596</v>
      </c>
      <c r="J292" s="137" t="s">
        <v>1151</v>
      </c>
      <c r="K292" s="137" t="s">
        <v>596</v>
      </c>
      <c r="L292" s="137" t="s">
        <v>596</v>
      </c>
      <c r="M292" s="143" t="str">
        <f t="shared" si="5"/>
        <v>View on Google Map</v>
      </c>
    </row>
    <row r="293" spans="1:13" x14ac:dyDescent="0.2">
      <c r="A293" s="137">
        <v>1145</v>
      </c>
      <c r="B293" s="137" t="s">
        <v>1159</v>
      </c>
      <c r="C293" s="137" t="s">
        <v>596</v>
      </c>
      <c r="D293" s="137" t="s">
        <v>596</v>
      </c>
      <c r="E293" s="137" t="s">
        <v>596</v>
      </c>
      <c r="F293" s="137" t="s">
        <v>596</v>
      </c>
      <c r="G293" s="137" t="s">
        <v>621</v>
      </c>
      <c r="H293" s="137" t="s">
        <v>1159</v>
      </c>
      <c r="I293" s="137" t="s">
        <v>596</v>
      </c>
      <c r="J293" s="137" t="s">
        <v>1151</v>
      </c>
      <c r="K293" s="137" t="s">
        <v>596</v>
      </c>
      <c r="L293" s="137" t="s">
        <v>596</v>
      </c>
      <c r="M293" s="143" t="str">
        <f t="shared" si="5"/>
        <v>View on Google Map</v>
      </c>
    </row>
    <row r="294" spans="1:13" x14ac:dyDescent="0.2">
      <c r="A294" s="137">
        <v>1146</v>
      </c>
      <c r="B294" s="137" t="s">
        <v>1160</v>
      </c>
      <c r="C294" s="137" t="s">
        <v>596</v>
      </c>
      <c r="D294" s="137" t="s">
        <v>596</v>
      </c>
      <c r="E294" s="137" t="s">
        <v>596</v>
      </c>
      <c r="F294" s="137" t="s">
        <v>596</v>
      </c>
      <c r="G294" s="137" t="s">
        <v>597</v>
      </c>
      <c r="H294" s="137" t="s">
        <v>1160</v>
      </c>
      <c r="I294" s="137" t="s">
        <v>596</v>
      </c>
      <c r="J294" s="137" t="s">
        <v>1151</v>
      </c>
      <c r="K294" s="137" t="s">
        <v>596</v>
      </c>
      <c r="L294" s="137" t="s">
        <v>596</v>
      </c>
      <c r="M294" s="143" t="str">
        <f t="shared" si="5"/>
        <v>View on Google Map</v>
      </c>
    </row>
    <row r="295" spans="1:13" x14ac:dyDescent="0.2">
      <c r="A295" s="137">
        <v>1147</v>
      </c>
      <c r="B295" s="137" t="s">
        <v>1161</v>
      </c>
      <c r="C295" s="137" t="s">
        <v>596</v>
      </c>
      <c r="D295" s="137" t="s">
        <v>596</v>
      </c>
      <c r="E295" s="137" t="s">
        <v>596</v>
      </c>
      <c r="F295" s="137" t="s">
        <v>596</v>
      </c>
      <c r="G295" s="137" t="s">
        <v>597</v>
      </c>
      <c r="H295" s="137" t="s">
        <v>1161</v>
      </c>
      <c r="I295" s="137" t="s">
        <v>596</v>
      </c>
      <c r="J295" s="137" t="s">
        <v>1151</v>
      </c>
      <c r="K295" s="137" t="s">
        <v>596</v>
      </c>
      <c r="L295" s="137" t="s">
        <v>596</v>
      </c>
      <c r="M295" s="143" t="str">
        <f t="shared" si="5"/>
        <v>View on Google Map</v>
      </c>
    </row>
    <row r="296" spans="1:13" x14ac:dyDescent="0.2">
      <c r="A296" s="137">
        <v>1148</v>
      </c>
      <c r="B296" s="137" t="s">
        <v>1162</v>
      </c>
      <c r="C296" s="137" t="s">
        <v>596</v>
      </c>
      <c r="D296" s="137" t="s">
        <v>596</v>
      </c>
      <c r="E296" s="137" t="s">
        <v>596</v>
      </c>
      <c r="F296" s="137" t="s">
        <v>596</v>
      </c>
      <c r="G296" s="137" t="s">
        <v>597</v>
      </c>
      <c r="H296" s="137" t="s">
        <v>1162</v>
      </c>
      <c r="I296" s="137" t="s">
        <v>1163</v>
      </c>
      <c r="J296" s="137" t="s">
        <v>1151</v>
      </c>
      <c r="K296" s="137" t="s">
        <v>596</v>
      </c>
      <c r="L296" s="137" t="s">
        <v>596</v>
      </c>
      <c r="M296" s="143" t="str">
        <f t="shared" si="5"/>
        <v>View on Google Map</v>
      </c>
    </row>
    <row r="297" spans="1:13" x14ac:dyDescent="0.2">
      <c r="A297" s="137">
        <v>1149</v>
      </c>
      <c r="B297" s="137" t="s">
        <v>1164</v>
      </c>
      <c r="C297" s="137" t="s">
        <v>596</v>
      </c>
      <c r="D297" s="137" t="s">
        <v>596</v>
      </c>
      <c r="E297" s="137" t="s">
        <v>596</v>
      </c>
      <c r="F297" s="137" t="s">
        <v>596</v>
      </c>
      <c r="G297" s="137" t="s">
        <v>597</v>
      </c>
      <c r="H297" s="137" t="s">
        <v>1164</v>
      </c>
      <c r="I297" s="137" t="s">
        <v>1165</v>
      </c>
      <c r="J297" s="137" t="s">
        <v>1151</v>
      </c>
      <c r="K297" s="137" t="s">
        <v>596</v>
      </c>
      <c r="L297" s="137" t="s">
        <v>596</v>
      </c>
      <c r="M297" s="143" t="str">
        <f t="shared" si="5"/>
        <v>View on Google Map</v>
      </c>
    </row>
    <row r="298" spans="1:13" x14ac:dyDescent="0.2">
      <c r="A298" s="137">
        <v>1150</v>
      </c>
      <c r="B298" s="137" t="s">
        <v>1166</v>
      </c>
      <c r="C298" s="137" t="s">
        <v>596</v>
      </c>
      <c r="D298" s="137" t="s">
        <v>596</v>
      </c>
      <c r="E298" s="137" t="s">
        <v>596</v>
      </c>
      <c r="F298" s="137" t="s">
        <v>596</v>
      </c>
      <c r="G298" s="137" t="s">
        <v>597</v>
      </c>
      <c r="H298" s="137" t="s">
        <v>1166</v>
      </c>
      <c r="I298" s="137" t="s">
        <v>1167</v>
      </c>
      <c r="J298" s="137" t="s">
        <v>1151</v>
      </c>
      <c r="K298" s="137" t="s">
        <v>596</v>
      </c>
      <c r="L298" s="137" t="s">
        <v>596</v>
      </c>
      <c r="M298" s="143" t="str">
        <f t="shared" si="5"/>
        <v>View on Google Map</v>
      </c>
    </row>
    <row r="299" spans="1:13" x14ac:dyDescent="0.2">
      <c r="A299" s="137">
        <v>1151</v>
      </c>
      <c r="B299" s="137" t="s">
        <v>1168</v>
      </c>
      <c r="C299" s="137" t="s">
        <v>596</v>
      </c>
      <c r="D299" s="137" t="s">
        <v>596</v>
      </c>
      <c r="E299" s="137" t="s">
        <v>596</v>
      </c>
      <c r="F299" s="137" t="s">
        <v>596</v>
      </c>
      <c r="G299" s="137" t="s">
        <v>597</v>
      </c>
      <c r="H299" s="137" t="s">
        <v>1168</v>
      </c>
      <c r="I299" s="137" t="s">
        <v>1169</v>
      </c>
      <c r="J299" s="137" t="s">
        <v>1151</v>
      </c>
      <c r="K299" s="137" t="s">
        <v>596</v>
      </c>
      <c r="L299" s="137" t="s">
        <v>596</v>
      </c>
      <c r="M299" s="143" t="str">
        <f t="shared" si="5"/>
        <v>View on Google Map</v>
      </c>
    </row>
    <row r="300" spans="1:13" x14ac:dyDescent="0.2">
      <c r="A300" s="137">
        <v>1152</v>
      </c>
      <c r="B300" s="137" t="s">
        <v>1170</v>
      </c>
      <c r="C300" s="137" t="s">
        <v>596</v>
      </c>
      <c r="D300" s="137" t="s">
        <v>596</v>
      </c>
      <c r="E300" s="137" t="s">
        <v>596</v>
      </c>
      <c r="F300" s="137" t="s">
        <v>596</v>
      </c>
      <c r="G300" s="137" t="s">
        <v>597</v>
      </c>
      <c r="H300" s="137" t="s">
        <v>1170</v>
      </c>
      <c r="I300" s="137" t="s">
        <v>1171</v>
      </c>
      <c r="J300" s="137" t="s">
        <v>1151</v>
      </c>
      <c r="K300" s="137" t="s">
        <v>596</v>
      </c>
      <c r="L300" s="137" t="s">
        <v>596</v>
      </c>
      <c r="M300" s="143" t="str">
        <f t="shared" si="5"/>
        <v>View on Google Map</v>
      </c>
    </row>
    <row r="301" spans="1:13" x14ac:dyDescent="0.2">
      <c r="A301" s="137">
        <v>1153</v>
      </c>
      <c r="B301" s="137" t="s">
        <v>1172</v>
      </c>
      <c r="C301" s="137" t="s">
        <v>596</v>
      </c>
      <c r="D301" s="137" t="s">
        <v>596</v>
      </c>
      <c r="E301" s="137" t="s">
        <v>596</v>
      </c>
      <c r="F301" s="137" t="s">
        <v>596</v>
      </c>
      <c r="G301" s="137" t="s">
        <v>597</v>
      </c>
      <c r="H301" s="137" t="s">
        <v>1172</v>
      </c>
      <c r="I301" s="137" t="s">
        <v>1173</v>
      </c>
      <c r="J301" s="137" t="s">
        <v>1151</v>
      </c>
      <c r="K301" s="137" t="s">
        <v>596</v>
      </c>
      <c r="L301" s="137" t="s">
        <v>596</v>
      </c>
      <c r="M301" s="143" t="str">
        <f t="shared" si="5"/>
        <v>View on Google Map</v>
      </c>
    </row>
    <row r="302" spans="1:13" x14ac:dyDescent="0.2">
      <c r="A302" s="137">
        <v>1154</v>
      </c>
      <c r="B302" s="137" t="s">
        <v>1174</v>
      </c>
      <c r="C302" s="137" t="s">
        <v>596</v>
      </c>
      <c r="D302" s="137" t="s">
        <v>596</v>
      </c>
      <c r="E302" s="137" t="s">
        <v>596</v>
      </c>
      <c r="F302" s="137" t="s">
        <v>596</v>
      </c>
      <c r="G302" s="137" t="s">
        <v>597</v>
      </c>
      <c r="H302" s="137" t="s">
        <v>1174</v>
      </c>
      <c r="I302" s="137" t="s">
        <v>1175</v>
      </c>
      <c r="J302" s="137" t="s">
        <v>1151</v>
      </c>
      <c r="K302" s="137" t="s">
        <v>596</v>
      </c>
      <c r="L302" s="137" t="s">
        <v>596</v>
      </c>
      <c r="M302" s="143" t="str">
        <f t="shared" si="5"/>
        <v>View on Google Map</v>
      </c>
    </row>
    <row r="303" spans="1:13" x14ac:dyDescent="0.2">
      <c r="A303" s="137">
        <v>1155</v>
      </c>
      <c r="B303" s="137" t="s">
        <v>1176</v>
      </c>
      <c r="C303" s="137" t="s">
        <v>596</v>
      </c>
      <c r="D303" s="137" t="s">
        <v>596</v>
      </c>
      <c r="E303" s="137" t="s">
        <v>596</v>
      </c>
      <c r="F303" s="137" t="s">
        <v>596</v>
      </c>
      <c r="G303" s="137" t="s">
        <v>597</v>
      </c>
      <c r="H303" s="137" t="s">
        <v>1176</v>
      </c>
      <c r="I303" s="137" t="s">
        <v>1177</v>
      </c>
      <c r="J303" s="137" t="s">
        <v>1151</v>
      </c>
      <c r="K303" s="137" t="s">
        <v>596</v>
      </c>
      <c r="L303" s="137" t="s">
        <v>596</v>
      </c>
      <c r="M303" s="143" t="str">
        <f t="shared" si="5"/>
        <v>View on Google Map</v>
      </c>
    </row>
    <row r="304" spans="1:13" x14ac:dyDescent="0.2">
      <c r="A304" s="137">
        <v>1156</v>
      </c>
      <c r="B304" s="137" t="s">
        <v>1178</v>
      </c>
      <c r="C304" s="137" t="s">
        <v>596</v>
      </c>
      <c r="D304" s="137" t="s">
        <v>596</v>
      </c>
      <c r="E304" s="137" t="s">
        <v>596</v>
      </c>
      <c r="F304" s="137" t="s">
        <v>596</v>
      </c>
      <c r="G304" s="137" t="s">
        <v>597</v>
      </c>
      <c r="H304" s="137" t="s">
        <v>1178</v>
      </c>
      <c r="I304" s="137" t="s">
        <v>1179</v>
      </c>
      <c r="J304" s="137" t="s">
        <v>1151</v>
      </c>
      <c r="K304" s="137" t="s">
        <v>596</v>
      </c>
      <c r="L304" s="137" t="s">
        <v>596</v>
      </c>
      <c r="M304" s="143" t="str">
        <f t="shared" si="5"/>
        <v>View on Google Map</v>
      </c>
    </row>
    <row r="305" spans="1:13" x14ac:dyDescent="0.2">
      <c r="A305" s="137">
        <v>1157</v>
      </c>
      <c r="B305" s="137" t="s">
        <v>1180</v>
      </c>
      <c r="C305" s="137" t="s">
        <v>596</v>
      </c>
      <c r="D305" s="137" t="s">
        <v>596</v>
      </c>
      <c r="E305" s="137" t="s">
        <v>596</v>
      </c>
      <c r="F305" s="137" t="s">
        <v>596</v>
      </c>
      <c r="G305" s="137" t="s">
        <v>597</v>
      </c>
      <c r="H305" s="137" t="s">
        <v>1180</v>
      </c>
      <c r="I305" s="137" t="s">
        <v>1181</v>
      </c>
      <c r="J305" s="137" t="s">
        <v>1151</v>
      </c>
      <c r="K305" s="137" t="s">
        <v>596</v>
      </c>
      <c r="L305" s="137" t="s">
        <v>596</v>
      </c>
      <c r="M305" s="143" t="str">
        <f t="shared" si="5"/>
        <v>View on Google Map</v>
      </c>
    </row>
    <row r="306" spans="1:13" x14ac:dyDescent="0.2">
      <c r="A306" s="137">
        <v>1158</v>
      </c>
      <c r="B306" s="137" t="s">
        <v>1182</v>
      </c>
      <c r="C306" s="137" t="s">
        <v>596</v>
      </c>
      <c r="D306" s="137" t="s">
        <v>596</v>
      </c>
      <c r="E306" s="137" t="s">
        <v>596</v>
      </c>
      <c r="F306" s="137" t="s">
        <v>596</v>
      </c>
      <c r="G306" s="137" t="s">
        <v>597</v>
      </c>
      <c r="H306" s="137" t="s">
        <v>1182</v>
      </c>
      <c r="I306" s="137" t="s">
        <v>1183</v>
      </c>
      <c r="J306" s="137" t="s">
        <v>1151</v>
      </c>
      <c r="K306" s="137" t="s">
        <v>596</v>
      </c>
      <c r="L306" s="137" t="s">
        <v>596</v>
      </c>
      <c r="M306" s="143" t="str">
        <f t="shared" si="5"/>
        <v>View on Google Map</v>
      </c>
    </row>
    <row r="307" spans="1:13" x14ac:dyDescent="0.2">
      <c r="A307" s="137">
        <v>1159</v>
      </c>
      <c r="B307" s="137" t="s">
        <v>1184</v>
      </c>
      <c r="C307" s="137" t="s">
        <v>596</v>
      </c>
      <c r="D307" s="137" t="s">
        <v>596</v>
      </c>
      <c r="E307" s="137" t="s">
        <v>596</v>
      </c>
      <c r="F307" s="137" t="s">
        <v>596</v>
      </c>
      <c r="G307" s="137" t="s">
        <v>597</v>
      </c>
      <c r="H307" s="137" t="s">
        <v>1184</v>
      </c>
      <c r="I307" s="137" t="s">
        <v>1185</v>
      </c>
      <c r="J307" s="137" t="s">
        <v>1151</v>
      </c>
      <c r="K307" s="137" t="s">
        <v>596</v>
      </c>
      <c r="L307" s="137" t="s">
        <v>596</v>
      </c>
      <c r="M307" s="143" t="str">
        <f t="shared" si="5"/>
        <v>View on Google Map</v>
      </c>
    </row>
    <row r="308" spans="1:13" x14ac:dyDescent="0.2">
      <c r="A308" s="137">
        <v>1160</v>
      </c>
      <c r="B308" s="137" t="s">
        <v>1186</v>
      </c>
      <c r="C308" s="137" t="s">
        <v>596</v>
      </c>
      <c r="D308" s="137" t="s">
        <v>596</v>
      </c>
      <c r="E308" s="137" t="s">
        <v>596</v>
      </c>
      <c r="F308" s="137" t="s">
        <v>596</v>
      </c>
      <c r="G308" s="137" t="s">
        <v>597</v>
      </c>
      <c r="H308" s="137" t="s">
        <v>1186</v>
      </c>
      <c r="I308" s="137" t="s">
        <v>1187</v>
      </c>
      <c r="J308" s="137" t="s">
        <v>1151</v>
      </c>
      <c r="K308" s="137" t="s">
        <v>596</v>
      </c>
      <c r="L308" s="137" t="s">
        <v>596</v>
      </c>
      <c r="M308" s="143" t="str">
        <f t="shared" si="5"/>
        <v>View on Google Map</v>
      </c>
    </row>
    <row r="309" spans="1:13" x14ac:dyDescent="0.2">
      <c r="A309" s="137">
        <v>1161</v>
      </c>
      <c r="B309" s="137" t="s">
        <v>1188</v>
      </c>
      <c r="C309" s="137" t="s">
        <v>596</v>
      </c>
      <c r="D309" s="137" t="s">
        <v>596</v>
      </c>
      <c r="E309" s="137" t="s">
        <v>596</v>
      </c>
      <c r="F309" s="137" t="s">
        <v>596</v>
      </c>
      <c r="G309" s="137" t="s">
        <v>597</v>
      </c>
      <c r="H309" s="137" t="s">
        <v>1188</v>
      </c>
      <c r="I309" s="137" t="s">
        <v>1189</v>
      </c>
      <c r="J309" s="137" t="s">
        <v>1151</v>
      </c>
      <c r="K309" s="137" t="s">
        <v>596</v>
      </c>
      <c r="L309" s="137" t="s">
        <v>596</v>
      </c>
      <c r="M309" s="143" t="str">
        <f t="shared" si="5"/>
        <v>View on Google Map</v>
      </c>
    </row>
    <row r="310" spans="1:13" x14ac:dyDescent="0.2">
      <c r="A310" s="137">
        <v>1162</v>
      </c>
      <c r="B310" s="137" t="s">
        <v>1190</v>
      </c>
      <c r="C310" s="137" t="s">
        <v>596</v>
      </c>
      <c r="D310" s="137" t="s">
        <v>596</v>
      </c>
      <c r="E310" s="137" t="s">
        <v>596</v>
      </c>
      <c r="F310" s="137" t="s">
        <v>596</v>
      </c>
      <c r="G310" s="137" t="s">
        <v>597</v>
      </c>
      <c r="H310" s="137" t="s">
        <v>1190</v>
      </c>
      <c r="I310" s="137" t="s">
        <v>1191</v>
      </c>
      <c r="J310" s="137" t="s">
        <v>1151</v>
      </c>
      <c r="K310" s="137" t="s">
        <v>596</v>
      </c>
      <c r="L310" s="137" t="s">
        <v>596</v>
      </c>
      <c r="M310" s="143" t="str">
        <f t="shared" si="5"/>
        <v>View on Google Map</v>
      </c>
    </row>
    <row r="311" spans="1:13" x14ac:dyDescent="0.2">
      <c r="A311" s="137">
        <v>1163</v>
      </c>
      <c r="B311" s="137" t="s">
        <v>1192</v>
      </c>
      <c r="C311" s="137" t="s">
        <v>596</v>
      </c>
      <c r="D311" s="137" t="s">
        <v>596</v>
      </c>
      <c r="E311" s="137" t="s">
        <v>596</v>
      </c>
      <c r="F311" s="137" t="s">
        <v>596</v>
      </c>
      <c r="G311" s="137" t="s">
        <v>597</v>
      </c>
      <c r="H311" s="137" t="s">
        <v>1192</v>
      </c>
      <c r="I311" s="137" t="s">
        <v>1193</v>
      </c>
      <c r="J311" s="137" t="s">
        <v>1151</v>
      </c>
      <c r="K311" s="137" t="s">
        <v>596</v>
      </c>
      <c r="L311" s="137" t="s">
        <v>596</v>
      </c>
      <c r="M311" s="143" t="str">
        <f t="shared" si="5"/>
        <v>View on Google Map</v>
      </c>
    </row>
    <row r="312" spans="1:13" x14ac:dyDescent="0.2">
      <c r="A312" s="137">
        <v>1164</v>
      </c>
      <c r="B312" s="137" t="s">
        <v>1194</v>
      </c>
      <c r="C312" s="137" t="s">
        <v>596</v>
      </c>
      <c r="D312" s="137" t="s">
        <v>596</v>
      </c>
      <c r="E312" s="137" t="s">
        <v>596</v>
      </c>
      <c r="F312" s="137" t="s">
        <v>596</v>
      </c>
      <c r="G312" s="137" t="s">
        <v>597</v>
      </c>
      <c r="H312" s="137" t="s">
        <v>1194</v>
      </c>
      <c r="I312" s="137" t="s">
        <v>1195</v>
      </c>
      <c r="J312" s="137" t="s">
        <v>1151</v>
      </c>
      <c r="K312" s="137" t="s">
        <v>596</v>
      </c>
      <c r="L312" s="137" t="s">
        <v>596</v>
      </c>
      <c r="M312" s="143" t="str">
        <f t="shared" si="5"/>
        <v>View on Google Map</v>
      </c>
    </row>
    <row r="313" spans="1:13" x14ac:dyDescent="0.2">
      <c r="A313" s="137">
        <v>1165</v>
      </c>
      <c r="B313" s="137" t="s">
        <v>1196</v>
      </c>
      <c r="C313" s="137" t="s">
        <v>596</v>
      </c>
      <c r="D313" s="137" t="s">
        <v>596</v>
      </c>
      <c r="E313" s="137" t="s">
        <v>596</v>
      </c>
      <c r="F313" s="137" t="s">
        <v>596</v>
      </c>
      <c r="G313" s="137" t="s">
        <v>597</v>
      </c>
      <c r="H313" s="137" t="s">
        <v>1196</v>
      </c>
      <c r="I313" s="137" t="s">
        <v>596</v>
      </c>
      <c r="J313" s="137" t="s">
        <v>1151</v>
      </c>
      <c r="K313" s="137" t="s">
        <v>596</v>
      </c>
      <c r="L313" s="137" t="s">
        <v>596</v>
      </c>
      <c r="M313" s="143" t="str">
        <f t="shared" si="5"/>
        <v>View on Google Map</v>
      </c>
    </row>
    <row r="314" spans="1:13" x14ac:dyDescent="0.2">
      <c r="A314" s="137">
        <v>1166</v>
      </c>
      <c r="B314" s="137" t="s">
        <v>1197</v>
      </c>
      <c r="C314" s="137" t="s">
        <v>596</v>
      </c>
      <c r="D314" s="137" t="s">
        <v>596</v>
      </c>
      <c r="E314" s="137" t="s">
        <v>596</v>
      </c>
      <c r="F314" s="137" t="s">
        <v>596</v>
      </c>
      <c r="G314" s="137" t="s">
        <v>597</v>
      </c>
      <c r="H314" s="137" t="s">
        <v>1197</v>
      </c>
      <c r="I314" s="137" t="s">
        <v>596</v>
      </c>
      <c r="J314" s="137" t="s">
        <v>1151</v>
      </c>
      <c r="K314" s="137" t="s">
        <v>596</v>
      </c>
      <c r="L314" s="137" t="s">
        <v>596</v>
      </c>
      <c r="M314" s="143" t="str">
        <f t="shared" si="5"/>
        <v>View on Google Map</v>
      </c>
    </row>
    <row r="315" spans="1:13" x14ac:dyDescent="0.2">
      <c r="A315" s="137">
        <v>1167</v>
      </c>
      <c r="B315" s="137" t="s">
        <v>1198</v>
      </c>
      <c r="C315" s="137" t="s">
        <v>1199</v>
      </c>
      <c r="D315" s="137" t="s">
        <v>596</v>
      </c>
      <c r="E315" s="137" t="s">
        <v>596</v>
      </c>
      <c r="F315" s="137" t="s">
        <v>596</v>
      </c>
      <c r="G315" s="137" t="s">
        <v>597</v>
      </c>
      <c r="H315" s="137" t="s">
        <v>1198</v>
      </c>
      <c r="I315" s="137" t="s">
        <v>596</v>
      </c>
      <c r="J315" s="137" t="s">
        <v>598</v>
      </c>
      <c r="K315" s="137" t="s">
        <v>596</v>
      </c>
      <c r="L315" s="137" t="s">
        <v>596</v>
      </c>
      <c r="M315" s="143" t="str">
        <f t="shared" si="5"/>
        <v>View on Google Map</v>
      </c>
    </row>
    <row r="316" spans="1:13" x14ac:dyDescent="0.2">
      <c r="A316" s="137">
        <v>1168</v>
      </c>
      <c r="B316" s="137" t="s">
        <v>1200</v>
      </c>
      <c r="C316" s="137" t="s">
        <v>1199</v>
      </c>
      <c r="D316" s="137" t="s">
        <v>596</v>
      </c>
      <c r="E316" s="137" t="s">
        <v>596</v>
      </c>
      <c r="F316" s="137" t="s">
        <v>596</v>
      </c>
      <c r="G316" s="137" t="s">
        <v>597</v>
      </c>
      <c r="H316" s="137" t="s">
        <v>1200</v>
      </c>
      <c r="I316" s="137" t="s">
        <v>596</v>
      </c>
      <c r="J316" s="137" t="s">
        <v>598</v>
      </c>
      <c r="K316" s="137" t="s">
        <v>596</v>
      </c>
      <c r="L316" s="137" t="s">
        <v>596</v>
      </c>
      <c r="M316" s="143" t="str">
        <f t="shared" si="5"/>
        <v>View on Google Map</v>
      </c>
    </row>
    <row r="317" spans="1:13" x14ac:dyDescent="0.2">
      <c r="A317" s="137">
        <v>125</v>
      </c>
      <c r="B317" s="137" t="s">
        <v>1201</v>
      </c>
      <c r="C317" s="137" t="s">
        <v>596</v>
      </c>
      <c r="D317" s="137">
        <v>68.52364</v>
      </c>
      <c r="E317" s="137">
        <v>-149.48141000000001</v>
      </c>
      <c r="F317" s="137">
        <v>881</v>
      </c>
      <c r="G317" s="137" t="s">
        <v>607</v>
      </c>
      <c r="H317" s="137" t="s">
        <v>1202</v>
      </c>
      <c r="I317" s="137" t="s">
        <v>596</v>
      </c>
      <c r="J317" s="137" t="s">
        <v>622</v>
      </c>
      <c r="K317" s="137" t="s">
        <v>596</v>
      </c>
      <c r="L317" s="137" t="s">
        <v>623</v>
      </c>
      <c r="M317" s="143" t="str">
        <f t="shared" si="5"/>
        <v>View on Google Map</v>
      </c>
    </row>
    <row r="318" spans="1:13" x14ac:dyDescent="0.2">
      <c r="A318" s="137">
        <v>110</v>
      </c>
      <c r="B318" s="137" t="s">
        <v>1203</v>
      </c>
      <c r="C318" s="137" t="s">
        <v>596</v>
      </c>
      <c r="D318" s="137">
        <v>68.687380000000005</v>
      </c>
      <c r="E318" s="137">
        <v>-149.67458999999999</v>
      </c>
      <c r="F318" s="137">
        <v>747</v>
      </c>
      <c r="G318" s="137" t="s">
        <v>607</v>
      </c>
      <c r="H318" s="137" t="s">
        <v>1204</v>
      </c>
      <c r="I318" s="137" t="s">
        <v>596</v>
      </c>
      <c r="J318" s="137" t="s">
        <v>622</v>
      </c>
      <c r="K318" s="137" t="s">
        <v>596</v>
      </c>
      <c r="L318" s="137" t="s">
        <v>596</v>
      </c>
      <c r="M318" s="143" t="str">
        <f t="shared" si="5"/>
        <v>View on Google Map</v>
      </c>
    </row>
    <row r="319" spans="1:13" x14ac:dyDescent="0.2">
      <c r="A319" s="137">
        <v>159</v>
      </c>
      <c r="B319" s="137" t="s">
        <v>1205</v>
      </c>
      <c r="C319" s="137" t="s">
        <v>596</v>
      </c>
      <c r="D319" s="137">
        <v>68.38333333333334</v>
      </c>
      <c r="E319" s="137">
        <v>-149.91666666666666</v>
      </c>
      <c r="F319" s="137">
        <v>681</v>
      </c>
      <c r="G319" s="137" t="s">
        <v>607</v>
      </c>
      <c r="H319" s="137" t="s">
        <v>1206</v>
      </c>
      <c r="I319" s="137" t="s">
        <v>596</v>
      </c>
      <c r="J319" s="137" t="s">
        <v>622</v>
      </c>
      <c r="K319" s="137" t="s">
        <v>596</v>
      </c>
      <c r="L319" s="137" t="s">
        <v>623</v>
      </c>
      <c r="M319" s="143" t="str">
        <f t="shared" si="5"/>
        <v>View on Google Map</v>
      </c>
    </row>
    <row r="320" spans="1:13" x14ac:dyDescent="0.2">
      <c r="B320" s="137" t="s">
        <v>1207</v>
      </c>
      <c r="C320" s="137" t="s">
        <v>1208</v>
      </c>
      <c r="D320" s="137">
        <v>68.590049999999991</v>
      </c>
      <c r="E320" s="137">
        <v>-149.72444166666699</v>
      </c>
      <c r="G320" s="137" t="s">
        <v>1133</v>
      </c>
      <c r="J320" s="52" t="s">
        <v>622</v>
      </c>
      <c r="M320" s="143" t="str">
        <f t="shared" si="5"/>
        <v>View on Google Map</v>
      </c>
    </row>
    <row r="321" spans="1:13" x14ac:dyDescent="0.2">
      <c r="B321" s="137" t="s">
        <v>1209</v>
      </c>
      <c r="C321" s="137" t="s">
        <v>1208</v>
      </c>
      <c r="D321" s="137">
        <v>68.590219444444443</v>
      </c>
      <c r="E321" s="137">
        <v>-149.725272222222</v>
      </c>
      <c r="G321" s="137" t="s">
        <v>1133</v>
      </c>
      <c r="J321" s="52" t="s">
        <v>622</v>
      </c>
      <c r="M321" s="143" t="str">
        <f t="shared" si="5"/>
        <v>View on Google Map</v>
      </c>
    </row>
    <row r="322" spans="1:13" x14ac:dyDescent="0.2">
      <c r="A322" s="137">
        <v>32</v>
      </c>
      <c r="B322" s="137" t="s">
        <v>1210</v>
      </c>
      <c r="C322" s="137" t="s">
        <v>596</v>
      </c>
      <c r="D322" s="137">
        <v>68.933499999999995</v>
      </c>
      <c r="E322" s="137">
        <v>-150.30600000000001</v>
      </c>
      <c r="F322" s="137" t="s">
        <v>596</v>
      </c>
      <c r="G322" s="137" t="s">
        <v>621</v>
      </c>
      <c r="H322" s="137" t="s">
        <v>1211</v>
      </c>
      <c r="I322" s="137" t="s">
        <v>596</v>
      </c>
      <c r="J322" s="137" t="s">
        <v>657</v>
      </c>
      <c r="K322" s="137" t="s">
        <v>596</v>
      </c>
      <c r="L322" s="137" t="s">
        <v>604</v>
      </c>
      <c r="M322" s="143" t="str">
        <f t="shared" si="5"/>
        <v>View on Google Map</v>
      </c>
    </row>
    <row r="323" spans="1:13" x14ac:dyDescent="0.2">
      <c r="A323" s="137">
        <v>33</v>
      </c>
      <c r="B323" s="137" t="s">
        <v>1212</v>
      </c>
      <c r="C323" s="137" t="s">
        <v>596</v>
      </c>
      <c r="D323" s="137">
        <v>68.908000000000001</v>
      </c>
      <c r="E323" s="137">
        <v>-150.114</v>
      </c>
      <c r="F323" s="137" t="s">
        <v>596</v>
      </c>
      <c r="G323" s="137" t="s">
        <v>621</v>
      </c>
      <c r="H323" s="137" t="s">
        <v>1213</v>
      </c>
      <c r="I323" s="137" t="s">
        <v>596</v>
      </c>
      <c r="J323" s="137" t="s">
        <v>657</v>
      </c>
      <c r="K323" s="137" t="s">
        <v>596</v>
      </c>
      <c r="L323" s="137" t="s">
        <v>604</v>
      </c>
      <c r="M323" s="143" t="str">
        <f t="shared" ref="M323:M386" si="6">HYPERLINK("http://maps.google.com/maps?q="&amp;D323&amp;","&amp;E323,"View on Google Map")</f>
        <v>View on Google Map</v>
      </c>
    </row>
    <row r="324" spans="1:13" x14ac:dyDescent="0.2">
      <c r="A324" s="137">
        <v>1</v>
      </c>
      <c r="B324" s="137" t="s">
        <v>1214</v>
      </c>
      <c r="C324" s="137" t="s">
        <v>1215</v>
      </c>
      <c r="D324" s="137">
        <v>68.639103747222222</v>
      </c>
      <c r="E324" s="137">
        <v>-149.39432556944399</v>
      </c>
      <c r="F324" s="137">
        <v>750.56600000000003</v>
      </c>
      <c r="G324" s="137" t="s">
        <v>1133</v>
      </c>
      <c r="J324" s="52" t="s">
        <v>622</v>
      </c>
      <c r="M324" s="143" t="str">
        <f t="shared" si="6"/>
        <v>View on Google Map</v>
      </c>
    </row>
    <row r="325" spans="1:13" x14ac:dyDescent="0.2">
      <c r="A325" s="137">
        <v>1</v>
      </c>
      <c r="B325" s="137" t="s">
        <v>1216</v>
      </c>
      <c r="C325" s="137" t="s">
        <v>1208</v>
      </c>
      <c r="D325" s="137">
        <v>68.638060455555561</v>
      </c>
      <c r="E325" s="137">
        <v>-149.391843363889</v>
      </c>
      <c r="F325" s="137">
        <v>750.601</v>
      </c>
      <c r="G325" s="137" t="s">
        <v>1133</v>
      </c>
      <c r="J325" s="52" t="s">
        <v>622</v>
      </c>
      <c r="M325" s="143" t="str">
        <f t="shared" si="6"/>
        <v>View on Google Map</v>
      </c>
    </row>
    <row r="326" spans="1:13" x14ac:dyDescent="0.2">
      <c r="A326" s="137">
        <v>1</v>
      </c>
      <c r="B326" s="137" t="s">
        <v>1217</v>
      </c>
      <c r="C326" s="137" t="s">
        <v>1218</v>
      </c>
      <c r="D326" s="137">
        <v>68.640747866666672</v>
      </c>
      <c r="E326" s="137">
        <v>-149.40056111111099</v>
      </c>
      <c r="F326" s="137">
        <v>747.74400000000003</v>
      </c>
      <c r="G326" s="137" t="s">
        <v>1133</v>
      </c>
      <c r="J326" s="52" t="s">
        <v>622</v>
      </c>
      <c r="M326" s="143" t="str">
        <f t="shared" si="6"/>
        <v>View on Google Map</v>
      </c>
    </row>
    <row r="327" spans="1:13" x14ac:dyDescent="0.2">
      <c r="A327" s="137">
        <v>1</v>
      </c>
      <c r="B327" s="137" t="s">
        <v>1219</v>
      </c>
      <c r="C327" s="137" t="s">
        <v>1208</v>
      </c>
      <c r="D327" s="137">
        <v>68.638399647222229</v>
      </c>
      <c r="E327" s="137">
        <v>-149.38922950555599</v>
      </c>
      <c r="F327" s="137">
        <v>752.79899999999998</v>
      </c>
      <c r="G327" s="137" t="s">
        <v>1133</v>
      </c>
      <c r="J327" s="52" t="s">
        <v>622</v>
      </c>
      <c r="M327" s="143" t="str">
        <f t="shared" si="6"/>
        <v>View on Google Map</v>
      </c>
    </row>
    <row r="328" spans="1:13" x14ac:dyDescent="0.2">
      <c r="A328" s="137">
        <v>1</v>
      </c>
      <c r="B328" s="137" t="s">
        <v>1220</v>
      </c>
      <c r="C328" s="137" t="s">
        <v>1208</v>
      </c>
      <c r="D328" s="137">
        <v>68.637445127777781</v>
      </c>
      <c r="E328" s="137">
        <v>-149.386685694444</v>
      </c>
      <c r="F328" s="137">
        <v>753.32</v>
      </c>
      <c r="G328" s="137" t="s">
        <v>1133</v>
      </c>
      <c r="J328" s="52" t="s">
        <v>622</v>
      </c>
      <c r="M328" s="143" t="str">
        <f t="shared" si="6"/>
        <v>View on Google Map</v>
      </c>
    </row>
    <row r="329" spans="1:13" x14ac:dyDescent="0.2">
      <c r="A329" s="137">
        <v>1</v>
      </c>
      <c r="B329" s="137" t="s">
        <v>1221</v>
      </c>
      <c r="C329" s="137" t="s">
        <v>993</v>
      </c>
      <c r="D329" s="137">
        <v>68.642054250000001</v>
      </c>
      <c r="E329" s="137">
        <v>-149.40350056666699</v>
      </c>
      <c r="F329" s="137">
        <v>746.26800000000003</v>
      </c>
      <c r="G329" s="137" t="s">
        <v>1133</v>
      </c>
      <c r="J329" s="52" t="s">
        <v>622</v>
      </c>
      <c r="M329" s="143" t="str">
        <f t="shared" si="6"/>
        <v>View on Google Map</v>
      </c>
    </row>
    <row r="330" spans="1:13" x14ac:dyDescent="0.2">
      <c r="A330" s="137">
        <v>1</v>
      </c>
      <c r="B330" s="137" t="s">
        <v>1222</v>
      </c>
      <c r="C330" s="137" t="s">
        <v>1223</v>
      </c>
      <c r="D330" s="137">
        <v>68.641460652777781</v>
      </c>
      <c r="E330" s="137">
        <v>-149.40187098888899</v>
      </c>
      <c r="F330" s="137">
        <v>747.17499999999995</v>
      </c>
      <c r="G330" s="137" t="s">
        <v>1133</v>
      </c>
      <c r="J330" s="52" t="s">
        <v>622</v>
      </c>
      <c r="M330" s="143" t="str">
        <f t="shared" si="6"/>
        <v>View on Google Map</v>
      </c>
    </row>
    <row r="331" spans="1:13" x14ac:dyDescent="0.2">
      <c r="A331" s="137">
        <v>1</v>
      </c>
      <c r="B331" s="137" t="s">
        <v>1224</v>
      </c>
      <c r="C331" s="137" t="s">
        <v>993</v>
      </c>
      <c r="D331" s="137">
        <v>68.643159841666673</v>
      </c>
      <c r="E331" s="137">
        <v>-149.40326701388901</v>
      </c>
      <c r="F331" s="137">
        <v>746.55200000000002</v>
      </c>
      <c r="G331" s="137" t="s">
        <v>1133</v>
      </c>
      <c r="J331" s="52" t="s">
        <v>622</v>
      </c>
      <c r="M331" s="143" t="str">
        <f t="shared" si="6"/>
        <v>View on Google Map</v>
      </c>
    </row>
    <row r="332" spans="1:13" x14ac:dyDescent="0.2">
      <c r="A332" s="137">
        <v>1</v>
      </c>
      <c r="B332" s="137" t="s">
        <v>1225</v>
      </c>
      <c r="C332" s="137" t="s">
        <v>1218</v>
      </c>
      <c r="D332" s="137">
        <v>68.636731430555557</v>
      </c>
      <c r="E332" s="137">
        <v>-149.38318683611101</v>
      </c>
      <c r="F332" s="137">
        <v>755.19299999999998</v>
      </c>
      <c r="G332" s="137" t="s">
        <v>1133</v>
      </c>
      <c r="J332" s="52" t="s">
        <v>622</v>
      </c>
      <c r="M332" s="143" t="str">
        <f t="shared" si="6"/>
        <v>View on Google Map</v>
      </c>
    </row>
    <row r="333" spans="1:13" x14ac:dyDescent="0.2">
      <c r="A333" s="137">
        <v>1</v>
      </c>
      <c r="B333" s="137" t="s">
        <v>1226</v>
      </c>
      <c r="C333" s="137" t="s">
        <v>1218</v>
      </c>
      <c r="D333" s="137">
        <v>68.643629936111111</v>
      </c>
      <c r="E333" s="137">
        <v>-149.40249773333301</v>
      </c>
      <c r="F333" s="137">
        <v>745.85199999999998</v>
      </c>
      <c r="G333" s="137" t="s">
        <v>1133</v>
      </c>
      <c r="J333" s="52" t="s">
        <v>622</v>
      </c>
      <c r="M333" s="143" t="str">
        <f t="shared" si="6"/>
        <v>View on Google Map</v>
      </c>
    </row>
    <row r="334" spans="1:13" x14ac:dyDescent="0.2">
      <c r="A334" s="137">
        <v>1</v>
      </c>
      <c r="B334" s="137" t="s">
        <v>1227</v>
      </c>
      <c r="C334" s="137" t="s">
        <v>1208</v>
      </c>
      <c r="D334" s="137">
        <v>68.644659113888892</v>
      </c>
      <c r="E334" s="137">
        <v>-149.405160461111</v>
      </c>
      <c r="F334" s="137">
        <v>744.06100000000004</v>
      </c>
      <c r="G334" s="137" t="s">
        <v>1133</v>
      </c>
      <c r="J334" s="52" t="s">
        <v>622</v>
      </c>
      <c r="M334" s="143" t="str">
        <f t="shared" si="6"/>
        <v>View on Google Map</v>
      </c>
    </row>
    <row r="335" spans="1:13" x14ac:dyDescent="0.2">
      <c r="A335" s="137">
        <v>1</v>
      </c>
      <c r="B335" s="137" t="s">
        <v>1228</v>
      </c>
      <c r="C335" s="137" t="s">
        <v>993</v>
      </c>
      <c r="D335" s="137">
        <v>68.646338200000002</v>
      </c>
      <c r="E335" s="137">
        <v>-149.41002641666699</v>
      </c>
      <c r="F335" s="137">
        <v>741.68899999999996</v>
      </c>
      <c r="G335" s="137" t="s">
        <v>1133</v>
      </c>
      <c r="J335" s="52" t="s">
        <v>622</v>
      </c>
      <c r="M335" s="143" t="str">
        <f t="shared" si="6"/>
        <v>View on Google Map</v>
      </c>
    </row>
    <row r="336" spans="1:13" x14ac:dyDescent="0.2">
      <c r="A336" s="137">
        <v>1</v>
      </c>
      <c r="B336" s="137" t="s">
        <v>1229</v>
      </c>
      <c r="C336" s="137" t="s">
        <v>1230</v>
      </c>
      <c r="D336" s="137">
        <v>68.646228841666669</v>
      </c>
      <c r="E336" s="137">
        <v>-149.40909021388899</v>
      </c>
      <c r="F336" s="137">
        <v>742.04</v>
      </c>
      <c r="G336" s="137" t="s">
        <v>1133</v>
      </c>
      <c r="J336" s="52" t="s">
        <v>622</v>
      </c>
      <c r="M336" s="143" t="str">
        <f t="shared" si="6"/>
        <v>View on Google Map</v>
      </c>
    </row>
    <row r="337" spans="1:13" x14ac:dyDescent="0.2">
      <c r="A337" s="137">
        <v>1</v>
      </c>
      <c r="B337" s="137" t="s">
        <v>1231</v>
      </c>
      <c r="C337" s="137" t="s">
        <v>1208</v>
      </c>
      <c r="D337" s="137">
        <v>68.647812641666675</v>
      </c>
      <c r="E337" s="137">
        <v>-149.41565431111101</v>
      </c>
      <c r="F337" s="137">
        <v>738.87300000000005</v>
      </c>
      <c r="G337" s="137" t="s">
        <v>1133</v>
      </c>
      <c r="J337" s="52" t="s">
        <v>622</v>
      </c>
      <c r="M337" s="143" t="str">
        <f t="shared" si="6"/>
        <v>View on Google Map</v>
      </c>
    </row>
    <row r="338" spans="1:13" x14ac:dyDescent="0.2">
      <c r="A338" s="137">
        <v>1</v>
      </c>
      <c r="B338" s="137" t="s">
        <v>1232</v>
      </c>
      <c r="C338" s="137" t="s">
        <v>993</v>
      </c>
      <c r="D338" s="137">
        <v>68.649547222222225</v>
      </c>
      <c r="E338" s="137">
        <v>-149.41615246388901</v>
      </c>
      <c r="F338" s="137">
        <v>737.07399999999996</v>
      </c>
      <c r="G338" s="137" t="s">
        <v>1133</v>
      </c>
      <c r="J338" s="52" t="s">
        <v>622</v>
      </c>
      <c r="M338" s="143" t="str">
        <f t="shared" si="6"/>
        <v>View on Google Map</v>
      </c>
    </row>
    <row r="339" spans="1:13" x14ac:dyDescent="0.2">
      <c r="A339" s="137">
        <v>1</v>
      </c>
      <c r="B339" s="137" t="s">
        <v>1233</v>
      </c>
      <c r="C339" s="137" t="s">
        <v>1218</v>
      </c>
      <c r="D339" s="137">
        <v>68.65164966388889</v>
      </c>
      <c r="E339" s="137">
        <v>-149.41647778611099</v>
      </c>
      <c r="F339" s="137">
        <v>735.41800000000001</v>
      </c>
      <c r="G339" s="137" t="s">
        <v>1133</v>
      </c>
      <c r="J339" s="52" t="s">
        <v>622</v>
      </c>
      <c r="M339" s="143" t="str">
        <f t="shared" si="6"/>
        <v>View on Google Map</v>
      </c>
    </row>
    <row r="340" spans="1:13" x14ac:dyDescent="0.2">
      <c r="A340" s="137">
        <v>1</v>
      </c>
      <c r="B340" s="137" t="s">
        <v>1234</v>
      </c>
      <c r="C340" s="137" t="s">
        <v>993</v>
      </c>
      <c r="D340" s="137">
        <v>68.652284541666674</v>
      </c>
      <c r="E340" s="137">
        <v>-149.41517665000001</v>
      </c>
      <c r="F340" s="137">
        <v>734.78499999999997</v>
      </c>
      <c r="G340" s="137" t="s">
        <v>1133</v>
      </c>
      <c r="J340" s="52" t="s">
        <v>622</v>
      </c>
      <c r="M340" s="143" t="str">
        <f t="shared" si="6"/>
        <v>View on Google Map</v>
      </c>
    </row>
    <row r="341" spans="1:13" x14ac:dyDescent="0.2">
      <c r="A341" s="137">
        <v>1</v>
      </c>
      <c r="B341" s="137" t="s">
        <v>1235</v>
      </c>
      <c r="C341" s="137" t="s">
        <v>1208</v>
      </c>
      <c r="D341" s="137">
        <v>68.653667241666668</v>
      </c>
      <c r="E341" s="137">
        <v>-149.420855111111</v>
      </c>
      <c r="F341" s="137">
        <v>732.173</v>
      </c>
      <c r="G341" s="137" t="s">
        <v>1133</v>
      </c>
      <c r="J341" s="52" t="s">
        <v>622</v>
      </c>
      <c r="M341" s="143" t="str">
        <f t="shared" si="6"/>
        <v>View on Google Map</v>
      </c>
    </row>
    <row r="342" spans="1:13" x14ac:dyDescent="0.2">
      <c r="A342" s="137">
        <v>1</v>
      </c>
      <c r="B342" s="137" t="s">
        <v>1236</v>
      </c>
      <c r="C342" s="137" t="s">
        <v>993</v>
      </c>
      <c r="D342" s="137">
        <v>68.658785577777778</v>
      </c>
      <c r="E342" s="137">
        <v>-149.42446433055599</v>
      </c>
      <c r="F342" s="137">
        <v>726.91899999999998</v>
      </c>
      <c r="G342" s="137" t="s">
        <v>1133</v>
      </c>
      <c r="J342" s="52" t="s">
        <v>622</v>
      </c>
      <c r="M342" s="143" t="str">
        <f t="shared" si="6"/>
        <v>View on Google Map</v>
      </c>
    </row>
    <row r="343" spans="1:13" x14ac:dyDescent="0.2">
      <c r="A343" s="137">
        <v>1</v>
      </c>
      <c r="B343" s="137" t="s">
        <v>1237</v>
      </c>
      <c r="C343" s="137" t="s">
        <v>1238</v>
      </c>
      <c r="D343" s="137">
        <v>68.638340663999998</v>
      </c>
      <c r="E343" s="137">
        <v>-149.39350505600001</v>
      </c>
      <c r="G343" s="137" t="s">
        <v>1133</v>
      </c>
      <c r="J343" s="52" t="s">
        <v>622</v>
      </c>
      <c r="M343" s="143" t="str">
        <f t="shared" si="6"/>
        <v>View on Google Map</v>
      </c>
    </row>
    <row r="344" spans="1:13" x14ac:dyDescent="0.2">
      <c r="A344" s="137">
        <v>1</v>
      </c>
      <c r="B344" s="52" t="s">
        <v>1239</v>
      </c>
      <c r="C344" s="52" t="s">
        <v>1239</v>
      </c>
      <c r="D344" s="137">
        <v>68.647525999999999</v>
      </c>
      <c r="E344" s="137">
        <v>-149.411416</v>
      </c>
      <c r="F344" s="137">
        <v>731</v>
      </c>
      <c r="G344" s="137" t="s">
        <v>621</v>
      </c>
      <c r="H344" s="137" t="s">
        <v>1240</v>
      </c>
      <c r="I344" s="137" t="s">
        <v>596</v>
      </c>
      <c r="J344" s="137" t="s">
        <v>622</v>
      </c>
      <c r="K344" s="137" t="s">
        <v>596</v>
      </c>
      <c r="L344" s="137" t="s">
        <v>596</v>
      </c>
      <c r="M344" s="143" t="str">
        <f t="shared" si="6"/>
        <v>View on Google Map</v>
      </c>
    </row>
    <row r="345" spans="1:13" x14ac:dyDescent="0.2">
      <c r="A345" s="137">
        <v>19</v>
      </c>
      <c r="B345" s="137" t="s">
        <v>1241</v>
      </c>
      <c r="C345" s="137" t="s">
        <v>596</v>
      </c>
      <c r="D345" s="137">
        <v>68.967611000000005</v>
      </c>
      <c r="E345" s="137">
        <v>-149.705342</v>
      </c>
      <c r="F345" s="137">
        <v>411</v>
      </c>
      <c r="G345" s="137" t="s">
        <v>621</v>
      </c>
      <c r="H345" s="137" t="s">
        <v>1242</v>
      </c>
      <c r="I345" s="137" t="s">
        <v>596</v>
      </c>
      <c r="J345" s="137" t="s">
        <v>622</v>
      </c>
      <c r="K345" s="137" t="s">
        <v>596</v>
      </c>
      <c r="L345" s="137" t="s">
        <v>596</v>
      </c>
      <c r="M345" s="143" t="str">
        <f t="shared" si="6"/>
        <v>View on Google Map</v>
      </c>
    </row>
    <row r="346" spans="1:13" x14ac:dyDescent="0.2">
      <c r="A346" s="137">
        <v>16</v>
      </c>
      <c r="B346" s="137" t="s">
        <v>1243</v>
      </c>
      <c r="C346" s="137" t="s">
        <v>596</v>
      </c>
      <c r="D346" s="137" t="s">
        <v>596</v>
      </c>
      <c r="E346" s="137" t="s">
        <v>596</v>
      </c>
      <c r="F346" s="137" t="s">
        <v>596</v>
      </c>
      <c r="G346" s="137" t="s">
        <v>621</v>
      </c>
      <c r="H346" s="137" t="s">
        <v>596</v>
      </c>
      <c r="I346" s="137" t="s">
        <v>596</v>
      </c>
      <c r="J346" s="137" t="s">
        <v>622</v>
      </c>
      <c r="K346" s="137" t="s">
        <v>596</v>
      </c>
      <c r="L346" s="137" t="s">
        <v>596</v>
      </c>
      <c r="M346" s="143" t="str">
        <f t="shared" si="6"/>
        <v>View on Google Map</v>
      </c>
    </row>
    <row r="347" spans="1:13" x14ac:dyDescent="0.2">
      <c r="A347" s="137">
        <v>1198</v>
      </c>
      <c r="B347" s="137" t="s">
        <v>1244</v>
      </c>
      <c r="C347" s="137" t="s">
        <v>780</v>
      </c>
      <c r="D347" s="137">
        <v>69.297460909999998</v>
      </c>
      <c r="E347" s="137">
        <v>-150.32340117999999</v>
      </c>
      <c r="F347" s="137" t="s">
        <v>596</v>
      </c>
      <c r="G347" s="137" t="s">
        <v>597</v>
      </c>
      <c r="H347" s="137" t="s">
        <v>596</v>
      </c>
      <c r="I347" s="137" t="s">
        <v>596</v>
      </c>
      <c r="J347" s="137" t="s">
        <v>603</v>
      </c>
      <c r="K347" s="137" t="s">
        <v>596</v>
      </c>
      <c r="L347" s="137" t="s">
        <v>604</v>
      </c>
      <c r="M347" s="143" t="str">
        <f t="shared" si="6"/>
        <v>View on Google Map</v>
      </c>
    </row>
    <row r="348" spans="1:13" x14ac:dyDescent="0.2">
      <c r="A348" s="137">
        <v>135</v>
      </c>
      <c r="B348" s="137" t="s">
        <v>1245</v>
      </c>
      <c r="C348" s="137" t="s">
        <v>596</v>
      </c>
      <c r="D348" s="137">
        <v>70.333333333333329</v>
      </c>
      <c r="E348" s="137">
        <v>-148.80000000000001</v>
      </c>
      <c r="F348" s="137">
        <v>4</v>
      </c>
      <c r="G348" s="137" t="s">
        <v>607</v>
      </c>
      <c r="H348" s="137" t="s">
        <v>1246</v>
      </c>
      <c r="I348" s="137" t="s">
        <v>596</v>
      </c>
      <c r="J348" s="137" t="s">
        <v>622</v>
      </c>
      <c r="K348" s="137" t="s">
        <v>596</v>
      </c>
      <c r="L348" s="137" t="s">
        <v>623</v>
      </c>
      <c r="M348" s="143" t="str">
        <f t="shared" si="6"/>
        <v>View on Google Map</v>
      </c>
    </row>
    <row r="349" spans="1:13" x14ac:dyDescent="0.2">
      <c r="A349" s="137">
        <v>126</v>
      </c>
      <c r="B349" s="137" t="s">
        <v>1247</v>
      </c>
      <c r="C349" s="137" t="s">
        <v>596</v>
      </c>
      <c r="D349" s="137">
        <v>68.733333333333334</v>
      </c>
      <c r="E349" s="137">
        <v>-148.93333333333334</v>
      </c>
      <c r="F349" s="137">
        <v>556</v>
      </c>
      <c r="G349" s="137" t="s">
        <v>607</v>
      </c>
      <c r="H349" s="137" t="s">
        <v>1248</v>
      </c>
      <c r="I349" s="137" t="s">
        <v>596</v>
      </c>
      <c r="J349" s="137" t="s">
        <v>622</v>
      </c>
      <c r="K349" s="137" t="s">
        <v>596</v>
      </c>
      <c r="L349" s="137" t="s">
        <v>623</v>
      </c>
      <c r="M349" s="143" t="str">
        <f t="shared" si="6"/>
        <v>View on Google Map</v>
      </c>
    </row>
    <row r="350" spans="1:13" x14ac:dyDescent="0.2">
      <c r="A350" s="137">
        <v>134</v>
      </c>
      <c r="B350" s="137" t="s">
        <v>1249</v>
      </c>
      <c r="C350" s="137" t="s">
        <v>596</v>
      </c>
      <c r="D350" s="137">
        <v>70.349999999999994</v>
      </c>
      <c r="E350" s="137">
        <v>-148.58333333333334</v>
      </c>
      <c r="F350" s="137">
        <v>2</v>
      </c>
      <c r="G350" s="137" t="s">
        <v>607</v>
      </c>
      <c r="H350" s="137" t="s">
        <v>1250</v>
      </c>
      <c r="I350" s="137" t="s">
        <v>596</v>
      </c>
      <c r="J350" s="137" t="s">
        <v>622</v>
      </c>
      <c r="K350" s="137" t="s">
        <v>596</v>
      </c>
      <c r="L350" s="137" t="s">
        <v>623</v>
      </c>
      <c r="M350" s="143" t="str">
        <f t="shared" si="6"/>
        <v>View on Google Map</v>
      </c>
    </row>
    <row r="351" spans="1:13" x14ac:dyDescent="0.2">
      <c r="A351" s="137">
        <v>128</v>
      </c>
      <c r="B351" s="137" t="s">
        <v>1251</v>
      </c>
      <c r="C351" s="137" t="s">
        <v>596</v>
      </c>
      <c r="D351" s="137">
        <v>69.033333333333331</v>
      </c>
      <c r="E351" s="137">
        <v>-148.85</v>
      </c>
      <c r="F351" s="137">
        <v>319</v>
      </c>
      <c r="G351" s="137" t="s">
        <v>607</v>
      </c>
      <c r="H351" s="137" t="s">
        <v>1252</v>
      </c>
      <c r="I351" s="137" t="s">
        <v>596</v>
      </c>
      <c r="J351" s="137" t="s">
        <v>622</v>
      </c>
      <c r="K351" s="137" t="s">
        <v>596</v>
      </c>
      <c r="L351" s="137" t="s">
        <v>623</v>
      </c>
      <c r="M351" s="143" t="str">
        <f t="shared" si="6"/>
        <v>View on Google Map</v>
      </c>
    </row>
    <row r="352" spans="1:13" x14ac:dyDescent="0.2">
      <c r="A352" s="137">
        <v>139</v>
      </c>
      <c r="B352" s="137" t="s">
        <v>1253</v>
      </c>
      <c r="C352" s="137" t="s">
        <v>596</v>
      </c>
      <c r="D352" s="137">
        <v>70.216666666666669</v>
      </c>
      <c r="E352" s="137">
        <v>-142.46666666666701</v>
      </c>
      <c r="F352" s="137">
        <v>15</v>
      </c>
      <c r="G352" s="137" t="s">
        <v>607</v>
      </c>
      <c r="H352" s="137" t="s">
        <v>1254</v>
      </c>
      <c r="I352" s="137" t="s">
        <v>1255</v>
      </c>
      <c r="J352" s="137" t="s">
        <v>622</v>
      </c>
      <c r="K352" s="137" t="s">
        <v>596</v>
      </c>
      <c r="L352" s="137" t="s">
        <v>623</v>
      </c>
      <c r="M352" s="143" t="str">
        <f t="shared" si="6"/>
        <v>View on Google Map</v>
      </c>
    </row>
    <row r="353" spans="1:14" x14ac:dyDescent="0.2">
      <c r="A353" s="137">
        <v>127</v>
      </c>
      <c r="B353" s="137" t="s">
        <v>1256</v>
      </c>
      <c r="C353" s="137" t="s">
        <v>596</v>
      </c>
      <c r="D353" s="137">
        <v>68.733333333333334</v>
      </c>
      <c r="E353" s="137">
        <v>-148.96666666666667</v>
      </c>
      <c r="F353" s="137">
        <v>597</v>
      </c>
      <c r="G353" s="137" t="s">
        <v>607</v>
      </c>
      <c r="H353" s="137" t="s">
        <v>1257</v>
      </c>
      <c r="I353" s="137" t="s">
        <v>596</v>
      </c>
      <c r="J353" s="137" t="s">
        <v>622</v>
      </c>
      <c r="K353" s="137" t="s">
        <v>596</v>
      </c>
      <c r="L353" s="137" t="s">
        <v>623</v>
      </c>
      <c r="M353" s="143" t="str">
        <f t="shared" si="6"/>
        <v>View on Google Map</v>
      </c>
    </row>
    <row r="354" spans="1:14" x14ac:dyDescent="0.2">
      <c r="A354" s="137">
        <v>133</v>
      </c>
      <c r="B354" s="137" t="s">
        <v>1258</v>
      </c>
      <c r="C354" s="137" t="s">
        <v>596</v>
      </c>
      <c r="D354" s="137">
        <v>70.36666666666666</v>
      </c>
      <c r="E354" s="137">
        <v>-148.5</v>
      </c>
      <c r="F354" s="137">
        <v>2</v>
      </c>
      <c r="G354" s="137" t="s">
        <v>607</v>
      </c>
      <c r="H354" s="137" t="s">
        <v>1259</v>
      </c>
      <c r="I354" s="137" t="s">
        <v>596</v>
      </c>
      <c r="J354" s="137" t="s">
        <v>622</v>
      </c>
      <c r="K354" s="137" t="s">
        <v>596</v>
      </c>
      <c r="L354" s="137" t="s">
        <v>623</v>
      </c>
      <c r="M354" s="143" t="str">
        <f t="shared" si="6"/>
        <v>View on Google Map</v>
      </c>
    </row>
    <row r="355" spans="1:14" x14ac:dyDescent="0.2">
      <c r="A355" s="137">
        <v>140</v>
      </c>
      <c r="B355" s="137" t="s">
        <v>1260</v>
      </c>
      <c r="C355" s="137" t="s">
        <v>596</v>
      </c>
      <c r="D355" s="137">
        <v>69.583333333333329</v>
      </c>
      <c r="E355" s="137">
        <v>-148.63333333333301</v>
      </c>
      <c r="F355" s="137">
        <v>145</v>
      </c>
      <c r="G355" s="137" t="s">
        <v>607</v>
      </c>
      <c r="H355" s="137" t="s">
        <v>1261</v>
      </c>
      <c r="I355" s="137" t="s">
        <v>1262</v>
      </c>
      <c r="J355" s="137" t="s">
        <v>622</v>
      </c>
      <c r="K355" s="137" t="s">
        <v>596</v>
      </c>
      <c r="L355" s="137" t="s">
        <v>623</v>
      </c>
      <c r="M355" s="143" t="str">
        <f t="shared" si="6"/>
        <v>View on Google Map</v>
      </c>
    </row>
    <row r="356" spans="1:14" x14ac:dyDescent="0.2">
      <c r="A356" s="137">
        <v>247</v>
      </c>
      <c r="B356" s="137" t="s">
        <v>1263</v>
      </c>
      <c r="C356" s="137" t="s">
        <v>1264</v>
      </c>
      <c r="D356" s="137">
        <v>68.687318124800001</v>
      </c>
      <c r="E356" s="137">
        <v>-150.043661294</v>
      </c>
      <c r="F356" s="137">
        <v>670</v>
      </c>
      <c r="G356" s="137" t="s">
        <v>607</v>
      </c>
      <c r="H356" s="137" t="s">
        <v>1265</v>
      </c>
      <c r="I356" s="137" t="s">
        <v>596</v>
      </c>
      <c r="J356" s="137" t="s">
        <v>889</v>
      </c>
      <c r="K356" s="137" t="s">
        <v>596</v>
      </c>
      <c r="L356" s="137" t="s">
        <v>890</v>
      </c>
      <c r="M356" s="143" t="str">
        <f t="shared" si="6"/>
        <v>View on Google Map</v>
      </c>
      <c r="N356" s="137">
        <f t="shared" ref="N356:N419" si="7">VALUE(MID(H356,5,3))</f>
        <v>1</v>
      </c>
    </row>
    <row r="357" spans="1:14" x14ac:dyDescent="0.2">
      <c r="A357" s="137">
        <v>248</v>
      </c>
      <c r="B357" s="137" t="s">
        <v>1266</v>
      </c>
      <c r="C357" s="137" t="s">
        <v>1267</v>
      </c>
      <c r="D357" s="137">
        <v>68.691799913400004</v>
      </c>
      <c r="E357" s="137">
        <v>-150.04995633499999</v>
      </c>
      <c r="F357" s="137">
        <v>670</v>
      </c>
      <c r="G357" s="137" t="s">
        <v>607</v>
      </c>
      <c r="H357" s="137" t="s">
        <v>1268</v>
      </c>
      <c r="I357" s="137" t="s">
        <v>596</v>
      </c>
      <c r="J357" s="137" t="s">
        <v>889</v>
      </c>
      <c r="K357" s="137" t="s">
        <v>596</v>
      </c>
      <c r="L357" s="137" t="s">
        <v>890</v>
      </c>
      <c r="M357" s="143" t="str">
        <f t="shared" si="6"/>
        <v>View on Google Map</v>
      </c>
      <c r="N357" s="137">
        <f t="shared" si="7"/>
        <v>2</v>
      </c>
    </row>
    <row r="358" spans="1:14" x14ac:dyDescent="0.2">
      <c r="A358" s="137">
        <v>249</v>
      </c>
      <c r="B358" s="137" t="s">
        <v>1269</v>
      </c>
      <c r="C358" s="137" t="s">
        <v>1270</v>
      </c>
      <c r="D358" s="137">
        <v>68.692272706200001</v>
      </c>
      <c r="E358" s="137">
        <v>-150.05393183499999</v>
      </c>
      <c r="F358" s="137">
        <v>670</v>
      </c>
      <c r="G358" s="137" t="s">
        <v>607</v>
      </c>
      <c r="H358" s="137" t="s">
        <v>1271</v>
      </c>
      <c r="I358" s="137" t="s">
        <v>596</v>
      </c>
      <c r="J358" s="137" t="s">
        <v>889</v>
      </c>
      <c r="K358" s="137" t="s">
        <v>596</v>
      </c>
      <c r="L358" s="137" t="s">
        <v>890</v>
      </c>
      <c r="M358" s="143" t="str">
        <f t="shared" si="6"/>
        <v>View on Google Map</v>
      </c>
      <c r="N358" s="137">
        <f t="shared" si="7"/>
        <v>3</v>
      </c>
    </row>
    <row r="359" spans="1:14" x14ac:dyDescent="0.2">
      <c r="A359" s="137">
        <v>250</v>
      </c>
      <c r="B359" s="137" t="s">
        <v>1272</v>
      </c>
      <c r="C359" s="137" t="s">
        <v>1273</v>
      </c>
      <c r="D359" s="137">
        <v>68.694180615799993</v>
      </c>
      <c r="E359" s="137">
        <v>-150.05828837300001</v>
      </c>
      <c r="F359" s="137">
        <v>670</v>
      </c>
      <c r="G359" s="137" t="s">
        <v>607</v>
      </c>
      <c r="H359" s="137" t="s">
        <v>1274</v>
      </c>
      <c r="I359" s="137" t="s">
        <v>596</v>
      </c>
      <c r="J359" s="137" t="s">
        <v>889</v>
      </c>
      <c r="K359" s="137" t="s">
        <v>596</v>
      </c>
      <c r="L359" s="137" t="s">
        <v>890</v>
      </c>
      <c r="M359" s="143" t="str">
        <f t="shared" si="6"/>
        <v>View on Google Map</v>
      </c>
      <c r="N359" s="137">
        <f t="shared" si="7"/>
        <v>4</v>
      </c>
    </row>
    <row r="360" spans="1:14" x14ac:dyDescent="0.2">
      <c r="A360" s="137">
        <v>251</v>
      </c>
      <c r="B360" s="137" t="s">
        <v>1275</v>
      </c>
      <c r="C360" s="137" t="s">
        <v>1276</v>
      </c>
      <c r="D360" s="137">
        <v>68.7077131315</v>
      </c>
      <c r="E360" s="137">
        <v>-150.04654580600001</v>
      </c>
      <c r="F360" s="137">
        <v>580</v>
      </c>
      <c r="G360" s="137" t="s">
        <v>607</v>
      </c>
      <c r="H360" s="137" t="s">
        <v>1277</v>
      </c>
      <c r="I360" s="137" t="s">
        <v>596</v>
      </c>
      <c r="J360" s="137" t="s">
        <v>889</v>
      </c>
      <c r="K360" s="137" t="s">
        <v>596</v>
      </c>
      <c r="L360" s="137" t="s">
        <v>890</v>
      </c>
      <c r="M360" s="143" t="str">
        <f t="shared" si="6"/>
        <v>View on Google Map</v>
      </c>
      <c r="N360" s="137">
        <f t="shared" si="7"/>
        <v>5</v>
      </c>
    </row>
    <row r="361" spans="1:14" x14ac:dyDescent="0.2">
      <c r="A361" s="137">
        <v>252</v>
      </c>
      <c r="B361" s="137" t="s">
        <v>1278</v>
      </c>
      <c r="C361" s="137" t="s">
        <v>1279</v>
      </c>
      <c r="D361" s="137">
        <v>68.713583961699996</v>
      </c>
      <c r="E361" s="137">
        <v>-150.03096474</v>
      </c>
      <c r="F361" s="137">
        <v>550</v>
      </c>
      <c r="G361" s="137" t="s">
        <v>607</v>
      </c>
      <c r="H361" s="137" t="s">
        <v>1280</v>
      </c>
      <c r="I361" s="137" t="s">
        <v>596</v>
      </c>
      <c r="J361" s="137" t="s">
        <v>889</v>
      </c>
      <c r="K361" s="137" t="s">
        <v>596</v>
      </c>
      <c r="L361" s="137" t="s">
        <v>890</v>
      </c>
      <c r="M361" s="143" t="str">
        <f t="shared" si="6"/>
        <v>View on Google Map</v>
      </c>
      <c r="N361" s="137">
        <f t="shared" si="7"/>
        <v>6</v>
      </c>
    </row>
    <row r="362" spans="1:14" x14ac:dyDescent="0.2">
      <c r="A362" s="137">
        <v>253</v>
      </c>
      <c r="B362" s="137" t="s">
        <v>1281</v>
      </c>
      <c r="C362" s="137" t="s">
        <v>1282</v>
      </c>
      <c r="D362" s="137">
        <v>68.717696468200003</v>
      </c>
      <c r="E362" s="137">
        <v>-150.03558023400001</v>
      </c>
      <c r="F362" s="137">
        <v>550</v>
      </c>
      <c r="G362" s="137" t="s">
        <v>607</v>
      </c>
      <c r="H362" s="137" t="s">
        <v>1283</v>
      </c>
      <c r="I362" s="137" t="s">
        <v>596</v>
      </c>
      <c r="J362" s="137" t="s">
        <v>889</v>
      </c>
      <c r="K362" s="137" t="s">
        <v>596</v>
      </c>
      <c r="L362" s="137" t="s">
        <v>890</v>
      </c>
      <c r="M362" s="143" t="str">
        <f t="shared" si="6"/>
        <v>View on Google Map</v>
      </c>
      <c r="N362" s="137">
        <f t="shared" si="7"/>
        <v>7</v>
      </c>
    </row>
    <row r="363" spans="1:14" x14ac:dyDescent="0.2">
      <c r="A363" s="137">
        <v>254</v>
      </c>
      <c r="B363" s="137" t="s">
        <v>1284</v>
      </c>
      <c r="C363" s="137" t="s">
        <v>1285</v>
      </c>
      <c r="D363" s="137">
        <v>68.724625849299997</v>
      </c>
      <c r="E363" s="137">
        <v>-150.02664640699999</v>
      </c>
      <c r="F363" s="137">
        <v>520</v>
      </c>
      <c r="G363" s="137" t="s">
        <v>607</v>
      </c>
      <c r="H363" s="137" t="s">
        <v>1286</v>
      </c>
      <c r="I363" s="137" t="s">
        <v>596</v>
      </c>
      <c r="J363" s="137" t="s">
        <v>889</v>
      </c>
      <c r="K363" s="137" t="s">
        <v>596</v>
      </c>
      <c r="L363" s="137" t="s">
        <v>890</v>
      </c>
      <c r="M363" s="143" t="str">
        <f t="shared" si="6"/>
        <v>View on Google Map</v>
      </c>
      <c r="N363" s="137">
        <f t="shared" si="7"/>
        <v>8</v>
      </c>
    </row>
    <row r="364" spans="1:14" x14ac:dyDescent="0.2">
      <c r="A364" s="137">
        <v>255</v>
      </c>
      <c r="B364" s="137" t="s">
        <v>1287</v>
      </c>
      <c r="C364" s="137" t="s">
        <v>1288</v>
      </c>
      <c r="D364" s="137">
        <v>68.728073916699998</v>
      </c>
      <c r="E364" s="137">
        <v>-150.03359923599999</v>
      </c>
      <c r="F364" s="137">
        <v>520</v>
      </c>
      <c r="G364" s="137" t="s">
        <v>607</v>
      </c>
      <c r="H364" s="137" t="s">
        <v>1289</v>
      </c>
      <c r="I364" s="137" t="s">
        <v>596</v>
      </c>
      <c r="J364" s="137" t="s">
        <v>889</v>
      </c>
      <c r="K364" s="137" t="s">
        <v>596</v>
      </c>
      <c r="L364" s="137" t="s">
        <v>890</v>
      </c>
      <c r="M364" s="143" t="str">
        <f t="shared" si="6"/>
        <v>View on Google Map</v>
      </c>
      <c r="N364" s="137">
        <f t="shared" si="7"/>
        <v>9</v>
      </c>
    </row>
    <row r="365" spans="1:14" x14ac:dyDescent="0.2">
      <c r="A365" s="137">
        <v>256</v>
      </c>
      <c r="B365" s="137" t="s">
        <v>1290</v>
      </c>
      <c r="C365" s="137" t="s">
        <v>1291</v>
      </c>
      <c r="D365" s="137">
        <v>68.701700654700005</v>
      </c>
      <c r="E365" s="137">
        <v>-149.74902999599999</v>
      </c>
      <c r="F365" s="137">
        <v>760</v>
      </c>
      <c r="G365" s="137" t="s">
        <v>607</v>
      </c>
      <c r="H365" s="137" t="s">
        <v>1292</v>
      </c>
      <c r="I365" s="137" t="s">
        <v>596</v>
      </c>
      <c r="J365" s="137" t="s">
        <v>889</v>
      </c>
      <c r="K365" s="137" t="s">
        <v>596</v>
      </c>
      <c r="L365" s="137" t="s">
        <v>890</v>
      </c>
      <c r="M365" s="143" t="str">
        <f t="shared" si="6"/>
        <v>View on Google Map</v>
      </c>
      <c r="N365" s="137">
        <f t="shared" si="7"/>
        <v>10</v>
      </c>
    </row>
    <row r="366" spans="1:14" x14ac:dyDescent="0.2">
      <c r="A366" s="137">
        <v>257</v>
      </c>
      <c r="B366" s="137" t="s">
        <v>1293</v>
      </c>
      <c r="C366" s="137" t="s">
        <v>1294</v>
      </c>
      <c r="D366" s="137">
        <v>68.701945515000006</v>
      </c>
      <c r="E366" s="137">
        <v>-149.745520981</v>
      </c>
      <c r="F366" s="137">
        <v>760</v>
      </c>
      <c r="G366" s="137" t="s">
        <v>607</v>
      </c>
      <c r="H366" s="137" t="s">
        <v>1295</v>
      </c>
      <c r="I366" s="137" t="s">
        <v>596</v>
      </c>
      <c r="J366" s="137" t="s">
        <v>889</v>
      </c>
      <c r="K366" s="137" t="s">
        <v>596</v>
      </c>
      <c r="L366" s="137" t="s">
        <v>890</v>
      </c>
      <c r="M366" s="143" t="str">
        <f t="shared" si="6"/>
        <v>View on Google Map</v>
      </c>
      <c r="N366" s="137">
        <f t="shared" si="7"/>
        <v>11</v>
      </c>
    </row>
    <row r="367" spans="1:14" x14ac:dyDescent="0.2">
      <c r="A367" s="137">
        <v>258</v>
      </c>
      <c r="B367" s="137" t="s">
        <v>1296</v>
      </c>
      <c r="C367" s="137" t="s">
        <v>1297</v>
      </c>
      <c r="D367" s="137">
        <v>68.704802601699996</v>
      </c>
      <c r="E367" s="137">
        <v>-149.73409678600001</v>
      </c>
      <c r="F367" s="137">
        <v>730</v>
      </c>
      <c r="G367" s="137" t="s">
        <v>607</v>
      </c>
      <c r="H367" s="137" t="s">
        <v>1298</v>
      </c>
      <c r="I367" s="137" t="s">
        <v>596</v>
      </c>
      <c r="J367" s="137" t="s">
        <v>889</v>
      </c>
      <c r="K367" s="137" t="s">
        <v>596</v>
      </c>
      <c r="L367" s="137" t="s">
        <v>890</v>
      </c>
      <c r="M367" s="143" t="str">
        <f t="shared" si="6"/>
        <v>View on Google Map</v>
      </c>
      <c r="N367" s="137">
        <f t="shared" si="7"/>
        <v>12</v>
      </c>
    </row>
    <row r="368" spans="1:14" x14ac:dyDescent="0.2">
      <c r="A368" s="137">
        <v>259</v>
      </c>
      <c r="B368" s="137" t="s">
        <v>1299</v>
      </c>
      <c r="C368" s="137" t="s">
        <v>1300</v>
      </c>
      <c r="D368" s="137">
        <v>68.703579720799993</v>
      </c>
      <c r="E368" s="137">
        <v>-149.717697128</v>
      </c>
      <c r="F368" s="137">
        <v>690</v>
      </c>
      <c r="G368" s="137" t="s">
        <v>607</v>
      </c>
      <c r="H368" s="137" t="s">
        <v>1301</v>
      </c>
      <c r="I368" s="137" t="s">
        <v>596</v>
      </c>
      <c r="J368" s="137" t="s">
        <v>889</v>
      </c>
      <c r="K368" s="137" t="s">
        <v>596</v>
      </c>
      <c r="L368" s="137" t="s">
        <v>890</v>
      </c>
      <c r="M368" s="143" t="str">
        <f t="shared" si="6"/>
        <v>View on Google Map</v>
      </c>
      <c r="N368" s="137">
        <f t="shared" si="7"/>
        <v>13</v>
      </c>
    </row>
    <row r="369" spans="1:14" x14ac:dyDescent="0.2">
      <c r="A369" s="137">
        <v>260</v>
      </c>
      <c r="B369" s="137" t="s">
        <v>1302</v>
      </c>
      <c r="C369" s="137" t="s">
        <v>1303</v>
      </c>
      <c r="D369" s="137">
        <v>68.702004088500004</v>
      </c>
      <c r="E369" s="137">
        <v>-149.71011160800001</v>
      </c>
      <c r="F369" s="137">
        <v>650</v>
      </c>
      <c r="G369" s="137" t="s">
        <v>607</v>
      </c>
      <c r="H369" s="137" t="s">
        <v>1304</v>
      </c>
      <c r="I369" s="137" t="s">
        <v>596</v>
      </c>
      <c r="J369" s="137" t="s">
        <v>889</v>
      </c>
      <c r="K369" s="137" t="s">
        <v>596</v>
      </c>
      <c r="L369" s="137" t="s">
        <v>890</v>
      </c>
      <c r="M369" s="143" t="str">
        <f t="shared" si="6"/>
        <v>View on Google Map</v>
      </c>
      <c r="N369" s="137">
        <f t="shared" si="7"/>
        <v>14</v>
      </c>
    </row>
    <row r="370" spans="1:14" x14ac:dyDescent="0.2">
      <c r="A370" s="137">
        <v>261</v>
      </c>
      <c r="B370" s="137" t="s">
        <v>1305</v>
      </c>
      <c r="C370" s="137" t="s">
        <v>1306</v>
      </c>
      <c r="D370" s="137">
        <v>68.707978848899998</v>
      </c>
      <c r="E370" s="137">
        <v>-149.715105897</v>
      </c>
      <c r="F370" s="137">
        <v>650</v>
      </c>
      <c r="G370" s="137" t="s">
        <v>607</v>
      </c>
      <c r="H370" s="137" t="s">
        <v>1307</v>
      </c>
      <c r="I370" s="137" t="s">
        <v>596</v>
      </c>
      <c r="J370" s="137" t="s">
        <v>889</v>
      </c>
      <c r="K370" s="137" t="s">
        <v>596</v>
      </c>
      <c r="L370" s="137" t="s">
        <v>890</v>
      </c>
      <c r="M370" s="143" t="str">
        <f t="shared" si="6"/>
        <v>View on Google Map</v>
      </c>
      <c r="N370" s="137">
        <f t="shared" si="7"/>
        <v>15</v>
      </c>
    </row>
    <row r="371" spans="1:14" x14ac:dyDescent="0.2">
      <c r="A371" s="137">
        <v>262</v>
      </c>
      <c r="B371" s="137" t="s">
        <v>1308</v>
      </c>
      <c r="C371" s="137" t="s">
        <v>1309</v>
      </c>
      <c r="D371" s="137">
        <v>68.707847844300005</v>
      </c>
      <c r="E371" s="137">
        <v>-149.69962200099999</v>
      </c>
      <c r="F371" s="137">
        <v>650</v>
      </c>
      <c r="G371" s="137" t="s">
        <v>607</v>
      </c>
      <c r="H371" s="137" t="s">
        <v>1310</v>
      </c>
      <c r="I371" s="137" t="s">
        <v>596</v>
      </c>
      <c r="J371" s="137" t="s">
        <v>889</v>
      </c>
      <c r="K371" s="137" t="s">
        <v>596</v>
      </c>
      <c r="L371" s="137" t="s">
        <v>890</v>
      </c>
      <c r="M371" s="143" t="str">
        <f t="shared" si="6"/>
        <v>View on Google Map</v>
      </c>
      <c r="N371" s="137">
        <f t="shared" si="7"/>
        <v>16</v>
      </c>
    </row>
    <row r="372" spans="1:14" x14ac:dyDescent="0.2">
      <c r="A372" s="137">
        <v>263</v>
      </c>
      <c r="B372" s="137" t="s">
        <v>1311</v>
      </c>
      <c r="C372" s="137" t="s">
        <v>1312</v>
      </c>
      <c r="D372" s="137">
        <v>68.7041606871</v>
      </c>
      <c r="E372" s="137">
        <v>-149.68743035400001</v>
      </c>
      <c r="F372" s="137">
        <v>650</v>
      </c>
      <c r="G372" s="137" t="s">
        <v>607</v>
      </c>
      <c r="H372" s="137" t="s">
        <v>1313</v>
      </c>
      <c r="I372" s="137" t="s">
        <v>596</v>
      </c>
      <c r="J372" s="137" t="s">
        <v>889</v>
      </c>
      <c r="K372" s="137" t="s">
        <v>596</v>
      </c>
      <c r="L372" s="137" t="s">
        <v>890</v>
      </c>
      <c r="M372" s="143" t="str">
        <f t="shared" si="6"/>
        <v>View on Google Map</v>
      </c>
      <c r="N372" s="137">
        <f t="shared" si="7"/>
        <v>17</v>
      </c>
    </row>
    <row r="373" spans="1:14" x14ac:dyDescent="0.2">
      <c r="A373" s="137">
        <v>264</v>
      </c>
      <c r="B373" s="137" t="s">
        <v>1314</v>
      </c>
      <c r="C373" s="137" t="s">
        <v>1315</v>
      </c>
      <c r="D373" s="137">
        <v>68.699385523999993</v>
      </c>
      <c r="E373" s="137">
        <v>-149.69396666399999</v>
      </c>
      <c r="F373" s="137">
        <v>650</v>
      </c>
      <c r="G373" s="137" t="s">
        <v>607</v>
      </c>
      <c r="H373" s="137" t="s">
        <v>1316</v>
      </c>
      <c r="I373" s="137" t="s">
        <v>596</v>
      </c>
      <c r="J373" s="137" t="s">
        <v>889</v>
      </c>
      <c r="K373" s="137" t="s">
        <v>596</v>
      </c>
      <c r="L373" s="137" t="s">
        <v>890</v>
      </c>
      <c r="M373" s="143" t="str">
        <f t="shared" si="6"/>
        <v>View on Google Map</v>
      </c>
      <c r="N373" s="137">
        <f t="shared" si="7"/>
        <v>18</v>
      </c>
    </row>
    <row r="374" spans="1:14" x14ac:dyDescent="0.2">
      <c r="A374" s="137">
        <v>265</v>
      </c>
      <c r="B374" s="137" t="s">
        <v>1317</v>
      </c>
      <c r="C374" s="137" t="s">
        <v>1318</v>
      </c>
      <c r="D374" s="137">
        <v>68.7022801743</v>
      </c>
      <c r="E374" s="137">
        <v>-149.70382138400001</v>
      </c>
      <c r="F374" s="137">
        <v>650</v>
      </c>
      <c r="G374" s="137" t="s">
        <v>607</v>
      </c>
      <c r="H374" s="137" t="s">
        <v>1319</v>
      </c>
      <c r="I374" s="137" t="s">
        <v>596</v>
      </c>
      <c r="J374" s="137" t="s">
        <v>889</v>
      </c>
      <c r="K374" s="137" t="s">
        <v>596</v>
      </c>
      <c r="L374" s="137" t="s">
        <v>890</v>
      </c>
      <c r="M374" s="143" t="str">
        <f t="shared" si="6"/>
        <v>View on Google Map</v>
      </c>
      <c r="N374" s="137">
        <f t="shared" si="7"/>
        <v>19</v>
      </c>
    </row>
    <row r="375" spans="1:14" x14ac:dyDescent="0.2">
      <c r="A375" s="137">
        <v>266</v>
      </c>
      <c r="B375" s="137" t="s">
        <v>1320</v>
      </c>
      <c r="C375" s="137" t="s">
        <v>1321</v>
      </c>
      <c r="D375" s="137">
        <v>68.691324054399999</v>
      </c>
      <c r="E375" s="137">
        <v>-149.78520674699999</v>
      </c>
      <c r="F375" s="137">
        <v>650</v>
      </c>
      <c r="G375" s="137" t="s">
        <v>607</v>
      </c>
      <c r="H375" s="137" t="s">
        <v>1322</v>
      </c>
      <c r="I375" s="137" t="s">
        <v>596</v>
      </c>
      <c r="J375" s="137" t="s">
        <v>889</v>
      </c>
      <c r="K375" s="137" t="s">
        <v>596</v>
      </c>
      <c r="L375" s="137" t="s">
        <v>890</v>
      </c>
      <c r="M375" s="143" t="str">
        <f t="shared" si="6"/>
        <v>View on Google Map</v>
      </c>
      <c r="N375" s="137">
        <f t="shared" si="7"/>
        <v>20</v>
      </c>
    </row>
    <row r="376" spans="1:14" x14ac:dyDescent="0.2">
      <c r="A376" s="137">
        <v>267</v>
      </c>
      <c r="B376" s="137" t="s">
        <v>1323</v>
      </c>
      <c r="C376" s="137" t="s">
        <v>1324</v>
      </c>
      <c r="D376" s="137">
        <v>68.682528721799997</v>
      </c>
      <c r="E376" s="137">
        <v>-149.77156908800001</v>
      </c>
      <c r="F376" s="137">
        <v>630</v>
      </c>
      <c r="G376" s="137" t="s">
        <v>607</v>
      </c>
      <c r="H376" s="137" t="s">
        <v>1325</v>
      </c>
      <c r="I376" s="137" t="s">
        <v>596</v>
      </c>
      <c r="J376" s="137" t="s">
        <v>889</v>
      </c>
      <c r="K376" s="137" t="s">
        <v>596</v>
      </c>
      <c r="L376" s="137" t="s">
        <v>890</v>
      </c>
      <c r="M376" s="143" t="str">
        <f t="shared" si="6"/>
        <v>View on Google Map</v>
      </c>
      <c r="N376" s="137">
        <f t="shared" si="7"/>
        <v>21</v>
      </c>
    </row>
    <row r="377" spans="1:14" x14ac:dyDescent="0.2">
      <c r="A377" s="137">
        <v>268</v>
      </c>
      <c r="B377" s="137" t="s">
        <v>1326</v>
      </c>
      <c r="C377" s="137" t="s">
        <v>1327</v>
      </c>
      <c r="D377" s="137">
        <v>68.6833666064</v>
      </c>
      <c r="E377" s="137">
        <v>-149.78602037900001</v>
      </c>
      <c r="F377" s="137">
        <v>620</v>
      </c>
      <c r="G377" s="137" t="s">
        <v>607</v>
      </c>
      <c r="H377" s="137" t="s">
        <v>1328</v>
      </c>
      <c r="I377" s="137" t="s">
        <v>596</v>
      </c>
      <c r="J377" s="137" t="s">
        <v>889</v>
      </c>
      <c r="K377" s="137" t="s">
        <v>596</v>
      </c>
      <c r="L377" s="137" t="s">
        <v>890</v>
      </c>
      <c r="M377" s="143" t="str">
        <f t="shared" si="6"/>
        <v>View on Google Map</v>
      </c>
      <c r="N377" s="137">
        <f t="shared" si="7"/>
        <v>22</v>
      </c>
    </row>
    <row r="378" spans="1:14" x14ac:dyDescent="0.2">
      <c r="A378" s="137">
        <v>269</v>
      </c>
      <c r="B378" s="137" t="s">
        <v>1329</v>
      </c>
      <c r="C378" s="137" t="s">
        <v>1330</v>
      </c>
      <c r="D378" s="137">
        <v>68.685049484000004</v>
      </c>
      <c r="E378" s="137">
        <v>-149.801322572</v>
      </c>
      <c r="F378" s="137">
        <v>590</v>
      </c>
      <c r="G378" s="137" t="s">
        <v>607</v>
      </c>
      <c r="H378" s="137" t="s">
        <v>1331</v>
      </c>
      <c r="I378" s="137" t="s">
        <v>596</v>
      </c>
      <c r="J378" s="137" t="s">
        <v>889</v>
      </c>
      <c r="K378" s="137" t="s">
        <v>596</v>
      </c>
      <c r="L378" s="137" t="s">
        <v>890</v>
      </c>
      <c r="M378" s="143" t="str">
        <f t="shared" si="6"/>
        <v>View on Google Map</v>
      </c>
      <c r="N378" s="137">
        <f t="shared" si="7"/>
        <v>23</v>
      </c>
    </row>
    <row r="379" spans="1:14" x14ac:dyDescent="0.2">
      <c r="A379" s="137">
        <v>270</v>
      </c>
      <c r="B379" s="137" t="s">
        <v>1332</v>
      </c>
      <c r="C379" s="137" t="s">
        <v>1333</v>
      </c>
      <c r="D379" s="137">
        <v>68.6853960145</v>
      </c>
      <c r="E379" s="137">
        <v>-149.80798693200001</v>
      </c>
      <c r="F379" s="137">
        <v>590</v>
      </c>
      <c r="G379" s="137" t="s">
        <v>607</v>
      </c>
      <c r="H379" s="137" t="s">
        <v>1334</v>
      </c>
      <c r="I379" s="137" t="s">
        <v>596</v>
      </c>
      <c r="J379" s="137" t="s">
        <v>889</v>
      </c>
      <c r="K379" s="137" t="s">
        <v>596</v>
      </c>
      <c r="L379" s="137" t="s">
        <v>890</v>
      </c>
      <c r="M379" s="143" t="str">
        <f t="shared" si="6"/>
        <v>View on Google Map</v>
      </c>
      <c r="N379" s="137">
        <f t="shared" si="7"/>
        <v>24</v>
      </c>
    </row>
    <row r="380" spans="1:14" x14ac:dyDescent="0.2">
      <c r="A380" s="137">
        <v>271</v>
      </c>
      <c r="B380" s="137" t="s">
        <v>1335</v>
      </c>
      <c r="C380" s="137" t="s">
        <v>1336</v>
      </c>
      <c r="D380" s="137">
        <v>68.682885549900007</v>
      </c>
      <c r="E380" s="137">
        <v>-149.809163652</v>
      </c>
      <c r="F380" s="137">
        <v>590</v>
      </c>
      <c r="G380" s="137" t="s">
        <v>607</v>
      </c>
      <c r="H380" s="137" t="s">
        <v>1337</v>
      </c>
      <c r="I380" s="137" t="s">
        <v>596</v>
      </c>
      <c r="J380" s="137" t="s">
        <v>889</v>
      </c>
      <c r="K380" s="137" t="s">
        <v>596</v>
      </c>
      <c r="L380" s="137" t="s">
        <v>890</v>
      </c>
      <c r="M380" s="143" t="str">
        <f t="shared" si="6"/>
        <v>View on Google Map</v>
      </c>
      <c r="N380" s="137">
        <f t="shared" si="7"/>
        <v>25</v>
      </c>
    </row>
    <row r="381" spans="1:14" x14ac:dyDescent="0.2">
      <c r="A381" s="137">
        <v>272</v>
      </c>
      <c r="B381" s="137" t="s">
        <v>1338</v>
      </c>
      <c r="C381" s="137" t="s">
        <v>1339</v>
      </c>
      <c r="D381" s="137">
        <v>68.682270906200003</v>
      </c>
      <c r="E381" s="137">
        <v>-149.81202356599999</v>
      </c>
      <c r="F381" s="137" t="s">
        <v>596</v>
      </c>
      <c r="G381" s="137" t="s">
        <v>607</v>
      </c>
      <c r="H381" s="137" t="s">
        <v>1340</v>
      </c>
      <c r="I381" s="137" t="s">
        <v>596</v>
      </c>
      <c r="J381" s="137" t="s">
        <v>889</v>
      </c>
      <c r="K381" s="137" t="s">
        <v>596</v>
      </c>
      <c r="L381" s="137" t="s">
        <v>890</v>
      </c>
      <c r="M381" s="143" t="str">
        <f t="shared" si="6"/>
        <v>View on Google Map</v>
      </c>
      <c r="N381" s="137">
        <f t="shared" si="7"/>
        <v>26</v>
      </c>
    </row>
    <row r="382" spans="1:14" x14ac:dyDescent="0.2">
      <c r="A382" s="137">
        <v>315</v>
      </c>
      <c r="B382" s="137" t="s">
        <v>1341</v>
      </c>
      <c r="C382" s="137" t="s">
        <v>1342</v>
      </c>
      <c r="D382" s="137">
        <v>68.568206306199997</v>
      </c>
      <c r="E382" s="137">
        <v>-149.167395043</v>
      </c>
      <c r="F382" s="137" t="s">
        <v>596</v>
      </c>
      <c r="G382" s="137" t="s">
        <v>607</v>
      </c>
      <c r="H382" s="137" t="s">
        <v>1343</v>
      </c>
      <c r="I382" s="137" t="s">
        <v>596</v>
      </c>
      <c r="J382" s="137" t="s">
        <v>889</v>
      </c>
      <c r="K382" s="137" t="s">
        <v>596</v>
      </c>
      <c r="L382" s="137" t="s">
        <v>890</v>
      </c>
      <c r="M382" s="143" t="str">
        <f t="shared" si="6"/>
        <v>View on Google Map</v>
      </c>
      <c r="N382" s="137">
        <f t="shared" si="7"/>
        <v>27</v>
      </c>
    </row>
    <row r="383" spans="1:14" x14ac:dyDescent="0.2">
      <c r="A383" s="137">
        <v>316</v>
      </c>
      <c r="B383" s="137" t="s">
        <v>1344</v>
      </c>
      <c r="C383" s="137" t="s">
        <v>1345</v>
      </c>
      <c r="D383" s="137">
        <v>68.563566134699997</v>
      </c>
      <c r="E383" s="137">
        <v>-149.17548626199999</v>
      </c>
      <c r="F383" s="137" t="s">
        <v>596</v>
      </c>
      <c r="G383" s="137" t="s">
        <v>607</v>
      </c>
      <c r="H383" s="137" t="s">
        <v>1346</v>
      </c>
      <c r="I383" s="137" t="s">
        <v>596</v>
      </c>
      <c r="J383" s="137" t="s">
        <v>889</v>
      </c>
      <c r="K383" s="137" t="s">
        <v>596</v>
      </c>
      <c r="L383" s="137" t="s">
        <v>890</v>
      </c>
      <c r="M383" s="143" t="str">
        <f t="shared" si="6"/>
        <v>View on Google Map</v>
      </c>
      <c r="N383" s="137">
        <f t="shared" si="7"/>
        <v>28</v>
      </c>
    </row>
    <row r="384" spans="1:14" x14ac:dyDescent="0.2">
      <c r="A384" s="137">
        <v>317</v>
      </c>
      <c r="B384" s="137" t="s">
        <v>1347</v>
      </c>
      <c r="C384" s="137" t="s">
        <v>1348</v>
      </c>
      <c r="D384" s="137">
        <v>68.567753827800004</v>
      </c>
      <c r="E384" s="137">
        <v>-149.18255546</v>
      </c>
      <c r="F384" s="137" t="s">
        <v>596</v>
      </c>
      <c r="G384" s="137" t="s">
        <v>607</v>
      </c>
      <c r="H384" s="137" t="s">
        <v>1349</v>
      </c>
      <c r="I384" s="137" t="s">
        <v>596</v>
      </c>
      <c r="J384" s="137" t="s">
        <v>889</v>
      </c>
      <c r="K384" s="137" t="s">
        <v>596</v>
      </c>
      <c r="L384" s="137" t="s">
        <v>890</v>
      </c>
      <c r="M384" s="143" t="str">
        <f t="shared" si="6"/>
        <v>View on Google Map</v>
      </c>
      <c r="N384" s="137">
        <f t="shared" si="7"/>
        <v>29</v>
      </c>
    </row>
    <row r="385" spans="1:14" x14ac:dyDescent="0.2">
      <c r="A385" s="137">
        <v>318</v>
      </c>
      <c r="B385" s="137" t="s">
        <v>1350</v>
      </c>
      <c r="C385" s="137" t="s">
        <v>1351</v>
      </c>
      <c r="D385" s="137">
        <v>68.575143231300004</v>
      </c>
      <c r="E385" s="137">
        <v>-149.187493434</v>
      </c>
      <c r="F385" s="137">
        <v>899</v>
      </c>
      <c r="G385" s="137" t="s">
        <v>607</v>
      </c>
      <c r="H385" s="137" t="s">
        <v>1352</v>
      </c>
      <c r="I385" s="137" t="s">
        <v>596</v>
      </c>
      <c r="J385" s="137" t="s">
        <v>889</v>
      </c>
      <c r="K385" s="137" t="s">
        <v>596</v>
      </c>
      <c r="L385" s="137" t="s">
        <v>890</v>
      </c>
      <c r="M385" s="143" t="str">
        <f t="shared" si="6"/>
        <v>View on Google Map</v>
      </c>
      <c r="N385" s="137">
        <f t="shared" si="7"/>
        <v>30</v>
      </c>
    </row>
    <row r="386" spans="1:14" x14ac:dyDescent="0.2">
      <c r="A386" s="137">
        <v>319</v>
      </c>
      <c r="B386" s="137" t="s">
        <v>1353</v>
      </c>
      <c r="C386" s="137" t="s">
        <v>1354</v>
      </c>
      <c r="D386" s="137">
        <v>68.575979722100001</v>
      </c>
      <c r="E386" s="137">
        <v>-149.19939190100001</v>
      </c>
      <c r="F386" s="137" t="s">
        <v>596</v>
      </c>
      <c r="G386" s="137" t="s">
        <v>607</v>
      </c>
      <c r="H386" s="137" t="s">
        <v>1355</v>
      </c>
      <c r="I386" s="137" t="s">
        <v>596</v>
      </c>
      <c r="J386" s="137" t="s">
        <v>889</v>
      </c>
      <c r="K386" s="137" t="s">
        <v>596</v>
      </c>
      <c r="L386" s="137" t="s">
        <v>890</v>
      </c>
      <c r="M386" s="143" t="str">
        <f t="shared" si="6"/>
        <v>View on Google Map</v>
      </c>
      <c r="N386" s="137">
        <f t="shared" si="7"/>
        <v>31</v>
      </c>
    </row>
    <row r="387" spans="1:14" x14ac:dyDescent="0.2">
      <c r="A387" s="137">
        <v>320</v>
      </c>
      <c r="B387" s="137" t="s">
        <v>1356</v>
      </c>
      <c r="C387" s="137" t="s">
        <v>1357</v>
      </c>
      <c r="D387" s="137">
        <v>68.576887217199996</v>
      </c>
      <c r="E387" s="137">
        <v>-149.17782305899999</v>
      </c>
      <c r="F387" s="137">
        <v>891</v>
      </c>
      <c r="G387" s="137" t="s">
        <v>607</v>
      </c>
      <c r="H387" s="137" t="s">
        <v>1358</v>
      </c>
      <c r="I387" s="137" t="s">
        <v>596</v>
      </c>
      <c r="J387" s="137" t="s">
        <v>889</v>
      </c>
      <c r="K387" s="137" t="s">
        <v>596</v>
      </c>
      <c r="L387" s="137" t="s">
        <v>890</v>
      </c>
      <c r="M387" s="143" t="str">
        <f t="shared" ref="M387:M450" si="8">HYPERLINK("http://maps.google.com/maps?q="&amp;D387&amp;","&amp;E387,"View on Google Map")</f>
        <v>View on Google Map</v>
      </c>
      <c r="N387" s="137">
        <f t="shared" si="7"/>
        <v>32</v>
      </c>
    </row>
    <row r="388" spans="1:14" x14ac:dyDescent="0.2">
      <c r="A388" s="137">
        <v>321</v>
      </c>
      <c r="B388" s="137" t="s">
        <v>1359</v>
      </c>
      <c r="C388" s="137" t="s">
        <v>1360</v>
      </c>
      <c r="D388" s="137">
        <v>68.581215404199995</v>
      </c>
      <c r="E388" s="137">
        <v>-149.17874205800001</v>
      </c>
      <c r="F388" s="137">
        <v>891</v>
      </c>
      <c r="G388" s="137" t="s">
        <v>607</v>
      </c>
      <c r="H388" s="137" t="s">
        <v>1361</v>
      </c>
      <c r="I388" s="137" t="s">
        <v>596</v>
      </c>
      <c r="J388" s="137" t="s">
        <v>889</v>
      </c>
      <c r="K388" s="137" t="s">
        <v>596</v>
      </c>
      <c r="L388" s="137" t="s">
        <v>890</v>
      </c>
      <c r="M388" s="143" t="str">
        <f t="shared" si="8"/>
        <v>View on Google Map</v>
      </c>
      <c r="N388" s="137">
        <f t="shared" si="7"/>
        <v>33</v>
      </c>
    </row>
    <row r="389" spans="1:14" x14ac:dyDescent="0.2">
      <c r="A389" s="137">
        <v>322</v>
      </c>
      <c r="B389" s="137" t="s">
        <v>1362</v>
      </c>
      <c r="C389" s="137" t="s">
        <v>1363</v>
      </c>
      <c r="D389" s="137">
        <v>68.587382761699999</v>
      </c>
      <c r="E389" s="137">
        <v>-149.144248847</v>
      </c>
      <c r="F389" s="137" t="s">
        <v>596</v>
      </c>
      <c r="G389" s="137" t="s">
        <v>607</v>
      </c>
      <c r="H389" s="137" t="s">
        <v>1364</v>
      </c>
      <c r="I389" s="137" t="s">
        <v>596</v>
      </c>
      <c r="J389" s="137" t="s">
        <v>889</v>
      </c>
      <c r="K389" s="137" t="s">
        <v>596</v>
      </c>
      <c r="L389" s="137" t="s">
        <v>890</v>
      </c>
      <c r="M389" s="143" t="str">
        <f t="shared" si="8"/>
        <v>View on Google Map</v>
      </c>
      <c r="N389" s="137">
        <f t="shared" si="7"/>
        <v>34</v>
      </c>
    </row>
    <row r="390" spans="1:14" x14ac:dyDescent="0.2">
      <c r="A390" s="137">
        <v>323</v>
      </c>
      <c r="B390" s="137" t="s">
        <v>1365</v>
      </c>
      <c r="C390" s="137" t="s">
        <v>1366</v>
      </c>
      <c r="D390" s="137">
        <v>68.548407480700007</v>
      </c>
      <c r="E390" s="137">
        <v>-150.03700547700001</v>
      </c>
      <c r="F390" s="137" t="s">
        <v>596</v>
      </c>
      <c r="G390" s="137" t="s">
        <v>607</v>
      </c>
      <c r="H390" s="137" t="s">
        <v>1367</v>
      </c>
      <c r="I390" s="137" t="s">
        <v>596</v>
      </c>
      <c r="J390" s="137" t="s">
        <v>889</v>
      </c>
      <c r="K390" s="137" t="s">
        <v>596</v>
      </c>
      <c r="L390" s="137" t="s">
        <v>890</v>
      </c>
      <c r="M390" s="143" t="str">
        <f t="shared" si="8"/>
        <v>View on Google Map</v>
      </c>
      <c r="N390" s="137">
        <f t="shared" si="7"/>
        <v>35</v>
      </c>
    </row>
    <row r="391" spans="1:14" x14ac:dyDescent="0.2">
      <c r="A391" s="137">
        <v>324</v>
      </c>
      <c r="B391" s="137" t="s">
        <v>1368</v>
      </c>
      <c r="C391" s="137" t="s">
        <v>1369</v>
      </c>
      <c r="D391" s="137">
        <v>68.550052273099993</v>
      </c>
      <c r="E391" s="137">
        <v>-150.02948327199999</v>
      </c>
      <c r="F391" s="137" t="s">
        <v>596</v>
      </c>
      <c r="G391" s="137" t="s">
        <v>607</v>
      </c>
      <c r="H391" s="137" t="s">
        <v>1370</v>
      </c>
      <c r="I391" s="137" t="s">
        <v>596</v>
      </c>
      <c r="J391" s="137" t="s">
        <v>889</v>
      </c>
      <c r="K391" s="137" t="s">
        <v>596</v>
      </c>
      <c r="L391" s="137" t="s">
        <v>890</v>
      </c>
      <c r="M391" s="143" t="str">
        <f t="shared" si="8"/>
        <v>View on Google Map</v>
      </c>
      <c r="N391" s="137">
        <f t="shared" si="7"/>
        <v>36</v>
      </c>
    </row>
    <row r="392" spans="1:14" x14ac:dyDescent="0.2">
      <c r="A392" s="137">
        <v>325</v>
      </c>
      <c r="B392" s="137" t="s">
        <v>1371</v>
      </c>
      <c r="C392" s="137" t="s">
        <v>1372</v>
      </c>
      <c r="D392" s="137">
        <v>68.5460242857</v>
      </c>
      <c r="E392" s="137">
        <v>-150.02463014</v>
      </c>
      <c r="F392" s="137" t="s">
        <v>596</v>
      </c>
      <c r="G392" s="137" t="s">
        <v>607</v>
      </c>
      <c r="H392" s="137" t="s">
        <v>1373</v>
      </c>
      <c r="I392" s="137" t="s">
        <v>596</v>
      </c>
      <c r="J392" s="137" t="s">
        <v>889</v>
      </c>
      <c r="K392" s="137" t="s">
        <v>596</v>
      </c>
      <c r="L392" s="137" t="s">
        <v>890</v>
      </c>
      <c r="M392" s="143" t="str">
        <f t="shared" si="8"/>
        <v>View on Google Map</v>
      </c>
      <c r="N392" s="137">
        <f t="shared" si="7"/>
        <v>37</v>
      </c>
    </row>
    <row r="393" spans="1:14" x14ac:dyDescent="0.2">
      <c r="A393" s="137">
        <v>326</v>
      </c>
      <c r="B393" s="137" t="s">
        <v>1374</v>
      </c>
      <c r="C393" s="137" t="s">
        <v>1375</v>
      </c>
      <c r="D393" s="137">
        <v>68.550135830100004</v>
      </c>
      <c r="E393" s="137">
        <v>-150.01499602000001</v>
      </c>
      <c r="F393" s="137" t="s">
        <v>596</v>
      </c>
      <c r="G393" s="137" t="s">
        <v>607</v>
      </c>
      <c r="H393" s="137" t="s">
        <v>1376</v>
      </c>
      <c r="I393" s="137" t="s">
        <v>596</v>
      </c>
      <c r="J393" s="137" t="s">
        <v>889</v>
      </c>
      <c r="K393" s="137" t="s">
        <v>596</v>
      </c>
      <c r="L393" s="137" t="s">
        <v>890</v>
      </c>
      <c r="M393" s="143" t="str">
        <f t="shared" si="8"/>
        <v>View on Google Map</v>
      </c>
      <c r="N393" s="137">
        <f t="shared" si="7"/>
        <v>38</v>
      </c>
    </row>
    <row r="394" spans="1:14" x14ac:dyDescent="0.2">
      <c r="A394" s="137">
        <v>327</v>
      </c>
      <c r="B394" s="137" t="s">
        <v>1377</v>
      </c>
      <c r="C394" s="137" t="s">
        <v>1378</v>
      </c>
      <c r="D394" s="137">
        <v>68.556356553000001</v>
      </c>
      <c r="E394" s="137">
        <v>-150.01283142599999</v>
      </c>
      <c r="F394" s="137" t="s">
        <v>596</v>
      </c>
      <c r="G394" s="137" t="s">
        <v>607</v>
      </c>
      <c r="H394" s="137" t="s">
        <v>1379</v>
      </c>
      <c r="I394" s="137" t="s">
        <v>596</v>
      </c>
      <c r="J394" s="137" t="s">
        <v>889</v>
      </c>
      <c r="K394" s="137" t="s">
        <v>596</v>
      </c>
      <c r="L394" s="137" t="s">
        <v>890</v>
      </c>
      <c r="M394" s="143" t="str">
        <f t="shared" si="8"/>
        <v>View on Google Map</v>
      </c>
      <c r="N394" s="137">
        <f t="shared" si="7"/>
        <v>39</v>
      </c>
    </row>
    <row r="395" spans="1:14" x14ac:dyDescent="0.2">
      <c r="A395" s="137">
        <v>328</v>
      </c>
      <c r="B395" s="137" t="s">
        <v>1380</v>
      </c>
      <c r="C395" s="137" t="s">
        <v>1381</v>
      </c>
      <c r="D395" s="137">
        <v>68.565564884200001</v>
      </c>
      <c r="E395" s="137">
        <v>-150.00164362699999</v>
      </c>
      <c r="F395" s="137" t="s">
        <v>596</v>
      </c>
      <c r="G395" s="137" t="s">
        <v>607</v>
      </c>
      <c r="H395" s="137" t="s">
        <v>1382</v>
      </c>
      <c r="I395" s="137" t="s">
        <v>596</v>
      </c>
      <c r="J395" s="137" t="s">
        <v>889</v>
      </c>
      <c r="K395" s="137" t="s">
        <v>596</v>
      </c>
      <c r="L395" s="137" t="s">
        <v>890</v>
      </c>
      <c r="M395" s="143" t="str">
        <f t="shared" si="8"/>
        <v>View on Google Map</v>
      </c>
      <c r="N395" s="137">
        <f t="shared" si="7"/>
        <v>40</v>
      </c>
    </row>
    <row r="396" spans="1:14" x14ac:dyDescent="0.2">
      <c r="A396" s="137">
        <v>329</v>
      </c>
      <c r="B396" s="137" t="s">
        <v>1383</v>
      </c>
      <c r="C396" s="137" t="s">
        <v>1384</v>
      </c>
      <c r="D396" s="137">
        <v>68.567838099200003</v>
      </c>
      <c r="E396" s="137">
        <v>-149.99849875500001</v>
      </c>
      <c r="F396" s="137" t="s">
        <v>596</v>
      </c>
      <c r="G396" s="137" t="s">
        <v>607</v>
      </c>
      <c r="H396" s="137" t="s">
        <v>1385</v>
      </c>
      <c r="I396" s="137" t="s">
        <v>596</v>
      </c>
      <c r="J396" s="137" t="s">
        <v>889</v>
      </c>
      <c r="K396" s="137" t="s">
        <v>596</v>
      </c>
      <c r="L396" s="137" t="s">
        <v>890</v>
      </c>
      <c r="M396" s="143" t="str">
        <f t="shared" si="8"/>
        <v>View on Google Map</v>
      </c>
      <c r="N396" s="137">
        <f t="shared" si="7"/>
        <v>41</v>
      </c>
    </row>
    <row r="397" spans="1:14" x14ac:dyDescent="0.2">
      <c r="A397" s="137">
        <v>330</v>
      </c>
      <c r="B397" s="137" t="s">
        <v>1386</v>
      </c>
      <c r="C397" s="137" t="s">
        <v>1387</v>
      </c>
      <c r="D397" s="137">
        <v>68.5855663241</v>
      </c>
      <c r="E397" s="137">
        <v>-149.98167511</v>
      </c>
      <c r="F397" s="137" t="s">
        <v>596</v>
      </c>
      <c r="G397" s="137" t="s">
        <v>607</v>
      </c>
      <c r="H397" s="137" t="s">
        <v>1388</v>
      </c>
      <c r="I397" s="137" t="s">
        <v>596</v>
      </c>
      <c r="J397" s="137" t="s">
        <v>889</v>
      </c>
      <c r="K397" s="137" t="s">
        <v>596</v>
      </c>
      <c r="L397" s="137" t="s">
        <v>890</v>
      </c>
      <c r="M397" s="143" t="str">
        <f t="shared" si="8"/>
        <v>View on Google Map</v>
      </c>
      <c r="N397" s="137">
        <f t="shared" si="7"/>
        <v>42</v>
      </c>
    </row>
    <row r="398" spans="1:14" x14ac:dyDescent="0.2">
      <c r="A398" s="137">
        <v>331</v>
      </c>
      <c r="B398" s="137" t="s">
        <v>1389</v>
      </c>
      <c r="C398" s="137" t="s">
        <v>1390</v>
      </c>
      <c r="D398" s="137">
        <v>68.534049837699996</v>
      </c>
      <c r="E398" s="137">
        <v>-149.157309078</v>
      </c>
      <c r="F398" s="137">
        <v>926</v>
      </c>
      <c r="G398" s="137" t="s">
        <v>607</v>
      </c>
      <c r="H398" s="137" t="s">
        <v>1391</v>
      </c>
      <c r="I398" s="137" t="s">
        <v>596</v>
      </c>
      <c r="J398" s="137" t="s">
        <v>889</v>
      </c>
      <c r="K398" s="137" t="s">
        <v>596</v>
      </c>
      <c r="L398" s="137" t="s">
        <v>890</v>
      </c>
      <c r="M398" s="143" t="str">
        <f t="shared" si="8"/>
        <v>View on Google Map</v>
      </c>
      <c r="N398" s="137">
        <f t="shared" si="7"/>
        <v>43</v>
      </c>
    </row>
    <row r="399" spans="1:14" x14ac:dyDescent="0.2">
      <c r="A399" s="137">
        <v>332</v>
      </c>
      <c r="B399" s="137" t="s">
        <v>1392</v>
      </c>
      <c r="C399" s="137" t="s">
        <v>1393</v>
      </c>
      <c r="D399" s="137">
        <v>68.533584622000006</v>
      </c>
      <c r="E399" s="137">
        <v>-149.16705049699999</v>
      </c>
      <c r="F399" s="137" t="s">
        <v>596</v>
      </c>
      <c r="G399" s="137" t="s">
        <v>607</v>
      </c>
      <c r="H399" s="137" t="s">
        <v>1394</v>
      </c>
      <c r="I399" s="137" t="s">
        <v>596</v>
      </c>
      <c r="J399" s="137" t="s">
        <v>889</v>
      </c>
      <c r="K399" s="137" t="s">
        <v>596</v>
      </c>
      <c r="L399" s="137" t="s">
        <v>890</v>
      </c>
      <c r="M399" s="143" t="str">
        <f t="shared" si="8"/>
        <v>View on Google Map</v>
      </c>
      <c r="N399" s="137">
        <f t="shared" si="7"/>
        <v>44</v>
      </c>
    </row>
    <row r="400" spans="1:14" x14ac:dyDescent="0.2">
      <c r="A400" s="137">
        <v>333</v>
      </c>
      <c r="B400" s="137" t="s">
        <v>1395</v>
      </c>
      <c r="C400" s="137" t="s">
        <v>1396</v>
      </c>
      <c r="D400" s="137">
        <v>68.533269411600003</v>
      </c>
      <c r="E400" s="137">
        <v>-149.19565723900001</v>
      </c>
      <c r="F400" s="137">
        <v>899</v>
      </c>
      <c r="G400" s="137" t="s">
        <v>607</v>
      </c>
      <c r="H400" s="137" t="s">
        <v>1397</v>
      </c>
      <c r="I400" s="137" t="s">
        <v>596</v>
      </c>
      <c r="J400" s="137" t="s">
        <v>889</v>
      </c>
      <c r="K400" s="137" t="s">
        <v>596</v>
      </c>
      <c r="L400" s="137" t="s">
        <v>890</v>
      </c>
      <c r="M400" s="143" t="str">
        <f t="shared" si="8"/>
        <v>View on Google Map</v>
      </c>
      <c r="N400" s="137">
        <f t="shared" si="7"/>
        <v>45</v>
      </c>
    </row>
    <row r="401" spans="1:14" x14ac:dyDescent="0.2">
      <c r="A401" s="137">
        <v>335</v>
      </c>
      <c r="B401" s="137" t="s">
        <v>1398</v>
      </c>
      <c r="C401" s="137" t="s">
        <v>1399</v>
      </c>
      <c r="D401" s="137">
        <v>68.516771954500001</v>
      </c>
      <c r="E401" s="137">
        <v>-150.05742084799999</v>
      </c>
      <c r="F401" s="137" t="s">
        <v>596</v>
      </c>
      <c r="G401" s="137" t="s">
        <v>607</v>
      </c>
      <c r="H401" s="137" t="s">
        <v>1400</v>
      </c>
      <c r="I401" s="137" t="s">
        <v>596</v>
      </c>
      <c r="J401" s="137" t="s">
        <v>889</v>
      </c>
      <c r="K401" s="137" t="s">
        <v>596</v>
      </c>
      <c r="L401" s="137" t="s">
        <v>890</v>
      </c>
      <c r="M401" s="143" t="str">
        <f t="shared" si="8"/>
        <v>View on Google Map</v>
      </c>
      <c r="N401" s="137">
        <f t="shared" si="7"/>
        <v>47</v>
      </c>
    </row>
    <row r="402" spans="1:14" x14ac:dyDescent="0.2">
      <c r="A402" s="137">
        <v>336</v>
      </c>
      <c r="B402" s="137" t="s">
        <v>1401</v>
      </c>
      <c r="C402" s="137" t="s">
        <v>1402</v>
      </c>
      <c r="D402" s="137">
        <v>68.531484729400006</v>
      </c>
      <c r="E402" s="137">
        <v>-150.04821666999999</v>
      </c>
      <c r="F402" s="137" t="s">
        <v>596</v>
      </c>
      <c r="G402" s="137" t="s">
        <v>607</v>
      </c>
      <c r="H402" s="137" t="s">
        <v>1403</v>
      </c>
      <c r="I402" s="137" t="s">
        <v>596</v>
      </c>
      <c r="J402" s="137" t="s">
        <v>889</v>
      </c>
      <c r="K402" s="137" t="s">
        <v>596</v>
      </c>
      <c r="L402" s="137" t="s">
        <v>890</v>
      </c>
      <c r="M402" s="143" t="str">
        <f t="shared" si="8"/>
        <v>View on Google Map</v>
      </c>
      <c r="N402" s="137">
        <f t="shared" si="7"/>
        <v>48</v>
      </c>
    </row>
    <row r="403" spans="1:14" x14ac:dyDescent="0.2">
      <c r="A403" s="137">
        <v>337</v>
      </c>
      <c r="B403" s="137" t="s">
        <v>1404</v>
      </c>
      <c r="C403" s="137" t="s">
        <v>1405</v>
      </c>
      <c r="D403" s="137">
        <v>68.525496449800002</v>
      </c>
      <c r="E403" s="137">
        <v>-150.03164010200001</v>
      </c>
      <c r="F403" s="137" t="s">
        <v>596</v>
      </c>
      <c r="G403" s="137" t="s">
        <v>607</v>
      </c>
      <c r="H403" s="137" t="s">
        <v>1406</v>
      </c>
      <c r="I403" s="137" t="s">
        <v>596</v>
      </c>
      <c r="J403" s="137" t="s">
        <v>889</v>
      </c>
      <c r="K403" s="137" t="s">
        <v>596</v>
      </c>
      <c r="L403" s="137" t="s">
        <v>890</v>
      </c>
      <c r="M403" s="143" t="str">
        <f t="shared" si="8"/>
        <v>View on Google Map</v>
      </c>
      <c r="N403" s="137">
        <f t="shared" si="7"/>
        <v>49</v>
      </c>
    </row>
    <row r="404" spans="1:14" x14ac:dyDescent="0.2">
      <c r="A404" s="137">
        <v>338</v>
      </c>
      <c r="B404" s="137" t="s">
        <v>1407</v>
      </c>
      <c r="C404" s="137" t="s">
        <v>1408</v>
      </c>
      <c r="D404" s="137">
        <v>68.522395926599998</v>
      </c>
      <c r="E404" s="137">
        <v>-150.02260567299999</v>
      </c>
      <c r="F404" s="137" t="s">
        <v>596</v>
      </c>
      <c r="G404" s="137" t="s">
        <v>607</v>
      </c>
      <c r="H404" s="137" t="s">
        <v>1409</v>
      </c>
      <c r="I404" s="137" t="s">
        <v>596</v>
      </c>
      <c r="J404" s="137" t="s">
        <v>889</v>
      </c>
      <c r="K404" s="137" t="s">
        <v>596</v>
      </c>
      <c r="L404" s="137" t="s">
        <v>890</v>
      </c>
      <c r="M404" s="143" t="str">
        <f t="shared" si="8"/>
        <v>View on Google Map</v>
      </c>
      <c r="N404" s="137">
        <f t="shared" si="7"/>
        <v>50</v>
      </c>
    </row>
    <row r="405" spans="1:14" x14ac:dyDescent="0.2">
      <c r="A405" s="137">
        <v>339</v>
      </c>
      <c r="B405" s="137" t="s">
        <v>1410</v>
      </c>
      <c r="C405" s="137" t="s">
        <v>1411</v>
      </c>
      <c r="D405" s="137">
        <v>68.574095052399997</v>
      </c>
      <c r="E405" s="137">
        <v>-149.97662969199999</v>
      </c>
      <c r="F405" s="137" t="s">
        <v>596</v>
      </c>
      <c r="G405" s="137" t="s">
        <v>607</v>
      </c>
      <c r="H405" s="137" t="s">
        <v>1412</v>
      </c>
      <c r="I405" s="137" t="s">
        <v>596</v>
      </c>
      <c r="J405" s="137" t="s">
        <v>889</v>
      </c>
      <c r="K405" s="137" t="s">
        <v>596</v>
      </c>
      <c r="L405" s="137" t="s">
        <v>890</v>
      </c>
      <c r="M405" s="143" t="str">
        <f t="shared" si="8"/>
        <v>View on Google Map</v>
      </c>
      <c r="N405" s="137">
        <f t="shared" si="7"/>
        <v>51</v>
      </c>
    </row>
    <row r="406" spans="1:14" x14ac:dyDescent="0.2">
      <c r="A406" s="137">
        <v>340</v>
      </c>
      <c r="B406" s="137" t="s">
        <v>1413</v>
      </c>
      <c r="C406" s="137" t="s">
        <v>1414</v>
      </c>
      <c r="D406" s="137">
        <v>68.571671305899997</v>
      </c>
      <c r="E406" s="137">
        <v>-149.972667672</v>
      </c>
      <c r="F406" s="137" t="s">
        <v>596</v>
      </c>
      <c r="G406" s="137" t="s">
        <v>607</v>
      </c>
      <c r="H406" s="137" t="s">
        <v>1415</v>
      </c>
      <c r="I406" s="137" t="s">
        <v>596</v>
      </c>
      <c r="J406" s="137" t="s">
        <v>889</v>
      </c>
      <c r="K406" s="137" t="s">
        <v>596</v>
      </c>
      <c r="L406" s="137" t="s">
        <v>890</v>
      </c>
      <c r="M406" s="143" t="str">
        <f t="shared" si="8"/>
        <v>View on Google Map</v>
      </c>
      <c r="N406" s="137">
        <f t="shared" si="7"/>
        <v>52</v>
      </c>
    </row>
    <row r="407" spans="1:14" x14ac:dyDescent="0.2">
      <c r="A407" s="137">
        <v>341</v>
      </c>
      <c r="B407" s="137" t="s">
        <v>1416</v>
      </c>
      <c r="C407" s="137" t="s">
        <v>1417</v>
      </c>
      <c r="D407" s="137">
        <v>68.562791718200003</v>
      </c>
      <c r="E407" s="137">
        <v>-149.977791473</v>
      </c>
      <c r="F407" s="137" t="s">
        <v>596</v>
      </c>
      <c r="G407" s="137" t="s">
        <v>607</v>
      </c>
      <c r="H407" s="137" t="s">
        <v>1418</v>
      </c>
      <c r="I407" s="137" t="s">
        <v>596</v>
      </c>
      <c r="J407" s="137" t="s">
        <v>889</v>
      </c>
      <c r="K407" s="137" t="s">
        <v>596</v>
      </c>
      <c r="L407" s="137" t="s">
        <v>890</v>
      </c>
      <c r="M407" s="143" t="str">
        <f t="shared" si="8"/>
        <v>View on Google Map</v>
      </c>
      <c r="N407" s="137">
        <f t="shared" si="7"/>
        <v>53</v>
      </c>
    </row>
    <row r="408" spans="1:14" x14ac:dyDescent="0.2">
      <c r="A408" s="137">
        <v>342</v>
      </c>
      <c r="B408" s="137" t="s">
        <v>1419</v>
      </c>
      <c r="C408" s="137" t="s">
        <v>1420</v>
      </c>
      <c r="D408" s="137">
        <v>68.556077412199997</v>
      </c>
      <c r="E408" s="137">
        <v>-149.93361884199999</v>
      </c>
      <c r="F408" s="137" t="s">
        <v>596</v>
      </c>
      <c r="G408" s="137" t="s">
        <v>607</v>
      </c>
      <c r="H408" s="137" t="s">
        <v>1421</v>
      </c>
      <c r="I408" s="137" t="s">
        <v>596</v>
      </c>
      <c r="J408" s="137" t="s">
        <v>889</v>
      </c>
      <c r="K408" s="137" t="s">
        <v>596</v>
      </c>
      <c r="L408" s="137" t="s">
        <v>890</v>
      </c>
      <c r="M408" s="143" t="str">
        <f t="shared" si="8"/>
        <v>View on Google Map</v>
      </c>
      <c r="N408" s="137">
        <f t="shared" si="7"/>
        <v>54</v>
      </c>
    </row>
    <row r="409" spans="1:14" x14ac:dyDescent="0.2">
      <c r="A409" s="137">
        <v>343</v>
      </c>
      <c r="B409" s="137" t="s">
        <v>1422</v>
      </c>
      <c r="C409" s="137" t="s">
        <v>1423</v>
      </c>
      <c r="D409" s="137">
        <v>68.567959712100006</v>
      </c>
      <c r="E409" s="137">
        <v>-149.89938475599999</v>
      </c>
      <c r="F409" s="137" t="s">
        <v>596</v>
      </c>
      <c r="G409" s="137" t="s">
        <v>607</v>
      </c>
      <c r="H409" s="137" t="s">
        <v>1424</v>
      </c>
      <c r="I409" s="137" t="s">
        <v>596</v>
      </c>
      <c r="J409" s="137" t="s">
        <v>889</v>
      </c>
      <c r="K409" s="137" t="s">
        <v>596</v>
      </c>
      <c r="L409" s="137" t="s">
        <v>890</v>
      </c>
      <c r="M409" s="143" t="str">
        <f t="shared" si="8"/>
        <v>View on Google Map</v>
      </c>
      <c r="N409" s="137">
        <f t="shared" si="7"/>
        <v>55</v>
      </c>
    </row>
    <row r="410" spans="1:14" x14ac:dyDescent="0.2">
      <c r="A410" s="137">
        <v>344</v>
      </c>
      <c r="B410" s="137" t="s">
        <v>1425</v>
      </c>
      <c r="C410" s="137" t="s">
        <v>1426</v>
      </c>
      <c r="D410" s="137">
        <v>68.615854386999999</v>
      </c>
      <c r="E410" s="137">
        <v>-149.123111674</v>
      </c>
      <c r="F410" s="137" t="s">
        <v>596</v>
      </c>
      <c r="G410" s="137" t="s">
        <v>607</v>
      </c>
      <c r="H410" s="137" t="s">
        <v>1427</v>
      </c>
      <c r="I410" s="137" t="s">
        <v>596</v>
      </c>
      <c r="J410" s="137" t="s">
        <v>889</v>
      </c>
      <c r="K410" s="137" t="s">
        <v>596</v>
      </c>
      <c r="L410" s="137" t="s">
        <v>890</v>
      </c>
      <c r="M410" s="143" t="str">
        <f t="shared" si="8"/>
        <v>View on Google Map</v>
      </c>
      <c r="N410" s="137">
        <f t="shared" si="7"/>
        <v>56</v>
      </c>
    </row>
    <row r="411" spans="1:14" x14ac:dyDescent="0.2">
      <c r="A411" s="137">
        <v>345</v>
      </c>
      <c r="B411" s="137" t="s">
        <v>1428</v>
      </c>
      <c r="C411" s="137" t="s">
        <v>1429</v>
      </c>
      <c r="D411" s="137">
        <v>68.622759303600006</v>
      </c>
      <c r="E411" s="137">
        <v>-149.15087640600001</v>
      </c>
      <c r="F411" s="137">
        <v>861</v>
      </c>
      <c r="G411" s="137" t="s">
        <v>607</v>
      </c>
      <c r="H411" s="137" t="s">
        <v>1430</v>
      </c>
      <c r="I411" s="137" t="s">
        <v>596</v>
      </c>
      <c r="J411" s="137" t="s">
        <v>889</v>
      </c>
      <c r="K411" s="137" t="s">
        <v>596</v>
      </c>
      <c r="L411" s="137" t="s">
        <v>890</v>
      </c>
      <c r="M411" s="143" t="str">
        <f t="shared" si="8"/>
        <v>View on Google Map</v>
      </c>
      <c r="N411" s="137">
        <f t="shared" si="7"/>
        <v>57</v>
      </c>
    </row>
    <row r="412" spans="1:14" x14ac:dyDescent="0.2">
      <c r="A412" s="137">
        <v>346</v>
      </c>
      <c r="B412" s="137" t="s">
        <v>1431</v>
      </c>
      <c r="C412" s="137" t="s">
        <v>1432</v>
      </c>
      <c r="D412" s="137">
        <v>68.625381351599998</v>
      </c>
      <c r="E412" s="137">
        <v>-149.13918719200001</v>
      </c>
      <c r="F412" s="137">
        <v>877</v>
      </c>
      <c r="G412" s="137" t="s">
        <v>607</v>
      </c>
      <c r="H412" s="137" t="s">
        <v>1433</v>
      </c>
      <c r="I412" s="137" t="s">
        <v>596</v>
      </c>
      <c r="J412" s="137" t="s">
        <v>889</v>
      </c>
      <c r="K412" s="137" t="s">
        <v>596</v>
      </c>
      <c r="L412" s="137" t="s">
        <v>890</v>
      </c>
      <c r="M412" s="143" t="str">
        <f t="shared" si="8"/>
        <v>View on Google Map</v>
      </c>
      <c r="N412" s="137">
        <f t="shared" si="7"/>
        <v>58</v>
      </c>
    </row>
    <row r="413" spans="1:14" x14ac:dyDescent="0.2">
      <c r="A413" s="137">
        <v>347</v>
      </c>
      <c r="B413" s="137" t="s">
        <v>1434</v>
      </c>
      <c r="C413" s="137" t="s">
        <v>1435</v>
      </c>
      <c r="D413" s="137">
        <v>68.630955107899993</v>
      </c>
      <c r="E413" s="137">
        <v>-149.161535972</v>
      </c>
      <c r="F413" s="137">
        <v>858</v>
      </c>
      <c r="G413" s="137" t="s">
        <v>607</v>
      </c>
      <c r="H413" s="137" t="s">
        <v>1436</v>
      </c>
      <c r="I413" s="137" t="s">
        <v>596</v>
      </c>
      <c r="J413" s="137" t="s">
        <v>889</v>
      </c>
      <c r="K413" s="137" t="s">
        <v>596</v>
      </c>
      <c r="L413" s="137" t="s">
        <v>890</v>
      </c>
      <c r="M413" s="143" t="str">
        <f t="shared" si="8"/>
        <v>View on Google Map</v>
      </c>
      <c r="N413" s="137">
        <f t="shared" si="7"/>
        <v>59</v>
      </c>
    </row>
    <row r="414" spans="1:14" x14ac:dyDescent="0.2">
      <c r="A414" s="137">
        <v>348</v>
      </c>
      <c r="B414" s="137" t="s">
        <v>1437</v>
      </c>
      <c r="C414" s="137" t="s">
        <v>1438</v>
      </c>
      <c r="D414" s="137">
        <v>68.636431312400006</v>
      </c>
      <c r="E414" s="137">
        <v>-149.14390222200001</v>
      </c>
      <c r="F414" s="137" t="s">
        <v>596</v>
      </c>
      <c r="G414" s="137" t="s">
        <v>607</v>
      </c>
      <c r="H414" s="137" t="s">
        <v>1439</v>
      </c>
      <c r="I414" s="137" t="s">
        <v>596</v>
      </c>
      <c r="J414" s="137" t="s">
        <v>889</v>
      </c>
      <c r="K414" s="137" t="s">
        <v>596</v>
      </c>
      <c r="L414" s="137" t="s">
        <v>890</v>
      </c>
      <c r="M414" s="143" t="str">
        <f t="shared" si="8"/>
        <v>View on Google Map</v>
      </c>
      <c r="N414" s="137">
        <f t="shared" si="7"/>
        <v>60</v>
      </c>
    </row>
    <row r="415" spans="1:14" x14ac:dyDescent="0.2">
      <c r="A415" s="137">
        <v>349</v>
      </c>
      <c r="B415" s="137" t="s">
        <v>1440</v>
      </c>
      <c r="C415" s="137" t="s">
        <v>1441</v>
      </c>
      <c r="D415" s="137">
        <v>68.638723598300004</v>
      </c>
      <c r="E415" s="137">
        <v>-149.17862426400001</v>
      </c>
      <c r="F415" s="137" t="s">
        <v>596</v>
      </c>
      <c r="G415" s="137" t="s">
        <v>607</v>
      </c>
      <c r="H415" s="137" t="s">
        <v>1442</v>
      </c>
      <c r="I415" s="137" t="s">
        <v>596</v>
      </c>
      <c r="J415" s="137" t="s">
        <v>889</v>
      </c>
      <c r="K415" s="137" t="s">
        <v>596</v>
      </c>
      <c r="L415" s="137" t="s">
        <v>890</v>
      </c>
      <c r="M415" s="143" t="str">
        <f t="shared" si="8"/>
        <v>View on Google Map</v>
      </c>
      <c r="N415" s="137">
        <f t="shared" si="7"/>
        <v>61</v>
      </c>
    </row>
    <row r="416" spans="1:14" x14ac:dyDescent="0.2">
      <c r="A416" s="137">
        <v>350</v>
      </c>
      <c r="B416" s="137" t="s">
        <v>1443</v>
      </c>
      <c r="C416" s="137" t="s">
        <v>1444</v>
      </c>
      <c r="D416" s="137">
        <v>68.634874735899999</v>
      </c>
      <c r="E416" s="137">
        <v>-149.193728236</v>
      </c>
      <c r="F416" s="137" t="s">
        <v>596</v>
      </c>
      <c r="G416" s="137" t="s">
        <v>607</v>
      </c>
      <c r="H416" s="137" t="s">
        <v>1445</v>
      </c>
      <c r="I416" s="137" t="s">
        <v>596</v>
      </c>
      <c r="J416" s="137" t="s">
        <v>889</v>
      </c>
      <c r="K416" s="137" t="s">
        <v>596</v>
      </c>
      <c r="L416" s="137" t="s">
        <v>890</v>
      </c>
      <c r="M416" s="143" t="str">
        <f t="shared" si="8"/>
        <v>View on Google Map</v>
      </c>
      <c r="N416" s="137">
        <f t="shared" si="7"/>
        <v>62</v>
      </c>
    </row>
    <row r="417" spans="1:14" x14ac:dyDescent="0.2">
      <c r="A417" s="137">
        <v>351</v>
      </c>
      <c r="B417" s="137" t="s">
        <v>1446</v>
      </c>
      <c r="C417" s="137" t="s">
        <v>1447</v>
      </c>
      <c r="D417" s="137">
        <v>68.630921065799996</v>
      </c>
      <c r="E417" s="137">
        <v>-149.19135200100001</v>
      </c>
      <c r="F417" s="137" t="s">
        <v>596</v>
      </c>
      <c r="G417" s="137" t="s">
        <v>607</v>
      </c>
      <c r="H417" s="137" t="s">
        <v>1448</v>
      </c>
      <c r="I417" s="137" t="s">
        <v>596</v>
      </c>
      <c r="J417" s="137" t="s">
        <v>889</v>
      </c>
      <c r="K417" s="137" t="s">
        <v>596</v>
      </c>
      <c r="L417" s="137" t="s">
        <v>890</v>
      </c>
      <c r="M417" s="143" t="str">
        <f t="shared" si="8"/>
        <v>View on Google Map</v>
      </c>
      <c r="N417" s="137">
        <f t="shared" si="7"/>
        <v>63</v>
      </c>
    </row>
    <row r="418" spans="1:14" x14ac:dyDescent="0.2">
      <c r="A418" s="137">
        <v>352</v>
      </c>
      <c r="B418" s="137" t="s">
        <v>1449</v>
      </c>
      <c r="C418" s="137" t="s">
        <v>1450</v>
      </c>
      <c r="D418" s="137">
        <v>68.635774522800006</v>
      </c>
      <c r="E418" s="137">
        <v>-149.20688041899999</v>
      </c>
      <c r="F418" s="137" t="s">
        <v>596</v>
      </c>
      <c r="G418" s="137" t="s">
        <v>607</v>
      </c>
      <c r="H418" s="137" t="s">
        <v>1451</v>
      </c>
      <c r="I418" s="137" t="s">
        <v>596</v>
      </c>
      <c r="J418" s="137" t="s">
        <v>889</v>
      </c>
      <c r="K418" s="137" t="s">
        <v>596</v>
      </c>
      <c r="L418" s="137" t="s">
        <v>890</v>
      </c>
      <c r="M418" s="143" t="str">
        <f t="shared" si="8"/>
        <v>View on Google Map</v>
      </c>
      <c r="N418" s="137">
        <f t="shared" si="7"/>
        <v>64</v>
      </c>
    </row>
    <row r="419" spans="1:14" x14ac:dyDescent="0.2">
      <c r="A419" s="137">
        <v>353</v>
      </c>
      <c r="B419" s="137" t="s">
        <v>1452</v>
      </c>
      <c r="C419" s="137" t="s">
        <v>1453</v>
      </c>
      <c r="D419" s="137">
        <v>68.585080002200002</v>
      </c>
      <c r="E419" s="137">
        <v>-149.208359645</v>
      </c>
      <c r="F419" s="137">
        <v>898</v>
      </c>
      <c r="G419" s="137" t="s">
        <v>607</v>
      </c>
      <c r="H419" s="137" t="s">
        <v>1454</v>
      </c>
      <c r="I419" s="137" t="s">
        <v>596</v>
      </c>
      <c r="J419" s="137" t="s">
        <v>889</v>
      </c>
      <c r="K419" s="137" t="s">
        <v>596</v>
      </c>
      <c r="L419" s="137" t="s">
        <v>890</v>
      </c>
      <c r="M419" s="143" t="str">
        <f t="shared" si="8"/>
        <v>View on Google Map</v>
      </c>
      <c r="N419" s="137">
        <f t="shared" si="7"/>
        <v>65</v>
      </c>
    </row>
    <row r="420" spans="1:14" x14ac:dyDescent="0.2">
      <c r="A420" s="137">
        <v>354</v>
      </c>
      <c r="B420" s="137" t="s">
        <v>1455</v>
      </c>
      <c r="C420" s="137" t="s">
        <v>1456</v>
      </c>
      <c r="D420" s="137">
        <v>68.583148055099997</v>
      </c>
      <c r="E420" s="137">
        <v>-149.19950362399999</v>
      </c>
      <c r="F420" s="137">
        <v>896</v>
      </c>
      <c r="G420" s="137" t="s">
        <v>607</v>
      </c>
      <c r="H420" s="137" t="s">
        <v>1457</v>
      </c>
      <c r="I420" s="137" t="s">
        <v>596</v>
      </c>
      <c r="J420" s="137" t="s">
        <v>889</v>
      </c>
      <c r="K420" s="137" t="s">
        <v>596</v>
      </c>
      <c r="L420" s="137" t="s">
        <v>890</v>
      </c>
      <c r="M420" s="143" t="str">
        <f t="shared" si="8"/>
        <v>View on Google Map</v>
      </c>
      <c r="N420" s="137">
        <f t="shared" ref="N420:N434" si="9">VALUE(MID(H420,5,3))</f>
        <v>66</v>
      </c>
    </row>
    <row r="421" spans="1:14" x14ac:dyDescent="0.2">
      <c r="A421" s="137">
        <v>355</v>
      </c>
      <c r="B421" s="137" t="s">
        <v>1458</v>
      </c>
      <c r="C421" s="137" t="s">
        <v>1459</v>
      </c>
      <c r="D421" s="137">
        <v>68.589302268899999</v>
      </c>
      <c r="E421" s="137">
        <v>-149.18432651699999</v>
      </c>
      <c r="F421" s="137">
        <v>880</v>
      </c>
      <c r="G421" s="137" t="s">
        <v>607</v>
      </c>
      <c r="H421" s="137" t="s">
        <v>1460</v>
      </c>
      <c r="I421" s="137" t="s">
        <v>596</v>
      </c>
      <c r="J421" s="137" t="s">
        <v>889</v>
      </c>
      <c r="K421" s="137" t="s">
        <v>596</v>
      </c>
      <c r="L421" s="137" t="s">
        <v>890</v>
      </c>
      <c r="M421" s="143" t="str">
        <f t="shared" si="8"/>
        <v>View on Google Map</v>
      </c>
      <c r="N421" s="137">
        <f t="shared" si="9"/>
        <v>67</v>
      </c>
    </row>
    <row r="422" spans="1:14" x14ac:dyDescent="0.2">
      <c r="A422" s="137">
        <v>357</v>
      </c>
      <c r="B422" s="137" t="s">
        <v>1461</v>
      </c>
      <c r="C422" s="137" t="s">
        <v>1462</v>
      </c>
      <c r="D422" s="137">
        <v>68.595953562800005</v>
      </c>
      <c r="E422" s="137">
        <v>-149.161045868</v>
      </c>
      <c r="F422" s="137" t="s">
        <v>596</v>
      </c>
      <c r="G422" s="137" t="s">
        <v>607</v>
      </c>
      <c r="H422" s="137" t="s">
        <v>1463</v>
      </c>
      <c r="I422" s="137" t="s">
        <v>596</v>
      </c>
      <c r="J422" s="137" t="s">
        <v>889</v>
      </c>
      <c r="K422" s="137" t="s">
        <v>596</v>
      </c>
      <c r="L422" s="137" t="s">
        <v>890</v>
      </c>
      <c r="M422" s="143" t="str">
        <f t="shared" si="8"/>
        <v>View on Google Map</v>
      </c>
      <c r="N422" s="137">
        <f t="shared" si="9"/>
        <v>69</v>
      </c>
    </row>
    <row r="423" spans="1:14" x14ac:dyDescent="0.2">
      <c r="A423" s="137">
        <v>358</v>
      </c>
      <c r="B423" s="137" t="s">
        <v>1464</v>
      </c>
      <c r="C423" s="137" t="s">
        <v>1465</v>
      </c>
      <c r="D423" s="137">
        <v>68.590721600400002</v>
      </c>
      <c r="E423" s="137">
        <v>-149.17612158099999</v>
      </c>
      <c r="F423" s="137" t="s">
        <v>596</v>
      </c>
      <c r="G423" s="137" t="s">
        <v>607</v>
      </c>
      <c r="H423" s="137" t="s">
        <v>1466</v>
      </c>
      <c r="I423" s="137" t="s">
        <v>596</v>
      </c>
      <c r="J423" s="137" t="s">
        <v>889</v>
      </c>
      <c r="K423" s="137" t="s">
        <v>596</v>
      </c>
      <c r="L423" s="137" t="s">
        <v>890</v>
      </c>
      <c r="M423" s="143" t="str">
        <f t="shared" si="8"/>
        <v>View on Google Map</v>
      </c>
      <c r="N423" s="137">
        <f t="shared" si="9"/>
        <v>70</v>
      </c>
    </row>
    <row r="424" spans="1:14" x14ac:dyDescent="0.2">
      <c r="A424" s="137">
        <v>359</v>
      </c>
      <c r="B424" s="137" t="s">
        <v>1467</v>
      </c>
      <c r="C424" s="137" t="s">
        <v>1468</v>
      </c>
      <c r="D424" s="137">
        <v>68.600362864999994</v>
      </c>
      <c r="E424" s="137">
        <v>-149.14055367099999</v>
      </c>
      <c r="F424" s="137" t="s">
        <v>596</v>
      </c>
      <c r="G424" s="137" t="s">
        <v>607</v>
      </c>
      <c r="H424" s="137" t="s">
        <v>1469</v>
      </c>
      <c r="I424" s="137" t="s">
        <v>596</v>
      </c>
      <c r="J424" s="137" t="s">
        <v>889</v>
      </c>
      <c r="K424" s="137" t="s">
        <v>596</v>
      </c>
      <c r="L424" s="137" t="s">
        <v>890</v>
      </c>
      <c r="M424" s="143" t="str">
        <f t="shared" si="8"/>
        <v>View on Google Map</v>
      </c>
      <c r="N424" s="137">
        <f t="shared" si="9"/>
        <v>71</v>
      </c>
    </row>
    <row r="425" spans="1:14" x14ac:dyDescent="0.2">
      <c r="A425" s="137">
        <v>360</v>
      </c>
      <c r="B425" s="137" t="s">
        <v>1470</v>
      </c>
      <c r="C425" s="137" t="s">
        <v>1471</v>
      </c>
      <c r="D425" s="137">
        <v>68.610380375800005</v>
      </c>
      <c r="E425" s="137">
        <v>-149.15074315300001</v>
      </c>
      <c r="F425" s="137" t="s">
        <v>596</v>
      </c>
      <c r="G425" s="137" t="s">
        <v>607</v>
      </c>
      <c r="H425" s="137" t="s">
        <v>1472</v>
      </c>
      <c r="I425" s="137" t="s">
        <v>596</v>
      </c>
      <c r="J425" s="137" t="s">
        <v>889</v>
      </c>
      <c r="K425" s="137" t="s">
        <v>596</v>
      </c>
      <c r="L425" s="137" t="s">
        <v>890</v>
      </c>
      <c r="M425" s="143" t="str">
        <f t="shared" si="8"/>
        <v>View on Google Map</v>
      </c>
      <c r="N425" s="137">
        <f t="shared" si="9"/>
        <v>72</v>
      </c>
    </row>
    <row r="426" spans="1:14" x14ac:dyDescent="0.2">
      <c r="A426" s="137">
        <v>361</v>
      </c>
      <c r="B426" s="137" t="s">
        <v>1473</v>
      </c>
      <c r="C426" s="137" t="s">
        <v>1474</v>
      </c>
      <c r="D426" s="137">
        <v>68.6163784405</v>
      </c>
      <c r="E426" s="137">
        <v>-149.16060521700001</v>
      </c>
      <c r="F426" s="137" t="s">
        <v>596</v>
      </c>
      <c r="G426" s="137" t="s">
        <v>607</v>
      </c>
      <c r="H426" s="137" t="s">
        <v>1475</v>
      </c>
      <c r="I426" s="137" t="s">
        <v>596</v>
      </c>
      <c r="J426" s="137" t="s">
        <v>889</v>
      </c>
      <c r="K426" s="137" t="s">
        <v>596</v>
      </c>
      <c r="L426" s="137" t="s">
        <v>890</v>
      </c>
      <c r="M426" s="143" t="str">
        <f t="shared" si="8"/>
        <v>View on Google Map</v>
      </c>
      <c r="N426" s="137">
        <f t="shared" si="9"/>
        <v>73</v>
      </c>
    </row>
    <row r="427" spans="1:14" x14ac:dyDescent="0.2">
      <c r="A427" s="137">
        <v>362</v>
      </c>
      <c r="B427" s="137" t="s">
        <v>1476</v>
      </c>
      <c r="C427" s="137" t="s">
        <v>1477</v>
      </c>
      <c r="D427" s="137">
        <v>68.617934232500005</v>
      </c>
      <c r="E427" s="137">
        <v>-149.18594585299999</v>
      </c>
      <c r="F427" s="137" t="s">
        <v>596</v>
      </c>
      <c r="G427" s="137" t="s">
        <v>607</v>
      </c>
      <c r="H427" s="137" t="s">
        <v>1478</v>
      </c>
      <c r="I427" s="137" t="s">
        <v>596</v>
      </c>
      <c r="J427" s="137" t="s">
        <v>889</v>
      </c>
      <c r="K427" s="137" t="s">
        <v>596</v>
      </c>
      <c r="L427" s="137" t="s">
        <v>890</v>
      </c>
      <c r="M427" s="143" t="str">
        <f t="shared" si="8"/>
        <v>View on Google Map</v>
      </c>
      <c r="N427" s="137">
        <f t="shared" si="9"/>
        <v>74</v>
      </c>
    </row>
    <row r="428" spans="1:14" x14ac:dyDescent="0.2">
      <c r="A428" s="137">
        <v>363</v>
      </c>
      <c r="B428" s="137" t="s">
        <v>1479</v>
      </c>
      <c r="C428" s="137" t="s">
        <v>1480</v>
      </c>
      <c r="D428" s="137">
        <v>68.614396448299999</v>
      </c>
      <c r="E428" s="137">
        <v>-149.19403818800001</v>
      </c>
      <c r="F428" s="137" t="s">
        <v>596</v>
      </c>
      <c r="G428" s="137" t="s">
        <v>607</v>
      </c>
      <c r="H428" s="137" t="s">
        <v>1481</v>
      </c>
      <c r="I428" s="137" t="s">
        <v>596</v>
      </c>
      <c r="J428" s="137" t="s">
        <v>889</v>
      </c>
      <c r="K428" s="137" t="s">
        <v>596</v>
      </c>
      <c r="L428" s="137" t="s">
        <v>890</v>
      </c>
      <c r="M428" s="143" t="str">
        <f t="shared" si="8"/>
        <v>View on Google Map</v>
      </c>
      <c r="N428" s="137">
        <f t="shared" si="9"/>
        <v>75</v>
      </c>
    </row>
    <row r="429" spans="1:14" x14ac:dyDescent="0.2">
      <c r="A429" s="137">
        <v>364</v>
      </c>
      <c r="B429" s="137" t="s">
        <v>1482</v>
      </c>
      <c r="C429" s="137" t="s">
        <v>1483</v>
      </c>
      <c r="D429" s="137">
        <v>68.694256581000005</v>
      </c>
      <c r="E429" s="137">
        <v>-149.73679655699999</v>
      </c>
      <c r="F429" s="137" t="s">
        <v>596</v>
      </c>
      <c r="G429" s="137" t="s">
        <v>607</v>
      </c>
      <c r="H429" s="137" t="s">
        <v>1484</v>
      </c>
      <c r="I429" s="137" t="s">
        <v>596</v>
      </c>
      <c r="J429" s="137" t="s">
        <v>889</v>
      </c>
      <c r="K429" s="137" t="s">
        <v>596</v>
      </c>
      <c r="L429" s="137" t="s">
        <v>890</v>
      </c>
      <c r="M429" s="143" t="str">
        <f t="shared" si="8"/>
        <v>View on Google Map</v>
      </c>
      <c r="N429" s="137">
        <f t="shared" si="9"/>
        <v>76</v>
      </c>
    </row>
    <row r="430" spans="1:14" x14ac:dyDescent="0.2">
      <c r="A430" s="137">
        <v>365</v>
      </c>
      <c r="B430" s="137" t="s">
        <v>1485</v>
      </c>
      <c r="C430" s="137" t="s">
        <v>1486</v>
      </c>
      <c r="D430" s="137">
        <v>68.696056827099994</v>
      </c>
      <c r="E430" s="137">
        <v>-149.73131395300001</v>
      </c>
      <c r="F430" s="137" t="s">
        <v>596</v>
      </c>
      <c r="G430" s="137" t="s">
        <v>607</v>
      </c>
      <c r="H430" s="137" t="s">
        <v>1487</v>
      </c>
      <c r="I430" s="137" t="s">
        <v>596</v>
      </c>
      <c r="J430" s="137" t="s">
        <v>889</v>
      </c>
      <c r="K430" s="137" t="s">
        <v>596</v>
      </c>
      <c r="L430" s="137" t="s">
        <v>890</v>
      </c>
      <c r="M430" s="143" t="str">
        <f t="shared" si="8"/>
        <v>View on Google Map</v>
      </c>
      <c r="N430" s="137">
        <f t="shared" si="9"/>
        <v>77</v>
      </c>
    </row>
    <row r="431" spans="1:14" x14ac:dyDescent="0.2">
      <c r="A431" s="137">
        <v>366</v>
      </c>
      <c r="B431" s="137" t="s">
        <v>1488</v>
      </c>
      <c r="C431" s="137" t="s">
        <v>1489</v>
      </c>
      <c r="D431" s="137">
        <v>68.696468206399999</v>
      </c>
      <c r="E431" s="137">
        <v>-149.708828248</v>
      </c>
      <c r="F431" s="137" t="s">
        <v>596</v>
      </c>
      <c r="G431" s="137" t="s">
        <v>607</v>
      </c>
      <c r="H431" s="137" t="s">
        <v>1490</v>
      </c>
      <c r="I431" s="137" t="s">
        <v>596</v>
      </c>
      <c r="J431" s="137" t="s">
        <v>889</v>
      </c>
      <c r="K431" s="137" t="s">
        <v>596</v>
      </c>
      <c r="L431" s="137" t="s">
        <v>890</v>
      </c>
      <c r="M431" s="143" t="str">
        <f t="shared" si="8"/>
        <v>View on Google Map</v>
      </c>
      <c r="N431" s="137">
        <f t="shared" si="9"/>
        <v>78</v>
      </c>
    </row>
    <row r="432" spans="1:14" x14ac:dyDescent="0.2">
      <c r="A432" s="137">
        <v>367</v>
      </c>
      <c r="B432" s="137" t="s">
        <v>1491</v>
      </c>
      <c r="C432" s="137" t="s">
        <v>1492</v>
      </c>
      <c r="D432" s="137">
        <v>68.688141157800004</v>
      </c>
      <c r="E432" s="137">
        <v>-149.73555264800001</v>
      </c>
      <c r="F432" s="137" t="s">
        <v>596</v>
      </c>
      <c r="G432" s="137" t="s">
        <v>607</v>
      </c>
      <c r="H432" s="137" t="s">
        <v>1493</v>
      </c>
      <c r="I432" s="137" t="s">
        <v>596</v>
      </c>
      <c r="J432" s="137" t="s">
        <v>889</v>
      </c>
      <c r="K432" s="137" t="s">
        <v>596</v>
      </c>
      <c r="L432" s="137" t="s">
        <v>890</v>
      </c>
      <c r="M432" s="143" t="str">
        <f t="shared" si="8"/>
        <v>View on Google Map</v>
      </c>
      <c r="N432" s="137">
        <f t="shared" si="9"/>
        <v>79</v>
      </c>
    </row>
    <row r="433" spans="1:14" x14ac:dyDescent="0.2">
      <c r="A433" s="137">
        <v>368</v>
      </c>
      <c r="B433" s="137" t="s">
        <v>1494</v>
      </c>
      <c r="C433" s="137" t="s">
        <v>1495</v>
      </c>
      <c r="D433" s="137">
        <v>68.682810930000002</v>
      </c>
      <c r="E433" s="137">
        <v>-149.73974315500001</v>
      </c>
      <c r="F433" s="137" t="s">
        <v>596</v>
      </c>
      <c r="G433" s="137" t="s">
        <v>607</v>
      </c>
      <c r="H433" s="137" t="s">
        <v>1496</v>
      </c>
      <c r="I433" s="137" t="s">
        <v>596</v>
      </c>
      <c r="J433" s="137" t="s">
        <v>889</v>
      </c>
      <c r="K433" s="137" t="s">
        <v>596</v>
      </c>
      <c r="L433" s="137" t="s">
        <v>890</v>
      </c>
      <c r="M433" s="143" t="str">
        <f t="shared" si="8"/>
        <v>View on Google Map</v>
      </c>
      <c r="N433" s="137">
        <f t="shared" si="9"/>
        <v>80</v>
      </c>
    </row>
    <row r="434" spans="1:14" x14ac:dyDescent="0.2">
      <c r="A434" s="137">
        <v>369</v>
      </c>
      <c r="B434" s="137" t="s">
        <v>1497</v>
      </c>
      <c r="C434" s="137" t="s">
        <v>1498</v>
      </c>
      <c r="D434" s="137">
        <v>68.682815967099998</v>
      </c>
      <c r="E434" s="137">
        <v>-149.759701116</v>
      </c>
      <c r="F434" s="137" t="s">
        <v>596</v>
      </c>
      <c r="G434" s="137" t="s">
        <v>607</v>
      </c>
      <c r="H434" s="137" t="s">
        <v>1499</v>
      </c>
      <c r="I434" s="137" t="s">
        <v>596</v>
      </c>
      <c r="J434" s="137" t="s">
        <v>889</v>
      </c>
      <c r="K434" s="137" t="s">
        <v>596</v>
      </c>
      <c r="L434" s="137" t="s">
        <v>890</v>
      </c>
      <c r="M434" s="143" t="str">
        <f t="shared" si="8"/>
        <v>View on Google Map</v>
      </c>
      <c r="N434" s="137">
        <f t="shared" si="9"/>
        <v>81</v>
      </c>
    </row>
    <row r="435" spans="1:14" x14ac:dyDescent="0.2">
      <c r="A435" s="137">
        <v>1225</v>
      </c>
      <c r="B435" s="137" t="s">
        <v>1500</v>
      </c>
      <c r="C435" s="52" t="s">
        <v>1501</v>
      </c>
      <c r="D435" s="137">
        <v>68.641727000000003</v>
      </c>
      <c r="E435" s="137">
        <v>-149.58665300000001</v>
      </c>
      <c r="F435" s="137">
        <v>724</v>
      </c>
      <c r="G435" s="137" t="s">
        <v>597</v>
      </c>
      <c r="H435" s="137" t="s">
        <v>596</v>
      </c>
      <c r="I435" s="137" t="s">
        <v>596</v>
      </c>
      <c r="J435" s="137" t="s">
        <v>622</v>
      </c>
      <c r="K435" s="137" t="s">
        <v>596</v>
      </c>
      <c r="L435" s="137" t="s">
        <v>596</v>
      </c>
      <c r="M435" s="143" t="str">
        <f t="shared" si="8"/>
        <v>View on Google Map</v>
      </c>
    </row>
    <row r="436" spans="1:14" x14ac:dyDescent="0.2">
      <c r="B436" s="137" t="s">
        <v>1502</v>
      </c>
      <c r="C436" s="145" t="s">
        <v>1503</v>
      </c>
      <c r="D436" s="137">
        <v>68.622865000000004</v>
      </c>
      <c r="E436" s="137">
        <v>-149.60854499999999</v>
      </c>
      <c r="F436" s="137">
        <v>758</v>
      </c>
      <c r="G436" s="137" t="s">
        <v>597</v>
      </c>
      <c r="J436" s="137" t="s">
        <v>622</v>
      </c>
      <c r="M436" s="143" t="str">
        <f t="shared" si="8"/>
        <v>View on Google Map</v>
      </c>
    </row>
    <row r="437" spans="1:14" x14ac:dyDescent="0.2">
      <c r="A437" s="137">
        <v>1220</v>
      </c>
      <c r="B437" s="137" t="s">
        <v>1504</v>
      </c>
      <c r="C437" s="52" t="s">
        <v>1505</v>
      </c>
      <c r="D437" s="137">
        <v>68.624410999999995</v>
      </c>
      <c r="E437" s="137">
        <v>-149.609589</v>
      </c>
      <c r="F437" s="137">
        <v>750</v>
      </c>
      <c r="G437" s="137" t="s">
        <v>597</v>
      </c>
      <c r="H437" s="137" t="s">
        <v>596</v>
      </c>
      <c r="I437" s="137" t="s">
        <v>596</v>
      </c>
      <c r="J437" s="137" t="s">
        <v>622</v>
      </c>
      <c r="K437" s="137" t="s">
        <v>596</v>
      </c>
      <c r="L437" s="137" t="s">
        <v>596</v>
      </c>
      <c r="M437" s="143" t="str">
        <f t="shared" si="8"/>
        <v>View on Google Map</v>
      </c>
    </row>
    <row r="438" spans="1:14" x14ac:dyDescent="0.2">
      <c r="A438" s="137">
        <v>1222</v>
      </c>
      <c r="B438" s="137" t="s">
        <v>1506</v>
      </c>
      <c r="C438" s="52" t="s">
        <v>1507</v>
      </c>
      <c r="D438" s="137">
        <v>68.629636000000005</v>
      </c>
      <c r="E438" s="137">
        <v>-149.57565600000001</v>
      </c>
      <c r="F438" s="137">
        <v>755</v>
      </c>
      <c r="G438" s="137" t="s">
        <v>597</v>
      </c>
      <c r="H438" s="137" t="s">
        <v>596</v>
      </c>
      <c r="I438" s="137" t="s">
        <v>596</v>
      </c>
      <c r="J438" s="137" t="s">
        <v>622</v>
      </c>
      <c r="K438" s="137" t="s">
        <v>596</v>
      </c>
      <c r="L438" s="137" t="s">
        <v>596</v>
      </c>
      <c r="M438" s="143" t="str">
        <f t="shared" si="8"/>
        <v>View on Google Map</v>
      </c>
    </row>
    <row r="439" spans="1:14" x14ac:dyDescent="0.2">
      <c r="A439" s="137">
        <v>1228</v>
      </c>
      <c r="B439" s="137" t="s">
        <v>1508</v>
      </c>
      <c r="C439" s="52" t="s">
        <v>1509</v>
      </c>
      <c r="D439" s="137">
        <v>68.634530999999996</v>
      </c>
      <c r="E439" s="137">
        <v>-149.64205799999999</v>
      </c>
      <c r="F439" s="137">
        <v>748</v>
      </c>
      <c r="G439" s="137" t="s">
        <v>597</v>
      </c>
      <c r="H439" s="137" t="s">
        <v>596</v>
      </c>
      <c r="I439" s="137" t="s">
        <v>596</v>
      </c>
      <c r="J439" s="137" t="s">
        <v>622</v>
      </c>
      <c r="K439" s="137" t="s">
        <v>596</v>
      </c>
      <c r="L439" s="137" t="s">
        <v>596</v>
      </c>
      <c r="M439" s="143" t="str">
        <f t="shared" si="8"/>
        <v>View on Google Map</v>
      </c>
    </row>
    <row r="440" spans="1:14" x14ac:dyDescent="0.2">
      <c r="A440" s="137">
        <v>1227</v>
      </c>
      <c r="B440" s="137" t="s">
        <v>1510</v>
      </c>
      <c r="C440" s="52" t="s">
        <v>1511</v>
      </c>
      <c r="D440" s="137">
        <v>68.634039000000001</v>
      </c>
      <c r="E440" s="137">
        <v>-149.63704899999999</v>
      </c>
      <c r="F440" s="137">
        <v>750</v>
      </c>
      <c r="G440" s="137" t="s">
        <v>597</v>
      </c>
      <c r="H440" s="137" t="s">
        <v>596</v>
      </c>
      <c r="I440" s="137" t="s">
        <v>596</v>
      </c>
      <c r="J440" s="137" t="s">
        <v>622</v>
      </c>
      <c r="K440" s="137" t="s">
        <v>596</v>
      </c>
      <c r="L440" s="137" t="s">
        <v>596</v>
      </c>
      <c r="M440" s="143" t="str">
        <f t="shared" si="8"/>
        <v>View on Google Map</v>
      </c>
    </row>
    <row r="441" spans="1:14" x14ac:dyDescent="0.2">
      <c r="A441" s="137">
        <v>1223</v>
      </c>
      <c r="B441" s="137" t="s">
        <v>1512</v>
      </c>
      <c r="C441" s="52" t="s">
        <v>1513</v>
      </c>
      <c r="D441" s="137">
        <v>68.635624000000007</v>
      </c>
      <c r="E441" s="137">
        <v>-149.587064</v>
      </c>
      <c r="F441" s="137">
        <v>745</v>
      </c>
      <c r="G441" s="137" t="s">
        <v>597</v>
      </c>
      <c r="H441" s="137" t="s">
        <v>596</v>
      </c>
      <c r="I441" s="137" t="s">
        <v>596</v>
      </c>
      <c r="J441" s="137" t="s">
        <v>622</v>
      </c>
      <c r="K441" s="137" t="s">
        <v>596</v>
      </c>
      <c r="L441" s="137" t="s">
        <v>596</v>
      </c>
      <c r="M441" s="143" t="str">
        <f t="shared" si="8"/>
        <v>View on Google Map</v>
      </c>
    </row>
    <row r="442" spans="1:14" x14ac:dyDescent="0.2">
      <c r="A442" s="137">
        <v>1224</v>
      </c>
      <c r="B442" s="137" t="s">
        <v>1514</v>
      </c>
      <c r="C442" s="52" t="s">
        <v>1515</v>
      </c>
      <c r="D442" s="137">
        <v>68.638692000000006</v>
      </c>
      <c r="E442" s="137">
        <v>-149.567789</v>
      </c>
      <c r="F442" s="137">
        <v>731</v>
      </c>
      <c r="G442" s="137" t="s">
        <v>597</v>
      </c>
      <c r="H442" s="137" t="s">
        <v>596</v>
      </c>
      <c r="I442" s="137" t="s">
        <v>596</v>
      </c>
      <c r="J442" s="137" t="s">
        <v>622</v>
      </c>
      <c r="K442" s="137" t="s">
        <v>596</v>
      </c>
      <c r="L442" s="137" t="s">
        <v>596</v>
      </c>
      <c r="M442" s="143" t="str">
        <f t="shared" si="8"/>
        <v>View on Google Map</v>
      </c>
    </row>
    <row r="443" spans="1:14" x14ac:dyDescent="0.2">
      <c r="A443" s="137">
        <v>1221</v>
      </c>
      <c r="B443" s="137" t="s">
        <v>1516</v>
      </c>
      <c r="C443" s="52" t="s">
        <v>1517</v>
      </c>
      <c r="D443" s="137">
        <v>68.625440999999995</v>
      </c>
      <c r="E443" s="137">
        <v>-149.60287299999999</v>
      </c>
      <c r="F443" s="137">
        <v>717</v>
      </c>
      <c r="G443" s="137" t="s">
        <v>597</v>
      </c>
      <c r="H443" s="137" t="s">
        <v>596</v>
      </c>
      <c r="I443" s="137" t="s">
        <v>596</v>
      </c>
      <c r="J443" s="137" t="s">
        <v>622</v>
      </c>
      <c r="K443" s="137" t="s">
        <v>596</v>
      </c>
      <c r="L443" s="137" t="s">
        <v>596</v>
      </c>
      <c r="M443" s="143" t="str">
        <f t="shared" si="8"/>
        <v>View on Google Map</v>
      </c>
    </row>
    <row r="444" spans="1:14" x14ac:dyDescent="0.2">
      <c r="A444" s="137">
        <v>1226</v>
      </c>
      <c r="B444" s="52" t="s">
        <v>1518</v>
      </c>
      <c r="C444" s="52" t="s">
        <v>1519</v>
      </c>
      <c r="D444" s="137">
        <v>68.647621999999998</v>
      </c>
      <c r="E444" s="137">
        <v>-149.57729800000001</v>
      </c>
      <c r="F444" s="137">
        <v>719</v>
      </c>
      <c r="G444" s="137" t="s">
        <v>597</v>
      </c>
      <c r="H444" s="137" t="s">
        <v>596</v>
      </c>
      <c r="I444" s="137" t="s">
        <v>596</v>
      </c>
      <c r="J444" s="137" t="s">
        <v>622</v>
      </c>
      <c r="K444" s="137" t="s">
        <v>596</v>
      </c>
      <c r="L444" s="137" t="s">
        <v>596</v>
      </c>
      <c r="M444" s="143" t="str">
        <f t="shared" si="8"/>
        <v>View on Google Map</v>
      </c>
    </row>
    <row r="445" spans="1:14" x14ac:dyDescent="0.2">
      <c r="A445" s="137">
        <v>487</v>
      </c>
      <c r="B445" s="137" t="s">
        <v>1520</v>
      </c>
      <c r="C445" s="137" t="s">
        <v>596</v>
      </c>
      <c r="D445" s="137">
        <v>68.961583332999993</v>
      </c>
      <c r="E445" s="137">
        <v>-150.20961666700001</v>
      </c>
      <c r="F445" s="137">
        <v>380</v>
      </c>
      <c r="G445" s="137" t="s">
        <v>607</v>
      </c>
      <c r="H445" s="137" t="s">
        <v>596</v>
      </c>
      <c r="I445" s="137" t="s">
        <v>596</v>
      </c>
      <c r="J445" s="137" t="s">
        <v>657</v>
      </c>
      <c r="K445" s="137" t="s">
        <v>596</v>
      </c>
      <c r="L445" s="137" t="s">
        <v>604</v>
      </c>
      <c r="M445" s="143" t="str">
        <f t="shared" si="8"/>
        <v>View on Google Map</v>
      </c>
    </row>
    <row r="446" spans="1:14" x14ac:dyDescent="0.2">
      <c r="A446" s="137">
        <v>23</v>
      </c>
      <c r="B446" s="137" t="s">
        <v>1521</v>
      </c>
      <c r="C446" s="137" t="s">
        <v>596</v>
      </c>
      <c r="D446" s="137" t="s">
        <v>596</v>
      </c>
      <c r="E446" s="137" t="s">
        <v>596</v>
      </c>
      <c r="F446" s="137" t="s">
        <v>596</v>
      </c>
      <c r="G446" s="137" t="s">
        <v>621</v>
      </c>
      <c r="H446" s="137" t="s">
        <v>596</v>
      </c>
      <c r="I446" s="137" t="s">
        <v>596</v>
      </c>
      <c r="J446" s="137" t="s">
        <v>622</v>
      </c>
      <c r="K446" s="137" t="s">
        <v>596</v>
      </c>
      <c r="L446" s="137" t="s">
        <v>596</v>
      </c>
      <c r="M446" s="143" t="str">
        <f t="shared" si="8"/>
        <v>View on Google Map</v>
      </c>
    </row>
    <row r="447" spans="1:14" x14ac:dyDescent="0.2">
      <c r="A447" s="137">
        <v>529</v>
      </c>
      <c r="B447" s="137" t="s">
        <v>1522</v>
      </c>
      <c r="C447" s="137" t="s">
        <v>1002</v>
      </c>
      <c r="D447" s="137">
        <v>68.672934999999995</v>
      </c>
      <c r="E447" s="137">
        <v>-149.61752300000001</v>
      </c>
      <c r="F447" s="137">
        <v>708</v>
      </c>
      <c r="G447" s="137" t="s">
        <v>607</v>
      </c>
      <c r="H447" s="137" t="s">
        <v>596</v>
      </c>
      <c r="I447" s="137" t="s">
        <v>596</v>
      </c>
      <c r="J447" s="137" t="s">
        <v>608</v>
      </c>
      <c r="K447" s="137" t="s">
        <v>596</v>
      </c>
      <c r="L447" s="137" t="s">
        <v>1003</v>
      </c>
      <c r="M447" s="143" t="str">
        <f t="shared" si="8"/>
        <v>View on Google Map</v>
      </c>
    </row>
    <row r="448" spans="1:14" x14ac:dyDescent="0.2">
      <c r="A448" s="137">
        <v>494</v>
      </c>
      <c r="B448" s="137" t="s">
        <v>1523</v>
      </c>
      <c r="C448" s="137" t="s">
        <v>596</v>
      </c>
      <c r="D448" s="137">
        <v>68.673756999999995</v>
      </c>
      <c r="E448" s="137">
        <v>-149.618268</v>
      </c>
      <c r="F448" s="137">
        <v>701</v>
      </c>
      <c r="G448" s="137" t="s">
        <v>621</v>
      </c>
      <c r="H448" s="137" t="s">
        <v>596</v>
      </c>
      <c r="I448" s="137" t="s">
        <v>596</v>
      </c>
      <c r="J448" s="137" t="s">
        <v>1524</v>
      </c>
      <c r="K448" s="137" t="s">
        <v>596</v>
      </c>
      <c r="L448" s="137" t="s">
        <v>1003</v>
      </c>
      <c r="M448" s="143" t="str">
        <f t="shared" si="8"/>
        <v>View on Google Map</v>
      </c>
    </row>
    <row r="449" spans="1:13" x14ac:dyDescent="0.2">
      <c r="A449" s="137">
        <v>189</v>
      </c>
      <c r="B449" s="137" t="s">
        <v>1525</v>
      </c>
      <c r="C449" s="137" t="s">
        <v>596</v>
      </c>
      <c r="D449" s="137">
        <v>68.622</v>
      </c>
      <c r="E449" s="137">
        <v>-149.590666</v>
      </c>
      <c r="F449" s="137">
        <v>725</v>
      </c>
      <c r="G449" s="137" t="s">
        <v>621</v>
      </c>
      <c r="H449" s="137" t="s">
        <v>1526</v>
      </c>
      <c r="I449" s="137" t="s">
        <v>1527</v>
      </c>
      <c r="J449" s="137" t="s">
        <v>622</v>
      </c>
      <c r="K449" s="137" t="s">
        <v>596</v>
      </c>
      <c r="L449" s="137" t="s">
        <v>1011</v>
      </c>
      <c r="M449" s="143" t="str">
        <f t="shared" si="8"/>
        <v>View on Google Map</v>
      </c>
    </row>
    <row r="450" spans="1:13" x14ac:dyDescent="0.2">
      <c r="A450" s="137">
        <v>273</v>
      </c>
      <c r="B450" s="137" t="s">
        <v>1528</v>
      </c>
      <c r="C450" s="137" t="s">
        <v>596</v>
      </c>
      <c r="D450" s="137">
        <v>68.620166670000003</v>
      </c>
      <c r="E450" s="137">
        <v>-149.56816599999999</v>
      </c>
      <c r="F450" s="137">
        <v>739</v>
      </c>
      <c r="G450" s="137" t="s">
        <v>621</v>
      </c>
      <c r="H450" s="137" t="s">
        <v>1529</v>
      </c>
      <c r="I450" s="137" t="s">
        <v>1530</v>
      </c>
      <c r="J450" s="137" t="s">
        <v>622</v>
      </c>
      <c r="K450" s="137" t="s">
        <v>596</v>
      </c>
      <c r="L450" s="137" t="s">
        <v>1011</v>
      </c>
      <c r="M450" s="143" t="str">
        <f t="shared" si="8"/>
        <v>View on Google Map</v>
      </c>
    </row>
    <row r="451" spans="1:13" x14ac:dyDescent="0.2">
      <c r="A451" s="137">
        <v>1175</v>
      </c>
      <c r="B451" s="137" t="s">
        <v>1531</v>
      </c>
      <c r="C451" s="137" t="s">
        <v>596</v>
      </c>
      <c r="D451" s="137">
        <v>68.951925000000003</v>
      </c>
      <c r="E451" s="137">
        <v>-150.20976669999999</v>
      </c>
      <c r="F451" s="137" t="s">
        <v>596</v>
      </c>
      <c r="G451" s="137" t="s">
        <v>621</v>
      </c>
      <c r="H451" s="137" t="s">
        <v>596</v>
      </c>
      <c r="I451" s="137" t="s">
        <v>596</v>
      </c>
      <c r="J451" s="137" t="s">
        <v>1151</v>
      </c>
      <c r="K451" s="137" t="s">
        <v>596</v>
      </c>
      <c r="L451" s="137" t="s">
        <v>596</v>
      </c>
      <c r="M451" s="143" t="str">
        <f t="shared" ref="M451:M514" si="10">HYPERLINK("http://maps.google.com/maps?q="&amp;D451&amp;","&amp;E451,"View on Google Map")</f>
        <v>View on Google Map</v>
      </c>
    </row>
    <row r="452" spans="1:13" x14ac:dyDescent="0.2">
      <c r="A452" s="137">
        <v>103</v>
      </c>
      <c r="B452" s="137" t="s">
        <v>1532</v>
      </c>
      <c r="C452" s="137" t="s">
        <v>596</v>
      </c>
      <c r="D452" s="137">
        <v>68.639893935800004</v>
      </c>
      <c r="E452" s="137">
        <v>-149.606965643</v>
      </c>
      <c r="F452" s="137">
        <v>731</v>
      </c>
      <c r="G452" s="137" t="s">
        <v>607</v>
      </c>
      <c r="H452" s="137" t="s">
        <v>1533</v>
      </c>
      <c r="I452" s="137" t="s">
        <v>1534</v>
      </c>
      <c r="J452" s="137" t="s">
        <v>622</v>
      </c>
      <c r="K452" s="137" t="s">
        <v>596</v>
      </c>
      <c r="L452" s="137" t="s">
        <v>596</v>
      </c>
      <c r="M452" s="143" t="str">
        <f t="shared" si="10"/>
        <v>View on Google Map</v>
      </c>
    </row>
    <row r="453" spans="1:13" x14ac:dyDescent="0.2">
      <c r="A453" s="137">
        <v>104</v>
      </c>
      <c r="B453" s="137" t="s">
        <v>1535</v>
      </c>
      <c r="C453" s="137" t="s">
        <v>596</v>
      </c>
      <c r="D453" s="137">
        <v>68.640947234500004</v>
      </c>
      <c r="E453" s="137">
        <v>-149.625086307</v>
      </c>
      <c r="F453" s="137">
        <v>724</v>
      </c>
      <c r="G453" s="137" t="s">
        <v>607</v>
      </c>
      <c r="H453" s="137" t="s">
        <v>1536</v>
      </c>
      <c r="I453" s="137" t="s">
        <v>1537</v>
      </c>
      <c r="J453" s="137" t="s">
        <v>622</v>
      </c>
      <c r="K453" s="137" t="s">
        <v>596</v>
      </c>
      <c r="L453" s="137" t="s">
        <v>596</v>
      </c>
      <c r="M453" s="143" t="str">
        <f t="shared" si="10"/>
        <v>View on Google Map</v>
      </c>
    </row>
    <row r="454" spans="1:13" x14ac:dyDescent="0.2">
      <c r="A454" s="137">
        <v>105</v>
      </c>
      <c r="B454" s="137" t="s">
        <v>1538</v>
      </c>
      <c r="C454" s="137" t="s">
        <v>596</v>
      </c>
      <c r="D454" s="137">
        <v>68.642385337299999</v>
      </c>
      <c r="E454" s="137">
        <v>-149.630769851</v>
      </c>
      <c r="F454" s="137" t="s">
        <v>596</v>
      </c>
      <c r="G454" s="137" t="s">
        <v>607</v>
      </c>
      <c r="H454" s="137" t="s">
        <v>1539</v>
      </c>
      <c r="I454" s="137" t="s">
        <v>596</v>
      </c>
      <c r="J454" s="137" t="s">
        <v>622</v>
      </c>
      <c r="K454" s="137" t="s">
        <v>596</v>
      </c>
      <c r="L454" s="137" t="s">
        <v>596</v>
      </c>
      <c r="M454" s="143" t="str">
        <f t="shared" si="10"/>
        <v>View on Google Map</v>
      </c>
    </row>
    <row r="455" spans="1:13" x14ac:dyDescent="0.2">
      <c r="A455" s="137">
        <v>245</v>
      </c>
      <c r="B455" s="137" t="s">
        <v>1540</v>
      </c>
      <c r="C455" s="137" t="s">
        <v>596</v>
      </c>
      <c r="D455" s="137">
        <v>68.645120702900002</v>
      </c>
      <c r="E455" s="137">
        <v>-149.64028014900001</v>
      </c>
      <c r="F455" s="137" t="s">
        <v>596</v>
      </c>
      <c r="G455" s="137" t="s">
        <v>607</v>
      </c>
      <c r="H455" s="137" t="s">
        <v>1541</v>
      </c>
      <c r="I455" s="137" t="s">
        <v>596</v>
      </c>
      <c r="J455" s="137" t="s">
        <v>622</v>
      </c>
      <c r="K455" s="137" t="s">
        <v>596</v>
      </c>
      <c r="L455" s="137" t="s">
        <v>596</v>
      </c>
      <c r="M455" s="143" t="str">
        <f t="shared" si="10"/>
        <v>View on Google Map</v>
      </c>
    </row>
    <row r="456" spans="1:13" x14ac:dyDescent="0.2">
      <c r="A456" s="137">
        <v>240</v>
      </c>
      <c r="B456" s="137" t="s">
        <v>1542</v>
      </c>
      <c r="C456" s="137" t="s">
        <v>596</v>
      </c>
      <c r="D456" s="137">
        <v>68.645428204500007</v>
      </c>
      <c r="E456" s="137">
        <v>-149.62885531000001</v>
      </c>
      <c r="F456" s="137" t="s">
        <v>596</v>
      </c>
      <c r="G456" s="137" t="s">
        <v>607</v>
      </c>
      <c r="H456" s="137" t="s">
        <v>1543</v>
      </c>
      <c r="I456" s="137" t="s">
        <v>596</v>
      </c>
      <c r="J456" s="137" t="s">
        <v>622</v>
      </c>
      <c r="K456" s="137" t="s">
        <v>596</v>
      </c>
      <c r="L456" s="137" t="s">
        <v>596</v>
      </c>
      <c r="M456" s="143" t="str">
        <f t="shared" si="10"/>
        <v>View on Google Map</v>
      </c>
    </row>
    <row r="457" spans="1:13" x14ac:dyDescent="0.2">
      <c r="A457" s="137">
        <v>508</v>
      </c>
      <c r="B457" s="137" t="s">
        <v>1544</v>
      </c>
      <c r="C457" s="137" t="s">
        <v>606</v>
      </c>
      <c r="D457" s="137">
        <v>68.396288999999996</v>
      </c>
      <c r="E457" s="137">
        <v>-150.58781500000001</v>
      </c>
      <c r="F457" s="137">
        <v>841</v>
      </c>
      <c r="G457" s="137" t="s">
        <v>607</v>
      </c>
      <c r="H457" s="137" t="s">
        <v>609</v>
      </c>
      <c r="I457" s="137" t="s">
        <v>596</v>
      </c>
      <c r="J457" s="137" t="s">
        <v>608</v>
      </c>
      <c r="K457" s="137" t="s">
        <v>596</v>
      </c>
      <c r="L457" s="137" t="s">
        <v>609</v>
      </c>
      <c r="M457" s="143" t="str">
        <f t="shared" si="10"/>
        <v>View on Google Map</v>
      </c>
    </row>
    <row r="458" spans="1:13" x14ac:dyDescent="0.2">
      <c r="A458" s="137">
        <v>513</v>
      </c>
      <c r="B458" s="137" t="s">
        <v>1545</v>
      </c>
      <c r="C458" s="137" t="s">
        <v>606</v>
      </c>
      <c r="D458" s="137">
        <v>68.362488999999997</v>
      </c>
      <c r="E458" s="137">
        <v>-151.70717300000001</v>
      </c>
      <c r="F458" s="137">
        <v>792</v>
      </c>
      <c r="G458" s="137" t="s">
        <v>607</v>
      </c>
      <c r="H458" s="137" t="s">
        <v>596</v>
      </c>
      <c r="I458" s="137" t="s">
        <v>596</v>
      </c>
      <c r="J458" s="137" t="s">
        <v>608</v>
      </c>
      <c r="K458" s="137" t="s">
        <v>596</v>
      </c>
      <c r="L458" s="137" t="s">
        <v>609</v>
      </c>
      <c r="M458" s="143" t="str">
        <f t="shared" si="10"/>
        <v>View on Google Map</v>
      </c>
    </row>
    <row r="459" spans="1:13" x14ac:dyDescent="0.2">
      <c r="A459" s="137">
        <v>512</v>
      </c>
      <c r="B459" s="137" t="s">
        <v>1546</v>
      </c>
      <c r="C459" s="137" t="s">
        <v>606</v>
      </c>
      <c r="D459" s="137">
        <v>68.351332999999997</v>
      </c>
      <c r="E459" s="137">
        <v>-151.702167</v>
      </c>
      <c r="F459" s="137">
        <v>789</v>
      </c>
      <c r="G459" s="137" t="s">
        <v>607</v>
      </c>
      <c r="H459" s="137" t="s">
        <v>596</v>
      </c>
      <c r="I459" s="137" t="s">
        <v>596</v>
      </c>
      <c r="J459" s="137" t="s">
        <v>608</v>
      </c>
      <c r="K459" s="137" t="s">
        <v>596</v>
      </c>
      <c r="L459" s="137" t="s">
        <v>609</v>
      </c>
      <c r="M459" s="143" t="str">
        <f t="shared" si="10"/>
        <v>View on Google Map</v>
      </c>
    </row>
    <row r="460" spans="1:13" x14ac:dyDescent="0.2">
      <c r="A460" s="137">
        <v>511</v>
      </c>
      <c r="B460" s="137" t="s">
        <v>1547</v>
      </c>
      <c r="C460" s="137" t="s">
        <v>606</v>
      </c>
      <c r="D460" s="137">
        <v>68.347333000000006</v>
      </c>
      <c r="E460" s="137">
        <v>-151.70316700000001</v>
      </c>
      <c r="F460" s="137">
        <v>798</v>
      </c>
      <c r="G460" s="137" t="s">
        <v>607</v>
      </c>
      <c r="H460" s="137" t="s">
        <v>596</v>
      </c>
      <c r="I460" s="137" t="s">
        <v>596</v>
      </c>
      <c r="J460" s="137" t="s">
        <v>608</v>
      </c>
      <c r="K460" s="137" t="s">
        <v>596</v>
      </c>
      <c r="L460" s="137" t="s">
        <v>609</v>
      </c>
      <c r="M460" s="143" t="str">
        <f t="shared" si="10"/>
        <v>View on Google Map</v>
      </c>
    </row>
    <row r="461" spans="1:13" x14ac:dyDescent="0.2">
      <c r="A461" s="137">
        <v>510</v>
      </c>
      <c r="B461" s="137" t="s">
        <v>1548</v>
      </c>
      <c r="C461" s="137" t="s">
        <v>606</v>
      </c>
      <c r="D461" s="137">
        <v>68.351332999999997</v>
      </c>
      <c r="E461" s="137">
        <v>-151.702167</v>
      </c>
      <c r="F461" s="137">
        <v>810</v>
      </c>
      <c r="G461" s="137" t="s">
        <v>607</v>
      </c>
      <c r="H461" s="137" t="s">
        <v>596</v>
      </c>
      <c r="I461" s="137" t="s">
        <v>596</v>
      </c>
      <c r="J461" s="137" t="s">
        <v>608</v>
      </c>
      <c r="K461" s="137" t="s">
        <v>596</v>
      </c>
      <c r="L461" s="137" t="s">
        <v>609</v>
      </c>
      <c r="M461" s="143" t="str">
        <f t="shared" si="10"/>
        <v>View on Google Map</v>
      </c>
    </row>
    <row r="462" spans="1:13" x14ac:dyDescent="0.2">
      <c r="A462" s="137">
        <v>233</v>
      </c>
      <c r="B462" s="137" t="s">
        <v>1549</v>
      </c>
      <c r="C462" s="137" t="s">
        <v>596</v>
      </c>
      <c r="D462" s="137">
        <v>68.643783170000006</v>
      </c>
      <c r="E462" s="137">
        <v>-149.58949436200001</v>
      </c>
      <c r="F462" s="137">
        <v>716</v>
      </c>
      <c r="G462" s="137" t="s">
        <v>607</v>
      </c>
      <c r="H462" s="137" t="s">
        <v>1550</v>
      </c>
      <c r="I462" s="137" t="s">
        <v>596</v>
      </c>
      <c r="J462" s="137" t="s">
        <v>622</v>
      </c>
      <c r="K462" s="137" t="s">
        <v>596</v>
      </c>
      <c r="L462" s="137" t="s">
        <v>596</v>
      </c>
      <c r="M462" s="143" t="str">
        <f t="shared" si="10"/>
        <v>View on Google Map</v>
      </c>
    </row>
    <row r="463" spans="1:13" x14ac:dyDescent="0.2">
      <c r="A463" s="137">
        <v>147</v>
      </c>
      <c r="B463" s="137" t="s">
        <v>1551</v>
      </c>
      <c r="C463" s="137" t="s">
        <v>596</v>
      </c>
      <c r="D463" s="137">
        <v>68.646325005500003</v>
      </c>
      <c r="E463" s="137">
        <v>-149.58272243900001</v>
      </c>
      <c r="F463" s="137">
        <v>716</v>
      </c>
      <c r="G463" s="137" t="s">
        <v>607</v>
      </c>
      <c r="H463" s="137" t="s">
        <v>1552</v>
      </c>
      <c r="I463" s="137" t="s">
        <v>596</v>
      </c>
      <c r="J463" s="137" t="s">
        <v>622</v>
      </c>
      <c r="K463" s="137" t="s">
        <v>596</v>
      </c>
      <c r="L463" s="137" t="s">
        <v>596</v>
      </c>
      <c r="M463" s="143" t="str">
        <f t="shared" si="10"/>
        <v>View on Google Map</v>
      </c>
    </row>
    <row r="464" spans="1:13" x14ac:dyDescent="0.2">
      <c r="A464" s="137">
        <v>234</v>
      </c>
      <c r="B464" s="137" t="s">
        <v>1553</v>
      </c>
      <c r="C464" s="137" t="s">
        <v>596</v>
      </c>
      <c r="D464" s="137">
        <v>68.650192520999994</v>
      </c>
      <c r="E464" s="137">
        <v>-149.58255972500001</v>
      </c>
      <c r="F464" s="137">
        <v>731</v>
      </c>
      <c r="G464" s="137" t="s">
        <v>607</v>
      </c>
      <c r="H464" s="137" t="s">
        <v>1554</v>
      </c>
      <c r="I464" s="137" t="s">
        <v>596</v>
      </c>
      <c r="J464" s="137" t="s">
        <v>622</v>
      </c>
      <c r="K464" s="137" t="s">
        <v>596</v>
      </c>
      <c r="L464" s="137" t="s">
        <v>596</v>
      </c>
      <c r="M464" s="143" t="str">
        <f t="shared" si="10"/>
        <v>View on Google Map</v>
      </c>
    </row>
    <row r="465" spans="1:13" x14ac:dyDescent="0.2">
      <c r="A465" s="137">
        <v>306</v>
      </c>
      <c r="B465" s="137" t="s">
        <v>1555</v>
      </c>
      <c r="C465" s="137" t="s">
        <v>596</v>
      </c>
      <c r="D465" s="137" t="s">
        <v>596</v>
      </c>
      <c r="E465" s="137" t="s">
        <v>596</v>
      </c>
      <c r="F465" s="137">
        <v>731</v>
      </c>
      <c r="G465" s="137" t="s">
        <v>607</v>
      </c>
      <c r="H465" s="137" t="s">
        <v>1556</v>
      </c>
      <c r="I465" s="137" t="s">
        <v>596</v>
      </c>
      <c r="J465" s="137" t="s">
        <v>622</v>
      </c>
      <c r="K465" s="137" t="s">
        <v>596</v>
      </c>
      <c r="L465" s="137" t="s">
        <v>596</v>
      </c>
      <c r="M465" s="143" t="str">
        <f t="shared" si="10"/>
        <v>View on Google Map</v>
      </c>
    </row>
    <row r="466" spans="1:13" x14ac:dyDescent="0.2">
      <c r="A466" s="137">
        <v>235</v>
      </c>
      <c r="B466" s="137" t="s">
        <v>1557</v>
      </c>
      <c r="C466" s="137" t="s">
        <v>596</v>
      </c>
      <c r="D466" s="137" t="s">
        <v>596</v>
      </c>
      <c r="E466" s="137" t="s">
        <v>596</v>
      </c>
      <c r="F466" s="137">
        <v>716</v>
      </c>
      <c r="G466" s="137" t="s">
        <v>607</v>
      </c>
      <c r="H466" s="137" t="s">
        <v>1558</v>
      </c>
      <c r="I466" s="137" t="s">
        <v>596</v>
      </c>
      <c r="J466" s="137" t="s">
        <v>622</v>
      </c>
      <c r="K466" s="137" t="s">
        <v>596</v>
      </c>
      <c r="L466" s="137" t="s">
        <v>596</v>
      </c>
      <c r="M466" s="143" t="str">
        <f t="shared" si="10"/>
        <v>View on Google Map</v>
      </c>
    </row>
    <row r="467" spans="1:13" x14ac:dyDescent="0.2">
      <c r="A467" s="137">
        <v>307</v>
      </c>
      <c r="B467" s="137" t="s">
        <v>1559</v>
      </c>
      <c r="C467" s="137" t="s">
        <v>596</v>
      </c>
      <c r="D467" s="137" t="s">
        <v>596</v>
      </c>
      <c r="E467" s="137" t="s">
        <v>596</v>
      </c>
      <c r="F467" s="137">
        <v>716</v>
      </c>
      <c r="G467" s="137" t="s">
        <v>607</v>
      </c>
      <c r="H467" s="137" t="s">
        <v>1560</v>
      </c>
      <c r="I467" s="137" t="s">
        <v>596</v>
      </c>
      <c r="J467" s="137" t="s">
        <v>622</v>
      </c>
      <c r="K467" s="137" t="s">
        <v>596</v>
      </c>
      <c r="L467" s="137" t="s">
        <v>596</v>
      </c>
      <c r="M467" s="143" t="str">
        <f t="shared" si="10"/>
        <v>View on Google Map</v>
      </c>
    </row>
    <row r="468" spans="1:13" x14ac:dyDescent="0.2">
      <c r="A468" s="137">
        <v>236</v>
      </c>
      <c r="B468" s="137" t="s">
        <v>1561</v>
      </c>
      <c r="C468" s="137" t="s">
        <v>596</v>
      </c>
      <c r="D468" s="137">
        <v>68.653572283900004</v>
      </c>
      <c r="E468" s="137">
        <v>-149.58091106399999</v>
      </c>
      <c r="F468" s="137">
        <v>731</v>
      </c>
      <c r="G468" s="137" t="s">
        <v>607</v>
      </c>
      <c r="H468" s="137" t="s">
        <v>1562</v>
      </c>
      <c r="I468" s="137" t="s">
        <v>596</v>
      </c>
      <c r="J468" s="137" t="s">
        <v>622</v>
      </c>
      <c r="K468" s="137" t="s">
        <v>596</v>
      </c>
      <c r="L468" s="137" t="s">
        <v>596</v>
      </c>
      <c r="M468" s="143" t="str">
        <f t="shared" si="10"/>
        <v>View on Google Map</v>
      </c>
    </row>
    <row r="469" spans="1:13" x14ac:dyDescent="0.2">
      <c r="A469" s="137">
        <v>308</v>
      </c>
      <c r="B469" s="137" t="s">
        <v>1563</v>
      </c>
      <c r="C469" s="137" t="s">
        <v>596</v>
      </c>
      <c r="D469" s="137">
        <v>68.652551279199997</v>
      </c>
      <c r="E469" s="137">
        <v>-149.58676006799999</v>
      </c>
      <c r="F469" s="137">
        <v>731</v>
      </c>
      <c r="G469" s="137" t="s">
        <v>607</v>
      </c>
      <c r="H469" s="137" t="s">
        <v>1564</v>
      </c>
      <c r="I469" s="137" t="s">
        <v>596</v>
      </c>
      <c r="J469" s="137" t="s">
        <v>622</v>
      </c>
      <c r="K469" s="137" t="s">
        <v>596</v>
      </c>
      <c r="L469" s="137" t="s">
        <v>596</v>
      </c>
      <c r="M469" s="143" t="str">
        <f t="shared" si="10"/>
        <v>View on Google Map</v>
      </c>
    </row>
    <row r="470" spans="1:13" x14ac:dyDescent="0.2">
      <c r="A470" s="137">
        <v>446</v>
      </c>
      <c r="B470" s="137" t="s">
        <v>1565</v>
      </c>
      <c r="C470" s="137" t="s">
        <v>596</v>
      </c>
      <c r="D470" s="137">
        <v>68.653536133599999</v>
      </c>
      <c r="E470" s="137">
        <v>-149.59622183299999</v>
      </c>
      <c r="F470" s="137">
        <v>747</v>
      </c>
      <c r="G470" s="137" t="s">
        <v>607</v>
      </c>
      <c r="H470" s="137" t="s">
        <v>1566</v>
      </c>
      <c r="I470" s="137" t="s">
        <v>596</v>
      </c>
      <c r="J470" s="137" t="s">
        <v>622</v>
      </c>
      <c r="K470" s="137" t="s">
        <v>596</v>
      </c>
      <c r="L470" s="137" t="s">
        <v>596</v>
      </c>
      <c r="M470" s="143" t="str">
        <f t="shared" si="10"/>
        <v>View on Google Map</v>
      </c>
    </row>
    <row r="471" spans="1:13" x14ac:dyDescent="0.2">
      <c r="A471" s="137">
        <v>447</v>
      </c>
      <c r="B471" s="137" t="s">
        <v>1567</v>
      </c>
      <c r="C471" s="137" t="s">
        <v>596</v>
      </c>
      <c r="D471" s="137">
        <v>68.652588284900006</v>
      </c>
      <c r="E471" s="137">
        <v>-149.60764069300001</v>
      </c>
      <c r="F471" s="137" t="s">
        <v>596</v>
      </c>
      <c r="G471" s="137" t="s">
        <v>607</v>
      </c>
      <c r="H471" s="137" t="s">
        <v>1568</v>
      </c>
      <c r="I471" s="137" t="s">
        <v>596</v>
      </c>
      <c r="J471" s="137" t="s">
        <v>622</v>
      </c>
      <c r="K471" s="137" t="s">
        <v>596</v>
      </c>
      <c r="L471" s="137" t="s">
        <v>596</v>
      </c>
      <c r="M471" s="143" t="str">
        <f t="shared" si="10"/>
        <v>View on Google Map</v>
      </c>
    </row>
    <row r="472" spans="1:13" x14ac:dyDescent="0.2">
      <c r="A472" s="137">
        <v>504</v>
      </c>
      <c r="B472" s="137" t="s">
        <v>1569</v>
      </c>
      <c r="C472" s="137" t="s">
        <v>596</v>
      </c>
      <c r="D472" s="137">
        <v>68.647407723699999</v>
      </c>
      <c r="E472" s="137">
        <v>-149.60936597400001</v>
      </c>
      <c r="F472" s="137">
        <v>731</v>
      </c>
      <c r="G472" s="137" t="s">
        <v>607</v>
      </c>
      <c r="H472" s="137" t="s">
        <v>596</v>
      </c>
      <c r="I472" s="137" t="s">
        <v>596</v>
      </c>
      <c r="J472" s="137" t="s">
        <v>622</v>
      </c>
      <c r="K472" s="137" t="s">
        <v>596</v>
      </c>
      <c r="L472" s="137" t="s">
        <v>596</v>
      </c>
      <c r="M472" s="143" t="str">
        <f t="shared" si="10"/>
        <v>View on Google Map</v>
      </c>
    </row>
    <row r="473" spans="1:13" x14ac:dyDescent="0.2">
      <c r="A473" s="137">
        <v>108</v>
      </c>
      <c r="B473" s="137" t="s">
        <v>1570</v>
      </c>
      <c r="C473" s="137" t="s">
        <v>596</v>
      </c>
      <c r="D473" s="137">
        <v>68.650000000000006</v>
      </c>
      <c r="E473" s="137">
        <v>-149.61666666666667</v>
      </c>
      <c r="F473" s="137">
        <v>699</v>
      </c>
      <c r="G473" s="137" t="s">
        <v>607</v>
      </c>
      <c r="H473" s="137" t="s">
        <v>1571</v>
      </c>
      <c r="I473" s="137" t="s">
        <v>596</v>
      </c>
      <c r="J473" s="137" t="s">
        <v>622</v>
      </c>
      <c r="K473" s="137" t="s">
        <v>596</v>
      </c>
      <c r="L473" s="137" t="s">
        <v>596</v>
      </c>
      <c r="M473" s="143" t="str">
        <f t="shared" si="10"/>
        <v>View on Google Map</v>
      </c>
    </row>
    <row r="474" spans="1:13" x14ac:dyDescent="0.2">
      <c r="A474" s="137">
        <v>309</v>
      </c>
      <c r="B474" s="137" t="s">
        <v>1572</v>
      </c>
      <c r="C474" s="137" t="s">
        <v>596</v>
      </c>
      <c r="D474" s="137" t="s">
        <v>596</v>
      </c>
      <c r="E474" s="137" t="s">
        <v>596</v>
      </c>
      <c r="F474" s="137" t="s">
        <v>596</v>
      </c>
      <c r="G474" s="137" t="s">
        <v>607</v>
      </c>
      <c r="H474" s="137" t="s">
        <v>1573</v>
      </c>
      <c r="I474" s="137" t="s">
        <v>596</v>
      </c>
      <c r="J474" s="137" t="s">
        <v>622</v>
      </c>
      <c r="K474" s="137" t="s">
        <v>596</v>
      </c>
      <c r="L474" s="137" t="s">
        <v>596</v>
      </c>
      <c r="M474" s="143" t="str">
        <f t="shared" si="10"/>
        <v>View on Google Map</v>
      </c>
    </row>
    <row r="475" spans="1:13" x14ac:dyDescent="0.2">
      <c r="A475" s="137">
        <v>109</v>
      </c>
      <c r="B475" s="137" t="s">
        <v>1574</v>
      </c>
      <c r="C475" s="137" t="s">
        <v>596</v>
      </c>
      <c r="D475" s="137">
        <v>68.683333333333337</v>
      </c>
      <c r="E475" s="137">
        <v>-149.61666666666667</v>
      </c>
      <c r="F475" s="137">
        <v>701</v>
      </c>
      <c r="G475" s="137" t="s">
        <v>607</v>
      </c>
      <c r="H475" s="137" t="s">
        <v>1575</v>
      </c>
      <c r="I475" s="137" t="s">
        <v>596</v>
      </c>
      <c r="J475" s="137" t="s">
        <v>622</v>
      </c>
      <c r="K475" s="137" t="s">
        <v>596</v>
      </c>
      <c r="L475" s="137" t="s">
        <v>596</v>
      </c>
      <c r="M475" s="143" t="str">
        <f t="shared" si="10"/>
        <v>View on Google Map</v>
      </c>
    </row>
    <row r="476" spans="1:13" x14ac:dyDescent="0.2">
      <c r="A476" s="137">
        <v>497</v>
      </c>
      <c r="B476" s="137" t="s">
        <v>1576</v>
      </c>
      <c r="C476" s="137" t="s">
        <v>1577</v>
      </c>
      <c r="D476" s="137">
        <v>68.674931999999998</v>
      </c>
      <c r="E476" s="137">
        <v>-149.625439</v>
      </c>
      <c r="F476" s="137">
        <v>701</v>
      </c>
      <c r="G476" s="137" t="s">
        <v>607</v>
      </c>
      <c r="H476" s="137" t="s">
        <v>596</v>
      </c>
      <c r="I476" s="137" t="s">
        <v>596</v>
      </c>
      <c r="J476" s="137" t="s">
        <v>1524</v>
      </c>
      <c r="K476" s="137" t="s">
        <v>596</v>
      </c>
      <c r="L476" s="137" t="s">
        <v>1003</v>
      </c>
      <c r="M476" s="143" t="str">
        <f t="shared" si="10"/>
        <v>View on Google Map</v>
      </c>
    </row>
    <row r="477" spans="1:13" x14ac:dyDescent="0.2">
      <c r="A477" s="137">
        <v>498</v>
      </c>
      <c r="B477" s="137" t="s">
        <v>1578</v>
      </c>
      <c r="C477" s="137" t="s">
        <v>596</v>
      </c>
      <c r="D477" s="137">
        <v>68.677723</v>
      </c>
      <c r="E477" s="137">
        <v>-149.62402800000001</v>
      </c>
      <c r="F477" s="137">
        <v>701</v>
      </c>
      <c r="G477" s="137" t="s">
        <v>621</v>
      </c>
      <c r="H477" s="137" t="s">
        <v>596</v>
      </c>
      <c r="I477" s="137" t="s">
        <v>596</v>
      </c>
      <c r="J477" s="137" t="s">
        <v>1524</v>
      </c>
      <c r="K477" s="137" t="s">
        <v>596</v>
      </c>
      <c r="L477" s="137" t="s">
        <v>1003</v>
      </c>
      <c r="M477" s="143" t="str">
        <f t="shared" si="10"/>
        <v>View on Google Map</v>
      </c>
    </row>
    <row r="478" spans="1:13" x14ac:dyDescent="0.2">
      <c r="A478" s="137">
        <v>495</v>
      </c>
      <c r="B478" s="137" t="s">
        <v>1579</v>
      </c>
      <c r="C478" s="137" t="s">
        <v>596</v>
      </c>
      <c r="D478" s="137">
        <v>68.674121999999997</v>
      </c>
      <c r="E478" s="137">
        <v>-149.62885</v>
      </c>
      <c r="F478" s="137">
        <v>701</v>
      </c>
      <c r="G478" s="137" t="s">
        <v>621</v>
      </c>
      <c r="H478" s="137" t="s">
        <v>596</v>
      </c>
      <c r="I478" s="137" t="s">
        <v>596</v>
      </c>
      <c r="J478" s="137" t="s">
        <v>1524</v>
      </c>
      <c r="K478" s="137" t="s">
        <v>596</v>
      </c>
      <c r="L478" s="137" t="s">
        <v>1003</v>
      </c>
      <c r="M478" s="143" t="str">
        <f t="shared" si="10"/>
        <v>View on Google Map</v>
      </c>
    </row>
    <row r="479" spans="1:13" x14ac:dyDescent="0.2">
      <c r="A479" s="137">
        <v>448</v>
      </c>
      <c r="B479" s="137" t="s">
        <v>1580</v>
      </c>
      <c r="C479" s="137" t="s">
        <v>596</v>
      </c>
      <c r="D479" s="137">
        <v>68.655874034999997</v>
      </c>
      <c r="E479" s="137">
        <v>-149.58555905599999</v>
      </c>
      <c r="F479" s="137" t="s">
        <v>596</v>
      </c>
      <c r="G479" s="137" t="s">
        <v>607</v>
      </c>
      <c r="H479" s="137" t="s">
        <v>1581</v>
      </c>
      <c r="I479" s="137" t="s">
        <v>596</v>
      </c>
      <c r="J479" s="137" t="s">
        <v>622</v>
      </c>
      <c r="K479" s="137" t="s">
        <v>596</v>
      </c>
      <c r="L479" s="137" t="s">
        <v>596</v>
      </c>
      <c r="M479" s="143" t="str">
        <f t="shared" si="10"/>
        <v>View on Google Map</v>
      </c>
    </row>
    <row r="480" spans="1:13" x14ac:dyDescent="0.2">
      <c r="A480" s="137">
        <v>449</v>
      </c>
      <c r="B480" s="137" t="s">
        <v>1582</v>
      </c>
      <c r="C480" s="137" t="s">
        <v>596</v>
      </c>
      <c r="D480" s="137">
        <v>68.661045276899998</v>
      </c>
      <c r="E480" s="137">
        <v>-149.586664767</v>
      </c>
      <c r="F480" s="137" t="s">
        <v>596</v>
      </c>
      <c r="G480" s="137" t="s">
        <v>607</v>
      </c>
      <c r="H480" s="137" t="s">
        <v>1583</v>
      </c>
      <c r="I480" s="137" t="s">
        <v>596</v>
      </c>
      <c r="J480" s="137" t="s">
        <v>622</v>
      </c>
      <c r="K480" s="137" t="s">
        <v>596</v>
      </c>
      <c r="L480" s="137" t="s">
        <v>596</v>
      </c>
      <c r="M480" s="143" t="str">
        <f t="shared" si="10"/>
        <v>View on Google Map</v>
      </c>
    </row>
    <row r="481" spans="1:13" x14ac:dyDescent="0.2">
      <c r="A481" s="137">
        <v>171</v>
      </c>
      <c r="B481" s="137" t="s">
        <v>1584</v>
      </c>
      <c r="C481" s="137" t="s">
        <v>596</v>
      </c>
      <c r="D481" s="137">
        <v>68.652645483100002</v>
      </c>
      <c r="E481" s="137">
        <v>-149.59947366200001</v>
      </c>
      <c r="F481" s="137">
        <v>747</v>
      </c>
      <c r="G481" s="137" t="s">
        <v>607</v>
      </c>
      <c r="H481" s="137" t="s">
        <v>1585</v>
      </c>
      <c r="I481" s="137" t="s">
        <v>1586</v>
      </c>
      <c r="J481" s="137" t="s">
        <v>622</v>
      </c>
      <c r="K481" s="137" t="s">
        <v>596</v>
      </c>
      <c r="L481" s="137" t="s">
        <v>596</v>
      </c>
      <c r="M481" s="143" t="str">
        <f t="shared" si="10"/>
        <v>View on Google Map</v>
      </c>
    </row>
    <row r="482" spans="1:13" x14ac:dyDescent="0.2">
      <c r="A482" s="137">
        <v>499</v>
      </c>
      <c r="B482" s="137" t="s">
        <v>1587</v>
      </c>
      <c r="C482" s="137" t="s">
        <v>596</v>
      </c>
      <c r="D482" s="137">
        <v>68.829610000000002</v>
      </c>
      <c r="E482" s="137">
        <v>-149.77901</v>
      </c>
      <c r="F482" s="137">
        <v>633</v>
      </c>
      <c r="G482" s="137" t="s">
        <v>607</v>
      </c>
      <c r="H482" s="137" t="s">
        <v>1588</v>
      </c>
      <c r="I482" s="137" t="s">
        <v>1589</v>
      </c>
      <c r="J482" s="137" t="s">
        <v>608</v>
      </c>
      <c r="K482" s="137" t="s">
        <v>596</v>
      </c>
      <c r="L482" s="137" t="s">
        <v>596</v>
      </c>
      <c r="M482" s="143" t="str">
        <f t="shared" si="10"/>
        <v>View on Google Map</v>
      </c>
    </row>
    <row r="483" spans="1:13" x14ac:dyDescent="0.2">
      <c r="A483" s="137">
        <v>500</v>
      </c>
      <c r="B483" s="137" t="s">
        <v>1590</v>
      </c>
      <c r="C483" s="137" t="s">
        <v>596</v>
      </c>
      <c r="D483" s="137">
        <v>68.832999999999998</v>
      </c>
      <c r="E483" s="137">
        <v>-149.76808</v>
      </c>
      <c r="F483" s="137">
        <v>624</v>
      </c>
      <c r="G483" s="137" t="s">
        <v>607</v>
      </c>
      <c r="H483" s="137" t="s">
        <v>1591</v>
      </c>
      <c r="I483" s="137" t="s">
        <v>1592</v>
      </c>
      <c r="J483" s="137" t="s">
        <v>608</v>
      </c>
      <c r="K483" s="137" t="s">
        <v>596</v>
      </c>
      <c r="L483" s="137" t="s">
        <v>596</v>
      </c>
      <c r="M483" s="143" t="str">
        <f t="shared" si="10"/>
        <v>View on Google Map</v>
      </c>
    </row>
    <row r="484" spans="1:13" x14ac:dyDescent="0.2">
      <c r="A484" s="137">
        <v>501</v>
      </c>
      <c r="B484" s="137" t="s">
        <v>1593</v>
      </c>
      <c r="C484" s="137" t="s">
        <v>596</v>
      </c>
      <c r="D484" s="137">
        <v>68.828299999999999</v>
      </c>
      <c r="E484" s="137">
        <v>-149.76473999999999</v>
      </c>
      <c r="F484" s="137">
        <v>624</v>
      </c>
      <c r="G484" s="137" t="s">
        <v>607</v>
      </c>
      <c r="H484" s="137" t="s">
        <v>1594</v>
      </c>
      <c r="I484" s="137" t="s">
        <v>1595</v>
      </c>
      <c r="J484" s="137" t="s">
        <v>608</v>
      </c>
      <c r="K484" s="137" t="s">
        <v>596</v>
      </c>
      <c r="L484" s="137" t="s">
        <v>596</v>
      </c>
      <c r="M484" s="143" t="str">
        <f t="shared" si="10"/>
        <v>View on Google Map</v>
      </c>
    </row>
    <row r="485" spans="1:13" x14ac:dyDescent="0.2">
      <c r="A485" s="137">
        <v>502</v>
      </c>
      <c r="B485" s="137" t="s">
        <v>1596</v>
      </c>
      <c r="C485" s="137" t="s">
        <v>596</v>
      </c>
      <c r="D485" s="137">
        <v>68.826520000000002</v>
      </c>
      <c r="E485" s="137">
        <v>-149.75897000000001</v>
      </c>
      <c r="F485" s="137">
        <v>592</v>
      </c>
      <c r="G485" s="137" t="s">
        <v>607</v>
      </c>
      <c r="H485" s="137" t="s">
        <v>1597</v>
      </c>
      <c r="I485" s="137" t="s">
        <v>1598</v>
      </c>
      <c r="J485" s="137" t="s">
        <v>608</v>
      </c>
      <c r="K485" s="137" t="s">
        <v>596</v>
      </c>
      <c r="L485" s="137" t="s">
        <v>596</v>
      </c>
      <c r="M485" s="143" t="str">
        <f t="shared" si="10"/>
        <v>View on Google Map</v>
      </c>
    </row>
    <row r="486" spans="1:13" x14ac:dyDescent="0.2">
      <c r="A486" s="137">
        <v>503</v>
      </c>
      <c r="B486" s="137" t="s">
        <v>1599</v>
      </c>
      <c r="C486" s="137" t="s">
        <v>596</v>
      </c>
      <c r="D486" s="137">
        <v>68.827259999999995</v>
      </c>
      <c r="E486" s="137">
        <v>-149.75089</v>
      </c>
      <c r="F486" s="137">
        <v>592</v>
      </c>
      <c r="G486" s="137" t="s">
        <v>607</v>
      </c>
      <c r="H486" s="137" t="s">
        <v>1600</v>
      </c>
      <c r="I486" s="137" t="s">
        <v>1601</v>
      </c>
      <c r="J486" s="137" t="s">
        <v>608</v>
      </c>
      <c r="K486" s="137" t="s">
        <v>596</v>
      </c>
      <c r="L486" s="137" t="s">
        <v>596</v>
      </c>
      <c r="M486" s="143" t="str">
        <f t="shared" si="10"/>
        <v>View on Google Map</v>
      </c>
    </row>
    <row r="487" spans="1:13" x14ac:dyDescent="0.2">
      <c r="A487" s="137">
        <v>488</v>
      </c>
      <c r="B487" s="137" t="s">
        <v>1602</v>
      </c>
      <c r="C487" s="137" t="s">
        <v>596</v>
      </c>
      <c r="D487" s="137">
        <v>69.329949999999997</v>
      </c>
      <c r="E487" s="137">
        <v>-150.95275000000001</v>
      </c>
      <c r="F487" s="137">
        <v>127</v>
      </c>
      <c r="G487" s="137" t="s">
        <v>607</v>
      </c>
      <c r="H487" s="137" t="s">
        <v>596</v>
      </c>
      <c r="I487" s="137" t="s">
        <v>596</v>
      </c>
      <c r="J487" s="137" t="s">
        <v>657</v>
      </c>
      <c r="K487" s="137" t="s">
        <v>596</v>
      </c>
      <c r="L487" s="137" t="s">
        <v>604</v>
      </c>
      <c r="M487" s="143" t="str">
        <f t="shared" si="10"/>
        <v>View on Google Map</v>
      </c>
    </row>
    <row r="488" spans="1:13" x14ac:dyDescent="0.2">
      <c r="A488" s="137">
        <v>489</v>
      </c>
      <c r="B488" s="137" t="s">
        <v>1603</v>
      </c>
      <c r="C488" s="137" t="s">
        <v>596</v>
      </c>
      <c r="D488" s="137" t="s">
        <v>596</v>
      </c>
      <c r="E488" s="137" t="s">
        <v>596</v>
      </c>
      <c r="F488" s="137">
        <v>127</v>
      </c>
      <c r="G488" s="137" t="s">
        <v>621</v>
      </c>
      <c r="H488" s="137" t="s">
        <v>596</v>
      </c>
      <c r="I488" s="137" t="s">
        <v>596</v>
      </c>
      <c r="J488" s="137" t="s">
        <v>657</v>
      </c>
      <c r="K488" s="137" t="s">
        <v>596</v>
      </c>
      <c r="L488" s="137" t="s">
        <v>604</v>
      </c>
      <c r="M488" s="143" t="str">
        <f t="shared" si="10"/>
        <v>View on Google Map</v>
      </c>
    </row>
    <row r="489" spans="1:13" x14ac:dyDescent="0.2">
      <c r="A489" s="137">
        <v>490</v>
      </c>
      <c r="B489" s="137" t="s">
        <v>1604</v>
      </c>
      <c r="C489" s="137" t="s">
        <v>596</v>
      </c>
      <c r="D489" s="137" t="s">
        <v>596</v>
      </c>
      <c r="E489" s="137" t="s">
        <v>596</v>
      </c>
      <c r="F489" s="137">
        <v>127</v>
      </c>
      <c r="G489" s="137" t="s">
        <v>607</v>
      </c>
      <c r="H489" s="137" t="s">
        <v>596</v>
      </c>
      <c r="I489" s="137" t="s">
        <v>596</v>
      </c>
      <c r="J489" s="137" t="s">
        <v>657</v>
      </c>
      <c r="K489" s="137" t="s">
        <v>596</v>
      </c>
      <c r="L489" s="137" t="s">
        <v>604</v>
      </c>
      <c r="M489" s="143" t="str">
        <f t="shared" si="10"/>
        <v>View on Google Map</v>
      </c>
    </row>
    <row r="490" spans="1:13" x14ac:dyDescent="0.2">
      <c r="A490" s="137">
        <v>34</v>
      </c>
      <c r="B490" s="137" t="s">
        <v>1605</v>
      </c>
      <c r="C490" s="137" t="s">
        <v>596</v>
      </c>
      <c r="D490" s="137">
        <v>69.057400000000001</v>
      </c>
      <c r="E490" s="137">
        <v>-150.39599999999999</v>
      </c>
      <c r="F490" s="137">
        <v>274</v>
      </c>
      <c r="G490" s="137" t="s">
        <v>621</v>
      </c>
      <c r="H490" s="137" t="s">
        <v>596</v>
      </c>
      <c r="I490" s="137" t="s">
        <v>596</v>
      </c>
      <c r="J490" s="137" t="s">
        <v>657</v>
      </c>
      <c r="K490" s="137" t="s">
        <v>596</v>
      </c>
      <c r="L490" s="137" t="s">
        <v>604</v>
      </c>
      <c r="M490" s="143" t="str">
        <f t="shared" si="10"/>
        <v>View on Google Map</v>
      </c>
    </row>
    <row r="491" spans="1:13" x14ac:dyDescent="0.2">
      <c r="A491" s="137">
        <v>45</v>
      </c>
      <c r="B491" s="137" t="s">
        <v>1606</v>
      </c>
      <c r="C491" s="137" t="s">
        <v>596</v>
      </c>
      <c r="D491" s="137">
        <v>69.063298000000003</v>
      </c>
      <c r="E491" s="137">
        <v>-150.394711</v>
      </c>
      <c r="F491" s="137" t="s">
        <v>596</v>
      </c>
      <c r="G491" s="137" t="s">
        <v>621</v>
      </c>
      <c r="H491" s="137" t="s">
        <v>596</v>
      </c>
      <c r="I491" s="137" t="s">
        <v>596</v>
      </c>
      <c r="J491" s="137" t="s">
        <v>1607</v>
      </c>
      <c r="K491" s="137" t="s">
        <v>596</v>
      </c>
      <c r="L491" s="137" t="s">
        <v>604</v>
      </c>
      <c r="M491" s="143" t="str">
        <f t="shared" si="10"/>
        <v>View on Google Map</v>
      </c>
    </row>
    <row r="492" spans="1:13" x14ac:dyDescent="0.2">
      <c r="B492" s="137" t="s">
        <v>1608</v>
      </c>
      <c r="C492" s="137" t="s">
        <v>1609</v>
      </c>
      <c r="D492" s="137">
        <v>69.138333333333335</v>
      </c>
      <c r="E492" s="137">
        <v>-150.64916666666701</v>
      </c>
      <c r="G492" s="137" t="s">
        <v>615</v>
      </c>
      <c r="J492" s="137" t="s">
        <v>603</v>
      </c>
      <c r="L492" s="137" t="s">
        <v>604</v>
      </c>
      <c r="M492" s="143" t="str">
        <f t="shared" si="10"/>
        <v>View on Google Map</v>
      </c>
    </row>
    <row r="493" spans="1:13" x14ac:dyDescent="0.2">
      <c r="B493" s="137" t="s">
        <v>1610</v>
      </c>
      <c r="C493" s="137" t="s">
        <v>993</v>
      </c>
      <c r="D493" s="137">
        <v>69.152500000000003</v>
      </c>
      <c r="E493" s="137">
        <v>-150.706111111111</v>
      </c>
      <c r="G493" s="137" t="s">
        <v>615</v>
      </c>
      <c r="J493" s="137" t="s">
        <v>603</v>
      </c>
      <c r="L493" s="137" t="s">
        <v>604</v>
      </c>
      <c r="M493" s="143" t="str">
        <f t="shared" si="10"/>
        <v>View on Google Map</v>
      </c>
    </row>
    <row r="494" spans="1:13" x14ac:dyDescent="0.2">
      <c r="A494" s="137">
        <v>35</v>
      </c>
      <c r="B494" s="137" t="s">
        <v>1611</v>
      </c>
      <c r="C494" s="137" t="s">
        <v>596</v>
      </c>
      <c r="D494" s="137">
        <v>69.063333333333333</v>
      </c>
      <c r="E494" s="137">
        <v>-150.39333333333335</v>
      </c>
      <c r="F494" s="137">
        <v>281</v>
      </c>
      <c r="G494" s="137" t="s">
        <v>621</v>
      </c>
      <c r="H494" s="137" t="s">
        <v>596</v>
      </c>
      <c r="I494" s="137" t="s">
        <v>596</v>
      </c>
      <c r="J494" s="137" t="s">
        <v>657</v>
      </c>
      <c r="K494" s="137" t="s">
        <v>596</v>
      </c>
      <c r="L494" s="137" t="s">
        <v>604</v>
      </c>
      <c r="M494" s="143" t="str">
        <f t="shared" si="10"/>
        <v>View on Google Map</v>
      </c>
    </row>
    <row r="495" spans="1:13" x14ac:dyDescent="0.2">
      <c r="A495" s="137">
        <v>161</v>
      </c>
      <c r="B495" s="137" t="s">
        <v>1612</v>
      </c>
      <c r="C495" s="137" t="s">
        <v>1613</v>
      </c>
      <c r="D495" s="137">
        <v>68.599999999999994</v>
      </c>
      <c r="E495" s="137">
        <v>-149.18333333333334</v>
      </c>
      <c r="F495" s="137">
        <v>876</v>
      </c>
      <c r="G495" s="137" t="s">
        <v>607</v>
      </c>
      <c r="H495" s="137" t="s">
        <v>1614</v>
      </c>
      <c r="I495" s="137" t="s">
        <v>596</v>
      </c>
      <c r="J495" s="137" t="s">
        <v>622</v>
      </c>
      <c r="K495" s="137" t="s">
        <v>596</v>
      </c>
      <c r="L495" s="137" t="s">
        <v>623</v>
      </c>
      <c r="M495" s="143" t="str">
        <f t="shared" si="10"/>
        <v>View on Google Map</v>
      </c>
    </row>
    <row r="496" spans="1:13" x14ac:dyDescent="0.2">
      <c r="A496" s="137">
        <v>162</v>
      </c>
      <c r="B496" s="137" t="s">
        <v>1615</v>
      </c>
      <c r="C496" s="137" t="s">
        <v>1613</v>
      </c>
      <c r="D496" s="137">
        <v>68.583333333333329</v>
      </c>
      <c r="E496" s="137">
        <v>-149.19999999999999</v>
      </c>
      <c r="F496" s="137">
        <v>892</v>
      </c>
      <c r="G496" s="137" t="s">
        <v>607</v>
      </c>
      <c r="H496" s="137" t="s">
        <v>1616</v>
      </c>
      <c r="I496" s="137" t="s">
        <v>596</v>
      </c>
      <c r="J496" s="137" t="s">
        <v>622</v>
      </c>
      <c r="K496" s="137" t="s">
        <v>596</v>
      </c>
      <c r="L496" s="137" t="s">
        <v>623</v>
      </c>
      <c r="M496" s="143" t="str">
        <f t="shared" si="10"/>
        <v>View on Google Map</v>
      </c>
    </row>
    <row r="497" spans="1:13" x14ac:dyDescent="0.2">
      <c r="A497" s="137">
        <v>163</v>
      </c>
      <c r="B497" s="137" t="s">
        <v>1617</v>
      </c>
      <c r="C497" s="137" t="s">
        <v>1613</v>
      </c>
      <c r="D497" s="137">
        <v>68.599999999999994</v>
      </c>
      <c r="E497" s="137">
        <v>-149.16666666666666</v>
      </c>
      <c r="F497" s="137">
        <v>876</v>
      </c>
      <c r="G497" s="137" t="s">
        <v>607</v>
      </c>
      <c r="H497" s="137" t="s">
        <v>1618</v>
      </c>
      <c r="I497" s="137" t="s">
        <v>596</v>
      </c>
      <c r="J497" s="137" t="s">
        <v>622</v>
      </c>
      <c r="K497" s="137" t="s">
        <v>596</v>
      </c>
      <c r="L497" s="137" t="s">
        <v>623</v>
      </c>
      <c r="M497" s="143" t="str">
        <f t="shared" si="10"/>
        <v>View on Google Map</v>
      </c>
    </row>
    <row r="498" spans="1:13" x14ac:dyDescent="0.2">
      <c r="A498" s="137">
        <v>5</v>
      </c>
      <c r="B498" s="137" t="s">
        <v>1619</v>
      </c>
      <c r="C498" s="137" t="s">
        <v>1208</v>
      </c>
      <c r="D498" s="137">
        <v>68.671486221999999</v>
      </c>
      <c r="E498" s="137">
        <v>-149.1281271</v>
      </c>
      <c r="F498" s="137">
        <v>761.75599999999997</v>
      </c>
      <c r="G498" s="137" t="s">
        <v>1133</v>
      </c>
      <c r="J498" s="52" t="s">
        <v>622</v>
      </c>
      <c r="M498" s="143" t="str">
        <f t="shared" si="10"/>
        <v>View on Google Map</v>
      </c>
    </row>
    <row r="499" spans="1:13" x14ac:dyDescent="0.2">
      <c r="A499" s="137">
        <v>5</v>
      </c>
      <c r="B499" s="137" t="s">
        <v>1620</v>
      </c>
      <c r="C499" s="137" t="s">
        <v>1208</v>
      </c>
      <c r="D499" s="137">
        <v>68.671371694000001</v>
      </c>
      <c r="E499" s="137">
        <v>-149.131155484</v>
      </c>
      <c r="F499" s="137">
        <v>763.88099999999997</v>
      </c>
      <c r="G499" s="137" t="s">
        <v>1133</v>
      </c>
      <c r="J499" s="52" t="s">
        <v>622</v>
      </c>
      <c r="M499" s="143" t="str">
        <f t="shared" si="10"/>
        <v>View on Google Map</v>
      </c>
    </row>
    <row r="500" spans="1:13" x14ac:dyDescent="0.2">
      <c r="A500" s="137">
        <v>5</v>
      </c>
      <c r="B500" s="137" t="s">
        <v>1621</v>
      </c>
      <c r="C500" s="137" t="s">
        <v>1208</v>
      </c>
      <c r="D500" s="137">
        <v>68.671018009999997</v>
      </c>
      <c r="E500" s="137">
        <v>-149.13789268599999</v>
      </c>
      <c r="F500" s="137">
        <v>764.53700000000003</v>
      </c>
      <c r="G500" s="137" t="s">
        <v>1133</v>
      </c>
      <c r="J500" s="52" t="s">
        <v>622</v>
      </c>
      <c r="M500" s="143" t="str">
        <f t="shared" si="10"/>
        <v>View on Google Map</v>
      </c>
    </row>
    <row r="501" spans="1:13" x14ac:dyDescent="0.2">
      <c r="A501" s="137">
        <v>5</v>
      </c>
      <c r="B501" s="137" t="s">
        <v>1622</v>
      </c>
      <c r="C501" s="137" t="s">
        <v>1218</v>
      </c>
      <c r="D501" s="137">
        <v>68.677193270000004</v>
      </c>
      <c r="E501" s="137">
        <v>-149.121792258</v>
      </c>
      <c r="F501" s="137">
        <v>763.74300000000005</v>
      </c>
      <c r="G501" s="137" t="s">
        <v>1133</v>
      </c>
      <c r="J501" s="52" t="s">
        <v>622</v>
      </c>
      <c r="M501" s="143" t="str">
        <f t="shared" si="10"/>
        <v>View on Google Map</v>
      </c>
    </row>
    <row r="502" spans="1:13" x14ac:dyDescent="0.2">
      <c r="A502" s="137">
        <v>5</v>
      </c>
      <c r="B502" s="137" t="s">
        <v>1623</v>
      </c>
      <c r="C502" s="137" t="s">
        <v>1218</v>
      </c>
      <c r="D502" s="137">
        <v>68.679780992000005</v>
      </c>
      <c r="E502" s="137">
        <v>-149.114206438</v>
      </c>
      <c r="F502" s="137">
        <v>762.678</v>
      </c>
      <c r="G502" s="137" t="s">
        <v>1133</v>
      </c>
      <c r="J502" s="52" t="s">
        <v>622</v>
      </c>
      <c r="M502" s="143" t="str">
        <f t="shared" si="10"/>
        <v>View on Google Map</v>
      </c>
    </row>
    <row r="503" spans="1:13" x14ac:dyDescent="0.2">
      <c r="A503" s="137">
        <v>5</v>
      </c>
      <c r="B503" s="137" t="s">
        <v>1624</v>
      </c>
      <c r="C503" s="137" t="s">
        <v>620</v>
      </c>
      <c r="D503" s="137">
        <v>68.687399999999997</v>
      </c>
      <c r="E503" s="137">
        <v>-149.095</v>
      </c>
      <c r="F503" s="137">
        <v>754</v>
      </c>
      <c r="G503" s="137" t="s">
        <v>621</v>
      </c>
      <c r="H503" s="137" t="s">
        <v>1625</v>
      </c>
      <c r="I503" s="137" t="s">
        <v>1626</v>
      </c>
      <c r="J503" s="137" t="s">
        <v>622</v>
      </c>
      <c r="K503" s="137" t="s">
        <v>596</v>
      </c>
      <c r="L503" s="137" t="s">
        <v>623</v>
      </c>
      <c r="M503" s="143" t="str">
        <f t="shared" si="10"/>
        <v>View on Google Map</v>
      </c>
    </row>
    <row r="504" spans="1:13" x14ac:dyDescent="0.2">
      <c r="A504" s="137">
        <v>5</v>
      </c>
      <c r="B504" s="137" t="s">
        <v>1627</v>
      </c>
      <c r="C504" s="137" t="s">
        <v>1238</v>
      </c>
      <c r="D504" s="137">
        <v>68.672870447999998</v>
      </c>
      <c r="E504" s="137">
        <v>-149.124843486</v>
      </c>
      <c r="G504" s="137" t="s">
        <v>1133</v>
      </c>
      <c r="J504" s="52" t="s">
        <v>622</v>
      </c>
      <c r="M504" s="143" t="str">
        <f t="shared" si="10"/>
        <v>View on Google Map</v>
      </c>
    </row>
    <row r="505" spans="1:13" x14ac:dyDescent="0.2">
      <c r="A505" s="137">
        <v>5</v>
      </c>
      <c r="B505" s="137" t="s">
        <v>1628</v>
      </c>
      <c r="C505" s="137" t="s">
        <v>1629</v>
      </c>
      <c r="D505" s="137">
        <v>68.686037823000007</v>
      </c>
      <c r="E505" s="137">
        <v>-149.0990032</v>
      </c>
      <c r="G505" s="137" t="s">
        <v>1133</v>
      </c>
      <c r="J505" s="52" t="s">
        <v>622</v>
      </c>
      <c r="M505" s="143" t="str">
        <f t="shared" si="10"/>
        <v>View on Google Map</v>
      </c>
    </row>
    <row r="506" spans="1:13" x14ac:dyDescent="0.2">
      <c r="A506" s="137">
        <v>491</v>
      </c>
      <c r="B506" s="137" t="s">
        <v>1630</v>
      </c>
      <c r="C506" s="137" t="s">
        <v>596</v>
      </c>
      <c r="D506" s="137">
        <v>68.941266666999994</v>
      </c>
      <c r="E506" s="137">
        <v>-150.5068</v>
      </c>
      <c r="F506" s="137">
        <v>408</v>
      </c>
      <c r="G506" s="137" t="s">
        <v>607</v>
      </c>
      <c r="H506" s="137" t="s">
        <v>1631</v>
      </c>
      <c r="I506" s="137" t="s">
        <v>596</v>
      </c>
      <c r="J506" s="137" t="s">
        <v>657</v>
      </c>
      <c r="K506" s="137" t="s">
        <v>596</v>
      </c>
      <c r="L506" s="137" t="s">
        <v>604</v>
      </c>
      <c r="M506" s="143" t="str">
        <f t="shared" si="10"/>
        <v>View on Google Map</v>
      </c>
    </row>
    <row r="507" spans="1:13" x14ac:dyDescent="0.2">
      <c r="A507" s="137">
        <v>492</v>
      </c>
      <c r="B507" s="137" t="s">
        <v>1632</v>
      </c>
      <c r="C507" s="137" t="s">
        <v>596</v>
      </c>
      <c r="D507" s="137" t="s">
        <v>596</v>
      </c>
      <c r="E507" s="137" t="s">
        <v>596</v>
      </c>
      <c r="F507" s="137">
        <v>408</v>
      </c>
      <c r="G507" s="137" t="s">
        <v>607</v>
      </c>
      <c r="H507" s="137" t="s">
        <v>1633</v>
      </c>
      <c r="I507" s="137" t="s">
        <v>596</v>
      </c>
      <c r="J507" s="137" t="s">
        <v>657</v>
      </c>
      <c r="K507" s="137" t="s">
        <v>596</v>
      </c>
      <c r="L507" s="137" t="s">
        <v>604</v>
      </c>
      <c r="M507" s="143" t="str">
        <f t="shared" si="10"/>
        <v>View on Google Map</v>
      </c>
    </row>
    <row r="508" spans="1:13" x14ac:dyDescent="0.2">
      <c r="A508" s="137">
        <v>1172</v>
      </c>
      <c r="B508" s="137" t="s">
        <v>1634</v>
      </c>
      <c r="C508" s="137" t="s">
        <v>596</v>
      </c>
      <c r="D508" s="137">
        <v>68.99666666666667</v>
      </c>
      <c r="E508" s="137">
        <v>-150.21249999999998</v>
      </c>
      <c r="F508" s="137" t="s">
        <v>596</v>
      </c>
      <c r="G508" s="137" t="s">
        <v>597</v>
      </c>
      <c r="H508" s="137" t="s">
        <v>1635</v>
      </c>
      <c r="I508" s="137" t="s">
        <v>596</v>
      </c>
      <c r="J508" s="137" t="s">
        <v>603</v>
      </c>
      <c r="K508" s="137" t="s">
        <v>596</v>
      </c>
      <c r="L508" s="137" t="s">
        <v>604</v>
      </c>
      <c r="M508" s="143" t="str">
        <f t="shared" si="10"/>
        <v>View on Google Map</v>
      </c>
    </row>
    <row r="509" spans="1:13" x14ac:dyDescent="0.2">
      <c r="A509" s="137">
        <v>493</v>
      </c>
      <c r="B509" s="137" t="s">
        <v>1636</v>
      </c>
      <c r="C509" s="137" t="s">
        <v>596</v>
      </c>
      <c r="D509" s="137">
        <v>68.974933332999996</v>
      </c>
      <c r="E509" s="137">
        <v>-150.221066667</v>
      </c>
      <c r="F509" s="137">
        <v>364</v>
      </c>
      <c r="G509" s="137" t="s">
        <v>607</v>
      </c>
      <c r="H509" s="137" t="s">
        <v>596</v>
      </c>
      <c r="I509" s="137" t="s">
        <v>596</v>
      </c>
      <c r="J509" s="137" t="s">
        <v>657</v>
      </c>
      <c r="K509" s="137" t="s">
        <v>596</v>
      </c>
      <c r="L509" s="137" t="s">
        <v>604</v>
      </c>
      <c r="M509" s="143" t="str">
        <f t="shared" si="10"/>
        <v>View on Google Map</v>
      </c>
    </row>
    <row r="510" spans="1:13" x14ac:dyDescent="0.2">
      <c r="A510" s="137">
        <v>405</v>
      </c>
      <c r="B510" s="137" t="s">
        <v>1637</v>
      </c>
      <c r="C510" s="137" t="s">
        <v>596</v>
      </c>
      <c r="D510" s="137" t="s">
        <v>596</v>
      </c>
      <c r="E510" s="137" t="s">
        <v>596</v>
      </c>
      <c r="F510" s="137" t="s">
        <v>596</v>
      </c>
      <c r="G510" s="137" t="s">
        <v>607</v>
      </c>
      <c r="H510" s="137" t="s">
        <v>596</v>
      </c>
      <c r="I510" s="137" t="s">
        <v>596</v>
      </c>
      <c r="J510" s="137" t="s">
        <v>622</v>
      </c>
      <c r="K510" s="137" t="s">
        <v>596</v>
      </c>
      <c r="L510" s="137" t="s">
        <v>778</v>
      </c>
      <c r="M510" s="143" t="str">
        <f t="shared" si="10"/>
        <v>View on Google Map</v>
      </c>
    </row>
    <row r="511" spans="1:13" x14ac:dyDescent="0.2">
      <c r="A511" s="137">
        <v>505</v>
      </c>
      <c r="B511" s="137" t="s">
        <v>1638</v>
      </c>
      <c r="C511" s="137" t="s">
        <v>596</v>
      </c>
      <c r="D511" s="137">
        <v>68.921059</v>
      </c>
      <c r="E511" s="137">
        <v>-150.34784300000001</v>
      </c>
      <c r="F511" s="137" t="s">
        <v>596</v>
      </c>
      <c r="G511" s="137" t="s">
        <v>607</v>
      </c>
      <c r="H511" s="137" t="s">
        <v>596</v>
      </c>
      <c r="I511" s="137" t="s">
        <v>596</v>
      </c>
      <c r="J511" s="137" t="s">
        <v>657</v>
      </c>
      <c r="K511" s="137" t="s">
        <v>596</v>
      </c>
      <c r="L511" s="137" t="s">
        <v>604</v>
      </c>
      <c r="M511" s="143" t="str">
        <f t="shared" si="10"/>
        <v>View on Google Map</v>
      </c>
    </row>
    <row r="512" spans="1:13" x14ac:dyDescent="0.2">
      <c r="A512" s="137">
        <v>506</v>
      </c>
      <c r="B512" s="137" t="s">
        <v>1639</v>
      </c>
      <c r="C512" s="137" t="s">
        <v>596</v>
      </c>
      <c r="D512" s="137">
        <v>68.921186000000006</v>
      </c>
      <c r="E512" s="137">
        <v>-150.37015</v>
      </c>
      <c r="F512" s="137" t="s">
        <v>596</v>
      </c>
      <c r="G512" s="137" t="s">
        <v>607</v>
      </c>
      <c r="H512" s="137" t="s">
        <v>596</v>
      </c>
      <c r="I512" s="137" t="s">
        <v>596</v>
      </c>
      <c r="J512" s="137" t="s">
        <v>657</v>
      </c>
      <c r="K512" s="137" t="s">
        <v>596</v>
      </c>
      <c r="L512" s="137" t="s">
        <v>604</v>
      </c>
      <c r="M512" s="143" t="str">
        <f t="shared" si="10"/>
        <v>View on Google Map</v>
      </c>
    </row>
    <row r="513" spans="1:13" x14ac:dyDescent="0.2">
      <c r="A513" s="137">
        <v>507</v>
      </c>
      <c r="B513" s="137" t="s">
        <v>1640</v>
      </c>
      <c r="C513" s="137" t="s">
        <v>596</v>
      </c>
      <c r="D513" s="137">
        <v>68.936953000000003</v>
      </c>
      <c r="E513" s="137">
        <v>-150.35309699999999</v>
      </c>
      <c r="F513" s="137" t="s">
        <v>596</v>
      </c>
      <c r="G513" s="137" t="s">
        <v>607</v>
      </c>
      <c r="H513" s="137" t="s">
        <v>596</v>
      </c>
      <c r="I513" s="137" t="s">
        <v>596</v>
      </c>
      <c r="J513" s="137" t="s">
        <v>657</v>
      </c>
      <c r="K513" s="137" t="s">
        <v>596</v>
      </c>
      <c r="L513" s="137" t="s">
        <v>604</v>
      </c>
      <c r="M513" s="143" t="str">
        <f t="shared" si="10"/>
        <v>View on Google Map</v>
      </c>
    </row>
    <row r="514" spans="1:13" x14ac:dyDescent="0.2">
      <c r="A514" s="137">
        <v>12</v>
      </c>
      <c r="B514" s="137" t="s">
        <v>1641</v>
      </c>
      <c r="C514" s="137" t="s">
        <v>596</v>
      </c>
      <c r="D514" s="137" t="s">
        <v>596</v>
      </c>
      <c r="E514" s="137" t="s">
        <v>596</v>
      </c>
      <c r="F514" s="137" t="s">
        <v>596</v>
      </c>
      <c r="G514" s="137" t="s">
        <v>621</v>
      </c>
      <c r="H514" s="137" t="s">
        <v>596</v>
      </c>
      <c r="I514" s="137" t="s">
        <v>596</v>
      </c>
      <c r="J514" s="137" t="s">
        <v>622</v>
      </c>
      <c r="K514" s="137" t="s">
        <v>596</v>
      </c>
      <c r="L514" s="137" t="s">
        <v>596</v>
      </c>
      <c r="M514" s="143" t="str">
        <f t="shared" si="10"/>
        <v>View on Google Map</v>
      </c>
    </row>
    <row r="515" spans="1:13" x14ac:dyDescent="0.2">
      <c r="A515" s="137">
        <v>4</v>
      </c>
      <c r="B515" s="137" t="s">
        <v>1642</v>
      </c>
      <c r="C515" s="137" t="s">
        <v>620</v>
      </c>
      <c r="D515" s="137">
        <v>68.38333333333334</v>
      </c>
      <c r="E515" s="137">
        <v>-149.31666666666666</v>
      </c>
      <c r="F515" s="137">
        <v>869</v>
      </c>
      <c r="G515" s="137" t="s">
        <v>621</v>
      </c>
      <c r="H515" s="137" t="s">
        <v>1643</v>
      </c>
      <c r="I515" s="137" t="s">
        <v>1644</v>
      </c>
      <c r="J515" s="137" t="s">
        <v>622</v>
      </c>
      <c r="K515" s="137" t="s">
        <v>596</v>
      </c>
      <c r="L515" s="137" t="s">
        <v>623</v>
      </c>
      <c r="M515" s="143" t="str">
        <f t="shared" ref="M515:M578" si="11">HYPERLINK("http://maps.google.com/maps?q="&amp;D515&amp;","&amp;E515,"View on Google Map")</f>
        <v>View on Google Map</v>
      </c>
    </row>
    <row r="516" spans="1:13" x14ac:dyDescent="0.2">
      <c r="A516" s="137">
        <v>148</v>
      </c>
      <c r="B516" s="137" t="s">
        <v>1645</v>
      </c>
      <c r="C516" s="137" t="s">
        <v>596</v>
      </c>
      <c r="D516" s="137">
        <v>68.624535966600007</v>
      </c>
      <c r="E516" s="137">
        <v>-149.60216609099999</v>
      </c>
      <c r="F516" s="137">
        <v>720</v>
      </c>
      <c r="G516" s="137" t="s">
        <v>607</v>
      </c>
      <c r="H516" s="137" t="s">
        <v>596</v>
      </c>
      <c r="I516" s="137" t="s">
        <v>596</v>
      </c>
      <c r="J516" s="137" t="s">
        <v>622</v>
      </c>
      <c r="K516" s="137" t="s">
        <v>596</v>
      </c>
      <c r="L516" s="137" t="s">
        <v>596</v>
      </c>
      <c r="M516" s="143" t="str">
        <f t="shared" si="11"/>
        <v>View on Google Map</v>
      </c>
    </row>
    <row r="517" spans="1:13" x14ac:dyDescent="0.2">
      <c r="A517" s="137">
        <v>241</v>
      </c>
      <c r="B517" s="137" t="s">
        <v>1645</v>
      </c>
      <c r="C517" s="137" t="s">
        <v>596</v>
      </c>
      <c r="D517" s="137">
        <v>68.624535966600007</v>
      </c>
      <c r="E517" s="137">
        <v>-149.60216609099999</v>
      </c>
      <c r="F517" s="137" t="s">
        <v>596</v>
      </c>
      <c r="G517" s="137" t="s">
        <v>607</v>
      </c>
      <c r="H517" s="137" t="s">
        <v>596</v>
      </c>
      <c r="I517" s="137" t="s">
        <v>596</v>
      </c>
      <c r="J517" s="137" t="s">
        <v>622</v>
      </c>
      <c r="K517" s="137" t="s">
        <v>596</v>
      </c>
      <c r="L517" s="137" t="s">
        <v>596</v>
      </c>
      <c r="M517" s="143" t="str">
        <f t="shared" si="11"/>
        <v>View on Google Map</v>
      </c>
    </row>
    <row r="518" spans="1:13" x14ac:dyDescent="0.2">
      <c r="A518" s="137">
        <v>149</v>
      </c>
      <c r="B518" s="137" t="s">
        <v>1646</v>
      </c>
      <c r="C518" s="137" t="s">
        <v>596</v>
      </c>
      <c r="D518" s="137">
        <v>68.627169078600005</v>
      </c>
      <c r="E518" s="137">
        <v>-149.61135296200001</v>
      </c>
      <c r="F518" s="137">
        <v>720</v>
      </c>
      <c r="G518" s="137" t="s">
        <v>607</v>
      </c>
      <c r="H518" s="137" t="s">
        <v>596</v>
      </c>
      <c r="I518" s="137" t="s">
        <v>596</v>
      </c>
      <c r="J518" s="137" t="s">
        <v>622</v>
      </c>
      <c r="K518" s="137" t="s">
        <v>596</v>
      </c>
      <c r="L518" s="137" t="s">
        <v>596</v>
      </c>
      <c r="M518" s="143" t="str">
        <f t="shared" si="11"/>
        <v>View on Google Map</v>
      </c>
    </row>
    <row r="519" spans="1:13" x14ac:dyDescent="0.2">
      <c r="A519" s="137">
        <v>150</v>
      </c>
      <c r="B519" s="137" t="s">
        <v>1647</v>
      </c>
      <c r="C519" s="137" t="s">
        <v>596</v>
      </c>
      <c r="D519" s="137">
        <v>68.628818623300006</v>
      </c>
      <c r="E519" s="137">
        <v>-149.62482197599999</v>
      </c>
      <c r="F519" s="137">
        <v>720</v>
      </c>
      <c r="G519" s="137" t="s">
        <v>607</v>
      </c>
      <c r="H519" s="137" t="s">
        <v>596</v>
      </c>
      <c r="I519" s="137" t="s">
        <v>596</v>
      </c>
      <c r="J519" s="137" t="s">
        <v>622</v>
      </c>
      <c r="K519" s="137" t="s">
        <v>596</v>
      </c>
      <c r="L519" s="137" t="s">
        <v>596</v>
      </c>
      <c r="M519" s="143" t="str">
        <f t="shared" si="11"/>
        <v>View on Google Map</v>
      </c>
    </row>
    <row r="520" spans="1:13" x14ac:dyDescent="0.2">
      <c r="A520" s="137">
        <v>151</v>
      </c>
      <c r="B520" s="137" t="s">
        <v>1648</v>
      </c>
      <c r="C520" s="137" t="s">
        <v>596</v>
      </c>
      <c r="D520" s="137">
        <v>68.630949932700005</v>
      </c>
      <c r="E520" s="137">
        <v>-149.62993150400001</v>
      </c>
      <c r="F520" s="137" t="s">
        <v>596</v>
      </c>
      <c r="G520" s="137" t="s">
        <v>607</v>
      </c>
      <c r="H520" s="137" t="s">
        <v>596</v>
      </c>
      <c r="I520" s="137" t="s">
        <v>596</v>
      </c>
      <c r="J520" s="137" t="s">
        <v>622</v>
      </c>
      <c r="K520" s="137" t="s">
        <v>596</v>
      </c>
      <c r="L520" s="137" t="s">
        <v>596</v>
      </c>
      <c r="M520" s="143" t="str">
        <f t="shared" si="11"/>
        <v>View on Google Map</v>
      </c>
    </row>
    <row r="521" spans="1:13" x14ac:dyDescent="0.2">
      <c r="A521" s="137">
        <v>106</v>
      </c>
      <c r="B521" s="137" t="s">
        <v>1649</v>
      </c>
      <c r="C521" s="137" t="s">
        <v>596</v>
      </c>
      <c r="D521" s="137">
        <v>68.631431924799998</v>
      </c>
      <c r="E521" s="137">
        <v>-149.63669249099999</v>
      </c>
      <c r="F521" s="137">
        <v>725</v>
      </c>
      <c r="G521" s="137" t="s">
        <v>607</v>
      </c>
      <c r="H521" s="137" t="s">
        <v>1650</v>
      </c>
      <c r="I521" s="137" t="s">
        <v>596</v>
      </c>
      <c r="J521" s="137" t="s">
        <v>622</v>
      </c>
      <c r="K521" s="137" t="s">
        <v>596</v>
      </c>
      <c r="L521" s="137" t="s">
        <v>596</v>
      </c>
      <c r="M521" s="143" t="str">
        <f t="shared" si="11"/>
        <v>View on Google Map</v>
      </c>
    </row>
    <row r="522" spans="1:13" x14ac:dyDescent="0.2">
      <c r="A522" s="137">
        <v>107</v>
      </c>
      <c r="B522" s="137" t="s">
        <v>1651</v>
      </c>
      <c r="C522" s="137" t="s">
        <v>596</v>
      </c>
      <c r="D522" s="137">
        <v>68.629379781599994</v>
      </c>
      <c r="E522" s="137">
        <v>-149.64162329499999</v>
      </c>
      <c r="F522" s="137">
        <v>731</v>
      </c>
      <c r="G522" s="137" t="s">
        <v>607</v>
      </c>
      <c r="H522" s="137" t="s">
        <v>1652</v>
      </c>
      <c r="I522" s="137" t="s">
        <v>596</v>
      </c>
      <c r="J522" s="137" t="s">
        <v>622</v>
      </c>
      <c r="K522" s="137" t="s">
        <v>596</v>
      </c>
      <c r="L522" s="137" t="s">
        <v>596</v>
      </c>
      <c r="M522" s="143" t="str">
        <f t="shared" si="11"/>
        <v>View on Google Map</v>
      </c>
    </row>
    <row r="523" spans="1:13" x14ac:dyDescent="0.2">
      <c r="A523" s="137">
        <v>1603</v>
      </c>
      <c r="B523" s="137" t="s">
        <v>1653</v>
      </c>
      <c r="C523" s="137" t="s">
        <v>596</v>
      </c>
      <c r="D523" s="137" t="s">
        <v>596</v>
      </c>
      <c r="E523" s="137" t="s">
        <v>596</v>
      </c>
      <c r="F523" s="137" t="s">
        <v>596</v>
      </c>
      <c r="G523" s="137" t="s">
        <v>621</v>
      </c>
      <c r="H523" s="137" t="s">
        <v>1654</v>
      </c>
      <c r="I523" s="137" t="s">
        <v>1655</v>
      </c>
      <c r="J523" s="137" t="s">
        <v>622</v>
      </c>
      <c r="K523" s="137" t="s">
        <v>596</v>
      </c>
      <c r="L523" s="137" t="s">
        <v>596</v>
      </c>
      <c r="M523" s="143" t="str">
        <f t="shared" si="11"/>
        <v>View on Google Map</v>
      </c>
    </row>
    <row r="524" spans="1:13" x14ac:dyDescent="0.2">
      <c r="A524" s="137">
        <v>152</v>
      </c>
      <c r="B524" s="137" t="s">
        <v>1656</v>
      </c>
      <c r="C524" s="137" t="s">
        <v>596</v>
      </c>
      <c r="D524" s="137">
        <v>68.630062744699998</v>
      </c>
      <c r="E524" s="137">
        <v>-149.64444178900001</v>
      </c>
      <c r="F524" s="137">
        <v>731</v>
      </c>
      <c r="G524" s="137" t="s">
        <v>607</v>
      </c>
      <c r="H524" s="137" t="s">
        <v>596</v>
      </c>
      <c r="I524" s="137" t="s">
        <v>596</v>
      </c>
      <c r="J524" s="137" t="s">
        <v>622</v>
      </c>
      <c r="K524" s="137" t="s">
        <v>596</v>
      </c>
      <c r="L524" s="137" t="s">
        <v>596</v>
      </c>
      <c r="M524" s="143" t="str">
        <f t="shared" si="11"/>
        <v>View on Google Map</v>
      </c>
    </row>
    <row r="525" spans="1:13" x14ac:dyDescent="0.2">
      <c r="A525" s="137">
        <v>1601</v>
      </c>
      <c r="B525" s="137" t="s">
        <v>1657</v>
      </c>
      <c r="C525" s="137" t="s">
        <v>596</v>
      </c>
      <c r="D525" s="137" t="s">
        <v>596</v>
      </c>
      <c r="E525" s="137" t="s">
        <v>596</v>
      </c>
      <c r="F525" s="137" t="s">
        <v>596</v>
      </c>
      <c r="G525" s="137" t="s">
        <v>596</v>
      </c>
      <c r="H525" s="137" t="s">
        <v>1658</v>
      </c>
      <c r="I525" s="137" t="s">
        <v>1659</v>
      </c>
      <c r="J525" s="52" t="s">
        <v>622</v>
      </c>
      <c r="K525" s="137" t="s">
        <v>596</v>
      </c>
      <c r="L525" s="137" t="s">
        <v>596</v>
      </c>
      <c r="M525" s="143" t="str">
        <f t="shared" si="11"/>
        <v>View on Google Map</v>
      </c>
    </row>
    <row r="526" spans="1:13" x14ac:dyDescent="0.2">
      <c r="A526" s="137">
        <v>1602</v>
      </c>
      <c r="B526" s="137" t="s">
        <v>1660</v>
      </c>
      <c r="C526" s="137" t="s">
        <v>596</v>
      </c>
      <c r="D526" s="137" t="s">
        <v>596</v>
      </c>
      <c r="E526" s="137" t="s">
        <v>596</v>
      </c>
      <c r="F526" s="137" t="s">
        <v>596</v>
      </c>
      <c r="G526" s="137" t="s">
        <v>596</v>
      </c>
      <c r="H526" s="137" t="s">
        <v>1661</v>
      </c>
      <c r="I526" s="137" t="s">
        <v>1662</v>
      </c>
      <c r="J526" s="52" t="s">
        <v>622</v>
      </c>
      <c r="K526" s="137" t="s">
        <v>596</v>
      </c>
      <c r="L526" s="137" t="s">
        <v>596</v>
      </c>
      <c r="M526" s="143" t="str">
        <f t="shared" si="11"/>
        <v>View on Google Map</v>
      </c>
    </row>
    <row r="527" spans="1:13" x14ac:dyDescent="0.2">
      <c r="A527" s="137">
        <v>153</v>
      </c>
      <c r="B527" s="137" t="s">
        <v>1663</v>
      </c>
      <c r="C527" s="137" t="s">
        <v>596</v>
      </c>
      <c r="D527" s="137" t="s">
        <v>596</v>
      </c>
      <c r="E527" s="137" t="s">
        <v>596</v>
      </c>
      <c r="F527" s="137" t="s">
        <v>596</v>
      </c>
      <c r="G527" s="137" t="s">
        <v>607</v>
      </c>
      <c r="H527" s="137" t="s">
        <v>596</v>
      </c>
      <c r="I527" s="137" t="s">
        <v>596</v>
      </c>
      <c r="J527" s="137" t="s">
        <v>622</v>
      </c>
      <c r="K527" s="137" t="s">
        <v>596</v>
      </c>
      <c r="L527" s="137" t="s">
        <v>596</v>
      </c>
      <c r="M527" s="143" t="str">
        <f t="shared" si="11"/>
        <v>View on Google Map</v>
      </c>
    </row>
    <row r="528" spans="1:13" x14ac:dyDescent="0.2">
      <c r="A528" s="137">
        <v>154</v>
      </c>
      <c r="B528" s="137" t="s">
        <v>1664</v>
      </c>
      <c r="C528" s="137" t="s">
        <v>596</v>
      </c>
      <c r="D528" s="137" t="s">
        <v>596</v>
      </c>
      <c r="E528" s="137" t="s">
        <v>596</v>
      </c>
      <c r="F528" s="137" t="s">
        <v>596</v>
      </c>
      <c r="G528" s="137" t="s">
        <v>607</v>
      </c>
      <c r="H528" s="137" t="s">
        <v>596</v>
      </c>
      <c r="I528" s="137" t="s">
        <v>596</v>
      </c>
      <c r="J528" s="137" t="s">
        <v>622</v>
      </c>
      <c r="K528" s="137" t="s">
        <v>596</v>
      </c>
      <c r="L528" s="137" t="s">
        <v>596</v>
      </c>
      <c r="M528" s="143" t="str">
        <f t="shared" si="11"/>
        <v>View on Google Map</v>
      </c>
    </row>
    <row r="529" spans="1:13" x14ac:dyDescent="0.2">
      <c r="A529" s="137">
        <v>155</v>
      </c>
      <c r="B529" s="137" t="s">
        <v>1665</v>
      </c>
      <c r="C529" s="137" t="s">
        <v>596</v>
      </c>
      <c r="D529" s="137" t="s">
        <v>596</v>
      </c>
      <c r="E529" s="137" t="s">
        <v>596</v>
      </c>
      <c r="F529" s="137" t="s">
        <v>596</v>
      </c>
      <c r="G529" s="137" t="s">
        <v>607</v>
      </c>
      <c r="H529" s="137" t="s">
        <v>596</v>
      </c>
      <c r="I529" s="137" t="s">
        <v>596</v>
      </c>
      <c r="J529" s="137" t="s">
        <v>622</v>
      </c>
      <c r="K529" s="137" t="s">
        <v>596</v>
      </c>
      <c r="L529" s="137" t="s">
        <v>596</v>
      </c>
      <c r="M529" s="143" t="str">
        <f t="shared" si="11"/>
        <v>View on Google Map</v>
      </c>
    </row>
    <row r="530" spans="1:13" x14ac:dyDescent="0.2">
      <c r="A530" s="137">
        <v>156</v>
      </c>
      <c r="B530" s="137" t="s">
        <v>1666</v>
      </c>
      <c r="C530" s="137" t="s">
        <v>596</v>
      </c>
      <c r="D530" s="137">
        <v>68.630148048999999</v>
      </c>
      <c r="E530" s="137">
        <v>-149.65057914499999</v>
      </c>
      <c r="F530" s="137">
        <v>750</v>
      </c>
      <c r="G530" s="137" t="s">
        <v>607</v>
      </c>
      <c r="H530" s="137" t="s">
        <v>596</v>
      </c>
      <c r="I530" s="137" t="s">
        <v>596</v>
      </c>
      <c r="J530" s="137" t="s">
        <v>622</v>
      </c>
      <c r="K530" s="137" t="s">
        <v>596</v>
      </c>
      <c r="L530" s="137" t="s">
        <v>596</v>
      </c>
      <c r="M530" s="143" t="str">
        <f t="shared" si="11"/>
        <v>View on Google Map</v>
      </c>
    </row>
    <row r="531" spans="1:13" x14ac:dyDescent="0.2">
      <c r="A531" s="137">
        <v>157</v>
      </c>
      <c r="B531" s="137" t="s">
        <v>1667</v>
      </c>
      <c r="C531" s="137" t="s">
        <v>596</v>
      </c>
      <c r="D531" s="137">
        <v>68.629627802900004</v>
      </c>
      <c r="E531" s="137">
        <v>-149.655880887</v>
      </c>
      <c r="F531" s="137">
        <v>754</v>
      </c>
      <c r="G531" s="137" t="s">
        <v>607</v>
      </c>
      <c r="H531" s="137" t="s">
        <v>596</v>
      </c>
      <c r="I531" s="137" t="s">
        <v>596</v>
      </c>
      <c r="J531" s="137" t="s">
        <v>622</v>
      </c>
      <c r="K531" s="137" t="s">
        <v>596</v>
      </c>
      <c r="L531" s="137" t="s">
        <v>596</v>
      </c>
      <c r="M531" s="143" t="str">
        <f t="shared" si="11"/>
        <v>View on Google Map</v>
      </c>
    </row>
    <row r="532" spans="1:13" x14ac:dyDescent="0.2">
      <c r="A532" s="137">
        <v>158</v>
      </c>
      <c r="B532" s="137" t="s">
        <v>1668</v>
      </c>
      <c r="C532" s="137" t="s">
        <v>596</v>
      </c>
      <c r="D532" s="137">
        <v>68.631486568699998</v>
      </c>
      <c r="E532" s="137">
        <v>-149.65910231699999</v>
      </c>
      <c r="F532" s="137">
        <v>754</v>
      </c>
      <c r="G532" s="137" t="s">
        <v>607</v>
      </c>
      <c r="H532" s="137" t="s">
        <v>596</v>
      </c>
      <c r="I532" s="137" t="s">
        <v>596</v>
      </c>
      <c r="J532" s="137" t="s">
        <v>622</v>
      </c>
      <c r="K532" s="137" t="s">
        <v>596</v>
      </c>
      <c r="L532" s="137" t="s">
        <v>596</v>
      </c>
      <c r="M532" s="143" t="str">
        <f t="shared" si="11"/>
        <v>View on Google Map</v>
      </c>
    </row>
    <row r="533" spans="1:13" x14ac:dyDescent="0.2">
      <c r="A533" s="137">
        <v>169</v>
      </c>
      <c r="B533" s="137" t="s">
        <v>1669</v>
      </c>
      <c r="C533" s="137" t="s">
        <v>596</v>
      </c>
      <c r="D533" s="137" t="s">
        <v>596</v>
      </c>
      <c r="E533" s="137" t="s">
        <v>596</v>
      </c>
      <c r="F533" s="137" t="s">
        <v>596</v>
      </c>
      <c r="G533" s="137" t="s">
        <v>607</v>
      </c>
      <c r="H533" s="137" t="s">
        <v>596</v>
      </c>
      <c r="I533" s="137" t="s">
        <v>596</v>
      </c>
      <c r="J533" s="137" t="s">
        <v>622</v>
      </c>
      <c r="K533" s="137" t="s">
        <v>596</v>
      </c>
      <c r="L533" s="137" t="s">
        <v>596</v>
      </c>
      <c r="M533" s="143" t="str">
        <f t="shared" si="11"/>
        <v>View on Google Map</v>
      </c>
    </row>
    <row r="534" spans="1:13" x14ac:dyDescent="0.2">
      <c r="A534" s="137">
        <v>170</v>
      </c>
      <c r="B534" s="137" t="s">
        <v>1670</v>
      </c>
      <c r="C534" s="137" t="s">
        <v>596</v>
      </c>
      <c r="D534" s="137" t="s">
        <v>596</v>
      </c>
      <c r="E534" s="137" t="s">
        <v>596</v>
      </c>
      <c r="F534" s="137" t="s">
        <v>596</v>
      </c>
      <c r="G534" s="137" t="s">
        <v>607</v>
      </c>
      <c r="H534" s="137" t="s">
        <v>596</v>
      </c>
      <c r="I534" s="137" t="s">
        <v>596</v>
      </c>
      <c r="J534" s="137" t="s">
        <v>622</v>
      </c>
      <c r="K534" s="137" t="s">
        <v>596</v>
      </c>
      <c r="L534" s="137" t="s">
        <v>596</v>
      </c>
      <c r="M534" s="143" t="str">
        <f t="shared" si="11"/>
        <v>View on Google Map</v>
      </c>
    </row>
    <row r="535" spans="1:13" x14ac:dyDescent="0.2">
      <c r="A535" s="137">
        <v>136</v>
      </c>
      <c r="B535" s="137" t="s">
        <v>1671</v>
      </c>
      <c r="C535" s="137" t="s">
        <v>596</v>
      </c>
      <c r="D535" s="137">
        <v>70.233333333333334</v>
      </c>
      <c r="E535" s="137">
        <v>-148.25</v>
      </c>
      <c r="F535" s="137">
        <v>10</v>
      </c>
      <c r="G535" s="137" t="s">
        <v>607</v>
      </c>
      <c r="H535" s="137" t="s">
        <v>1672</v>
      </c>
      <c r="I535" s="137" t="s">
        <v>596</v>
      </c>
      <c r="J535" s="137" t="s">
        <v>622</v>
      </c>
      <c r="K535" s="137" t="s">
        <v>596</v>
      </c>
      <c r="L535" s="137" t="s">
        <v>623</v>
      </c>
      <c r="M535" s="143" t="str">
        <f t="shared" si="11"/>
        <v>View on Google Map</v>
      </c>
    </row>
    <row r="536" spans="1:13" x14ac:dyDescent="0.2">
      <c r="A536" s="137">
        <v>6</v>
      </c>
      <c r="B536" s="137" t="s">
        <v>1673</v>
      </c>
      <c r="C536" s="137" t="s">
        <v>596</v>
      </c>
      <c r="D536" s="137" t="s">
        <v>596</v>
      </c>
      <c r="E536" s="137" t="s">
        <v>596</v>
      </c>
      <c r="F536" s="137">
        <v>457</v>
      </c>
      <c r="G536" s="137" t="s">
        <v>621</v>
      </c>
      <c r="H536" s="137" t="s">
        <v>1674</v>
      </c>
      <c r="I536" s="137" t="s">
        <v>1675</v>
      </c>
      <c r="J536" s="137" t="s">
        <v>622</v>
      </c>
      <c r="K536" s="137" t="s">
        <v>596</v>
      </c>
      <c r="L536" s="137" t="s">
        <v>623</v>
      </c>
      <c r="M536" s="143" t="str">
        <f t="shared" si="11"/>
        <v>View on Google Map</v>
      </c>
    </row>
    <row r="537" spans="1:13" x14ac:dyDescent="0.2">
      <c r="A537" s="137">
        <v>20</v>
      </c>
      <c r="B537" s="137" t="s">
        <v>1676</v>
      </c>
      <c r="C537" s="137" t="s">
        <v>596</v>
      </c>
      <c r="D537" s="137" t="s">
        <v>596</v>
      </c>
      <c r="E537" s="137" t="s">
        <v>596</v>
      </c>
      <c r="F537" s="137" t="s">
        <v>596</v>
      </c>
      <c r="G537" s="137" t="s">
        <v>621</v>
      </c>
      <c r="H537" s="137" t="s">
        <v>596</v>
      </c>
      <c r="I537" s="137" t="s">
        <v>596</v>
      </c>
      <c r="J537" s="137" t="s">
        <v>622</v>
      </c>
      <c r="K537" s="137" t="s">
        <v>596</v>
      </c>
      <c r="L537" s="137" t="s">
        <v>596</v>
      </c>
      <c r="M537" s="143" t="str">
        <f t="shared" si="11"/>
        <v>View on Google Map</v>
      </c>
    </row>
    <row r="538" spans="1:13" x14ac:dyDescent="0.2">
      <c r="A538" s="137">
        <v>1176</v>
      </c>
      <c r="B538" s="137" t="s">
        <v>1677</v>
      </c>
      <c r="C538" s="137" t="s">
        <v>628</v>
      </c>
      <c r="D538" s="137">
        <v>68.996418329999997</v>
      </c>
      <c r="E538" s="137">
        <v>-150.27895670000001</v>
      </c>
      <c r="F538" s="137" t="s">
        <v>596</v>
      </c>
      <c r="G538" s="137" t="s">
        <v>597</v>
      </c>
      <c r="H538" s="137" t="s">
        <v>596</v>
      </c>
      <c r="I538" s="137" t="s">
        <v>596</v>
      </c>
      <c r="J538" s="137" t="s">
        <v>603</v>
      </c>
      <c r="K538" s="137" t="s">
        <v>596</v>
      </c>
      <c r="L538" s="137" t="s">
        <v>604</v>
      </c>
      <c r="M538" s="143" t="str">
        <f t="shared" si="11"/>
        <v>View on Google Map</v>
      </c>
    </row>
    <row r="539" spans="1:13" x14ac:dyDescent="0.2">
      <c r="A539" s="137">
        <v>509</v>
      </c>
      <c r="B539" s="137" t="s">
        <v>1678</v>
      </c>
      <c r="C539" s="137" t="s">
        <v>606</v>
      </c>
      <c r="D539" s="137">
        <v>68.338126000000003</v>
      </c>
      <c r="E539" s="137">
        <v>-151.061735</v>
      </c>
      <c r="F539" s="137">
        <v>840</v>
      </c>
      <c r="G539" s="137" t="s">
        <v>607</v>
      </c>
      <c r="H539" s="137" t="s">
        <v>596</v>
      </c>
      <c r="I539" s="137" t="s">
        <v>596</v>
      </c>
      <c r="J539" s="137" t="s">
        <v>608</v>
      </c>
      <c r="K539" s="137" t="s">
        <v>596</v>
      </c>
      <c r="L539" s="137" t="s">
        <v>609</v>
      </c>
      <c r="M539" s="143" t="str">
        <f t="shared" si="11"/>
        <v>View on Google Map</v>
      </c>
    </row>
    <row r="540" spans="1:13" x14ac:dyDescent="0.2">
      <c r="A540" s="137">
        <v>36</v>
      </c>
      <c r="B540" s="137" t="s">
        <v>1679</v>
      </c>
      <c r="C540" s="137" t="s">
        <v>596</v>
      </c>
      <c r="D540" s="137">
        <v>69.233333333333334</v>
      </c>
      <c r="E540" s="137">
        <v>-150.804383333</v>
      </c>
      <c r="F540" s="137">
        <v>181.97</v>
      </c>
      <c r="G540" s="137" t="s">
        <v>621</v>
      </c>
      <c r="H540" s="137" t="s">
        <v>596</v>
      </c>
      <c r="I540" s="137" t="s">
        <v>596</v>
      </c>
      <c r="J540" s="137" t="s">
        <v>657</v>
      </c>
      <c r="K540" s="137" t="s">
        <v>596</v>
      </c>
      <c r="L540" s="137" t="s">
        <v>604</v>
      </c>
      <c r="M540" s="143" t="str">
        <f t="shared" si="11"/>
        <v>View on Google Map</v>
      </c>
    </row>
    <row r="541" spans="1:13" x14ac:dyDescent="0.2">
      <c r="A541" s="137">
        <v>37</v>
      </c>
      <c r="B541" s="137" t="s">
        <v>1680</v>
      </c>
      <c r="C541" s="137" t="s">
        <v>596</v>
      </c>
      <c r="D541" s="137">
        <v>68.289683333333329</v>
      </c>
      <c r="E541" s="137">
        <v>-150.91499999999999</v>
      </c>
      <c r="F541" s="137">
        <v>392</v>
      </c>
      <c r="G541" s="137" t="s">
        <v>621</v>
      </c>
      <c r="H541" s="137" t="s">
        <v>596</v>
      </c>
      <c r="I541" s="137" t="s">
        <v>596</v>
      </c>
      <c r="J541" s="137" t="s">
        <v>657</v>
      </c>
      <c r="K541" s="137" t="s">
        <v>596</v>
      </c>
      <c r="L541" s="137" t="s">
        <v>604</v>
      </c>
      <c r="M541" s="143" t="str">
        <f t="shared" si="11"/>
        <v>View on Google Map</v>
      </c>
    </row>
    <row r="542" spans="1:13" x14ac:dyDescent="0.2">
      <c r="A542" s="137">
        <v>130</v>
      </c>
      <c r="B542" s="137" t="s">
        <v>1681</v>
      </c>
      <c r="C542" s="137" t="s">
        <v>1682</v>
      </c>
      <c r="D542" s="137">
        <v>70.083333333333329</v>
      </c>
      <c r="E542" s="137">
        <v>-148.53333333333299</v>
      </c>
      <c r="F542" s="137">
        <v>24</v>
      </c>
      <c r="G542" s="137" t="s">
        <v>607</v>
      </c>
      <c r="H542" s="137" t="s">
        <v>1683</v>
      </c>
      <c r="I542" s="137" t="s">
        <v>596</v>
      </c>
      <c r="J542" s="137" t="s">
        <v>622</v>
      </c>
      <c r="K542" s="137" t="s">
        <v>596</v>
      </c>
      <c r="L542" s="137" t="s">
        <v>623</v>
      </c>
      <c r="M542" s="143" t="str">
        <f t="shared" si="11"/>
        <v>View on Google Map</v>
      </c>
    </row>
    <row r="543" spans="1:13" x14ac:dyDescent="0.2">
      <c r="A543" s="137">
        <v>519</v>
      </c>
      <c r="B543" s="137" t="s">
        <v>1684</v>
      </c>
      <c r="C543" s="137" t="s">
        <v>606</v>
      </c>
      <c r="D543" s="137">
        <v>68.802636000000007</v>
      </c>
      <c r="E543" s="137">
        <v>-150.78539699999999</v>
      </c>
      <c r="F543" s="137">
        <v>411</v>
      </c>
      <c r="G543" s="137" t="s">
        <v>607</v>
      </c>
      <c r="H543" s="137" t="s">
        <v>596</v>
      </c>
      <c r="I543" s="137" t="s">
        <v>596</v>
      </c>
      <c r="J543" s="137" t="s">
        <v>608</v>
      </c>
      <c r="K543" s="137" t="s">
        <v>596</v>
      </c>
      <c r="L543" s="137" t="s">
        <v>609</v>
      </c>
      <c r="M543" s="143" t="str">
        <f t="shared" si="11"/>
        <v>View on Google Map</v>
      </c>
    </row>
    <row r="544" spans="1:13" x14ac:dyDescent="0.2">
      <c r="A544" s="137">
        <v>452</v>
      </c>
      <c r="B544" s="137" t="s">
        <v>1685</v>
      </c>
      <c r="C544" s="137" t="s">
        <v>596</v>
      </c>
      <c r="D544" s="137">
        <v>68.794960000000003</v>
      </c>
      <c r="E544" s="137">
        <v>-149.04813999999999</v>
      </c>
      <c r="F544" s="137">
        <v>754</v>
      </c>
      <c r="G544" s="137" t="s">
        <v>607</v>
      </c>
      <c r="H544" s="137" t="s">
        <v>596</v>
      </c>
      <c r="I544" s="137" t="s">
        <v>596</v>
      </c>
      <c r="J544" s="137" t="s">
        <v>608</v>
      </c>
      <c r="K544" s="137" t="s">
        <v>596</v>
      </c>
      <c r="L544" s="137" t="s">
        <v>596</v>
      </c>
      <c r="M544" s="143" t="str">
        <f t="shared" si="11"/>
        <v>View on Google Map</v>
      </c>
    </row>
    <row r="545" spans="1:13" x14ac:dyDescent="0.2">
      <c r="A545" s="137">
        <v>453</v>
      </c>
      <c r="B545" s="137" t="s">
        <v>1686</v>
      </c>
      <c r="C545" s="137" t="s">
        <v>596</v>
      </c>
      <c r="D545" s="137">
        <v>68.810460000000006</v>
      </c>
      <c r="E545" s="137">
        <v>-149.05207999999999</v>
      </c>
      <c r="F545" s="137">
        <v>727</v>
      </c>
      <c r="G545" s="137" t="s">
        <v>607</v>
      </c>
      <c r="H545" s="137" t="s">
        <v>596</v>
      </c>
      <c r="I545" s="137" t="s">
        <v>596</v>
      </c>
      <c r="J545" s="137" t="s">
        <v>608</v>
      </c>
      <c r="K545" s="137" t="s">
        <v>596</v>
      </c>
      <c r="L545" s="137" t="s">
        <v>596</v>
      </c>
      <c r="M545" s="143" t="str">
        <f t="shared" si="11"/>
        <v>View on Google Map</v>
      </c>
    </row>
    <row r="546" spans="1:13" x14ac:dyDescent="0.2">
      <c r="A546" s="137">
        <v>454</v>
      </c>
      <c r="B546" s="137" t="s">
        <v>1687</v>
      </c>
      <c r="C546" s="137" t="s">
        <v>596</v>
      </c>
      <c r="D546" s="137">
        <v>68.815870000000004</v>
      </c>
      <c r="E546" s="137">
        <v>-149.06173999999999</v>
      </c>
      <c r="F546" s="137">
        <v>715</v>
      </c>
      <c r="G546" s="137" t="s">
        <v>607</v>
      </c>
      <c r="H546" s="137" t="s">
        <v>596</v>
      </c>
      <c r="I546" s="137" t="s">
        <v>596</v>
      </c>
      <c r="J546" s="137" t="s">
        <v>608</v>
      </c>
      <c r="K546" s="137" t="s">
        <v>596</v>
      </c>
      <c r="L546" s="137" t="s">
        <v>596</v>
      </c>
      <c r="M546" s="143" t="str">
        <f t="shared" si="11"/>
        <v>View on Google Map</v>
      </c>
    </row>
    <row r="547" spans="1:13" x14ac:dyDescent="0.2">
      <c r="A547" s="137">
        <v>455</v>
      </c>
      <c r="B547" s="137" t="s">
        <v>1688</v>
      </c>
      <c r="C547" s="137" t="s">
        <v>596</v>
      </c>
      <c r="D547" s="137">
        <v>68.810519999999997</v>
      </c>
      <c r="E547" s="137">
        <v>-149.06282999999999</v>
      </c>
      <c r="F547" s="137">
        <v>728</v>
      </c>
      <c r="G547" s="137" t="s">
        <v>607</v>
      </c>
      <c r="H547" s="137" t="s">
        <v>596</v>
      </c>
      <c r="I547" s="137" t="s">
        <v>596</v>
      </c>
      <c r="J547" s="137" t="s">
        <v>608</v>
      </c>
      <c r="K547" s="137" t="s">
        <v>596</v>
      </c>
      <c r="L547" s="137" t="s">
        <v>596</v>
      </c>
      <c r="M547" s="143" t="str">
        <f t="shared" si="11"/>
        <v>View on Google Map</v>
      </c>
    </row>
    <row r="548" spans="1:13" x14ac:dyDescent="0.2">
      <c r="A548" s="137">
        <v>456</v>
      </c>
      <c r="B548" s="137" t="s">
        <v>1689</v>
      </c>
      <c r="C548" s="137" t="s">
        <v>596</v>
      </c>
      <c r="D548" s="137">
        <v>68.812290000000004</v>
      </c>
      <c r="E548" s="137">
        <v>-149.06899000000001</v>
      </c>
      <c r="F548" s="137">
        <v>730</v>
      </c>
      <c r="G548" s="137" t="s">
        <v>607</v>
      </c>
      <c r="H548" s="137" t="s">
        <v>596</v>
      </c>
      <c r="I548" s="137" t="s">
        <v>596</v>
      </c>
      <c r="J548" s="137" t="s">
        <v>608</v>
      </c>
      <c r="K548" s="137" t="s">
        <v>596</v>
      </c>
      <c r="L548" s="137" t="s">
        <v>596</v>
      </c>
      <c r="M548" s="143" t="str">
        <f t="shared" si="11"/>
        <v>View on Google Map</v>
      </c>
    </row>
    <row r="549" spans="1:13" x14ac:dyDescent="0.2">
      <c r="A549" s="137">
        <v>457</v>
      </c>
      <c r="B549" s="137" t="s">
        <v>1690</v>
      </c>
      <c r="C549" s="137" t="s">
        <v>596</v>
      </c>
      <c r="D549" s="137">
        <v>68.814369999999997</v>
      </c>
      <c r="E549" s="137">
        <v>-149.06774999999999</v>
      </c>
      <c r="F549" s="137">
        <v>724</v>
      </c>
      <c r="G549" s="137" t="s">
        <v>607</v>
      </c>
      <c r="H549" s="137" t="s">
        <v>596</v>
      </c>
      <c r="I549" s="137" t="s">
        <v>596</v>
      </c>
      <c r="J549" s="137" t="s">
        <v>608</v>
      </c>
      <c r="K549" s="137" t="s">
        <v>596</v>
      </c>
      <c r="L549" s="137" t="s">
        <v>596</v>
      </c>
      <c r="M549" s="143" t="str">
        <f t="shared" si="11"/>
        <v>View on Google Map</v>
      </c>
    </row>
    <row r="550" spans="1:13" x14ac:dyDescent="0.2">
      <c r="A550" s="137">
        <v>38</v>
      </c>
      <c r="B550" s="137" t="s">
        <v>1691</v>
      </c>
      <c r="C550" s="137" t="s">
        <v>596</v>
      </c>
      <c r="D550" s="137">
        <v>69.011899999999997</v>
      </c>
      <c r="E550" s="137">
        <v>-150.30000000000001</v>
      </c>
      <c r="F550" s="137">
        <v>321</v>
      </c>
      <c r="G550" s="137" t="s">
        <v>621</v>
      </c>
      <c r="H550" s="137" t="s">
        <v>1692</v>
      </c>
      <c r="I550" s="137" t="s">
        <v>1693</v>
      </c>
      <c r="J550" s="137" t="s">
        <v>657</v>
      </c>
      <c r="K550" s="137" t="s">
        <v>596</v>
      </c>
      <c r="L550" s="137" t="s">
        <v>604</v>
      </c>
      <c r="M550" s="143" t="str">
        <f t="shared" si="11"/>
        <v>View on Google Map</v>
      </c>
    </row>
    <row r="551" spans="1:13" x14ac:dyDescent="0.2">
      <c r="A551" s="137">
        <v>1211</v>
      </c>
      <c r="B551" s="137" t="s">
        <v>1694</v>
      </c>
      <c r="C551" s="137" t="s">
        <v>780</v>
      </c>
      <c r="D551" s="137">
        <v>68.996700000000004</v>
      </c>
      <c r="E551" s="137">
        <v>-150.28142</v>
      </c>
      <c r="F551" s="137" t="s">
        <v>596</v>
      </c>
      <c r="G551" s="137" t="s">
        <v>597</v>
      </c>
      <c r="H551" s="137" t="s">
        <v>596</v>
      </c>
      <c r="I551" s="137" t="s">
        <v>596</v>
      </c>
      <c r="J551" s="137" t="s">
        <v>603</v>
      </c>
      <c r="K551" s="137" t="s">
        <v>596</v>
      </c>
      <c r="L551" s="137" t="s">
        <v>604</v>
      </c>
      <c r="M551" s="143" t="str">
        <f t="shared" si="11"/>
        <v>View on Google Map</v>
      </c>
    </row>
    <row r="552" spans="1:13" x14ac:dyDescent="0.2">
      <c r="A552" s="137">
        <v>1210</v>
      </c>
      <c r="B552" s="137" t="s">
        <v>1695</v>
      </c>
      <c r="C552" s="137" t="s">
        <v>780</v>
      </c>
      <c r="D552" s="137">
        <v>68.996700000000004</v>
      </c>
      <c r="E552" s="137">
        <v>-150.28142</v>
      </c>
      <c r="F552" s="137" t="s">
        <v>596</v>
      </c>
      <c r="G552" s="137" t="s">
        <v>597</v>
      </c>
      <c r="H552" s="137" t="s">
        <v>596</v>
      </c>
      <c r="I552" s="137" t="s">
        <v>596</v>
      </c>
      <c r="J552" s="137" t="s">
        <v>603</v>
      </c>
      <c r="K552" s="137" t="s">
        <v>596</v>
      </c>
      <c r="L552" s="137" t="s">
        <v>604</v>
      </c>
      <c r="M552" s="143" t="str">
        <f t="shared" si="11"/>
        <v>View on Google Map</v>
      </c>
    </row>
    <row r="553" spans="1:13" x14ac:dyDescent="0.2">
      <c r="B553" s="137" t="s">
        <v>1696</v>
      </c>
      <c r="C553" s="137" t="s">
        <v>1609</v>
      </c>
      <c r="D553" s="137">
        <v>69.007500000000007</v>
      </c>
      <c r="E553" s="137">
        <v>-150.31388888888901</v>
      </c>
      <c r="G553" s="137" t="s">
        <v>615</v>
      </c>
      <c r="J553" s="137" t="s">
        <v>603</v>
      </c>
      <c r="L553" s="137" t="s">
        <v>604</v>
      </c>
      <c r="M553" s="143" t="str">
        <f t="shared" si="11"/>
        <v>View on Google Map</v>
      </c>
    </row>
    <row r="554" spans="1:13" x14ac:dyDescent="0.2">
      <c r="B554" s="137" t="s">
        <v>1697</v>
      </c>
      <c r="C554" s="137" t="s">
        <v>993</v>
      </c>
      <c r="D554" s="137">
        <v>69.043055555555554</v>
      </c>
      <c r="E554" s="137">
        <v>-150.42916666666699</v>
      </c>
      <c r="G554" s="137" t="s">
        <v>615</v>
      </c>
      <c r="J554" s="137" t="s">
        <v>603</v>
      </c>
      <c r="L554" s="137" t="s">
        <v>604</v>
      </c>
      <c r="M554" s="143" t="str">
        <f t="shared" si="11"/>
        <v>View on Google Map</v>
      </c>
    </row>
    <row r="555" spans="1:13" x14ac:dyDescent="0.2">
      <c r="A555" s="137">
        <v>39</v>
      </c>
      <c r="B555" s="137" t="s">
        <v>1698</v>
      </c>
      <c r="C555" s="137" t="s">
        <v>596</v>
      </c>
      <c r="D555" s="137">
        <v>68.994600000000005</v>
      </c>
      <c r="E555" s="137">
        <v>-150.30699999999999</v>
      </c>
      <c r="F555" s="137">
        <v>307</v>
      </c>
      <c r="G555" s="137" t="s">
        <v>621</v>
      </c>
      <c r="H555" s="137" t="s">
        <v>1699</v>
      </c>
      <c r="I555" s="137" t="s">
        <v>596</v>
      </c>
      <c r="J555" s="137" t="s">
        <v>657</v>
      </c>
      <c r="K555" s="137" t="s">
        <v>596</v>
      </c>
      <c r="L555" s="137" t="s">
        <v>604</v>
      </c>
      <c r="M555" s="143" t="str">
        <f t="shared" si="11"/>
        <v>View on Google Map</v>
      </c>
    </row>
    <row r="556" spans="1:13" x14ac:dyDescent="0.2">
      <c r="B556" s="137" t="s">
        <v>1700</v>
      </c>
      <c r="C556" s="137" t="s">
        <v>614</v>
      </c>
      <c r="D556" s="137">
        <v>69.570555555555558</v>
      </c>
      <c r="E556" s="137">
        <v>-150.893333333333</v>
      </c>
      <c r="G556" s="137" t="s">
        <v>615</v>
      </c>
      <c r="J556" s="137" t="s">
        <v>603</v>
      </c>
      <c r="L556" s="137" t="s">
        <v>604</v>
      </c>
      <c r="M556" s="143" t="str">
        <f t="shared" si="11"/>
        <v>View on Google Map</v>
      </c>
    </row>
    <row r="557" spans="1:13" x14ac:dyDescent="0.2">
      <c r="A557" s="137">
        <v>46</v>
      </c>
      <c r="B557" s="137" t="s">
        <v>1701</v>
      </c>
      <c r="C557" s="137" t="s">
        <v>596</v>
      </c>
      <c r="D557" s="137">
        <v>68.891069000000002</v>
      </c>
      <c r="E557" s="137">
        <v>-150.58501899999999</v>
      </c>
      <c r="F557" s="137" t="s">
        <v>596</v>
      </c>
      <c r="G557" s="137" t="s">
        <v>621</v>
      </c>
      <c r="H557" s="137" t="s">
        <v>596</v>
      </c>
      <c r="I557" s="137" t="s">
        <v>596</v>
      </c>
      <c r="J557" s="137" t="s">
        <v>1607</v>
      </c>
      <c r="K557" s="137" t="s">
        <v>596</v>
      </c>
      <c r="L557" s="137" t="s">
        <v>604</v>
      </c>
      <c r="M557" s="143" t="str">
        <f t="shared" si="11"/>
        <v>View on Google Map</v>
      </c>
    </row>
    <row r="558" spans="1:13" x14ac:dyDescent="0.2">
      <c r="A558" s="137">
        <v>47</v>
      </c>
      <c r="B558" s="137" t="s">
        <v>1702</v>
      </c>
      <c r="C558" s="137" t="s">
        <v>596</v>
      </c>
      <c r="D558" s="137">
        <v>68.966999999999999</v>
      </c>
      <c r="E558" s="137">
        <v>-150.56673000000001</v>
      </c>
      <c r="F558" s="137" t="s">
        <v>596</v>
      </c>
      <c r="G558" s="137" t="s">
        <v>621</v>
      </c>
      <c r="H558" s="137" t="s">
        <v>596</v>
      </c>
      <c r="I558" s="137" t="s">
        <v>596</v>
      </c>
      <c r="J558" s="137" t="s">
        <v>1607</v>
      </c>
      <c r="K558" s="137" t="s">
        <v>596</v>
      </c>
      <c r="L558" s="137" t="s">
        <v>604</v>
      </c>
      <c r="M558" s="143" t="str">
        <f t="shared" si="11"/>
        <v>View on Google Map</v>
      </c>
    </row>
    <row r="559" spans="1:13" x14ac:dyDescent="0.2">
      <c r="A559" s="137">
        <v>100</v>
      </c>
      <c r="B559" s="137" t="s">
        <v>43</v>
      </c>
      <c r="C559" s="137" t="s">
        <v>1703</v>
      </c>
      <c r="D559" s="137">
        <v>68.629960999999994</v>
      </c>
      <c r="E559" s="137">
        <v>-149.61263299999999</v>
      </c>
      <c r="F559" s="137">
        <v>719</v>
      </c>
      <c r="G559" s="137" t="s">
        <v>607</v>
      </c>
      <c r="H559" s="137" t="s">
        <v>1704</v>
      </c>
      <c r="I559" s="137" t="s">
        <v>1705</v>
      </c>
      <c r="J559" s="137" t="s">
        <v>622</v>
      </c>
      <c r="K559" s="137" t="s">
        <v>596</v>
      </c>
      <c r="L559" s="137" t="s">
        <v>596</v>
      </c>
      <c r="M559" s="143" t="str">
        <f t="shared" si="11"/>
        <v>View on Google Map</v>
      </c>
    </row>
    <row r="560" spans="1:13" x14ac:dyDescent="0.2">
      <c r="A560" s="137">
        <v>523</v>
      </c>
      <c r="B560" s="137" t="s">
        <v>1706</v>
      </c>
      <c r="C560" s="137" t="s">
        <v>1707</v>
      </c>
      <c r="D560" s="137">
        <v>68.626671999999999</v>
      </c>
      <c r="E560" s="137">
        <v>-149.59784400000001</v>
      </c>
      <c r="F560" s="137">
        <v>719</v>
      </c>
      <c r="G560" s="137" t="s">
        <v>607</v>
      </c>
      <c r="H560" s="137" t="s">
        <v>596</v>
      </c>
      <c r="I560" s="137" t="s">
        <v>596</v>
      </c>
      <c r="J560" s="137" t="s">
        <v>608</v>
      </c>
      <c r="K560" s="137" t="s">
        <v>596</v>
      </c>
      <c r="L560" s="137" t="s">
        <v>1708</v>
      </c>
      <c r="M560" s="143" t="str">
        <f t="shared" si="11"/>
        <v>View on Google Map</v>
      </c>
    </row>
    <row r="561" spans="1:13" x14ac:dyDescent="0.2">
      <c r="A561" s="137">
        <v>524</v>
      </c>
      <c r="B561" s="137" t="s">
        <v>1709</v>
      </c>
      <c r="C561" s="137" t="s">
        <v>1707</v>
      </c>
      <c r="D561" s="137">
        <v>68.632586000000003</v>
      </c>
      <c r="E561" s="137">
        <v>-149.60089500000001</v>
      </c>
      <c r="F561" s="137">
        <v>719</v>
      </c>
      <c r="G561" s="137" t="s">
        <v>607</v>
      </c>
      <c r="H561" s="137" t="s">
        <v>596</v>
      </c>
      <c r="I561" s="137" t="s">
        <v>596</v>
      </c>
      <c r="J561" s="137" t="s">
        <v>608</v>
      </c>
      <c r="K561" s="137" t="s">
        <v>596</v>
      </c>
      <c r="L561" s="137" t="s">
        <v>1708</v>
      </c>
      <c r="M561" s="143" t="str">
        <f t="shared" si="11"/>
        <v>View on Google Map</v>
      </c>
    </row>
    <row r="562" spans="1:13" x14ac:dyDescent="0.2">
      <c r="A562" s="137">
        <v>525</v>
      </c>
      <c r="B562" s="137" t="s">
        <v>1710</v>
      </c>
      <c r="C562" s="137" t="s">
        <v>1707</v>
      </c>
      <c r="D562" s="137">
        <v>68.636390000000006</v>
      </c>
      <c r="E562" s="137">
        <v>-149.594774</v>
      </c>
      <c r="F562" s="137">
        <v>719</v>
      </c>
      <c r="G562" s="137" t="s">
        <v>607</v>
      </c>
      <c r="H562" s="137" t="s">
        <v>596</v>
      </c>
      <c r="I562" s="137" t="s">
        <v>596</v>
      </c>
      <c r="J562" s="137" t="s">
        <v>608</v>
      </c>
      <c r="K562" s="137" t="s">
        <v>596</v>
      </c>
      <c r="L562" s="137" t="s">
        <v>1708</v>
      </c>
      <c r="M562" s="143" t="str">
        <f t="shared" si="11"/>
        <v>View on Google Map</v>
      </c>
    </row>
    <row r="563" spans="1:13" x14ac:dyDescent="0.2">
      <c r="A563" s="137">
        <v>13</v>
      </c>
      <c r="B563" s="137" t="s">
        <v>1711</v>
      </c>
      <c r="C563" s="137" t="s">
        <v>596</v>
      </c>
      <c r="D563" s="137">
        <v>68.625600000000006</v>
      </c>
      <c r="E563" s="137">
        <v>-149.59604999999999</v>
      </c>
      <c r="F563" s="137">
        <v>719</v>
      </c>
      <c r="G563" s="137" t="s">
        <v>621</v>
      </c>
      <c r="H563" s="137" t="s">
        <v>1712</v>
      </c>
      <c r="I563" s="137" t="s">
        <v>1713</v>
      </c>
      <c r="J563" s="137" t="s">
        <v>622</v>
      </c>
      <c r="K563" s="137">
        <v>190</v>
      </c>
      <c r="L563" s="137" t="s">
        <v>1011</v>
      </c>
      <c r="M563" s="143" t="str">
        <f t="shared" si="11"/>
        <v>View on Google Map</v>
      </c>
    </row>
    <row r="564" spans="1:13" x14ac:dyDescent="0.2">
      <c r="A564" s="137">
        <v>522</v>
      </c>
      <c r="B564" s="137" t="s">
        <v>1714</v>
      </c>
      <c r="C564" s="137" t="s">
        <v>1707</v>
      </c>
      <c r="D564" s="137">
        <v>68.625966000000005</v>
      </c>
      <c r="E564" s="137">
        <v>-149.59902199999999</v>
      </c>
      <c r="F564" s="137">
        <v>719</v>
      </c>
      <c r="G564" s="137" t="s">
        <v>607</v>
      </c>
      <c r="H564" s="137" t="s">
        <v>596</v>
      </c>
      <c r="I564" s="137" t="s">
        <v>596</v>
      </c>
      <c r="J564" s="137" t="s">
        <v>608</v>
      </c>
      <c r="K564" s="137" t="s">
        <v>596</v>
      </c>
      <c r="L564" s="137" t="s">
        <v>1708</v>
      </c>
      <c r="M564" s="143" t="str">
        <f t="shared" si="11"/>
        <v>View on Google Map</v>
      </c>
    </row>
    <row r="565" spans="1:13" x14ac:dyDescent="0.2">
      <c r="A565" s="137">
        <v>101</v>
      </c>
      <c r="B565" s="137" t="s">
        <v>1715</v>
      </c>
      <c r="C565" s="137" t="s">
        <v>1716</v>
      </c>
      <c r="D565" s="137" t="s">
        <v>596</v>
      </c>
      <c r="E565" s="137" t="s">
        <v>596</v>
      </c>
      <c r="F565" s="137">
        <v>719</v>
      </c>
      <c r="G565" s="137" t="s">
        <v>607</v>
      </c>
      <c r="H565" s="137" t="s">
        <v>596</v>
      </c>
      <c r="I565" s="137" t="s">
        <v>596</v>
      </c>
      <c r="J565" s="137" t="s">
        <v>622</v>
      </c>
      <c r="K565" s="137" t="s">
        <v>596</v>
      </c>
      <c r="L565" s="137" t="s">
        <v>596</v>
      </c>
      <c r="M565" s="143" t="str">
        <f t="shared" si="11"/>
        <v>View on Google Map</v>
      </c>
    </row>
    <row r="566" spans="1:13" x14ac:dyDescent="0.2">
      <c r="A566" s="137">
        <v>102</v>
      </c>
      <c r="B566" s="137" t="s">
        <v>1717</v>
      </c>
      <c r="C566" s="137" t="s">
        <v>1718</v>
      </c>
      <c r="D566" s="137">
        <v>68.638623999999993</v>
      </c>
      <c r="E566" s="137">
        <v>-149.610737</v>
      </c>
      <c r="F566" s="137">
        <v>719</v>
      </c>
      <c r="G566" s="137" t="s">
        <v>607</v>
      </c>
      <c r="H566" s="137" t="s">
        <v>1719</v>
      </c>
      <c r="I566" s="137" t="s">
        <v>1720</v>
      </c>
      <c r="J566" s="137" t="s">
        <v>622</v>
      </c>
      <c r="K566" s="137" t="s">
        <v>596</v>
      </c>
      <c r="L566" s="137" t="s">
        <v>596</v>
      </c>
      <c r="M566" s="143" t="str">
        <f t="shared" si="11"/>
        <v>View on Google Map</v>
      </c>
    </row>
    <row r="567" spans="1:13" x14ac:dyDescent="0.2">
      <c r="A567" s="137">
        <v>526</v>
      </c>
      <c r="B567" s="137" t="s">
        <v>1721</v>
      </c>
      <c r="C567" s="137" t="s">
        <v>1707</v>
      </c>
      <c r="D567" s="137">
        <v>68.633232000000007</v>
      </c>
      <c r="E567" s="137">
        <v>-149.61149</v>
      </c>
      <c r="F567" s="137">
        <v>719</v>
      </c>
      <c r="G567" s="137" t="s">
        <v>607</v>
      </c>
      <c r="H567" s="137" t="s">
        <v>596</v>
      </c>
      <c r="I567" s="137" t="s">
        <v>596</v>
      </c>
      <c r="J567" s="137" t="s">
        <v>608</v>
      </c>
      <c r="K567" s="137" t="s">
        <v>596</v>
      </c>
      <c r="L567" s="137" t="s">
        <v>1708</v>
      </c>
      <c r="M567" s="143" t="str">
        <f t="shared" si="11"/>
        <v>View on Google Map</v>
      </c>
    </row>
    <row r="568" spans="1:13" x14ac:dyDescent="0.2">
      <c r="A568" s="137">
        <v>14</v>
      </c>
      <c r="B568" s="137" t="s">
        <v>1722</v>
      </c>
      <c r="C568" s="137" t="s">
        <v>596</v>
      </c>
      <c r="D568" s="137" t="s">
        <v>596</v>
      </c>
      <c r="E568" s="137" t="s">
        <v>596</v>
      </c>
      <c r="F568" s="137">
        <v>719</v>
      </c>
      <c r="G568" s="137" t="s">
        <v>621</v>
      </c>
      <c r="H568" s="137" t="s">
        <v>1723</v>
      </c>
      <c r="I568" s="137" t="s">
        <v>596</v>
      </c>
      <c r="J568" s="137" t="s">
        <v>622</v>
      </c>
      <c r="K568" s="137" t="s">
        <v>596</v>
      </c>
      <c r="L568" s="137" t="s">
        <v>596</v>
      </c>
      <c r="M568" s="143" t="str">
        <f t="shared" si="11"/>
        <v>View on Google Map</v>
      </c>
    </row>
    <row r="569" spans="1:13" x14ac:dyDescent="0.2">
      <c r="A569" s="137">
        <v>527</v>
      </c>
      <c r="B569" s="137" t="s">
        <v>1724</v>
      </c>
      <c r="C569" s="137" t="s">
        <v>1707</v>
      </c>
      <c r="D569" s="137">
        <v>68.639894999999996</v>
      </c>
      <c r="E569" s="137">
        <v>-149.59610599999999</v>
      </c>
      <c r="F569" s="137">
        <v>719</v>
      </c>
      <c r="G569" s="137" t="s">
        <v>607</v>
      </c>
      <c r="H569" s="137" t="s">
        <v>596</v>
      </c>
      <c r="I569" s="137" t="s">
        <v>596</v>
      </c>
      <c r="J569" s="137" t="s">
        <v>608</v>
      </c>
      <c r="K569" s="137" t="s">
        <v>596</v>
      </c>
      <c r="L569" s="137" t="s">
        <v>1708</v>
      </c>
      <c r="M569" s="143" t="str">
        <f t="shared" si="11"/>
        <v>View on Google Map</v>
      </c>
    </row>
    <row r="570" spans="1:13" x14ac:dyDescent="0.2">
      <c r="A570" s="137">
        <v>9</v>
      </c>
      <c r="B570" s="137" t="s">
        <v>1725</v>
      </c>
      <c r="C570" s="137" t="s">
        <v>596</v>
      </c>
      <c r="D570" s="137" t="s">
        <v>596</v>
      </c>
      <c r="E570" s="137" t="s">
        <v>596</v>
      </c>
      <c r="F570" s="137">
        <v>823</v>
      </c>
      <c r="G570" s="137" t="s">
        <v>621</v>
      </c>
      <c r="H570" s="137" t="s">
        <v>596</v>
      </c>
      <c r="I570" s="137" t="s">
        <v>596</v>
      </c>
      <c r="J570" s="137" t="s">
        <v>622</v>
      </c>
      <c r="K570" s="137" t="s">
        <v>596</v>
      </c>
      <c r="L570" s="137" t="s">
        <v>596</v>
      </c>
      <c r="M570" s="143" t="str">
        <f t="shared" si="11"/>
        <v>View on Google Map</v>
      </c>
    </row>
    <row r="571" spans="1:13" x14ac:dyDescent="0.2">
      <c r="A571" s="137">
        <v>22</v>
      </c>
      <c r="B571" s="137" t="s">
        <v>1726</v>
      </c>
      <c r="C571" s="137" t="s">
        <v>596</v>
      </c>
      <c r="D571" s="137" t="s">
        <v>596</v>
      </c>
      <c r="E571" s="137" t="s">
        <v>596</v>
      </c>
      <c r="F571" s="137" t="s">
        <v>596</v>
      </c>
      <c r="G571" s="137" t="s">
        <v>621</v>
      </c>
      <c r="H571" s="137" t="s">
        <v>1727</v>
      </c>
      <c r="I571" s="137" t="s">
        <v>596</v>
      </c>
      <c r="J571" s="137" t="s">
        <v>622</v>
      </c>
      <c r="K571" s="137" t="s">
        <v>596</v>
      </c>
      <c r="L571" s="137" t="s">
        <v>596</v>
      </c>
      <c r="M571" s="143" t="str">
        <f t="shared" si="11"/>
        <v>View on Google Map</v>
      </c>
    </row>
    <row r="572" spans="1:13" x14ac:dyDescent="0.2">
      <c r="A572" s="137">
        <v>528</v>
      </c>
      <c r="B572" s="137" t="s">
        <v>1728</v>
      </c>
      <c r="C572" s="137" t="s">
        <v>1707</v>
      </c>
      <c r="D572" s="137">
        <v>68.634241000000003</v>
      </c>
      <c r="E572" s="137">
        <v>-149.60275899999999</v>
      </c>
      <c r="F572" s="137">
        <v>719</v>
      </c>
      <c r="G572" s="137" t="s">
        <v>607</v>
      </c>
      <c r="H572" s="137" t="s">
        <v>596</v>
      </c>
      <c r="I572" s="137" t="s">
        <v>596</v>
      </c>
      <c r="J572" s="137" t="s">
        <v>608</v>
      </c>
      <c r="K572" s="137" t="s">
        <v>596</v>
      </c>
      <c r="L572" s="137" t="s">
        <v>1708</v>
      </c>
      <c r="M572" s="143" t="str">
        <f t="shared" si="11"/>
        <v>View on Google Map</v>
      </c>
    </row>
    <row r="573" spans="1:13" x14ac:dyDescent="0.2">
      <c r="A573" s="137">
        <v>521</v>
      </c>
      <c r="B573" s="137" t="s">
        <v>1729</v>
      </c>
      <c r="C573" s="137" t="s">
        <v>1707</v>
      </c>
      <c r="D573" s="137">
        <v>68.628656000000007</v>
      </c>
      <c r="E573" s="137">
        <v>-149.59960599999999</v>
      </c>
      <c r="F573" s="137">
        <v>719</v>
      </c>
      <c r="G573" s="137" t="s">
        <v>607</v>
      </c>
      <c r="H573" s="137" t="s">
        <v>596</v>
      </c>
      <c r="I573" s="137" t="s">
        <v>596</v>
      </c>
      <c r="J573" s="137" t="s">
        <v>608</v>
      </c>
      <c r="K573" s="137" t="s">
        <v>596</v>
      </c>
      <c r="L573" s="137" t="s">
        <v>1708</v>
      </c>
      <c r="M573" s="143" t="str">
        <f t="shared" si="11"/>
        <v>View on Google Map</v>
      </c>
    </row>
    <row r="574" spans="1:13" x14ac:dyDescent="0.2">
      <c r="A574" s="137">
        <v>520</v>
      </c>
      <c r="B574" s="137" t="s">
        <v>1730</v>
      </c>
      <c r="C574" s="137" t="s">
        <v>1707</v>
      </c>
      <c r="D574" s="137">
        <v>68.633064000000005</v>
      </c>
      <c r="E574" s="137">
        <v>-149.62826999999999</v>
      </c>
      <c r="F574" s="137">
        <v>719</v>
      </c>
      <c r="G574" s="137" t="s">
        <v>607</v>
      </c>
      <c r="H574" s="137" t="s">
        <v>596</v>
      </c>
      <c r="I574" s="137" t="s">
        <v>596</v>
      </c>
      <c r="J574" s="137" t="s">
        <v>608</v>
      </c>
      <c r="K574" s="137" t="s">
        <v>596</v>
      </c>
      <c r="L574" s="137" t="s">
        <v>1708</v>
      </c>
      <c r="M574" s="143" t="str">
        <f t="shared" si="11"/>
        <v>View on Google Map</v>
      </c>
    </row>
    <row r="575" spans="1:13" x14ac:dyDescent="0.2">
      <c r="B575" s="137" t="s">
        <v>1731</v>
      </c>
      <c r="C575" s="137" t="s">
        <v>993</v>
      </c>
      <c r="D575" s="137">
        <v>68.695505999999995</v>
      </c>
      <c r="E575" s="137">
        <v>-149.207807</v>
      </c>
      <c r="G575" s="137" t="s">
        <v>1133</v>
      </c>
      <c r="J575" s="52" t="s">
        <v>622</v>
      </c>
      <c r="M575" s="143" t="str">
        <f t="shared" si="11"/>
        <v>View on Google Map</v>
      </c>
    </row>
    <row r="576" spans="1:13" x14ac:dyDescent="0.2">
      <c r="B576" s="137" t="s">
        <v>1732</v>
      </c>
      <c r="C576" s="137" t="s">
        <v>993</v>
      </c>
      <c r="D576" s="137">
        <v>68.695696999999996</v>
      </c>
      <c r="E576" s="137">
        <v>-149.20482699999999</v>
      </c>
      <c r="G576" s="137" t="s">
        <v>1133</v>
      </c>
      <c r="J576" s="52" t="s">
        <v>622</v>
      </c>
      <c r="M576" s="143" t="str">
        <f t="shared" si="11"/>
        <v>View on Google Map</v>
      </c>
    </row>
    <row r="577" spans="1:13" x14ac:dyDescent="0.2">
      <c r="B577" s="137" t="s">
        <v>1733</v>
      </c>
      <c r="C577" s="137" t="s">
        <v>993</v>
      </c>
      <c r="D577" s="137">
        <v>68.690700000000007</v>
      </c>
      <c r="E577" s="137">
        <v>-149.208371</v>
      </c>
      <c r="G577" s="137" t="s">
        <v>1133</v>
      </c>
      <c r="J577" s="52" t="s">
        <v>622</v>
      </c>
      <c r="M577" s="143" t="str">
        <f t="shared" si="11"/>
        <v>View on Google Map</v>
      </c>
    </row>
    <row r="578" spans="1:13" x14ac:dyDescent="0.2">
      <c r="B578" s="137" t="s">
        <v>1734</v>
      </c>
      <c r="C578" s="137" t="s">
        <v>993</v>
      </c>
      <c r="D578" s="137">
        <v>68.693759</v>
      </c>
      <c r="E578" s="137">
        <v>-149.20405500000001</v>
      </c>
      <c r="G578" s="137" t="s">
        <v>1133</v>
      </c>
      <c r="J578" s="52" t="s">
        <v>622</v>
      </c>
      <c r="M578" s="143" t="str">
        <f t="shared" si="11"/>
        <v>View on Google Map</v>
      </c>
    </row>
    <row r="579" spans="1:13" x14ac:dyDescent="0.2">
      <c r="B579" s="137" t="s">
        <v>1735</v>
      </c>
      <c r="C579" s="137" t="s">
        <v>1736</v>
      </c>
      <c r="D579" s="137">
        <v>68.628228973000006</v>
      </c>
      <c r="E579" s="137">
        <v>-149.596001285</v>
      </c>
      <c r="F579" s="137">
        <v>726.5</v>
      </c>
      <c r="J579" s="137" t="s">
        <v>622</v>
      </c>
      <c r="M579" s="137" t="str">
        <f>HYPERLINK("http://maps.google.com/maps?q="&amp;D579&amp;","&amp;E579,"View on Google Map")</f>
        <v>View on Google Map</v>
      </c>
    </row>
    <row r="580" spans="1:13" x14ac:dyDescent="0.2">
      <c r="A580" s="137">
        <v>901</v>
      </c>
      <c r="B580" s="137" t="s">
        <v>1737</v>
      </c>
      <c r="C580" s="137" t="s">
        <v>1738</v>
      </c>
      <c r="D580" s="137" t="s">
        <v>596</v>
      </c>
      <c r="E580" s="137" t="s">
        <v>596</v>
      </c>
      <c r="F580" s="137" t="s">
        <v>596</v>
      </c>
      <c r="G580" s="137" t="s">
        <v>596</v>
      </c>
      <c r="H580" s="137" t="s">
        <v>1739</v>
      </c>
      <c r="I580" s="137" t="s">
        <v>596</v>
      </c>
      <c r="J580" s="52" t="s">
        <v>622</v>
      </c>
      <c r="K580" s="137" t="s">
        <v>596</v>
      </c>
      <c r="L580" s="137" t="s">
        <v>596</v>
      </c>
      <c r="M580" s="143" t="str">
        <f t="shared" ref="M580:M638" si="12">HYPERLINK("http://maps.google.com/maps?q="&amp;D580&amp;","&amp;E580,"View on Google Map")</f>
        <v>View on Google Map</v>
      </c>
    </row>
    <row r="581" spans="1:13" x14ac:dyDescent="0.2">
      <c r="A581" s="137">
        <v>902</v>
      </c>
      <c r="B581" s="137" t="s">
        <v>1740</v>
      </c>
      <c r="C581" s="137" t="s">
        <v>1738</v>
      </c>
      <c r="D581" s="137" t="s">
        <v>596</v>
      </c>
      <c r="E581" s="137" t="s">
        <v>596</v>
      </c>
      <c r="F581" s="137">
        <v>757</v>
      </c>
      <c r="G581" s="137" t="s">
        <v>597</v>
      </c>
      <c r="H581" s="137" t="s">
        <v>1741</v>
      </c>
      <c r="I581" s="137" t="s">
        <v>596</v>
      </c>
      <c r="J581" s="137" t="s">
        <v>622</v>
      </c>
      <c r="K581" s="137" t="s">
        <v>596</v>
      </c>
      <c r="L581" s="137" t="s">
        <v>596</v>
      </c>
      <c r="M581" s="143" t="str">
        <f t="shared" si="12"/>
        <v>View on Google Map</v>
      </c>
    </row>
    <row r="582" spans="1:13" x14ac:dyDescent="0.2">
      <c r="A582" s="137">
        <v>903</v>
      </c>
      <c r="B582" s="137" t="s">
        <v>1742</v>
      </c>
      <c r="C582" s="137" t="s">
        <v>1738</v>
      </c>
      <c r="D582" s="137" t="s">
        <v>596</v>
      </c>
      <c r="E582" s="137" t="s">
        <v>596</v>
      </c>
      <c r="F582" s="137">
        <v>770</v>
      </c>
      <c r="G582" s="137" t="s">
        <v>597</v>
      </c>
      <c r="H582" s="137" t="s">
        <v>1743</v>
      </c>
      <c r="I582" s="137" t="s">
        <v>596</v>
      </c>
      <c r="J582" s="137" t="s">
        <v>622</v>
      </c>
      <c r="K582" s="137" t="s">
        <v>596</v>
      </c>
      <c r="L582" s="137" t="s">
        <v>596</v>
      </c>
      <c r="M582" s="143" t="str">
        <f t="shared" si="12"/>
        <v>View on Google Map</v>
      </c>
    </row>
    <row r="583" spans="1:13" x14ac:dyDescent="0.2">
      <c r="A583" s="137">
        <v>904</v>
      </c>
      <c r="B583" s="137" t="s">
        <v>1744</v>
      </c>
      <c r="C583" s="137" t="s">
        <v>1738</v>
      </c>
      <c r="D583" s="137" t="s">
        <v>596</v>
      </c>
      <c r="E583" s="137" t="s">
        <v>596</v>
      </c>
      <c r="F583" s="137">
        <v>770</v>
      </c>
      <c r="G583" s="137" t="s">
        <v>597</v>
      </c>
      <c r="H583" s="137" t="s">
        <v>1745</v>
      </c>
      <c r="I583" s="137" t="s">
        <v>596</v>
      </c>
      <c r="J583" s="137" t="s">
        <v>622</v>
      </c>
      <c r="K583" s="137" t="s">
        <v>596</v>
      </c>
      <c r="L583" s="137" t="s">
        <v>596</v>
      </c>
      <c r="M583" s="143" t="str">
        <f t="shared" si="12"/>
        <v>View on Google Map</v>
      </c>
    </row>
    <row r="584" spans="1:13" x14ac:dyDescent="0.2">
      <c r="A584" s="137">
        <v>905</v>
      </c>
      <c r="B584" s="137" t="s">
        <v>1746</v>
      </c>
      <c r="C584" s="137" t="s">
        <v>1738</v>
      </c>
      <c r="D584" s="137" t="s">
        <v>596</v>
      </c>
      <c r="E584" s="137" t="s">
        <v>596</v>
      </c>
      <c r="F584" s="137">
        <v>769</v>
      </c>
      <c r="G584" s="137" t="s">
        <v>597</v>
      </c>
      <c r="H584" s="137" t="s">
        <v>1747</v>
      </c>
      <c r="I584" s="137" t="s">
        <v>596</v>
      </c>
      <c r="J584" s="137" t="s">
        <v>622</v>
      </c>
      <c r="K584" s="137" t="s">
        <v>596</v>
      </c>
      <c r="L584" s="137" t="s">
        <v>596</v>
      </c>
      <c r="M584" s="143" t="str">
        <f t="shared" si="12"/>
        <v>View on Google Map</v>
      </c>
    </row>
    <row r="585" spans="1:13" x14ac:dyDescent="0.2">
      <c r="A585" s="137">
        <v>906</v>
      </c>
      <c r="B585" s="137" t="s">
        <v>1748</v>
      </c>
      <c r="C585" s="137" t="s">
        <v>1738</v>
      </c>
      <c r="D585" s="137" t="s">
        <v>596</v>
      </c>
      <c r="E585" s="137" t="s">
        <v>596</v>
      </c>
      <c r="F585" s="137">
        <v>769</v>
      </c>
      <c r="G585" s="137" t="s">
        <v>597</v>
      </c>
      <c r="H585" s="137" t="s">
        <v>1749</v>
      </c>
      <c r="I585" s="137" t="s">
        <v>596</v>
      </c>
      <c r="J585" s="137" t="s">
        <v>622</v>
      </c>
      <c r="K585" s="137" t="s">
        <v>596</v>
      </c>
      <c r="L585" s="137" t="s">
        <v>596</v>
      </c>
      <c r="M585" s="143" t="str">
        <f t="shared" si="12"/>
        <v>View on Google Map</v>
      </c>
    </row>
    <row r="586" spans="1:13" x14ac:dyDescent="0.2">
      <c r="A586" s="137">
        <v>907</v>
      </c>
      <c r="B586" s="137" t="s">
        <v>1750</v>
      </c>
      <c r="C586" s="137" t="s">
        <v>1738</v>
      </c>
      <c r="D586" s="137" t="s">
        <v>596</v>
      </c>
      <c r="E586" s="137" t="s">
        <v>596</v>
      </c>
      <c r="F586" s="137">
        <v>770</v>
      </c>
      <c r="G586" s="137" t="s">
        <v>597</v>
      </c>
      <c r="H586" s="137" t="s">
        <v>1751</v>
      </c>
      <c r="I586" s="137" t="s">
        <v>596</v>
      </c>
      <c r="J586" s="137" t="s">
        <v>622</v>
      </c>
      <c r="K586" s="137" t="s">
        <v>596</v>
      </c>
      <c r="L586" s="137" t="s">
        <v>596</v>
      </c>
      <c r="M586" s="143" t="str">
        <f t="shared" si="12"/>
        <v>View on Google Map</v>
      </c>
    </row>
    <row r="587" spans="1:13" x14ac:dyDescent="0.2">
      <c r="A587" s="137">
        <v>908</v>
      </c>
      <c r="B587" s="137" t="s">
        <v>1752</v>
      </c>
      <c r="C587" s="137" t="s">
        <v>1738</v>
      </c>
      <c r="D587" s="137" t="s">
        <v>596</v>
      </c>
      <c r="E587" s="137" t="s">
        <v>596</v>
      </c>
      <c r="F587" s="137">
        <v>770</v>
      </c>
      <c r="G587" s="137" t="s">
        <v>597</v>
      </c>
      <c r="H587" s="137" t="s">
        <v>1753</v>
      </c>
      <c r="I587" s="137" t="s">
        <v>596</v>
      </c>
      <c r="J587" s="137" t="s">
        <v>622</v>
      </c>
      <c r="K587" s="137" t="s">
        <v>596</v>
      </c>
      <c r="L587" s="137" t="s">
        <v>596</v>
      </c>
      <c r="M587" s="143" t="str">
        <f t="shared" si="12"/>
        <v>View on Google Map</v>
      </c>
    </row>
    <row r="588" spans="1:13" x14ac:dyDescent="0.2">
      <c r="A588" s="137">
        <v>909</v>
      </c>
      <c r="B588" s="137" t="s">
        <v>1754</v>
      </c>
      <c r="C588" s="137" t="s">
        <v>1738</v>
      </c>
      <c r="D588" s="137" t="s">
        <v>596</v>
      </c>
      <c r="E588" s="137" t="s">
        <v>596</v>
      </c>
      <c r="F588" s="137">
        <v>764</v>
      </c>
      <c r="G588" s="137" t="s">
        <v>597</v>
      </c>
      <c r="H588" s="137" t="s">
        <v>1755</v>
      </c>
      <c r="I588" s="137" t="s">
        <v>596</v>
      </c>
      <c r="J588" s="137" t="s">
        <v>622</v>
      </c>
      <c r="K588" s="137" t="s">
        <v>596</v>
      </c>
      <c r="L588" s="137" t="s">
        <v>596</v>
      </c>
      <c r="M588" s="143" t="str">
        <f t="shared" si="12"/>
        <v>View on Google Map</v>
      </c>
    </row>
    <row r="589" spans="1:13" x14ac:dyDescent="0.2">
      <c r="A589" s="137">
        <v>910</v>
      </c>
      <c r="B589" s="137" t="s">
        <v>1756</v>
      </c>
      <c r="C589" s="137" t="s">
        <v>1738</v>
      </c>
      <c r="D589" s="137" t="s">
        <v>596</v>
      </c>
      <c r="E589" s="137" t="s">
        <v>596</v>
      </c>
      <c r="F589" s="137">
        <v>764</v>
      </c>
      <c r="G589" s="137" t="s">
        <v>597</v>
      </c>
      <c r="H589" s="137" t="s">
        <v>1757</v>
      </c>
      <c r="I589" s="137" t="s">
        <v>596</v>
      </c>
      <c r="J589" s="137" t="s">
        <v>622</v>
      </c>
      <c r="K589" s="137" t="s">
        <v>596</v>
      </c>
      <c r="L589" s="137" t="s">
        <v>596</v>
      </c>
      <c r="M589" s="143" t="str">
        <f t="shared" si="12"/>
        <v>View on Google Map</v>
      </c>
    </row>
    <row r="590" spans="1:13" x14ac:dyDescent="0.2">
      <c r="A590" s="137">
        <v>911</v>
      </c>
      <c r="B590" s="137" t="s">
        <v>1758</v>
      </c>
      <c r="C590" s="137" t="s">
        <v>1738</v>
      </c>
      <c r="D590" s="137" t="s">
        <v>596</v>
      </c>
      <c r="E590" s="137" t="s">
        <v>596</v>
      </c>
      <c r="F590" s="137">
        <v>760</v>
      </c>
      <c r="G590" s="137" t="s">
        <v>597</v>
      </c>
      <c r="H590" s="137" t="s">
        <v>1759</v>
      </c>
      <c r="I590" s="137" t="s">
        <v>596</v>
      </c>
      <c r="J590" s="137" t="s">
        <v>622</v>
      </c>
      <c r="K590" s="137" t="s">
        <v>596</v>
      </c>
      <c r="L590" s="137" t="s">
        <v>596</v>
      </c>
      <c r="M590" s="143" t="str">
        <f t="shared" si="12"/>
        <v>View on Google Map</v>
      </c>
    </row>
    <row r="591" spans="1:13" x14ac:dyDescent="0.2">
      <c r="A591" s="137">
        <v>912</v>
      </c>
      <c r="B591" s="137" t="s">
        <v>1760</v>
      </c>
      <c r="C591" s="137" t="s">
        <v>1738</v>
      </c>
      <c r="D591" s="137" t="s">
        <v>596</v>
      </c>
      <c r="E591" s="137" t="s">
        <v>596</v>
      </c>
      <c r="F591" s="137">
        <v>760</v>
      </c>
      <c r="G591" s="137" t="s">
        <v>597</v>
      </c>
      <c r="H591" s="137" t="s">
        <v>1761</v>
      </c>
      <c r="I591" s="137" t="s">
        <v>596</v>
      </c>
      <c r="J591" s="137" t="s">
        <v>622</v>
      </c>
      <c r="K591" s="137" t="s">
        <v>596</v>
      </c>
      <c r="L591" s="137" t="s">
        <v>596</v>
      </c>
      <c r="M591" s="143" t="str">
        <f t="shared" si="12"/>
        <v>View on Google Map</v>
      </c>
    </row>
    <row r="592" spans="1:13" x14ac:dyDescent="0.2">
      <c r="A592" s="137">
        <v>913</v>
      </c>
      <c r="B592" s="137" t="s">
        <v>1762</v>
      </c>
      <c r="C592" s="137" t="s">
        <v>1738</v>
      </c>
      <c r="D592" s="137" t="s">
        <v>596</v>
      </c>
      <c r="E592" s="137" t="s">
        <v>596</v>
      </c>
      <c r="F592" s="137">
        <v>759</v>
      </c>
      <c r="G592" s="137" t="s">
        <v>597</v>
      </c>
      <c r="H592" s="137" t="s">
        <v>1763</v>
      </c>
      <c r="I592" s="137" t="s">
        <v>596</v>
      </c>
      <c r="J592" s="137" t="s">
        <v>622</v>
      </c>
      <c r="K592" s="137" t="s">
        <v>596</v>
      </c>
      <c r="L592" s="137" t="s">
        <v>596</v>
      </c>
      <c r="M592" s="143" t="str">
        <f t="shared" si="12"/>
        <v>View on Google Map</v>
      </c>
    </row>
    <row r="593" spans="1:13" x14ac:dyDescent="0.2">
      <c r="A593" s="137">
        <v>914</v>
      </c>
      <c r="B593" s="137" t="s">
        <v>1764</v>
      </c>
      <c r="C593" s="137" t="s">
        <v>1738</v>
      </c>
      <c r="D593" s="137" t="s">
        <v>596</v>
      </c>
      <c r="E593" s="137" t="s">
        <v>596</v>
      </c>
      <c r="F593" s="137">
        <v>758</v>
      </c>
      <c r="G593" s="137" t="s">
        <v>597</v>
      </c>
      <c r="H593" s="137" t="s">
        <v>1765</v>
      </c>
      <c r="I593" s="137" t="s">
        <v>596</v>
      </c>
      <c r="J593" s="137" t="s">
        <v>622</v>
      </c>
      <c r="K593" s="137" t="s">
        <v>596</v>
      </c>
      <c r="L593" s="137" t="s">
        <v>596</v>
      </c>
      <c r="M593" s="143" t="str">
        <f t="shared" si="12"/>
        <v>View on Google Map</v>
      </c>
    </row>
    <row r="594" spans="1:13" x14ac:dyDescent="0.2">
      <c r="A594" s="137">
        <v>915</v>
      </c>
      <c r="B594" s="137" t="s">
        <v>1766</v>
      </c>
      <c r="C594" s="137" t="s">
        <v>1767</v>
      </c>
      <c r="D594" s="137">
        <v>68.627900999999994</v>
      </c>
      <c r="E594" s="137">
        <v>-149.61295100000001</v>
      </c>
      <c r="F594" s="137">
        <v>759</v>
      </c>
      <c r="G594" s="137" t="s">
        <v>597</v>
      </c>
      <c r="H594" s="137" t="s">
        <v>1768</v>
      </c>
      <c r="I594" s="137" t="s">
        <v>1769</v>
      </c>
      <c r="J594" s="137" t="s">
        <v>622</v>
      </c>
      <c r="K594" s="137" t="s">
        <v>596</v>
      </c>
      <c r="L594" s="137" t="s">
        <v>596</v>
      </c>
      <c r="M594" s="143" t="str">
        <f t="shared" si="12"/>
        <v>View on Google Map</v>
      </c>
    </row>
    <row r="595" spans="1:13" x14ac:dyDescent="0.2">
      <c r="A595" s="137">
        <v>900</v>
      </c>
      <c r="B595" s="137" t="s">
        <v>1770</v>
      </c>
      <c r="C595" s="137" t="s">
        <v>596</v>
      </c>
      <c r="D595" s="137">
        <v>68.623487999999995</v>
      </c>
      <c r="E595" s="137">
        <v>-149.616559</v>
      </c>
      <c r="F595" s="137">
        <v>761</v>
      </c>
      <c r="G595" s="137" t="s">
        <v>597</v>
      </c>
      <c r="H595" s="137" t="s">
        <v>1771</v>
      </c>
      <c r="I595" s="137" t="s">
        <v>1772</v>
      </c>
      <c r="J595" s="137" t="s">
        <v>622</v>
      </c>
      <c r="K595" s="137" t="s">
        <v>596</v>
      </c>
      <c r="L595" s="137" t="s">
        <v>596</v>
      </c>
      <c r="M595" s="143" t="str">
        <f t="shared" si="12"/>
        <v>View on Google Map</v>
      </c>
    </row>
    <row r="596" spans="1:13" x14ac:dyDescent="0.2">
      <c r="B596" s="137" t="s">
        <v>1773</v>
      </c>
      <c r="C596" s="137" t="s">
        <v>1208</v>
      </c>
      <c r="D596" s="137">
        <v>68.549263888888888</v>
      </c>
      <c r="E596" s="137">
        <v>-149.306022222222</v>
      </c>
      <c r="G596" s="137" t="s">
        <v>1133</v>
      </c>
      <c r="J596" s="52" t="s">
        <v>622</v>
      </c>
      <c r="M596" s="143" t="str">
        <f t="shared" si="12"/>
        <v>View on Google Map</v>
      </c>
    </row>
    <row r="597" spans="1:13" x14ac:dyDescent="0.2">
      <c r="B597" s="137" t="s">
        <v>1774</v>
      </c>
      <c r="C597" s="137" t="s">
        <v>1208</v>
      </c>
      <c r="D597" s="137">
        <v>68.550188888888883</v>
      </c>
      <c r="E597" s="137">
        <v>-149.310305555556</v>
      </c>
      <c r="G597" s="137" t="s">
        <v>1133</v>
      </c>
      <c r="J597" s="52" t="s">
        <v>622</v>
      </c>
      <c r="M597" s="143" t="str">
        <f t="shared" si="12"/>
        <v>View on Google Map</v>
      </c>
    </row>
    <row r="598" spans="1:13" x14ac:dyDescent="0.2">
      <c r="B598" s="137" t="s">
        <v>1775</v>
      </c>
      <c r="C598" s="137" t="s">
        <v>1208</v>
      </c>
      <c r="D598" s="137">
        <v>68.549108333333336</v>
      </c>
      <c r="E598" s="137">
        <v>-149.30837777777799</v>
      </c>
      <c r="G598" s="137" t="s">
        <v>1133</v>
      </c>
      <c r="J598" s="52" t="s">
        <v>622</v>
      </c>
      <c r="M598" s="143" t="str">
        <f t="shared" si="12"/>
        <v>View on Google Map</v>
      </c>
    </row>
    <row r="599" spans="1:13" x14ac:dyDescent="0.2">
      <c r="A599" s="137">
        <v>42</v>
      </c>
      <c r="B599" s="137" t="s">
        <v>1776</v>
      </c>
      <c r="C599" s="137" t="s">
        <v>596</v>
      </c>
      <c r="D599" s="137">
        <v>68.960555999999997</v>
      </c>
      <c r="E599" s="137">
        <v>-150.63055600000001</v>
      </c>
      <c r="F599" s="137" t="s">
        <v>596</v>
      </c>
      <c r="G599" s="137" t="s">
        <v>621</v>
      </c>
      <c r="H599" s="137" t="s">
        <v>1777</v>
      </c>
      <c r="I599" s="137" t="s">
        <v>596</v>
      </c>
      <c r="J599" s="137" t="s">
        <v>1607</v>
      </c>
      <c r="K599" s="137" t="s">
        <v>596</v>
      </c>
      <c r="L599" s="137" t="s">
        <v>604</v>
      </c>
      <c r="M599" s="143" t="str">
        <f t="shared" si="12"/>
        <v>View on Google Map</v>
      </c>
    </row>
    <row r="600" spans="1:13" x14ac:dyDescent="0.2">
      <c r="A600" s="137">
        <v>43</v>
      </c>
      <c r="B600" s="137" t="s">
        <v>1778</v>
      </c>
      <c r="C600" s="137" t="s">
        <v>596</v>
      </c>
      <c r="D600" s="137">
        <v>68.935101000000003</v>
      </c>
      <c r="E600" s="137">
        <v>-150.68391700000001</v>
      </c>
      <c r="F600" s="137" t="s">
        <v>596</v>
      </c>
      <c r="G600" s="137" t="s">
        <v>621</v>
      </c>
      <c r="H600" s="137" t="s">
        <v>1779</v>
      </c>
      <c r="I600" s="137" t="s">
        <v>596</v>
      </c>
      <c r="J600" s="137" t="s">
        <v>1607</v>
      </c>
      <c r="K600" s="137" t="s">
        <v>596</v>
      </c>
      <c r="L600" s="137" t="s">
        <v>604</v>
      </c>
      <c r="M600" s="143" t="str">
        <f t="shared" si="12"/>
        <v>View on Google Map</v>
      </c>
    </row>
    <row r="601" spans="1:13" x14ac:dyDescent="0.2">
      <c r="A601" s="137">
        <v>44</v>
      </c>
      <c r="B601" s="137" t="s">
        <v>1780</v>
      </c>
      <c r="C601" s="137" t="s">
        <v>596</v>
      </c>
      <c r="D601" s="137">
        <v>68.916987000000006</v>
      </c>
      <c r="E601" s="137">
        <v>-150.659291</v>
      </c>
      <c r="F601" s="137" t="s">
        <v>596</v>
      </c>
      <c r="G601" s="137" t="s">
        <v>621</v>
      </c>
      <c r="H601" s="137" t="s">
        <v>1781</v>
      </c>
      <c r="I601" s="137" t="s">
        <v>596</v>
      </c>
      <c r="J601" s="137" t="s">
        <v>1607</v>
      </c>
      <c r="K601" s="137" t="s">
        <v>596</v>
      </c>
      <c r="L601" s="137" t="s">
        <v>604</v>
      </c>
      <c r="M601" s="143" t="str">
        <f t="shared" si="12"/>
        <v>View on Google Map</v>
      </c>
    </row>
    <row r="602" spans="1:13" x14ac:dyDescent="0.2">
      <c r="B602" s="137" t="s">
        <v>1782</v>
      </c>
      <c r="C602" s="137" t="s">
        <v>1609</v>
      </c>
      <c r="D602" s="137">
        <v>69.132777777777775</v>
      </c>
      <c r="E602" s="137">
        <v>-150.710833333333</v>
      </c>
      <c r="G602" s="137" t="s">
        <v>615</v>
      </c>
      <c r="J602" s="137" t="s">
        <v>603</v>
      </c>
      <c r="L602" s="137" t="s">
        <v>604</v>
      </c>
      <c r="M602" s="143" t="str">
        <f t="shared" si="12"/>
        <v>View on Google Map</v>
      </c>
    </row>
    <row r="603" spans="1:13" x14ac:dyDescent="0.2">
      <c r="B603" s="137" t="s">
        <v>1783</v>
      </c>
      <c r="C603" s="137" t="s">
        <v>993</v>
      </c>
      <c r="D603" s="137">
        <v>69.13944444444445</v>
      </c>
      <c r="E603" s="137">
        <v>-150.68388888888899</v>
      </c>
      <c r="G603" s="137" t="s">
        <v>615</v>
      </c>
      <c r="J603" s="137" t="s">
        <v>603</v>
      </c>
      <c r="L603" s="137" t="s">
        <v>604</v>
      </c>
      <c r="M603" s="143" t="str">
        <f t="shared" si="12"/>
        <v>View on Google Map</v>
      </c>
    </row>
    <row r="604" spans="1:13" x14ac:dyDescent="0.2">
      <c r="B604" s="137" t="s">
        <v>1784</v>
      </c>
      <c r="C604" s="137" t="s">
        <v>1609</v>
      </c>
      <c r="D604" s="137">
        <v>68.960833333333341</v>
      </c>
      <c r="E604" s="137">
        <v>-150.719722222222</v>
      </c>
      <c r="G604" s="137" t="s">
        <v>615</v>
      </c>
      <c r="J604" s="137" t="s">
        <v>603</v>
      </c>
      <c r="L604" s="137" t="s">
        <v>604</v>
      </c>
      <c r="M604" s="143" t="str">
        <f t="shared" si="12"/>
        <v>View on Google Map</v>
      </c>
    </row>
    <row r="605" spans="1:13" x14ac:dyDescent="0.2">
      <c r="B605" s="137" t="s">
        <v>1785</v>
      </c>
      <c r="C605" s="137" t="s">
        <v>993</v>
      </c>
      <c r="D605" s="137">
        <v>69.055277777777775</v>
      </c>
      <c r="E605" s="137">
        <v>-150.80972222222201</v>
      </c>
      <c r="G605" s="137" t="s">
        <v>615</v>
      </c>
      <c r="J605" s="137" t="s">
        <v>603</v>
      </c>
      <c r="L605" s="137" t="s">
        <v>604</v>
      </c>
      <c r="M605" s="143" t="str">
        <f t="shared" si="12"/>
        <v>View on Google Map</v>
      </c>
    </row>
    <row r="606" spans="1:13" x14ac:dyDescent="0.2">
      <c r="A606" s="137">
        <v>932</v>
      </c>
      <c r="B606" s="137" t="s">
        <v>1786</v>
      </c>
      <c r="C606" s="137" t="s">
        <v>596</v>
      </c>
      <c r="D606" s="137" t="s">
        <v>596</v>
      </c>
      <c r="E606" s="137" t="s">
        <v>596</v>
      </c>
      <c r="F606" s="137">
        <v>750</v>
      </c>
      <c r="G606" s="137" t="s">
        <v>597</v>
      </c>
      <c r="H606" s="137" t="s">
        <v>1787</v>
      </c>
      <c r="I606" s="137" t="s">
        <v>1788</v>
      </c>
      <c r="J606" s="137" t="s">
        <v>622</v>
      </c>
      <c r="K606" s="137" t="s">
        <v>596</v>
      </c>
      <c r="L606" s="137" t="s">
        <v>596</v>
      </c>
      <c r="M606" s="143" t="str">
        <f t="shared" si="12"/>
        <v>View on Google Map</v>
      </c>
    </row>
    <row r="607" spans="1:13" x14ac:dyDescent="0.2">
      <c r="A607" s="137">
        <v>920</v>
      </c>
      <c r="B607" s="137" t="s">
        <v>1789</v>
      </c>
      <c r="C607" s="137" t="s">
        <v>596</v>
      </c>
      <c r="D607" s="137" t="s">
        <v>596</v>
      </c>
      <c r="E607" s="137" t="s">
        <v>596</v>
      </c>
      <c r="F607" s="137">
        <v>760</v>
      </c>
      <c r="G607" s="137" t="s">
        <v>597</v>
      </c>
      <c r="H607" s="137" t="s">
        <v>1790</v>
      </c>
      <c r="I607" s="137" t="s">
        <v>1791</v>
      </c>
      <c r="J607" s="137" t="s">
        <v>622</v>
      </c>
      <c r="K607" s="137" t="s">
        <v>596</v>
      </c>
      <c r="L607" s="137" t="s">
        <v>596</v>
      </c>
      <c r="M607" s="143" t="str">
        <f t="shared" si="12"/>
        <v>View on Google Map</v>
      </c>
    </row>
    <row r="608" spans="1:13" x14ac:dyDescent="0.2">
      <c r="A608" s="137">
        <v>921</v>
      </c>
      <c r="B608" s="137" t="s">
        <v>1792</v>
      </c>
      <c r="C608" s="137" t="s">
        <v>596</v>
      </c>
      <c r="D608" s="137" t="s">
        <v>596</v>
      </c>
      <c r="E608" s="137" t="s">
        <v>596</v>
      </c>
      <c r="F608" s="137">
        <v>720</v>
      </c>
      <c r="G608" s="137" t="s">
        <v>597</v>
      </c>
      <c r="H608" s="137" t="s">
        <v>1793</v>
      </c>
      <c r="I608" s="137" t="s">
        <v>1794</v>
      </c>
      <c r="J608" s="137" t="s">
        <v>622</v>
      </c>
      <c r="K608" s="137" t="s">
        <v>596</v>
      </c>
      <c r="L608" s="137" t="s">
        <v>596</v>
      </c>
      <c r="M608" s="143" t="str">
        <f t="shared" si="12"/>
        <v>View on Google Map</v>
      </c>
    </row>
    <row r="609" spans="1:13" x14ac:dyDescent="0.2">
      <c r="A609" s="137">
        <v>922</v>
      </c>
      <c r="B609" s="137" t="s">
        <v>1795</v>
      </c>
      <c r="C609" s="137" t="s">
        <v>596</v>
      </c>
      <c r="D609" s="137" t="s">
        <v>596</v>
      </c>
      <c r="E609" s="137" t="s">
        <v>596</v>
      </c>
      <c r="F609" s="137">
        <v>750</v>
      </c>
      <c r="G609" s="137" t="s">
        <v>597</v>
      </c>
      <c r="H609" s="137" t="s">
        <v>1796</v>
      </c>
      <c r="I609" s="137" t="s">
        <v>1797</v>
      </c>
      <c r="J609" s="137" t="s">
        <v>622</v>
      </c>
      <c r="K609" s="137" t="s">
        <v>596</v>
      </c>
      <c r="L609" s="137" t="s">
        <v>596</v>
      </c>
      <c r="M609" s="143" t="str">
        <f t="shared" si="12"/>
        <v>View on Google Map</v>
      </c>
    </row>
    <row r="610" spans="1:13" x14ac:dyDescent="0.2">
      <c r="A610" s="137">
        <v>923</v>
      </c>
      <c r="B610" s="137" t="s">
        <v>1798</v>
      </c>
      <c r="C610" s="137" t="s">
        <v>596</v>
      </c>
      <c r="D610" s="137" t="s">
        <v>596</v>
      </c>
      <c r="E610" s="137" t="s">
        <v>596</v>
      </c>
      <c r="F610" s="137">
        <v>750</v>
      </c>
      <c r="G610" s="137" t="s">
        <v>597</v>
      </c>
      <c r="H610" s="137" t="s">
        <v>1799</v>
      </c>
      <c r="I610" s="137" t="s">
        <v>1800</v>
      </c>
      <c r="J610" s="137" t="s">
        <v>622</v>
      </c>
      <c r="K610" s="137" t="s">
        <v>596</v>
      </c>
      <c r="L610" s="137" t="s">
        <v>596</v>
      </c>
      <c r="M610" s="143" t="str">
        <f t="shared" si="12"/>
        <v>View on Google Map</v>
      </c>
    </row>
    <row r="611" spans="1:13" x14ac:dyDescent="0.2">
      <c r="A611" s="137">
        <v>924</v>
      </c>
      <c r="B611" s="137" t="s">
        <v>1801</v>
      </c>
      <c r="C611" s="137" t="s">
        <v>596</v>
      </c>
      <c r="D611" s="137" t="s">
        <v>596</v>
      </c>
      <c r="E611" s="137" t="s">
        <v>596</v>
      </c>
      <c r="F611" s="137">
        <v>750</v>
      </c>
      <c r="G611" s="137" t="s">
        <v>597</v>
      </c>
      <c r="H611" s="137" t="s">
        <v>1802</v>
      </c>
      <c r="I611" s="137" t="s">
        <v>1803</v>
      </c>
      <c r="J611" s="137" t="s">
        <v>622</v>
      </c>
      <c r="K611" s="137" t="s">
        <v>596</v>
      </c>
      <c r="L611" s="137" t="s">
        <v>596</v>
      </c>
      <c r="M611" s="143" t="str">
        <f t="shared" si="12"/>
        <v>View on Google Map</v>
      </c>
    </row>
    <row r="612" spans="1:13" x14ac:dyDescent="0.2">
      <c r="A612" s="137">
        <v>925</v>
      </c>
      <c r="B612" s="137" t="s">
        <v>1804</v>
      </c>
      <c r="C612" s="137" t="s">
        <v>596</v>
      </c>
      <c r="D612" s="137" t="s">
        <v>596</v>
      </c>
      <c r="E612" s="137" t="s">
        <v>596</v>
      </c>
      <c r="F612" s="137">
        <v>750</v>
      </c>
      <c r="G612" s="137" t="s">
        <v>597</v>
      </c>
      <c r="H612" s="137" t="s">
        <v>1805</v>
      </c>
      <c r="I612" s="137" t="s">
        <v>1806</v>
      </c>
      <c r="J612" s="137" t="s">
        <v>622</v>
      </c>
      <c r="K612" s="137" t="s">
        <v>596</v>
      </c>
      <c r="L612" s="137" t="s">
        <v>596</v>
      </c>
      <c r="M612" s="143" t="str">
        <f t="shared" si="12"/>
        <v>View on Google Map</v>
      </c>
    </row>
    <row r="613" spans="1:13" x14ac:dyDescent="0.2">
      <c r="A613" s="137">
        <v>926</v>
      </c>
      <c r="B613" s="137" t="s">
        <v>1807</v>
      </c>
      <c r="C613" s="137" t="s">
        <v>596</v>
      </c>
      <c r="D613" s="137" t="s">
        <v>596</v>
      </c>
      <c r="E613" s="137" t="s">
        <v>596</v>
      </c>
      <c r="F613" s="137">
        <v>750</v>
      </c>
      <c r="G613" s="137" t="s">
        <v>597</v>
      </c>
      <c r="H613" s="137" t="s">
        <v>1808</v>
      </c>
      <c r="I613" s="137" t="s">
        <v>1809</v>
      </c>
      <c r="J613" s="137" t="s">
        <v>622</v>
      </c>
      <c r="K613" s="137" t="s">
        <v>596</v>
      </c>
      <c r="L613" s="137" t="s">
        <v>596</v>
      </c>
      <c r="M613" s="143" t="str">
        <f t="shared" si="12"/>
        <v>View on Google Map</v>
      </c>
    </row>
    <row r="614" spans="1:13" x14ac:dyDescent="0.2">
      <c r="A614" s="137">
        <v>927</v>
      </c>
      <c r="B614" s="137" t="s">
        <v>1810</v>
      </c>
      <c r="C614" s="137" t="s">
        <v>596</v>
      </c>
      <c r="D614" s="137" t="s">
        <v>596</v>
      </c>
      <c r="E614" s="137" t="s">
        <v>596</v>
      </c>
      <c r="F614" s="137">
        <v>750</v>
      </c>
      <c r="G614" s="137" t="s">
        <v>597</v>
      </c>
      <c r="H614" s="137" t="s">
        <v>1811</v>
      </c>
      <c r="I614" s="137" t="s">
        <v>1812</v>
      </c>
      <c r="J614" s="137" t="s">
        <v>622</v>
      </c>
      <c r="K614" s="137" t="s">
        <v>596</v>
      </c>
      <c r="L614" s="137" t="s">
        <v>596</v>
      </c>
      <c r="M614" s="143" t="str">
        <f t="shared" si="12"/>
        <v>View on Google Map</v>
      </c>
    </row>
    <row r="615" spans="1:13" x14ac:dyDescent="0.2">
      <c r="A615" s="137">
        <v>928</v>
      </c>
      <c r="B615" s="137" t="s">
        <v>1813</v>
      </c>
      <c r="C615" s="137" t="s">
        <v>596</v>
      </c>
      <c r="D615" s="137" t="s">
        <v>596</v>
      </c>
      <c r="E615" s="137" t="s">
        <v>596</v>
      </c>
      <c r="F615" s="137">
        <v>750</v>
      </c>
      <c r="G615" s="137" t="s">
        <v>597</v>
      </c>
      <c r="H615" s="137" t="s">
        <v>1814</v>
      </c>
      <c r="I615" s="137" t="s">
        <v>1815</v>
      </c>
      <c r="J615" s="137" t="s">
        <v>622</v>
      </c>
      <c r="K615" s="137" t="s">
        <v>596</v>
      </c>
      <c r="L615" s="137" t="s">
        <v>596</v>
      </c>
      <c r="M615" s="143" t="str">
        <f t="shared" si="12"/>
        <v>View on Google Map</v>
      </c>
    </row>
    <row r="616" spans="1:13" x14ac:dyDescent="0.2">
      <c r="A616" s="137">
        <v>929</v>
      </c>
      <c r="B616" s="137" t="s">
        <v>1816</v>
      </c>
      <c r="C616" s="137" t="s">
        <v>596</v>
      </c>
      <c r="D616" s="137" t="s">
        <v>596</v>
      </c>
      <c r="E616" s="137" t="s">
        <v>596</v>
      </c>
      <c r="F616" s="137">
        <v>750</v>
      </c>
      <c r="G616" s="137" t="s">
        <v>597</v>
      </c>
      <c r="H616" s="137" t="s">
        <v>1817</v>
      </c>
      <c r="I616" s="137" t="s">
        <v>1818</v>
      </c>
      <c r="J616" s="137" t="s">
        <v>622</v>
      </c>
      <c r="K616" s="137" t="s">
        <v>596</v>
      </c>
      <c r="L616" s="137" t="s">
        <v>596</v>
      </c>
      <c r="M616" s="143" t="str">
        <f t="shared" si="12"/>
        <v>View on Google Map</v>
      </c>
    </row>
    <row r="617" spans="1:13" x14ac:dyDescent="0.2">
      <c r="A617" s="137">
        <v>930</v>
      </c>
      <c r="B617" s="137" t="s">
        <v>1819</v>
      </c>
      <c r="C617" s="137" t="s">
        <v>596</v>
      </c>
      <c r="D617" s="137" t="s">
        <v>596</v>
      </c>
      <c r="E617" s="137" t="s">
        <v>596</v>
      </c>
      <c r="F617" s="137">
        <v>750</v>
      </c>
      <c r="G617" s="137" t="s">
        <v>597</v>
      </c>
      <c r="H617" s="137" t="s">
        <v>1820</v>
      </c>
      <c r="I617" s="137" t="s">
        <v>1821</v>
      </c>
      <c r="J617" s="137" t="s">
        <v>622</v>
      </c>
      <c r="K617" s="137" t="s">
        <v>596</v>
      </c>
      <c r="L617" s="137" t="s">
        <v>596</v>
      </c>
      <c r="M617" s="143" t="str">
        <f t="shared" si="12"/>
        <v>View on Google Map</v>
      </c>
    </row>
    <row r="618" spans="1:13" x14ac:dyDescent="0.2">
      <c r="A618" s="137">
        <v>931</v>
      </c>
      <c r="B618" s="137" t="s">
        <v>1822</v>
      </c>
      <c r="C618" s="137" t="s">
        <v>596</v>
      </c>
      <c r="D618" s="137" t="s">
        <v>596</v>
      </c>
      <c r="E618" s="137" t="s">
        <v>596</v>
      </c>
      <c r="F618" s="137">
        <v>750</v>
      </c>
      <c r="G618" s="137" t="s">
        <v>597</v>
      </c>
      <c r="H618" s="137" t="s">
        <v>1823</v>
      </c>
      <c r="I618" s="137" t="s">
        <v>1824</v>
      </c>
      <c r="J618" s="137" t="s">
        <v>622</v>
      </c>
      <c r="K618" s="137" t="s">
        <v>596</v>
      </c>
      <c r="L618" s="137" t="s">
        <v>596</v>
      </c>
      <c r="M618" s="143" t="str">
        <f t="shared" si="12"/>
        <v>View on Google Map</v>
      </c>
    </row>
    <row r="619" spans="1:13" x14ac:dyDescent="0.2">
      <c r="A619" s="137">
        <v>370</v>
      </c>
      <c r="B619" s="137" t="s">
        <v>1825</v>
      </c>
      <c r="C619" s="137" t="s">
        <v>596</v>
      </c>
      <c r="D619" s="137" t="s">
        <v>596</v>
      </c>
      <c r="E619" s="137" t="s">
        <v>596</v>
      </c>
      <c r="F619" s="137" t="s">
        <v>596</v>
      </c>
      <c r="G619" s="137" t="s">
        <v>607</v>
      </c>
      <c r="H619" s="137" t="s">
        <v>596</v>
      </c>
      <c r="I619" s="137" t="s">
        <v>596</v>
      </c>
      <c r="J619" s="137" t="s">
        <v>622</v>
      </c>
      <c r="K619" s="137" t="s">
        <v>596</v>
      </c>
      <c r="L619" s="137" t="s">
        <v>1826</v>
      </c>
      <c r="M619" s="143" t="str">
        <f t="shared" si="12"/>
        <v>View on Google Map</v>
      </c>
    </row>
    <row r="620" spans="1:13" x14ac:dyDescent="0.2">
      <c r="A620" s="137">
        <v>371</v>
      </c>
      <c r="B620" s="137" t="s">
        <v>1827</v>
      </c>
      <c r="C620" s="137" t="s">
        <v>596</v>
      </c>
      <c r="D620" s="137" t="s">
        <v>596</v>
      </c>
      <c r="E620" s="137" t="s">
        <v>596</v>
      </c>
      <c r="F620" s="137" t="s">
        <v>596</v>
      </c>
      <c r="G620" s="137" t="s">
        <v>607</v>
      </c>
      <c r="H620" s="137" t="s">
        <v>596</v>
      </c>
      <c r="I620" s="137" t="s">
        <v>596</v>
      </c>
      <c r="J620" s="137" t="s">
        <v>622</v>
      </c>
      <c r="K620" s="137" t="s">
        <v>596</v>
      </c>
      <c r="L620" s="137" t="s">
        <v>1826</v>
      </c>
      <c r="M620" s="143" t="str">
        <f t="shared" si="12"/>
        <v>View on Google Map</v>
      </c>
    </row>
    <row r="621" spans="1:13" x14ac:dyDescent="0.2">
      <c r="A621" s="137">
        <v>372</v>
      </c>
      <c r="B621" s="137" t="s">
        <v>1828</v>
      </c>
      <c r="C621" s="137" t="s">
        <v>596</v>
      </c>
      <c r="D621" s="137" t="s">
        <v>596</v>
      </c>
      <c r="E621" s="137" t="s">
        <v>596</v>
      </c>
      <c r="F621" s="137" t="s">
        <v>596</v>
      </c>
      <c r="G621" s="137" t="s">
        <v>607</v>
      </c>
      <c r="H621" s="137" t="s">
        <v>596</v>
      </c>
      <c r="I621" s="137" t="s">
        <v>596</v>
      </c>
      <c r="J621" s="137" t="s">
        <v>622</v>
      </c>
      <c r="K621" s="137" t="s">
        <v>596</v>
      </c>
      <c r="L621" s="137" t="s">
        <v>1826</v>
      </c>
      <c r="M621" s="143" t="str">
        <f t="shared" si="12"/>
        <v>View on Google Map</v>
      </c>
    </row>
    <row r="622" spans="1:13" x14ac:dyDescent="0.2">
      <c r="A622" s="137">
        <v>373</v>
      </c>
      <c r="B622" s="137" t="s">
        <v>1829</v>
      </c>
      <c r="C622" s="137" t="s">
        <v>596</v>
      </c>
      <c r="D622" s="137" t="s">
        <v>596</v>
      </c>
      <c r="E622" s="137" t="s">
        <v>596</v>
      </c>
      <c r="F622" s="137" t="s">
        <v>596</v>
      </c>
      <c r="G622" s="137" t="s">
        <v>607</v>
      </c>
      <c r="H622" s="137" t="s">
        <v>596</v>
      </c>
      <c r="I622" s="137" t="s">
        <v>596</v>
      </c>
      <c r="J622" s="137" t="s">
        <v>622</v>
      </c>
      <c r="K622" s="137" t="s">
        <v>596</v>
      </c>
      <c r="L622" s="137" t="s">
        <v>1826</v>
      </c>
      <c r="M622" s="143" t="str">
        <f t="shared" si="12"/>
        <v>View on Google Map</v>
      </c>
    </row>
    <row r="623" spans="1:13" x14ac:dyDescent="0.2">
      <c r="A623" s="137">
        <v>374</v>
      </c>
      <c r="B623" s="137" t="s">
        <v>1830</v>
      </c>
      <c r="C623" s="137" t="s">
        <v>596</v>
      </c>
      <c r="D623" s="137" t="s">
        <v>596</v>
      </c>
      <c r="E623" s="137" t="s">
        <v>596</v>
      </c>
      <c r="F623" s="137" t="s">
        <v>596</v>
      </c>
      <c r="G623" s="137" t="s">
        <v>607</v>
      </c>
      <c r="H623" s="137" t="s">
        <v>596</v>
      </c>
      <c r="I623" s="137" t="s">
        <v>596</v>
      </c>
      <c r="J623" s="137" t="s">
        <v>622</v>
      </c>
      <c r="K623" s="137" t="s">
        <v>596</v>
      </c>
      <c r="L623" s="137" t="s">
        <v>1826</v>
      </c>
      <c r="M623" s="143" t="str">
        <f t="shared" si="12"/>
        <v>View on Google Map</v>
      </c>
    </row>
    <row r="624" spans="1:13" x14ac:dyDescent="0.2">
      <c r="A624" s="137">
        <v>375</v>
      </c>
      <c r="B624" s="137" t="s">
        <v>1831</v>
      </c>
      <c r="C624" s="137" t="s">
        <v>596</v>
      </c>
      <c r="D624" s="137" t="s">
        <v>596</v>
      </c>
      <c r="E624" s="137" t="s">
        <v>596</v>
      </c>
      <c r="F624" s="137" t="s">
        <v>596</v>
      </c>
      <c r="G624" s="137" t="s">
        <v>607</v>
      </c>
      <c r="H624" s="137" t="s">
        <v>596</v>
      </c>
      <c r="I624" s="137" t="s">
        <v>596</v>
      </c>
      <c r="J624" s="137" t="s">
        <v>622</v>
      </c>
      <c r="K624" s="137" t="s">
        <v>596</v>
      </c>
      <c r="L624" s="137" t="s">
        <v>1826</v>
      </c>
      <c r="M624" s="143" t="str">
        <f t="shared" si="12"/>
        <v>View on Google Map</v>
      </c>
    </row>
    <row r="625" spans="1:13" x14ac:dyDescent="0.2">
      <c r="A625" s="137">
        <v>376</v>
      </c>
      <c r="B625" s="137" t="s">
        <v>1832</v>
      </c>
      <c r="C625" s="137" t="s">
        <v>596</v>
      </c>
      <c r="D625" s="137" t="s">
        <v>596</v>
      </c>
      <c r="E625" s="137" t="s">
        <v>596</v>
      </c>
      <c r="F625" s="137" t="s">
        <v>596</v>
      </c>
      <c r="G625" s="137" t="s">
        <v>607</v>
      </c>
      <c r="H625" s="137" t="s">
        <v>596</v>
      </c>
      <c r="I625" s="137" t="s">
        <v>596</v>
      </c>
      <c r="J625" s="137" t="s">
        <v>622</v>
      </c>
      <c r="K625" s="137" t="s">
        <v>596</v>
      </c>
      <c r="L625" s="137" t="s">
        <v>1826</v>
      </c>
      <c r="M625" s="143" t="str">
        <f t="shared" si="12"/>
        <v>View on Google Map</v>
      </c>
    </row>
    <row r="626" spans="1:13" x14ac:dyDescent="0.2">
      <c r="A626" s="137">
        <v>377</v>
      </c>
      <c r="B626" s="137" t="s">
        <v>1833</v>
      </c>
      <c r="C626" s="137" t="s">
        <v>596</v>
      </c>
      <c r="D626" s="137" t="s">
        <v>596</v>
      </c>
      <c r="E626" s="137" t="s">
        <v>596</v>
      </c>
      <c r="F626" s="137" t="s">
        <v>596</v>
      </c>
      <c r="G626" s="137" t="s">
        <v>607</v>
      </c>
      <c r="H626" s="137" t="s">
        <v>596</v>
      </c>
      <c r="I626" s="137" t="s">
        <v>596</v>
      </c>
      <c r="J626" s="137" t="s">
        <v>622</v>
      </c>
      <c r="K626" s="137" t="s">
        <v>596</v>
      </c>
      <c r="L626" s="137" t="s">
        <v>1826</v>
      </c>
      <c r="M626" s="143" t="str">
        <f t="shared" si="12"/>
        <v>View on Google Map</v>
      </c>
    </row>
    <row r="627" spans="1:13" x14ac:dyDescent="0.2">
      <c r="A627" s="137">
        <v>378</v>
      </c>
      <c r="B627" s="137" t="s">
        <v>1834</v>
      </c>
      <c r="C627" s="137" t="s">
        <v>596</v>
      </c>
      <c r="D627" s="137" t="s">
        <v>596</v>
      </c>
      <c r="E627" s="137" t="s">
        <v>596</v>
      </c>
      <c r="F627" s="137" t="s">
        <v>596</v>
      </c>
      <c r="G627" s="137" t="s">
        <v>607</v>
      </c>
      <c r="H627" s="137" t="s">
        <v>596</v>
      </c>
      <c r="I627" s="137" t="s">
        <v>596</v>
      </c>
      <c r="J627" s="137" t="s">
        <v>622</v>
      </c>
      <c r="K627" s="137" t="s">
        <v>596</v>
      </c>
      <c r="L627" s="137" t="s">
        <v>1826</v>
      </c>
      <c r="M627" s="143" t="str">
        <f t="shared" si="12"/>
        <v>View on Google Map</v>
      </c>
    </row>
    <row r="628" spans="1:13" x14ac:dyDescent="0.2">
      <c r="A628" s="137">
        <v>379</v>
      </c>
      <c r="B628" s="137" t="s">
        <v>1835</v>
      </c>
      <c r="C628" s="137" t="s">
        <v>596</v>
      </c>
      <c r="D628" s="137" t="s">
        <v>596</v>
      </c>
      <c r="E628" s="137" t="s">
        <v>596</v>
      </c>
      <c r="F628" s="137" t="s">
        <v>596</v>
      </c>
      <c r="G628" s="137" t="s">
        <v>607</v>
      </c>
      <c r="H628" s="137" t="s">
        <v>596</v>
      </c>
      <c r="I628" s="137" t="s">
        <v>596</v>
      </c>
      <c r="J628" s="137" t="s">
        <v>622</v>
      </c>
      <c r="K628" s="137" t="s">
        <v>596</v>
      </c>
      <c r="L628" s="137" t="s">
        <v>1826</v>
      </c>
      <c r="M628" s="143" t="str">
        <f t="shared" si="12"/>
        <v>View on Google Map</v>
      </c>
    </row>
    <row r="629" spans="1:13" x14ac:dyDescent="0.2">
      <c r="A629" s="137">
        <v>458</v>
      </c>
      <c r="B629" s="137" t="s">
        <v>1836</v>
      </c>
      <c r="C629" s="137" t="s">
        <v>596</v>
      </c>
      <c r="D629" s="137">
        <v>68.986329999999995</v>
      </c>
      <c r="E629" s="137">
        <v>-149.89803000000001</v>
      </c>
      <c r="F629" s="137">
        <v>419</v>
      </c>
      <c r="G629" s="137" t="s">
        <v>607</v>
      </c>
      <c r="H629" s="137" t="s">
        <v>596</v>
      </c>
      <c r="I629" s="137" t="s">
        <v>596</v>
      </c>
      <c r="J629" s="137" t="s">
        <v>608</v>
      </c>
      <c r="K629" s="137" t="s">
        <v>596</v>
      </c>
      <c r="L629" s="137" t="s">
        <v>596</v>
      </c>
      <c r="M629" s="143" t="str">
        <f t="shared" si="12"/>
        <v>View on Google Map</v>
      </c>
    </row>
    <row r="630" spans="1:13" x14ac:dyDescent="0.2">
      <c r="A630" s="137">
        <v>459</v>
      </c>
      <c r="B630" s="137" t="s">
        <v>1837</v>
      </c>
      <c r="C630" s="137" t="s">
        <v>596</v>
      </c>
      <c r="D630" s="137">
        <v>68.983530000000002</v>
      </c>
      <c r="E630" s="137">
        <v>-149.89436000000001</v>
      </c>
      <c r="F630" s="137">
        <v>408</v>
      </c>
      <c r="G630" s="137" t="s">
        <v>607</v>
      </c>
      <c r="H630" s="137" t="s">
        <v>596</v>
      </c>
      <c r="I630" s="137" t="s">
        <v>596</v>
      </c>
      <c r="J630" s="137" t="s">
        <v>608</v>
      </c>
      <c r="K630" s="137" t="s">
        <v>596</v>
      </c>
      <c r="L630" s="137" t="s">
        <v>596</v>
      </c>
      <c r="M630" s="143" t="str">
        <f t="shared" si="12"/>
        <v>View on Google Map</v>
      </c>
    </row>
    <row r="631" spans="1:13" x14ac:dyDescent="0.2">
      <c r="A631" s="137">
        <v>460</v>
      </c>
      <c r="B631" s="137" t="s">
        <v>1838</v>
      </c>
      <c r="C631" s="137" t="s">
        <v>596</v>
      </c>
      <c r="D631" s="137">
        <v>68.978710000000007</v>
      </c>
      <c r="E631" s="137">
        <v>-149.89182</v>
      </c>
      <c r="F631" s="137">
        <v>394</v>
      </c>
      <c r="G631" s="137" t="s">
        <v>607</v>
      </c>
      <c r="H631" s="137" t="s">
        <v>596</v>
      </c>
      <c r="I631" s="137" t="s">
        <v>596</v>
      </c>
      <c r="J631" s="137" t="s">
        <v>608</v>
      </c>
      <c r="K631" s="137" t="s">
        <v>596</v>
      </c>
      <c r="L631" s="137" t="s">
        <v>596</v>
      </c>
      <c r="M631" s="143" t="str">
        <f t="shared" si="12"/>
        <v>View on Google Map</v>
      </c>
    </row>
    <row r="632" spans="1:13" x14ac:dyDescent="0.2">
      <c r="A632" s="137">
        <v>461</v>
      </c>
      <c r="B632" s="137" t="s">
        <v>1839</v>
      </c>
      <c r="C632" s="137" t="s">
        <v>596</v>
      </c>
      <c r="D632" s="137">
        <v>68.861750000000001</v>
      </c>
      <c r="E632" s="137">
        <v>-149.03908000000001</v>
      </c>
      <c r="F632" s="137">
        <v>651</v>
      </c>
      <c r="G632" s="137" t="s">
        <v>607</v>
      </c>
      <c r="H632" s="137" t="s">
        <v>596</v>
      </c>
      <c r="I632" s="137" t="s">
        <v>596</v>
      </c>
      <c r="J632" s="137" t="s">
        <v>608</v>
      </c>
      <c r="K632" s="137" t="s">
        <v>596</v>
      </c>
      <c r="L632" s="137" t="s">
        <v>596</v>
      </c>
      <c r="M632" s="143" t="str">
        <f t="shared" si="12"/>
        <v>View on Google Map</v>
      </c>
    </row>
    <row r="633" spans="1:13" x14ac:dyDescent="0.2">
      <c r="A633" s="137">
        <v>462</v>
      </c>
      <c r="B633" s="137" t="s">
        <v>1840</v>
      </c>
      <c r="C633" s="137" t="s">
        <v>596</v>
      </c>
      <c r="D633" s="137">
        <v>68.867549999999994</v>
      </c>
      <c r="E633" s="137">
        <v>-149.03557000000001</v>
      </c>
      <c r="F633" s="137">
        <v>638</v>
      </c>
      <c r="G633" s="137" t="s">
        <v>607</v>
      </c>
      <c r="H633" s="137" t="s">
        <v>596</v>
      </c>
      <c r="I633" s="137" t="s">
        <v>596</v>
      </c>
      <c r="J633" s="137" t="s">
        <v>608</v>
      </c>
      <c r="K633" s="137" t="s">
        <v>596</v>
      </c>
      <c r="L633" s="137" t="s">
        <v>596</v>
      </c>
      <c r="M633" s="143" t="str">
        <f t="shared" si="12"/>
        <v>View on Google Map</v>
      </c>
    </row>
    <row r="634" spans="1:13" x14ac:dyDescent="0.2">
      <c r="A634" s="144">
        <v>463</v>
      </c>
      <c r="B634" s="144" t="s">
        <v>1841</v>
      </c>
      <c r="C634" s="144" t="s">
        <v>596</v>
      </c>
      <c r="D634" s="144">
        <v>68.873149999999995</v>
      </c>
      <c r="E634" s="144">
        <v>-149.04128</v>
      </c>
      <c r="F634" s="144">
        <v>637</v>
      </c>
      <c r="G634" s="144" t="s">
        <v>607</v>
      </c>
      <c r="H634" s="144" t="s">
        <v>596</v>
      </c>
      <c r="I634" s="144" t="s">
        <v>596</v>
      </c>
      <c r="J634" s="144" t="s">
        <v>608</v>
      </c>
      <c r="K634" s="144" t="s">
        <v>596</v>
      </c>
      <c r="L634" s="144" t="s">
        <v>596</v>
      </c>
      <c r="M634" s="143" t="str">
        <f t="shared" si="12"/>
        <v>View on Google Map</v>
      </c>
    </row>
    <row r="635" spans="1:13" x14ac:dyDescent="0.2">
      <c r="A635" s="137">
        <v>129</v>
      </c>
      <c r="B635" s="137" t="s">
        <v>1842</v>
      </c>
      <c r="C635" s="137" t="s">
        <v>1682</v>
      </c>
      <c r="D635" s="137">
        <v>69.966666666666669</v>
      </c>
      <c r="E635" s="137">
        <v>-148.73333333333301</v>
      </c>
      <c r="F635" s="137">
        <v>57</v>
      </c>
      <c r="G635" s="137" t="s">
        <v>607</v>
      </c>
      <c r="H635" s="137" t="s">
        <v>1843</v>
      </c>
      <c r="I635" s="137" t="s">
        <v>596</v>
      </c>
      <c r="J635" s="137" t="s">
        <v>622</v>
      </c>
      <c r="K635" s="137" t="s">
        <v>596</v>
      </c>
      <c r="L635" s="137" t="s">
        <v>623</v>
      </c>
      <c r="M635" s="143" t="str">
        <f t="shared" si="12"/>
        <v>View on Google Map</v>
      </c>
    </row>
    <row r="636" spans="1:13" x14ac:dyDescent="0.2">
      <c r="A636" s="137">
        <v>17</v>
      </c>
      <c r="B636" s="137" t="s">
        <v>1844</v>
      </c>
      <c r="C636" s="137" t="s">
        <v>1845</v>
      </c>
      <c r="D636" s="137" t="s">
        <v>596</v>
      </c>
      <c r="E636" s="137" t="s">
        <v>596</v>
      </c>
      <c r="F636" s="137" t="s">
        <v>596</v>
      </c>
      <c r="G636" s="137" t="s">
        <v>621</v>
      </c>
      <c r="H636" s="137" t="s">
        <v>596</v>
      </c>
      <c r="I636" s="137" t="s">
        <v>596</v>
      </c>
      <c r="J636" s="137" t="s">
        <v>622</v>
      </c>
      <c r="K636" s="137" t="s">
        <v>596</v>
      </c>
      <c r="L636" s="137" t="s">
        <v>596</v>
      </c>
      <c r="M636" s="143" t="str">
        <f t="shared" si="12"/>
        <v>View on Google Map</v>
      </c>
    </row>
    <row r="637" spans="1:13" x14ac:dyDescent="0.2">
      <c r="A637" s="137">
        <v>530</v>
      </c>
      <c r="B637" s="137" t="s">
        <v>1846</v>
      </c>
      <c r="C637" s="137" t="s">
        <v>1002</v>
      </c>
      <c r="D637" s="137">
        <v>68.674332000000007</v>
      </c>
      <c r="E637" s="137">
        <v>-149.61694399999999</v>
      </c>
      <c r="F637" s="137">
        <v>701</v>
      </c>
      <c r="G637" s="137" t="s">
        <v>607</v>
      </c>
      <c r="H637" s="137" t="s">
        <v>596</v>
      </c>
      <c r="I637" s="137" t="s">
        <v>596</v>
      </c>
      <c r="J637" s="137" t="s">
        <v>608</v>
      </c>
      <c r="K637" s="137" t="s">
        <v>596</v>
      </c>
      <c r="L637" s="137" t="s">
        <v>1003</v>
      </c>
      <c r="M637" s="143" t="str">
        <f t="shared" si="12"/>
        <v>View on Google Map</v>
      </c>
    </row>
    <row r="638" spans="1:13" x14ac:dyDescent="0.2">
      <c r="A638" s="137">
        <v>496</v>
      </c>
      <c r="B638" s="137" t="s">
        <v>1847</v>
      </c>
      <c r="C638" s="137" t="s">
        <v>596</v>
      </c>
      <c r="D638" s="137">
        <v>68.674149999999997</v>
      </c>
      <c r="E638" s="137">
        <v>-149.61810299999999</v>
      </c>
      <c r="F638" s="137">
        <v>701</v>
      </c>
      <c r="G638" s="137" t="s">
        <v>621</v>
      </c>
      <c r="H638" s="137" t="s">
        <v>1848</v>
      </c>
      <c r="I638" s="137" t="s">
        <v>596</v>
      </c>
      <c r="J638" s="137" t="s">
        <v>1524</v>
      </c>
      <c r="K638" s="137" t="s">
        <v>596</v>
      </c>
      <c r="L638" s="137" t="s">
        <v>1003</v>
      </c>
      <c r="M638" s="143" t="str">
        <f t="shared" si="12"/>
        <v>View on Google Map</v>
      </c>
    </row>
  </sheetData>
  <autoFilter ref="A2:N638">
    <sortState ref="A3:N637">
      <sortCondition ref="B2"/>
    </sortState>
  </autoFilter>
  <conditionalFormatting sqref="B2">
    <cfRule type="cellIs" dxfId="0" priority="1" stopIfTrue="1" operator="equal">
      <formula>"NOT ASSIGNED:"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123</vt:i4>
      </vt:variant>
    </vt:vector>
  </HeadingPairs>
  <TitlesOfParts>
    <vt:vector size="126" baseType="lpstr">
      <vt:lpstr>Metadata_PF_ShootACi</vt:lpstr>
      <vt:lpstr>PF_ShootAci_Data</vt:lpstr>
      <vt:lpstr>Sites(Do NOT Edit)</vt:lpstr>
      <vt:lpstr>Metadata_PF_ShootACi!ABSTRACT</vt:lpstr>
      <vt:lpstr>'Sites(Do NOT Edit)'!ABSTRACT</vt:lpstr>
      <vt:lpstr>Metadata_PF_ShootACi!Address_line_2</vt:lpstr>
      <vt:lpstr>'Sites(Do NOT Edit)'!Address_line_2</vt:lpstr>
      <vt:lpstr>Metadata_PF_ShootACi!Address_line_3</vt:lpstr>
      <vt:lpstr>'Sites(Do NOT Edit)'!Address_line_3</vt:lpstr>
      <vt:lpstr>Metadata_PF_ShootACi!Availability_Status</vt:lpstr>
      <vt:lpstr>'Sites(Do NOT Edit)'!Availability_Status</vt:lpstr>
      <vt:lpstr>Metadata_PF_ShootACi!Beginning_Date</vt:lpstr>
      <vt:lpstr>'Sites(Do NOT Edit)'!Beginning_Date</vt:lpstr>
      <vt:lpstr>Metadata_PF_ShootACi!City</vt:lpstr>
      <vt:lpstr>'Sites(Do NOT Edit)'!City</vt:lpstr>
      <vt:lpstr>Metadata_PF_ShootACi!Code_Information</vt:lpstr>
      <vt:lpstr>'Sites(Do NOT Edit)'!Code_Information</vt:lpstr>
      <vt:lpstr>Metadata_PF_ShootACi!Country</vt:lpstr>
      <vt:lpstr>'Sites(Do NOT Edit)'!Country</vt:lpstr>
      <vt:lpstr>Metadata_PF_ShootACi!DATA_FILE_INFORMATION</vt:lpstr>
      <vt:lpstr>'Sites(Do NOT Edit)'!DATA_FILE_INFORMATION</vt:lpstr>
      <vt:lpstr>Metadata_PF_ShootACi!Data_File_Name</vt:lpstr>
      <vt:lpstr>'Sites(Do NOT Edit)'!Data_File_Name</vt:lpstr>
      <vt:lpstr>Metadata_PF_ShootACi!Data_File_URL</vt:lpstr>
      <vt:lpstr>'Sites(Do NOT Edit)'!Data_File_URL</vt:lpstr>
      <vt:lpstr>Metadata_PF_ShootACi!Data_Type</vt:lpstr>
      <vt:lpstr>'Sites(Do NOT Edit)'!Data_Type</vt:lpstr>
      <vt:lpstr>Metadata_PF_ShootACi!DATASET_ID</vt:lpstr>
      <vt:lpstr>'Sites(Do NOT Edit)'!DATASET_ID</vt:lpstr>
      <vt:lpstr>Metadata_PF_ShootACi!DATASET_TITLE</vt:lpstr>
      <vt:lpstr>'Sites(Do NOT Edit)'!DATASET_TITLE</vt:lpstr>
      <vt:lpstr>Metadata_PF_ShootACi!DateTime_Format</vt:lpstr>
      <vt:lpstr>'Sites(Do NOT Edit)'!DateTime_Format</vt:lpstr>
      <vt:lpstr>Metadata_PF_ShootACi!Distribution_URL_for_file</vt:lpstr>
      <vt:lpstr>'Sites(Do NOT Edit)'!Distribution_URL_for_file</vt:lpstr>
      <vt:lpstr>Metadata_PF_ShootACi!East_Bounding_Coordinate</vt:lpstr>
      <vt:lpstr>'Sites(Do NOT Edit)'!East_Bounding_Coordinate</vt:lpstr>
      <vt:lpstr>Metadata_PF_ShootACi!Elevation</vt:lpstr>
      <vt:lpstr>'Sites(Do NOT Edit)'!Elevation</vt:lpstr>
      <vt:lpstr>Metadata_PF_ShootACi!Email</vt:lpstr>
      <vt:lpstr>'Sites(Do NOT Edit)'!Email</vt:lpstr>
      <vt:lpstr>Metadata_PF_ShootACi!End_Date</vt:lpstr>
      <vt:lpstr>'Sites(Do NOT Edit)'!End_Date</vt:lpstr>
      <vt:lpstr>Metadata_PF_ShootACi!First_Name</vt:lpstr>
      <vt:lpstr>'Sites(Do NOT Edit)'!First_Name</vt:lpstr>
      <vt:lpstr>Metadata_PF_ShootACi!Geographic_Description</vt:lpstr>
      <vt:lpstr>'Sites(Do NOT Edit)'!Geographic_Description</vt:lpstr>
      <vt:lpstr>Metadata_PF_ShootACi!INVESTIGATOR_INFORMATION</vt:lpstr>
      <vt:lpstr>'Sites(Do NOT Edit)'!INVESTIGATOR_INFORMATION</vt:lpstr>
      <vt:lpstr>Metadata_PF_ShootACi!KEYWORD_INFORMATION</vt:lpstr>
      <vt:lpstr>'Sites(Do NOT Edit)'!KEYWORD_INFORMATION</vt:lpstr>
      <vt:lpstr>Metadata_PF_ShootACi!KEYWORDS</vt:lpstr>
      <vt:lpstr>'Sites(Do NOT Edit)'!KEYWORDS</vt:lpstr>
      <vt:lpstr>Metadata_PF_ShootACi!Last_Name</vt:lpstr>
      <vt:lpstr>'Sites(Do NOT Edit)'!Last_Name</vt:lpstr>
      <vt:lpstr>Metadata_PF_ShootACi!Latitude</vt:lpstr>
      <vt:lpstr>'Sites(Do NOT Edit)'!Latitude</vt:lpstr>
      <vt:lpstr>Link_to_Google_Map</vt:lpstr>
      <vt:lpstr>Metadata_PF_ShootACi!Location_Bounding_Box</vt:lpstr>
      <vt:lpstr>'Sites(Do NOT Edit)'!Location_Bounding_Box</vt:lpstr>
      <vt:lpstr>Metadata_PF_ShootACi!Location_Name</vt:lpstr>
      <vt:lpstr>'Sites(Do NOT Edit)'!Location_Name</vt:lpstr>
      <vt:lpstr>Metadata_PF_ShootACi!Log_of_Changes</vt:lpstr>
      <vt:lpstr>'Sites(Do NOT Edit)'!Log_of_Changes</vt:lpstr>
      <vt:lpstr>Metadata_PF_ShootACi!Longitude</vt:lpstr>
      <vt:lpstr>'Sites(Do NOT Edit)'!Longitude</vt:lpstr>
      <vt:lpstr>LTER_Sites_number</vt:lpstr>
      <vt:lpstr>Metadata_PF_ShootACi!Maintenance_Description</vt:lpstr>
      <vt:lpstr>'Sites(Do NOT Edit)'!Maintenance_Description</vt:lpstr>
      <vt:lpstr>Metadata_PF_ShootACi!Metacat_Package_ID</vt:lpstr>
      <vt:lpstr>'Sites(Do NOT Edit)'!Metacat_Package_ID</vt:lpstr>
      <vt:lpstr>Metadata_PF_ShootACi!METHODS</vt:lpstr>
      <vt:lpstr>'Sites(Do NOT Edit)'!METHODS</vt:lpstr>
      <vt:lpstr>Metadata_PF_ShootACi!Missing_Value_Code</vt:lpstr>
      <vt:lpstr>'Sites(Do NOT Edit)'!Missing_Value_Code</vt:lpstr>
      <vt:lpstr>Metadata_PF_ShootACi!North_Bounding_Coordinate</vt:lpstr>
      <vt:lpstr>'Sites(Do NOT Edit)'!North_Bounding_Coordinate</vt:lpstr>
      <vt:lpstr>Metadata_PF_ShootACi!Number_of_Data_Records</vt:lpstr>
      <vt:lpstr>'Sites(Do NOT Edit)'!Number_of_Data_Records</vt:lpstr>
      <vt:lpstr>Metadata_PF_ShootACi!OR</vt:lpstr>
      <vt:lpstr>'Sites(Do NOT Edit)'!OR</vt:lpstr>
      <vt:lpstr>Metadata_PF_ShootACi!OR_if_single_point_location</vt:lpstr>
      <vt:lpstr>'Sites(Do NOT Edit)'!OR_if_single_point_location</vt:lpstr>
      <vt:lpstr>Metadata_PF_ShootACi!Organisms_studied</vt:lpstr>
      <vt:lpstr>'Sites(Do NOT Edit)'!Organisms_studied</vt:lpstr>
      <vt:lpstr>Metadata_PF_ShootACi!Organization</vt:lpstr>
      <vt:lpstr>'Sites(Do NOT Edit)'!Organization</vt:lpstr>
      <vt:lpstr>Metadata_PF_ShootACi!Other_Files_to_Reference</vt:lpstr>
      <vt:lpstr>'Sites(Do NOT Edit)'!Other_Files_to_Reference</vt:lpstr>
      <vt:lpstr>Metadata_PF_ShootACi!Protocol_Document</vt:lpstr>
      <vt:lpstr>'Sites(Do NOT Edit)'!Protocol_Document</vt:lpstr>
      <vt:lpstr>Metadata_PF_ShootACi!Protocol_Title</vt:lpstr>
      <vt:lpstr>'Sites(Do NOT Edit)'!Protocol_Title</vt:lpstr>
      <vt:lpstr>Metadata_PF_ShootACi!Quality_Control_Information</vt:lpstr>
      <vt:lpstr>'Sites(Do NOT Edit)'!Quality_Control_Information</vt:lpstr>
      <vt:lpstr>Metadata_PF_ShootACi!RESEARCH_LOCATION</vt:lpstr>
      <vt:lpstr>'Sites(Do NOT Edit)'!RESEARCH_LOCATION</vt:lpstr>
      <vt:lpstr>Metadata_PF_ShootACi!Role</vt:lpstr>
      <vt:lpstr>'Sites(Do NOT Edit)'!Role</vt:lpstr>
      <vt:lpstr>Metadata_PF_ShootACi!Sampling_and_or_Lab_Protocols</vt:lpstr>
      <vt:lpstr>'Sites(Do NOT Edit)'!Sampling_and_or_Lab_Protocols</vt:lpstr>
      <vt:lpstr>Site_name</vt:lpstr>
      <vt:lpstr>Site_name_list</vt:lpstr>
      <vt:lpstr>Sites</vt:lpstr>
      <vt:lpstr>Metadata_PF_ShootACi!South_Bounding_Coordinate</vt:lpstr>
      <vt:lpstr>'Sites(Do NOT Edit)'!South_Bounding_Coordinate</vt:lpstr>
      <vt:lpstr>Metadata_PF_ShootACi!State</vt:lpstr>
      <vt:lpstr>'Sites(Do NOT Edit)'!State</vt:lpstr>
      <vt:lpstr>Metadata_PF_ShootACi!TAXONOMIC_COVERAGE</vt:lpstr>
      <vt:lpstr>'Sites(Do NOT Edit)'!TAXONOMIC_COVERAGE</vt:lpstr>
      <vt:lpstr>Metadata_PF_ShootACi!Units</vt:lpstr>
      <vt:lpstr>'Sites(Do NOT Edit)'!Units</vt:lpstr>
      <vt:lpstr>Metadata_PF_ShootACi!URL_of_online_Protocol</vt:lpstr>
      <vt:lpstr>'Sites(Do NOT Edit)'!URL_of_online_Protocol</vt:lpstr>
      <vt:lpstr>Metadata_PF_ShootACi!Variable_Description</vt:lpstr>
      <vt:lpstr>'Sites(Do NOT Edit)'!Variable_Description</vt:lpstr>
      <vt:lpstr>Metadata_PF_ShootACi!VARIABLE_DESCRIPTIONS</vt:lpstr>
      <vt:lpstr>'Sites(Do NOT Edit)'!VARIABLE_DESCRIPTIONS</vt:lpstr>
      <vt:lpstr>Metadata_PF_ShootACi!Variable_Name</vt:lpstr>
      <vt:lpstr>'Sites(Do NOT Edit)'!Variable_Name</vt:lpstr>
      <vt:lpstr>Metadata_PF_ShootACi!West_Bounding_Coordinate</vt:lpstr>
      <vt:lpstr>'Sites(Do NOT Edit)'!West_Bounding_Coordinate</vt:lpstr>
      <vt:lpstr>Metadata_PF_ShootACi!Year_Released_to_Public</vt:lpstr>
      <vt:lpstr>'Sites(Do NOT Edit)'!Year_Released_to_Public</vt:lpstr>
      <vt:lpstr>Metadata_PF_ShootACi!Zip_Code</vt:lpstr>
      <vt:lpstr>'Sites(Do NOT Edit)'!Zip_Code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toolik</dc:creator>
  <cp:lastModifiedBy>jiml</cp:lastModifiedBy>
  <dcterms:created xsi:type="dcterms:W3CDTF">2012-06-23T03:05:23Z</dcterms:created>
  <dcterms:modified xsi:type="dcterms:W3CDTF">2013-05-22T22:35:21Z</dcterms:modified>
</cp:coreProperties>
</file>