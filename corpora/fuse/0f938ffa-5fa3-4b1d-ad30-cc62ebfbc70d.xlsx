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5600" windowHeight="102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Sheet1!$A$1:$K$55</definedName>
  </definedNames>
  <calcPr calcId="145621"/>
</workbook>
</file>

<file path=xl/calcChain.xml><?xml version="1.0" encoding="utf-8"?>
<calcChain xmlns="http://schemas.openxmlformats.org/spreadsheetml/2006/main">
  <c r="J88" i="1"/>
  <c r="K88"/>
  <c r="L88"/>
  <c r="J87"/>
  <c r="K87"/>
  <c r="L87"/>
  <c r="J86"/>
  <c r="L86"/>
  <c r="K86"/>
  <c r="J85"/>
  <c r="L85"/>
  <c r="K85"/>
  <c r="J84"/>
  <c r="K84"/>
  <c r="L84"/>
  <c r="J83"/>
  <c r="K83"/>
  <c r="J82"/>
  <c r="L82"/>
  <c r="K82"/>
  <c r="J81"/>
  <c r="K81"/>
  <c r="J80"/>
  <c r="L80"/>
  <c r="K80"/>
  <c r="J79"/>
  <c r="K79"/>
  <c r="J78"/>
  <c r="L78"/>
  <c r="K78"/>
  <c r="H87"/>
  <c r="H86"/>
  <c r="H85"/>
  <c r="H84"/>
  <c r="H83"/>
  <c r="H82"/>
  <c r="H81"/>
  <c r="H80"/>
  <c r="H79"/>
  <c r="H78"/>
  <c r="H77"/>
  <c r="J77"/>
  <c r="K77"/>
  <c r="L77"/>
  <c r="H76"/>
  <c r="J76"/>
  <c r="K76"/>
  <c r="L76"/>
  <c r="H75"/>
  <c r="J75"/>
  <c r="K75"/>
  <c r="H74"/>
  <c r="J74"/>
  <c r="L74"/>
  <c r="K74"/>
  <c r="H73"/>
  <c r="J73"/>
  <c r="L73"/>
  <c r="K73"/>
  <c r="H72"/>
  <c r="J72"/>
  <c r="L72"/>
  <c r="K72"/>
  <c r="H71"/>
  <c r="L75"/>
  <c r="L81"/>
  <c r="L79"/>
  <c r="L83"/>
</calcChain>
</file>

<file path=xl/sharedStrings.xml><?xml version="1.0" encoding="utf-8"?>
<sst xmlns="http://schemas.openxmlformats.org/spreadsheetml/2006/main" count="174" uniqueCount="127">
  <si>
    <t>SHEET</t>
  </si>
  <si>
    <t xml:space="preserve">team </t>
  </si>
  <si>
    <t>sheet A</t>
  </si>
  <si>
    <t>sheet B</t>
  </si>
  <si>
    <t>sheet C</t>
  </si>
  <si>
    <t>sheet D</t>
  </si>
  <si>
    <t>total games</t>
  </si>
  <si>
    <t xml:space="preserve">interior </t>
  </si>
  <si>
    <t>outside</t>
  </si>
  <si>
    <t>sum</t>
  </si>
  <si>
    <t>Draw 1</t>
  </si>
  <si>
    <t>Draw 2</t>
  </si>
  <si>
    <t>Draw 3</t>
  </si>
  <si>
    <t>Draw 4</t>
  </si>
  <si>
    <t>Draw 5</t>
  </si>
  <si>
    <t>Draw 6</t>
  </si>
  <si>
    <t>Draw 7</t>
  </si>
  <si>
    <t>Draw 9</t>
  </si>
  <si>
    <t>Draw 11</t>
  </si>
  <si>
    <t>Draw 8</t>
  </si>
  <si>
    <t>Draw 10</t>
  </si>
  <si>
    <t>A1</t>
  </si>
  <si>
    <t>A3</t>
  </si>
  <si>
    <t>A5</t>
  </si>
  <si>
    <t>A7</t>
  </si>
  <si>
    <t>A2</t>
  </si>
  <si>
    <t>A4</t>
  </si>
  <si>
    <t>A6</t>
  </si>
  <si>
    <t>B1</t>
  </si>
  <si>
    <t>B3</t>
  </si>
  <si>
    <t>B5</t>
  </si>
  <si>
    <t>B4</t>
  </si>
  <si>
    <t>B6</t>
  </si>
  <si>
    <t>B2</t>
  </si>
  <si>
    <t>W1</t>
  </si>
  <si>
    <t>W2</t>
  </si>
  <si>
    <t>W4</t>
  </si>
  <si>
    <t>W3</t>
  </si>
  <si>
    <t>Friday 8:00 AM</t>
  </si>
  <si>
    <t>Friday 8:00 PM</t>
  </si>
  <si>
    <t>Saturday 8:00 AM</t>
  </si>
  <si>
    <t>Saturday 8:00 PM</t>
  </si>
  <si>
    <t>Draw 12</t>
  </si>
  <si>
    <t>Thursday 5:00 PM</t>
  </si>
  <si>
    <t>1st place</t>
  </si>
  <si>
    <t>2nd place</t>
  </si>
  <si>
    <t>Team Meeting</t>
  </si>
  <si>
    <t>10 End Games</t>
  </si>
  <si>
    <t xml:space="preserve">In the case of 1st place ties - 2 way tie -  head to head determines, 3 way tie - lowest shootout advances. 2nd determined by TB </t>
  </si>
  <si>
    <t xml:space="preserve">In the case of more that 3 way ties, USCA rules will govern. </t>
  </si>
  <si>
    <t>Rules</t>
  </si>
  <si>
    <t xml:space="preserve">In the case of 2nd place ties - 2 way tie - TB req'd, 3 way tie - lowest shoot out advances to TB, other 2 teams playdown for 2nd TB spot. </t>
  </si>
  <si>
    <t>Friday 12:00 PM</t>
  </si>
  <si>
    <t>Friday 4:00 PM</t>
  </si>
  <si>
    <t>Saturday 12:00 PM</t>
  </si>
  <si>
    <t>Sunday 9:00 AM</t>
  </si>
  <si>
    <t>Draw 13</t>
  </si>
  <si>
    <t>Draw 14</t>
  </si>
  <si>
    <t>Page Final</t>
  </si>
  <si>
    <t xml:space="preserve">Page Playoff -  The page playoff system will be used for the Men's </t>
  </si>
  <si>
    <t>Saturday 4:00 PM</t>
  </si>
  <si>
    <t>Thursday 1:00 PM</t>
  </si>
  <si>
    <t>Men's Pool A (5 teams)</t>
  </si>
  <si>
    <t>Men's Pool B (6 teams)</t>
  </si>
  <si>
    <t>Thursday 8:00 AM</t>
  </si>
  <si>
    <t>Thursday 12:00 PM</t>
  </si>
  <si>
    <t>Thursday 9:00 AM</t>
  </si>
  <si>
    <t>Thursday 9:00 PM</t>
  </si>
  <si>
    <t>Sunday 2:00 PM</t>
  </si>
  <si>
    <t xml:space="preserve">    Tiebreaker</t>
  </si>
  <si>
    <t xml:space="preserve">  loser 2</t>
  </si>
  <si>
    <t xml:space="preserve"> winner 3</t>
  </si>
  <si>
    <t>Pool A -</t>
  </si>
  <si>
    <t>Pool B -</t>
  </si>
  <si>
    <t>Russ Heier</t>
  </si>
  <si>
    <t>Women -</t>
  </si>
  <si>
    <t>Beth Bohlman</t>
  </si>
  <si>
    <t xml:space="preserve">Team Meeting one hour before first draw </t>
  </si>
  <si>
    <t>Draw for hammer</t>
  </si>
  <si>
    <t>Option-If more than 1 tiebreaker is needed in either pool, the tiebreaker will be Sat. 8 PM &amp; the page playoff will be Sun. 8 AM,1 PM &amp; 5 PM</t>
  </si>
  <si>
    <t>Draw Shot Challenge will be according to USCA rules.</t>
  </si>
  <si>
    <t xml:space="preserve">Games are not timed, however if, in the opinion of the Head Official, play is progressing too slowly he will give appropriate warnings.   </t>
  </si>
  <si>
    <t>Heier</t>
  </si>
  <si>
    <t>Kitchens</t>
  </si>
  <si>
    <t>Vassen</t>
  </si>
  <si>
    <t>2013 ND MEN'S AND WOMEN'S CLUB NATIONAL PLAYDOWNS</t>
  </si>
  <si>
    <t>Woman's Pool (4 teams)</t>
  </si>
  <si>
    <t>Friday 3:00 PM</t>
  </si>
  <si>
    <t xml:space="preserve">       Tiebreaker </t>
  </si>
  <si>
    <t>breaker</t>
  </si>
  <si>
    <t xml:space="preserve">           Tie</t>
  </si>
  <si>
    <t>Tiebreak(if needed)</t>
  </si>
  <si>
    <t xml:space="preserve">Practice - Team listed first has dark handles &amp; has ice 1/2 hour before game time </t>
  </si>
  <si>
    <t>Team listed 2nd has light handles &amp; has ice 20 minutes before game time</t>
  </si>
  <si>
    <t>Women's Format is RR with must lose 2 provision</t>
  </si>
  <si>
    <t>Brown</t>
  </si>
  <si>
    <t>Brown  -   Bye</t>
  </si>
  <si>
    <t>Scott Brown</t>
  </si>
  <si>
    <t>B.Bina  -  Bye</t>
  </si>
  <si>
    <t>B.Bina</t>
  </si>
  <si>
    <t>Kram</t>
  </si>
  <si>
    <t>Kram -  Bye</t>
  </si>
  <si>
    <t>Ussatis</t>
  </si>
  <si>
    <t>Ussatis - Bye</t>
  </si>
  <si>
    <t>R.Bina</t>
  </si>
  <si>
    <t>R.Bina - Bye</t>
  </si>
  <si>
    <t>Smith</t>
  </si>
  <si>
    <t>Jensen</t>
  </si>
  <si>
    <t>DeJardine</t>
  </si>
  <si>
    <t>Reiser</t>
  </si>
  <si>
    <t>Workin</t>
  </si>
  <si>
    <t>Delaney</t>
  </si>
  <si>
    <t>Bohlman</t>
  </si>
  <si>
    <t>Workin - Bohlman</t>
  </si>
  <si>
    <t>Reiser - Delaney</t>
  </si>
  <si>
    <t>Bob Bina</t>
  </si>
  <si>
    <t>John Kram</t>
  </si>
  <si>
    <t>Todd Ussatis</t>
  </si>
  <si>
    <t>Randy Bina</t>
  </si>
  <si>
    <t>Tucker Smith</t>
  </si>
  <si>
    <t xml:space="preserve">   Dave Jensen</t>
  </si>
  <si>
    <t>Alex Kitchens</t>
  </si>
  <si>
    <t>Todd Vassen</t>
  </si>
  <si>
    <t>Brian DeJardine</t>
  </si>
  <si>
    <t>Nicole Reiser</t>
  </si>
  <si>
    <t>Marybeth Workin</t>
  </si>
  <si>
    <t>Carmen Delaney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</si>
</sst>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633777886288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0" xfId="0" applyFill="1" applyBorder="1"/>
    <xf numFmtId="0" fontId="3" fillId="0" borderId="0" xfId="0" applyFont="1"/>
    <xf numFmtId="0" fontId="0" fillId="0" borderId="0" xfId="0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3" fillId="0" borderId="0" xfId="0" applyFont="1" applyBorder="1"/>
    <xf numFmtId="0" fontId="0" fillId="2" borderId="6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4" borderId="7" xfId="0" applyFill="1" applyBorder="1"/>
    <xf numFmtId="0" fontId="5" fillId="4" borderId="8" xfId="0" applyFont="1" applyFill="1" applyBorder="1"/>
    <xf numFmtId="0" fontId="0" fillId="5" borderId="9" xfId="0" applyFill="1" applyBorder="1"/>
    <xf numFmtId="0" fontId="5" fillId="5" borderId="10" xfId="0" applyFont="1" applyFill="1" applyBorder="1"/>
    <xf numFmtId="0" fontId="0" fillId="4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0" xfId="0" applyFill="1"/>
    <xf numFmtId="0" fontId="0" fillId="6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7" borderId="12" xfId="0" applyFont="1" applyFill="1" applyBorder="1"/>
    <xf numFmtId="0" fontId="5" fillId="7" borderId="2" xfId="0" applyFont="1" applyFill="1" applyBorder="1"/>
    <xf numFmtId="0" fontId="5" fillId="0" borderId="0" xfId="0" applyFont="1"/>
    <xf numFmtId="0" fontId="6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6" borderId="0" xfId="0" applyFont="1" applyFill="1" applyBorder="1"/>
    <xf numFmtId="0" fontId="5" fillId="5" borderId="2" xfId="0" applyFont="1" applyFill="1" applyBorder="1" applyAlignment="1">
      <alignment horizontal="center"/>
    </xf>
    <xf numFmtId="0" fontId="0" fillId="8" borderId="0" xfId="0" applyFill="1"/>
    <xf numFmtId="0" fontId="0" fillId="8" borderId="14" xfId="0" applyFill="1" applyBorder="1"/>
    <xf numFmtId="0" fontId="5" fillId="8" borderId="15" xfId="0" applyFont="1" applyFill="1" applyBorder="1"/>
    <xf numFmtId="0" fontId="5" fillId="8" borderId="4" xfId="0" applyFont="1" applyFill="1" applyBorder="1"/>
    <xf numFmtId="0" fontId="0" fillId="8" borderId="13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2" xfId="0" applyFont="1" applyFill="1" applyBorder="1"/>
    <xf numFmtId="0" fontId="5" fillId="5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5" borderId="13" xfId="0" applyFont="1" applyFill="1" applyBorder="1"/>
    <xf numFmtId="0" fontId="5" fillId="5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>
      <selection activeCell="J39" sqref="J39"/>
    </sheetView>
  </sheetViews>
  <sheetFormatPr defaultRowHeight="12.75"/>
  <cols>
    <col min="1" max="1" width="8.28515625" customWidth="1"/>
    <col min="2" max="11" width="9.28515625" customWidth="1"/>
  </cols>
  <sheetData>
    <row r="1" spans="1:15" ht="26.25" customHeight="1" thickBot="1">
      <c r="A1" s="78" t="s">
        <v>85</v>
      </c>
      <c r="B1" s="79"/>
      <c r="C1" s="79"/>
      <c r="D1" s="79"/>
      <c r="E1" s="79"/>
      <c r="F1" s="79"/>
      <c r="G1" s="79"/>
      <c r="H1" s="79"/>
      <c r="I1" s="79"/>
      <c r="J1" s="79"/>
      <c r="K1" s="80"/>
    </row>
    <row r="2" spans="1:15">
      <c r="A2" s="24" t="s">
        <v>62</v>
      </c>
      <c r="B2" s="24"/>
      <c r="C2" s="24"/>
    </row>
    <row r="3" spans="1:15">
      <c r="A3" s="47" t="s">
        <v>63</v>
      </c>
      <c r="B3" s="47"/>
      <c r="C3" s="47"/>
    </row>
    <row r="4" spans="1:15">
      <c r="A4" s="25" t="s">
        <v>86</v>
      </c>
      <c r="B4" s="25"/>
      <c r="C4" s="25"/>
    </row>
    <row r="5" spans="1:15">
      <c r="B5" s="7"/>
      <c r="C5" s="7"/>
    </row>
    <row r="7" spans="1:15">
      <c r="D7" s="71" t="s">
        <v>66</v>
      </c>
      <c r="E7" s="70"/>
      <c r="F7" s="71" t="s">
        <v>61</v>
      </c>
      <c r="G7" s="70"/>
      <c r="H7" s="70" t="s">
        <v>43</v>
      </c>
      <c r="I7" s="70"/>
      <c r="J7" s="71" t="s">
        <v>67</v>
      </c>
      <c r="K7" s="70"/>
    </row>
    <row r="8" spans="1:15" ht="13.5" thickBot="1">
      <c r="M8" s="11"/>
      <c r="N8" s="11"/>
      <c r="O8" s="11"/>
    </row>
    <row r="9" spans="1:15" ht="13.5" thickBot="1">
      <c r="A9" s="1" t="s">
        <v>0</v>
      </c>
      <c r="B9" s="83" t="s">
        <v>46</v>
      </c>
      <c r="C9" s="84"/>
      <c r="D9" s="66" t="s">
        <v>10</v>
      </c>
      <c r="E9" s="66"/>
      <c r="F9" s="66" t="s">
        <v>11</v>
      </c>
      <c r="G9" s="66"/>
      <c r="H9" s="66" t="s">
        <v>12</v>
      </c>
      <c r="I9" s="66"/>
      <c r="J9" s="66" t="s">
        <v>13</v>
      </c>
      <c r="K9" s="67"/>
      <c r="M9" s="11"/>
      <c r="N9" s="11"/>
      <c r="O9" s="11"/>
    </row>
    <row r="10" spans="1:15">
      <c r="A10" s="1">
        <v>1</v>
      </c>
      <c r="B10" s="27" t="s">
        <v>64</v>
      </c>
      <c r="C10" s="26"/>
      <c r="D10" s="23"/>
      <c r="E10" s="17"/>
      <c r="F10" s="50" t="s">
        <v>106</v>
      </c>
      <c r="G10" s="50" t="s">
        <v>108</v>
      </c>
      <c r="H10" s="43" t="s">
        <v>104</v>
      </c>
      <c r="I10" s="43" t="s">
        <v>95</v>
      </c>
      <c r="J10" s="31"/>
      <c r="K10" s="31"/>
      <c r="M10" s="11"/>
      <c r="N10" s="4"/>
      <c r="O10" s="11"/>
    </row>
    <row r="11" spans="1:15">
      <c r="A11" s="1">
        <v>2</v>
      </c>
      <c r="B11" s="49" t="s">
        <v>65</v>
      </c>
      <c r="C11" s="48"/>
      <c r="D11" s="44" t="s">
        <v>100</v>
      </c>
      <c r="E11" s="43" t="s">
        <v>104</v>
      </c>
      <c r="F11" s="50" t="s">
        <v>82</v>
      </c>
      <c r="G11" s="50" t="s">
        <v>84</v>
      </c>
      <c r="H11" s="31"/>
      <c r="I11" s="31"/>
      <c r="J11" s="50" t="s">
        <v>83</v>
      </c>
      <c r="K11" s="50" t="s">
        <v>108</v>
      </c>
      <c r="M11" s="4"/>
      <c r="N11" s="4"/>
      <c r="O11" s="11"/>
    </row>
    <row r="12" spans="1:15" ht="13.5" thickBot="1">
      <c r="A12" s="1">
        <v>3</v>
      </c>
      <c r="B12" s="29" t="s">
        <v>87</v>
      </c>
      <c r="C12" s="28"/>
      <c r="D12" s="43" t="s">
        <v>95</v>
      </c>
      <c r="E12" s="43" t="s">
        <v>102</v>
      </c>
      <c r="F12" s="50" t="s">
        <v>107</v>
      </c>
      <c r="G12" s="50" t="s">
        <v>83</v>
      </c>
      <c r="H12" s="44" t="s">
        <v>99</v>
      </c>
      <c r="I12" s="44" t="s">
        <v>100</v>
      </c>
      <c r="J12" s="50" t="s">
        <v>84</v>
      </c>
      <c r="K12" s="50" t="s">
        <v>106</v>
      </c>
      <c r="M12" s="4"/>
      <c r="N12" s="4"/>
      <c r="O12" s="11"/>
    </row>
    <row r="13" spans="1:15">
      <c r="A13" s="1">
        <v>4</v>
      </c>
      <c r="B13" s="15"/>
      <c r="C13" s="16"/>
      <c r="D13" s="31"/>
      <c r="E13" s="31"/>
      <c r="F13" s="31"/>
      <c r="G13" s="31"/>
      <c r="H13" s="57"/>
      <c r="I13" s="57"/>
      <c r="J13" s="50" t="s">
        <v>82</v>
      </c>
      <c r="K13" s="50" t="s">
        <v>107</v>
      </c>
      <c r="M13" s="4"/>
      <c r="N13" s="11"/>
    </row>
    <row r="14" spans="1:15">
      <c r="D14" s="75" t="s">
        <v>98</v>
      </c>
      <c r="E14" s="76"/>
      <c r="F14" s="6"/>
      <c r="G14" s="6"/>
      <c r="H14" s="75" t="s">
        <v>103</v>
      </c>
      <c r="I14" s="76"/>
      <c r="K14" s="32"/>
      <c r="M14" s="11"/>
      <c r="N14" s="11"/>
      <c r="O14" s="11"/>
    </row>
    <row r="15" spans="1:15">
      <c r="M15" s="11"/>
      <c r="N15" s="11"/>
      <c r="O15" s="4"/>
    </row>
    <row r="17" spans="1:15">
      <c r="B17" s="70" t="s">
        <v>38</v>
      </c>
      <c r="C17" s="70"/>
      <c r="D17" s="70" t="s">
        <v>52</v>
      </c>
      <c r="E17" s="70"/>
      <c r="F17" s="70" t="s">
        <v>53</v>
      </c>
      <c r="G17" s="70"/>
      <c r="H17" s="70" t="s">
        <v>39</v>
      </c>
      <c r="I17" s="70"/>
      <c r="J17" s="70" t="s">
        <v>40</v>
      </c>
      <c r="K17" s="70"/>
    </row>
    <row r="18" spans="1:15" ht="13.5" thickBot="1"/>
    <row r="19" spans="1:15" ht="13.5" thickBot="1">
      <c r="A19" s="1" t="s">
        <v>0</v>
      </c>
      <c r="B19" s="74" t="s">
        <v>14</v>
      </c>
      <c r="C19" s="66"/>
      <c r="D19" s="66" t="s">
        <v>15</v>
      </c>
      <c r="E19" s="66"/>
      <c r="F19" s="66" t="s">
        <v>16</v>
      </c>
      <c r="G19" s="66"/>
      <c r="H19" s="77" t="s">
        <v>19</v>
      </c>
      <c r="I19" s="66"/>
      <c r="J19" s="66" t="s">
        <v>17</v>
      </c>
      <c r="K19" s="67"/>
    </row>
    <row r="20" spans="1:15">
      <c r="A20" s="1">
        <v>1</v>
      </c>
      <c r="B20" s="44" t="s">
        <v>100</v>
      </c>
      <c r="C20" s="43" t="s">
        <v>102</v>
      </c>
      <c r="D20" s="50" t="s">
        <v>107</v>
      </c>
      <c r="E20" s="50" t="s">
        <v>84</v>
      </c>
      <c r="F20" s="46" t="s">
        <v>109</v>
      </c>
      <c r="G20" s="58" t="s">
        <v>110</v>
      </c>
      <c r="H20" s="50" t="s">
        <v>83</v>
      </c>
      <c r="I20" s="50" t="s">
        <v>82</v>
      </c>
      <c r="J20" s="43" t="s">
        <v>102</v>
      </c>
      <c r="K20" s="43" t="s">
        <v>104</v>
      </c>
      <c r="M20" s="35"/>
    </row>
    <row r="21" spans="1:15">
      <c r="A21" s="1">
        <v>2</v>
      </c>
      <c r="B21" s="10"/>
      <c r="C21" s="10"/>
      <c r="D21" s="33"/>
      <c r="E21" s="34"/>
      <c r="F21" s="43" t="s">
        <v>102</v>
      </c>
      <c r="G21" s="44" t="s">
        <v>99</v>
      </c>
      <c r="H21" s="50" t="s">
        <v>107</v>
      </c>
      <c r="I21" s="50" t="s">
        <v>106</v>
      </c>
      <c r="J21" s="46" t="s">
        <v>112</v>
      </c>
      <c r="K21" s="46" t="s">
        <v>109</v>
      </c>
    </row>
    <row r="22" spans="1:15">
      <c r="A22" s="1">
        <v>3</v>
      </c>
      <c r="B22" s="31"/>
      <c r="C22" s="31"/>
      <c r="D22" s="50" t="s">
        <v>108</v>
      </c>
      <c r="E22" s="55" t="s">
        <v>82</v>
      </c>
      <c r="F22" s="46" t="s">
        <v>111</v>
      </c>
      <c r="G22" s="62" t="s">
        <v>112</v>
      </c>
      <c r="H22" s="59"/>
      <c r="I22" s="60"/>
      <c r="J22" s="44" t="s">
        <v>99</v>
      </c>
      <c r="K22" s="43" t="s">
        <v>95</v>
      </c>
    </row>
    <row r="23" spans="1:15">
      <c r="A23" s="1">
        <v>4</v>
      </c>
      <c r="B23" s="43" t="s">
        <v>104</v>
      </c>
      <c r="C23" s="43" t="s">
        <v>99</v>
      </c>
      <c r="D23" s="50" t="s">
        <v>106</v>
      </c>
      <c r="E23" s="50" t="s">
        <v>83</v>
      </c>
      <c r="F23" s="43" t="s">
        <v>95</v>
      </c>
      <c r="G23" s="43" t="s">
        <v>100</v>
      </c>
      <c r="H23" s="50" t="s">
        <v>84</v>
      </c>
      <c r="I23" s="50" t="s">
        <v>108</v>
      </c>
      <c r="J23" s="46" t="s">
        <v>110</v>
      </c>
      <c r="K23" s="46" t="s">
        <v>111</v>
      </c>
    </row>
    <row r="24" spans="1:15">
      <c r="B24" s="75" t="s">
        <v>96</v>
      </c>
      <c r="C24" s="76"/>
      <c r="F24" s="75" t="s">
        <v>105</v>
      </c>
      <c r="G24" s="76"/>
      <c r="J24" s="63" t="s">
        <v>101</v>
      </c>
      <c r="K24" s="64"/>
      <c r="O24" s="45"/>
    </row>
    <row r="27" spans="1:15">
      <c r="B27" s="70" t="s">
        <v>54</v>
      </c>
      <c r="C27" s="70"/>
      <c r="D27" s="70" t="s">
        <v>60</v>
      </c>
      <c r="E27" s="70"/>
      <c r="F27" s="70" t="s">
        <v>41</v>
      </c>
      <c r="G27" s="70"/>
      <c r="H27" s="70" t="s">
        <v>55</v>
      </c>
      <c r="I27" s="70"/>
      <c r="J27" s="71" t="s">
        <v>68</v>
      </c>
      <c r="K27" s="70"/>
    </row>
    <row r="28" spans="1:15" ht="13.5" thickBot="1">
      <c r="J28" s="65"/>
      <c r="K28" s="65"/>
    </row>
    <row r="29" spans="1:15" ht="13.5" thickBot="1">
      <c r="A29" s="1" t="s">
        <v>0</v>
      </c>
      <c r="B29" s="74" t="s">
        <v>20</v>
      </c>
      <c r="C29" s="66"/>
      <c r="D29" s="66" t="s">
        <v>18</v>
      </c>
      <c r="E29" s="66"/>
      <c r="F29" s="66" t="s">
        <v>42</v>
      </c>
      <c r="G29" s="66"/>
      <c r="H29" s="66" t="s">
        <v>56</v>
      </c>
      <c r="I29" s="66"/>
      <c r="J29" s="66" t="s">
        <v>57</v>
      </c>
      <c r="K29" s="67"/>
    </row>
    <row r="30" spans="1:15">
      <c r="A30" s="1">
        <v>1</v>
      </c>
      <c r="B30" s="50" t="s">
        <v>108</v>
      </c>
      <c r="C30" s="50" t="s">
        <v>107</v>
      </c>
      <c r="D30" s="37" t="s">
        <v>88</v>
      </c>
      <c r="E30" s="36"/>
      <c r="F30" s="59"/>
      <c r="G30" s="60"/>
      <c r="H30" s="20"/>
      <c r="I30" s="20"/>
      <c r="J30" s="21"/>
      <c r="K30" s="10"/>
    </row>
    <row r="31" spans="1:15">
      <c r="A31" s="1">
        <v>2</v>
      </c>
      <c r="B31" s="50" t="s">
        <v>83</v>
      </c>
      <c r="C31" s="50" t="s">
        <v>84</v>
      </c>
      <c r="D31" s="68" t="s">
        <v>113</v>
      </c>
      <c r="E31" s="69"/>
      <c r="F31" s="30" t="s">
        <v>44</v>
      </c>
      <c r="G31" s="52" t="s">
        <v>44</v>
      </c>
      <c r="H31" s="56" t="s">
        <v>90</v>
      </c>
      <c r="I31" s="61" t="s">
        <v>89</v>
      </c>
      <c r="J31" s="81" t="s">
        <v>58</v>
      </c>
      <c r="K31" s="82"/>
    </row>
    <row r="32" spans="1:15">
      <c r="A32" s="1">
        <v>3</v>
      </c>
      <c r="B32" s="50" t="s">
        <v>82</v>
      </c>
      <c r="C32" s="50" t="s">
        <v>106</v>
      </c>
      <c r="D32" s="68" t="s">
        <v>114</v>
      </c>
      <c r="E32" s="69"/>
      <c r="F32" s="53" t="s">
        <v>45</v>
      </c>
      <c r="G32" s="30" t="s">
        <v>45</v>
      </c>
      <c r="H32" s="31"/>
      <c r="I32" s="31"/>
      <c r="J32" s="68" t="s">
        <v>91</v>
      </c>
      <c r="K32" s="69"/>
    </row>
    <row r="33" spans="1:12">
      <c r="A33" s="1">
        <v>4</v>
      </c>
      <c r="B33" s="60"/>
      <c r="C33" s="59"/>
      <c r="D33" s="54" t="s">
        <v>69</v>
      </c>
      <c r="E33" s="51"/>
      <c r="F33" s="18"/>
      <c r="G33" s="10"/>
      <c r="H33" s="38" t="s">
        <v>70</v>
      </c>
      <c r="I33" s="39" t="s">
        <v>71</v>
      </c>
      <c r="J33" s="10"/>
      <c r="K33" s="10"/>
    </row>
    <row r="34" spans="1:12">
      <c r="B34" s="64"/>
      <c r="C34" s="64"/>
      <c r="F34" s="64"/>
      <c r="G34" s="64"/>
    </row>
    <row r="35" spans="1:12">
      <c r="B35" s="40" t="s">
        <v>72</v>
      </c>
      <c r="C35" s="45" t="s">
        <v>97</v>
      </c>
      <c r="E35" s="40" t="s">
        <v>115</v>
      </c>
      <c r="F35" s="40" t="s">
        <v>116</v>
      </c>
      <c r="G35" s="19"/>
      <c r="H35" s="40" t="s">
        <v>117</v>
      </c>
      <c r="J35" s="40" t="s">
        <v>118</v>
      </c>
    </row>
    <row r="36" spans="1:12">
      <c r="B36" s="40" t="s">
        <v>73</v>
      </c>
      <c r="C36" s="40" t="s">
        <v>119</v>
      </c>
      <c r="D36" s="40"/>
      <c r="E36" s="40" t="s">
        <v>74</v>
      </c>
      <c r="F36" s="40" t="s">
        <v>120</v>
      </c>
      <c r="H36" s="71" t="s">
        <v>121</v>
      </c>
      <c r="I36" s="70"/>
      <c r="J36" s="40" t="s">
        <v>122</v>
      </c>
    </row>
    <row r="37" spans="1:12">
      <c r="A37" s="1"/>
      <c r="B37" s="70"/>
      <c r="C37" s="70"/>
      <c r="D37" s="63" t="s">
        <v>123</v>
      </c>
      <c r="E37" s="64"/>
      <c r="F37" s="64"/>
      <c r="G37" s="64"/>
      <c r="H37" s="64"/>
      <c r="I37" s="64"/>
      <c r="J37" s="70"/>
      <c r="K37" s="70"/>
    </row>
    <row r="38" spans="1:12">
      <c r="A38" s="1"/>
      <c r="B38" s="63" t="s">
        <v>75</v>
      </c>
      <c r="C38" s="64"/>
      <c r="D38" s="63" t="s">
        <v>124</v>
      </c>
      <c r="E38" s="64"/>
      <c r="F38" s="63" t="s">
        <v>125</v>
      </c>
      <c r="G38" s="64"/>
      <c r="H38" s="72" t="s">
        <v>126</v>
      </c>
      <c r="I38" s="73"/>
      <c r="J38" s="63" t="s">
        <v>76</v>
      </c>
      <c r="K38" s="64"/>
      <c r="L38" s="13"/>
    </row>
    <row r="39" spans="1:12">
      <c r="A39" s="1"/>
      <c r="B39" s="4"/>
      <c r="C39" s="4"/>
      <c r="D39" s="11"/>
      <c r="E39" s="11"/>
      <c r="F39" s="11"/>
      <c r="G39" s="11"/>
      <c r="H39" s="13"/>
      <c r="I39" s="13"/>
      <c r="J39" s="13"/>
      <c r="K39" s="13"/>
      <c r="L39" s="13"/>
    </row>
    <row r="40" spans="1:12">
      <c r="A40" s="14" t="s">
        <v>50</v>
      </c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41" t="s">
        <v>77</v>
      </c>
      <c r="B41" s="12"/>
      <c r="C41" s="12"/>
      <c r="D41" s="22"/>
      <c r="E41" s="22"/>
      <c r="F41" s="22"/>
      <c r="G41" s="22"/>
      <c r="H41" s="13"/>
      <c r="I41" s="13"/>
      <c r="J41" s="13"/>
      <c r="K41" s="13"/>
      <c r="L41" s="13"/>
    </row>
    <row r="42" spans="1:12">
      <c r="A42" s="8" t="s">
        <v>47</v>
      </c>
      <c r="B42" s="12"/>
      <c r="C42" s="12"/>
      <c r="D42" s="12"/>
      <c r="E42" s="12"/>
      <c r="F42" s="12"/>
      <c r="G42" s="12"/>
    </row>
    <row r="43" spans="1:12">
      <c r="A43" s="41" t="s">
        <v>78</v>
      </c>
    </row>
    <row r="44" spans="1:12">
      <c r="A44" s="41" t="s">
        <v>92</v>
      </c>
    </row>
    <row r="45" spans="1:12">
      <c r="A45" s="42" t="s">
        <v>93</v>
      </c>
    </row>
    <row r="46" spans="1:12">
      <c r="A46" s="9" t="s">
        <v>59</v>
      </c>
    </row>
    <row r="47" spans="1:12">
      <c r="A47" s="42" t="s">
        <v>79</v>
      </c>
    </row>
    <row r="48" spans="1:12">
      <c r="A48" s="9" t="s">
        <v>48</v>
      </c>
    </row>
    <row r="49" spans="1:1">
      <c r="A49" s="9" t="s">
        <v>51</v>
      </c>
    </row>
    <row r="50" spans="1:1">
      <c r="A50" s="9" t="s">
        <v>49</v>
      </c>
    </row>
    <row r="51" spans="1:1">
      <c r="A51" s="42" t="s">
        <v>81</v>
      </c>
    </row>
    <row r="52" spans="1:1">
      <c r="A52" s="42" t="s">
        <v>80</v>
      </c>
    </row>
    <row r="53" spans="1:1">
      <c r="A53" s="42" t="s">
        <v>94</v>
      </c>
    </row>
    <row r="54" spans="1:1">
      <c r="A54" s="42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9"/>
    </row>
    <row r="63" spans="1:1">
      <c r="A63" s="9"/>
    </row>
    <row r="64" spans="1:1">
      <c r="A64" s="9"/>
    </row>
    <row r="65" spans="1:12">
      <c r="A65" s="9"/>
    </row>
    <row r="66" spans="1:12">
      <c r="A66" s="9"/>
    </row>
    <row r="67" spans="1:12">
      <c r="A67" s="9"/>
    </row>
    <row r="68" spans="1:12">
      <c r="A68" s="9"/>
    </row>
    <row r="69" spans="1:12">
      <c r="A69" s="9"/>
    </row>
    <row r="70" spans="1:12">
      <c r="H70" s="3" t="s">
        <v>6</v>
      </c>
      <c r="I70" s="3"/>
    </row>
    <row r="71" spans="1:12">
      <c r="A71" s="3" t="s">
        <v>1</v>
      </c>
      <c r="B71" s="3"/>
      <c r="C71" s="3"/>
      <c r="D71" s="3" t="s">
        <v>2</v>
      </c>
      <c r="E71" s="3" t="s">
        <v>3</v>
      </c>
      <c r="F71" s="3" t="s">
        <v>4</v>
      </c>
      <c r="G71" s="3" t="s">
        <v>5</v>
      </c>
      <c r="H71" s="5">
        <f t="shared" ref="H71:H87" si="0">SUM(D72:G72)</f>
        <v>6</v>
      </c>
      <c r="I71" s="5"/>
      <c r="J71" s="2" t="s">
        <v>7</v>
      </c>
      <c r="K71" s="2" t="s">
        <v>8</v>
      </c>
      <c r="L71" s="2" t="s">
        <v>9</v>
      </c>
    </row>
    <row r="72" spans="1:12">
      <c r="A72" s="5" t="s">
        <v>21</v>
      </c>
      <c r="B72" s="5"/>
      <c r="C72" s="5"/>
      <c r="D72" s="5">
        <v>2</v>
      </c>
      <c r="E72" s="5">
        <v>2</v>
      </c>
      <c r="F72" s="5">
        <v>0</v>
      </c>
      <c r="G72" s="5">
        <v>2</v>
      </c>
      <c r="H72" s="5">
        <f t="shared" si="0"/>
        <v>6</v>
      </c>
      <c r="I72" s="5"/>
      <c r="J72" s="2">
        <f t="shared" ref="J72:J77" si="1">E72+F72</f>
        <v>2</v>
      </c>
      <c r="K72" s="2">
        <f t="shared" ref="K72:K77" si="2">D72+G72</f>
        <v>4</v>
      </c>
      <c r="L72" s="2">
        <f t="shared" ref="L72:L77" si="3">SUM(J72:K72)</f>
        <v>6</v>
      </c>
    </row>
    <row r="73" spans="1:12">
      <c r="A73" s="5" t="s">
        <v>25</v>
      </c>
      <c r="B73" s="5"/>
      <c r="C73" s="5"/>
      <c r="D73" s="5">
        <v>2</v>
      </c>
      <c r="E73" s="5">
        <v>1</v>
      </c>
      <c r="F73" s="5">
        <v>2</v>
      </c>
      <c r="G73" s="5">
        <v>1</v>
      </c>
      <c r="H73" s="5">
        <f t="shared" si="0"/>
        <v>6</v>
      </c>
      <c r="I73" s="5"/>
      <c r="J73" s="2">
        <f t="shared" si="1"/>
        <v>3</v>
      </c>
      <c r="K73" s="2">
        <f t="shared" si="2"/>
        <v>3</v>
      </c>
      <c r="L73" s="2">
        <f t="shared" si="3"/>
        <v>6</v>
      </c>
    </row>
    <row r="74" spans="1:12">
      <c r="A74" s="5" t="s">
        <v>22</v>
      </c>
      <c r="B74" s="5"/>
      <c r="C74" s="5"/>
      <c r="D74" s="5">
        <v>2</v>
      </c>
      <c r="E74" s="5">
        <v>1</v>
      </c>
      <c r="F74" s="5">
        <v>2</v>
      </c>
      <c r="G74" s="5">
        <v>1</v>
      </c>
      <c r="H74" s="5">
        <f t="shared" si="0"/>
        <v>6</v>
      </c>
      <c r="I74" s="5"/>
      <c r="J74" s="2">
        <f t="shared" si="1"/>
        <v>3</v>
      </c>
      <c r="K74" s="2">
        <f t="shared" si="2"/>
        <v>3</v>
      </c>
      <c r="L74" s="2">
        <f t="shared" si="3"/>
        <v>6</v>
      </c>
    </row>
    <row r="75" spans="1:12">
      <c r="A75" s="5" t="s">
        <v>26</v>
      </c>
      <c r="B75" s="5"/>
      <c r="C75" s="5"/>
      <c r="D75" s="5">
        <v>2</v>
      </c>
      <c r="E75" s="5">
        <v>0</v>
      </c>
      <c r="F75" s="5">
        <v>2</v>
      </c>
      <c r="G75" s="5">
        <v>2</v>
      </c>
      <c r="H75" s="5">
        <f t="shared" si="0"/>
        <v>6</v>
      </c>
      <c r="I75" s="5"/>
      <c r="J75" s="2">
        <f t="shared" si="1"/>
        <v>2</v>
      </c>
      <c r="K75" s="2">
        <f t="shared" si="2"/>
        <v>4</v>
      </c>
      <c r="L75" s="2">
        <f t="shared" si="3"/>
        <v>6</v>
      </c>
    </row>
    <row r="76" spans="1:12">
      <c r="A76" s="5" t="s">
        <v>23</v>
      </c>
      <c r="B76" s="5"/>
      <c r="C76" s="5"/>
      <c r="D76" s="5">
        <v>1</v>
      </c>
      <c r="E76" s="5">
        <v>2</v>
      </c>
      <c r="F76" s="5">
        <v>1</v>
      </c>
      <c r="G76" s="5">
        <v>2</v>
      </c>
      <c r="H76" s="5">
        <f t="shared" si="0"/>
        <v>6</v>
      </c>
      <c r="I76" s="5"/>
      <c r="J76" s="2">
        <f t="shared" si="1"/>
        <v>3</v>
      </c>
      <c r="K76" s="2">
        <f t="shared" si="2"/>
        <v>3</v>
      </c>
      <c r="L76" s="2">
        <f t="shared" si="3"/>
        <v>6</v>
      </c>
    </row>
    <row r="77" spans="1:12">
      <c r="A77" s="5" t="s">
        <v>27</v>
      </c>
      <c r="B77" s="5"/>
      <c r="C77" s="5"/>
      <c r="D77" s="5">
        <v>2</v>
      </c>
      <c r="E77" s="5">
        <v>1</v>
      </c>
      <c r="F77" s="5">
        <v>1</v>
      </c>
      <c r="G77" s="5">
        <v>2</v>
      </c>
      <c r="H77" s="5">
        <f t="shared" si="0"/>
        <v>6</v>
      </c>
      <c r="J77" s="2">
        <f t="shared" si="1"/>
        <v>2</v>
      </c>
      <c r="K77" s="2">
        <f t="shared" si="2"/>
        <v>4</v>
      </c>
      <c r="L77" s="2">
        <f t="shared" si="3"/>
        <v>6</v>
      </c>
    </row>
    <row r="78" spans="1:12">
      <c r="A78" s="5" t="s">
        <v>24</v>
      </c>
      <c r="D78" s="5">
        <v>2</v>
      </c>
      <c r="E78" s="5">
        <v>2</v>
      </c>
      <c r="F78" s="5">
        <v>2</v>
      </c>
      <c r="G78" s="5">
        <v>0</v>
      </c>
      <c r="H78" s="5">
        <f t="shared" si="0"/>
        <v>5</v>
      </c>
      <c r="J78" s="2">
        <f t="shared" ref="J78:J88" si="4">E78+F78</f>
        <v>4</v>
      </c>
      <c r="K78" s="2">
        <f t="shared" ref="K78:K88" si="5">D78+G78</f>
        <v>2</v>
      </c>
      <c r="L78" s="2">
        <f t="shared" ref="L78:L88" si="6">SUM(J78:K78)</f>
        <v>6</v>
      </c>
    </row>
    <row r="79" spans="1:12">
      <c r="A79" s="5" t="s">
        <v>28</v>
      </c>
      <c r="D79" s="5">
        <v>1</v>
      </c>
      <c r="E79" s="5">
        <v>1</v>
      </c>
      <c r="F79" s="5">
        <v>1</v>
      </c>
      <c r="G79" s="5">
        <v>2</v>
      </c>
      <c r="H79" s="5">
        <f t="shared" si="0"/>
        <v>5</v>
      </c>
      <c r="J79" s="2">
        <f t="shared" si="4"/>
        <v>2</v>
      </c>
      <c r="K79" s="2">
        <f t="shared" si="5"/>
        <v>3</v>
      </c>
      <c r="L79" s="2">
        <f t="shared" si="6"/>
        <v>5</v>
      </c>
    </row>
    <row r="80" spans="1:12">
      <c r="A80" s="5" t="s">
        <v>33</v>
      </c>
      <c r="D80" s="5">
        <v>2</v>
      </c>
      <c r="E80" s="5">
        <v>1</v>
      </c>
      <c r="F80" s="5">
        <v>1</v>
      </c>
      <c r="G80" s="5">
        <v>1</v>
      </c>
      <c r="H80" s="5">
        <f t="shared" si="0"/>
        <v>5</v>
      </c>
      <c r="J80" s="2">
        <f t="shared" si="4"/>
        <v>2</v>
      </c>
      <c r="K80" s="2">
        <f t="shared" si="5"/>
        <v>3</v>
      </c>
      <c r="L80" s="2">
        <f t="shared" si="6"/>
        <v>5</v>
      </c>
    </row>
    <row r="81" spans="1:12">
      <c r="A81" s="5" t="s">
        <v>29</v>
      </c>
      <c r="D81" s="5">
        <v>0</v>
      </c>
      <c r="E81" s="5">
        <v>1</v>
      </c>
      <c r="F81" s="5">
        <v>3</v>
      </c>
      <c r="G81" s="5">
        <v>1</v>
      </c>
      <c r="H81" s="5">
        <f t="shared" si="0"/>
        <v>5</v>
      </c>
      <c r="J81" s="2">
        <f t="shared" si="4"/>
        <v>4</v>
      </c>
      <c r="K81" s="2">
        <f t="shared" si="5"/>
        <v>1</v>
      </c>
      <c r="L81" s="2">
        <f t="shared" si="6"/>
        <v>5</v>
      </c>
    </row>
    <row r="82" spans="1:12">
      <c r="A82" s="5" t="s">
        <v>31</v>
      </c>
      <c r="D82" s="5">
        <v>1</v>
      </c>
      <c r="E82" s="5">
        <v>1</v>
      </c>
      <c r="F82" s="5">
        <v>3</v>
      </c>
      <c r="G82" s="5">
        <v>0</v>
      </c>
      <c r="H82" s="5">
        <f t="shared" si="0"/>
        <v>5</v>
      </c>
      <c r="J82" s="2">
        <f t="shared" si="4"/>
        <v>4</v>
      </c>
      <c r="K82" s="2">
        <f t="shared" si="5"/>
        <v>1</v>
      </c>
      <c r="L82" s="2">
        <f t="shared" si="6"/>
        <v>5</v>
      </c>
    </row>
    <row r="83" spans="1:12">
      <c r="A83" s="5" t="s">
        <v>30</v>
      </c>
      <c r="D83" s="5">
        <v>1</v>
      </c>
      <c r="E83" s="5">
        <v>2</v>
      </c>
      <c r="F83" s="5">
        <v>0</v>
      </c>
      <c r="G83" s="5">
        <v>2</v>
      </c>
      <c r="H83" s="5">
        <f t="shared" si="0"/>
        <v>5</v>
      </c>
      <c r="J83" s="2">
        <f t="shared" si="4"/>
        <v>2</v>
      </c>
      <c r="K83" s="2">
        <f t="shared" si="5"/>
        <v>3</v>
      </c>
      <c r="L83" s="2">
        <f t="shared" si="6"/>
        <v>5</v>
      </c>
    </row>
    <row r="84" spans="1:12">
      <c r="A84" s="5" t="s">
        <v>32</v>
      </c>
      <c r="D84" s="5">
        <v>1</v>
      </c>
      <c r="E84" s="5">
        <v>0</v>
      </c>
      <c r="F84" s="5">
        <v>2</v>
      </c>
      <c r="G84" s="5">
        <v>2</v>
      </c>
      <c r="H84" s="5">
        <f t="shared" si="0"/>
        <v>3</v>
      </c>
      <c r="J84" s="2">
        <f t="shared" si="4"/>
        <v>2</v>
      </c>
      <c r="K84" s="2">
        <f t="shared" si="5"/>
        <v>3</v>
      </c>
      <c r="L84" s="2">
        <f t="shared" si="6"/>
        <v>5</v>
      </c>
    </row>
    <row r="85" spans="1:12">
      <c r="A85" s="5" t="s">
        <v>34</v>
      </c>
      <c r="D85" s="5">
        <v>0</v>
      </c>
      <c r="E85" s="5">
        <v>2</v>
      </c>
      <c r="F85" s="5">
        <v>0</v>
      </c>
      <c r="G85" s="5">
        <v>1</v>
      </c>
      <c r="H85" s="5">
        <f t="shared" si="0"/>
        <v>3</v>
      </c>
      <c r="J85" s="2">
        <f t="shared" si="4"/>
        <v>2</v>
      </c>
      <c r="K85" s="2">
        <f t="shared" si="5"/>
        <v>1</v>
      </c>
      <c r="L85" s="2">
        <f t="shared" si="6"/>
        <v>3</v>
      </c>
    </row>
    <row r="86" spans="1:12">
      <c r="A86" s="5" t="s">
        <v>35</v>
      </c>
      <c r="D86" s="5">
        <v>2</v>
      </c>
      <c r="E86" s="5">
        <v>1</v>
      </c>
      <c r="F86" s="5">
        <v>0</v>
      </c>
      <c r="G86" s="5">
        <v>0</v>
      </c>
      <c r="H86" s="5">
        <f t="shared" si="0"/>
        <v>3</v>
      </c>
      <c r="J86" s="2">
        <f t="shared" si="4"/>
        <v>1</v>
      </c>
      <c r="K86" s="2">
        <f t="shared" si="5"/>
        <v>2</v>
      </c>
      <c r="L86" s="2">
        <f t="shared" si="6"/>
        <v>3</v>
      </c>
    </row>
    <row r="87" spans="1:12">
      <c r="A87" s="5" t="s">
        <v>37</v>
      </c>
      <c r="D87" s="5">
        <v>1</v>
      </c>
      <c r="E87" s="5">
        <v>0</v>
      </c>
      <c r="F87" s="5">
        <v>1</v>
      </c>
      <c r="G87" s="5">
        <v>1</v>
      </c>
      <c r="H87" s="5">
        <f t="shared" si="0"/>
        <v>3</v>
      </c>
      <c r="J87" s="2">
        <f t="shared" si="4"/>
        <v>1</v>
      </c>
      <c r="K87" s="2">
        <f t="shared" si="5"/>
        <v>2</v>
      </c>
      <c r="L87" s="2">
        <f t="shared" si="6"/>
        <v>3</v>
      </c>
    </row>
    <row r="88" spans="1:12">
      <c r="A88" s="5" t="s">
        <v>36</v>
      </c>
      <c r="D88" s="5">
        <v>1</v>
      </c>
      <c r="E88" s="5">
        <v>1</v>
      </c>
      <c r="F88" s="5">
        <v>1</v>
      </c>
      <c r="G88" s="5">
        <v>0</v>
      </c>
      <c r="J88" s="2">
        <f t="shared" si="4"/>
        <v>2</v>
      </c>
      <c r="K88" s="2">
        <f t="shared" si="5"/>
        <v>1</v>
      </c>
      <c r="L88" s="2">
        <f t="shared" si="6"/>
        <v>3</v>
      </c>
    </row>
  </sheetData>
  <mergeCells count="53">
    <mergeCell ref="F34:G34"/>
    <mergeCell ref="A1:K1"/>
    <mergeCell ref="J31:K31"/>
    <mergeCell ref="J32:K32"/>
    <mergeCell ref="F37:G37"/>
    <mergeCell ref="J24:K24"/>
    <mergeCell ref="B9:C9"/>
    <mergeCell ref="B29:C29"/>
    <mergeCell ref="B37:C37"/>
    <mergeCell ref="B24:C24"/>
    <mergeCell ref="B34:C34"/>
    <mergeCell ref="B17:C17"/>
    <mergeCell ref="D29:E29"/>
    <mergeCell ref="J7:K7"/>
    <mergeCell ref="H7:I7"/>
    <mergeCell ref="H29:I29"/>
    <mergeCell ref="H17:I17"/>
    <mergeCell ref="H14:I14"/>
    <mergeCell ref="J9:K9"/>
    <mergeCell ref="J27:K27"/>
    <mergeCell ref="H9:I9"/>
    <mergeCell ref="H27:I27"/>
    <mergeCell ref="F19:G19"/>
    <mergeCell ref="D7:E7"/>
    <mergeCell ref="H19:I19"/>
    <mergeCell ref="F7:G7"/>
    <mergeCell ref="D27:E27"/>
    <mergeCell ref="F29:G29"/>
    <mergeCell ref="F9:G9"/>
    <mergeCell ref="D19:E19"/>
    <mergeCell ref="D9:E9"/>
    <mergeCell ref="F27:G27"/>
    <mergeCell ref="D14:E14"/>
    <mergeCell ref="H36:I36"/>
    <mergeCell ref="D37:E37"/>
    <mergeCell ref="H38:I38"/>
    <mergeCell ref="B27:C27"/>
    <mergeCell ref="B19:C19"/>
    <mergeCell ref="J17:K17"/>
    <mergeCell ref="J19:K19"/>
    <mergeCell ref="F24:G24"/>
    <mergeCell ref="D17:E17"/>
    <mergeCell ref="F17:G17"/>
    <mergeCell ref="B38:C38"/>
    <mergeCell ref="D38:E38"/>
    <mergeCell ref="H37:I37"/>
    <mergeCell ref="F38:G38"/>
    <mergeCell ref="J28:K28"/>
    <mergeCell ref="J29:K29"/>
    <mergeCell ref="J38:K38"/>
    <mergeCell ref="D32:E32"/>
    <mergeCell ref="D31:E31"/>
    <mergeCell ref="J37:K37"/>
  </mergeCells>
  <phoneticPr fontId="0" type="noConversion"/>
  <pageMargins left="0.25" right="0.25" top="0.4" bottom="0.27" header="0.3" footer="0.2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Ducks Unlimited,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GPRO</dc:creator>
  <cp:lastModifiedBy>AltairComp</cp:lastModifiedBy>
  <cp:lastPrinted>2013-01-07T14:32:35Z</cp:lastPrinted>
  <dcterms:created xsi:type="dcterms:W3CDTF">2006-01-03T18:44:04Z</dcterms:created>
  <dcterms:modified xsi:type="dcterms:W3CDTF">2013-01-08T19:50:10Z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