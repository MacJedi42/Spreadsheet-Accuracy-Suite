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17370" windowHeight="10890"/>
  </bookViews>
  <sheets>
    <sheet name="Analyte Summary" sheetId="1" r:id="rId1"/>
    <sheet name="Location Summary" sheetId="11" r:id="rId2"/>
  </sheets>
  <definedNames>
    <definedName name="_xlnm.Print_Area" localSheetId="1">'Location Summary'!$A$3:$G$26</definedName>
  </definedNames>
  <calcPr calcId="145621"/>
</workbook>
</file>

<file path=xl/calcChain.xml><?xml version="1.0" encoding="utf-8"?>
<calcChain xmlns="http://schemas.openxmlformats.org/spreadsheetml/2006/main">
  <c r="A5" i="11" l="1"/>
  <c r="A6" i="11" s="1"/>
  <c r="A7" i="11" s="1"/>
  <c r="A8" i="11" s="1"/>
  <c r="A9" i="11" s="1"/>
  <c r="A10" i="11" s="1"/>
  <c r="A11" i="11" s="1"/>
  <c r="A12" i="11" s="1"/>
  <c r="A13" i="11" s="1"/>
  <c r="A14" i="11" s="1"/>
  <c r="A15" i="11" s="1"/>
  <c r="A16" i="11" s="1"/>
  <c r="A17" i="11" s="1"/>
  <c r="A18" i="11" s="1"/>
  <c r="A19" i="11" s="1"/>
  <c r="A20" i="11" s="1"/>
  <c r="A21" i="11" s="1"/>
  <c r="A22" i="11" s="1"/>
  <c r="A23" i="11" s="1"/>
  <c r="A24" i="11" s="1"/>
  <c r="A25" i="11" s="1"/>
  <c r="A26" i="11" s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</calcChain>
</file>

<file path=xl/sharedStrings.xml><?xml version="1.0" encoding="utf-8"?>
<sst xmlns="http://schemas.openxmlformats.org/spreadsheetml/2006/main" count="248" uniqueCount="106">
  <si>
    <t>Test Location</t>
  </si>
  <si>
    <t>Notes/Comments</t>
  </si>
  <si>
    <t>Field</t>
  </si>
  <si>
    <t>Temperature</t>
  </si>
  <si>
    <t>pH</t>
  </si>
  <si>
    <t>Conductivity</t>
  </si>
  <si>
    <t>ORP</t>
  </si>
  <si>
    <t>DO</t>
  </si>
  <si>
    <t>Turbidity</t>
  </si>
  <si>
    <t>Total Iron</t>
  </si>
  <si>
    <t>Total Arsenic</t>
  </si>
  <si>
    <t>Hardness</t>
  </si>
  <si>
    <t>Alkalinity</t>
  </si>
  <si>
    <t>Silica</t>
  </si>
  <si>
    <t>2302 Cedar Place</t>
  </si>
  <si>
    <t>3544 Fairway Lane</t>
  </si>
  <si>
    <t>136 Tanglewood Drive</t>
  </si>
  <si>
    <t>3747 Sunset Way</t>
  </si>
  <si>
    <t>16 Clearview Drive</t>
  </si>
  <si>
    <t>188 Curtis Drive</t>
  </si>
  <si>
    <t>2770 48th Avenue</t>
  </si>
  <si>
    <t>A2120B</t>
  </si>
  <si>
    <t>A2320B</t>
  </si>
  <si>
    <t>A2340B</t>
  </si>
  <si>
    <t>A2510B</t>
  </si>
  <si>
    <t>A4500S1O2</t>
  </si>
  <si>
    <t>E150.1</t>
  </si>
  <si>
    <t>E180.1</t>
  </si>
  <si>
    <t>E200.7</t>
  </si>
  <si>
    <t>E200.8</t>
  </si>
  <si>
    <t>Weekly</t>
  </si>
  <si>
    <t>Time sensitive, chill to prevent oxidation</t>
  </si>
  <si>
    <t>MFRWTP Lab</t>
  </si>
  <si>
    <t>ALS Lab</t>
  </si>
  <si>
    <t>Free Chlorine</t>
  </si>
  <si>
    <t>Total Chlorine</t>
  </si>
  <si>
    <t>Apparent Color</t>
  </si>
  <si>
    <t>True Color</t>
  </si>
  <si>
    <t xml:space="preserve">Test filtrate after using 0.45 μm filter </t>
  </si>
  <si>
    <t>HPC's</t>
  </si>
  <si>
    <t xml:space="preserve"> Iron Bacteria</t>
  </si>
  <si>
    <t>Sulfur Bacteria</t>
  </si>
  <si>
    <t>Analyte</t>
  </si>
  <si>
    <t>Method</t>
  </si>
  <si>
    <t>Frequency</t>
  </si>
  <si>
    <t>No</t>
  </si>
  <si>
    <t xml:space="preserve">Time sensitive, test filtrate after using 0.45 μm filter </t>
  </si>
  <si>
    <t>-</t>
  </si>
  <si>
    <t>Location</t>
  </si>
  <si>
    <t>Summary of Sample Locations for Distribution System Water Quality Changes - City of Longview, WA</t>
  </si>
  <si>
    <t>1824 Coal Creek Rd.</t>
  </si>
  <si>
    <t>1051 Coal Creek Rd.</t>
  </si>
  <si>
    <t>3170 N. Ammons Dr.</t>
  </si>
  <si>
    <t>2430 Park Hill Dr.</t>
  </si>
  <si>
    <t>2853 Florida St.</t>
  </si>
  <si>
    <t>2105 Larch St.</t>
  </si>
  <si>
    <t>345 19th Ave.</t>
  </si>
  <si>
    <t>640 17th Ave.</t>
  </si>
  <si>
    <t>Coliform Sampling Stn.</t>
  </si>
  <si>
    <t>Finished Water SA-22 (Lab)</t>
  </si>
  <si>
    <t>Hydrant</t>
  </si>
  <si>
    <t>Point of Entry</t>
  </si>
  <si>
    <t>Emerging Problem Area</t>
  </si>
  <si>
    <t>Known Problem Area</t>
  </si>
  <si>
    <t xml:space="preserve">Control Area </t>
  </si>
  <si>
    <t>Site Condition</t>
  </si>
  <si>
    <t>1155 Weber Ave (MFRWTP)</t>
  </si>
  <si>
    <t>Summary of Analyte Testing for Distribution System Water Quality Monitoring - City of Longview, WA</t>
  </si>
  <si>
    <t>Hach prepared kit</t>
  </si>
  <si>
    <t>R2A agar</t>
  </si>
  <si>
    <t>7-day incubation @ room temp</t>
  </si>
  <si>
    <t>Hach HQ40d portable multi-meter</t>
  </si>
  <si>
    <t>150 Clark Creek Ln.</t>
  </si>
  <si>
    <t>Zone ID</t>
  </si>
  <si>
    <t>Zone</t>
  </si>
  <si>
    <t>Upper Coal Creek</t>
  </si>
  <si>
    <t>Niemi</t>
  </si>
  <si>
    <t>Main</t>
  </si>
  <si>
    <t>Lower Columbia View</t>
  </si>
  <si>
    <t>Columbia View</t>
  </si>
  <si>
    <t>Ammons</t>
  </si>
  <si>
    <t>Lower Ammons</t>
  </si>
  <si>
    <t>Trella</t>
  </si>
  <si>
    <t>Lower Hillcrest</t>
  </si>
  <si>
    <t>Hillcrest</t>
  </si>
  <si>
    <t>Weekly for 2 weeks</t>
  </si>
  <si>
    <t>101 Fishers Ln (BHWSD Intertie)</t>
  </si>
  <si>
    <t>Hillside PS (BHWSD Intertie)</t>
  </si>
  <si>
    <t>Pump Suction</t>
  </si>
  <si>
    <t>Point of Entry (BHWSD)</t>
  </si>
  <si>
    <t>5403 Oriole Dr.</t>
  </si>
  <si>
    <t>Maplewood Dr. x Cedar Ln.</t>
  </si>
  <si>
    <t>Clark Creek</t>
  </si>
  <si>
    <t>Soluble Arsenic</t>
  </si>
  <si>
    <t>Soluble Iron</t>
  </si>
  <si>
    <t>Total Manganese</t>
  </si>
  <si>
    <t>Soluble Manganese</t>
  </si>
  <si>
    <t>Pipe Material</t>
  </si>
  <si>
    <t xml:space="preserve">1110 Commerce </t>
  </si>
  <si>
    <t>7337 Willow Grove</t>
  </si>
  <si>
    <r>
      <t>BART</t>
    </r>
    <r>
      <rPr>
        <vertAlign val="superscript"/>
        <sz val="11"/>
        <color theme="1"/>
        <rFont val="Calibri"/>
        <family val="2"/>
        <scheme val="minor"/>
      </rPr>
      <t>TM</t>
    </r>
  </si>
  <si>
    <t>Ductile Iron</t>
  </si>
  <si>
    <t>Lined Cast lron</t>
  </si>
  <si>
    <t>Unlined Cast Iron</t>
  </si>
  <si>
    <t>Steel</t>
  </si>
  <si>
    <t>To request water quality results, contact the City's Engineering department at (360)442-5200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</si>
</sst>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Border="1"/>
    <xf numFmtId="0" fontId="0" fillId="0" borderId="0" xfId="0" applyBorder="1" applyAlignment="1"/>
    <xf numFmtId="0" fontId="2" fillId="0" borderId="0" xfId="0" applyFont="1" applyBorder="1" applyAlignment="1"/>
    <xf numFmtId="0" fontId="0" fillId="0" borderId="1" xfId="0" applyBorder="1" applyAlignment="1">
      <alignment horizontal="center"/>
    </xf>
    <xf numFmtId="0" fontId="3" fillId="0" borderId="0" xfId="0" applyFont="1" applyAlignment="1">
      <alignment horizontal="left"/>
    </xf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0"/>
  <sheetViews>
    <sheetView tabSelected="1" workbookViewId="0">
      <selection activeCell="E31" sqref="E31"/>
    </sheetView>
  </sheetViews>
  <sheetFormatPr defaultRowHeight="15" x14ac:dyDescent="0.25"/>
  <cols>
    <col min="2" max="5" width="20.7109375" customWidth="1"/>
    <col min="6" max="6" width="49.28515625" customWidth="1"/>
    <col min="7" max="10" width="7.7109375" customWidth="1"/>
  </cols>
  <sheetData>
    <row r="1" spans="1:6" ht="30" customHeight="1" x14ac:dyDescent="0.3">
      <c r="A1" s="6" t="s">
        <v>67</v>
      </c>
      <c r="B1" s="5"/>
      <c r="C1" s="5"/>
      <c r="D1" s="5"/>
    </row>
    <row r="2" spans="1:6" x14ac:dyDescent="0.25">
      <c r="A2" s="1"/>
      <c r="B2" s="1"/>
      <c r="C2" s="1"/>
      <c r="D2" s="1"/>
      <c r="E2" s="1"/>
      <c r="F2" s="1"/>
    </row>
    <row r="3" spans="1:6" x14ac:dyDescent="0.25">
      <c r="A3" s="7" t="s">
        <v>45</v>
      </c>
      <c r="B3" s="12" t="s">
        <v>42</v>
      </c>
      <c r="C3" s="12" t="s">
        <v>43</v>
      </c>
      <c r="D3" s="12" t="s">
        <v>0</v>
      </c>
      <c r="E3" s="12" t="s">
        <v>44</v>
      </c>
      <c r="F3" s="8" t="s">
        <v>1</v>
      </c>
    </row>
    <row r="4" spans="1:6" x14ac:dyDescent="0.25">
      <c r="A4" s="4">
        <v>1</v>
      </c>
      <c r="B4" s="11" t="s">
        <v>3</v>
      </c>
      <c r="C4" s="11"/>
      <c r="D4" s="11" t="s">
        <v>2</v>
      </c>
      <c r="E4" s="11" t="s">
        <v>30</v>
      </c>
      <c r="F4" s="9"/>
    </row>
    <row r="5" spans="1:6" x14ac:dyDescent="0.25">
      <c r="A5" s="4">
        <f>A4+1</f>
        <v>2</v>
      </c>
      <c r="B5" s="11" t="s">
        <v>4</v>
      </c>
      <c r="C5" s="11" t="s">
        <v>26</v>
      </c>
      <c r="D5" s="11" t="s">
        <v>2</v>
      </c>
      <c r="E5" s="11" t="s">
        <v>30</v>
      </c>
      <c r="F5" s="9"/>
    </row>
    <row r="6" spans="1:6" x14ac:dyDescent="0.25">
      <c r="A6" s="4">
        <f t="shared" ref="A6:A25" si="0">A5+1</f>
        <v>3</v>
      </c>
      <c r="B6" s="11" t="s">
        <v>5</v>
      </c>
      <c r="C6" s="11" t="s">
        <v>24</v>
      </c>
      <c r="D6" s="11" t="s">
        <v>2</v>
      </c>
      <c r="E6" s="11" t="s">
        <v>30</v>
      </c>
      <c r="F6" s="9"/>
    </row>
    <row r="7" spans="1:6" x14ac:dyDescent="0.25">
      <c r="A7" s="4">
        <f t="shared" si="0"/>
        <v>4</v>
      </c>
      <c r="B7" s="11" t="s">
        <v>34</v>
      </c>
      <c r="C7" s="11"/>
      <c r="D7" s="11" t="s">
        <v>2</v>
      </c>
      <c r="E7" s="11" t="s">
        <v>30</v>
      </c>
      <c r="F7" s="9"/>
    </row>
    <row r="8" spans="1:6" x14ac:dyDescent="0.25">
      <c r="A8" s="4">
        <f t="shared" si="0"/>
        <v>5</v>
      </c>
      <c r="B8" s="11" t="s">
        <v>35</v>
      </c>
      <c r="C8" s="11"/>
      <c r="D8" s="11" t="s">
        <v>2</v>
      </c>
      <c r="E8" s="11" t="s">
        <v>30</v>
      </c>
      <c r="F8" s="9"/>
    </row>
    <row r="9" spans="1:6" x14ac:dyDescent="0.25">
      <c r="A9" s="4">
        <f t="shared" si="0"/>
        <v>6</v>
      </c>
      <c r="B9" s="11" t="s">
        <v>6</v>
      </c>
      <c r="C9" s="11"/>
      <c r="D9" s="11" t="s">
        <v>2</v>
      </c>
      <c r="E9" s="11" t="s">
        <v>30</v>
      </c>
      <c r="F9" s="9" t="s">
        <v>71</v>
      </c>
    </row>
    <row r="10" spans="1:6" x14ac:dyDescent="0.25">
      <c r="A10" s="4">
        <f t="shared" si="0"/>
        <v>7</v>
      </c>
      <c r="B10" s="11" t="s">
        <v>7</v>
      </c>
      <c r="C10" s="11"/>
      <c r="D10" s="11" t="s">
        <v>2</v>
      </c>
      <c r="E10" s="11" t="s">
        <v>30</v>
      </c>
      <c r="F10" s="9" t="s">
        <v>71</v>
      </c>
    </row>
    <row r="11" spans="1:6" x14ac:dyDescent="0.25">
      <c r="A11" s="4">
        <f t="shared" si="0"/>
        <v>8</v>
      </c>
      <c r="B11" s="11" t="s">
        <v>8</v>
      </c>
      <c r="C11" s="11" t="s">
        <v>27</v>
      </c>
      <c r="D11" s="11" t="s">
        <v>32</v>
      </c>
      <c r="E11" s="11" t="s">
        <v>30</v>
      </c>
      <c r="F11" s="9"/>
    </row>
    <row r="12" spans="1:6" x14ac:dyDescent="0.25">
      <c r="A12" s="4">
        <f t="shared" si="0"/>
        <v>9</v>
      </c>
      <c r="B12" s="11" t="s">
        <v>9</v>
      </c>
      <c r="C12" s="11" t="s">
        <v>28</v>
      </c>
      <c r="D12" s="11" t="s">
        <v>32</v>
      </c>
      <c r="E12" s="11" t="s">
        <v>30</v>
      </c>
      <c r="F12" s="10" t="s">
        <v>31</v>
      </c>
    </row>
    <row r="13" spans="1:6" x14ac:dyDescent="0.25">
      <c r="A13" s="4">
        <f t="shared" si="0"/>
        <v>10</v>
      </c>
      <c r="B13" s="11" t="s">
        <v>94</v>
      </c>
      <c r="C13" s="11" t="s">
        <v>28</v>
      </c>
      <c r="D13" s="11" t="s">
        <v>32</v>
      </c>
      <c r="E13" s="11" t="s">
        <v>30</v>
      </c>
      <c r="F13" s="10" t="s">
        <v>46</v>
      </c>
    </row>
    <row r="14" spans="1:6" x14ac:dyDescent="0.25">
      <c r="A14" s="4">
        <f t="shared" si="0"/>
        <v>11</v>
      </c>
      <c r="B14" s="11" t="s">
        <v>95</v>
      </c>
      <c r="C14" s="11" t="s">
        <v>28</v>
      </c>
      <c r="D14" s="11" t="s">
        <v>32</v>
      </c>
      <c r="E14" s="11" t="s">
        <v>30</v>
      </c>
      <c r="F14" s="10"/>
    </row>
    <row r="15" spans="1:6" x14ac:dyDescent="0.25">
      <c r="A15" s="4">
        <f t="shared" si="0"/>
        <v>12</v>
      </c>
      <c r="B15" s="11" t="s">
        <v>96</v>
      </c>
      <c r="C15" s="11" t="s">
        <v>28</v>
      </c>
      <c r="D15" s="11" t="s">
        <v>32</v>
      </c>
      <c r="E15" s="11" t="s">
        <v>30</v>
      </c>
      <c r="F15" s="10" t="s">
        <v>38</v>
      </c>
    </row>
    <row r="16" spans="1:6" x14ac:dyDescent="0.25">
      <c r="A16" s="4">
        <f t="shared" si="0"/>
        <v>13</v>
      </c>
      <c r="B16" s="11" t="s">
        <v>10</v>
      </c>
      <c r="C16" s="11" t="s">
        <v>29</v>
      </c>
      <c r="D16" s="11" t="s">
        <v>33</v>
      </c>
      <c r="E16" s="11" t="s">
        <v>30</v>
      </c>
      <c r="F16" s="10"/>
    </row>
    <row r="17" spans="1:6" x14ac:dyDescent="0.25">
      <c r="A17" s="4">
        <f t="shared" si="0"/>
        <v>14</v>
      </c>
      <c r="B17" s="11" t="s">
        <v>93</v>
      </c>
      <c r="C17" s="11" t="s">
        <v>29</v>
      </c>
      <c r="D17" s="11" t="s">
        <v>33</v>
      </c>
      <c r="E17" s="11" t="s">
        <v>30</v>
      </c>
      <c r="F17" s="10" t="s">
        <v>38</v>
      </c>
    </row>
    <row r="18" spans="1:6" x14ac:dyDescent="0.25">
      <c r="A18" s="4">
        <f t="shared" si="0"/>
        <v>15</v>
      </c>
      <c r="B18" s="11" t="s">
        <v>11</v>
      </c>
      <c r="C18" s="11" t="s">
        <v>23</v>
      </c>
      <c r="D18" s="11" t="s">
        <v>32</v>
      </c>
      <c r="E18" s="11" t="s">
        <v>30</v>
      </c>
      <c r="F18" s="9"/>
    </row>
    <row r="19" spans="1:6" x14ac:dyDescent="0.25">
      <c r="A19" s="4">
        <f t="shared" si="0"/>
        <v>16</v>
      </c>
      <c r="B19" s="11" t="s">
        <v>12</v>
      </c>
      <c r="C19" s="11" t="s">
        <v>22</v>
      </c>
      <c r="D19" s="11" t="s">
        <v>32</v>
      </c>
      <c r="E19" s="11" t="s">
        <v>30</v>
      </c>
      <c r="F19" s="9"/>
    </row>
    <row r="20" spans="1:6" x14ac:dyDescent="0.25">
      <c r="A20" s="4">
        <f t="shared" si="0"/>
        <v>17</v>
      </c>
      <c r="B20" s="11" t="s">
        <v>36</v>
      </c>
      <c r="C20" s="11" t="s">
        <v>21</v>
      </c>
      <c r="D20" s="11" t="s">
        <v>32</v>
      </c>
      <c r="E20" s="11" t="s">
        <v>30</v>
      </c>
      <c r="F20" s="9"/>
    </row>
    <row r="21" spans="1:6" x14ac:dyDescent="0.25">
      <c r="A21" s="4">
        <f t="shared" si="0"/>
        <v>18</v>
      </c>
      <c r="B21" s="11" t="s">
        <v>37</v>
      </c>
      <c r="C21" s="11" t="s">
        <v>21</v>
      </c>
      <c r="D21" s="11" t="s">
        <v>32</v>
      </c>
      <c r="E21" s="11" t="s">
        <v>30</v>
      </c>
      <c r="F21" s="9" t="s">
        <v>38</v>
      </c>
    </row>
    <row r="22" spans="1:6" x14ac:dyDescent="0.25">
      <c r="A22" s="4">
        <f t="shared" si="0"/>
        <v>19</v>
      </c>
      <c r="B22" s="11" t="s">
        <v>13</v>
      </c>
      <c r="C22" s="11" t="s">
        <v>25</v>
      </c>
      <c r="D22" s="11" t="s">
        <v>33</v>
      </c>
      <c r="E22" s="11" t="s">
        <v>30</v>
      </c>
      <c r="F22" s="9"/>
    </row>
    <row r="23" spans="1:6" x14ac:dyDescent="0.25">
      <c r="A23" s="4">
        <f t="shared" si="0"/>
        <v>20</v>
      </c>
      <c r="B23" s="11" t="s">
        <v>39</v>
      </c>
      <c r="C23" s="11" t="s">
        <v>69</v>
      </c>
      <c r="D23" s="11" t="s">
        <v>33</v>
      </c>
      <c r="E23" s="11" t="s">
        <v>30</v>
      </c>
      <c r="F23" s="9" t="s">
        <v>70</v>
      </c>
    </row>
    <row r="24" spans="1:6" ht="17.25" x14ac:dyDescent="0.25">
      <c r="A24" s="4">
        <f t="shared" si="0"/>
        <v>21</v>
      </c>
      <c r="B24" s="11" t="s">
        <v>40</v>
      </c>
      <c r="C24" s="11" t="s">
        <v>100</v>
      </c>
      <c r="D24" s="11" t="s">
        <v>33</v>
      </c>
      <c r="E24" s="11" t="s">
        <v>30</v>
      </c>
      <c r="F24" s="9" t="s">
        <v>68</v>
      </c>
    </row>
    <row r="25" spans="1:6" ht="17.25" x14ac:dyDescent="0.25">
      <c r="A25" s="4">
        <f t="shared" si="0"/>
        <v>22</v>
      </c>
      <c r="B25" s="11" t="s">
        <v>41</v>
      </c>
      <c r="C25" s="11" t="s">
        <v>100</v>
      </c>
      <c r="D25" s="11" t="s">
        <v>33</v>
      </c>
      <c r="E25" s="11" t="s">
        <v>30</v>
      </c>
      <c r="F25" s="9" t="s">
        <v>68</v>
      </c>
    </row>
    <row r="26" spans="1:6" x14ac:dyDescent="0.25">
      <c r="A26" s="1"/>
      <c r="B26" s="1"/>
      <c r="C26" s="1"/>
      <c r="D26" s="1"/>
      <c r="E26" s="1"/>
      <c r="F26" s="1"/>
    </row>
    <row r="27" spans="1:6" x14ac:dyDescent="0.25">
      <c r="A27" s="1" t="s">
        <v>105</v>
      </c>
      <c r="B27" s="1"/>
      <c r="C27" s="1"/>
      <c r="D27" s="1"/>
      <c r="E27" s="1"/>
      <c r="F27" s="1"/>
    </row>
    <row r="28" spans="1:6" ht="15" customHeight="1" x14ac:dyDescent="0.25">
      <c r="B28" s="3"/>
      <c r="C28" s="3"/>
    </row>
    <row r="29" spans="1:6" ht="15" customHeight="1" x14ac:dyDescent="0.25">
      <c r="B29" s="3"/>
      <c r="C29" s="2"/>
    </row>
    <row r="30" spans="1:6" ht="15" customHeight="1" x14ac:dyDescent="0.25">
      <c r="B30" s="3"/>
      <c r="C30" s="2"/>
    </row>
    <row r="31" spans="1:6" x14ac:dyDescent="0.25">
      <c r="B31" s="1"/>
      <c r="C31" s="1"/>
    </row>
    <row r="60" spans="2:2" x14ac:dyDescent="0.25">
      <c r="B60" s="2"/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80"/>
  <sheetViews>
    <sheetView workbookViewId="0">
      <selection activeCell="C4" sqref="C4"/>
    </sheetView>
  </sheetViews>
  <sheetFormatPr defaultRowHeight="15" x14ac:dyDescent="0.25"/>
  <cols>
    <col min="2" max="3" width="30.7109375" customWidth="1"/>
    <col min="4" max="4" width="12.28515625" customWidth="1"/>
    <col min="5" max="5" width="19.85546875" customWidth="1"/>
    <col min="6" max="6" width="25.7109375" customWidth="1"/>
    <col min="7" max="7" width="26.28515625" customWidth="1"/>
    <col min="8" max="8" width="18.7109375" style="16" customWidth="1"/>
    <col min="9" max="11" width="7.7109375" customWidth="1"/>
  </cols>
  <sheetData>
    <row r="1" spans="1:8" ht="30" customHeight="1" x14ac:dyDescent="0.3">
      <c r="A1" s="6" t="s">
        <v>49</v>
      </c>
      <c r="B1" s="5"/>
      <c r="C1" s="5"/>
      <c r="D1" s="5"/>
      <c r="E1" s="5"/>
    </row>
    <row r="2" spans="1:8" x14ac:dyDescent="0.25">
      <c r="A2" s="1"/>
      <c r="B2" s="1"/>
      <c r="C2" s="1"/>
      <c r="D2" s="1"/>
      <c r="E2" s="1"/>
      <c r="F2" s="1"/>
      <c r="G2" s="1"/>
    </row>
    <row r="3" spans="1:8" x14ac:dyDescent="0.25">
      <c r="A3" s="7" t="s">
        <v>45</v>
      </c>
      <c r="B3" s="12" t="s">
        <v>48</v>
      </c>
      <c r="C3" s="12" t="s">
        <v>0</v>
      </c>
      <c r="D3" s="12" t="s">
        <v>73</v>
      </c>
      <c r="E3" s="12" t="s">
        <v>74</v>
      </c>
      <c r="F3" s="12" t="s">
        <v>44</v>
      </c>
      <c r="G3" s="12" t="s">
        <v>65</v>
      </c>
      <c r="H3" s="12" t="s">
        <v>97</v>
      </c>
    </row>
    <row r="4" spans="1:8" x14ac:dyDescent="0.25">
      <c r="A4" s="4">
        <v>1</v>
      </c>
      <c r="B4" s="11" t="s">
        <v>16</v>
      </c>
      <c r="C4" s="11" t="s">
        <v>58</v>
      </c>
      <c r="D4" s="11">
        <v>653</v>
      </c>
      <c r="E4" s="11" t="s">
        <v>82</v>
      </c>
      <c r="F4" s="11" t="s">
        <v>85</v>
      </c>
      <c r="G4" s="11" t="s">
        <v>64</v>
      </c>
      <c r="H4" s="11" t="s">
        <v>101</v>
      </c>
    </row>
    <row r="5" spans="1:8" x14ac:dyDescent="0.25">
      <c r="A5" s="4">
        <f>A4+1</f>
        <v>2</v>
      </c>
      <c r="B5" s="11" t="s">
        <v>50</v>
      </c>
      <c r="C5" s="11" t="s">
        <v>58</v>
      </c>
      <c r="D5" s="11">
        <v>502</v>
      </c>
      <c r="E5" s="11" t="s">
        <v>75</v>
      </c>
      <c r="F5" s="11" t="s">
        <v>85</v>
      </c>
      <c r="G5" s="11" t="s">
        <v>64</v>
      </c>
      <c r="H5" s="11" t="s">
        <v>102</v>
      </c>
    </row>
    <row r="6" spans="1:8" x14ac:dyDescent="0.25">
      <c r="A6" s="4">
        <f t="shared" ref="A6:A26" si="0">A5+1</f>
        <v>3</v>
      </c>
      <c r="B6" s="11" t="s">
        <v>51</v>
      </c>
      <c r="C6" s="11" t="s">
        <v>58</v>
      </c>
      <c r="D6" s="11">
        <v>415</v>
      </c>
      <c r="E6" s="11" t="s">
        <v>76</v>
      </c>
      <c r="F6" s="11" t="s">
        <v>85</v>
      </c>
      <c r="G6" s="11" t="s">
        <v>64</v>
      </c>
      <c r="H6" s="11" t="s">
        <v>102</v>
      </c>
    </row>
    <row r="7" spans="1:8" x14ac:dyDescent="0.25">
      <c r="A7" s="4">
        <f>A6+1</f>
        <v>4</v>
      </c>
      <c r="B7" s="11" t="s">
        <v>72</v>
      </c>
      <c r="C7" s="11" t="s">
        <v>58</v>
      </c>
      <c r="D7" s="11">
        <v>395</v>
      </c>
      <c r="E7" s="11" t="s">
        <v>92</v>
      </c>
      <c r="F7" s="11" t="s">
        <v>85</v>
      </c>
      <c r="G7" s="11" t="s">
        <v>64</v>
      </c>
      <c r="H7" s="11" t="s">
        <v>102</v>
      </c>
    </row>
    <row r="8" spans="1:8" x14ac:dyDescent="0.25">
      <c r="A8" s="4">
        <f t="shared" si="0"/>
        <v>5</v>
      </c>
      <c r="B8" s="11" t="s">
        <v>20</v>
      </c>
      <c r="C8" s="11" t="s">
        <v>58</v>
      </c>
      <c r="D8" s="11">
        <v>244</v>
      </c>
      <c r="E8" s="11" t="s">
        <v>77</v>
      </c>
      <c r="F8" s="11" t="s">
        <v>30</v>
      </c>
      <c r="G8" s="11" t="s">
        <v>64</v>
      </c>
      <c r="H8" s="11" t="s">
        <v>102</v>
      </c>
    </row>
    <row r="9" spans="1:8" x14ac:dyDescent="0.25">
      <c r="A9" s="4">
        <f t="shared" si="0"/>
        <v>6</v>
      </c>
      <c r="B9" s="11" t="s">
        <v>18</v>
      </c>
      <c r="C9" s="11" t="s">
        <v>58</v>
      </c>
      <c r="D9" s="11">
        <v>488</v>
      </c>
      <c r="E9" s="11" t="s">
        <v>78</v>
      </c>
      <c r="F9" s="11" t="s">
        <v>85</v>
      </c>
      <c r="G9" s="11" t="s">
        <v>64</v>
      </c>
      <c r="H9" s="11" t="s">
        <v>101</v>
      </c>
    </row>
    <row r="10" spans="1:8" x14ac:dyDescent="0.25">
      <c r="A10" s="4">
        <f t="shared" si="0"/>
        <v>7</v>
      </c>
      <c r="B10" s="11" t="s">
        <v>19</v>
      </c>
      <c r="C10" s="11" t="s">
        <v>58</v>
      </c>
      <c r="D10" s="11">
        <v>660</v>
      </c>
      <c r="E10" s="11" t="s">
        <v>47</v>
      </c>
      <c r="F10" s="11" t="s">
        <v>85</v>
      </c>
      <c r="G10" s="11" t="s">
        <v>64</v>
      </c>
      <c r="H10" s="11" t="s">
        <v>101</v>
      </c>
    </row>
    <row r="11" spans="1:8" x14ac:dyDescent="0.25">
      <c r="A11" s="4">
        <f t="shared" si="0"/>
        <v>8</v>
      </c>
      <c r="B11" s="11" t="s">
        <v>17</v>
      </c>
      <c r="C11" s="11" t="s">
        <v>58</v>
      </c>
      <c r="D11" s="11">
        <v>318</v>
      </c>
      <c r="E11" s="11" t="s">
        <v>81</v>
      </c>
      <c r="F11" s="11" t="s">
        <v>85</v>
      </c>
      <c r="G11" s="11" t="s">
        <v>64</v>
      </c>
      <c r="H11" s="11" t="s">
        <v>102</v>
      </c>
    </row>
    <row r="12" spans="1:8" x14ac:dyDescent="0.25">
      <c r="A12" s="4">
        <f t="shared" si="0"/>
        <v>9</v>
      </c>
      <c r="B12" s="11" t="s">
        <v>52</v>
      </c>
      <c r="C12" s="11" t="s">
        <v>58</v>
      </c>
      <c r="D12" s="11">
        <v>506</v>
      </c>
      <c r="E12" s="11" t="s">
        <v>79</v>
      </c>
      <c r="F12" s="11" t="s">
        <v>85</v>
      </c>
      <c r="G12" s="11" t="s">
        <v>64</v>
      </c>
      <c r="H12" s="11" t="s">
        <v>102</v>
      </c>
    </row>
    <row r="13" spans="1:8" x14ac:dyDescent="0.25">
      <c r="A13" s="4">
        <f t="shared" si="0"/>
        <v>10</v>
      </c>
      <c r="B13" s="11" t="s">
        <v>15</v>
      </c>
      <c r="C13" s="11" t="s">
        <v>58</v>
      </c>
      <c r="D13" s="11">
        <v>463</v>
      </c>
      <c r="E13" s="11" t="s">
        <v>80</v>
      </c>
      <c r="F13" s="11" t="s">
        <v>85</v>
      </c>
      <c r="G13" s="10" t="s">
        <v>64</v>
      </c>
      <c r="H13" s="11" t="s">
        <v>102</v>
      </c>
    </row>
    <row r="14" spans="1:8" x14ac:dyDescent="0.25">
      <c r="A14" s="4">
        <f t="shared" si="0"/>
        <v>11</v>
      </c>
      <c r="B14" s="11" t="s">
        <v>14</v>
      </c>
      <c r="C14" s="11" t="s">
        <v>58</v>
      </c>
      <c r="D14" s="11">
        <v>286</v>
      </c>
      <c r="E14" s="11" t="s">
        <v>83</v>
      </c>
      <c r="F14" s="11" t="s">
        <v>85</v>
      </c>
      <c r="G14" s="10" t="s">
        <v>64</v>
      </c>
      <c r="H14" s="11" t="s">
        <v>102</v>
      </c>
    </row>
    <row r="15" spans="1:8" x14ac:dyDescent="0.25">
      <c r="A15" s="4">
        <f t="shared" si="0"/>
        <v>12</v>
      </c>
      <c r="B15" s="11" t="s">
        <v>53</v>
      </c>
      <c r="C15" s="11" t="s">
        <v>58</v>
      </c>
      <c r="D15" s="11">
        <v>481</v>
      </c>
      <c r="E15" s="11" t="s">
        <v>84</v>
      </c>
      <c r="F15" s="11" t="s">
        <v>85</v>
      </c>
      <c r="G15" s="10" t="s">
        <v>64</v>
      </c>
      <c r="H15" s="11" t="s">
        <v>102</v>
      </c>
    </row>
    <row r="16" spans="1:8" x14ac:dyDescent="0.25">
      <c r="A16" s="4">
        <f t="shared" si="0"/>
        <v>13</v>
      </c>
      <c r="B16" s="11" t="s">
        <v>66</v>
      </c>
      <c r="C16" s="11" t="s">
        <v>59</v>
      </c>
      <c r="D16" s="11">
        <v>244</v>
      </c>
      <c r="E16" s="11" t="s">
        <v>77</v>
      </c>
      <c r="F16" s="11" t="s">
        <v>30</v>
      </c>
      <c r="G16" s="10" t="s">
        <v>61</v>
      </c>
      <c r="H16" s="11" t="s">
        <v>101</v>
      </c>
    </row>
    <row r="17" spans="1:8" x14ac:dyDescent="0.25">
      <c r="A17" s="4">
        <f t="shared" si="0"/>
        <v>14</v>
      </c>
      <c r="B17" s="11" t="s">
        <v>54</v>
      </c>
      <c r="C17" s="11" t="s">
        <v>60</v>
      </c>
      <c r="D17" s="11">
        <v>244</v>
      </c>
      <c r="E17" s="11" t="s">
        <v>77</v>
      </c>
      <c r="F17" s="11" t="s">
        <v>30</v>
      </c>
      <c r="G17" s="10" t="s">
        <v>63</v>
      </c>
      <c r="H17" s="11" t="s">
        <v>103</v>
      </c>
    </row>
    <row r="18" spans="1:8" x14ac:dyDescent="0.25">
      <c r="A18" s="4">
        <f t="shared" si="0"/>
        <v>15</v>
      </c>
      <c r="B18" s="11" t="s">
        <v>55</v>
      </c>
      <c r="C18" s="11" t="s">
        <v>60</v>
      </c>
      <c r="D18" s="11">
        <v>244</v>
      </c>
      <c r="E18" s="11" t="s">
        <v>77</v>
      </c>
      <c r="F18" s="11" t="s">
        <v>30</v>
      </c>
      <c r="G18" s="10" t="s">
        <v>63</v>
      </c>
      <c r="H18" s="11" t="s">
        <v>103</v>
      </c>
    </row>
    <row r="19" spans="1:8" x14ac:dyDescent="0.25">
      <c r="A19" s="4">
        <f t="shared" si="0"/>
        <v>16</v>
      </c>
      <c r="B19" s="11" t="s">
        <v>56</v>
      </c>
      <c r="C19" s="11" t="s">
        <v>60</v>
      </c>
      <c r="D19" s="11">
        <v>244</v>
      </c>
      <c r="E19" s="11" t="s">
        <v>77</v>
      </c>
      <c r="F19" s="11" t="s">
        <v>30</v>
      </c>
      <c r="G19" s="11" t="s">
        <v>63</v>
      </c>
      <c r="H19" s="11" t="s">
        <v>103</v>
      </c>
    </row>
    <row r="20" spans="1:8" x14ac:dyDescent="0.25">
      <c r="A20" s="4">
        <f t="shared" si="0"/>
        <v>17</v>
      </c>
      <c r="B20" s="11" t="s">
        <v>57</v>
      </c>
      <c r="C20" s="11" t="s">
        <v>60</v>
      </c>
      <c r="D20" s="11">
        <v>244</v>
      </c>
      <c r="E20" s="11" t="s">
        <v>77</v>
      </c>
      <c r="F20" s="11" t="s">
        <v>30</v>
      </c>
      <c r="G20" s="11" t="s">
        <v>63</v>
      </c>
      <c r="H20" s="11" t="s">
        <v>103</v>
      </c>
    </row>
    <row r="21" spans="1:8" x14ac:dyDescent="0.25">
      <c r="A21" s="4">
        <f t="shared" si="0"/>
        <v>18</v>
      </c>
      <c r="B21" s="11" t="s">
        <v>98</v>
      </c>
      <c r="C21" s="11" t="s">
        <v>60</v>
      </c>
      <c r="D21" s="11">
        <v>244</v>
      </c>
      <c r="E21" s="11" t="s">
        <v>77</v>
      </c>
      <c r="F21" s="11" t="s">
        <v>30</v>
      </c>
      <c r="G21" s="11" t="s">
        <v>62</v>
      </c>
      <c r="H21" s="11" t="s">
        <v>103</v>
      </c>
    </row>
    <row r="22" spans="1:8" x14ac:dyDescent="0.25">
      <c r="A22" s="4">
        <f t="shared" si="0"/>
        <v>19</v>
      </c>
      <c r="B22" s="11" t="s">
        <v>86</v>
      </c>
      <c r="C22" s="11" t="s">
        <v>60</v>
      </c>
      <c r="D22" s="11">
        <v>244</v>
      </c>
      <c r="E22" s="11" t="s">
        <v>77</v>
      </c>
      <c r="F22" s="11" t="s">
        <v>30</v>
      </c>
      <c r="G22" s="11" t="s">
        <v>89</v>
      </c>
      <c r="H22" s="11" t="s">
        <v>104</v>
      </c>
    </row>
    <row r="23" spans="1:8" x14ac:dyDescent="0.25">
      <c r="A23" s="4">
        <f t="shared" si="0"/>
        <v>20</v>
      </c>
      <c r="B23" s="11" t="s">
        <v>87</v>
      </c>
      <c r="C23" s="11" t="s">
        <v>88</v>
      </c>
      <c r="D23" s="11">
        <v>244</v>
      </c>
      <c r="E23" s="11" t="s">
        <v>77</v>
      </c>
      <c r="F23" s="11" t="s">
        <v>30</v>
      </c>
      <c r="G23" s="11" t="s">
        <v>89</v>
      </c>
      <c r="H23" s="11" t="s">
        <v>102</v>
      </c>
    </row>
    <row r="24" spans="1:8" ht="15" customHeight="1" x14ac:dyDescent="0.25">
      <c r="A24" s="4">
        <f t="shared" si="0"/>
        <v>21</v>
      </c>
      <c r="B24" s="14" t="s">
        <v>91</v>
      </c>
      <c r="C24" s="11" t="s">
        <v>60</v>
      </c>
      <c r="D24" s="11">
        <v>481</v>
      </c>
      <c r="E24" s="11" t="s">
        <v>84</v>
      </c>
      <c r="F24" s="11" t="s">
        <v>85</v>
      </c>
      <c r="G24" s="11" t="s">
        <v>89</v>
      </c>
      <c r="H24" s="11" t="s">
        <v>102</v>
      </c>
    </row>
    <row r="25" spans="1:8" ht="15" customHeight="1" x14ac:dyDescent="0.25">
      <c r="A25" s="4">
        <f t="shared" si="0"/>
        <v>22</v>
      </c>
      <c r="B25" s="13" t="s">
        <v>99</v>
      </c>
      <c r="C25" s="11" t="s">
        <v>60</v>
      </c>
      <c r="D25" s="11">
        <v>244</v>
      </c>
      <c r="E25" s="11" t="s">
        <v>77</v>
      </c>
      <c r="F25" s="11" t="s">
        <v>30</v>
      </c>
      <c r="G25" s="11" t="s">
        <v>64</v>
      </c>
      <c r="H25" s="11" t="s">
        <v>101</v>
      </c>
    </row>
    <row r="26" spans="1:8" ht="15" customHeight="1" x14ac:dyDescent="0.25">
      <c r="A26" s="4">
        <f t="shared" si="0"/>
        <v>23</v>
      </c>
      <c r="B26" s="13" t="s">
        <v>90</v>
      </c>
      <c r="C26" s="11" t="s">
        <v>58</v>
      </c>
      <c r="D26" s="11">
        <v>244</v>
      </c>
      <c r="E26" s="11" t="s">
        <v>77</v>
      </c>
      <c r="F26" s="11" t="s">
        <v>30</v>
      </c>
      <c r="G26" s="11" t="s">
        <v>64</v>
      </c>
      <c r="H26" s="11" t="s">
        <v>101</v>
      </c>
    </row>
    <row r="27" spans="1:8" x14ac:dyDescent="0.25">
      <c r="B27" s="1"/>
      <c r="D27" s="15"/>
      <c r="E27" s="15"/>
    </row>
    <row r="56" spans="2:2" x14ac:dyDescent="0.25">
      <c r="B56" s="2"/>
    </row>
    <row r="57" spans="2:2" x14ac:dyDescent="0.25">
      <c r="B57" s="2"/>
    </row>
    <row r="61" spans="2:2" x14ac:dyDescent="0.25">
      <c r="B61">
        <v>1</v>
      </c>
    </row>
    <row r="62" spans="2:2" x14ac:dyDescent="0.25">
      <c r="B62">
        <v>2</v>
      </c>
    </row>
    <row r="63" spans="2:2" x14ac:dyDescent="0.25">
      <c r="B63">
        <v>3</v>
      </c>
    </row>
    <row r="64" spans="2:2" x14ac:dyDescent="0.25">
      <c r="B64">
        <v>4</v>
      </c>
    </row>
    <row r="65" spans="2:2" x14ac:dyDescent="0.25">
      <c r="B65">
        <v>5</v>
      </c>
    </row>
    <row r="66" spans="2:2" x14ac:dyDescent="0.25">
      <c r="B66">
        <v>6</v>
      </c>
    </row>
    <row r="67" spans="2:2" x14ac:dyDescent="0.25">
      <c r="B67">
        <v>7</v>
      </c>
    </row>
    <row r="68" spans="2:2" x14ac:dyDescent="0.25">
      <c r="B68">
        <v>8</v>
      </c>
    </row>
    <row r="69" spans="2:2" x14ac:dyDescent="0.25">
      <c r="B69">
        <v>9</v>
      </c>
    </row>
    <row r="70" spans="2:2" x14ac:dyDescent="0.25">
      <c r="B70">
        <v>10</v>
      </c>
    </row>
    <row r="71" spans="2:2" x14ac:dyDescent="0.25">
      <c r="B71">
        <v>11</v>
      </c>
    </row>
    <row r="72" spans="2:2" x14ac:dyDescent="0.25">
      <c r="B72">
        <v>12</v>
      </c>
    </row>
    <row r="73" spans="2:2" x14ac:dyDescent="0.25">
      <c r="B73">
        <v>13</v>
      </c>
    </row>
    <row r="74" spans="2:2" x14ac:dyDescent="0.25">
      <c r="B74">
        <v>14</v>
      </c>
    </row>
    <row r="75" spans="2:2" x14ac:dyDescent="0.25">
      <c r="B75">
        <v>15</v>
      </c>
    </row>
    <row r="76" spans="2:2" x14ac:dyDescent="0.25">
      <c r="B76">
        <v>16</v>
      </c>
    </row>
    <row r="77" spans="2:2" x14ac:dyDescent="0.25">
      <c r="B77">
        <v>17</v>
      </c>
    </row>
    <row r="78" spans="2:2" x14ac:dyDescent="0.25">
      <c r="B78">
        <v>18</v>
      </c>
    </row>
    <row r="79" spans="2:2" x14ac:dyDescent="0.25">
      <c r="B79">
        <v>19</v>
      </c>
    </row>
    <row r="80" spans="2:2" x14ac:dyDescent="0.25">
      <c r="B80">
        <v>20</v>
      </c>
    </row>
  </sheetData>
  <pageMargins left="0.7" right="0.7" top="0.75" bottom="0.75" header="0.3" footer="0.3"/>
  <pageSetup scale="77" fitToHeight="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Analyte Summary</vt:lpstr>
      <vt:lpstr>Location Summary</vt:lpstr>
      <vt:lpstr>'Location Summary'!Print_Area</vt:lpstr>
    </vt:vector>
  </TitlesOfParts>
  <Company>City of Longview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Gloria Spencer</dc:creator>
  <cp:lastModifiedBy>Bethany Vermaas</cp:lastModifiedBy>
  <cp:lastPrinted>2013-09-11T23:26:07Z</cp:lastPrinted>
  <dcterms:created xsi:type="dcterms:W3CDTF">2013-08-21T21:26:23Z</dcterms:created>
  <dcterms:modified xsi:type="dcterms:W3CDTF">2013-10-08T00:28:05Z</dcterms:modified>
</cp:coreProperties>
</file>