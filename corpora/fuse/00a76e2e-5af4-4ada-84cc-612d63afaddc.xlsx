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1355" windowHeight="3600"/>
  </bookViews>
  <sheets>
    <sheet name="slcd" sheetId="1" r:id="rId1"/>
  </sheets>
  <definedNames>
    <definedName name="_xlnm.Print_Titles" localSheetId="0">slcd!#REF!,slcd!$1:$1</definedName>
  </definedNames>
  <calcPr calcId="125725"/>
</workbook>
</file>

<file path=xl/calcChain.xml><?xml version="1.0" encoding="utf-8"?>
<calcChain xmlns="http://schemas.openxmlformats.org/spreadsheetml/2006/main">
  <c r="E3" i="1"/>
  <c r="E4"/>
  <c r="E5"/>
  <c r="E6"/>
  <c r="E7"/>
  <c r="E8"/>
  <c r="E9"/>
  <c r="E10"/>
  <c r="E11"/>
  <c r="E2"/>
</calcChain>
</file>

<file path=xl/sharedStrings.xml><?xml version="1.0" encoding="utf-8"?>
<sst xmlns="http://schemas.openxmlformats.org/spreadsheetml/2006/main" count="83" uniqueCount="69">
  <si>
    <t xml:space="preserve">Active     </t>
  </si>
  <si>
    <t xml:space="preserve">2775 </t>
  </si>
  <si>
    <t xml:space="preserve">MUCOPOLYSACCHARIDOSIS    </t>
  </si>
  <si>
    <t xml:space="preserve">4241 </t>
  </si>
  <si>
    <t xml:space="preserve">AORTIC VALVE DISORDER    </t>
  </si>
  <si>
    <t xml:space="preserve">4240 </t>
  </si>
  <si>
    <t xml:space="preserve">MITRAL VALVE DISORDER    </t>
  </si>
  <si>
    <t>07054</t>
  </si>
  <si>
    <t xml:space="preserve">CHR VH C W/O COMA        </t>
  </si>
  <si>
    <t xml:space="preserve">2538 </t>
  </si>
  <si>
    <t xml:space="preserve">PITUITARY DISORDER NEC   </t>
  </si>
  <si>
    <t xml:space="preserve">2731 </t>
  </si>
  <si>
    <t xml:space="preserve">MONOCLON PARAPROTEINEMIA </t>
  </si>
  <si>
    <t xml:space="preserve">1589 </t>
  </si>
  <si>
    <t xml:space="preserve">PERITONEUM CA NOS        </t>
  </si>
  <si>
    <t xml:space="preserve">5680 </t>
  </si>
  <si>
    <t xml:space="preserve">PERITONEAL ADHESIONS     </t>
  </si>
  <si>
    <t>78959</t>
  </si>
  <si>
    <t xml:space="preserve">OTHER ASCITES            </t>
  </si>
  <si>
    <t xml:space="preserve">4275 </t>
  </si>
  <si>
    <t xml:space="preserve">CARDIAC ARREST           </t>
  </si>
  <si>
    <t xml:space="preserve">2449 </t>
  </si>
  <si>
    <t xml:space="preserve">HYPOTHYROIDISM NOS       </t>
  </si>
  <si>
    <t>42781</t>
  </si>
  <si>
    <t xml:space="preserve">SINOATRIAL NODE DYSFUNCT </t>
  </si>
  <si>
    <t>99811</t>
  </si>
  <si>
    <t xml:space="preserve">HEMORRHAGE COMP PX       </t>
  </si>
  <si>
    <t>20911</t>
  </si>
  <si>
    <t>MALIGNANT CARCINOID TUMOR</t>
  </si>
  <si>
    <t>51851</t>
  </si>
  <si>
    <t>ACUTE RESPIRATORY FAILURE</t>
  </si>
  <si>
    <t xml:space="preserve">Retired    </t>
  </si>
  <si>
    <t>71516</t>
  </si>
  <si>
    <t xml:space="preserve">LOC PRIMARY OA-LOWER LEG </t>
  </si>
  <si>
    <t>25000</t>
  </si>
  <si>
    <t xml:space="preserve">DM2/NOS UNCOMP NSU       </t>
  </si>
  <si>
    <t xml:space="preserve">4019 </t>
  </si>
  <si>
    <t xml:space="preserve">HYPERTENSION NOS         </t>
  </si>
  <si>
    <t>78650</t>
  </si>
  <si>
    <t xml:space="preserve">CHEST PAIN NOS           </t>
  </si>
  <si>
    <t xml:space="preserve">V440 </t>
  </si>
  <si>
    <t xml:space="preserve">TRACHEOSTOMY STATUS      </t>
  </si>
  <si>
    <t>51882</t>
  </si>
  <si>
    <t xml:space="preserve">OTHER PULMONARY INSUFF   </t>
  </si>
  <si>
    <t>36031</t>
  </si>
  <si>
    <t xml:space="preserve">PRIMARY HYPOTONY EYE     </t>
  </si>
  <si>
    <t>V4611</t>
  </si>
  <si>
    <t xml:space="preserve">RESPIRATOR DEPEND STATUS </t>
  </si>
  <si>
    <t>32725</t>
  </si>
  <si>
    <t xml:space="preserve">CONGENITAL CAHS          </t>
  </si>
  <si>
    <t>78659</t>
  </si>
  <si>
    <t xml:space="preserve">CHEST PAIN NEC           </t>
  </si>
  <si>
    <t>34690</t>
  </si>
  <si>
    <t xml:space="preserve">MIGRAINE NOS W/O INTRACT </t>
  </si>
  <si>
    <t>11284</t>
  </si>
  <si>
    <t xml:space="preserve">ESOPHAGEAL CANDIDIASIS   </t>
  </si>
  <si>
    <t>Status</t>
  </si>
  <si>
    <t>Total Paid</t>
  </si>
  <si>
    <t>Last Claim Recd</t>
  </si>
  <si>
    <t>Last Claim Paid</t>
  </si>
  <si>
    <t>Diag 1</t>
  </si>
  <si>
    <t>Diag 1 Desc</t>
  </si>
  <si>
    <t>Diag 2</t>
  </si>
  <si>
    <t>Diag 2 Desc</t>
  </si>
  <si>
    <t>Diag 3</t>
  </si>
  <si>
    <t>Diag 3 Desc</t>
  </si>
  <si>
    <t>#</t>
  </si>
  <si>
    <t>RX Paid</t>
  </si>
  <si>
    <t>Medical Paid</t>
  </si>
</sst>
</file>

<file path=xl/styles.xml><?xml version="1.0" encoding="utf-8"?>
<styleSheet xmlns="http://schemas.openxmlformats.org/spreadsheetml/2006/main">
  <numFmts count="1">
    <numFmt numFmtId="164" formatCode="m/d/yy"/>
  </numFmts>
  <fonts count="20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49" fontId="19" fillId="0" borderId="0" xfId="0" applyNumberFormat="1" applyFont="1"/>
    <xf numFmtId="0" fontId="19" fillId="0" borderId="0" xfId="0" applyFont="1" applyAlignment="1">
      <alignment horizontal="center"/>
    </xf>
    <xf numFmtId="164" fontId="19" fillId="0" borderId="0" xfId="0" applyNumberFormat="1" applyFont="1"/>
    <xf numFmtId="0" fontId="19" fillId="0" borderId="0" xfId="0" applyFont="1"/>
    <xf numFmtId="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selection activeCell="Q20" sqref="Q20"/>
    </sheetView>
  </sheetViews>
  <sheetFormatPr defaultRowHeight="11.25"/>
  <cols>
    <col min="1" max="1" width="4" style="5" bestFit="1" customWidth="1"/>
    <col min="2" max="2" width="7.5703125" style="7" bestFit="1" customWidth="1"/>
    <col min="3" max="3" width="19.28515625" style="8" bestFit="1" customWidth="1"/>
    <col min="4" max="4" width="12" style="8" bestFit="1" customWidth="1"/>
    <col min="5" max="5" width="8.7109375" style="8" bestFit="1" customWidth="1"/>
    <col min="6" max="6" width="13.7109375" style="6" bestFit="1" customWidth="1"/>
    <col min="7" max="7" width="13.140625" style="6" bestFit="1" customWidth="1"/>
    <col min="8" max="8" width="5.5703125" style="7" bestFit="1" customWidth="1"/>
    <col min="9" max="9" width="23.7109375" style="7" bestFit="1" customWidth="1"/>
    <col min="10" max="10" width="5.5703125" style="7" bestFit="1" customWidth="1"/>
    <col min="11" max="11" width="23.85546875" style="7" bestFit="1" customWidth="1"/>
    <col min="12" max="12" width="5.5703125" style="7" bestFit="1" customWidth="1"/>
    <col min="13" max="13" width="24.28515625" style="7" bestFit="1" customWidth="1"/>
    <col min="14" max="16384" width="9.140625" style="7"/>
  </cols>
  <sheetData>
    <row r="1" spans="1:13" s="1" customFormat="1">
      <c r="A1" s="1" t="s">
        <v>66</v>
      </c>
      <c r="B1" s="1" t="s">
        <v>56</v>
      </c>
      <c r="C1" s="3" t="s">
        <v>68</v>
      </c>
      <c r="D1" s="3" t="s">
        <v>67</v>
      </c>
      <c r="E1" s="3" t="s">
        <v>57</v>
      </c>
      <c r="F1" s="2" t="s">
        <v>58</v>
      </c>
      <c r="G1" s="2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</row>
    <row r="2" spans="1:13">
      <c r="A2" s="5">
        <v>1</v>
      </c>
      <c r="B2" s="4" t="s">
        <v>0</v>
      </c>
      <c r="C2" s="8">
        <v>5767</v>
      </c>
      <c r="D2" s="8">
        <v>310153.03000000003</v>
      </c>
      <c r="E2" s="8">
        <f>D2+C2</f>
        <v>315920.03000000003</v>
      </c>
      <c r="F2" s="6">
        <v>41452</v>
      </c>
      <c r="G2" s="6">
        <v>41458</v>
      </c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</row>
    <row r="3" spans="1:13">
      <c r="A3" s="5">
        <v>2</v>
      </c>
      <c r="B3" s="4" t="s">
        <v>0</v>
      </c>
      <c r="C3" s="8">
        <v>20567.52</v>
      </c>
      <c r="D3" s="8">
        <v>78342.53</v>
      </c>
      <c r="E3" s="8">
        <f t="shared" ref="E3:E11" si="0">D3+C3</f>
        <v>98910.05</v>
      </c>
      <c r="F3" s="6">
        <v>41514</v>
      </c>
      <c r="G3" s="6">
        <v>41509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5">
        <v>3</v>
      </c>
      <c r="B4" s="4" t="s">
        <v>0</v>
      </c>
      <c r="C4" s="8">
        <v>388270.42</v>
      </c>
      <c r="D4" s="8">
        <v>136.22999999999999</v>
      </c>
      <c r="E4" s="8">
        <f t="shared" si="0"/>
        <v>388406.64999999997</v>
      </c>
      <c r="F4" s="6">
        <v>41512</v>
      </c>
      <c r="G4" s="6">
        <v>41513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</row>
    <row r="5" spans="1:13">
      <c r="A5" s="5">
        <v>4</v>
      </c>
      <c r="B5" s="4" t="s">
        <v>0</v>
      </c>
      <c r="C5" s="8">
        <v>114730.97</v>
      </c>
      <c r="D5" s="8">
        <v>324.38</v>
      </c>
      <c r="E5" s="8">
        <f t="shared" si="0"/>
        <v>115055.35</v>
      </c>
      <c r="F5" s="6">
        <v>41477</v>
      </c>
      <c r="G5" s="6">
        <v>41488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</row>
    <row r="6" spans="1:13">
      <c r="A6" s="5">
        <v>5</v>
      </c>
      <c r="B6" s="4" t="s">
        <v>0</v>
      </c>
      <c r="C6" s="8">
        <v>446344.05</v>
      </c>
      <c r="D6" s="8">
        <v>1516.13</v>
      </c>
      <c r="E6" s="8">
        <f t="shared" si="0"/>
        <v>447860.18</v>
      </c>
      <c r="F6" s="6">
        <v>41513</v>
      </c>
      <c r="G6" s="6">
        <v>41516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</row>
    <row r="7" spans="1:13">
      <c r="A7" s="5">
        <v>6</v>
      </c>
      <c r="B7" s="4" t="s">
        <v>31</v>
      </c>
      <c r="C7" s="8">
        <v>505082.11</v>
      </c>
      <c r="D7" s="8">
        <v>7107.27</v>
      </c>
      <c r="E7" s="8">
        <f t="shared" si="0"/>
        <v>512189.38</v>
      </c>
      <c r="F7" s="6">
        <v>41463</v>
      </c>
      <c r="G7" s="6">
        <v>41471</v>
      </c>
      <c r="H7" s="4" t="s">
        <v>32</v>
      </c>
      <c r="I7" s="4" t="s">
        <v>33</v>
      </c>
      <c r="J7" s="4" t="s">
        <v>34</v>
      </c>
      <c r="K7" s="4" t="s">
        <v>35</v>
      </c>
      <c r="L7" s="4" t="s">
        <v>36</v>
      </c>
      <c r="M7" s="4" t="s">
        <v>37</v>
      </c>
    </row>
    <row r="8" spans="1:13">
      <c r="A8" s="5">
        <v>7</v>
      </c>
      <c r="B8" s="4" t="s">
        <v>0</v>
      </c>
      <c r="C8" s="8">
        <v>172810.48</v>
      </c>
      <c r="D8" s="8">
        <v>11768.67</v>
      </c>
      <c r="E8" s="8">
        <f t="shared" si="0"/>
        <v>184579.15000000002</v>
      </c>
      <c r="F8" s="6">
        <v>41512</v>
      </c>
      <c r="G8" s="6">
        <v>41516</v>
      </c>
      <c r="H8" s="4" t="s">
        <v>34</v>
      </c>
      <c r="I8" s="4" t="s">
        <v>35</v>
      </c>
      <c r="J8" s="4" t="s">
        <v>36</v>
      </c>
      <c r="K8" s="4" t="s">
        <v>37</v>
      </c>
      <c r="L8" s="4" t="s">
        <v>38</v>
      </c>
      <c r="M8" s="4" t="s">
        <v>39</v>
      </c>
    </row>
    <row r="9" spans="1:13">
      <c r="A9" s="5">
        <v>8</v>
      </c>
      <c r="B9" s="4" t="s">
        <v>0</v>
      </c>
      <c r="C9" s="8">
        <v>196991.05</v>
      </c>
      <c r="D9" s="8">
        <v>153.08000000000001</v>
      </c>
      <c r="E9" s="8">
        <f t="shared" si="0"/>
        <v>197144.12999999998</v>
      </c>
      <c r="F9" s="6">
        <v>41505</v>
      </c>
      <c r="G9" s="6">
        <v>41516</v>
      </c>
      <c r="H9" s="4" t="s">
        <v>40</v>
      </c>
      <c r="I9" s="4" t="s">
        <v>41</v>
      </c>
      <c r="J9" s="4" t="s">
        <v>42</v>
      </c>
      <c r="K9" s="4" t="s">
        <v>43</v>
      </c>
      <c r="L9" s="4" t="s">
        <v>44</v>
      </c>
      <c r="M9" s="4" t="s">
        <v>45</v>
      </c>
    </row>
    <row r="10" spans="1:13">
      <c r="A10" s="5">
        <v>9</v>
      </c>
      <c r="B10" s="4" t="s">
        <v>0</v>
      </c>
      <c r="C10" s="8">
        <v>393269.15</v>
      </c>
      <c r="D10" s="8">
        <v>9</v>
      </c>
      <c r="E10" s="8">
        <f t="shared" si="0"/>
        <v>393278.15</v>
      </c>
      <c r="F10" s="6">
        <v>41512</v>
      </c>
      <c r="G10" s="6">
        <v>41516</v>
      </c>
      <c r="H10" s="4" t="s">
        <v>46</v>
      </c>
      <c r="I10" s="4" t="s">
        <v>47</v>
      </c>
      <c r="J10" s="4" t="s">
        <v>48</v>
      </c>
      <c r="K10" s="4" t="s">
        <v>49</v>
      </c>
      <c r="L10" s="4" t="s">
        <v>40</v>
      </c>
      <c r="M10" s="4" t="s">
        <v>41</v>
      </c>
    </row>
    <row r="11" spans="1:13">
      <c r="A11" s="5">
        <v>10</v>
      </c>
      <c r="B11" s="4" t="s">
        <v>0</v>
      </c>
      <c r="C11" s="8">
        <v>225855.12</v>
      </c>
      <c r="D11" s="8">
        <v>14309.41</v>
      </c>
      <c r="E11" s="8">
        <f t="shared" si="0"/>
        <v>240164.53</v>
      </c>
      <c r="F11" s="6">
        <v>41514</v>
      </c>
      <c r="G11" s="6">
        <v>41516</v>
      </c>
      <c r="H11" s="4" t="s">
        <v>50</v>
      </c>
      <c r="I11" s="4" t="s">
        <v>51</v>
      </c>
      <c r="J11" s="4" t="s">
        <v>52</v>
      </c>
      <c r="K11" s="4" t="s">
        <v>53</v>
      </c>
      <c r="L11" s="4" t="s">
        <v>54</v>
      </c>
      <c r="M11" s="4" t="s">
        <v>55</v>
      </c>
    </row>
  </sheetData>
  <printOptions horizontalCentered="1" gridLines="1"/>
  <pageMargins left="0.25" right="0.25" top="1" bottom="1" header="0.25" footer="0.25"/>
  <pageSetup paperSize="5" scale="75" orientation="landscape" r:id="rId1"/>
  <headerFooter>
    <oddHeader>&amp;L&amp;8Run Date and Time
09/01/2013  04:32&amp;C&amp;"Arial,Bold"&amp;8Stop Loss Claimant Diagnosis Summary For CARROLLTON
Paid 01/2013 thru 08/2013   Total Paid &gt; 067500</oddHeader>
    <oddFooter>&amp;L&amp;8&amp;F&amp;C&amp;8Page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slcd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Rickman</dc:creator>
  <cp:lastModifiedBy>jrickman</cp:lastModifiedBy>
  <dcterms:created xsi:type="dcterms:W3CDTF">2013-09-02T08:32:31Z</dcterms:created>
  <dcterms:modified xsi:type="dcterms:W3CDTF">2013-10-04T14:16:28Z</dcterms:modified>
</cp:coreProperties>
</file>