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270" yWindow="-15" windowWidth="21075" windowHeight="10290"/>
  </bookViews>
  <sheets>
    <sheet name="power" sheetId="1" r:id="rId1"/>
    <sheet name="Sando" sheetId="2" r:id="rId2"/>
    <sheet name="Clayton" sheetId="3" r:id="rId3"/>
    <sheet name="Graziano" sheetId="4" r:id="rId4"/>
    <sheet name="Hensley" sheetId="5" r:id="rId5"/>
    <sheet name="Fox" sheetId="6" r:id="rId6"/>
    <sheet name="powerflaws" sheetId="7" r:id="rId7"/>
    <sheet name="Power by Week" sheetId="8" r:id="rId8"/>
    <sheet name="divisions" sheetId="9" r:id="rId9"/>
    <sheet name="howfared" sheetId="10" r:id="rId10"/>
  </sheets>
  <definedNames>
    <definedName name="_xlnm._FilterDatabase" localSheetId="2" hidden="1">Clayton!$A$1:$X$1</definedName>
    <definedName name="_xlnm._FilterDatabase" localSheetId="8" hidden="1">divisions!$A$1:$J$1</definedName>
    <definedName name="_xlnm._FilterDatabase" localSheetId="5" hidden="1">Fox!$A$1:$X$1</definedName>
    <definedName name="_xlnm._FilterDatabase" localSheetId="3" hidden="1">Graziano!$A$1:$X$1</definedName>
    <definedName name="_xlnm._FilterDatabase" localSheetId="4" hidden="1">Hensley!$A$1:$X$1</definedName>
    <definedName name="_xlnm._FilterDatabase" localSheetId="9" hidden="1">howfared!$A$1:$W$1</definedName>
    <definedName name="_xlnm._FilterDatabase" localSheetId="0" hidden="1">power!$A$1:$AR$33</definedName>
    <definedName name="_xlnm._FilterDatabase" localSheetId="7" hidden="1">'Power by Week'!$A$1:$Y$1</definedName>
    <definedName name="_xlnm._FilterDatabase" localSheetId="6" hidden="1">powerflaws!$A$2:$Y$34</definedName>
    <definedName name="_xlnm._FilterDatabase" localSheetId="1" hidden="1">Sando!$A$1:$X$1</definedName>
    <definedName name="standings?category_league_season_2008_REG_split_Overall" localSheetId="6">powerflaws!$A$1:$T$34</definedName>
  </definedNames>
  <calcPr calcId="145621"/>
</workbook>
</file>

<file path=xl/calcChain.xml><?xml version="1.0" encoding="utf-8"?>
<calcChain xmlns="http://schemas.openxmlformats.org/spreadsheetml/2006/main">
  <c r="T33" i="10" l="1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Y33" i="8"/>
  <c r="X33" i="8"/>
  <c r="W33" i="8" s="1"/>
  <c r="V33" i="8"/>
  <c r="U33" i="8"/>
  <c r="T33" i="8"/>
  <c r="S33" i="8"/>
  <c r="Y32" i="8"/>
  <c r="X32" i="8"/>
  <c r="W32" i="8"/>
  <c r="U32" i="8"/>
  <c r="V32" i="8" s="1"/>
  <c r="T32" i="8"/>
  <c r="S32" i="8"/>
  <c r="Y31" i="8"/>
  <c r="X31" i="8"/>
  <c r="W31" i="8" s="1"/>
  <c r="V31" i="8"/>
  <c r="U31" i="8"/>
  <c r="T31" i="8"/>
  <c r="S31" i="8"/>
  <c r="Y30" i="8"/>
  <c r="X30" i="8"/>
  <c r="W30" i="8"/>
  <c r="U30" i="8"/>
  <c r="V30" i="8" s="1"/>
  <c r="T30" i="8"/>
  <c r="S30" i="8"/>
  <c r="Y29" i="8"/>
  <c r="X29" i="8"/>
  <c r="W29" i="8"/>
  <c r="V29" i="8"/>
  <c r="U29" i="8"/>
  <c r="T29" i="8"/>
  <c r="S29" i="8"/>
  <c r="Y28" i="8"/>
  <c r="X28" i="8"/>
  <c r="W28" i="8" s="1"/>
  <c r="V28" i="8"/>
  <c r="U28" i="8"/>
  <c r="T28" i="8"/>
  <c r="S28" i="8"/>
  <c r="Y27" i="8"/>
  <c r="X27" i="8"/>
  <c r="W27" i="8" s="1"/>
  <c r="U27" i="8"/>
  <c r="T27" i="8"/>
  <c r="S27" i="8"/>
  <c r="Y26" i="8"/>
  <c r="X26" i="8"/>
  <c r="W26" i="8"/>
  <c r="U26" i="8"/>
  <c r="T26" i="8"/>
  <c r="S26" i="8"/>
  <c r="Y25" i="8"/>
  <c r="X25" i="8"/>
  <c r="W25" i="8" s="1"/>
  <c r="V25" i="8"/>
  <c r="U25" i="8"/>
  <c r="T25" i="8"/>
  <c r="S25" i="8"/>
  <c r="Y24" i="8"/>
  <c r="X24" i="8"/>
  <c r="W24" i="8"/>
  <c r="U24" i="8"/>
  <c r="V24" i="8" s="1"/>
  <c r="T24" i="8"/>
  <c r="S24" i="8"/>
  <c r="Y23" i="8"/>
  <c r="X23" i="8"/>
  <c r="W23" i="8"/>
  <c r="V23" i="8"/>
  <c r="U23" i="8"/>
  <c r="T23" i="8"/>
  <c r="S23" i="8"/>
  <c r="Y22" i="8"/>
  <c r="X22" i="8"/>
  <c r="W22" i="8"/>
  <c r="U22" i="8"/>
  <c r="V22" i="8" s="1"/>
  <c r="T22" i="8"/>
  <c r="S22" i="8"/>
  <c r="Y21" i="8"/>
  <c r="X21" i="8"/>
  <c r="W21" i="8"/>
  <c r="U21" i="8"/>
  <c r="V21" i="8" s="1"/>
  <c r="T21" i="8"/>
  <c r="S21" i="8"/>
  <c r="Y20" i="8"/>
  <c r="X20" i="8"/>
  <c r="W20" i="8" s="1"/>
  <c r="V20" i="8"/>
  <c r="U20" i="8"/>
  <c r="T20" i="8"/>
  <c r="S20" i="8"/>
  <c r="Y19" i="8"/>
  <c r="X19" i="8"/>
  <c r="W19" i="8" s="1"/>
  <c r="U19" i="8"/>
  <c r="V19" i="8" s="1"/>
  <c r="T19" i="8"/>
  <c r="S19" i="8"/>
  <c r="Y18" i="8"/>
  <c r="X18" i="8"/>
  <c r="W18" i="8"/>
  <c r="U18" i="8"/>
  <c r="T18" i="8"/>
  <c r="S18" i="8"/>
  <c r="Y17" i="8"/>
  <c r="X17" i="8"/>
  <c r="W17" i="8" s="1"/>
  <c r="V17" i="8"/>
  <c r="U17" i="8"/>
  <c r="T17" i="8"/>
  <c r="S17" i="8"/>
  <c r="Y16" i="8"/>
  <c r="X16" i="8"/>
  <c r="W16" i="8" s="1"/>
  <c r="U16" i="8"/>
  <c r="V16" i="8" s="1"/>
  <c r="T16" i="8"/>
  <c r="S16" i="8"/>
  <c r="Y15" i="8"/>
  <c r="X15" i="8"/>
  <c r="W15" i="8" s="1"/>
  <c r="V15" i="8"/>
  <c r="U15" i="8"/>
  <c r="T15" i="8"/>
  <c r="S15" i="8"/>
  <c r="Y14" i="8"/>
  <c r="X14" i="8"/>
  <c r="W14" i="8"/>
  <c r="U14" i="8"/>
  <c r="V14" i="8" s="1"/>
  <c r="T14" i="8"/>
  <c r="S14" i="8"/>
  <c r="Y13" i="8"/>
  <c r="X13" i="8"/>
  <c r="W13" i="8"/>
  <c r="V13" i="8"/>
  <c r="U13" i="8"/>
  <c r="T13" i="8"/>
  <c r="S13" i="8"/>
  <c r="Y12" i="8"/>
  <c r="X12" i="8"/>
  <c r="W12" i="8" s="1"/>
  <c r="U12" i="8"/>
  <c r="V12" i="8" s="1"/>
  <c r="T12" i="8"/>
  <c r="S12" i="8"/>
  <c r="Y11" i="8"/>
  <c r="X11" i="8"/>
  <c r="W11" i="8" s="1"/>
  <c r="U11" i="8"/>
  <c r="V11" i="8" s="1"/>
  <c r="T11" i="8"/>
  <c r="S11" i="8"/>
  <c r="Y10" i="8"/>
  <c r="X10" i="8"/>
  <c r="W10" i="8"/>
  <c r="U10" i="8"/>
  <c r="V10" i="8" s="1"/>
  <c r="T10" i="8"/>
  <c r="S10" i="8"/>
  <c r="Y9" i="8"/>
  <c r="X9" i="8"/>
  <c r="W9" i="8" s="1"/>
  <c r="V9" i="8"/>
  <c r="U9" i="8"/>
  <c r="T9" i="8"/>
  <c r="S9" i="8"/>
  <c r="Y8" i="8"/>
  <c r="X8" i="8"/>
  <c r="W8" i="8" s="1"/>
  <c r="U8" i="8"/>
  <c r="V8" i="8" s="1"/>
  <c r="T8" i="8"/>
  <c r="S8" i="8"/>
  <c r="Y7" i="8"/>
  <c r="X7" i="8"/>
  <c r="W7" i="8" s="1"/>
  <c r="V7" i="8"/>
  <c r="U7" i="8"/>
  <c r="T7" i="8"/>
  <c r="S7" i="8"/>
  <c r="Y6" i="8"/>
  <c r="X6" i="8"/>
  <c r="W6" i="8" s="1"/>
  <c r="U6" i="8"/>
  <c r="V6" i="8" s="1"/>
  <c r="T6" i="8"/>
  <c r="S6" i="8"/>
  <c r="Y5" i="8"/>
  <c r="X5" i="8"/>
  <c r="W5" i="8"/>
  <c r="V5" i="8"/>
  <c r="U5" i="8"/>
  <c r="T5" i="8"/>
  <c r="S5" i="8"/>
  <c r="Y4" i="8"/>
  <c r="X4" i="8"/>
  <c r="W4" i="8" s="1"/>
  <c r="U4" i="8"/>
  <c r="V4" i="8" s="1"/>
  <c r="T4" i="8"/>
  <c r="S4" i="8"/>
  <c r="Y3" i="8"/>
  <c r="X3" i="8"/>
  <c r="W3" i="8" s="1"/>
  <c r="U3" i="8"/>
  <c r="T3" i="8"/>
  <c r="S3" i="8"/>
  <c r="Y2" i="8"/>
  <c r="X2" i="8"/>
  <c r="W2" i="8"/>
  <c r="U2" i="8"/>
  <c r="T2" i="8"/>
  <c r="V2" i="8" s="1"/>
  <c r="S2" i="8"/>
  <c r="AU34" i="7"/>
  <c r="AT34" i="7"/>
  <c r="AR34" i="7"/>
  <c r="AO34" i="7"/>
  <c r="AN34" i="7"/>
  <c r="AM34" i="7"/>
  <c r="AL34" i="7"/>
  <c r="AJ34" i="7"/>
  <c r="AG34" i="7"/>
  <c r="AF34" i="7"/>
  <c r="AE34" i="7"/>
  <c r="AD34" i="7"/>
  <c r="AB34" i="7"/>
  <c r="AA34" i="7"/>
  <c r="AQ34" i="7" s="1"/>
  <c r="X34" i="7"/>
  <c r="V34" i="7"/>
  <c r="U34" i="7"/>
  <c r="W34" i="7" s="1"/>
  <c r="AU33" i="7"/>
  <c r="AT33" i="7"/>
  <c r="AP33" i="7"/>
  <c r="AN33" i="7"/>
  <c r="AL33" i="7"/>
  <c r="AI33" i="7"/>
  <c r="AH33" i="7"/>
  <c r="AG33" i="7"/>
  <c r="AD33" i="7"/>
  <c r="AA33" i="7"/>
  <c r="AQ33" i="7" s="1"/>
  <c r="X33" i="7"/>
  <c r="W33" i="7"/>
  <c r="V33" i="7"/>
  <c r="U33" i="7"/>
  <c r="AU32" i="7"/>
  <c r="AT32" i="7"/>
  <c r="AP32" i="7"/>
  <c r="AN32" i="7"/>
  <c r="AA32" i="7"/>
  <c r="X32" i="7"/>
  <c r="W32" i="7"/>
  <c r="V32" i="7"/>
  <c r="U32" i="7"/>
  <c r="AU31" i="7"/>
  <c r="AT31" i="7"/>
  <c r="AS31" i="7"/>
  <c r="AR31" i="7"/>
  <c r="AP31" i="7"/>
  <c r="AO31" i="7"/>
  <c r="AM31" i="7"/>
  <c r="AL31" i="7"/>
  <c r="AK31" i="7"/>
  <c r="AJ31" i="7"/>
  <c r="AH31" i="7"/>
  <c r="AG31" i="7"/>
  <c r="AE31" i="7"/>
  <c r="AD31" i="7"/>
  <c r="AC31" i="7"/>
  <c r="AB31" i="7"/>
  <c r="AA31" i="7"/>
  <c r="AN31" i="7" s="1"/>
  <c r="X31" i="7"/>
  <c r="V31" i="7"/>
  <c r="U31" i="7"/>
  <c r="AU30" i="7"/>
  <c r="AT30" i="7"/>
  <c r="AR30" i="7"/>
  <c r="AO30" i="7"/>
  <c r="AN30" i="7"/>
  <c r="AM30" i="7"/>
  <c r="AL30" i="7"/>
  <c r="AJ30" i="7"/>
  <c r="AG30" i="7"/>
  <c r="AF30" i="7"/>
  <c r="AE30" i="7"/>
  <c r="AD30" i="7"/>
  <c r="AB30" i="7"/>
  <c r="AA30" i="7"/>
  <c r="AQ30" i="7" s="1"/>
  <c r="X30" i="7"/>
  <c r="V30" i="7"/>
  <c r="U30" i="7"/>
  <c r="W30" i="7" s="1"/>
  <c r="AU29" i="7"/>
  <c r="AT29" i="7"/>
  <c r="AQ29" i="7"/>
  <c r="AP29" i="7"/>
  <c r="AO29" i="7"/>
  <c r="AA29" i="7"/>
  <c r="X29" i="7"/>
  <c r="V29" i="7"/>
  <c r="U29" i="7"/>
  <c r="W29" i="7" s="1"/>
  <c r="AU28" i="7"/>
  <c r="AT28" i="7"/>
  <c r="AS28" i="7"/>
  <c r="AQ28" i="7"/>
  <c r="AK28" i="7"/>
  <c r="AJ28" i="7"/>
  <c r="AI28" i="7"/>
  <c r="AH28" i="7"/>
  <c r="AC28" i="7"/>
  <c r="AA28" i="7"/>
  <c r="AR28" i="7" s="1"/>
  <c r="X28" i="7"/>
  <c r="W28" i="7"/>
  <c r="V28" i="7"/>
  <c r="U28" i="7"/>
  <c r="AU27" i="7"/>
  <c r="AT27" i="7"/>
  <c r="AS27" i="7"/>
  <c r="AR27" i="7"/>
  <c r="AP27" i="7"/>
  <c r="AO27" i="7"/>
  <c r="AM27" i="7"/>
  <c r="AL27" i="7"/>
  <c r="AK27" i="7"/>
  <c r="AJ27" i="7"/>
  <c r="AH27" i="7"/>
  <c r="AG27" i="7"/>
  <c r="AE27" i="7"/>
  <c r="AD27" i="7"/>
  <c r="AC27" i="7"/>
  <c r="AB27" i="7"/>
  <c r="AA27" i="7"/>
  <c r="AN27" i="7" s="1"/>
  <c r="X27" i="7"/>
  <c r="V27" i="7"/>
  <c r="U27" i="7"/>
  <c r="W27" i="7" s="1"/>
  <c r="AU26" i="7"/>
  <c r="AT26" i="7"/>
  <c r="AJ26" i="7"/>
  <c r="AI26" i="7"/>
  <c r="AA26" i="7"/>
  <c r="X26" i="7"/>
  <c r="W26" i="7"/>
  <c r="V26" i="7"/>
  <c r="U26" i="7"/>
  <c r="AU25" i="7"/>
  <c r="AT25" i="7"/>
  <c r="AQ25" i="7"/>
  <c r="AP25" i="7"/>
  <c r="AO25" i="7"/>
  <c r="AG25" i="7"/>
  <c r="AA25" i="7"/>
  <c r="X25" i="7"/>
  <c r="V25" i="7"/>
  <c r="U25" i="7"/>
  <c r="W25" i="7" s="1"/>
  <c r="AU24" i="7"/>
  <c r="AT24" i="7"/>
  <c r="AK24" i="7"/>
  <c r="AI24" i="7"/>
  <c r="AA24" i="7"/>
  <c r="X24" i="7"/>
  <c r="V24" i="7"/>
  <c r="W24" i="7" s="1"/>
  <c r="U24" i="7"/>
  <c r="AU23" i="7"/>
  <c r="AT23" i="7"/>
  <c r="AS23" i="7"/>
  <c r="AR23" i="7"/>
  <c r="AP23" i="7"/>
  <c r="AO23" i="7"/>
  <c r="AM23" i="7"/>
  <c r="AL23" i="7"/>
  <c r="AK23" i="7"/>
  <c r="AJ23" i="7"/>
  <c r="AH23" i="7"/>
  <c r="AG23" i="7"/>
  <c r="AE23" i="7"/>
  <c r="AD23" i="7"/>
  <c r="AC23" i="7"/>
  <c r="AB23" i="7"/>
  <c r="AA23" i="7"/>
  <c r="AN23" i="7" s="1"/>
  <c r="X23" i="7"/>
  <c r="V23" i="7"/>
  <c r="U23" i="7"/>
  <c r="W23" i="7" s="1"/>
  <c r="AU22" i="7"/>
  <c r="AT22" i="7"/>
  <c r="AQ22" i="7"/>
  <c r="AO22" i="7"/>
  <c r="AN22" i="7"/>
  <c r="AL22" i="7"/>
  <c r="AF22" i="7"/>
  <c r="AE22" i="7"/>
  <c r="AA22" i="7"/>
  <c r="X22" i="7"/>
  <c r="V22" i="7"/>
  <c r="U22" i="7"/>
  <c r="W22" i="7" s="1"/>
  <c r="AU21" i="7"/>
  <c r="AT21" i="7"/>
  <c r="AA21" i="7"/>
  <c r="AQ21" i="7" s="1"/>
  <c r="X21" i="7"/>
  <c r="V21" i="7"/>
  <c r="U21" i="7"/>
  <c r="W21" i="7" s="1"/>
  <c r="AU20" i="7"/>
  <c r="AT20" i="7"/>
  <c r="AS20" i="7"/>
  <c r="AR20" i="7"/>
  <c r="AQ20" i="7"/>
  <c r="AN20" i="7"/>
  <c r="AJ20" i="7"/>
  <c r="AI20" i="7"/>
  <c r="AH20" i="7"/>
  <c r="AF20" i="7"/>
  <c r="AC20" i="7"/>
  <c r="AA20" i="7"/>
  <c r="AP20" i="7" s="1"/>
  <c r="X20" i="7"/>
  <c r="V20" i="7"/>
  <c r="W20" i="7" s="1"/>
  <c r="U20" i="7"/>
  <c r="AU19" i="7"/>
  <c r="AT19" i="7"/>
  <c r="AS19" i="7"/>
  <c r="AR19" i="7"/>
  <c r="AP19" i="7"/>
  <c r="AO19" i="7"/>
  <c r="AM19" i="7"/>
  <c r="AK19" i="7"/>
  <c r="AI19" i="7"/>
  <c r="AH19" i="7"/>
  <c r="AG19" i="7"/>
  <c r="AE19" i="7"/>
  <c r="AD19" i="7"/>
  <c r="AB19" i="7"/>
  <c r="AA19" i="7"/>
  <c r="AL19" i="7" s="1"/>
  <c r="X19" i="7"/>
  <c r="V19" i="7"/>
  <c r="U19" i="7"/>
  <c r="W19" i="7" s="1"/>
  <c r="AU18" i="7"/>
  <c r="AT18" i="7"/>
  <c r="AM18" i="7"/>
  <c r="AD18" i="7"/>
  <c r="AC18" i="7"/>
  <c r="AA18" i="7"/>
  <c r="AN18" i="7" s="1"/>
  <c r="X18" i="7"/>
  <c r="V18" i="7"/>
  <c r="U18" i="7"/>
  <c r="W18" i="7" s="1"/>
  <c r="AU17" i="7"/>
  <c r="AT17" i="7"/>
  <c r="AQ17" i="7"/>
  <c r="AM17" i="7"/>
  <c r="AL17" i="7"/>
  <c r="AK17" i="7"/>
  <c r="AH17" i="7"/>
  <c r="AA17" i="7"/>
  <c r="X17" i="7"/>
  <c r="V17" i="7"/>
  <c r="U17" i="7"/>
  <c r="W17" i="7" s="1"/>
  <c r="AU16" i="7"/>
  <c r="AT16" i="7"/>
  <c r="AQ16" i="7"/>
  <c r="AM16" i="7"/>
  <c r="AK16" i="7"/>
  <c r="AJ16" i="7"/>
  <c r="AH16" i="7"/>
  <c r="AC16" i="7"/>
  <c r="AB16" i="7"/>
  <c r="AA16" i="7"/>
  <c r="X16" i="7"/>
  <c r="V16" i="7"/>
  <c r="W16" i="7" s="1"/>
  <c r="U16" i="7"/>
  <c r="AU15" i="7"/>
  <c r="AT15" i="7"/>
  <c r="AQ15" i="7"/>
  <c r="AH15" i="7"/>
  <c r="AC15" i="7"/>
  <c r="AB15" i="7"/>
  <c r="AA15" i="7"/>
  <c r="X15" i="7"/>
  <c r="V15" i="7"/>
  <c r="U15" i="7"/>
  <c r="W15" i="7" s="1"/>
  <c r="AU14" i="7"/>
  <c r="AT14" i="7"/>
  <c r="AA14" i="7"/>
  <c r="AF14" i="7" s="1"/>
  <c r="X14" i="7"/>
  <c r="V14" i="7"/>
  <c r="U14" i="7"/>
  <c r="W14" i="7" s="1"/>
  <c r="AU13" i="7"/>
  <c r="AT13" i="7"/>
  <c r="AS13" i="7"/>
  <c r="AQ13" i="7"/>
  <c r="AP13" i="7"/>
  <c r="AN13" i="7"/>
  <c r="AI13" i="7"/>
  <c r="AH13" i="7"/>
  <c r="AG13" i="7"/>
  <c r="AE13" i="7"/>
  <c r="AA13" i="7"/>
  <c r="AO13" i="7" s="1"/>
  <c r="X13" i="7"/>
  <c r="V13" i="7"/>
  <c r="U13" i="7"/>
  <c r="W13" i="7" s="1"/>
  <c r="AU12" i="7"/>
  <c r="AT12" i="7"/>
  <c r="AR12" i="7"/>
  <c r="AQ12" i="7"/>
  <c r="AP12" i="7"/>
  <c r="AN12" i="7"/>
  <c r="AI12" i="7"/>
  <c r="AH12" i="7"/>
  <c r="AG12" i="7"/>
  <c r="AE12" i="7"/>
  <c r="AA12" i="7"/>
  <c r="AO12" i="7" s="1"/>
  <c r="X12" i="7"/>
  <c r="W12" i="7"/>
  <c r="V12" i="7"/>
  <c r="U12" i="7"/>
  <c r="AU11" i="7"/>
  <c r="AT11" i="7"/>
  <c r="AR11" i="7"/>
  <c r="AQ11" i="7"/>
  <c r="AP11" i="7"/>
  <c r="AM11" i="7"/>
  <c r="AI11" i="7"/>
  <c r="AH11" i="7"/>
  <c r="AG11" i="7"/>
  <c r="AD11" i="7"/>
  <c r="AA11" i="7"/>
  <c r="AO11" i="7" s="1"/>
  <c r="X11" i="7"/>
  <c r="V11" i="7"/>
  <c r="U11" i="7"/>
  <c r="AU10" i="7"/>
  <c r="AT10" i="7"/>
  <c r="AR10" i="7"/>
  <c r="AQ10" i="7"/>
  <c r="AO10" i="7"/>
  <c r="AN10" i="7"/>
  <c r="AL10" i="7"/>
  <c r="AI10" i="7"/>
  <c r="AG10" i="7"/>
  <c r="AF10" i="7"/>
  <c r="AE10" i="7"/>
  <c r="AC10" i="7"/>
  <c r="AA10" i="7"/>
  <c r="AM10" i="7" s="1"/>
  <c r="X10" i="7"/>
  <c r="V10" i="7"/>
  <c r="U10" i="7"/>
  <c r="W10" i="7" s="1"/>
  <c r="AU9" i="7"/>
  <c r="AT9" i="7"/>
  <c r="AO9" i="7"/>
  <c r="AN9" i="7"/>
  <c r="AM9" i="7"/>
  <c r="AK9" i="7"/>
  <c r="AF9" i="7"/>
  <c r="AE9" i="7"/>
  <c r="AA9" i="7"/>
  <c r="X9" i="7"/>
  <c r="V9" i="7"/>
  <c r="U9" i="7"/>
  <c r="W9" i="7" s="1"/>
  <c r="AU8" i="7"/>
  <c r="AT8" i="7"/>
  <c r="AF8" i="7"/>
  <c r="AA8" i="7"/>
  <c r="X8" i="7"/>
  <c r="V8" i="7"/>
  <c r="U8" i="7"/>
  <c r="W8" i="7" s="1"/>
  <c r="AU7" i="7"/>
  <c r="AT7" i="7"/>
  <c r="AS7" i="7"/>
  <c r="AP7" i="7"/>
  <c r="AO7" i="7"/>
  <c r="AN7" i="7"/>
  <c r="AM7" i="7"/>
  <c r="AK7" i="7"/>
  <c r="AH7" i="7"/>
  <c r="AG7" i="7"/>
  <c r="AF7" i="7"/>
  <c r="AE7" i="7"/>
  <c r="AC7" i="7"/>
  <c r="AA7" i="7"/>
  <c r="AR7" i="7" s="1"/>
  <c r="X7" i="7"/>
  <c r="V7" i="7"/>
  <c r="W7" i="7" s="1"/>
  <c r="U7" i="7"/>
  <c r="AU6" i="7"/>
  <c r="AT6" i="7"/>
  <c r="AH6" i="7"/>
  <c r="AA6" i="7"/>
  <c r="X6" i="7"/>
  <c r="V6" i="7"/>
  <c r="U6" i="7"/>
  <c r="W6" i="7" s="1"/>
  <c r="AU5" i="7"/>
  <c r="AT5" i="7"/>
  <c r="AS5" i="7"/>
  <c r="AR5" i="7"/>
  <c r="AO5" i="7"/>
  <c r="AK5" i="7"/>
  <c r="AJ5" i="7"/>
  <c r="AI5" i="7"/>
  <c r="AG5" i="7"/>
  <c r="AC5" i="7"/>
  <c r="AB5" i="7"/>
  <c r="AA5" i="7"/>
  <c r="X5" i="7"/>
  <c r="V5" i="7"/>
  <c r="U5" i="7"/>
  <c r="W5" i="7" s="1"/>
  <c r="AU4" i="7"/>
  <c r="AT4" i="7"/>
  <c r="AE4" i="7"/>
  <c r="AA4" i="7"/>
  <c r="X4" i="7"/>
  <c r="V4" i="7"/>
  <c r="U4" i="7"/>
  <c r="W4" i="7" s="1"/>
  <c r="AU3" i="7"/>
  <c r="AT3" i="7"/>
  <c r="AS3" i="7"/>
  <c r="AP3" i="7"/>
  <c r="AO3" i="7"/>
  <c r="AN3" i="7"/>
  <c r="AM3" i="7"/>
  <c r="AK3" i="7"/>
  <c r="AH3" i="7"/>
  <c r="AG3" i="7"/>
  <c r="AF3" i="7"/>
  <c r="AE3" i="7"/>
  <c r="AC3" i="7"/>
  <c r="AA3" i="7"/>
  <c r="AR3" i="7" s="1"/>
  <c r="X3" i="7"/>
  <c r="V3" i="7"/>
  <c r="U3" i="7"/>
  <c r="W3" i="7" s="1"/>
  <c r="W33" i="6"/>
  <c r="V33" i="6"/>
  <c r="U33" i="6"/>
  <c r="T33" i="6"/>
  <c r="V32" i="6"/>
  <c r="W32" i="6" s="1"/>
  <c r="U32" i="6"/>
  <c r="T32" i="6"/>
  <c r="W31" i="6"/>
  <c r="V31" i="6"/>
  <c r="U31" i="6"/>
  <c r="T31" i="6"/>
  <c r="V30" i="6"/>
  <c r="W30" i="6" s="1"/>
  <c r="U30" i="6"/>
  <c r="T30" i="6"/>
  <c r="W29" i="6"/>
  <c r="V29" i="6"/>
  <c r="U29" i="6"/>
  <c r="T29" i="6"/>
  <c r="V28" i="6"/>
  <c r="W28" i="6" s="1"/>
  <c r="U28" i="6"/>
  <c r="T28" i="6"/>
  <c r="W27" i="6"/>
  <c r="V27" i="6"/>
  <c r="U27" i="6"/>
  <c r="T27" i="6"/>
  <c r="V26" i="6"/>
  <c r="W26" i="6" s="1"/>
  <c r="U26" i="6"/>
  <c r="T26" i="6"/>
  <c r="W25" i="6"/>
  <c r="V25" i="6"/>
  <c r="U25" i="6"/>
  <c r="T25" i="6"/>
  <c r="V24" i="6"/>
  <c r="W24" i="6" s="1"/>
  <c r="U24" i="6"/>
  <c r="T24" i="6"/>
  <c r="W23" i="6"/>
  <c r="V23" i="6"/>
  <c r="U23" i="6"/>
  <c r="T23" i="6"/>
  <c r="V22" i="6"/>
  <c r="W22" i="6" s="1"/>
  <c r="U22" i="6"/>
  <c r="T22" i="6"/>
  <c r="W21" i="6"/>
  <c r="V21" i="6"/>
  <c r="U21" i="6"/>
  <c r="T21" i="6"/>
  <c r="V20" i="6"/>
  <c r="W20" i="6" s="1"/>
  <c r="U20" i="6"/>
  <c r="T20" i="6"/>
  <c r="W19" i="6"/>
  <c r="V19" i="6"/>
  <c r="U19" i="6"/>
  <c r="T19" i="6"/>
  <c r="V18" i="6"/>
  <c r="W18" i="6" s="1"/>
  <c r="U18" i="6"/>
  <c r="T18" i="6"/>
  <c r="W17" i="6"/>
  <c r="V17" i="6"/>
  <c r="U17" i="6"/>
  <c r="T17" i="6"/>
  <c r="V16" i="6"/>
  <c r="W16" i="6" s="1"/>
  <c r="U16" i="6"/>
  <c r="T16" i="6"/>
  <c r="W15" i="6"/>
  <c r="V15" i="6"/>
  <c r="U15" i="6"/>
  <c r="T15" i="6"/>
  <c r="V14" i="6"/>
  <c r="W14" i="6" s="1"/>
  <c r="U14" i="6"/>
  <c r="T14" i="6"/>
  <c r="W13" i="6"/>
  <c r="V13" i="6"/>
  <c r="U13" i="6"/>
  <c r="T13" i="6"/>
  <c r="V12" i="6"/>
  <c r="W12" i="6" s="1"/>
  <c r="U12" i="6"/>
  <c r="T12" i="6"/>
  <c r="W11" i="6"/>
  <c r="V11" i="6"/>
  <c r="U11" i="6"/>
  <c r="T11" i="6"/>
  <c r="V10" i="6"/>
  <c r="W10" i="6" s="1"/>
  <c r="U10" i="6"/>
  <c r="T10" i="6"/>
  <c r="W9" i="6"/>
  <c r="V9" i="6"/>
  <c r="U9" i="6"/>
  <c r="T9" i="6"/>
  <c r="V8" i="6"/>
  <c r="W8" i="6" s="1"/>
  <c r="U8" i="6"/>
  <c r="T8" i="6"/>
  <c r="W7" i="6"/>
  <c r="V7" i="6"/>
  <c r="U7" i="6"/>
  <c r="T7" i="6"/>
  <c r="V6" i="6"/>
  <c r="W6" i="6" s="1"/>
  <c r="U6" i="6"/>
  <c r="T6" i="6"/>
  <c r="W5" i="6"/>
  <c r="V5" i="6"/>
  <c r="U5" i="6"/>
  <c r="T5" i="6"/>
  <c r="V4" i="6"/>
  <c r="W4" i="6" s="1"/>
  <c r="U4" i="6"/>
  <c r="T4" i="6"/>
  <c r="W3" i="6"/>
  <c r="V3" i="6"/>
  <c r="U3" i="6"/>
  <c r="T3" i="6"/>
  <c r="V2" i="6"/>
  <c r="W2" i="6" s="1"/>
  <c r="U2" i="6"/>
  <c r="T2" i="6"/>
  <c r="W33" i="5"/>
  <c r="V33" i="5"/>
  <c r="U33" i="5"/>
  <c r="T33" i="5"/>
  <c r="V32" i="5"/>
  <c r="W32" i="5" s="1"/>
  <c r="U32" i="5"/>
  <c r="T32" i="5"/>
  <c r="W31" i="5"/>
  <c r="V31" i="5"/>
  <c r="U31" i="5"/>
  <c r="T31" i="5"/>
  <c r="V30" i="5"/>
  <c r="W30" i="5" s="1"/>
  <c r="U30" i="5"/>
  <c r="T30" i="5"/>
  <c r="W29" i="5"/>
  <c r="V29" i="5"/>
  <c r="U29" i="5"/>
  <c r="T29" i="5"/>
  <c r="V28" i="5"/>
  <c r="W28" i="5" s="1"/>
  <c r="U28" i="5"/>
  <c r="T28" i="5"/>
  <c r="W27" i="5"/>
  <c r="V27" i="5"/>
  <c r="U27" i="5"/>
  <c r="T27" i="5"/>
  <c r="V26" i="5"/>
  <c r="W26" i="5" s="1"/>
  <c r="U26" i="5"/>
  <c r="T26" i="5"/>
  <c r="W25" i="5"/>
  <c r="V25" i="5"/>
  <c r="U25" i="5"/>
  <c r="T25" i="5"/>
  <c r="V24" i="5"/>
  <c r="W24" i="5" s="1"/>
  <c r="U24" i="5"/>
  <c r="T24" i="5"/>
  <c r="W23" i="5"/>
  <c r="V23" i="5"/>
  <c r="U23" i="5"/>
  <c r="T23" i="5"/>
  <c r="V22" i="5"/>
  <c r="W22" i="5" s="1"/>
  <c r="U22" i="5"/>
  <c r="T22" i="5"/>
  <c r="W21" i="5"/>
  <c r="V21" i="5"/>
  <c r="U21" i="5"/>
  <c r="T21" i="5"/>
  <c r="V20" i="5"/>
  <c r="W20" i="5" s="1"/>
  <c r="U20" i="5"/>
  <c r="T20" i="5"/>
  <c r="W19" i="5"/>
  <c r="V19" i="5"/>
  <c r="U19" i="5"/>
  <c r="T19" i="5"/>
  <c r="V18" i="5"/>
  <c r="W18" i="5" s="1"/>
  <c r="U18" i="5"/>
  <c r="T18" i="5"/>
  <c r="W17" i="5"/>
  <c r="V17" i="5"/>
  <c r="U17" i="5"/>
  <c r="T17" i="5"/>
  <c r="V16" i="5"/>
  <c r="W16" i="5" s="1"/>
  <c r="U16" i="5"/>
  <c r="T16" i="5"/>
  <c r="W15" i="5"/>
  <c r="V15" i="5"/>
  <c r="U15" i="5"/>
  <c r="T15" i="5"/>
  <c r="V14" i="5"/>
  <c r="W14" i="5" s="1"/>
  <c r="U14" i="5"/>
  <c r="T14" i="5"/>
  <c r="W13" i="5"/>
  <c r="V13" i="5"/>
  <c r="U13" i="5"/>
  <c r="T13" i="5"/>
  <c r="V12" i="5"/>
  <c r="W12" i="5" s="1"/>
  <c r="U12" i="5"/>
  <c r="T12" i="5"/>
  <c r="W11" i="5"/>
  <c r="V11" i="5"/>
  <c r="U11" i="5"/>
  <c r="T11" i="5"/>
  <c r="V10" i="5"/>
  <c r="W10" i="5" s="1"/>
  <c r="U10" i="5"/>
  <c r="T10" i="5"/>
  <c r="W9" i="5"/>
  <c r="V9" i="5"/>
  <c r="U9" i="5"/>
  <c r="T9" i="5"/>
  <c r="V8" i="5"/>
  <c r="W8" i="5" s="1"/>
  <c r="U8" i="5"/>
  <c r="T8" i="5"/>
  <c r="W7" i="5"/>
  <c r="V7" i="5"/>
  <c r="U7" i="5"/>
  <c r="T7" i="5"/>
  <c r="V6" i="5"/>
  <c r="W6" i="5" s="1"/>
  <c r="U6" i="5"/>
  <c r="T6" i="5"/>
  <c r="W5" i="5"/>
  <c r="V5" i="5"/>
  <c r="U5" i="5"/>
  <c r="T5" i="5"/>
  <c r="V4" i="5"/>
  <c r="W4" i="5" s="1"/>
  <c r="U4" i="5"/>
  <c r="T4" i="5"/>
  <c r="W3" i="5"/>
  <c r="V3" i="5"/>
  <c r="U3" i="5"/>
  <c r="T3" i="5"/>
  <c r="V2" i="5"/>
  <c r="W2" i="5" s="1"/>
  <c r="U2" i="5"/>
  <c r="T2" i="5"/>
  <c r="V31" i="4"/>
  <c r="U31" i="4"/>
  <c r="T31" i="4"/>
  <c r="V32" i="4"/>
  <c r="U32" i="4"/>
  <c r="T32" i="4"/>
  <c r="V33" i="4"/>
  <c r="U33" i="4"/>
  <c r="T33" i="4"/>
  <c r="V10" i="4"/>
  <c r="U10" i="4"/>
  <c r="T10" i="4"/>
  <c r="V8" i="4"/>
  <c r="U8" i="4"/>
  <c r="T8" i="4"/>
  <c r="V2" i="4"/>
  <c r="U2" i="4"/>
  <c r="T2" i="4"/>
  <c r="V3" i="4"/>
  <c r="U3" i="4"/>
  <c r="T3" i="4"/>
  <c r="V15" i="4"/>
  <c r="U15" i="4"/>
  <c r="T15" i="4"/>
  <c r="V11" i="4"/>
  <c r="U11" i="4"/>
  <c r="W11" i="4" s="1"/>
  <c r="T11" i="4"/>
  <c r="V24" i="4"/>
  <c r="U24" i="4"/>
  <c r="T24" i="4"/>
  <c r="V7" i="4"/>
  <c r="U7" i="4"/>
  <c r="T7" i="4"/>
  <c r="V29" i="4"/>
  <c r="U29" i="4"/>
  <c r="T29" i="4"/>
  <c r="V6" i="4"/>
  <c r="U6" i="4"/>
  <c r="T6" i="4"/>
  <c r="V20" i="4"/>
  <c r="U20" i="4"/>
  <c r="T20" i="4"/>
  <c r="V17" i="4"/>
  <c r="U17" i="4"/>
  <c r="T17" i="4"/>
  <c r="V4" i="4"/>
  <c r="U4" i="4"/>
  <c r="T4" i="4"/>
  <c r="V25" i="4"/>
  <c r="U25" i="4"/>
  <c r="W25" i="4" s="1"/>
  <c r="T25" i="4"/>
  <c r="V12" i="4"/>
  <c r="U12" i="4"/>
  <c r="T12" i="4"/>
  <c r="V18" i="4"/>
  <c r="U18" i="4"/>
  <c r="T18" i="4"/>
  <c r="V14" i="4"/>
  <c r="U14" i="4"/>
  <c r="T14" i="4"/>
  <c r="V30" i="4"/>
  <c r="U30" i="4"/>
  <c r="T30" i="4"/>
  <c r="V9" i="4"/>
  <c r="U9" i="4"/>
  <c r="T9" i="4"/>
  <c r="V5" i="4"/>
  <c r="U5" i="4"/>
  <c r="T5" i="4"/>
  <c r="V13" i="4"/>
  <c r="U13" i="4"/>
  <c r="T13" i="4"/>
  <c r="V28" i="4"/>
  <c r="U28" i="4"/>
  <c r="T28" i="4"/>
  <c r="V22" i="4"/>
  <c r="U22" i="4"/>
  <c r="T22" i="4"/>
  <c r="V26" i="4"/>
  <c r="U26" i="4"/>
  <c r="T26" i="4"/>
  <c r="V19" i="4"/>
  <c r="U19" i="4"/>
  <c r="T19" i="4"/>
  <c r="V27" i="4"/>
  <c r="U27" i="4"/>
  <c r="T27" i="4"/>
  <c r="V21" i="4"/>
  <c r="U21" i="4"/>
  <c r="T21" i="4"/>
  <c r="V16" i="4"/>
  <c r="U16" i="4"/>
  <c r="T16" i="4"/>
  <c r="V23" i="4"/>
  <c r="U23" i="4"/>
  <c r="T23" i="4"/>
  <c r="W33" i="3"/>
  <c r="V33" i="3"/>
  <c r="U33" i="3"/>
  <c r="T33" i="3"/>
  <c r="V32" i="3"/>
  <c r="W32" i="3" s="1"/>
  <c r="U32" i="3"/>
  <c r="T32" i="3"/>
  <c r="W31" i="3"/>
  <c r="V31" i="3"/>
  <c r="U31" i="3"/>
  <c r="T31" i="3"/>
  <c r="V30" i="3"/>
  <c r="W30" i="3" s="1"/>
  <c r="U30" i="3"/>
  <c r="T30" i="3"/>
  <c r="W29" i="3"/>
  <c r="V29" i="3"/>
  <c r="U29" i="3"/>
  <c r="T29" i="3"/>
  <c r="V28" i="3"/>
  <c r="W28" i="3" s="1"/>
  <c r="U28" i="3"/>
  <c r="T28" i="3"/>
  <c r="W27" i="3"/>
  <c r="V27" i="3"/>
  <c r="U27" i="3"/>
  <c r="T27" i="3"/>
  <c r="V26" i="3"/>
  <c r="W26" i="3" s="1"/>
  <c r="U26" i="3"/>
  <c r="T26" i="3"/>
  <c r="W25" i="3"/>
  <c r="V25" i="3"/>
  <c r="U25" i="3"/>
  <c r="T25" i="3"/>
  <c r="V24" i="3"/>
  <c r="W24" i="3" s="1"/>
  <c r="U24" i="3"/>
  <c r="T24" i="3"/>
  <c r="W23" i="3"/>
  <c r="V23" i="3"/>
  <c r="U23" i="3"/>
  <c r="T23" i="3"/>
  <c r="V22" i="3"/>
  <c r="W22" i="3" s="1"/>
  <c r="U22" i="3"/>
  <c r="T22" i="3"/>
  <c r="W21" i="3"/>
  <c r="V21" i="3"/>
  <c r="U21" i="3"/>
  <c r="T21" i="3"/>
  <c r="V20" i="3"/>
  <c r="W20" i="3" s="1"/>
  <c r="U20" i="3"/>
  <c r="T20" i="3"/>
  <c r="W19" i="3"/>
  <c r="V19" i="3"/>
  <c r="U19" i="3"/>
  <c r="T19" i="3"/>
  <c r="V18" i="3"/>
  <c r="W18" i="3" s="1"/>
  <c r="U18" i="3"/>
  <c r="T18" i="3"/>
  <c r="W17" i="3"/>
  <c r="V17" i="3"/>
  <c r="U17" i="3"/>
  <c r="T17" i="3"/>
  <c r="V16" i="3"/>
  <c r="W16" i="3" s="1"/>
  <c r="U16" i="3"/>
  <c r="T16" i="3"/>
  <c r="W15" i="3"/>
  <c r="V15" i="3"/>
  <c r="U15" i="3"/>
  <c r="T15" i="3"/>
  <c r="V14" i="3"/>
  <c r="W14" i="3" s="1"/>
  <c r="U14" i="3"/>
  <c r="T14" i="3"/>
  <c r="W13" i="3"/>
  <c r="V13" i="3"/>
  <c r="U13" i="3"/>
  <c r="T13" i="3"/>
  <c r="V12" i="3"/>
  <c r="W12" i="3" s="1"/>
  <c r="U12" i="3"/>
  <c r="T12" i="3"/>
  <c r="W11" i="3"/>
  <c r="V11" i="3"/>
  <c r="U11" i="3"/>
  <c r="T11" i="3"/>
  <c r="V10" i="3"/>
  <c r="W10" i="3" s="1"/>
  <c r="U10" i="3"/>
  <c r="T10" i="3"/>
  <c r="W9" i="3"/>
  <c r="V9" i="3"/>
  <c r="U9" i="3"/>
  <c r="T9" i="3"/>
  <c r="V8" i="3"/>
  <c r="W8" i="3" s="1"/>
  <c r="U8" i="3"/>
  <c r="T8" i="3"/>
  <c r="W7" i="3"/>
  <c r="V7" i="3"/>
  <c r="U7" i="3"/>
  <c r="T7" i="3"/>
  <c r="V6" i="3"/>
  <c r="W6" i="3" s="1"/>
  <c r="U6" i="3"/>
  <c r="T6" i="3"/>
  <c r="W5" i="3"/>
  <c r="V5" i="3"/>
  <c r="U5" i="3"/>
  <c r="T5" i="3"/>
  <c r="V4" i="3"/>
  <c r="W4" i="3" s="1"/>
  <c r="U4" i="3"/>
  <c r="T4" i="3"/>
  <c r="W3" i="3"/>
  <c r="V3" i="3"/>
  <c r="U3" i="3"/>
  <c r="T3" i="3"/>
  <c r="V2" i="3"/>
  <c r="W2" i="3" s="1"/>
  <c r="U2" i="3"/>
  <c r="T2" i="3"/>
  <c r="W33" i="2"/>
  <c r="V33" i="2"/>
  <c r="U33" i="2"/>
  <c r="T33" i="2"/>
  <c r="V32" i="2"/>
  <c r="W32" i="2" s="1"/>
  <c r="U32" i="2"/>
  <c r="T32" i="2"/>
  <c r="W31" i="2"/>
  <c r="V31" i="2"/>
  <c r="U31" i="2"/>
  <c r="T31" i="2"/>
  <c r="V30" i="2"/>
  <c r="W30" i="2" s="1"/>
  <c r="U30" i="2"/>
  <c r="T30" i="2"/>
  <c r="W29" i="2"/>
  <c r="V29" i="2"/>
  <c r="U29" i="2"/>
  <c r="T29" i="2"/>
  <c r="V28" i="2"/>
  <c r="W28" i="2" s="1"/>
  <c r="U28" i="2"/>
  <c r="T28" i="2"/>
  <c r="W27" i="2"/>
  <c r="V27" i="2"/>
  <c r="U27" i="2"/>
  <c r="T27" i="2"/>
  <c r="V26" i="2"/>
  <c r="W26" i="2" s="1"/>
  <c r="U26" i="2"/>
  <c r="T26" i="2"/>
  <c r="W25" i="2"/>
  <c r="V25" i="2"/>
  <c r="U25" i="2"/>
  <c r="T25" i="2"/>
  <c r="V24" i="2"/>
  <c r="W24" i="2" s="1"/>
  <c r="U24" i="2"/>
  <c r="T24" i="2"/>
  <c r="W23" i="2"/>
  <c r="V23" i="2"/>
  <c r="U23" i="2"/>
  <c r="T23" i="2"/>
  <c r="V22" i="2"/>
  <c r="W22" i="2" s="1"/>
  <c r="U22" i="2"/>
  <c r="T22" i="2"/>
  <c r="W21" i="2"/>
  <c r="V21" i="2"/>
  <c r="U21" i="2"/>
  <c r="T21" i="2"/>
  <c r="V20" i="2"/>
  <c r="W20" i="2" s="1"/>
  <c r="U20" i="2"/>
  <c r="T20" i="2"/>
  <c r="W19" i="2"/>
  <c r="V19" i="2"/>
  <c r="U19" i="2"/>
  <c r="T19" i="2"/>
  <c r="V18" i="2"/>
  <c r="W18" i="2" s="1"/>
  <c r="U18" i="2"/>
  <c r="T18" i="2"/>
  <c r="W17" i="2"/>
  <c r="V17" i="2"/>
  <c r="U17" i="2"/>
  <c r="T17" i="2"/>
  <c r="V16" i="2"/>
  <c r="W16" i="2" s="1"/>
  <c r="U16" i="2"/>
  <c r="T16" i="2"/>
  <c r="W15" i="2"/>
  <c r="V15" i="2"/>
  <c r="U15" i="2"/>
  <c r="T15" i="2"/>
  <c r="V14" i="2"/>
  <c r="W14" i="2" s="1"/>
  <c r="U14" i="2"/>
  <c r="T14" i="2"/>
  <c r="W13" i="2"/>
  <c r="V13" i="2"/>
  <c r="U13" i="2"/>
  <c r="T13" i="2"/>
  <c r="V12" i="2"/>
  <c r="W12" i="2" s="1"/>
  <c r="U12" i="2"/>
  <c r="T12" i="2"/>
  <c r="W11" i="2"/>
  <c r="V11" i="2"/>
  <c r="U11" i="2"/>
  <c r="T11" i="2"/>
  <c r="V10" i="2"/>
  <c r="W10" i="2" s="1"/>
  <c r="U10" i="2"/>
  <c r="T10" i="2"/>
  <c r="W9" i="2"/>
  <c r="V9" i="2"/>
  <c r="U9" i="2"/>
  <c r="T9" i="2"/>
  <c r="AE8" i="2"/>
  <c r="V8" i="2"/>
  <c r="W8" i="2" s="1"/>
  <c r="U8" i="2"/>
  <c r="T8" i="2"/>
  <c r="AE7" i="2"/>
  <c r="V7" i="2"/>
  <c r="W7" i="2" s="1"/>
  <c r="U7" i="2"/>
  <c r="T7" i="2"/>
  <c r="AE6" i="2"/>
  <c r="V6" i="2"/>
  <c r="W6" i="2" s="1"/>
  <c r="U6" i="2"/>
  <c r="T6" i="2"/>
  <c r="AE5" i="2"/>
  <c r="W5" i="2"/>
  <c r="V5" i="2"/>
  <c r="U5" i="2"/>
  <c r="T5" i="2"/>
  <c r="AE4" i="2"/>
  <c r="V4" i="2"/>
  <c r="W4" i="2" s="1"/>
  <c r="U4" i="2"/>
  <c r="T4" i="2"/>
  <c r="AE3" i="2"/>
  <c r="V3" i="2"/>
  <c r="U3" i="2"/>
  <c r="W3" i="2" s="1"/>
  <c r="T3" i="2"/>
  <c r="AE2" i="2"/>
  <c r="V2" i="2"/>
  <c r="W2" i="2" s="1"/>
  <c r="U2" i="2"/>
  <c r="T2" i="2"/>
  <c r="W30" i="4" l="1"/>
  <c r="W8" i="4"/>
  <c r="W22" i="4"/>
  <c r="W12" i="4"/>
  <c r="W24" i="4"/>
  <c r="W16" i="4"/>
  <c r="W28" i="4"/>
  <c r="W31" i="4"/>
  <c r="W26" i="4"/>
  <c r="W33" i="4"/>
  <c r="W3" i="4"/>
  <c r="W5" i="4"/>
  <c r="W18" i="4"/>
  <c r="W7" i="4"/>
  <c r="W17" i="4"/>
  <c r="W27" i="4"/>
  <c r="W32" i="4"/>
  <c r="W6" i="4"/>
  <c r="W9" i="4"/>
  <c r="W13" i="4"/>
  <c r="W15" i="4"/>
  <c r="W14" i="4"/>
  <c r="W19" i="4"/>
  <c r="W29" i="4"/>
  <c r="W21" i="4"/>
  <c r="W20" i="4"/>
  <c r="W10" i="4"/>
  <c r="W2" i="4"/>
  <c r="W23" i="4"/>
  <c r="W4" i="4"/>
  <c r="AP4" i="7"/>
  <c r="AH4" i="7"/>
  <c r="AO4" i="7"/>
  <c r="AG4" i="7"/>
  <c r="AN4" i="7"/>
  <c r="AF4" i="7"/>
  <c r="AR4" i="7"/>
  <c r="AJ4" i="7"/>
  <c r="AB4" i="7"/>
  <c r="AQ4" i="7"/>
  <c r="AL6" i="7"/>
  <c r="AD6" i="7"/>
  <c r="AS6" i="7"/>
  <c r="AK6" i="7"/>
  <c r="AC6" i="7"/>
  <c r="AR6" i="7"/>
  <c r="AJ6" i="7"/>
  <c r="AB6" i="7"/>
  <c r="Z6" i="7" s="1"/>
  <c r="AN6" i="7"/>
  <c r="AF6" i="7"/>
  <c r="AQ6" i="7"/>
  <c r="AL8" i="7"/>
  <c r="AD8" i="7"/>
  <c r="AR8" i="7"/>
  <c r="AI8" i="7"/>
  <c r="AQ8" i="7"/>
  <c r="AH8" i="7"/>
  <c r="AP8" i="7"/>
  <c r="AG8" i="7"/>
  <c r="AK8" i="7"/>
  <c r="AB8" i="7"/>
  <c r="AS8" i="7"/>
  <c r="AK14" i="7"/>
  <c r="AL24" i="7"/>
  <c r="AD24" i="7"/>
  <c r="AO24" i="7"/>
  <c r="AG24" i="7"/>
  <c r="AR24" i="7"/>
  <c r="AH24" i="7"/>
  <c r="AQ24" i="7"/>
  <c r="AF24" i="7"/>
  <c r="AP24" i="7"/>
  <c r="AE24" i="7"/>
  <c r="AJ24" i="7"/>
  <c r="AM32" i="7"/>
  <c r="AE32" i="7"/>
  <c r="AL32" i="7"/>
  <c r="AD32" i="7"/>
  <c r="AO32" i="7"/>
  <c r="AG32" i="7"/>
  <c r="AS32" i="7"/>
  <c r="AH32" i="7"/>
  <c r="AR32" i="7"/>
  <c r="AF32" i="7"/>
  <c r="AQ32" i="7"/>
  <c r="AC32" i="7"/>
  <c r="AJ32" i="7"/>
  <c r="AI32" i="7"/>
  <c r="AC4" i="7"/>
  <c r="AS4" i="7"/>
  <c r="AE6" i="7"/>
  <c r="AC8" i="7"/>
  <c r="AO14" i="7"/>
  <c r="AN15" i="7"/>
  <c r="AF15" i="7"/>
  <c r="AP15" i="7"/>
  <c r="AG15" i="7"/>
  <c r="AO15" i="7"/>
  <c r="AE15" i="7"/>
  <c r="AM15" i="7"/>
  <c r="AD15" i="7"/>
  <c r="AR15" i="7"/>
  <c r="AI15" i="7"/>
  <c r="AS15" i="7"/>
  <c r="AB24" i="7"/>
  <c r="AB32" i="7"/>
  <c r="AR21" i="7"/>
  <c r="AJ21" i="7"/>
  <c r="AB21" i="7"/>
  <c r="AM21" i="7"/>
  <c r="AE21" i="7"/>
  <c r="AP21" i="7"/>
  <c r="AF21" i="7"/>
  <c r="AO21" i="7"/>
  <c r="AD21" i="7"/>
  <c r="AN21" i="7"/>
  <c r="AC21" i="7"/>
  <c r="AS21" i="7"/>
  <c r="AH21" i="7"/>
  <c r="AD4" i="7"/>
  <c r="AG6" i="7"/>
  <c r="AE8" i="7"/>
  <c r="AR14" i="7"/>
  <c r="AP18" i="7"/>
  <c r="AH18" i="7"/>
  <c r="AR18" i="7"/>
  <c r="AI18" i="7"/>
  <c r="AQ18" i="7"/>
  <c r="AG18" i="7"/>
  <c r="AO18" i="7"/>
  <c r="AF18" i="7"/>
  <c r="AK18" i="7"/>
  <c r="AB18" i="7"/>
  <c r="AS18" i="7"/>
  <c r="AC24" i="7"/>
  <c r="AP26" i="7"/>
  <c r="AH26" i="7"/>
  <c r="AS26" i="7"/>
  <c r="AK26" i="7"/>
  <c r="AC26" i="7"/>
  <c r="AO26" i="7"/>
  <c r="AE26" i="7"/>
  <c r="AN26" i="7"/>
  <c r="AD26" i="7"/>
  <c r="AM26" i="7"/>
  <c r="AB26" i="7"/>
  <c r="AR26" i="7"/>
  <c r="AG26" i="7"/>
  <c r="AQ26" i="7"/>
  <c r="AF26" i="7"/>
  <c r="AK32" i="7"/>
  <c r="AS14" i="7"/>
  <c r="AI6" i="7"/>
  <c r="AJ8" i="7"/>
  <c r="AK4" i="7"/>
  <c r="AM6" i="7"/>
  <c r="AM8" i="7"/>
  <c r="AJ15" i="7"/>
  <c r="Z15" i="7" s="1"/>
  <c r="AR17" i="7"/>
  <c r="AJ17" i="7"/>
  <c r="AB17" i="7"/>
  <c r="AP17" i="7"/>
  <c r="AG17" i="7"/>
  <c r="AO17" i="7"/>
  <c r="AF17" i="7"/>
  <c r="AN17" i="7"/>
  <c r="AE17" i="7"/>
  <c r="AS17" i="7"/>
  <c r="AI17" i="7"/>
  <c r="AE18" i="7"/>
  <c r="AI21" i="7"/>
  <c r="AM24" i="7"/>
  <c r="AR25" i="7"/>
  <c r="AJ25" i="7"/>
  <c r="AB25" i="7"/>
  <c r="Z25" i="7" s="1"/>
  <c r="AM25" i="7"/>
  <c r="AE25" i="7"/>
  <c r="AK25" i="7"/>
  <c r="AI25" i="7"/>
  <c r="AS25" i="7"/>
  <c r="AH25" i="7"/>
  <c r="AN25" i="7"/>
  <c r="AC25" i="7"/>
  <c r="AL25" i="7"/>
  <c r="AL26" i="7"/>
  <c r="AS29" i="7"/>
  <c r="AK29" i="7"/>
  <c r="AC29" i="7"/>
  <c r="AR29" i="7"/>
  <c r="AJ29" i="7"/>
  <c r="AB29" i="7"/>
  <c r="AM29" i="7"/>
  <c r="AE29" i="7"/>
  <c r="AI29" i="7"/>
  <c r="AH29" i="7"/>
  <c r="AG29" i="7"/>
  <c r="AN29" i="7"/>
  <c r="AL29" i="7"/>
  <c r="V27" i="8"/>
  <c r="AP14" i="7"/>
  <c r="AH14" i="7"/>
  <c r="AN14" i="7"/>
  <c r="AE14" i="7"/>
  <c r="AM14" i="7"/>
  <c r="AD14" i="7"/>
  <c r="AL14" i="7"/>
  <c r="AC14" i="7"/>
  <c r="AQ14" i="7"/>
  <c r="AG14" i="7"/>
  <c r="AB14" i="7"/>
  <c r="AL4" i="7"/>
  <c r="AO6" i="7"/>
  <c r="AN8" i="7"/>
  <c r="AR9" i="7"/>
  <c r="AJ9" i="7"/>
  <c r="AB9" i="7"/>
  <c r="AS9" i="7"/>
  <c r="AI9" i="7"/>
  <c r="AQ9" i="7"/>
  <c r="AH9" i="7"/>
  <c r="AP9" i="7"/>
  <c r="AG9" i="7"/>
  <c r="AL9" i="7"/>
  <c r="AC9" i="7"/>
  <c r="AI14" i="7"/>
  <c r="AK15" i="7"/>
  <c r="AC17" i="7"/>
  <c r="AJ18" i="7"/>
  <c r="AK21" i="7"/>
  <c r="AP22" i="7"/>
  <c r="AH22" i="7"/>
  <c r="AS22" i="7"/>
  <c r="AK22" i="7"/>
  <c r="AC22" i="7"/>
  <c r="AJ22" i="7"/>
  <c r="AI22" i="7"/>
  <c r="AR22" i="7"/>
  <c r="AG22" i="7"/>
  <c r="AM22" i="7"/>
  <c r="AB22" i="7"/>
  <c r="AN24" i="7"/>
  <c r="AD25" i="7"/>
  <c r="AD29" i="7"/>
  <c r="AI4" i="7"/>
  <c r="AG21" i="7"/>
  <c r="AM4" i="7"/>
  <c r="AN5" i="7"/>
  <c r="AF5" i="7"/>
  <c r="Z5" i="7" s="1"/>
  <c r="AM5" i="7"/>
  <c r="AE5" i="7"/>
  <c r="AL5" i="7"/>
  <c r="AD5" i="7"/>
  <c r="AP5" i="7"/>
  <c r="AH5" i="7"/>
  <c r="AQ5" i="7"/>
  <c r="AP6" i="7"/>
  <c r="AO8" i="7"/>
  <c r="AD9" i="7"/>
  <c r="AJ14" i="7"/>
  <c r="AL15" i="7"/>
  <c r="AL16" i="7"/>
  <c r="AD16" i="7"/>
  <c r="AP16" i="7"/>
  <c r="AG16" i="7"/>
  <c r="AO16" i="7"/>
  <c r="Z16" i="7" s="1"/>
  <c r="AF16" i="7"/>
  <c r="AN16" i="7"/>
  <c r="AE16" i="7"/>
  <c r="AR16" i="7"/>
  <c r="AI16" i="7"/>
  <c r="AS16" i="7"/>
  <c r="AD17" i="7"/>
  <c r="AL18" i="7"/>
  <c r="AL21" i="7"/>
  <c r="AD22" i="7"/>
  <c r="AS24" i="7"/>
  <c r="AF25" i="7"/>
  <c r="AF29" i="7"/>
  <c r="V18" i="8"/>
  <c r="AD3" i="7"/>
  <c r="AL3" i="7"/>
  <c r="AD7" i="7"/>
  <c r="AL7" i="7"/>
  <c r="AD10" i="7"/>
  <c r="W11" i="7"/>
  <c r="AE11" i="7"/>
  <c r="AF12" i="7"/>
  <c r="AF13" i="7"/>
  <c r="AC19" i="7"/>
  <c r="Z19" i="7" s="1"/>
  <c r="AE20" i="7"/>
  <c r="AF28" i="7"/>
  <c r="W31" i="7"/>
  <c r="AF33" i="7"/>
  <c r="Z34" i="7"/>
  <c r="AN11" i="7"/>
  <c r="AF11" i="7"/>
  <c r="AJ11" i="7"/>
  <c r="AS11" i="7"/>
  <c r="AL12" i="7"/>
  <c r="AD12" i="7"/>
  <c r="AJ12" i="7"/>
  <c r="AS12" i="7"/>
  <c r="AR13" i="7"/>
  <c r="AJ13" i="7"/>
  <c r="AB13" i="7"/>
  <c r="AK13" i="7"/>
  <c r="AI3" i="7"/>
  <c r="AQ3" i="7"/>
  <c r="AI7" i="7"/>
  <c r="AQ7" i="7"/>
  <c r="AP10" i="7"/>
  <c r="AH10" i="7"/>
  <c r="AJ10" i="7"/>
  <c r="AS10" i="7"/>
  <c r="AB11" i="7"/>
  <c r="AK11" i="7"/>
  <c r="AB12" i="7"/>
  <c r="Z12" i="7" s="1"/>
  <c r="AK12" i="7"/>
  <c r="AC13" i="7"/>
  <c r="AL13" i="7"/>
  <c r="AL20" i="7"/>
  <c r="AD20" i="7"/>
  <c r="AO20" i="7"/>
  <c r="AG20" i="7"/>
  <c r="AK20" i="7"/>
  <c r="AM28" i="7"/>
  <c r="AE28" i="7"/>
  <c r="AL28" i="7"/>
  <c r="AD28" i="7"/>
  <c r="AO28" i="7"/>
  <c r="AG28" i="7"/>
  <c r="AN28" i="7"/>
  <c r="V3" i="8"/>
  <c r="V26" i="8"/>
  <c r="AB3" i="7"/>
  <c r="AJ3" i="7"/>
  <c r="AB7" i="7"/>
  <c r="AJ7" i="7"/>
  <c r="AB10" i="7"/>
  <c r="Z10" i="7" s="1"/>
  <c r="AK10" i="7"/>
  <c r="AC11" i="7"/>
  <c r="AL11" i="7"/>
  <c r="AC12" i="7"/>
  <c r="AM12" i="7"/>
  <c r="AD13" i="7"/>
  <c r="AM13" i="7"/>
  <c r="AN19" i="7"/>
  <c r="AF19" i="7"/>
  <c r="AQ19" i="7"/>
  <c r="AJ19" i="7"/>
  <c r="AB20" i="7"/>
  <c r="AM20" i="7"/>
  <c r="AB28" i="7"/>
  <c r="AP28" i="7"/>
  <c r="AS33" i="7"/>
  <c r="AK33" i="7"/>
  <c r="AC33" i="7"/>
  <c r="AR33" i="7"/>
  <c r="AJ33" i="7"/>
  <c r="AB33" i="7"/>
  <c r="AM33" i="7"/>
  <c r="AE33" i="7"/>
  <c r="AO33" i="7"/>
  <c r="AI23" i="7"/>
  <c r="AQ23" i="7"/>
  <c r="AI27" i="7"/>
  <c r="AQ27" i="7"/>
  <c r="AC30" i="7"/>
  <c r="Z30" i="7" s="1"/>
  <c r="AK30" i="7"/>
  <c r="AS30" i="7"/>
  <c r="AI31" i="7"/>
  <c r="AQ31" i="7"/>
  <c r="AC34" i="7"/>
  <c r="AK34" i="7"/>
  <c r="AS34" i="7"/>
  <c r="AF23" i="7"/>
  <c r="AF27" i="7"/>
  <c r="Z27" i="7" s="1"/>
  <c r="AH30" i="7"/>
  <c r="AP30" i="7"/>
  <c r="AF31" i="7"/>
  <c r="Z31" i="7" s="1"/>
  <c r="AH34" i="7"/>
  <c r="AP34" i="7"/>
  <c r="AI30" i="7"/>
  <c r="AI34" i="7"/>
  <c r="Z20" i="7" l="1"/>
  <c r="Z32" i="7"/>
  <c r="Z13" i="7"/>
  <c r="Z22" i="7"/>
  <c r="Z9" i="7"/>
  <c r="Z17" i="7"/>
  <c r="Z24" i="7"/>
  <c r="Z29" i="7"/>
  <c r="Z18" i="7"/>
  <c r="Z23" i="7"/>
  <c r="Z28" i="7"/>
  <c r="Z7" i="7"/>
  <c r="Z11" i="7"/>
  <c r="Z26" i="7"/>
  <c r="Z21" i="7"/>
  <c r="Z4" i="7"/>
  <c r="Z33" i="7"/>
  <c r="Z14" i="7"/>
  <c r="Z8" i="7"/>
  <c r="Z1" i="7" l="1"/>
</calcChain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textDates="1" xl2000="1" url="http://www.nfl.com/standings?category=league&amp;season=2008-REG&amp;split=Overall"/>
  </connection>
</connections>
</file>

<file path=xl/sharedStrings.xml><?xml version="1.0" encoding="utf-8"?>
<sst xmlns="http://schemas.openxmlformats.org/spreadsheetml/2006/main" count="1120" uniqueCount="276">
  <si>
    <t>Rank</t>
  </si>
  <si>
    <t>Team</t>
  </si>
  <si>
    <t>Team Code</t>
  </si>
  <si>
    <t>Sando</t>
  </si>
  <si>
    <t>Clayton</t>
  </si>
  <si>
    <t>Graziano</t>
  </si>
  <si>
    <t>Hensley</t>
  </si>
  <si>
    <t>Fox</t>
  </si>
  <si>
    <t>Average</t>
  </si>
  <si>
    <t>High</t>
  </si>
  <si>
    <t>Low</t>
  </si>
  <si>
    <t>Biggest Gap</t>
  </si>
  <si>
    <t>Division</t>
  </si>
  <si>
    <t>Sando High Vote</t>
  </si>
  <si>
    <t>Clayton High Vote</t>
  </si>
  <si>
    <t>Kuharsky High Vote</t>
  </si>
  <si>
    <t>Walker High Vote</t>
  </si>
  <si>
    <t>Fox High Vote</t>
  </si>
  <si>
    <t>Sando Low Vote</t>
  </si>
  <si>
    <t>Clayton Low Vote</t>
  </si>
  <si>
    <t>Kuharsky Low Vote</t>
  </si>
  <si>
    <t>Walker Low Vote</t>
  </si>
  <si>
    <t>Fox Low Vote</t>
  </si>
  <si>
    <t>Week1</t>
  </si>
  <si>
    <t>Week 2</t>
  </si>
  <si>
    <t>Week 3</t>
  </si>
  <si>
    <t>Week 4</t>
  </si>
  <si>
    <t>Week 5</t>
  </si>
  <si>
    <t>x</t>
  </si>
  <si>
    <t>Houston Texans</t>
  </si>
  <si>
    <t>HOU</t>
  </si>
  <si>
    <t>AFC South</t>
  </si>
  <si>
    <t>Atlanta Falcons</t>
  </si>
  <si>
    <t>ATL</t>
  </si>
  <si>
    <t>NFC South</t>
  </si>
  <si>
    <t>Baltimore Ravens</t>
  </si>
  <si>
    <t>BAL</t>
  </si>
  <si>
    <t>AFC North</t>
  </si>
  <si>
    <t>San Francisco 49ers</t>
  </si>
  <si>
    <t>SF</t>
  </si>
  <si>
    <t>NFC West</t>
  </si>
  <si>
    <t>Arizona Cardinals</t>
  </si>
  <si>
    <t>ARI</t>
  </si>
  <si>
    <t>New England Patriots</t>
  </si>
  <si>
    <t>NE</t>
  </si>
  <si>
    <t>AFC East</t>
  </si>
  <si>
    <t>Philadelphia Eagles</t>
  </si>
  <si>
    <t>PHI</t>
  </si>
  <si>
    <t>NFC East</t>
  </si>
  <si>
    <t>Green Bay Packers</t>
  </si>
  <si>
    <t>GB</t>
  </si>
  <si>
    <t>NFC North</t>
  </si>
  <si>
    <t>Chicago Bears</t>
  </si>
  <si>
    <t>CHI</t>
  </si>
  <si>
    <t>New York Giants</t>
  </si>
  <si>
    <t>NYG</t>
  </si>
  <si>
    <t>San Diego Chargers</t>
  </si>
  <si>
    <t>SD</t>
  </si>
  <si>
    <t>AFC West</t>
  </si>
  <si>
    <t>Cincinnati Bengals</t>
  </si>
  <si>
    <t>CIN</t>
  </si>
  <si>
    <t>Denver Broncos</t>
  </si>
  <si>
    <t>DEN</t>
  </si>
  <si>
    <t>Minnesota Vikings</t>
  </si>
  <si>
    <t>MIN</t>
  </si>
  <si>
    <t>Dallas Cowboys</t>
  </si>
  <si>
    <t>DAL</t>
  </si>
  <si>
    <t>Pittsburgh Steelers</t>
  </si>
  <si>
    <t>PIT</t>
  </si>
  <si>
    <t>Seattle Seahawks</t>
  </si>
  <si>
    <t>SEA</t>
  </si>
  <si>
    <t>Washington Redskins</t>
  </si>
  <si>
    <t>WAS</t>
  </si>
  <si>
    <t>St. Louis Rams</t>
  </si>
  <si>
    <t>STL</t>
  </si>
  <si>
    <t>Detroit Lions</t>
  </si>
  <si>
    <t>DET</t>
  </si>
  <si>
    <t>Buffalo Bills</t>
  </si>
  <si>
    <t>BUF</t>
  </si>
  <si>
    <t>Tampa Bay Bucs</t>
  </si>
  <si>
    <t>TB</t>
  </si>
  <si>
    <t>New York Jets</t>
  </si>
  <si>
    <t>NYJ</t>
  </si>
  <si>
    <t>Carolina Panthers</t>
  </si>
  <si>
    <t>CAR</t>
  </si>
  <si>
    <t>Tennessee Titans</t>
  </si>
  <si>
    <t>TEN</t>
  </si>
  <si>
    <t>Miami Dolphins</t>
  </si>
  <si>
    <t>MIA</t>
  </si>
  <si>
    <t>Kansas City Chiefs</t>
  </si>
  <si>
    <t>KC</t>
  </si>
  <si>
    <t>New Orleans Saints</t>
  </si>
  <si>
    <t>NO</t>
  </si>
  <si>
    <t>Oakland Raiders</t>
  </si>
  <si>
    <t>OAK</t>
  </si>
  <si>
    <t>Jacksonville Jaguars</t>
  </si>
  <si>
    <t>JAC</t>
  </si>
  <si>
    <t>Indianapolis Colts</t>
  </si>
  <si>
    <t>IND</t>
  </si>
  <si>
    <t>Cleveland Browns</t>
  </si>
  <si>
    <t>CLE</t>
  </si>
  <si>
    <t>high votes</t>
  </si>
  <si>
    <t>low votes</t>
  </si>
  <si>
    <t>Repeats</t>
  </si>
  <si>
    <t>Correlation</t>
  </si>
  <si>
    <t>6-NE</t>
  </si>
  <si>
    <t>3-BAL</t>
  </si>
  <si>
    <t>1-HOU</t>
  </si>
  <si>
    <t>11-SD</t>
  </si>
  <si>
    <t>21-BUF</t>
  </si>
  <si>
    <t>11-CIN</t>
  </si>
  <si>
    <t>25-TEN</t>
  </si>
  <si>
    <t>13-DEN</t>
  </si>
  <si>
    <t>23-NYJ</t>
  </si>
  <si>
    <t>16-PIT</t>
  </si>
  <si>
    <t>30-JAC</t>
  </si>
  <si>
    <t>27-KC</t>
  </si>
  <si>
    <t>26-MIA</t>
  </si>
  <si>
    <t>32-CLE</t>
  </si>
  <si>
    <t>31-IND</t>
  </si>
  <si>
    <t>29-OAK</t>
  </si>
  <si>
    <t>7-PHI</t>
  </si>
  <si>
    <t>7-GB</t>
  </si>
  <si>
    <t>2-ATL</t>
  </si>
  <si>
    <t>4-SF</t>
  </si>
  <si>
    <t>Tiebreakers</t>
  </si>
  <si>
    <t>10-NYG</t>
  </si>
  <si>
    <t>9-CHI</t>
  </si>
  <si>
    <t>22-TB</t>
  </si>
  <si>
    <t>5-ARI</t>
  </si>
  <si>
    <t>Head to head</t>
  </si>
  <si>
    <t>15-DAL</t>
  </si>
  <si>
    <t>14-MIN</t>
  </si>
  <si>
    <t>24-CAR</t>
  </si>
  <si>
    <t>17-SEA</t>
  </si>
  <si>
    <t>Overall record</t>
  </si>
  <si>
    <t>18-WAS</t>
  </si>
  <si>
    <t>20-DET</t>
  </si>
  <si>
    <t>28-NO</t>
  </si>
  <si>
    <t>19-STL</t>
  </si>
  <si>
    <t>Won most recently</t>
  </si>
  <si>
    <t>Previous Ranking</t>
  </si>
  <si>
    <t>Date</t>
  </si>
  <si>
    <t>Tiebreak</t>
  </si>
  <si>
    <t>Week 1</t>
  </si>
  <si>
    <t>BAL&gt;PHI</t>
  </si>
  <si>
    <t>TEN&gt;BUF</t>
  </si>
  <si>
    <t>MIA&gt;STL</t>
  </si>
  <si>
    <t>NE&gt;SF</t>
  </si>
  <si>
    <t>CIN&gt;KC</t>
  </si>
  <si>
    <t>TEN&gt;CAR&gt;BUF</t>
  </si>
  <si>
    <t>ARI&gt;DAL</t>
  </si>
  <si>
    <t>SEA&gt;NYJ</t>
  </si>
  <si>
    <t>PHI&gt;GB</t>
  </si>
  <si>
    <t>SD&gt;CIN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</si>
  <si>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</si>
  <si>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</si>
  <si>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</si>
  <si>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</si>
  <si>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</si>
  <si>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</si>
  <si>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</si>
  <si>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</si>
  <si>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</si>
  <si>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</si>
  <si>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</si>
  <si>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</si>
  <si>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</si>
  <si>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Highest</t>
  </si>
  <si>
    <t>Lowest</t>
  </si>
  <si>
    <t>Gap</t>
  </si>
  <si>
    <t>NFL Team</t>
  </si>
  <si>
    <t>Conf</t>
  </si>
  <si>
    <t>Div</t>
  </si>
  <si>
    <t>W</t>
  </si>
  <si>
    <t>L</t>
  </si>
  <si>
    <t>T</t>
  </si>
  <si>
    <t>Pct</t>
  </si>
  <si>
    <t>PF</t>
  </si>
  <si>
    <t>PA</t>
  </si>
  <si>
    <t>Net Pts</t>
  </si>
  <si>
    <t>TD</t>
  </si>
  <si>
    <t>Home</t>
  </si>
  <si>
    <t>Road</t>
  </si>
  <si>
    <t>Non-Conf</t>
  </si>
  <si>
    <t>Streak</t>
  </si>
  <si>
    <t>Last 5</t>
  </si>
  <si>
    <t>PPG</t>
  </si>
  <si>
    <t>PPG Allowed</t>
  </si>
  <si>
    <t>PPG Differential</t>
  </si>
  <si>
    <t>Total Games Played</t>
  </si>
  <si>
    <t>Power Ranking</t>
  </si>
  <si>
    <t>Higher Ranked Teams Beaten</t>
  </si>
  <si>
    <t>Beat</t>
  </si>
  <si>
    <t>Wins</t>
  </si>
  <si>
    <t>Losses</t>
  </si>
  <si>
    <t xml:space="preserve">Houston Texans </t>
  </si>
  <si>
    <t>NFC</t>
  </si>
  <si>
    <t>ACS</t>
  </si>
  <si>
    <t>2-0</t>
  </si>
  <si>
    <t>4-0</t>
  </si>
  <si>
    <t>0-0</t>
  </si>
  <si>
    <t>4W</t>
  </si>
  <si>
    <t xml:space="preserve">Atlanta Falcons </t>
  </si>
  <si>
    <t>NCS</t>
  </si>
  <si>
    <t>1-0</t>
  </si>
  <si>
    <t>3-0</t>
  </si>
  <si>
    <t xml:space="preserve">Baltimore Ravens </t>
  </si>
  <si>
    <t>AFC</t>
  </si>
  <si>
    <t>ACN</t>
  </si>
  <si>
    <t>0-1</t>
  </si>
  <si>
    <t>2W</t>
  </si>
  <si>
    <t>3-1</t>
  </si>
  <si>
    <t xml:space="preserve">San Francisco 49ers </t>
  </si>
  <si>
    <t>NCW</t>
  </si>
  <si>
    <t>2-1</t>
  </si>
  <si>
    <t>1W</t>
  </si>
  <si>
    <t xml:space="preserve">Arizona Cardinals </t>
  </si>
  <si>
    <t xml:space="preserve">New England Patriots </t>
  </si>
  <si>
    <t>ACE</t>
  </si>
  <si>
    <t>2-2</t>
  </si>
  <si>
    <t xml:space="preserve">Philadelphia Eagles </t>
  </si>
  <si>
    <t>NCE</t>
  </si>
  <si>
    <t>1-1</t>
  </si>
  <si>
    <t xml:space="preserve">Green Bay Packers </t>
  </si>
  <si>
    <t>NCN</t>
  </si>
  <si>
    <t xml:space="preserve">Chicago Bears </t>
  </si>
  <si>
    <t xml:space="preserve">New York Giants </t>
  </si>
  <si>
    <t>0-2</t>
  </si>
  <si>
    <t>1L</t>
  </si>
  <si>
    <t xml:space="preserve">San Diego Chargers </t>
  </si>
  <si>
    <t>ACW</t>
  </si>
  <si>
    <t xml:space="preserve">Cincinnati Bengals </t>
  </si>
  <si>
    <t>3W</t>
  </si>
  <si>
    <t xml:space="preserve">Denver Broncos </t>
  </si>
  <si>
    <t xml:space="preserve">Minnesota Vikings </t>
  </si>
  <si>
    <t xml:space="preserve">Dallas Cowboys </t>
  </si>
  <si>
    <t xml:space="preserve">Pittsburgh Steelers </t>
  </si>
  <si>
    <t>1-2</t>
  </si>
  <si>
    <t xml:space="preserve">Seattle Seahawks </t>
  </si>
  <si>
    <t xml:space="preserve">Washington Redskins </t>
  </si>
  <si>
    <t xml:space="preserve">St. Louis Rams </t>
  </si>
  <si>
    <t xml:space="preserve">Detroit Lions </t>
  </si>
  <si>
    <t>3L</t>
  </si>
  <si>
    <t>1-3</t>
  </si>
  <si>
    <t xml:space="preserve">Buffalo Bills </t>
  </si>
  <si>
    <t xml:space="preserve">Tampa Bay Buccaneers </t>
  </si>
  <si>
    <t xml:space="preserve">New York Jets </t>
  </si>
  <si>
    <t xml:space="preserve">Carolina Panthers </t>
  </si>
  <si>
    <t>2L</t>
  </si>
  <si>
    <t xml:space="preserve">Tennessee Titans </t>
  </si>
  <si>
    <t>0-3</t>
  </si>
  <si>
    <t xml:space="preserve">Miami Dolphins </t>
  </si>
  <si>
    <t xml:space="preserve">Kansas City Chiefs </t>
  </si>
  <si>
    <t xml:space="preserve">New Orleans Saints </t>
  </si>
  <si>
    <t>4L</t>
  </si>
  <si>
    <t>0-4</t>
  </si>
  <si>
    <t xml:space="preserve">Oakland Raiders </t>
  </si>
  <si>
    <t xml:space="preserve">Jacksonville Jaguars </t>
  </si>
  <si>
    <t xml:space="preserve">Indianapolis Colts </t>
  </si>
  <si>
    <t xml:space="preserve">Cleveland Browns </t>
  </si>
  <si>
    <t>Team Change Code</t>
  </si>
  <si>
    <t>Change from Last Week</t>
  </si>
  <si>
    <t>Change from Week 1</t>
  </si>
  <si>
    <t>Voter</t>
  </si>
  <si>
    <t>Average (should equal 16.5)</t>
  </si>
  <si>
    <t>Mike Sando</t>
  </si>
  <si>
    <t>John Clayton</t>
  </si>
  <si>
    <t>Dan Graziano</t>
  </si>
  <si>
    <t>Jamison Hensley</t>
  </si>
  <si>
    <t>Ashley Fox</t>
  </si>
  <si>
    <t>Code</t>
  </si>
  <si>
    <t>Total Wins</t>
  </si>
  <si>
    <t>Playoffs</t>
  </si>
  <si>
    <t>Wins vs Playoff Teams</t>
  </si>
  <si>
    <t>Losses vs Playoff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</si>
</sst>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m/d;@"/>
    <numFmt numFmtId="167" formatCode=".000"/>
  </numFmts>
  <fonts count="11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theme="0" tint="-0.34998626667073579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name val="Tahoma"/>
      <family val="2"/>
    </font>
    <font>
      <b/>
      <sz val="8"/>
      <color theme="0" tint="-0.24997711111789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4" fillId="0" borderId="0" xfId="0" applyNumberFormat="1" applyFont="1" applyFill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tandings?category=league&amp;season=2008-REG&amp;split=Over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999"/>
  <sheetViews>
    <sheetView tabSelected="1" zoomScaleNormal="100" workbookViewId="0">
      <pane ySplit="1" topLeftCell="A2" activePane="bottomLeft" state="frozen"/>
      <selection activeCell="M39" sqref="M39"/>
      <selection pane="bottomLeft" activeCell="B7" sqref="B7"/>
    </sheetView>
  </sheetViews>
  <sheetFormatPr defaultRowHeight="10.5" x14ac:dyDescent="0.15"/>
  <cols>
    <col min="1" max="1" width="9.33203125" style="19"/>
    <col min="2" max="2" width="26.1640625" style="19" customWidth="1"/>
    <col min="3" max="3" width="11.6640625" style="19" customWidth="1"/>
    <col min="4" max="8" width="9.83203125" style="19" customWidth="1"/>
    <col min="9" max="9" width="9.33203125" style="20" customWidth="1"/>
    <col min="10" max="12" width="9.33203125" style="19" customWidth="1"/>
    <col min="13" max="13" width="18.5" style="19" customWidth="1"/>
    <col min="14" max="23" width="12.83203125" style="19" hidden="1" customWidth="1"/>
    <col min="24" max="43" width="11.5" style="19" customWidth="1"/>
    <col min="44" max="44" width="11.83203125" style="19" bestFit="1" customWidth="1"/>
    <col min="45" max="45" width="35.83203125" style="19" customWidth="1"/>
    <col min="46" max="16384" width="9.33203125" style="19"/>
  </cols>
  <sheetData>
    <row r="1" spans="1:45" s="5" customFormat="1" ht="36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28</v>
      </c>
      <c r="AE1" s="3" t="s">
        <v>28</v>
      </c>
      <c r="AF1" s="3" t="s">
        <v>28</v>
      </c>
      <c r="AG1" s="3" t="s">
        <v>28</v>
      </c>
      <c r="AH1" s="3" t="s">
        <v>28</v>
      </c>
      <c r="AI1" s="3" t="s">
        <v>28</v>
      </c>
      <c r="AJ1" s="3" t="s">
        <v>28</v>
      </c>
      <c r="AK1" s="3" t="s">
        <v>28</v>
      </c>
      <c r="AL1" s="3" t="s">
        <v>28</v>
      </c>
      <c r="AM1" s="3" t="s">
        <v>28</v>
      </c>
      <c r="AN1" s="3" t="s">
        <v>28</v>
      </c>
      <c r="AO1" s="3" t="s">
        <v>28</v>
      </c>
      <c r="AP1" s="3" t="s">
        <v>28</v>
      </c>
      <c r="AQ1" s="3" t="s">
        <v>28</v>
      </c>
      <c r="AR1" s="3" t="s">
        <v>8</v>
      </c>
    </row>
    <row r="2" spans="1:45" s="5" customFormat="1" x14ac:dyDescent="0.15">
      <c r="A2" s="5">
        <v>1</v>
      </c>
      <c r="B2" s="5" t="s">
        <v>29</v>
      </c>
      <c r="C2" s="5" t="s">
        <v>30</v>
      </c>
      <c r="D2" s="6">
        <v>1</v>
      </c>
      <c r="E2" s="6">
        <v>1</v>
      </c>
      <c r="F2" s="6">
        <v>1</v>
      </c>
      <c r="G2" s="6">
        <v>2</v>
      </c>
      <c r="H2" s="6">
        <v>1</v>
      </c>
      <c r="I2" s="7">
        <v>1.2</v>
      </c>
      <c r="J2" s="5">
        <v>1</v>
      </c>
      <c r="K2" s="5">
        <v>2</v>
      </c>
      <c r="L2" s="5">
        <v>1</v>
      </c>
      <c r="M2" s="5" t="s">
        <v>31</v>
      </c>
      <c r="N2" s="5">
        <v>1</v>
      </c>
      <c r="O2" s="5">
        <v>1</v>
      </c>
      <c r="P2" s="5">
        <v>1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8">
        <v>5</v>
      </c>
      <c r="Y2" s="5">
        <v>4</v>
      </c>
      <c r="Z2" s="5">
        <v>2</v>
      </c>
      <c r="AA2" s="5">
        <v>1</v>
      </c>
      <c r="AB2" s="5">
        <v>1</v>
      </c>
      <c r="AR2" s="9">
        <v>2.6</v>
      </c>
      <c r="AS2" s="5" t="s">
        <v>29</v>
      </c>
    </row>
    <row r="3" spans="1:45" s="5" customFormat="1" x14ac:dyDescent="0.15">
      <c r="A3" s="5">
        <v>2</v>
      </c>
      <c r="B3" s="5" t="s">
        <v>32</v>
      </c>
      <c r="C3" s="5" t="s">
        <v>33</v>
      </c>
      <c r="D3" s="6">
        <v>2</v>
      </c>
      <c r="E3" s="6">
        <v>2</v>
      </c>
      <c r="F3" s="6">
        <v>2</v>
      </c>
      <c r="G3" s="6">
        <v>1</v>
      </c>
      <c r="H3" s="6">
        <v>2</v>
      </c>
      <c r="I3" s="7">
        <v>1.8</v>
      </c>
      <c r="J3" s="5">
        <v>1</v>
      </c>
      <c r="K3" s="5">
        <v>2</v>
      </c>
      <c r="L3" s="5">
        <v>1</v>
      </c>
      <c r="M3" s="5" t="s">
        <v>34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1</v>
      </c>
      <c r="U3" s="5">
        <v>1</v>
      </c>
      <c r="V3" s="5">
        <v>0</v>
      </c>
      <c r="W3" s="5">
        <v>1</v>
      </c>
      <c r="X3" s="8">
        <v>10</v>
      </c>
      <c r="Y3" s="5">
        <v>6</v>
      </c>
      <c r="Z3" s="5">
        <v>3</v>
      </c>
      <c r="AA3" s="5">
        <v>2</v>
      </c>
      <c r="AB3" s="5">
        <v>2</v>
      </c>
      <c r="AR3" s="9">
        <v>4.5999999999999996</v>
      </c>
      <c r="AS3" s="5" t="s">
        <v>32</v>
      </c>
    </row>
    <row r="4" spans="1:45" s="5" customFormat="1" x14ac:dyDescent="0.15">
      <c r="A4" s="5">
        <v>3</v>
      </c>
      <c r="B4" s="5" t="s">
        <v>35</v>
      </c>
      <c r="C4" s="5" t="s">
        <v>36</v>
      </c>
      <c r="D4" s="6">
        <v>3</v>
      </c>
      <c r="E4" s="6">
        <v>3</v>
      </c>
      <c r="F4" s="6">
        <v>5</v>
      </c>
      <c r="G4" s="6">
        <v>4</v>
      </c>
      <c r="H4" s="6">
        <v>3</v>
      </c>
      <c r="I4" s="7">
        <v>3.6</v>
      </c>
      <c r="J4" s="5">
        <v>3</v>
      </c>
      <c r="K4" s="5">
        <v>5</v>
      </c>
      <c r="L4" s="5">
        <v>2</v>
      </c>
      <c r="M4" s="5" t="s">
        <v>37</v>
      </c>
      <c r="N4" s="5">
        <v>1</v>
      </c>
      <c r="O4" s="5">
        <v>1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8">
        <v>6</v>
      </c>
      <c r="Y4" s="5">
        <v>3</v>
      </c>
      <c r="Z4" s="5">
        <v>6</v>
      </c>
      <c r="AA4" s="5">
        <v>3</v>
      </c>
      <c r="AB4" s="5">
        <v>3</v>
      </c>
      <c r="AR4" s="9">
        <v>4.2</v>
      </c>
      <c r="AS4" s="5" t="s">
        <v>35</v>
      </c>
    </row>
    <row r="5" spans="1:45" s="5" customFormat="1" x14ac:dyDescent="0.15">
      <c r="A5" s="5">
        <v>4</v>
      </c>
      <c r="B5" s="5" t="s">
        <v>38</v>
      </c>
      <c r="C5" s="5" t="s">
        <v>39</v>
      </c>
      <c r="D5" s="6">
        <v>4</v>
      </c>
      <c r="E5" s="6">
        <v>4</v>
      </c>
      <c r="F5" s="6">
        <v>3</v>
      </c>
      <c r="G5" s="6">
        <v>3</v>
      </c>
      <c r="H5" s="6">
        <v>5</v>
      </c>
      <c r="I5" s="7">
        <v>3.8</v>
      </c>
      <c r="J5" s="5">
        <v>3</v>
      </c>
      <c r="K5" s="5">
        <v>5</v>
      </c>
      <c r="L5" s="5">
        <v>2</v>
      </c>
      <c r="M5" s="5" t="s">
        <v>40</v>
      </c>
      <c r="N5" s="5">
        <v>0</v>
      </c>
      <c r="O5" s="5">
        <v>0</v>
      </c>
      <c r="P5" s="5">
        <v>1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8">
        <v>4</v>
      </c>
      <c r="Y5" s="5">
        <v>2</v>
      </c>
      <c r="Z5" s="5">
        <v>1</v>
      </c>
      <c r="AA5" s="5">
        <v>4</v>
      </c>
      <c r="AB5" s="5">
        <v>4</v>
      </c>
      <c r="AR5" s="9">
        <v>3</v>
      </c>
      <c r="AS5" s="5" t="s">
        <v>38</v>
      </c>
    </row>
    <row r="6" spans="1:45" s="5" customFormat="1" x14ac:dyDescent="0.15">
      <c r="A6" s="5">
        <v>5</v>
      </c>
      <c r="B6" s="5" t="s">
        <v>41</v>
      </c>
      <c r="C6" s="5" t="s">
        <v>42</v>
      </c>
      <c r="D6" s="6">
        <v>5</v>
      </c>
      <c r="E6" s="6">
        <v>5</v>
      </c>
      <c r="F6" s="6">
        <v>8</v>
      </c>
      <c r="G6" s="6">
        <v>5</v>
      </c>
      <c r="H6" s="6">
        <v>4</v>
      </c>
      <c r="I6" s="7">
        <v>5.4</v>
      </c>
      <c r="J6" s="5">
        <v>4</v>
      </c>
      <c r="K6" s="5">
        <v>8</v>
      </c>
      <c r="L6" s="5">
        <v>4</v>
      </c>
      <c r="M6" s="5" t="s">
        <v>40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8">
        <v>23</v>
      </c>
      <c r="Y6" s="5">
        <v>20</v>
      </c>
      <c r="Z6" s="5">
        <v>14</v>
      </c>
      <c r="AA6" s="5">
        <v>5</v>
      </c>
      <c r="AB6" s="5">
        <v>5</v>
      </c>
      <c r="AR6" s="9">
        <v>13.4</v>
      </c>
      <c r="AS6" s="5" t="s">
        <v>41</v>
      </c>
    </row>
    <row r="7" spans="1:45" s="5" customFormat="1" x14ac:dyDescent="0.15">
      <c r="A7" s="5">
        <v>6</v>
      </c>
      <c r="B7" s="5" t="s">
        <v>43</v>
      </c>
      <c r="C7" s="5" t="s">
        <v>44</v>
      </c>
      <c r="D7" s="6">
        <v>6</v>
      </c>
      <c r="E7" s="6">
        <v>6</v>
      </c>
      <c r="F7" s="6">
        <v>7</v>
      </c>
      <c r="G7" s="6">
        <v>10</v>
      </c>
      <c r="H7" s="6">
        <v>6</v>
      </c>
      <c r="I7" s="7">
        <v>7</v>
      </c>
      <c r="J7" s="5">
        <v>6</v>
      </c>
      <c r="K7" s="5">
        <v>10</v>
      </c>
      <c r="L7" s="5">
        <v>4</v>
      </c>
      <c r="M7" s="5" t="s">
        <v>45</v>
      </c>
      <c r="N7" s="5">
        <v>1</v>
      </c>
      <c r="O7" s="5">
        <v>1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8">
        <v>2</v>
      </c>
      <c r="Y7" s="5">
        <v>1</v>
      </c>
      <c r="Z7" s="5">
        <v>5</v>
      </c>
      <c r="AA7" s="5">
        <v>8</v>
      </c>
      <c r="AB7" s="5">
        <v>6</v>
      </c>
      <c r="AR7" s="9">
        <v>4.4000000000000004</v>
      </c>
      <c r="AS7" s="5" t="s">
        <v>43</v>
      </c>
    </row>
    <row r="8" spans="1:45" s="5" customFormat="1" x14ac:dyDescent="0.15">
      <c r="A8" s="5">
        <v>7</v>
      </c>
      <c r="B8" s="5" t="s">
        <v>46</v>
      </c>
      <c r="C8" s="5" t="s">
        <v>47</v>
      </c>
      <c r="D8" s="6">
        <v>8</v>
      </c>
      <c r="E8" s="6">
        <v>8</v>
      </c>
      <c r="F8" s="6">
        <v>9</v>
      </c>
      <c r="G8" s="6">
        <v>6</v>
      </c>
      <c r="H8" s="6">
        <v>7</v>
      </c>
      <c r="I8" s="7">
        <v>7.6</v>
      </c>
      <c r="J8" s="5">
        <v>6</v>
      </c>
      <c r="K8" s="5">
        <v>9</v>
      </c>
      <c r="L8" s="5">
        <v>3</v>
      </c>
      <c r="M8" s="5" t="s">
        <v>48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8">
        <v>7</v>
      </c>
      <c r="Y8" s="5">
        <v>12</v>
      </c>
      <c r="Z8" s="5">
        <v>7</v>
      </c>
      <c r="AA8" s="5">
        <v>9</v>
      </c>
      <c r="AB8" s="5">
        <v>7</v>
      </c>
      <c r="AR8" s="9">
        <v>8.4</v>
      </c>
      <c r="AS8" s="5" t="s">
        <v>46</v>
      </c>
    </row>
    <row r="9" spans="1:45" s="5" customFormat="1" x14ac:dyDescent="0.15">
      <c r="A9" s="5">
        <v>8</v>
      </c>
      <c r="B9" s="5" t="s">
        <v>49</v>
      </c>
      <c r="C9" s="5" t="s">
        <v>50</v>
      </c>
      <c r="D9" s="6">
        <v>7</v>
      </c>
      <c r="E9" s="6">
        <v>12</v>
      </c>
      <c r="F9" s="6">
        <v>4</v>
      </c>
      <c r="G9" s="6">
        <v>7</v>
      </c>
      <c r="H9" s="6">
        <v>8</v>
      </c>
      <c r="I9" s="7">
        <v>7.6</v>
      </c>
      <c r="J9" s="5">
        <v>4</v>
      </c>
      <c r="K9" s="5">
        <v>12</v>
      </c>
      <c r="L9" s="5">
        <v>8</v>
      </c>
      <c r="M9" s="5" t="s">
        <v>51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8">
        <v>1</v>
      </c>
      <c r="Y9" s="5">
        <v>5</v>
      </c>
      <c r="Z9" s="5">
        <v>4</v>
      </c>
      <c r="AA9" s="5">
        <v>7</v>
      </c>
      <c r="AB9" s="5">
        <v>8</v>
      </c>
      <c r="AR9" s="9">
        <v>5</v>
      </c>
      <c r="AS9" s="5" t="s">
        <v>49</v>
      </c>
    </row>
    <row r="10" spans="1:45" s="5" customFormat="1" x14ac:dyDescent="0.15">
      <c r="A10" s="5">
        <v>9</v>
      </c>
      <c r="B10" s="5" t="s">
        <v>52</v>
      </c>
      <c r="C10" s="5" t="s">
        <v>53</v>
      </c>
      <c r="D10" s="6">
        <v>9</v>
      </c>
      <c r="E10" s="6">
        <v>14</v>
      </c>
      <c r="F10" s="6">
        <v>10</v>
      </c>
      <c r="G10" s="6">
        <v>8</v>
      </c>
      <c r="H10" s="6">
        <v>9</v>
      </c>
      <c r="I10" s="7">
        <v>10</v>
      </c>
      <c r="J10" s="5">
        <v>8</v>
      </c>
      <c r="K10" s="5">
        <v>14</v>
      </c>
      <c r="L10" s="5">
        <v>6</v>
      </c>
      <c r="M10" s="5" t="s">
        <v>51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8">
        <v>9</v>
      </c>
      <c r="Y10" s="5">
        <v>8</v>
      </c>
      <c r="Z10" s="5">
        <v>12</v>
      </c>
      <c r="AA10" s="5">
        <v>11</v>
      </c>
      <c r="AB10" s="5">
        <v>9</v>
      </c>
      <c r="AR10" s="9">
        <v>9.8000000000000007</v>
      </c>
      <c r="AS10" s="5" t="s">
        <v>52</v>
      </c>
    </row>
    <row r="11" spans="1:45" s="5" customFormat="1" x14ac:dyDescent="0.15">
      <c r="A11" s="5">
        <v>10</v>
      </c>
      <c r="B11" s="5" t="s">
        <v>54</v>
      </c>
      <c r="C11" s="5" t="s">
        <v>55</v>
      </c>
      <c r="D11" s="6">
        <v>10</v>
      </c>
      <c r="E11" s="6">
        <v>15</v>
      </c>
      <c r="F11" s="6">
        <v>6</v>
      </c>
      <c r="G11" s="6">
        <v>9</v>
      </c>
      <c r="H11" s="6">
        <v>12</v>
      </c>
      <c r="I11" s="7">
        <v>10.4</v>
      </c>
      <c r="J11" s="5">
        <v>6</v>
      </c>
      <c r="K11" s="5">
        <v>15</v>
      </c>
      <c r="L11" s="5">
        <v>9</v>
      </c>
      <c r="M11" s="5" t="s">
        <v>48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8">
        <v>3</v>
      </c>
      <c r="Y11" s="5">
        <v>7</v>
      </c>
      <c r="Z11" s="5">
        <v>8</v>
      </c>
      <c r="AA11" s="5">
        <v>6</v>
      </c>
      <c r="AB11" s="5">
        <v>10</v>
      </c>
      <c r="AR11" s="9">
        <v>6.8</v>
      </c>
      <c r="AS11" s="5" t="s">
        <v>54</v>
      </c>
    </row>
    <row r="12" spans="1:45" s="5" customFormat="1" x14ac:dyDescent="0.15">
      <c r="A12" s="5">
        <v>11</v>
      </c>
      <c r="B12" s="5" t="s">
        <v>56</v>
      </c>
      <c r="C12" s="5" t="s">
        <v>57</v>
      </c>
      <c r="D12" s="6">
        <v>14</v>
      </c>
      <c r="E12" s="6">
        <v>10</v>
      </c>
      <c r="F12" s="6">
        <v>15</v>
      </c>
      <c r="G12" s="6">
        <v>11</v>
      </c>
      <c r="H12" s="6">
        <v>10</v>
      </c>
      <c r="I12" s="7">
        <v>12</v>
      </c>
      <c r="J12" s="5">
        <v>10</v>
      </c>
      <c r="K12" s="5">
        <v>15</v>
      </c>
      <c r="L12" s="5">
        <v>5</v>
      </c>
      <c r="M12" s="5" t="s">
        <v>58</v>
      </c>
      <c r="N12" s="5">
        <v>0</v>
      </c>
      <c r="O12" s="5">
        <v>1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8">
        <v>15</v>
      </c>
      <c r="Y12" s="5">
        <v>14</v>
      </c>
      <c r="Z12" s="5">
        <v>11</v>
      </c>
      <c r="AA12" s="5">
        <v>13</v>
      </c>
      <c r="AB12" s="5">
        <v>11</v>
      </c>
      <c r="AR12" s="9">
        <v>12.8</v>
      </c>
      <c r="AS12" s="5" t="s">
        <v>56</v>
      </c>
    </row>
    <row r="13" spans="1:45" s="5" customFormat="1" x14ac:dyDescent="0.15">
      <c r="A13" s="5">
        <v>12</v>
      </c>
      <c r="B13" s="5" t="s">
        <v>59</v>
      </c>
      <c r="C13" s="5" t="s">
        <v>60</v>
      </c>
      <c r="D13" s="6">
        <v>12</v>
      </c>
      <c r="E13" s="6">
        <v>9</v>
      </c>
      <c r="F13" s="6">
        <v>14</v>
      </c>
      <c r="G13" s="6">
        <v>12</v>
      </c>
      <c r="H13" s="6">
        <v>13</v>
      </c>
      <c r="I13" s="7">
        <v>12</v>
      </c>
      <c r="J13" s="5">
        <v>9</v>
      </c>
      <c r="K13" s="5">
        <v>14</v>
      </c>
      <c r="L13" s="5">
        <v>5</v>
      </c>
      <c r="M13" s="5" t="s">
        <v>37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8">
        <v>16</v>
      </c>
      <c r="Y13" s="5">
        <v>18</v>
      </c>
      <c r="Z13" s="5">
        <v>16</v>
      </c>
      <c r="AA13" s="5">
        <v>15</v>
      </c>
      <c r="AB13" s="5">
        <v>12</v>
      </c>
      <c r="AR13" s="9">
        <v>15.4</v>
      </c>
      <c r="AS13" s="5" t="s">
        <v>59</v>
      </c>
    </row>
    <row r="14" spans="1:45" s="5" customFormat="1" x14ac:dyDescent="0.15">
      <c r="A14" s="5">
        <v>13</v>
      </c>
      <c r="B14" s="5" t="s">
        <v>61</v>
      </c>
      <c r="C14" s="5" t="s">
        <v>62</v>
      </c>
      <c r="D14" s="6">
        <v>11</v>
      </c>
      <c r="E14" s="6">
        <v>16</v>
      </c>
      <c r="F14" s="6">
        <v>11</v>
      </c>
      <c r="G14" s="6">
        <v>14</v>
      </c>
      <c r="H14" s="6">
        <v>14</v>
      </c>
      <c r="I14" s="7">
        <v>13.2</v>
      </c>
      <c r="J14" s="5">
        <v>11</v>
      </c>
      <c r="K14" s="5">
        <v>16</v>
      </c>
      <c r="L14" s="5">
        <v>5</v>
      </c>
      <c r="M14" s="5" t="s">
        <v>58</v>
      </c>
      <c r="N14" s="5">
        <v>1</v>
      </c>
      <c r="O14" s="5">
        <v>0</v>
      </c>
      <c r="P14" s="5">
        <v>1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8">
        <v>13</v>
      </c>
      <c r="Y14" s="5">
        <v>9</v>
      </c>
      <c r="Z14" s="5">
        <v>10</v>
      </c>
      <c r="AA14" s="5">
        <v>14</v>
      </c>
      <c r="AB14" s="5">
        <v>13</v>
      </c>
      <c r="AR14" s="9">
        <v>11.8</v>
      </c>
      <c r="AS14" s="5" t="s">
        <v>61</v>
      </c>
    </row>
    <row r="15" spans="1:45" s="5" customFormat="1" x14ac:dyDescent="0.15">
      <c r="A15" s="5">
        <v>14</v>
      </c>
      <c r="B15" s="5" t="s">
        <v>63</v>
      </c>
      <c r="C15" s="5" t="s">
        <v>64</v>
      </c>
      <c r="D15" s="6">
        <v>13</v>
      </c>
      <c r="E15" s="6">
        <v>7</v>
      </c>
      <c r="F15" s="6">
        <v>19</v>
      </c>
      <c r="G15" s="6">
        <v>13</v>
      </c>
      <c r="H15" s="6">
        <v>17</v>
      </c>
      <c r="I15" s="7">
        <v>13.8</v>
      </c>
      <c r="J15" s="5">
        <v>7</v>
      </c>
      <c r="K15" s="5">
        <v>19</v>
      </c>
      <c r="L15" s="5">
        <v>12</v>
      </c>
      <c r="M15" s="5" t="s">
        <v>51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8">
        <v>30</v>
      </c>
      <c r="Y15" s="5">
        <v>28</v>
      </c>
      <c r="Z15" s="5">
        <v>29</v>
      </c>
      <c r="AA15" s="5">
        <v>21</v>
      </c>
      <c r="AB15" s="5">
        <v>14</v>
      </c>
      <c r="AR15" s="9">
        <v>24.4</v>
      </c>
      <c r="AS15" s="5" t="s">
        <v>63</v>
      </c>
    </row>
    <row r="16" spans="1:45" s="5" customFormat="1" x14ac:dyDescent="0.15">
      <c r="A16" s="5">
        <v>15</v>
      </c>
      <c r="B16" s="5" t="s">
        <v>65</v>
      </c>
      <c r="C16" s="5" t="s">
        <v>66</v>
      </c>
      <c r="D16" s="6">
        <v>18</v>
      </c>
      <c r="E16" s="6">
        <v>13</v>
      </c>
      <c r="F16" s="6">
        <v>13</v>
      </c>
      <c r="G16" s="6">
        <v>15</v>
      </c>
      <c r="H16" s="6">
        <v>11</v>
      </c>
      <c r="I16" s="7">
        <v>14</v>
      </c>
      <c r="J16" s="5">
        <v>11</v>
      </c>
      <c r="K16" s="5">
        <v>18</v>
      </c>
      <c r="L16" s="5">
        <v>7</v>
      </c>
      <c r="M16" s="5" t="s">
        <v>48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8">
        <v>14</v>
      </c>
      <c r="Y16" s="5">
        <v>10</v>
      </c>
      <c r="Z16" s="5">
        <v>15</v>
      </c>
      <c r="AA16" s="5">
        <v>12</v>
      </c>
      <c r="AB16" s="5">
        <v>15</v>
      </c>
      <c r="AR16" s="9">
        <v>13.2</v>
      </c>
      <c r="AS16" s="5" t="s">
        <v>65</v>
      </c>
    </row>
    <row r="17" spans="1:45" s="5" customFormat="1" x14ac:dyDescent="0.15">
      <c r="A17" s="5">
        <v>16</v>
      </c>
      <c r="B17" s="5" t="s">
        <v>67</v>
      </c>
      <c r="C17" s="5" t="s">
        <v>68</v>
      </c>
      <c r="D17" s="6">
        <v>16</v>
      </c>
      <c r="E17" s="6">
        <v>17</v>
      </c>
      <c r="F17" s="6">
        <v>12</v>
      </c>
      <c r="G17" s="6">
        <v>16</v>
      </c>
      <c r="H17" s="6">
        <v>16</v>
      </c>
      <c r="I17" s="7">
        <v>15.4</v>
      </c>
      <c r="J17" s="5">
        <v>12</v>
      </c>
      <c r="K17" s="5">
        <v>17</v>
      </c>
      <c r="L17" s="5">
        <v>5</v>
      </c>
      <c r="M17" s="5" t="s">
        <v>37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8">
        <v>8</v>
      </c>
      <c r="Y17" s="5">
        <v>11</v>
      </c>
      <c r="Z17" s="5">
        <v>9</v>
      </c>
      <c r="AA17" s="5">
        <v>16</v>
      </c>
      <c r="AB17" s="5">
        <v>16</v>
      </c>
      <c r="AR17" s="9">
        <v>12</v>
      </c>
      <c r="AS17" s="5" t="s">
        <v>67</v>
      </c>
    </row>
    <row r="18" spans="1:45" s="5" customFormat="1" x14ac:dyDescent="0.15">
      <c r="A18" s="5">
        <v>17</v>
      </c>
      <c r="B18" s="5" t="s">
        <v>69</v>
      </c>
      <c r="C18" s="5" t="s">
        <v>70</v>
      </c>
      <c r="D18" s="6">
        <v>15</v>
      </c>
      <c r="E18" s="6">
        <v>11</v>
      </c>
      <c r="F18" s="6">
        <v>18</v>
      </c>
      <c r="G18" s="6">
        <v>18</v>
      </c>
      <c r="H18" s="6">
        <v>20</v>
      </c>
      <c r="I18" s="7">
        <v>16.399999999999999</v>
      </c>
      <c r="J18" s="5">
        <v>11</v>
      </c>
      <c r="K18" s="5">
        <v>20</v>
      </c>
      <c r="L18" s="5">
        <v>9</v>
      </c>
      <c r="M18" s="5" t="s">
        <v>40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8">
        <v>20</v>
      </c>
      <c r="Y18" s="5">
        <v>26</v>
      </c>
      <c r="Z18" s="5">
        <v>17</v>
      </c>
      <c r="AA18" s="5">
        <v>10</v>
      </c>
      <c r="AB18" s="5">
        <v>17</v>
      </c>
      <c r="AR18" s="9">
        <v>18</v>
      </c>
      <c r="AS18" s="5" t="s">
        <v>69</v>
      </c>
    </row>
    <row r="19" spans="1:45" s="5" customFormat="1" x14ac:dyDescent="0.15">
      <c r="A19" s="5">
        <v>18</v>
      </c>
      <c r="B19" s="5" t="s">
        <v>71</v>
      </c>
      <c r="C19" s="5" t="s">
        <v>72</v>
      </c>
      <c r="D19" s="6">
        <v>19</v>
      </c>
      <c r="E19" s="6">
        <v>23</v>
      </c>
      <c r="F19" s="6">
        <v>17</v>
      </c>
      <c r="G19" s="6">
        <v>19</v>
      </c>
      <c r="H19" s="6">
        <v>15</v>
      </c>
      <c r="I19" s="7">
        <v>18.600000000000001</v>
      </c>
      <c r="J19" s="5">
        <v>15</v>
      </c>
      <c r="K19" s="5">
        <v>23</v>
      </c>
      <c r="L19" s="5">
        <v>8</v>
      </c>
      <c r="M19" s="5" t="s">
        <v>48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8">
        <v>24</v>
      </c>
      <c r="Y19" s="5">
        <v>15</v>
      </c>
      <c r="Z19" s="5">
        <v>20</v>
      </c>
      <c r="AA19" s="5">
        <v>22</v>
      </c>
      <c r="AB19" s="5">
        <v>18</v>
      </c>
      <c r="AR19" s="9">
        <v>19.8</v>
      </c>
      <c r="AS19" s="5" t="s">
        <v>71</v>
      </c>
    </row>
    <row r="20" spans="1:45" s="5" customFormat="1" x14ac:dyDescent="0.15">
      <c r="A20" s="5">
        <v>19</v>
      </c>
      <c r="B20" s="5" t="s">
        <v>73</v>
      </c>
      <c r="C20" s="5" t="s">
        <v>74</v>
      </c>
      <c r="D20" s="6">
        <v>17</v>
      </c>
      <c r="E20" s="6">
        <v>22</v>
      </c>
      <c r="F20" s="6">
        <v>21</v>
      </c>
      <c r="G20" s="6">
        <v>17</v>
      </c>
      <c r="H20" s="6">
        <v>19</v>
      </c>
      <c r="I20" s="7">
        <v>19.2</v>
      </c>
      <c r="J20" s="5">
        <v>17</v>
      </c>
      <c r="K20" s="5">
        <v>22</v>
      </c>
      <c r="L20" s="5">
        <v>5</v>
      </c>
      <c r="M20" s="5" t="s">
        <v>40</v>
      </c>
      <c r="N20" s="5">
        <v>1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8">
        <v>28</v>
      </c>
      <c r="Y20" s="5">
        <v>27</v>
      </c>
      <c r="Z20" s="5">
        <v>23</v>
      </c>
      <c r="AA20" s="5">
        <v>25</v>
      </c>
      <c r="AB20" s="5">
        <v>19</v>
      </c>
      <c r="AR20" s="9">
        <v>24.4</v>
      </c>
      <c r="AS20" s="5" t="s">
        <v>73</v>
      </c>
    </row>
    <row r="21" spans="1:45" s="5" customFormat="1" x14ac:dyDescent="0.15">
      <c r="A21" s="5">
        <v>20</v>
      </c>
      <c r="B21" s="5" t="s">
        <v>75</v>
      </c>
      <c r="C21" s="5" t="s">
        <v>76</v>
      </c>
      <c r="D21" s="6">
        <v>20</v>
      </c>
      <c r="E21" s="6">
        <v>18</v>
      </c>
      <c r="F21" s="6">
        <v>16</v>
      </c>
      <c r="G21" s="6">
        <v>25</v>
      </c>
      <c r="H21" s="6">
        <v>23</v>
      </c>
      <c r="I21" s="7">
        <v>20.399999999999999</v>
      </c>
      <c r="J21" s="5">
        <v>16</v>
      </c>
      <c r="K21" s="5">
        <v>25</v>
      </c>
      <c r="L21" s="5">
        <v>9</v>
      </c>
      <c r="M21" s="5" t="s">
        <v>51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8">
        <v>12</v>
      </c>
      <c r="Y21" s="5">
        <v>13</v>
      </c>
      <c r="Z21" s="5">
        <v>13</v>
      </c>
      <c r="AA21" s="5">
        <v>18</v>
      </c>
      <c r="AB21" s="5">
        <v>20</v>
      </c>
      <c r="AR21" s="9">
        <v>15.2</v>
      </c>
      <c r="AS21" s="5" t="s">
        <v>75</v>
      </c>
    </row>
    <row r="22" spans="1:45" s="5" customFormat="1" x14ac:dyDescent="0.15">
      <c r="A22" s="5">
        <v>21</v>
      </c>
      <c r="B22" s="5" t="s">
        <v>77</v>
      </c>
      <c r="C22" s="5" t="s">
        <v>78</v>
      </c>
      <c r="D22" s="6">
        <v>24</v>
      </c>
      <c r="E22" s="6">
        <v>21</v>
      </c>
      <c r="F22" s="6">
        <v>24</v>
      </c>
      <c r="G22" s="6">
        <v>22</v>
      </c>
      <c r="H22" s="6">
        <v>18</v>
      </c>
      <c r="I22" s="7">
        <v>21.8</v>
      </c>
      <c r="J22" s="5">
        <v>18</v>
      </c>
      <c r="K22" s="5">
        <v>24</v>
      </c>
      <c r="L22" s="5">
        <v>6</v>
      </c>
      <c r="M22" s="5" t="s">
        <v>45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0</v>
      </c>
      <c r="U22" s="5">
        <v>1</v>
      </c>
      <c r="V22" s="5">
        <v>0</v>
      </c>
      <c r="W22" s="5">
        <v>0</v>
      </c>
      <c r="X22" s="8">
        <v>19</v>
      </c>
      <c r="Y22" s="5">
        <v>24</v>
      </c>
      <c r="Z22" s="5">
        <v>22</v>
      </c>
      <c r="AA22" s="5">
        <v>19</v>
      </c>
      <c r="AB22" s="5">
        <v>21</v>
      </c>
      <c r="AR22" s="9">
        <v>21</v>
      </c>
      <c r="AS22" s="5" t="s">
        <v>77</v>
      </c>
    </row>
    <row r="23" spans="1:45" s="5" customFormat="1" x14ac:dyDescent="0.15">
      <c r="A23" s="5">
        <v>22</v>
      </c>
      <c r="B23" s="5" t="s">
        <v>79</v>
      </c>
      <c r="C23" s="5" t="s">
        <v>80</v>
      </c>
      <c r="D23" s="6">
        <v>21</v>
      </c>
      <c r="E23" s="6">
        <v>19</v>
      </c>
      <c r="F23" s="6">
        <v>23</v>
      </c>
      <c r="G23" s="6">
        <v>20</v>
      </c>
      <c r="H23" s="6">
        <v>27</v>
      </c>
      <c r="I23" s="7">
        <v>22</v>
      </c>
      <c r="J23" s="5">
        <v>19</v>
      </c>
      <c r="K23" s="5">
        <v>27</v>
      </c>
      <c r="L23" s="5">
        <v>8</v>
      </c>
      <c r="M23" s="5" t="s">
        <v>34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8">
        <v>25</v>
      </c>
      <c r="Y23" s="5">
        <v>21</v>
      </c>
      <c r="Z23" s="5">
        <v>21</v>
      </c>
      <c r="AA23" s="5">
        <v>20</v>
      </c>
      <c r="AB23" s="5">
        <v>22</v>
      </c>
      <c r="AR23" s="9">
        <v>21.8</v>
      </c>
      <c r="AS23" s="5" t="s">
        <v>79</v>
      </c>
    </row>
    <row r="24" spans="1:45" s="5" customFormat="1" x14ac:dyDescent="0.15">
      <c r="A24" s="5">
        <v>23</v>
      </c>
      <c r="B24" s="5" t="s">
        <v>81</v>
      </c>
      <c r="C24" s="5" t="s">
        <v>82</v>
      </c>
      <c r="D24" s="6">
        <v>22</v>
      </c>
      <c r="E24" s="6">
        <v>24</v>
      </c>
      <c r="F24" s="6">
        <v>22</v>
      </c>
      <c r="G24" s="6">
        <v>21</v>
      </c>
      <c r="H24" s="6">
        <v>22</v>
      </c>
      <c r="I24" s="7">
        <v>22.2</v>
      </c>
      <c r="J24" s="5">
        <v>21</v>
      </c>
      <c r="K24" s="5">
        <v>24</v>
      </c>
      <c r="L24" s="5">
        <v>3</v>
      </c>
      <c r="M24" s="5" t="s">
        <v>45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8">
        <v>21</v>
      </c>
      <c r="Y24" s="5">
        <v>17</v>
      </c>
      <c r="Z24" s="5">
        <v>18</v>
      </c>
      <c r="AA24" s="5">
        <v>17</v>
      </c>
      <c r="AB24" s="5">
        <v>23</v>
      </c>
      <c r="AR24" s="9">
        <v>19.2</v>
      </c>
      <c r="AS24" s="5" t="s">
        <v>81</v>
      </c>
    </row>
    <row r="25" spans="1:45" s="5" customFormat="1" x14ac:dyDescent="0.15">
      <c r="A25" s="5">
        <v>24</v>
      </c>
      <c r="B25" s="5" t="s">
        <v>83</v>
      </c>
      <c r="C25" s="5" t="s">
        <v>84</v>
      </c>
      <c r="D25" s="6">
        <v>25</v>
      </c>
      <c r="E25" s="6">
        <v>20</v>
      </c>
      <c r="F25" s="6">
        <v>25</v>
      </c>
      <c r="G25" s="6">
        <v>24</v>
      </c>
      <c r="H25" s="6">
        <v>21</v>
      </c>
      <c r="I25" s="7">
        <v>23</v>
      </c>
      <c r="J25" s="5">
        <v>20</v>
      </c>
      <c r="K25" s="5">
        <v>25</v>
      </c>
      <c r="L25" s="5">
        <v>5</v>
      </c>
      <c r="M25" s="5" t="s">
        <v>34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1</v>
      </c>
      <c r="V25" s="5">
        <v>0</v>
      </c>
      <c r="W25" s="5">
        <v>0</v>
      </c>
      <c r="X25" s="8">
        <v>22</v>
      </c>
      <c r="Y25" s="5">
        <v>23</v>
      </c>
      <c r="Z25" s="5">
        <v>19</v>
      </c>
      <c r="AA25" s="5">
        <v>23</v>
      </c>
      <c r="AB25" s="5">
        <v>24</v>
      </c>
      <c r="AR25" s="9">
        <v>22.2</v>
      </c>
      <c r="AS25" s="5" t="s">
        <v>83</v>
      </c>
    </row>
    <row r="26" spans="1:45" s="5" customFormat="1" x14ac:dyDescent="0.15">
      <c r="A26" s="5">
        <v>25</v>
      </c>
      <c r="B26" s="5" t="s">
        <v>85</v>
      </c>
      <c r="C26" s="5" t="s">
        <v>86</v>
      </c>
      <c r="D26" s="6">
        <v>26</v>
      </c>
      <c r="E26" s="6">
        <v>26</v>
      </c>
      <c r="F26" s="6">
        <v>27</v>
      </c>
      <c r="G26" s="6">
        <v>23</v>
      </c>
      <c r="H26" s="6">
        <v>26</v>
      </c>
      <c r="I26" s="7">
        <v>25.6</v>
      </c>
      <c r="J26" s="5">
        <v>23</v>
      </c>
      <c r="K26" s="5">
        <v>27</v>
      </c>
      <c r="L26" s="5">
        <v>4</v>
      </c>
      <c r="M26" s="5" t="s">
        <v>31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8">
        <v>18</v>
      </c>
      <c r="Y26" s="5">
        <v>22</v>
      </c>
      <c r="Z26" s="5">
        <v>26</v>
      </c>
      <c r="AA26" s="5">
        <v>24</v>
      </c>
      <c r="AB26" s="5">
        <v>25</v>
      </c>
      <c r="AR26" s="9">
        <v>23</v>
      </c>
      <c r="AS26" s="5" t="s">
        <v>85</v>
      </c>
    </row>
    <row r="27" spans="1:45" s="5" customFormat="1" x14ac:dyDescent="0.15">
      <c r="A27" s="5">
        <v>26</v>
      </c>
      <c r="B27" s="5" t="s">
        <v>87</v>
      </c>
      <c r="C27" s="5" t="s">
        <v>88</v>
      </c>
      <c r="D27" s="6">
        <v>23</v>
      </c>
      <c r="E27" s="6">
        <v>25</v>
      </c>
      <c r="F27" s="6">
        <v>28</v>
      </c>
      <c r="G27" s="6">
        <v>27</v>
      </c>
      <c r="H27" s="6">
        <v>28</v>
      </c>
      <c r="I27" s="7">
        <v>26.2</v>
      </c>
      <c r="J27" s="5">
        <v>23</v>
      </c>
      <c r="K27" s="5">
        <v>28</v>
      </c>
      <c r="L27" s="5">
        <v>5</v>
      </c>
      <c r="M27" s="5" t="s">
        <v>45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  <c r="X27" s="8">
        <v>27</v>
      </c>
      <c r="Y27" s="5">
        <v>30</v>
      </c>
      <c r="Z27" s="5">
        <v>25</v>
      </c>
      <c r="AA27" s="5">
        <v>29</v>
      </c>
      <c r="AB27" s="5">
        <v>26</v>
      </c>
      <c r="AR27" s="9">
        <v>27.4</v>
      </c>
      <c r="AS27" s="5" t="s">
        <v>87</v>
      </c>
    </row>
    <row r="28" spans="1:45" s="5" customFormat="1" x14ac:dyDescent="0.15">
      <c r="A28" s="5">
        <v>27</v>
      </c>
      <c r="B28" s="5" t="s">
        <v>89</v>
      </c>
      <c r="C28" s="5" t="s">
        <v>90</v>
      </c>
      <c r="D28" s="6">
        <v>27</v>
      </c>
      <c r="E28" s="6">
        <v>27</v>
      </c>
      <c r="F28" s="6">
        <v>26</v>
      </c>
      <c r="G28" s="6">
        <v>30</v>
      </c>
      <c r="H28" s="6">
        <v>24</v>
      </c>
      <c r="I28" s="7">
        <v>26.8</v>
      </c>
      <c r="J28" s="5">
        <v>24</v>
      </c>
      <c r="K28" s="5">
        <v>30</v>
      </c>
      <c r="L28" s="5">
        <v>6</v>
      </c>
      <c r="M28" s="5" t="s">
        <v>58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8">
        <v>17</v>
      </c>
      <c r="Y28" s="5">
        <v>19</v>
      </c>
      <c r="Z28" s="5">
        <v>28</v>
      </c>
      <c r="AA28" s="5">
        <v>26</v>
      </c>
      <c r="AB28" s="5">
        <v>27</v>
      </c>
      <c r="AR28" s="9">
        <v>23.4</v>
      </c>
      <c r="AS28" s="5" t="s">
        <v>89</v>
      </c>
    </row>
    <row r="29" spans="1:45" s="5" customFormat="1" x14ac:dyDescent="0.15">
      <c r="A29" s="5">
        <v>28</v>
      </c>
      <c r="B29" s="5" t="s">
        <v>91</v>
      </c>
      <c r="C29" s="5" t="s">
        <v>92</v>
      </c>
      <c r="D29" s="6">
        <v>28</v>
      </c>
      <c r="E29" s="6">
        <v>29</v>
      </c>
      <c r="F29" s="6">
        <v>20</v>
      </c>
      <c r="G29" s="6">
        <v>31</v>
      </c>
      <c r="H29" s="6">
        <v>30</v>
      </c>
      <c r="I29" s="7">
        <v>27.6</v>
      </c>
      <c r="J29" s="5">
        <v>20</v>
      </c>
      <c r="K29" s="5">
        <v>31</v>
      </c>
      <c r="L29" s="5">
        <v>11</v>
      </c>
      <c r="M29" s="5" t="s">
        <v>34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8">
        <v>11</v>
      </c>
      <c r="Y29" s="5">
        <v>16</v>
      </c>
      <c r="Z29" s="5">
        <v>24</v>
      </c>
      <c r="AA29" s="5">
        <v>28</v>
      </c>
      <c r="AB29" s="5">
        <v>28</v>
      </c>
      <c r="AR29" s="9">
        <v>21.4</v>
      </c>
      <c r="AS29" s="5" t="s">
        <v>91</v>
      </c>
    </row>
    <row r="30" spans="1:45" s="5" customFormat="1" x14ac:dyDescent="0.15">
      <c r="A30" s="5">
        <v>29</v>
      </c>
      <c r="B30" s="5" t="s">
        <v>93</v>
      </c>
      <c r="C30" s="5" t="s">
        <v>94</v>
      </c>
      <c r="D30" s="6">
        <v>29</v>
      </c>
      <c r="E30" s="6">
        <v>28</v>
      </c>
      <c r="F30" s="6">
        <v>29</v>
      </c>
      <c r="G30" s="6">
        <v>29</v>
      </c>
      <c r="H30" s="6">
        <v>25</v>
      </c>
      <c r="I30" s="7">
        <v>28</v>
      </c>
      <c r="J30" s="5">
        <v>25</v>
      </c>
      <c r="K30" s="5">
        <v>29</v>
      </c>
      <c r="L30" s="5">
        <v>4</v>
      </c>
      <c r="M30" s="5" t="s">
        <v>58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1</v>
      </c>
      <c r="T30" s="5">
        <v>0</v>
      </c>
      <c r="U30" s="5">
        <v>1</v>
      </c>
      <c r="V30" s="5">
        <v>1</v>
      </c>
      <c r="W30" s="5">
        <v>0</v>
      </c>
      <c r="X30" s="8">
        <v>26</v>
      </c>
      <c r="Y30" s="5">
        <v>25</v>
      </c>
      <c r="Z30" s="5">
        <v>30</v>
      </c>
      <c r="AA30" s="5">
        <v>27</v>
      </c>
      <c r="AB30" s="5">
        <v>29</v>
      </c>
      <c r="AR30" s="9">
        <v>27.4</v>
      </c>
      <c r="AS30" s="5" t="s">
        <v>93</v>
      </c>
    </row>
    <row r="31" spans="1:45" s="5" customFormat="1" x14ac:dyDescent="0.15">
      <c r="A31" s="5">
        <v>30</v>
      </c>
      <c r="B31" s="5" t="s">
        <v>95</v>
      </c>
      <c r="C31" s="5" t="s">
        <v>96</v>
      </c>
      <c r="D31" s="6">
        <v>31</v>
      </c>
      <c r="E31" s="6">
        <v>30</v>
      </c>
      <c r="F31" s="6">
        <v>30</v>
      </c>
      <c r="G31" s="6">
        <v>28</v>
      </c>
      <c r="H31" s="6">
        <v>29</v>
      </c>
      <c r="I31" s="7">
        <v>29.6</v>
      </c>
      <c r="J31" s="5">
        <v>28</v>
      </c>
      <c r="K31" s="5">
        <v>31</v>
      </c>
      <c r="L31" s="5">
        <v>3</v>
      </c>
      <c r="M31" s="5" t="s">
        <v>31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8">
        <v>29</v>
      </c>
      <c r="Y31" s="5">
        <v>29</v>
      </c>
      <c r="Z31" s="5">
        <v>31</v>
      </c>
      <c r="AA31" s="5">
        <v>30</v>
      </c>
      <c r="AB31" s="5">
        <v>30</v>
      </c>
      <c r="AR31" s="9">
        <v>29.8</v>
      </c>
      <c r="AS31" s="5" t="s">
        <v>95</v>
      </c>
    </row>
    <row r="32" spans="1:45" s="5" customFormat="1" x14ac:dyDescent="0.15">
      <c r="A32" s="5">
        <v>31</v>
      </c>
      <c r="B32" s="5" t="s">
        <v>97</v>
      </c>
      <c r="C32" s="5" t="s">
        <v>98</v>
      </c>
      <c r="D32" s="6">
        <v>30</v>
      </c>
      <c r="E32" s="6">
        <v>31</v>
      </c>
      <c r="F32" s="6">
        <v>31</v>
      </c>
      <c r="G32" s="6">
        <v>26</v>
      </c>
      <c r="H32" s="6">
        <v>31</v>
      </c>
      <c r="I32" s="7">
        <v>29.8</v>
      </c>
      <c r="J32" s="5">
        <v>26</v>
      </c>
      <c r="K32" s="5">
        <v>31</v>
      </c>
      <c r="L32" s="5">
        <v>5</v>
      </c>
      <c r="M32" s="5" t="s">
        <v>31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1</v>
      </c>
      <c r="X32" s="8">
        <v>32</v>
      </c>
      <c r="Y32" s="5">
        <v>32</v>
      </c>
      <c r="Z32" s="5">
        <v>27</v>
      </c>
      <c r="AA32" s="5">
        <v>31</v>
      </c>
      <c r="AB32" s="5">
        <v>31</v>
      </c>
      <c r="AR32" s="9">
        <v>30.6</v>
      </c>
      <c r="AS32" s="5" t="s">
        <v>97</v>
      </c>
    </row>
    <row r="33" spans="1:45" s="5" customFormat="1" x14ac:dyDescent="0.15">
      <c r="A33" s="5">
        <v>32</v>
      </c>
      <c r="B33" s="5" t="s">
        <v>99</v>
      </c>
      <c r="C33" s="5" t="s">
        <v>100</v>
      </c>
      <c r="D33" s="6">
        <v>32</v>
      </c>
      <c r="E33" s="6">
        <v>32</v>
      </c>
      <c r="F33" s="6">
        <v>32</v>
      </c>
      <c r="G33" s="6">
        <v>32</v>
      </c>
      <c r="H33" s="6">
        <v>32</v>
      </c>
      <c r="I33" s="7">
        <v>32</v>
      </c>
      <c r="J33" s="5">
        <v>32</v>
      </c>
      <c r="K33" s="5">
        <v>32</v>
      </c>
      <c r="L33" s="5">
        <v>0</v>
      </c>
      <c r="M33" s="5" t="s">
        <v>37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8">
        <v>31</v>
      </c>
      <c r="Y33" s="5">
        <v>31</v>
      </c>
      <c r="Z33" s="5">
        <v>32</v>
      </c>
      <c r="AA33" s="5">
        <v>32</v>
      </c>
      <c r="AB33" s="5">
        <v>32</v>
      </c>
      <c r="AR33" s="9">
        <v>31.6</v>
      </c>
      <c r="AS33" s="5" t="s">
        <v>99</v>
      </c>
    </row>
    <row r="34" spans="1:45" s="5" customFormat="1" x14ac:dyDescent="0.15">
      <c r="I34" s="10"/>
    </row>
    <row r="35" spans="1:45" s="5" customFormat="1" x14ac:dyDescent="0.15">
      <c r="F35" s="11"/>
      <c r="I35" s="10"/>
    </row>
    <row r="36" spans="1:45" s="5" customFormat="1" x14ac:dyDescent="0.15">
      <c r="I36" s="10"/>
    </row>
    <row r="37" spans="1:45" s="5" customFormat="1" x14ac:dyDescent="0.15">
      <c r="C37" s="12" t="s">
        <v>101</v>
      </c>
      <c r="D37" s="12">
        <v>7</v>
      </c>
      <c r="E37" s="12">
        <v>10</v>
      </c>
      <c r="F37" s="12">
        <v>9</v>
      </c>
      <c r="G37" s="12">
        <v>10</v>
      </c>
      <c r="H37" s="12">
        <v>11</v>
      </c>
      <c r="I37" s="10"/>
    </row>
    <row r="38" spans="1:45" s="5" customFormat="1" x14ac:dyDescent="0.15">
      <c r="C38" s="13" t="s">
        <v>102</v>
      </c>
      <c r="D38" s="13">
        <v>7</v>
      </c>
      <c r="E38" s="13">
        <v>11</v>
      </c>
      <c r="F38" s="13">
        <v>14</v>
      </c>
      <c r="G38" s="13">
        <v>7</v>
      </c>
      <c r="H38" s="13">
        <v>7</v>
      </c>
      <c r="I38" s="10"/>
    </row>
    <row r="39" spans="1:45" s="5" customFormat="1" x14ac:dyDescent="0.15">
      <c r="I39" s="10"/>
    </row>
    <row r="40" spans="1:45" s="5" customFormat="1" x14ac:dyDescent="0.15">
      <c r="C40" s="5" t="s">
        <v>103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10"/>
    </row>
    <row r="41" spans="1:45" s="5" customFormat="1" x14ac:dyDescent="0.15">
      <c r="I41" s="10"/>
      <c r="Y41" s="5" t="s">
        <v>45</v>
      </c>
      <c r="Z41" s="5" t="s">
        <v>37</v>
      </c>
      <c r="AA41" s="5" t="s">
        <v>31</v>
      </c>
      <c r="AB41" s="5" t="s">
        <v>58</v>
      </c>
    </row>
    <row r="42" spans="1:45" s="5" customFormat="1" x14ac:dyDescent="0.15">
      <c r="C42" s="3" t="s">
        <v>104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0"/>
      <c r="Y42" s="5" t="s">
        <v>105</v>
      </c>
      <c r="Z42" s="5" t="s">
        <v>106</v>
      </c>
      <c r="AA42" s="5" t="s">
        <v>107</v>
      </c>
      <c r="AB42" s="5" t="s">
        <v>108</v>
      </c>
    </row>
    <row r="43" spans="1:45" s="5" customFormat="1" x14ac:dyDescent="0.15">
      <c r="C43" s="3" t="s">
        <v>3</v>
      </c>
      <c r="D43" s="14"/>
      <c r="E43" s="15">
        <v>0.9453812316715543</v>
      </c>
      <c r="F43" s="15">
        <v>0.95124633431085048</v>
      </c>
      <c r="G43" s="15">
        <v>0.97030791788856308</v>
      </c>
      <c r="H43" s="15">
        <v>0.94501466275659829</v>
      </c>
      <c r="I43" s="10"/>
      <c r="Y43" s="5" t="s">
        <v>109</v>
      </c>
      <c r="Z43" s="5" t="s">
        <v>110</v>
      </c>
      <c r="AA43" s="5" t="s">
        <v>111</v>
      </c>
      <c r="AB43" s="5" t="s">
        <v>112</v>
      </c>
    </row>
    <row r="44" spans="1:45" s="5" customFormat="1" x14ac:dyDescent="0.15">
      <c r="C44" s="3" t="s">
        <v>4</v>
      </c>
      <c r="D44" s="15">
        <v>0.9453812316715543</v>
      </c>
      <c r="E44" s="14"/>
      <c r="F44" s="15">
        <v>0.87939882697947214</v>
      </c>
      <c r="G44" s="15">
        <v>0.92705278592375362</v>
      </c>
      <c r="H44" s="15">
        <v>0.91495601173020524</v>
      </c>
      <c r="I44" s="10"/>
      <c r="Y44" s="5" t="s">
        <v>113</v>
      </c>
      <c r="Z44" s="5" t="s">
        <v>114</v>
      </c>
      <c r="AA44" s="5" t="s">
        <v>115</v>
      </c>
      <c r="AB44" s="5" t="s">
        <v>116</v>
      </c>
    </row>
    <row r="45" spans="1:45" s="5" customFormat="1" x14ac:dyDescent="0.15">
      <c r="C45" s="3" t="s">
        <v>5</v>
      </c>
      <c r="D45" s="15">
        <v>0.95124633431085048</v>
      </c>
      <c r="E45" s="15">
        <v>0.87939882697947214</v>
      </c>
      <c r="F45" s="14"/>
      <c r="G45" s="15">
        <v>0.9200879765395894</v>
      </c>
      <c r="H45" s="15">
        <v>0.92815249266862165</v>
      </c>
      <c r="I45" s="10"/>
      <c r="Y45" s="5" t="s">
        <v>117</v>
      </c>
      <c r="Z45" s="5" t="s">
        <v>118</v>
      </c>
      <c r="AA45" s="5" t="s">
        <v>119</v>
      </c>
      <c r="AB45" s="5" t="s">
        <v>120</v>
      </c>
    </row>
    <row r="46" spans="1:45" s="5" customFormat="1" x14ac:dyDescent="0.15">
      <c r="C46" s="3" t="s">
        <v>6</v>
      </c>
      <c r="D46" s="15">
        <v>0.97030791788856308</v>
      </c>
      <c r="E46" s="15">
        <v>0.92705278592375362</v>
      </c>
      <c r="F46" s="15">
        <v>0.92815249266862165</v>
      </c>
      <c r="G46" s="14"/>
      <c r="H46" s="15">
        <v>0.95197947214076251</v>
      </c>
      <c r="I46" s="10"/>
    </row>
    <row r="47" spans="1:45" s="5" customFormat="1" x14ac:dyDescent="0.15">
      <c r="C47" s="3" t="s">
        <v>7</v>
      </c>
      <c r="D47" s="15">
        <v>0.94501466275659829</v>
      </c>
      <c r="E47" s="15">
        <v>0.91495601173020524</v>
      </c>
      <c r="F47" s="15">
        <v>0.92815249266862165</v>
      </c>
      <c r="G47" s="15">
        <v>0.95197947214076251</v>
      </c>
      <c r="H47" s="14"/>
      <c r="I47" s="10"/>
      <c r="Y47" s="5" t="s">
        <v>48</v>
      </c>
      <c r="Z47" s="5" t="s">
        <v>51</v>
      </c>
      <c r="AA47" s="5" t="s">
        <v>34</v>
      </c>
      <c r="AB47" s="5" t="s">
        <v>40</v>
      </c>
    </row>
    <row r="48" spans="1:45" s="5" customFormat="1" x14ac:dyDescent="0.15">
      <c r="I48" s="10"/>
      <c r="Y48" s="5" t="s">
        <v>121</v>
      </c>
      <c r="Z48" s="5" t="s">
        <v>122</v>
      </c>
      <c r="AA48" s="5" t="s">
        <v>123</v>
      </c>
      <c r="AB48" s="5" t="s">
        <v>124</v>
      </c>
    </row>
    <row r="49" spans="2:28" s="5" customFormat="1" x14ac:dyDescent="0.15">
      <c r="B49" s="16" t="s">
        <v>125</v>
      </c>
      <c r="I49" s="10"/>
      <c r="Y49" s="5" t="s">
        <v>126</v>
      </c>
      <c r="Z49" s="5" t="s">
        <v>127</v>
      </c>
      <c r="AA49" s="5" t="s">
        <v>128</v>
      </c>
      <c r="AB49" s="5" t="s">
        <v>129</v>
      </c>
    </row>
    <row r="50" spans="2:28" s="5" customFormat="1" x14ac:dyDescent="0.15">
      <c r="B50" s="17" t="s">
        <v>130</v>
      </c>
      <c r="I50" s="10"/>
      <c r="M50"/>
      <c r="Y50" s="5" t="s">
        <v>131</v>
      </c>
      <c r="Z50" s="5" t="s">
        <v>132</v>
      </c>
      <c r="AA50" s="5" t="s">
        <v>133</v>
      </c>
      <c r="AB50" s="5" t="s">
        <v>134</v>
      </c>
    </row>
    <row r="51" spans="2:28" s="5" customFormat="1" x14ac:dyDescent="0.15">
      <c r="B51" s="17" t="s">
        <v>135</v>
      </c>
      <c r="I51" s="10"/>
      <c r="M51"/>
      <c r="Y51" s="5" t="s">
        <v>136</v>
      </c>
      <c r="Z51" s="5" t="s">
        <v>137</v>
      </c>
      <c r="AA51" s="5" t="s">
        <v>138</v>
      </c>
      <c r="AB51" s="5" t="s">
        <v>139</v>
      </c>
    </row>
    <row r="52" spans="2:28" s="5" customFormat="1" x14ac:dyDescent="0.15">
      <c r="B52" s="17" t="s">
        <v>140</v>
      </c>
      <c r="I52" s="10"/>
      <c r="M52"/>
    </row>
    <row r="53" spans="2:28" s="5" customFormat="1" x14ac:dyDescent="0.15">
      <c r="B53" s="17" t="s">
        <v>141</v>
      </c>
      <c r="I53" s="10"/>
      <c r="M53"/>
    </row>
    <row r="54" spans="2:28" s="5" customFormat="1" x14ac:dyDescent="0.15">
      <c r="I54" s="10"/>
      <c r="M54"/>
    </row>
    <row r="55" spans="2:28" s="5" customFormat="1" x14ac:dyDescent="0.15">
      <c r="B55" s="5" t="s">
        <v>142</v>
      </c>
      <c r="C55" s="5" t="s">
        <v>143</v>
      </c>
      <c r="D55" s="5" t="s">
        <v>143</v>
      </c>
      <c r="E55" s="5" t="s">
        <v>143</v>
      </c>
      <c r="F55" s="5" t="s">
        <v>143</v>
      </c>
      <c r="G55" s="10"/>
      <c r="M55"/>
    </row>
    <row r="56" spans="2:28" s="5" customFormat="1" x14ac:dyDescent="0.15">
      <c r="B56" s="5" t="s">
        <v>144</v>
      </c>
      <c r="C56" s="5" t="s">
        <v>145</v>
      </c>
      <c r="D56" s="5" t="s">
        <v>146</v>
      </c>
      <c r="E56" s="5" t="s">
        <v>147</v>
      </c>
      <c r="G56" s="10"/>
      <c r="M56"/>
    </row>
    <row r="57" spans="2:28" s="5" customFormat="1" ht="21" x14ac:dyDescent="0.15">
      <c r="B57" s="5" t="s">
        <v>24</v>
      </c>
      <c r="C57" s="5" t="s">
        <v>148</v>
      </c>
      <c r="D57" s="5" t="s">
        <v>149</v>
      </c>
      <c r="E57" s="5" t="s">
        <v>150</v>
      </c>
      <c r="F57" s="10"/>
      <c r="M57"/>
    </row>
    <row r="58" spans="2:28" s="5" customFormat="1" x14ac:dyDescent="0.15">
      <c r="B58" s="5" t="s">
        <v>25</v>
      </c>
      <c r="C58" s="5" t="s">
        <v>151</v>
      </c>
      <c r="D58" s="5" t="s">
        <v>152</v>
      </c>
      <c r="F58" s="10"/>
      <c r="M58"/>
    </row>
    <row r="59" spans="2:28" s="5" customFormat="1" x14ac:dyDescent="0.15">
      <c r="B59" s="5" t="s">
        <v>26</v>
      </c>
      <c r="F59" s="10"/>
      <c r="M59"/>
    </row>
    <row r="60" spans="2:28" s="5" customFormat="1" x14ac:dyDescent="0.15">
      <c r="B60" s="5" t="s">
        <v>27</v>
      </c>
      <c r="C60" s="5" t="s">
        <v>153</v>
      </c>
      <c r="D60" s="5" t="s">
        <v>154</v>
      </c>
      <c r="F60" s="10"/>
      <c r="M60"/>
    </row>
    <row r="61" spans="2:28" s="5" customFormat="1" x14ac:dyDescent="0.15">
      <c r="B61" s="5" t="s">
        <v>155</v>
      </c>
      <c r="F61" s="10"/>
      <c r="M61"/>
    </row>
    <row r="62" spans="2:28" s="5" customFormat="1" x14ac:dyDescent="0.15">
      <c r="B62" s="5" t="s">
        <v>156</v>
      </c>
      <c r="F62" s="10"/>
      <c r="M62"/>
    </row>
    <row r="63" spans="2:28" s="5" customFormat="1" x14ac:dyDescent="0.15">
      <c r="B63" s="5" t="s">
        <v>157</v>
      </c>
      <c r="F63" s="10"/>
      <c r="M63"/>
    </row>
    <row r="64" spans="2:28" s="5" customFormat="1" x14ac:dyDescent="0.15">
      <c r="B64" s="5" t="s">
        <v>158</v>
      </c>
      <c r="F64" s="10"/>
      <c r="M64"/>
    </row>
    <row r="65" spans="2:13" s="5" customFormat="1" x14ac:dyDescent="0.15">
      <c r="B65" s="5" t="s">
        <v>159</v>
      </c>
      <c r="F65" s="10"/>
      <c r="M65"/>
    </row>
    <row r="66" spans="2:13" s="5" customFormat="1" x14ac:dyDescent="0.15">
      <c r="B66" s="5" t="s">
        <v>160</v>
      </c>
      <c r="F66" s="10"/>
      <c r="M66"/>
    </row>
    <row r="67" spans="2:13" s="5" customFormat="1" x14ac:dyDescent="0.15">
      <c r="B67" s="5" t="s">
        <v>161</v>
      </c>
      <c r="F67" s="10"/>
      <c r="M67"/>
    </row>
    <row r="68" spans="2:13" s="5" customFormat="1" x14ac:dyDescent="0.15">
      <c r="B68" s="5" t="s">
        <v>162</v>
      </c>
      <c r="F68" s="10"/>
      <c r="M68"/>
    </row>
    <row r="69" spans="2:13" s="5" customFormat="1" x14ac:dyDescent="0.15">
      <c r="B69" s="5" t="s">
        <v>163</v>
      </c>
      <c r="F69" s="10"/>
      <c r="M69"/>
    </row>
    <row r="70" spans="2:13" s="5" customFormat="1" x14ac:dyDescent="0.15">
      <c r="B70" s="5" t="s">
        <v>164</v>
      </c>
      <c r="F70" s="10"/>
      <c r="M70"/>
    </row>
    <row r="71" spans="2:13" s="5" customFormat="1" x14ac:dyDescent="0.15">
      <c r="B71" s="5" t="s">
        <v>165</v>
      </c>
      <c r="F71" s="10"/>
      <c r="M71"/>
    </row>
    <row r="72" spans="2:13" s="5" customFormat="1" x14ac:dyDescent="0.15">
      <c r="B72" s="5" t="s">
        <v>166</v>
      </c>
      <c r="F72" s="10"/>
      <c r="M72"/>
    </row>
    <row r="73" spans="2:13" s="5" customFormat="1" x14ac:dyDescent="0.15">
      <c r="B73" s="5" t="s">
        <v>167</v>
      </c>
      <c r="F73" s="10"/>
      <c r="M73"/>
    </row>
    <row r="74" spans="2:13" s="5" customFormat="1" x14ac:dyDescent="0.15">
      <c r="I74" s="10"/>
    </row>
    <row r="75" spans="2:13" s="5" customFormat="1" x14ac:dyDescent="0.15">
      <c r="I75" s="10"/>
    </row>
    <row r="76" spans="2:13" s="5" customFormat="1" x14ac:dyDescent="0.15">
      <c r="I76" s="10"/>
    </row>
    <row r="77" spans="2:13" s="5" customFormat="1" x14ac:dyDescent="0.15">
      <c r="I77" s="10"/>
    </row>
    <row r="78" spans="2:13" s="5" customFormat="1" x14ac:dyDescent="0.15">
      <c r="I78" s="10"/>
    </row>
    <row r="79" spans="2:13" s="5" customFormat="1" x14ac:dyDescent="0.15">
      <c r="I79" s="10"/>
    </row>
    <row r="80" spans="2:13" s="5" customFormat="1" x14ac:dyDescent="0.15">
      <c r="I80" s="10"/>
    </row>
    <row r="81" spans="9:9" s="5" customFormat="1" x14ac:dyDescent="0.15">
      <c r="I81" s="10"/>
    </row>
    <row r="82" spans="9:9" s="5" customFormat="1" x14ac:dyDescent="0.15">
      <c r="I82" s="10"/>
    </row>
    <row r="83" spans="9:9" s="5" customFormat="1" x14ac:dyDescent="0.15">
      <c r="I83" s="10"/>
    </row>
    <row r="84" spans="9:9" s="5" customFormat="1" x14ac:dyDescent="0.15">
      <c r="I84" s="10"/>
    </row>
    <row r="85" spans="9:9" s="5" customFormat="1" x14ac:dyDescent="0.15">
      <c r="I85" s="10"/>
    </row>
    <row r="86" spans="9:9" s="5" customFormat="1" x14ac:dyDescent="0.15">
      <c r="I86" s="10"/>
    </row>
    <row r="87" spans="9:9" s="5" customFormat="1" x14ac:dyDescent="0.15">
      <c r="I87" s="10"/>
    </row>
    <row r="88" spans="9:9" s="5" customFormat="1" x14ac:dyDescent="0.15">
      <c r="I88" s="10"/>
    </row>
    <row r="89" spans="9:9" s="5" customFormat="1" x14ac:dyDescent="0.15">
      <c r="I89" s="10"/>
    </row>
    <row r="90" spans="9:9" s="5" customFormat="1" x14ac:dyDescent="0.15">
      <c r="I90" s="10"/>
    </row>
    <row r="91" spans="9:9" s="5" customFormat="1" x14ac:dyDescent="0.15">
      <c r="I91" s="10"/>
    </row>
    <row r="92" spans="9:9" s="5" customFormat="1" x14ac:dyDescent="0.15">
      <c r="I92" s="10"/>
    </row>
    <row r="93" spans="9:9" s="5" customFormat="1" x14ac:dyDescent="0.15">
      <c r="I93" s="10"/>
    </row>
    <row r="94" spans="9:9" s="5" customFormat="1" x14ac:dyDescent="0.15">
      <c r="I94" s="10"/>
    </row>
    <row r="95" spans="9:9" s="5" customFormat="1" x14ac:dyDescent="0.15">
      <c r="I95" s="10"/>
    </row>
    <row r="96" spans="9:9" s="5" customFormat="1" x14ac:dyDescent="0.15">
      <c r="I96" s="10"/>
    </row>
    <row r="97" spans="9:9" s="5" customFormat="1" x14ac:dyDescent="0.15">
      <c r="I97" s="10"/>
    </row>
    <row r="98" spans="9:9" s="5" customFormat="1" x14ac:dyDescent="0.15">
      <c r="I98" s="10"/>
    </row>
    <row r="99" spans="9:9" s="5" customFormat="1" x14ac:dyDescent="0.15">
      <c r="I99" s="10"/>
    </row>
    <row r="100" spans="9:9" s="5" customFormat="1" x14ac:dyDescent="0.15">
      <c r="I100" s="10"/>
    </row>
    <row r="101" spans="9:9" s="5" customFormat="1" x14ac:dyDescent="0.15">
      <c r="I101" s="10"/>
    </row>
    <row r="102" spans="9:9" s="5" customFormat="1" x14ac:dyDescent="0.15">
      <c r="I102" s="10"/>
    </row>
    <row r="103" spans="9:9" s="5" customFormat="1" x14ac:dyDescent="0.15">
      <c r="I103" s="10"/>
    </row>
    <row r="104" spans="9:9" s="5" customFormat="1" x14ac:dyDescent="0.15">
      <c r="I104" s="10"/>
    </row>
    <row r="105" spans="9:9" s="5" customFormat="1" x14ac:dyDescent="0.15">
      <c r="I105" s="10"/>
    </row>
    <row r="106" spans="9:9" s="5" customFormat="1" x14ac:dyDescent="0.15">
      <c r="I106" s="10"/>
    </row>
    <row r="107" spans="9:9" s="5" customFormat="1" x14ac:dyDescent="0.15">
      <c r="I107" s="10"/>
    </row>
    <row r="108" spans="9:9" s="5" customFormat="1" x14ac:dyDescent="0.15">
      <c r="I108" s="10"/>
    </row>
    <row r="109" spans="9:9" s="5" customFormat="1" x14ac:dyDescent="0.15">
      <c r="I109" s="10"/>
    </row>
    <row r="110" spans="9:9" s="5" customFormat="1" x14ac:dyDescent="0.15">
      <c r="I110" s="10"/>
    </row>
    <row r="111" spans="9:9" s="5" customFormat="1" x14ac:dyDescent="0.15">
      <c r="I111" s="10"/>
    </row>
    <row r="112" spans="9:9" s="5" customFormat="1" x14ac:dyDescent="0.15">
      <c r="I112" s="10"/>
    </row>
    <row r="113" spans="9:9" s="5" customFormat="1" x14ac:dyDescent="0.15">
      <c r="I113" s="10"/>
    </row>
    <row r="114" spans="9:9" s="5" customFormat="1" x14ac:dyDescent="0.15">
      <c r="I114" s="10"/>
    </row>
    <row r="115" spans="9:9" s="5" customFormat="1" x14ac:dyDescent="0.15">
      <c r="I115" s="10"/>
    </row>
    <row r="116" spans="9:9" s="5" customFormat="1" x14ac:dyDescent="0.15">
      <c r="I116" s="10"/>
    </row>
    <row r="117" spans="9:9" s="5" customFormat="1" x14ac:dyDescent="0.15">
      <c r="I117" s="10"/>
    </row>
    <row r="118" spans="9:9" s="5" customFormat="1" x14ac:dyDescent="0.15">
      <c r="I118" s="10"/>
    </row>
    <row r="119" spans="9:9" s="5" customFormat="1" x14ac:dyDescent="0.15">
      <c r="I119" s="10"/>
    </row>
    <row r="120" spans="9:9" s="5" customFormat="1" x14ac:dyDescent="0.15">
      <c r="I120" s="10"/>
    </row>
    <row r="121" spans="9:9" s="5" customFormat="1" x14ac:dyDescent="0.15">
      <c r="I121" s="10"/>
    </row>
    <row r="122" spans="9:9" s="5" customFormat="1" x14ac:dyDescent="0.15">
      <c r="I122" s="10"/>
    </row>
    <row r="123" spans="9:9" s="5" customFormat="1" x14ac:dyDescent="0.15">
      <c r="I123" s="10"/>
    </row>
    <row r="124" spans="9:9" s="5" customFormat="1" x14ac:dyDescent="0.15">
      <c r="I124" s="10"/>
    </row>
    <row r="125" spans="9:9" s="5" customFormat="1" x14ac:dyDescent="0.15">
      <c r="I125" s="10"/>
    </row>
    <row r="126" spans="9:9" s="5" customFormat="1" x14ac:dyDescent="0.15">
      <c r="I126" s="10"/>
    </row>
    <row r="127" spans="9:9" s="5" customFormat="1" x14ac:dyDescent="0.15">
      <c r="I127" s="10"/>
    </row>
    <row r="128" spans="9:9" s="5" customFormat="1" x14ac:dyDescent="0.15">
      <c r="I128" s="10"/>
    </row>
    <row r="129" spans="9:9" s="5" customFormat="1" x14ac:dyDescent="0.15">
      <c r="I129" s="10"/>
    </row>
    <row r="130" spans="9:9" s="5" customFormat="1" x14ac:dyDescent="0.15">
      <c r="I130" s="10"/>
    </row>
    <row r="131" spans="9:9" s="5" customFormat="1" x14ac:dyDescent="0.15">
      <c r="I131" s="10"/>
    </row>
    <row r="132" spans="9:9" s="5" customFormat="1" x14ac:dyDescent="0.15">
      <c r="I132" s="10"/>
    </row>
    <row r="133" spans="9:9" s="5" customFormat="1" x14ac:dyDescent="0.15">
      <c r="I133" s="10"/>
    </row>
    <row r="134" spans="9:9" s="5" customFormat="1" x14ac:dyDescent="0.15">
      <c r="I134" s="10"/>
    </row>
    <row r="135" spans="9:9" s="5" customFormat="1" x14ac:dyDescent="0.15">
      <c r="I135" s="10"/>
    </row>
    <row r="136" spans="9:9" s="5" customFormat="1" x14ac:dyDescent="0.15">
      <c r="I136" s="10"/>
    </row>
    <row r="137" spans="9:9" s="5" customFormat="1" x14ac:dyDescent="0.15">
      <c r="I137" s="10"/>
    </row>
    <row r="138" spans="9:9" s="5" customFormat="1" x14ac:dyDescent="0.15">
      <c r="I138" s="10"/>
    </row>
    <row r="139" spans="9:9" s="5" customFormat="1" x14ac:dyDescent="0.15">
      <c r="I139" s="10"/>
    </row>
    <row r="140" spans="9:9" s="5" customFormat="1" x14ac:dyDescent="0.15">
      <c r="I140" s="10"/>
    </row>
    <row r="141" spans="9:9" s="5" customFormat="1" x14ac:dyDescent="0.15">
      <c r="I141" s="10"/>
    </row>
    <row r="142" spans="9:9" s="5" customFormat="1" x14ac:dyDescent="0.15">
      <c r="I142" s="10"/>
    </row>
    <row r="143" spans="9:9" s="5" customFormat="1" x14ac:dyDescent="0.15">
      <c r="I143" s="10"/>
    </row>
    <row r="144" spans="9:9" s="5" customFormat="1" x14ac:dyDescent="0.15">
      <c r="I144" s="10"/>
    </row>
    <row r="145" spans="9:9" s="5" customFormat="1" x14ac:dyDescent="0.15">
      <c r="I145" s="10"/>
    </row>
    <row r="146" spans="9:9" s="5" customFormat="1" x14ac:dyDescent="0.15">
      <c r="I146" s="10"/>
    </row>
    <row r="147" spans="9:9" s="5" customFormat="1" x14ac:dyDescent="0.15">
      <c r="I147" s="10"/>
    </row>
    <row r="148" spans="9:9" s="5" customFormat="1" x14ac:dyDescent="0.15">
      <c r="I148" s="10"/>
    </row>
    <row r="149" spans="9:9" s="5" customFormat="1" x14ac:dyDescent="0.15">
      <c r="I149" s="10"/>
    </row>
    <row r="150" spans="9:9" s="5" customFormat="1" x14ac:dyDescent="0.15">
      <c r="I150" s="10"/>
    </row>
    <row r="151" spans="9:9" s="5" customFormat="1" x14ac:dyDescent="0.15">
      <c r="I151" s="10"/>
    </row>
    <row r="152" spans="9:9" s="5" customFormat="1" x14ac:dyDescent="0.15">
      <c r="I152" s="10"/>
    </row>
    <row r="153" spans="9:9" s="5" customFormat="1" x14ac:dyDescent="0.15">
      <c r="I153" s="10"/>
    </row>
    <row r="154" spans="9:9" s="5" customFormat="1" x14ac:dyDescent="0.15">
      <c r="I154" s="10"/>
    </row>
    <row r="155" spans="9:9" s="5" customFormat="1" x14ac:dyDescent="0.15">
      <c r="I155" s="10"/>
    </row>
    <row r="156" spans="9:9" s="5" customFormat="1" x14ac:dyDescent="0.15">
      <c r="I156" s="10"/>
    </row>
    <row r="157" spans="9:9" s="5" customFormat="1" x14ac:dyDescent="0.15">
      <c r="I157" s="10"/>
    </row>
    <row r="158" spans="9:9" s="5" customFormat="1" x14ac:dyDescent="0.15">
      <c r="I158" s="10"/>
    </row>
    <row r="159" spans="9:9" s="5" customFormat="1" x14ac:dyDescent="0.15">
      <c r="I159" s="10"/>
    </row>
    <row r="160" spans="9:9" s="5" customFormat="1" x14ac:dyDescent="0.15">
      <c r="I160" s="10"/>
    </row>
    <row r="161" spans="9:9" s="5" customFormat="1" x14ac:dyDescent="0.15">
      <c r="I161" s="10"/>
    </row>
    <row r="162" spans="9:9" s="5" customFormat="1" x14ac:dyDescent="0.15">
      <c r="I162" s="10"/>
    </row>
    <row r="163" spans="9:9" s="5" customFormat="1" x14ac:dyDescent="0.15">
      <c r="I163" s="10"/>
    </row>
    <row r="164" spans="9:9" s="5" customFormat="1" x14ac:dyDescent="0.15">
      <c r="I164" s="10"/>
    </row>
    <row r="165" spans="9:9" s="5" customFormat="1" x14ac:dyDescent="0.15">
      <c r="I165" s="10"/>
    </row>
    <row r="166" spans="9:9" s="5" customFormat="1" x14ac:dyDescent="0.15">
      <c r="I166" s="10"/>
    </row>
    <row r="167" spans="9:9" s="5" customFormat="1" x14ac:dyDescent="0.15">
      <c r="I167" s="10"/>
    </row>
    <row r="168" spans="9:9" s="5" customFormat="1" x14ac:dyDescent="0.15">
      <c r="I168" s="10"/>
    </row>
    <row r="169" spans="9:9" s="5" customFormat="1" x14ac:dyDescent="0.15">
      <c r="I169" s="10"/>
    </row>
    <row r="170" spans="9:9" s="5" customFormat="1" x14ac:dyDescent="0.15">
      <c r="I170" s="10"/>
    </row>
    <row r="171" spans="9:9" s="5" customFormat="1" x14ac:dyDescent="0.15">
      <c r="I171" s="10"/>
    </row>
    <row r="172" spans="9:9" s="5" customFormat="1" x14ac:dyDescent="0.15">
      <c r="I172" s="10"/>
    </row>
    <row r="173" spans="9:9" s="5" customFormat="1" x14ac:dyDescent="0.15">
      <c r="I173" s="10"/>
    </row>
    <row r="174" spans="9:9" s="5" customFormat="1" x14ac:dyDescent="0.15">
      <c r="I174" s="10"/>
    </row>
    <row r="175" spans="9:9" s="5" customFormat="1" x14ac:dyDescent="0.15">
      <c r="I175" s="10"/>
    </row>
    <row r="176" spans="9:9" s="5" customFormat="1" x14ac:dyDescent="0.15">
      <c r="I176" s="10"/>
    </row>
    <row r="177" spans="9:9" s="5" customFormat="1" x14ac:dyDescent="0.15">
      <c r="I177" s="10"/>
    </row>
    <row r="178" spans="9:9" s="5" customFormat="1" x14ac:dyDescent="0.15">
      <c r="I178" s="10"/>
    </row>
    <row r="179" spans="9:9" s="5" customFormat="1" x14ac:dyDescent="0.15">
      <c r="I179" s="10"/>
    </row>
    <row r="180" spans="9:9" s="5" customFormat="1" x14ac:dyDescent="0.15">
      <c r="I180" s="10"/>
    </row>
    <row r="181" spans="9:9" s="5" customFormat="1" x14ac:dyDescent="0.15">
      <c r="I181" s="10"/>
    </row>
    <row r="182" spans="9:9" s="5" customFormat="1" x14ac:dyDescent="0.15">
      <c r="I182" s="10"/>
    </row>
    <row r="183" spans="9:9" s="5" customFormat="1" x14ac:dyDescent="0.15">
      <c r="I183" s="10"/>
    </row>
    <row r="184" spans="9:9" s="5" customFormat="1" x14ac:dyDescent="0.15">
      <c r="I184" s="10"/>
    </row>
    <row r="185" spans="9:9" s="5" customFormat="1" x14ac:dyDescent="0.15">
      <c r="I185" s="10"/>
    </row>
    <row r="186" spans="9:9" s="5" customFormat="1" x14ac:dyDescent="0.15">
      <c r="I186" s="10"/>
    </row>
    <row r="187" spans="9:9" s="5" customFormat="1" x14ac:dyDescent="0.15">
      <c r="I187" s="10"/>
    </row>
    <row r="188" spans="9:9" s="5" customFormat="1" x14ac:dyDescent="0.15">
      <c r="I188" s="10"/>
    </row>
    <row r="189" spans="9:9" s="5" customFormat="1" x14ac:dyDescent="0.15">
      <c r="I189" s="10"/>
    </row>
    <row r="190" spans="9:9" s="5" customFormat="1" x14ac:dyDescent="0.15">
      <c r="I190" s="10"/>
    </row>
    <row r="191" spans="9:9" s="5" customFormat="1" x14ac:dyDescent="0.15">
      <c r="I191" s="10"/>
    </row>
    <row r="192" spans="9:9" s="5" customFormat="1" x14ac:dyDescent="0.15">
      <c r="I192" s="10"/>
    </row>
    <row r="193" spans="9:9" s="5" customFormat="1" x14ac:dyDescent="0.15">
      <c r="I193" s="10"/>
    </row>
    <row r="194" spans="9:9" s="5" customFormat="1" x14ac:dyDescent="0.15">
      <c r="I194" s="10"/>
    </row>
    <row r="195" spans="9:9" s="5" customFormat="1" x14ac:dyDescent="0.15">
      <c r="I195" s="10"/>
    </row>
    <row r="196" spans="9:9" s="5" customFormat="1" x14ac:dyDescent="0.15">
      <c r="I196" s="10"/>
    </row>
    <row r="197" spans="9:9" s="5" customFormat="1" x14ac:dyDescent="0.15">
      <c r="I197" s="10"/>
    </row>
    <row r="198" spans="9:9" s="5" customFormat="1" x14ac:dyDescent="0.15">
      <c r="I198" s="10"/>
    </row>
    <row r="199" spans="9:9" s="5" customFormat="1" x14ac:dyDescent="0.15">
      <c r="I199" s="10"/>
    </row>
    <row r="200" spans="9:9" s="5" customFormat="1" x14ac:dyDescent="0.15">
      <c r="I200" s="10"/>
    </row>
    <row r="201" spans="9:9" s="5" customFormat="1" x14ac:dyDescent="0.15">
      <c r="I201" s="10"/>
    </row>
    <row r="202" spans="9:9" s="5" customFormat="1" x14ac:dyDescent="0.15">
      <c r="I202" s="10"/>
    </row>
    <row r="203" spans="9:9" s="5" customFormat="1" x14ac:dyDescent="0.15">
      <c r="I203" s="10"/>
    </row>
    <row r="204" spans="9:9" s="5" customFormat="1" x14ac:dyDescent="0.15">
      <c r="I204" s="10"/>
    </row>
    <row r="205" spans="9:9" s="5" customFormat="1" x14ac:dyDescent="0.15">
      <c r="I205" s="10"/>
    </row>
    <row r="206" spans="9:9" s="5" customFormat="1" x14ac:dyDescent="0.15">
      <c r="I206" s="10"/>
    </row>
    <row r="207" spans="9:9" s="5" customFormat="1" x14ac:dyDescent="0.15">
      <c r="I207" s="10"/>
    </row>
    <row r="208" spans="9:9" s="5" customFormat="1" x14ac:dyDescent="0.15">
      <c r="I208" s="10"/>
    </row>
    <row r="209" spans="9:9" s="5" customFormat="1" x14ac:dyDescent="0.15">
      <c r="I209" s="10"/>
    </row>
    <row r="210" spans="9:9" s="5" customFormat="1" x14ac:dyDescent="0.15">
      <c r="I210" s="10"/>
    </row>
    <row r="211" spans="9:9" s="5" customFormat="1" x14ac:dyDescent="0.15">
      <c r="I211" s="10"/>
    </row>
    <row r="212" spans="9:9" s="5" customFormat="1" x14ac:dyDescent="0.15">
      <c r="I212" s="10"/>
    </row>
    <row r="213" spans="9:9" s="5" customFormat="1" x14ac:dyDescent="0.15">
      <c r="I213" s="10"/>
    </row>
    <row r="214" spans="9:9" s="5" customFormat="1" x14ac:dyDescent="0.15">
      <c r="I214" s="10"/>
    </row>
    <row r="215" spans="9:9" s="5" customFormat="1" x14ac:dyDescent="0.15">
      <c r="I215" s="10"/>
    </row>
    <row r="216" spans="9:9" s="5" customFormat="1" x14ac:dyDescent="0.15">
      <c r="I216" s="10"/>
    </row>
    <row r="217" spans="9:9" s="5" customFormat="1" x14ac:dyDescent="0.15">
      <c r="I217" s="10"/>
    </row>
    <row r="218" spans="9:9" s="5" customFormat="1" x14ac:dyDescent="0.15">
      <c r="I218" s="10"/>
    </row>
    <row r="219" spans="9:9" s="5" customFormat="1" x14ac:dyDescent="0.15">
      <c r="I219" s="10"/>
    </row>
    <row r="220" spans="9:9" s="5" customFormat="1" x14ac:dyDescent="0.15">
      <c r="I220" s="10"/>
    </row>
    <row r="221" spans="9:9" s="5" customFormat="1" x14ac:dyDescent="0.15">
      <c r="I221" s="10"/>
    </row>
    <row r="222" spans="9:9" s="5" customFormat="1" x14ac:dyDescent="0.15">
      <c r="I222" s="10"/>
    </row>
    <row r="223" spans="9:9" s="5" customFormat="1" x14ac:dyDescent="0.15">
      <c r="I223" s="10"/>
    </row>
    <row r="224" spans="9:9" s="5" customFormat="1" x14ac:dyDescent="0.15">
      <c r="I224" s="10"/>
    </row>
    <row r="225" spans="9:9" s="5" customFormat="1" x14ac:dyDescent="0.15">
      <c r="I225" s="10"/>
    </row>
    <row r="226" spans="9:9" s="5" customFormat="1" x14ac:dyDescent="0.15">
      <c r="I226" s="10"/>
    </row>
    <row r="227" spans="9:9" x14ac:dyDescent="0.15">
      <c r="I227" s="18"/>
    </row>
    <row r="228" spans="9:9" x14ac:dyDescent="0.15">
      <c r="I228" s="18"/>
    </row>
    <row r="229" spans="9:9" x14ac:dyDescent="0.15">
      <c r="I229" s="18"/>
    </row>
    <row r="230" spans="9:9" x14ac:dyDescent="0.15">
      <c r="I230" s="18"/>
    </row>
    <row r="231" spans="9:9" x14ac:dyDescent="0.15">
      <c r="I231" s="18"/>
    </row>
    <row r="232" spans="9:9" x14ac:dyDescent="0.15">
      <c r="I232" s="18"/>
    </row>
    <row r="233" spans="9:9" x14ac:dyDescent="0.15">
      <c r="I233" s="18"/>
    </row>
    <row r="234" spans="9:9" x14ac:dyDescent="0.15">
      <c r="I234" s="18"/>
    </row>
    <row r="235" spans="9:9" x14ac:dyDescent="0.15">
      <c r="I235" s="18"/>
    </row>
    <row r="236" spans="9:9" x14ac:dyDescent="0.15">
      <c r="I236" s="18"/>
    </row>
    <row r="237" spans="9:9" x14ac:dyDescent="0.15">
      <c r="I237" s="18"/>
    </row>
    <row r="238" spans="9:9" x14ac:dyDescent="0.15">
      <c r="I238" s="18"/>
    </row>
    <row r="239" spans="9:9" x14ac:dyDescent="0.15">
      <c r="I239" s="18"/>
    </row>
    <row r="240" spans="9:9" x14ac:dyDescent="0.15">
      <c r="I240" s="18"/>
    </row>
    <row r="241" spans="9:9" x14ac:dyDescent="0.15">
      <c r="I241" s="18"/>
    </row>
    <row r="242" spans="9:9" x14ac:dyDescent="0.15">
      <c r="I242" s="18"/>
    </row>
    <row r="243" spans="9:9" x14ac:dyDescent="0.15">
      <c r="I243" s="18"/>
    </row>
    <row r="244" spans="9:9" x14ac:dyDescent="0.15">
      <c r="I244" s="18"/>
    </row>
    <row r="245" spans="9:9" x14ac:dyDescent="0.15">
      <c r="I245" s="18"/>
    </row>
    <row r="246" spans="9:9" x14ac:dyDescent="0.15">
      <c r="I246" s="18"/>
    </row>
    <row r="247" spans="9:9" x14ac:dyDescent="0.15">
      <c r="I247" s="18"/>
    </row>
    <row r="248" spans="9:9" x14ac:dyDescent="0.15">
      <c r="I248" s="18"/>
    </row>
    <row r="249" spans="9:9" x14ac:dyDescent="0.15">
      <c r="I249" s="18"/>
    </row>
    <row r="250" spans="9:9" x14ac:dyDescent="0.15">
      <c r="I250" s="18"/>
    </row>
    <row r="251" spans="9:9" x14ac:dyDescent="0.15">
      <c r="I251" s="18"/>
    </row>
    <row r="252" spans="9:9" x14ac:dyDescent="0.15">
      <c r="I252" s="18"/>
    </row>
    <row r="253" spans="9:9" x14ac:dyDescent="0.15">
      <c r="I253" s="18"/>
    </row>
    <row r="254" spans="9:9" x14ac:dyDescent="0.15">
      <c r="I254" s="18"/>
    </row>
    <row r="255" spans="9:9" x14ac:dyDescent="0.15">
      <c r="I255" s="18"/>
    </row>
    <row r="256" spans="9:9" x14ac:dyDescent="0.15">
      <c r="I256" s="18"/>
    </row>
    <row r="257" spans="9:9" x14ac:dyDescent="0.15">
      <c r="I257" s="18"/>
    </row>
    <row r="258" spans="9:9" x14ac:dyDescent="0.15">
      <c r="I258" s="18"/>
    </row>
    <row r="259" spans="9:9" x14ac:dyDescent="0.15">
      <c r="I259" s="18"/>
    </row>
    <row r="260" spans="9:9" x14ac:dyDescent="0.15">
      <c r="I260" s="18"/>
    </row>
    <row r="261" spans="9:9" x14ac:dyDescent="0.15">
      <c r="I261" s="18"/>
    </row>
    <row r="262" spans="9:9" x14ac:dyDescent="0.15">
      <c r="I262" s="18"/>
    </row>
    <row r="263" spans="9:9" x14ac:dyDescent="0.15">
      <c r="I263" s="18"/>
    </row>
    <row r="264" spans="9:9" x14ac:dyDescent="0.15">
      <c r="I264" s="18"/>
    </row>
    <row r="265" spans="9:9" x14ac:dyDescent="0.15">
      <c r="I265" s="18"/>
    </row>
    <row r="266" spans="9:9" x14ac:dyDescent="0.15">
      <c r="I266" s="18"/>
    </row>
    <row r="267" spans="9:9" x14ac:dyDescent="0.15">
      <c r="I267" s="18"/>
    </row>
    <row r="268" spans="9:9" x14ac:dyDescent="0.15">
      <c r="I268" s="18"/>
    </row>
    <row r="269" spans="9:9" x14ac:dyDescent="0.15">
      <c r="I269" s="18"/>
    </row>
    <row r="270" spans="9:9" x14ac:dyDescent="0.15">
      <c r="I270" s="18"/>
    </row>
    <row r="271" spans="9:9" x14ac:dyDescent="0.15">
      <c r="I271" s="18"/>
    </row>
    <row r="272" spans="9:9" x14ac:dyDescent="0.15">
      <c r="I272" s="18"/>
    </row>
    <row r="273" spans="9:9" x14ac:dyDescent="0.15">
      <c r="I273" s="18"/>
    </row>
    <row r="274" spans="9:9" x14ac:dyDescent="0.15">
      <c r="I274" s="18"/>
    </row>
    <row r="275" spans="9:9" x14ac:dyDescent="0.15">
      <c r="I275" s="18"/>
    </row>
    <row r="276" spans="9:9" x14ac:dyDescent="0.15">
      <c r="I276" s="18"/>
    </row>
    <row r="277" spans="9:9" x14ac:dyDescent="0.15">
      <c r="I277" s="18"/>
    </row>
    <row r="278" spans="9:9" x14ac:dyDescent="0.15">
      <c r="I278" s="18"/>
    </row>
    <row r="279" spans="9:9" x14ac:dyDescent="0.15">
      <c r="I279" s="18"/>
    </row>
    <row r="280" spans="9:9" x14ac:dyDescent="0.15">
      <c r="I280" s="18"/>
    </row>
    <row r="281" spans="9:9" x14ac:dyDescent="0.15">
      <c r="I281" s="18"/>
    </row>
    <row r="282" spans="9:9" x14ac:dyDescent="0.15">
      <c r="I282" s="18"/>
    </row>
    <row r="283" spans="9:9" x14ac:dyDescent="0.15">
      <c r="I283" s="18"/>
    </row>
    <row r="284" spans="9:9" x14ac:dyDescent="0.15">
      <c r="I284" s="18"/>
    </row>
    <row r="285" spans="9:9" x14ac:dyDescent="0.15">
      <c r="I285" s="18"/>
    </row>
    <row r="286" spans="9:9" x14ac:dyDescent="0.15">
      <c r="I286" s="18"/>
    </row>
    <row r="287" spans="9:9" x14ac:dyDescent="0.15">
      <c r="I287" s="18"/>
    </row>
    <row r="288" spans="9:9" x14ac:dyDescent="0.15">
      <c r="I288" s="18"/>
    </row>
    <row r="289" spans="9:9" x14ac:dyDescent="0.15">
      <c r="I289" s="18"/>
    </row>
    <row r="290" spans="9:9" x14ac:dyDescent="0.15">
      <c r="I290" s="18"/>
    </row>
    <row r="291" spans="9:9" x14ac:dyDescent="0.15">
      <c r="I291" s="18"/>
    </row>
    <row r="292" spans="9:9" x14ac:dyDescent="0.15">
      <c r="I292" s="18"/>
    </row>
    <row r="293" spans="9:9" x14ac:dyDescent="0.15">
      <c r="I293" s="18"/>
    </row>
    <row r="294" spans="9:9" x14ac:dyDescent="0.15">
      <c r="I294" s="18"/>
    </row>
    <row r="295" spans="9:9" x14ac:dyDescent="0.15">
      <c r="I295" s="18"/>
    </row>
    <row r="296" spans="9:9" x14ac:dyDescent="0.15">
      <c r="I296" s="18"/>
    </row>
    <row r="297" spans="9:9" x14ac:dyDescent="0.15">
      <c r="I297" s="18"/>
    </row>
    <row r="298" spans="9:9" x14ac:dyDescent="0.15">
      <c r="I298" s="18"/>
    </row>
    <row r="299" spans="9:9" x14ac:dyDescent="0.15">
      <c r="I299" s="18"/>
    </row>
    <row r="300" spans="9:9" x14ac:dyDescent="0.15">
      <c r="I300" s="18"/>
    </row>
    <row r="301" spans="9:9" x14ac:dyDescent="0.15">
      <c r="I301" s="18"/>
    </row>
    <row r="302" spans="9:9" x14ac:dyDescent="0.15">
      <c r="I302" s="18"/>
    </row>
    <row r="303" spans="9:9" x14ac:dyDescent="0.15">
      <c r="I303" s="18"/>
    </row>
    <row r="304" spans="9:9" x14ac:dyDescent="0.15">
      <c r="I304" s="18"/>
    </row>
    <row r="305" spans="9:9" x14ac:dyDescent="0.15">
      <c r="I305" s="18"/>
    </row>
    <row r="306" spans="9:9" x14ac:dyDescent="0.15">
      <c r="I306" s="18"/>
    </row>
    <row r="307" spans="9:9" x14ac:dyDescent="0.15">
      <c r="I307" s="18"/>
    </row>
    <row r="308" spans="9:9" x14ac:dyDescent="0.15">
      <c r="I308" s="18"/>
    </row>
    <row r="309" spans="9:9" x14ac:dyDescent="0.15">
      <c r="I309" s="18"/>
    </row>
    <row r="310" spans="9:9" x14ac:dyDescent="0.15">
      <c r="I310" s="18"/>
    </row>
    <row r="311" spans="9:9" x14ac:dyDescent="0.15">
      <c r="I311" s="18"/>
    </row>
    <row r="312" spans="9:9" x14ac:dyDescent="0.15">
      <c r="I312" s="18"/>
    </row>
    <row r="313" spans="9:9" x14ac:dyDescent="0.15">
      <c r="I313" s="18"/>
    </row>
    <row r="314" spans="9:9" x14ac:dyDescent="0.15">
      <c r="I314" s="18"/>
    </row>
    <row r="315" spans="9:9" x14ac:dyDescent="0.15">
      <c r="I315" s="18"/>
    </row>
    <row r="316" spans="9:9" x14ac:dyDescent="0.15">
      <c r="I316" s="18"/>
    </row>
    <row r="317" spans="9:9" x14ac:dyDescent="0.15">
      <c r="I317" s="18"/>
    </row>
    <row r="318" spans="9:9" x14ac:dyDescent="0.15">
      <c r="I318" s="18"/>
    </row>
    <row r="319" spans="9:9" x14ac:dyDescent="0.15">
      <c r="I319" s="18"/>
    </row>
    <row r="320" spans="9:9" x14ac:dyDescent="0.15">
      <c r="I320" s="18"/>
    </row>
    <row r="321" spans="9:9" x14ac:dyDescent="0.15">
      <c r="I321" s="18"/>
    </row>
    <row r="322" spans="9:9" x14ac:dyDescent="0.15">
      <c r="I322" s="18"/>
    </row>
    <row r="323" spans="9:9" x14ac:dyDescent="0.15">
      <c r="I323" s="18"/>
    </row>
    <row r="324" spans="9:9" x14ac:dyDescent="0.15">
      <c r="I324" s="18"/>
    </row>
    <row r="325" spans="9:9" x14ac:dyDescent="0.15">
      <c r="I325" s="18"/>
    </row>
    <row r="326" spans="9:9" x14ac:dyDescent="0.15">
      <c r="I326" s="18"/>
    </row>
    <row r="327" spans="9:9" x14ac:dyDescent="0.15">
      <c r="I327" s="18"/>
    </row>
    <row r="328" spans="9:9" x14ac:dyDescent="0.15">
      <c r="I328" s="18"/>
    </row>
    <row r="329" spans="9:9" x14ac:dyDescent="0.15">
      <c r="I329" s="18"/>
    </row>
    <row r="330" spans="9:9" x14ac:dyDescent="0.15">
      <c r="I330" s="18"/>
    </row>
    <row r="331" spans="9:9" x14ac:dyDescent="0.15">
      <c r="I331" s="18"/>
    </row>
    <row r="332" spans="9:9" x14ac:dyDescent="0.15">
      <c r="I332" s="18"/>
    </row>
    <row r="333" spans="9:9" x14ac:dyDescent="0.15">
      <c r="I333" s="18"/>
    </row>
    <row r="334" spans="9:9" x14ac:dyDescent="0.15">
      <c r="I334" s="18"/>
    </row>
    <row r="335" spans="9:9" x14ac:dyDescent="0.15">
      <c r="I335" s="18"/>
    </row>
    <row r="336" spans="9:9" x14ac:dyDescent="0.15">
      <c r="I336" s="18"/>
    </row>
    <row r="337" spans="9:9" x14ac:dyDescent="0.15">
      <c r="I337" s="18"/>
    </row>
    <row r="338" spans="9:9" x14ac:dyDescent="0.15">
      <c r="I338" s="18"/>
    </row>
    <row r="339" spans="9:9" x14ac:dyDescent="0.15">
      <c r="I339" s="18"/>
    </row>
    <row r="340" spans="9:9" x14ac:dyDescent="0.15">
      <c r="I340" s="18"/>
    </row>
    <row r="341" spans="9:9" x14ac:dyDescent="0.15">
      <c r="I341" s="18"/>
    </row>
    <row r="342" spans="9:9" x14ac:dyDescent="0.15">
      <c r="I342" s="18"/>
    </row>
    <row r="343" spans="9:9" x14ac:dyDescent="0.15">
      <c r="I343" s="18"/>
    </row>
    <row r="344" spans="9:9" x14ac:dyDescent="0.15">
      <c r="I344" s="18"/>
    </row>
    <row r="345" spans="9:9" x14ac:dyDescent="0.15">
      <c r="I345" s="18"/>
    </row>
    <row r="346" spans="9:9" x14ac:dyDescent="0.15">
      <c r="I346" s="18"/>
    </row>
    <row r="347" spans="9:9" x14ac:dyDescent="0.15">
      <c r="I347" s="18"/>
    </row>
    <row r="348" spans="9:9" x14ac:dyDescent="0.15">
      <c r="I348" s="18"/>
    </row>
    <row r="349" spans="9:9" x14ac:dyDescent="0.15">
      <c r="I349" s="18"/>
    </row>
    <row r="350" spans="9:9" x14ac:dyDescent="0.15">
      <c r="I350" s="18"/>
    </row>
    <row r="351" spans="9:9" x14ac:dyDescent="0.15">
      <c r="I351" s="18"/>
    </row>
    <row r="352" spans="9:9" x14ac:dyDescent="0.15">
      <c r="I352" s="18"/>
    </row>
    <row r="353" spans="9:9" x14ac:dyDescent="0.15">
      <c r="I353" s="18"/>
    </row>
    <row r="354" spans="9:9" x14ac:dyDescent="0.15">
      <c r="I354" s="18"/>
    </row>
    <row r="355" spans="9:9" x14ac:dyDescent="0.15">
      <c r="I355" s="18"/>
    </row>
    <row r="356" spans="9:9" x14ac:dyDescent="0.15">
      <c r="I356" s="18"/>
    </row>
    <row r="357" spans="9:9" x14ac:dyDescent="0.15">
      <c r="I357" s="18"/>
    </row>
    <row r="358" spans="9:9" x14ac:dyDescent="0.15">
      <c r="I358" s="18"/>
    </row>
    <row r="359" spans="9:9" x14ac:dyDescent="0.15">
      <c r="I359" s="18"/>
    </row>
    <row r="360" spans="9:9" x14ac:dyDescent="0.15">
      <c r="I360" s="18"/>
    </row>
    <row r="361" spans="9:9" x14ac:dyDescent="0.15">
      <c r="I361" s="18"/>
    </row>
    <row r="362" spans="9:9" x14ac:dyDescent="0.15">
      <c r="I362" s="18"/>
    </row>
    <row r="363" spans="9:9" x14ac:dyDescent="0.15">
      <c r="I363" s="18"/>
    </row>
    <row r="364" spans="9:9" x14ac:dyDescent="0.15">
      <c r="I364" s="18"/>
    </row>
    <row r="365" spans="9:9" x14ac:dyDescent="0.15">
      <c r="I365" s="18"/>
    </row>
    <row r="366" spans="9:9" x14ac:dyDescent="0.15">
      <c r="I366" s="18"/>
    </row>
    <row r="367" spans="9:9" x14ac:dyDescent="0.15">
      <c r="I367" s="18"/>
    </row>
    <row r="368" spans="9:9" x14ac:dyDescent="0.15">
      <c r="I368" s="18"/>
    </row>
    <row r="369" spans="9:9" x14ac:dyDescent="0.15">
      <c r="I369" s="18"/>
    </row>
    <row r="370" spans="9:9" x14ac:dyDescent="0.15">
      <c r="I370" s="18"/>
    </row>
    <row r="371" spans="9:9" x14ac:dyDescent="0.15">
      <c r="I371" s="18"/>
    </row>
    <row r="372" spans="9:9" x14ac:dyDescent="0.15">
      <c r="I372" s="18"/>
    </row>
    <row r="373" spans="9:9" x14ac:dyDescent="0.15">
      <c r="I373" s="18"/>
    </row>
    <row r="374" spans="9:9" x14ac:dyDescent="0.15">
      <c r="I374" s="18"/>
    </row>
    <row r="375" spans="9:9" x14ac:dyDescent="0.15">
      <c r="I375" s="18"/>
    </row>
    <row r="376" spans="9:9" x14ac:dyDescent="0.15">
      <c r="I376" s="18"/>
    </row>
    <row r="377" spans="9:9" x14ac:dyDescent="0.15">
      <c r="I377" s="18"/>
    </row>
    <row r="378" spans="9:9" x14ac:dyDescent="0.15">
      <c r="I378" s="18"/>
    </row>
    <row r="379" spans="9:9" x14ac:dyDescent="0.15">
      <c r="I379" s="18"/>
    </row>
    <row r="380" spans="9:9" x14ac:dyDescent="0.15">
      <c r="I380" s="18"/>
    </row>
    <row r="381" spans="9:9" x14ac:dyDescent="0.15">
      <c r="I381" s="18"/>
    </row>
    <row r="382" spans="9:9" x14ac:dyDescent="0.15">
      <c r="I382" s="18"/>
    </row>
    <row r="383" spans="9:9" x14ac:dyDescent="0.15">
      <c r="I383" s="18"/>
    </row>
    <row r="384" spans="9:9" x14ac:dyDescent="0.15">
      <c r="I384" s="18"/>
    </row>
    <row r="385" spans="9:9" x14ac:dyDescent="0.15">
      <c r="I385" s="18"/>
    </row>
    <row r="386" spans="9:9" x14ac:dyDescent="0.15">
      <c r="I386" s="18"/>
    </row>
    <row r="387" spans="9:9" x14ac:dyDescent="0.15">
      <c r="I387" s="18"/>
    </row>
    <row r="388" spans="9:9" x14ac:dyDescent="0.15">
      <c r="I388" s="18"/>
    </row>
    <row r="389" spans="9:9" x14ac:dyDescent="0.15">
      <c r="I389" s="18"/>
    </row>
    <row r="390" spans="9:9" x14ac:dyDescent="0.15">
      <c r="I390" s="18"/>
    </row>
    <row r="391" spans="9:9" x14ac:dyDescent="0.15">
      <c r="I391" s="18"/>
    </row>
    <row r="392" spans="9:9" x14ac:dyDescent="0.15">
      <c r="I392" s="18"/>
    </row>
    <row r="393" spans="9:9" x14ac:dyDescent="0.15">
      <c r="I393" s="18"/>
    </row>
    <row r="394" spans="9:9" x14ac:dyDescent="0.15">
      <c r="I394" s="18"/>
    </row>
    <row r="395" spans="9:9" x14ac:dyDescent="0.15">
      <c r="I395" s="18"/>
    </row>
    <row r="396" spans="9:9" x14ac:dyDescent="0.15">
      <c r="I396" s="18"/>
    </row>
    <row r="397" spans="9:9" x14ac:dyDescent="0.15">
      <c r="I397" s="18"/>
    </row>
    <row r="398" spans="9:9" x14ac:dyDescent="0.15">
      <c r="I398" s="18"/>
    </row>
    <row r="399" spans="9:9" x14ac:dyDescent="0.15">
      <c r="I399" s="18"/>
    </row>
    <row r="400" spans="9:9" x14ac:dyDescent="0.15">
      <c r="I400" s="18"/>
    </row>
    <row r="401" spans="9:9" x14ac:dyDescent="0.15">
      <c r="I401" s="18"/>
    </row>
    <row r="402" spans="9:9" x14ac:dyDescent="0.15">
      <c r="I402" s="18"/>
    </row>
    <row r="403" spans="9:9" x14ac:dyDescent="0.15">
      <c r="I403" s="18"/>
    </row>
    <row r="404" spans="9:9" x14ac:dyDescent="0.15">
      <c r="I404" s="18"/>
    </row>
    <row r="405" spans="9:9" x14ac:dyDescent="0.15">
      <c r="I405" s="18"/>
    </row>
    <row r="406" spans="9:9" x14ac:dyDescent="0.15">
      <c r="I406" s="18"/>
    </row>
    <row r="407" spans="9:9" x14ac:dyDescent="0.15">
      <c r="I407" s="18"/>
    </row>
    <row r="408" spans="9:9" x14ac:dyDescent="0.15">
      <c r="I408" s="18"/>
    </row>
    <row r="409" spans="9:9" x14ac:dyDescent="0.15">
      <c r="I409" s="18"/>
    </row>
    <row r="410" spans="9:9" x14ac:dyDescent="0.15">
      <c r="I410" s="18"/>
    </row>
    <row r="411" spans="9:9" x14ac:dyDescent="0.15">
      <c r="I411" s="18"/>
    </row>
    <row r="412" spans="9:9" x14ac:dyDescent="0.15">
      <c r="I412" s="18"/>
    </row>
    <row r="413" spans="9:9" x14ac:dyDescent="0.15">
      <c r="I413" s="18"/>
    </row>
    <row r="414" spans="9:9" x14ac:dyDescent="0.15">
      <c r="I414" s="18"/>
    </row>
    <row r="415" spans="9:9" x14ac:dyDescent="0.15">
      <c r="I415" s="18"/>
    </row>
    <row r="416" spans="9:9" x14ac:dyDescent="0.15">
      <c r="I416" s="18"/>
    </row>
    <row r="417" spans="9:9" x14ac:dyDescent="0.15">
      <c r="I417" s="18"/>
    </row>
    <row r="418" spans="9:9" x14ac:dyDescent="0.15">
      <c r="I418" s="18"/>
    </row>
    <row r="419" spans="9:9" x14ac:dyDescent="0.15">
      <c r="I419" s="18"/>
    </row>
    <row r="420" spans="9:9" x14ac:dyDescent="0.15">
      <c r="I420" s="18"/>
    </row>
    <row r="421" spans="9:9" x14ac:dyDescent="0.15">
      <c r="I421" s="18"/>
    </row>
    <row r="422" spans="9:9" x14ac:dyDescent="0.15">
      <c r="I422" s="18"/>
    </row>
    <row r="423" spans="9:9" x14ac:dyDescent="0.15">
      <c r="I423" s="18"/>
    </row>
    <row r="424" spans="9:9" x14ac:dyDescent="0.15">
      <c r="I424" s="18"/>
    </row>
    <row r="425" spans="9:9" x14ac:dyDescent="0.15">
      <c r="I425" s="18"/>
    </row>
    <row r="426" spans="9:9" x14ac:dyDescent="0.15">
      <c r="I426" s="18"/>
    </row>
    <row r="427" spans="9:9" x14ac:dyDescent="0.15">
      <c r="I427" s="18"/>
    </row>
    <row r="428" spans="9:9" x14ac:dyDescent="0.15">
      <c r="I428" s="18"/>
    </row>
    <row r="429" spans="9:9" x14ac:dyDescent="0.15">
      <c r="I429" s="18"/>
    </row>
    <row r="430" spans="9:9" x14ac:dyDescent="0.15">
      <c r="I430" s="18"/>
    </row>
    <row r="431" spans="9:9" x14ac:dyDescent="0.15">
      <c r="I431" s="18"/>
    </row>
    <row r="432" spans="9:9" x14ac:dyDescent="0.15">
      <c r="I432" s="18"/>
    </row>
    <row r="433" spans="9:9" x14ac:dyDescent="0.15">
      <c r="I433" s="18"/>
    </row>
    <row r="434" spans="9:9" x14ac:dyDescent="0.15">
      <c r="I434" s="18"/>
    </row>
    <row r="435" spans="9:9" x14ac:dyDescent="0.15">
      <c r="I435" s="18"/>
    </row>
    <row r="436" spans="9:9" x14ac:dyDescent="0.15">
      <c r="I436" s="18"/>
    </row>
    <row r="437" spans="9:9" x14ac:dyDescent="0.15">
      <c r="I437" s="18"/>
    </row>
    <row r="438" spans="9:9" x14ac:dyDescent="0.15">
      <c r="I438" s="18"/>
    </row>
    <row r="439" spans="9:9" x14ac:dyDescent="0.15">
      <c r="I439" s="18"/>
    </row>
    <row r="440" spans="9:9" x14ac:dyDescent="0.15">
      <c r="I440" s="18"/>
    </row>
    <row r="441" spans="9:9" x14ac:dyDescent="0.15">
      <c r="I441" s="18"/>
    </row>
    <row r="442" spans="9:9" x14ac:dyDescent="0.15">
      <c r="I442" s="18"/>
    </row>
    <row r="443" spans="9:9" x14ac:dyDescent="0.15">
      <c r="I443" s="18"/>
    </row>
    <row r="444" spans="9:9" x14ac:dyDescent="0.15">
      <c r="I444" s="18"/>
    </row>
    <row r="445" spans="9:9" x14ac:dyDescent="0.15">
      <c r="I445" s="18"/>
    </row>
    <row r="446" spans="9:9" x14ac:dyDescent="0.15">
      <c r="I446" s="18"/>
    </row>
    <row r="447" spans="9:9" x14ac:dyDescent="0.15">
      <c r="I447" s="18"/>
    </row>
    <row r="448" spans="9:9" x14ac:dyDescent="0.15">
      <c r="I448" s="18"/>
    </row>
    <row r="449" spans="9:9" x14ac:dyDescent="0.15">
      <c r="I449" s="18"/>
    </row>
    <row r="450" spans="9:9" x14ac:dyDescent="0.15">
      <c r="I450" s="18"/>
    </row>
    <row r="451" spans="9:9" x14ac:dyDescent="0.15">
      <c r="I451" s="18"/>
    </row>
    <row r="452" spans="9:9" x14ac:dyDescent="0.15">
      <c r="I452" s="18"/>
    </row>
    <row r="453" spans="9:9" x14ac:dyDescent="0.15">
      <c r="I453" s="18"/>
    </row>
    <row r="454" spans="9:9" x14ac:dyDescent="0.15">
      <c r="I454" s="18"/>
    </row>
    <row r="455" spans="9:9" x14ac:dyDescent="0.15">
      <c r="I455" s="18"/>
    </row>
    <row r="456" spans="9:9" x14ac:dyDescent="0.15">
      <c r="I456" s="18"/>
    </row>
    <row r="457" spans="9:9" x14ac:dyDescent="0.15">
      <c r="I457" s="18"/>
    </row>
    <row r="458" spans="9:9" x14ac:dyDescent="0.15">
      <c r="I458" s="18"/>
    </row>
    <row r="459" spans="9:9" x14ac:dyDescent="0.15">
      <c r="I459" s="18"/>
    </row>
    <row r="460" spans="9:9" x14ac:dyDescent="0.15">
      <c r="I460" s="18"/>
    </row>
    <row r="461" spans="9:9" x14ac:dyDescent="0.15">
      <c r="I461" s="18"/>
    </row>
    <row r="462" spans="9:9" x14ac:dyDescent="0.15">
      <c r="I462" s="18"/>
    </row>
    <row r="463" spans="9:9" x14ac:dyDescent="0.15">
      <c r="I463" s="18"/>
    </row>
    <row r="464" spans="9:9" x14ac:dyDescent="0.15">
      <c r="I464" s="18"/>
    </row>
    <row r="465" spans="9:9" x14ac:dyDescent="0.15">
      <c r="I465" s="18"/>
    </row>
    <row r="466" spans="9:9" x14ac:dyDescent="0.15">
      <c r="I466" s="18"/>
    </row>
    <row r="467" spans="9:9" x14ac:dyDescent="0.15">
      <c r="I467" s="18"/>
    </row>
    <row r="468" spans="9:9" x14ac:dyDescent="0.15">
      <c r="I468" s="18"/>
    </row>
    <row r="469" spans="9:9" x14ac:dyDescent="0.15">
      <c r="I469" s="18"/>
    </row>
    <row r="470" spans="9:9" x14ac:dyDescent="0.15">
      <c r="I470" s="18"/>
    </row>
    <row r="471" spans="9:9" x14ac:dyDescent="0.15">
      <c r="I471" s="18"/>
    </row>
    <row r="472" spans="9:9" x14ac:dyDescent="0.15">
      <c r="I472" s="18"/>
    </row>
    <row r="473" spans="9:9" x14ac:dyDescent="0.15">
      <c r="I473" s="18"/>
    </row>
    <row r="474" spans="9:9" x14ac:dyDescent="0.15">
      <c r="I474" s="18"/>
    </row>
    <row r="475" spans="9:9" x14ac:dyDescent="0.15">
      <c r="I475" s="18"/>
    </row>
    <row r="476" spans="9:9" x14ac:dyDescent="0.15">
      <c r="I476" s="18"/>
    </row>
    <row r="477" spans="9:9" x14ac:dyDescent="0.15">
      <c r="I477" s="18"/>
    </row>
    <row r="478" spans="9:9" x14ac:dyDescent="0.15">
      <c r="I478" s="18"/>
    </row>
    <row r="479" spans="9:9" x14ac:dyDescent="0.15">
      <c r="I479" s="18"/>
    </row>
    <row r="480" spans="9:9" x14ac:dyDescent="0.15">
      <c r="I480" s="18"/>
    </row>
    <row r="481" spans="9:9" x14ac:dyDescent="0.15">
      <c r="I481" s="18"/>
    </row>
    <row r="482" spans="9:9" x14ac:dyDescent="0.15">
      <c r="I482" s="18"/>
    </row>
    <row r="483" spans="9:9" x14ac:dyDescent="0.15">
      <c r="I483" s="18"/>
    </row>
    <row r="484" spans="9:9" x14ac:dyDescent="0.15">
      <c r="I484" s="18"/>
    </row>
    <row r="485" spans="9:9" x14ac:dyDescent="0.15">
      <c r="I485" s="18"/>
    </row>
    <row r="486" spans="9:9" x14ac:dyDescent="0.15">
      <c r="I486" s="18"/>
    </row>
    <row r="487" spans="9:9" x14ac:dyDescent="0.15">
      <c r="I487" s="18"/>
    </row>
    <row r="488" spans="9:9" x14ac:dyDescent="0.15">
      <c r="I488" s="18"/>
    </row>
    <row r="489" spans="9:9" x14ac:dyDescent="0.15">
      <c r="I489" s="18"/>
    </row>
    <row r="490" spans="9:9" x14ac:dyDescent="0.15">
      <c r="I490" s="18"/>
    </row>
    <row r="491" spans="9:9" x14ac:dyDescent="0.15">
      <c r="I491" s="18"/>
    </row>
    <row r="492" spans="9:9" x14ac:dyDescent="0.15">
      <c r="I492" s="18"/>
    </row>
    <row r="493" spans="9:9" x14ac:dyDescent="0.15">
      <c r="I493" s="18"/>
    </row>
    <row r="494" spans="9:9" x14ac:dyDescent="0.15">
      <c r="I494" s="18"/>
    </row>
    <row r="495" spans="9:9" x14ac:dyDescent="0.15">
      <c r="I495" s="18"/>
    </row>
    <row r="496" spans="9:9" x14ac:dyDescent="0.15">
      <c r="I496" s="18"/>
    </row>
    <row r="497" spans="9:9" x14ac:dyDescent="0.15">
      <c r="I497" s="18"/>
    </row>
    <row r="498" spans="9:9" x14ac:dyDescent="0.15">
      <c r="I498" s="18"/>
    </row>
    <row r="499" spans="9:9" x14ac:dyDescent="0.15">
      <c r="I499" s="18"/>
    </row>
    <row r="500" spans="9:9" x14ac:dyDescent="0.15">
      <c r="I500" s="18"/>
    </row>
    <row r="501" spans="9:9" x14ac:dyDescent="0.15">
      <c r="I501" s="18"/>
    </row>
    <row r="502" spans="9:9" x14ac:dyDescent="0.15">
      <c r="I502" s="18"/>
    </row>
    <row r="503" spans="9:9" x14ac:dyDescent="0.15">
      <c r="I503" s="18"/>
    </row>
    <row r="504" spans="9:9" x14ac:dyDescent="0.15">
      <c r="I504" s="18"/>
    </row>
    <row r="505" spans="9:9" x14ac:dyDescent="0.15">
      <c r="I505" s="18"/>
    </row>
    <row r="506" spans="9:9" x14ac:dyDescent="0.15">
      <c r="I506" s="18"/>
    </row>
    <row r="507" spans="9:9" x14ac:dyDescent="0.15">
      <c r="I507" s="18"/>
    </row>
    <row r="508" spans="9:9" x14ac:dyDescent="0.15">
      <c r="I508" s="18"/>
    </row>
    <row r="509" spans="9:9" x14ac:dyDescent="0.15">
      <c r="I509" s="18"/>
    </row>
    <row r="510" spans="9:9" x14ac:dyDescent="0.15">
      <c r="I510" s="18"/>
    </row>
    <row r="511" spans="9:9" x14ac:dyDescent="0.15">
      <c r="I511" s="18"/>
    </row>
    <row r="512" spans="9:9" x14ac:dyDescent="0.15">
      <c r="I512" s="18"/>
    </row>
    <row r="513" spans="9:9" x14ac:dyDescent="0.15">
      <c r="I513" s="18"/>
    </row>
    <row r="514" spans="9:9" x14ac:dyDescent="0.15">
      <c r="I514" s="18"/>
    </row>
    <row r="515" spans="9:9" x14ac:dyDescent="0.15">
      <c r="I515" s="18"/>
    </row>
    <row r="516" spans="9:9" x14ac:dyDescent="0.15">
      <c r="I516" s="18"/>
    </row>
    <row r="517" spans="9:9" x14ac:dyDescent="0.15">
      <c r="I517" s="18"/>
    </row>
    <row r="518" spans="9:9" x14ac:dyDescent="0.15">
      <c r="I518" s="18"/>
    </row>
    <row r="519" spans="9:9" x14ac:dyDescent="0.15">
      <c r="I519" s="18"/>
    </row>
    <row r="520" spans="9:9" x14ac:dyDescent="0.15">
      <c r="I520" s="18"/>
    </row>
    <row r="521" spans="9:9" x14ac:dyDescent="0.15">
      <c r="I521" s="18"/>
    </row>
    <row r="522" spans="9:9" x14ac:dyDescent="0.15">
      <c r="I522" s="18"/>
    </row>
    <row r="523" spans="9:9" x14ac:dyDescent="0.15">
      <c r="I523" s="18"/>
    </row>
    <row r="524" spans="9:9" x14ac:dyDescent="0.15">
      <c r="I524" s="18"/>
    </row>
    <row r="525" spans="9:9" x14ac:dyDescent="0.15">
      <c r="I525" s="18"/>
    </row>
    <row r="526" spans="9:9" x14ac:dyDescent="0.15">
      <c r="I526" s="18"/>
    </row>
    <row r="527" spans="9:9" x14ac:dyDescent="0.15">
      <c r="I527" s="18"/>
    </row>
    <row r="528" spans="9:9" x14ac:dyDescent="0.15">
      <c r="I528" s="18"/>
    </row>
    <row r="529" spans="9:9" x14ac:dyDescent="0.15">
      <c r="I529" s="18"/>
    </row>
    <row r="530" spans="9:9" x14ac:dyDescent="0.15">
      <c r="I530" s="18"/>
    </row>
    <row r="531" spans="9:9" x14ac:dyDescent="0.15">
      <c r="I531" s="18"/>
    </row>
    <row r="532" spans="9:9" x14ac:dyDescent="0.15">
      <c r="I532" s="18"/>
    </row>
    <row r="533" spans="9:9" x14ac:dyDescent="0.15">
      <c r="I533" s="18"/>
    </row>
    <row r="534" spans="9:9" x14ac:dyDescent="0.15">
      <c r="I534" s="18"/>
    </row>
    <row r="535" spans="9:9" x14ac:dyDescent="0.15">
      <c r="I535" s="18"/>
    </row>
    <row r="536" spans="9:9" x14ac:dyDescent="0.15">
      <c r="I536" s="18"/>
    </row>
    <row r="537" spans="9:9" x14ac:dyDescent="0.15">
      <c r="I537" s="18"/>
    </row>
    <row r="538" spans="9:9" x14ac:dyDescent="0.15">
      <c r="I538" s="18"/>
    </row>
    <row r="539" spans="9:9" x14ac:dyDescent="0.15">
      <c r="I539" s="18"/>
    </row>
    <row r="540" spans="9:9" x14ac:dyDescent="0.15">
      <c r="I540" s="18"/>
    </row>
    <row r="541" spans="9:9" x14ac:dyDescent="0.15">
      <c r="I541" s="18"/>
    </row>
    <row r="542" spans="9:9" x14ac:dyDescent="0.15">
      <c r="I542" s="18"/>
    </row>
    <row r="543" spans="9:9" x14ac:dyDescent="0.15">
      <c r="I543" s="18"/>
    </row>
    <row r="544" spans="9:9" x14ac:dyDescent="0.15">
      <c r="I544" s="18"/>
    </row>
    <row r="545" spans="9:9" x14ac:dyDescent="0.15">
      <c r="I545" s="18"/>
    </row>
    <row r="546" spans="9:9" x14ac:dyDescent="0.15">
      <c r="I546" s="18"/>
    </row>
    <row r="547" spans="9:9" x14ac:dyDescent="0.15">
      <c r="I547" s="18"/>
    </row>
    <row r="548" spans="9:9" x14ac:dyDescent="0.15">
      <c r="I548" s="18"/>
    </row>
    <row r="549" spans="9:9" x14ac:dyDescent="0.15">
      <c r="I549" s="18"/>
    </row>
    <row r="550" spans="9:9" x14ac:dyDescent="0.15">
      <c r="I550" s="18"/>
    </row>
    <row r="551" spans="9:9" x14ac:dyDescent="0.15">
      <c r="I551" s="18"/>
    </row>
    <row r="552" spans="9:9" x14ac:dyDescent="0.15">
      <c r="I552" s="18"/>
    </row>
    <row r="553" spans="9:9" x14ac:dyDescent="0.15">
      <c r="I553" s="18"/>
    </row>
    <row r="554" spans="9:9" x14ac:dyDescent="0.15">
      <c r="I554" s="18"/>
    </row>
    <row r="555" spans="9:9" x14ac:dyDescent="0.15">
      <c r="I555" s="18"/>
    </row>
    <row r="556" spans="9:9" x14ac:dyDescent="0.15">
      <c r="I556" s="18"/>
    </row>
    <row r="557" spans="9:9" x14ac:dyDescent="0.15">
      <c r="I557" s="18"/>
    </row>
    <row r="558" spans="9:9" x14ac:dyDescent="0.15">
      <c r="I558" s="18"/>
    </row>
    <row r="559" spans="9:9" x14ac:dyDescent="0.15">
      <c r="I559" s="18"/>
    </row>
    <row r="560" spans="9:9" x14ac:dyDescent="0.15">
      <c r="I560" s="18"/>
    </row>
    <row r="561" spans="9:9" x14ac:dyDescent="0.15">
      <c r="I561" s="18"/>
    </row>
    <row r="562" spans="9:9" x14ac:dyDescent="0.15">
      <c r="I562" s="18"/>
    </row>
    <row r="563" spans="9:9" x14ac:dyDescent="0.15">
      <c r="I563" s="18"/>
    </row>
    <row r="564" spans="9:9" x14ac:dyDescent="0.15">
      <c r="I564" s="18"/>
    </row>
    <row r="565" spans="9:9" x14ac:dyDescent="0.15">
      <c r="I565" s="18"/>
    </row>
    <row r="566" spans="9:9" x14ac:dyDescent="0.15">
      <c r="I566" s="18"/>
    </row>
    <row r="567" spans="9:9" x14ac:dyDescent="0.15">
      <c r="I567" s="18"/>
    </row>
    <row r="568" spans="9:9" x14ac:dyDescent="0.15">
      <c r="I568" s="18"/>
    </row>
    <row r="569" spans="9:9" x14ac:dyDescent="0.15">
      <c r="I569" s="18"/>
    </row>
    <row r="570" spans="9:9" x14ac:dyDescent="0.15">
      <c r="I570" s="18"/>
    </row>
    <row r="571" spans="9:9" x14ac:dyDescent="0.15">
      <c r="I571" s="18"/>
    </row>
    <row r="572" spans="9:9" x14ac:dyDescent="0.15">
      <c r="I572" s="18"/>
    </row>
    <row r="573" spans="9:9" x14ac:dyDescent="0.15">
      <c r="I573" s="18"/>
    </row>
    <row r="574" spans="9:9" x14ac:dyDescent="0.15">
      <c r="I574" s="18"/>
    </row>
    <row r="575" spans="9:9" x14ac:dyDescent="0.15">
      <c r="I575" s="18"/>
    </row>
    <row r="576" spans="9:9" x14ac:dyDescent="0.15">
      <c r="I576" s="18"/>
    </row>
    <row r="577" spans="9:9" x14ac:dyDescent="0.15">
      <c r="I577" s="18"/>
    </row>
    <row r="578" spans="9:9" x14ac:dyDescent="0.15">
      <c r="I578" s="18"/>
    </row>
    <row r="579" spans="9:9" x14ac:dyDescent="0.15">
      <c r="I579" s="18"/>
    </row>
    <row r="580" spans="9:9" x14ac:dyDescent="0.15">
      <c r="I580" s="18"/>
    </row>
    <row r="581" spans="9:9" x14ac:dyDescent="0.15">
      <c r="I581" s="18"/>
    </row>
    <row r="582" spans="9:9" x14ac:dyDescent="0.15">
      <c r="I582" s="18"/>
    </row>
    <row r="583" spans="9:9" x14ac:dyDescent="0.15">
      <c r="I583" s="18"/>
    </row>
    <row r="584" spans="9:9" x14ac:dyDescent="0.15">
      <c r="I584" s="18"/>
    </row>
    <row r="585" spans="9:9" x14ac:dyDescent="0.15">
      <c r="I585" s="18"/>
    </row>
    <row r="586" spans="9:9" x14ac:dyDescent="0.15">
      <c r="I586" s="18"/>
    </row>
    <row r="587" spans="9:9" x14ac:dyDescent="0.15">
      <c r="I587" s="18"/>
    </row>
    <row r="588" spans="9:9" x14ac:dyDescent="0.15">
      <c r="I588" s="18"/>
    </row>
    <row r="589" spans="9:9" x14ac:dyDescent="0.15">
      <c r="I589" s="18"/>
    </row>
    <row r="590" spans="9:9" x14ac:dyDescent="0.15">
      <c r="I590" s="18"/>
    </row>
    <row r="591" spans="9:9" x14ac:dyDescent="0.15">
      <c r="I591" s="18"/>
    </row>
    <row r="592" spans="9:9" x14ac:dyDescent="0.15">
      <c r="I592" s="18"/>
    </row>
    <row r="593" spans="9:9" x14ac:dyDescent="0.15">
      <c r="I593" s="18"/>
    </row>
    <row r="594" spans="9:9" x14ac:dyDescent="0.15">
      <c r="I594" s="18"/>
    </row>
    <row r="595" spans="9:9" x14ac:dyDescent="0.15">
      <c r="I595" s="18"/>
    </row>
    <row r="596" spans="9:9" x14ac:dyDescent="0.15">
      <c r="I596" s="18"/>
    </row>
    <row r="597" spans="9:9" x14ac:dyDescent="0.15">
      <c r="I597" s="18"/>
    </row>
    <row r="598" spans="9:9" x14ac:dyDescent="0.15">
      <c r="I598" s="18"/>
    </row>
    <row r="599" spans="9:9" x14ac:dyDescent="0.15">
      <c r="I599" s="18"/>
    </row>
    <row r="600" spans="9:9" x14ac:dyDescent="0.15">
      <c r="I600" s="18"/>
    </row>
    <row r="601" spans="9:9" x14ac:dyDescent="0.15">
      <c r="I601" s="18"/>
    </row>
    <row r="602" spans="9:9" x14ac:dyDescent="0.15">
      <c r="I602" s="18"/>
    </row>
    <row r="603" spans="9:9" x14ac:dyDescent="0.15">
      <c r="I603" s="18"/>
    </row>
    <row r="604" spans="9:9" x14ac:dyDescent="0.15">
      <c r="I604" s="18"/>
    </row>
    <row r="605" spans="9:9" x14ac:dyDescent="0.15">
      <c r="I605" s="18"/>
    </row>
    <row r="606" spans="9:9" x14ac:dyDescent="0.15">
      <c r="I606" s="18"/>
    </row>
    <row r="607" spans="9:9" x14ac:dyDescent="0.15">
      <c r="I607" s="18"/>
    </row>
    <row r="608" spans="9:9" x14ac:dyDescent="0.15">
      <c r="I608" s="18"/>
    </row>
    <row r="609" spans="9:9" x14ac:dyDescent="0.15">
      <c r="I609" s="18"/>
    </row>
    <row r="610" spans="9:9" x14ac:dyDescent="0.15">
      <c r="I610" s="18"/>
    </row>
    <row r="611" spans="9:9" x14ac:dyDescent="0.15">
      <c r="I611" s="18"/>
    </row>
    <row r="612" spans="9:9" x14ac:dyDescent="0.15">
      <c r="I612" s="18"/>
    </row>
    <row r="613" spans="9:9" x14ac:dyDescent="0.15">
      <c r="I613" s="18"/>
    </row>
    <row r="614" spans="9:9" x14ac:dyDescent="0.15">
      <c r="I614" s="18"/>
    </row>
    <row r="615" spans="9:9" x14ac:dyDescent="0.15">
      <c r="I615" s="18"/>
    </row>
    <row r="616" spans="9:9" x14ac:dyDescent="0.15">
      <c r="I616" s="18"/>
    </row>
    <row r="617" spans="9:9" x14ac:dyDescent="0.15">
      <c r="I617" s="18"/>
    </row>
    <row r="618" spans="9:9" x14ac:dyDescent="0.15">
      <c r="I618" s="18"/>
    </row>
    <row r="619" spans="9:9" x14ac:dyDescent="0.15">
      <c r="I619" s="18"/>
    </row>
    <row r="620" spans="9:9" x14ac:dyDescent="0.15">
      <c r="I620" s="18"/>
    </row>
    <row r="621" spans="9:9" x14ac:dyDescent="0.15">
      <c r="I621" s="18"/>
    </row>
    <row r="622" spans="9:9" x14ac:dyDescent="0.15">
      <c r="I622" s="18"/>
    </row>
    <row r="623" spans="9:9" x14ac:dyDescent="0.15">
      <c r="I623" s="18"/>
    </row>
    <row r="624" spans="9:9" x14ac:dyDescent="0.15">
      <c r="I624" s="18"/>
    </row>
    <row r="625" spans="9:9" x14ac:dyDescent="0.15">
      <c r="I625" s="18"/>
    </row>
    <row r="626" spans="9:9" x14ac:dyDescent="0.15">
      <c r="I626" s="18"/>
    </row>
    <row r="627" spans="9:9" x14ac:dyDescent="0.15">
      <c r="I627" s="18"/>
    </row>
    <row r="628" spans="9:9" x14ac:dyDescent="0.15">
      <c r="I628" s="18"/>
    </row>
    <row r="629" spans="9:9" x14ac:dyDescent="0.15">
      <c r="I629" s="18"/>
    </row>
    <row r="630" spans="9:9" x14ac:dyDescent="0.15">
      <c r="I630" s="18"/>
    </row>
    <row r="631" spans="9:9" x14ac:dyDescent="0.15">
      <c r="I631" s="18"/>
    </row>
    <row r="632" spans="9:9" x14ac:dyDescent="0.15">
      <c r="I632" s="18"/>
    </row>
    <row r="633" spans="9:9" x14ac:dyDescent="0.15">
      <c r="I633" s="18"/>
    </row>
    <row r="634" spans="9:9" x14ac:dyDescent="0.15">
      <c r="I634" s="18"/>
    </row>
    <row r="635" spans="9:9" x14ac:dyDescent="0.15">
      <c r="I635" s="18"/>
    </row>
    <row r="636" spans="9:9" x14ac:dyDescent="0.15">
      <c r="I636" s="18"/>
    </row>
    <row r="637" spans="9:9" x14ac:dyDescent="0.15">
      <c r="I637" s="18"/>
    </row>
    <row r="638" spans="9:9" x14ac:dyDescent="0.15">
      <c r="I638" s="18"/>
    </row>
    <row r="639" spans="9:9" x14ac:dyDescent="0.15">
      <c r="I639" s="18"/>
    </row>
    <row r="640" spans="9:9" x14ac:dyDescent="0.15">
      <c r="I640" s="18"/>
    </row>
    <row r="641" spans="9:9" x14ac:dyDescent="0.15">
      <c r="I641" s="18"/>
    </row>
    <row r="642" spans="9:9" x14ac:dyDescent="0.15">
      <c r="I642" s="18"/>
    </row>
    <row r="643" spans="9:9" x14ac:dyDescent="0.15">
      <c r="I643" s="18"/>
    </row>
    <row r="644" spans="9:9" x14ac:dyDescent="0.15">
      <c r="I644" s="18"/>
    </row>
    <row r="645" spans="9:9" x14ac:dyDescent="0.15">
      <c r="I645" s="18"/>
    </row>
    <row r="646" spans="9:9" x14ac:dyDescent="0.15">
      <c r="I646" s="18"/>
    </row>
    <row r="647" spans="9:9" x14ac:dyDescent="0.15">
      <c r="I647" s="18"/>
    </row>
    <row r="648" spans="9:9" x14ac:dyDescent="0.15">
      <c r="I648" s="18"/>
    </row>
    <row r="649" spans="9:9" x14ac:dyDescent="0.15">
      <c r="I649" s="18"/>
    </row>
    <row r="650" spans="9:9" x14ac:dyDescent="0.15">
      <c r="I650" s="18"/>
    </row>
    <row r="651" spans="9:9" x14ac:dyDescent="0.15">
      <c r="I651" s="18"/>
    </row>
    <row r="652" spans="9:9" x14ac:dyDescent="0.15">
      <c r="I652" s="18"/>
    </row>
    <row r="653" spans="9:9" x14ac:dyDescent="0.15">
      <c r="I653" s="18"/>
    </row>
    <row r="654" spans="9:9" x14ac:dyDescent="0.15">
      <c r="I654" s="18"/>
    </row>
    <row r="655" spans="9:9" x14ac:dyDescent="0.15">
      <c r="I655" s="18"/>
    </row>
    <row r="656" spans="9:9" x14ac:dyDescent="0.15">
      <c r="I656" s="18"/>
    </row>
    <row r="657" spans="9:9" x14ac:dyDescent="0.15">
      <c r="I657" s="18"/>
    </row>
    <row r="658" spans="9:9" x14ac:dyDescent="0.15">
      <c r="I658" s="18"/>
    </row>
    <row r="659" spans="9:9" x14ac:dyDescent="0.15">
      <c r="I659" s="18"/>
    </row>
    <row r="660" spans="9:9" x14ac:dyDescent="0.15">
      <c r="I660" s="18"/>
    </row>
    <row r="661" spans="9:9" x14ac:dyDescent="0.15">
      <c r="I661" s="18"/>
    </row>
    <row r="662" spans="9:9" x14ac:dyDescent="0.15">
      <c r="I662" s="18"/>
    </row>
    <row r="663" spans="9:9" x14ac:dyDescent="0.15">
      <c r="I663" s="18"/>
    </row>
    <row r="664" spans="9:9" x14ac:dyDescent="0.15">
      <c r="I664" s="18"/>
    </row>
    <row r="665" spans="9:9" x14ac:dyDescent="0.15">
      <c r="I665" s="18"/>
    </row>
    <row r="666" spans="9:9" x14ac:dyDescent="0.15">
      <c r="I666" s="18"/>
    </row>
    <row r="667" spans="9:9" x14ac:dyDescent="0.15">
      <c r="I667" s="18"/>
    </row>
    <row r="668" spans="9:9" x14ac:dyDescent="0.15">
      <c r="I668" s="18"/>
    </row>
    <row r="669" spans="9:9" x14ac:dyDescent="0.15">
      <c r="I669" s="18"/>
    </row>
    <row r="670" spans="9:9" x14ac:dyDescent="0.15">
      <c r="I670" s="18"/>
    </row>
    <row r="671" spans="9:9" x14ac:dyDescent="0.15">
      <c r="I671" s="18"/>
    </row>
    <row r="672" spans="9:9" x14ac:dyDescent="0.15">
      <c r="I672" s="18"/>
    </row>
    <row r="673" spans="9:9" x14ac:dyDescent="0.15">
      <c r="I673" s="18"/>
    </row>
    <row r="674" spans="9:9" x14ac:dyDescent="0.15">
      <c r="I674" s="18"/>
    </row>
    <row r="675" spans="9:9" x14ac:dyDescent="0.15">
      <c r="I675" s="18"/>
    </row>
    <row r="676" spans="9:9" x14ac:dyDescent="0.15">
      <c r="I676" s="18"/>
    </row>
    <row r="677" spans="9:9" x14ac:dyDescent="0.15">
      <c r="I677" s="18"/>
    </row>
    <row r="678" spans="9:9" x14ac:dyDescent="0.15">
      <c r="I678" s="18"/>
    </row>
    <row r="679" spans="9:9" x14ac:dyDescent="0.15">
      <c r="I679" s="18"/>
    </row>
    <row r="680" spans="9:9" x14ac:dyDescent="0.15">
      <c r="I680" s="18"/>
    </row>
    <row r="681" spans="9:9" x14ac:dyDescent="0.15">
      <c r="I681" s="18"/>
    </row>
    <row r="682" spans="9:9" x14ac:dyDescent="0.15">
      <c r="I682" s="18"/>
    </row>
    <row r="683" spans="9:9" x14ac:dyDescent="0.15">
      <c r="I683" s="18"/>
    </row>
    <row r="684" spans="9:9" x14ac:dyDescent="0.15">
      <c r="I684" s="18"/>
    </row>
    <row r="685" spans="9:9" x14ac:dyDescent="0.15">
      <c r="I685" s="18"/>
    </row>
    <row r="686" spans="9:9" x14ac:dyDescent="0.15">
      <c r="I686" s="18"/>
    </row>
    <row r="687" spans="9:9" x14ac:dyDescent="0.15">
      <c r="I687" s="18"/>
    </row>
    <row r="688" spans="9:9" x14ac:dyDescent="0.15">
      <c r="I688" s="18"/>
    </row>
    <row r="689" spans="9:9" x14ac:dyDescent="0.15">
      <c r="I689" s="18"/>
    </row>
    <row r="690" spans="9:9" x14ac:dyDescent="0.15">
      <c r="I690" s="18"/>
    </row>
    <row r="691" spans="9:9" x14ac:dyDescent="0.15">
      <c r="I691" s="18"/>
    </row>
    <row r="692" spans="9:9" x14ac:dyDescent="0.15">
      <c r="I692" s="18"/>
    </row>
    <row r="693" spans="9:9" x14ac:dyDescent="0.15">
      <c r="I693" s="18"/>
    </row>
    <row r="694" spans="9:9" x14ac:dyDescent="0.15">
      <c r="I694" s="18"/>
    </row>
    <row r="695" spans="9:9" x14ac:dyDescent="0.15">
      <c r="I695" s="18"/>
    </row>
    <row r="696" spans="9:9" x14ac:dyDescent="0.15">
      <c r="I696" s="18"/>
    </row>
    <row r="697" spans="9:9" x14ac:dyDescent="0.15">
      <c r="I697" s="18"/>
    </row>
    <row r="698" spans="9:9" x14ac:dyDescent="0.15">
      <c r="I698" s="18"/>
    </row>
    <row r="699" spans="9:9" x14ac:dyDescent="0.15">
      <c r="I699" s="18"/>
    </row>
    <row r="700" spans="9:9" x14ac:dyDescent="0.15">
      <c r="I700" s="18"/>
    </row>
    <row r="701" spans="9:9" x14ac:dyDescent="0.15">
      <c r="I701" s="18"/>
    </row>
    <row r="702" spans="9:9" x14ac:dyDescent="0.15">
      <c r="I702" s="18"/>
    </row>
    <row r="703" spans="9:9" x14ac:dyDescent="0.15">
      <c r="I703" s="18"/>
    </row>
    <row r="704" spans="9:9" x14ac:dyDescent="0.15">
      <c r="I704" s="18"/>
    </row>
    <row r="705" spans="9:9" x14ac:dyDescent="0.15">
      <c r="I705" s="18"/>
    </row>
    <row r="706" spans="9:9" x14ac:dyDescent="0.15">
      <c r="I706" s="18"/>
    </row>
    <row r="707" spans="9:9" x14ac:dyDescent="0.15">
      <c r="I707" s="18"/>
    </row>
    <row r="708" spans="9:9" x14ac:dyDescent="0.15">
      <c r="I708" s="18"/>
    </row>
    <row r="709" spans="9:9" x14ac:dyDescent="0.15">
      <c r="I709" s="18"/>
    </row>
    <row r="710" spans="9:9" x14ac:dyDescent="0.15">
      <c r="I710" s="18"/>
    </row>
    <row r="711" spans="9:9" x14ac:dyDescent="0.15">
      <c r="I711" s="18"/>
    </row>
    <row r="712" spans="9:9" x14ac:dyDescent="0.15">
      <c r="I712" s="18"/>
    </row>
    <row r="713" spans="9:9" x14ac:dyDescent="0.15">
      <c r="I713" s="18"/>
    </row>
    <row r="714" spans="9:9" x14ac:dyDescent="0.15">
      <c r="I714" s="18"/>
    </row>
    <row r="715" spans="9:9" x14ac:dyDescent="0.15">
      <c r="I715" s="18"/>
    </row>
    <row r="716" spans="9:9" x14ac:dyDescent="0.15">
      <c r="I716" s="18"/>
    </row>
    <row r="717" spans="9:9" x14ac:dyDescent="0.15">
      <c r="I717" s="18"/>
    </row>
    <row r="718" spans="9:9" x14ac:dyDescent="0.15">
      <c r="I718" s="18"/>
    </row>
    <row r="719" spans="9:9" x14ac:dyDescent="0.15">
      <c r="I719" s="18"/>
    </row>
    <row r="720" spans="9:9" x14ac:dyDescent="0.15">
      <c r="I720" s="18"/>
    </row>
    <row r="721" spans="9:9" x14ac:dyDescent="0.15">
      <c r="I721" s="18"/>
    </row>
    <row r="722" spans="9:9" x14ac:dyDescent="0.15">
      <c r="I722" s="18"/>
    </row>
    <row r="723" spans="9:9" x14ac:dyDescent="0.15">
      <c r="I723" s="18"/>
    </row>
    <row r="724" spans="9:9" x14ac:dyDescent="0.15">
      <c r="I724" s="18"/>
    </row>
    <row r="725" spans="9:9" x14ac:dyDescent="0.15">
      <c r="I725" s="18"/>
    </row>
    <row r="726" spans="9:9" x14ac:dyDescent="0.15">
      <c r="I726" s="18"/>
    </row>
    <row r="727" spans="9:9" x14ac:dyDescent="0.15">
      <c r="I727" s="18"/>
    </row>
    <row r="728" spans="9:9" x14ac:dyDescent="0.15">
      <c r="I728" s="18"/>
    </row>
    <row r="729" spans="9:9" x14ac:dyDescent="0.15">
      <c r="I729" s="18"/>
    </row>
    <row r="730" spans="9:9" x14ac:dyDescent="0.15">
      <c r="I730" s="18"/>
    </row>
    <row r="731" spans="9:9" x14ac:dyDescent="0.15">
      <c r="I731" s="18"/>
    </row>
    <row r="732" spans="9:9" x14ac:dyDescent="0.15">
      <c r="I732" s="18"/>
    </row>
    <row r="733" spans="9:9" x14ac:dyDescent="0.15">
      <c r="I733" s="18"/>
    </row>
    <row r="734" spans="9:9" x14ac:dyDescent="0.15">
      <c r="I734" s="18"/>
    </row>
    <row r="735" spans="9:9" x14ac:dyDescent="0.15">
      <c r="I735" s="18"/>
    </row>
    <row r="736" spans="9:9" x14ac:dyDescent="0.15">
      <c r="I736" s="18"/>
    </row>
    <row r="737" spans="9:9" x14ac:dyDescent="0.15">
      <c r="I737" s="18"/>
    </row>
    <row r="738" spans="9:9" x14ac:dyDescent="0.15">
      <c r="I738" s="18"/>
    </row>
    <row r="739" spans="9:9" x14ac:dyDescent="0.15">
      <c r="I739" s="18"/>
    </row>
    <row r="740" spans="9:9" x14ac:dyDescent="0.15">
      <c r="I740" s="18"/>
    </row>
    <row r="741" spans="9:9" x14ac:dyDescent="0.15">
      <c r="I741" s="18"/>
    </row>
    <row r="742" spans="9:9" x14ac:dyDescent="0.15">
      <c r="I742" s="18"/>
    </row>
    <row r="743" spans="9:9" x14ac:dyDescent="0.15">
      <c r="I743" s="18"/>
    </row>
    <row r="744" spans="9:9" x14ac:dyDescent="0.15">
      <c r="I744" s="18"/>
    </row>
    <row r="745" spans="9:9" x14ac:dyDescent="0.15">
      <c r="I745" s="18"/>
    </row>
    <row r="746" spans="9:9" x14ac:dyDescent="0.15">
      <c r="I746" s="18"/>
    </row>
    <row r="747" spans="9:9" x14ac:dyDescent="0.15">
      <c r="I747" s="18"/>
    </row>
    <row r="748" spans="9:9" x14ac:dyDescent="0.15">
      <c r="I748" s="18"/>
    </row>
    <row r="749" spans="9:9" x14ac:dyDescent="0.15">
      <c r="I749" s="18"/>
    </row>
    <row r="750" spans="9:9" x14ac:dyDescent="0.15">
      <c r="I750" s="18"/>
    </row>
    <row r="751" spans="9:9" x14ac:dyDescent="0.15">
      <c r="I751" s="18"/>
    </row>
    <row r="752" spans="9:9" x14ac:dyDescent="0.15">
      <c r="I752" s="18"/>
    </row>
    <row r="753" spans="9:9" x14ac:dyDescent="0.15">
      <c r="I753" s="18"/>
    </row>
    <row r="754" spans="9:9" x14ac:dyDescent="0.15">
      <c r="I754" s="18"/>
    </row>
    <row r="755" spans="9:9" x14ac:dyDescent="0.15">
      <c r="I755" s="18"/>
    </row>
    <row r="756" spans="9:9" x14ac:dyDescent="0.15">
      <c r="I756" s="18"/>
    </row>
    <row r="757" spans="9:9" x14ac:dyDescent="0.15">
      <c r="I757" s="18"/>
    </row>
    <row r="758" spans="9:9" x14ac:dyDescent="0.15">
      <c r="I758" s="18"/>
    </row>
    <row r="759" spans="9:9" x14ac:dyDescent="0.15">
      <c r="I759" s="18"/>
    </row>
    <row r="760" spans="9:9" x14ac:dyDescent="0.15">
      <c r="I760" s="18"/>
    </row>
    <row r="761" spans="9:9" x14ac:dyDescent="0.15">
      <c r="I761" s="18"/>
    </row>
    <row r="762" spans="9:9" x14ac:dyDescent="0.15">
      <c r="I762" s="18"/>
    </row>
    <row r="763" spans="9:9" x14ac:dyDescent="0.15">
      <c r="I763" s="18"/>
    </row>
    <row r="764" spans="9:9" x14ac:dyDescent="0.15">
      <c r="I764" s="18"/>
    </row>
    <row r="765" spans="9:9" x14ac:dyDescent="0.15">
      <c r="I765" s="18"/>
    </row>
    <row r="766" spans="9:9" x14ac:dyDescent="0.15">
      <c r="I766" s="18"/>
    </row>
    <row r="767" spans="9:9" x14ac:dyDescent="0.15">
      <c r="I767" s="18"/>
    </row>
    <row r="768" spans="9:9" x14ac:dyDescent="0.15">
      <c r="I768" s="18"/>
    </row>
    <row r="769" spans="9:9" x14ac:dyDescent="0.15">
      <c r="I769" s="18"/>
    </row>
    <row r="770" spans="9:9" x14ac:dyDescent="0.15">
      <c r="I770" s="18"/>
    </row>
    <row r="771" spans="9:9" x14ac:dyDescent="0.15">
      <c r="I771" s="18"/>
    </row>
    <row r="772" spans="9:9" x14ac:dyDescent="0.15">
      <c r="I772" s="18"/>
    </row>
    <row r="773" spans="9:9" x14ac:dyDescent="0.15">
      <c r="I773" s="18"/>
    </row>
    <row r="774" spans="9:9" x14ac:dyDescent="0.15">
      <c r="I774" s="18"/>
    </row>
    <row r="775" spans="9:9" x14ac:dyDescent="0.15">
      <c r="I775" s="18"/>
    </row>
    <row r="776" spans="9:9" x14ac:dyDescent="0.15">
      <c r="I776" s="18"/>
    </row>
    <row r="777" spans="9:9" x14ac:dyDescent="0.15">
      <c r="I777" s="18"/>
    </row>
    <row r="778" spans="9:9" x14ac:dyDescent="0.15">
      <c r="I778" s="18"/>
    </row>
    <row r="779" spans="9:9" x14ac:dyDescent="0.15">
      <c r="I779" s="18"/>
    </row>
    <row r="780" spans="9:9" x14ac:dyDescent="0.15">
      <c r="I780" s="18"/>
    </row>
    <row r="781" spans="9:9" x14ac:dyDescent="0.15">
      <c r="I781" s="18"/>
    </row>
    <row r="782" spans="9:9" x14ac:dyDescent="0.15">
      <c r="I782" s="18"/>
    </row>
    <row r="783" spans="9:9" x14ac:dyDescent="0.15">
      <c r="I783" s="18"/>
    </row>
    <row r="784" spans="9:9" x14ac:dyDescent="0.15">
      <c r="I784" s="18"/>
    </row>
    <row r="785" spans="9:9" x14ac:dyDescent="0.15">
      <c r="I785" s="18"/>
    </row>
    <row r="786" spans="9:9" x14ac:dyDescent="0.15">
      <c r="I786" s="18"/>
    </row>
    <row r="787" spans="9:9" x14ac:dyDescent="0.15">
      <c r="I787" s="18"/>
    </row>
    <row r="788" spans="9:9" x14ac:dyDescent="0.15">
      <c r="I788" s="18"/>
    </row>
    <row r="789" spans="9:9" x14ac:dyDescent="0.15">
      <c r="I789" s="18"/>
    </row>
    <row r="790" spans="9:9" x14ac:dyDescent="0.15">
      <c r="I790" s="18"/>
    </row>
    <row r="791" spans="9:9" x14ac:dyDescent="0.15">
      <c r="I791" s="18"/>
    </row>
    <row r="792" spans="9:9" x14ac:dyDescent="0.15">
      <c r="I792" s="18"/>
    </row>
    <row r="793" spans="9:9" x14ac:dyDescent="0.15">
      <c r="I793" s="18"/>
    </row>
    <row r="794" spans="9:9" x14ac:dyDescent="0.15">
      <c r="I794" s="18"/>
    </row>
    <row r="795" spans="9:9" x14ac:dyDescent="0.15">
      <c r="I795" s="18"/>
    </row>
    <row r="796" spans="9:9" x14ac:dyDescent="0.15">
      <c r="I796" s="18"/>
    </row>
    <row r="797" spans="9:9" x14ac:dyDescent="0.15">
      <c r="I797" s="18"/>
    </row>
    <row r="798" spans="9:9" x14ac:dyDescent="0.15">
      <c r="I798" s="18"/>
    </row>
    <row r="799" spans="9:9" x14ac:dyDescent="0.15">
      <c r="I799" s="18"/>
    </row>
    <row r="800" spans="9:9" x14ac:dyDescent="0.15">
      <c r="I800" s="18"/>
    </row>
    <row r="801" spans="9:9" x14ac:dyDescent="0.15">
      <c r="I801" s="18"/>
    </row>
    <row r="802" spans="9:9" x14ac:dyDescent="0.15">
      <c r="I802" s="18"/>
    </row>
    <row r="803" spans="9:9" x14ac:dyDescent="0.15">
      <c r="I803" s="18"/>
    </row>
    <row r="804" spans="9:9" x14ac:dyDescent="0.15">
      <c r="I804" s="18"/>
    </row>
    <row r="805" spans="9:9" x14ac:dyDescent="0.15">
      <c r="I805" s="18"/>
    </row>
    <row r="806" spans="9:9" x14ac:dyDescent="0.15">
      <c r="I806" s="18"/>
    </row>
    <row r="807" spans="9:9" x14ac:dyDescent="0.15">
      <c r="I807" s="18"/>
    </row>
    <row r="808" spans="9:9" x14ac:dyDescent="0.15">
      <c r="I808" s="18"/>
    </row>
    <row r="809" spans="9:9" x14ac:dyDescent="0.15">
      <c r="I809" s="18"/>
    </row>
    <row r="810" spans="9:9" x14ac:dyDescent="0.15">
      <c r="I810" s="18"/>
    </row>
    <row r="811" spans="9:9" x14ac:dyDescent="0.15">
      <c r="I811" s="18"/>
    </row>
    <row r="812" spans="9:9" x14ac:dyDescent="0.15">
      <c r="I812" s="18"/>
    </row>
    <row r="813" spans="9:9" x14ac:dyDescent="0.15">
      <c r="I813" s="18"/>
    </row>
    <row r="814" spans="9:9" x14ac:dyDescent="0.15">
      <c r="I814" s="18"/>
    </row>
    <row r="815" spans="9:9" x14ac:dyDescent="0.15">
      <c r="I815" s="18"/>
    </row>
    <row r="816" spans="9:9" x14ac:dyDescent="0.15">
      <c r="I816" s="18"/>
    </row>
    <row r="817" spans="9:9" x14ac:dyDescent="0.15">
      <c r="I817" s="18"/>
    </row>
    <row r="818" spans="9:9" x14ac:dyDescent="0.15">
      <c r="I818" s="18"/>
    </row>
    <row r="819" spans="9:9" x14ac:dyDescent="0.15">
      <c r="I819" s="18"/>
    </row>
    <row r="820" spans="9:9" x14ac:dyDescent="0.15">
      <c r="I820" s="18"/>
    </row>
    <row r="821" spans="9:9" x14ac:dyDescent="0.15">
      <c r="I821" s="18"/>
    </row>
    <row r="822" spans="9:9" x14ac:dyDescent="0.15">
      <c r="I822" s="18"/>
    </row>
    <row r="823" spans="9:9" x14ac:dyDescent="0.15">
      <c r="I823" s="18"/>
    </row>
    <row r="824" spans="9:9" x14ac:dyDescent="0.15">
      <c r="I824" s="18"/>
    </row>
    <row r="825" spans="9:9" x14ac:dyDescent="0.15">
      <c r="I825" s="18"/>
    </row>
    <row r="826" spans="9:9" x14ac:dyDescent="0.15">
      <c r="I826" s="18"/>
    </row>
    <row r="827" spans="9:9" x14ac:dyDescent="0.15">
      <c r="I827" s="18"/>
    </row>
    <row r="828" spans="9:9" x14ac:dyDescent="0.15">
      <c r="I828" s="18"/>
    </row>
    <row r="829" spans="9:9" x14ac:dyDescent="0.15">
      <c r="I829" s="18"/>
    </row>
    <row r="830" spans="9:9" x14ac:dyDescent="0.15">
      <c r="I830" s="18"/>
    </row>
    <row r="831" spans="9:9" x14ac:dyDescent="0.15">
      <c r="I831" s="18"/>
    </row>
    <row r="832" spans="9:9" x14ac:dyDescent="0.15">
      <c r="I832" s="18"/>
    </row>
    <row r="833" spans="9:9" x14ac:dyDescent="0.15">
      <c r="I833" s="18"/>
    </row>
    <row r="834" spans="9:9" x14ac:dyDescent="0.15">
      <c r="I834" s="18"/>
    </row>
    <row r="835" spans="9:9" x14ac:dyDescent="0.15">
      <c r="I835" s="18"/>
    </row>
    <row r="836" spans="9:9" x14ac:dyDescent="0.15">
      <c r="I836" s="18"/>
    </row>
    <row r="837" spans="9:9" x14ac:dyDescent="0.15">
      <c r="I837" s="18"/>
    </row>
    <row r="838" spans="9:9" x14ac:dyDescent="0.15">
      <c r="I838" s="18"/>
    </row>
    <row r="839" spans="9:9" x14ac:dyDescent="0.15">
      <c r="I839" s="18"/>
    </row>
    <row r="840" spans="9:9" x14ac:dyDescent="0.15">
      <c r="I840" s="18"/>
    </row>
    <row r="841" spans="9:9" x14ac:dyDescent="0.15">
      <c r="I841" s="18"/>
    </row>
    <row r="842" spans="9:9" x14ac:dyDescent="0.15">
      <c r="I842" s="18"/>
    </row>
    <row r="843" spans="9:9" x14ac:dyDescent="0.15">
      <c r="I843" s="18"/>
    </row>
    <row r="844" spans="9:9" x14ac:dyDescent="0.15">
      <c r="I844" s="18"/>
    </row>
    <row r="845" spans="9:9" x14ac:dyDescent="0.15">
      <c r="I845" s="18"/>
    </row>
    <row r="846" spans="9:9" x14ac:dyDescent="0.15">
      <c r="I846" s="18"/>
    </row>
    <row r="847" spans="9:9" x14ac:dyDescent="0.15">
      <c r="I847" s="18"/>
    </row>
    <row r="848" spans="9:9" x14ac:dyDescent="0.15">
      <c r="I848" s="18"/>
    </row>
    <row r="849" spans="9:9" x14ac:dyDescent="0.15">
      <c r="I849" s="18"/>
    </row>
    <row r="850" spans="9:9" x14ac:dyDescent="0.15">
      <c r="I850" s="18"/>
    </row>
    <row r="851" spans="9:9" x14ac:dyDescent="0.15">
      <c r="I851" s="18"/>
    </row>
    <row r="852" spans="9:9" x14ac:dyDescent="0.15">
      <c r="I852" s="18"/>
    </row>
    <row r="853" spans="9:9" x14ac:dyDescent="0.15">
      <c r="I853" s="18"/>
    </row>
    <row r="854" spans="9:9" x14ac:dyDescent="0.15">
      <c r="I854" s="18"/>
    </row>
    <row r="855" spans="9:9" x14ac:dyDescent="0.15">
      <c r="I855" s="18"/>
    </row>
    <row r="856" spans="9:9" x14ac:dyDescent="0.15">
      <c r="I856" s="18"/>
    </row>
    <row r="857" spans="9:9" x14ac:dyDescent="0.15">
      <c r="I857" s="18"/>
    </row>
    <row r="858" spans="9:9" x14ac:dyDescent="0.15">
      <c r="I858" s="18"/>
    </row>
    <row r="859" spans="9:9" x14ac:dyDescent="0.15">
      <c r="I859" s="18"/>
    </row>
    <row r="860" spans="9:9" x14ac:dyDescent="0.15">
      <c r="I860" s="18"/>
    </row>
    <row r="861" spans="9:9" x14ac:dyDescent="0.15">
      <c r="I861" s="18"/>
    </row>
    <row r="862" spans="9:9" x14ac:dyDescent="0.15">
      <c r="I862" s="18"/>
    </row>
    <row r="863" spans="9:9" x14ac:dyDescent="0.15">
      <c r="I863" s="18"/>
    </row>
    <row r="864" spans="9:9" x14ac:dyDescent="0.15">
      <c r="I864" s="18"/>
    </row>
    <row r="865" spans="9:9" x14ac:dyDescent="0.15">
      <c r="I865" s="18"/>
    </row>
    <row r="866" spans="9:9" x14ac:dyDescent="0.15">
      <c r="I866" s="18"/>
    </row>
    <row r="867" spans="9:9" x14ac:dyDescent="0.15">
      <c r="I867" s="18"/>
    </row>
    <row r="868" spans="9:9" x14ac:dyDescent="0.15">
      <c r="I868" s="18"/>
    </row>
    <row r="869" spans="9:9" x14ac:dyDescent="0.15">
      <c r="I869" s="18"/>
    </row>
    <row r="870" spans="9:9" x14ac:dyDescent="0.15">
      <c r="I870" s="18"/>
    </row>
    <row r="871" spans="9:9" x14ac:dyDescent="0.15">
      <c r="I871" s="18"/>
    </row>
    <row r="872" spans="9:9" x14ac:dyDescent="0.15">
      <c r="I872" s="18"/>
    </row>
    <row r="873" spans="9:9" x14ac:dyDescent="0.15">
      <c r="I873" s="18"/>
    </row>
    <row r="874" spans="9:9" x14ac:dyDescent="0.15">
      <c r="I874" s="18"/>
    </row>
    <row r="875" spans="9:9" x14ac:dyDescent="0.15">
      <c r="I875" s="18"/>
    </row>
    <row r="876" spans="9:9" x14ac:dyDescent="0.15">
      <c r="I876" s="18"/>
    </row>
    <row r="877" spans="9:9" x14ac:dyDescent="0.15">
      <c r="I877" s="18"/>
    </row>
    <row r="878" spans="9:9" x14ac:dyDescent="0.15">
      <c r="I878" s="18"/>
    </row>
    <row r="879" spans="9:9" x14ac:dyDescent="0.15">
      <c r="I879" s="18"/>
    </row>
    <row r="880" spans="9:9" x14ac:dyDescent="0.15">
      <c r="I880" s="18"/>
    </row>
    <row r="881" spans="9:9" x14ac:dyDescent="0.15">
      <c r="I881" s="18"/>
    </row>
    <row r="882" spans="9:9" x14ac:dyDescent="0.15">
      <c r="I882" s="18"/>
    </row>
    <row r="883" spans="9:9" x14ac:dyDescent="0.15">
      <c r="I883" s="18"/>
    </row>
    <row r="884" spans="9:9" x14ac:dyDescent="0.15">
      <c r="I884" s="18"/>
    </row>
    <row r="885" spans="9:9" x14ac:dyDescent="0.15">
      <c r="I885" s="18"/>
    </row>
    <row r="886" spans="9:9" x14ac:dyDescent="0.15">
      <c r="I886" s="18"/>
    </row>
    <row r="887" spans="9:9" x14ac:dyDescent="0.15">
      <c r="I887" s="18"/>
    </row>
    <row r="888" spans="9:9" x14ac:dyDescent="0.15">
      <c r="I888" s="18"/>
    </row>
    <row r="889" spans="9:9" x14ac:dyDescent="0.15">
      <c r="I889" s="18"/>
    </row>
    <row r="890" spans="9:9" x14ac:dyDescent="0.15">
      <c r="I890" s="18"/>
    </row>
    <row r="891" spans="9:9" x14ac:dyDescent="0.15">
      <c r="I891" s="18"/>
    </row>
    <row r="892" spans="9:9" x14ac:dyDescent="0.15">
      <c r="I892" s="18"/>
    </row>
    <row r="893" spans="9:9" x14ac:dyDescent="0.15">
      <c r="I893" s="18"/>
    </row>
    <row r="894" spans="9:9" x14ac:dyDescent="0.15">
      <c r="I894" s="18"/>
    </row>
    <row r="895" spans="9:9" x14ac:dyDescent="0.15">
      <c r="I895" s="18"/>
    </row>
    <row r="896" spans="9:9" x14ac:dyDescent="0.15">
      <c r="I896" s="18"/>
    </row>
    <row r="897" spans="9:9" x14ac:dyDescent="0.15">
      <c r="I897" s="18"/>
    </row>
    <row r="898" spans="9:9" x14ac:dyDescent="0.15">
      <c r="I898" s="18"/>
    </row>
    <row r="899" spans="9:9" x14ac:dyDescent="0.15">
      <c r="I899" s="18"/>
    </row>
    <row r="900" spans="9:9" x14ac:dyDescent="0.15">
      <c r="I900" s="18"/>
    </row>
    <row r="901" spans="9:9" x14ac:dyDescent="0.15">
      <c r="I901" s="18"/>
    </row>
    <row r="902" spans="9:9" x14ac:dyDescent="0.15">
      <c r="I902" s="18"/>
    </row>
    <row r="903" spans="9:9" x14ac:dyDescent="0.15">
      <c r="I903" s="18"/>
    </row>
    <row r="904" spans="9:9" x14ac:dyDescent="0.15">
      <c r="I904" s="18"/>
    </row>
    <row r="905" spans="9:9" x14ac:dyDescent="0.15">
      <c r="I905" s="18"/>
    </row>
    <row r="906" spans="9:9" x14ac:dyDescent="0.15">
      <c r="I906" s="18"/>
    </row>
    <row r="907" spans="9:9" x14ac:dyDescent="0.15">
      <c r="I907" s="18"/>
    </row>
    <row r="908" spans="9:9" x14ac:dyDescent="0.15">
      <c r="I908" s="18"/>
    </row>
    <row r="909" spans="9:9" x14ac:dyDescent="0.15">
      <c r="I909" s="18"/>
    </row>
    <row r="910" spans="9:9" x14ac:dyDescent="0.15">
      <c r="I910" s="18"/>
    </row>
    <row r="911" spans="9:9" x14ac:dyDescent="0.15">
      <c r="I911" s="18"/>
    </row>
    <row r="912" spans="9:9" x14ac:dyDescent="0.15">
      <c r="I912" s="18"/>
    </row>
    <row r="913" spans="9:9" x14ac:dyDescent="0.15">
      <c r="I913" s="18"/>
    </row>
    <row r="914" spans="9:9" x14ac:dyDescent="0.15">
      <c r="I914" s="18"/>
    </row>
    <row r="915" spans="9:9" x14ac:dyDescent="0.15">
      <c r="I915" s="18"/>
    </row>
    <row r="916" spans="9:9" x14ac:dyDescent="0.15">
      <c r="I916" s="18"/>
    </row>
    <row r="917" spans="9:9" x14ac:dyDescent="0.15">
      <c r="I917" s="18"/>
    </row>
    <row r="918" spans="9:9" x14ac:dyDescent="0.15">
      <c r="I918" s="18"/>
    </row>
    <row r="919" spans="9:9" x14ac:dyDescent="0.15">
      <c r="I919" s="18"/>
    </row>
    <row r="920" spans="9:9" x14ac:dyDescent="0.15">
      <c r="I920" s="18"/>
    </row>
    <row r="921" spans="9:9" x14ac:dyDescent="0.15">
      <c r="I921" s="18"/>
    </row>
    <row r="922" spans="9:9" x14ac:dyDescent="0.15">
      <c r="I922" s="18"/>
    </row>
    <row r="923" spans="9:9" x14ac:dyDescent="0.15">
      <c r="I923" s="18"/>
    </row>
    <row r="924" spans="9:9" x14ac:dyDescent="0.15">
      <c r="I924" s="18"/>
    </row>
    <row r="925" spans="9:9" x14ac:dyDescent="0.15">
      <c r="I925" s="18"/>
    </row>
    <row r="926" spans="9:9" x14ac:dyDescent="0.15">
      <c r="I926" s="18"/>
    </row>
    <row r="927" spans="9:9" x14ac:dyDescent="0.15">
      <c r="I927" s="18"/>
    </row>
    <row r="928" spans="9:9" x14ac:dyDescent="0.15">
      <c r="I928" s="18"/>
    </row>
    <row r="929" spans="9:9" x14ac:dyDescent="0.15">
      <c r="I929" s="18"/>
    </row>
    <row r="930" spans="9:9" x14ac:dyDescent="0.15">
      <c r="I930" s="18"/>
    </row>
    <row r="931" spans="9:9" x14ac:dyDescent="0.15">
      <c r="I931" s="18"/>
    </row>
    <row r="932" spans="9:9" x14ac:dyDescent="0.15">
      <c r="I932" s="18"/>
    </row>
    <row r="933" spans="9:9" x14ac:dyDescent="0.15">
      <c r="I933" s="18"/>
    </row>
    <row r="934" spans="9:9" x14ac:dyDescent="0.15">
      <c r="I934" s="18"/>
    </row>
    <row r="935" spans="9:9" x14ac:dyDescent="0.15">
      <c r="I935" s="18"/>
    </row>
    <row r="936" spans="9:9" x14ac:dyDescent="0.15">
      <c r="I936" s="18"/>
    </row>
    <row r="937" spans="9:9" x14ac:dyDescent="0.15">
      <c r="I937" s="18"/>
    </row>
    <row r="938" spans="9:9" x14ac:dyDescent="0.15">
      <c r="I938" s="18"/>
    </row>
    <row r="939" spans="9:9" x14ac:dyDescent="0.15">
      <c r="I939" s="18"/>
    </row>
    <row r="940" spans="9:9" x14ac:dyDescent="0.15">
      <c r="I940" s="18"/>
    </row>
    <row r="941" spans="9:9" x14ac:dyDescent="0.15">
      <c r="I941" s="18"/>
    </row>
    <row r="942" spans="9:9" x14ac:dyDescent="0.15">
      <c r="I942" s="18"/>
    </row>
    <row r="943" spans="9:9" x14ac:dyDescent="0.15">
      <c r="I943" s="18"/>
    </row>
    <row r="944" spans="9:9" x14ac:dyDescent="0.15">
      <c r="I944" s="18"/>
    </row>
    <row r="945" spans="9:9" x14ac:dyDescent="0.15">
      <c r="I945" s="18"/>
    </row>
    <row r="946" spans="9:9" x14ac:dyDescent="0.15">
      <c r="I946" s="18"/>
    </row>
    <row r="947" spans="9:9" x14ac:dyDescent="0.15">
      <c r="I947" s="18"/>
    </row>
    <row r="948" spans="9:9" x14ac:dyDescent="0.15">
      <c r="I948" s="18"/>
    </row>
    <row r="949" spans="9:9" x14ac:dyDescent="0.15">
      <c r="I949" s="18"/>
    </row>
    <row r="950" spans="9:9" x14ac:dyDescent="0.15">
      <c r="I950" s="18"/>
    </row>
    <row r="951" spans="9:9" x14ac:dyDescent="0.15">
      <c r="I951" s="18"/>
    </row>
    <row r="952" spans="9:9" x14ac:dyDescent="0.15">
      <c r="I952" s="18"/>
    </row>
    <row r="953" spans="9:9" x14ac:dyDescent="0.15">
      <c r="I953" s="18"/>
    </row>
    <row r="954" spans="9:9" x14ac:dyDescent="0.15">
      <c r="I954" s="18"/>
    </row>
    <row r="955" spans="9:9" x14ac:dyDescent="0.15">
      <c r="I955" s="18"/>
    </row>
    <row r="956" spans="9:9" x14ac:dyDescent="0.15">
      <c r="I956" s="18"/>
    </row>
    <row r="957" spans="9:9" x14ac:dyDescent="0.15">
      <c r="I957" s="18"/>
    </row>
    <row r="958" spans="9:9" x14ac:dyDescent="0.15">
      <c r="I958" s="18"/>
    </row>
    <row r="959" spans="9:9" x14ac:dyDescent="0.15">
      <c r="I959" s="18"/>
    </row>
    <row r="960" spans="9:9" x14ac:dyDescent="0.15">
      <c r="I960" s="18"/>
    </row>
    <row r="961" spans="9:9" x14ac:dyDescent="0.15">
      <c r="I961" s="18"/>
    </row>
    <row r="962" spans="9:9" x14ac:dyDescent="0.15">
      <c r="I962" s="18"/>
    </row>
    <row r="963" spans="9:9" x14ac:dyDescent="0.15">
      <c r="I963" s="18"/>
    </row>
    <row r="964" spans="9:9" x14ac:dyDescent="0.15">
      <c r="I964" s="18"/>
    </row>
    <row r="965" spans="9:9" x14ac:dyDescent="0.15">
      <c r="I965" s="18"/>
    </row>
    <row r="966" spans="9:9" x14ac:dyDescent="0.15">
      <c r="I966" s="18"/>
    </row>
    <row r="967" spans="9:9" x14ac:dyDescent="0.15">
      <c r="I967" s="18"/>
    </row>
    <row r="968" spans="9:9" x14ac:dyDescent="0.15">
      <c r="I968" s="18"/>
    </row>
    <row r="969" spans="9:9" x14ac:dyDescent="0.15">
      <c r="I969" s="18"/>
    </row>
    <row r="970" spans="9:9" x14ac:dyDescent="0.15">
      <c r="I970" s="18"/>
    </row>
    <row r="971" spans="9:9" x14ac:dyDescent="0.15">
      <c r="I971" s="18"/>
    </row>
    <row r="972" spans="9:9" x14ac:dyDescent="0.15">
      <c r="I972" s="18"/>
    </row>
    <row r="973" spans="9:9" x14ac:dyDescent="0.15">
      <c r="I973" s="18"/>
    </row>
    <row r="974" spans="9:9" x14ac:dyDescent="0.15">
      <c r="I974" s="18"/>
    </row>
    <row r="975" spans="9:9" x14ac:dyDescent="0.15">
      <c r="I975" s="18"/>
    </row>
    <row r="976" spans="9:9" x14ac:dyDescent="0.15">
      <c r="I976" s="18"/>
    </row>
    <row r="977" spans="9:9" x14ac:dyDescent="0.15">
      <c r="I977" s="18"/>
    </row>
    <row r="978" spans="9:9" x14ac:dyDescent="0.15">
      <c r="I978" s="18"/>
    </row>
    <row r="979" spans="9:9" x14ac:dyDescent="0.15">
      <c r="I979" s="18"/>
    </row>
    <row r="980" spans="9:9" x14ac:dyDescent="0.15">
      <c r="I980" s="18"/>
    </row>
    <row r="981" spans="9:9" x14ac:dyDescent="0.15">
      <c r="I981" s="18"/>
    </row>
    <row r="982" spans="9:9" x14ac:dyDescent="0.15">
      <c r="I982" s="18"/>
    </row>
    <row r="983" spans="9:9" x14ac:dyDescent="0.15">
      <c r="I983" s="18"/>
    </row>
    <row r="984" spans="9:9" x14ac:dyDescent="0.15">
      <c r="I984" s="18"/>
    </row>
    <row r="985" spans="9:9" x14ac:dyDescent="0.15">
      <c r="I985" s="18"/>
    </row>
    <row r="986" spans="9:9" x14ac:dyDescent="0.15">
      <c r="I986" s="18"/>
    </row>
    <row r="987" spans="9:9" x14ac:dyDescent="0.15">
      <c r="I987" s="18"/>
    </row>
    <row r="988" spans="9:9" x14ac:dyDescent="0.15">
      <c r="I988" s="18"/>
    </row>
    <row r="989" spans="9:9" x14ac:dyDescent="0.15">
      <c r="I989" s="18"/>
    </row>
    <row r="990" spans="9:9" x14ac:dyDescent="0.15">
      <c r="I990" s="18"/>
    </row>
    <row r="991" spans="9:9" x14ac:dyDescent="0.15">
      <c r="I991" s="18"/>
    </row>
    <row r="992" spans="9:9" x14ac:dyDescent="0.15">
      <c r="I992" s="18"/>
    </row>
    <row r="993" spans="9:9" x14ac:dyDescent="0.15">
      <c r="I993" s="18"/>
    </row>
    <row r="994" spans="9:9" x14ac:dyDescent="0.15">
      <c r="I994" s="18"/>
    </row>
    <row r="995" spans="9:9" x14ac:dyDescent="0.15">
      <c r="I995" s="18"/>
    </row>
    <row r="996" spans="9:9" x14ac:dyDescent="0.15">
      <c r="I996" s="18"/>
    </row>
    <row r="997" spans="9:9" x14ac:dyDescent="0.15">
      <c r="I997" s="18"/>
    </row>
    <row r="998" spans="9:9" x14ac:dyDescent="0.15">
      <c r="I998" s="18"/>
    </row>
    <row r="999" spans="9:9" x14ac:dyDescent="0.15">
      <c r="I999" s="18"/>
    </row>
    <row r="1000" spans="9:9" x14ac:dyDescent="0.15">
      <c r="I1000" s="18"/>
    </row>
    <row r="1001" spans="9:9" x14ac:dyDescent="0.15">
      <c r="I1001" s="18"/>
    </row>
    <row r="1002" spans="9:9" x14ac:dyDescent="0.15">
      <c r="I1002" s="18"/>
    </row>
    <row r="1003" spans="9:9" x14ac:dyDescent="0.15">
      <c r="I1003" s="18"/>
    </row>
    <row r="1004" spans="9:9" x14ac:dyDescent="0.15">
      <c r="I1004" s="18"/>
    </row>
    <row r="1005" spans="9:9" x14ac:dyDescent="0.15">
      <c r="I1005" s="18"/>
    </row>
    <row r="1006" spans="9:9" x14ac:dyDescent="0.15">
      <c r="I1006" s="18"/>
    </row>
    <row r="1007" spans="9:9" x14ac:dyDescent="0.15">
      <c r="I1007" s="18"/>
    </row>
    <row r="1008" spans="9:9" x14ac:dyDescent="0.15">
      <c r="I1008" s="18"/>
    </row>
    <row r="1009" spans="9:9" x14ac:dyDescent="0.15">
      <c r="I1009" s="18"/>
    </row>
    <row r="1010" spans="9:9" x14ac:dyDescent="0.15">
      <c r="I1010" s="18"/>
    </row>
    <row r="1011" spans="9:9" x14ac:dyDescent="0.15">
      <c r="I1011" s="18"/>
    </row>
    <row r="1012" spans="9:9" x14ac:dyDescent="0.15">
      <c r="I1012" s="18"/>
    </row>
    <row r="1013" spans="9:9" x14ac:dyDescent="0.15">
      <c r="I1013" s="18"/>
    </row>
    <row r="1014" spans="9:9" x14ac:dyDescent="0.15">
      <c r="I1014" s="18"/>
    </row>
    <row r="1015" spans="9:9" x14ac:dyDescent="0.15">
      <c r="I1015" s="18"/>
    </row>
    <row r="1016" spans="9:9" x14ac:dyDescent="0.15">
      <c r="I1016" s="18"/>
    </row>
    <row r="1017" spans="9:9" x14ac:dyDescent="0.15">
      <c r="I1017" s="18"/>
    </row>
    <row r="1018" spans="9:9" x14ac:dyDescent="0.15">
      <c r="I1018" s="18"/>
    </row>
    <row r="1019" spans="9:9" x14ac:dyDescent="0.15">
      <c r="I1019" s="18"/>
    </row>
    <row r="1020" spans="9:9" x14ac:dyDescent="0.15">
      <c r="I1020" s="18"/>
    </row>
    <row r="1021" spans="9:9" x14ac:dyDescent="0.15">
      <c r="I1021" s="18"/>
    </row>
    <row r="1022" spans="9:9" x14ac:dyDescent="0.15">
      <c r="I1022" s="18"/>
    </row>
    <row r="1023" spans="9:9" x14ac:dyDescent="0.15">
      <c r="I1023" s="18"/>
    </row>
    <row r="1024" spans="9:9" x14ac:dyDescent="0.15">
      <c r="I1024" s="18"/>
    </row>
    <row r="1025" spans="9:9" x14ac:dyDescent="0.15">
      <c r="I1025" s="18"/>
    </row>
    <row r="1026" spans="9:9" x14ac:dyDescent="0.15">
      <c r="I1026" s="18"/>
    </row>
    <row r="1027" spans="9:9" x14ac:dyDescent="0.15">
      <c r="I1027" s="18"/>
    </row>
    <row r="1028" spans="9:9" x14ac:dyDescent="0.15">
      <c r="I1028" s="18"/>
    </row>
    <row r="1029" spans="9:9" x14ac:dyDescent="0.15">
      <c r="I1029" s="18"/>
    </row>
    <row r="1030" spans="9:9" x14ac:dyDescent="0.15">
      <c r="I1030" s="18"/>
    </row>
    <row r="1031" spans="9:9" x14ac:dyDescent="0.15">
      <c r="I1031" s="18"/>
    </row>
    <row r="1032" spans="9:9" x14ac:dyDescent="0.15">
      <c r="I1032" s="18"/>
    </row>
    <row r="1033" spans="9:9" x14ac:dyDescent="0.15">
      <c r="I1033" s="18"/>
    </row>
    <row r="1034" spans="9:9" x14ac:dyDescent="0.15">
      <c r="I1034" s="18"/>
    </row>
    <row r="1035" spans="9:9" x14ac:dyDescent="0.15">
      <c r="I1035" s="18"/>
    </row>
    <row r="1036" spans="9:9" x14ac:dyDescent="0.15">
      <c r="I1036" s="18"/>
    </row>
    <row r="1037" spans="9:9" x14ac:dyDescent="0.15">
      <c r="I1037" s="18"/>
    </row>
    <row r="1038" spans="9:9" x14ac:dyDescent="0.15">
      <c r="I1038" s="18"/>
    </row>
    <row r="1039" spans="9:9" x14ac:dyDescent="0.15">
      <c r="I1039" s="18"/>
    </row>
    <row r="1040" spans="9:9" x14ac:dyDescent="0.15">
      <c r="I1040" s="18"/>
    </row>
    <row r="1041" spans="9:9" x14ac:dyDescent="0.15">
      <c r="I1041" s="18"/>
    </row>
    <row r="1042" spans="9:9" x14ac:dyDescent="0.15">
      <c r="I1042" s="18"/>
    </row>
    <row r="1043" spans="9:9" x14ac:dyDescent="0.15">
      <c r="I1043" s="18"/>
    </row>
    <row r="1044" spans="9:9" x14ac:dyDescent="0.15">
      <c r="I1044" s="18"/>
    </row>
    <row r="1045" spans="9:9" x14ac:dyDescent="0.15">
      <c r="I1045" s="18"/>
    </row>
    <row r="1046" spans="9:9" x14ac:dyDescent="0.15">
      <c r="I1046" s="18"/>
    </row>
    <row r="1047" spans="9:9" x14ac:dyDescent="0.15">
      <c r="I1047" s="18"/>
    </row>
    <row r="1048" spans="9:9" x14ac:dyDescent="0.15">
      <c r="I1048" s="18"/>
    </row>
    <row r="1049" spans="9:9" x14ac:dyDescent="0.15">
      <c r="I1049" s="18"/>
    </row>
    <row r="1050" spans="9:9" x14ac:dyDescent="0.15">
      <c r="I1050" s="18"/>
    </row>
    <row r="1051" spans="9:9" x14ac:dyDescent="0.15">
      <c r="I1051" s="18"/>
    </row>
    <row r="1052" spans="9:9" x14ac:dyDescent="0.15">
      <c r="I1052" s="18"/>
    </row>
    <row r="1053" spans="9:9" x14ac:dyDescent="0.15">
      <c r="I1053" s="18"/>
    </row>
    <row r="1054" spans="9:9" x14ac:dyDescent="0.15">
      <c r="I1054" s="18"/>
    </row>
    <row r="1055" spans="9:9" x14ac:dyDescent="0.15">
      <c r="I1055" s="18"/>
    </row>
    <row r="1056" spans="9:9" x14ac:dyDescent="0.15">
      <c r="I1056" s="18"/>
    </row>
    <row r="1057" spans="9:9" x14ac:dyDescent="0.15">
      <c r="I1057" s="18"/>
    </row>
    <row r="1058" spans="9:9" x14ac:dyDescent="0.15">
      <c r="I1058" s="18"/>
    </row>
    <row r="1059" spans="9:9" x14ac:dyDescent="0.15">
      <c r="I1059" s="18"/>
    </row>
    <row r="1060" spans="9:9" x14ac:dyDescent="0.15">
      <c r="I1060" s="18"/>
    </row>
    <row r="1061" spans="9:9" x14ac:dyDescent="0.15">
      <c r="I1061" s="18"/>
    </row>
    <row r="1062" spans="9:9" x14ac:dyDescent="0.15">
      <c r="I1062" s="18"/>
    </row>
    <row r="1063" spans="9:9" x14ac:dyDescent="0.15">
      <c r="I1063" s="18"/>
    </row>
    <row r="1064" spans="9:9" x14ac:dyDescent="0.15">
      <c r="I1064" s="18"/>
    </row>
    <row r="1065" spans="9:9" x14ac:dyDescent="0.15">
      <c r="I1065" s="18"/>
    </row>
    <row r="1066" spans="9:9" x14ac:dyDescent="0.15">
      <c r="I1066" s="18"/>
    </row>
    <row r="1067" spans="9:9" x14ac:dyDescent="0.15">
      <c r="I1067" s="18"/>
    </row>
    <row r="1068" spans="9:9" x14ac:dyDescent="0.15">
      <c r="I1068" s="18"/>
    </row>
    <row r="1069" spans="9:9" x14ac:dyDescent="0.15">
      <c r="I1069" s="18"/>
    </row>
    <row r="1070" spans="9:9" x14ac:dyDescent="0.15">
      <c r="I1070" s="18"/>
    </row>
    <row r="1071" spans="9:9" x14ac:dyDescent="0.15">
      <c r="I1071" s="18"/>
    </row>
    <row r="1072" spans="9:9" x14ac:dyDescent="0.15">
      <c r="I1072" s="18"/>
    </row>
    <row r="1073" spans="9:9" x14ac:dyDescent="0.15">
      <c r="I1073" s="18"/>
    </row>
    <row r="1074" spans="9:9" x14ac:dyDescent="0.15">
      <c r="I1074" s="18"/>
    </row>
    <row r="1075" spans="9:9" x14ac:dyDescent="0.15">
      <c r="I1075" s="18"/>
    </row>
    <row r="1076" spans="9:9" x14ac:dyDescent="0.15">
      <c r="I1076" s="18"/>
    </row>
    <row r="1077" spans="9:9" x14ac:dyDescent="0.15">
      <c r="I1077" s="18"/>
    </row>
    <row r="1078" spans="9:9" x14ac:dyDescent="0.15">
      <c r="I1078" s="18"/>
    </row>
    <row r="1079" spans="9:9" x14ac:dyDescent="0.15">
      <c r="I1079" s="18"/>
    </row>
    <row r="1080" spans="9:9" x14ac:dyDescent="0.15">
      <c r="I1080" s="18"/>
    </row>
    <row r="1081" spans="9:9" x14ac:dyDescent="0.15">
      <c r="I1081" s="18"/>
    </row>
    <row r="1082" spans="9:9" x14ac:dyDescent="0.15">
      <c r="I1082" s="18"/>
    </row>
    <row r="1083" spans="9:9" x14ac:dyDescent="0.15">
      <c r="I1083" s="18"/>
    </row>
    <row r="1084" spans="9:9" x14ac:dyDescent="0.15">
      <c r="I1084" s="18"/>
    </row>
    <row r="1085" spans="9:9" x14ac:dyDescent="0.15">
      <c r="I1085" s="18"/>
    </row>
    <row r="1086" spans="9:9" x14ac:dyDescent="0.15">
      <c r="I1086" s="18"/>
    </row>
    <row r="1087" spans="9:9" x14ac:dyDescent="0.15">
      <c r="I1087" s="18"/>
    </row>
    <row r="1088" spans="9:9" x14ac:dyDescent="0.15">
      <c r="I1088" s="18"/>
    </row>
    <row r="1089" spans="9:9" x14ac:dyDescent="0.15">
      <c r="I1089" s="18"/>
    </row>
    <row r="1090" spans="9:9" x14ac:dyDescent="0.15">
      <c r="I1090" s="18"/>
    </row>
    <row r="1091" spans="9:9" x14ac:dyDescent="0.15">
      <c r="I1091" s="18"/>
    </row>
    <row r="1092" spans="9:9" x14ac:dyDescent="0.15">
      <c r="I1092" s="18"/>
    </row>
    <row r="1093" spans="9:9" x14ac:dyDescent="0.15">
      <c r="I1093" s="18"/>
    </row>
    <row r="1094" spans="9:9" x14ac:dyDescent="0.15">
      <c r="I1094" s="18"/>
    </row>
    <row r="1095" spans="9:9" x14ac:dyDescent="0.15">
      <c r="I1095" s="18"/>
    </row>
    <row r="1096" spans="9:9" x14ac:dyDescent="0.15">
      <c r="I1096" s="18"/>
    </row>
    <row r="1097" spans="9:9" x14ac:dyDescent="0.15">
      <c r="I1097" s="18"/>
    </row>
    <row r="1098" spans="9:9" x14ac:dyDescent="0.15">
      <c r="I1098" s="18"/>
    </row>
    <row r="1099" spans="9:9" x14ac:dyDescent="0.15">
      <c r="I1099" s="18"/>
    </row>
    <row r="1100" spans="9:9" x14ac:dyDescent="0.15">
      <c r="I1100" s="18"/>
    </row>
    <row r="1101" spans="9:9" x14ac:dyDescent="0.15">
      <c r="I1101" s="18"/>
    </row>
    <row r="1102" spans="9:9" x14ac:dyDescent="0.15">
      <c r="I1102" s="18"/>
    </row>
    <row r="1103" spans="9:9" x14ac:dyDescent="0.15">
      <c r="I1103" s="18"/>
    </row>
    <row r="1104" spans="9:9" x14ac:dyDescent="0.15">
      <c r="I1104" s="18"/>
    </row>
    <row r="1105" spans="9:9" x14ac:dyDescent="0.15">
      <c r="I1105" s="18"/>
    </row>
    <row r="1106" spans="9:9" x14ac:dyDescent="0.15">
      <c r="I1106" s="18"/>
    </row>
    <row r="1107" spans="9:9" x14ac:dyDescent="0.15">
      <c r="I1107" s="18"/>
    </row>
    <row r="1108" spans="9:9" x14ac:dyDescent="0.15">
      <c r="I1108" s="18"/>
    </row>
    <row r="1109" spans="9:9" x14ac:dyDescent="0.15">
      <c r="I1109" s="18"/>
    </row>
    <row r="1110" spans="9:9" x14ac:dyDescent="0.15">
      <c r="I1110" s="18"/>
    </row>
    <row r="1111" spans="9:9" x14ac:dyDescent="0.15">
      <c r="I1111" s="18"/>
    </row>
    <row r="1112" spans="9:9" x14ac:dyDescent="0.15">
      <c r="I1112" s="18"/>
    </row>
    <row r="1113" spans="9:9" x14ac:dyDescent="0.15">
      <c r="I1113" s="18"/>
    </row>
    <row r="1114" spans="9:9" x14ac:dyDescent="0.15">
      <c r="I1114" s="18"/>
    </row>
    <row r="1115" spans="9:9" x14ac:dyDescent="0.15">
      <c r="I1115" s="18"/>
    </row>
    <row r="1116" spans="9:9" x14ac:dyDescent="0.15">
      <c r="I1116" s="18"/>
    </row>
    <row r="1117" spans="9:9" x14ac:dyDescent="0.15">
      <c r="I1117" s="18"/>
    </row>
    <row r="1118" spans="9:9" x14ac:dyDescent="0.15">
      <c r="I1118" s="18"/>
    </row>
    <row r="1119" spans="9:9" x14ac:dyDescent="0.15">
      <c r="I1119" s="18"/>
    </row>
    <row r="1120" spans="9:9" x14ac:dyDescent="0.15">
      <c r="I1120" s="18"/>
    </row>
    <row r="1121" spans="9:9" x14ac:dyDescent="0.15">
      <c r="I1121" s="18"/>
    </row>
    <row r="1122" spans="9:9" x14ac:dyDescent="0.15">
      <c r="I1122" s="18"/>
    </row>
    <row r="1123" spans="9:9" x14ac:dyDescent="0.15">
      <c r="I1123" s="18"/>
    </row>
    <row r="1124" spans="9:9" x14ac:dyDescent="0.15">
      <c r="I1124" s="18"/>
    </row>
    <row r="1125" spans="9:9" x14ac:dyDescent="0.15">
      <c r="I1125" s="18"/>
    </row>
    <row r="1126" spans="9:9" x14ac:dyDescent="0.15">
      <c r="I1126" s="18"/>
    </row>
    <row r="1127" spans="9:9" x14ac:dyDescent="0.15">
      <c r="I1127" s="18"/>
    </row>
    <row r="1128" spans="9:9" x14ac:dyDescent="0.15">
      <c r="I1128" s="18"/>
    </row>
    <row r="1129" spans="9:9" x14ac:dyDescent="0.15">
      <c r="I1129" s="18"/>
    </row>
    <row r="1130" spans="9:9" x14ac:dyDescent="0.15">
      <c r="I1130" s="18"/>
    </row>
    <row r="1131" spans="9:9" x14ac:dyDescent="0.15">
      <c r="I1131" s="18"/>
    </row>
    <row r="1132" spans="9:9" x14ac:dyDescent="0.15">
      <c r="I1132" s="18"/>
    </row>
    <row r="1133" spans="9:9" x14ac:dyDescent="0.15">
      <c r="I1133" s="18"/>
    </row>
    <row r="1134" spans="9:9" x14ac:dyDescent="0.15">
      <c r="I1134" s="18"/>
    </row>
    <row r="1135" spans="9:9" x14ac:dyDescent="0.15">
      <c r="I1135" s="18"/>
    </row>
    <row r="1136" spans="9:9" x14ac:dyDescent="0.15">
      <c r="I1136" s="18"/>
    </row>
    <row r="1137" spans="9:9" x14ac:dyDescent="0.15">
      <c r="I1137" s="18"/>
    </row>
    <row r="1138" spans="9:9" x14ac:dyDescent="0.15">
      <c r="I1138" s="18"/>
    </row>
    <row r="1139" spans="9:9" x14ac:dyDescent="0.15">
      <c r="I1139" s="18"/>
    </row>
    <row r="1140" spans="9:9" x14ac:dyDescent="0.15">
      <c r="I1140" s="18"/>
    </row>
    <row r="1141" spans="9:9" x14ac:dyDescent="0.15">
      <c r="I1141" s="18"/>
    </row>
    <row r="1142" spans="9:9" x14ac:dyDescent="0.15">
      <c r="I1142" s="18"/>
    </row>
    <row r="1143" spans="9:9" x14ac:dyDescent="0.15">
      <c r="I1143" s="18"/>
    </row>
    <row r="1144" spans="9:9" x14ac:dyDescent="0.15">
      <c r="I1144" s="18"/>
    </row>
    <row r="1145" spans="9:9" x14ac:dyDescent="0.15">
      <c r="I1145" s="18"/>
    </row>
    <row r="1146" spans="9:9" x14ac:dyDescent="0.15">
      <c r="I1146" s="18"/>
    </row>
    <row r="1147" spans="9:9" x14ac:dyDescent="0.15">
      <c r="I1147" s="18"/>
    </row>
    <row r="1148" spans="9:9" x14ac:dyDescent="0.15">
      <c r="I1148" s="18"/>
    </row>
    <row r="1149" spans="9:9" x14ac:dyDescent="0.15">
      <c r="I1149" s="18"/>
    </row>
    <row r="1150" spans="9:9" x14ac:dyDescent="0.15">
      <c r="I1150" s="18"/>
    </row>
    <row r="1151" spans="9:9" x14ac:dyDescent="0.15">
      <c r="I1151" s="18"/>
    </row>
    <row r="1152" spans="9:9" x14ac:dyDescent="0.15">
      <c r="I1152" s="18"/>
    </row>
    <row r="1153" spans="9:9" x14ac:dyDescent="0.15">
      <c r="I1153" s="18"/>
    </row>
    <row r="1154" spans="9:9" x14ac:dyDescent="0.15">
      <c r="I1154" s="18"/>
    </row>
    <row r="1155" spans="9:9" x14ac:dyDescent="0.15">
      <c r="I1155" s="18"/>
    </row>
    <row r="1156" spans="9:9" x14ac:dyDescent="0.15">
      <c r="I1156" s="18"/>
    </row>
    <row r="1157" spans="9:9" x14ac:dyDescent="0.15">
      <c r="I1157" s="18"/>
    </row>
    <row r="1158" spans="9:9" x14ac:dyDescent="0.15">
      <c r="I1158" s="18"/>
    </row>
    <row r="1159" spans="9:9" x14ac:dyDescent="0.15">
      <c r="I1159" s="18"/>
    </row>
    <row r="1160" spans="9:9" x14ac:dyDescent="0.15">
      <c r="I1160" s="18"/>
    </row>
    <row r="1161" spans="9:9" x14ac:dyDescent="0.15">
      <c r="I1161" s="18"/>
    </row>
    <row r="1162" spans="9:9" x14ac:dyDescent="0.15">
      <c r="I1162" s="18"/>
    </row>
    <row r="1163" spans="9:9" x14ac:dyDescent="0.15">
      <c r="I1163" s="18"/>
    </row>
    <row r="1164" spans="9:9" x14ac:dyDescent="0.15">
      <c r="I1164" s="18"/>
    </row>
    <row r="1165" spans="9:9" x14ac:dyDescent="0.15">
      <c r="I1165" s="18"/>
    </row>
    <row r="1166" spans="9:9" x14ac:dyDescent="0.15">
      <c r="I1166" s="18"/>
    </row>
    <row r="1167" spans="9:9" x14ac:dyDescent="0.15">
      <c r="I1167" s="18"/>
    </row>
    <row r="1168" spans="9:9" x14ac:dyDescent="0.15">
      <c r="I1168" s="18"/>
    </row>
    <row r="1169" spans="9:9" x14ac:dyDescent="0.15">
      <c r="I1169" s="18"/>
    </row>
    <row r="1170" spans="9:9" x14ac:dyDescent="0.15">
      <c r="I1170" s="18"/>
    </row>
    <row r="1171" spans="9:9" x14ac:dyDescent="0.15">
      <c r="I1171" s="18"/>
    </row>
    <row r="1172" spans="9:9" x14ac:dyDescent="0.15">
      <c r="I1172" s="18"/>
    </row>
    <row r="1173" spans="9:9" x14ac:dyDescent="0.15">
      <c r="I1173" s="18"/>
    </row>
    <row r="1174" spans="9:9" x14ac:dyDescent="0.15">
      <c r="I1174" s="18"/>
    </row>
    <row r="1175" spans="9:9" x14ac:dyDescent="0.15">
      <c r="I1175" s="18"/>
    </row>
    <row r="1176" spans="9:9" x14ac:dyDescent="0.15">
      <c r="I1176" s="18"/>
    </row>
    <row r="1177" spans="9:9" x14ac:dyDescent="0.15">
      <c r="I1177" s="18"/>
    </row>
    <row r="1178" spans="9:9" x14ac:dyDescent="0.15">
      <c r="I1178" s="18"/>
    </row>
    <row r="1179" spans="9:9" x14ac:dyDescent="0.15">
      <c r="I1179" s="18"/>
    </row>
    <row r="1180" spans="9:9" x14ac:dyDescent="0.15">
      <c r="I1180" s="18"/>
    </row>
    <row r="1181" spans="9:9" x14ac:dyDescent="0.15">
      <c r="I1181" s="18"/>
    </row>
    <row r="1182" spans="9:9" x14ac:dyDescent="0.15">
      <c r="I1182" s="18"/>
    </row>
    <row r="1183" spans="9:9" x14ac:dyDescent="0.15">
      <c r="I1183" s="18"/>
    </row>
    <row r="1184" spans="9:9" x14ac:dyDescent="0.15">
      <c r="I1184" s="18"/>
    </row>
    <row r="1185" spans="9:9" x14ac:dyDescent="0.15">
      <c r="I1185" s="18"/>
    </row>
    <row r="1186" spans="9:9" x14ac:dyDescent="0.15">
      <c r="I1186" s="18"/>
    </row>
    <row r="1187" spans="9:9" x14ac:dyDescent="0.15">
      <c r="I1187" s="18"/>
    </row>
    <row r="1188" spans="9:9" x14ac:dyDescent="0.15">
      <c r="I1188" s="18"/>
    </row>
    <row r="1189" spans="9:9" x14ac:dyDescent="0.15">
      <c r="I1189" s="18"/>
    </row>
    <row r="1190" spans="9:9" x14ac:dyDescent="0.15">
      <c r="I1190" s="18"/>
    </row>
    <row r="1191" spans="9:9" x14ac:dyDescent="0.15">
      <c r="I1191" s="18"/>
    </row>
    <row r="1192" spans="9:9" x14ac:dyDescent="0.15">
      <c r="I1192" s="18"/>
    </row>
    <row r="1193" spans="9:9" x14ac:dyDescent="0.15">
      <c r="I1193" s="18"/>
    </row>
    <row r="1194" spans="9:9" x14ac:dyDescent="0.15">
      <c r="I1194" s="18"/>
    </row>
    <row r="1195" spans="9:9" x14ac:dyDescent="0.15">
      <c r="I1195" s="18"/>
    </row>
    <row r="1196" spans="9:9" x14ac:dyDescent="0.15">
      <c r="I1196" s="18"/>
    </row>
    <row r="1197" spans="9:9" x14ac:dyDescent="0.15">
      <c r="I1197" s="18"/>
    </row>
    <row r="1198" spans="9:9" x14ac:dyDescent="0.15">
      <c r="I1198" s="18"/>
    </row>
    <row r="1199" spans="9:9" x14ac:dyDescent="0.15">
      <c r="I1199" s="18"/>
    </row>
    <row r="1200" spans="9:9" x14ac:dyDescent="0.15">
      <c r="I1200" s="18"/>
    </row>
    <row r="1201" spans="9:9" x14ac:dyDescent="0.15">
      <c r="I1201" s="18"/>
    </row>
    <row r="1202" spans="9:9" x14ac:dyDescent="0.15">
      <c r="I1202" s="18"/>
    </row>
    <row r="1203" spans="9:9" x14ac:dyDescent="0.15">
      <c r="I1203" s="18"/>
    </row>
    <row r="1204" spans="9:9" x14ac:dyDescent="0.15">
      <c r="I1204" s="18"/>
    </row>
    <row r="1205" spans="9:9" x14ac:dyDescent="0.15">
      <c r="I1205" s="18"/>
    </row>
    <row r="1206" spans="9:9" x14ac:dyDescent="0.15">
      <c r="I1206" s="18"/>
    </row>
    <row r="1207" spans="9:9" x14ac:dyDescent="0.15">
      <c r="I1207" s="18"/>
    </row>
    <row r="1208" spans="9:9" x14ac:dyDescent="0.15">
      <c r="I1208" s="18"/>
    </row>
    <row r="1209" spans="9:9" x14ac:dyDescent="0.15">
      <c r="I1209" s="18"/>
    </row>
    <row r="1210" spans="9:9" x14ac:dyDescent="0.15">
      <c r="I1210" s="18"/>
    </row>
    <row r="1211" spans="9:9" x14ac:dyDescent="0.15">
      <c r="I1211" s="18"/>
    </row>
    <row r="1212" spans="9:9" x14ac:dyDescent="0.15">
      <c r="I1212" s="18"/>
    </row>
    <row r="1213" spans="9:9" x14ac:dyDescent="0.15">
      <c r="I1213" s="18"/>
    </row>
    <row r="1214" spans="9:9" x14ac:dyDescent="0.15">
      <c r="I1214" s="18"/>
    </row>
    <row r="1215" spans="9:9" x14ac:dyDescent="0.15">
      <c r="I1215" s="18"/>
    </row>
    <row r="1216" spans="9:9" x14ac:dyDescent="0.15">
      <c r="I1216" s="18"/>
    </row>
    <row r="1217" spans="9:9" x14ac:dyDescent="0.15">
      <c r="I1217" s="18"/>
    </row>
    <row r="1218" spans="9:9" x14ac:dyDescent="0.15">
      <c r="I1218" s="18"/>
    </row>
    <row r="1219" spans="9:9" x14ac:dyDescent="0.15">
      <c r="I1219" s="18"/>
    </row>
    <row r="1220" spans="9:9" x14ac:dyDescent="0.15">
      <c r="I1220" s="18"/>
    </row>
    <row r="1221" spans="9:9" x14ac:dyDescent="0.15">
      <c r="I1221" s="18"/>
    </row>
    <row r="1222" spans="9:9" x14ac:dyDescent="0.15">
      <c r="I1222" s="18"/>
    </row>
    <row r="1223" spans="9:9" x14ac:dyDescent="0.15">
      <c r="I1223" s="18"/>
    </row>
    <row r="1224" spans="9:9" x14ac:dyDescent="0.15">
      <c r="I1224" s="18"/>
    </row>
    <row r="1225" spans="9:9" x14ac:dyDescent="0.15">
      <c r="I1225" s="18"/>
    </row>
    <row r="1226" spans="9:9" x14ac:dyDescent="0.15">
      <c r="I1226" s="18"/>
    </row>
    <row r="1227" spans="9:9" x14ac:dyDescent="0.15">
      <c r="I1227" s="18"/>
    </row>
    <row r="1228" spans="9:9" x14ac:dyDescent="0.15">
      <c r="I1228" s="18"/>
    </row>
    <row r="1229" spans="9:9" x14ac:dyDescent="0.15">
      <c r="I1229" s="18"/>
    </row>
    <row r="1230" spans="9:9" x14ac:dyDescent="0.15">
      <c r="I1230" s="18"/>
    </row>
    <row r="1231" spans="9:9" x14ac:dyDescent="0.15">
      <c r="I1231" s="18"/>
    </row>
    <row r="1232" spans="9:9" x14ac:dyDescent="0.15">
      <c r="I1232" s="18"/>
    </row>
    <row r="1233" spans="9:9" x14ac:dyDescent="0.15">
      <c r="I1233" s="18"/>
    </row>
    <row r="1234" spans="9:9" x14ac:dyDescent="0.15">
      <c r="I1234" s="18"/>
    </row>
    <row r="1235" spans="9:9" x14ac:dyDescent="0.15">
      <c r="I1235" s="18"/>
    </row>
    <row r="1236" spans="9:9" x14ac:dyDescent="0.15">
      <c r="I1236" s="18"/>
    </row>
    <row r="1237" spans="9:9" x14ac:dyDescent="0.15">
      <c r="I1237" s="18"/>
    </row>
    <row r="1238" spans="9:9" x14ac:dyDescent="0.15">
      <c r="I1238" s="18"/>
    </row>
    <row r="1239" spans="9:9" x14ac:dyDescent="0.15">
      <c r="I1239" s="18"/>
    </row>
    <row r="1240" spans="9:9" x14ac:dyDescent="0.15">
      <c r="I1240" s="18"/>
    </row>
    <row r="1241" spans="9:9" x14ac:dyDescent="0.15">
      <c r="I1241" s="18"/>
    </row>
    <row r="1242" spans="9:9" x14ac:dyDescent="0.15">
      <c r="I1242" s="18"/>
    </row>
    <row r="1243" spans="9:9" x14ac:dyDescent="0.15">
      <c r="I1243" s="18"/>
    </row>
    <row r="1244" spans="9:9" x14ac:dyDescent="0.15">
      <c r="I1244" s="18"/>
    </row>
    <row r="1245" spans="9:9" x14ac:dyDescent="0.15">
      <c r="I1245" s="18"/>
    </row>
    <row r="1246" spans="9:9" x14ac:dyDescent="0.15">
      <c r="I1246" s="18"/>
    </row>
    <row r="1247" spans="9:9" x14ac:dyDescent="0.15">
      <c r="I1247" s="18"/>
    </row>
    <row r="1248" spans="9:9" x14ac:dyDescent="0.15">
      <c r="I1248" s="18"/>
    </row>
    <row r="1249" spans="9:9" x14ac:dyDescent="0.15">
      <c r="I1249" s="18"/>
    </row>
    <row r="1250" spans="9:9" x14ac:dyDescent="0.15">
      <c r="I1250" s="18"/>
    </row>
    <row r="1251" spans="9:9" x14ac:dyDescent="0.15">
      <c r="I1251" s="18"/>
    </row>
    <row r="1252" spans="9:9" x14ac:dyDescent="0.15">
      <c r="I1252" s="18"/>
    </row>
    <row r="1253" spans="9:9" x14ac:dyDescent="0.15">
      <c r="I1253" s="18"/>
    </row>
    <row r="1254" spans="9:9" x14ac:dyDescent="0.15">
      <c r="I1254" s="18"/>
    </row>
    <row r="1255" spans="9:9" x14ac:dyDescent="0.15">
      <c r="I1255" s="18"/>
    </row>
    <row r="1256" spans="9:9" x14ac:dyDescent="0.15">
      <c r="I1256" s="18"/>
    </row>
    <row r="1257" spans="9:9" x14ac:dyDescent="0.15">
      <c r="I1257" s="18"/>
    </row>
    <row r="1258" spans="9:9" x14ac:dyDescent="0.15">
      <c r="I1258" s="18"/>
    </row>
    <row r="1259" spans="9:9" x14ac:dyDescent="0.15">
      <c r="I1259" s="18"/>
    </row>
    <row r="1260" spans="9:9" x14ac:dyDescent="0.15">
      <c r="I1260" s="18"/>
    </row>
    <row r="1261" spans="9:9" x14ac:dyDescent="0.15">
      <c r="I1261" s="18"/>
    </row>
    <row r="1262" spans="9:9" x14ac:dyDescent="0.15">
      <c r="I1262" s="18"/>
    </row>
    <row r="1263" spans="9:9" x14ac:dyDescent="0.15">
      <c r="I1263" s="18"/>
    </row>
    <row r="1264" spans="9:9" x14ac:dyDescent="0.15">
      <c r="I1264" s="18"/>
    </row>
    <row r="1265" spans="9:9" x14ac:dyDescent="0.15">
      <c r="I1265" s="18"/>
    </row>
    <row r="1266" spans="9:9" x14ac:dyDescent="0.15">
      <c r="I1266" s="18"/>
    </row>
    <row r="1267" spans="9:9" x14ac:dyDescent="0.15">
      <c r="I1267" s="18"/>
    </row>
    <row r="1268" spans="9:9" x14ac:dyDescent="0.15">
      <c r="I1268" s="18"/>
    </row>
    <row r="1269" spans="9:9" x14ac:dyDescent="0.15">
      <c r="I1269" s="18"/>
    </row>
    <row r="1270" spans="9:9" x14ac:dyDescent="0.15">
      <c r="I1270" s="18"/>
    </row>
    <row r="1271" spans="9:9" x14ac:dyDescent="0.15">
      <c r="I1271" s="18"/>
    </row>
    <row r="1272" spans="9:9" x14ac:dyDescent="0.15">
      <c r="I1272" s="18"/>
    </row>
    <row r="1273" spans="9:9" x14ac:dyDescent="0.15">
      <c r="I1273" s="18"/>
    </row>
    <row r="1274" spans="9:9" x14ac:dyDescent="0.15">
      <c r="I1274" s="18"/>
    </row>
    <row r="1275" spans="9:9" x14ac:dyDescent="0.15">
      <c r="I1275" s="18"/>
    </row>
    <row r="1276" spans="9:9" x14ac:dyDescent="0.15">
      <c r="I1276" s="18"/>
    </row>
    <row r="1277" spans="9:9" x14ac:dyDescent="0.15">
      <c r="I1277" s="18"/>
    </row>
    <row r="1278" spans="9:9" x14ac:dyDescent="0.15">
      <c r="I1278" s="18"/>
    </row>
    <row r="1279" spans="9:9" x14ac:dyDescent="0.15">
      <c r="I1279" s="18"/>
    </row>
    <row r="1280" spans="9:9" x14ac:dyDescent="0.15">
      <c r="I1280" s="18"/>
    </row>
    <row r="1281" spans="9:9" x14ac:dyDescent="0.15">
      <c r="I1281" s="18"/>
    </row>
    <row r="1282" spans="9:9" x14ac:dyDescent="0.15">
      <c r="I1282" s="18"/>
    </row>
    <row r="1283" spans="9:9" x14ac:dyDescent="0.15">
      <c r="I1283" s="18"/>
    </row>
    <row r="1284" spans="9:9" x14ac:dyDescent="0.15">
      <c r="I1284" s="18"/>
    </row>
    <row r="1285" spans="9:9" x14ac:dyDescent="0.15">
      <c r="I1285" s="18"/>
    </row>
    <row r="1286" spans="9:9" x14ac:dyDescent="0.15">
      <c r="I1286" s="18"/>
    </row>
    <row r="1287" spans="9:9" x14ac:dyDescent="0.15">
      <c r="I1287" s="18"/>
    </row>
    <row r="1288" spans="9:9" x14ac:dyDescent="0.15">
      <c r="I1288" s="18"/>
    </row>
    <row r="1289" spans="9:9" x14ac:dyDescent="0.15">
      <c r="I1289" s="18"/>
    </row>
    <row r="1290" spans="9:9" x14ac:dyDescent="0.15">
      <c r="I1290" s="18"/>
    </row>
    <row r="1291" spans="9:9" x14ac:dyDescent="0.15">
      <c r="I1291" s="18"/>
    </row>
    <row r="1292" spans="9:9" x14ac:dyDescent="0.15">
      <c r="I1292" s="18"/>
    </row>
    <row r="1293" spans="9:9" x14ac:dyDescent="0.15">
      <c r="I1293" s="18"/>
    </row>
    <row r="1294" spans="9:9" x14ac:dyDescent="0.15">
      <c r="I1294" s="18"/>
    </row>
    <row r="1295" spans="9:9" x14ac:dyDescent="0.15">
      <c r="I1295" s="18"/>
    </row>
    <row r="1296" spans="9:9" x14ac:dyDescent="0.15">
      <c r="I1296" s="18"/>
    </row>
    <row r="1297" spans="9:9" x14ac:dyDescent="0.15">
      <c r="I1297" s="18"/>
    </row>
    <row r="1298" spans="9:9" x14ac:dyDescent="0.15">
      <c r="I1298" s="18"/>
    </row>
    <row r="1299" spans="9:9" x14ac:dyDescent="0.15">
      <c r="I1299" s="18"/>
    </row>
    <row r="1300" spans="9:9" x14ac:dyDescent="0.15">
      <c r="I1300" s="18"/>
    </row>
    <row r="1301" spans="9:9" x14ac:dyDescent="0.15">
      <c r="I1301" s="18"/>
    </row>
    <row r="1302" spans="9:9" x14ac:dyDescent="0.15">
      <c r="I1302" s="18"/>
    </row>
    <row r="1303" spans="9:9" x14ac:dyDescent="0.15">
      <c r="I1303" s="18"/>
    </row>
    <row r="1304" spans="9:9" x14ac:dyDescent="0.15">
      <c r="I1304" s="18"/>
    </row>
    <row r="1305" spans="9:9" x14ac:dyDescent="0.15">
      <c r="I1305" s="18"/>
    </row>
    <row r="1306" spans="9:9" x14ac:dyDescent="0.15">
      <c r="I1306" s="18"/>
    </row>
    <row r="1307" spans="9:9" x14ac:dyDescent="0.15">
      <c r="I1307" s="18"/>
    </row>
    <row r="1308" spans="9:9" x14ac:dyDescent="0.15">
      <c r="I1308" s="18"/>
    </row>
    <row r="1309" spans="9:9" x14ac:dyDescent="0.15">
      <c r="I1309" s="18"/>
    </row>
    <row r="1310" spans="9:9" x14ac:dyDescent="0.15">
      <c r="I1310" s="18"/>
    </row>
    <row r="1311" spans="9:9" x14ac:dyDescent="0.15">
      <c r="I1311" s="18"/>
    </row>
    <row r="1312" spans="9:9" x14ac:dyDescent="0.15">
      <c r="I1312" s="18"/>
    </row>
    <row r="1313" spans="9:9" x14ac:dyDescent="0.15">
      <c r="I1313" s="18"/>
    </row>
    <row r="1314" spans="9:9" x14ac:dyDescent="0.15">
      <c r="I1314" s="18"/>
    </row>
    <row r="1315" spans="9:9" x14ac:dyDescent="0.15">
      <c r="I1315" s="18"/>
    </row>
    <row r="1316" spans="9:9" x14ac:dyDescent="0.15">
      <c r="I1316" s="18"/>
    </row>
    <row r="1317" spans="9:9" x14ac:dyDescent="0.15">
      <c r="I1317" s="18"/>
    </row>
    <row r="1318" spans="9:9" x14ac:dyDescent="0.15">
      <c r="I1318" s="18"/>
    </row>
    <row r="1319" spans="9:9" x14ac:dyDescent="0.15">
      <c r="I1319" s="18"/>
    </row>
    <row r="1320" spans="9:9" x14ac:dyDescent="0.15">
      <c r="I1320" s="18"/>
    </row>
    <row r="1321" spans="9:9" x14ac:dyDescent="0.15">
      <c r="I1321" s="18"/>
    </row>
    <row r="1322" spans="9:9" x14ac:dyDescent="0.15">
      <c r="I1322" s="18"/>
    </row>
    <row r="1323" spans="9:9" x14ac:dyDescent="0.15">
      <c r="I1323" s="18"/>
    </row>
    <row r="1324" spans="9:9" x14ac:dyDescent="0.15">
      <c r="I1324" s="18"/>
    </row>
    <row r="1325" spans="9:9" x14ac:dyDescent="0.15">
      <c r="I1325" s="18"/>
    </row>
    <row r="1326" spans="9:9" x14ac:dyDescent="0.15">
      <c r="I1326" s="18"/>
    </row>
    <row r="1327" spans="9:9" x14ac:dyDescent="0.15">
      <c r="I1327" s="18"/>
    </row>
    <row r="1328" spans="9:9" x14ac:dyDescent="0.15">
      <c r="I1328" s="18"/>
    </row>
    <row r="1329" spans="9:9" x14ac:dyDescent="0.15">
      <c r="I1329" s="18"/>
    </row>
    <row r="1330" spans="9:9" x14ac:dyDescent="0.15">
      <c r="I1330" s="18"/>
    </row>
    <row r="1331" spans="9:9" x14ac:dyDescent="0.15">
      <c r="I1331" s="18"/>
    </row>
    <row r="1332" spans="9:9" x14ac:dyDescent="0.15">
      <c r="I1332" s="18"/>
    </row>
    <row r="1333" spans="9:9" x14ac:dyDescent="0.15">
      <c r="I1333" s="18"/>
    </row>
    <row r="1334" spans="9:9" x14ac:dyDescent="0.15">
      <c r="I1334" s="18"/>
    </row>
    <row r="1335" spans="9:9" x14ac:dyDescent="0.15">
      <c r="I1335" s="18"/>
    </row>
    <row r="1336" spans="9:9" x14ac:dyDescent="0.15">
      <c r="I1336" s="18"/>
    </row>
    <row r="1337" spans="9:9" x14ac:dyDescent="0.15">
      <c r="I1337" s="18"/>
    </row>
    <row r="1338" spans="9:9" x14ac:dyDescent="0.15">
      <c r="I1338" s="18"/>
    </row>
    <row r="1339" spans="9:9" x14ac:dyDescent="0.15">
      <c r="I1339" s="18"/>
    </row>
    <row r="1340" spans="9:9" x14ac:dyDescent="0.15">
      <c r="I1340" s="18"/>
    </row>
    <row r="1341" spans="9:9" x14ac:dyDescent="0.15">
      <c r="I1341" s="18"/>
    </row>
    <row r="1342" spans="9:9" x14ac:dyDescent="0.15">
      <c r="I1342" s="18"/>
    </row>
    <row r="1343" spans="9:9" x14ac:dyDescent="0.15">
      <c r="I1343" s="18"/>
    </row>
    <row r="1344" spans="9:9" x14ac:dyDescent="0.15">
      <c r="I1344" s="18"/>
    </row>
    <row r="1345" spans="9:9" x14ac:dyDescent="0.15">
      <c r="I1345" s="18"/>
    </row>
    <row r="1346" spans="9:9" x14ac:dyDescent="0.15">
      <c r="I1346" s="18"/>
    </row>
    <row r="1347" spans="9:9" x14ac:dyDescent="0.15">
      <c r="I1347" s="18"/>
    </row>
    <row r="1348" spans="9:9" x14ac:dyDescent="0.15">
      <c r="I1348" s="18"/>
    </row>
    <row r="1349" spans="9:9" x14ac:dyDescent="0.15">
      <c r="I1349" s="18"/>
    </row>
    <row r="1350" spans="9:9" x14ac:dyDescent="0.15">
      <c r="I1350" s="18"/>
    </row>
    <row r="1351" spans="9:9" x14ac:dyDescent="0.15">
      <c r="I1351" s="18"/>
    </row>
    <row r="1352" spans="9:9" x14ac:dyDescent="0.15">
      <c r="I1352" s="18"/>
    </row>
    <row r="1353" spans="9:9" x14ac:dyDescent="0.15">
      <c r="I1353" s="18"/>
    </row>
    <row r="1354" spans="9:9" x14ac:dyDescent="0.15">
      <c r="I1354" s="18"/>
    </row>
    <row r="1355" spans="9:9" x14ac:dyDescent="0.15">
      <c r="I1355" s="18"/>
    </row>
    <row r="1356" spans="9:9" x14ac:dyDescent="0.15">
      <c r="I1356" s="18"/>
    </row>
    <row r="1357" spans="9:9" x14ac:dyDescent="0.15">
      <c r="I1357" s="18"/>
    </row>
    <row r="1358" spans="9:9" x14ac:dyDescent="0.15">
      <c r="I1358" s="18"/>
    </row>
    <row r="1359" spans="9:9" x14ac:dyDescent="0.15">
      <c r="I1359" s="18"/>
    </row>
    <row r="1360" spans="9:9" x14ac:dyDescent="0.15">
      <c r="I1360" s="18"/>
    </row>
    <row r="1361" spans="9:9" x14ac:dyDescent="0.15">
      <c r="I1361" s="18"/>
    </row>
    <row r="1362" spans="9:9" x14ac:dyDescent="0.15">
      <c r="I1362" s="18"/>
    </row>
    <row r="1363" spans="9:9" x14ac:dyDescent="0.15">
      <c r="I1363" s="18"/>
    </row>
    <row r="1364" spans="9:9" x14ac:dyDescent="0.15">
      <c r="I1364" s="18"/>
    </row>
    <row r="1365" spans="9:9" x14ac:dyDescent="0.15">
      <c r="I1365" s="18"/>
    </row>
    <row r="1366" spans="9:9" x14ac:dyDescent="0.15">
      <c r="I1366" s="18"/>
    </row>
    <row r="1367" spans="9:9" x14ac:dyDescent="0.15">
      <c r="I1367" s="18"/>
    </row>
    <row r="1368" spans="9:9" x14ac:dyDescent="0.15">
      <c r="I1368" s="18"/>
    </row>
    <row r="1369" spans="9:9" x14ac:dyDescent="0.15">
      <c r="I1369" s="18"/>
    </row>
    <row r="1370" spans="9:9" x14ac:dyDescent="0.15">
      <c r="I1370" s="18"/>
    </row>
    <row r="1371" spans="9:9" x14ac:dyDescent="0.15">
      <c r="I1371" s="18"/>
    </row>
    <row r="1372" spans="9:9" x14ac:dyDescent="0.15">
      <c r="I1372" s="18"/>
    </row>
    <row r="1373" spans="9:9" x14ac:dyDescent="0.15">
      <c r="I1373" s="18"/>
    </row>
    <row r="1374" spans="9:9" x14ac:dyDescent="0.15">
      <c r="I1374" s="18"/>
    </row>
    <row r="1375" spans="9:9" x14ac:dyDescent="0.15">
      <c r="I1375" s="18"/>
    </row>
    <row r="1376" spans="9:9" x14ac:dyDescent="0.15">
      <c r="I1376" s="18"/>
    </row>
    <row r="1377" spans="9:9" x14ac:dyDescent="0.15">
      <c r="I1377" s="18"/>
    </row>
    <row r="1378" spans="9:9" x14ac:dyDescent="0.15">
      <c r="I1378" s="18"/>
    </row>
    <row r="1379" spans="9:9" x14ac:dyDescent="0.15">
      <c r="I1379" s="18"/>
    </row>
    <row r="1380" spans="9:9" x14ac:dyDescent="0.15">
      <c r="I1380" s="18"/>
    </row>
    <row r="1381" spans="9:9" x14ac:dyDescent="0.15">
      <c r="I1381" s="18"/>
    </row>
    <row r="1382" spans="9:9" x14ac:dyDescent="0.15">
      <c r="I1382" s="18"/>
    </row>
    <row r="1383" spans="9:9" x14ac:dyDescent="0.15">
      <c r="I1383" s="18"/>
    </row>
    <row r="1384" spans="9:9" x14ac:dyDescent="0.15">
      <c r="I1384" s="18"/>
    </row>
    <row r="1385" spans="9:9" x14ac:dyDescent="0.15">
      <c r="I1385" s="18"/>
    </row>
    <row r="1386" spans="9:9" x14ac:dyDescent="0.15">
      <c r="I1386" s="18"/>
    </row>
    <row r="1387" spans="9:9" x14ac:dyDescent="0.15">
      <c r="I1387" s="18"/>
    </row>
    <row r="1388" spans="9:9" x14ac:dyDescent="0.15">
      <c r="I1388" s="18"/>
    </row>
    <row r="1389" spans="9:9" x14ac:dyDescent="0.15">
      <c r="I1389" s="18"/>
    </row>
    <row r="1390" spans="9:9" x14ac:dyDescent="0.15">
      <c r="I1390" s="18"/>
    </row>
    <row r="1391" spans="9:9" x14ac:dyDescent="0.15">
      <c r="I1391" s="18"/>
    </row>
    <row r="1392" spans="9:9" x14ac:dyDescent="0.15">
      <c r="I1392" s="18"/>
    </row>
    <row r="1393" spans="9:9" x14ac:dyDescent="0.15">
      <c r="I1393" s="18"/>
    </row>
    <row r="1394" spans="9:9" x14ac:dyDescent="0.15">
      <c r="I1394" s="18"/>
    </row>
    <row r="1395" spans="9:9" x14ac:dyDescent="0.15">
      <c r="I1395" s="18"/>
    </row>
    <row r="1396" spans="9:9" x14ac:dyDescent="0.15">
      <c r="I1396" s="18"/>
    </row>
    <row r="1397" spans="9:9" x14ac:dyDescent="0.15">
      <c r="I1397" s="18"/>
    </row>
    <row r="1398" spans="9:9" x14ac:dyDescent="0.15">
      <c r="I1398" s="18"/>
    </row>
    <row r="1399" spans="9:9" x14ac:dyDescent="0.15">
      <c r="I1399" s="18"/>
    </row>
    <row r="1400" spans="9:9" x14ac:dyDescent="0.15">
      <c r="I1400" s="18"/>
    </row>
    <row r="1401" spans="9:9" x14ac:dyDescent="0.15">
      <c r="I1401" s="18"/>
    </row>
    <row r="1402" spans="9:9" x14ac:dyDescent="0.15">
      <c r="I1402" s="18"/>
    </row>
    <row r="1403" spans="9:9" x14ac:dyDescent="0.15">
      <c r="I1403" s="18"/>
    </row>
    <row r="1404" spans="9:9" x14ac:dyDescent="0.15">
      <c r="I1404" s="18"/>
    </row>
    <row r="1405" spans="9:9" x14ac:dyDescent="0.15">
      <c r="I1405" s="18"/>
    </row>
    <row r="1406" spans="9:9" x14ac:dyDescent="0.15">
      <c r="I1406" s="18"/>
    </row>
    <row r="1407" spans="9:9" x14ac:dyDescent="0.15">
      <c r="I1407" s="18"/>
    </row>
    <row r="1408" spans="9:9" x14ac:dyDescent="0.15">
      <c r="I1408" s="18"/>
    </row>
    <row r="1409" spans="9:9" x14ac:dyDescent="0.15">
      <c r="I1409" s="18"/>
    </row>
    <row r="1410" spans="9:9" x14ac:dyDescent="0.15">
      <c r="I1410" s="18"/>
    </row>
    <row r="1411" spans="9:9" x14ac:dyDescent="0.15">
      <c r="I1411" s="18"/>
    </row>
    <row r="1412" spans="9:9" x14ac:dyDescent="0.15">
      <c r="I1412" s="18"/>
    </row>
    <row r="1413" spans="9:9" x14ac:dyDescent="0.15">
      <c r="I1413" s="18"/>
    </row>
    <row r="1414" spans="9:9" x14ac:dyDescent="0.15">
      <c r="I1414" s="18"/>
    </row>
    <row r="1415" spans="9:9" x14ac:dyDescent="0.15">
      <c r="I1415" s="18"/>
    </row>
    <row r="1416" spans="9:9" x14ac:dyDescent="0.15">
      <c r="I1416" s="18"/>
    </row>
    <row r="1417" spans="9:9" x14ac:dyDescent="0.15">
      <c r="I1417" s="18"/>
    </row>
    <row r="1418" spans="9:9" x14ac:dyDescent="0.15">
      <c r="I1418" s="18"/>
    </row>
    <row r="1419" spans="9:9" x14ac:dyDescent="0.15">
      <c r="I1419" s="18"/>
    </row>
    <row r="1420" spans="9:9" x14ac:dyDescent="0.15">
      <c r="I1420" s="18"/>
    </row>
    <row r="1421" spans="9:9" x14ac:dyDescent="0.15">
      <c r="I1421" s="18"/>
    </row>
    <row r="1422" spans="9:9" x14ac:dyDescent="0.15">
      <c r="I1422" s="18"/>
    </row>
    <row r="1423" spans="9:9" x14ac:dyDescent="0.15">
      <c r="I1423" s="18"/>
    </row>
    <row r="1424" spans="9:9" x14ac:dyDescent="0.15">
      <c r="I1424" s="18"/>
    </row>
    <row r="1425" spans="9:9" x14ac:dyDescent="0.15">
      <c r="I1425" s="18"/>
    </row>
    <row r="1426" spans="9:9" x14ac:dyDescent="0.15">
      <c r="I1426" s="18"/>
    </row>
    <row r="1427" spans="9:9" x14ac:dyDescent="0.15">
      <c r="I1427" s="18"/>
    </row>
    <row r="1428" spans="9:9" x14ac:dyDescent="0.15">
      <c r="I1428" s="18"/>
    </row>
    <row r="1429" spans="9:9" x14ac:dyDescent="0.15">
      <c r="I1429" s="18"/>
    </row>
    <row r="1430" spans="9:9" x14ac:dyDescent="0.15">
      <c r="I1430" s="18"/>
    </row>
    <row r="1431" spans="9:9" x14ac:dyDescent="0.15">
      <c r="I1431" s="18"/>
    </row>
    <row r="1432" spans="9:9" x14ac:dyDescent="0.15">
      <c r="I1432" s="18"/>
    </row>
    <row r="1433" spans="9:9" x14ac:dyDescent="0.15">
      <c r="I1433" s="18"/>
    </row>
    <row r="1434" spans="9:9" x14ac:dyDescent="0.15">
      <c r="I1434" s="18"/>
    </row>
    <row r="1435" spans="9:9" x14ac:dyDescent="0.15">
      <c r="I1435" s="18"/>
    </row>
    <row r="1436" spans="9:9" x14ac:dyDescent="0.15">
      <c r="I1436" s="18"/>
    </row>
    <row r="1437" spans="9:9" x14ac:dyDescent="0.15">
      <c r="I1437" s="18"/>
    </row>
    <row r="1438" spans="9:9" x14ac:dyDescent="0.15">
      <c r="I1438" s="18"/>
    </row>
    <row r="1439" spans="9:9" x14ac:dyDescent="0.15">
      <c r="I1439" s="18"/>
    </row>
    <row r="1440" spans="9:9" x14ac:dyDescent="0.15">
      <c r="I1440" s="18"/>
    </row>
    <row r="1441" spans="9:9" x14ac:dyDescent="0.15">
      <c r="I1441" s="18"/>
    </row>
    <row r="1442" spans="9:9" x14ac:dyDescent="0.15">
      <c r="I1442" s="18"/>
    </row>
    <row r="1443" spans="9:9" x14ac:dyDescent="0.15">
      <c r="I1443" s="18"/>
    </row>
    <row r="1444" spans="9:9" x14ac:dyDescent="0.15">
      <c r="I1444" s="18"/>
    </row>
    <row r="1445" spans="9:9" x14ac:dyDescent="0.15">
      <c r="I1445" s="18"/>
    </row>
    <row r="1446" spans="9:9" x14ac:dyDescent="0.15">
      <c r="I1446" s="18"/>
    </row>
    <row r="1447" spans="9:9" x14ac:dyDescent="0.15">
      <c r="I1447" s="18"/>
    </row>
    <row r="1448" spans="9:9" x14ac:dyDescent="0.15">
      <c r="I1448" s="18"/>
    </row>
    <row r="1449" spans="9:9" x14ac:dyDescent="0.15">
      <c r="I1449" s="18"/>
    </row>
    <row r="1450" spans="9:9" x14ac:dyDescent="0.15">
      <c r="I1450" s="18"/>
    </row>
    <row r="1451" spans="9:9" x14ac:dyDescent="0.15">
      <c r="I1451" s="18"/>
    </row>
    <row r="1452" spans="9:9" x14ac:dyDescent="0.15">
      <c r="I1452" s="18"/>
    </row>
    <row r="1453" spans="9:9" x14ac:dyDescent="0.15">
      <c r="I1453" s="18"/>
    </row>
    <row r="1454" spans="9:9" x14ac:dyDescent="0.15">
      <c r="I1454" s="18"/>
    </row>
    <row r="1455" spans="9:9" x14ac:dyDescent="0.15">
      <c r="I1455" s="18"/>
    </row>
    <row r="1456" spans="9:9" x14ac:dyDescent="0.15">
      <c r="I1456" s="18"/>
    </row>
    <row r="1457" spans="9:9" x14ac:dyDescent="0.15">
      <c r="I1457" s="18"/>
    </row>
    <row r="1458" spans="9:9" x14ac:dyDescent="0.15">
      <c r="I1458" s="18"/>
    </row>
    <row r="1459" spans="9:9" x14ac:dyDescent="0.15">
      <c r="I1459" s="18"/>
    </row>
    <row r="1460" spans="9:9" x14ac:dyDescent="0.15">
      <c r="I1460" s="18"/>
    </row>
    <row r="1461" spans="9:9" x14ac:dyDescent="0.15">
      <c r="I1461" s="18"/>
    </row>
    <row r="1462" spans="9:9" x14ac:dyDescent="0.15">
      <c r="I1462" s="18"/>
    </row>
    <row r="1463" spans="9:9" x14ac:dyDescent="0.15">
      <c r="I1463" s="18"/>
    </row>
    <row r="1464" spans="9:9" x14ac:dyDescent="0.15">
      <c r="I1464" s="18"/>
    </row>
    <row r="1465" spans="9:9" x14ac:dyDescent="0.15">
      <c r="I1465" s="18"/>
    </row>
    <row r="1466" spans="9:9" x14ac:dyDescent="0.15">
      <c r="I1466" s="18"/>
    </row>
    <row r="1467" spans="9:9" x14ac:dyDescent="0.15">
      <c r="I1467" s="18"/>
    </row>
    <row r="1468" spans="9:9" x14ac:dyDescent="0.15">
      <c r="I1468" s="18"/>
    </row>
    <row r="1469" spans="9:9" x14ac:dyDescent="0.15">
      <c r="I1469" s="18"/>
    </row>
    <row r="1470" spans="9:9" x14ac:dyDescent="0.15">
      <c r="I1470" s="18"/>
    </row>
    <row r="1471" spans="9:9" x14ac:dyDescent="0.15">
      <c r="I1471" s="18"/>
    </row>
    <row r="1472" spans="9:9" x14ac:dyDescent="0.15">
      <c r="I1472" s="18"/>
    </row>
    <row r="1473" spans="9:9" x14ac:dyDescent="0.15">
      <c r="I1473" s="18"/>
    </row>
    <row r="1474" spans="9:9" x14ac:dyDescent="0.15">
      <c r="I1474" s="18"/>
    </row>
    <row r="1475" spans="9:9" x14ac:dyDescent="0.15">
      <c r="I1475" s="18"/>
    </row>
    <row r="1476" spans="9:9" x14ac:dyDescent="0.15">
      <c r="I1476" s="18"/>
    </row>
    <row r="1477" spans="9:9" x14ac:dyDescent="0.15">
      <c r="I1477" s="18"/>
    </row>
    <row r="1478" spans="9:9" x14ac:dyDescent="0.15">
      <c r="I1478" s="18"/>
    </row>
    <row r="1479" spans="9:9" x14ac:dyDescent="0.15">
      <c r="I1479" s="18"/>
    </row>
    <row r="1480" spans="9:9" x14ac:dyDescent="0.15">
      <c r="I1480" s="18"/>
    </row>
    <row r="1481" spans="9:9" x14ac:dyDescent="0.15">
      <c r="I1481" s="18"/>
    </row>
    <row r="1482" spans="9:9" x14ac:dyDescent="0.15">
      <c r="I1482" s="18"/>
    </row>
    <row r="1483" spans="9:9" x14ac:dyDescent="0.15">
      <c r="I1483" s="18"/>
    </row>
    <row r="1484" spans="9:9" x14ac:dyDescent="0.15">
      <c r="I1484" s="18"/>
    </row>
    <row r="1485" spans="9:9" x14ac:dyDescent="0.15">
      <c r="I1485" s="18"/>
    </row>
    <row r="1486" spans="9:9" x14ac:dyDescent="0.15">
      <c r="I1486" s="18"/>
    </row>
    <row r="1487" spans="9:9" x14ac:dyDescent="0.15">
      <c r="I1487" s="18"/>
    </row>
    <row r="1488" spans="9:9" x14ac:dyDescent="0.15">
      <c r="I1488" s="18"/>
    </row>
    <row r="1489" spans="9:9" x14ac:dyDescent="0.15">
      <c r="I1489" s="18"/>
    </row>
    <row r="1490" spans="9:9" x14ac:dyDescent="0.15">
      <c r="I1490" s="18"/>
    </row>
    <row r="1491" spans="9:9" x14ac:dyDescent="0.15">
      <c r="I1491" s="18"/>
    </row>
    <row r="1492" spans="9:9" x14ac:dyDescent="0.15">
      <c r="I1492" s="18"/>
    </row>
    <row r="1493" spans="9:9" x14ac:dyDescent="0.15">
      <c r="I1493" s="18"/>
    </row>
    <row r="1494" spans="9:9" x14ac:dyDescent="0.15">
      <c r="I1494" s="18"/>
    </row>
    <row r="1495" spans="9:9" x14ac:dyDescent="0.15">
      <c r="I1495" s="18"/>
    </row>
    <row r="1496" spans="9:9" x14ac:dyDescent="0.15">
      <c r="I1496" s="18"/>
    </row>
    <row r="1497" spans="9:9" x14ac:dyDescent="0.15">
      <c r="I1497" s="18"/>
    </row>
    <row r="1498" spans="9:9" x14ac:dyDescent="0.15">
      <c r="I1498" s="18"/>
    </row>
    <row r="1499" spans="9:9" x14ac:dyDescent="0.15">
      <c r="I1499" s="18"/>
    </row>
    <row r="1500" spans="9:9" x14ac:dyDescent="0.15">
      <c r="I1500" s="18"/>
    </row>
    <row r="1501" spans="9:9" x14ac:dyDescent="0.15">
      <c r="I1501" s="18"/>
    </row>
    <row r="1502" spans="9:9" x14ac:dyDescent="0.15">
      <c r="I1502" s="18"/>
    </row>
    <row r="1503" spans="9:9" x14ac:dyDescent="0.15">
      <c r="I1503" s="18"/>
    </row>
    <row r="1504" spans="9:9" x14ac:dyDescent="0.15">
      <c r="I1504" s="18"/>
    </row>
    <row r="1505" spans="9:9" x14ac:dyDescent="0.15">
      <c r="I1505" s="18"/>
    </row>
    <row r="1506" spans="9:9" x14ac:dyDescent="0.15">
      <c r="I1506" s="18"/>
    </row>
    <row r="1507" spans="9:9" x14ac:dyDescent="0.15">
      <c r="I1507" s="18"/>
    </row>
    <row r="1508" spans="9:9" x14ac:dyDescent="0.15">
      <c r="I1508" s="18"/>
    </row>
    <row r="1509" spans="9:9" x14ac:dyDescent="0.15">
      <c r="I1509" s="18"/>
    </row>
    <row r="1510" spans="9:9" x14ac:dyDescent="0.15">
      <c r="I1510" s="18"/>
    </row>
    <row r="1511" spans="9:9" x14ac:dyDescent="0.15">
      <c r="I1511" s="18"/>
    </row>
    <row r="1512" spans="9:9" x14ac:dyDescent="0.15">
      <c r="I1512" s="18"/>
    </row>
    <row r="1513" spans="9:9" x14ac:dyDescent="0.15">
      <c r="I1513" s="18"/>
    </row>
    <row r="1514" spans="9:9" x14ac:dyDescent="0.15">
      <c r="I1514" s="18"/>
    </row>
    <row r="1515" spans="9:9" x14ac:dyDescent="0.15">
      <c r="I1515" s="18"/>
    </row>
    <row r="1516" spans="9:9" x14ac:dyDescent="0.15">
      <c r="I1516" s="18"/>
    </row>
    <row r="1517" spans="9:9" x14ac:dyDescent="0.15">
      <c r="I1517" s="18"/>
    </row>
    <row r="1518" spans="9:9" x14ac:dyDescent="0.15">
      <c r="I1518" s="18"/>
    </row>
    <row r="1519" spans="9:9" x14ac:dyDescent="0.15">
      <c r="I1519" s="18"/>
    </row>
    <row r="1520" spans="9:9" x14ac:dyDescent="0.15">
      <c r="I1520" s="18"/>
    </row>
    <row r="1521" spans="9:9" x14ac:dyDescent="0.15">
      <c r="I1521" s="18"/>
    </row>
    <row r="1522" spans="9:9" x14ac:dyDescent="0.15">
      <c r="I1522" s="18"/>
    </row>
    <row r="1523" spans="9:9" x14ac:dyDescent="0.15">
      <c r="I1523" s="18"/>
    </row>
    <row r="1524" spans="9:9" x14ac:dyDescent="0.15">
      <c r="I1524" s="18"/>
    </row>
    <row r="1525" spans="9:9" x14ac:dyDescent="0.15">
      <c r="I1525" s="18"/>
    </row>
    <row r="1526" spans="9:9" x14ac:dyDescent="0.15">
      <c r="I1526" s="18"/>
    </row>
    <row r="1527" spans="9:9" x14ac:dyDescent="0.15">
      <c r="I1527" s="18"/>
    </row>
    <row r="1528" spans="9:9" x14ac:dyDescent="0.15">
      <c r="I1528" s="18"/>
    </row>
    <row r="1529" spans="9:9" x14ac:dyDescent="0.15">
      <c r="I1529" s="18"/>
    </row>
    <row r="1530" spans="9:9" x14ac:dyDescent="0.15">
      <c r="I1530" s="18"/>
    </row>
    <row r="1531" spans="9:9" x14ac:dyDescent="0.15">
      <c r="I1531" s="18"/>
    </row>
    <row r="1532" spans="9:9" x14ac:dyDescent="0.15">
      <c r="I1532" s="18"/>
    </row>
    <row r="1533" spans="9:9" x14ac:dyDescent="0.15">
      <c r="I1533" s="18"/>
    </row>
    <row r="1534" spans="9:9" x14ac:dyDescent="0.15">
      <c r="I1534" s="18"/>
    </row>
    <row r="1535" spans="9:9" x14ac:dyDescent="0.15">
      <c r="I1535" s="18"/>
    </row>
    <row r="1536" spans="9:9" x14ac:dyDescent="0.15">
      <c r="I1536" s="18"/>
    </row>
    <row r="1537" spans="9:9" x14ac:dyDescent="0.15">
      <c r="I1537" s="18"/>
    </row>
    <row r="1538" spans="9:9" x14ac:dyDescent="0.15">
      <c r="I1538" s="18"/>
    </row>
    <row r="1539" spans="9:9" x14ac:dyDescent="0.15">
      <c r="I1539" s="18"/>
    </row>
    <row r="1540" spans="9:9" x14ac:dyDescent="0.15">
      <c r="I1540" s="18"/>
    </row>
    <row r="1541" spans="9:9" x14ac:dyDescent="0.15">
      <c r="I1541" s="18"/>
    </row>
    <row r="1542" spans="9:9" x14ac:dyDescent="0.15">
      <c r="I1542" s="18"/>
    </row>
    <row r="1543" spans="9:9" x14ac:dyDescent="0.15">
      <c r="I1543" s="18"/>
    </row>
    <row r="1544" spans="9:9" x14ac:dyDescent="0.15">
      <c r="I1544" s="18"/>
    </row>
    <row r="1545" spans="9:9" x14ac:dyDescent="0.15">
      <c r="I1545" s="18"/>
    </row>
    <row r="1546" spans="9:9" x14ac:dyDescent="0.15">
      <c r="I1546" s="18"/>
    </row>
    <row r="1547" spans="9:9" x14ac:dyDescent="0.15">
      <c r="I1547" s="18"/>
    </row>
    <row r="1548" spans="9:9" x14ac:dyDescent="0.15">
      <c r="I1548" s="18"/>
    </row>
    <row r="1549" spans="9:9" x14ac:dyDescent="0.15">
      <c r="I1549" s="18"/>
    </row>
    <row r="1550" spans="9:9" x14ac:dyDescent="0.15">
      <c r="I1550" s="18"/>
    </row>
    <row r="1551" spans="9:9" x14ac:dyDescent="0.15">
      <c r="I1551" s="18"/>
    </row>
    <row r="1552" spans="9:9" x14ac:dyDescent="0.15">
      <c r="I1552" s="18"/>
    </row>
    <row r="1553" spans="9:9" x14ac:dyDescent="0.15">
      <c r="I1553" s="18"/>
    </row>
    <row r="1554" spans="9:9" x14ac:dyDescent="0.15">
      <c r="I1554" s="18"/>
    </row>
    <row r="1555" spans="9:9" x14ac:dyDescent="0.15">
      <c r="I1555" s="18"/>
    </row>
    <row r="1556" spans="9:9" x14ac:dyDescent="0.15">
      <c r="I1556" s="18"/>
    </row>
    <row r="1557" spans="9:9" x14ac:dyDescent="0.15">
      <c r="I1557" s="18"/>
    </row>
    <row r="1558" spans="9:9" x14ac:dyDescent="0.15">
      <c r="I1558" s="18"/>
    </row>
    <row r="1559" spans="9:9" x14ac:dyDescent="0.15">
      <c r="I1559" s="18"/>
    </row>
    <row r="1560" spans="9:9" x14ac:dyDescent="0.15">
      <c r="I1560" s="18"/>
    </row>
    <row r="1561" spans="9:9" x14ac:dyDescent="0.15">
      <c r="I1561" s="18"/>
    </row>
    <row r="1562" spans="9:9" x14ac:dyDescent="0.15">
      <c r="I1562" s="18"/>
    </row>
    <row r="1563" spans="9:9" x14ac:dyDescent="0.15">
      <c r="I1563" s="18"/>
    </row>
    <row r="1564" spans="9:9" x14ac:dyDescent="0.15">
      <c r="I1564" s="18"/>
    </row>
    <row r="1565" spans="9:9" x14ac:dyDescent="0.15">
      <c r="I1565" s="18"/>
    </row>
    <row r="1566" spans="9:9" x14ac:dyDescent="0.15">
      <c r="I1566" s="18"/>
    </row>
    <row r="1567" spans="9:9" x14ac:dyDescent="0.15">
      <c r="I1567" s="18"/>
    </row>
    <row r="1568" spans="9:9" x14ac:dyDescent="0.15">
      <c r="I1568" s="18"/>
    </row>
    <row r="1569" spans="9:9" x14ac:dyDescent="0.15">
      <c r="I1569" s="18"/>
    </row>
    <row r="1570" spans="9:9" x14ac:dyDescent="0.15">
      <c r="I1570" s="18"/>
    </row>
    <row r="1571" spans="9:9" x14ac:dyDescent="0.15">
      <c r="I1571" s="18"/>
    </row>
    <row r="1572" spans="9:9" x14ac:dyDescent="0.15">
      <c r="I1572" s="18"/>
    </row>
    <row r="1573" spans="9:9" x14ac:dyDescent="0.15">
      <c r="I1573" s="18"/>
    </row>
    <row r="1574" spans="9:9" x14ac:dyDescent="0.15">
      <c r="I1574" s="18"/>
    </row>
    <row r="1575" spans="9:9" x14ac:dyDescent="0.15">
      <c r="I1575" s="18"/>
    </row>
    <row r="1576" spans="9:9" x14ac:dyDescent="0.15">
      <c r="I1576" s="18"/>
    </row>
    <row r="1577" spans="9:9" x14ac:dyDescent="0.15">
      <c r="I1577" s="18"/>
    </row>
    <row r="1578" spans="9:9" x14ac:dyDescent="0.15">
      <c r="I1578" s="18"/>
    </row>
    <row r="1579" spans="9:9" x14ac:dyDescent="0.15">
      <c r="I1579" s="18"/>
    </row>
    <row r="1580" spans="9:9" x14ac:dyDescent="0.15">
      <c r="I1580" s="18"/>
    </row>
    <row r="1581" spans="9:9" x14ac:dyDescent="0.15">
      <c r="I1581" s="18"/>
    </row>
    <row r="1582" spans="9:9" x14ac:dyDescent="0.15">
      <c r="I1582" s="18"/>
    </row>
    <row r="1583" spans="9:9" x14ac:dyDescent="0.15">
      <c r="I1583" s="18"/>
    </row>
    <row r="1584" spans="9:9" x14ac:dyDescent="0.15">
      <c r="I1584" s="18"/>
    </row>
    <row r="1585" spans="9:9" x14ac:dyDescent="0.15">
      <c r="I1585" s="18"/>
    </row>
    <row r="1586" spans="9:9" x14ac:dyDescent="0.15">
      <c r="I1586" s="18"/>
    </row>
    <row r="1587" spans="9:9" x14ac:dyDescent="0.15">
      <c r="I1587" s="18"/>
    </row>
    <row r="1588" spans="9:9" x14ac:dyDescent="0.15">
      <c r="I1588" s="18"/>
    </row>
    <row r="1589" spans="9:9" x14ac:dyDescent="0.15">
      <c r="I1589" s="18"/>
    </row>
    <row r="1590" spans="9:9" x14ac:dyDescent="0.15">
      <c r="I1590" s="18"/>
    </row>
    <row r="1591" spans="9:9" x14ac:dyDescent="0.15">
      <c r="I1591" s="18"/>
    </row>
    <row r="1592" spans="9:9" x14ac:dyDescent="0.15">
      <c r="I1592" s="18"/>
    </row>
    <row r="1593" spans="9:9" x14ac:dyDescent="0.15">
      <c r="I1593" s="18"/>
    </row>
    <row r="1594" spans="9:9" x14ac:dyDescent="0.15">
      <c r="I1594" s="18"/>
    </row>
    <row r="1595" spans="9:9" x14ac:dyDescent="0.15">
      <c r="I1595" s="18"/>
    </row>
    <row r="1596" spans="9:9" x14ac:dyDescent="0.15">
      <c r="I1596" s="18"/>
    </row>
    <row r="1597" spans="9:9" x14ac:dyDescent="0.15">
      <c r="I1597" s="18"/>
    </row>
    <row r="1598" spans="9:9" x14ac:dyDescent="0.15">
      <c r="I1598" s="18"/>
    </row>
    <row r="1599" spans="9:9" x14ac:dyDescent="0.15">
      <c r="I1599" s="18"/>
    </row>
    <row r="1600" spans="9:9" x14ac:dyDescent="0.15">
      <c r="I1600" s="18"/>
    </row>
    <row r="1601" spans="9:9" x14ac:dyDescent="0.15">
      <c r="I1601" s="18"/>
    </row>
    <row r="1602" spans="9:9" x14ac:dyDescent="0.15">
      <c r="I1602" s="18"/>
    </row>
    <row r="1603" spans="9:9" x14ac:dyDescent="0.15">
      <c r="I1603" s="18"/>
    </row>
    <row r="1604" spans="9:9" x14ac:dyDescent="0.15">
      <c r="I1604" s="18"/>
    </row>
    <row r="1605" spans="9:9" x14ac:dyDescent="0.15">
      <c r="I1605" s="18"/>
    </row>
    <row r="1606" spans="9:9" x14ac:dyDescent="0.15">
      <c r="I1606" s="18"/>
    </row>
    <row r="1607" spans="9:9" x14ac:dyDescent="0.15">
      <c r="I1607" s="18"/>
    </row>
    <row r="1608" spans="9:9" x14ac:dyDescent="0.15">
      <c r="I1608" s="18"/>
    </row>
    <row r="1609" spans="9:9" x14ac:dyDescent="0.15">
      <c r="I1609" s="18"/>
    </row>
    <row r="1610" spans="9:9" x14ac:dyDescent="0.15">
      <c r="I1610" s="18"/>
    </row>
    <row r="1611" spans="9:9" x14ac:dyDescent="0.15">
      <c r="I1611" s="18"/>
    </row>
    <row r="1612" spans="9:9" x14ac:dyDescent="0.15">
      <c r="I1612" s="18"/>
    </row>
    <row r="1613" spans="9:9" x14ac:dyDescent="0.15">
      <c r="I1613" s="18"/>
    </row>
    <row r="1614" spans="9:9" x14ac:dyDescent="0.15">
      <c r="I1614" s="18"/>
    </row>
    <row r="1615" spans="9:9" x14ac:dyDescent="0.15">
      <c r="I1615" s="18"/>
    </row>
    <row r="1616" spans="9:9" x14ac:dyDescent="0.15">
      <c r="I1616" s="18"/>
    </row>
    <row r="1617" spans="9:9" x14ac:dyDescent="0.15">
      <c r="I1617" s="18"/>
    </row>
    <row r="1618" spans="9:9" x14ac:dyDescent="0.15">
      <c r="I1618" s="18"/>
    </row>
    <row r="1619" spans="9:9" x14ac:dyDescent="0.15">
      <c r="I1619" s="18"/>
    </row>
    <row r="1620" spans="9:9" x14ac:dyDescent="0.15">
      <c r="I1620" s="18"/>
    </row>
    <row r="1621" spans="9:9" x14ac:dyDescent="0.15">
      <c r="I1621" s="18"/>
    </row>
    <row r="1622" spans="9:9" x14ac:dyDescent="0.15">
      <c r="I1622" s="18"/>
    </row>
    <row r="1623" spans="9:9" x14ac:dyDescent="0.15">
      <c r="I1623" s="18"/>
    </row>
    <row r="1624" spans="9:9" x14ac:dyDescent="0.15">
      <c r="I1624" s="18"/>
    </row>
    <row r="1625" spans="9:9" x14ac:dyDescent="0.15">
      <c r="I1625" s="18"/>
    </row>
    <row r="1626" spans="9:9" x14ac:dyDescent="0.15">
      <c r="I1626" s="18"/>
    </row>
    <row r="1627" spans="9:9" x14ac:dyDescent="0.15">
      <c r="I1627" s="18"/>
    </row>
    <row r="1628" spans="9:9" x14ac:dyDescent="0.15">
      <c r="I1628" s="18"/>
    </row>
    <row r="1629" spans="9:9" x14ac:dyDescent="0.15">
      <c r="I1629" s="18"/>
    </row>
    <row r="1630" spans="9:9" x14ac:dyDescent="0.15">
      <c r="I1630" s="18"/>
    </row>
    <row r="1631" spans="9:9" x14ac:dyDescent="0.15">
      <c r="I1631" s="18"/>
    </row>
    <row r="1632" spans="9:9" x14ac:dyDescent="0.15">
      <c r="I1632" s="18"/>
    </row>
    <row r="1633" spans="9:9" x14ac:dyDescent="0.15">
      <c r="I1633" s="18"/>
    </row>
    <row r="1634" spans="9:9" x14ac:dyDescent="0.15">
      <c r="I1634" s="18"/>
    </row>
    <row r="1635" spans="9:9" x14ac:dyDescent="0.15">
      <c r="I1635" s="18"/>
    </row>
    <row r="1636" spans="9:9" x14ac:dyDescent="0.15">
      <c r="I1636" s="18"/>
    </row>
    <row r="1637" spans="9:9" x14ac:dyDescent="0.15">
      <c r="I1637" s="18"/>
    </row>
    <row r="1638" spans="9:9" x14ac:dyDescent="0.15">
      <c r="I1638" s="18"/>
    </row>
    <row r="1639" spans="9:9" x14ac:dyDescent="0.15">
      <c r="I1639" s="18"/>
    </row>
    <row r="1640" spans="9:9" x14ac:dyDescent="0.15">
      <c r="I1640" s="18"/>
    </row>
    <row r="1641" spans="9:9" x14ac:dyDescent="0.15">
      <c r="I1641" s="18"/>
    </row>
    <row r="1642" spans="9:9" x14ac:dyDescent="0.15">
      <c r="I1642" s="18"/>
    </row>
    <row r="1643" spans="9:9" x14ac:dyDescent="0.15">
      <c r="I1643" s="18"/>
    </row>
    <row r="1644" spans="9:9" x14ac:dyDescent="0.15">
      <c r="I1644" s="18"/>
    </row>
    <row r="1645" spans="9:9" x14ac:dyDescent="0.15">
      <c r="I1645" s="18"/>
    </row>
    <row r="1646" spans="9:9" x14ac:dyDescent="0.15">
      <c r="I1646" s="18"/>
    </row>
    <row r="1647" spans="9:9" x14ac:dyDescent="0.15">
      <c r="I1647" s="18"/>
    </row>
    <row r="1648" spans="9:9" x14ac:dyDescent="0.15">
      <c r="I1648" s="18"/>
    </row>
    <row r="1649" spans="9:9" x14ac:dyDescent="0.15">
      <c r="I1649" s="18"/>
    </row>
    <row r="1650" spans="9:9" x14ac:dyDescent="0.15">
      <c r="I1650" s="18"/>
    </row>
    <row r="1651" spans="9:9" x14ac:dyDescent="0.15">
      <c r="I1651" s="18"/>
    </row>
    <row r="1652" spans="9:9" x14ac:dyDescent="0.15">
      <c r="I1652" s="18"/>
    </row>
    <row r="1653" spans="9:9" x14ac:dyDescent="0.15">
      <c r="I1653" s="18"/>
    </row>
    <row r="1654" spans="9:9" x14ac:dyDescent="0.15">
      <c r="I1654" s="18"/>
    </row>
    <row r="1655" spans="9:9" x14ac:dyDescent="0.15">
      <c r="I1655" s="18"/>
    </row>
    <row r="1656" spans="9:9" x14ac:dyDescent="0.15">
      <c r="I1656" s="18"/>
    </row>
    <row r="1657" spans="9:9" x14ac:dyDescent="0.15">
      <c r="I1657" s="18"/>
    </row>
    <row r="1658" spans="9:9" x14ac:dyDescent="0.15">
      <c r="I1658" s="18"/>
    </row>
    <row r="1659" spans="9:9" x14ac:dyDescent="0.15">
      <c r="I1659" s="18"/>
    </row>
    <row r="1660" spans="9:9" x14ac:dyDescent="0.15">
      <c r="I1660" s="18"/>
    </row>
    <row r="1661" spans="9:9" x14ac:dyDescent="0.15">
      <c r="I1661" s="18"/>
    </row>
    <row r="1662" spans="9:9" x14ac:dyDescent="0.15">
      <c r="I1662" s="18"/>
    </row>
    <row r="1663" spans="9:9" x14ac:dyDescent="0.15">
      <c r="I1663" s="18"/>
    </row>
    <row r="1664" spans="9:9" x14ac:dyDescent="0.15">
      <c r="I1664" s="18"/>
    </row>
    <row r="1665" spans="9:9" x14ac:dyDescent="0.15">
      <c r="I1665" s="18"/>
    </row>
    <row r="1666" spans="9:9" x14ac:dyDescent="0.15">
      <c r="I1666" s="18"/>
    </row>
    <row r="1667" spans="9:9" x14ac:dyDescent="0.15">
      <c r="I1667" s="18"/>
    </row>
    <row r="1668" spans="9:9" x14ac:dyDescent="0.15">
      <c r="I1668" s="18"/>
    </row>
    <row r="1669" spans="9:9" x14ac:dyDescent="0.15">
      <c r="I1669" s="18"/>
    </row>
    <row r="1670" spans="9:9" x14ac:dyDescent="0.15">
      <c r="I1670" s="18"/>
    </row>
    <row r="1671" spans="9:9" x14ac:dyDescent="0.15">
      <c r="I1671" s="18"/>
    </row>
    <row r="1672" spans="9:9" x14ac:dyDescent="0.15">
      <c r="I1672" s="18"/>
    </row>
    <row r="1673" spans="9:9" x14ac:dyDescent="0.15">
      <c r="I1673" s="18"/>
    </row>
    <row r="1674" spans="9:9" x14ac:dyDescent="0.15">
      <c r="I1674" s="18"/>
    </row>
    <row r="1675" spans="9:9" x14ac:dyDescent="0.15">
      <c r="I1675" s="18"/>
    </row>
    <row r="1676" spans="9:9" x14ac:dyDescent="0.15">
      <c r="I1676" s="18"/>
    </row>
    <row r="1677" spans="9:9" x14ac:dyDescent="0.15">
      <c r="I1677" s="18"/>
    </row>
    <row r="1678" spans="9:9" x14ac:dyDescent="0.15">
      <c r="I1678" s="18"/>
    </row>
    <row r="1679" spans="9:9" x14ac:dyDescent="0.15">
      <c r="I1679" s="18"/>
    </row>
    <row r="1680" spans="9:9" x14ac:dyDescent="0.15">
      <c r="I1680" s="18"/>
    </row>
    <row r="1681" spans="9:9" x14ac:dyDescent="0.15">
      <c r="I1681" s="18"/>
    </row>
    <row r="1682" spans="9:9" x14ac:dyDescent="0.15">
      <c r="I1682" s="18"/>
    </row>
    <row r="1683" spans="9:9" x14ac:dyDescent="0.15">
      <c r="I1683" s="18"/>
    </row>
    <row r="1684" spans="9:9" x14ac:dyDescent="0.15">
      <c r="I1684" s="18"/>
    </row>
    <row r="1685" spans="9:9" x14ac:dyDescent="0.15">
      <c r="I1685" s="18"/>
    </row>
    <row r="1686" spans="9:9" x14ac:dyDescent="0.15">
      <c r="I1686" s="18"/>
    </row>
    <row r="1687" spans="9:9" x14ac:dyDescent="0.15">
      <c r="I1687" s="18"/>
    </row>
    <row r="1688" spans="9:9" x14ac:dyDescent="0.15">
      <c r="I1688" s="18"/>
    </row>
    <row r="1689" spans="9:9" x14ac:dyDescent="0.15">
      <c r="I1689" s="18"/>
    </row>
    <row r="1690" spans="9:9" x14ac:dyDescent="0.15">
      <c r="I1690" s="18"/>
    </row>
    <row r="1691" spans="9:9" x14ac:dyDescent="0.15">
      <c r="I1691" s="18"/>
    </row>
    <row r="1692" spans="9:9" x14ac:dyDescent="0.15">
      <c r="I1692" s="18"/>
    </row>
    <row r="1693" spans="9:9" x14ac:dyDescent="0.15">
      <c r="I1693" s="18"/>
    </row>
    <row r="1694" spans="9:9" x14ac:dyDescent="0.15">
      <c r="I1694" s="18"/>
    </row>
    <row r="1695" spans="9:9" x14ac:dyDescent="0.15">
      <c r="I1695" s="18"/>
    </row>
    <row r="1696" spans="9:9" x14ac:dyDescent="0.15">
      <c r="I1696" s="18"/>
    </row>
    <row r="1697" spans="9:9" x14ac:dyDescent="0.15">
      <c r="I1697" s="18"/>
    </row>
    <row r="1698" spans="9:9" x14ac:dyDescent="0.15">
      <c r="I1698" s="18"/>
    </row>
    <row r="1699" spans="9:9" x14ac:dyDescent="0.15">
      <c r="I1699" s="18"/>
    </row>
    <row r="1700" spans="9:9" x14ac:dyDescent="0.15">
      <c r="I1700" s="18"/>
    </row>
    <row r="1701" spans="9:9" x14ac:dyDescent="0.15">
      <c r="I1701" s="18"/>
    </row>
    <row r="1702" spans="9:9" x14ac:dyDescent="0.15">
      <c r="I1702" s="18"/>
    </row>
    <row r="1703" spans="9:9" x14ac:dyDescent="0.15">
      <c r="I1703" s="18"/>
    </row>
    <row r="1704" spans="9:9" x14ac:dyDescent="0.15">
      <c r="I1704" s="18"/>
    </row>
    <row r="1705" spans="9:9" x14ac:dyDescent="0.15">
      <c r="I1705" s="18"/>
    </row>
    <row r="1706" spans="9:9" x14ac:dyDescent="0.15">
      <c r="I1706" s="18"/>
    </row>
    <row r="1707" spans="9:9" x14ac:dyDescent="0.15">
      <c r="I1707" s="18"/>
    </row>
    <row r="1708" spans="9:9" x14ac:dyDescent="0.15">
      <c r="I1708" s="18"/>
    </row>
    <row r="1709" spans="9:9" x14ac:dyDescent="0.15">
      <c r="I1709" s="18"/>
    </row>
    <row r="1710" spans="9:9" x14ac:dyDescent="0.15">
      <c r="I1710" s="18"/>
    </row>
    <row r="1711" spans="9:9" x14ac:dyDescent="0.15">
      <c r="I1711" s="18"/>
    </row>
    <row r="1712" spans="9:9" x14ac:dyDescent="0.15">
      <c r="I1712" s="18"/>
    </row>
    <row r="1713" spans="9:9" x14ac:dyDescent="0.15">
      <c r="I1713" s="18"/>
    </row>
    <row r="1714" spans="9:9" x14ac:dyDescent="0.15">
      <c r="I1714" s="18"/>
    </row>
    <row r="1715" spans="9:9" x14ac:dyDescent="0.15">
      <c r="I1715" s="18"/>
    </row>
    <row r="1716" spans="9:9" x14ac:dyDescent="0.15">
      <c r="I1716" s="18"/>
    </row>
    <row r="1717" spans="9:9" x14ac:dyDescent="0.15">
      <c r="I1717" s="18"/>
    </row>
    <row r="1718" spans="9:9" x14ac:dyDescent="0.15">
      <c r="I1718" s="18"/>
    </row>
    <row r="1719" spans="9:9" x14ac:dyDescent="0.15">
      <c r="I1719" s="18"/>
    </row>
    <row r="1720" spans="9:9" x14ac:dyDescent="0.15">
      <c r="I1720" s="18"/>
    </row>
    <row r="1721" spans="9:9" x14ac:dyDescent="0.15">
      <c r="I1721" s="18"/>
    </row>
    <row r="1722" spans="9:9" x14ac:dyDescent="0.15">
      <c r="I1722" s="18"/>
    </row>
    <row r="1723" spans="9:9" x14ac:dyDescent="0.15">
      <c r="I1723" s="18"/>
    </row>
    <row r="1724" spans="9:9" x14ac:dyDescent="0.15">
      <c r="I1724" s="18"/>
    </row>
    <row r="1725" spans="9:9" x14ac:dyDescent="0.15">
      <c r="I1725" s="18"/>
    </row>
    <row r="1726" spans="9:9" x14ac:dyDescent="0.15">
      <c r="I1726" s="18"/>
    </row>
    <row r="1727" spans="9:9" x14ac:dyDescent="0.15">
      <c r="I1727" s="18"/>
    </row>
    <row r="1728" spans="9:9" x14ac:dyDescent="0.15">
      <c r="I1728" s="18"/>
    </row>
    <row r="1729" spans="9:9" x14ac:dyDescent="0.15">
      <c r="I1729" s="18"/>
    </row>
    <row r="1730" spans="9:9" x14ac:dyDescent="0.15">
      <c r="I1730" s="18"/>
    </row>
    <row r="1731" spans="9:9" x14ac:dyDescent="0.15">
      <c r="I1731" s="18"/>
    </row>
    <row r="1732" spans="9:9" x14ac:dyDescent="0.15">
      <c r="I1732" s="18"/>
    </row>
    <row r="1733" spans="9:9" x14ac:dyDescent="0.15">
      <c r="I1733" s="18"/>
    </row>
    <row r="1734" spans="9:9" x14ac:dyDescent="0.15">
      <c r="I1734" s="18"/>
    </row>
    <row r="1735" spans="9:9" x14ac:dyDescent="0.15">
      <c r="I1735" s="18"/>
    </row>
    <row r="1736" spans="9:9" x14ac:dyDescent="0.15">
      <c r="I1736" s="18"/>
    </row>
    <row r="1737" spans="9:9" x14ac:dyDescent="0.15">
      <c r="I1737" s="18"/>
    </row>
    <row r="1738" spans="9:9" x14ac:dyDescent="0.15">
      <c r="I1738" s="18"/>
    </row>
    <row r="1739" spans="9:9" x14ac:dyDescent="0.15">
      <c r="I1739" s="18"/>
    </row>
    <row r="1740" spans="9:9" x14ac:dyDescent="0.15">
      <c r="I1740" s="18"/>
    </row>
    <row r="1741" spans="9:9" x14ac:dyDescent="0.15">
      <c r="I1741" s="18"/>
    </row>
    <row r="1742" spans="9:9" x14ac:dyDescent="0.15">
      <c r="I1742" s="18"/>
    </row>
    <row r="1743" spans="9:9" x14ac:dyDescent="0.15">
      <c r="I1743" s="18"/>
    </row>
    <row r="1744" spans="9:9" x14ac:dyDescent="0.15">
      <c r="I1744" s="18"/>
    </row>
    <row r="1745" spans="9:9" x14ac:dyDescent="0.15">
      <c r="I1745" s="18"/>
    </row>
    <row r="1746" spans="9:9" x14ac:dyDescent="0.15">
      <c r="I1746" s="18"/>
    </row>
    <row r="1747" spans="9:9" x14ac:dyDescent="0.15">
      <c r="I1747" s="18"/>
    </row>
    <row r="1748" spans="9:9" x14ac:dyDescent="0.15">
      <c r="I1748" s="18"/>
    </row>
    <row r="1749" spans="9:9" x14ac:dyDescent="0.15">
      <c r="I1749" s="18"/>
    </row>
    <row r="1750" spans="9:9" x14ac:dyDescent="0.15">
      <c r="I1750" s="18"/>
    </row>
    <row r="1751" spans="9:9" x14ac:dyDescent="0.15">
      <c r="I1751" s="18"/>
    </row>
    <row r="1752" spans="9:9" x14ac:dyDescent="0.15">
      <c r="I1752" s="18"/>
    </row>
    <row r="1753" spans="9:9" x14ac:dyDescent="0.15">
      <c r="I1753" s="18"/>
    </row>
    <row r="1754" spans="9:9" x14ac:dyDescent="0.15">
      <c r="I1754" s="18"/>
    </row>
    <row r="1755" spans="9:9" x14ac:dyDescent="0.15">
      <c r="I1755" s="18"/>
    </row>
    <row r="1756" spans="9:9" x14ac:dyDescent="0.15">
      <c r="I1756" s="18"/>
    </row>
    <row r="1757" spans="9:9" x14ac:dyDescent="0.15">
      <c r="I1757" s="18"/>
    </row>
    <row r="1758" spans="9:9" x14ac:dyDescent="0.15">
      <c r="I1758" s="18"/>
    </row>
    <row r="1759" spans="9:9" x14ac:dyDescent="0.15">
      <c r="I1759" s="18"/>
    </row>
    <row r="1760" spans="9:9" x14ac:dyDescent="0.15">
      <c r="I1760" s="18"/>
    </row>
    <row r="1761" spans="9:9" x14ac:dyDescent="0.15">
      <c r="I1761" s="18"/>
    </row>
    <row r="1762" spans="9:9" x14ac:dyDescent="0.15">
      <c r="I1762" s="18"/>
    </row>
    <row r="1763" spans="9:9" x14ac:dyDescent="0.15">
      <c r="I1763" s="18"/>
    </row>
    <row r="1764" spans="9:9" x14ac:dyDescent="0.15">
      <c r="I1764" s="18"/>
    </row>
    <row r="1765" spans="9:9" x14ac:dyDescent="0.15">
      <c r="I1765" s="18"/>
    </row>
    <row r="1766" spans="9:9" x14ac:dyDescent="0.15">
      <c r="I1766" s="18"/>
    </row>
    <row r="1767" spans="9:9" x14ac:dyDescent="0.15">
      <c r="I1767" s="18"/>
    </row>
    <row r="1768" spans="9:9" x14ac:dyDescent="0.15">
      <c r="I1768" s="18"/>
    </row>
    <row r="1769" spans="9:9" x14ac:dyDescent="0.15">
      <c r="I1769" s="18"/>
    </row>
    <row r="1770" spans="9:9" x14ac:dyDescent="0.15">
      <c r="I1770" s="18"/>
    </row>
    <row r="1771" spans="9:9" x14ac:dyDescent="0.15">
      <c r="I1771" s="18"/>
    </row>
    <row r="1772" spans="9:9" x14ac:dyDescent="0.15">
      <c r="I1772" s="18"/>
    </row>
    <row r="1773" spans="9:9" x14ac:dyDescent="0.15">
      <c r="I1773" s="18"/>
    </row>
    <row r="1774" spans="9:9" x14ac:dyDescent="0.15">
      <c r="I1774" s="18"/>
    </row>
    <row r="1775" spans="9:9" x14ac:dyDescent="0.15">
      <c r="I1775" s="18"/>
    </row>
    <row r="1776" spans="9:9" x14ac:dyDescent="0.15">
      <c r="I1776" s="18"/>
    </row>
    <row r="1777" spans="9:9" x14ac:dyDescent="0.15">
      <c r="I1777" s="18"/>
    </row>
    <row r="1778" spans="9:9" x14ac:dyDescent="0.15">
      <c r="I1778" s="18"/>
    </row>
    <row r="1779" spans="9:9" x14ac:dyDescent="0.15">
      <c r="I1779" s="18"/>
    </row>
    <row r="1780" spans="9:9" x14ac:dyDescent="0.15">
      <c r="I1780" s="18"/>
    </row>
    <row r="1781" spans="9:9" x14ac:dyDescent="0.15">
      <c r="I1781" s="18"/>
    </row>
    <row r="1782" spans="9:9" x14ac:dyDescent="0.15">
      <c r="I1782" s="18"/>
    </row>
    <row r="1783" spans="9:9" x14ac:dyDescent="0.15">
      <c r="I1783" s="18"/>
    </row>
    <row r="1784" spans="9:9" x14ac:dyDescent="0.15">
      <c r="I1784" s="18"/>
    </row>
    <row r="1785" spans="9:9" x14ac:dyDescent="0.15">
      <c r="I1785" s="18"/>
    </row>
    <row r="1786" spans="9:9" x14ac:dyDescent="0.15">
      <c r="I1786" s="18"/>
    </row>
    <row r="1787" spans="9:9" x14ac:dyDescent="0.15">
      <c r="I1787" s="18"/>
    </row>
    <row r="1788" spans="9:9" x14ac:dyDescent="0.15">
      <c r="I1788" s="18"/>
    </row>
    <row r="1789" spans="9:9" x14ac:dyDescent="0.15">
      <c r="I1789" s="18"/>
    </row>
    <row r="1790" spans="9:9" x14ac:dyDescent="0.15">
      <c r="I1790" s="18"/>
    </row>
    <row r="1791" spans="9:9" x14ac:dyDescent="0.15">
      <c r="I1791" s="18"/>
    </row>
    <row r="1792" spans="9:9" x14ac:dyDescent="0.15">
      <c r="I1792" s="18"/>
    </row>
    <row r="1793" spans="9:9" x14ac:dyDescent="0.15">
      <c r="I1793" s="18"/>
    </row>
    <row r="1794" spans="9:9" x14ac:dyDescent="0.15">
      <c r="I1794" s="18"/>
    </row>
    <row r="1795" spans="9:9" x14ac:dyDescent="0.15">
      <c r="I1795" s="18"/>
    </row>
    <row r="1796" spans="9:9" x14ac:dyDescent="0.15">
      <c r="I1796" s="18"/>
    </row>
    <row r="1797" spans="9:9" x14ac:dyDescent="0.15">
      <c r="I1797" s="18"/>
    </row>
    <row r="1798" spans="9:9" x14ac:dyDescent="0.15">
      <c r="I1798" s="18"/>
    </row>
    <row r="1799" spans="9:9" x14ac:dyDescent="0.15">
      <c r="I1799" s="18"/>
    </row>
    <row r="1800" spans="9:9" x14ac:dyDescent="0.15">
      <c r="I1800" s="18"/>
    </row>
    <row r="1801" spans="9:9" x14ac:dyDescent="0.15">
      <c r="I1801" s="18"/>
    </row>
    <row r="1802" spans="9:9" x14ac:dyDescent="0.15">
      <c r="I1802" s="18"/>
    </row>
    <row r="1803" spans="9:9" x14ac:dyDescent="0.15">
      <c r="I1803" s="18"/>
    </row>
    <row r="1804" spans="9:9" x14ac:dyDescent="0.15">
      <c r="I1804" s="18"/>
    </row>
    <row r="1805" spans="9:9" x14ac:dyDescent="0.15">
      <c r="I1805" s="18"/>
    </row>
    <row r="1806" spans="9:9" x14ac:dyDescent="0.15">
      <c r="I1806" s="18"/>
    </row>
    <row r="1807" spans="9:9" x14ac:dyDescent="0.15">
      <c r="I1807" s="18"/>
    </row>
    <row r="1808" spans="9:9" x14ac:dyDescent="0.15">
      <c r="I1808" s="18"/>
    </row>
    <row r="1809" spans="9:9" x14ac:dyDescent="0.15">
      <c r="I1809" s="18"/>
    </row>
    <row r="1810" spans="9:9" x14ac:dyDescent="0.15">
      <c r="I1810" s="18"/>
    </row>
    <row r="1811" spans="9:9" x14ac:dyDescent="0.15">
      <c r="I1811" s="18"/>
    </row>
    <row r="1812" spans="9:9" x14ac:dyDescent="0.15">
      <c r="I1812" s="18"/>
    </row>
    <row r="1813" spans="9:9" x14ac:dyDescent="0.15">
      <c r="I1813" s="18"/>
    </row>
    <row r="1814" spans="9:9" x14ac:dyDescent="0.15">
      <c r="I1814" s="18"/>
    </row>
    <row r="1815" spans="9:9" x14ac:dyDescent="0.15">
      <c r="I1815" s="18"/>
    </row>
    <row r="1816" spans="9:9" x14ac:dyDescent="0.15">
      <c r="I1816" s="18"/>
    </row>
    <row r="1817" spans="9:9" x14ac:dyDescent="0.15">
      <c r="I1817" s="18"/>
    </row>
    <row r="1818" spans="9:9" x14ac:dyDescent="0.15">
      <c r="I1818" s="18"/>
    </row>
    <row r="1819" spans="9:9" x14ac:dyDescent="0.15">
      <c r="I1819" s="18"/>
    </row>
    <row r="1820" spans="9:9" x14ac:dyDescent="0.15">
      <c r="I1820" s="18"/>
    </row>
    <row r="1821" spans="9:9" x14ac:dyDescent="0.15">
      <c r="I1821" s="18"/>
    </row>
    <row r="1822" spans="9:9" x14ac:dyDescent="0.15">
      <c r="I1822" s="18"/>
    </row>
    <row r="1823" spans="9:9" x14ac:dyDescent="0.15">
      <c r="I1823" s="18"/>
    </row>
    <row r="1824" spans="9:9" x14ac:dyDescent="0.15">
      <c r="I1824" s="18"/>
    </row>
    <row r="1825" spans="9:9" x14ac:dyDescent="0.15">
      <c r="I1825" s="18"/>
    </row>
    <row r="1826" spans="9:9" x14ac:dyDescent="0.15">
      <c r="I1826" s="18"/>
    </row>
    <row r="1827" spans="9:9" x14ac:dyDescent="0.15">
      <c r="I1827" s="18"/>
    </row>
    <row r="1828" spans="9:9" x14ac:dyDescent="0.15">
      <c r="I1828" s="18"/>
    </row>
    <row r="1829" spans="9:9" x14ac:dyDescent="0.15">
      <c r="I1829" s="18"/>
    </row>
    <row r="1830" spans="9:9" x14ac:dyDescent="0.15">
      <c r="I1830" s="18"/>
    </row>
    <row r="1831" spans="9:9" x14ac:dyDescent="0.15">
      <c r="I1831" s="18"/>
    </row>
    <row r="1832" spans="9:9" x14ac:dyDescent="0.15">
      <c r="I1832" s="18"/>
    </row>
    <row r="1833" spans="9:9" x14ac:dyDescent="0.15">
      <c r="I1833" s="18"/>
    </row>
    <row r="1834" spans="9:9" x14ac:dyDescent="0.15">
      <c r="I1834" s="18"/>
    </row>
    <row r="1835" spans="9:9" x14ac:dyDescent="0.15">
      <c r="I1835" s="18"/>
    </row>
    <row r="1836" spans="9:9" x14ac:dyDescent="0.15">
      <c r="I1836" s="18"/>
    </row>
    <row r="1837" spans="9:9" x14ac:dyDescent="0.15">
      <c r="I1837" s="18"/>
    </row>
    <row r="1838" spans="9:9" x14ac:dyDescent="0.15">
      <c r="I1838" s="18"/>
    </row>
    <row r="1839" spans="9:9" x14ac:dyDescent="0.15">
      <c r="I1839" s="18"/>
    </row>
    <row r="1840" spans="9:9" x14ac:dyDescent="0.15">
      <c r="I1840" s="18"/>
    </row>
    <row r="1841" spans="9:9" x14ac:dyDescent="0.15">
      <c r="I1841" s="18"/>
    </row>
    <row r="1842" spans="9:9" x14ac:dyDescent="0.15">
      <c r="I1842" s="18"/>
    </row>
    <row r="1843" spans="9:9" x14ac:dyDescent="0.15">
      <c r="I1843" s="18"/>
    </row>
    <row r="1844" spans="9:9" x14ac:dyDescent="0.15">
      <c r="I1844" s="18"/>
    </row>
    <row r="1845" spans="9:9" x14ac:dyDescent="0.15">
      <c r="I1845" s="18"/>
    </row>
    <row r="1846" spans="9:9" x14ac:dyDescent="0.15">
      <c r="I1846" s="18"/>
    </row>
    <row r="1847" spans="9:9" x14ac:dyDescent="0.15">
      <c r="I1847" s="18"/>
    </row>
    <row r="1848" spans="9:9" x14ac:dyDescent="0.15">
      <c r="I1848" s="18"/>
    </row>
    <row r="1849" spans="9:9" x14ac:dyDescent="0.15">
      <c r="I1849" s="18"/>
    </row>
    <row r="1850" spans="9:9" x14ac:dyDescent="0.15">
      <c r="I1850" s="18"/>
    </row>
    <row r="1851" spans="9:9" x14ac:dyDescent="0.15">
      <c r="I1851" s="18"/>
    </row>
    <row r="1852" spans="9:9" x14ac:dyDescent="0.15">
      <c r="I1852" s="18"/>
    </row>
    <row r="1853" spans="9:9" x14ac:dyDescent="0.15">
      <c r="I1853" s="18"/>
    </row>
    <row r="1854" spans="9:9" x14ac:dyDescent="0.15">
      <c r="I1854" s="18"/>
    </row>
    <row r="1855" spans="9:9" x14ac:dyDescent="0.15">
      <c r="I1855" s="18"/>
    </row>
    <row r="1856" spans="9:9" x14ac:dyDescent="0.15">
      <c r="I1856" s="18"/>
    </row>
    <row r="1857" spans="9:9" x14ac:dyDescent="0.15">
      <c r="I1857" s="18"/>
    </row>
    <row r="1858" spans="9:9" x14ac:dyDescent="0.15">
      <c r="I1858" s="18"/>
    </row>
    <row r="1859" spans="9:9" x14ac:dyDescent="0.15">
      <c r="I1859" s="18"/>
    </row>
    <row r="1860" spans="9:9" x14ac:dyDescent="0.15">
      <c r="I1860" s="18"/>
    </row>
    <row r="1861" spans="9:9" x14ac:dyDescent="0.15">
      <c r="I1861" s="18"/>
    </row>
    <row r="1862" spans="9:9" x14ac:dyDescent="0.15">
      <c r="I1862" s="18"/>
    </row>
    <row r="1863" spans="9:9" x14ac:dyDescent="0.15">
      <c r="I1863" s="18"/>
    </row>
    <row r="1864" spans="9:9" x14ac:dyDescent="0.15">
      <c r="I1864" s="18"/>
    </row>
    <row r="1865" spans="9:9" x14ac:dyDescent="0.15">
      <c r="I1865" s="18"/>
    </row>
    <row r="1866" spans="9:9" x14ac:dyDescent="0.15">
      <c r="I1866" s="18"/>
    </row>
    <row r="1867" spans="9:9" x14ac:dyDescent="0.15">
      <c r="I1867" s="18"/>
    </row>
    <row r="1868" spans="9:9" x14ac:dyDescent="0.15">
      <c r="I1868" s="18"/>
    </row>
    <row r="1869" spans="9:9" x14ac:dyDescent="0.15">
      <c r="I1869" s="18"/>
    </row>
    <row r="1870" spans="9:9" x14ac:dyDescent="0.15">
      <c r="I1870" s="18"/>
    </row>
    <row r="1871" spans="9:9" x14ac:dyDescent="0.15">
      <c r="I1871" s="18"/>
    </row>
    <row r="1872" spans="9:9" x14ac:dyDescent="0.15">
      <c r="I1872" s="18"/>
    </row>
    <row r="1873" spans="9:9" x14ac:dyDescent="0.15">
      <c r="I1873" s="18"/>
    </row>
    <row r="1874" spans="9:9" x14ac:dyDescent="0.15">
      <c r="I1874" s="18"/>
    </row>
    <row r="1875" spans="9:9" x14ac:dyDescent="0.15">
      <c r="I1875" s="18"/>
    </row>
    <row r="1876" spans="9:9" x14ac:dyDescent="0.15">
      <c r="I1876" s="18"/>
    </row>
    <row r="1877" spans="9:9" x14ac:dyDescent="0.15">
      <c r="I1877" s="18"/>
    </row>
    <row r="1878" spans="9:9" x14ac:dyDescent="0.15">
      <c r="I1878" s="18"/>
    </row>
    <row r="1879" spans="9:9" x14ac:dyDescent="0.15">
      <c r="I1879" s="18"/>
    </row>
    <row r="1880" spans="9:9" x14ac:dyDescent="0.15">
      <c r="I1880" s="18"/>
    </row>
    <row r="1881" spans="9:9" x14ac:dyDescent="0.15">
      <c r="I1881" s="18"/>
    </row>
    <row r="1882" spans="9:9" x14ac:dyDescent="0.15">
      <c r="I1882" s="18"/>
    </row>
    <row r="1883" spans="9:9" x14ac:dyDescent="0.15">
      <c r="I1883" s="18"/>
    </row>
    <row r="1884" spans="9:9" x14ac:dyDescent="0.15">
      <c r="I1884" s="18"/>
    </row>
    <row r="1885" spans="9:9" x14ac:dyDescent="0.15">
      <c r="I1885" s="18"/>
    </row>
    <row r="1886" spans="9:9" x14ac:dyDescent="0.15">
      <c r="I1886" s="18"/>
    </row>
    <row r="1887" spans="9:9" x14ac:dyDescent="0.15">
      <c r="I1887" s="18"/>
    </row>
    <row r="1888" spans="9:9" x14ac:dyDescent="0.15">
      <c r="I1888" s="18"/>
    </row>
    <row r="1889" spans="9:9" x14ac:dyDescent="0.15">
      <c r="I1889" s="18"/>
    </row>
    <row r="1890" spans="9:9" x14ac:dyDescent="0.15">
      <c r="I1890" s="18"/>
    </row>
    <row r="1891" spans="9:9" x14ac:dyDescent="0.15">
      <c r="I1891" s="18"/>
    </row>
    <row r="1892" spans="9:9" x14ac:dyDescent="0.15">
      <c r="I1892" s="18"/>
    </row>
    <row r="1893" spans="9:9" x14ac:dyDescent="0.15">
      <c r="I1893" s="18"/>
    </row>
    <row r="1894" spans="9:9" x14ac:dyDescent="0.15">
      <c r="I1894" s="18"/>
    </row>
    <row r="1895" spans="9:9" x14ac:dyDescent="0.15">
      <c r="I1895" s="18"/>
    </row>
    <row r="1896" spans="9:9" x14ac:dyDescent="0.15">
      <c r="I1896" s="18"/>
    </row>
    <row r="1897" spans="9:9" x14ac:dyDescent="0.15">
      <c r="I1897" s="18"/>
    </row>
    <row r="1898" spans="9:9" x14ac:dyDescent="0.15">
      <c r="I1898" s="18"/>
    </row>
    <row r="1899" spans="9:9" x14ac:dyDescent="0.15">
      <c r="I1899" s="18"/>
    </row>
    <row r="1900" spans="9:9" x14ac:dyDescent="0.15">
      <c r="I1900" s="18"/>
    </row>
    <row r="1901" spans="9:9" x14ac:dyDescent="0.15">
      <c r="I1901" s="18"/>
    </row>
    <row r="1902" spans="9:9" x14ac:dyDescent="0.15">
      <c r="I1902" s="18"/>
    </row>
    <row r="1903" spans="9:9" x14ac:dyDescent="0.15">
      <c r="I1903" s="18"/>
    </row>
    <row r="1904" spans="9:9" x14ac:dyDescent="0.15">
      <c r="I1904" s="18"/>
    </row>
    <row r="1905" spans="9:9" x14ac:dyDescent="0.15">
      <c r="I1905" s="18"/>
    </row>
    <row r="1906" spans="9:9" x14ac:dyDescent="0.15">
      <c r="I1906" s="18"/>
    </row>
    <row r="1907" spans="9:9" x14ac:dyDescent="0.15">
      <c r="I1907" s="18"/>
    </row>
    <row r="1908" spans="9:9" x14ac:dyDescent="0.15">
      <c r="I1908" s="18"/>
    </row>
    <row r="1909" spans="9:9" x14ac:dyDescent="0.15">
      <c r="I1909" s="18"/>
    </row>
    <row r="1910" spans="9:9" x14ac:dyDescent="0.15">
      <c r="I1910" s="18"/>
    </row>
    <row r="1911" spans="9:9" x14ac:dyDescent="0.15">
      <c r="I1911" s="18"/>
    </row>
    <row r="1912" spans="9:9" x14ac:dyDescent="0.15">
      <c r="I1912" s="18"/>
    </row>
    <row r="1913" spans="9:9" x14ac:dyDescent="0.15">
      <c r="I1913" s="18"/>
    </row>
    <row r="1914" spans="9:9" x14ac:dyDescent="0.15">
      <c r="I1914" s="18"/>
    </row>
    <row r="1915" spans="9:9" x14ac:dyDescent="0.15">
      <c r="I1915" s="18"/>
    </row>
    <row r="1916" spans="9:9" x14ac:dyDescent="0.15">
      <c r="I1916" s="18"/>
    </row>
    <row r="1917" spans="9:9" x14ac:dyDescent="0.15">
      <c r="I1917" s="18"/>
    </row>
    <row r="1918" spans="9:9" x14ac:dyDescent="0.15">
      <c r="I1918" s="18"/>
    </row>
    <row r="1919" spans="9:9" x14ac:dyDescent="0.15">
      <c r="I1919" s="18"/>
    </row>
    <row r="1920" spans="9:9" x14ac:dyDescent="0.15">
      <c r="I1920" s="18"/>
    </row>
    <row r="1921" spans="9:9" x14ac:dyDescent="0.15">
      <c r="I1921" s="18"/>
    </row>
    <row r="1922" spans="9:9" x14ac:dyDescent="0.15">
      <c r="I1922" s="18"/>
    </row>
    <row r="1923" spans="9:9" x14ac:dyDescent="0.15">
      <c r="I1923" s="18"/>
    </row>
    <row r="1924" spans="9:9" x14ac:dyDescent="0.15">
      <c r="I1924" s="18"/>
    </row>
    <row r="1925" spans="9:9" x14ac:dyDescent="0.15">
      <c r="I1925" s="18"/>
    </row>
    <row r="1926" spans="9:9" x14ac:dyDescent="0.15">
      <c r="I1926" s="18"/>
    </row>
    <row r="1927" spans="9:9" x14ac:dyDescent="0.15">
      <c r="I1927" s="18"/>
    </row>
    <row r="1928" spans="9:9" x14ac:dyDescent="0.15">
      <c r="I1928" s="18"/>
    </row>
    <row r="1929" spans="9:9" x14ac:dyDescent="0.15">
      <c r="I1929" s="18"/>
    </row>
    <row r="1930" spans="9:9" x14ac:dyDescent="0.15">
      <c r="I1930" s="18"/>
    </row>
    <row r="1931" spans="9:9" x14ac:dyDescent="0.15">
      <c r="I1931" s="18"/>
    </row>
    <row r="1932" spans="9:9" x14ac:dyDescent="0.15">
      <c r="I1932" s="18"/>
    </row>
    <row r="1933" spans="9:9" x14ac:dyDescent="0.15">
      <c r="I1933" s="18"/>
    </row>
    <row r="1934" spans="9:9" x14ac:dyDescent="0.15">
      <c r="I1934" s="18"/>
    </row>
    <row r="1935" spans="9:9" x14ac:dyDescent="0.15">
      <c r="I1935" s="18"/>
    </row>
    <row r="1936" spans="9:9" x14ac:dyDescent="0.15">
      <c r="I1936" s="18"/>
    </row>
    <row r="1937" spans="9:9" x14ac:dyDescent="0.15">
      <c r="I1937" s="18"/>
    </row>
    <row r="1938" spans="9:9" x14ac:dyDescent="0.15">
      <c r="I1938" s="18"/>
    </row>
    <row r="1939" spans="9:9" x14ac:dyDescent="0.15">
      <c r="I1939" s="18"/>
    </row>
    <row r="1940" spans="9:9" x14ac:dyDescent="0.15">
      <c r="I1940" s="18"/>
    </row>
    <row r="1941" spans="9:9" x14ac:dyDescent="0.15">
      <c r="I1941" s="18"/>
    </row>
    <row r="1942" spans="9:9" x14ac:dyDescent="0.15">
      <c r="I1942" s="18"/>
    </row>
    <row r="1943" spans="9:9" x14ac:dyDescent="0.15">
      <c r="I1943" s="18"/>
    </row>
    <row r="1944" spans="9:9" x14ac:dyDescent="0.15">
      <c r="I1944" s="18"/>
    </row>
    <row r="1945" spans="9:9" x14ac:dyDescent="0.15">
      <c r="I1945" s="18"/>
    </row>
    <row r="1946" spans="9:9" x14ac:dyDescent="0.15">
      <c r="I1946" s="18"/>
    </row>
    <row r="1947" spans="9:9" x14ac:dyDescent="0.15">
      <c r="I1947" s="18"/>
    </row>
    <row r="1948" spans="9:9" x14ac:dyDescent="0.15">
      <c r="I1948" s="18"/>
    </row>
    <row r="1949" spans="9:9" x14ac:dyDescent="0.15">
      <c r="I1949" s="18"/>
    </row>
    <row r="1950" spans="9:9" x14ac:dyDescent="0.15">
      <c r="I1950" s="18"/>
    </row>
    <row r="1951" spans="9:9" x14ac:dyDescent="0.15">
      <c r="I1951" s="18"/>
    </row>
    <row r="1952" spans="9:9" x14ac:dyDescent="0.15">
      <c r="I1952" s="18"/>
    </row>
    <row r="1953" spans="9:9" x14ac:dyDescent="0.15">
      <c r="I1953" s="18"/>
    </row>
    <row r="1954" spans="9:9" x14ac:dyDescent="0.15">
      <c r="I1954" s="18"/>
    </row>
    <row r="1955" spans="9:9" x14ac:dyDescent="0.15">
      <c r="I1955" s="18"/>
    </row>
    <row r="1956" spans="9:9" x14ac:dyDescent="0.15">
      <c r="I1956" s="18"/>
    </row>
    <row r="1957" spans="9:9" x14ac:dyDescent="0.15">
      <c r="I1957" s="18"/>
    </row>
    <row r="1958" spans="9:9" x14ac:dyDescent="0.15">
      <c r="I1958" s="18"/>
    </row>
    <row r="1959" spans="9:9" x14ac:dyDescent="0.15">
      <c r="I1959" s="18"/>
    </row>
    <row r="1960" spans="9:9" x14ac:dyDescent="0.15">
      <c r="I1960" s="18"/>
    </row>
    <row r="1961" spans="9:9" x14ac:dyDescent="0.15">
      <c r="I1961" s="18"/>
    </row>
    <row r="1962" spans="9:9" x14ac:dyDescent="0.15">
      <c r="I1962" s="18"/>
    </row>
    <row r="1963" spans="9:9" x14ac:dyDescent="0.15">
      <c r="I1963" s="18"/>
    </row>
    <row r="1964" spans="9:9" x14ac:dyDescent="0.15">
      <c r="I1964" s="18"/>
    </row>
    <row r="1965" spans="9:9" x14ac:dyDescent="0.15">
      <c r="I1965" s="18"/>
    </row>
    <row r="1966" spans="9:9" x14ac:dyDescent="0.15">
      <c r="I1966" s="18"/>
    </row>
    <row r="1967" spans="9:9" x14ac:dyDescent="0.15">
      <c r="I1967" s="18"/>
    </row>
    <row r="1968" spans="9:9" x14ac:dyDescent="0.15">
      <c r="I1968" s="18"/>
    </row>
    <row r="1969" spans="9:9" x14ac:dyDescent="0.15">
      <c r="I1969" s="18"/>
    </row>
    <row r="1970" spans="9:9" x14ac:dyDescent="0.15">
      <c r="I1970" s="18"/>
    </row>
    <row r="1971" spans="9:9" x14ac:dyDescent="0.15">
      <c r="I1971" s="18"/>
    </row>
    <row r="1972" spans="9:9" x14ac:dyDescent="0.15">
      <c r="I1972" s="18"/>
    </row>
    <row r="1973" spans="9:9" x14ac:dyDescent="0.15">
      <c r="I1973" s="18"/>
    </row>
    <row r="1974" spans="9:9" x14ac:dyDescent="0.15">
      <c r="I1974" s="18"/>
    </row>
    <row r="1975" spans="9:9" x14ac:dyDescent="0.15">
      <c r="I1975" s="18"/>
    </row>
    <row r="1976" spans="9:9" x14ac:dyDescent="0.15">
      <c r="I1976" s="18"/>
    </row>
    <row r="1977" spans="9:9" x14ac:dyDescent="0.15">
      <c r="I1977" s="18"/>
    </row>
    <row r="1978" spans="9:9" x14ac:dyDescent="0.15">
      <c r="I1978" s="18"/>
    </row>
    <row r="1979" spans="9:9" x14ac:dyDescent="0.15">
      <c r="I1979" s="18"/>
    </row>
    <row r="1980" spans="9:9" x14ac:dyDescent="0.15">
      <c r="I1980" s="18"/>
    </row>
    <row r="1981" spans="9:9" x14ac:dyDescent="0.15">
      <c r="I1981" s="18"/>
    </row>
    <row r="1982" spans="9:9" x14ac:dyDescent="0.15">
      <c r="I1982" s="18"/>
    </row>
    <row r="1983" spans="9:9" x14ac:dyDescent="0.15">
      <c r="I1983" s="18"/>
    </row>
    <row r="1984" spans="9:9" x14ac:dyDescent="0.15">
      <c r="I1984" s="18"/>
    </row>
    <row r="1985" spans="9:9" x14ac:dyDescent="0.15">
      <c r="I1985" s="18"/>
    </row>
    <row r="1986" spans="9:9" x14ac:dyDescent="0.15">
      <c r="I1986" s="18"/>
    </row>
    <row r="1987" spans="9:9" x14ac:dyDescent="0.15">
      <c r="I1987" s="18"/>
    </row>
    <row r="1988" spans="9:9" x14ac:dyDescent="0.15">
      <c r="I1988" s="18"/>
    </row>
    <row r="1989" spans="9:9" x14ac:dyDescent="0.15">
      <c r="I1989" s="18"/>
    </row>
    <row r="1990" spans="9:9" x14ac:dyDescent="0.15">
      <c r="I1990" s="18"/>
    </row>
    <row r="1991" spans="9:9" x14ac:dyDescent="0.15">
      <c r="I1991" s="18"/>
    </row>
    <row r="1992" spans="9:9" x14ac:dyDescent="0.15">
      <c r="I1992" s="18"/>
    </row>
    <row r="1993" spans="9:9" x14ac:dyDescent="0.15">
      <c r="I1993" s="18"/>
    </row>
    <row r="1994" spans="9:9" x14ac:dyDescent="0.15">
      <c r="I1994" s="18"/>
    </row>
    <row r="1995" spans="9:9" x14ac:dyDescent="0.15">
      <c r="I1995" s="18"/>
    </row>
    <row r="1996" spans="9:9" x14ac:dyDescent="0.15">
      <c r="I1996" s="18"/>
    </row>
    <row r="1997" spans="9:9" x14ac:dyDescent="0.15">
      <c r="I1997" s="18"/>
    </row>
    <row r="1998" spans="9:9" x14ac:dyDescent="0.15">
      <c r="I1998" s="18"/>
    </row>
    <row r="1999" spans="9:9" x14ac:dyDescent="0.15">
      <c r="I1999" s="18"/>
    </row>
    <row r="2000" spans="9:9" x14ac:dyDescent="0.15">
      <c r="I2000" s="18"/>
    </row>
    <row r="2001" spans="9:9" x14ac:dyDescent="0.15">
      <c r="I2001" s="18"/>
    </row>
    <row r="2002" spans="9:9" x14ac:dyDescent="0.15">
      <c r="I2002" s="18"/>
    </row>
    <row r="2003" spans="9:9" x14ac:dyDescent="0.15">
      <c r="I2003" s="18"/>
    </row>
    <row r="2004" spans="9:9" x14ac:dyDescent="0.15">
      <c r="I2004" s="18"/>
    </row>
    <row r="2005" spans="9:9" x14ac:dyDescent="0.15">
      <c r="I2005" s="18"/>
    </row>
    <row r="2006" spans="9:9" x14ac:dyDescent="0.15">
      <c r="I2006" s="18"/>
    </row>
    <row r="2007" spans="9:9" x14ac:dyDescent="0.15">
      <c r="I2007" s="18"/>
    </row>
    <row r="2008" spans="9:9" x14ac:dyDescent="0.15">
      <c r="I2008" s="18"/>
    </row>
    <row r="2009" spans="9:9" x14ac:dyDescent="0.15">
      <c r="I2009" s="18"/>
    </row>
    <row r="2010" spans="9:9" x14ac:dyDescent="0.15">
      <c r="I2010" s="18"/>
    </row>
    <row r="2011" spans="9:9" x14ac:dyDescent="0.15">
      <c r="I2011" s="18"/>
    </row>
    <row r="2012" spans="9:9" x14ac:dyDescent="0.15">
      <c r="I2012" s="18"/>
    </row>
    <row r="2013" spans="9:9" x14ac:dyDescent="0.15">
      <c r="I2013" s="18"/>
    </row>
    <row r="2014" spans="9:9" x14ac:dyDescent="0.15">
      <c r="I2014" s="18"/>
    </row>
    <row r="2015" spans="9:9" x14ac:dyDescent="0.15">
      <c r="I2015" s="18"/>
    </row>
    <row r="2016" spans="9:9" x14ac:dyDescent="0.15">
      <c r="I2016" s="18"/>
    </row>
    <row r="2017" spans="9:9" x14ac:dyDescent="0.15">
      <c r="I2017" s="18"/>
    </row>
    <row r="2018" spans="9:9" x14ac:dyDescent="0.15">
      <c r="I2018" s="18"/>
    </row>
    <row r="2019" spans="9:9" x14ac:dyDescent="0.15">
      <c r="I2019" s="18"/>
    </row>
    <row r="2020" spans="9:9" x14ac:dyDescent="0.15">
      <c r="I2020" s="18"/>
    </row>
    <row r="2021" spans="9:9" x14ac:dyDescent="0.15">
      <c r="I2021" s="18"/>
    </row>
    <row r="2022" spans="9:9" x14ac:dyDescent="0.15">
      <c r="I2022" s="18"/>
    </row>
    <row r="2023" spans="9:9" x14ac:dyDescent="0.15">
      <c r="I2023" s="18"/>
    </row>
    <row r="2024" spans="9:9" x14ac:dyDescent="0.15">
      <c r="I2024" s="18"/>
    </row>
    <row r="2025" spans="9:9" x14ac:dyDescent="0.15">
      <c r="I2025" s="18"/>
    </row>
    <row r="2026" spans="9:9" x14ac:dyDescent="0.15">
      <c r="I2026" s="18"/>
    </row>
    <row r="2027" spans="9:9" x14ac:dyDescent="0.15">
      <c r="I2027" s="18"/>
    </row>
    <row r="2028" spans="9:9" x14ac:dyDescent="0.15">
      <c r="I2028" s="18"/>
    </row>
    <row r="2029" spans="9:9" x14ac:dyDescent="0.15">
      <c r="I2029" s="18"/>
    </row>
    <row r="2030" spans="9:9" x14ac:dyDescent="0.15">
      <c r="I2030" s="18"/>
    </row>
    <row r="2031" spans="9:9" x14ac:dyDescent="0.15">
      <c r="I2031" s="18"/>
    </row>
    <row r="2032" spans="9:9" x14ac:dyDescent="0.15">
      <c r="I2032" s="18"/>
    </row>
    <row r="2033" spans="9:9" x14ac:dyDescent="0.15">
      <c r="I2033" s="18"/>
    </row>
    <row r="2034" spans="9:9" x14ac:dyDescent="0.15">
      <c r="I2034" s="18"/>
    </row>
    <row r="2035" spans="9:9" x14ac:dyDescent="0.15">
      <c r="I2035" s="18"/>
    </row>
    <row r="2036" spans="9:9" x14ac:dyDescent="0.15">
      <c r="I2036" s="18"/>
    </row>
    <row r="2037" spans="9:9" x14ac:dyDescent="0.15">
      <c r="I2037" s="18"/>
    </row>
    <row r="2038" spans="9:9" x14ac:dyDescent="0.15">
      <c r="I2038" s="18"/>
    </row>
    <row r="2039" spans="9:9" x14ac:dyDescent="0.15">
      <c r="I2039" s="18"/>
    </row>
    <row r="2040" spans="9:9" x14ac:dyDescent="0.15">
      <c r="I2040" s="18"/>
    </row>
    <row r="2041" spans="9:9" x14ac:dyDescent="0.15">
      <c r="I2041" s="18"/>
    </row>
    <row r="2042" spans="9:9" x14ac:dyDescent="0.15">
      <c r="I2042" s="18"/>
    </row>
    <row r="2043" spans="9:9" x14ac:dyDescent="0.15">
      <c r="I2043" s="18"/>
    </row>
    <row r="2044" spans="9:9" x14ac:dyDescent="0.15">
      <c r="I2044" s="18"/>
    </row>
    <row r="2045" spans="9:9" x14ac:dyDescent="0.15">
      <c r="I2045" s="18"/>
    </row>
    <row r="2046" spans="9:9" x14ac:dyDescent="0.15">
      <c r="I2046" s="18"/>
    </row>
    <row r="2047" spans="9:9" x14ac:dyDescent="0.15">
      <c r="I2047" s="18"/>
    </row>
    <row r="2048" spans="9:9" x14ac:dyDescent="0.15">
      <c r="I2048" s="18"/>
    </row>
    <row r="2049" spans="9:9" x14ac:dyDescent="0.15">
      <c r="I2049" s="18"/>
    </row>
    <row r="2050" spans="9:9" x14ac:dyDescent="0.15">
      <c r="I2050" s="18"/>
    </row>
    <row r="2051" spans="9:9" x14ac:dyDescent="0.15">
      <c r="I2051" s="18"/>
    </row>
    <row r="2052" spans="9:9" x14ac:dyDescent="0.15">
      <c r="I2052" s="18"/>
    </row>
    <row r="2053" spans="9:9" x14ac:dyDescent="0.15">
      <c r="I2053" s="18"/>
    </row>
    <row r="2054" spans="9:9" x14ac:dyDescent="0.15">
      <c r="I2054" s="18"/>
    </row>
    <row r="2055" spans="9:9" x14ac:dyDescent="0.15">
      <c r="I2055" s="18"/>
    </row>
    <row r="2056" spans="9:9" x14ac:dyDescent="0.15">
      <c r="I2056" s="18"/>
    </row>
    <row r="2057" spans="9:9" x14ac:dyDescent="0.15">
      <c r="I2057" s="18"/>
    </row>
    <row r="2058" spans="9:9" x14ac:dyDescent="0.15">
      <c r="I2058" s="18"/>
    </row>
    <row r="2059" spans="9:9" x14ac:dyDescent="0.15">
      <c r="I2059" s="18"/>
    </row>
    <row r="2060" spans="9:9" x14ac:dyDescent="0.15">
      <c r="I2060" s="18"/>
    </row>
    <row r="2061" spans="9:9" x14ac:dyDescent="0.15">
      <c r="I2061" s="18"/>
    </row>
    <row r="2062" spans="9:9" x14ac:dyDescent="0.15">
      <c r="I2062" s="18"/>
    </row>
    <row r="2063" spans="9:9" x14ac:dyDescent="0.15">
      <c r="I2063" s="18"/>
    </row>
    <row r="2064" spans="9:9" x14ac:dyDescent="0.15">
      <c r="I2064" s="18"/>
    </row>
    <row r="2065" spans="9:9" x14ac:dyDescent="0.15">
      <c r="I2065" s="18"/>
    </row>
    <row r="2066" spans="9:9" x14ac:dyDescent="0.15">
      <c r="I2066" s="18"/>
    </row>
    <row r="2067" spans="9:9" x14ac:dyDescent="0.15">
      <c r="I2067" s="18"/>
    </row>
    <row r="2068" spans="9:9" x14ac:dyDescent="0.15">
      <c r="I2068" s="18"/>
    </row>
    <row r="2069" spans="9:9" x14ac:dyDescent="0.15">
      <c r="I2069" s="18"/>
    </row>
    <row r="2070" spans="9:9" x14ac:dyDescent="0.15">
      <c r="I2070" s="18"/>
    </row>
    <row r="2071" spans="9:9" x14ac:dyDescent="0.15">
      <c r="I2071" s="18"/>
    </row>
    <row r="2072" spans="9:9" x14ac:dyDescent="0.15">
      <c r="I2072" s="18"/>
    </row>
    <row r="2073" spans="9:9" x14ac:dyDescent="0.15">
      <c r="I2073" s="18"/>
    </row>
    <row r="2074" spans="9:9" x14ac:dyDescent="0.15">
      <c r="I2074" s="18"/>
    </row>
    <row r="2075" spans="9:9" x14ac:dyDescent="0.15">
      <c r="I2075" s="18"/>
    </row>
    <row r="2076" spans="9:9" x14ac:dyDescent="0.15">
      <c r="I2076" s="18"/>
    </row>
    <row r="2077" spans="9:9" x14ac:dyDescent="0.15">
      <c r="I2077" s="18"/>
    </row>
    <row r="2078" spans="9:9" x14ac:dyDescent="0.15">
      <c r="I2078" s="18"/>
    </row>
    <row r="2079" spans="9:9" x14ac:dyDescent="0.15">
      <c r="I2079" s="18"/>
    </row>
    <row r="2080" spans="9:9" x14ac:dyDescent="0.15">
      <c r="I2080" s="18"/>
    </row>
    <row r="2081" spans="9:9" x14ac:dyDescent="0.15">
      <c r="I2081" s="18"/>
    </row>
    <row r="2082" spans="9:9" x14ac:dyDescent="0.15">
      <c r="I2082" s="18"/>
    </row>
    <row r="2083" spans="9:9" x14ac:dyDescent="0.15">
      <c r="I2083" s="18"/>
    </row>
    <row r="2084" spans="9:9" x14ac:dyDescent="0.15">
      <c r="I2084" s="18"/>
    </row>
    <row r="2085" spans="9:9" x14ac:dyDescent="0.15">
      <c r="I2085" s="18"/>
    </row>
    <row r="2086" spans="9:9" x14ac:dyDescent="0.15">
      <c r="I2086" s="18"/>
    </row>
    <row r="2087" spans="9:9" x14ac:dyDescent="0.15">
      <c r="I2087" s="18"/>
    </row>
    <row r="2088" spans="9:9" x14ac:dyDescent="0.15">
      <c r="I2088" s="18"/>
    </row>
    <row r="2089" spans="9:9" x14ac:dyDescent="0.15">
      <c r="I2089" s="18"/>
    </row>
    <row r="2090" spans="9:9" x14ac:dyDescent="0.15">
      <c r="I2090" s="18"/>
    </row>
    <row r="2091" spans="9:9" x14ac:dyDescent="0.15">
      <c r="I2091" s="18"/>
    </row>
    <row r="2092" spans="9:9" x14ac:dyDescent="0.15">
      <c r="I2092" s="18"/>
    </row>
    <row r="2093" spans="9:9" x14ac:dyDescent="0.15">
      <c r="I2093" s="18"/>
    </row>
    <row r="2094" spans="9:9" x14ac:dyDescent="0.15">
      <c r="I2094" s="18"/>
    </row>
    <row r="2095" spans="9:9" x14ac:dyDescent="0.15">
      <c r="I2095" s="18"/>
    </row>
    <row r="2096" spans="9:9" x14ac:dyDescent="0.15">
      <c r="I2096" s="18"/>
    </row>
    <row r="2097" spans="9:9" x14ac:dyDescent="0.15">
      <c r="I2097" s="18"/>
    </row>
    <row r="2098" spans="9:9" x14ac:dyDescent="0.15">
      <c r="I2098" s="18"/>
    </row>
    <row r="2099" spans="9:9" x14ac:dyDescent="0.15">
      <c r="I2099" s="18"/>
    </row>
    <row r="2100" spans="9:9" x14ac:dyDescent="0.15">
      <c r="I2100" s="18"/>
    </row>
    <row r="2101" spans="9:9" x14ac:dyDescent="0.15">
      <c r="I2101" s="18"/>
    </row>
    <row r="2102" spans="9:9" x14ac:dyDescent="0.15">
      <c r="I2102" s="18"/>
    </row>
    <row r="2103" spans="9:9" x14ac:dyDescent="0.15">
      <c r="I2103" s="18"/>
    </row>
    <row r="2104" spans="9:9" x14ac:dyDescent="0.15">
      <c r="I2104" s="18"/>
    </row>
    <row r="2105" spans="9:9" x14ac:dyDescent="0.15">
      <c r="I2105" s="18"/>
    </row>
    <row r="2106" spans="9:9" x14ac:dyDescent="0.15">
      <c r="I2106" s="18"/>
    </row>
    <row r="2107" spans="9:9" x14ac:dyDescent="0.15">
      <c r="I2107" s="18"/>
    </row>
    <row r="2108" spans="9:9" x14ac:dyDescent="0.15">
      <c r="I2108" s="18"/>
    </row>
    <row r="2109" spans="9:9" x14ac:dyDescent="0.15">
      <c r="I2109" s="18"/>
    </row>
    <row r="2110" spans="9:9" x14ac:dyDescent="0.15">
      <c r="I2110" s="18"/>
    </row>
    <row r="2111" spans="9:9" x14ac:dyDescent="0.15">
      <c r="I2111" s="18"/>
    </row>
    <row r="2112" spans="9:9" x14ac:dyDescent="0.15">
      <c r="I2112" s="18"/>
    </row>
    <row r="2113" spans="9:9" x14ac:dyDescent="0.15">
      <c r="I2113" s="18"/>
    </row>
    <row r="2114" spans="9:9" x14ac:dyDescent="0.15">
      <c r="I2114" s="18"/>
    </row>
    <row r="2115" spans="9:9" x14ac:dyDescent="0.15">
      <c r="I2115" s="18"/>
    </row>
    <row r="2116" spans="9:9" x14ac:dyDescent="0.15">
      <c r="I2116" s="18"/>
    </row>
    <row r="2117" spans="9:9" x14ac:dyDescent="0.15">
      <c r="I2117" s="18"/>
    </row>
    <row r="2118" spans="9:9" x14ac:dyDescent="0.15">
      <c r="I2118" s="18"/>
    </row>
    <row r="2119" spans="9:9" x14ac:dyDescent="0.15">
      <c r="I2119" s="18"/>
    </row>
    <row r="2120" spans="9:9" x14ac:dyDescent="0.15">
      <c r="I2120" s="18"/>
    </row>
    <row r="2121" spans="9:9" x14ac:dyDescent="0.15">
      <c r="I2121" s="18"/>
    </row>
    <row r="2122" spans="9:9" x14ac:dyDescent="0.15">
      <c r="I2122" s="18"/>
    </row>
    <row r="2123" spans="9:9" x14ac:dyDescent="0.15">
      <c r="I2123" s="18"/>
    </row>
    <row r="2124" spans="9:9" x14ac:dyDescent="0.15">
      <c r="I2124" s="18"/>
    </row>
    <row r="2125" spans="9:9" x14ac:dyDescent="0.15">
      <c r="I2125" s="18"/>
    </row>
    <row r="2126" spans="9:9" x14ac:dyDescent="0.15">
      <c r="I2126" s="18"/>
    </row>
    <row r="2127" spans="9:9" x14ac:dyDescent="0.15">
      <c r="I2127" s="18"/>
    </row>
    <row r="2128" spans="9:9" x14ac:dyDescent="0.15">
      <c r="I2128" s="18"/>
    </row>
    <row r="2129" spans="9:9" x14ac:dyDescent="0.15">
      <c r="I2129" s="18"/>
    </row>
    <row r="2130" spans="9:9" x14ac:dyDescent="0.15">
      <c r="I2130" s="18"/>
    </row>
    <row r="2131" spans="9:9" x14ac:dyDescent="0.15">
      <c r="I2131" s="18"/>
    </row>
    <row r="2132" spans="9:9" x14ac:dyDescent="0.15">
      <c r="I2132" s="18"/>
    </row>
    <row r="2133" spans="9:9" x14ac:dyDescent="0.15">
      <c r="I2133" s="18"/>
    </row>
    <row r="2134" spans="9:9" x14ac:dyDescent="0.15">
      <c r="I2134" s="18"/>
    </row>
    <row r="2135" spans="9:9" x14ac:dyDescent="0.15">
      <c r="I2135" s="18"/>
    </row>
    <row r="2136" spans="9:9" x14ac:dyDescent="0.15">
      <c r="I2136" s="18"/>
    </row>
    <row r="2137" spans="9:9" x14ac:dyDescent="0.15">
      <c r="I2137" s="18"/>
    </row>
    <row r="2138" spans="9:9" x14ac:dyDescent="0.15">
      <c r="I2138" s="18"/>
    </row>
    <row r="2139" spans="9:9" x14ac:dyDescent="0.15">
      <c r="I2139" s="18"/>
    </row>
    <row r="2140" spans="9:9" x14ac:dyDescent="0.15">
      <c r="I2140" s="18"/>
    </row>
    <row r="2141" spans="9:9" x14ac:dyDescent="0.15">
      <c r="I2141" s="18"/>
    </row>
    <row r="2142" spans="9:9" x14ac:dyDescent="0.15">
      <c r="I2142" s="18"/>
    </row>
    <row r="2143" spans="9:9" x14ac:dyDescent="0.15">
      <c r="I2143" s="18"/>
    </row>
    <row r="2144" spans="9:9" x14ac:dyDescent="0.15">
      <c r="I2144" s="18"/>
    </row>
    <row r="2145" spans="9:9" x14ac:dyDescent="0.15">
      <c r="I2145" s="18"/>
    </row>
    <row r="2146" spans="9:9" x14ac:dyDescent="0.15">
      <c r="I2146" s="18"/>
    </row>
    <row r="2147" spans="9:9" x14ac:dyDescent="0.15">
      <c r="I2147" s="18"/>
    </row>
    <row r="2148" spans="9:9" x14ac:dyDescent="0.15">
      <c r="I2148" s="18"/>
    </row>
    <row r="2149" spans="9:9" x14ac:dyDescent="0.15">
      <c r="I2149" s="18"/>
    </row>
    <row r="2150" spans="9:9" x14ac:dyDescent="0.15">
      <c r="I2150" s="18"/>
    </row>
    <row r="2151" spans="9:9" x14ac:dyDescent="0.15">
      <c r="I2151" s="18"/>
    </row>
    <row r="2152" spans="9:9" x14ac:dyDescent="0.15">
      <c r="I2152" s="18"/>
    </row>
    <row r="2153" spans="9:9" x14ac:dyDescent="0.15">
      <c r="I2153" s="18"/>
    </row>
    <row r="2154" spans="9:9" x14ac:dyDescent="0.15">
      <c r="I2154" s="18"/>
    </row>
    <row r="2155" spans="9:9" x14ac:dyDescent="0.15">
      <c r="I2155" s="18"/>
    </row>
    <row r="2156" spans="9:9" x14ac:dyDescent="0.15">
      <c r="I2156" s="18"/>
    </row>
    <row r="2157" spans="9:9" x14ac:dyDescent="0.15">
      <c r="I2157" s="18"/>
    </row>
    <row r="2158" spans="9:9" x14ac:dyDescent="0.15">
      <c r="I2158" s="18"/>
    </row>
    <row r="2159" spans="9:9" x14ac:dyDescent="0.15">
      <c r="I2159" s="18"/>
    </row>
    <row r="2160" spans="9:9" x14ac:dyDescent="0.15">
      <c r="I2160" s="18"/>
    </row>
    <row r="2161" spans="9:9" x14ac:dyDescent="0.15">
      <c r="I2161" s="18"/>
    </row>
    <row r="2162" spans="9:9" x14ac:dyDescent="0.15">
      <c r="I2162" s="18"/>
    </row>
    <row r="2163" spans="9:9" x14ac:dyDescent="0.15">
      <c r="I2163" s="18"/>
    </row>
    <row r="2164" spans="9:9" x14ac:dyDescent="0.15">
      <c r="I2164" s="18"/>
    </row>
    <row r="2165" spans="9:9" x14ac:dyDescent="0.15">
      <c r="I2165" s="18"/>
    </row>
    <row r="2166" spans="9:9" x14ac:dyDescent="0.15">
      <c r="I2166" s="18"/>
    </row>
    <row r="2167" spans="9:9" x14ac:dyDescent="0.15">
      <c r="I2167" s="18"/>
    </row>
    <row r="2168" spans="9:9" x14ac:dyDescent="0.15">
      <c r="I2168" s="18"/>
    </row>
    <row r="2169" spans="9:9" x14ac:dyDescent="0.15">
      <c r="I2169" s="18"/>
    </row>
    <row r="2170" spans="9:9" x14ac:dyDescent="0.15">
      <c r="I2170" s="18"/>
    </row>
    <row r="2171" spans="9:9" x14ac:dyDescent="0.15">
      <c r="I2171" s="18"/>
    </row>
    <row r="2172" spans="9:9" x14ac:dyDescent="0.15">
      <c r="I2172" s="18"/>
    </row>
    <row r="2173" spans="9:9" x14ac:dyDescent="0.15">
      <c r="I2173" s="18"/>
    </row>
    <row r="2174" spans="9:9" x14ac:dyDescent="0.15">
      <c r="I2174" s="18"/>
    </row>
    <row r="2175" spans="9:9" x14ac:dyDescent="0.15">
      <c r="I2175" s="18"/>
    </row>
    <row r="2176" spans="9:9" x14ac:dyDescent="0.15">
      <c r="I2176" s="18"/>
    </row>
    <row r="2177" spans="9:9" x14ac:dyDescent="0.15">
      <c r="I2177" s="18"/>
    </row>
    <row r="2178" spans="9:9" x14ac:dyDescent="0.15">
      <c r="I2178" s="18"/>
    </row>
    <row r="2179" spans="9:9" x14ac:dyDescent="0.15">
      <c r="I2179" s="18"/>
    </row>
    <row r="2180" spans="9:9" x14ac:dyDescent="0.15">
      <c r="I2180" s="18"/>
    </row>
    <row r="2181" spans="9:9" x14ac:dyDescent="0.15">
      <c r="I2181" s="18"/>
    </row>
    <row r="2182" spans="9:9" x14ac:dyDescent="0.15">
      <c r="I2182" s="18"/>
    </row>
    <row r="2183" spans="9:9" x14ac:dyDescent="0.15">
      <c r="I2183" s="18"/>
    </row>
    <row r="2184" spans="9:9" x14ac:dyDescent="0.15">
      <c r="I2184" s="18"/>
    </row>
    <row r="2185" spans="9:9" x14ac:dyDescent="0.15">
      <c r="I2185" s="18"/>
    </row>
    <row r="2186" spans="9:9" x14ac:dyDescent="0.15">
      <c r="I2186" s="18"/>
    </row>
    <row r="2187" spans="9:9" x14ac:dyDescent="0.15">
      <c r="I2187" s="18"/>
    </row>
    <row r="2188" spans="9:9" x14ac:dyDescent="0.15">
      <c r="I2188" s="18"/>
    </row>
    <row r="2189" spans="9:9" x14ac:dyDescent="0.15">
      <c r="I2189" s="18"/>
    </row>
    <row r="2190" spans="9:9" x14ac:dyDescent="0.15">
      <c r="I2190" s="18"/>
    </row>
    <row r="2191" spans="9:9" x14ac:dyDescent="0.15">
      <c r="I2191" s="18"/>
    </row>
    <row r="2192" spans="9:9" x14ac:dyDescent="0.15">
      <c r="I2192" s="18"/>
    </row>
    <row r="2193" spans="9:9" x14ac:dyDescent="0.15">
      <c r="I2193" s="18"/>
    </row>
    <row r="2194" spans="9:9" x14ac:dyDescent="0.15">
      <c r="I2194" s="18"/>
    </row>
    <row r="2195" spans="9:9" x14ac:dyDescent="0.15">
      <c r="I2195" s="18"/>
    </row>
    <row r="2196" spans="9:9" x14ac:dyDescent="0.15">
      <c r="I2196" s="18"/>
    </row>
    <row r="2197" spans="9:9" x14ac:dyDescent="0.15">
      <c r="I2197" s="18"/>
    </row>
    <row r="2198" spans="9:9" x14ac:dyDescent="0.15">
      <c r="I2198" s="18"/>
    </row>
    <row r="2199" spans="9:9" x14ac:dyDescent="0.15">
      <c r="I2199" s="18"/>
    </row>
    <row r="2200" spans="9:9" x14ac:dyDescent="0.15">
      <c r="I2200" s="18"/>
    </row>
    <row r="2201" spans="9:9" x14ac:dyDescent="0.15">
      <c r="I2201" s="18"/>
    </row>
    <row r="2202" spans="9:9" x14ac:dyDescent="0.15">
      <c r="I2202" s="18"/>
    </row>
    <row r="2203" spans="9:9" x14ac:dyDescent="0.15">
      <c r="I2203" s="18"/>
    </row>
    <row r="2204" spans="9:9" x14ac:dyDescent="0.15">
      <c r="I2204" s="18"/>
    </row>
    <row r="2205" spans="9:9" x14ac:dyDescent="0.15">
      <c r="I2205" s="18"/>
    </row>
    <row r="2206" spans="9:9" x14ac:dyDescent="0.15">
      <c r="I2206" s="18"/>
    </row>
    <row r="2207" spans="9:9" x14ac:dyDescent="0.15">
      <c r="I2207" s="18"/>
    </row>
    <row r="2208" spans="9:9" x14ac:dyDescent="0.15">
      <c r="I2208" s="18"/>
    </row>
    <row r="2209" spans="9:9" x14ac:dyDescent="0.15">
      <c r="I2209" s="18"/>
    </row>
    <row r="2210" spans="9:9" x14ac:dyDescent="0.15">
      <c r="I2210" s="18"/>
    </row>
    <row r="2211" spans="9:9" x14ac:dyDescent="0.15">
      <c r="I2211" s="18"/>
    </row>
    <row r="2212" spans="9:9" x14ac:dyDescent="0.15">
      <c r="I2212" s="18"/>
    </row>
    <row r="2213" spans="9:9" x14ac:dyDescent="0.15">
      <c r="I2213" s="18"/>
    </row>
    <row r="2214" spans="9:9" x14ac:dyDescent="0.15">
      <c r="I2214" s="18"/>
    </row>
    <row r="2215" spans="9:9" x14ac:dyDescent="0.15">
      <c r="I2215" s="18"/>
    </row>
    <row r="2216" spans="9:9" x14ac:dyDescent="0.15">
      <c r="I2216" s="18"/>
    </row>
    <row r="2217" spans="9:9" x14ac:dyDescent="0.15">
      <c r="I2217" s="18"/>
    </row>
    <row r="2218" spans="9:9" x14ac:dyDescent="0.15">
      <c r="I2218" s="18"/>
    </row>
    <row r="2219" spans="9:9" x14ac:dyDescent="0.15">
      <c r="I2219" s="18"/>
    </row>
    <row r="2220" spans="9:9" x14ac:dyDescent="0.15">
      <c r="I2220" s="18"/>
    </row>
    <row r="2221" spans="9:9" x14ac:dyDescent="0.15">
      <c r="I2221" s="18"/>
    </row>
    <row r="2222" spans="9:9" x14ac:dyDescent="0.15">
      <c r="I2222" s="18"/>
    </row>
    <row r="2223" spans="9:9" x14ac:dyDescent="0.15">
      <c r="I2223" s="18"/>
    </row>
    <row r="2224" spans="9:9" x14ac:dyDescent="0.15">
      <c r="I2224" s="18"/>
    </row>
    <row r="2225" spans="9:9" x14ac:dyDescent="0.15">
      <c r="I2225" s="18"/>
    </row>
    <row r="2226" spans="9:9" x14ac:dyDescent="0.15">
      <c r="I2226" s="18"/>
    </row>
    <row r="2227" spans="9:9" x14ac:dyDescent="0.15">
      <c r="I2227" s="18"/>
    </row>
    <row r="2228" spans="9:9" x14ac:dyDescent="0.15">
      <c r="I2228" s="18"/>
    </row>
    <row r="2229" spans="9:9" x14ac:dyDescent="0.15">
      <c r="I2229" s="18"/>
    </row>
    <row r="2230" spans="9:9" x14ac:dyDescent="0.15">
      <c r="I2230" s="18"/>
    </row>
    <row r="2231" spans="9:9" x14ac:dyDescent="0.15">
      <c r="I2231" s="18"/>
    </row>
    <row r="2232" spans="9:9" x14ac:dyDescent="0.15">
      <c r="I2232" s="18"/>
    </row>
    <row r="2233" spans="9:9" x14ac:dyDescent="0.15">
      <c r="I2233" s="18"/>
    </row>
    <row r="2234" spans="9:9" x14ac:dyDescent="0.15">
      <c r="I2234" s="18"/>
    </row>
    <row r="2235" spans="9:9" x14ac:dyDescent="0.15">
      <c r="I2235" s="18"/>
    </row>
    <row r="2236" spans="9:9" x14ac:dyDescent="0.15">
      <c r="I2236" s="18"/>
    </row>
    <row r="2237" spans="9:9" x14ac:dyDescent="0.15">
      <c r="I2237" s="18"/>
    </row>
    <row r="2238" spans="9:9" x14ac:dyDescent="0.15">
      <c r="I2238" s="18"/>
    </row>
    <row r="2239" spans="9:9" x14ac:dyDescent="0.15">
      <c r="I2239" s="18"/>
    </row>
    <row r="2240" spans="9:9" x14ac:dyDescent="0.15">
      <c r="I2240" s="18"/>
    </row>
    <row r="2241" spans="9:9" x14ac:dyDescent="0.15">
      <c r="I2241" s="18"/>
    </row>
    <row r="2242" spans="9:9" x14ac:dyDescent="0.15">
      <c r="I2242" s="18"/>
    </row>
    <row r="2243" spans="9:9" x14ac:dyDescent="0.15">
      <c r="I2243" s="18"/>
    </row>
    <row r="2244" spans="9:9" x14ac:dyDescent="0.15">
      <c r="I2244" s="18"/>
    </row>
    <row r="2245" spans="9:9" x14ac:dyDescent="0.15">
      <c r="I2245" s="18"/>
    </row>
    <row r="2246" spans="9:9" x14ac:dyDescent="0.15">
      <c r="I2246" s="18"/>
    </row>
    <row r="2247" spans="9:9" x14ac:dyDescent="0.15">
      <c r="I2247" s="18"/>
    </row>
    <row r="2248" spans="9:9" x14ac:dyDescent="0.15">
      <c r="I2248" s="18"/>
    </row>
    <row r="2249" spans="9:9" x14ac:dyDescent="0.15">
      <c r="I2249" s="18"/>
    </row>
    <row r="2250" spans="9:9" x14ac:dyDescent="0.15">
      <c r="I2250" s="18"/>
    </row>
    <row r="2251" spans="9:9" x14ac:dyDescent="0.15">
      <c r="I2251" s="18"/>
    </row>
    <row r="2252" spans="9:9" x14ac:dyDescent="0.15">
      <c r="I2252" s="18"/>
    </row>
    <row r="2253" spans="9:9" x14ac:dyDescent="0.15">
      <c r="I2253" s="18"/>
    </row>
    <row r="2254" spans="9:9" x14ac:dyDescent="0.15">
      <c r="I2254" s="18"/>
    </row>
    <row r="2255" spans="9:9" x14ac:dyDescent="0.15">
      <c r="I2255" s="18"/>
    </row>
    <row r="2256" spans="9:9" x14ac:dyDescent="0.15">
      <c r="I2256" s="18"/>
    </row>
    <row r="2257" spans="9:9" x14ac:dyDescent="0.15">
      <c r="I2257" s="18"/>
    </row>
    <row r="2258" spans="9:9" x14ac:dyDescent="0.15">
      <c r="I2258" s="18"/>
    </row>
    <row r="2259" spans="9:9" x14ac:dyDescent="0.15">
      <c r="I2259" s="18"/>
    </row>
    <row r="2260" spans="9:9" x14ac:dyDescent="0.15">
      <c r="I2260" s="18"/>
    </row>
    <row r="2261" spans="9:9" x14ac:dyDescent="0.15">
      <c r="I2261" s="18"/>
    </row>
    <row r="2262" spans="9:9" x14ac:dyDescent="0.15">
      <c r="I2262" s="18"/>
    </row>
    <row r="2263" spans="9:9" x14ac:dyDescent="0.15">
      <c r="I2263" s="18"/>
    </row>
    <row r="2264" spans="9:9" x14ac:dyDescent="0.15">
      <c r="I2264" s="18"/>
    </row>
    <row r="2265" spans="9:9" x14ac:dyDescent="0.15">
      <c r="I2265" s="18"/>
    </row>
    <row r="2266" spans="9:9" x14ac:dyDescent="0.15">
      <c r="I2266" s="18"/>
    </row>
    <row r="2267" spans="9:9" x14ac:dyDescent="0.15">
      <c r="I2267" s="18"/>
    </row>
    <row r="2268" spans="9:9" x14ac:dyDescent="0.15">
      <c r="I2268" s="18"/>
    </row>
    <row r="2269" spans="9:9" x14ac:dyDescent="0.15">
      <c r="I2269" s="18"/>
    </row>
    <row r="2270" spans="9:9" x14ac:dyDescent="0.15">
      <c r="I2270" s="18"/>
    </row>
    <row r="2271" spans="9:9" x14ac:dyDescent="0.15">
      <c r="I2271" s="18"/>
    </row>
    <row r="2272" spans="9:9" x14ac:dyDescent="0.15">
      <c r="I2272" s="18"/>
    </row>
    <row r="2273" spans="9:9" x14ac:dyDescent="0.15">
      <c r="I2273" s="18"/>
    </row>
    <row r="2274" spans="9:9" x14ac:dyDescent="0.15">
      <c r="I2274" s="18"/>
    </row>
    <row r="2275" spans="9:9" x14ac:dyDescent="0.15">
      <c r="I2275" s="18"/>
    </row>
    <row r="2276" spans="9:9" x14ac:dyDescent="0.15">
      <c r="I2276" s="18"/>
    </row>
    <row r="2277" spans="9:9" x14ac:dyDescent="0.15">
      <c r="I2277" s="18"/>
    </row>
    <row r="2278" spans="9:9" x14ac:dyDescent="0.15">
      <c r="I2278" s="18"/>
    </row>
    <row r="2279" spans="9:9" x14ac:dyDescent="0.15">
      <c r="I2279" s="18"/>
    </row>
    <row r="2280" spans="9:9" x14ac:dyDescent="0.15">
      <c r="I2280" s="18"/>
    </row>
    <row r="2281" spans="9:9" x14ac:dyDescent="0.15">
      <c r="I2281" s="18"/>
    </row>
    <row r="2282" spans="9:9" x14ac:dyDescent="0.15">
      <c r="I2282" s="18"/>
    </row>
    <row r="2283" spans="9:9" x14ac:dyDescent="0.15">
      <c r="I2283" s="18"/>
    </row>
    <row r="2284" spans="9:9" x14ac:dyDescent="0.15">
      <c r="I2284" s="18"/>
    </row>
    <row r="2285" spans="9:9" x14ac:dyDescent="0.15">
      <c r="I2285" s="18"/>
    </row>
    <row r="2286" spans="9:9" x14ac:dyDescent="0.15">
      <c r="I2286" s="18"/>
    </row>
    <row r="2287" spans="9:9" x14ac:dyDescent="0.15">
      <c r="I2287" s="18"/>
    </row>
    <row r="2288" spans="9:9" x14ac:dyDescent="0.15">
      <c r="I2288" s="18"/>
    </row>
    <row r="2289" spans="9:9" x14ac:dyDescent="0.15">
      <c r="I2289" s="18"/>
    </row>
    <row r="2290" spans="9:9" x14ac:dyDescent="0.15">
      <c r="I2290" s="18"/>
    </row>
    <row r="2291" spans="9:9" x14ac:dyDescent="0.15">
      <c r="I2291" s="18"/>
    </row>
    <row r="2292" spans="9:9" x14ac:dyDescent="0.15">
      <c r="I2292" s="18"/>
    </row>
    <row r="2293" spans="9:9" x14ac:dyDescent="0.15">
      <c r="I2293" s="18"/>
    </row>
    <row r="2294" spans="9:9" x14ac:dyDescent="0.15">
      <c r="I2294" s="18"/>
    </row>
    <row r="2295" spans="9:9" x14ac:dyDescent="0.15">
      <c r="I2295" s="18"/>
    </row>
    <row r="2296" spans="9:9" x14ac:dyDescent="0.15">
      <c r="I2296" s="18"/>
    </row>
    <row r="2297" spans="9:9" x14ac:dyDescent="0.15">
      <c r="I2297" s="18"/>
    </row>
    <row r="2298" spans="9:9" x14ac:dyDescent="0.15">
      <c r="I2298" s="18"/>
    </row>
    <row r="2299" spans="9:9" x14ac:dyDescent="0.15">
      <c r="I2299" s="18"/>
    </row>
    <row r="2300" spans="9:9" x14ac:dyDescent="0.15">
      <c r="I2300" s="18"/>
    </row>
    <row r="2301" spans="9:9" x14ac:dyDescent="0.15">
      <c r="I2301" s="18"/>
    </row>
    <row r="2302" spans="9:9" x14ac:dyDescent="0.15">
      <c r="I2302" s="18"/>
    </row>
    <row r="2303" spans="9:9" x14ac:dyDescent="0.15">
      <c r="I2303" s="18"/>
    </row>
    <row r="2304" spans="9:9" x14ac:dyDescent="0.15">
      <c r="I2304" s="18"/>
    </row>
    <row r="2305" spans="9:9" x14ac:dyDescent="0.15">
      <c r="I2305" s="18"/>
    </row>
    <row r="2306" spans="9:9" x14ac:dyDescent="0.15">
      <c r="I2306" s="18"/>
    </row>
    <row r="2307" spans="9:9" x14ac:dyDescent="0.15">
      <c r="I2307" s="18"/>
    </row>
    <row r="2308" spans="9:9" x14ac:dyDescent="0.15">
      <c r="I2308" s="18"/>
    </row>
    <row r="2309" spans="9:9" x14ac:dyDescent="0.15">
      <c r="I2309" s="18"/>
    </row>
    <row r="2310" spans="9:9" x14ac:dyDescent="0.15">
      <c r="I2310" s="18"/>
    </row>
    <row r="2311" spans="9:9" x14ac:dyDescent="0.15">
      <c r="I2311" s="18"/>
    </row>
    <row r="2312" spans="9:9" x14ac:dyDescent="0.15">
      <c r="I2312" s="18"/>
    </row>
    <row r="2313" spans="9:9" x14ac:dyDescent="0.15">
      <c r="I2313" s="18"/>
    </row>
    <row r="2314" spans="9:9" x14ac:dyDescent="0.15">
      <c r="I2314" s="18"/>
    </row>
    <row r="2315" spans="9:9" x14ac:dyDescent="0.15">
      <c r="I2315" s="18"/>
    </row>
    <row r="2316" spans="9:9" x14ac:dyDescent="0.15">
      <c r="I2316" s="18"/>
    </row>
    <row r="2317" spans="9:9" x14ac:dyDescent="0.15">
      <c r="I2317" s="18"/>
    </row>
    <row r="2318" spans="9:9" x14ac:dyDescent="0.15">
      <c r="I2318" s="18"/>
    </row>
    <row r="2319" spans="9:9" x14ac:dyDescent="0.15">
      <c r="I2319" s="18"/>
    </row>
    <row r="2320" spans="9:9" x14ac:dyDescent="0.15">
      <c r="I2320" s="18"/>
    </row>
    <row r="2321" spans="9:9" x14ac:dyDescent="0.15">
      <c r="I2321" s="18"/>
    </row>
    <row r="2322" spans="9:9" x14ac:dyDescent="0.15">
      <c r="I2322" s="18"/>
    </row>
    <row r="2323" spans="9:9" x14ac:dyDescent="0.15">
      <c r="I2323" s="18"/>
    </row>
    <row r="2324" spans="9:9" x14ac:dyDescent="0.15">
      <c r="I2324" s="18"/>
    </row>
    <row r="2325" spans="9:9" x14ac:dyDescent="0.15">
      <c r="I2325" s="18"/>
    </row>
    <row r="2326" spans="9:9" x14ac:dyDescent="0.15">
      <c r="I2326" s="18"/>
    </row>
    <row r="2327" spans="9:9" x14ac:dyDescent="0.15">
      <c r="I2327" s="18"/>
    </row>
    <row r="2328" spans="9:9" x14ac:dyDescent="0.15">
      <c r="I2328" s="18"/>
    </row>
    <row r="2329" spans="9:9" x14ac:dyDescent="0.15">
      <c r="I2329" s="18"/>
    </row>
    <row r="2330" spans="9:9" x14ac:dyDescent="0.15">
      <c r="I2330" s="18"/>
    </row>
    <row r="2331" spans="9:9" x14ac:dyDescent="0.15">
      <c r="I2331" s="18"/>
    </row>
    <row r="2332" spans="9:9" x14ac:dyDescent="0.15">
      <c r="I2332" s="18"/>
    </row>
    <row r="2333" spans="9:9" x14ac:dyDescent="0.15">
      <c r="I2333" s="18"/>
    </row>
    <row r="2334" spans="9:9" x14ac:dyDescent="0.15">
      <c r="I2334" s="18"/>
    </row>
    <row r="2335" spans="9:9" x14ac:dyDescent="0.15">
      <c r="I2335" s="18"/>
    </row>
    <row r="2336" spans="9:9" x14ac:dyDescent="0.15">
      <c r="I2336" s="18"/>
    </row>
    <row r="2337" spans="9:9" x14ac:dyDescent="0.15">
      <c r="I2337" s="18"/>
    </row>
    <row r="2338" spans="9:9" x14ac:dyDescent="0.15">
      <c r="I2338" s="18"/>
    </row>
    <row r="2339" spans="9:9" x14ac:dyDescent="0.15">
      <c r="I2339" s="18"/>
    </row>
    <row r="2340" spans="9:9" x14ac:dyDescent="0.15">
      <c r="I2340" s="18"/>
    </row>
    <row r="2341" spans="9:9" x14ac:dyDescent="0.15">
      <c r="I2341" s="18"/>
    </row>
    <row r="2342" spans="9:9" x14ac:dyDescent="0.15">
      <c r="I2342" s="18"/>
    </row>
    <row r="2343" spans="9:9" x14ac:dyDescent="0.15">
      <c r="I2343" s="18"/>
    </row>
    <row r="2344" spans="9:9" x14ac:dyDescent="0.15">
      <c r="I2344" s="18"/>
    </row>
    <row r="2345" spans="9:9" x14ac:dyDescent="0.15">
      <c r="I2345" s="18"/>
    </row>
    <row r="2346" spans="9:9" x14ac:dyDescent="0.15">
      <c r="I2346" s="18"/>
    </row>
    <row r="2347" spans="9:9" x14ac:dyDescent="0.15">
      <c r="I2347" s="18"/>
    </row>
    <row r="2348" spans="9:9" x14ac:dyDescent="0.15">
      <c r="I2348" s="18"/>
    </row>
    <row r="2349" spans="9:9" x14ac:dyDescent="0.15">
      <c r="I2349" s="18"/>
    </row>
    <row r="2350" spans="9:9" x14ac:dyDescent="0.15">
      <c r="I2350" s="18"/>
    </row>
    <row r="2351" spans="9:9" x14ac:dyDescent="0.15">
      <c r="I2351" s="18"/>
    </row>
    <row r="2352" spans="9:9" x14ac:dyDescent="0.15">
      <c r="I2352" s="18"/>
    </row>
    <row r="2353" spans="9:9" x14ac:dyDescent="0.15">
      <c r="I2353" s="18"/>
    </row>
    <row r="2354" spans="9:9" x14ac:dyDescent="0.15">
      <c r="I2354" s="18"/>
    </row>
    <row r="2355" spans="9:9" x14ac:dyDescent="0.15">
      <c r="I2355" s="18"/>
    </row>
    <row r="2356" spans="9:9" x14ac:dyDescent="0.15">
      <c r="I2356" s="18"/>
    </row>
    <row r="2357" spans="9:9" x14ac:dyDescent="0.15">
      <c r="I2357" s="18"/>
    </row>
    <row r="2358" spans="9:9" x14ac:dyDescent="0.15">
      <c r="I2358" s="18"/>
    </row>
    <row r="2359" spans="9:9" x14ac:dyDescent="0.15">
      <c r="I2359" s="18"/>
    </row>
    <row r="2360" spans="9:9" x14ac:dyDescent="0.15">
      <c r="I2360" s="18"/>
    </row>
    <row r="2361" spans="9:9" x14ac:dyDescent="0.15">
      <c r="I2361" s="18"/>
    </row>
    <row r="2362" spans="9:9" x14ac:dyDescent="0.15">
      <c r="I2362" s="18"/>
    </row>
    <row r="2363" spans="9:9" x14ac:dyDescent="0.15">
      <c r="I2363" s="18"/>
    </row>
    <row r="2364" spans="9:9" x14ac:dyDescent="0.15">
      <c r="I2364" s="18"/>
    </row>
    <row r="2365" spans="9:9" x14ac:dyDescent="0.15">
      <c r="I2365" s="18"/>
    </row>
    <row r="2366" spans="9:9" x14ac:dyDescent="0.15">
      <c r="I2366" s="18"/>
    </row>
    <row r="2367" spans="9:9" x14ac:dyDescent="0.15">
      <c r="I2367" s="18"/>
    </row>
    <row r="2368" spans="9:9" x14ac:dyDescent="0.15">
      <c r="I2368" s="18"/>
    </row>
    <row r="2369" spans="9:9" x14ac:dyDescent="0.15">
      <c r="I2369" s="18"/>
    </row>
    <row r="2370" spans="9:9" x14ac:dyDescent="0.15">
      <c r="I2370" s="18"/>
    </row>
    <row r="2371" spans="9:9" x14ac:dyDescent="0.15">
      <c r="I2371" s="18"/>
    </row>
    <row r="2372" spans="9:9" x14ac:dyDescent="0.15">
      <c r="I2372" s="18"/>
    </row>
    <row r="2373" spans="9:9" x14ac:dyDescent="0.15">
      <c r="I2373" s="18"/>
    </row>
    <row r="2374" spans="9:9" x14ac:dyDescent="0.15">
      <c r="I2374" s="18"/>
    </row>
    <row r="2375" spans="9:9" x14ac:dyDescent="0.15">
      <c r="I2375" s="18"/>
    </row>
    <row r="2376" spans="9:9" x14ac:dyDescent="0.15">
      <c r="I2376" s="18"/>
    </row>
    <row r="2377" spans="9:9" x14ac:dyDescent="0.15">
      <c r="I2377" s="18"/>
    </row>
    <row r="2378" spans="9:9" x14ac:dyDescent="0.15">
      <c r="I2378" s="18"/>
    </row>
    <row r="2379" spans="9:9" x14ac:dyDescent="0.15">
      <c r="I2379" s="18"/>
    </row>
    <row r="2380" spans="9:9" x14ac:dyDescent="0.15">
      <c r="I2380" s="18"/>
    </row>
    <row r="2381" spans="9:9" x14ac:dyDescent="0.15">
      <c r="I2381" s="18"/>
    </row>
    <row r="2382" spans="9:9" x14ac:dyDescent="0.15">
      <c r="I2382" s="18"/>
    </row>
    <row r="2383" spans="9:9" x14ac:dyDescent="0.15">
      <c r="I2383" s="18"/>
    </row>
    <row r="2384" spans="9:9" x14ac:dyDescent="0.15">
      <c r="I2384" s="18"/>
    </row>
    <row r="2385" spans="9:9" x14ac:dyDescent="0.15">
      <c r="I2385" s="18"/>
    </row>
    <row r="2386" spans="9:9" x14ac:dyDescent="0.15">
      <c r="I2386" s="18"/>
    </row>
    <row r="2387" spans="9:9" x14ac:dyDescent="0.15">
      <c r="I2387" s="18"/>
    </row>
    <row r="2388" spans="9:9" x14ac:dyDescent="0.15">
      <c r="I2388" s="18"/>
    </row>
    <row r="2389" spans="9:9" x14ac:dyDescent="0.15">
      <c r="I2389" s="18"/>
    </row>
    <row r="2390" spans="9:9" x14ac:dyDescent="0.15">
      <c r="I2390" s="18"/>
    </row>
    <row r="2391" spans="9:9" x14ac:dyDescent="0.15">
      <c r="I2391" s="18"/>
    </row>
    <row r="2392" spans="9:9" x14ac:dyDescent="0.15">
      <c r="I2392" s="18"/>
    </row>
    <row r="2393" spans="9:9" x14ac:dyDescent="0.15">
      <c r="I2393" s="18"/>
    </row>
    <row r="2394" spans="9:9" x14ac:dyDescent="0.15">
      <c r="I2394" s="18"/>
    </row>
    <row r="2395" spans="9:9" x14ac:dyDescent="0.15">
      <c r="I2395" s="18"/>
    </row>
    <row r="2396" spans="9:9" x14ac:dyDescent="0.15">
      <c r="I2396" s="18"/>
    </row>
    <row r="2397" spans="9:9" x14ac:dyDescent="0.15">
      <c r="I2397" s="18"/>
    </row>
    <row r="2398" spans="9:9" x14ac:dyDescent="0.15">
      <c r="I2398" s="18"/>
    </row>
    <row r="2399" spans="9:9" x14ac:dyDescent="0.15">
      <c r="I2399" s="18"/>
    </row>
    <row r="2400" spans="9:9" x14ac:dyDescent="0.15">
      <c r="I2400" s="18"/>
    </row>
    <row r="2401" spans="9:9" x14ac:dyDescent="0.15">
      <c r="I2401" s="18"/>
    </row>
    <row r="2402" spans="9:9" x14ac:dyDescent="0.15">
      <c r="I2402" s="18"/>
    </row>
    <row r="2403" spans="9:9" x14ac:dyDescent="0.15">
      <c r="I2403" s="18"/>
    </row>
    <row r="2404" spans="9:9" x14ac:dyDescent="0.15">
      <c r="I2404" s="18"/>
    </row>
    <row r="2405" spans="9:9" x14ac:dyDescent="0.15">
      <c r="I2405" s="18"/>
    </row>
    <row r="2406" spans="9:9" x14ac:dyDescent="0.15">
      <c r="I2406" s="18"/>
    </row>
    <row r="2407" spans="9:9" x14ac:dyDescent="0.15">
      <c r="I2407" s="18"/>
    </row>
    <row r="2408" spans="9:9" x14ac:dyDescent="0.15">
      <c r="I2408" s="18"/>
    </row>
    <row r="2409" spans="9:9" x14ac:dyDescent="0.15">
      <c r="I2409" s="18"/>
    </row>
    <row r="2410" spans="9:9" x14ac:dyDescent="0.15">
      <c r="I2410" s="18"/>
    </row>
    <row r="2411" spans="9:9" x14ac:dyDescent="0.15">
      <c r="I2411" s="18"/>
    </row>
    <row r="2412" spans="9:9" x14ac:dyDescent="0.15">
      <c r="I2412" s="18"/>
    </row>
    <row r="2413" spans="9:9" x14ac:dyDescent="0.15">
      <c r="I2413" s="18"/>
    </row>
    <row r="2414" spans="9:9" x14ac:dyDescent="0.15">
      <c r="I2414" s="18"/>
    </row>
    <row r="2415" spans="9:9" x14ac:dyDescent="0.15">
      <c r="I2415" s="18"/>
    </row>
    <row r="2416" spans="9:9" x14ac:dyDescent="0.15">
      <c r="I2416" s="18"/>
    </row>
    <row r="2417" spans="9:9" x14ac:dyDescent="0.15">
      <c r="I2417" s="18"/>
    </row>
    <row r="2418" spans="9:9" x14ac:dyDescent="0.15">
      <c r="I2418" s="18"/>
    </row>
    <row r="2419" spans="9:9" x14ac:dyDescent="0.15">
      <c r="I2419" s="18"/>
    </row>
    <row r="2420" spans="9:9" x14ac:dyDescent="0.15">
      <c r="I2420" s="18"/>
    </row>
    <row r="2421" spans="9:9" x14ac:dyDescent="0.15">
      <c r="I2421" s="18"/>
    </row>
    <row r="2422" spans="9:9" x14ac:dyDescent="0.15">
      <c r="I2422" s="18"/>
    </row>
    <row r="2423" spans="9:9" x14ac:dyDescent="0.15">
      <c r="I2423" s="18"/>
    </row>
    <row r="2424" spans="9:9" x14ac:dyDescent="0.15">
      <c r="I2424" s="18"/>
    </row>
    <row r="2425" spans="9:9" x14ac:dyDescent="0.15">
      <c r="I2425" s="18"/>
    </row>
    <row r="2426" spans="9:9" x14ac:dyDescent="0.15">
      <c r="I2426" s="18"/>
    </row>
    <row r="2427" spans="9:9" x14ac:dyDescent="0.15">
      <c r="I2427" s="18"/>
    </row>
    <row r="2428" spans="9:9" x14ac:dyDescent="0.15">
      <c r="I2428" s="18"/>
    </row>
    <row r="2429" spans="9:9" x14ac:dyDescent="0.15">
      <c r="I2429" s="18"/>
    </row>
    <row r="2430" spans="9:9" x14ac:dyDescent="0.15">
      <c r="I2430" s="18"/>
    </row>
    <row r="2431" spans="9:9" x14ac:dyDescent="0.15">
      <c r="I2431" s="18"/>
    </row>
    <row r="2432" spans="9:9" x14ac:dyDescent="0.15">
      <c r="I2432" s="18"/>
    </row>
    <row r="2433" spans="9:9" x14ac:dyDescent="0.15">
      <c r="I2433" s="18"/>
    </row>
    <row r="2434" spans="9:9" x14ac:dyDescent="0.15">
      <c r="I2434" s="18"/>
    </row>
    <row r="2435" spans="9:9" x14ac:dyDescent="0.15">
      <c r="I2435" s="18"/>
    </row>
    <row r="2436" spans="9:9" x14ac:dyDescent="0.15">
      <c r="I2436" s="18"/>
    </row>
    <row r="2437" spans="9:9" x14ac:dyDescent="0.15">
      <c r="I2437" s="18"/>
    </row>
    <row r="2438" spans="9:9" x14ac:dyDescent="0.15">
      <c r="I2438" s="18"/>
    </row>
    <row r="2439" spans="9:9" x14ac:dyDescent="0.15">
      <c r="I2439" s="18"/>
    </row>
    <row r="2440" spans="9:9" x14ac:dyDescent="0.15">
      <c r="I2440" s="18"/>
    </row>
    <row r="2441" spans="9:9" x14ac:dyDescent="0.15">
      <c r="I2441" s="18"/>
    </row>
    <row r="2442" spans="9:9" x14ac:dyDescent="0.15">
      <c r="I2442" s="18"/>
    </row>
    <row r="2443" spans="9:9" x14ac:dyDescent="0.15">
      <c r="I2443" s="18"/>
    </row>
    <row r="2444" spans="9:9" x14ac:dyDescent="0.15">
      <c r="I2444" s="18"/>
    </row>
    <row r="2445" spans="9:9" x14ac:dyDescent="0.15">
      <c r="I2445" s="18"/>
    </row>
    <row r="2446" spans="9:9" x14ac:dyDescent="0.15">
      <c r="I2446" s="18"/>
    </row>
    <row r="2447" spans="9:9" x14ac:dyDescent="0.15">
      <c r="I2447" s="18"/>
    </row>
    <row r="2448" spans="9:9" x14ac:dyDescent="0.15">
      <c r="I2448" s="18"/>
    </row>
    <row r="2449" spans="9:9" x14ac:dyDescent="0.15">
      <c r="I2449" s="18"/>
    </row>
    <row r="2450" spans="9:9" x14ac:dyDescent="0.15">
      <c r="I2450" s="18"/>
    </row>
    <row r="2451" spans="9:9" x14ac:dyDescent="0.15">
      <c r="I2451" s="18"/>
    </row>
    <row r="2452" spans="9:9" x14ac:dyDescent="0.15">
      <c r="I2452" s="18"/>
    </row>
    <row r="2453" spans="9:9" x14ac:dyDescent="0.15">
      <c r="I2453" s="18"/>
    </row>
    <row r="2454" spans="9:9" x14ac:dyDescent="0.15">
      <c r="I2454" s="18"/>
    </row>
    <row r="2455" spans="9:9" x14ac:dyDescent="0.15">
      <c r="I2455" s="18"/>
    </row>
    <row r="2456" spans="9:9" x14ac:dyDescent="0.15">
      <c r="I2456" s="18"/>
    </row>
    <row r="2457" spans="9:9" x14ac:dyDescent="0.15">
      <c r="I2457" s="18"/>
    </row>
    <row r="2458" spans="9:9" x14ac:dyDescent="0.15">
      <c r="I2458" s="18"/>
    </row>
    <row r="2459" spans="9:9" x14ac:dyDescent="0.15">
      <c r="I2459" s="18"/>
    </row>
    <row r="2460" spans="9:9" x14ac:dyDescent="0.15">
      <c r="I2460" s="18"/>
    </row>
    <row r="2461" spans="9:9" x14ac:dyDescent="0.15">
      <c r="I2461" s="18"/>
    </row>
    <row r="2462" spans="9:9" x14ac:dyDescent="0.15">
      <c r="I2462" s="18"/>
    </row>
    <row r="2463" spans="9:9" x14ac:dyDescent="0.15">
      <c r="I2463" s="18"/>
    </row>
    <row r="2464" spans="9:9" x14ac:dyDescent="0.15">
      <c r="I2464" s="18"/>
    </row>
    <row r="2465" spans="9:9" x14ac:dyDescent="0.15">
      <c r="I2465" s="18"/>
    </row>
    <row r="2466" spans="9:9" x14ac:dyDescent="0.15">
      <c r="I2466" s="18"/>
    </row>
    <row r="2467" spans="9:9" x14ac:dyDescent="0.15">
      <c r="I2467" s="18"/>
    </row>
    <row r="2468" spans="9:9" x14ac:dyDescent="0.15">
      <c r="I2468" s="18"/>
    </row>
    <row r="2469" spans="9:9" x14ac:dyDescent="0.15">
      <c r="I2469" s="18"/>
    </row>
    <row r="2470" spans="9:9" x14ac:dyDescent="0.15">
      <c r="I2470" s="18"/>
    </row>
    <row r="2471" spans="9:9" x14ac:dyDescent="0.15">
      <c r="I2471" s="18"/>
    </row>
    <row r="2472" spans="9:9" x14ac:dyDescent="0.15">
      <c r="I2472" s="18"/>
    </row>
    <row r="2473" spans="9:9" x14ac:dyDescent="0.15">
      <c r="I2473" s="18"/>
    </row>
    <row r="2474" spans="9:9" x14ac:dyDescent="0.15">
      <c r="I2474" s="18"/>
    </row>
    <row r="2475" spans="9:9" x14ac:dyDescent="0.15">
      <c r="I2475" s="18"/>
    </row>
    <row r="2476" spans="9:9" x14ac:dyDescent="0.15">
      <c r="I2476" s="18"/>
    </row>
    <row r="2477" spans="9:9" x14ac:dyDescent="0.15">
      <c r="I2477" s="18"/>
    </row>
    <row r="2478" spans="9:9" x14ac:dyDescent="0.15">
      <c r="I2478" s="18"/>
    </row>
    <row r="2479" spans="9:9" x14ac:dyDescent="0.15">
      <c r="I2479" s="18"/>
    </row>
    <row r="2480" spans="9:9" x14ac:dyDescent="0.15">
      <c r="I2480" s="18"/>
    </row>
    <row r="2481" spans="9:9" x14ac:dyDescent="0.15">
      <c r="I2481" s="18"/>
    </row>
    <row r="2482" spans="9:9" x14ac:dyDescent="0.15">
      <c r="I2482" s="18"/>
    </row>
    <row r="2483" spans="9:9" x14ac:dyDescent="0.15">
      <c r="I2483" s="18"/>
    </row>
    <row r="2484" spans="9:9" x14ac:dyDescent="0.15">
      <c r="I2484" s="18"/>
    </row>
    <row r="2485" spans="9:9" x14ac:dyDescent="0.15">
      <c r="I2485" s="18"/>
    </row>
    <row r="2486" spans="9:9" x14ac:dyDescent="0.15">
      <c r="I2486" s="18"/>
    </row>
    <row r="2487" spans="9:9" x14ac:dyDescent="0.15">
      <c r="I2487" s="18"/>
    </row>
    <row r="2488" spans="9:9" x14ac:dyDescent="0.15">
      <c r="I2488" s="18"/>
    </row>
    <row r="2489" spans="9:9" x14ac:dyDescent="0.15">
      <c r="I2489" s="18"/>
    </row>
    <row r="2490" spans="9:9" x14ac:dyDescent="0.15">
      <c r="I2490" s="18"/>
    </row>
    <row r="2491" spans="9:9" x14ac:dyDescent="0.15">
      <c r="I2491" s="18"/>
    </row>
    <row r="2492" spans="9:9" x14ac:dyDescent="0.15">
      <c r="I2492" s="18"/>
    </row>
    <row r="2493" spans="9:9" x14ac:dyDescent="0.15">
      <c r="I2493" s="18"/>
    </row>
    <row r="2494" spans="9:9" x14ac:dyDescent="0.15">
      <c r="I2494" s="18"/>
    </row>
    <row r="2495" spans="9:9" x14ac:dyDescent="0.15">
      <c r="I2495" s="18"/>
    </row>
    <row r="2496" spans="9:9" x14ac:dyDescent="0.15">
      <c r="I2496" s="18"/>
    </row>
    <row r="2497" spans="9:9" x14ac:dyDescent="0.15">
      <c r="I2497" s="18"/>
    </row>
    <row r="2498" spans="9:9" x14ac:dyDescent="0.15">
      <c r="I2498" s="18"/>
    </row>
    <row r="2499" spans="9:9" x14ac:dyDescent="0.15">
      <c r="I2499" s="18"/>
    </row>
    <row r="2500" spans="9:9" x14ac:dyDescent="0.15">
      <c r="I2500" s="18"/>
    </row>
    <row r="2501" spans="9:9" x14ac:dyDescent="0.15">
      <c r="I2501" s="18"/>
    </row>
    <row r="2502" spans="9:9" x14ac:dyDescent="0.15">
      <c r="I2502" s="18"/>
    </row>
    <row r="2503" spans="9:9" x14ac:dyDescent="0.15">
      <c r="I2503" s="18"/>
    </row>
    <row r="2504" spans="9:9" x14ac:dyDescent="0.15">
      <c r="I2504" s="18"/>
    </row>
    <row r="2505" spans="9:9" x14ac:dyDescent="0.15">
      <c r="I2505" s="18"/>
    </row>
    <row r="2506" spans="9:9" x14ac:dyDescent="0.15">
      <c r="I2506" s="18"/>
    </row>
    <row r="2507" spans="9:9" x14ac:dyDescent="0.15">
      <c r="I2507" s="18"/>
    </row>
    <row r="2508" spans="9:9" x14ac:dyDescent="0.15">
      <c r="I2508" s="18"/>
    </row>
    <row r="2509" spans="9:9" x14ac:dyDescent="0.15">
      <c r="I2509" s="18"/>
    </row>
    <row r="2510" spans="9:9" x14ac:dyDescent="0.15">
      <c r="I2510" s="18"/>
    </row>
    <row r="2511" spans="9:9" x14ac:dyDescent="0.15">
      <c r="I2511" s="18"/>
    </row>
    <row r="2512" spans="9:9" x14ac:dyDescent="0.15">
      <c r="I2512" s="18"/>
    </row>
    <row r="2513" spans="9:9" x14ac:dyDescent="0.15">
      <c r="I2513" s="18"/>
    </row>
    <row r="2514" spans="9:9" x14ac:dyDescent="0.15">
      <c r="I2514" s="18"/>
    </row>
    <row r="2515" spans="9:9" x14ac:dyDescent="0.15">
      <c r="I2515" s="18"/>
    </row>
    <row r="2516" spans="9:9" x14ac:dyDescent="0.15">
      <c r="I2516" s="18"/>
    </row>
    <row r="2517" spans="9:9" x14ac:dyDescent="0.15">
      <c r="I2517" s="18"/>
    </row>
    <row r="2518" spans="9:9" x14ac:dyDescent="0.15">
      <c r="I2518" s="18"/>
    </row>
    <row r="2519" spans="9:9" x14ac:dyDescent="0.15">
      <c r="I2519" s="18"/>
    </row>
    <row r="2520" spans="9:9" x14ac:dyDescent="0.15">
      <c r="I2520" s="18"/>
    </row>
    <row r="2521" spans="9:9" x14ac:dyDescent="0.15">
      <c r="I2521" s="18"/>
    </row>
    <row r="2522" spans="9:9" x14ac:dyDescent="0.15">
      <c r="I2522" s="18"/>
    </row>
    <row r="2523" spans="9:9" x14ac:dyDescent="0.15">
      <c r="I2523" s="18"/>
    </row>
    <row r="2524" spans="9:9" x14ac:dyDescent="0.15">
      <c r="I2524" s="18"/>
    </row>
    <row r="2525" spans="9:9" x14ac:dyDescent="0.15">
      <c r="I2525" s="18"/>
    </row>
    <row r="2526" spans="9:9" x14ac:dyDescent="0.15">
      <c r="I2526" s="18"/>
    </row>
    <row r="2527" spans="9:9" x14ac:dyDescent="0.15">
      <c r="I2527" s="18"/>
    </row>
    <row r="2528" spans="9:9" x14ac:dyDescent="0.15">
      <c r="I2528" s="18"/>
    </row>
    <row r="2529" spans="9:9" x14ac:dyDescent="0.15">
      <c r="I2529" s="18"/>
    </row>
    <row r="2530" spans="9:9" x14ac:dyDescent="0.15">
      <c r="I2530" s="18"/>
    </row>
    <row r="2531" spans="9:9" x14ac:dyDescent="0.15">
      <c r="I2531" s="18"/>
    </row>
    <row r="2532" spans="9:9" x14ac:dyDescent="0.15">
      <c r="I2532" s="18"/>
    </row>
    <row r="2533" spans="9:9" x14ac:dyDescent="0.15">
      <c r="I2533" s="18"/>
    </row>
    <row r="2534" spans="9:9" x14ac:dyDescent="0.15">
      <c r="I2534" s="18"/>
    </row>
    <row r="2535" spans="9:9" x14ac:dyDescent="0.15">
      <c r="I2535" s="18"/>
    </row>
    <row r="2536" spans="9:9" x14ac:dyDescent="0.15">
      <c r="I2536" s="18"/>
    </row>
    <row r="2537" spans="9:9" x14ac:dyDescent="0.15">
      <c r="I2537" s="18"/>
    </row>
    <row r="2538" spans="9:9" x14ac:dyDescent="0.15">
      <c r="I2538" s="18"/>
    </row>
    <row r="2539" spans="9:9" x14ac:dyDescent="0.15">
      <c r="I2539" s="18"/>
    </row>
    <row r="2540" spans="9:9" x14ac:dyDescent="0.15">
      <c r="I2540" s="18"/>
    </row>
    <row r="2541" spans="9:9" x14ac:dyDescent="0.15">
      <c r="I2541" s="18"/>
    </row>
    <row r="2542" spans="9:9" x14ac:dyDescent="0.15">
      <c r="I2542" s="18"/>
    </row>
    <row r="2543" spans="9:9" x14ac:dyDescent="0.15">
      <c r="I2543" s="18"/>
    </row>
    <row r="2544" spans="9:9" x14ac:dyDescent="0.15">
      <c r="I2544" s="18"/>
    </row>
    <row r="2545" spans="9:9" x14ac:dyDescent="0.15">
      <c r="I2545" s="18"/>
    </row>
    <row r="2546" spans="9:9" x14ac:dyDescent="0.15">
      <c r="I2546" s="18"/>
    </row>
    <row r="2547" spans="9:9" x14ac:dyDescent="0.15">
      <c r="I2547" s="18"/>
    </row>
    <row r="2548" spans="9:9" x14ac:dyDescent="0.15">
      <c r="I2548" s="18"/>
    </row>
    <row r="2549" spans="9:9" x14ac:dyDescent="0.15">
      <c r="I2549" s="18"/>
    </row>
    <row r="2550" spans="9:9" x14ac:dyDescent="0.15">
      <c r="I2550" s="18"/>
    </row>
    <row r="2551" spans="9:9" x14ac:dyDescent="0.15">
      <c r="I2551" s="18"/>
    </row>
    <row r="2552" spans="9:9" x14ac:dyDescent="0.15">
      <c r="I2552" s="18"/>
    </row>
    <row r="2553" spans="9:9" x14ac:dyDescent="0.15">
      <c r="I2553" s="18"/>
    </row>
    <row r="2554" spans="9:9" x14ac:dyDescent="0.15">
      <c r="I2554" s="18"/>
    </row>
    <row r="2555" spans="9:9" x14ac:dyDescent="0.15">
      <c r="I2555" s="18"/>
    </row>
    <row r="2556" spans="9:9" x14ac:dyDescent="0.15">
      <c r="I2556" s="18"/>
    </row>
    <row r="2557" spans="9:9" x14ac:dyDescent="0.15">
      <c r="I2557" s="18"/>
    </row>
    <row r="2558" spans="9:9" x14ac:dyDescent="0.15">
      <c r="I2558" s="18"/>
    </row>
    <row r="2559" spans="9:9" x14ac:dyDescent="0.15">
      <c r="I2559" s="18"/>
    </row>
    <row r="2560" spans="9:9" x14ac:dyDescent="0.15">
      <c r="I2560" s="18"/>
    </row>
    <row r="2561" spans="9:9" x14ac:dyDescent="0.15">
      <c r="I2561" s="18"/>
    </row>
    <row r="2562" spans="9:9" x14ac:dyDescent="0.15">
      <c r="I2562" s="18"/>
    </row>
    <row r="2563" spans="9:9" x14ac:dyDescent="0.15">
      <c r="I2563" s="18"/>
    </row>
    <row r="2564" spans="9:9" x14ac:dyDescent="0.15">
      <c r="I2564" s="18"/>
    </row>
    <row r="2565" spans="9:9" x14ac:dyDescent="0.15">
      <c r="I2565" s="18"/>
    </row>
    <row r="2566" spans="9:9" x14ac:dyDescent="0.15">
      <c r="I2566" s="18"/>
    </row>
    <row r="2567" spans="9:9" x14ac:dyDescent="0.15">
      <c r="I2567" s="18"/>
    </row>
    <row r="2568" spans="9:9" x14ac:dyDescent="0.15">
      <c r="I2568" s="18"/>
    </row>
    <row r="2569" spans="9:9" x14ac:dyDescent="0.15">
      <c r="I2569" s="18"/>
    </row>
    <row r="2570" spans="9:9" x14ac:dyDescent="0.15">
      <c r="I2570" s="18"/>
    </row>
    <row r="2571" spans="9:9" x14ac:dyDescent="0.15">
      <c r="I2571" s="18"/>
    </row>
    <row r="2572" spans="9:9" x14ac:dyDescent="0.15">
      <c r="I2572" s="18"/>
    </row>
    <row r="2573" spans="9:9" x14ac:dyDescent="0.15">
      <c r="I2573" s="18"/>
    </row>
    <row r="2574" spans="9:9" x14ac:dyDescent="0.15">
      <c r="I2574" s="18"/>
    </row>
    <row r="2575" spans="9:9" x14ac:dyDescent="0.15">
      <c r="I2575" s="18"/>
    </row>
    <row r="2576" spans="9:9" x14ac:dyDescent="0.15">
      <c r="I2576" s="18"/>
    </row>
    <row r="2577" spans="9:9" x14ac:dyDescent="0.15">
      <c r="I2577" s="18"/>
    </row>
    <row r="2578" spans="9:9" x14ac:dyDescent="0.15">
      <c r="I2578" s="18"/>
    </row>
    <row r="2579" spans="9:9" x14ac:dyDescent="0.15">
      <c r="I2579" s="18"/>
    </row>
    <row r="2580" spans="9:9" x14ac:dyDescent="0.15">
      <c r="I2580" s="18"/>
    </row>
    <row r="2581" spans="9:9" x14ac:dyDescent="0.15">
      <c r="I2581" s="18"/>
    </row>
    <row r="2582" spans="9:9" x14ac:dyDescent="0.15">
      <c r="I2582" s="18"/>
    </row>
    <row r="2583" spans="9:9" x14ac:dyDescent="0.15">
      <c r="I2583" s="18"/>
    </row>
    <row r="2584" spans="9:9" x14ac:dyDescent="0.15">
      <c r="I2584" s="18"/>
    </row>
    <row r="2585" spans="9:9" x14ac:dyDescent="0.15">
      <c r="I2585" s="18"/>
    </row>
    <row r="2586" spans="9:9" x14ac:dyDescent="0.15">
      <c r="I2586" s="18"/>
    </row>
    <row r="2587" spans="9:9" x14ac:dyDescent="0.15">
      <c r="I2587" s="18"/>
    </row>
    <row r="2588" spans="9:9" x14ac:dyDescent="0.15">
      <c r="I2588" s="18"/>
    </row>
    <row r="2589" spans="9:9" x14ac:dyDescent="0.15">
      <c r="I2589" s="18"/>
    </row>
    <row r="2590" spans="9:9" x14ac:dyDescent="0.15">
      <c r="I2590" s="18"/>
    </row>
    <row r="2591" spans="9:9" x14ac:dyDescent="0.15">
      <c r="I2591" s="18"/>
    </row>
    <row r="2592" spans="9:9" x14ac:dyDescent="0.15">
      <c r="I2592" s="18"/>
    </row>
    <row r="2593" spans="9:9" x14ac:dyDescent="0.15">
      <c r="I2593" s="18"/>
    </row>
    <row r="2594" spans="9:9" x14ac:dyDescent="0.15">
      <c r="I2594" s="18"/>
    </row>
    <row r="2595" spans="9:9" x14ac:dyDescent="0.15">
      <c r="I2595" s="18"/>
    </row>
    <row r="2596" spans="9:9" x14ac:dyDescent="0.15">
      <c r="I2596" s="18"/>
    </row>
    <row r="2597" spans="9:9" x14ac:dyDescent="0.15">
      <c r="I2597" s="18"/>
    </row>
    <row r="2598" spans="9:9" x14ac:dyDescent="0.15">
      <c r="I2598" s="18"/>
    </row>
    <row r="2599" spans="9:9" x14ac:dyDescent="0.15">
      <c r="I2599" s="18"/>
    </row>
    <row r="2600" spans="9:9" x14ac:dyDescent="0.15">
      <c r="I2600" s="18"/>
    </row>
    <row r="2601" spans="9:9" x14ac:dyDescent="0.15">
      <c r="I2601" s="18"/>
    </row>
    <row r="2602" spans="9:9" x14ac:dyDescent="0.15">
      <c r="I2602" s="18"/>
    </row>
    <row r="2603" spans="9:9" x14ac:dyDescent="0.15">
      <c r="I2603" s="18"/>
    </row>
    <row r="2604" spans="9:9" x14ac:dyDescent="0.15">
      <c r="I2604" s="18"/>
    </row>
    <row r="2605" spans="9:9" x14ac:dyDescent="0.15">
      <c r="I2605" s="18"/>
    </row>
    <row r="2606" spans="9:9" x14ac:dyDescent="0.15">
      <c r="I2606" s="18"/>
    </row>
    <row r="2607" spans="9:9" x14ac:dyDescent="0.15">
      <c r="I2607" s="18"/>
    </row>
    <row r="2608" spans="9:9" x14ac:dyDescent="0.15">
      <c r="I2608" s="18"/>
    </row>
    <row r="2609" spans="9:9" x14ac:dyDescent="0.15">
      <c r="I2609" s="18"/>
    </row>
    <row r="2610" spans="9:9" x14ac:dyDescent="0.15">
      <c r="I2610" s="18"/>
    </row>
    <row r="2611" spans="9:9" x14ac:dyDescent="0.15">
      <c r="I2611" s="18"/>
    </row>
    <row r="2612" spans="9:9" x14ac:dyDescent="0.15">
      <c r="I2612" s="18"/>
    </row>
    <row r="2613" spans="9:9" x14ac:dyDescent="0.15">
      <c r="I2613" s="18"/>
    </row>
    <row r="2614" spans="9:9" x14ac:dyDescent="0.15">
      <c r="I2614" s="18"/>
    </row>
    <row r="2615" spans="9:9" x14ac:dyDescent="0.15">
      <c r="I2615" s="18"/>
    </row>
    <row r="2616" spans="9:9" x14ac:dyDescent="0.15">
      <c r="I2616" s="18"/>
    </row>
    <row r="2617" spans="9:9" x14ac:dyDescent="0.15">
      <c r="I2617" s="18"/>
    </row>
    <row r="2618" spans="9:9" x14ac:dyDescent="0.15">
      <c r="I2618" s="18"/>
    </row>
    <row r="2619" spans="9:9" x14ac:dyDescent="0.15">
      <c r="I2619" s="18"/>
    </row>
    <row r="2620" spans="9:9" x14ac:dyDescent="0.15">
      <c r="I2620" s="18"/>
    </row>
    <row r="2621" spans="9:9" x14ac:dyDescent="0.15">
      <c r="I2621" s="18"/>
    </row>
    <row r="2622" spans="9:9" x14ac:dyDescent="0.15">
      <c r="I2622" s="18"/>
    </row>
    <row r="2623" spans="9:9" x14ac:dyDescent="0.15">
      <c r="I2623" s="18"/>
    </row>
    <row r="2624" spans="9:9" x14ac:dyDescent="0.15">
      <c r="I2624" s="18"/>
    </row>
    <row r="2625" spans="9:9" x14ac:dyDescent="0.15">
      <c r="I2625" s="18"/>
    </row>
    <row r="2626" spans="9:9" x14ac:dyDescent="0.15">
      <c r="I2626" s="18"/>
    </row>
    <row r="2627" spans="9:9" x14ac:dyDescent="0.15">
      <c r="I2627" s="18"/>
    </row>
    <row r="2628" spans="9:9" x14ac:dyDescent="0.15">
      <c r="I2628" s="18"/>
    </row>
    <row r="2629" spans="9:9" x14ac:dyDescent="0.15">
      <c r="I2629" s="18"/>
    </row>
    <row r="2630" spans="9:9" x14ac:dyDescent="0.15">
      <c r="I2630" s="18"/>
    </row>
    <row r="2631" spans="9:9" x14ac:dyDescent="0.15">
      <c r="I2631" s="18"/>
    </row>
    <row r="2632" spans="9:9" x14ac:dyDescent="0.15">
      <c r="I2632" s="18"/>
    </row>
    <row r="2633" spans="9:9" x14ac:dyDescent="0.15">
      <c r="I2633" s="18"/>
    </row>
    <row r="2634" spans="9:9" x14ac:dyDescent="0.15">
      <c r="I2634" s="18"/>
    </row>
    <row r="2635" spans="9:9" x14ac:dyDescent="0.15">
      <c r="I2635" s="18"/>
    </row>
    <row r="2636" spans="9:9" x14ac:dyDescent="0.15">
      <c r="I2636" s="18"/>
    </row>
    <row r="2637" spans="9:9" x14ac:dyDescent="0.15">
      <c r="I2637" s="18"/>
    </row>
    <row r="2638" spans="9:9" x14ac:dyDescent="0.15">
      <c r="I2638" s="18"/>
    </row>
    <row r="2639" spans="9:9" x14ac:dyDescent="0.15">
      <c r="I2639" s="18"/>
    </row>
    <row r="2640" spans="9:9" x14ac:dyDescent="0.15">
      <c r="I2640" s="18"/>
    </row>
    <row r="2641" spans="9:9" x14ac:dyDescent="0.15">
      <c r="I2641" s="18"/>
    </row>
    <row r="2642" spans="9:9" x14ac:dyDescent="0.15">
      <c r="I2642" s="18"/>
    </row>
    <row r="2643" spans="9:9" x14ac:dyDescent="0.15">
      <c r="I2643" s="18"/>
    </row>
    <row r="2644" spans="9:9" x14ac:dyDescent="0.15">
      <c r="I2644" s="18"/>
    </row>
    <row r="2645" spans="9:9" x14ac:dyDescent="0.15">
      <c r="I2645" s="18"/>
    </row>
    <row r="2646" spans="9:9" x14ac:dyDescent="0.15">
      <c r="I2646" s="18"/>
    </row>
    <row r="2647" spans="9:9" x14ac:dyDescent="0.15">
      <c r="I2647" s="18"/>
    </row>
    <row r="2648" spans="9:9" x14ac:dyDescent="0.15">
      <c r="I2648" s="18"/>
    </row>
    <row r="2649" spans="9:9" x14ac:dyDescent="0.15">
      <c r="I2649" s="18"/>
    </row>
    <row r="2650" spans="9:9" x14ac:dyDescent="0.15">
      <c r="I2650" s="18"/>
    </row>
    <row r="2651" spans="9:9" x14ac:dyDescent="0.15">
      <c r="I2651" s="18"/>
    </row>
    <row r="2652" spans="9:9" x14ac:dyDescent="0.15">
      <c r="I2652" s="18"/>
    </row>
    <row r="2653" spans="9:9" x14ac:dyDescent="0.15">
      <c r="I2653" s="18"/>
    </row>
    <row r="2654" spans="9:9" x14ac:dyDescent="0.15">
      <c r="I2654" s="18"/>
    </row>
    <row r="2655" spans="9:9" x14ac:dyDescent="0.15">
      <c r="I2655" s="18"/>
    </row>
    <row r="2656" spans="9:9" x14ac:dyDescent="0.15">
      <c r="I2656" s="18"/>
    </row>
    <row r="2657" spans="9:9" x14ac:dyDescent="0.15">
      <c r="I2657" s="18"/>
    </row>
    <row r="2658" spans="9:9" x14ac:dyDescent="0.15">
      <c r="I2658" s="18"/>
    </row>
    <row r="2659" spans="9:9" x14ac:dyDescent="0.15">
      <c r="I2659" s="18"/>
    </row>
    <row r="2660" spans="9:9" x14ac:dyDescent="0.15">
      <c r="I2660" s="18"/>
    </row>
    <row r="2661" spans="9:9" x14ac:dyDescent="0.15">
      <c r="I2661" s="18"/>
    </row>
    <row r="2662" spans="9:9" x14ac:dyDescent="0.15">
      <c r="I2662" s="18"/>
    </row>
    <row r="2663" spans="9:9" x14ac:dyDescent="0.15">
      <c r="I2663" s="18"/>
    </row>
    <row r="2664" spans="9:9" x14ac:dyDescent="0.15">
      <c r="I2664" s="18"/>
    </row>
    <row r="2665" spans="9:9" x14ac:dyDescent="0.15">
      <c r="I2665" s="18"/>
    </row>
    <row r="2666" spans="9:9" x14ac:dyDescent="0.15">
      <c r="I2666" s="18"/>
    </row>
    <row r="2667" spans="9:9" x14ac:dyDescent="0.15">
      <c r="I2667" s="18"/>
    </row>
    <row r="2668" spans="9:9" x14ac:dyDescent="0.15">
      <c r="I2668" s="18"/>
    </row>
    <row r="2669" spans="9:9" x14ac:dyDescent="0.15">
      <c r="I2669" s="18"/>
    </row>
    <row r="2670" spans="9:9" x14ac:dyDescent="0.15">
      <c r="I2670" s="18"/>
    </row>
    <row r="2671" spans="9:9" x14ac:dyDescent="0.15">
      <c r="I2671" s="18"/>
    </row>
    <row r="2672" spans="9:9" x14ac:dyDescent="0.15">
      <c r="I2672" s="18"/>
    </row>
    <row r="2673" spans="9:9" x14ac:dyDescent="0.15">
      <c r="I2673" s="18"/>
    </row>
    <row r="2674" spans="9:9" x14ac:dyDescent="0.15">
      <c r="I2674" s="18"/>
    </row>
    <row r="2675" spans="9:9" x14ac:dyDescent="0.15">
      <c r="I2675" s="18"/>
    </row>
    <row r="2676" spans="9:9" x14ac:dyDescent="0.15">
      <c r="I2676" s="18"/>
    </row>
    <row r="2677" spans="9:9" x14ac:dyDescent="0.15">
      <c r="I2677" s="18"/>
    </row>
    <row r="2678" spans="9:9" x14ac:dyDescent="0.15">
      <c r="I2678" s="18"/>
    </row>
    <row r="2679" spans="9:9" x14ac:dyDescent="0.15">
      <c r="I2679" s="18"/>
    </row>
    <row r="2680" spans="9:9" x14ac:dyDescent="0.15">
      <c r="I2680" s="18"/>
    </row>
    <row r="2681" spans="9:9" x14ac:dyDescent="0.15">
      <c r="I2681" s="18"/>
    </row>
    <row r="2682" spans="9:9" x14ac:dyDescent="0.15">
      <c r="I2682" s="18"/>
    </row>
    <row r="2683" spans="9:9" x14ac:dyDescent="0.15">
      <c r="I2683" s="18"/>
    </row>
    <row r="2684" spans="9:9" x14ac:dyDescent="0.15">
      <c r="I2684" s="18"/>
    </row>
    <row r="2685" spans="9:9" x14ac:dyDescent="0.15">
      <c r="I2685" s="18"/>
    </row>
    <row r="2686" spans="9:9" x14ac:dyDescent="0.15">
      <c r="I2686" s="18"/>
    </row>
    <row r="2687" spans="9:9" x14ac:dyDescent="0.15">
      <c r="I2687" s="18"/>
    </row>
    <row r="2688" spans="9:9" x14ac:dyDescent="0.15">
      <c r="I2688" s="18"/>
    </row>
    <row r="2689" spans="9:9" x14ac:dyDescent="0.15">
      <c r="I2689" s="18"/>
    </row>
    <row r="2690" spans="9:9" x14ac:dyDescent="0.15">
      <c r="I2690" s="18"/>
    </row>
    <row r="2691" spans="9:9" x14ac:dyDescent="0.15">
      <c r="I2691" s="18"/>
    </row>
    <row r="2692" spans="9:9" x14ac:dyDescent="0.15">
      <c r="I2692" s="18"/>
    </row>
    <row r="2693" spans="9:9" x14ac:dyDescent="0.15">
      <c r="I2693" s="18"/>
    </row>
    <row r="2694" spans="9:9" x14ac:dyDescent="0.15">
      <c r="I2694" s="18"/>
    </row>
    <row r="2695" spans="9:9" x14ac:dyDescent="0.15">
      <c r="I2695" s="18"/>
    </row>
    <row r="2696" spans="9:9" x14ac:dyDescent="0.15">
      <c r="I2696" s="18"/>
    </row>
    <row r="2697" spans="9:9" x14ac:dyDescent="0.15">
      <c r="I2697" s="18"/>
    </row>
    <row r="2698" spans="9:9" x14ac:dyDescent="0.15">
      <c r="I2698" s="18"/>
    </row>
    <row r="2699" spans="9:9" x14ac:dyDescent="0.15">
      <c r="I2699" s="18"/>
    </row>
    <row r="2700" spans="9:9" x14ac:dyDescent="0.15">
      <c r="I2700" s="18"/>
    </row>
    <row r="2701" spans="9:9" x14ac:dyDescent="0.15">
      <c r="I2701" s="18"/>
    </row>
    <row r="2702" spans="9:9" x14ac:dyDescent="0.15">
      <c r="I2702" s="18"/>
    </row>
    <row r="2703" spans="9:9" x14ac:dyDescent="0.15">
      <c r="I2703" s="18"/>
    </row>
    <row r="2704" spans="9:9" x14ac:dyDescent="0.15">
      <c r="I2704" s="18"/>
    </row>
    <row r="2705" spans="9:9" x14ac:dyDescent="0.15">
      <c r="I2705" s="18"/>
    </row>
    <row r="2706" spans="9:9" x14ac:dyDescent="0.15">
      <c r="I2706" s="18"/>
    </row>
    <row r="2707" spans="9:9" x14ac:dyDescent="0.15">
      <c r="I2707" s="18"/>
    </row>
    <row r="2708" spans="9:9" x14ac:dyDescent="0.15">
      <c r="I2708" s="18"/>
    </row>
    <row r="2709" spans="9:9" x14ac:dyDescent="0.15">
      <c r="I2709" s="18"/>
    </row>
    <row r="2710" spans="9:9" x14ac:dyDescent="0.15">
      <c r="I2710" s="18"/>
    </row>
    <row r="2711" spans="9:9" x14ac:dyDescent="0.15">
      <c r="I2711" s="18"/>
    </row>
    <row r="2712" spans="9:9" x14ac:dyDescent="0.15">
      <c r="I2712" s="18"/>
    </row>
    <row r="2713" spans="9:9" x14ac:dyDescent="0.15">
      <c r="I2713" s="18"/>
    </row>
    <row r="2714" spans="9:9" x14ac:dyDescent="0.15">
      <c r="I2714" s="18"/>
    </row>
    <row r="2715" spans="9:9" x14ac:dyDescent="0.15">
      <c r="I2715" s="18"/>
    </row>
    <row r="2716" spans="9:9" x14ac:dyDescent="0.15">
      <c r="I2716" s="18"/>
    </row>
    <row r="2717" spans="9:9" x14ac:dyDescent="0.15">
      <c r="I2717" s="18"/>
    </row>
    <row r="2718" spans="9:9" x14ac:dyDescent="0.15">
      <c r="I2718" s="18"/>
    </row>
    <row r="2719" spans="9:9" x14ac:dyDescent="0.15">
      <c r="I2719" s="18"/>
    </row>
    <row r="2720" spans="9:9" x14ac:dyDescent="0.15">
      <c r="I2720" s="18"/>
    </row>
    <row r="2721" spans="9:9" x14ac:dyDescent="0.15">
      <c r="I2721" s="18"/>
    </row>
    <row r="2722" spans="9:9" x14ac:dyDescent="0.15">
      <c r="I2722" s="18"/>
    </row>
    <row r="2723" spans="9:9" x14ac:dyDescent="0.15">
      <c r="I2723" s="18"/>
    </row>
    <row r="2724" spans="9:9" x14ac:dyDescent="0.15">
      <c r="I2724" s="18"/>
    </row>
    <row r="2725" spans="9:9" x14ac:dyDescent="0.15">
      <c r="I2725" s="18"/>
    </row>
    <row r="2726" spans="9:9" x14ac:dyDescent="0.15">
      <c r="I2726" s="18"/>
    </row>
    <row r="2727" spans="9:9" x14ac:dyDescent="0.15">
      <c r="I2727" s="18"/>
    </row>
    <row r="2728" spans="9:9" x14ac:dyDescent="0.15">
      <c r="I2728" s="18"/>
    </row>
    <row r="2729" spans="9:9" x14ac:dyDescent="0.15">
      <c r="I2729" s="18"/>
    </row>
    <row r="2730" spans="9:9" x14ac:dyDescent="0.15">
      <c r="I2730" s="18"/>
    </row>
    <row r="2731" spans="9:9" x14ac:dyDescent="0.15">
      <c r="I2731" s="18"/>
    </row>
    <row r="2732" spans="9:9" x14ac:dyDescent="0.15">
      <c r="I2732" s="18"/>
    </row>
    <row r="2733" spans="9:9" x14ac:dyDescent="0.15">
      <c r="I2733" s="18"/>
    </row>
    <row r="2734" spans="9:9" x14ac:dyDescent="0.15">
      <c r="I2734" s="18"/>
    </row>
    <row r="2735" spans="9:9" x14ac:dyDescent="0.15">
      <c r="I2735" s="18"/>
    </row>
    <row r="2736" spans="9:9" x14ac:dyDescent="0.15">
      <c r="I2736" s="18"/>
    </row>
    <row r="2737" spans="9:9" x14ac:dyDescent="0.15">
      <c r="I2737" s="18"/>
    </row>
    <row r="2738" spans="9:9" x14ac:dyDescent="0.15">
      <c r="I2738" s="18"/>
    </row>
    <row r="2739" spans="9:9" x14ac:dyDescent="0.15">
      <c r="I2739" s="18"/>
    </row>
    <row r="2740" spans="9:9" x14ac:dyDescent="0.15">
      <c r="I2740" s="18"/>
    </row>
    <row r="2741" spans="9:9" x14ac:dyDescent="0.15">
      <c r="I2741" s="18"/>
    </row>
    <row r="2742" spans="9:9" x14ac:dyDescent="0.15">
      <c r="I2742" s="18"/>
    </row>
    <row r="2743" spans="9:9" x14ac:dyDescent="0.15">
      <c r="I2743" s="18"/>
    </row>
    <row r="2744" spans="9:9" x14ac:dyDescent="0.15">
      <c r="I2744" s="18"/>
    </row>
    <row r="2745" spans="9:9" x14ac:dyDescent="0.15">
      <c r="I2745" s="18"/>
    </row>
    <row r="2746" spans="9:9" x14ac:dyDescent="0.15">
      <c r="I2746" s="18"/>
    </row>
    <row r="2747" spans="9:9" x14ac:dyDescent="0.15">
      <c r="I2747" s="18"/>
    </row>
    <row r="2748" spans="9:9" x14ac:dyDescent="0.15">
      <c r="I2748" s="18"/>
    </row>
    <row r="2749" spans="9:9" x14ac:dyDescent="0.15">
      <c r="I2749" s="18"/>
    </row>
    <row r="2750" spans="9:9" x14ac:dyDescent="0.15">
      <c r="I2750" s="18"/>
    </row>
    <row r="2751" spans="9:9" x14ac:dyDescent="0.15">
      <c r="I2751" s="18"/>
    </row>
    <row r="2752" spans="9:9" x14ac:dyDescent="0.15">
      <c r="I2752" s="18"/>
    </row>
    <row r="2753" spans="9:9" x14ac:dyDescent="0.15">
      <c r="I2753" s="18"/>
    </row>
    <row r="2754" spans="9:9" x14ac:dyDescent="0.15">
      <c r="I2754" s="18"/>
    </row>
    <row r="2755" spans="9:9" x14ac:dyDescent="0.15">
      <c r="I2755" s="18"/>
    </row>
    <row r="2756" spans="9:9" x14ac:dyDescent="0.15">
      <c r="I2756" s="18"/>
    </row>
    <row r="2757" spans="9:9" x14ac:dyDescent="0.15">
      <c r="I2757" s="18"/>
    </row>
    <row r="2758" spans="9:9" x14ac:dyDescent="0.15">
      <c r="I2758" s="18"/>
    </row>
    <row r="2759" spans="9:9" x14ac:dyDescent="0.15">
      <c r="I2759" s="18"/>
    </row>
    <row r="2760" spans="9:9" x14ac:dyDescent="0.15">
      <c r="I2760" s="18"/>
    </row>
    <row r="2761" spans="9:9" x14ac:dyDescent="0.15">
      <c r="I2761" s="18"/>
    </row>
    <row r="2762" spans="9:9" x14ac:dyDescent="0.15">
      <c r="I2762" s="18"/>
    </row>
    <row r="2763" spans="9:9" x14ac:dyDescent="0.15">
      <c r="I2763" s="18"/>
    </row>
    <row r="2764" spans="9:9" x14ac:dyDescent="0.15">
      <c r="I2764" s="18"/>
    </row>
    <row r="2765" spans="9:9" x14ac:dyDescent="0.15">
      <c r="I2765" s="18"/>
    </row>
    <row r="2766" spans="9:9" x14ac:dyDescent="0.15">
      <c r="I2766" s="18"/>
    </row>
    <row r="2767" spans="9:9" x14ac:dyDescent="0.15">
      <c r="I2767" s="18"/>
    </row>
    <row r="2768" spans="9:9" x14ac:dyDescent="0.15">
      <c r="I2768" s="18"/>
    </row>
    <row r="2769" spans="9:9" x14ac:dyDescent="0.15">
      <c r="I2769" s="18"/>
    </row>
    <row r="2770" spans="9:9" x14ac:dyDescent="0.15">
      <c r="I2770" s="18"/>
    </row>
    <row r="2771" spans="9:9" x14ac:dyDescent="0.15">
      <c r="I2771" s="18"/>
    </row>
    <row r="2772" spans="9:9" x14ac:dyDescent="0.15">
      <c r="I2772" s="18"/>
    </row>
    <row r="2773" spans="9:9" x14ac:dyDescent="0.15">
      <c r="I2773" s="18"/>
    </row>
    <row r="2774" spans="9:9" x14ac:dyDescent="0.15">
      <c r="I2774" s="18"/>
    </row>
    <row r="2775" spans="9:9" x14ac:dyDescent="0.15">
      <c r="I2775" s="18"/>
    </row>
    <row r="2776" spans="9:9" x14ac:dyDescent="0.15">
      <c r="I2776" s="18"/>
    </row>
    <row r="2777" spans="9:9" x14ac:dyDescent="0.15">
      <c r="I2777" s="18"/>
    </row>
    <row r="2778" spans="9:9" x14ac:dyDescent="0.15">
      <c r="I2778" s="18"/>
    </row>
    <row r="2779" spans="9:9" x14ac:dyDescent="0.15">
      <c r="I2779" s="18"/>
    </row>
    <row r="2780" spans="9:9" x14ac:dyDescent="0.15">
      <c r="I2780" s="18"/>
    </row>
    <row r="2781" spans="9:9" x14ac:dyDescent="0.15">
      <c r="I2781" s="18"/>
    </row>
    <row r="2782" spans="9:9" x14ac:dyDescent="0.15">
      <c r="I2782" s="18"/>
    </row>
    <row r="2783" spans="9:9" x14ac:dyDescent="0.15">
      <c r="I2783" s="18"/>
    </row>
    <row r="2784" spans="9:9" x14ac:dyDescent="0.15">
      <c r="I2784" s="18"/>
    </row>
    <row r="2785" spans="9:9" x14ac:dyDescent="0.15">
      <c r="I2785" s="18"/>
    </row>
    <row r="2786" spans="9:9" x14ac:dyDescent="0.15">
      <c r="I2786" s="18"/>
    </row>
    <row r="2787" spans="9:9" x14ac:dyDescent="0.15">
      <c r="I2787" s="18"/>
    </row>
    <row r="2788" spans="9:9" x14ac:dyDescent="0.15">
      <c r="I2788" s="18"/>
    </row>
    <row r="2789" spans="9:9" x14ac:dyDescent="0.15">
      <c r="I2789" s="18"/>
    </row>
    <row r="2790" spans="9:9" x14ac:dyDescent="0.15">
      <c r="I2790" s="18"/>
    </row>
    <row r="2791" spans="9:9" x14ac:dyDescent="0.15">
      <c r="I2791" s="18"/>
    </row>
    <row r="2792" spans="9:9" x14ac:dyDescent="0.15">
      <c r="I2792" s="18"/>
    </row>
    <row r="2793" spans="9:9" x14ac:dyDescent="0.15">
      <c r="I2793" s="18"/>
    </row>
    <row r="2794" spans="9:9" x14ac:dyDescent="0.15">
      <c r="I2794" s="18"/>
    </row>
    <row r="2795" spans="9:9" x14ac:dyDescent="0.15">
      <c r="I2795" s="18"/>
    </row>
    <row r="2796" spans="9:9" x14ac:dyDescent="0.15">
      <c r="I2796" s="18"/>
    </row>
    <row r="2797" spans="9:9" x14ac:dyDescent="0.15">
      <c r="I2797" s="18"/>
    </row>
    <row r="2798" spans="9:9" x14ac:dyDescent="0.15">
      <c r="I2798" s="18"/>
    </row>
    <row r="2799" spans="9:9" x14ac:dyDescent="0.15">
      <c r="I2799" s="18"/>
    </row>
    <row r="2800" spans="9:9" x14ac:dyDescent="0.15">
      <c r="I2800" s="18"/>
    </row>
    <row r="2801" spans="9:9" x14ac:dyDescent="0.15">
      <c r="I2801" s="18"/>
    </row>
    <row r="2802" spans="9:9" x14ac:dyDescent="0.15">
      <c r="I2802" s="18"/>
    </row>
    <row r="2803" spans="9:9" x14ac:dyDescent="0.15">
      <c r="I2803" s="18"/>
    </row>
    <row r="2804" spans="9:9" x14ac:dyDescent="0.15">
      <c r="I2804" s="18"/>
    </row>
    <row r="2805" spans="9:9" x14ac:dyDescent="0.15">
      <c r="I2805" s="18"/>
    </row>
    <row r="2806" spans="9:9" x14ac:dyDescent="0.15">
      <c r="I2806" s="18"/>
    </row>
    <row r="2807" spans="9:9" x14ac:dyDescent="0.15">
      <c r="I2807" s="18"/>
    </row>
    <row r="2808" spans="9:9" x14ac:dyDescent="0.15">
      <c r="I2808" s="18"/>
    </row>
    <row r="2809" spans="9:9" x14ac:dyDescent="0.15">
      <c r="I2809" s="18"/>
    </row>
    <row r="2810" spans="9:9" x14ac:dyDescent="0.15">
      <c r="I2810" s="18"/>
    </row>
    <row r="2811" spans="9:9" x14ac:dyDescent="0.15">
      <c r="I2811" s="18"/>
    </row>
    <row r="2812" spans="9:9" x14ac:dyDescent="0.15">
      <c r="I2812" s="18"/>
    </row>
    <row r="2813" spans="9:9" x14ac:dyDescent="0.15">
      <c r="I2813" s="18"/>
    </row>
    <row r="2814" spans="9:9" x14ac:dyDescent="0.15">
      <c r="I2814" s="18"/>
    </row>
    <row r="2815" spans="9:9" x14ac:dyDescent="0.15">
      <c r="I2815" s="18"/>
    </row>
    <row r="2816" spans="9:9" x14ac:dyDescent="0.15">
      <c r="I2816" s="18"/>
    </row>
    <row r="2817" spans="9:9" x14ac:dyDescent="0.15">
      <c r="I2817" s="18"/>
    </row>
    <row r="2818" spans="9:9" x14ac:dyDescent="0.15">
      <c r="I2818" s="18"/>
    </row>
    <row r="2819" spans="9:9" x14ac:dyDescent="0.15">
      <c r="I2819" s="18"/>
    </row>
    <row r="2820" spans="9:9" x14ac:dyDescent="0.15">
      <c r="I2820" s="18"/>
    </row>
    <row r="2821" spans="9:9" x14ac:dyDescent="0.15">
      <c r="I2821" s="18"/>
    </row>
    <row r="2822" spans="9:9" x14ac:dyDescent="0.15">
      <c r="I2822" s="18"/>
    </row>
    <row r="2823" spans="9:9" x14ac:dyDescent="0.15">
      <c r="I2823" s="18"/>
    </row>
    <row r="2824" spans="9:9" x14ac:dyDescent="0.15">
      <c r="I2824" s="18"/>
    </row>
    <row r="2825" spans="9:9" x14ac:dyDescent="0.15">
      <c r="I2825" s="18"/>
    </row>
    <row r="2826" spans="9:9" x14ac:dyDescent="0.15">
      <c r="I2826" s="18"/>
    </row>
    <row r="2827" spans="9:9" x14ac:dyDescent="0.15">
      <c r="I2827" s="18"/>
    </row>
    <row r="2828" spans="9:9" x14ac:dyDescent="0.15">
      <c r="I2828" s="18"/>
    </row>
    <row r="2829" spans="9:9" x14ac:dyDescent="0.15">
      <c r="I2829" s="18"/>
    </row>
    <row r="2830" spans="9:9" x14ac:dyDescent="0.15">
      <c r="I2830" s="18"/>
    </row>
    <row r="2831" spans="9:9" x14ac:dyDescent="0.15">
      <c r="I2831" s="18"/>
    </row>
    <row r="2832" spans="9:9" x14ac:dyDescent="0.15">
      <c r="I2832" s="18"/>
    </row>
    <row r="2833" spans="9:9" x14ac:dyDescent="0.15">
      <c r="I2833" s="18"/>
    </row>
    <row r="2834" spans="9:9" x14ac:dyDescent="0.15">
      <c r="I2834" s="18"/>
    </row>
    <row r="2835" spans="9:9" x14ac:dyDescent="0.15">
      <c r="I2835" s="18"/>
    </row>
    <row r="2836" spans="9:9" x14ac:dyDescent="0.15">
      <c r="I2836" s="18"/>
    </row>
    <row r="2837" spans="9:9" x14ac:dyDescent="0.15">
      <c r="I2837" s="18"/>
    </row>
    <row r="2838" spans="9:9" x14ac:dyDescent="0.15">
      <c r="I2838" s="18"/>
    </row>
    <row r="2839" spans="9:9" x14ac:dyDescent="0.15">
      <c r="I2839" s="18"/>
    </row>
    <row r="2840" spans="9:9" x14ac:dyDescent="0.15">
      <c r="I2840" s="18"/>
    </row>
    <row r="2841" spans="9:9" x14ac:dyDescent="0.15">
      <c r="I2841" s="18"/>
    </row>
    <row r="2842" spans="9:9" x14ac:dyDescent="0.15">
      <c r="I2842" s="18"/>
    </row>
    <row r="2843" spans="9:9" x14ac:dyDescent="0.15">
      <c r="I2843" s="18"/>
    </row>
    <row r="2844" spans="9:9" x14ac:dyDescent="0.15">
      <c r="I2844" s="18"/>
    </row>
    <row r="2845" spans="9:9" x14ac:dyDescent="0.15">
      <c r="I2845" s="18"/>
    </row>
    <row r="2846" spans="9:9" x14ac:dyDescent="0.15">
      <c r="I2846" s="18"/>
    </row>
    <row r="2847" spans="9:9" x14ac:dyDescent="0.15">
      <c r="I2847" s="18"/>
    </row>
    <row r="2848" spans="9:9" x14ac:dyDescent="0.15">
      <c r="I2848" s="18"/>
    </row>
    <row r="2849" spans="9:9" x14ac:dyDescent="0.15">
      <c r="I2849" s="18"/>
    </row>
    <row r="2850" spans="9:9" x14ac:dyDescent="0.15">
      <c r="I2850" s="18"/>
    </row>
    <row r="2851" spans="9:9" x14ac:dyDescent="0.15">
      <c r="I2851" s="18"/>
    </row>
    <row r="2852" spans="9:9" x14ac:dyDescent="0.15">
      <c r="I2852" s="18"/>
    </row>
    <row r="2853" spans="9:9" x14ac:dyDescent="0.15">
      <c r="I2853" s="18"/>
    </row>
    <row r="2854" spans="9:9" x14ac:dyDescent="0.15">
      <c r="I2854" s="18"/>
    </row>
    <row r="2855" spans="9:9" x14ac:dyDescent="0.15">
      <c r="I2855" s="18"/>
    </row>
    <row r="2856" spans="9:9" x14ac:dyDescent="0.15">
      <c r="I2856" s="18"/>
    </row>
    <row r="2857" spans="9:9" x14ac:dyDescent="0.15">
      <c r="I2857" s="18"/>
    </row>
    <row r="2858" spans="9:9" x14ac:dyDescent="0.15">
      <c r="I2858" s="18"/>
    </row>
    <row r="2859" spans="9:9" x14ac:dyDescent="0.15">
      <c r="I2859" s="18"/>
    </row>
    <row r="2860" spans="9:9" x14ac:dyDescent="0.15">
      <c r="I2860" s="18"/>
    </row>
    <row r="2861" spans="9:9" x14ac:dyDescent="0.15">
      <c r="I2861" s="18"/>
    </row>
    <row r="2862" spans="9:9" x14ac:dyDescent="0.15">
      <c r="I2862" s="18"/>
    </row>
    <row r="2863" spans="9:9" x14ac:dyDescent="0.15">
      <c r="I2863" s="18"/>
    </row>
    <row r="2864" spans="9:9" x14ac:dyDescent="0.15">
      <c r="I2864" s="18"/>
    </row>
    <row r="2865" spans="9:9" x14ac:dyDescent="0.15">
      <c r="I2865" s="18"/>
    </row>
    <row r="2866" spans="9:9" x14ac:dyDescent="0.15">
      <c r="I2866" s="18"/>
    </row>
    <row r="2867" spans="9:9" x14ac:dyDescent="0.15">
      <c r="I2867" s="18"/>
    </row>
    <row r="2868" spans="9:9" x14ac:dyDescent="0.15">
      <c r="I2868" s="18"/>
    </row>
    <row r="2869" spans="9:9" x14ac:dyDescent="0.15">
      <c r="I2869" s="18"/>
    </row>
    <row r="2870" spans="9:9" x14ac:dyDescent="0.15">
      <c r="I2870" s="18"/>
    </row>
    <row r="2871" spans="9:9" x14ac:dyDescent="0.15">
      <c r="I2871" s="18"/>
    </row>
    <row r="2872" spans="9:9" x14ac:dyDescent="0.15">
      <c r="I2872" s="18"/>
    </row>
    <row r="2873" spans="9:9" x14ac:dyDescent="0.15">
      <c r="I2873" s="18"/>
    </row>
    <row r="2874" spans="9:9" x14ac:dyDescent="0.15">
      <c r="I2874" s="18"/>
    </row>
    <row r="2875" spans="9:9" x14ac:dyDescent="0.15">
      <c r="I2875" s="18"/>
    </row>
    <row r="2876" spans="9:9" x14ac:dyDescent="0.15">
      <c r="I2876" s="18"/>
    </row>
    <row r="2877" spans="9:9" x14ac:dyDescent="0.15">
      <c r="I2877" s="18"/>
    </row>
    <row r="2878" spans="9:9" x14ac:dyDescent="0.15">
      <c r="I2878" s="18"/>
    </row>
    <row r="2879" spans="9:9" x14ac:dyDescent="0.15">
      <c r="I2879" s="18"/>
    </row>
    <row r="2880" spans="9:9" x14ac:dyDescent="0.15">
      <c r="I2880" s="18"/>
    </row>
    <row r="2881" spans="9:9" x14ac:dyDescent="0.15">
      <c r="I2881" s="18"/>
    </row>
    <row r="2882" spans="9:9" x14ac:dyDescent="0.15">
      <c r="I2882" s="18"/>
    </row>
    <row r="2883" spans="9:9" x14ac:dyDescent="0.15">
      <c r="I2883" s="18"/>
    </row>
    <row r="2884" spans="9:9" x14ac:dyDescent="0.15">
      <c r="I2884" s="18"/>
    </row>
    <row r="2885" spans="9:9" x14ac:dyDescent="0.15">
      <c r="I2885" s="18"/>
    </row>
    <row r="2886" spans="9:9" x14ac:dyDescent="0.15">
      <c r="I2886" s="18"/>
    </row>
    <row r="2887" spans="9:9" x14ac:dyDescent="0.15">
      <c r="I2887" s="18"/>
    </row>
    <row r="2888" spans="9:9" x14ac:dyDescent="0.15">
      <c r="I2888" s="18"/>
    </row>
    <row r="2889" spans="9:9" x14ac:dyDescent="0.15">
      <c r="I2889" s="18"/>
    </row>
    <row r="2890" spans="9:9" x14ac:dyDescent="0.15">
      <c r="I2890" s="18"/>
    </row>
    <row r="2891" spans="9:9" x14ac:dyDescent="0.15">
      <c r="I2891" s="18"/>
    </row>
    <row r="2892" spans="9:9" x14ac:dyDescent="0.15">
      <c r="I2892" s="18"/>
    </row>
    <row r="2893" spans="9:9" x14ac:dyDescent="0.15">
      <c r="I2893" s="18"/>
    </row>
    <row r="2894" spans="9:9" x14ac:dyDescent="0.15">
      <c r="I2894" s="18"/>
    </row>
    <row r="2895" spans="9:9" x14ac:dyDescent="0.15">
      <c r="I2895" s="18"/>
    </row>
    <row r="2896" spans="9:9" x14ac:dyDescent="0.15">
      <c r="I2896" s="18"/>
    </row>
    <row r="2897" spans="9:9" x14ac:dyDescent="0.15">
      <c r="I2897" s="18"/>
    </row>
    <row r="2898" spans="9:9" x14ac:dyDescent="0.15">
      <c r="I2898" s="18"/>
    </row>
    <row r="2899" spans="9:9" x14ac:dyDescent="0.15">
      <c r="I2899" s="18"/>
    </row>
    <row r="2900" spans="9:9" x14ac:dyDescent="0.15">
      <c r="I2900" s="18"/>
    </row>
    <row r="2901" spans="9:9" x14ac:dyDescent="0.15">
      <c r="I2901" s="18"/>
    </row>
    <row r="2902" spans="9:9" x14ac:dyDescent="0.15">
      <c r="I2902" s="18"/>
    </row>
    <row r="2903" spans="9:9" x14ac:dyDescent="0.15">
      <c r="I2903" s="18"/>
    </row>
    <row r="2904" spans="9:9" x14ac:dyDescent="0.15">
      <c r="I2904" s="18"/>
    </row>
    <row r="2905" spans="9:9" x14ac:dyDescent="0.15">
      <c r="I2905" s="18"/>
    </row>
    <row r="2906" spans="9:9" x14ac:dyDescent="0.15">
      <c r="I2906" s="18"/>
    </row>
    <row r="2907" spans="9:9" x14ac:dyDescent="0.15">
      <c r="I2907" s="18"/>
    </row>
    <row r="2908" spans="9:9" x14ac:dyDescent="0.15">
      <c r="I2908" s="18"/>
    </row>
    <row r="2909" spans="9:9" x14ac:dyDescent="0.15">
      <c r="I2909" s="18"/>
    </row>
    <row r="2910" spans="9:9" x14ac:dyDescent="0.15">
      <c r="I2910" s="18"/>
    </row>
    <row r="2911" spans="9:9" x14ac:dyDescent="0.15">
      <c r="I2911" s="18"/>
    </row>
    <row r="2912" spans="9:9" x14ac:dyDescent="0.15">
      <c r="I2912" s="18"/>
    </row>
    <row r="2913" spans="9:9" x14ac:dyDescent="0.15">
      <c r="I2913" s="18"/>
    </row>
    <row r="2914" spans="9:9" x14ac:dyDescent="0.15">
      <c r="I2914" s="18"/>
    </row>
    <row r="2915" spans="9:9" x14ac:dyDescent="0.15">
      <c r="I2915" s="18"/>
    </row>
    <row r="2916" spans="9:9" x14ac:dyDescent="0.15">
      <c r="I2916" s="18"/>
    </row>
    <row r="2917" spans="9:9" x14ac:dyDescent="0.15">
      <c r="I2917" s="18"/>
    </row>
    <row r="2918" spans="9:9" x14ac:dyDescent="0.15">
      <c r="I2918" s="18"/>
    </row>
    <row r="2919" spans="9:9" x14ac:dyDescent="0.15">
      <c r="I2919" s="18"/>
    </row>
    <row r="2920" spans="9:9" x14ac:dyDescent="0.15">
      <c r="I2920" s="18"/>
    </row>
    <row r="2921" spans="9:9" x14ac:dyDescent="0.15">
      <c r="I2921" s="18"/>
    </row>
    <row r="2922" spans="9:9" x14ac:dyDescent="0.15">
      <c r="I2922" s="18"/>
    </row>
    <row r="2923" spans="9:9" x14ac:dyDescent="0.15">
      <c r="I2923" s="18"/>
    </row>
    <row r="2924" spans="9:9" x14ac:dyDescent="0.15">
      <c r="I2924" s="18"/>
    </row>
    <row r="2925" spans="9:9" x14ac:dyDescent="0.15">
      <c r="I2925" s="18"/>
    </row>
    <row r="2926" spans="9:9" x14ac:dyDescent="0.15">
      <c r="I2926" s="18"/>
    </row>
    <row r="2927" spans="9:9" x14ac:dyDescent="0.15">
      <c r="I2927" s="18"/>
    </row>
    <row r="2928" spans="9:9" x14ac:dyDescent="0.15">
      <c r="I2928" s="18"/>
    </row>
    <row r="2929" spans="9:9" x14ac:dyDescent="0.15">
      <c r="I2929" s="18"/>
    </row>
    <row r="2930" spans="9:9" x14ac:dyDescent="0.15">
      <c r="I2930" s="18"/>
    </row>
    <row r="2931" spans="9:9" x14ac:dyDescent="0.15">
      <c r="I2931" s="18"/>
    </row>
    <row r="2932" spans="9:9" x14ac:dyDescent="0.15">
      <c r="I2932" s="18"/>
    </row>
    <row r="2933" spans="9:9" x14ac:dyDescent="0.15">
      <c r="I2933" s="18"/>
    </row>
    <row r="2934" spans="9:9" x14ac:dyDescent="0.15">
      <c r="I2934" s="18"/>
    </row>
    <row r="2935" spans="9:9" x14ac:dyDescent="0.15">
      <c r="I2935" s="18"/>
    </row>
    <row r="2936" spans="9:9" x14ac:dyDescent="0.15">
      <c r="I2936" s="18"/>
    </row>
    <row r="2937" spans="9:9" x14ac:dyDescent="0.15">
      <c r="I2937" s="18"/>
    </row>
    <row r="2938" spans="9:9" x14ac:dyDescent="0.15">
      <c r="I2938" s="18"/>
    </row>
    <row r="2939" spans="9:9" x14ac:dyDescent="0.15">
      <c r="I2939" s="18"/>
    </row>
    <row r="2940" spans="9:9" x14ac:dyDescent="0.15">
      <c r="I2940" s="18"/>
    </row>
    <row r="2941" spans="9:9" x14ac:dyDescent="0.15">
      <c r="I2941" s="18"/>
    </row>
    <row r="2942" spans="9:9" x14ac:dyDescent="0.15">
      <c r="I2942" s="18"/>
    </row>
    <row r="2943" spans="9:9" x14ac:dyDescent="0.15">
      <c r="I2943" s="18"/>
    </row>
    <row r="2944" spans="9:9" x14ac:dyDescent="0.15">
      <c r="I2944" s="18"/>
    </row>
    <row r="2945" spans="9:9" x14ac:dyDescent="0.15">
      <c r="I2945" s="18"/>
    </row>
    <row r="2946" spans="9:9" x14ac:dyDescent="0.15">
      <c r="I2946" s="18"/>
    </row>
    <row r="2947" spans="9:9" x14ac:dyDescent="0.15">
      <c r="I2947" s="18"/>
    </row>
    <row r="2948" spans="9:9" x14ac:dyDescent="0.15">
      <c r="I2948" s="18"/>
    </row>
    <row r="2949" spans="9:9" x14ac:dyDescent="0.15">
      <c r="I2949" s="18"/>
    </row>
    <row r="2950" spans="9:9" x14ac:dyDescent="0.15">
      <c r="I2950" s="18"/>
    </row>
    <row r="2951" spans="9:9" x14ac:dyDescent="0.15">
      <c r="I2951" s="18"/>
    </row>
    <row r="2952" spans="9:9" x14ac:dyDescent="0.15">
      <c r="I2952" s="18"/>
    </row>
    <row r="2953" spans="9:9" x14ac:dyDescent="0.15">
      <c r="I2953" s="18"/>
    </row>
    <row r="2954" spans="9:9" x14ac:dyDescent="0.15">
      <c r="I2954" s="18"/>
    </row>
    <row r="2955" spans="9:9" x14ac:dyDescent="0.15">
      <c r="I2955" s="18"/>
    </row>
    <row r="2956" spans="9:9" x14ac:dyDescent="0.15">
      <c r="I2956" s="18"/>
    </row>
    <row r="2957" spans="9:9" x14ac:dyDescent="0.15">
      <c r="I2957" s="18"/>
    </row>
    <row r="2958" spans="9:9" x14ac:dyDescent="0.15">
      <c r="I2958" s="18"/>
    </row>
    <row r="2959" spans="9:9" x14ac:dyDescent="0.15">
      <c r="I2959" s="18"/>
    </row>
    <row r="2960" spans="9:9" x14ac:dyDescent="0.15">
      <c r="I2960" s="18"/>
    </row>
    <row r="2961" spans="9:9" x14ac:dyDescent="0.15">
      <c r="I2961" s="18"/>
    </row>
    <row r="2962" spans="9:9" x14ac:dyDescent="0.15">
      <c r="I2962" s="18"/>
    </row>
    <row r="2963" spans="9:9" x14ac:dyDescent="0.15">
      <c r="I2963" s="18"/>
    </row>
    <row r="2964" spans="9:9" x14ac:dyDescent="0.15">
      <c r="I2964" s="18"/>
    </row>
    <row r="2965" spans="9:9" x14ac:dyDescent="0.15">
      <c r="I2965" s="18"/>
    </row>
    <row r="2966" spans="9:9" x14ac:dyDescent="0.15">
      <c r="I2966" s="18"/>
    </row>
    <row r="2967" spans="9:9" x14ac:dyDescent="0.15">
      <c r="I2967" s="18"/>
    </row>
    <row r="2968" spans="9:9" x14ac:dyDescent="0.15">
      <c r="I2968" s="18"/>
    </row>
    <row r="2969" spans="9:9" x14ac:dyDescent="0.15">
      <c r="I2969" s="18"/>
    </row>
    <row r="2970" spans="9:9" x14ac:dyDescent="0.15">
      <c r="I2970" s="18"/>
    </row>
    <row r="2971" spans="9:9" x14ac:dyDescent="0.15">
      <c r="I2971" s="18"/>
    </row>
    <row r="2972" spans="9:9" x14ac:dyDescent="0.15">
      <c r="I2972" s="18"/>
    </row>
    <row r="2973" spans="9:9" x14ac:dyDescent="0.15">
      <c r="I2973" s="18"/>
    </row>
    <row r="2974" spans="9:9" x14ac:dyDescent="0.15">
      <c r="I2974" s="18"/>
    </row>
    <row r="2975" spans="9:9" x14ac:dyDescent="0.15">
      <c r="I2975" s="18"/>
    </row>
    <row r="2976" spans="9:9" x14ac:dyDescent="0.15">
      <c r="I2976" s="18"/>
    </row>
    <row r="2977" spans="9:9" x14ac:dyDescent="0.15">
      <c r="I2977" s="18"/>
    </row>
    <row r="2978" spans="9:9" x14ac:dyDescent="0.15">
      <c r="I2978" s="18"/>
    </row>
    <row r="2979" spans="9:9" x14ac:dyDescent="0.15">
      <c r="I2979" s="18"/>
    </row>
    <row r="2980" spans="9:9" x14ac:dyDescent="0.15">
      <c r="I2980" s="18"/>
    </row>
    <row r="2981" spans="9:9" x14ac:dyDescent="0.15">
      <c r="I2981" s="18"/>
    </row>
    <row r="2982" spans="9:9" x14ac:dyDescent="0.15">
      <c r="I2982" s="18"/>
    </row>
    <row r="2983" spans="9:9" x14ac:dyDescent="0.15">
      <c r="I2983" s="18"/>
    </row>
    <row r="2984" spans="9:9" x14ac:dyDescent="0.15">
      <c r="I2984" s="18"/>
    </row>
    <row r="2985" spans="9:9" x14ac:dyDescent="0.15">
      <c r="I2985" s="18"/>
    </row>
    <row r="2986" spans="9:9" x14ac:dyDescent="0.15">
      <c r="I2986" s="18"/>
    </row>
    <row r="2987" spans="9:9" x14ac:dyDescent="0.15">
      <c r="I2987" s="18"/>
    </row>
    <row r="2988" spans="9:9" x14ac:dyDescent="0.15">
      <c r="I2988" s="18"/>
    </row>
    <row r="2989" spans="9:9" x14ac:dyDescent="0.15">
      <c r="I2989" s="18"/>
    </row>
    <row r="2990" spans="9:9" x14ac:dyDescent="0.15">
      <c r="I2990" s="18"/>
    </row>
    <row r="2991" spans="9:9" x14ac:dyDescent="0.15">
      <c r="I2991" s="18"/>
    </row>
    <row r="2992" spans="9:9" x14ac:dyDescent="0.15">
      <c r="I2992" s="18"/>
    </row>
    <row r="2993" spans="9:9" x14ac:dyDescent="0.15">
      <c r="I2993" s="18"/>
    </row>
    <row r="2994" spans="9:9" x14ac:dyDescent="0.15">
      <c r="I2994" s="18"/>
    </row>
    <row r="2995" spans="9:9" x14ac:dyDescent="0.15">
      <c r="I2995" s="18"/>
    </row>
    <row r="2996" spans="9:9" x14ac:dyDescent="0.15">
      <c r="I2996" s="18"/>
    </row>
    <row r="2997" spans="9:9" x14ac:dyDescent="0.15">
      <c r="I2997" s="18"/>
    </row>
    <row r="2998" spans="9:9" x14ac:dyDescent="0.15">
      <c r="I2998" s="18"/>
    </row>
    <row r="2999" spans="9:9" x14ac:dyDescent="0.15">
      <c r="I2999" s="18"/>
    </row>
  </sheetData>
  <autoFilter ref="A1:AR33">
    <sortState ref="A2:AR33">
      <sortCondition ref="A1:A33"/>
    </sortState>
  </autoFilter>
  <conditionalFormatting sqref="A2:A33">
    <cfRule type="duplicateValues" dxfId="16" priority="6"/>
  </conditionalFormatting>
  <conditionalFormatting sqref="L2:L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4:I2999 F57:F73">
    <cfRule type="expression" dxfId="15" priority="2">
      <formula>$N57:$N3044&lt;&gt;"Active"</formula>
    </cfRule>
    <cfRule type="expression" dxfId="14" priority="3">
      <formula>$N57:$N3044&lt;&gt;"Active"</formula>
    </cfRule>
    <cfRule type="expression" dxfId="13" priority="4">
      <formula>$N57:$N3044&lt;&gt;"Active"</formula>
    </cfRule>
  </conditionalFormatting>
  <conditionalFormatting sqref="I2:I33">
    <cfRule type="duplicateValues" dxfId="12" priority="1"/>
  </conditionalFormatting>
  <conditionalFormatting sqref="G55:G56 I34:I54">
    <cfRule type="expression" dxfId="11" priority="7">
      <formula>$N34:$N3020&lt;&gt;"Active"</formula>
    </cfRule>
    <cfRule type="expression" dxfId="10" priority="8">
      <formula>$N34:$N3020&lt;&gt;"Active"</formula>
    </cfRule>
    <cfRule type="expression" dxfId="9" priority="9">
      <formula>$N34:$N3020&lt;&gt;"Active"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33"/>
  <sheetViews>
    <sheetView workbookViewId="0">
      <pane xSplit="1" topLeftCell="B1" activePane="topRight" state="frozen"/>
      <selection activeCell="G20" sqref="G20"/>
      <selection pane="topRight" activeCell="G20" sqref="G20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31" s="26" customFormat="1" ht="48" customHeight="1" x14ac:dyDescent="0.15">
      <c r="A1" s="21" t="s">
        <v>1</v>
      </c>
      <c r="B1" s="22" t="s">
        <v>144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24" t="s">
        <v>8</v>
      </c>
      <c r="U1" s="24" t="s">
        <v>168</v>
      </c>
      <c r="V1" s="24" t="s">
        <v>169</v>
      </c>
      <c r="W1" s="25" t="s">
        <v>170</v>
      </c>
      <c r="X1" s="26" t="s">
        <v>28</v>
      </c>
    </row>
    <row r="2" spans="1:31" ht="14.1" customHeight="1" x14ac:dyDescent="0.15">
      <c r="A2" s="5" t="s">
        <v>41</v>
      </c>
      <c r="B2" s="5">
        <v>23</v>
      </c>
      <c r="C2" s="5">
        <v>20</v>
      </c>
      <c r="D2" s="5">
        <v>14</v>
      </c>
      <c r="E2" s="27">
        <v>5</v>
      </c>
      <c r="F2" s="27">
        <v>5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 t="shared" ref="T2:T33" si="0">AVERAGE(B2:S2)</f>
        <v>13.4</v>
      </c>
      <c r="U2" s="27">
        <f t="shared" ref="U2:U33" si="1">MINA(B2:S2)</f>
        <v>5</v>
      </c>
      <c r="V2" s="27">
        <f t="shared" ref="V2:V33" si="2">MAXA(B2:S2)</f>
        <v>23</v>
      </c>
      <c r="W2" s="27">
        <f t="shared" ref="W2:W33" si="3">V2-U2</f>
        <v>18</v>
      </c>
      <c r="X2" s="28"/>
      <c r="AE2" s="29">
        <f>AC2-AD2</f>
        <v>0</v>
      </c>
    </row>
    <row r="3" spans="1:31" ht="14.1" customHeight="1" x14ac:dyDescent="0.15">
      <c r="A3" s="5" t="s">
        <v>63</v>
      </c>
      <c r="B3" s="5">
        <v>30</v>
      </c>
      <c r="C3" s="5">
        <v>28</v>
      </c>
      <c r="D3" s="5">
        <v>30</v>
      </c>
      <c r="E3" s="27">
        <v>22</v>
      </c>
      <c r="F3" s="27">
        <v>13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 t="shared" si="0"/>
        <v>24.6</v>
      </c>
      <c r="U3" s="27">
        <f t="shared" si="1"/>
        <v>13</v>
      </c>
      <c r="V3" s="27">
        <f t="shared" si="2"/>
        <v>30</v>
      </c>
      <c r="W3" s="27">
        <f t="shared" si="3"/>
        <v>17</v>
      </c>
      <c r="X3" s="28"/>
      <c r="AE3" s="29">
        <f t="shared" ref="AE3:AE8" si="4">AC3-AD3</f>
        <v>0</v>
      </c>
    </row>
    <row r="4" spans="1:31" ht="14.1" customHeight="1" x14ac:dyDescent="0.15">
      <c r="A4" s="5" t="s">
        <v>91</v>
      </c>
      <c r="B4" s="5">
        <v>13</v>
      </c>
      <c r="C4" s="5">
        <v>14</v>
      </c>
      <c r="D4" s="5">
        <v>23</v>
      </c>
      <c r="E4" s="27">
        <v>28</v>
      </c>
      <c r="F4" s="27">
        <v>28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 t="shared" si="0"/>
        <v>21.2</v>
      </c>
      <c r="U4" s="27">
        <f t="shared" si="1"/>
        <v>13</v>
      </c>
      <c r="V4" s="27">
        <f t="shared" si="2"/>
        <v>28</v>
      </c>
      <c r="W4" s="27">
        <f t="shared" si="3"/>
        <v>15</v>
      </c>
      <c r="X4" s="28"/>
      <c r="AE4" s="29">
        <f t="shared" si="4"/>
        <v>0</v>
      </c>
    </row>
    <row r="5" spans="1:31" ht="14.1" customHeight="1" x14ac:dyDescent="0.15">
      <c r="A5" s="5" t="s">
        <v>89</v>
      </c>
      <c r="B5" s="5">
        <v>15</v>
      </c>
      <c r="C5" s="5">
        <v>18</v>
      </c>
      <c r="D5" s="5">
        <v>29</v>
      </c>
      <c r="E5" s="27">
        <v>26</v>
      </c>
      <c r="F5" s="27">
        <v>27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 t="shared" si="0"/>
        <v>23</v>
      </c>
      <c r="U5" s="27">
        <f t="shared" si="1"/>
        <v>15</v>
      </c>
      <c r="V5" s="27">
        <f t="shared" si="2"/>
        <v>29</v>
      </c>
      <c r="W5" s="27">
        <f t="shared" si="3"/>
        <v>14</v>
      </c>
      <c r="X5" s="28"/>
      <c r="AE5" s="29">
        <f t="shared" si="4"/>
        <v>0</v>
      </c>
    </row>
    <row r="6" spans="1:31" ht="14.1" customHeight="1" x14ac:dyDescent="0.15">
      <c r="A6" s="5" t="s">
        <v>69</v>
      </c>
      <c r="B6" s="5">
        <v>14</v>
      </c>
      <c r="C6" s="5">
        <v>22</v>
      </c>
      <c r="D6" s="5">
        <v>15</v>
      </c>
      <c r="E6" s="27">
        <v>9</v>
      </c>
      <c r="F6" s="27">
        <v>15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 t="shared" si="0"/>
        <v>15</v>
      </c>
      <c r="U6" s="27">
        <f t="shared" si="1"/>
        <v>9</v>
      </c>
      <c r="V6" s="27">
        <f t="shared" si="2"/>
        <v>22</v>
      </c>
      <c r="W6" s="27">
        <f t="shared" si="3"/>
        <v>13</v>
      </c>
      <c r="X6" s="28"/>
      <c r="AE6" s="29">
        <f t="shared" si="4"/>
        <v>0</v>
      </c>
    </row>
    <row r="7" spans="1:31" ht="14.1" customHeight="1" x14ac:dyDescent="0.15">
      <c r="A7" s="5" t="s">
        <v>75</v>
      </c>
      <c r="B7" s="5">
        <v>10</v>
      </c>
      <c r="C7" s="5">
        <v>10</v>
      </c>
      <c r="D7" s="5">
        <v>11</v>
      </c>
      <c r="E7" s="27">
        <v>17</v>
      </c>
      <c r="F7" s="27">
        <v>20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 t="shared" si="0"/>
        <v>13.6</v>
      </c>
      <c r="U7" s="27">
        <f t="shared" si="1"/>
        <v>10</v>
      </c>
      <c r="V7" s="27">
        <f t="shared" si="2"/>
        <v>20</v>
      </c>
      <c r="W7" s="27">
        <f t="shared" si="3"/>
        <v>10</v>
      </c>
      <c r="X7" s="28"/>
      <c r="AE7" s="29">
        <f t="shared" si="4"/>
        <v>0</v>
      </c>
    </row>
    <row r="8" spans="1:31" ht="14.1" customHeight="1" x14ac:dyDescent="0.15">
      <c r="A8" s="5" t="s">
        <v>32</v>
      </c>
      <c r="B8" s="5">
        <v>12</v>
      </c>
      <c r="C8" s="5">
        <v>6</v>
      </c>
      <c r="D8" s="5">
        <v>3</v>
      </c>
      <c r="E8" s="27">
        <v>2</v>
      </c>
      <c r="F8" s="27">
        <v>2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 t="shared" si="0"/>
        <v>5</v>
      </c>
      <c r="U8" s="27">
        <f t="shared" si="1"/>
        <v>2</v>
      </c>
      <c r="V8" s="27">
        <f t="shared" si="2"/>
        <v>12</v>
      </c>
      <c r="W8" s="27">
        <f t="shared" si="3"/>
        <v>10</v>
      </c>
      <c r="X8" s="28"/>
      <c r="AE8" s="29">
        <f t="shared" si="4"/>
        <v>0</v>
      </c>
    </row>
    <row r="9" spans="1:31" ht="14.1" customHeight="1" x14ac:dyDescent="0.15">
      <c r="A9" s="5" t="s">
        <v>73</v>
      </c>
      <c r="B9" s="5">
        <v>26</v>
      </c>
      <c r="C9" s="5">
        <v>27</v>
      </c>
      <c r="D9" s="5">
        <v>19</v>
      </c>
      <c r="E9" s="27">
        <v>21</v>
      </c>
      <c r="F9" s="27">
        <v>17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 t="shared" si="0"/>
        <v>22</v>
      </c>
      <c r="U9" s="27">
        <f t="shared" si="1"/>
        <v>17</v>
      </c>
      <c r="V9" s="27">
        <f t="shared" si="2"/>
        <v>27</v>
      </c>
      <c r="W9" s="27">
        <f t="shared" si="3"/>
        <v>10</v>
      </c>
      <c r="X9" s="28"/>
    </row>
    <row r="10" spans="1:31" ht="14.1" customHeight="1" x14ac:dyDescent="0.15">
      <c r="A10" s="5" t="s">
        <v>54</v>
      </c>
      <c r="B10" s="5">
        <v>3</v>
      </c>
      <c r="C10" s="5">
        <v>12</v>
      </c>
      <c r="D10" s="5">
        <v>9</v>
      </c>
      <c r="E10" s="27">
        <v>8</v>
      </c>
      <c r="F10" s="27">
        <v>10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 t="shared" si="0"/>
        <v>8.4</v>
      </c>
      <c r="U10" s="27">
        <f t="shared" si="1"/>
        <v>3</v>
      </c>
      <c r="V10" s="27">
        <f t="shared" si="2"/>
        <v>12</v>
      </c>
      <c r="W10" s="27">
        <f t="shared" si="3"/>
        <v>9</v>
      </c>
      <c r="X10" s="28"/>
    </row>
    <row r="11" spans="1:31" ht="14.1" customHeight="1" x14ac:dyDescent="0.15">
      <c r="A11" s="5" t="s">
        <v>71</v>
      </c>
      <c r="B11" s="5">
        <v>25</v>
      </c>
      <c r="C11" s="5">
        <v>16</v>
      </c>
      <c r="D11" s="5">
        <v>22</v>
      </c>
      <c r="E11" s="27">
        <v>23</v>
      </c>
      <c r="F11" s="27">
        <v>19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 t="shared" si="0"/>
        <v>21</v>
      </c>
      <c r="U11" s="27">
        <f t="shared" si="1"/>
        <v>16</v>
      </c>
      <c r="V11" s="27">
        <f t="shared" si="2"/>
        <v>25</v>
      </c>
      <c r="W11" s="27">
        <f t="shared" si="3"/>
        <v>9</v>
      </c>
      <c r="X11" s="28"/>
    </row>
    <row r="12" spans="1:31" ht="14.1" customHeight="1" x14ac:dyDescent="0.15">
      <c r="A12" s="5" t="s">
        <v>67</v>
      </c>
      <c r="B12" s="5">
        <v>8</v>
      </c>
      <c r="C12" s="5">
        <v>9</v>
      </c>
      <c r="D12" s="5">
        <v>8</v>
      </c>
      <c r="E12" s="27">
        <v>15</v>
      </c>
      <c r="F12" s="27">
        <v>16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 t="shared" si="0"/>
        <v>11.2</v>
      </c>
      <c r="U12" s="27">
        <f t="shared" si="1"/>
        <v>8</v>
      </c>
      <c r="V12" s="27">
        <f t="shared" si="2"/>
        <v>16</v>
      </c>
      <c r="W12" s="27">
        <f t="shared" si="3"/>
        <v>8</v>
      </c>
      <c r="X12" s="28"/>
    </row>
    <row r="13" spans="1:31" ht="14.1" customHeight="1" x14ac:dyDescent="0.15">
      <c r="A13" s="5" t="s">
        <v>56</v>
      </c>
      <c r="B13" s="5">
        <v>18</v>
      </c>
      <c r="C13" s="5">
        <v>15</v>
      </c>
      <c r="D13" s="5">
        <v>10</v>
      </c>
      <c r="E13" s="27">
        <v>16</v>
      </c>
      <c r="F13" s="27">
        <v>14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 t="shared" si="0"/>
        <v>14.6</v>
      </c>
      <c r="U13" s="27">
        <f t="shared" si="1"/>
        <v>10</v>
      </c>
      <c r="V13" s="27">
        <f t="shared" si="2"/>
        <v>18</v>
      </c>
      <c r="W13" s="27">
        <f t="shared" si="3"/>
        <v>8</v>
      </c>
      <c r="X13" s="28"/>
    </row>
    <row r="14" spans="1:31" ht="14.1" customHeight="1" x14ac:dyDescent="0.15">
      <c r="A14" s="5" t="s">
        <v>65</v>
      </c>
      <c r="B14" s="5">
        <v>17</v>
      </c>
      <c r="C14" s="5">
        <v>11</v>
      </c>
      <c r="D14" s="5">
        <v>16</v>
      </c>
      <c r="E14" s="27">
        <v>11</v>
      </c>
      <c r="F14" s="27">
        <v>18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 t="shared" si="0"/>
        <v>14.6</v>
      </c>
      <c r="U14" s="27">
        <f t="shared" si="1"/>
        <v>11</v>
      </c>
      <c r="V14" s="27">
        <f t="shared" si="2"/>
        <v>18</v>
      </c>
      <c r="W14" s="27">
        <f t="shared" si="3"/>
        <v>7</v>
      </c>
      <c r="X14" s="28"/>
    </row>
    <row r="15" spans="1:31" ht="14.1" customHeight="1" x14ac:dyDescent="0.15">
      <c r="A15" s="5" t="s">
        <v>59</v>
      </c>
      <c r="B15" s="5">
        <v>16</v>
      </c>
      <c r="C15" s="5">
        <v>19</v>
      </c>
      <c r="D15" s="5">
        <v>17</v>
      </c>
      <c r="E15" s="27">
        <v>14</v>
      </c>
      <c r="F15" s="27">
        <v>12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 t="shared" si="0"/>
        <v>15.6</v>
      </c>
      <c r="U15" s="27">
        <f t="shared" si="1"/>
        <v>12</v>
      </c>
      <c r="V15" s="27">
        <f t="shared" si="2"/>
        <v>19</v>
      </c>
      <c r="W15" s="27">
        <f t="shared" si="3"/>
        <v>7</v>
      </c>
      <c r="X15" s="28"/>
    </row>
    <row r="16" spans="1:31" ht="14.1" customHeight="1" x14ac:dyDescent="0.15">
      <c r="A16" s="5" t="s">
        <v>46</v>
      </c>
      <c r="B16" s="5">
        <v>7</v>
      </c>
      <c r="C16" s="5">
        <v>13</v>
      </c>
      <c r="D16" s="5">
        <v>6</v>
      </c>
      <c r="E16" s="27">
        <v>10</v>
      </c>
      <c r="F16" s="27">
        <v>8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 t="shared" si="0"/>
        <v>8.8000000000000007</v>
      </c>
      <c r="U16" s="27">
        <f t="shared" si="1"/>
        <v>6</v>
      </c>
      <c r="V16" s="27">
        <f t="shared" si="2"/>
        <v>13</v>
      </c>
      <c r="W16" s="27">
        <f t="shared" si="3"/>
        <v>7</v>
      </c>
      <c r="X16" s="28"/>
    </row>
    <row r="17" spans="1:24" ht="14.1" customHeight="1" x14ac:dyDescent="0.15">
      <c r="A17" s="5" t="s">
        <v>87</v>
      </c>
      <c r="B17" s="5">
        <v>29</v>
      </c>
      <c r="C17" s="5">
        <v>30</v>
      </c>
      <c r="D17" s="5">
        <v>26</v>
      </c>
      <c r="E17" s="27">
        <v>29</v>
      </c>
      <c r="F17" s="27">
        <v>23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 t="shared" si="0"/>
        <v>27.4</v>
      </c>
      <c r="U17" s="27">
        <f t="shared" si="1"/>
        <v>23</v>
      </c>
      <c r="V17" s="27">
        <f t="shared" si="2"/>
        <v>30</v>
      </c>
      <c r="W17" s="27">
        <f t="shared" si="3"/>
        <v>7</v>
      </c>
      <c r="X17" s="28"/>
    </row>
    <row r="18" spans="1:24" ht="14.1" customHeight="1" x14ac:dyDescent="0.15">
      <c r="A18" s="5" t="s">
        <v>77</v>
      </c>
      <c r="B18" s="5">
        <v>19</v>
      </c>
      <c r="C18" s="5">
        <v>25</v>
      </c>
      <c r="D18" s="5">
        <v>24</v>
      </c>
      <c r="E18" s="27">
        <v>20</v>
      </c>
      <c r="F18" s="27">
        <v>24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 t="shared" si="0"/>
        <v>22.4</v>
      </c>
      <c r="U18" s="27">
        <f t="shared" si="1"/>
        <v>19</v>
      </c>
      <c r="V18" s="27">
        <f t="shared" si="2"/>
        <v>25</v>
      </c>
      <c r="W18" s="27">
        <f t="shared" si="3"/>
        <v>6</v>
      </c>
      <c r="X18" s="28"/>
    </row>
    <row r="19" spans="1:24" ht="14.1" customHeight="1" x14ac:dyDescent="0.15">
      <c r="A19" s="5" t="s">
        <v>85</v>
      </c>
      <c r="B19" s="5">
        <v>20</v>
      </c>
      <c r="C19" s="5">
        <v>24</v>
      </c>
      <c r="D19" s="5">
        <v>25</v>
      </c>
      <c r="E19" s="27">
        <v>24</v>
      </c>
      <c r="F19" s="27">
        <v>26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 t="shared" si="0"/>
        <v>23.8</v>
      </c>
      <c r="U19" s="27">
        <f t="shared" si="1"/>
        <v>20</v>
      </c>
      <c r="V19" s="27">
        <f t="shared" si="2"/>
        <v>26</v>
      </c>
      <c r="W19" s="27">
        <f t="shared" si="3"/>
        <v>6</v>
      </c>
      <c r="X19" s="28"/>
    </row>
    <row r="20" spans="1:24" ht="14.1" customHeight="1" x14ac:dyDescent="0.15">
      <c r="A20" s="5" t="s">
        <v>83</v>
      </c>
      <c r="B20" s="5">
        <v>22</v>
      </c>
      <c r="C20" s="5">
        <v>23</v>
      </c>
      <c r="D20" s="5">
        <v>21</v>
      </c>
      <c r="E20" s="27">
        <v>27</v>
      </c>
      <c r="F20" s="27">
        <v>25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 t="shared" si="0"/>
        <v>23.6</v>
      </c>
      <c r="U20" s="27">
        <f t="shared" si="1"/>
        <v>21</v>
      </c>
      <c r="V20" s="27">
        <f t="shared" si="2"/>
        <v>27</v>
      </c>
      <c r="W20" s="27">
        <f t="shared" si="3"/>
        <v>6</v>
      </c>
      <c r="X20" s="28"/>
    </row>
    <row r="21" spans="1:24" ht="14.1" customHeight="1" x14ac:dyDescent="0.15">
      <c r="A21" s="5" t="s">
        <v>52</v>
      </c>
      <c r="B21" s="5">
        <v>9</v>
      </c>
      <c r="C21" s="5">
        <v>7</v>
      </c>
      <c r="D21" s="5">
        <v>13</v>
      </c>
      <c r="E21" s="27">
        <v>12</v>
      </c>
      <c r="F21" s="27">
        <v>9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 t="shared" si="0"/>
        <v>10</v>
      </c>
      <c r="U21" s="27">
        <f t="shared" si="1"/>
        <v>7</v>
      </c>
      <c r="V21" s="27">
        <f t="shared" si="2"/>
        <v>13</v>
      </c>
      <c r="W21" s="27">
        <f t="shared" si="3"/>
        <v>6</v>
      </c>
      <c r="X21" s="28"/>
    </row>
    <row r="22" spans="1:24" ht="14.1" customHeight="1" x14ac:dyDescent="0.15">
      <c r="A22" s="5" t="s">
        <v>81</v>
      </c>
      <c r="B22" s="5">
        <v>21</v>
      </c>
      <c r="C22" s="5">
        <v>17</v>
      </c>
      <c r="D22" s="5">
        <v>18</v>
      </c>
      <c r="E22" s="27">
        <v>18</v>
      </c>
      <c r="F22" s="27">
        <v>22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 t="shared" si="0"/>
        <v>19.2</v>
      </c>
      <c r="U22" s="27">
        <f t="shared" si="1"/>
        <v>17</v>
      </c>
      <c r="V22" s="27">
        <f t="shared" si="2"/>
        <v>22</v>
      </c>
      <c r="W22" s="27">
        <f t="shared" si="3"/>
        <v>5</v>
      </c>
      <c r="X22" s="28"/>
    </row>
    <row r="23" spans="1:24" ht="14.1" customHeight="1" x14ac:dyDescent="0.15">
      <c r="A23" s="5" t="s">
        <v>79</v>
      </c>
      <c r="B23" s="5">
        <v>24</v>
      </c>
      <c r="C23" s="5">
        <v>21</v>
      </c>
      <c r="D23" s="5">
        <v>20</v>
      </c>
      <c r="E23" s="27">
        <v>19</v>
      </c>
      <c r="F23" s="27">
        <v>21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 t="shared" si="0"/>
        <v>21</v>
      </c>
      <c r="U23" s="27">
        <f t="shared" si="1"/>
        <v>19</v>
      </c>
      <c r="V23" s="27">
        <f t="shared" si="2"/>
        <v>24</v>
      </c>
      <c r="W23" s="27">
        <f t="shared" si="3"/>
        <v>5</v>
      </c>
      <c r="X23" s="28"/>
    </row>
    <row r="24" spans="1:24" ht="14.1" customHeight="1" x14ac:dyDescent="0.15">
      <c r="A24" s="5" t="s">
        <v>49</v>
      </c>
      <c r="B24" s="5">
        <v>2</v>
      </c>
      <c r="C24" s="5">
        <v>5</v>
      </c>
      <c r="D24" s="5">
        <v>4</v>
      </c>
      <c r="E24" s="27">
        <v>7</v>
      </c>
      <c r="F24" s="27">
        <v>7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 t="shared" si="0"/>
        <v>5</v>
      </c>
      <c r="U24" s="27">
        <f t="shared" si="1"/>
        <v>2</v>
      </c>
      <c r="V24" s="27">
        <f t="shared" si="2"/>
        <v>7</v>
      </c>
      <c r="W24" s="27">
        <f t="shared" si="3"/>
        <v>5</v>
      </c>
      <c r="X24" s="28"/>
    </row>
    <row r="25" spans="1:24" ht="14.1" customHeight="1" x14ac:dyDescent="0.15">
      <c r="A25" s="5" t="s">
        <v>29</v>
      </c>
      <c r="B25" s="5">
        <v>6</v>
      </c>
      <c r="C25" s="5">
        <v>4</v>
      </c>
      <c r="D25" s="5">
        <v>2</v>
      </c>
      <c r="E25" s="27">
        <v>1</v>
      </c>
      <c r="F25" s="27">
        <v>1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 t="shared" si="0"/>
        <v>2.8</v>
      </c>
      <c r="U25" s="27">
        <f t="shared" si="1"/>
        <v>1</v>
      </c>
      <c r="V25" s="27">
        <f t="shared" si="2"/>
        <v>6</v>
      </c>
      <c r="W25" s="27">
        <f t="shared" si="3"/>
        <v>5</v>
      </c>
      <c r="X25" s="28"/>
    </row>
    <row r="26" spans="1:24" ht="14.1" customHeight="1" x14ac:dyDescent="0.15">
      <c r="A26" s="5" t="s">
        <v>43</v>
      </c>
      <c r="B26" s="5">
        <v>1</v>
      </c>
      <c r="C26" s="5">
        <v>2</v>
      </c>
      <c r="D26" s="5">
        <v>5</v>
      </c>
      <c r="E26" s="27">
        <v>6</v>
      </c>
      <c r="F26" s="27">
        <v>6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 t="shared" si="0"/>
        <v>4</v>
      </c>
      <c r="U26" s="27">
        <f t="shared" si="1"/>
        <v>1</v>
      </c>
      <c r="V26" s="27">
        <f t="shared" si="2"/>
        <v>6</v>
      </c>
      <c r="W26" s="27">
        <f t="shared" si="3"/>
        <v>5</v>
      </c>
      <c r="X26" s="28"/>
    </row>
    <row r="27" spans="1:24" ht="14.1" customHeight="1" x14ac:dyDescent="0.15">
      <c r="A27" s="5" t="s">
        <v>61</v>
      </c>
      <c r="B27" s="5">
        <v>11</v>
      </c>
      <c r="C27" s="5">
        <v>8</v>
      </c>
      <c r="D27" s="5">
        <v>12</v>
      </c>
      <c r="E27" s="27">
        <v>13</v>
      </c>
      <c r="F27" s="27">
        <v>11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 t="shared" si="0"/>
        <v>11</v>
      </c>
      <c r="U27" s="27">
        <f t="shared" si="1"/>
        <v>8</v>
      </c>
      <c r="V27" s="27">
        <f t="shared" si="2"/>
        <v>13</v>
      </c>
      <c r="W27" s="27">
        <f t="shared" si="3"/>
        <v>5</v>
      </c>
      <c r="X27" s="28"/>
    </row>
    <row r="28" spans="1:24" ht="14.1" customHeight="1" x14ac:dyDescent="0.15">
      <c r="A28" s="5" t="s">
        <v>93</v>
      </c>
      <c r="B28" s="5">
        <v>27</v>
      </c>
      <c r="C28" s="5">
        <v>26</v>
      </c>
      <c r="D28" s="5">
        <v>27</v>
      </c>
      <c r="E28" s="27">
        <v>25</v>
      </c>
      <c r="F28" s="27">
        <v>29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 t="shared" si="0"/>
        <v>26.8</v>
      </c>
      <c r="U28" s="27">
        <f t="shared" si="1"/>
        <v>25</v>
      </c>
      <c r="V28" s="27">
        <f t="shared" si="2"/>
        <v>29</v>
      </c>
      <c r="W28" s="27">
        <f t="shared" si="3"/>
        <v>4</v>
      </c>
      <c r="X28" s="28"/>
    </row>
    <row r="29" spans="1:24" ht="14.1" customHeight="1" x14ac:dyDescent="0.15">
      <c r="A29" s="5" t="s">
        <v>35</v>
      </c>
      <c r="B29" s="5">
        <v>5</v>
      </c>
      <c r="C29" s="5">
        <v>3</v>
      </c>
      <c r="D29" s="5">
        <v>7</v>
      </c>
      <c r="E29" s="27">
        <v>3</v>
      </c>
      <c r="F29" s="27">
        <v>3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 t="shared" si="0"/>
        <v>4.2</v>
      </c>
      <c r="U29" s="27">
        <f t="shared" si="1"/>
        <v>3</v>
      </c>
      <c r="V29" s="27">
        <f t="shared" si="2"/>
        <v>7</v>
      </c>
      <c r="W29" s="27">
        <f t="shared" si="3"/>
        <v>4</v>
      </c>
      <c r="X29" s="28"/>
    </row>
    <row r="30" spans="1:24" ht="14.1" customHeight="1" x14ac:dyDescent="0.15">
      <c r="A30" s="5" t="s">
        <v>97</v>
      </c>
      <c r="B30" s="5">
        <v>32</v>
      </c>
      <c r="C30" s="5">
        <v>31</v>
      </c>
      <c r="D30" s="5">
        <v>28</v>
      </c>
      <c r="E30" s="27">
        <v>31</v>
      </c>
      <c r="F30" s="27">
        <v>30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 t="shared" si="0"/>
        <v>30.4</v>
      </c>
      <c r="U30" s="27">
        <f t="shared" si="1"/>
        <v>28</v>
      </c>
      <c r="V30" s="27">
        <f t="shared" si="2"/>
        <v>32</v>
      </c>
      <c r="W30" s="27">
        <f t="shared" si="3"/>
        <v>4</v>
      </c>
      <c r="X30" s="28"/>
    </row>
    <row r="31" spans="1:24" ht="14.1" customHeight="1" x14ac:dyDescent="0.15">
      <c r="A31" s="5" t="s">
        <v>95</v>
      </c>
      <c r="B31" s="5">
        <v>28</v>
      </c>
      <c r="C31" s="5">
        <v>29</v>
      </c>
      <c r="D31" s="5">
        <v>31</v>
      </c>
      <c r="E31" s="27">
        <v>30</v>
      </c>
      <c r="F31" s="27">
        <v>31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 t="shared" si="0"/>
        <v>29.8</v>
      </c>
      <c r="U31" s="27">
        <f t="shared" si="1"/>
        <v>28</v>
      </c>
      <c r="V31" s="27">
        <f t="shared" si="2"/>
        <v>31</v>
      </c>
      <c r="W31" s="27">
        <f t="shared" si="3"/>
        <v>3</v>
      </c>
      <c r="X31" s="28"/>
    </row>
    <row r="32" spans="1:24" ht="14.1" customHeight="1" x14ac:dyDescent="0.15">
      <c r="A32" s="5" t="s">
        <v>38</v>
      </c>
      <c r="B32" s="5">
        <v>4</v>
      </c>
      <c r="C32" s="5">
        <v>1</v>
      </c>
      <c r="D32" s="5">
        <v>1</v>
      </c>
      <c r="E32" s="27">
        <v>4</v>
      </c>
      <c r="F32" s="27">
        <v>4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 t="shared" si="0"/>
        <v>2.8</v>
      </c>
      <c r="U32" s="27">
        <f t="shared" si="1"/>
        <v>1</v>
      </c>
      <c r="V32" s="27">
        <f t="shared" si="2"/>
        <v>4</v>
      </c>
      <c r="W32" s="27">
        <f t="shared" si="3"/>
        <v>3</v>
      </c>
      <c r="X32" s="28"/>
    </row>
    <row r="33" spans="1:24" ht="14.1" customHeight="1" x14ac:dyDescent="0.15">
      <c r="A33" s="5" t="s">
        <v>99</v>
      </c>
      <c r="B33" s="5">
        <v>31</v>
      </c>
      <c r="C33" s="5">
        <v>32</v>
      </c>
      <c r="D33" s="5">
        <v>32</v>
      </c>
      <c r="E33" s="27">
        <v>32</v>
      </c>
      <c r="F33" s="27">
        <v>32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 t="shared" si="0"/>
        <v>31.8</v>
      </c>
      <c r="U33" s="27">
        <f t="shared" si="1"/>
        <v>31</v>
      </c>
      <c r="V33" s="27">
        <f t="shared" si="2"/>
        <v>32</v>
      </c>
      <c r="W33" s="27">
        <f t="shared" si="3"/>
        <v>1</v>
      </c>
      <c r="X33" s="28"/>
    </row>
  </sheetData>
  <autoFilter ref="A1:X1">
    <sortState ref="A2:X33">
      <sortCondition descending="1" ref="W1"/>
    </sortState>
  </autoFilter>
  <conditionalFormatting sqref="B2:S33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workbookViewId="0">
      <pane xSplit="1" topLeftCell="B1" activePane="topRight" state="frozen"/>
      <selection activeCell="G20" sqref="G20"/>
      <selection pane="topRight" activeCell="G20" sqref="G20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144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24" t="s">
        <v>8</v>
      </c>
      <c r="U1" s="24" t="s">
        <v>168</v>
      </c>
      <c r="V1" s="24" t="s">
        <v>169</v>
      </c>
      <c r="W1" s="25" t="s">
        <v>170</v>
      </c>
      <c r="X1" s="26" t="s">
        <v>28</v>
      </c>
    </row>
    <row r="2" spans="1:24" ht="14.1" customHeight="1" x14ac:dyDescent="0.15">
      <c r="A2" s="5" t="s">
        <v>63</v>
      </c>
      <c r="B2" s="5">
        <v>32</v>
      </c>
      <c r="C2" s="5">
        <v>28</v>
      </c>
      <c r="D2" s="5">
        <v>26</v>
      </c>
      <c r="E2" s="27">
        <v>22</v>
      </c>
      <c r="F2" s="27">
        <v>7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6"/>
      <c r="T2" s="9">
        <f t="shared" ref="T2:T33" si="0">AVERAGE(B2:S2)</f>
        <v>23</v>
      </c>
      <c r="U2" s="27">
        <f t="shared" ref="U2:U33" si="1">MINA(B2:S2)</f>
        <v>7</v>
      </c>
      <c r="V2" s="27">
        <f t="shared" ref="V2:V33" si="2">MAXA(B2:S2)</f>
        <v>32</v>
      </c>
      <c r="W2" s="27">
        <f t="shared" ref="W2:W33" si="3">V2-U2</f>
        <v>25</v>
      </c>
      <c r="X2" s="28"/>
    </row>
    <row r="3" spans="1:24" ht="14.1" customHeight="1" x14ac:dyDescent="0.15">
      <c r="A3" s="5" t="s">
        <v>41</v>
      </c>
      <c r="B3" s="5">
        <v>26</v>
      </c>
      <c r="C3" s="5">
        <v>25</v>
      </c>
      <c r="D3" s="5">
        <v>17</v>
      </c>
      <c r="E3" s="27">
        <v>5</v>
      </c>
      <c r="F3" s="27">
        <v>5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6"/>
      <c r="T3" s="9">
        <f t="shared" si="0"/>
        <v>15.6</v>
      </c>
      <c r="U3" s="27">
        <f t="shared" si="1"/>
        <v>5</v>
      </c>
      <c r="V3" s="27">
        <f t="shared" si="2"/>
        <v>26</v>
      </c>
      <c r="W3" s="27">
        <f t="shared" si="3"/>
        <v>21</v>
      </c>
      <c r="X3" s="28"/>
    </row>
    <row r="4" spans="1:24" ht="14.1" customHeight="1" x14ac:dyDescent="0.15">
      <c r="A4" s="5" t="s">
        <v>69</v>
      </c>
      <c r="B4" s="5">
        <v>16</v>
      </c>
      <c r="C4" s="5">
        <v>26</v>
      </c>
      <c r="D4" s="5">
        <v>18</v>
      </c>
      <c r="E4" s="27">
        <v>7</v>
      </c>
      <c r="F4" s="27">
        <v>11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6"/>
      <c r="T4" s="9">
        <f t="shared" si="0"/>
        <v>15.6</v>
      </c>
      <c r="U4" s="27">
        <f t="shared" si="1"/>
        <v>7</v>
      </c>
      <c r="V4" s="27">
        <f t="shared" si="2"/>
        <v>26</v>
      </c>
      <c r="W4" s="27">
        <f t="shared" si="3"/>
        <v>19</v>
      </c>
      <c r="X4" s="28"/>
    </row>
    <row r="5" spans="1:24" ht="14.1" customHeight="1" x14ac:dyDescent="0.15">
      <c r="A5" s="5" t="s">
        <v>91</v>
      </c>
      <c r="B5" s="5">
        <v>11</v>
      </c>
      <c r="C5" s="5">
        <v>15</v>
      </c>
      <c r="D5" s="5">
        <v>24</v>
      </c>
      <c r="E5" s="27">
        <v>29</v>
      </c>
      <c r="F5" s="27">
        <v>29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6"/>
      <c r="T5" s="9">
        <f t="shared" si="0"/>
        <v>21.6</v>
      </c>
      <c r="U5" s="27">
        <f t="shared" si="1"/>
        <v>11</v>
      </c>
      <c r="V5" s="27">
        <f t="shared" si="2"/>
        <v>29</v>
      </c>
      <c r="W5" s="27">
        <f t="shared" si="3"/>
        <v>18</v>
      </c>
      <c r="X5" s="28"/>
    </row>
    <row r="6" spans="1:24" ht="14.1" customHeight="1" x14ac:dyDescent="0.15">
      <c r="A6" s="5" t="s">
        <v>89</v>
      </c>
      <c r="B6" s="5">
        <v>18</v>
      </c>
      <c r="C6" s="5">
        <v>20</v>
      </c>
      <c r="D6" s="5">
        <v>29</v>
      </c>
      <c r="E6" s="27">
        <v>25</v>
      </c>
      <c r="F6" s="27">
        <v>27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6"/>
      <c r="T6" s="9">
        <f t="shared" si="0"/>
        <v>23.8</v>
      </c>
      <c r="U6" s="27">
        <f t="shared" si="1"/>
        <v>18</v>
      </c>
      <c r="V6" s="27">
        <f t="shared" si="2"/>
        <v>29</v>
      </c>
      <c r="W6" s="27">
        <f t="shared" si="3"/>
        <v>11</v>
      </c>
      <c r="X6" s="28"/>
    </row>
    <row r="7" spans="1:24" ht="14.1" customHeight="1" x14ac:dyDescent="0.15">
      <c r="A7" s="5" t="s">
        <v>49</v>
      </c>
      <c r="B7" s="5">
        <v>2</v>
      </c>
      <c r="C7" s="5">
        <v>6</v>
      </c>
      <c r="D7" s="5">
        <v>4</v>
      </c>
      <c r="E7" s="27">
        <v>8</v>
      </c>
      <c r="F7" s="27">
        <v>12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6"/>
      <c r="T7" s="9">
        <f t="shared" si="0"/>
        <v>6.4</v>
      </c>
      <c r="U7" s="27">
        <f t="shared" si="1"/>
        <v>2</v>
      </c>
      <c r="V7" s="27">
        <f t="shared" si="2"/>
        <v>12</v>
      </c>
      <c r="W7" s="27">
        <f t="shared" si="3"/>
        <v>10</v>
      </c>
      <c r="X7" s="28"/>
    </row>
    <row r="8" spans="1:24" ht="14.1" customHeight="1" x14ac:dyDescent="0.15">
      <c r="A8" s="5" t="s">
        <v>67</v>
      </c>
      <c r="B8" s="5">
        <v>7</v>
      </c>
      <c r="C8" s="5">
        <v>10</v>
      </c>
      <c r="D8" s="5">
        <v>9</v>
      </c>
      <c r="E8" s="27">
        <v>14</v>
      </c>
      <c r="F8" s="27">
        <v>17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6"/>
      <c r="T8" s="9">
        <f t="shared" si="0"/>
        <v>11.4</v>
      </c>
      <c r="U8" s="27">
        <f t="shared" si="1"/>
        <v>7</v>
      </c>
      <c r="V8" s="27">
        <f t="shared" si="2"/>
        <v>17</v>
      </c>
      <c r="W8" s="27">
        <f t="shared" si="3"/>
        <v>10</v>
      </c>
      <c r="X8" s="28"/>
    </row>
    <row r="9" spans="1:24" ht="14.1" customHeight="1" x14ac:dyDescent="0.15">
      <c r="A9" s="5" t="s">
        <v>54</v>
      </c>
      <c r="B9" s="5">
        <v>6</v>
      </c>
      <c r="C9" s="5">
        <v>12</v>
      </c>
      <c r="D9" s="5">
        <v>11</v>
      </c>
      <c r="E9" s="27">
        <v>10</v>
      </c>
      <c r="F9" s="27">
        <v>15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6"/>
      <c r="T9" s="9">
        <f t="shared" si="0"/>
        <v>10.8</v>
      </c>
      <c r="U9" s="27">
        <f t="shared" si="1"/>
        <v>6</v>
      </c>
      <c r="V9" s="27">
        <f t="shared" si="2"/>
        <v>15</v>
      </c>
      <c r="W9" s="27">
        <f t="shared" si="3"/>
        <v>9</v>
      </c>
      <c r="X9" s="28"/>
    </row>
    <row r="10" spans="1:24" ht="14.1" customHeight="1" x14ac:dyDescent="0.15">
      <c r="A10" s="5" t="s">
        <v>61</v>
      </c>
      <c r="B10" s="5">
        <v>17</v>
      </c>
      <c r="C10" s="5">
        <v>9</v>
      </c>
      <c r="D10" s="5">
        <v>8</v>
      </c>
      <c r="E10" s="27">
        <v>13</v>
      </c>
      <c r="F10" s="27">
        <v>16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6"/>
      <c r="T10" s="9">
        <f t="shared" si="0"/>
        <v>12.6</v>
      </c>
      <c r="U10" s="27">
        <f t="shared" si="1"/>
        <v>8</v>
      </c>
      <c r="V10" s="27">
        <f t="shared" si="2"/>
        <v>17</v>
      </c>
      <c r="W10" s="27">
        <f t="shared" si="3"/>
        <v>9</v>
      </c>
      <c r="X10" s="28"/>
    </row>
    <row r="11" spans="1:24" ht="14.1" customHeight="1" x14ac:dyDescent="0.15">
      <c r="A11" s="5" t="s">
        <v>71</v>
      </c>
      <c r="B11" s="5">
        <v>23</v>
      </c>
      <c r="C11" s="5">
        <v>14</v>
      </c>
      <c r="D11" s="5">
        <v>23</v>
      </c>
      <c r="E11" s="27">
        <v>23</v>
      </c>
      <c r="F11" s="27">
        <v>23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6"/>
      <c r="T11" s="9">
        <f t="shared" si="0"/>
        <v>21.2</v>
      </c>
      <c r="U11" s="27">
        <f t="shared" si="1"/>
        <v>14</v>
      </c>
      <c r="V11" s="27">
        <f t="shared" si="2"/>
        <v>23</v>
      </c>
      <c r="W11" s="27">
        <f t="shared" si="3"/>
        <v>9</v>
      </c>
      <c r="X11" s="28"/>
    </row>
    <row r="12" spans="1:24" ht="14.1" customHeight="1" x14ac:dyDescent="0.15">
      <c r="A12" s="5" t="s">
        <v>46</v>
      </c>
      <c r="B12" s="5">
        <v>3</v>
      </c>
      <c r="C12" s="5">
        <v>8</v>
      </c>
      <c r="D12" s="5">
        <v>6</v>
      </c>
      <c r="E12" s="27">
        <v>12</v>
      </c>
      <c r="F12" s="27">
        <v>8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6"/>
      <c r="T12" s="9">
        <f t="shared" si="0"/>
        <v>7.4</v>
      </c>
      <c r="U12" s="27">
        <f t="shared" si="1"/>
        <v>3</v>
      </c>
      <c r="V12" s="27">
        <f t="shared" si="2"/>
        <v>12</v>
      </c>
      <c r="W12" s="27">
        <f t="shared" si="3"/>
        <v>9</v>
      </c>
      <c r="X12" s="28"/>
    </row>
    <row r="13" spans="1:24" ht="14.1" customHeight="1" x14ac:dyDescent="0.15">
      <c r="A13" s="5" t="s">
        <v>81</v>
      </c>
      <c r="B13" s="5">
        <v>21</v>
      </c>
      <c r="C13" s="5">
        <v>18</v>
      </c>
      <c r="D13" s="5">
        <v>16</v>
      </c>
      <c r="E13" s="27">
        <v>18</v>
      </c>
      <c r="F13" s="27">
        <v>24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6"/>
      <c r="T13" s="9">
        <f t="shared" si="0"/>
        <v>19.399999999999999</v>
      </c>
      <c r="U13" s="27">
        <f t="shared" si="1"/>
        <v>16</v>
      </c>
      <c r="V13" s="27">
        <f t="shared" si="2"/>
        <v>24</v>
      </c>
      <c r="W13" s="27">
        <f t="shared" si="3"/>
        <v>8</v>
      </c>
      <c r="X13" s="28"/>
    </row>
    <row r="14" spans="1:24" ht="14.1" customHeight="1" x14ac:dyDescent="0.15">
      <c r="A14" s="5" t="s">
        <v>85</v>
      </c>
      <c r="B14" s="5">
        <v>20</v>
      </c>
      <c r="C14" s="5">
        <v>21</v>
      </c>
      <c r="D14" s="5">
        <v>28</v>
      </c>
      <c r="E14" s="27">
        <v>24</v>
      </c>
      <c r="F14" s="27">
        <v>26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6"/>
      <c r="T14" s="9">
        <f t="shared" si="0"/>
        <v>23.8</v>
      </c>
      <c r="U14" s="27">
        <f t="shared" si="1"/>
        <v>20</v>
      </c>
      <c r="V14" s="27">
        <f t="shared" si="2"/>
        <v>28</v>
      </c>
      <c r="W14" s="27">
        <f t="shared" si="3"/>
        <v>8</v>
      </c>
      <c r="X14" s="28"/>
    </row>
    <row r="15" spans="1:24" ht="14.1" customHeight="1" x14ac:dyDescent="0.15">
      <c r="A15" s="5" t="s">
        <v>32</v>
      </c>
      <c r="B15" s="5">
        <v>10</v>
      </c>
      <c r="C15" s="5">
        <v>5</v>
      </c>
      <c r="D15" s="5">
        <v>3</v>
      </c>
      <c r="E15" s="27">
        <v>2</v>
      </c>
      <c r="F15" s="27">
        <v>2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6"/>
      <c r="T15" s="9">
        <f t="shared" si="0"/>
        <v>4.4000000000000004</v>
      </c>
      <c r="U15" s="27">
        <f t="shared" si="1"/>
        <v>2</v>
      </c>
      <c r="V15" s="27">
        <f t="shared" si="2"/>
        <v>10</v>
      </c>
      <c r="W15" s="27">
        <f t="shared" si="3"/>
        <v>8</v>
      </c>
      <c r="X15" s="28"/>
    </row>
    <row r="16" spans="1:24" ht="14.1" customHeight="1" x14ac:dyDescent="0.15">
      <c r="A16" s="5" t="s">
        <v>59</v>
      </c>
      <c r="B16" s="5">
        <v>14</v>
      </c>
      <c r="C16" s="5">
        <v>17</v>
      </c>
      <c r="D16" s="5">
        <v>15</v>
      </c>
      <c r="E16" s="27">
        <v>15</v>
      </c>
      <c r="F16" s="27">
        <v>9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6"/>
      <c r="T16" s="9">
        <f t="shared" si="0"/>
        <v>14</v>
      </c>
      <c r="U16" s="27">
        <f t="shared" si="1"/>
        <v>9</v>
      </c>
      <c r="V16" s="27">
        <f t="shared" si="2"/>
        <v>17</v>
      </c>
      <c r="W16" s="27">
        <f t="shared" si="3"/>
        <v>8</v>
      </c>
      <c r="X16" s="28"/>
    </row>
    <row r="17" spans="1:24" ht="14.1" customHeight="1" x14ac:dyDescent="0.15">
      <c r="A17" s="5" t="s">
        <v>52</v>
      </c>
      <c r="B17" s="5">
        <v>9</v>
      </c>
      <c r="C17" s="5">
        <v>7</v>
      </c>
      <c r="D17" s="5">
        <v>10</v>
      </c>
      <c r="E17" s="27">
        <v>11</v>
      </c>
      <c r="F17" s="27">
        <v>14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6"/>
      <c r="T17" s="9">
        <f t="shared" si="0"/>
        <v>10.199999999999999</v>
      </c>
      <c r="U17" s="27">
        <f t="shared" si="1"/>
        <v>7</v>
      </c>
      <c r="V17" s="27">
        <f t="shared" si="2"/>
        <v>14</v>
      </c>
      <c r="W17" s="27">
        <f t="shared" si="3"/>
        <v>7</v>
      </c>
      <c r="X17" s="28"/>
    </row>
    <row r="18" spans="1:24" ht="14.1" customHeight="1" x14ac:dyDescent="0.15">
      <c r="A18" s="5" t="s">
        <v>75</v>
      </c>
      <c r="B18" s="5">
        <v>12</v>
      </c>
      <c r="C18" s="5">
        <v>13</v>
      </c>
      <c r="D18" s="5">
        <v>14</v>
      </c>
      <c r="E18" s="27">
        <v>17</v>
      </c>
      <c r="F18" s="27">
        <v>18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6"/>
      <c r="T18" s="9">
        <f t="shared" si="0"/>
        <v>14.8</v>
      </c>
      <c r="U18" s="27">
        <f t="shared" si="1"/>
        <v>12</v>
      </c>
      <c r="V18" s="27">
        <f t="shared" si="2"/>
        <v>18</v>
      </c>
      <c r="W18" s="27">
        <f t="shared" si="3"/>
        <v>6</v>
      </c>
      <c r="X18" s="28"/>
    </row>
    <row r="19" spans="1:24" ht="14.1" customHeight="1" x14ac:dyDescent="0.15">
      <c r="A19" s="5" t="s">
        <v>97</v>
      </c>
      <c r="B19" s="5">
        <v>29</v>
      </c>
      <c r="C19" s="5">
        <v>30</v>
      </c>
      <c r="D19" s="5">
        <v>25</v>
      </c>
      <c r="E19" s="27">
        <v>31</v>
      </c>
      <c r="F19" s="27">
        <v>31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6"/>
      <c r="T19" s="9">
        <f t="shared" si="0"/>
        <v>29.2</v>
      </c>
      <c r="U19" s="27">
        <f t="shared" si="1"/>
        <v>25</v>
      </c>
      <c r="V19" s="27">
        <f t="shared" si="2"/>
        <v>31</v>
      </c>
      <c r="W19" s="27">
        <f t="shared" si="3"/>
        <v>6</v>
      </c>
      <c r="X19" s="28"/>
    </row>
    <row r="20" spans="1:24" ht="14.1" customHeight="1" x14ac:dyDescent="0.15">
      <c r="A20" s="5" t="s">
        <v>93</v>
      </c>
      <c r="B20" s="5">
        <v>25</v>
      </c>
      <c r="C20" s="5">
        <v>24</v>
      </c>
      <c r="D20" s="5">
        <v>30</v>
      </c>
      <c r="E20" s="27">
        <v>28</v>
      </c>
      <c r="F20" s="27">
        <v>28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6"/>
      <c r="T20" s="9">
        <f t="shared" si="0"/>
        <v>27</v>
      </c>
      <c r="U20" s="27">
        <f t="shared" si="1"/>
        <v>24</v>
      </c>
      <c r="V20" s="27">
        <f t="shared" si="2"/>
        <v>30</v>
      </c>
      <c r="W20" s="27">
        <f t="shared" si="3"/>
        <v>6</v>
      </c>
      <c r="X20" s="28"/>
    </row>
    <row r="21" spans="1:24" ht="14.1" customHeight="1" x14ac:dyDescent="0.15">
      <c r="A21" s="5" t="s">
        <v>87</v>
      </c>
      <c r="B21" s="5">
        <v>30</v>
      </c>
      <c r="C21" s="5">
        <v>31</v>
      </c>
      <c r="D21" s="5">
        <v>27</v>
      </c>
      <c r="E21" s="27">
        <v>27</v>
      </c>
      <c r="F21" s="27">
        <v>25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6"/>
      <c r="T21" s="9">
        <f t="shared" si="0"/>
        <v>28</v>
      </c>
      <c r="U21" s="27">
        <f t="shared" si="1"/>
        <v>25</v>
      </c>
      <c r="V21" s="27">
        <f t="shared" si="2"/>
        <v>31</v>
      </c>
      <c r="W21" s="27">
        <f t="shared" si="3"/>
        <v>6</v>
      </c>
      <c r="X21" s="28"/>
    </row>
    <row r="22" spans="1:24" ht="14.1" customHeight="1" x14ac:dyDescent="0.15">
      <c r="A22" s="5" t="s">
        <v>56</v>
      </c>
      <c r="B22" s="5">
        <v>15</v>
      </c>
      <c r="C22" s="5">
        <v>16</v>
      </c>
      <c r="D22" s="5">
        <v>12</v>
      </c>
      <c r="E22" s="27">
        <v>16</v>
      </c>
      <c r="F22" s="27">
        <v>10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6"/>
      <c r="T22" s="9">
        <f t="shared" si="0"/>
        <v>13.8</v>
      </c>
      <c r="U22" s="27">
        <f t="shared" si="1"/>
        <v>10</v>
      </c>
      <c r="V22" s="27">
        <f t="shared" si="2"/>
        <v>16</v>
      </c>
      <c r="W22" s="27">
        <f t="shared" si="3"/>
        <v>6</v>
      </c>
      <c r="X22" s="28"/>
    </row>
    <row r="23" spans="1:24" ht="14.1" customHeight="1" x14ac:dyDescent="0.15">
      <c r="A23" s="5" t="s">
        <v>35</v>
      </c>
      <c r="B23" s="5">
        <v>8</v>
      </c>
      <c r="C23" s="5">
        <v>4</v>
      </c>
      <c r="D23" s="5">
        <v>7</v>
      </c>
      <c r="E23" s="27">
        <v>3</v>
      </c>
      <c r="F23" s="27">
        <v>3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6"/>
      <c r="T23" s="9">
        <f t="shared" si="0"/>
        <v>5</v>
      </c>
      <c r="U23" s="27">
        <f t="shared" si="1"/>
        <v>3</v>
      </c>
      <c r="V23" s="27">
        <f t="shared" si="2"/>
        <v>8</v>
      </c>
      <c r="W23" s="27">
        <f t="shared" si="3"/>
        <v>5</v>
      </c>
      <c r="X23" s="28"/>
    </row>
    <row r="24" spans="1:24" ht="14.1" customHeight="1" x14ac:dyDescent="0.15">
      <c r="A24" s="5" t="s">
        <v>43</v>
      </c>
      <c r="B24" s="5">
        <v>1</v>
      </c>
      <c r="C24" s="5">
        <v>1</v>
      </c>
      <c r="D24" s="5">
        <v>5</v>
      </c>
      <c r="E24" s="27">
        <v>6</v>
      </c>
      <c r="F24" s="27">
        <v>6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6"/>
      <c r="T24" s="9">
        <f t="shared" si="0"/>
        <v>3.8</v>
      </c>
      <c r="U24" s="27">
        <f t="shared" si="1"/>
        <v>1</v>
      </c>
      <c r="V24" s="27">
        <f t="shared" si="2"/>
        <v>6</v>
      </c>
      <c r="W24" s="27">
        <f t="shared" si="3"/>
        <v>5</v>
      </c>
      <c r="X24" s="28"/>
    </row>
    <row r="25" spans="1:24" ht="14.1" customHeight="1" x14ac:dyDescent="0.15">
      <c r="A25" s="5" t="s">
        <v>79</v>
      </c>
      <c r="B25" s="5">
        <v>24</v>
      </c>
      <c r="C25" s="5">
        <v>19</v>
      </c>
      <c r="D25" s="5">
        <v>19</v>
      </c>
      <c r="E25" s="27">
        <v>19</v>
      </c>
      <c r="F25" s="27">
        <v>19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6"/>
      <c r="T25" s="9">
        <f t="shared" si="0"/>
        <v>20</v>
      </c>
      <c r="U25" s="27">
        <f t="shared" si="1"/>
        <v>19</v>
      </c>
      <c r="V25" s="27">
        <f t="shared" si="2"/>
        <v>24</v>
      </c>
      <c r="W25" s="27">
        <f t="shared" si="3"/>
        <v>5</v>
      </c>
      <c r="X25" s="28"/>
    </row>
    <row r="26" spans="1:24" ht="14.1" customHeight="1" x14ac:dyDescent="0.15">
      <c r="A26" s="5" t="s">
        <v>73</v>
      </c>
      <c r="B26" s="5">
        <v>27</v>
      </c>
      <c r="C26" s="5">
        <v>27</v>
      </c>
      <c r="D26" s="5">
        <v>22</v>
      </c>
      <c r="E26" s="27">
        <v>26</v>
      </c>
      <c r="F26" s="27">
        <v>22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6"/>
      <c r="T26" s="9">
        <f t="shared" si="0"/>
        <v>24.8</v>
      </c>
      <c r="U26" s="27">
        <f t="shared" si="1"/>
        <v>22</v>
      </c>
      <c r="V26" s="27">
        <f t="shared" si="2"/>
        <v>27</v>
      </c>
      <c r="W26" s="27">
        <f t="shared" si="3"/>
        <v>5</v>
      </c>
      <c r="X26" s="28"/>
    </row>
    <row r="27" spans="1:24" ht="14.1" customHeight="1" x14ac:dyDescent="0.15">
      <c r="A27" s="5" t="s">
        <v>65</v>
      </c>
      <c r="B27" s="5">
        <v>13</v>
      </c>
      <c r="C27" s="5">
        <v>11</v>
      </c>
      <c r="D27" s="5">
        <v>13</v>
      </c>
      <c r="E27" s="27">
        <v>9</v>
      </c>
      <c r="F27" s="27">
        <v>13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6"/>
      <c r="T27" s="9">
        <f t="shared" si="0"/>
        <v>11.8</v>
      </c>
      <c r="U27" s="27">
        <f t="shared" si="1"/>
        <v>9</v>
      </c>
      <c r="V27" s="27">
        <f t="shared" si="2"/>
        <v>13</v>
      </c>
      <c r="W27" s="27">
        <f t="shared" si="3"/>
        <v>4</v>
      </c>
      <c r="X27" s="28"/>
    </row>
    <row r="28" spans="1:24" ht="14.1" customHeight="1" x14ac:dyDescent="0.15">
      <c r="A28" s="5" t="s">
        <v>77</v>
      </c>
      <c r="B28" s="5">
        <v>19</v>
      </c>
      <c r="C28" s="5">
        <v>23</v>
      </c>
      <c r="D28" s="5">
        <v>21</v>
      </c>
      <c r="E28" s="27">
        <v>21</v>
      </c>
      <c r="F28" s="27">
        <v>21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6"/>
      <c r="T28" s="9">
        <f t="shared" si="0"/>
        <v>21</v>
      </c>
      <c r="U28" s="27">
        <f t="shared" si="1"/>
        <v>19</v>
      </c>
      <c r="V28" s="27">
        <f t="shared" si="2"/>
        <v>23</v>
      </c>
      <c r="W28" s="27">
        <f t="shared" si="3"/>
        <v>4</v>
      </c>
      <c r="X28" s="28"/>
    </row>
    <row r="29" spans="1:24" ht="14.1" customHeight="1" x14ac:dyDescent="0.15">
      <c r="A29" s="5" t="s">
        <v>29</v>
      </c>
      <c r="B29" s="5">
        <v>5</v>
      </c>
      <c r="C29" s="5">
        <v>3</v>
      </c>
      <c r="D29" s="5">
        <v>2</v>
      </c>
      <c r="E29" s="27">
        <v>1</v>
      </c>
      <c r="F29" s="27">
        <v>1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6"/>
      <c r="T29" s="9">
        <f t="shared" si="0"/>
        <v>2.4</v>
      </c>
      <c r="U29" s="27">
        <f t="shared" si="1"/>
        <v>1</v>
      </c>
      <c r="V29" s="27">
        <f t="shared" si="2"/>
        <v>5</v>
      </c>
      <c r="W29" s="27">
        <f t="shared" si="3"/>
        <v>4</v>
      </c>
      <c r="X29" s="28"/>
    </row>
    <row r="30" spans="1:24" ht="14.1" customHeight="1" x14ac:dyDescent="0.15">
      <c r="A30" s="5" t="s">
        <v>95</v>
      </c>
      <c r="B30" s="5">
        <v>28</v>
      </c>
      <c r="C30" s="5">
        <v>29</v>
      </c>
      <c r="D30" s="5">
        <v>31</v>
      </c>
      <c r="E30" s="27">
        <v>30</v>
      </c>
      <c r="F30" s="27">
        <v>30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6"/>
      <c r="T30" s="9">
        <f t="shared" si="0"/>
        <v>29.6</v>
      </c>
      <c r="U30" s="27">
        <f t="shared" si="1"/>
        <v>28</v>
      </c>
      <c r="V30" s="27">
        <f t="shared" si="2"/>
        <v>31</v>
      </c>
      <c r="W30" s="27">
        <f t="shared" si="3"/>
        <v>3</v>
      </c>
      <c r="X30" s="28"/>
    </row>
    <row r="31" spans="1:24" ht="14.1" customHeight="1" x14ac:dyDescent="0.15">
      <c r="A31" s="5" t="s">
        <v>38</v>
      </c>
      <c r="B31" s="5">
        <v>4</v>
      </c>
      <c r="C31" s="5">
        <v>2</v>
      </c>
      <c r="D31" s="5">
        <v>1</v>
      </c>
      <c r="E31" s="27">
        <v>4</v>
      </c>
      <c r="F31" s="27">
        <v>4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6"/>
      <c r="T31" s="9">
        <f t="shared" si="0"/>
        <v>3</v>
      </c>
      <c r="U31" s="27">
        <f t="shared" si="1"/>
        <v>1</v>
      </c>
      <c r="V31" s="27">
        <f t="shared" si="2"/>
        <v>4</v>
      </c>
      <c r="W31" s="27">
        <f t="shared" si="3"/>
        <v>3</v>
      </c>
      <c r="X31" s="28"/>
    </row>
    <row r="32" spans="1:24" ht="14.1" customHeight="1" x14ac:dyDescent="0.15">
      <c r="A32" s="5" t="s">
        <v>83</v>
      </c>
      <c r="B32" s="5">
        <v>22</v>
      </c>
      <c r="C32" s="5">
        <v>22</v>
      </c>
      <c r="D32" s="5">
        <v>20</v>
      </c>
      <c r="E32" s="27">
        <v>20</v>
      </c>
      <c r="F32" s="27">
        <v>20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6"/>
      <c r="T32" s="9">
        <f t="shared" si="0"/>
        <v>20.8</v>
      </c>
      <c r="U32" s="27">
        <f t="shared" si="1"/>
        <v>20</v>
      </c>
      <c r="V32" s="27">
        <f t="shared" si="2"/>
        <v>22</v>
      </c>
      <c r="W32" s="27">
        <f t="shared" si="3"/>
        <v>2</v>
      </c>
      <c r="X32" s="28"/>
    </row>
    <row r="33" spans="1:24" ht="14.1" customHeight="1" x14ac:dyDescent="0.15">
      <c r="A33" s="5" t="s">
        <v>99</v>
      </c>
      <c r="B33" s="5">
        <v>31</v>
      </c>
      <c r="C33" s="5">
        <v>32</v>
      </c>
      <c r="D33" s="5">
        <v>32</v>
      </c>
      <c r="E33" s="27">
        <v>32</v>
      </c>
      <c r="F33" s="27">
        <v>32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6"/>
      <c r="T33" s="9">
        <f t="shared" si="0"/>
        <v>31.8</v>
      </c>
      <c r="U33" s="27">
        <f t="shared" si="1"/>
        <v>31</v>
      </c>
      <c r="V33" s="27">
        <f t="shared" si="2"/>
        <v>32</v>
      </c>
      <c r="W33" s="27">
        <f t="shared" si="3"/>
        <v>1</v>
      </c>
      <c r="X33" s="28"/>
    </row>
  </sheetData>
  <autoFilter ref="A1:X1">
    <sortState ref="A2:X33">
      <sortCondition descending="1" ref="W1"/>
    </sortState>
  </autoFilter>
  <conditionalFormatting sqref="B2:R33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33"/>
  <sheetViews>
    <sheetView workbookViewId="0">
      <pane xSplit="1" topLeftCell="B1" activePane="topRight" state="frozen"/>
      <selection activeCell="G20" sqref="G20"/>
      <selection pane="topRight" activeCell="B1" sqref="B1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144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24" t="s">
        <v>8</v>
      </c>
      <c r="U1" s="24" t="s">
        <v>168</v>
      </c>
      <c r="V1" s="24" t="s">
        <v>169</v>
      </c>
      <c r="W1" s="25" t="s">
        <v>170</v>
      </c>
      <c r="X1" s="26" t="s">
        <v>28</v>
      </c>
    </row>
    <row r="2" spans="1:24" ht="14.1" customHeight="1" x14ac:dyDescent="0.15">
      <c r="A2" s="5" t="s">
        <v>38</v>
      </c>
      <c r="B2" s="5">
        <v>4</v>
      </c>
      <c r="C2" s="5">
        <v>1</v>
      </c>
      <c r="D2" s="5">
        <v>1</v>
      </c>
      <c r="E2" s="27">
        <v>3</v>
      </c>
      <c r="F2" s="27">
        <v>3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>AVERAGE(B2:S2)</f>
        <v>2.4</v>
      </c>
      <c r="U2" s="27">
        <f>MINA(B2:S2)</f>
        <v>1</v>
      </c>
      <c r="V2" s="27">
        <f>MAXA(B2:S2)</f>
        <v>4</v>
      </c>
      <c r="W2" s="27">
        <f>V2-U2</f>
        <v>3</v>
      </c>
      <c r="X2" s="28"/>
    </row>
    <row r="3" spans="1:24" ht="14.1" customHeight="1" x14ac:dyDescent="0.15">
      <c r="A3" s="5" t="s">
        <v>49</v>
      </c>
      <c r="B3" s="5">
        <v>1</v>
      </c>
      <c r="C3" s="5">
        <v>2</v>
      </c>
      <c r="D3" s="5">
        <v>2</v>
      </c>
      <c r="E3" s="27">
        <v>4</v>
      </c>
      <c r="F3" s="27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>AVERAGE(B3:S3)</f>
        <v>2.6</v>
      </c>
      <c r="U3" s="27">
        <f>MINA(B3:S3)</f>
        <v>1</v>
      </c>
      <c r="V3" s="27">
        <f>MAXA(B3:S3)</f>
        <v>4</v>
      </c>
      <c r="W3" s="27">
        <f>V3-U3</f>
        <v>3</v>
      </c>
      <c r="X3" s="28"/>
    </row>
    <row r="4" spans="1:24" ht="14.1" customHeight="1" x14ac:dyDescent="0.15">
      <c r="A4" s="5" t="s">
        <v>29</v>
      </c>
      <c r="B4" s="5">
        <v>6</v>
      </c>
      <c r="C4" s="5">
        <v>4</v>
      </c>
      <c r="D4" s="5">
        <v>3</v>
      </c>
      <c r="E4" s="27">
        <v>1</v>
      </c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>AVERAGE(B4:S4)</f>
        <v>3</v>
      </c>
      <c r="U4" s="27">
        <f>MINA(B4:S4)</f>
        <v>1</v>
      </c>
      <c r="V4" s="27">
        <f>MAXA(B4:S4)</f>
        <v>6</v>
      </c>
      <c r="W4" s="27">
        <f>V4-U4</f>
        <v>5</v>
      </c>
      <c r="X4" s="28"/>
    </row>
    <row r="5" spans="1:24" ht="14.1" customHeight="1" x14ac:dyDescent="0.15">
      <c r="A5" s="5" t="s">
        <v>32</v>
      </c>
      <c r="B5" s="5">
        <v>8</v>
      </c>
      <c r="C5" s="5">
        <v>7</v>
      </c>
      <c r="D5" s="5">
        <v>4</v>
      </c>
      <c r="E5" s="27">
        <v>2</v>
      </c>
      <c r="F5" s="27">
        <v>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>AVERAGE(B5:S5)</f>
        <v>4.5999999999999996</v>
      </c>
      <c r="U5" s="27">
        <f>MINA(B5:S5)</f>
        <v>2</v>
      </c>
      <c r="V5" s="27">
        <f>MAXA(B5:S5)</f>
        <v>8</v>
      </c>
      <c r="W5" s="27">
        <f>V5-U5</f>
        <v>6</v>
      </c>
      <c r="X5" s="28"/>
    </row>
    <row r="6" spans="1:24" ht="14.1" customHeight="1" x14ac:dyDescent="0.15">
      <c r="A6" s="5" t="s">
        <v>54</v>
      </c>
      <c r="B6" s="5">
        <v>2</v>
      </c>
      <c r="C6" s="5">
        <v>5</v>
      </c>
      <c r="D6" s="5">
        <v>6</v>
      </c>
      <c r="E6" s="27">
        <v>5</v>
      </c>
      <c r="F6" s="27">
        <v>6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>AVERAGE(B6:S6)</f>
        <v>4.8</v>
      </c>
      <c r="U6" s="27">
        <f>MINA(B6:S6)</f>
        <v>2</v>
      </c>
      <c r="V6" s="27">
        <f>MAXA(B6:S6)</f>
        <v>6</v>
      </c>
      <c r="W6" s="27">
        <f>V6-U6</f>
        <v>4</v>
      </c>
      <c r="X6" s="28"/>
    </row>
    <row r="7" spans="1:24" ht="14.1" customHeight="1" x14ac:dyDescent="0.15">
      <c r="A7" s="5" t="s">
        <v>43</v>
      </c>
      <c r="B7" s="5">
        <v>5</v>
      </c>
      <c r="C7" s="5">
        <v>3</v>
      </c>
      <c r="D7" s="5">
        <v>5</v>
      </c>
      <c r="E7" s="27">
        <v>7</v>
      </c>
      <c r="F7" s="27">
        <v>7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>AVERAGE(B7:S7)</f>
        <v>5.4</v>
      </c>
      <c r="U7" s="27">
        <f>MINA(B7:S7)</f>
        <v>3</v>
      </c>
      <c r="V7" s="27">
        <f>MAXA(B7:S7)</f>
        <v>7</v>
      </c>
      <c r="W7" s="27">
        <f>V7-U7</f>
        <v>4</v>
      </c>
      <c r="X7" s="28"/>
    </row>
    <row r="8" spans="1:24" ht="14.1" customHeight="1" x14ac:dyDescent="0.15">
      <c r="A8" s="5" t="s">
        <v>35</v>
      </c>
      <c r="B8" s="5">
        <v>7</v>
      </c>
      <c r="C8" s="5">
        <v>6</v>
      </c>
      <c r="D8" s="5">
        <v>8</v>
      </c>
      <c r="E8" s="27">
        <v>6</v>
      </c>
      <c r="F8" s="27">
        <v>5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>AVERAGE(B8:S8)</f>
        <v>6.4</v>
      </c>
      <c r="U8" s="27">
        <f>MINA(B8:S8)</f>
        <v>5</v>
      </c>
      <c r="V8" s="27">
        <f>MAXA(B8:S8)</f>
        <v>8</v>
      </c>
      <c r="W8" s="27">
        <f>V8-U8</f>
        <v>3</v>
      </c>
      <c r="X8" s="28"/>
    </row>
    <row r="9" spans="1:24" ht="14.1" customHeight="1" x14ac:dyDescent="0.15">
      <c r="A9" s="5" t="s">
        <v>46</v>
      </c>
      <c r="B9" s="5">
        <v>3</v>
      </c>
      <c r="C9" s="5">
        <v>9</v>
      </c>
      <c r="D9" s="5">
        <v>7</v>
      </c>
      <c r="E9" s="27">
        <v>9</v>
      </c>
      <c r="F9" s="27">
        <v>9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>AVERAGE(B9:S9)</f>
        <v>7.4</v>
      </c>
      <c r="U9" s="27">
        <f>MINA(B9:S9)</f>
        <v>3</v>
      </c>
      <c r="V9" s="27">
        <f>MAXA(B9:S9)</f>
        <v>9</v>
      </c>
      <c r="W9" s="27">
        <f>V9-U9</f>
        <v>6</v>
      </c>
      <c r="X9" s="28"/>
    </row>
    <row r="10" spans="1:24" ht="14.1" customHeight="1" x14ac:dyDescent="0.15">
      <c r="A10" s="5" t="s">
        <v>52</v>
      </c>
      <c r="B10" s="5">
        <v>10</v>
      </c>
      <c r="C10" s="5">
        <v>8</v>
      </c>
      <c r="D10" s="5">
        <v>10</v>
      </c>
      <c r="E10" s="27">
        <v>10</v>
      </c>
      <c r="F10" s="27">
        <v>10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>AVERAGE(B10:S10)</f>
        <v>9.6</v>
      </c>
      <c r="U10" s="27">
        <f>MINA(B10:S10)</f>
        <v>8</v>
      </c>
      <c r="V10" s="27">
        <f>MAXA(B10:S10)</f>
        <v>10</v>
      </c>
      <c r="W10" s="27">
        <f>V10-U10</f>
        <v>2</v>
      </c>
      <c r="X10" s="28"/>
    </row>
    <row r="11" spans="1:24" ht="14.1" customHeight="1" x14ac:dyDescent="0.15">
      <c r="A11" s="5" t="s">
        <v>67</v>
      </c>
      <c r="B11" s="5">
        <v>9</v>
      </c>
      <c r="C11" s="5">
        <v>11</v>
      </c>
      <c r="D11" s="5">
        <v>9</v>
      </c>
      <c r="E11" s="27">
        <v>12</v>
      </c>
      <c r="F11" s="27">
        <v>12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>AVERAGE(B11:S11)</f>
        <v>10.6</v>
      </c>
      <c r="U11" s="27">
        <f>MINA(B11:S11)</f>
        <v>9</v>
      </c>
      <c r="V11" s="27">
        <f>MAXA(B11:S11)</f>
        <v>12</v>
      </c>
      <c r="W11" s="27">
        <f>V11-U11</f>
        <v>3</v>
      </c>
      <c r="X11" s="28"/>
    </row>
    <row r="12" spans="1:24" ht="14.1" customHeight="1" x14ac:dyDescent="0.15">
      <c r="A12" s="5" t="s">
        <v>65</v>
      </c>
      <c r="B12" s="5">
        <v>15</v>
      </c>
      <c r="C12" s="5">
        <v>10</v>
      </c>
      <c r="D12" s="5">
        <v>13</v>
      </c>
      <c r="E12" s="27">
        <v>11</v>
      </c>
      <c r="F12" s="27">
        <v>13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>AVERAGE(B12:S12)</f>
        <v>12.4</v>
      </c>
      <c r="U12" s="27">
        <f>MINA(B12:S12)</f>
        <v>10</v>
      </c>
      <c r="V12" s="27">
        <f>MAXA(B12:S12)</f>
        <v>15</v>
      </c>
      <c r="W12" s="27">
        <f>V12-U12</f>
        <v>5</v>
      </c>
      <c r="X12" s="28"/>
    </row>
    <row r="13" spans="1:24" ht="14.1" customHeight="1" x14ac:dyDescent="0.15">
      <c r="A13" s="5" t="s">
        <v>61</v>
      </c>
      <c r="B13" s="5">
        <v>18</v>
      </c>
      <c r="C13" s="5">
        <v>12</v>
      </c>
      <c r="D13" s="5">
        <v>12</v>
      </c>
      <c r="E13" s="27">
        <v>13</v>
      </c>
      <c r="F13" s="27">
        <v>11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>AVERAGE(B13:S13)</f>
        <v>13.2</v>
      </c>
      <c r="U13" s="27">
        <f>MINA(B13:S13)</f>
        <v>11</v>
      </c>
      <c r="V13" s="27">
        <f>MAXA(B13:S13)</f>
        <v>18</v>
      </c>
      <c r="W13" s="27">
        <f>V13-U13</f>
        <v>7</v>
      </c>
      <c r="X13" s="28"/>
    </row>
    <row r="14" spans="1:24" ht="14.1" customHeight="1" x14ac:dyDescent="0.15">
      <c r="A14" s="5" t="s">
        <v>56</v>
      </c>
      <c r="B14" s="5">
        <v>14</v>
      </c>
      <c r="C14" s="5">
        <v>14</v>
      </c>
      <c r="D14" s="5">
        <v>11</v>
      </c>
      <c r="E14" s="27">
        <v>16</v>
      </c>
      <c r="F14" s="27">
        <v>15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>AVERAGE(B14:S14)</f>
        <v>14</v>
      </c>
      <c r="U14" s="27">
        <f>MINA(B14:S14)</f>
        <v>11</v>
      </c>
      <c r="V14" s="27">
        <f>MAXA(B14:S14)</f>
        <v>16</v>
      </c>
      <c r="W14" s="27">
        <f>V14-U14</f>
        <v>5</v>
      </c>
      <c r="X14" s="28"/>
    </row>
    <row r="15" spans="1:24" ht="14.1" customHeight="1" x14ac:dyDescent="0.15">
      <c r="A15" s="5" t="s">
        <v>75</v>
      </c>
      <c r="B15" s="5">
        <v>13</v>
      </c>
      <c r="C15" s="5">
        <v>15</v>
      </c>
      <c r="D15" s="5">
        <v>14</v>
      </c>
      <c r="E15" s="27">
        <v>15</v>
      </c>
      <c r="F15" s="27">
        <v>16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>AVERAGE(B15:S15)</f>
        <v>14.6</v>
      </c>
      <c r="U15" s="27">
        <f>MINA(B15:S15)</f>
        <v>13</v>
      </c>
      <c r="V15" s="27">
        <f>MAXA(B15:S15)</f>
        <v>16</v>
      </c>
      <c r="W15" s="27">
        <f>V15-U15</f>
        <v>3</v>
      </c>
      <c r="X15" s="28"/>
    </row>
    <row r="16" spans="1:24" ht="14.1" customHeight="1" x14ac:dyDescent="0.15">
      <c r="A16" s="5" t="s">
        <v>41</v>
      </c>
      <c r="B16" s="5">
        <v>24</v>
      </c>
      <c r="C16" s="5">
        <v>21</v>
      </c>
      <c r="D16" s="5">
        <v>15</v>
      </c>
      <c r="E16" s="27">
        <v>8</v>
      </c>
      <c r="F16" s="27">
        <v>8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>AVERAGE(B16:S16)</f>
        <v>15.2</v>
      </c>
      <c r="U16" s="27">
        <f>MINA(B16:S16)</f>
        <v>8</v>
      </c>
      <c r="V16" s="27">
        <f>MAXA(B16:S16)</f>
        <v>24</v>
      </c>
      <c r="W16" s="27">
        <f>V16-U16</f>
        <v>16</v>
      </c>
      <c r="X16" s="28"/>
    </row>
    <row r="17" spans="1:24" ht="14.1" customHeight="1" x14ac:dyDescent="0.15">
      <c r="A17" s="5" t="s">
        <v>59</v>
      </c>
      <c r="B17" s="5">
        <v>16</v>
      </c>
      <c r="C17" s="5">
        <v>19</v>
      </c>
      <c r="D17" s="5">
        <v>17</v>
      </c>
      <c r="E17" s="27">
        <v>14</v>
      </c>
      <c r="F17" s="27">
        <v>14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>AVERAGE(B17:S17)</f>
        <v>16</v>
      </c>
      <c r="U17" s="27">
        <f>MINA(B17:S17)</f>
        <v>14</v>
      </c>
      <c r="V17" s="27">
        <f>MAXA(B17:S17)</f>
        <v>19</v>
      </c>
      <c r="W17" s="27">
        <f>V17-U17</f>
        <v>5</v>
      </c>
      <c r="X17" s="28"/>
    </row>
    <row r="18" spans="1:24" ht="14.1" customHeight="1" x14ac:dyDescent="0.15">
      <c r="A18" s="5" t="s">
        <v>71</v>
      </c>
      <c r="B18" s="5">
        <v>19</v>
      </c>
      <c r="C18" s="5">
        <v>13</v>
      </c>
      <c r="D18" s="5">
        <v>16</v>
      </c>
      <c r="E18" s="27">
        <v>19</v>
      </c>
      <c r="F18" s="27">
        <v>17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>AVERAGE(B18:S18)</f>
        <v>16.8</v>
      </c>
      <c r="U18" s="27">
        <f>MINA(B18:S18)</f>
        <v>13</v>
      </c>
      <c r="V18" s="27">
        <f>MAXA(B18:S18)</f>
        <v>19</v>
      </c>
      <c r="W18" s="27">
        <f>V18-U18</f>
        <v>6</v>
      </c>
      <c r="X18" s="28"/>
    </row>
    <row r="19" spans="1:24" ht="14.1" customHeight="1" x14ac:dyDescent="0.15">
      <c r="A19" s="5" t="s">
        <v>91</v>
      </c>
      <c r="B19" s="5">
        <v>11</v>
      </c>
      <c r="C19" s="5">
        <v>16</v>
      </c>
      <c r="D19" s="5">
        <v>18</v>
      </c>
      <c r="E19" s="27">
        <v>20</v>
      </c>
      <c r="F19" s="27">
        <v>20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>AVERAGE(B19:S19)</f>
        <v>17</v>
      </c>
      <c r="U19" s="27">
        <f>MINA(B19:S19)</f>
        <v>11</v>
      </c>
      <c r="V19" s="27">
        <f>MAXA(B19:S19)</f>
        <v>20</v>
      </c>
      <c r="W19" s="27">
        <f>V19-U19</f>
        <v>9</v>
      </c>
      <c r="X19" s="28"/>
    </row>
    <row r="20" spans="1:24" ht="14.1" customHeight="1" x14ac:dyDescent="0.15">
      <c r="A20" s="5" t="s">
        <v>81</v>
      </c>
      <c r="B20" s="5">
        <v>20</v>
      </c>
      <c r="C20" s="5">
        <v>18</v>
      </c>
      <c r="D20" s="5">
        <v>19</v>
      </c>
      <c r="E20" s="27">
        <v>17</v>
      </c>
      <c r="F20" s="27">
        <v>22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>AVERAGE(B20:S20)</f>
        <v>19.2</v>
      </c>
      <c r="U20" s="27">
        <f>MINA(B20:S20)</f>
        <v>17</v>
      </c>
      <c r="V20" s="27">
        <f>MAXA(B20:S20)</f>
        <v>22</v>
      </c>
      <c r="W20" s="27">
        <f>V20-U20</f>
        <v>5</v>
      </c>
      <c r="X20" s="28"/>
    </row>
    <row r="21" spans="1:24" ht="14.1" customHeight="1" x14ac:dyDescent="0.15">
      <c r="A21" s="5" t="s">
        <v>89</v>
      </c>
      <c r="B21" s="5">
        <v>12</v>
      </c>
      <c r="C21" s="5">
        <v>17</v>
      </c>
      <c r="D21" s="5">
        <v>25</v>
      </c>
      <c r="E21" s="27">
        <v>22</v>
      </c>
      <c r="F21" s="27">
        <v>26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>AVERAGE(B21:S21)</f>
        <v>20.399999999999999</v>
      </c>
      <c r="U21" s="27">
        <f>MINA(B21:S21)</f>
        <v>12</v>
      </c>
      <c r="V21" s="27">
        <f>MAXA(B21:S21)</f>
        <v>26</v>
      </c>
      <c r="W21" s="27">
        <f>V21-U21</f>
        <v>14</v>
      </c>
      <c r="X21" s="28"/>
    </row>
    <row r="22" spans="1:24" ht="14.1" customHeight="1" x14ac:dyDescent="0.15">
      <c r="A22" s="5" t="s">
        <v>77</v>
      </c>
      <c r="B22" s="5">
        <v>17</v>
      </c>
      <c r="C22" s="5">
        <v>20</v>
      </c>
      <c r="D22" s="5">
        <v>21</v>
      </c>
      <c r="E22" s="27">
        <v>21</v>
      </c>
      <c r="F22" s="27">
        <v>24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>AVERAGE(B22:S22)</f>
        <v>20.6</v>
      </c>
      <c r="U22" s="27">
        <f>MINA(B22:S22)</f>
        <v>17</v>
      </c>
      <c r="V22" s="27">
        <f>MAXA(B22:S22)</f>
        <v>24</v>
      </c>
      <c r="W22" s="27">
        <f>V22-U22</f>
        <v>7</v>
      </c>
      <c r="X22" s="28"/>
    </row>
    <row r="23" spans="1:24" ht="14.1" customHeight="1" x14ac:dyDescent="0.15">
      <c r="A23" s="5" t="s">
        <v>69</v>
      </c>
      <c r="B23" s="5">
        <v>23</v>
      </c>
      <c r="C23" s="5">
        <v>28</v>
      </c>
      <c r="D23" s="5">
        <v>20</v>
      </c>
      <c r="E23" s="27">
        <v>18</v>
      </c>
      <c r="F23" s="27">
        <v>18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>AVERAGE(B23:S23)</f>
        <v>21.4</v>
      </c>
      <c r="U23" s="27">
        <f>MINA(B23:S23)</f>
        <v>18</v>
      </c>
      <c r="V23" s="27">
        <f>MAXA(B23:S23)</f>
        <v>28</v>
      </c>
      <c r="W23" s="27">
        <f>V23-U23</f>
        <v>10</v>
      </c>
      <c r="X23" s="28"/>
    </row>
    <row r="24" spans="1:24" ht="14.1" customHeight="1" x14ac:dyDescent="0.15">
      <c r="A24" s="5" t="s">
        <v>79</v>
      </c>
      <c r="B24" s="5">
        <v>26</v>
      </c>
      <c r="C24" s="5">
        <v>22</v>
      </c>
      <c r="D24" s="5">
        <v>22</v>
      </c>
      <c r="E24" s="27">
        <v>23</v>
      </c>
      <c r="F24" s="27">
        <v>23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>AVERAGE(B24:S24)</f>
        <v>23.2</v>
      </c>
      <c r="U24" s="27">
        <f>MINA(B24:S24)</f>
        <v>22</v>
      </c>
      <c r="V24" s="27">
        <f>MAXA(B24:S24)</f>
        <v>26</v>
      </c>
      <c r="W24" s="27">
        <f>V24-U24</f>
        <v>4</v>
      </c>
      <c r="X24" s="28"/>
    </row>
    <row r="25" spans="1:24" ht="14.1" customHeight="1" x14ac:dyDescent="0.15">
      <c r="A25" s="5" t="s">
        <v>83</v>
      </c>
      <c r="B25" s="5">
        <v>22</v>
      </c>
      <c r="C25" s="5">
        <v>27</v>
      </c>
      <c r="D25" s="5">
        <v>23</v>
      </c>
      <c r="E25" s="27">
        <v>25</v>
      </c>
      <c r="F25" s="27">
        <v>25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>AVERAGE(B25:S25)</f>
        <v>24.4</v>
      </c>
      <c r="U25" s="27">
        <f>MINA(B25:S25)</f>
        <v>22</v>
      </c>
      <c r="V25" s="27">
        <f>MAXA(B25:S25)</f>
        <v>27</v>
      </c>
      <c r="W25" s="27">
        <f>V25-U25</f>
        <v>5</v>
      </c>
      <c r="X25" s="28"/>
    </row>
    <row r="26" spans="1:24" ht="14.1" customHeight="1" x14ac:dyDescent="0.15">
      <c r="A26" s="5" t="s">
        <v>73</v>
      </c>
      <c r="B26" s="5">
        <v>29</v>
      </c>
      <c r="C26" s="5">
        <v>23</v>
      </c>
      <c r="D26" s="5">
        <v>24</v>
      </c>
      <c r="E26" s="27">
        <v>26</v>
      </c>
      <c r="F26" s="27">
        <v>21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>AVERAGE(B26:S26)</f>
        <v>24.6</v>
      </c>
      <c r="U26" s="27">
        <f>MINA(B26:S26)</f>
        <v>21</v>
      </c>
      <c r="V26" s="27">
        <f>MAXA(B26:S26)</f>
        <v>29</v>
      </c>
      <c r="W26" s="27">
        <f>V26-U26</f>
        <v>8</v>
      </c>
      <c r="X26" s="28"/>
    </row>
    <row r="27" spans="1:24" ht="14.1" customHeight="1" x14ac:dyDescent="0.15">
      <c r="A27" s="5" t="s">
        <v>63</v>
      </c>
      <c r="B27" s="5">
        <v>27</v>
      </c>
      <c r="C27" s="5">
        <v>26</v>
      </c>
      <c r="D27" s="5">
        <v>29</v>
      </c>
      <c r="E27" s="27">
        <v>24</v>
      </c>
      <c r="F27" s="27">
        <v>19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>AVERAGE(B27:S27)</f>
        <v>25</v>
      </c>
      <c r="U27" s="27">
        <f>MINA(B27:S27)</f>
        <v>19</v>
      </c>
      <c r="V27" s="27">
        <f>MAXA(B27:S27)</f>
        <v>29</v>
      </c>
      <c r="W27" s="27">
        <f>V27-U27</f>
        <v>10</v>
      </c>
      <c r="X27" s="28"/>
    </row>
    <row r="28" spans="1:24" ht="14.1" customHeight="1" x14ac:dyDescent="0.15">
      <c r="A28" s="5" t="s">
        <v>85</v>
      </c>
      <c r="B28" s="5">
        <v>21</v>
      </c>
      <c r="C28" s="5">
        <v>24</v>
      </c>
      <c r="D28" s="5">
        <v>28</v>
      </c>
      <c r="E28" s="27">
        <v>27</v>
      </c>
      <c r="F28" s="27">
        <v>27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>AVERAGE(B28:S28)</f>
        <v>25.4</v>
      </c>
      <c r="U28" s="27">
        <f>MINA(B28:S28)</f>
        <v>21</v>
      </c>
      <c r="V28" s="27">
        <f>MAXA(B28:S28)</f>
        <v>28</v>
      </c>
      <c r="W28" s="27">
        <f>V28-U28</f>
        <v>7</v>
      </c>
      <c r="X28" s="28"/>
    </row>
    <row r="29" spans="1:24" ht="14.1" customHeight="1" x14ac:dyDescent="0.15">
      <c r="A29" s="5" t="s">
        <v>93</v>
      </c>
      <c r="B29" s="5">
        <v>25</v>
      </c>
      <c r="C29" s="5">
        <v>25</v>
      </c>
      <c r="D29" s="5">
        <v>27</v>
      </c>
      <c r="E29" s="27">
        <v>28</v>
      </c>
      <c r="F29" s="27">
        <v>29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>AVERAGE(B29:S29)</f>
        <v>26.8</v>
      </c>
      <c r="U29" s="27">
        <f>MINA(B29:S29)</f>
        <v>25</v>
      </c>
      <c r="V29" s="27">
        <f>MAXA(B29:S29)</f>
        <v>29</v>
      </c>
      <c r="W29" s="27">
        <f>V29-U29</f>
        <v>4</v>
      </c>
      <c r="X29" s="28"/>
    </row>
    <row r="30" spans="1:24" ht="14.1" customHeight="1" x14ac:dyDescent="0.15">
      <c r="A30" s="5" t="s">
        <v>87</v>
      </c>
      <c r="B30" s="5">
        <v>28</v>
      </c>
      <c r="C30" s="5">
        <v>32</v>
      </c>
      <c r="D30" s="5">
        <v>26</v>
      </c>
      <c r="E30" s="27">
        <v>29</v>
      </c>
      <c r="F30" s="27">
        <v>28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>AVERAGE(B30:S30)</f>
        <v>28.6</v>
      </c>
      <c r="U30" s="27">
        <f>MINA(B30:S30)</f>
        <v>26</v>
      </c>
      <c r="V30" s="27">
        <f>MAXA(B30:S30)</f>
        <v>32</v>
      </c>
      <c r="W30" s="27">
        <f>V30-U30</f>
        <v>6</v>
      </c>
      <c r="X30" s="28"/>
    </row>
    <row r="31" spans="1:24" ht="14.1" customHeight="1" x14ac:dyDescent="0.15">
      <c r="A31" s="5" t="s">
        <v>95</v>
      </c>
      <c r="B31" s="5">
        <v>30</v>
      </c>
      <c r="C31" s="5">
        <v>29</v>
      </c>
      <c r="D31" s="5">
        <v>31</v>
      </c>
      <c r="E31" s="27">
        <v>30</v>
      </c>
      <c r="F31" s="27">
        <v>30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>AVERAGE(B31:S31)</f>
        <v>30</v>
      </c>
      <c r="U31" s="27">
        <f>MINA(B31:S31)</f>
        <v>29</v>
      </c>
      <c r="V31" s="27">
        <f>MAXA(B31:S31)</f>
        <v>31</v>
      </c>
      <c r="W31" s="27">
        <f>V31-U31</f>
        <v>2</v>
      </c>
      <c r="X31" s="28"/>
    </row>
    <row r="32" spans="1:24" ht="14.1" customHeight="1" x14ac:dyDescent="0.15">
      <c r="A32" s="5" t="s">
        <v>97</v>
      </c>
      <c r="B32" s="5">
        <v>32</v>
      </c>
      <c r="C32" s="5">
        <v>31</v>
      </c>
      <c r="D32" s="5">
        <v>30</v>
      </c>
      <c r="E32" s="27">
        <v>31</v>
      </c>
      <c r="F32" s="27">
        <v>31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>AVERAGE(B32:S32)</f>
        <v>31</v>
      </c>
      <c r="U32" s="27">
        <f>MINA(B32:S32)</f>
        <v>30</v>
      </c>
      <c r="V32" s="27">
        <f>MAXA(B32:S32)</f>
        <v>32</v>
      </c>
      <c r="W32" s="27">
        <f>V32-U32</f>
        <v>2</v>
      </c>
      <c r="X32" s="28"/>
    </row>
    <row r="33" spans="1:24" ht="14.1" customHeight="1" x14ac:dyDescent="0.15">
      <c r="A33" s="5" t="s">
        <v>99</v>
      </c>
      <c r="B33" s="5">
        <v>31</v>
      </c>
      <c r="C33" s="5">
        <v>30</v>
      </c>
      <c r="D33" s="5">
        <v>32</v>
      </c>
      <c r="E33" s="27">
        <v>32</v>
      </c>
      <c r="F33" s="27">
        <v>32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>AVERAGE(B33:S33)</f>
        <v>31.4</v>
      </c>
      <c r="U33" s="27">
        <f>MINA(B33:S33)</f>
        <v>30</v>
      </c>
      <c r="V33" s="27">
        <f>MAXA(B33:S33)</f>
        <v>32</v>
      </c>
      <c r="W33" s="27">
        <f>V33-U33</f>
        <v>2</v>
      </c>
      <c r="X33" s="28"/>
    </row>
  </sheetData>
  <autoFilter ref="A1:X1">
    <sortState ref="A2:X33">
      <sortCondition ref="T1"/>
    </sortState>
  </autoFilter>
  <conditionalFormatting sqref="B2:S33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3"/>
  <sheetViews>
    <sheetView workbookViewId="0">
      <pane xSplit="1" topLeftCell="B1" activePane="topRight" state="frozen"/>
      <selection activeCell="G20" sqref="G20"/>
      <selection pane="topRight" activeCell="G20" sqref="G20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144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24" t="s">
        <v>8</v>
      </c>
      <c r="U1" s="24" t="s">
        <v>168</v>
      </c>
      <c r="V1" s="24" t="s">
        <v>169</v>
      </c>
      <c r="W1" s="25" t="s">
        <v>170</v>
      </c>
      <c r="X1" s="26" t="s">
        <v>28</v>
      </c>
    </row>
    <row r="2" spans="1:24" ht="14.1" customHeight="1" x14ac:dyDescent="0.15">
      <c r="A2" s="5" t="s">
        <v>91</v>
      </c>
      <c r="B2" s="5">
        <v>10</v>
      </c>
      <c r="C2" s="5">
        <v>16</v>
      </c>
      <c r="D2" s="5">
        <v>24</v>
      </c>
      <c r="E2" s="27">
        <v>31</v>
      </c>
      <c r="F2" s="27">
        <v>31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 t="shared" ref="T2:T33" si="0">AVERAGE(B2:S2)</f>
        <v>22.4</v>
      </c>
      <c r="U2" s="27">
        <f t="shared" ref="U2:U33" si="1">MINA(B2:S2)</f>
        <v>10</v>
      </c>
      <c r="V2" s="27">
        <f t="shared" ref="V2:V33" si="2">MAXA(B2:S2)</f>
        <v>31</v>
      </c>
      <c r="W2" s="27">
        <f t="shared" ref="W2:W33" si="3">V2-U2</f>
        <v>21</v>
      </c>
      <c r="X2" s="28"/>
    </row>
    <row r="3" spans="1:24" ht="14.1" customHeight="1" x14ac:dyDescent="0.15">
      <c r="A3" s="5" t="s">
        <v>63</v>
      </c>
      <c r="B3" s="5">
        <v>29</v>
      </c>
      <c r="C3" s="5">
        <v>27</v>
      </c>
      <c r="D3" s="5">
        <v>26</v>
      </c>
      <c r="E3" s="27">
        <v>19</v>
      </c>
      <c r="F3" s="27">
        <v>13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 t="shared" si="0"/>
        <v>22.8</v>
      </c>
      <c r="U3" s="27">
        <f t="shared" si="1"/>
        <v>13</v>
      </c>
      <c r="V3" s="27">
        <f t="shared" si="2"/>
        <v>29</v>
      </c>
      <c r="W3" s="27">
        <f t="shared" si="3"/>
        <v>16</v>
      </c>
      <c r="X3" s="28"/>
    </row>
    <row r="4" spans="1:24" ht="14.1" customHeight="1" x14ac:dyDescent="0.15">
      <c r="A4" s="5" t="s">
        <v>69</v>
      </c>
      <c r="B4" s="5">
        <v>25</v>
      </c>
      <c r="C4" s="5">
        <v>26</v>
      </c>
      <c r="D4" s="5">
        <v>16</v>
      </c>
      <c r="E4" s="27">
        <v>12</v>
      </c>
      <c r="F4" s="27">
        <v>18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 t="shared" si="0"/>
        <v>19.399999999999999</v>
      </c>
      <c r="U4" s="27">
        <f t="shared" si="1"/>
        <v>12</v>
      </c>
      <c r="V4" s="27">
        <f t="shared" si="2"/>
        <v>26</v>
      </c>
      <c r="W4" s="27">
        <f t="shared" si="3"/>
        <v>14</v>
      </c>
      <c r="X4" s="28"/>
    </row>
    <row r="5" spans="1:24" ht="14.1" customHeight="1" x14ac:dyDescent="0.15">
      <c r="A5" s="5" t="s">
        <v>32</v>
      </c>
      <c r="B5" s="5">
        <v>15</v>
      </c>
      <c r="C5" s="5">
        <v>11</v>
      </c>
      <c r="D5" s="5">
        <v>4</v>
      </c>
      <c r="E5" s="27">
        <v>1</v>
      </c>
      <c r="F5" s="27">
        <v>1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 t="shared" si="0"/>
        <v>6.4</v>
      </c>
      <c r="U5" s="27">
        <f t="shared" si="1"/>
        <v>1</v>
      </c>
      <c r="V5" s="27">
        <f t="shared" si="2"/>
        <v>15</v>
      </c>
      <c r="W5" s="27">
        <f t="shared" si="3"/>
        <v>14</v>
      </c>
      <c r="X5" s="28"/>
    </row>
    <row r="6" spans="1:24" ht="14.1" customHeight="1" x14ac:dyDescent="0.15">
      <c r="A6" s="5" t="s">
        <v>41</v>
      </c>
      <c r="B6" s="5">
        <v>19</v>
      </c>
      <c r="C6" s="5">
        <v>18</v>
      </c>
      <c r="D6" s="5">
        <v>12</v>
      </c>
      <c r="E6" s="27">
        <v>6</v>
      </c>
      <c r="F6" s="27">
        <v>5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 t="shared" si="0"/>
        <v>12</v>
      </c>
      <c r="U6" s="27">
        <f t="shared" si="1"/>
        <v>5</v>
      </c>
      <c r="V6" s="27">
        <f t="shared" si="2"/>
        <v>19</v>
      </c>
      <c r="W6" s="27">
        <f t="shared" si="3"/>
        <v>14</v>
      </c>
      <c r="X6" s="28"/>
    </row>
    <row r="7" spans="1:24" ht="14.1" customHeight="1" x14ac:dyDescent="0.15">
      <c r="A7" s="5" t="s">
        <v>71</v>
      </c>
      <c r="B7" s="5">
        <v>26</v>
      </c>
      <c r="C7" s="5">
        <v>15</v>
      </c>
      <c r="D7" s="5">
        <v>23</v>
      </c>
      <c r="E7" s="27">
        <v>29</v>
      </c>
      <c r="F7" s="27">
        <v>19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 t="shared" si="0"/>
        <v>22.4</v>
      </c>
      <c r="U7" s="27">
        <f t="shared" si="1"/>
        <v>15</v>
      </c>
      <c r="V7" s="27">
        <f t="shared" si="2"/>
        <v>29</v>
      </c>
      <c r="W7" s="27">
        <f t="shared" si="3"/>
        <v>14</v>
      </c>
      <c r="X7" s="28"/>
    </row>
    <row r="8" spans="1:24" ht="14.1" customHeight="1" x14ac:dyDescent="0.15">
      <c r="A8" s="5" t="s">
        <v>73</v>
      </c>
      <c r="B8" s="5">
        <v>30</v>
      </c>
      <c r="C8" s="5">
        <v>29</v>
      </c>
      <c r="D8" s="5">
        <v>22</v>
      </c>
      <c r="E8" s="27">
        <v>23</v>
      </c>
      <c r="F8" s="27">
        <v>17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 t="shared" si="0"/>
        <v>24.2</v>
      </c>
      <c r="U8" s="27">
        <f t="shared" si="1"/>
        <v>17</v>
      </c>
      <c r="V8" s="27">
        <f t="shared" si="2"/>
        <v>30</v>
      </c>
      <c r="W8" s="27">
        <f t="shared" si="3"/>
        <v>13</v>
      </c>
      <c r="X8" s="28"/>
    </row>
    <row r="9" spans="1:24" ht="14.1" customHeight="1" x14ac:dyDescent="0.15">
      <c r="A9" s="5" t="s">
        <v>75</v>
      </c>
      <c r="B9" s="5">
        <v>14</v>
      </c>
      <c r="C9" s="5">
        <v>13</v>
      </c>
      <c r="D9" s="5">
        <v>15</v>
      </c>
      <c r="E9" s="27">
        <v>22</v>
      </c>
      <c r="F9" s="27">
        <v>25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 t="shared" si="0"/>
        <v>17.8</v>
      </c>
      <c r="U9" s="27">
        <f t="shared" si="1"/>
        <v>13</v>
      </c>
      <c r="V9" s="27">
        <f t="shared" si="2"/>
        <v>25</v>
      </c>
      <c r="W9" s="27">
        <f t="shared" si="3"/>
        <v>12</v>
      </c>
      <c r="X9" s="28"/>
    </row>
    <row r="10" spans="1:24" ht="14.1" customHeight="1" x14ac:dyDescent="0.15">
      <c r="A10" s="5" t="s">
        <v>67</v>
      </c>
      <c r="B10" s="5">
        <v>4</v>
      </c>
      <c r="C10" s="5">
        <v>10</v>
      </c>
      <c r="D10" s="5">
        <v>10</v>
      </c>
      <c r="E10" s="27">
        <v>16</v>
      </c>
      <c r="F10" s="27">
        <v>16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 t="shared" si="0"/>
        <v>11.2</v>
      </c>
      <c r="U10" s="27">
        <f t="shared" si="1"/>
        <v>4</v>
      </c>
      <c r="V10" s="27">
        <f t="shared" si="2"/>
        <v>16</v>
      </c>
      <c r="W10" s="27">
        <f t="shared" si="3"/>
        <v>12</v>
      </c>
      <c r="X10" s="28"/>
    </row>
    <row r="11" spans="1:24" ht="14.1" customHeight="1" x14ac:dyDescent="0.15">
      <c r="A11" s="5" t="s">
        <v>43</v>
      </c>
      <c r="B11" s="5">
        <v>2</v>
      </c>
      <c r="C11" s="5">
        <v>1</v>
      </c>
      <c r="D11" s="5">
        <v>8</v>
      </c>
      <c r="E11" s="27">
        <v>13</v>
      </c>
      <c r="F11" s="27">
        <v>10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 t="shared" si="0"/>
        <v>6.8</v>
      </c>
      <c r="U11" s="27">
        <f t="shared" si="1"/>
        <v>1</v>
      </c>
      <c r="V11" s="27">
        <f t="shared" si="2"/>
        <v>13</v>
      </c>
      <c r="W11" s="27">
        <f t="shared" si="3"/>
        <v>12</v>
      </c>
      <c r="X11" s="28"/>
    </row>
    <row r="12" spans="1:24" ht="14.1" customHeight="1" x14ac:dyDescent="0.15">
      <c r="A12" s="5" t="s">
        <v>85</v>
      </c>
      <c r="B12" s="5">
        <v>17</v>
      </c>
      <c r="C12" s="5">
        <v>25</v>
      </c>
      <c r="D12" s="5">
        <v>28</v>
      </c>
      <c r="E12" s="27">
        <v>21</v>
      </c>
      <c r="F12" s="27">
        <v>23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 t="shared" si="0"/>
        <v>22.8</v>
      </c>
      <c r="U12" s="27">
        <f t="shared" si="1"/>
        <v>17</v>
      </c>
      <c r="V12" s="27">
        <f t="shared" si="2"/>
        <v>28</v>
      </c>
      <c r="W12" s="27">
        <f t="shared" si="3"/>
        <v>11</v>
      </c>
      <c r="X12" s="28"/>
    </row>
    <row r="13" spans="1:24" ht="14.1" customHeight="1" x14ac:dyDescent="0.15">
      <c r="A13" s="5" t="s">
        <v>65</v>
      </c>
      <c r="B13" s="5">
        <v>7</v>
      </c>
      <c r="C13" s="5">
        <v>6</v>
      </c>
      <c r="D13" s="5">
        <v>13</v>
      </c>
      <c r="E13" s="27">
        <v>9</v>
      </c>
      <c r="F13" s="27">
        <v>15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 t="shared" si="0"/>
        <v>10</v>
      </c>
      <c r="U13" s="27">
        <f t="shared" si="1"/>
        <v>6</v>
      </c>
      <c r="V13" s="27">
        <f t="shared" si="2"/>
        <v>15</v>
      </c>
      <c r="W13" s="27">
        <f t="shared" si="3"/>
        <v>9</v>
      </c>
      <c r="X13" s="28"/>
    </row>
    <row r="14" spans="1:24" ht="14.1" customHeight="1" x14ac:dyDescent="0.15">
      <c r="A14" s="5" t="s">
        <v>93</v>
      </c>
      <c r="B14" s="5">
        <v>21</v>
      </c>
      <c r="C14" s="5">
        <v>21</v>
      </c>
      <c r="D14" s="5">
        <v>30</v>
      </c>
      <c r="E14" s="27">
        <v>28</v>
      </c>
      <c r="F14" s="27">
        <v>29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 t="shared" si="0"/>
        <v>25.8</v>
      </c>
      <c r="U14" s="27">
        <f t="shared" si="1"/>
        <v>21</v>
      </c>
      <c r="V14" s="27">
        <f t="shared" si="2"/>
        <v>30</v>
      </c>
      <c r="W14" s="27">
        <f t="shared" si="3"/>
        <v>9</v>
      </c>
      <c r="X14" s="28"/>
    </row>
    <row r="15" spans="1:24" ht="14.1" customHeight="1" x14ac:dyDescent="0.15">
      <c r="A15" s="5" t="s">
        <v>59</v>
      </c>
      <c r="B15" s="5">
        <v>11</v>
      </c>
      <c r="C15" s="5">
        <v>20</v>
      </c>
      <c r="D15" s="5">
        <v>17</v>
      </c>
      <c r="E15" s="27">
        <v>14</v>
      </c>
      <c r="F15" s="27">
        <v>12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 t="shared" si="0"/>
        <v>14.8</v>
      </c>
      <c r="U15" s="27">
        <f t="shared" si="1"/>
        <v>11</v>
      </c>
      <c r="V15" s="27">
        <f t="shared" si="2"/>
        <v>20</v>
      </c>
      <c r="W15" s="27">
        <f t="shared" si="3"/>
        <v>9</v>
      </c>
      <c r="X15" s="28"/>
    </row>
    <row r="16" spans="1:24" ht="14.1" customHeight="1" x14ac:dyDescent="0.15">
      <c r="A16" s="5" t="s">
        <v>38</v>
      </c>
      <c r="B16" s="5">
        <v>9</v>
      </c>
      <c r="C16" s="5">
        <v>2</v>
      </c>
      <c r="D16" s="5">
        <v>1</v>
      </c>
      <c r="E16" s="27">
        <v>3</v>
      </c>
      <c r="F16" s="27">
        <v>3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 t="shared" si="0"/>
        <v>3.6</v>
      </c>
      <c r="U16" s="27">
        <f t="shared" si="1"/>
        <v>1</v>
      </c>
      <c r="V16" s="27">
        <f t="shared" si="2"/>
        <v>9</v>
      </c>
      <c r="W16" s="27">
        <f t="shared" si="3"/>
        <v>8</v>
      </c>
      <c r="X16" s="28"/>
    </row>
    <row r="17" spans="1:24" ht="14.1" customHeight="1" x14ac:dyDescent="0.15">
      <c r="A17" s="5" t="s">
        <v>95</v>
      </c>
      <c r="B17" s="5">
        <v>32</v>
      </c>
      <c r="C17" s="5">
        <v>32</v>
      </c>
      <c r="D17" s="5">
        <v>32</v>
      </c>
      <c r="E17" s="27">
        <v>25</v>
      </c>
      <c r="F17" s="27">
        <v>28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 t="shared" si="0"/>
        <v>29.8</v>
      </c>
      <c r="U17" s="27">
        <f t="shared" si="1"/>
        <v>25</v>
      </c>
      <c r="V17" s="27">
        <f t="shared" si="2"/>
        <v>32</v>
      </c>
      <c r="W17" s="27">
        <f t="shared" si="3"/>
        <v>7</v>
      </c>
      <c r="X17" s="28"/>
    </row>
    <row r="18" spans="1:24" ht="14.1" customHeight="1" x14ac:dyDescent="0.15">
      <c r="A18" s="5" t="s">
        <v>89</v>
      </c>
      <c r="B18" s="5">
        <v>24</v>
      </c>
      <c r="C18" s="5">
        <v>24</v>
      </c>
      <c r="D18" s="5">
        <v>31</v>
      </c>
      <c r="E18" s="27">
        <v>30</v>
      </c>
      <c r="F18" s="27">
        <v>30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 t="shared" si="0"/>
        <v>27.8</v>
      </c>
      <c r="U18" s="27">
        <f t="shared" si="1"/>
        <v>24</v>
      </c>
      <c r="V18" s="27">
        <f t="shared" si="2"/>
        <v>31</v>
      </c>
      <c r="W18" s="27">
        <f t="shared" si="3"/>
        <v>7</v>
      </c>
      <c r="X18" s="28"/>
    </row>
    <row r="19" spans="1:24" ht="14.1" customHeight="1" x14ac:dyDescent="0.15">
      <c r="A19" s="5" t="s">
        <v>61</v>
      </c>
      <c r="B19" s="5">
        <v>12</v>
      </c>
      <c r="C19" s="5">
        <v>8</v>
      </c>
      <c r="D19" s="5">
        <v>9</v>
      </c>
      <c r="E19" s="27">
        <v>15</v>
      </c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 t="shared" si="0"/>
        <v>11.6</v>
      </c>
      <c r="U19" s="27">
        <f t="shared" si="1"/>
        <v>8</v>
      </c>
      <c r="V19" s="27">
        <f t="shared" si="2"/>
        <v>15</v>
      </c>
      <c r="W19" s="27">
        <f t="shared" si="3"/>
        <v>7</v>
      </c>
      <c r="X19" s="28"/>
    </row>
    <row r="20" spans="1:24" ht="14.1" customHeight="1" x14ac:dyDescent="0.15">
      <c r="A20" s="5" t="s">
        <v>49</v>
      </c>
      <c r="B20" s="5">
        <v>1</v>
      </c>
      <c r="C20" s="5">
        <v>4</v>
      </c>
      <c r="D20" s="5">
        <v>2</v>
      </c>
      <c r="E20" s="27">
        <v>8</v>
      </c>
      <c r="F20" s="27">
        <v>7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 t="shared" si="0"/>
        <v>4.4000000000000004</v>
      </c>
      <c r="U20" s="27">
        <f t="shared" si="1"/>
        <v>1</v>
      </c>
      <c r="V20" s="27">
        <f t="shared" si="2"/>
        <v>8</v>
      </c>
      <c r="W20" s="27">
        <f t="shared" si="3"/>
        <v>7</v>
      </c>
      <c r="X20" s="28"/>
    </row>
    <row r="21" spans="1:24" ht="14.1" customHeight="1" x14ac:dyDescent="0.15">
      <c r="A21" s="5" t="s">
        <v>54</v>
      </c>
      <c r="B21" s="5">
        <v>3</v>
      </c>
      <c r="C21" s="5">
        <v>7</v>
      </c>
      <c r="D21" s="5">
        <v>7</v>
      </c>
      <c r="E21" s="27">
        <v>5</v>
      </c>
      <c r="F21" s="27">
        <v>9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 t="shared" si="0"/>
        <v>6.2</v>
      </c>
      <c r="U21" s="27">
        <f t="shared" si="1"/>
        <v>3</v>
      </c>
      <c r="V21" s="27">
        <f t="shared" si="2"/>
        <v>9</v>
      </c>
      <c r="W21" s="27">
        <f t="shared" si="3"/>
        <v>6</v>
      </c>
      <c r="X21" s="28"/>
    </row>
    <row r="22" spans="1:24" ht="14.1" customHeight="1" x14ac:dyDescent="0.15">
      <c r="A22" s="5" t="s">
        <v>97</v>
      </c>
      <c r="B22" s="5">
        <v>31</v>
      </c>
      <c r="C22" s="5">
        <v>31</v>
      </c>
      <c r="D22" s="5">
        <v>25</v>
      </c>
      <c r="E22" s="27">
        <v>26</v>
      </c>
      <c r="F22" s="27">
        <v>26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 t="shared" si="0"/>
        <v>27.8</v>
      </c>
      <c r="U22" s="27">
        <f t="shared" si="1"/>
        <v>25</v>
      </c>
      <c r="V22" s="27">
        <f t="shared" si="2"/>
        <v>31</v>
      </c>
      <c r="W22" s="27">
        <f t="shared" si="3"/>
        <v>6</v>
      </c>
      <c r="X22" s="28"/>
    </row>
    <row r="23" spans="1:24" ht="14.1" customHeight="1" x14ac:dyDescent="0.15">
      <c r="A23" s="5" t="s">
        <v>52</v>
      </c>
      <c r="B23" s="5">
        <v>13</v>
      </c>
      <c r="C23" s="5">
        <v>12</v>
      </c>
      <c r="D23" s="5">
        <v>14</v>
      </c>
      <c r="E23" s="27">
        <v>10</v>
      </c>
      <c r="F23" s="27">
        <v>8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 t="shared" si="0"/>
        <v>11.4</v>
      </c>
      <c r="U23" s="27">
        <f t="shared" si="1"/>
        <v>8</v>
      </c>
      <c r="V23" s="27">
        <f t="shared" si="2"/>
        <v>14</v>
      </c>
      <c r="W23" s="27">
        <f t="shared" si="3"/>
        <v>6</v>
      </c>
      <c r="X23" s="28"/>
    </row>
    <row r="24" spans="1:24" ht="14.1" customHeight="1" x14ac:dyDescent="0.15">
      <c r="A24" s="5" t="s">
        <v>56</v>
      </c>
      <c r="B24" s="5">
        <v>16</v>
      </c>
      <c r="C24" s="5">
        <v>14</v>
      </c>
      <c r="D24" s="5">
        <v>11</v>
      </c>
      <c r="E24" s="27">
        <v>11</v>
      </c>
      <c r="F24" s="27">
        <v>11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 t="shared" si="0"/>
        <v>12.6</v>
      </c>
      <c r="U24" s="27">
        <f t="shared" si="1"/>
        <v>11</v>
      </c>
      <c r="V24" s="27">
        <f t="shared" si="2"/>
        <v>16</v>
      </c>
      <c r="W24" s="27">
        <f t="shared" si="3"/>
        <v>5</v>
      </c>
      <c r="X24" s="28"/>
    </row>
    <row r="25" spans="1:24" ht="14.1" customHeight="1" x14ac:dyDescent="0.15">
      <c r="A25" s="5" t="s">
        <v>77</v>
      </c>
      <c r="B25" s="5">
        <v>18</v>
      </c>
      <c r="C25" s="5">
        <v>22</v>
      </c>
      <c r="D25" s="5">
        <v>21</v>
      </c>
      <c r="E25" s="27">
        <v>18</v>
      </c>
      <c r="F25" s="27">
        <v>22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 t="shared" si="0"/>
        <v>20.2</v>
      </c>
      <c r="U25" s="27">
        <f t="shared" si="1"/>
        <v>18</v>
      </c>
      <c r="V25" s="27">
        <f t="shared" si="2"/>
        <v>22</v>
      </c>
      <c r="W25" s="27">
        <f t="shared" si="3"/>
        <v>4</v>
      </c>
      <c r="X25" s="28"/>
    </row>
    <row r="26" spans="1:24" ht="14.1" customHeight="1" x14ac:dyDescent="0.15">
      <c r="A26" s="5" t="s">
        <v>81</v>
      </c>
      <c r="B26" s="5">
        <v>20</v>
      </c>
      <c r="C26" s="5">
        <v>17</v>
      </c>
      <c r="D26" s="5">
        <v>18</v>
      </c>
      <c r="E26" s="27">
        <v>17</v>
      </c>
      <c r="F26" s="27">
        <v>21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 t="shared" si="0"/>
        <v>18.600000000000001</v>
      </c>
      <c r="U26" s="27">
        <f t="shared" si="1"/>
        <v>17</v>
      </c>
      <c r="V26" s="27">
        <f t="shared" si="2"/>
        <v>21</v>
      </c>
      <c r="W26" s="27">
        <f t="shared" si="3"/>
        <v>4</v>
      </c>
      <c r="X26" s="28"/>
    </row>
    <row r="27" spans="1:24" ht="14.1" customHeight="1" x14ac:dyDescent="0.15">
      <c r="A27" s="5" t="s">
        <v>83</v>
      </c>
      <c r="B27" s="5">
        <v>23</v>
      </c>
      <c r="C27" s="5">
        <v>23</v>
      </c>
      <c r="D27" s="5">
        <v>20</v>
      </c>
      <c r="E27" s="27">
        <v>24</v>
      </c>
      <c r="F27" s="27">
        <v>24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 t="shared" si="0"/>
        <v>22.8</v>
      </c>
      <c r="U27" s="27">
        <f t="shared" si="1"/>
        <v>20</v>
      </c>
      <c r="V27" s="27">
        <f t="shared" si="2"/>
        <v>24</v>
      </c>
      <c r="W27" s="27">
        <f t="shared" si="3"/>
        <v>4</v>
      </c>
      <c r="X27" s="28"/>
    </row>
    <row r="28" spans="1:24" ht="14.1" customHeight="1" x14ac:dyDescent="0.15">
      <c r="A28" s="5" t="s">
        <v>99</v>
      </c>
      <c r="B28" s="5">
        <v>28</v>
      </c>
      <c r="C28" s="5">
        <v>28</v>
      </c>
      <c r="D28" s="5">
        <v>29</v>
      </c>
      <c r="E28" s="27">
        <v>32</v>
      </c>
      <c r="F28" s="27">
        <v>32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 t="shared" si="0"/>
        <v>29.8</v>
      </c>
      <c r="U28" s="27">
        <f t="shared" si="1"/>
        <v>28</v>
      </c>
      <c r="V28" s="27">
        <f t="shared" si="2"/>
        <v>32</v>
      </c>
      <c r="W28" s="27">
        <f t="shared" si="3"/>
        <v>4</v>
      </c>
      <c r="X28" s="28"/>
    </row>
    <row r="29" spans="1:24" ht="14.1" customHeight="1" x14ac:dyDescent="0.15">
      <c r="A29" s="5" t="s">
        <v>46</v>
      </c>
      <c r="B29" s="5">
        <v>8</v>
      </c>
      <c r="C29" s="5">
        <v>9</v>
      </c>
      <c r="D29" s="5">
        <v>5</v>
      </c>
      <c r="E29" s="27">
        <v>7</v>
      </c>
      <c r="F29" s="27">
        <v>6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 t="shared" si="0"/>
        <v>7</v>
      </c>
      <c r="U29" s="27">
        <f t="shared" si="1"/>
        <v>5</v>
      </c>
      <c r="V29" s="27">
        <f t="shared" si="2"/>
        <v>9</v>
      </c>
      <c r="W29" s="27">
        <f t="shared" si="3"/>
        <v>4</v>
      </c>
      <c r="X29" s="28"/>
    </row>
    <row r="30" spans="1:24" ht="14.1" customHeight="1" x14ac:dyDescent="0.15">
      <c r="A30" s="5" t="s">
        <v>35</v>
      </c>
      <c r="B30" s="5">
        <v>6</v>
      </c>
      <c r="C30" s="5">
        <v>3</v>
      </c>
      <c r="D30" s="5">
        <v>6</v>
      </c>
      <c r="E30" s="27">
        <v>4</v>
      </c>
      <c r="F30" s="27">
        <v>4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 t="shared" si="0"/>
        <v>4.5999999999999996</v>
      </c>
      <c r="U30" s="27">
        <f t="shared" si="1"/>
        <v>3</v>
      </c>
      <c r="V30" s="27">
        <f t="shared" si="2"/>
        <v>6</v>
      </c>
      <c r="W30" s="27">
        <f t="shared" si="3"/>
        <v>3</v>
      </c>
      <c r="X30" s="28"/>
    </row>
    <row r="31" spans="1:24" ht="14.1" customHeight="1" x14ac:dyDescent="0.15">
      <c r="A31" s="5" t="s">
        <v>29</v>
      </c>
      <c r="B31" s="5">
        <v>5</v>
      </c>
      <c r="C31" s="5">
        <v>5</v>
      </c>
      <c r="D31" s="5">
        <v>3</v>
      </c>
      <c r="E31" s="27">
        <v>2</v>
      </c>
      <c r="F31" s="27">
        <v>2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 t="shared" si="0"/>
        <v>3.4</v>
      </c>
      <c r="U31" s="27">
        <f t="shared" si="1"/>
        <v>2</v>
      </c>
      <c r="V31" s="27">
        <f t="shared" si="2"/>
        <v>5</v>
      </c>
      <c r="W31" s="27">
        <f t="shared" si="3"/>
        <v>3</v>
      </c>
      <c r="X31" s="28"/>
    </row>
    <row r="32" spans="1:24" ht="14.1" customHeight="1" x14ac:dyDescent="0.15">
      <c r="A32" s="5" t="s">
        <v>87</v>
      </c>
      <c r="B32" s="5">
        <v>27</v>
      </c>
      <c r="C32" s="5">
        <v>30</v>
      </c>
      <c r="D32" s="5">
        <v>27</v>
      </c>
      <c r="E32" s="27">
        <v>27</v>
      </c>
      <c r="F32" s="27">
        <v>27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 t="shared" si="0"/>
        <v>27.6</v>
      </c>
      <c r="U32" s="27">
        <f t="shared" si="1"/>
        <v>27</v>
      </c>
      <c r="V32" s="27">
        <f t="shared" si="2"/>
        <v>30</v>
      </c>
      <c r="W32" s="27">
        <f t="shared" si="3"/>
        <v>3</v>
      </c>
      <c r="X32" s="28"/>
    </row>
    <row r="33" spans="1:24" ht="14.1" customHeight="1" x14ac:dyDescent="0.15">
      <c r="A33" s="5" t="s">
        <v>79</v>
      </c>
      <c r="B33" s="5">
        <v>22</v>
      </c>
      <c r="C33" s="5">
        <v>19</v>
      </c>
      <c r="D33" s="5">
        <v>19</v>
      </c>
      <c r="E33" s="27">
        <v>20</v>
      </c>
      <c r="F33" s="27">
        <v>20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 t="shared" si="0"/>
        <v>20</v>
      </c>
      <c r="U33" s="27">
        <f t="shared" si="1"/>
        <v>19</v>
      </c>
      <c r="V33" s="27">
        <f t="shared" si="2"/>
        <v>22</v>
      </c>
      <c r="W33" s="27">
        <f t="shared" si="3"/>
        <v>3</v>
      </c>
      <c r="X33" s="28"/>
    </row>
  </sheetData>
  <autoFilter ref="A1:X1">
    <sortState ref="A2:X33">
      <sortCondition descending="1" ref="W1"/>
    </sortState>
  </autoFilter>
  <conditionalFormatting sqref="B2:S33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3"/>
  <sheetViews>
    <sheetView workbookViewId="0">
      <pane xSplit="1" topLeftCell="B1" activePane="topRight" state="frozen"/>
      <selection activeCell="G20" sqref="G20"/>
      <selection pane="topRight" activeCell="G20" sqref="G20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144</v>
      </c>
      <c r="C1" s="23" t="s">
        <v>24</v>
      </c>
      <c r="D1" s="3" t="s">
        <v>25</v>
      </c>
      <c r="E1" s="3" t="s">
        <v>26</v>
      </c>
      <c r="F1" s="3" t="s">
        <v>27</v>
      </c>
      <c r="G1" s="3" t="s">
        <v>155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24" t="s">
        <v>8</v>
      </c>
      <c r="U1" s="24" t="s">
        <v>168</v>
      </c>
      <c r="V1" s="24" t="s">
        <v>169</v>
      </c>
      <c r="W1" s="25" t="s">
        <v>170</v>
      </c>
      <c r="X1" s="26" t="s">
        <v>28</v>
      </c>
    </row>
    <row r="2" spans="1:24" ht="14.1" customHeight="1" x14ac:dyDescent="0.15">
      <c r="A2" s="5" t="s">
        <v>91</v>
      </c>
      <c r="B2" s="5">
        <v>14</v>
      </c>
      <c r="C2" s="5">
        <v>15</v>
      </c>
      <c r="D2" s="5">
        <v>23</v>
      </c>
      <c r="E2" s="27">
        <v>30</v>
      </c>
      <c r="F2" s="27">
        <v>30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f t="shared" ref="T2:T33" si="0">AVERAGE(B2:S2)</f>
        <v>22.4</v>
      </c>
      <c r="U2" s="27">
        <f t="shared" ref="U2:U33" si="1">MINA(B2:S2)</f>
        <v>14</v>
      </c>
      <c r="V2" s="27">
        <f t="shared" ref="V2:V33" si="2">MAXA(B2:S2)</f>
        <v>30</v>
      </c>
      <c r="W2" s="27">
        <f t="shared" ref="W2:W33" si="3">V2-U2</f>
        <v>16</v>
      </c>
      <c r="X2" s="28"/>
    </row>
    <row r="3" spans="1:24" ht="14.1" customHeight="1" x14ac:dyDescent="0.15">
      <c r="A3" s="5" t="s">
        <v>41</v>
      </c>
      <c r="B3" s="5">
        <v>19</v>
      </c>
      <c r="C3" s="5">
        <v>19</v>
      </c>
      <c r="D3" s="5">
        <v>12</v>
      </c>
      <c r="E3" s="27">
        <v>5</v>
      </c>
      <c r="F3" s="27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f t="shared" si="0"/>
        <v>11.8</v>
      </c>
      <c r="U3" s="27">
        <f t="shared" si="1"/>
        <v>4</v>
      </c>
      <c r="V3" s="27">
        <f t="shared" si="2"/>
        <v>19</v>
      </c>
      <c r="W3" s="27">
        <f t="shared" si="3"/>
        <v>15</v>
      </c>
      <c r="X3" s="28"/>
    </row>
    <row r="4" spans="1:24" ht="14.1" customHeight="1" x14ac:dyDescent="0.15">
      <c r="A4" s="5" t="s">
        <v>63</v>
      </c>
      <c r="B4" s="5">
        <v>31</v>
      </c>
      <c r="C4" s="5">
        <v>30</v>
      </c>
      <c r="D4" s="5">
        <v>30</v>
      </c>
      <c r="E4" s="27">
        <v>26</v>
      </c>
      <c r="F4" s="27">
        <v>17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f t="shared" si="0"/>
        <v>26.8</v>
      </c>
      <c r="U4" s="27">
        <f t="shared" si="1"/>
        <v>17</v>
      </c>
      <c r="V4" s="27">
        <f t="shared" si="2"/>
        <v>31</v>
      </c>
      <c r="W4" s="27">
        <f t="shared" si="3"/>
        <v>14</v>
      </c>
      <c r="X4" s="28"/>
    </row>
    <row r="5" spans="1:24" ht="14.1" customHeight="1" x14ac:dyDescent="0.15">
      <c r="A5" s="5" t="s">
        <v>69</v>
      </c>
      <c r="B5" s="5">
        <v>21</v>
      </c>
      <c r="C5" s="5">
        <v>24</v>
      </c>
      <c r="D5" s="5">
        <v>19</v>
      </c>
      <c r="E5" s="27">
        <v>12</v>
      </c>
      <c r="F5" s="27">
        <v>20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f t="shared" si="0"/>
        <v>19.2</v>
      </c>
      <c r="U5" s="27">
        <f t="shared" si="1"/>
        <v>12</v>
      </c>
      <c r="V5" s="27">
        <f t="shared" si="2"/>
        <v>24</v>
      </c>
      <c r="W5" s="27">
        <f t="shared" si="3"/>
        <v>12</v>
      </c>
      <c r="X5" s="28"/>
    </row>
    <row r="6" spans="1:24" ht="14.1" customHeight="1" x14ac:dyDescent="0.15">
      <c r="A6" s="5" t="s">
        <v>75</v>
      </c>
      <c r="B6" s="5">
        <v>11</v>
      </c>
      <c r="C6" s="5">
        <v>11</v>
      </c>
      <c r="D6" s="5">
        <v>14</v>
      </c>
      <c r="E6" s="27">
        <v>19</v>
      </c>
      <c r="F6" s="27">
        <v>23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f t="shared" si="0"/>
        <v>15.6</v>
      </c>
      <c r="U6" s="27">
        <f t="shared" si="1"/>
        <v>11</v>
      </c>
      <c r="V6" s="27">
        <f t="shared" si="2"/>
        <v>23</v>
      </c>
      <c r="W6" s="27">
        <f t="shared" si="3"/>
        <v>12</v>
      </c>
      <c r="X6" s="28"/>
    </row>
    <row r="7" spans="1:24" ht="14.1" customHeight="1" x14ac:dyDescent="0.15">
      <c r="A7" s="5" t="s">
        <v>54</v>
      </c>
      <c r="B7" s="5">
        <v>1</v>
      </c>
      <c r="C7" s="5">
        <v>5</v>
      </c>
      <c r="D7" s="5">
        <v>5</v>
      </c>
      <c r="E7" s="27">
        <v>4</v>
      </c>
      <c r="F7" s="27">
        <v>12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f t="shared" si="0"/>
        <v>5.4</v>
      </c>
      <c r="U7" s="27">
        <f t="shared" si="1"/>
        <v>1</v>
      </c>
      <c r="V7" s="27">
        <f t="shared" si="2"/>
        <v>12</v>
      </c>
      <c r="W7" s="27">
        <f t="shared" si="3"/>
        <v>11</v>
      </c>
      <c r="X7" s="28"/>
    </row>
    <row r="8" spans="1:24" ht="14.1" customHeight="1" x14ac:dyDescent="0.15">
      <c r="A8" s="5" t="s">
        <v>77</v>
      </c>
      <c r="B8" s="5">
        <v>23</v>
      </c>
      <c r="C8" s="5">
        <v>25</v>
      </c>
      <c r="D8" s="5">
        <v>20</v>
      </c>
      <c r="E8" s="27">
        <v>14</v>
      </c>
      <c r="F8" s="27">
        <v>18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f t="shared" si="0"/>
        <v>20</v>
      </c>
      <c r="U8" s="27">
        <f t="shared" si="1"/>
        <v>14</v>
      </c>
      <c r="V8" s="27">
        <f t="shared" si="2"/>
        <v>25</v>
      </c>
      <c r="W8" s="27">
        <f t="shared" si="3"/>
        <v>11</v>
      </c>
      <c r="X8" s="28"/>
    </row>
    <row r="9" spans="1:24" ht="14.1" customHeight="1" x14ac:dyDescent="0.15">
      <c r="A9" s="5" t="s">
        <v>32</v>
      </c>
      <c r="B9" s="5">
        <v>12</v>
      </c>
      <c r="C9" s="5">
        <v>9</v>
      </c>
      <c r="D9" s="5">
        <v>3</v>
      </c>
      <c r="E9" s="27">
        <v>2</v>
      </c>
      <c r="F9" s="27">
        <v>2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f t="shared" si="0"/>
        <v>5.6</v>
      </c>
      <c r="U9" s="27">
        <f t="shared" si="1"/>
        <v>2</v>
      </c>
      <c r="V9" s="27">
        <f t="shared" si="2"/>
        <v>12</v>
      </c>
      <c r="W9" s="27">
        <f t="shared" si="3"/>
        <v>10</v>
      </c>
      <c r="X9" s="28"/>
    </row>
    <row r="10" spans="1:24" ht="14.1" customHeight="1" x14ac:dyDescent="0.15">
      <c r="A10" s="5" t="s">
        <v>61</v>
      </c>
      <c r="B10" s="5">
        <v>8</v>
      </c>
      <c r="C10" s="5">
        <v>7</v>
      </c>
      <c r="D10" s="5">
        <v>9</v>
      </c>
      <c r="E10" s="27">
        <v>17</v>
      </c>
      <c r="F10" s="27">
        <v>14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f t="shared" si="0"/>
        <v>11</v>
      </c>
      <c r="U10" s="27">
        <f t="shared" si="1"/>
        <v>7</v>
      </c>
      <c r="V10" s="27">
        <f t="shared" si="2"/>
        <v>17</v>
      </c>
      <c r="W10" s="27">
        <f t="shared" si="3"/>
        <v>10</v>
      </c>
      <c r="X10" s="28"/>
    </row>
    <row r="11" spans="1:24" ht="14.1" customHeight="1" x14ac:dyDescent="0.15">
      <c r="A11" s="5" t="s">
        <v>71</v>
      </c>
      <c r="B11" s="5">
        <v>25</v>
      </c>
      <c r="C11" s="5">
        <v>17</v>
      </c>
      <c r="D11" s="5">
        <v>18</v>
      </c>
      <c r="E11" s="27">
        <v>21</v>
      </c>
      <c r="F11" s="27">
        <v>15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f t="shared" si="0"/>
        <v>19.2</v>
      </c>
      <c r="U11" s="27">
        <f t="shared" si="1"/>
        <v>15</v>
      </c>
      <c r="V11" s="27">
        <f t="shared" si="2"/>
        <v>25</v>
      </c>
      <c r="W11" s="27">
        <f t="shared" si="3"/>
        <v>10</v>
      </c>
      <c r="X11" s="28"/>
    </row>
    <row r="12" spans="1:24" ht="14.1" customHeight="1" x14ac:dyDescent="0.15">
      <c r="A12" s="5" t="s">
        <v>85</v>
      </c>
      <c r="B12" s="5">
        <v>18</v>
      </c>
      <c r="C12" s="5">
        <v>21</v>
      </c>
      <c r="D12" s="5">
        <v>27</v>
      </c>
      <c r="E12" s="27">
        <v>23</v>
      </c>
      <c r="F12" s="27">
        <v>26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f t="shared" si="0"/>
        <v>23</v>
      </c>
      <c r="U12" s="27">
        <f t="shared" si="1"/>
        <v>18</v>
      </c>
      <c r="V12" s="27">
        <f t="shared" si="2"/>
        <v>27</v>
      </c>
      <c r="W12" s="27">
        <f t="shared" si="3"/>
        <v>9</v>
      </c>
      <c r="X12" s="28"/>
    </row>
    <row r="13" spans="1:24" ht="14.1" customHeight="1" x14ac:dyDescent="0.15">
      <c r="A13" s="5" t="s">
        <v>89</v>
      </c>
      <c r="B13" s="5">
        <v>17</v>
      </c>
      <c r="C13" s="5">
        <v>18</v>
      </c>
      <c r="D13" s="5">
        <v>26</v>
      </c>
      <c r="E13" s="27">
        <v>22</v>
      </c>
      <c r="F13" s="27">
        <v>24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f t="shared" si="0"/>
        <v>21.4</v>
      </c>
      <c r="U13" s="27">
        <f t="shared" si="1"/>
        <v>17</v>
      </c>
      <c r="V13" s="27">
        <f t="shared" si="2"/>
        <v>26</v>
      </c>
      <c r="W13" s="27">
        <f t="shared" si="3"/>
        <v>9</v>
      </c>
      <c r="X13" s="28"/>
    </row>
    <row r="14" spans="1:24" ht="14.1" customHeight="1" x14ac:dyDescent="0.15">
      <c r="A14" s="5" t="s">
        <v>67</v>
      </c>
      <c r="B14" s="5">
        <v>7</v>
      </c>
      <c r="C14" s="5">
        <v>12</v>
      </c>
      <c r="D14" s="5">
        <v>11</v>
      </c>
      <c r="E14" s="27">
        <v>16</v>
      </c>
      <c r="F14" s="27">
        <v>16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f t="shared" si="0"/>
        <v>12.4</v>
      </c>
      <c r="U14" s="27">
        <f t="shared" si="1"/>
        <v>7</v>
      </c>
      <c r="V14" s="27">
        <f t="shared" si="2"/>
        <v>16</v>
      </c>
      <c r="W14" s="27">
        <f t="shared" si="3"/>
        <v>9</v>
      </c>
      <c r="X14" s="28"/>
    </row>
    <row r="15" spans="1:24" ht="14.1" customHeight="1" x14ac:dyDescent="0.15">
      <c r="A15" s="5" t="s">
        <v>59</v>
      </c>
      <c r="B15" s="5">
        <v>20</v>
      </c>
      <c r="C15" s="5">
        <v>22</v>
      </c>
      <c r="D15" s="5">
        <v>21</v>
      </c>
      <c r="E15" s="27">
        <v>15</v>
      </c>
      <c r="F15" s="27">
        <v>13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f t="shared" si="0"/>
        <v>18.2</v>
      </c>
      <c r="U15" s="27">
        <f t="shared" si="1"/>
        <v>13</v>
      </c>
      <c r="V15" s="27">
        <f t="shared" si="2"/>
        <v>22</v>
      </c>
      <c r="W15" s="27">
        <f t="shared" si="3"/>
        <v>9</v>
      </c>
      <c r="X15" s="28"/>
    </row>
    <row r="16" spans="1:24" ht="14.1" customHeight="1" x14ac:dyDescent="0.15">
      <c r="A16" s="5" t="s">
        <v>73</v>
      </c>
      <c r="B16" s="5">
        <v>28</v>
      </c>
      <c r="C16" s="5">
        <v>26</v>
      </c>
      <c r="D16" s="5">
        <v>22</v>
      </c>
      <c r="E16" s="27">
        <v>25</v>
      </c>
      <c r="F16" s="27">
        <v>19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f t="shared" si="0"/>
        <v>24</v>
      </c>
      <c r="U16" s="27">
        <f t="shared" si="1"/>
        <v>19</v>
      </c>
      <c r="V16" s="27">
        <f t="shared" si="2"/>
        <v>28</v>
      </c>
      <c r="W16" s="27">
        <f t="shared" si="3"/>
        <v>9</v>
      </c>
      <c r="X16" s="28"/>
    </row>
    <row r="17" spans="1:24" ht="14.1" customHeight="1" x14ac:dyDescent="0.15">
      <c r="A17" s="5" t="s">
        <v>46</v>
      </c>
      <c r="B17" s="5">
        <v>9</v>
      </c>
      <c r="C17" s="5">
        <v>14</v>
      </c>
      <c r="D17" s="5">
        <v>10</v>
      </c>
      <c r="E17" s="27">
        <v>11</v>
      </c>
      <c r="F17" s="27">
        <v>7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f t="shared" si="0"/>
        <v>10.199999999999999</v>
      </c>
      <c r="U17" s="27">
        <f t="shared" si="1"/>
        <v>7</v>
      </c>
      <c r="V17" s="27">
        <f t="shared" si="2"/>
        <v>14</v>
      </c>
      <c r="W17" s="27">
        <f t="shared" si="3"/>
        <v>7</v>
      </c>
      <c r="X17" s="28"/>
    </row>
    <row r="18" spans="1:24" ht="14.1" customHeight="1" x14ac:dyDescent="0.15">
      <c r="A18" s="5" t="s">
        <v>81</v>
      </c>
      <c r="B18" s="5">
        <v>22</v>
      </c>
      <c r="C18" s="5">
        <v>16</v>
      </c>
      <c r="D18" s="5">
        <v>17</v>
      </c>
      <c r="E18" s="27">
        <v>18</v>
      </c>
      <c r="F18" s="27">
        <v>22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f t="shared" si="0"/>
        <v>19</v>
      </c>
      <c r="U18" s="27">
        <f t="shared" si="1"/>
        <v>16</v>
      </c>
      <c r="V18" s="27">
        <f t="shared" si="2"/>
        <v>22</v>
      </c>
      <c r="W18" s="27">
        <f t="shared" si="3"/>
        <v>6</v>
      </c>
      <c r="X18" s="28"/>
    </row>
    <row r="19" spans="1:24" ht="14.1" customHeight="1" x14ac:dyDescent="0.15">
      <c r="A19" s="5" t="s">
        <v>49</v>
      </c>
      <c r="B19" s="5">
        <v>3</v>
      </c>
      <c r="C19" s="5">
        <v>6</v>
      </c>
      <c r="D19" s="5">
        <v>6</v>
      </c>
      <c r="E19" s="27">
        <v>9</v>
      </c>
      <c r="F19" s="27">
        <v>8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f t="shared" si="0"/>
        <v>6.4</v>
      </c>
      <c r="U19" s="27">
        <f t="shared" si="1"/>
        <v>3</v>
      </c>
      <c r="V19" s="27">
        <f t="shared" si="2"/>
        <v>9</v>
      </c>
      <c r="W19" s="27">
        <f t="shared" si="3"/>
        <v>6</v>
      </c>
      <c r="X19" s="28"/>
    </row>
    <row r="20" spans="1:24" ht="14.1" customHeight="1" x14ac:dyDescent="0.15">
      <c r="A20" s="5" t="s">
        <v>43</v>
      </c>
      <c r="B20" s="5">
        <v>2</v>
      </c>
      <c r="C20" s="5">
        <v>1</v>
      </c>
      <c r="D20" s="5">
        <v>7</v>
      </c>
      <c r="E20" s="27">
        <v>7</v>
      </c>
      <c r="F20" s="27">
        <v>6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f t="shared" si="0"/>
        <v>4.5999999999999996</v>
      </c>
      <c r="U20" s="27">
        <f t="shared" si="1"/>
        <v>1</v>
      </c>
      <c r="V20" s="27">
        <f t="shared" si="2"/>
        <v>7</v>
      </c>
      <c r="W20" s="27">
        <f t="shared" si="3"/>
        <v>6</v>
      </c>
      <c r="X20" s="28"/>
    </row>
    <row r="21" spans="1:24" ht="14.1" customHeight="1" x14ac:dyDescent="0.15">
      <c r="A21" s="5" t="s">
        <v>83</v>
      </c>
      <c r="B21" s="5">
        <v>16</v>
      </c>
      <c r="C21" s="5">
        <v>20</v>
      </c>
      <c r="D21" s="5">
        <v>16</v>
      </c>
      <c r="E21" s="27">
        <v>20</v>
      </c>
      <c r="F21" s="27">
        <v>21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f t="shared" si="0"/>
        <v>18.600000000000001</v>
      </c>
      <c r="U21" s="27">
        <f t="shared" si="1"/>
        <v>16</v>
      </c>
      <c r="V21" s="27">
        <f t="shared" si="2"/>
        <v>21</v>
      </c>
      <c r="W21" s="27">
        <f t="shared" si="3"/>
        <v>5</v>
      </c>
      <c r="X21" s="28"/>
    </row>
    <row r="22" spans="1:24" ht="14.1" customHeight="1" x14ac:dyDescent="0.15">
      <c r="A22" s="5" t="s">
        <v>52</v>
      </c>
      <c r="B22" s="5">
        <v>10</v>
      </c>
      <c r="C22" s="5">
        <v>8</v>
      </c>
      <c r="D22" s="5">
        <v>13</v>
      </c>
      <c r="E22" s="27">
        <v>8</v>
      </c>
      <c r="F22" s="27">
        <v>9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f t="shared" si="0"/>
        <v>9.6</v>
      </c>
      <c r="U22" s="27">
        <f t="shared" si="1"/>
        <v>8</v>
      </c>
      <c r="V22" s="27">
        <f t="shared" si="2"/>
        <v>13</v>
      </c>
      <c r="W22" s="27">
        <f t="shared" si="3"/>
        <v>5</v>
      </c>
      <c r="X22" s="28"/>
    </row>
    <row r="23" spans="1:24" ht="14.1" customHeight="1" x14ac:dyDescent="0.15">
      <c r="A23" s="5" t="s">
        <v>29</v>
      </c>
      <c r="B23" s="5">
        <v>6</v>
      </c>
      <c r="C23" s="5">
        <v>4</v>
      </c>
      <c r="D23" s="5">
        <v>2</v>
      </c>
      <c r="E23" s="27">
        <v>1</v>
      </c>
      <c r="F23" s="27">
        <v>1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f t="shared" si="0"/>
        <v>2.8</v>
      </c>
      <c r="U23" s="27">
        <f t="shared" si="1"/>
        <v>1</v>
      </c>
      <c r="V23" s="27">
        <f t="shared" si="2"/>
        <v>6</v>
      </c>
      <c r="W23" s="27">
        <f t="shared" si="3"/>
        <v>5</v>
      </c>
      <c r="X23" s="28"/>
    </row>
    <row r="24" spans="1:24" ht="14.1" customHeight="1" x14ac:dyDescent="0.15">
      <c r="A24" s="5" t="s">
        <v>56</v>
      </c>
      <c r="B24" s="5">
        <v>13</v>
      </c>
      <c r="C24" s="5">
        <v>10</v>
      </c>
      <c r="D24" s="5">
        <v>8</v>
      </c>
      <c r="E24" s="27">
        <v>10</v>
      </c>
      <c r="F24" s="27">
        <v>10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f t="shared" si="0"/>
        <v>10.199999999999999</v>
      </c>
      <c r="U24" s="27">
        <f t="shared" si="1"/>
        <v>8</v>
      </c>
      <c r="V24" s="27">
        <f t="shared" si="2"/>
        <v>13</v>
      </c>
      <c r="W24" s="27">
        <f t="shared" si="3"/>
        <v>5</v>
      </c>
      <c r="X24" s="28"/>
    </row>
    <row r="25" spans="1:24" ht="14.1" customHeight="1" x14ac:dyDescent="0.15">
      <c r="A25" s="5" t="s">
        <v>38</v>
      </c>
      <c r="B25" s="5">
        <v>5</v>
      </c>
      <c r="C25" s="5">
        <v>2</v>
      </c>
      <c r="D25" s="5">
        <v>1</v>
      </c>
      <c r="E25" s="27">
        <v>6</v>
      </c>
      <c r="F25" s="27">
        <v>5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f t="shared" si="0"/>
        <v>3.8</v>
      </c>
      <c r="U25" s="27">
        <f t="shared" si="1"/>
        <v>1</v>
      </c>
      <c r="V25" s="27">
        <f t="shared" si="2"/>
        <v>6</v>
      </c>
      <c r="W25" s="27">
        <f t="shared" si="3"/>
        <v>5</v>
      </c>
      <c r="X25" s="28"/>
    </row>
    <row r="26" spans="1:24" ht="14.1" customHeight="1" x14ac:dyDescent="0.15">
      <c r="A26" s="5" t="s">
        <v>93</v>
      </c>
      <c r="B26" s="5">
        <v>27</v>
      </c>
      <c r="C26" s="5">
        <v>27</v>
      </c>
      <c r="D26" s="5">
        <v>28</v>
      </c>
      <c r="E26" s="27">
        <v>24</v>
      </c>
      <c r="F26" s="27">
        <v>25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f t="shared" si="0"/>
        <v>26.2</v>
      </c>
      <c r="U26" s="27">
        <f t="shared" si="1"/>
        <v>24</v>
      </c>
      <c r="V26" s="27">
        <f t="shared" si="2"/>
        <v>28</v>
      </c>
      <c r="W26" s="27">
        <f t="shared" si="3"/>
        <v>4</v>
      </c>
      <c r="X26" s="28"/>
    </row>
    <row r="27" spans="1:24" ht="14.1" customHeight="1" x14ac:dyDescent="0.15">
      <c r="A27" s="5" t="s">
        <v>87</v>
      </c>
      <c r="B27" s="5">
        <v>26</v>
      </c>
      <c r="C27" s="5">
        <v>28</v>
      </c>
      <c r="D27" s="5">
        <v>24</v>
      </c>
      <c r="E27" s="27">
        <v>28</v>
      </c>
      <c r="F27" s="27">
        <v>28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f t="shared" si="0"/>
        <v>26.8</v>
      </c>
      <c r="U27" s="27">
        <f t="shared" si="1"/>
        <v>24</v>
      </c>
      <c r="V27" s="27">
        <f t="shared" si="2"/>
        <v>28</v>
      </c>
      <c r="W27" s="27">
        <f t="shared" si="3"/>
        <v>4</v>
      </c>
      <c r="X27" s="28"/>
    </row>
    <row r="28" spans="1:24" ht="14.1" customHeight="1" x14ac:dyDescent="0.15">
      <c r="A28" s="5" t="s">
        <v>79</v>
      </c>
      <c r="B28" s="5">
        <v>24</v>
      </c>
      <c r="C28" s="5">
        <v>23</v>
      </c>
      <c r="D28" s="5">
        <v>25</v>
      </c>
      <c r="E28" s="27">
        <v>27</v>
      </c>
      <c r="F28" s="27">
        <v>27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f t="shared" si="0"/>
        <v>25.2</v>
      </c>
      <c r="U28" s="27">
        <f t="shared" si="1"/>
        <v>23</v>
      </c>
      <c r="V28" s="27">
        <f t="shared" si="2"/>
        <v>27</v>
      </c>
      <c r="W28" s="27">
        <f t="shared" si="3"/>
        <v>4</v>
      </c>
      <c r="X28" s="28"/>
    </row>
    <row r="29" spans="1:24" ht="14.1" customHeight="1" x14ac:dyDescent="0.15">
      <c r="A29" s="5" t="s">
        <v>65</v>
      </c>
      <c r="B29" s="5">
        <v>15</v>
      </c>
      <c r="C29" s="5">
        <v>13</v>
      </c>
      <c r="D29" s="5">
        <v>15</v>
      </c>
      <c r="E29" s="27">
        <v>13</v>
      </c>
      <c r="F29" s="27">
        <v>11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f t="shared" si="0"/>
        <v>13.4</v>
      </c>
      <c r="U29" s="27">
        <f t="shared" si="1"/>
        <v>11</v>
      </c>
      <c r="V29" s="27">
        <f t="shared" si="2"/>
        <v>15</v>
      </c>
      <c r="W29" s="27">
        <f t="shared" si="3"/>
        <v>4</v>
      </c>
      <c r="X29" s="28"/>
    </row>
    <row r="30" spans="1:24" ht="14.1" customHeight="1" x14ac:dyDescent="0.15">
      <c r="A30" s="5" t="s">
        <v>97</v>
      </c>
      <c r="B30" s="5">
        <v>32</v>
      </c>
      <c r="C30" s="5">
        <v>32</v>
      </c>
      <c r="D30" s="5">
        <v>29</v>
      </c>
      <c r="E30" s="27">
        <v>31</v>
      </c>
      <c r="F30" s="27">
        <v>31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f t="shared" si="0"/>
        <v>31</v>
      </c>
      <c r="U30" s="27">
        <f t="shared" si="1"/>
        <v>29</v>
      </c>
      <c r="V30" s="27">
        <f t="shared" si="2"/>
        <v>32</v>
      </c>
      <c r="W30" s="27">
        <f t="shared" si="3"/>
        <v>3</v>
      </c>
      <c r="X30" s="28"/>
    </row>
    <row r="31" spans="1:24" ht="14.1" customHeight="1" x14ac:dyDescent="0.15">
      <c r="A31" s="5" t="s">
        <v>99</v>
      </c>
      <c r="B31" s="5">
        <v>30</v>
      </c>
      <c r="C31" s="5">
        <v>31</v>
      </c>
      <c r="D31" s="5">
        <v>32</v>
      </c>
      <c r="E31" s="27">
        <v>32</v>
      </c>
      <c r="F31" s="27">
        <v>32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f t="shared" si="0"/>
        <v>31.4</v>
      </c>
      <c r="U31" s="27">
        <f t="shared" si="1"/>
        <v>30</v>
      </c>
      <c r="V31" s="27">
        <f t="shared" si="2"/>
        <v>32</v>
      </c>
      <c r="W31" s="27">
        <f t="shared" si="3"/>
        <v>2</v>
      </c>
      <c r="X31" s="28"/>
    </row>
    <row r="32" spans="1:24" ht="14.1" customHeight="1" x14ac:dyDescent="0.15">
      <c r="A32" s="5" t="s">
        <v>95</v>
      </c>
      <c r="B32" s="5">
        <v>29</v>
      </c>
      <c r="C32" s="5">
        <v>29</v>
      </c>
      <c r="D32" s="5">
        <v>31</v>
      </c>
      <c r="E32" s="27">
        <v>29</v>
      </c>
      <c r="F32" s="27">
        <v>29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f t="shared" si="0"/>
        <v>29.4</v>
      </c>
      <c r="U32" s="27">
        <f t="shared" si="1"/>
        <v>29</v>
      </c>
      <c r="V32" s="27">
        <f t="shared" si="2"/>
        <v>31</v>
      </c>
      <c r="W32" s="27">
        <f t="shared" si="3"/>
        <v>2</v>
      </c>
      <c r="X32" s="28"/>
    </row>
    <row r="33" spans="1:24" ht="14.1" customHeight="1" x14ac:dyDescent="0.15">
      <c r="A33" s="5" t="s">
        <v>35</v>
      </c>
      <c r="B33" s="5">
        <v>4</v>
      </c>
      <c r="C33" s="5">
        <v>3</v>
      </c>
      <c r="D33" s="5">
        <v>4</v>
      </c>
      <c r="E33" s="27">
        <v>3</v>
      </c>
      <c r="F33" s="27">
        <v>3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f t="shared" si="0"/>
        <v>3.4</v>
      </c>
      <c r="U33" s="27">
        <f t="shared" si="1"/>
        <v>3</v>
      </c>
      <c r="V33" s="27">
        <f t="shared" si="2"/>
        <v>4</v>
      </c>
      <c r="W33" s="27">
        <f t="shared" si="3"/>
        <v>1</v>
      </c>
      <c r="X33" s="28"/>
    </row>
  </sheetData>
  <autoFilter ref="A1:X1">
    <sortState ref="A2:X33">
      <sortCondition descending="1" ref="W1"/>
    </sortState>
  </autoFilter>
  <conditionalFormatting sqref="B2:S33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U34"/>
  <sheetViews>
    <sheetView workbookViewId="0">
      <pane ySplit="2" topLeftCell="A3" activePane="bottomLeft" state="frozen"/>
      <selection activeCell="G20" sqref="G20"/>
      <selection pane="bottomLeft" activeCell="G20" sqref="G20"/>
    </sheetView>
  </sheetViews>
  <sheetFormatPr defaultRowHeight="10.5" x14ac:dyDescent="0.15"/>
  <cols>
    <col min="1" max="1" width="26.33203125" style="6" customWidth="1"/>
    <col min="2" max="6" width="6.83203125" style="6" customWidth="1"/>
    <col min="7" max="7" width="6.83203125" style="31" customWidth="1"/>
    <col min="8" max="11" width="6.83203125" style="6" customWidth="1"/>
    <col min="12" max="14" width="6.83203125" style="32" customWidth="1"/>
    <col min="15" max="15" width="6.83203125" style="31" customWidth="1"/>
    <col min="16" max="16" width="6.83203125" style="32" customWidth="1"/>
    <col min="17" max="17" width="6.83203125" style="31" customWidth="1"/>
    <col min="18" max="18" width="6.83203125" style="32" customWidth="1"/>
    <col min="19" max="19" width="6.83203125" style="6" customWidth="1"/>
    <col min="20" max="20" width="6.83203125" style="32" customWidth="1"/>
    <col min="21" max="21" width="6.83203125" style="6" customWidth="1"/>
    <col min="22" max="22" width="7.1640625" style="6" customWidth="1"/>
    <col min="23" max="24" width="6.83203125" style="6" customWidth="1"/>
    <col min="25" max="25" width="9" style="33" customWidth="1"/>
    <col min="26" max="26" width="6.83203125" style="6" customWidth="1"/>
    <col min="27" max="27" width="6.83203125" style="33" customWidth="1"/>
    <col min="28" max="36" width="6.83203125" style="6" customWidth="1"/>
    <col min="37" max="44" width="9.33203125" style="6"/>
    <col min="45" max="45" width="20" style="6" bestFit="1" customWidth="1"/>
    <col min="46" max="256" width="9.33203125" style="6"/>
    <col min="257" max="257" width="26.33203125" style="6" customWidth="1"/>
    <col min="258" max="277" width="6.83203125" style="6" customWidth="1"/>
    <col min="278" max="278" width="7.1640625" style="6" customWidth="1"/>
    <col min="279" max="280" width="6.83203125" style="6" customWidth="1"/>
    <col min="281" max="281" width="9" style="6" customWidth="1"/>
    <col min="282" max="292" width="6.83203125" style="6" customWidth="1"/>
    <col min="293" max="512" width="9.33203125" style="6"/>
    <col min="513" max="513" width="26.33203125" style="6" customWidth="1"/>
    <col min="514" max="533" width="6.83203125" style="6" customWidth="1"/>
    <col min="534" max="534" width="7.1640625" style="6" customWidth="1"/>
    <col min="535" max="536" width="6.83203125" style="6" customWidth="1"/>
    <col min="537" max="537" width="9" style="6" customWidth="1"/>
    <col min="538" max="548" width="6.83203125" style="6" customWidth="1"/>
    <col min="549" max="768" width="9.33203125" style="6"/>
    <col min="769" max="769" width="26.33203125" style="6" customWidth="1"/>
    <col min="770" max="789" width="6.83203125" style="6" customWidth="1"/>
    <col min="790" max="790" width="7.1640625" style="6" customWidth="1"/>
    <col min="791" max="792" width="6.83203125" style="6" customWidth="1"/>
    <col min="793" max="793" width="9" style="6" customWidth="1"/>
    <col min="794" max="804" width="6.83203125" style="6" customWidth="1"/>
    <col min="805" max="1024" width="9.33203125" style="6"/>
    <col min="1025" max="1025" width="26.33203125" style="6" customWidth="1"/>
    <col min="1026" max="1045" width="6.83203125" style="6" customWidth="1"/>
    <col min="1046" max="1046" width="7.1640625" style="6" customWidth="1"/>
    <col min="1047" max="1048" width="6.83203125" style="6" customWidth="1"/>
    <col min="1049" max="1049" width="9" style="6" customWidth="1"/>
    <col min="1050" max="1060" width="6.83203125" style="6" customWidth="1"/>
    <col min="1061" max="1280" width="9.33203125" style="6"/>
    <col min="1281" max="1281" width="26.33203125" style="6" customWidth="1"/>
    <col min="1282" max="1301" width="6.83203125" style="6" customWidth="1"/>
    <col min="1302" max="1302" width="7.1640625" style="6" customWidth="1"/>
    <col min="1303" max="1304" width="6.83203125" style="6" customWidth="1"/>
    <col min="1305" max="1305" width="9" style="6" customWidth="1"/>
    <col min="1306" max="1316" width="6.83203125" style="6" customWidth="1"/>
    <col min="1317" max="1536" width="9.33203125" style="6"/>
    <col min="1537" max="1537" width="26.33203125" style="6" customWidth="1"/>
    <col min="1538" max="1557" width="6.83203125" style="6" customWidth="1"/>
    <col min="1558" max="1558" width="7.1640625" style="6" customWidth="1"/>
    <col min="1559" max="1560" width="6.83203125" style="6" customWidth="1"/>
    <col min="1561" max="1561" width="9" style="6" customWidth="1"/>
    <col min="1562" max="1572" width="6.83203125" style="6" customWidth="1"/>
    <col min="1573" max="1792" width="9.33203125" style="6"/>
    <col min="1793" max="1793" width="26.33203125" style="6" customWidth="1"/>
    <col min="1794" max="1813" width="6.83203125" style="6" customWidth="1"/>
    <col min="1814" max="1814" width="7.1640625" style="6" customWidth="1"/>
    <col min="1815" max="1816" width="6.83203125" style="6" customWidth="1"/>
    <col min="1817" max="1817" width="9" style="6" customWidth="1"/>
    <col min="1818" max="1828" width="6.83203125" style="6" customWidth="1"/>
    <col min="1829" max="2048" width="9.33203125" style="6"/>
    <col min="2049" max="2049" width="26.33203125" style="6" customWidth="1"/>
    <col min="2050" max="2069" width="6.83203125" style="6" customWidth="1"/>
    <col min="2070" max="2070" width="7.1640625" style="6" customWidth="1"/>
    <col min="2071" max="2072" width="6.83203125" style="6" customWidth="1"/>
    <col min="2073" max="2073" width="9" style="6" customWidth="1"/>
    <col min="2074" max="2084" width="6.83203125" style="6" customWidth="1"/>
    <col min="2085" max="2304" width="9.33203125" style="6"/>
    <col min="2305" max="2305" width="26.33203125" style="6" customWidth="1"/>
    <col min="2306" max="2325" width="6.83203125" style="6" customWidth="1"/>
    <col min="2326" max="2326" width="7.1640625" style="6" customWidth="1"/>
    <col min="2327" max="2328" width="6.83203125" style="6" customWidth="1"/>
    <col min="2329" max="2329" width="9" style="6" customWidth="1"/>
    <col min="2330" max="2340" width="6.83203125" style="6" customWidth="1"/>
    <col min="2341" max="2560" width="9.33203125" style="6"/>
    <col min="2561" max="2561" width="26.33203125" style="6" customWidth="1"/>
    <col min="2562" max="2581" width="6.83203125" style="6" customWidth="1"/>
    <col min="2582" max="2582" width="7.1640625" style="6" customWidth="1"/>
    <col min="2583" max="2584" width="6.83203125" style="6" customWidth="1"/>
    <col min="2585" max="2585" width="9" style="6" customWidth="1"/>
    <col min="2586" max="2596" width="6.83203125" style="6" customWidth="1"/>
    <col min="2597" max="2816" width="9.33203125" style="6"/>
    <col min="2817" max="2817" width="26.33203125" style="6" customWidth="1"/>
    <col min="2818" max="2837" width="6.83203125" style="6" customWidth="1"/>
    <col min="2838" max="2838" width="7.1640625" style="6" customWidth="1"/>
    <col min="2839" max="2840" width="6.83203125" style="6" customWidth="1"/>
    <col min="2841" max="2841" width="9" style="6" customWidth="1"/>
    <col min="2842" max="2852" width="6.83203125" style="6" customWidth="1"/>
    <col min="2853" max="3072" width="9.33203125" style="6"/>
    <col min="3073" max="3073" width="26.33203125" style="6" customWidth="1"/>
    <col min="3074" max="3093" width="6.83203125" style="6" customWidth="1"/>
    <col min="3094" max="3094" width="7.1640625" style="6" customWidth="1"/>
    <col min="3095" max="3096" width="6.83203125" style="6" customWidth="1"/>
    <col min="3097" max="3097" width="9" style="6" customWidth="1"/>
    <col min="3098" max="3108" width="6.83203125" style="6" customWidth="1"/>
    <col min="3109" max="3328" width="9.33203125" style="6"/>
    <col min="3329" max="3329" width="26.33203125" style="6" customWidth="1"/>
    <col min="3330" max="3349" width="6.83203125" style="6" customWidth="1"/>
    <col min="3350" max="3350" width="7.1640625" style="6" customWidth="1"/>
    <col min="3351" max="3352" width="6.83203125" style="6" customWidth="1"/>
    <col min="3353" max="3353" width="9" style="6" customWidth="1"/>
    <col min="3354" max="3364" width="6.83203125" style="6" customWidth="1"/>
    <col min="3365" max="3584" width="9.33203125" style="6"/>
    <col min="3585" max="3585" width="26.33203125" style="6" customWidth="1"/>
    <col min="3586" max="3605" width="6.83203125" style="6" customWidth="1"/>
    <col min="3606" max="3606" width="7.1640625" style="6" customWidth="1"/>
    <col min="3607" max="3608" width="6.83203125" style="6" customWidth="1"/>
    <col min="3609" max="3609" width="9" style="6" customWidth="1"/>
    <col min="3610" max="3620" width="6.83203125" style="6" customWidth="1"/>
    <col min="3621" max="3840" width="9.33203125" style="6"/>
    <col min="3841" max="3841" width="26.33203125" style="6" customWidth="1"/>
    <col min="3842" max="3861" width="6.83203125" style="6" customWidth="1"/>
    <col min="3862" max="3862" width="7.1640625" style="6" customWidth="1"/>
    <col min="3863" max="3864" width="6.83203125" style="6" customWidth="1"/>
    <col min="3865" max="3865" width="9" style="6" customWidth="1"/>
    <col min="3866" max="3876" width="6.83203125" style="6" customWidth="1"/>
    <col min="3877" max="4096" width="9.33203125" style="6"/>
    <col min="4097" max="4097" width="26.33203125" style="6" customWidth="1"/>
    <col min="4098" max="4117" width="6.83203125" style="6" customWidth="1"/>
    <col min="4118" max="4118" width="7.1640625" style="6" customWidth="1"/>
    <col min="4119" max="4120" width="6.83203125" style="6" customWidth="1"/>
    <col min="4121" max="4121" width="9" style="6" customWidth="1"/>
    <col min="4122" max="4132" width="6.83203125" style="6" customWidth="1"/>
    <col min="4133" max="4352" width="9.33203125" style="6"/>
    <col min="4353" max="4353" width="26.33203125" style="6" customWidth="1"/>
    <col min="4354" max="4373" width="6.83203125" style="6" customWidth="1"/>
    <col min="4374" max="4374" width="7.1640625" style="6" customWidth="1"/>
    <col min="4375" max="4376" width="6.83203125" style="6" customWidth="1"/>
    <col min="4377" max="4377" width="9" style="6" customWidth="1"/>
    <col min="4378" max="4388" width="6.83203125" style="6" customWidth="1"/>
    <col min="4389" max="4608" width="9.33203125" style="6"/>
    <col min="4609" max="4609" width="26.33203125" style="6" customWidth="1"/>
    <col min="4610" max="4629" width="6.83203125" style="6" customWidth="1"/>
    <col min="4630" max="4630" width="7.1640625" style="6" customWidth="1"/>
    <col min="4631" max="4632" width="6.83203125" style="6" customWidth="1"/>
    <col min="4633" max="4633" width="9" style="6" customWidth="1"/>
    <col min="4634" max="4644" width="6.83203125" style="6" customWidth="1"/>
    <col min="4645" max="4864" width="9.33203125" style="6"/>
    <col min="4865" max="4865" width="26.33203125" style="6" customWidth="1"/>
    <col min="4866" max="4885" width="6.83203125" style="6" customWidth="1"/>
    <col min="4886" max="4886" width="7.1640625" style="6" customWidth="1"/>
    <col min="4887" max="4888" width="6.83203125" style="6" customWidth="1"/>
    <col min="4889" max="4889" width="9" style="6" customWidth="1"/>
    <col min="4890" max="4900" width="6.83203125" style="6" customWidth="1"/>
    <col min="4901" max="5120" width="9.33203125" style="6"/>
    <col min="5121" max="5121" width="26.33203125" style="6" customWidth="1"/>
    <col min="5122" max="5141" width="6.83203125" style="6" customWidth="1"/>
    <col min="5142" max="5142" width="7.1640625" style="6" customWidth="1"/>
    <col min="5143" max="5144" width="6.83203125" style="6" customWidth="1"/>
    <col min="5145" max="5145" width="9" style="6" customWidth="1"/>
    <col min="5146" max="5156" width="6.83203125" style="6" customWidth="1"/>
    <col min="5157" max="5376" width="9.33203125" style="6"/>
    <col min="5377" max="5377" width="26.33203125" style="6" customWidth="1"/>
    <col min="5378" max="5397" width="6.83203125" style="6" customWidth="1"/>
    <col min="5398" max="5398" width="7.1640625" style="6" customWidth="1"/>
    <col min="5399" max="5400" width="6.83203125" style="6" customWidth="1"/>
    <col min="5401" max="5401" width="9" style="6" customWidth="1"/>
    <col min="5402" max="5412" width="6.83203125" style="6" customWidth="1"/>
    <col min="5413" max="5632" width="9.33203125" style="6"/>
    <col min="5633" max="5633" width="26.33203125" style="6" customWidth="1"/>
    <col min="5634" max="5653" width="6.83203125" style="6" customWidth="1"/>
    <col min="5654" max="5654" width="7.1640625" style="6" customWidth="1"/>
    <col min="5655" max="5656" width="6.83203125" style="6" customWidth="1"/>
    <col min="5657" max="5657" width="9" style="6" customWidth="1"/>
    <col min="5658" max="5668" width="6.83203125" style="6" customWidth="1"/>
    <col min="5669" max="5888" width="9.33203125" style="6"/>
    <col min="5889" max="5889" width="26.33203125" style="6" customWidth="1"/>
    <col min="5890" max="5909" width="6.83203125" style="6" customWidth="1"/>
    <col min="5910" max="5910" width="7.1640625" style="6" customWidth="1"/>
    <col min="5911" max="5912" width="6.83203125" style="6" customWidth="1"/>
    <col min="5913" max="5913" width="9" style="6" customWidth="1"/>
    <col min="5914" max="5924" width="6.83203125" style="6" customWidth="1"/>
    <col min="5925" max="6144" width="9.33203125" style="6"/>
    <col min="6145" max="6145" width="26.33203125" style="6" customWidth="1"/>
    <col min="6146" max="6165" width="6.83203125" style="6" customWidth="1"/>
    <col min="6166" max="6166" width="7.1640625" style="6" customWidth="1"/>
    <col min="6167" max="6168" width="6.83203125" style="6" customWidth="1"/>
    <col min="6169" max="6169" width="9" style="6" customWidth="1"/>
    <col min="6170" max="6180" width="6.83203125" style="6" customWidth="1"/>
    <col min="6181" max="6400" width="9.33203125" style="6"/>
    <col min="6401" max="6401" width="26.33203125" style="6" customWidth="1"/>
    <col min="6402" max="6421" width="6.83203125" style="6" customWidth="1"/>
    <col min="6422" max="6422" width="7.1640625" style="6" customWidth="1"/>
    <col min="6423" max="6424" width="6.83203125" style="6" customWidth="1"/>
    <col min="6425" max="6425" width="9" style="6" customWidth="1"/>
    <col min="6426" max="6436" width="6.83203125" style="6" customWidth="1"/>
    <col min="6437" max="6656" width="9.33203125" style="6"/>
    <col min="6657" max="6657" width="26.33203125" style="6" customWidth="1"/>
    <col min="6658" max="6677" width="6.83203125" style="6" customWidth="1"/>
    <col min="6678" max="6678" width="7.1640625" style="6" customWidth="1"/>
    <col min="6679" max="6680" width="6.83203125" style="6" customWidth="1"/>
    <col min="6681" max="6681" width="9" style="6" customWidth="1"/>
    <col min="6682" max="6692" width="6.83203125" style="6" customWidth="1"/>
    <col min="6693" max="6912" width="9.33203125" style="6"/>
    <col min="6913" max="6913" width="26.33203125" style="6" customWidth="1"/>
    <col min="6914" max="6933" width="6.83203125" style="6" customWidth="1"/>
    <col min="6934" max="6934" width="7.1640625" style="6" customWidth="1"/>
    <col min="6935" max="6936" width="6.83203125" style="6" customWidth="1"/>
    <col min="6937" max="6937" width="9" style="6" customWidth="1"/>
    <col min="6938" max="6948" width="6.83203125" style="6" customWidth="1"/>
    <col min="6949" max="7168" width="9.33203125" style="6"/>
    <col min="7169" max="7169" width="26.33203125" style="6" customWidth="1"/>
    <col min="7170" max="7189" width="6.83203125" style="6" customWidth="1"/>
    <col min="7190" max="7190" width="7.1640625" style="6" customWidth="1"/>
    <col min="7191" max="7192" width="6.83203125" style="6" customWidth="1"/>
    <col min="7193" max="7193" width="9" style="6" customWidth="1"/>
    <col min="7194" max="7204" width="6.83203125" style="6" customWidth="1"/>
    <col min="7205" max="7424" width="9.33203125" style="6"/>
    <col min="7425" max="7425" width="26.33203125" style="6" customWidth="1"/>
    <col min="7426" max="7445" width="6.83203125" style="6" customWidth="1"/>
    <col min="7446" max="7446" width="7.1640625" style="6" customWidth="1"/>
    <col min="7447" max="7448" width="6.83203125" style="6" customWidth="1"/>
    <col min="7449" max="7449" width="9" style="6" customWidth="1"/>
    <col min="7450" max="7460" width="6.83203125" style="6" customWidth="1"/>
    <col min="7461" max="7680" width="9.33203125" style="6"/>
    <col min="7681" max="7681" width="26.33203125" style="6" customWidth="1"/>
    <col min="7682" max="7701" width="6.83203125" style="6" customWidth="1"/>
    <col min="7702" max="7702" width="7.1640625" style="6" customWidth="1"/>
    <col min="7703" max="7704" width="6.83203125" style="6" customWidth="1"/>
    <col min="7705" max="7705" width="9" style="6" customWidth="1"/>
    <col min="7706" max="7716" width="6.83203125" style="6" customWidth="1"/>
    <col min="7717" max="7936" width="9.33203125" style="6"/>
    <col min="7937" max="7937" width="26.33203125" style="6" customWidth="1"/>
    <col min="7938" max="7957" width="6.83203125" style="6" customWidth="1"/>
    <col min="7958" max="7958" width="7.1640625" style="6" customWidth="1"/>
    <col min="7959" max="7960" width="6.83203125" style="6" customWidth="1"/>
    <col min="7961" max="7961" width="9" style="6" customWidth="1"/>
    <col min="7962" max="7972" width="6.83203125" style="6" customWidth="1"/>
    <col min="7973" max="8192" width="9.33203125" style="6"/>
    <col min="8193" max="8193" width="26.33203125" style="6" customWidth="1"/>
    <col min="8194" max="8213" width="6.83203125" style="6" customWidth="1"/>
    <col min="8214" max="8214" width="7.1640625" style="6" customWidth="1"/>
    <col min="8215" max="8216" width="6.83203125" style="6" customWidth="1"/>
    <col min="8217" max="8217" width="9" style="6" customWidth="1"/>
    <col min="8218" max="8228" width="6.83203125" style="6" customWidth="1"/>
    <col min="8229" max="8448" width="9.33203125" style="6"/>
    <col min="8449" max="8449" width="26.33203125" style="6" customWidth="1"/>
    <col min="8450" max="8469" width="6.83203125" style="6" customWidth="1"/>
    <col min="8470" max="8470" width="7.1640625" style="6" customWidth="1"/>
    <col min="8471" max="8472" width="6.83203125" style="6" customWidth="1"/>
    <col min="8473" max="8473" width="9" style="6" customWidth="1"/>
    <col min="8474" max="8484" width="6.83203125" style="6" customWidth="1"/>
    <col min="8485" max="8704" width="9.33203125" style="6"/>
    <col min="8705" max="8705" width="26.33203125" style="6" customWidth="1"/>
    <col min="8706" max="8725" width="6.83203125" style="6" customWidth="1"/>
    <col min="8726" max="8726" width="7.1640625" style="6" customWidth="1"/>
    <col min="8727" max="8728" width="6.83203125" style="6" customWidth="1"/>
    <col min="8729" max="8729" width="9" style="6" customWidth="1"/>
    <col min="8730" max="8740" width="6.83203125" style="6" customWidth="1"/>
    <col min="8741" max="8960" width="9.33203125" style="6"/>
    <col min="8961" max="8961" width="26.33203125" style="6" customWidth="1"/>
    <col min="8962" max="8981" width="6.83203125" style="6" customWidth="1"/>
    <col min="8982" max="8982" width="7.1640625" style="6" customWidth="1"/>
    <col min="8983" max="8984" width="6.83203125" style="6" customWidth="1"/>
    <col min="8985" max="8985" width="9" style="6" customWidth="1"/>
    <col min="8986" max="8996" width="6.83203125" style="6" customWidth="1"/>
    <col min="8997" max="9216" width="9.33203125" style="6"/>
    <col min="9217" max="9217" width="26.33203125" style="6" customWidth="1"/>
    <col min="9218" max="9237" width="6.83203125" style="6" customWidth="1"/>
    <col min="9238" max="9238" width="7.1640625" style="6" customWidth="1"/>
    <col min="9239" max="9240" width="6.83203125" style="6" customWidth="1"/>
    <col min="9241" max="9241" width="9" style="6" customWidth="1"/>
    <col min="9242" max="9252" width="6.83203125" style="6" customWidth="1"/>
    <col min="9253" max="9472" width="9.33203125" style="6"/>
    <col min="9473" max="9473" width="26.33203125" style="6" customWidth="1"/>
    <col min="9474" max="9493" width="6.83203125" style="6" customWidth="1"/>
    <col min="9494" max="9494" width="7.1640625" style="6" customWidth="1"/>
    <col min="9495" max="9496" width="6.83203125" style="6" customWidth="1"/>
    <col min="9497" max="9497" width="9" style="6" customWidth="1"/>
    <col min="9498" max="9508" width="6.83203125" style="6" customWidth="1"/>
    <col min="9509" max="9728" width="9.33203125" style="6"/>
    <col min="9729" max="9729" width="26.33203125" style="6" customWidth="1"/>
    <col min="9730" max="9749" width="6.83203125" style="6" customWidth="1"/>
    <col min="9750" max="9750" width="7.1640625" style="6" customWidth="1"/>
    <col min="9751" max="9752" width="6.83203125" style="6" customWidth="1"/>
    <col min="9753" max="9753" width="9" style="6" customWidth="1"/>
    <col min="9754" max="9764" width="6.83203125" style="6" customWidth="1"/>
    <col min="9765" max="9984" width="9.33203125" style="6"/>
    <col min="9985" max="9985" width="26.33203125" style="6" customWidth="1"/>
    <col min="9986" max="10005" width="6.83203125" style="6" customWidth="1"/>
    <col min="10006" max="10006" width="7.1640625" style="6" customWidth="1"/>
    <col min="10007" max="10008" width="6.83203125" style="6" customWidth="1"/>
    <col min="10009" max="10009" width="9" style="6" customWidth="1"/>
    <col min="10010" max="10020" width="6.83203125" style="6" customWidth="1"/>
    <col min="10021" max="10240" width="9.33203125" style="6"/>
    <col min="10241" max="10241" width="26.33203125" style="6" customWidth="1"/>
    <col min="10242" max="10261" width="6.83203125" style="6" customWidth="1"/>
    <col min="10262" max="10262" width="7.1640625" style="6" customWidth="1"/>
    <col min="10263" max="10264" width="6.83203125" style="6" customWidth="1"/>
    <col min="10265" max="10265" width="9" style="6" customWidth="1"/>
    <col min="10266" max="10276" width="6.83203125" style="6" customWidth="1"/>
    <col min="10277" max="10496" width="9.33203125" style="6"/>
    <col min="10497" max="10497" width="26.33203125" style="6" customWidth="1"/>
    <col min="10498" max="10517" width="6.83203125" style="6" customWidth="1"/>
    <col min="10518" max="10518" width="7.1640625" style="6" customWidth="1"/>
    <col min="10519" max="10520" width="6.83203125" style="6" customWidth="1"/>
    <col min="10521" max="10521" width="9" style="6" customWidth="1"/>
    <col min="10522" max="10532" width="6.83203125" style="6" customWidth="1"/>
    <col min="10533" max="10752" width="9.33203125" style="6"/>
    <col min="10753" max="10753" width="26.33203125" style="6" customWidth="1"/>
    <col min="10754" max="10773" width="6.83203125" style="6" customWidth="1"/>
    <col min="10774" max="10774" width="7.1640625" style="6" customWidth="1"/>
    <col min="10775" max="10776" width="6.83203125" style="6" customWidth="1"/>
    <col min="10777" max="10777" width="9" style="6" customWidth="1"/>
    <col min="10778" max="10788" width="6.83203125" style="6" customWidth="1"/>
    <col min="10789" max="11008" width="9.33203125" style="6"/>
    <col min="11009" max="11009" width="26.33203125" style="6" customWidth="1"/>
    <col min="11010" max="11029" width="6.83203125" style="6" customWidth="1"/>
    <col min="11030" max="11030" width="7.1640625" style="6" customWidth="1"/>
    <col min="11031" max="11032" width="6.83203125" style="6" customWidth="1"/>
    <col min="11033" max="11033" width="9" style="6" customWidth="1"/>
    <col min="11034" max="11044" width="6.83203125" style="6" customWidth="1"/>
    <col min="11045" max="11264" width="9.33203125" style="6"/>
    <col min="11265" max="11265" width="26.33203125" style="6" customWidth="1"/>
    <col min="11266" max="11285" width="6.83203125" style="6" customWidth="1"/>
    <col min="11286" max="11286" width="7.1640625" style="6" customWidth="1"/>
    <col min="11287" max="11288" width="6.83203125" style="6" customWidth="1"/>
    <col min="11289" max="11289" width="9" style="6" customWidth="1"/>
    <col min="11290" max="11300" width="6.83203125" style="6" customWidth="1"/>
    <col min="11301" max="11520" width="9.33203125" style="6"/>
    <col min="11521" max="11521" width="26.33203125" style="6" customWidth="1"/>
    <col min="11522" max="11541" width="6.83203125" style="6" customWidth="1"/>
    <col min="11542" max="11542" width="7.1640625" style="6" customWidth="1"/>
    <col min="11543" max="11544" width="6.83203125" style="6" customWidth="1"/>
    <col min="11545" max="11545" width="9" style="6" customWidth="1"/>
    <col min="11546" max="11556" width="6.83203125" style="6" customWidth="1"/>
    <col min="11557" max="11776" width="9.33203125" style="6"/>
    <col min="11777" max="11777" width="26.33203125" style="6" customWidth="1"/>
    <col min="11778" max="11797" width="6.83203125" style="6" customWidth="1"/>
    <col min="11798" max="11798" width="7.1640625" style="6" customWidth="1"/>
    <col min="11799" max="11800" width="6.83203125" style="6" customWidth="1"/>
    <col min="11801" max="11801" width="9" style="6" customWidth="1"/>
    <col min="11802" max="11812" width="6.83203125" style="6" customWidth="1"/>
    <col min="11813" max="12032" width="9.33203125" style="6"/>
    <col min="12033" max="12033" width="26.33203125" style="6" customWidth="1"/>
    <col min="12034" max="12053" width="6.83203125" style="6" customWidth="1"/>
    <col min="12054" max="12054" width="7.1640625" style="6" customWidth="1"/>
    <col min="12055" max="12056" width="6.83203125" style="6" customWidth="1"/>
    <col min="12057" max="12057" width="9" style="6" customWidth="1"/>
    <col min="12058" max="12068" width="6.83203125" style="6" customWidth="1"/>
    <col min="12069" max="12288" width="9.33203125" style="6"/>
    <col min="12289" max="12289" width="26.33203125" style="6" customWidth="1"/>
    <col min="12290" max="12309" width="6.83203125" style="6" customWidth="1"/>
    <col min="12310" max="12310" width="7.1640625" style="6" customWidth="1"/>
    <col min="12311" max="12312" width="6.83203125" style="6" customWidth="1"/>
    <col min="12313" max="12313" width="9" style="6" customWidth="1"/>
    <col min="12314" max="12324" width="6.83203125" style="6" customWidth="1"/>
    <col min="12325" max="12544" width="9.33203125" style="6"/>
    <col min="12545" max="12545" width="26.33203125" style="6" customWidth="1"/>
    <col min="12546" max="12565" width="6.83203125" style="6" customWidth="1"/>
    <col min="12566" max="12566" width="7.1640625" style="6" customWidth="1"/>
    <col min="12567" max="12568" width="6.83203125" style="6" customWidth="1"/>
    <col min="12569" max="12569" width="9" style="6" customWidth="1"/>
    <col min="12570" max="12580" width="6.83203125" style="6" customWidth="1"/>
    <col min="12581" max="12800" width="9.33203125" style="6"/>
    <col min="12801" max="12801" width="26.33203125" style="6" customWidth="1"/>
    <col min="12802" max="12821" width="6.83203125" style="6" customWidth="1"/>
    <col min="12822" max="12822" width="7.1640625" style="6" customWidth="1"/>
    <col min="12823" max="12824" width="6.83203125" style="6" customWidth="1"/>
    <col min="12825" max="12825" width="9" style="6" customWidth="1"/>
    <col min="12826" max="12836" width="6.83203125" style="6" customWidth="1"/>
    <col min="12837" max="13056" width="9.33203125" style="6"/>
    <col min="13057" max="13057" width="26.33203125" style="6" customWidth="1"/>
    <col min="13058" max="13077" width="6.83203125" style="6" customWidth="1"/>
    <col min="13078" max="13078" width="7.1640625" style="6" customWidth="1"/>
    <col min="13079" max="13080" width="6.83203125" style="6" customWidth="1"/>
    <col min="13081" max="13081" width="9" style="6" customWidth="1"/>
    <col min="13082" max="13092" width="6.83203125" style="6" customWidth="1"/>
    <col min="13093" max="13312" width="9.33203125" style="6"/>
    <col min="13313" max="13313" width="26.33203125" style="6" customWidth="1"/>
    <col min="13314" max="13333" width="6.83203125" style="6" customWidth="1"/>
    <col min="13334" max="13334" width="7.1640625" style="6" customWidth="1"/>
    <col min="13335" max="13336" width="6.83203125" style="6" customWidth="1"/>
    <col min="13337" max="13337" width="9" style="6" customWidth="1"/>
    <col min="13338" max="13348" width="6.83203125" style="6" customWidth="1"/>
    <col min="13349" max="13568" width="9.33203125" style="6"/>
    <col min="13569" max="13569" width="26.33203125" style="6" customWidth="1"/>
    <col min="13570" max="13589" width="6.83203125" style="6" customWidth="1"/>
    <col min="13590" max="13590" width="7.1640625" style="6" customWidth="1"/>
    <col min="13591" max="13592" width="6.83203125" style="6" customWidth="1"/>
    <col min="13593" max="13593" width="9" style="6" customWidth="1"/>
    <col min="13594" max="13604" width="6.83203125" style="6" customWidth="1"/>
    <col min="13605" max="13824" width="9.33203125" style="6"/>
    <col min="13825" max="13825" width="26.33203125" style="6" customWidth="1"/>
    <col min="13826" max="13845" width="6.83203125" style="6" customWidth="1"/>
    <col min="13846" max="13846" width="7.1640625" style="6" customWidth="1"/>
    <col min="13847" max="13848" width="6.83203125" style="6" customWidth="1"/>
    <col min="13849" max="13849" width="9" style="6" customWidth="1"/>
    <col min="13850" max="13860" width="6.83203125" style="6" customWidth="1"/>
    <col min="13861" max="14080" width="9.33203125" style="6"/>
    <col min="14081" max="14081" width="26.33203125" style="6" customWidth="1"/>
    <col min="14082" max="14101" width="6.83203125" style="6" customWidth="1"/>
    <col min="14102" max="14102" width="7.1640625" style="6" customWidth="1"/>
    <col min="14103" max="14104" width="6.83203125" style="6" customWidth="1"/>
    <col min="14105" max="14105" width="9" style="6" customWidth="1"/>
    <col min="14106" max="14116" width="6.83203125" style="6" customWidth="1"/>
    <col min="14117" max="14336" width="9.33203125" style="6"/>
    <col min="14337" max="14337" width="26.33203125" style="6" customWidth="1"/>
    <col min="14338" max="14357" width="6.83203125" style="6" customWidth="1"/>
    <col min="14358" max="14358" width="7.1640625" style="6" customWidth="1"/>
    <col min="14359" max="14360" width="6.83203125" style="6" customWidth="1"/>
    <col min="14361" max="14361" width="9" style="6" customWidth="1"/>
    <col min="14362" max="14372" width="6.83203125" style="6" customWidth="1"/>
    <col min="14373" max="14592" width="9.33203125" style="6"/>
    <col min="14593" max="14593" width="26.33203125" style="6" customWidth="1"/>
    <col min="14594" max="14613" width="6.83203125" style="6" customWidth="1"/>
    <col min="14614" max="14614" width="7.1640625" style="6" customWidth="1"/>
    <col min="14615" max="14616" width="6.83203125" style="6" customWidth="1"/>
    <col min="14617" max="14617" width="9" style="6" customWidth="1"/>
    <col min="14618" max="14628" width="6.83203125" style="6" customWidth="1"/>
    <col min="14629" max="14848" width="9.33203125" style="6"/>
    <col min="14849" max="14849" width="26.33203125" style="6" customWidth="1"/>
    <col min="14850" max="14869" width="6.83203125" style="6" customWidth="1"/>
    <col min="14870" max="14870" width="7.1640625" style="6" customWidth="1"/>
    <col min="14871" max="14872" width="6.83203125" style="6" customWidth="1"/>
    <col min="14873" max="14873" width="9" style="6" customWidth="1"/>
    <col min="14874" max="14884" width="6.83203125" style="6" customWidth="1"/>
    <col min="14885" max="15104" width="9.33203125" style="6"/>
    <col min="15105" max="15105" width="26.33203125" style="6" customWidth="1"/>
    <col min="15106" max="15125" width="6.83203125" style="6" customWidth="1"/>
    <col min="15126" max="15126" width="7.1640625" style="6" customWidth="1"/>
    <col min="15127" max="15128" width="6.83203125" style="6" customWidth="1"/>
    <col min="15129" max="15129" width="9" style="6" customWidth="1"/>
    <col min="15130" max="15140" width="6.83203125" style="6" customWidth="1"/>
    <col min="15141" max="15360" width="9.33203125" style="6"/>
    <col min="15361" max="15361" width="26.33203125" style="6" customWidth="1"/>
    <col min="15362" max="15381" width="6.83203125" style="6" customWidth="1"/>
    <col min="15382" max="15382" width="7.1640625" style="6" customWidth="1"/>
    <col min="15383" max="15384" width="6.83203125" style="6" customWidth="1"/>
    <col min="15385" max="15385" width="9" style="6" customWidth="1"/>
    <col min="15386" max="15396" width="6.83203125" style="6" customWidth="1"/>
    <col min="15397" max="15616" width="9.33203125" style="6"/>
    <col min="15617" max="15617" width="26.33203125" style="6" customWidth="1"/>
    <col min="15618" max="15637" width="6.83203125" style="6" customWidth="1"/>
    <col min="15638" max="15638" width="7.1640625" style="6" customWidth="1"/>
    <col min="15639" max="15640" width="6.83203125" style="6" customWidth="1"/>
    <col min="15641" max="15641" width="9" style="6" customWidth="1"/>
    <col min="15642" max="15652" width="6.83203125" style="6" customWidth="1"/>
    <col min="15653" max="15872" width="9.33203125" style="6"/>
    <col min="15873" max="15873" width="26.33203125" style="6" customWidth="1"/>
    <col min="15874" max="15893" width="6.83203125" style="6" customWidth="1"/>
    <col min="15894" max="15894" width="7.1640625" style="6" customWidth="1"/>
    <col min="15895" max="15896" width="6.83203125" style="6" customWidth="1"/>
    <col min="15897" max="15897" width="9" style="6" customWidth="1"/>
    <col min="15898" max="15908" width="6.83203125" style="6" customWidth="1"/>
    <col min="15909" max="16128" width="9.33203125" style="6"/>
    <col min="16129" max="16129" width="26.33203125" style="6" customWidth="1"/>
    <col min="16130" max="16149" width="6.83203125" style="6" customWidth="1"/>
    <col min="16150" max="16150" width="7.1640625" style="6" customWidth="1"/>
    <col min="16151" max="16152" width="6.83203125" style="6" customWidth="1"/>
    <col min="16153" max="16153" width="9" style="6" customWidth="1"/>
    <col min="16154" max="16164" width="6.83203125" style="6" customWidth="1"/>
    <col min="16165" max="16384" width="9.33203125" style="6"/>
  </cols>
  <sheetData>
    <row r="1" spans="1:47" ht="15.95" customHeight="1" x14ac:dyDescent="0.15">
      <c r="Z1" s="34">
        <f>SUM(Z3:Z34)</f>
        <v>11</v>
      </c>
    </row>
    <row r="2" spans="1:47" s="5" customFormat="1" ht="65.099999999999994" customHeight="1" x14ac:dyDescent="0.15">
      <c r="A2" s="17" t="s">
        <v>171</v>
      </c>
      <c r="B2" s="17" t="s">
        <v>172</v>
      </c>
      <c r="C2" s="17" t="s">
        <v>173</v>
      </c>
      <c r="D2" s="17" t="s">
        <v>174</v>
      </c>
      <c r="E2" s="17" t="s">
        <v>175</v>
      </c>
      <c r="F2" s="17" t="s">
        <v>176</v>
      </c>
      <c r="G2" s="35" t="s">
        <v>177</v>
      </c>
      <c r="H2" s="17" t="s">
        <v>178</v>
      </c>
      <c r="I2" s="17" t="s">
        <v>179</v>
      </c>
      <c r="J2" s="17" t="s">
        <v>180</v>
      </c>
      <c r="K2" s="17" t="s">
        <v>181</v>
      </c>
      <c r="L2" s="36" t="s">
        <v>182</v>
      </c>
      <c r="M2" s="36" t="s">
        <v>183</v>
      </c>
      <c r="N2" s="36" t="s">
        <v>173</v>
      </c>
      <c r="O2" s="35" t="s">
        <v>177</v>
      </c>
      <c r="P2" s="36" t="s">
        <v>172</v>
      </c>
      <c r="Q2" s="35" t="s">
        <v>177</v>
      </c>
      <c r="R2" s="36" t="s">
        <v>184</v>
      </c>
      <c r="S2" s="17" t="s">
        <v>185</v>
      </c>
      <c r="T2" s="36" t="s">
        <v>186</v>
      </c>
      <c r="U2" s="37" t="s">
        <v>187</v>
      </c>
      <c r="V2" s="37" t="s">
        <v>188</v>
      </c>
      <c r="W2" s="37" t="s">
        <v>189</v>
      </c>
      <c r="X2" s="38" t="s">
        <v>190</v>
      </c>
      <c r="Y2" s="39" t="s">
        <v>191</v>
      </c>
      <c r="Z2" s="40" t="s">
        <v>192</v>
      </c>
      <c r="AA2" s="41" t="s">
        <v>2</v>
      </c>
      <c r="AB2" s="3" t="s">
        <v>193</v>
      </c>
      <c r="AC2" s="3" t="s">
        <v>193</v>
      </c>
      <c r="AD2" s="3" t="s">
        <v>193</v>
      </c>
      <c r="AE2" s="3" t="s">
        <v>193</v>
      </c>
      <c r="AF2" s="3" t="s">
        <v>193</v>
      </c>
      <c r="AG2" s="3" t="s">
        <v>193</v>
      </c>
      <c r="AH2" s="3" t="s">
        <v>193</v>
      </c>
      <c r="AI2" s="3" t="s">
        <v>193</v>
      </c>
      <c r="AJ2" s="3" t="s">
        <v>193</v>
      </c>
      <c r="AK2" s="3" t="s">
        <v>193</v>
      </c>
      <c r="AL2" s="3" t="s">
        <v>193</v>
      </c>
      <c r="AM2" s="3" t="s">
        <v>193</v>
      </c>
      <c r="AN2" s="3" t="s">
        <v>193</v>
      </c>
      <c r="AO2" s="3" t="s">
        <v>193</v>
      </c>
      <c r="AP2" s="3" t="s">
        <v>193</v>
      </c>
      <c r="AQ2" s="3" t="s">
        <v>193</v>
      </c>
      <c r="AR2" s="3" t="s">
        <v>193</v>
      </c>
      <c r="AS2" s="5" t="s">
        <v>1</v>
      </c>
      <c r="AT2" s="5" t="s">
        <v>194</v>
      </c>
      <c r="AU2" s="5" t="s">
        <v>195</v>
      </c>
    </row>
    <row r="3" spans="1:47" s="5" customFormat="1" ht="15.95" customHeight="1" x14ac:dyDescent="0.15">
      <c r="A3" s="5" t="s">
        <v>196</v>
      </c>
      <c r="B3" s="5" t="s">
        <v>197</v>
      </c>
      <c r="C3" s="5" t="s">
        <v>198</v>
      </c>
      <c r="D3" s="5">
        <v>4</v>
      </c>
      <c r="E3" s="5">
        <v>0</v>
      </c>
      <c r="F3" s="5">
        <v>0</v>
      </c>
      <c r="G3" s="42">
        <v>1</v>
      </c>
      <c r="H3" s="5">
        <v>126</v>
      </c>
      <c r="I3" s="5">
        <v>56</v>
      </c>
      <c r="J3" s="5">
        <v>70</v>
      </c>
      <c r="K3" s="5">
        <v>15</v>
      </c>
      <c r="L3" s="43" t="s">
        <v>199</v>
      </c>
      <c r="M3" s="43" t="s">
        <v>199</v>
      </c>
      <c r="N3" s="43" t="s">
        <v>199</v>
      </c>
      <c r="O3" s="42">
        <v>1</v>
      </c>
      <c r="P3" s="43" t="s">
        <v>200</v>
      </c>
      <c r="Q3" s="42">
        <v>1</v>
      </c>
      <c r="R3" s="43" t="s">
        <v>201</v>
      </c>
      <c r="S3" s="5" t="s">
        <v>202</v>
      </c>
      <c r="T3" s="43" t="s">
        <v>200</v>
      </c>
      <c r="U3" s="9">
        <f t="shared" ref="U3:U34" si="0">H3/(D3+E3+F3)</f>
        <v>31.5</v>
      </c>
      <c r="V3" s="9">
        <f t="shared" ref="V3:V34" si="1">I3/(D3+E3+F3)</f>
        <v>14</v>
      </c>
      <c r="W3" s="9">
        <f t="shared" ref="W3:W34" si="2">U3-V3</f>
        <v>17.5</v>
      </c>
      <c r="X3" s="5">
        <f t="shared" ref="X3:X34" si="3">SUM(D3:F3)</f>
        <v>4</v>
      </c>
      <c r="Y3" s="44">
        <v>1</v>
      </c>
      <c r="Z3" s="5">
        <v>0</v>
      </c>
      <c r="AA3" s="45" t="str">
        <f>VLOOKUP(A3,howfared!$A$2:$B$33,2,FALSE)</f>
        <v>HOU</v>
      </c>
      <c r="AB3" s="5" t="str">
        <f>VLOOKUP(AA3,howfared!$B$2:$AH$33,2,FALSE)</f>
        <v>MIA</v>
      </c>
      <c r="AC3" s="5" t="str">
        <f>VLOOKUP(AA3,howfared!$B$2:$AH$33,3,FALSE)</f>
        <v>JAC</v>
      </c>
      <c r="AD3" s="5" t="str">
        <f>VLOOKUP(AA3,howfared!$B$2:$AH$33,4,FALSE)</f>
        <v>DEN</v>
      </c>
      <c r="AE3" s="5">
        <f>VLOOKUP(AA3,howfared!$B$2:$AH$33,5,FALSE)</f>
        <v>0</v>
      </c>
      <c r="AF3" s="5">
        <f>VLOOKUP(AA3,howfared!$B$2:$AH$33,6,FALSE)</f>
        <v>0</v>
      </c>
      <c r="AG3" s="5">
        <f>VLOOKUP(AA3,howfared!$B$2:$AH$33,7,FALSE)</f>
        <v>0</v>
      </c>
      <c r="AH3" s="5">
        <f>VLOOKUP(AA3,howfared!$B$2:$AH$33,8,FALSE)</f>
        <v>0</v>
      </c>
      <c r="AI3" s="5">
        <f>VLOOKUP(AA3,howfared!$B$2:$AH$33,9,FALSE)</f>
        <v>0</v>
      </c>
      <c r="AJ3" s="5">
        <f>VLOOKUP(AA3,howfared!$B$2:$AH$33,10,FALSE)</f>
        <v>0</v>
      </c>
      <c r="AK3" s="5">
        <f>VLOOKUP(AA3,howfared!$B$2:$AH$33,11,FALSE)</f>
        <v>0</v>
      </c>
      <c r="AL3" s="5">
        <f>VLOOKUP(AA3,howfared!$B$2:$AH$33,12,FALSE)</f>
        <v>0</v>
      </c>
      <c r="AM3" s="5">
        <f>VLOOKUP(AA3,howfared!$B$2:$AH$33,13,FALSE)</f>
        <v>0</v>
      </c>
      <c r="AN3" s="5">
        <f>VLOOKUP(AA3,howfared!$B$2:$AH$33,14,FALSE)</f>
        <v>0</v>
      </c>
      <c r="AO3" s="5">
        <f>VLOOKUP(AA3,howfared!$B$2:$AH$33,15,FALSE)</f>
        <v>0</v>
      </c>
      <c r="AP3" s="5">
        <f>VLOOKUP(AA3,howfared!$B$2:$AH$33,16,FALSE)</f>
        <v>0</v>
      </c>
      <c r="AQ3" s="5">
        <f>VLOOKUP(AA3,howfared!$B$2:$AH$33,17,FALSE)</f>
        <v>0</v>
      </c>
      <c r="AR3" s="5">
        <f>VLOOKUP(AA3,howfared!$B$2:$AH$33,18,FALSE)</f>
        <v>0</v>
      </c>
      <c r="AS3" s="5" t="str">
        <f>AA3</f>
        <v>HOU</v>
      </c>
      <c r="AT3" s="5">
        <f>D3</f>
        <v>4</v>
      </c>
      <c r="AU3" s="5">
        <f>E3</f>
        <v>0</v>
      </c>
    </row>
    <row r="4" spans="1:47" s="5" customFormat="1" ht="15.95" customHeight="1" x14ac:dyDescent="0.15">
      <c r="A4" s="5" t="s">
        <v>203</v>
      </c>
      <c r="B4" s="5" t="s">
        <v>197</v>
      </c>
      <c r="C4" s="5" t="s">
        <v>204</v>
      </c>
      <c r="D4" s="5">
        <v>4</v>
      </c>
      <c r="E4" s="5">
        <v>0</v>
      </c>
      <c r="F4" s="5">
        <v>0</v>
      </c>
      <c r="G4" s="42">
        <v>1</v>
      </c>
      <c r="H4" s="5">
        <v>124</v>
      </c>
      <c r="I4" s="5">
        <v>76</v>
      </c>
      <c r="J4" s="5">
        <v>48</v>
      </c>
      <c r="K4" s="5">
        <v>14</v>
      </c>
      <c r="L4" s="43" t="s">
        <v>199</v>
      </c>
      <c r="M4" s="43" t="s">
        <v>199</v>
      </c>
      <c r="N4" s="43" t="s">
        <v>205</v>
      </c>
      <c r="O4" s="42">
        <v>1</v>
      </c>
      <c r="P4" s="43" t="s">
        <v>205</v>
      </c>
      <c r="Q4" s="42">
        <v>1</v>
      </c>
      <c r="R4" s="43" t="s">
        <v>206</v>
      </c>
      <c r="S4" s="5" t="s">
        <v>202</v>
      </c>
      <c r="T4" s="43" t="s">
        <v>200</v>
      </c>
      <c r="U4" s="9">
        <f t="shared" si="0"/>
        <v>31</v>
      </c>
      <c r="V4" s="9">
        <f t="shared" si="1"/>
        <v>19</v>
      </c>
      <c r="W4" s="9">
        <f t="shared" si="2"/>
        <v>12</v>
      </c>
      <c r="X4" s="5">
        <f t="shared" si="3"/>
        <v>4</v>
      </c>
      <c r="Y4" s="46">
        <v>2</v>
      </c>
      <c r="Z4" s="5">
        <f>COUNTIF(AA$3:AA3,AB4)+COUNTIF(AA$3:AA4,AC4)+COUNTIF(AA$3:AA4,AD4)+COUNTIF(AA$3:AA4,AE4)+COUNTIF(AA$3:AA4,AF4)+COUNTIF(AA$3:AA4,AG4)+COUNTIF(AA$3:AA4,AH4)+COUNTIF(AA$3:AA4,AI4)+COUNTIF(AA$3:AA4,AJ4)+COUNTIF(AA$3:AA4,AK4)+COUNTIF(AA$3:AA4,AL4)+COUNTIF(AA$3:AA4,AM4)+COUNTIF(AA$3:AA4,AN4)+COUNTIF(AA$3:AA4,AO4)+COUNTIF(AA$3:AA4,AP4)+COUNTIF(AA$3:AA4,AQ4)+COUNTIF(AA$3:AA4,AR4)</f>
        <v>0</v>
      </c>
      <c r="AA4" s="45" t="str">
        <f>VLOOKUP(A4,howfared!$A$2:$B$33,2,FALSE)</f>
        <v>ATL</v>
      </c>
      <c r="AB4" s="5" t="str">
        <f>VLOOKUP(AA4,howfared!$B$2:$AH$33,2,FALSE)</f>
        <v>KC</v>
      </c>
      <c r="AC4" s="5" t="str">
        <f>VLOOKUP(AA4,howfared!$B$2:$AH$33,3,FALSE)</f>
        <v>DEN</v>
      </c>
      <c r="AD4" s="5" t="str">
        <f>VLOOKUP(AA4,howfared!$B$2:$AH$33,4,FALSE)</f>
        <v>SD</v>
      </c>
      <c r="AE4" s="5">
        <f>VLOOKUP(AA4,howfared!$B$2:$AH$33,5,FALSE)</f>
        <v>0</v>
      </c>
      <c r="AF4" s="5">
        <f>VLOOKUP(AA4,howfared!$B$2:$AH$33,6,FALSE)</f>
        <v>0</v>
      </c>
      <c r="AG4" s="5">
        <f>VLOOKUP(AA4,howfared!$B$2:$AH$33,7,FALSE)</f>
        <v>0</v>
      </c>
      <c r="AH4" s="5">
        <f>VLOOKUP(AA4,howfared!$B$2:$AH$33,8,FALSE)</f>
        <v>0</v>
      </c>
      <c r="AI4" s="5">
        <f>VLOOKUP(AA4,howfared!$B$2:$AH$33,9,FALSE)</f>
        <v>0</v>
      </c>
      <c r="AJ4" s="5">
        <f>VLOOKUP(AA4,howfared!$B$2:$AH$33,10,FALSE)</f>
        <v>0</v>
      </c>
      <c r="AK4" s="5">
        <f>VLOOKUP(AA4,howfared!$B$2:$AH$33,11,FALSE)</f>
        <v>0</v>
      </c>
      <c r="AL4" s="5">
        <f>VLOOKUP(AA4,howfared!$B$2:$AH$33,12,FALSE)</f>
        <v>0</v>
      </c>
      <c r="AM4" s="5">
        <f>VLOOKUP(AA4,howfared!$B$2:$AH$33,13,FALSE)</f>
        <v>0</v>
      </c>
      <c r="AN4" s="5">
        <f>VLOOKUP(AA4,howfared!$B$2:$AH$33,14,FALSE)</f>
        <v>0</v>
      </c>
      <c r="AO4" s="5">
        <f>VLOOKUP(AA4,howfared!$B$2:$AH$33,15,FALSE)</f>
        <v>0</v>
      </c>
      <c r="AP4" s="5">
        <f>VLOOKUP(AA4,howfared!$B$2:$AH$33,16,FALSE)</f>
        <v>0</v>
      </c>
      <c r="AQ4" s="5">
        <f>VLOOKUP(AA4,howfared!$B$2:$AH$33,17,FALSE)</f>
        <v>0</v>
      </c>
      <c r="AR4" s="5">
        <f>VLOOKUP(AA4,howfared!$B$2:$AH$33,18,FALSE)</f>
        <v>0</v>
      </c>
      <c r="AS4" s="5" t="str">
        <f t="shared" ref="AS4:AS34" si="4">AA4</f>
        <v>ATL</v>
      </c>
      <c r="AT4" s="5">
        <f t="shared" ref="AT4:AU34" si="5">D4</f>
        <v>4</v>
      </c>
      <c r="AU4" s="5">
        <f t="shared" si="5"/>
        <v>0</v>
      </c>
    </row>
    <row r="5" spans="1:47" s="5" customFormat="1" ht="15.95" customHeight="1" x14ac:dyDescent="0.15">
      <c r="A5" s="5" t="s">
        <v>207</v>
      </c>
      <c r="B5" s="5" t="s">
        <v>208</v>
      </c>
      <c r="C5" s="5" t="s">
        <v>209</v>
      </c>
      <c r="D5" s="5">
        <v>3</v>
      </c>
      <c r="E5" s="5">
        <v>1</v>
      </c>
      <c r="F5" s="5">
        <v>0</v>
      </c>
      <c r="G5" s="42">
        <v>0.75</v>
      </c>
      <c r="H5" s="5">
        <v>121</v>
      </c>
      <c r="I5" s="5">
        <v>83</v>
      </c>
      <c r="J5" s="5">
        <v>38</v>
      </c>
      <c r="K5" s="5">
        <v>14</v>
      </c>
      <c r="L5" s="43" t="s">
        <v>206</v>
      </c>
      <c r="M5" s="43" t="s">
        <v>210</v>
      </c>
      <c r="N5" s="43" t="s">
        <v>199</v>
      </c>
      <c r="O5" s="42">
        <v>1</v>
      </c>
      <c r="P5" s="43" t="s">
        <v>206</v>
      </c>
      <c r="Q5" s="42">
        <v>1</v>
      </c>
      <c r="R5" s="43" t="s">
        <v>210</v>
      </c>
      <c r="S5" s="5" t="s">
        <v>211</v>
      </c>
      <c r="T5" s="43" t="s">
        <v>212</v>
      </c>
      <c r="U5" s="9">
        <f t="shared" si="0"/>
        <v>30.25</v>
      </c>
      <c r="V5" s="9">
        <f t="shared" si="1"/>
        <v>20.75</v>
      </c>
      <c r="W5" s="9">
        <f t="shared" si="2"/>
        <v>9.5</v>
      </c>
      <c r="X5" s="5">
        <f t="shared" si="3"/>
        <v>4</v>
      </c>
      <c r="Y5" s="46">
        <v>3</v>
      </c>
      <c r="Z5" s="5">
        <f>COUNTIF(AA$3:AA4,AB5)+COUNTIF(AA$3:AA5,AC5)+COUNTIF(AA$3:AA5,AD5)+COUNTIF(AA$3:AA5,AE5)+COUNTIF(AA$3:AA5,AF5)+COUNTIF(AA$3:AA5,AG5)+COUNTIF(AA$3:AA5,AH5)+COUNTIF(AA$3:AA5,AI5)+COUNTIF(AA$3:AA5,AJ5)+COUNTIF(AA$3:AA5,AK5)+COUNTIF(AA$3:AA5,AL5)+COUNTIF(AA$3:AA5,AM5)+COUNTIF(AA$3:AA5,AN5)+COUNTIF(AA$3:AA5,AO5)+COUNTIF(AA$3:AA5,AP5)+COUNTIF(AA$3:AA5,AQ5)+COUNTIF(AA$3:AA5,AR5)</f>
        <v>0</v>
      </c>
      <c r="AA5" s="45" t="str">
        <f>VLOOKUP(A5,howfared!$A$2:$B$33,2,FALSE)</f>
        <v>BAL</v>
      </c>
      <c r="AB5" s="5" t="str">
        <f>VLOOKUP(AA5,howfared!$B$2:$AH$33,2,FALSE)</f>
        <v>CIN</v>
      </c>
      <c r="AC5" s="5">
        <f>VLOOKUP(AA5,howfared!$B$2:$AH$33,3,FALSE)</f>
        <v>0</v>
      </c>
      <c r="AD5" s="5" t="str">
        <f>VLOOKUP(AA5,howfared!$B$2:$AH$33,4,FALSE)</f>
        <v>NE</v>
      </c>
      <c r="AE5" s="5">
        <f>VLOOKUP(AA5,howfared!$B$2:$AH$33,5,FALSE)</f>
        <v>0</v>
      </c>
      <c r="AF5" s="5">
        <f>VLOOKUP(AA5,howfared!$B$2:$AH$33,6,FALSE)</f>
        <v>0</v>
      </c>
      <c r="AG5" s="5">
        <f>VLOOKUP(AA5,howfared!$B$2:$AH$33,7,FALSE)</f>
        <v>0</v>
      </c>
      <c r="AH5" s="5">
        <f>VLOOKUP(AA5,howfared!$B$2:$AH$33,8,FALSE)</f>
        <v>0</v>
      </c>
      <c r="AI5" s="5">
        <f>VLOOKUP(AA5,howfared!$B$2:$AH$33,9,FALSE)</f>
        <v>0</v>
      </c>
      <c r="AJ5" s="5">
        <f>VLOOKUP(AA5,howfared!$B$2:$AH$33,10,FALSE)</f>
        <v>0</v>
      </c>
      <c r="AK5" s="5">
        <f>VLOOKUP(AA5,howfared!$B$2:$AH$33,11,FALSE)</f>
        <v>0</v>
      </c>
      <c r="AL5" s="5">
        <f>VLOOKUP(AA5,howfared!$B$2:$AH$33,12,FALSE)</f>
        <v>0</v>
      </c>
      <c r="AM5" s="5">
        <f>VLOOKUP(AA5,howfared!$B$2:$AH$33,13,FALSE)</f>
        <v>0</v>
      </c>
      <c r="AN5" s="5">
        <f>VLOOKUP(AA5,howfared!$B$2:$AH$33,14,FALSE)</f>
        <v>0</v>
      </c>
      <c r="AO5" s="5">
        <f>VLOOKUP(AA5,howfared!$B$2:$AH$33,15,FALSE)</f>
        <v>0</v>
      </c>
      <c r="AP5" s="5">
        <f>VLOOKUP(AA5,howfared!$B$2:$AH$33,16,FALSE)</f>
        <v>0</v>
      </c>
      <c r="AQ5" s="5">
        <f>VLOOKUP(AA5,howfared!$B$2:$AH$33,17,FALSE)</f>
        <v>0</v>
      </c>
      <c r="AR5" s="5">
        <f>VLOOKUP(AA5,howfared!$B$2:$AH$33,18,FALSE)</f>
        <v>0</v>
      </c>
      <c r="AS5" s="5" t="str">
        <f t="shared" si="4"/>
        <v>BAL</v>
      </c>
      <c r="AT5" s="5">
        <f t="shared" si="5"/>
        <v>3</v>
      </c>
      <c r="AU5" s="5">
        <f t="shared" si="5"/>
        <v>1</v>
      </c>
    </row>
    <row r="6" spans="1:47" s="5" customFormat="1" ht="15.95" customHeight="1" x14ac:dyDescent="0.15">
      <c r="A6" s="5" t="s">
        <v>213</v>
      </c>
      <c r="B6" s="5" t="s">
        <v>197</v>
      </c>
      <c r="C6" s="5" t="s">
        <v>214</v>
      </c>
      <c r="D6" s="5">
        <v>3</v>
      </c>
      <c r="E6" s="5">
        <v>1</v>
      </c>
      <c r="F6" s="5">
        <v>0</v>
      </c>
      <c r="G6" s="42">
        <v>0.75</v>
      </c>
      <c r="H6" s="5">
        <v>104</v>
      </c>
      <c r="I6" s="5">
        <v>65</v>
      </c>
      <c r="J6" s="5">
        <v>39</v>
      </c>
      <c r="K6" s="5">
        <v>11</v>
      </c>
      <c r="L6" s="43" t="s">
        <v>205</v>
      </c>
      <c r="M6" s="43" t="s">
        <v>215</v>
      </c>
      <c r="N6" s="43" t="s">
        <v>201</v>
      </c>
      <c r="O6" s="42">
        <v>0</v>
      </c>
      <c r="P6" s="43" t="s">
        <v>215</v>
      </c>
      <c r="Q6" s="42">
        <v>0.66700000000000004</v>
      </c>
      <c r="R6" s="43" t="s">
        <v>205</v>
      </c>
      <c r="S6" s="5" t="s">
        <v>216</v>
      </c>
      <c r="T6" s="43" t="s">
        <v>212</v>
      </c>
      <c r="U6" s="9">
        <f t="shared" si="0"/>
        <v>26</v>
      </c>
      <c r="V6" s="9">
        <f t="shared" si="1"/>
        <v>16.25</v>
      </c>
      <c r="W6" s="9">
        <f t="shared" si="2"/>
        <v>9.75</v>
      </c>
      <c r="X6" s="5">
        <f t="shared" si="3"/>
        <v>4</v>
      </c>
      <c r="Y6" s="44">
        <v>4</v>
      </c>
      <c r="Z6" s="5">
        <f>COUNTIF(AA$3:AA5,AB6)+COUNTIF(AA$3:AA6,AC6)+COUNTIF(AA$3:AA6,AD6)+COUNTIF(AA$3:AA6,AE6)+COUNTIF(AA$3:AA6,AF6)+COUNTIF(AA$3:AA6,AG6)+COUNTIF(AA$3:AA6,AH6)+COUNTIF(AA$3:AA6,AI6)+COUNTIF(AA$3:AA6,AJ6)+COUNTIF(AA$3:AA6,AK6)+COUNTIF(AA$3:AA6,AL6)+COUNTIF(AA$3:AA6,AM6)+COUNTIF(AA$3:AA6,AN6)+COUNTIF(AA$3:AA6,AO6)+COUNTIF(AA$3:AA6,AP6)+COUNTIF(AA$3:AA6,AQ6)+COUNTIF(AA$3:AA6,AR6)</f>
        <v>0</v>
      </c>
      <c r="AA6" s="45" t="str">
        <f>VLOOKUP(A6,howfared!$A$2:$B$33,2,FALSE)</f>
        <v>SF</v>
      </c>
      <c r="AB6" s="5" t="str">
        <f>VLOOKUP(AA6,howfared!$B$2:$AH$33,2,FALSE)</f>
        <v>GB</v>
      </c>
      <c r="AC6" s="5" t="str">
        <f>VLOOKUP(AA6,howfared!$B$2:$AH$33,3,FALSE)</f>
        <v>DET</v>
      </c>
      <c r="AD6" s="5">
        <f>VLOOKUP(AA6,howfared!$B$2:$AH$33,4,FALSE)</f>
        <v>0</v>
      </c>
      <c r="AE6" s="5">
        <f>VLOOKUP(AA6,howfared!$B$2:$AH$33,5,FALSE)</f>
        <v>0</v>
      </c>
      <c r="AF6" s="5">
        <f>VLOOKUP(AA6,howfared!$B$2:$AH$33,6,FALSE)</f>
        <v>0</v>
      </c>
      <c r="AG6" s="5">
        <f>VLOOKUP(AA6,howfared!$B$2:$AH$33,7,FALSE)</f>
        <v>0</v>
      </c>
      <c r="AH6" s="5">
        <f>VLOOKUP(AA6,howfared!$B$2:$AH$33,8,FALSE)</f>
        <v>0</v>
      </c>
      <c r="AI6" s="5">
        <f>VLOOKUP(AA6,howfared!$B$2:$AH$33,9,FALSE)</f>
        <v>0</v>
      </c>
      <c r="AJ6" s="5">
        <f>VLOOKUP(AA6,howfared!$B$2:$AH$33,10,FALSE)</f>
        <v>0</v>
      </c>
      <c r="AK6" s="5">
        <f>VLOOKUP(AA6,howfared!$B$2:$AH$33,11,FALSE)</f>
        <v>0</v>
      </c>
      <c r="AL6" s="5">
        <f>VLOOKUP(AA6,howfared!$B$2:$AH$33,12,FALSE)</f>
        <v>0</v>
      </c>
      <c r="AM6" s="5">
        <f>VLOOKUP(AA6,howfared!$B$2:$AH$33,13,FALSE)</f>
        <v>0</v>
      </c>
      <c r="AN6" s="5">
        <f>VLOOKUP(AA6,howfared!$B$2:$AH$33,14,FALSE)</f>
        <v>0</v>
      </c>
      <c r="AO6" s="5">
        <f>VLOOKUP(AA6,howfared!$B$2:$AH$33,15,FALSE)</f>
        <v>0</v>
      </c>
      <c r="AP6" s="5">
        <f>VLOOKUP(AA6,howfared!$B$2:$AH$33,16,FALSE)</f>
        <v>0</v>
      </c>
      <c r="AQ6" s="5">
        <f>VLOOKUP(AA6,howfared!$B$2:$AH$33,17,FALSE)</f>
        <v>0</v>
      </c>
      <c r="AR6" s="5">
        <f>VLOOKUP(AA6,howfared!$B$2:$AH$33,18,FALSE)</f>
        <v>0</v>
      </c>
      <c r="AS6" s="5" t="str">
        <f t="shared" si="4"/>
        <v>SF</v>
      </c>
      <c r="AT6" s="5">
        <f t="shared" si="5"/>
        <v>3</v>
      </c>
      <c r="AU6" s="5">
        <f t="shared" si="5"/>
        <v>1</v>
      </c>
    </row>
    <row r="7" spans="1:47" s="5" customFormat="1" ht="15.95" customHeight="1" x14ac:dyDescent="0.15">
      <c r="A7" s="5" t="s">
        <v>217</v>
      </c>
      <c r="B7" s="5" t="s">
        <v>197</v>
      </c>
      <c r="C7" s="5" t="s">
        <v>214</v>
      </c>
      <c r="D7" s="5">
        <v>4</v>
      </c>
      <c r="E7" s="5">
        <v>0</v>
      </c>
      <c r="F7" s="5">
        <v>0</v>
      </c>
      <c r="G7" s="42">
        <v>1</v>
      </c>
      <c r="H7" s="5">
        <v>91</v>
      </c>
      <c r="I7" s="5">
        <v>61</v>
      </c>
      <c r="J7" s="5">
        <v>30</v>
      </c>
      <c r="K7" s="5">
        <v>10</v>
      </c>
      <c r="L7" s="43" t="s">
        <v>206</v>
      </c>
      <c r="M7" s="43" t="s">
        <v>205</v>
      </c>
      <c r="N7" s="43" t="s">
        <v>205</v>
      </c>
      <c r="O7" s="42">
        <v>1</v>
      </c>
      <c r="P7" s="43" t="s">
        <v>199</v>
      </c>
      <c r="Q7" s="42">
        <v>1</v>
      </c>
      <c r="R7" s="43" t="s">
        <v>199</v>
      </c>
      <c r="S7" s="5" t="s">
        <v>202</v>
      </c>
      <c r="T7" s="43" t="s">
        <v>200</v>
      </c>
      <c r="U7" s="9">
        <f t="shared" si="0"/>
        <v>22.75</v>
      </c>
      <c r="V7" s="9">
        <f t="shared" si="1"/>
        <v>15.25</v>
      </c>
      <c r="W7" s="9">
        <f t="shared" si="2"/>
        <v>7.5</v>
      </c>
      <c r="X7" s="5">
        <f t="shared" si="3"/>
        <v>4</v>
      </c>
      <c r="Y7" s="46">
        <v>5</v>
      </c>
      <c r="Z7" s="5">
        <f>COUNTIF(AA$3:AA6,AB7)+COUNTIF(AA$3:AA7,AC7)+COUNTIF(AA$3:AA7,AD7)+COUNTIF(AA$3:AA7,AE7)+COUNTIF(AA$3:AA7,AF7)+COUNTIF(AA$3:AA7,AG7)+COUNTIF(AA$3:AA7,AH7)+COUNTIF(AA$3:AA7,AI7)+COUNTIF(AA$3:AA7,AJ7)+COUNTIF(AA$3:AA7,AK7)+COUNTIF(AA$3:AA7,AL7)+COUNTIF(AA$3:AA7,AM7)+COUNTIF(AA$3:AA7,AN7)+COUNTIF(AA$3:AA7,AO7)+COUNTIF(AA$3:AA7,AP7)+COUNTIF(AA$3:AA7,AQ7)+COUNTIF(AA$3:AA7,AR7)</f>
        <v>0</v>
      </c>
      <c r="AA7" s="45" t="str">
        <f>VLOOKUP(A7,howfared!$A$2:$B$33,2,FALSE)</f>
        <v>ARI</v>
      </c>
      <c r="AB7" s="5" t="str">
        <f>VLOOKUP(AA7,howfared!$B$2:$AH$33,2,FALSE)</f>
        <v>SEA</v>
      </c>
      <c r="AC7" s="5" t="str">
        <f>VLOOKUP(AA7,howfared!$B$2:$AH$33,3,FALSE)</f>
        <v>NE</v>
      </c>
      <c r="AD7" s="5" t="str">
        <f>VLOOKUP(AA7,howfared!$B$2:$AH$33,4,FALSE)</f>
        <v>PHI</v>
      </c>
      <c r="AE7" s="5">
        <f>VLOOKUP(AA7,howfared!$B$2:$AH$33,5,FALSE)</f>
        <v>0</v>
      </c>
      <c r="AF7" s="5">
        <f>VLOOKUP(AA7,howfared!$B$2:$AH$33,6,FALSE)</f>
        <v>0</v>
      </c>
      <c r="AG7" s="5">
        <f>VLOOKUP(AA7,howfared!$B$2:$AH$33,7,FALSE)</f>
        <v>0</v>
      </c>
      <c r="AH7" s="5">
        <f>VLOOKUP(AA7,howfared!$B$2:$AH$33,8,FALSE)</f>
        <v>0</v>
      </c>
      <c r="AI7" s="5">
        <f>VLOOKUP(AA7,howfared!$B$2:$AH$33,9,FALSE)</f>
        <v>0</v>
      </c>
      <c r="AJ7" s="5">
        <f>VLOOKUP(AA7,howfared!$B$2:$AH$33,10,FALSE)</f>
        <v>0</v>
      </c>
      <c r="AK7" s="5">
        <f>VLOOKUP(AA7,howfared!$B$2:$AH$33,11,FALSE)</f>
        <v>0</v>
      </c>
      <c r="AL7" s="5">
        <f>VLOOKUP(AA7,howfared!$B$2:$AH$33,12,FALSE)</f>
        <v>0</v>
      </c>
      <c r="AM7" s="5">
        <f>VLOOKUP(AA7,howfared!$B$2:$AH$33,13,FALSE)</f>
        <v>0</v>
      </c>
      <c r="AN7" s="5">
        <f>VLOOKUP(AA7,howfared!$B$2:$AH$33,14,FALSE)</f>
        <v>0</v>
      </c>
      <c r="AO7" s="5">
        <f>VLOOKUP(AA7,howfared!$B$2:$AH$33,15,FALSE)</f>
        <v>0</v>
      </c>
      <c r="AP7" s="5">
        <f>VLOOKUP(AA7,howfared!$B$2:$AH$33,16,FALSE)</f>
        <v>0</v>
      </c>
      <c r="AQ7" s="5">
        <f>VLOOKUP(AA7,howfared!$B$2:$AH$33,17,FALSE)</f>
        <v>0</v>
      </c>
      <c r="AR7" s="5">
        <f>VLOOKUP(AA7,howfared!$B$2:$AH$33,18,FALSE)</f>
        <v>0</v>
      </c>
      <c r="AS7" s="5" t="str">
        <f t="shared" si="4"/>
        <v>ARI</v>
      </c>
      <c r="AT7" s="5">
        <f t="shared" si="5"/>
        <v>4</v>
      </c>
      <c r="AU7" s="5">
        <f t="shared" si="5"/>
        <v>0</v>
      </c>
    </row>
    <row r="8" spans="1:47" s="5" customFormat="1" ht="15.95" customHeight="1" x14ac:dyDescent="0.15">
      <c r="A8" s="5" t="s">
        <v>218</v>
      </c>
      <c r="B8" s="5" t="s">
        <v>208</v>
      </c>
      <c r="C8" s="5" t="s">
        <v>219</v>
      </c>
      <c r="D8" s="5">
        <v>2</v>
      </c>
      <c r="E8" s="5">
        <v>2</v>
      </c>
      <c r="F8" s="5">
        <v>0</v>
      </c>
      <c r="G8" s="42">
        <v>0.5</v>
      </c>
      <c r="H8" s="5">
        <v>134</v>
      </c>
      <c r="I8" s="5">
        <v>92</v>
      </c>
      <c r="J8" s="5">
        <v>42</v>
      </c>
      <c r="K8" s="5">
        <v>15</v>
      </c>
      <c r="L8" s="43" t="s">
        <v>210</v>
      </c>
      <c r="M8" s="43" t="s">
        <v>215</v>
      </c>
      <c r="N8" s="43" t="s">
        <v>205</v>
      </c>
      <c r="O8" s="42">
        <v>1</v>
      </c>
      <c r="P8" s="43" t="s">
        <v>215</v>
      </c>
      <c r="Q8" s="42">
        <v>0.66700000000000004</v>
      </c>
      <c r="R8" s="43" t="s">
        <v>210</v>
      </c>
      <c r="S8" s="5" t="s">
        <v>216</v>
      </c>
      <c r="T8" s="43" t="s">
        <v>220</v>
      </c>
      <c r="U8" s="9">
        <f t="shared" si="0"/>
        <v>33.5</v>
      </c>
      <c r="V8" s="9">
        <f t="shared" si="1"/>
        <v>23</v>
      </c>
      <c r="W8" s="9">
        <f t="shared" si="2"/>
        <v>10.5</v>
      </c>
      <c r="X8" s="5">
        <f t="shared" si="3"/>
        <v>4</v>
      </c>
      <c r="Y8" s="46">
        <v>6</v>
      </c>
      <c r="Z8" s="5">
        <f>COUNTIF(AA$3:AA7,AB8)+COUNTIF(AA$3:AA8,AC8)+COUNTIF(AA$3:AA8,AD8)+COUNTIF(AA$3:AA8,AE8)+COUNTIF(AA$3:AA8,AF8)+COUNTIF(AA$3:AA8,AG8)+COUNTIF(AA$3:AA8,AH8)+COUNTIF(AA$3:AA8,AI8)+COUNTIF(AA$3:AA8,AJ8)+COUNTIF(AA$3:AA8,AK8)+COUNTIF(AA$3:AA8,AL8)+COUNTIF(AA$3:AA8,AM8)+COUNTIF(AA$3:AA8,AN8)+COUNTIF(AA$3:AA8,AO8)+COUNTIF(AA$3:AA8,AP8)+COUNTIF(AA$3:AA8,AQ8)+COUNTIF(AA$3:AA8,AR8)</f>
        <v>0</v>
      </c>
      <c r="AA8" s="45" t="str">
        <f>VLOOKUP(A8,howfared!$A$2:$B$33,2,FALSE)</f>
        <v>NE</v>
      </c>
      <c r="AB8" s="5" t="str">
        <f>VLOOKUP(AA8,howfared!$B$2:$AH$33,2,FALSE)</f>
        <v>TEN</v>
      </c>
      <c r="AC8" s="5">
        <f>VLOOKUP(AA8,howfared!$B$2:$AH$33,3,FALSE)</f>
        <v>0</v>
      </c>
      <c r="AD8" s="5">
        <f>VLOOKUP(AA8,howfared!$B$2:$AH$33,4,FALSE)</f>
        <v>0</v>
      </c>
      <c r="AE8" s="5">
        <f>VLOOKUP(AA8,howfared!$B$2:$AH$33,5,FALSE)</f>
        <v>0</v>
      </c>
      <c r="AF8" s="5">
        <f>VLOOKUP(AA8,howfared!$B$2:$AH$33,6,FALSE)</f>
        <v>0</v>
      </c>
      <c r="AG8" s="5">
        <f>VLOOKUP(AA8,howfared!$B$2:$AH$33,7,FALSE)</f>
        <v>0</v>
      </c>
      <c r="AH8" s="5">
        <f>VLOOKUP(AA8,howfared!$B$2:$AH$33,8,FALSE)</f>
        <v>0</v>
      </c>
      <c r="AI8" s="5">
        <f>VLOOKUP(AA8,howfared!$B$2:$AH$33,9,FALSE)</f>
        <v>0</v>
      </c>
      <c r="AJ8" s="5">
        <f>VLOOKUP(AA8,howfared!$B$2:$AH$33,10,FALSE)</f>
        <v>0</v>
      </c>
      <c r="AK8" s="5">
        <f>VLOOKUP(AA8,howfared!$B$2:$AH$33,11,FALSE)</f>
        <v>0</v>
      </c>
      <c r="AL8" s="5">
        <f>VLOOKUP(AA8,howfared!$B$2:$AH$33,12,FALSE)</f>
        <v>0</v>
      </c>
      <c r="AM8" s="5">
        <f>VLOOKUP(AA8,howfared!$B$2:$AH$33,13,FALSE)</f>
        <v>0</v>
      </c>
      <c r="AN8" s="5">
        <f>VLOOKUP(AA8,howfared!$B$2:$AH$33,14,FALSE)</f>
        <v>0</v>
      </c>
      <c r="AO8" s="5">
        <f>VLOOKUP(AA8,howfared!$B$2:$AH$33,15,FALSE)</f>
        <v>0</v>
      </c>
      <c r="AP8" s="5">
        <f>VLOOKUP(AA8,howfared!$B$2:$AH$33,16,FALSE)</f>
        <v>0</v>
      </c>
      <c r="AQ8" s="5">
        <f>VLOOKUP(AA8,howfared!$B$2:$AH$33,17,FALSE)</f>
        <v>0</v>
      </c>
      <c r="AR8" s="5">
        <f>VLOOKUP(AA8,howfared!$B$2:$AH$33,18,FALSE)</f>
        <v>0</v>
      </c>
      <c r="AS8" s="5" t="str">
        <f t="shared" si="4"/>
        <v>NE</v>
      </c>
      <c r="AT8" s="5">
        <f t="shared" si="5"/>
        <v>2</v>
      </c>
      <c r="AU8" s="5">
        <f t="shared" si="5"/>
        <v>2</v>
      </c>
    </row>
    <row r="9" spans="1:47" s="5" customFormat="1" ht="15.95" customHeight="1" x14ac:dyDescent="0.15">
      <c r="A9" s="5" t="s">
        <v>221</v>
      </c>
      <c r="B9" s="5" t="s">
        <v>208</v>
      </c>
      <c r="C9" s="5" t="s">
        <v>222</v>
      </c>
      <c r="D9" s="5">
        <v>3</v>
      </c>
      <c r="E9" s="5">
        <v>1</v>
      </c>
      <c r="F9" s="5">
        <v>0</v>
      </c>
      <c r="G9" s="42">
        <v>0.75</v>
      </c>
      <c r="H9" s="5">
        <v>66</v>
      </c>
      <c r="I9" s="5">
        <v>83</v>
      </c>
      <c r="J9" s="5">
        <v>-17</v>
      </c>
      <c r="K9" s="5">
        <v>6</v>
      </c>
      <c r="L9" s="43" t="s">
        <v>199</v>
      </c>
      <c r="M9" s="43" t="s">
        <v>223</v>
      </c>
      <c r="N9" s="43" t="s">
        <v>205</v>
      </c>
      <c r="O9" s="42">
        <v>1</v>
      </c>
      <c r="P9" s="43" t="s">
        <v>223</v>
      </c>
      <c r="Q9" s="42">
        <v>0.5</v>
      </c>
      <c r="R9" s="43" t="s">
        <v>199</v>
      </c>
      <c r="S9" s="5" t="s">
        <v>216</v>
      </c>
      <c r="T9" s="43" t="s">
        <v>212</v>
      </c>
      <c r="U9" s="9">
        <f t="shared" si="0"/>
        <v>16.5</v>
      </c>
      <c r="V9" s="9">
        <f t="shared" si="1"/>
        <v>20.75</v>
      </c>
      <c r="W9" s="9">
        <f t="shared" si="2"/>
        <v>-4.25</v>
      </c>
      <c r="X9" s="5">
        <f t="shared" si="3"/>
        <v>4</v>
      </c>
      <c r="Y9" s="44">
        <v>7</v>
      </c>
      <c r="Z9" s="5">
        <f>COUNTIF(AA$3:AA8,AB9)+COUNTIF(AA$3:AA9,AC9)+COUNTIF(AA$3:AA9,AD9)+COUNTIF(AA$3:AA9,AE9)+COUNTIF(AA$3:AA9,AF9)+COUNTIF(AA$3:AA9,AG9)+COUNTIF(AA$3:AA9,AH9)+COUNTIF(AA$3:AA9,AI9)+COUNTIF(AA$3:AA9,AJ9)+COUNTIF(AA$3:AA9,AK9)+COUNTIF(AA$3:AA9,AL9)+COUNTIF(AA$3:AA9,AM9)+COUNTIF(AA$3:AA9,AN9)+COUNTIF(AA$3:AA9,AO9)+COUNTIF(AA$3:AA9,AP9)+COUNTIF(AA$3:AA9,AQ9)+COUNTIF(AA$3:AA9,AR9)</f>
        <v>1</v>
      </c>
      <c r="AA9" s="45" t="str">
        <f>VLOOKUP(A9,howfared!$A$2:$B$33,2,FALSE)</f>
        <v>PHI</v>
      </c>
      <c r="AB9" s="5" t="str">
        <f>VLOOKUP(AA9,howfared!$B$2:$AH$33,2,FALSE)</f>
        <v>CLE</v>
      </c>
      <c r="AC9" s="5" t="str">
        <f>VLOOKUP(AA9,howfared!$B$2:$AH$33,3,FALSE)</f>
        <v>BAL</v>
      </c>
      <c r="AD9" s="5">
        <f>VLOOKUP(AA9,howfared!$B$2:$AH$33,4,FALSE)</f>
        <v>0</v>
      </c>
      <c r="AE9" s="5">
        <f>VLOOKUP(AA9,howfared!$B$2:$AH$33,5,FALSE)</f>
        <v>0</v>
      </c>
      <c r="AF9" s="5">
        <f>VLOOKUP(AA9,howfared!$B$2:$AH$33,6,FALSE)</f>
        <v>0</v>
      </c>
      <c r="AG9" s="5">
        <f>VLOOKUP(AA9,howfared!$B$2:$AH$33,7,FALSE)</f>
        <v>0</v>
      </c>
      <c r="AH9" s="5">
        <f>VLOOKUP(AA9,howfared!$B$2:$AH$33,8,FALSE)</f>
        <v>0</v>
      </c>
      <c r="AI9" s="5">
        <f>VLOOKUP(AA9,howfared!$B$2:$AH$33,9,FALSE)</f>
        <v>0</v>
      </c>
      <c r="AJ9" s="5">
        <f>VLOOKUP(AA9,howfared!$B$2:$AH$33,10,FALSE)</f>
        <v>0</v>
      </c>
      <c r="AK9" s="5">
        <f>VLOOKUP(AA9,howfared!$B$2:$AH$33,11,FALSE)</f>
        <v>0</v>
      </c>
      <c r="AL9" s="5">
        <f>VLOOKUP(AA9,howfared!$B$2:$AH$33,12,FALSE)</f>
        <v>0</v>
      </c>
      <c r="AM9" s="5">
        <f>VLOOKUP(AA9,howfared!$B$2:$AH$33,13,FALSE)</f>
        <v>0</v>
      </c>
      <c r="AN9" s="5">
        <f>VLOOKUP(AA9,howfared!$B$2:$AH$33,14,FALSE)</f>
        <v>0</v>
      </c>
      <c r="AO9" s="5">
        <f>VLOOKUP(AA9,howfared!$B$2:$AH$33,15,FALSE)</f>
        <v>0</v>
      </c>
      <c r="AP9" s="5">
        <f>VLOOKUP(AA9,howfared!$B$2:$AH$33,16,FALSE)</f>
        <v>0</v>
      </c>
      <c r="AQ9" s="5">
        <f>VLOOKUP(AA9,howfared!$B$2:$AH$33,17,FALSE)</f>
        <v>0</v>
      </c>
      <c r="AR9" s="5">
        <f>VLOOKUP(AA9,howfared!$B$2:$AH$33,18,FALSE)</f>
        <v>0</v>
      </c>
      <c r="AS9" s="5" t="str">
        <f t="shared" si="4"/>
        <v>PHI</v>
      </c>
      <c r="AT9" s="5">
        <f t="shared" si="5"/>
        <v>3</v>
      </c>
      <c r="AU9" s="5">
        <f t="shared" si="5"/>
        <v>1</v>
      </c>
    </row>
    <row r="10" spans="1:47" s="5" customFormat="1" ht="15.95" customHeight="1" x14ac:dyDescent="0.15">
      <c r="A10" s="5" t="s">
        <v>224</v>
      </c>
      <c r="B10" s="5" t="s">
        <v>197</v>
      </c>
      <c r="C10" s="5" t="s">
        <v>225</v>
      </c>
      <c r="D10" s="5">
        <v>2</v>
      </c>
      <c r="E10" s="5">
        <v>2</v>
      </c>
      <c r="F10" s="5">
        <v>0</v>
      </c>
      <c r="G10" s="42">
        <v>0.5</v>
      </c>
      <c r="H10" s="5">
        <v>85</v>
      </c>
      <c r="I10" s="5">
        <v>81</v>
      </c>
      <c r="J10" s="5">
        <v>4</v>
      </c>
      <c r="K10" s="5">
        <v>10</v>
      </c>
      <c r="L10" s="43" t="s">
        <v>215</v>
      </c>
      <c r="M10" s="43" t="s">
        <v>210</v>
      </c>
      <c r="N10" s="43" t="s">
        <v>205</v>
      </c>
      <c r="O10" s="42">
        <v>1</v>
      </c>
      <c r="P10" s="43" t="s">
        <v>220</v>
      </c>
      <c r="Q10" s="42">
        <v>0.5</v>
      </c>
      <c r="R10" s="43" t="s">
        <v>201</v>
      </c>
      <c r="S10" s="5" t="s">
        <v>216</v>
      </c>
      <c r="T10" s="43" t="s">
        <v>220</v>
      </c>
      <c r="U10" s="9">
        <f t="shared" si="0"/>
        <v>21.25</v>
      </c>
      <c r="V10" s="9">
        <f t="shared" si="1"/>
        <v>20.25</v>
      </c>
      <c r="W10" s="9">
        <f t="shared" si="2"/>
        <v>1</v>
      </c>
      <c r="X10" s="5">
        <f t="shared" si="3"/>
        <v>4</v>
      </c>
      <c r="Y10" s="46">
        <v>8</v>
      </c>
      <c r="Z10" s="5">
        <f>COUNTIF(AA$3:AA9,AB10)+COUNTIF(AA$3:AA10,AC10)+COUNTIF(AA$3:AA10,AD10)+COUNTIF(AA$3:AA10,AE10)+COUNTIF(AA$3:AA10,AF10)+COUNTIF(AA$3:AA10,AG10)+COUNTIF(AA$3:AA10,AH10)+COUNTIF(AA$3:AA10,AI10)+COUNTIF(AA$3:AA10,AJ10)+COUNTIF(AA$3:AA10,AK10)+COUNTIF(AA$3:AA10,AL10)+COUNTIF(AA$3:AA10,AM10)+COUNTIF(AA$3:AA10,AN10)+COUNTIF(AA$3:AA10,AO10)+COUNTIF(AA$3:AA10,AP10)+COUNTIF(AA$3:AA10,AQ10)+COUNTIF(AA$3:AA10,AR10)</f>
        <v>0</v>
      </c>
      <c r="AA10" s="45" t="str">
        <f>VLOOKUP(A10,howfared!$A$2:$B$33,2,FALSE)</f>
        <v>GB</v>
      </c>
      <c r="AB10" s="5">
        <f>VLOOKUP(AA10,howfared!$B$2:$AH$33,2,FALSE)</f>
        <v>0</v>
      </c>
      <c r="AC10" s="5" t="str">
        <f>VLOOKUP(AA10,howfared!$B$2:$AH$33,3,FALSE)</f>
        <v>CHI</v>
      </c>
      <c r="AD10" s="5">
        <f>VLOOKUP(AA10,howfared!$B$2:$AH$33,4,FALSE)</f>
        <v>0</v>
      </c>
      <c r="AE10" s="5">
        <f>VLOOKUP(AA10,howfared!$B$2:$AH$33,5,FALSE)</f>
        <v>0</v>
      </c>
      <c r="AF10" s="5">
        <f>VLOOKUP(AA10,howfared!$B$2:$AH$33,6,FALSE)</f>
        <v>0</v>
      </c>
      <c r="AG10" s="5">
        <f>VLOOKUP(AA10,howfared!$B$2:$AH$33,7,FALSE)</f>
        <v>0</v>
      </c>
      <c r="AH10" s="5">
        <f>VLOOKUP(AA10,howfared!$B$2:$AH$33,8,FALSE)</f>
        <v>0</v>
      </c>
      <c r="AI10" s="5">
        <f>VLOOKUP(AA10,howfared!$B$2:$AH$33,9,FALSE)</f>
        <v>0</v>
      </c>
      <c r="AJ10" s="5">
        <f>VLOOKUP(AA10,howfared!$B$2:$AH$33,10,FALSE)</f>
        <v>0</v>
      </c>
      <c r="AK10" s="5">
        <f>VLOOKUP(AA10,howfared!$B$2:$AH$33,11,FALSE)</f>
        <v>0</v>
      </c>
      <c r="AL10" s="5">
        <f>VLOOKUP(AA10,howfared!$B$2:$AH$33,12,FALSE)</f>
        <v>0</v>
      </c>
      <c r="AM10" s="5">
        <f>VLOOKUP(AA10,howfared!$B$2:$AH$33,13,FALSE)</f>
        <v>0</v>
      </c>
      <c r="AN10" s="5">
        <f>VLOOKUP(AA10,howfared!$B$2:$AH$33,14,FALSE)</f>
        <v>0</v>
      </c>
      <c r="AO10" s="5">
        <f>VLOOKUP(AA10,howfared!$B$2:$AH$33,15,FALSE)</f>
        <v>0</v>
      </c>
      <c r="AP10" s="5">
        <f>VLOOKUP(AA10,howfared!$B$2:$AH$33,16,FALSE)</f>
        <v>0</v>
      </c>
      <c r="AQ10" s="5">
        <f>VLOOKUP(AA10,howfared!$B$2:$AH$33,17,FALSE)</f>
        <v>0</v>
      </c>
      <c r="AR10" s="5">
        <f>VLOOKUP(AA10,howfared!$B$2:$AH$33,18,FALSE)</f>
        <v>0</v>
      </c>
      <c r="AS10" s="5" t="str">
        <f t="shared" si="4"/>
        <v>GB</v>
      </c>
      <c r="AT10" s="5">
        <f t="shared" si="5"/>
        <v>2</v>
      </c>
      <c r="AU10" s="5">
        <f t="shared" si="5"/>
        <v>2</v>
      </c>
    </row>
    <row r="11" spans="1:47" s="5" customFormat="1" ht="15.95" customHeight="1" x14ac:dyDescent="0.15">
      <c r="A11" s="5" t="s">
        <v>226</v>
      </c>
      <c r="B11" s="5" t="s">
        <v>208</v>
      </c>
      <c r="C11" s="5" t="s">
        <v>225</v>
      </c>
      <c r="D11" s="5">
        <v>3</v>
      </c>
      <c r="E11" s="5">
        <v>1</v>
      </c>
      <c r="F11" s="5">
        <v>0</v>
      </c>
      <c r="G11" s="42">
        <v>0.75</v>
      </c>
      <c r="H11" s="5">
        <v>108</v>
      </c>
      <c r="I11" s="5">
        <v>68</v>
      </c>
      <c r="J11" s="5">
        <v>40</v>
      </c>
      <c r="K11" s="5">
        <v>12</v>
      </c>
      <c r="L11" s="43" t="s">
        <v>199</v>
      </c>
      <c r="M11" s="43" t="s">
        <v>223</v>
      </c>
      <c r="N11" s="43" t="s">
        <v>210</v>
      </c>
      <c r="O11" s="42">
        <v>0</v>
      </c>
      <c r="P11" s="43" t="s">
        <v>215</v>
      </c>
      <c r="Q11" s="42">
        <v>0.66700000000000004</v>
      </c>
      <c r="R11" s="43" t="s">
        <v>205</v>
      </c>
      <c r="S11" s="5" t="s">
        <v>211</v>
      </c>
      <c r="T11" s="43" t="s">
        <v>212</v>
      </c>
      <c r="U11" s="9">
        <f t="shared" si="0"/>
        <v>27</v>
      </c>
      <c r="V11" s="9">
        <f t="shared" si="1"/>
        <v>17</v>
      </c>
      <c r="W11" s="9">
        <f t="shared" si="2"/>
        <v>10</v>
      </c>
      <c r="X11" s="5">
        <f t="shared" si="3"/>
        <v>4</v>
      </c>
      <c r="Y11" s="46">
        <v>9</v>
      </c>
      <c r="Z11" s="5">
        <f>COUNTIF(AA$3:AA10,AB11)+COUNTIF(AA$3:AA11,AC11)+COUNTIF(AA$3:AA11,AD11)+COUNTIF(AA$3:AA11,AE11)+COUNTIF(AA$3:AA11,AF11)+COUNTIF(AA$3:AA11,AG11)+COUNTIF(AA$3:AA11,AH11)+COUNTIF(AA$3:AA11,AI11)+COUNTIF(AA$3:AA11,AJ11)+COUNTIF(AA$3:AA11,AK11)+COUNTIF(AA$3:AA11,AL11)+COUNTIF(AA$3:AA11,AM11)+COUNTIF(AA$3:AA11,AN11)+COUNTIF(AA$3:AA11,AO11)+COUNTIF(AA$3:AA11,AP11)+COUNTIF(AA$3:AA11,AQ11)+COUNTIF(AA$3:AA11,AR11)</f>
        <v>0</v>
      </c>
      <c r="AA11" s="45" t="str">
        <f>VLOOKUP(A11,howfared!$A$2:$B$33,2,FALSE)</f>
        <v>CHI</v>
      </c>
      <c r="AB11" s="5" t="str">
        <f>VLOOKUP(AA11,howfared!$B$2:$AH$33,2,FALSE)</f>
        <v>IND</v>
      </c>
      <c r="AC11" s="5">
        <f>VLOOKUP(AA11,howfared!$B$2:$AH$33,3,FALSE)</f>
        <v>0</v>
      </c>
      <c r="AD11" s="5" t="str">
        <f>VLOOKUP(AA11,howfared!$B$2:$AH$33,4,FALSE)</f>
        <v>STL</v>
      </c>
      <c r="AE11" s="5">
        <f>VLOOKUP(AA11,howfared!$B$2:$AH$33,5,FALSE)</f>
        <v>0</v>
      </c>
      <c r="AF11" s="5">
        <f>VLOOKUP(AA11,howfared!$B$2:$AH$33,6,FALSE)</f>
        <v>0</v>
      </c>
      <c r="AG11" s="5">
        <f>VLOOKUP(AA11,howfared!$B$2:$AH$33,7,FALSE)</f>
        <v>0</v>
      </c>
      <c r="AH11" s="5">
        <f>VLOOKUP(AA11,howfared!$B$2:$AH$33,8,FALSE)</f>
        <v>0</v>
      </c>
      <c r="AI11" s="5">
        <f>VLOOKUP(AA11,howfared!$B$2:$AH$33,9,FALSE)</f>
        <v>0</v>
      </c>
      <c r="AJ11" s="5">
        <f>VLOOKUP(AA11,howfared!$B$2:$AH$33,10,FALSE)</f>
        <v>0</v>
      </c>
      <c r="AK11" s="5">
        <f>VLOOKUP(AA11,howfared!$B$2:$AH$33,11,FALSE)</f>
        <v>0</v>
      </c>
      <c r="AL11" s="5">
        <f>VLOOKUP(AA11,howfared!$B$2:$AH$33,12,FALSE)</f>
        <v>0</v>
      </c>
      <c r="AM11" s="5">
        <f>VLOOKUP(AA11,howfared!$B$2:$AH$33,13,FALSE)</f>
        <v>0</v>
      </c>
      <c r="AN11" s="5">
        <f>VLOOKUP(AA11,howfared!$B$2:$AH$33,14,FALSE)</f>
        <v>0</v>
      </c>
      <c r="AO11" s="5">
        <f>VLOOKUP(AA11,howfared!$B$2:$AH$33,15,FALSE)</f>
        <v>0</v>
      </c>
      <c r="AP11" s="5">
        <f>VLOOKUP(AA11,howfared!$B$2:$AH$33,16,FALSE)</f>
        <v>0</v>
      </c>
      <c r="AQ11" s="5">
        <f>VLOOKUP(AA11,howfared!$B$2:$AH$33,17,FALSE)</f>
        <v>0</v>
      </c>
      <c r="AR11" s="5">
        <f>VLOOKUP(AA11,howfared!$B$2:$AH$33,18,FALSE)</f>
        <v>0</v>
      </c>
      <c r="AS11" s="5" t="str">
        <f t="shared" si="4"/>
        <v>CHI</v>
      </c>
      <c r="AT11" s="5">
        <f t="shared" si="5"/>
        <v>3</v>
      </c>
      <c r="AU11" s="5">
        <f t="shared" si="5"/>
        <v>1</v>
      </c>
    </row>
    <row r="12" spans="1:47" s="5" customFormat="1" ht="15.95" customHeight="1" x14ac:dyDescent="0.15">
      <c r="A12" s="5" t="s">
        <v>227</v>
      </c>
      <c r="B12" s="5" t="s">
        <v>197</v>
      </c>
      <c r="C12" s="5" t="s">
        <v>222</v>
      </c>
      <c r="D12" s="5">
        <v>2</v>
      </c>
      <c r="E12" s="5">
        <v>2</v>
      </c>
      <c r="F12" s="5">
        <v>0</v>
      </c>
      <c r="G12" s="42">
        <v>0.5</v>
      </c>
      <c r="H12" s="5">
        <v>111</v>
      </c>
      <c r="I12" s="5">
        <v>84</v>
      </c>
      <c r="J12" s="5">
        <v>27</v>
      </c>
      <c r="K12" s="5">
        <v>11</v>
      </c>
      <c r="L12" s="43" t="s">
        <v>223</v>
      </c>
      <c r="M12" s="43" t="s">
        <v>223</v>
      </c>
      <c r="N12" s="43" t="s">
        <v>228</v>
      </c>
      <c r="O12" s="42">
        <v>0</v>
      </c>
      <c r="P12" s="43" t="s">
        <v>220</v>
      </c>
      <c r="Q12" s="42">
        <v>0.5</v>
      </c>
      <c r="R12" s="43" t="s">
        <v>201</v>
      </c>
      <c r="S12" s="5" t="s">
        <v>229</v>
      </c>
      <c r="T12" s="43" t="s">
        <v>220</v>
      </c>
      <c r="U12" s="9">
        <f t="shared" si="0"/>
        <v>27.75</v>
      </c>
      <c r="V12" s="9">
        <f t="shared" si="1"/>
        <v>21</v>
      </c>
      <c r="W12" s="9">
        <f t="shared" si="2"/>
        <v>6.75</v>
      </c>
      <c r="X12" s="5">
        <f t="shared" si="3"/>
        <v>4</v>
      </c>
      <c r="Y12" s="44">
        <v>10</v>
      </c>
      <c r="Z12" s="5">
        <f>COUNTIF(AA$3:AA11,AB12)+COUNTIF(AA$3:AA12,AC12)+COUNTIF(AA$3:AA12,AD12)+COUNTIF(AA$3:AA12,AE12)+COUNTIF(AA$3:AA12,AF12)+COUNTIF(AA$3:AA12,AG12)+COUNTIF(AA$3:AA12,AH12)+COUNTIF(AA$3:AA12,AI12)+COUNTIF(AA$3:AA12,AJ12)+COUNTIF(AA$3:AA12,AK12)+COUNTIF(AA$3:AA12,AL12)+COUNTIF(AA$3:AA12,AM12)+COUNTIF(AA$3:AA12,AN12)+COUNTIF(AA$3:AA12,AO12)+COUNTIF(AA$3:AA12,AP12)+COUNTIF(AA$3:AA12,AQ12)+COUNTIF(AA$3:AA12,AR12)</f>
        <v>0</v>
      </c>
      <c r="AA12" s="45" t="str">
        <f>VLOOKUP(A12,howfared!$A$2:$B$33,2,FALSE)</f>
        <v>NYG</v>
      </c>
      <c r="AB12" s="5">
        <f>VLOOKUP(AA12,howfared!$B$2:$AH$33,2,FALSE)</f>
        <v>0</v>
      </c>
      <c r="AC12" s="5" t="str">
        <f>VLOOKUP(AA12,howfared!$B$2:$AH$33,3,FALSE)</f>
        <v>TB</v>
      </c>
      <c r="AD12" s="5" t="str">
        <f>VLOOKUP(AA12,howfared!$B$2:$AH$33,4,FALSE)</f>
        <v>CAR</v>
      </c>
      <c r="AE12" s="5">
        <f>VLOOKUP(AA12,howfared!$B$2:$AH$33,5,FALSE)</f>
        <v>0</v>
      </c>
      <c r="AF12" s="5">
        <f>VLOOKUP(AA12,howfared!$B$2:$AH$33,6,FALSE)</f>
        <v>0</v>
      </c>
      <c r="AG12" s="5">
        <f>VLOOKUP(AA12,howfared!$B$2:$AH$33,7,FALSE)</f>
        <v>0</v>
      </c>
      <c r="AH12" s="5">
        <f>VLOOKUP(AA12,howfared!$B$2:$AH$33,8,FALSE)</f>
        <v>0</v>
      </c>
      <c r="AI12" s="5">
        <f>VLOOKUP(AA12,howfared!$B$2:$AH$33,9,FALSE)</f>
        <v>0</v>
      </c>
      <c r="AJ12" s="5">
        <f>VLOOKUP(AA12,howfared!$B$2:$AH$33,10,FALSE)</f>
        <v>0</v>
      </c>
      <c r="AK12" s="5">
        <f>VLOOKUP(AA12,howfared!$B$2:$AH$33,11,FALSE)</f>
        <v>0</v>
      </c>
      <c r="AL12" s="5">
        <f>VLOOKUP(AA12,howfared!$B$2:$AH$33,12,FALSE)</f>
        <v>0</v>
      </c>
      <c r="AM12" s="5">
        <f>VLOOKUP(AA12,howfared!$B$2:$AH$33,13,FALSE)</f>
        <v>0</v>
      </c>
      <c r="AN12" s="5">
        <f>VLOOKUP(AA12,howfared!$B$2:$AH$33,14,FALSE)</f>
        <v>0</v>
      </c>
      <c r="AO12" s="5">
        <f>VLOOKUP(AA12,howfared!$B$2:$AH$33,15,FALSE)</f>
        <v>0</v>
      </c>
      <c r="AP12" s="5">
        <f>VLOOKUP(AA12,howfared!$B$2:$AH$33,16,FALSE)</f>
        <v>0</v>
      </c>
      <c r="AQ12" s="5">
        <f>VLOOKUP(AA12,howfared!$B$2:$AH$33,17,FALSE)</f>
        <v>0</v>
      </c>
      <c r="AR12" s="5">
        <f>VLOOKUP(AA12,howfared!$B$2:$AH$33,18,FALSE)</f>
        <v>0</v>
      </c>
      <c r="AS12" s="5" t="str">
        <f t="shared" si="4"/>
        <v>NYG</v>
      </c>
      <c r="AT12" s="5">
        <f t="shared" si="5"/>
        <v>2</v>
      </c>
      <c r="AU12" s="5">
        <f t="shared" si="5"/>
        <v>2</v>
      </c>
    </row>
    <row r="13" spans="1:47" s="5" customFormat="1" ht="15.95" customHeight="1" x14ac:dyDescent="0.15">
      <c r="A13" s="6" t="s">
        <v>230</v>
      </c>
      <c r="B13" s="6" t="s">
        <v>197</v>
      </c>
      <c r="C13" s="6" t="s">
        <v>231</v>
      </c>
      <c r="D13" s="6">
        <v>3</v>
      </c>
      <c r="E13" s="6">
        <v>1</v>
      </c>
      <c r="F13" s="6">
        <v>0</v>
      </c>
      <c r="G13" s="31">
        <v>0.75</v>
      </c>
      <c r="H13" s="6">
        <v>100</v>
      </c>
      <c r="I13" s="6">
        <v>71</v>
      </c>
      <c r="J13" s="6">
        <v>29</v>
      </c>
      <c r="K13" s="6">
        <v>10</v>
      </c>
      <c r="L13" s="32" t="s">
        <v>223</v>
      </c>
      <c r="M13" s="32" t="s">
        <v>199</v>
      </c>
      <c r="N13" s="32" t="s">
        <v>199</v>
      </c>
      <c r="O13" s="31">
        <v>1</v>
      </c>
      <c r="P13" s="32" t="s">
        <v>206</v>
      </c>
      <c r="Q13" s="31">
        <v>1</v>
      </c>
      <c r="R13" s="32" t="s">
        <v>210</v>
      </c>
      <c r="S13" s="6" t="s">
        <v>216</v>
      </c>
      <c r="T13" s="32" t="s">
        <v>212</v>
      </c>
      <c r="U13" s="9">
        <f t="shared" si="0"/>
        <v>25</v>
      </c>
      <c r="V13" s="9">
        <f t="shared" si="1"/>
        <v>17.75</v>
      </c>
      <c r="W13" s="9">
        <f t="shared" si="2"/>
        <v>7.25</v>
      </c>
      <c r="X13" s="5">
        <f t="shared" si="3"/>
        <v>4</v>
      </c>
      <c r="Y13" s="46">
        <v>11</v>
      </c>
      <c r="Z13" s="5">
        <f>COUNTIF(AA$3:AA12,AB13)+COUNTIF(AA$3:AA13,AC13)+COUNTIF(AA$3:AA13,AD13)+COUNTIF(AA$3:AA13,AE13)+COUNTIF(AA$3:AA13,AF13)+COUNTIF(AA$3:AA13,AG13)+COUNTIF(AA$3:AA13,AH13)+COUNTIF(AA$3:AA13,AI13)+COUNTIF(AA$3:AA13,AJ13)+COUNTIF(AA$3:AA13,AK13)+COUNTIF(AA$3:AA13,AL13)+COUNTIF(AA$3:AA13,AM13)+COUNTIF(AA$3:AA13,AN13)+COUNTIF(AA$3:AA13,AO13)+COUNTIF(AA$3:AA13,AP13)+COUNTIF(AA$3:AA13,AQ13)+COUNTIF(AA$3:AA13,AR13)</f>
        <v>0</v>
      </c>
      <c r="AA13" s="45" t="str">
        <f>VLOOKUP(A13,howfared!$A$2:$B$33,2,FALSE)</f>
        <v>SD</v>
      </c>
      <c r="AB13" s="5" t="str">
        <f>VLOOKUP(AA13,howfared!$B$2:$AH$33,2,FALSE)</f>
        <v>OAK</v>
      </c>
      <c r="AC13" s="5" t="str">
        <f>VLOOKUP(AA13,howfared!$B$2:$AH$33,3,FALSE)</f>
        <v>TEN</v>
      </c>
      <c r="AD13" s="5">
        <f>VLOOKUP(AA13,howfared!$B$2:$AH$33,4,FALSE)</f>
        <v>0</v>
      </c>
      <c r="AE13" s="5">
        <f>VLOOKUP(AA13,howfared!$B$2:$AH$33,5,FALSE)</f>
        <v>0</v>
      </c>
      <c r="AF13" s="5">
        <f>VLOOKUP(AA13,howfared!$B$2:$AH$33,6,FALSE)</f>
        <v>0</v>
      </c>
      <c r="AG13" s="5">
        <f>VLOOKUP(AA13,howfared!$B$2:$AH$33,7,FALSE)</f>
        <v>0</v>
      </c>
      <c r="AH13" s="5">
        <f>VLOOKUP(AA13,howfared!$B$2:$AH$33,8,FALSE)</f>
        <v>0</v>
      </c>
      <c r="AI13" s="5">
        <f>VLOOKUP(AA13,howfared!$B$2:$AH$33,9,FALSE)</f>
        <v>0</v>
      </c>
      <c r="AJ13" s="5">
        <f>VLOOKUP(AA13,howfared!$B$2:$AH$33,10,FALSE)</f>
        <v>0</v>
      </c>
      <c r="AK13" s="5">
        <f>VLOOKUP(AA13,howfared!$B$2:$AH$33,11,FALSE)</f>
        <v>0</v>
      </c>
      <c r="AL13" s="5">
        <f>VLOOKUP(AA13,howfared!$B$2:$AH$33,12,FALSE)</f>
        <v>0</v>
      </c>
      <c r="AM13" s="5">
        <f>VLOOKUP(AA13,howfared!$B$2:$AH$33,13,FALSE)</f>
        <v>0</v>
      </c>
      <c r="AN13" s="5">
        <f>VLOOKUP(AA13,howfared!$B$2:$AH$33,14,FALSE)</f>
        <v>0</v>
      </c>
      <c r="AO13" s="5">
        <f>VLOOKUP(AA13,howfared!$B$2:$AH$33,15,FALSE)</f>
        <v>0</v>
      </c>
      <c r="AP13" s="5">
        <f>VLOOKUP(AA13,howfared!$B$2:$AH$33,16,FALSE)</f>
        <v>0</v>
      </c>
      <c r="AQ13" s="5">
        <f>VLOOKUP(AA13,howfared!$B$2:$AH$33,17,FALSE)</f>
        <v>0</v>
      </c>
      <c r="AR13" s="5">
        <f>VLOOKUP(AA13,howfared!$B$2:$AH$33,18,FALSE)</f>
        <v>0</v>
      </c>
      <c r="AS13" s="5" t="str">
        <f t="shared" si="4"/>
        <v>SD</v>
      </c>
      <c r="AT13" s="5">
        <f t="shared" si="5"/>
        <v>3</v>
      </c>
      <c r="AU13" s="5">
        <f t="shared" si="5"/>
        <v>1</v>
      </c>
    </row>
    <row r="14" spans="1:47" s="5" customFormat="1" ht="15.95" customHeight="1" x14ac:dyDescent="0.15">
      <c r="A14" s="5" t="s">
        <v>232</v>
      </c>
      <c r="B14" s="5" t="s">
        <v>197</v>
      </c>
      <c r="C14" s="5" t="s">
        <v>209</v>
      </c>
      <c r="D14" s="5">
        <v>3</v>
      </c>
      <c r="E14" s="5">
        <v>1</v>
      </c>
      <c r="F14" s="5">
        <v>0</v>
      </c>
      <c r="G14" s="42">
        <v>0.75</v>
      </c>
      <c r="H14" s="5">
        <v>112</v>
      </c>
      <c r="I14" s="5">
        <v>112</v>
      </c>
      <c r="J14" s="5">
        <v>0</v>
      </c>
      <c r="K14" s="5">
        <v>13</v>
      </c>
      <c r="L14" s="43" t="s">
        <v>205</v>
      </c>
      <c r="M14" s="43" t="s">
        <v>215</v>
      </c>
      <c r="N14" s="43" t="s">
        <v>223</v>
      </c>
      <c r="O14" s="42">
        <v>0.5</v>
      </c>
      <c r="P14" s="43" t="s">
        <v>215</v>
      </c>
      <c r="Q14" s="42">
        <v>0.66700000000000004</v>
      </c>
      <c r="R14" s="43" t="s">
        <v>205</v>
      </c>
      <c r="S14" s="5" t="s">
        <v>233</v>
      </c>
      <c r="T14" s="43" t="s">
        <v>212</v>
      </c>
      <c r="U14" s="9">
        <f t="shared" si="0"/>
        <v>28</v>
      </c>
      <c r="V14" s="9">
        <f t="shared" si="1"/>
        <v>28</v>
      </c>
      <c r="W14" s="9">
        <f t="shared" si="2"/>
        <v>0</v>
      </c>
      <c r="X14" s="5">
        <f t="shared" si="3"/>
        <v>4</v>
      </c>
      <c r="Y14" s="46">
        <v>12</v>
      </c>
      <c r="Z14" s="5">
        <f>COUNTIF(AA$3:AA13,AB14)+COUNTIF(AA$3:AA14,AC14)+COUNTIF(AA$3:AA14,AD14)+COUNTIF(AA$3:AA14,AE14)+COUNTIF(AA$3:AA14,AF14)+COUNTIF(AA$3:AA14,AG14)+COUNTIF(AA$3:AA14,AH14)+COUNTIF(AA$3:AA14,AI14)+COUNTIF(AA$3:AA14,AJ14)+COUNTIF(AA$3:AA14,AK14)+COUNTIF(AA$3:AA14,AL14)+COUNTIF(AA$3:AA14,AM14)+COUNTIF(AA$3:AA14,AN14)+COUNTIF(AA$3:AA14,AO14)+COUNTIF(AA$3:AA14,AP14)+COUNTIF(AA$3:AA14,AQ14)+COUNTIF(AA$3:AA14,AR14)</f>
        <v>0</v>
      </c>
      <c r="AA14" s="45" t="str">
        <f>VLOOKUP(A14,howfared!$A$2:$B$33,2,FALSE)</f>
        <v>CIN</v>
      </c>
      <c r="AB14" s="5">
        <f>VLOOKUP(AA14,howfared!$B$2:$AH$33,2,FALSE)</f>
        <v>0</v>
      </c>
      <c r="AC14" s="5" t="str">
        <f>VLOOKUP(AA14,howfared!$B$2:$AH$33,3,FALSE)</f>
        <v>CLE</v>
      </c>
      <c r="AD14" s="5" t="str">
        <f>VLOOKUP(AA14,howfared!$B$2:$AH$33,4,FALSE)</f>
        <v>WAS</v>
      </c>
      <c r="AE14" s="5">
        <f>VLOOKUP(AA14,howfared!$B$2:$AH$33,5,FALSE)</f>
        <v>0</v>
      </c>
      <c r="AF14" s="5">
        <f>VLOOKUP(AA14,howfared!$B$2:$AH$33,6,FALSE)</f>
        <v>0</v>
      </c>
      <c r="AG14" s="5">
        <f>VLOOKUP(AA14,howfared!$B$2:$AH$33,7,FALSE)</f>
        <v>0</v>
      </c>
      <c r="AH14" s="5">
        <f>VLOOKUP(AA14,howfared!$B$2:$AH$33,8,FALSE)</f>
        <v>0</v>
      </c>
      <c r="AI14" s="5">
        <f>VLOOKUP(AA14,howfared!$B$2:$AH$33,9,FALSE)</f>
        <v>0</v>
      </c>
      <c r="AJ14" s="5">
        <f>VLOOKUP(AA14,howfared!$B$2:$AH$33,10,FALSE)</f>
        <v>0</v>
      </c>
      <c r="AK14" s="5">
        <f>VLOOKUP(AA14,howfared!$B$2:$AH$33,11,FALSE)</f>
        <v>0</v>
      </c>
      <c r="AL14" s="5">
        <f>VLOOKUP(AA14,howfared!$B$2:$AH$33,12,FALSE)</f>
        <v>0</v>
      </c>
      <c r="AM14" s="5">
        <f>VLOOKUP(AA14,howfared!$B$2:$AH$33,13,FALSE)</f>
        <v>0</v>
      </c>
      <c r="AN14" s="5">
        <f>VLOOKUP(AA14,howfared!$B$2:$AH$33,14,FALSE)</f>
        <v>0</v>
      </c>
      <c r="AO14" s="5">
        <f>VLOOKUP(AA14,howfared!$B$2:$AH$33,15,FALSE)</f>
        <v>0</v>
      </c>
      <c r="AP14" s="5">
        <f>VLOOKUP(AA14,howfared!$B$2:$AH$33,16,FALSE)</f>
        <v>0</v>
      </c>
      <c r="AQ14" s="5">
        <f>VLOOKUP(AA14,howfared!$B$2:$AH$33,17,FALSE)</f>
        <v>0</v>
      </c>
      <c r="AR14" s="5">
        <f>VLOOKUP(AA14,howfared!$B$2:$AH$33,18,FALSE)</f>
        <v>0</v>
      </c>
      <c r="AS14" s="5" t="str">
        <f t="shared" si="4"/>
        <v>CIN</v>
      </c>
      <c r="AT14" s="5">
        <f t="shared" si="5"/>
        <v>3</v>
      </c>
      <c r="AU14" s="5">
        <f t="shared" si="5"/>
        <v>1</v>
      </c>
    </row>
    <row r="15" spans="1:47" s="5" customFormat="1" ht="15.95" customHeight="1" x14ac:dyDescent="0.15">
      <c r="A15" s="5" t="s">
        <v>234</v>
      </c>
      <c r="B15" s="5" t="s">
        <v>208</v>
      </c>
      <c r="C15" s="5" t="s">
        <v>231</v>
      </c>
      <c r="D15" s="5">
        <v>2</v>
      </c>
      <c r="E15" s="5">
        <v>2</v>
      </c>
      <c r="F15" s="5">
        <v>0</v>
      </c>
      <c r="G15" s="42">
        <v>0.5</v>
      </c>
      <c r="H15" s="5">
        <v>114</v>
      </c>
      <c r="I15" s="5">
        <v>83</v>
      </c>
      <c r="J15" s="5">
        <v>31</v>
      </c>
      <c r="K15" s="5">
        <v>13</v>
      </c>
      <c r="L15" s="43" t="s">
        <v>215</v>
      </c>
      <c r="M15" s="43" t="s">
        <v>210</v>
      </c>
      <c r="N15" s="43" t="s">
        <v>205</v>
      </c>
      <c r="O15" s="42">
        <v>1</v>
      </c>
      <c r="P15" s="43" t="s">
        <v>215</v>
      </c>
      <c r="Q15" s="42">
        <v>0.66700000000000004</v>
      </c>
      <c r="R15" s="43" t="s">
        <v>210</v>
      </c>
      <c r="S15" s="5" t="s">
        <v>216</v>
      </c>
      <c r="T15" s="43" t="s">
        <v>220</v>
      </c>
      <c r="U15" s="9">
        <f t="shared" si="0"/>
        <v>28.5</v>
      </c>
      <c r="V15" s="9">
        <f t="shared" si="1"/>
        <v>20.75</v>
      </c>
      <c r="W15" s="9">
        <f t="shared" si="2"/>
        <v>7.75</v>
      </c>
      <c r="X15" s="5">
        <f t="shared" si="3"/>
        <v>4</v>
      </c>
      <c r="Y15" s="44">
        <v>13</v>
      </c>
      <c r="Z15" s="5">
        <f>COUNTIF(AA$3:AA14,AB15)+COUNTIF(AA$3:AA15,AC15)+COUNTIF(AA$3:AA15,AD15)+COUNTIF(AA$3:AA15,AE15)+COUNTIF(AA$3:AA15,AF15)+COUNTIF(AA$3:AA15,AG15)+COUNTIF(AA$3:AA15,AH15)+COUNTIF(AA$3:AA15,AI15)+COUNTIF(AA$3:AA15,AJ15)+COUNTIF(AA$3:AA15,AK15)+COUNTIF(AA$3:AA15,AL15)+COUNTIF(AA$3:AA15,AM15)+COUNTIF(AA$3:AA15,AN15)+COUNTIF(AA$3:AA15,AO15)+COUNTIF(AA$3:AA15,AP15)+COUNTIF(AA$3:AA15,AQ15)+COUNTIF(AA$3:AA15,AR15)</f>
        <v>0</v>
      </c>
      <c r="AA15" s="45" t="str">
        <f>VLOOKUP(A15,howfared!$A$2:$B$33,2,FALSE)</f>
        <v>DEN</v>
      </c>
      <c r="AB15" s="5" t="str">
        <f>VLOOKUP(AA15,howfared!$B$2:$AH$33,2,FALSE)</f>
        <v>PIT</v>
      </c>
      <c r="AC15" s="5">
        <f>VLOOKUP(AA15,howfared!$B$2:$AH$33,3,FALSE)</f>
        <v>0</v>
      </c>
      <c r="AD15" s="5">
        <f>VLOOKUP(AA15,howfared!$B$2:$AH$33,4,FALSE)</f>
        <v>0</v>
      </c>
      <c r="AE15" s="5">
        <f>VLOOKUP(AA15,howfared!$B$2:$AH$33,5,FALSE)</f>
        <v>0</v>
      </c>
      <c r="AF15" s="5">
        <f>VLOOKUP(AA15,howfared!$B$2:$AH$33,6,FALSE)</f>
        <v>0</v>
      </c>
      <c r="AG15" s="5">
        <f>VLOOKUP(AA15,howfared!$B$2:$AH$33,7,FALSE)</f>
        <v>0</v>
      </c>
      <c r="AH15" s="5">
        <f>VLOOKUP(AA15,howfared!$B$2:$AH$33,8,FALSE)</f>
        <v>0</v>
      </c>
      <c r="AI15" s="5">
        <f>VLOOKUP(AA15,howfared!$B$2:$AH$33,9,FALSE)</f>
        <v>0</v>
      </c>
      <c r="AJ15" s="5">
        <f>VLOOKUP(AA15,howfared!$B$2:$AH$33,10,FALSE)</f>
        <v>0</v>
      </c>
      <c r="AK15" s="5">
        <f>VLOOKUP(AA15,howfared!$B$2:$AH$33,11,FALSE)</f>
        <v>0</v>
      </c>
      <c r="AL15" s="5">
        <f>VLOOKUP(AA15,howfared!$B$2:$AH$33,12,FALSE)</f>
        <v>0</v>
      </c>
      <c r="AM15" s="5">
        <f>VLOOKUP(AA15,howfared!$B$2:$AH$33,13,FALSE)</f>
        <v>0</v>
      </c>
      <c r="AN15" s="5">
        <f>VLOOKUP(AA15,howfared!$B$2:$AH$33,14,FALSE)</f>
        <v>0</v>
      </c>
      <c r="AO15" s="5">
        <f>VLOOKUP(AA15,howfared!$B$2:$AH$33,15,FALSE)</f>
        <v>0</v>
      </c>
      <c r="AP15" s="5">
        <f>VLOOKUP(AA15,howfared!$B$2:$AH$33,16,FALSE)</f>
        <v>0</v>
      </c>
      <c r="AQ15" s="5">
        <f>VLOOKUP(AA15,howfared!$B$2:$AH$33,17,FALSE)</f>
        <v>0</v>
      </c>
      <c r="AR15" s="5">
        <f>VLOOKUP(AA15,howfared!$B$2:$AH$33,18,FALSE)</f>
        <v>0</v>
      </c>
      <c r="AS15" s="5" t="str">
        <f t="shared" si="4"/>
        <v>DEN</v>
      </c>
      <c r="AT15" s="5">
        <f t="shared" si="5"/>
        <v>2</v>
      </c>
      <c r="AU15" s="5">
        <f t="shared" si="5"/>
        <v>2</v>
      </c>
    </row>
    <row r="16" spans="1:47" s="5" customFormat="1" ht="15.95" customHeight="1" x14ac:dyDescent="0.15">
      <c r="A16" s="5" t="s">
        <v>235</v>
      </c>
      <c r="B16" s="5" t="s">
        <v>197</v>
      </c>
      <c r="C16" s="5" t="s">
        <v>225</v>
      </c>
      <c r="D16" s="5">
        <v>3</v>
      </c>
      <c r="E16" s="5">
        <v>1</v>
      </c>
      <c r="F16" s="5">
        <v>0</v>
      </c>
      <c r="G16" s="42">
        <v>0.75</v>
      </c>
      <c r="H16" s="5">
        <v>90</v>
      </c>
      <c r="I16" s="5">
        <v>72</v>
      </c>
      <c r="J16" s="5">
        <v>18</v>
      </c>
      <c r="K16" s="5">
        <v>9</v>
      </c>
      <c r="L16" s="43" t="s">
        <v>199</v>
      </c>
      <c r="M16" s="43" t="s">
        <v>223</v>
      </c>
      <c r="N16" s="43" t="s">
        <v>205</v>
      </c>
      <c r="O16" s="42">
        <v>1</v>
      </c>
      <c r="P16" s="43" t="s">
        <v>199</v>
      </c>
      <c r="Q16" s="42">
        <v>1</v>
      </c>
      <c r="R16" s="43" t="s">
        <v>223</v>
      </c>
      <c r="S16" s="5" t="s">
        <v>211</v>
      </c>
      <c r="T16" s="43" t="s">
        <v>212</v>
      </c>
      <c r="U16" s="9">
        <f t="shared" si="0"/>
        <v>22.5</v>
      </c>
      <c r="V16" s="9">
        <f t="shared" si="1"/>
        <v>18</v>
      </c>
      <c r="W16" s="9">
        <f t="shared" si="2"/>
        <v>4.5</v>
      </c>
      <c r="X16" s="5">
        <f t="shared" si="3"/>
        <v>4</v>
      </c>
      <c r="Y16" s="46">
        <v>14</v>
      </c>
      <c r="Z16" s="5">
        <f>COUNTIF(AA$3:AA15,AB16)+COUNTIF(AA$3:AA16,AC16)+COUNTIF(AA$3:AA16,AD16)+COUNTIF(AA$3:AA16,AE16)+COUNTIF(AA$3:AA16,AF16)+COUNTIF(AA$3:AA16,AG16)+COUNTIF(AA$3:AA16,AH16)+COUNTIF(AA$3:AA16,AI16)+COUNTIF(AA$3:AA16,AJ16)+COUNTIF(AA$3:AA16,AK16)+COUNTIF(AA$3:AA16,AL16)+COUNTIF(AA$3:AA16,AM16)+COUNTIF(AA$3:AA16,AN16)+COUNTIF(AA$3:AA16,AO16)+COUNTIF(AA$3:AA16,AP16)+COUNTIF(AA$3:AA16,AQ16)+COUNTIF(AA$3:AA16,AR16)</f>
        <v>1</v>
      </c>
      <c r="AA16" s="45" t="str">
        <f>VLOOKUP(A16,howfared!$A$2:$B$33,2,FALSE)</f>
        <v>MIN</v>
      </c>
      <c r="AB16" s="5" t="str">
        <f>VLOOKUP(AA16,howfared!$B$2:$AH$33,2,FALSE)</f>
        <v>JAC</v>
      </c>
      <c r="AC16" s="5">
        <f>VLOOKUP(AA16,howfared!$B$2:$AH$33,3,FALSE)</f>
        <v>0</v>
      </c>
      <c r="AD16" s="5" t="str">
        <f>VLOOKUP(AA16,howfared!$B$2:$AH$33,4,FALSE)</f>
        <v>SF</v>
      </c>
      <c r="AE16" s="5">
        <f>VLOOKUP(AA16,howfared!$B$2:$AH$33,5,FALSE)</f>
        <v>0</v>
      </c>
      <c r="AF16" s="5">
        <f>VLOOKUP(AA16,howfared!$B$2:$AH$33,6,FALSE)</f>
        <v>0</v>
      </c>
      <c r="AG16" s="5">
        <f>VLOOKUP(AA16,howfared!$B$2:$AH$33,7,FALSE)</f>
        <v>0</v>
      </c>
      <c r="AH16" s="5">
        <f>VLOOKUP(AA16,howfared!$B$2:$AH$33,8,FALSE)</f>
        <v>0</v>
      </c>
      <c r="AI16" s="5">
        <f>VLOOKUP(AA16,howfared!$B$2:$AH$33,9,FALSE)</f>
        <v>0</v>
      </c>
      <c r="AJ16" s="5">
        <f>VLOOKUP(AA16,howfared!$B$2:$AH$33,10,FALSE)</f>
        <v>0</v>
      </c>
      <c r="AK16" s="5">
        <f>VLOOKUP(AA16,howfared!$B$2:$AH$33,11,FALSE)</f>
        <v>0</v>
      </c>
      <c r="AL16" s="5">
        <f>VLOOKUP(AA16,howfared!$B$2:$AH$33,12,FALSE)</f>
        <v>0</v>
      </c>
      <c r="AM16" s="5">
        <f>VLOOKUP(AA16,howfared!$B$2:$AH$33,13,FALSE)</f>
        <v>0</v>
      </c>
      <c r="AN16" s="5">
        <f>VLOOKUP(AA16,howfared!$B$2:$AH$33,14,FALSE)</f>
        <v>0</v>
      </c>
      <c r="AO16" s="5">
        <f>VLOOKUP(AA16,howfared!$B$2:$AH$33,15,FALSE)</f>
        <v>0</v>
      </c>
      <c r="AP16" s="5">
        <f>VLOOKUP(AA16,howfared!$B$2:$AH$33,16,FALSE)</f>
        <v>0</v>
      </c>
      <c r="AQ16" s="5">
        <f>VLOOKUP(AA16,howfared!$B$2:$AH$33,17,FALSE)</f>
        <v>0</v>
      </c>
      <c r="AR16" s="5">
        <f>VLOOKUP(AA16,howfared!$B$2:$AH$33,18,FALSE)</f>
        <v>0</v>
      </c>
      <c r="AS16" s="5" t="str">
        <f t="shared" si="4"/>
        <v>MIN</v>
      </c>
      <c r="AT16" s="5">
        <f t="shared" si="5"/>
        <v>3</v>
      </c>
      <c r="AU16" s="5">
        <f t="shared" si="5"/>
        <v>1</v>
      </c>
    </row>
    <row r="17" spans="1:47" s="5" customFormat="1" ht="15.95" customHeight="1" x14ac:dyDescent="0.15">
      <c r="A17" s="5" t="s">
        <v>236</v>
      </c>
      <c r="B17" s="5" t="s">
        <v>197</v>
      </c>
      <c r="C17" s="5" t="s">
        <v>222</v>
      </c>
      <c r="D17" s="5">
        <v>2</v>
      </c>
      <c r="E17" s="5">
        <v>2</v>
      </c>
      <c r="F17" s="5">
        <v>0</v>
      </c>
      <c r="G17" s="42">
        <v>0.5</v>
      </c>
      <c r="H17" s="5">
        <v>65</v>
      </c>
      <c r="I17" s="5">
        <v>88</v>
      </c>
      <c r="J17" s="5">
        <v>-23</v>
      </c>
      <c r="K17" s="5">
        <v>7</v>
      </c>
      <c r="L17" s="43" t="s">
        <v>223</v>
      </c>
      <c r="M17" s="43" t="s">
        <v>223</v>
      </c>
      <c r="N17" s="43" t="s">
        <v>205</v>
      </c>
      <c r="O17" s="42">
        <v>1</v>
      </c>
      <c r="P17" s="43" t="s">
        <v>220</v>
      </c>
      <c r="Q17" s="42">
        <v>0.5</v>
      </c>
      <c r="R17" s="43" t="s">
        <v>201</v>
      </c>
      <c r="S17" s="5" t="s">
        <v>229</v>
      </c>
      <c r="T17" s="43" t="s">
        <v>220</v>
      </c>
      <c r="U17" s="9">
        <f t="shared" si="0"/>
        <v>16.25</v>
      </c>
      <c r="V17" s="9">
        <f t="shared" si="1"/>
        <v>22</v>
      </c>
      <c r="W17" s="9">
        <f t="shared" si="2"/>
        <v>-5.75</v>
      </c>
      <c r="X17" s="5">
        <f t="shared" si="3"/>
        <v>4</v>
      </c>
      <c r="Y17" s="46">
        <v>15</v>
      </c>
      <c r="Z17" s="5">
        <f>COUNTIF(AA$3:AA16,AB17)+COUNTIF(AA$3:AA17,AC17)+COUNTIF(AA$3:AA17,AD17)+COUNTIF(AA$3:AA17,AE17)+COUNTIF(AA$3:AA17,AF17)+COUNTIF(AA$3:AA17,AG17)+COUNTIF(AA$3:AA17,AH17)+COUNTIF(AA$3:AA17,AI17)+COUNTIF(AA$3:AA17,AJ17)+COUNTIF(AA$3:AA17,AK17)+COUNTIF(AA$3:AA17,AL17)+COUNTIF(AA$3:AA17,AM17)+COUNTIF(AA$3:AA17,AN17)+COUNTIF(AA$3:AA17,AO17)+COUNTIF(AA$3:AA17,AP17)+COUNTIF(AA$3:AA17,AQ17)+COUNTIF(AA$3:AA17,AR17)</f>
        <v>1</v>
      </c>
      <c r="AA17" s="45" t="str">
        <f>VLOOKUP(A17,howfared!$A$2:$B$33,2,FALSE)</f>
        <v>DAL</v>
      </c>
      <c r="AB17" s="5" t="str">
        <f>VLOOKUP(AA17,howfared!$B$2:$AH$33,2,FALSE)</f>
        <v>NYG</v>
      </c>
      <c r="AC17" s="5">
        <f>VLOOKUP(AA17,howfared!$B$2:$AH$33,3,FALSE)</f>
        <v>0</v>
      </c>
      <c r="AD17" s="5" t="str">
        <f>VLOOKUP(AA17,howfared!$B$2:$AH$33,4,FALSE)</f>
        <v>TB</v>
      </c>
      <c r="AE17" s="5">
        <f>VLOOKUP(AA17,howfared!$B$2:$AH$33,5,FALSE)</f>
        <v>0</v>
      </c>
      <c r="AF17" s="5">
        <f>VLOOKUP(AA17,howfared!$B$2:$AH$33,6,FALSE)</f>
        <v>0</v>
      </c>
      <c r="AG17" s="5">
        <f>VLOOKUP(AA17,howfared!$B$2:$AH$33,7,FALSE)</f>
        <v>0</v>
      </c>
      <c r="AH17" s="5">
        <f>VLOOKUP(AA17,howfared!$B$2:$AH$33,8,FALSE)</f>
        <v>0</v>
      </c>
      <c r="AI17" s="5">
        <f>VLOOKUP(AA17,howfared!$B$2:$AH$33,9,FALSE)</f>
        <v>0</v>
      </c>
      <c r="AJ17" s="5">
        <f>VLOOKUP(AA17,howfared!$B$2:$AH$33,10,FALSE)</f>
        <v>0</v>
      </c>
      <c r="AK17" s="5">
        <f>VLOOKUP(AA17,howfared!$B$2:$AH$33,11,FALSE)</f>
        <v>0</v>
      </c>
      <c r="AL17" s="5">
        <f>VLOOKUP(AA17,howfared!$B$2:$AH$33,12,FALSE)</f>
        <v>0</v>
      </c>
      <c r="AM17" s="5">
        <f>VLOOKUP(AA17,howfared!$B$2:$AH$33,13,FALSE)</f>
        <v>0</v>
      </c>
      <c r="AN17" s="5">
        <f>VLOOKUP(AA17,howfared!$B$2:$AH$33,14,FALSE)</f>
        <v>0</v>
      </c>
      <c r="AO17" s="5">
        <f>VLOOKUP(AA17,howfared!$B$2:$AH$33,15,FALSE)</f>
        <v>0</v>
      </c>
      <c r="AP17" s="5">
        <f>VLOOKUP(AA17,howfared!$B$2:$AH$33,16,FALSE)</f>
        <v>0</v>
      </c>
      <c r="AQ17" s="5">
        <f>VLOOKUP(AA17,howfared!$B$2:$AH$33,17,FALSE)</f>
        <v>0</v>
      </c>
      <c r="AR17" s="5">
        <f>VLOOKUP(AA17,howfared!$B$2:$AH$33,18,FALSE)</f>
        <v>0</v>
      </c>
      <c r="AS17" s="5" t="str">
        <f t="shared" si="4"/>
        <v>DAL</v>
      </c>
      <c r="AT17" s="5">
        <f t="shared" si="5"/>
        <v>2</v>
      </c>
      <c r="AU17" s="5">
        <f t="shared" si="5"/>
        <v>2</v>
      </c>
    </row>
    <row r="18" spans="1:47" s="5" customFormat="1" ht="15.95" customHeight="1" x14ac:dyDescent="0.15">
      <c r="A18" s="5" t="s">
        <v>237</v>
      </c>
      <c r="B18" s="5" t="s">
        <v>208</v>
      </c>
      <c r="C18" s="5" t="s">
        <v>209</v>
      </c>
      <c r="D18" s="5">
        <v>1</v>
      </c>
      <c r="E18" s="5">
        <v>2</v>
      </c>
      <c r="F18" s="5">
        <v>0</v>
      </c>
      <c r="G18" s="42">
        <v>0.33300000000000002</v>
      </c>
      <c r="H18" s="5">
        <v>77</v>
      </c>
      <c r="I18" s="5">
        <v>75</v>
      </c>
      <c r="J18" s="5">
        <v>2</v>
      </c>
      <c r="K18" s="5">
        <v>9</v>
      </c>
      <c r="L18" s="43" t="s">
        <v>205</v>
      </c>
      <c r="M18" s="43" t="s">
        <v>228</v>
      </c>
      <c r="N18" s="43" t="s">
        <v>201</v>
      </c>
      <c r="O18" s="42">
        <v>0</v>
      </c>
      <c r="P18" s="43" t="s">
        <v>238</v>
      </c>
      <c r="Q18" s="42">
        <v>0.33300000000000002</v>
      </c>
      <c r="R18" s="43" t="s">
        <v>201</v>
      </c>
      <c r="S18" s="5" t="s">
        <v>229</v>
      </c>
      <c r="T18" s="43" t="s">
        <v>238</v>
      </c>
      <c r="U18" s="9">
        <f t="shared" si="0"/>
        <v>25.666666666666668</v>
      </c>
      <c r="V18" s="9">
        <f t="shared" si="1"/>
        <v>25</v>
      </c>
      <c r="W18" s="9">
        <f t="shared" si="2"/>
        <v>0.66666666666666785</v>
      </c>
      <c r="X18" s="5">
        <f t="shared" si="3"/>
        <v>3</v>
      </c>
      <c r="Y18" s="44">
        <v>16</v>
      </c>
      <c r="Z18" s="5">
        <f>COUNTIF(AA$3:AA17,AB18)+COUNTIF(AA$3:AA18,AC18)+COUNTIF(AA$3:AA18,AD18)+COUNTIF(AA$3:AA18,AE18)+COUNTIF(AA$3:AA18,AF18)+COUNTIF(AA$3:AA18,AG18)+COUNTIF(AA$3:AA18,AH18)+COUNTIF(AA$3:AA18,AI18)+COUNTIF(AA$3:AA18,AJ18)+COUNTIF(AA$3:AA18,AK18)+COUNTIF(AA$3:AA18,AL18)+COUNTIF(AA$3:AA18,AM18)+COUNTIF(AA$3:AA18,AN18)+COUNTIF(AA$3:AA18,AO18)+COUNTIF(AA$3:AA18,AP18)+COUNTIF(AA$3:AA18,AQ18)+COUNTIF(AA$3:AA18,AR18)</f>
        <v>0</v>
      </c>
      <c r="AA18" s="45" t="str">
        <f>VLOOKUP(A18,howfared!$A$2:$B$33,2,FALSE)</f>
        <v>PIT</v>
      </c>
      <c r="AB18" s="5">
        <f>VLOOKUP(AA18,howfared!$B$2:$AH$33,2,FALSE)</f>
        <v>0</v>
      </c>
      <c r="AC18" s="5" t="str">
        <f>VLOOKUP(AA18,howfared!$B$2:$AH$33,3,FALSE)</f>
        <v>NYJ</v>
      </c>
      <c r="AD18" s="5">
        <f>VLOOKUP(AA18,howfared!$B$2:$AH$33,4,FALSE)</f>
        <v>0</v>
      </c>
      <c r="AE18" s="5">
        <f>VLOOKUP(AA18,howfared!$B$2:$AH$33,5,FALSE)</f>
        <v>0</v>
      </c>
      <c r="AF18" s="5">
        <f>VLOOKUP(AA18,howfared!$B$2:$AH$33,6,FALSE)</f>
        <v>0</v>
      </c>
      <c r="AG18" s="5">
        <f>VLOOKUP(AA18,howfared!$B$2:$AH$33,7,FALSE)</f>
        <v>0</v>
      </c>
      <c r="AH18" s="5">
        <f>VLOOKUP(AA18,howfared!$B$2:$AH$33,8,FALSE)</f>
        <v>0</v>
      </c>
      <c r="AI18" s="5">
        <f>VLOOKUP(AA18,howfared!$B$2:$AH$33,9,FALSE)</f>
        <v>0</v>
      </c>
      <c r="AJ18" s="5">
        <f>VLOOKUP(AA18,howfared!$B$2:$AH$33,10,FALSE)</f>
        <v>0</v>
      </c>
      <c r="AK18" s="5">
        <f>VLOOKUP(AA18,howfared!$B$2:$AH$33,11,FALSE)</f>
        <v>0</v>
      </c>
      <c r="AL18" s="5">
        <f>VLOOKUP(AA18,howfared!$B$2:$AH$33,12,FALSE)</f>
        <v>0</v>
      </c>
      <c r="AM18" s="5">
        <f>VLOOKUP(AA18,howfared!$B$2:$AH$33,13,FALSE)</f>
        <v>0</v>
      </c>
      <c r="AN18" s="5">
        <f>VLOOKUP(AA18,howfared!$B$2:$AH$33,14,FALSE)</f>
        <v>0</v>
      </c>
      <c r="AO18" s="5">
        <f>VLOOKUP(AA18,howfared!$B$2:$AH$33,15,FALSE)</f>
        <v>0</v>
      </c>
      <c r="AP18" s="5">
        <f>VLOOKUP(AA18,howfared!$B$2:$AH$33,16,FALSE)</f>
        <v>0</v>
      </c>
      <c r="AQ18" s="5">
        <f>VLOOKUP(AA18,howfared!$B$2:$AH$33,17,FALSE)</f>
        <v>0</v>
      </c>
      <c r="AR18" s="5">
        <f>VLOOKUP(AA18,howfared!$B$2:$AH$33,18,FALSE)</f>
        <v>0</v>
      </c>
      <c r="AS18" s="5" t="str">
        <f t="shared" si="4"/>
        <v>PIT</v>
      </c>
      <c r="AT18" s="5">
        <f t="shared" si="5"/>
        <v>1</v>
      </c>
      <c r="AU18" s="5">
        <f t="shared" si="5"/>
        <v>2</v>
      </c>
    </row>
    <row r="19" spans="1:47" s="5" customFormat="1" ht="15.95" customHeight="1" x14ac:dyDescent="0.15">
      <c r="A19" s="5" t="s">
        <v>239</v>
      </c>
      <c r="B19" s="5" t="s">
        <v>208</v>
      </c>
      <c r="C19" s="5" t="s">
        <v>214</v>
      </c>
      <c r="D19" s="5">
        <v>2</v>
      </c>
      <c r="E19" s="5">
        <v>2</v>
      </c>
      <c r="F19" s="5">
        <v>0</v>
      </c>
      <c r="G19" s="42">
        <v>0.5</v>
      </c>
      <c r="H19" s="5">
        <v>70</v>
      </c>
      <c r="I19" s="5">
        <v>58</v>
      </c>
      <c r="J19" s="5">
        <v>12</v>
      </c>
      <c r="K19" s="5">
        <v>7</v>
      </c>
      <c r="L19" s="43" t="s">
        <v>199</v>
      </c>
      <c r="M19" s="43" t="s">
        <v>228</v>
      </c>
      <c r="N19" s="43" t="s">
        <v>228</v>
      </c>
      <c r="O19" s="42">
        <v>0</v>
      </c>
      <c r="P19" s="43" t="s">
        <v>220</v>
      </c>
      <c r="Q19" s="42">
        <v>0.5</v>
      </c>
      <c r="R19" s="43" t="s">
        <v>201</v>
      </c>
      <c r="S19" s="5" t="s">
        <v>229</v>
      </c>
      <c r="T19" s="43" t="s">
        <v>220</v>
      </c>
      <c r="U19" s="9">
        <f t="shared" si="0"/>
        <v>17.5</v>
      </c>
      <c r="V19" s="9">
        <f t="shared" si="1"/>
        <v>14.5</v>
      </c>
      <c r="W19" s="9">
        <f t="shared" si="2"/>
        <v>3</v>
      </c>
      <c r="X19" s="5">
        <f t="shared" si="3"/>
        <v>4</v>
      </c>
      <c r="Y19" s="46">
        <v>17</v>
      </c>
      <c r="Z19" s="5">
        <f>COUNTIF(AA$3:AA18,AB19)+COUNTIF(AA$3:AA19,AC19)+COUNTIF(AA$3:AA19,AD19)+COUNTIF(AA$3:AA19,AE19)+COUNTIF(AA$3:AA19,AF19)+COUNTIF(AA$3:AA19,AG19)+COUNTIF(AA$3:AA19,AH19)+COUNTIF(AA$3:AA19,AI19)+COUNTIF(AA$3:AA19,AJ19)+COUNTIF(AA$3:AA19,AK19)+COUNTIF(AA$3:AA19,AL19)+COUNTIF(AA$3:AA19,AM19)+COUNTIF(AA$3:AA19,AN19)+COUNTIF(AA$3:AA19,AO19)+COUNTIF(AA$3:AA19,AP19)+COUNTIF(AA$3:AA19,AQ19)+COUNTIF(AA$3:AA19,AR19)</f>
        <v>2</v>
      </c>
      <c r="AA19" s="45" t="str">
        <f>VLOOKUP(A19,howfared!$A$2:$B$33,2,FALSE)</f>
        <v>SEA</v>
      </c>
      <c r="AB19" s="5">
        <f>VLOOKUP(AA19,howfared!$B$2:$AH$33,2,FALSE)</f>
        <v>0</v>
      </c>
      <c r="AC19" s="5" t="str">
        <f>VLOOKUP(AA19,howfared!$B$2:$AH$33,3,FALSE)</f>
        <v>DAL</v>
      </c>
      <c r="AD19" s="5" t="str">
        <f>VLOOKUP(AA19,howfared!$B$2:$AH$33,4,FALSE)</f>
        <v>GB</v>
      </c>
      <c r="AE19" s="5">
        <f>VLOOKUP(AA19,howfared!$B$2:$AH$33,5,FALSE)</f>
        <v>0</v>
      </c>
      <c r="AF19" s="5">
        <f>VLOOKUP(AA19,howfared!$B$2:$AH$33,6,FALSE)</f>
        <v>0</v>
      </c>
      <c r="AG19" s="5">
        <f>VLOOKUP(AA19,howfared!$B$2:$AH$33,7,FALSE)</f>
        <v>0</v>
      </c>
      <c r="AH19" s="5">
        <f>VLOOKUP(AA19,howfared!$B$2:$AH$33,8,FALSE)</f>
        <v>0</v>
      </c>
      <c r="AI19" s="5">
        <f>VLOOKUP(AA19,howfared!$B$2:$AH$33,9,FALSE)</f>
        <v>0</v>
      </c>
      <c r="AJ19" s="5">
        <f>VLOOKUP(AA19,howfared!$B$2:$AH$33,10,FALSE)</f>
        <v>0</v>
      </c>
      <c r="AK19" s="5">
        <f>VLOOKUP(AA19,howfared!$B$2:$AH$33,11,FALSE)</f>
        <v>0</v>
      </c>
      <c r="AL19" s="5">
        <f>VLOOKUP(AA19,howfared!$B$2:$AH$33,12,FALSE)</f>
        <v>0</v>
      </c>
      <c r="AM19" s="5">
        <f>VLOOKUP(AA19,howfared!$B$2:$AH$33,13,FALSE)</f>
        <v>0</v>
      </c>
      <c r="AN19" s="5">
        <f>VLOOKUP(AA19,howfared!$B$2:$AH$33,14,FALSE)</f>
        <v>0</v>
      </c>
      <c r="AO19" s="5">
        <f>VLOOKUP(AA19,howfared!$B$2:$AH$33,15,FALSE)</f>
        <v>0</v>
      </c>
      <c r="AP19" s="5">
        <f>VLOOKUP(AA19,howfared!$B$2:$AH$33,16,FALSE)</f>
        <v>0</v>
      </c>
      <c r="AQ19" s="5">
        <f>VLOOKUP(AA19,howfared!$B$2:$AH$33,17,FALSE)</f>
        <v>0</v>
      </c>
      <c r="AR19" s="5">
        <f>VLOOKUP(AA19,howfared!$B$2:$AH$33,18,FALSE)</f>
        <v>0</v>
      </c>
      <c r="AS19" s="5" t="str">
        <f t="shared" si="4"/>
        <v>SEA</v>
      </c>
      <c r="AT19" s="5">
        <f t="shared" si="5"/>
        <v>2</v>
      </c>
      <c r="AU19" s="5">
        <f t="shared" si="5"/>
        <v>2</v>
      </c>
    </row>
    <row r="20" spans="1:47" s="5" customFormat="1" ht="15.95" customHeight="1" x14ac:dyDescent="0.15">
      <c r="A20" s="5" t="s">
        <v>240</v>
      </c>
      <c r="B20" s="5" t="s">
        <v>208</v>
      </c>
      <c r="C20" s="5" t="s">
        <v>222</v>
      </c>
      <c r="D20" s="5">
        <v>2</v>
      </c>
      <c r="E20" s="5">
        <v>2</v>
      </c>
      <c r="F20" s="5">
        <v>0</v>
      </c>
      <c r="G20" s="42">
        <v>0.5</v>
      </c>
      <c r="H20" s="5">
        <v>123</v>
      </c>
      <c r="I20" s="5">
        <v>123</v>
      </c>
      <c r="J20" s="5">
        <v>0</v>
      </c>
      <c r="K20" s="5">
        <v>15</v>
      </c>
      <c r="L20" s="43" t="s">
        <v>210</v>
      </c>
      <c r="M20" s="43" t="s">
        <v>215</v>
      </c>
      <c r="N20" s="43" t="s">
        <v>201</v>
      </c>
      <c r="O20" s="42">
        <v>0</v>
      </c>
      <c r="P20" s="43" t="s">
        <v>215</v>
      </c>
      <c r="Q20" s="42">
        <v>0.66700000000000004</v>
      </c>
      <c r="R20" s="43" t="s">
        <v>210</v>
      </c>
      <c r="S20" s="5" t="s">
        <v>216</v>
      </c>
      <c r="T20" s="43" t="s">
        <v>220</v>
      </c>
      <c r="U20" s="9">
        <f t="shared" si="0"/>
        <v>30.75</v>
      </c>
      <c r="V20" s="9">
        <f t="shared" si="1"/>
        <v>30.75</v>
      </c>
      <c r="W20" s="9">
        <f t="shared" si="2"/>
        <v>0</v>
      </c>
      <c r="X20" s="5">
        <f t="shared" si="3"/>
        <v>4</v>
      </c>
      <c r="Y20" s="46">
        <v>18</v>
      </c>
      <c r="Z20" s="5">
        <f>COUNTIF(AA$3:AA19,AB20)+COUNTIF(AA$3:AA20,AC20)+COUNTIF(AA$3:AA20,AD20)+COUNTIF(AA$3:AA20,AE20)+COUNTIF(AA$3:AA20,AF20)+COUNTIF(AA$3:AA20,AG20)+COUNTIF(AA$3:AA20,AH20)+COUNTIF(AA$3:AA20,AI20)+COUNTIF(AA$3:AA20,AJ20)+COUNTIF(AA$3:AA20,AK20)+COUNTIF(AA$3:AA20,AL20)+COUNTIF(AA$3:AA20,AM20)+COUNTIF(AA$3:AA20,AN20)+COUNTIF(AA$3:AA20,AO20)+COUNTIF(AA$3:AA20,AP20)+COUNTIF(AA$3:AA20,AQ20)+COUNTIF(AA$3:AA20,AR20)</f>
        <v>0</v>
      </c>
      <c r="AA20" s="45" t="str">
        <f>VLOOKUP(A20,howfared!$A$2:$B$33,2,FALSE)</f>
        <v>WAS</v>
      </c>
      <c r="AB20" s="5" t="str">
        <f>VLOOKUP(AA20,howfared!$B$2:$AH$33,2,FALSE)</f>
        <v>NO</v>
      </c>
      <c r="AC20" s="5">
        <f>VLOOKUP(AA20,howfared!$B$2:$AH$33,3,FALSE)</f>
        <v>0</v>
      </c>
      <c r="AD20" s="5">
        <f>VLOOKUP(AA20,howfared!$B$2:$AH$33,4,FALSE)</f>
        <v>0</v>
      </c>
      <c r="AE20" s="5">
        <f>VLOOKUP(AA20,howfared!$B$2:$AH$33,5,FALSE)</f>
        <v>0</v>
      </c>
      <c r="AF20" s="5">
        <f>VLOOKUP(AA20,howfared!$B$2:$AH$33,6,FALSE)</f>
        <v>0</v>
      </c>
      <c r="AG20" s="5">
        <f>VLOOKUP(AA20,howfared!$B$2:$AH$33,7,FALSE)</f>
        <v>0</v>
      </c>
      <c r="AH20" s="5">
        <f>VLOOKUP(AA20,howfared!$B$2:$AH$33,8,FALSE)</f>
        <v>0</v>
      </c>
      <c r="AI20" s="5">
        <f>VLOOKUP(AA20,howfared!$B$2:$AH$33,9,FALSE)</f>
        <v>0</v>
      </c>
      <c r="AJ20" s="5">
        <f>VLOOKUP(AA20,howfared!$B$2:$AH$33,10,FALSE)</f>
        <v>0</v>
      </c>
      <c r="AK20" s="5">
        <f>VLOOKUP(AA20,howfared!$B$2:$AH$33,11,FALSE)</f>
        <v>0</v>
      </c>
      <c r="AL20" s="5">
        <f>VLOOKUP(AA20,howfared!$B$2:$AH$33,12,FALSE)</f>
        <v>0</v>
      </c>
      <c r="AM20" s="5">
        <f>VLOOKUP(AA20,howfared!$B$2:$AH$33,13,FALSE)</f>
        <v>0</v>
      </c>
      <c r="AN20" s="5">
        <f>VLOOKUP(AA20,howfared!$B$2:$AH$33,14,FALSE)</f>
        <v>0</v>
      </c>
      <c r="AO20" s="5">
        <f>VLOOKUP(AA20,howfared!$B$2:$AH$33,15,FALSE)</f>
        <v>0</v>
      </c>
      <c r="AP20" s="5">
        <f>VLOOKUP(AA20,howfared!$B$2:$AH$33,16,FALSE)</f>
        <v>0</v>
      </c>
      <c r="AQ20" s="5">
        <f>VLOOKUP(AA20,howfared!$B$2:$AH$33,17,FALSE)</f>
        <v>0</v>
      </c>
      <c r="AR20" s="5">
        <f>VLOOKUP(AA20,howfared!$B$2:$AH$33,18,FALSE)</f>
        <v>0</v>
      </c>
      <c r="AS20" s="5" t="str">
        <f t="shared" si="4"/>
        <v>WAS</v>
      </c>
      <c r="AT20" s="5">
        <f t="shared" si="5"/>
        <v>2</v>
      </c>
      <c r="AU20" s="5">
        <f t="shared" si="5"/>
        <v>2</v>
      </c>
    </row>
    <row r="21" spans="1:47" s="5" customFormat="1" ht="15.95" customHeight="1" x14ac:dyDescent="0.15">
      <c r="A21" s="5" t="s">
        <v>241</v>
      </c>
      <c r="B21" s="5" t="s">
        <v>208</v>
      </c>
      <c r="C21" s="5" t="s">
        <v>214</v>
      </c>
      <c r="D21" s="5">
        <v>2</v>
      </c>
      <c r="E21" s="5">
        <v>2</v>
      </c>
      <c r="F21" s="5">
        <v>0</v>
      </c>
      <c r="G21" s="42">
        <v>0.5</v>
      </c>
      <c r="H21" s="5">
        <v>79</v>
      </c>
      <c r="I21" s="5">
        <v>91</v>
      </c>
      <c r="J21" s="5">
        <v>-12</v>
      </c>
      <c r="K21" s="5">
        <v>6</v>
      </c>
      <c r="L21" s="43" t="s">
        <v>199</v>
      </c>
      <c r="M21" s="43" t="s">
        <v>228</v>
      </c>
      <c r="N21" s="43" t="s">
        <v>205</v>
      </c>
      <c r="O21" s="42">
        <v>1</v>
      </c>
      <c r="P21" s="43" t="s">
        <v>220</v>
      </c>
      <c r="Q21" s="42">
        <v>0.5</v>
      </c>
      <c r="R21" s="43" t="s">
        <v>201</v>
      </c>
      <c r="S21" s="5" t="s">
        <v>216</v>
      </c>
      <c r="T21" s="43" t="s">
        <v>220</v>
      </c>
      <c r="U21" s="9">
        <f t="shared" si="0"/>
        <v>19.75</v>
      </c>
      <c r="V21" s="9">
        <f t="shared" si="1"/>
        <v>22.75</v>
      </c>
      <c r="W21" s="9">
        <f t="shared" si="2"/>
        <v>-3</v>
      </c>
      <c r="X21" s="5">
        <f t="shared" si="3"/>
        <v>4</v>
      </c>
      <c r="Y21" s="44">
        <v>19</v>
      </c>
      <c r="Z21" s="5">
        <f>COUNTIF(AA$3:AA20,AB21)+COUNTIF(AA$3:AA21,AC21)+COUNTIF(AA$3:AA21,AD21)+COUNTIF(AA$3:AA21,AE21)+COUNTIF(AA$3:AA21,AF21)+COUNTIF(AA$3:AA21,AG21)+COUNTIF(AA$3:AA21,AH21)+COUNTIF(AA$3:AA21,AI21)+COUNTIF(AA$3:AA21,AJ21)+COUNTIF(AA$3:AA21,AK21)+COUNTIF(AA$3:AA21,AL21)+COUNTIF(AA$3:AA21,AM21)+COUNTIF(AA$3:AA21,AN21)+COUNTIF(AA$3:AA21,AO21)+COUNTIF(AA$3:AA21,AP21)+COUNTIF(AA$3:AA21,AQ21)+COUNTIF(AA$3:AA21,AR21)</f>
        <v>1</v>
      </c>
      <c r="AA21" s="45" t="str">
        <f>VLOOKUP(A21,howfared!$A$2:$B$33,2,FALSE)</f>
        <v>STL</v>
      </c>
      <c r="AB21" s="5">
        <f>VLOOKUP(AA21,howfared!$B$2:$AH$33,2,FALSE)</f>
        <v>0</v>
      </c>
      <c r="AC21" s="5" t="str">
        <f>VLOOKUP(AA21,howfared!$B$2:$AH$33,3,FALSE)</f>
        <v>WAS</v>
      </c>
      <c r="AD21" s="5">
        <f>VLOOKUP(AA21,howfared!$B$2:$AH$33,4,FALSE)</f>
        <v>0</v>
      </c>
      <c r="AE21" s="5">
        <f>VLOOKUP(AA21,howfared!$B$2:$AH$33,5,FALSE)</f>
        <v>0</v>
      </c>
      <c r="AF21" s="5">
        <f>VLOOKUP(AA21,howfared!$B$2:$AH$33,6,FALSE)</f>
        <v>0</v>
      </c>
      <c r="AG21" s="5">
        <f>VLOOKUP(AA21,howfared!$B$2:$AH$33,7,FALSE)</f>
        <v>0</v>
      </c>
      <c r="AH21" s="5">
        <f>VLOOKUP(AA21,howfared!$B$2:$AH$33,8,FALSE)</f>
        <v>0</v>
      </c>
      <c r="AI21" s="5">
        <f>VLOOKUP(AA21,howfared!$B$2:$AH$33,9,FALSE)</f>
        <v>0</v>
      </c>
      <c r="AJ21" s="5">
        <f>VLOOKUP(AA21,howfared!$B$2:$AH$33,10,FALSE)</f>
        <v>0</v>
      </c>
      <c r="AK21" s="5">
        <f>VLOOKUP(AA21,howfared!$B$2:$AH$33,11,FALSE)</f>
        <v>0</v>
      </c>
      <c r="AL21" s="5">
        <f>VLOOKUP(AA21,howfared!$B$2:$AH$33,12,FALSE)</f>
        <v>0</v>
      </c>
      <c r="AM21" s="5">
        <f>VLOOKUP(AA21,howfared!$B$2:$AH$33,13,FALSE)</f>
        <v>0</v>
      </c>
      <c r="AN21" s="5">
        <f>VLOOKUP(AA21,howfared!$B$2:$AH$33,14,FALSE)</f>
        <v>0</v>
      </c>
      <c r="AO21" s="5">
        <f>VLOOKUP(AA21,howfared!$B$2:$AH$33,15,FALSE)</f>
        <v>0</v>
      </c>
      <c r="AP21" s="5">
        <f>VLOOKUP(AA21,howfared!$B$2:$AH$33,16,FALSE)</f>
        <v>0</v>
      </c>
      <c r="AQ21" s="5">
        <f>VLOOKUP(AA21,howfared!$B$2:$AH$33,17,FALSE)</f>
        <v>0</v>
      </c>
      <c r="AR21" s="5">
        <f>VLOOKUP(AA21,howfared!$B$2:$AH$33,18,FALSE)</f>
        <v>0</v>
      </c>
      <c r="AS21" s="5" t="str">
        <f t="shared" si="4"/>
        <v>STL</v>
      </c>
      <c r="AT21" s="5">
        <f t="shared" si="5"/>
        <v>2</v>
      </c>
      <c r="AU21" s="5">
        <f t="shared" si="5"/>
        <v>2</v>
      </c>
    </row>
    <row r="22" spans="1:47" s="5" customFormat="1" ht="15.95" customHeight="1" x14ac:dyDescent="0.15">
      <c r="A22" s="5" t="s">
        <v>242</v>
      </c>
      <c r="B22" s="5" t="s">
        <v>208</v>
      </c>
      <c r="C22" s="5" t="s">
        <v>225</v>
      </c>
      <c r="D22" s="5">
        <v>1</v>
      </c>
      <c r="E22" s="5">
        <v>3</v>
      </c>
      <c r="F22" s="5">
        <v>0</v>
      </c>
      <c r="G22" s="42">
        <v>0.25</v>
      </c>
      <c r="H22" s="5">
        <v>100</v>
      </c>
      <c r="I22" s="5">
        <v>114</v>
      </c>
      <c r="J22" s="5">
        <v>-14</v>
      </c>
      <c r="K22" s="5">
        <v>9</v>
      </c>
      <c r="L22" s="43" t="s">
        <v>223</v>
      </c>
      <c r="M22" s="43" t="s">
        <v>228</v>
      </c>
      <c r="N22" s="43" t="s">
        <v>210</v>
      </c>
      <c r="O22" s="42">
        <v>0</v>
      </c>
      <c r="P22" s="43" t="s">
        <v>238</v>
      </c>
      <c r="Q22" s="42">
        <v>0.33300000000000002</v>
      </c>
      <c r="R22" s="43" t="s">
        <v>210</v>
      </c>
      <c r="S22" s="5" t="s">
        <v>243</v>
      </c>
      <c r="T22" s="43" t="s">
        <v>244</v>
      </c>
      <c r="U22" s="9">
        <f t="shared" si="0"/>
        <v>25</v>
      </c>
      <c r="V22" s="9">
        <f t="shared" si="1"/>
        <v>28.5</v>
      </c>
      <c r="W22" s="9">
        <f t="shared" si="2"/>
        <v>-3.5</v>
      </c>
      <c r="X22" s="5">
        <f t="shared" si="3"/>
        <v>4</v>
      </c>
      <c r="Y22" s="46">
        <v>20</v>
      </c>
      <c r="Z22" s="5">
        <f>COUNTIF(AA$3:AA21,AB22)+COUNTIF(AA$3:AA22,AC22)+COUNTIF(AA$3:AA22,AD22)+COUNTIF(AA$3:AA22,AE22)+COUNTIF(AA$3:AA22,AF22)+COUNTIF(AA$3:AA22,AG22)+COUNTIF(AA$3:AA22,AH22)+COUNTIF(AA$3:AA22,AI22)+COUNTIF(AA$3:AA22,AJ22)+COUNTIF(AA$3:AA22,AK22)+COUNTIF(AA$3:AA22,AL22)+COUNTIF(AA$3:AA22,AM22)+COUNTIF(AA$3:AA22,AN22)+COUNTIF(AA$3:AA22,AO22)+COUNTIF(AA$3:AA22,AP22)+COUNTIF(AA$3:AA22,AQ22)+COUNTIF(AA$3:AA22,AR22)</f>
        <v>1</v>
      </c>
      <c r="AA22" s="45" t="str">
        <f>VLOOKUP(A22,howfared!$A$2:$B$33,2,FALSE)</f>
        <v>DET</v>
      </c>
      <c r="AB22" s="5" t="str">
        <f>VLOOKUP(AA22,howfared!$B$2:$AH$33,2,FALSE)</f>
        <v>STL</v>
      </c>
      <c r="AC22" s="5">
        <f>VLOOKUP(AA22,howfared!$B$2:$AH$33,3,FALSE)</f>
        <v>0</v>
      </c>
      <c r="AD22" s="5">
        <f>VLOOKUP(AA22,howfared!$B$2:$AH$33,4,FALSE)</f>
        <v>0</v>
      </c>
      <c r="AE22" s="5">
        <f>VLOOKUP(AA22,howfared!$B$2:$AH$33,5,FALSE)</f>
        <v>0</v>
      </c>
      <c r="AF22" s="5">
        <f>VLOOKUP(AA22,howfared!$B$2:$AH$33,6,FALSE)</f>
        <v>0</v>
      </c>
      <c r="AG22" s="5">
        <f>VLOOKUP(AA22,howfared!$B$2:$AH$33,7,FALSE)</f>
        <v>0</v>
      </c>
      <c r="AH22" s="5">
        <f>VLOOKUP(AA22,howfared!$B$2:$AH$33,8,FALSE)</f>
        <v>0</v>
      </c>
      <c r="AI22" s="5">
        <f>VLOOKUP(AA22,howfared!$B$2:$AH$33,9,FALSE)</f>
        <v>0</v>
      </c>
      <c r="AJ22" s="5">
        <f>VLOOKUP(AA22,howfared!$B$2:$AH$33,10,FALSE)</f>
        <v>0</v>
      </c>
      <c r="AK22" s="5">
        <f>VLOOKUP(AA22,howfared!$B$2:$AH$33,11,FALSE)</f>
        <v>0</v>
      </c>
      <c r="AL22" s="5">
        <f>VLOOKUP(AA22,howfared!$B$2:$AH$33,12,FALSE)</f>
        <v>0</v>
      </c>
      <c r="AM22" s="5">
        <f>VLOOKUP(AA22,howfared!$B$2:$AH$33,13,FALSE)</f>
        <v>0</v>
      </c>
      <c r="AN22" s="5">
        <f>VLOOKUP(AA22,howfared!$B$2:$AH$33,14,FALSE)</f>
        <v>0</v>
      </c>
      <c r="AO22" s="5">
        <f>VLOOKUP(AA22,howfared!$B$2:$AH$33,15,FALSE)</f>
        <v>0</v>
      </c>
      <c r="AP22" s="5">
        <f>VLOOKUP(AA22,howfared!$B$2:$AH$33,16,FALSE)</f>
        <v>0</v>
      </c>
      <c r="AQ22" s="5">
        <f>VLOOKUP(AA22,howfared!$B$2:$AH$33,17,FALSE)</f>
        <v>0</v>
      </c>
      <c r="AR22" s="5">
        <f>VLOOKUP(AA22,howfared!$B$2:$AH$33,18,FALSE)</f>
        <v>0</v>
      </c>
      <c r="AS22" s="5" t="str">
        <f t="shared" si="4"/>
        <v>DET</v>
      </c>
      <c r="AT22" s="5">
        <f t="shared" si="5"/>
        <v>1</v>
      </c>
      <c r="AU22" s="5">
        <f t="shared" si="5"/>
        <v>3</v>
      </c>
    </row>
    <row r="23" spans="1:47" s="5" customFormat="1" ht="15.95" customHeight="1" x14ac:dyDescent="0.15">
      <c r="A23" s="5" t="s">
        <v>245</v>
      </c>
      <c r="B23" s="5" t="s">
        <v>197</v>
      </c>
      <c r="C23" s="5" t="s">
        <v>219</v>
      </c>
      <c r="D23" s="5">
        <v>2</v>
      </c>
      <c r="E23" s="5">
        <v>2</v>
      </c>
      <c r="F23" s="5">
        <v>0</v>
      </c>
      <c r="G23" s="42">
        <v>0.5</v>
      </c>
      <c r="H23" s="5">
        <v>115</v>
      </c>
      <c r="I23" s="5">
        <v>131</v>
      </c>
      <c r="J23" s="5">
        <v>-16</v>
      </c>
      <c r="K23" s="5">
        <v>16</v>
      </c>
      <c r="L23" s="43" t="s">
        <v>223</v>
      </c>
      <c r="M23" s="43" t="s">
        <v>223</v>
      </c>
      <c r="N23" s="43" t="s">
        <v>228</v>
      </c>
      <c r="O23" s="42">
        <v>0</v>
      </c>
      <c r="P23" s="43" t="s">
        <v>220</v>
      </c>
      <c r="Q23" s="42">
        <v>0.5</v>
      </c>
      <c r="R23" s="43" t="s">
        <v>201</v>
      </c>
      <c r="S23" s="5" t="s">
        <v>229</v>
      </c>
      <c r="T23" s="43" t="s">
        <v>220</v>
      </c>
      <c r="U23" s="9">
        <f t="shared" si="0"/>
        <v>28.75</v>
      </c>
      <c r="V23" s="9">
        <f t="shared" si="1"/>
        <v>32.75</v>
      </c>
      <c r="W23" s="9">
        <f t="shared" si="2"/>
        <v>-4</v>
      </c>
      <c r="X23" s="5">
        <f t="shared" si="3"/>
        <v>4</v>
      </c>
      <c r="Y23" s="44">
        <v>21</v>
      </c>
      <c r="Z23" s="5">
        <f>COUNTIF(AA$3:AA22,AB23)+COUNTIF(AA$3:AA23,AC23)+COUNTIF(AA$3:AA23,AD23)+COUNTIF(AA$3:AA23,AE23)+COUNTIF(AA$3:AA23,AF23)+COUNTIF(AA$3:AA23,AG23)+COUNTIF(AA$3:AA23,AH23)+COUNTIF(AA$3:AA23,AI23)+COUNTIF(AA$3:AA23,AJ23)+COUNTIF(AA$3:AA23,AK23)+COUNTIF(AA$3:AA23,AL23)+COUNTIF(AA$3:AA23,AM23)+COUNTIF(AA$3:AA23,AN23)+COUNTIF(AA$3:AA23,AO23)+COUNTIF(AA$3:AA23,AP23)+COUNTIF(AA$3:AA23,AQ23)+COUNTIF(AA$3:AA23,AR23)</f>
        <v>0</v>
      </c>
      <c r="AA23" s="45" t="str">
        <f>VLOOKUP(A23,howfared!$A$2:$B$33,2,FALSE)</f>
        <v>BUF</v>
      </c>
      <c r="AB23" s="5">
        <f>VLOOKUP(AA23,howfared!$B$2:$AH$33,2,FALSE)</f>
        <v>0</v>
      </c>
      <c r="AC23" s="5" t="str">
        <f>VLOOKUP(AA23,howfared!$B$2:$AH$33,3,FALSE)</f>
        <v>KC</v>
      </c>
      <c r="AD23" s="5" t="str">
        <f>VLOOKUP(AA23,howfared!$B$2:$AH$33,4,FALSE)</f>
        <v>CLE</v>
      </c>
      <c r="AE23" s="5">
        <f>VLOOKUP(AA23,howfared!$B$2:$AH$33,5,FALSE)</f>
        <v>0</v>
      </c>
      <c r="AF23" s="5">
        <f>VLOOKUP(AA23,howfared!$B$2:$AH$33,6,FALSE)</f>
        <v>0</v>
      </c>
      <c r="AG23" s="5">
        <f>VLOOKUP(AA23,howfared!$B$2:$AH$33,7,FALSE)</f>
        <v>0</v>
      </c>
      <c r="AH23" s="5">
        <f>VLOOKUP(AA23,howfared!$B$2:$AH$33,8,FALSE)</f>
        <v>0</v>
      </c>
      <c r="AI23" s="5">
        <f>VLOOKUP(AA23,howfared!$B$2:$AH$33,9,FALSE)</f>
        <v>0</v>
      </c>
      <c r="AJ23" s="5">
        <f>VLOOKUP(AA23,howfared!$B$2:$AH$33,10,FALSE)</f>
        <v>0</v>
      </c>
      <c r="AK23" s="5">
        <f>VLOOKUP(AA23,howfared!$B$2:$AH$33,11,FALSE)</f>
        <v>0</v>
      </c>
      <c r="AL23" s="5">
        <f>VLOOKUP(AA23,howfared!$B$2:$AH$33,12,FALSE)</f>
        <v>0</v>
      </c>
      <c r="AM23" s="5">
        <f>VLOOKUP(AA23,howfared!$B$2:$AH$33,13,FALSE)</f>
        <v>0</v>
      </c>
      <c r="AN23" s="5">
        <f>VLOOKUP(AA23,howfared!$B$2:$AH$33,14,FALSE)</f>
        <v>0</v>
      </c>
      <c r="AO23" s="5">
        <f>VLOOKUP(AA23,howfared!$B$2:$AH$33,15,FALSE)</f>
        <v>0</v>
      </c>
      <c r="AP23" s="5">
        <f>VLOOKUP(AA23,howfared!$B$2:$AH$33,16,FALSE)</f>
        <v>0</v>
      </c>
      <c r="AQ23" s="5">
        <f>VLOOKUP(AA23,howfared!$B$2:$AH$33,17,FALSE)</f>
        <v>0</v>
      </c>
      <c r="AR23" s="5">
        <f>VLOOKUP(AA23,howfared!$B$2:$AH$33,18,FALSE)</f>
        <v>0</v>
      </c>
      <c r="AS23" s="5" t="str">
        <f t="shared" si="4"/>
        <v>BUF</v>
      </c>
      <c r="AT23" s="5">
        <f t="shared" si="5"/>
        <v>2</v>
      </c>
      <c r="AU23" s="5">
        <f t="shared" si="5"/>
        <v>2</v>
      </c>
    </row>
    <row r="24" spans="1:47" s="5" customFormat="1" ht="15.95" customHeight="1" x14ac:dyDescent="0.15">
      <c r="A24" s="5" t="s">
        <v>246</v>
      </c>
      <c r="B24" s="5" t="s">
        <v>197</v>
      </c>
      <c r="C24" s="5" t="s">
        <v>204</v>
      </c>
      <c r="D24" s="5">
        <v>1</v>
      </c>
      <c r="E24" s="5">
        <v>3</v>
      </c>
      <c r="F24" s="5">
        <v>0</v>
      </c>
      <c r="G24" s="42">
        <v>0.25</v>
      </c>
      <c r="H24" s="5">
        <v>82</v>
      </c>
      <c r="I24" s="5">
        <v>91</v>
      </c>
      <c r="J24" s="5">
        <v>-9</v>
      </c>
      <c r="K24" s="5">
        <v>8</v>
      </c>
      <c r="L24" s="43" t="s">
        <v>223</v>
      </c>
      <c r="M24" s="43" t="s">
        <v>228</v>
      </c>
      <c r="N24" s="43" t="s">
        <v>205</v>
      </c>
      <c r="O24" s="42">
        <v>1</v>
      </c>
      <c r="P24" s="43" t="s">
        <v>244</v>
      </c>
      <c r="Q24" s="42">
        <v>0.25</v>
      </c>
      <c r="R24" s="43" t="s">
        <v>201</v>
      </c>
      <c r="S24" s="5" t="s">
        <v>243</v>
      </c>
      <c r="T24" s="43" t="s">
        <v>244</v>
      </c>
      <c r="U24" s="9">
        <f t="shared" si="0"/>
        <v>20.5</v>
      </c>
      <c r="V24" s="9">
        <f t="shared" si="1"/>
        <v>22.75</v>
      </c>
      <c r="W24" s="9">
        <f t="shared" si="2"/>
        <v>-2.25</v>
      </c>
      <c r="X24" s="5">
        <f t="shared" si="3"/>
        <v>4</v>
      </c>
      <c r="Y24" s="46">
        <v>22</v>
      </c>
      <c r="Z24" s="5">
        <f>COUNTIF(AA$3:AA23,AB24)+COUNTIF(AA$3:AA24,AC24)+COUNTIF(AA$3:AA24,AD24)+COUNTIF(AA$3:AA24,AE24)+COUNTIF(AA$3:AA24,AF24)+COUNTIF(AA$3:AA24,AG24)+COUNTIF(AA$3:AA24,AH24)+COUNTIF(AA$3:AA24,AI24)+COUNTIF(AA$3:AA24,AJ24)+COUNTIF(AA$3:AA24,AK24)+COUNTIF(AA$3:AA24,AL24)+COUNTIF(AA$3:AA24,AM24)+COUNTIF(AA$3:AA24,AN24)+COUNTIF(AA$3:AA24,AO24)+COUNTIF(AA$3:AA24,AP24)+COUNTIF(AA$3:AA24,AQ24)+COUNTIF(AA$3:AA24,AR24)</f>
        <v>0</v>
      </c>
      <c r="AA24" s="45" t="str">
        <f>VLOOKUP(A24,howfared!$A$2:$B$33,2,FALSE)</f>
        <v>TB</v>
      </c>
      <c r="AB24" s="5" t="str">
        <f>VLOOKUP(AA24,howfared!$B$2:$AH$33,2,FALSE)</f>
        <v>CAR</v>
      </c>
      <c r="AC24" s="5">
        <f>VLOOKUP(AA24,howfared!$B$2:$AH$33,3,FALSE)</f>
        <v>0</v>
      </c>
      <c r="AD24" s="5">
        <f>VLOOKUP(AA24,howfared!$B$2:$AH$33,4,FALSE)</f>
        <v>0</v>
      </c>
      <c r="AE24" s="5">
        <f>VLOOKUP(AA24,howfared!$B$2:$AH$33,5,FALSE)</f>
        <v>0</v>
      </c>
      <c r="AF24" s="5">
        <f>VLOOKUP(AA24,howfared!$B$2:$AH$33,6,FALSE)</f>
        <v>0</v>
      </c>
      <c r="AG24" s="5">
        <f>VLOOKUP(AA24,howfared!$B$2:$AH$33,7,FALSE)</f>
        <v>0</v>
      </c>
      <c r="AH24" s="5">
        <f>VLOOKUP(AA24,howfared!$B$2:$AH$33,8,FALSE)</f>
        <v>0</v>
      </c>
      <c r="AI24" s="5">
        <f>VLOOKUP(AA24,howfared!$B$2:$AH$33,9,FALSE)</f>
        <v>0</v>
      </c>
      <c r="AJ24" s="5">
        <f>VLOOKUP(AA24,howfared!$B$2:$AH$33,10,FALSE)</f>
        <v>0</v>
      </c>
      <c r="AK24" s="5">
        <f>VLOOKUP(AA24,howfared!$B$2:$AH$33,11,FALSE)</f>
        <v>0</v>
      </c>
      <c r="AL24" s="5">
        <f>VLOOKUP(AA24,howfared!$B$2:$AH$33,12,FALSE)</f>
        <v>0</v>
      </c>
      <c r="AM24" s="5">
        <f>VLOOKUP(AA24,howfared!$B$2:$AH$33,13,FALSE)</f>
        <v>0</v>
      </c>
      <c r="AN24" s="5">
        <f>VLOOKUP(AA24,howfared!$B$2:$AH$33,14,FALSE)</f>
        <v>0</v>
      </c>
      <c r="AO24" s="5">
        <f>VLOOKUP(AA24,howfared!$B$2:$AH$33,15,FALSE)</f>
        <v>0</v>
      </c>
      <c r="AP24" s="5">
        <f>VLOOKUP(AA24,howfared!$B$2:$AH$33,16,FALSE)</f>
        <v>0</v>
      </c>
      <c r="AQ24" s="5">
        <f>VLOOKUP(AA24,howfared!$B$2:$AH$33,17,FALSE)</f>
        <v>0</v>
      </c>
      <c r="AR24" s="5">
        <f>VLOOKUP(AA24,howfared!$B$2:$AH$33,18,FALSE)</f>
        <v>0</v>
      </c>
      <c r="AS24" s="5" t="str">
        <f t="shared" si="4"/>
        <v>TB</v>
      </c>
      <c r="AT24" s="5">
        <f t="shared" si="5"/>
        <v>1</v>
      </c>
      <c r="AU24" s="5">
        <f t="shared" si="5"/>
        <v>3</v>
      </c>
    </row>
    <row r="25" spans="1:47" s="5" customFormat="1" ht="15.95" customHeight="1" x14ac:dyDescent="0.15">
      <c r="A25" s="5" t="s">
        <v>247</v>
      </c>
      <c r="B25" s="5" t="s">
        <v>208</v>
      </c>
      <c r="C25" s="5" t="s">
        <v>219</v>
      </c>
      <c r="D25" s="5">
        <v>2</v>
      </c>
      <c r="E25" s="5">
        <v>2</v>
      </c>
      <c r="F25" s="5">
        <v>0</v>
      </c>
      <c r="G25" s="42">
        <v>0.5</v>
      </c>
      <c r="H25" s="5">
        <v>81</v>
      </c>
      <c r="I25" s="5">
        <v>109</v>
      </c>
      <c r="J25" s="5">
        <v>-28</v>
      </c>
      <c r="K25" s="5">
        <v>9</v>
      </c>
      <c r="L25" s="43" t="s">
        <v>223</v>
      </c>
      <c r="M25" s="43" t="s">
        <v>223</v>
      </c>
      <c r="N25" s="43" t="s">
        <v>199</v>
      </c>
      <c r="O25" s="42">
        <v>1</v>
      </c>
      <c r="P25" s="43" t="s">
        <v>215</v>
      </c>
      <c r="Q25" s="42">
        <v>0.66700000000000004</v>
      </c>
      <c r="R25" s="43" t="s">
        <v>210</v>
      </c>
      <c r="S25" s="5" t="s">
        <v>229</v>
      </c>
      <c r="T25" s="43" t="s">
        <v>220</v>
      </c>
      <c r="U25" s="9">
        <f t="shared" si="0"/>
        <v>20.25</v>
      </c>
      <c r="V25" s="9">
        <f t="shared" si="1"/>
        <v>27.25</v>
      </c>
      <c r="W25" s="9">
        <f t="shared" si="2"/>
        <v>-7</v>
      </c>
      <c r="X25" s="5">
        <f t="shared" si="3"/>
        <v>4</v>
      </c>
      <c r="Y25" s="46">
        <v>23</v>
      </c>
      <c r="Z25" s="5">
        <f>COUNTIF(AA$3:AA24,AB25)+COUNTIF(AA$3:AA25,AC25)+COUNTIF(AA$3:AA25,AD25)+COUNTIF(AA$3:AA25,AE25)+COUNTIF(AA$3:AA25,AF25)+COUNTIF(AA$3:AA25,AG25)+COUNTIF(AA$3:AA25,AH25)+COUNTIF(AA$3:AA25,AI25)+COUNTIF(AA$3:AA25,AJ25)+COUNTIF(AA$3:AA25,AK25)+COUNTIF(AA$3:AA25,AL25)+COUNTIF(AA$3:AA25,AM25)+COUNTIF(AA$3:AA25,AN25)+COUNTIF(AA$3:AA25,AO25)+COUNTIF(AA$3:AA25,AP25)+COUNTIF(AA$3:AA25,AQ25)+COUNTIF(AA$3:AA25,AR25)</f>
        <v>1</v>
      </c>
      <c r="AA25" s="45" t="str">
        <f>VLOOKUP(A25,howfared!$A$2:$B$33,2,FALSE)</f>
        <v>NYJ</v>
      </c>
      <c r="AB25" s="5" t="str">
        <f>VLOOKUP(AA25,howfared!$B$2:$AH$33,2,FALSE)</f>
        <v>BUF</v>
      </c>
      <c r="AC25" s="5">
        <f>VLOOKUP(AA25,howfared!$B$2:$AH$33,3,FALSE)</f>
        <v>0</v>
      </c>
      <c r="AD25" s="5" t="str">
        <f>VLOOKUP(AA25,howfared!$B$2:$AH$33,4,FALSE)</f>
        <v>MIA</v>
      </c>
      <c r="AE25" s="5">
        <f>VLOOKUP(AA25,howfared!$B$2:$AH$33,5,FALSE)</f>
        <v>0</v>
      </c>
      <c r="AF25" s="5">
        <f>VLOOKUP(AA25,howfared!$B$2:$AH$33,6,FALSE)</f>
        <v>0</v>
      </c>
      <c r="AG25" s="5">
        <f>VLOOKUP(AA25,howfared!$B$2:$AH$33,7,FALSE)</f>
        <v>0</v>
      </c>
      <c r="AH25" s="5">
        <f>VLOOKUP(AA25,howfared!$B$2:$AH$33,8,FALSE)</f>
        <v>0</v>
      </c>
      <c r="AI25" s="5">
        <f>VLOOKUP(AA25,howfared!$B$2:$AH$33,9,FALSE)</f>
        <v>0</v>
      </c>
      <c r="AJ25" s="5">
        <f>VLOOKUP(AA25,howfared!$B$2:$AH$33,10,FALSE)</f>
        <v>0</v>
      </c>
      <c r="AK25" s="5">
        <f>VLOOKUP(AA25,howfared!$B$2:$AH$33,11,FALSE)</f>
        <v>0</v>
      </c>
      <c r="AL25" s="5">
        <f>VLOOKUP(AA25,howfared!$B$2:$AH$33,12,FALSE)</f>
        <v>0</v>
      </c>
      <c r="AM25" s="5">
        <f>VLOOKUP(AA25,howfared!$B$2:$AH$33,13,FALSE)</f>
        <v>0</v>
      </c>
      <c r="AN25" s="5">
        <f>VLOOKUP(AA25,howfared!$B$2:$AH$33,14,FALSE)</f>
        <v>0</v>
      </c>
      <c r="AO25" s="5">
        <f>VLOOKUP(AA25,howfared!$B$2:$AH$33,15,FALSE)</f>
        <v>0</v>
      </c>
      <c r="AP25" s="5">
        <f>VLOOKUP(AA25,howfared!$B$2:$AH$33,16,FALSE)</f>
        <v>0</v>
      </c>
      <c r="AQ25" s="5">
        <f>VLOOKUP(AA25,howfared!$B$2:$AH$33,17,FALSE)</f>
        <v>0</v>
      </c>
      <c r="AR25" s="5">
        <f>VLOOKUP(AA25,howfared!$B$2:$AH$33,18,FALSE)</f>
        <v>0</v>
      </c>
      <c r="AS25" s="5" t="str">
        <f t="shared" si="4"/>
        <v>NYJ</v>
      </c>
      <c r="AT25" s="5">
        <f t="shared" si="5"/>
        <v>2</v>
      </c>
      <c r="AU25" s="5">
        <f t="shared" si="5"/>
        <v>2</v>
      </c>
    </row>
    <row r="26" spans="1:47" s="5" customFormat="1" ht="15.95" customHeight="1" x14ac:dyDescent="0.15">
      <c r="A26" s="5" t="s">
        <v>248</v>
      </c>
      <c r="B26" s="5" t="s">
        <v>197</v>
      </c>
      <c r="C26" s="5" t="s">
        <v>204</v>
      </c>
      <c r="D26" s="5">
        <v>1</v>
      </c>
      <c r="E26" s="5">
        <v>3</v>
      </c>
      <c r="F26" s="5">
        <v>0</v>
      </c>
      <c r="G26" s="42">
        <v>0.25</v>
      </c>
      <c r="H26" s="5">
        <v>80</v>
      </c>
      <c r="I26" s="5">
        <v>109</v>
      </c>
      <c r="J26" s="5">
        <v>-29</v>
      </c>
      <c r="K26" s="5">
        <v>11</v>
      </c>
      <c r="L26" s="43" t="s">
        <v>223</v>
      </c>
      <c r="M26" s="43" t="s">
        <v>228</v>
      </c>
      <c r="N26" s="43" t="s">
        <v>238</v>
      </c>
      <c r="O26" s="42">
        <v>0.33300000000000002</v>
      </c>
      <c r="P26" s="43" t="s">
        <v>244</v>
      </c>
      <c r="Q26" s="42">
        <v>0.25</v>
      </c>
      <c r="R26" s="43" t="s">
        <v>201</v>
      </c>
      <c r="S26" s="5" t="s">
        <v>249</v>
      </c>
      <c r="T26" s="43" t="s">
        <v>244</v>
      </c>
      <c r="U26" s="9">
        <f t="shared" si="0"/>
        <v>20</v>
      </c>
      <c r="V26" s="9">
        <f t="shared" si="1"/>
        <v>27.25</v>
      </c>
      <c r="W26" s="9">
        <f t="shared" si="2"/>
        <v>-7.25</v>
      </c>
      <c r="X26" s="5">
        <f t="shared" si="3"/>
        <v>4</v>
      </c>
      <c r="Y26" s="44">
        <v>24</v>
      </c>
      <c r="Z26" s="5">
        <f>COUNTIF(AA$3:AA25,AB26)+COUNTIF(AA$3:AA26,AC26)+COUNTIF(AA$3:AA26,AD26)+COUNTIF(AA$3:AA26,AE26)+COUNTIF(AA$3:AA26,AF26)+COUNTIF(AA$3:AA26,AG26)+COUNTIF(AA$3:AA26,AH26)+COUNTIF(AA$3:AA26,AI26)+COUNTIF(AA$3:AA26,AJ26)+COUNTIF(AA$3:AA26,AK26)+COUNTIF(AA$3:AA26,AL26)+COUNTIF(AA$3:AA26,AM26)+COUNTIF(AA$3:AA26,AN26)+COUNTIF(AA$3:AA26,AO26)+COUNTIF(AA$3:AA26,AP26)+COUNTIF(AA$3:AA26,AQ26)+COUNTIF(AA$3:AA26,AR26)</f>
        <v>0</v>
      </c>
      <c r="AA26" s="45" t="str">
        <f>VLOOKUP(A26,howfared!$A$2:$B$33,2,FALSE)</f>
        <v>CAR</v>
      </c>
      <c r="AB26" s="5">
        <f>VLOOKUP(AA26,howfared!$B$2:$AH$33,2,FALSE)</f>
        <v>0</v>
      </c>
      <c r="AC26" s="5" t="str">
        <f>VLOOKUP(AA26,howfared!$B$2:$AH$33,3,FALSE)</f>
        <v>NO</v>
      </c>
      <c r="AD26" s="5">
        <f>VLOOKUP(AA26,howfared!$B$2:$AH$33,4,FALSE)</f>
        <v>0</v>
      </c>
      <c r="AE26" s="5">
        <f>VLOOKUP(AA26,howfared!$B$2:$AH$33,5,FALSE)</f>
        <v>0</v>
      </c>
      <c r="AF26" s="5">
        <f>VLOOKUP(AA26,howfared!$B$2:$AH$33,6,FALSE)</f>
        <v>0</v>
      </c>
      <c r="AG26" s="5">
        <f>VLOOKUP(AA26,howfared!$B$2:$AH$33,7,FALSE)</f>
        <v>0</v>
      </c>
      <c r="AH26" s="5">
        <f>VLOOKUP(AA26,howfared!$B$2:$AH$33,8,FALSE)</f>
        <v>0</v>
      </c>
      <c r="AI26" s="5">
        <f>VLOOKUP(AA26,howfared!$B$2:$AH$33,9,FALSE)</f>
        <v>0</v>
      </c>
      <c r="AJ26" s="5">
        <f>VLOOKUP(AA26,howfared!$B$2:$AH$33,10,FALSE)</f>
        <v>0</v>
      </c>
      <c r="AK26" s="5">
        <f>VLOOKUP(AA26,howfared!$B$2:$AH$33,11,FALSE)</f>
        <v>0</v>
      </c>
      <c r="AL26" s="5">
        <f>VLOOKUP(AA26,howfared!$B$2:$AH$33,12,FALSE)</f>
        <v>0</v>
      </c>
      <c r="AM26" s="5">
        <f>VLOOKUP(AA26,howfared!$B$2:$AH$33,13,FALSE)</f>
        <v>0</v>
      </c>
      <c r="AN26" s="5">
        <f>VLOOKUP(AA26,howfared!$B$2:$AH$33,14,FALSE)</f>
        <v>0</v>
      </c>
      <c r="AO26" s="5">
        <f>VLOOKUP(AA26,howfared!$B$2:$AH$33,15,FALSE)</f>
        <v>0</v>
      </c>
      <c r="AP26" s="5">
        <f>VLOOKUP(AA26,howfared!$B$2:$AH$33,16,FALSE)</f>
        <v>0</v>
      </c>
      <c r="AQ26" s="5">
        <f>VLOOKUP(AA26,howfared!$B$2:$AH$33,17,FALSE)</f>
        <v>0</v>
      </c>
      <c r="AR26" s="5">
        <f>VLOOKUP(AA26,howfared!$B$2:$AH$33,18,FALSE)</f>
        <v>0</v>
      </c>
      <c r="AS26" s="5" t="str">
        <f t="shared" si="4"/>
        <v>CAR</v>
      </c>
      <c r="AT26" s="5">
        <f t="shared" si="5"/>
        <v>1</v>
      </c>
      <c r="AU26" s="5">
        <f t="shared" si="5"/>
        <v>3</v>
      </c>
    </row>
    <row r="27" spans="1:47" s="5" customFormat="1" ht="15.95" customHeight="1" x14ac:dyDescent="0.15">
      <c r="A27" s="5" t="s">
        <v>250</v>
      </c>
      <c r="B27" s="5" t="s">
        <v>197</v>
      </c>
      <c r="C27" s="5" t="s">
        <v>198</v>
      </c>
      <c r="D27" s="5">
        <v>1</v>
      </c>
      <c r="E27" s="5">
        <v>3</v>
      </c>
      <c r="F27" s="5">
        <v>0</v>
      </c>
      <c r="G27" s="42">
        <v>0.25</v>
      </c>
      <c r="H27" s="5">
        <v>81</v>
      </c>
      <c r="I27" s="5">
        <v>151</v>
      </c>
      <c r="J27" s="5">
        <v>-70</v>
      </c>
      <c r="K27" s="5">
        <v>9</v>
      </c>
      <c r="L27" s="43" t="s">
        <v>223</v>
      </c>
      <c r="M27" s="43" t="s">
        <v>228</v>
      </c>
      <c r="N27" s="43" t="s">
        <v>210</v>
      </c>
      <c r="O27" s="42">
        <v>0</v>
      </c>
      <c r="P27" s="43" t="s">
        <v>251</v>
      </c>
      <c r="Q27" s="42">
        <v>0</v>
      </c>
      <c r="R27" s="43" t="s">
        <v>205</v>
      </c>
      <c r="S27" s="5" t="s">
        <v>229</v>
      </c>
      <c r="T27" s="43" t="s">
        <v>244</v>
      </c>
      <c r="U27" s="9">
        <f t="shared" si="0"/>
        <v>20.25</v>
      </c>
      <c r="V27" s="9">
        <f t="shared" si="1"/>
        <v>37.75</v>
      </c>
      <c r="W27" s="9">
        <f t="shared" si="2"/>
        <v>-17.5</v>
      </c>
      <c r="X27" s="5">
        <f t="shared" si="3"/>
        <v>4</v>
      </c>
      <c r="Y27" s="46">
        <v>25</v>
      </c>
      <c r="Z27" s="5">
        <f>COUNTIF(AA$3:AA26,AB27)+COUNTIF(AA$3:AA27,AC27)+COUNTIF(AA$3:AA27,AD27)+COUNTIF(AA$3:AA27,AE27)+COUNTIF(AA$3:AA27,AF27)+COUNTIF(AA$3:AA27,AG27)+COUNTIF(AA$3:AA27,AH27)+COUNTIF(AA$3:AA27,AI27)+COUNTIF(AA$3:AA27,AJ27)+COUNTIF(AA$3:AA27,AK27)+COUNTIF(AA$3:AA27,AL27)+COUNTIF(AA$3:AA27,AM27)+COUNTIF(AA$3:AA27,AN27)+COUNTIF(AA$3:AA27,AO27)+COUNTIF(AA$3:AA27,AP27)+COUNTIF(AA$3:AA27,AQ27)+COUNTIF(AA$3:AA27,AR27)</f>
        <v>1</v>
      </c>
      <c r="AA27" s="45" t="str">
        <f>VLOOKUP(A27,howfared!$A$2:$B$33,2,FALSE)</f>
        <v>TEN</v>
      </c>
      <c r="AB27" s="5">
        <f>VLOOKUP(AA27,howfared!$B$2:$AH$33,2,FALSE)</f>
        <v>0</v>
      </c>
      <c r="AC27" s="5">
        <f>VLOOKUP(AA27,howfared!$B$2:$AH$33,3,FALSE)</f>
        <v>0</v>
      </c>
      <c r="AD27" s="5" t="str">
        <f>VLOOKUP(AA27,howfared!$B$2:$AH$33,4,FALSE)</f>
        <v>DET</v>
      </c>
      <c r="AE27" s="5">
        <f>VLOOKUP(AA27,howfared!$B$2:$AH$33,5,FALSE)</f>
        <v>0</v>
      </c>
      <c r="AF27" s="5">
        <f>VLOOKUP(AA27,howfared!$B$2:$AH$33,6,FALSE)</f>
        <v>0</v>
      </c>
      <c r="AG27" s="5">
        <f>VLOOKUP(AA27,howfared!$B$2:$AH$33,7,FALSE)</f>
        <v>0</v>
      </c>
      <c r="AH27" s="5">
        <f>VLOOKUP(AA27,howfared!$B$2:$AH$33,8,FALSE)</f>
        <v>0</v>
      </c>
      <c r="AI27" s="5">
        <f>VLOOKUP(AA27,howfared!$B$2:$AH$33,9,FALSE)</f>
        <v>0</v>
      </c>
      <c r="AJ27" s="5">
        <f>VLOOKUP(AA27,howfared!$B$2:$AH$33,10,FALSE)</f>
        <v>0</v>
      </c>
      <c r="AK27" s="5">
        <f>VLOOKUP(AA27,howfared!$B$2:$AH$33,11,FALSE)</f>
        <v>0</v>
      </c>
      <c r="AL27" s="5">
        <f>VLOOKUP(AA27,howfared!$B$2:$AH$33,12,FALSE)</f>
        <v>0</v>
      </c>
      <c r="AM27" s="5">
        <f>VLOOKUP(AA27,howfared!$B$2:$AH$33,13,FALSE)</f>
        <v>0</v>
      </c>
      <c r="AN27" s="5">
        <f>VLOOKUP(AA27,howfared!$B$2:$AH$33,14,FALSE)</f>
        <v>0</v>
      </c>
      <c r="AO27" s="5">
        <f>VLOOKUP(AA27,howfared!$B$2:$AH$33,15,FALSE)</f>
        <v>0</v>
      </c>
      <c r="AP27" s="5">
        <f>VLOOKUP(AA27,howfared!$B$2:$AH$33,16,FALSE)</f>
        <v>0</v>
      </c>
      <c r="AQ27" s="5">
        <f>VLOOKUP(AA27,howfared!$B$2:$AH$33,17,FALSE)</f>
        <v>0</v>
      </c>
      <c r="AR27" s="5">
        <f>VLOOKUP(AA27,howfared!$B$2:$AH$33,18,FALSE)</f>
        <v>0</v>
      </c>
      <c r="AS27" s="5" t="str">
        <f t="shared" si="4"/>
        <v>TEN</v>
      </c>
      <c r="AT27" s="5">
        <f t="shared" si="5"/>
        <v>1</v>
      </c>
      <c r="AU27" s="5">
        <f t="shared" si="5"/>
        <v>3</v>
      </c>
    </row>
    <row r="28" spans="1:47" s="5" customFormat="1" ht="15.95" customHeight="1" x14ac:dyDescent="0.15">
      <c r="A28" s="5" t="s">
        <v>252</v>
      </c>
      <c r="B28" s="5" t="s">
        <v>208</v>
      </c>
      <c r="C28" s="5" t="s">
        <v>219</v>
      </c>
      <c r="D28" s="5">
        <v>1</v>
      </c>
      <c r="E28" s="5">
        <v>3</v>
      </c>
      <c r="F28" s="5">
        <v>0</v>
      </c>
      <c r="G28" s="42">
        <v>0.25</v>
      </c>
      <c r="H28" s="5">
        <v>86</v>
      </c>
      <c r="I28" s="5">
        <v>90</v>
      </c>
      <c r="J28" s="5">
        <v>-4</v>
      </c>
      <c r="K28" s="5">
        <v>10</v>
      </c>
      <c r="L28" s="43" t="s">
        <v>223</v>
      </c>
      <c r="M28" s="43" t="s">
        <v>228</v>
      </c>
      <c r="N28" s="43" t="s">
        <v>210</v>
      </c>
      <c r="O28" s="42">
        <v>0</v>
      </c>
      <c r="P28" s="43" t="s">
        <v>238</v>
      </c>
      <c r="Q28" s="42">
        <v>0.33300000000000002</v>
      </c>
      <c r="R28" s="43" t="s">
        <v>210</v>
      </c>
      <c r="S28" s="5" t="s">
        <v>249</v>
      </c>
      <c r="T28" s="43" t="s">
        <v>244</v>
      </c>
      <c r="U28" s="9">
        <f t="shared" si="0"/>
        <v>21.5</v>
      </c>
      <c r="V28" s="9">
        <f t="shared" si="1"/>
        <v>22.5</v>
      </c>
      <c r="W28" s="9">
        <f t="shared" si="2"/>
        <v>-1</v>
      </c>
      <c r="X28" s="5">
        <f t="shared" si="3"/>
        <v>4</v>
      </c>
      <c r="Y28" s="44">
        <v>26</v>
      </c>
      <c r="Z28" s="5">
        <f>COUNTIF(AA$3:AA27,AB28)+COUNTIF(AA$3:AA28,AC28)+COUNTIF(AA$3:AA28,AD28)+COUNTIF(AA$3:AA28,AE28)+COUNTIF(AA$3:AA28,AF28)+COUNTIF(AA$3:AA28,AG28)+COUNTIF(AA$3:AA28,AH28)+COUNTIF(AA$3:AA28,AI28)+COUNTIF(AA$3:AA28,AJ28)+COUNTIF(AA$3:AA28,AK28)+COUNTIF(AA$3:AA28,AL28)+COUNTIF(AA$3:AA28,AM28)+COUNTIF(AA$3:AA28,AN28)+COUNTIF(AA$3:AA28,AO28)+COUNTIF(AA$3:AA28,AP28)+COUNTIF(AA$3:AA28,AQ28)+COUNTIF(AA$3:AA28,AR28)</f>
        <v>0</v>
      </c>
      <c r="AA28" s="45" t="str">
        <f>VLOOKUP(A28,howfared!$A$2:$B$33,2,FALSE)</f>
        <v>MIA</v>
      </c>
      <c r="AB28" s="5">
        <f>VLOOKUP(AA28,howfared!$B$2:$AH$33,2,FALSE)</f>
        <v>0</v>
      </c>
      <c r="AC28" s="5" t="str">
        <f>VLOOKUP(AA28,howfared!$B$2:$AH$33,3,FALSE)</f>
        <v>OAK</v>
      </c>
      <c r="AD28" s="5">
        <f>VLOOKUP(AA28,howfared!$B$2:$AH$33,4,FALSE)</f>
        <v>0</v>
      </c>
      <c r="AE28" s="5">
        <f>VLOOKUP(AA28,howfared!$B$2:$AH$33,5,FALSE)</f>
        <v>0</v>
      </c>
      <c r="AF28" s="5">
        <f>VLOOKUP(AA28,howfared!$B$2:$AH$33,6,FALSE)</f>
        <v>0</v>
      </c>
      <c r="AG28" s="5">
        <f>VLOOKUP(AA28,howfared!$B$2:$AH$33,7,FALSE)</f>
        <v>0</v>
      </c>
      <c r="AH28" s="5">
        <f>VLOOKUP(AA28,howfared!$B$2:$AH$33,8,FALSE)</f>
        <v>0</v>
      </c>
      <c r="AI28" s="5">
        <f>VLOOKUP(AA28,howfared!$B$2:$AH$33,9,FALSE)</f>
        <v>0</v>
      </c>
      <c r="AJ28" s="5">
        <f>VLOOKUP(AA28,howfared!$B$2:$AH$33,10,FALSE)</f>
        <v>0</v>
      </c>
      <c r="AK28" s="5">
        <f>VLOOKUP(AA28,howfared!$B$2:$AH$33,11,FALSE)</f>
        <v>0</v>
      </c>
      <c r="AL28" s="5">
        <f>VLOOKUP(AA28,howfared!$B$2:$AH$33,12,FALSE)</f>
        <v>0</v>
      </c>
      <c r="AM28" s="5">
        <f>VLOOKUP(AA28,howfared!$B$2:$AH$33,13,FALSE)</f>
        <v>0</v>
      </c>
      <c r="AN28" s="5">
        <f>VLOOKUP(AA28,howfared!$B$2:$AH$33,14,FALSE)</f>
        <v>0</v>
      </c>
      <c r="AO28" s="5">
        <f>VLOOKUP(AA28,howfared!$B$2:$AH$33,15,FALSE)</f>
        <v>0</v>
      </c>
      <c r="AP28" s="5">
        <f>VLOOKUP(AA28,howfared!$B$2:$AH$33,16,FALSE)</f>
        <v>0</v>
      </c>
      <c r="AQ28" s="5">
        <f>VLOOKUP(AA28,howfared!$B$2:$AH$33,17,FALSE)</f>
        <v>0</v>
      </c>
      <c r="AR28" s="5">
        <f>VLOOKUP(AA28,howfared!$B$2:$AH$33,18,FALSE)</f>
        <v>0</v>
      </c>
      <c r="AS28" s="5" t="str">
        <f t="shared" si="4"/>
        <v>MIA</v>
      </c>
      <c r="AT28" s="5">
        <f t="shared" si="5"/>
        <v>1</v>
      </c>
      <c r="AU28" s="5">
        <f t="shared" si="5"/>
        <v>3</v>
      </c>
    </row>
    <row r="29" spans="1:47" s="5" customFormat="1" ht="15.95" customHeight="1" x14ac:dyDescent="0.15">
      <c r="A29" s="5" t="s">
        <v>253</v>
      </c>
      <c r="B29" s="5" t="s">
        <v>208</v>
      </c>
      <c r="C29" s="5" t="s">
        <v>231</v>
      </c>
      <c r="D29" s="5">
        <v>1</v>
      </c>
      <c r="E29" s="5">
        <v>3</v>
      </c>
      <c r="F29" s="5">
        <v>0</v>
      </c>
      <c r="G29" s="42">
        <v>0.25</v>
      </c>
      <c r="H29" s="5">
        <v>88</v>
      </c>
      <c r="I29" s="5">
        <v>136</v>
      </c>
      <c r="J29" s="5">
        <v>-48</v>
      </c>
      <c r="K29" s="5">
        <v>9</v>
      </c>
      <c r="L29" s="43" t="s">
        <v>228</v>
      </c>
      <c r="M29" s="43" t="s">
        <v>223</v>
      </c>
      <c r="N29" s="43" t="s">
        <v>210</v>
      </c>
      <c r="O29" s="42">
        <v>0</v>
      </c>
      <c r="P29" s="43" t="s">
        <v>228</v>
      </c>
      <c r="Q29" s="42">
        <v>0</v>
      </c>
      <c r="R29" s="43" t="s">
        <v>223</v>
      </c>
      <c r="S29" s="5" t="s">
        <v>229</v>
      </c>
      <c r="T29" s="43" t="s">
        <v>244</v>
      </c>
      <c r="U29" s="9">
        <f t="shared" si="0"/>
        <v>22</v>
      </c>
      <c r="V29" s="9">
        <f t="shared" si="1"/>
        <v>34</v>
      </c>
      <c r="W29" s="9">
        <f t="shared" si="2"/>
        <v>-12</v>
      </c>
      <c r="X29" s="5">
        <f t="shared" si="3"/>
        <v>4</v>
      </c>
      <c r="Y29" s="46">
        <v>27</v>
      </c>
      <c r="Z29" s="5">
        <f>COUNTIF(AA$3:AA28,AB29)+COUNTIF(AA$3:AA29,AC29)+COUNTIF(AA$3:AA29,AD29)+COUNTIF(AA$3:AA29,AE29)+COUNTIF(AA$3:AA29,AF29)+COUNTIF(AA$3:AA29,AG29)+COUNTIF(AA$3:AA29,AH29)+COUNTIF(AA$3:AA29,AI29)+COUNTIF(AA$3:AA29,AJ29)+COUNTIF(AA$3:AA29,AK29)+COUNTIF(AA$3:AA29,AL29)+COUNTIF(AA$3:AA29,AM29)+COUNTIF(AA$3:AA29,AN29)+COUNTIF(AA$3:AA29,AO29)+COUNTIF(AA$3:AA29,AP29)+COUNTIF(AA$3:AA29,AQ29)+COUNTIF(AA$3:AA29,AR29)</f>
        <v>0</v>
      </c>
      <c r="AA29" s="45" t="str">
        <f>VLOOKUP(A29,howfared!$A$2:$B$33,2,FALSE)</f>
        <v>KC</v>
      </c>
      <c r="AB29" s="5">
        <f>VLOOKUP(AA29,howfared!$B$2:$AH$33,2,FALSE)</f>
        <v>0</v>
      </c>
      <c r="AC29" s="5">
        <f>VLOOKUP(AA29,howfared!$B$2:$AH$33,3,FALSE)</f>
        <v>0</v>
      </c>
      <c r="AD29" s="5" t="str">
        <f>VLOOKUP(AA29,howfared!$B$2:$AH$33,4,FALSE)</f>
        <v>NO</v>
      </c>
      <c r="AE29" s="5">
        <f>VLOOKUP(AA29,howfared!$B$2:$AH$33,5,FALSE)</f>
        <v>0</v>
      </c>
      <c r="AF29" s="5">
        <f>VLOOKUP(AA29,howfared!$B$2:$AH$33,6,FALSE)</f>
        <v>0</v>
      </c>
      <c r="AG29" s="5">
        <f>VLOOKUP(AA29,howfared!$B$2:$AH$33,7,FALSE)</f>
        <v>0</v>
      </c>
      <c r="AH29" s="5">
        <f>VLOOKUP(AA29,howfared!$B$2:$AH$33,8,FALSE)</f>
        <v>0</v>
      </c>
      <c r="AI29" s="5">
        <f>VLOOKUP(AA29,howfared!$B$2:$AH$33,9,FALSE)</f>
        <v>0</v>
      </c>
      <c r="AJ29" s="5">
        <f>VLOOKUP(AA29,howfared!$B$2:$AH$33,10,FALSE)</f>
        <v>0</v>
      </c>
      <c r="AK29" s="5">
        <f>VLOOKUP(AA29,howfared!$B$2:$AH$33,11,FALSE)</f>
        <v>0</v>
      </c>
      <c r="AL29" s="5">
        <f>VLOOKUP(AA29,howfared!$B$2:$AH$33,12,FALSE)</f>
        <v>0</v>
      </c>
      <c r="AM29" s="5">
        <f>VLOOKUP(AA29,howfared!$B$2:$AH$33,13,FALSE)</f>
        <v>0</v>
      </c>
      <c r="AN29" s="5">
        <f>VLOOKUP(AA29,howfared!$B$2:$AH$33,14,FALSE)</f>
        <v>0</v>
      </c>
      <c r="AO29" s="5">
        <f>VLOOKUP(AA29,howfared!$B$2:$AH$33,15,FALSE)</f>
        <v>0</v>
      </c>
      <c r="AP29" s="5">
        <f>VLOOKUP(AA29,howfared!$B$2:$AH$33,16,FALSE)</f>
        <v>0</v>
      </c>
      <c r="AQ29" s="5">
        <f>VLOOKUP(AA29,howfared!$B$2:$AH$33,17,FALSE)</f>
        <v>0</v>
      </c>
      <c r="AR29" s="5">
        <f>VLOOKUP(AA29,howfared!$B$2:$AH$33,18,FALSE)</f>
        <v>0</v>
      </c>
      <c r="AS29" s="5" t="str">
        <f t="shared" si="4"/>
        <v>KC</v>
      </c>
      <c r="AT29" s="5">
        <f t="shared" si="5"/>
        <v>1</v>
      </c>
      <c r="AU29" s="5">
        <f t="shared" si="5"/>
        <v>3</v>
      </c>
    </row>
    <row r="30" spans="1:47" s="5" customFormat="1" ht="15.95" customHeight="1" x14ac:dyDescent="0.15">
      <c r="A30" s="6" t="s">
        <v>254</v>
      </c>
      <c r="B30" s="6" t="s">
        <v>208</v>
      </c>
      <c r="C30" s="6" t="s">
        <v>204</v>
      </c>
      <c r="D30" s="6">
        <v>0</v>
      </c>
      <c r="E30" s="6">
        <v>4</v>
      </c>
      <c r="F30" s="6">
        <v>0</v>
      </c>
      <c r="G30" s="31">
        <v>0</v>
      </c>
      <c r="H30" s="6">
        <v>110</v>
      </c>
      <c r="I30" s="6">
        <v>130</v>
      </c>
      <c r="J30" s="6">
        <v>-20</v>
      </c>
      <c r="K30" s="6">
        <v>13</v>
      </c>
      <c r="L30" s="32" t="s">
        <v>228</v>
      </c>
      <c r="M30" s="32" t="s">
        <v>228</v>
      </c>
      <c r="N30" s="32" t="s">
        <v>210</v>
      </c>
      <c r="O30" s="31">
        <v>0</v>
      </c>
      <c r="P30" s="32" t="s">
        <v>251</v>
      </c>
      <c r="Q30" s="31">
        <v>0</v>
      </c>
      <c r="R30" s="32" t="s">
        <v>210</v>
      </c>
      <c r="S30" s="6" t="s">
        <v>255</v>
      </c>
      <c r="T30" s="32" t="s">
        <v>256</v>
      </c>
      <c r="U30" s="9">
        <f t="shared" si="0"/>
        <v>27.5</v>
      </c>
      <c r="V30" s="9">
        <f t="shared" si="1"/>
        <v>32.5</v>
      </c>
      <c r="W30" s="9">
        <f t="shared" si="2"/>
        <v>-5</v>
      </c>
      <c r="X30" s="5">
        <f t="shared" si="3"/>
        <v>4</v>
      </c>
      <c r="Y30" s="46">
        <v>28</v>
      </c>
      <c r="Z30" s="5">
        <f>COUNTIF(AA$3:AA29,AB30)+COUNTIF(AA$3:AA30,AC30)+COUNTIF(AA$3:AA30,AD30)+COUNTIF(AA$3:AA30,AE30)+COUNTIF(AA$3:AA30,AF30)+COUNTIF(AA$3:AA30,AG30)+COUNTIF(AA$3:AA30,AH30)+COUNTIF(AA$3:AA30,AI30)+COUNTIF(AA$3:AA30,AJ30)+COUNTIF(AA$3:AA30,AK30)+COUNTIF(AA$3:AA30,AL30)+COUNTIF(AA$3:AA30,AM30)+COUNTIF(AA$3:AA30,AN30)+COUNTIF(AA$3:AA30,AO30)+COUNTIF(AA$3:AA30,AP30)+COUNTIF(AA$3:AA30,AQ30)+COUNTIF(AA$3:AA30,AR30)</f>
        <v>0</v>
      </c>
      <c r="AA30" s="45" t="str">
        <f>VLOOKUP(A30,howfared!$A$2:$B$33,2,FALSE)</f>
        <v>NO</v>
      </c>
      <c r="AB30" s="5">
        <f>VLOOKUP(AA30,howfared!$B$2:$AH$33,2,FALSE)</f>
        <v>0</v>
      </c>
      <c r="AC30" s="5">
        <f>VLOOKUP(AA30,howfared!$B$2:$AH$33,3,FALSE)</f>
        <v>0</v>
      </c>
      <c r="AD30" s="5">
        <f>VLOOKUP(AA30,howfared!$B$2:$AH$33,4,FALSE)</f>
        <v>0</v>
      </c>
      <c r="AE30" s="5">
        <f>VLOOKUP(AA30,howfared!$B$2:$AH$33,5,FALSE)</f>
        <v>0</v>
      </c>
      <c r="AF30" s="5">
        <f>VLOOKUP(AA30,howfared!$B$2:$AH$33,6,FALSE)</f>
        <v>0</v>
      </c>
      <c r="AG30" s="5">
        <f>VLOOKUP(AA30,howfared!$B$2:$AH$33,7,FALSE)</f>
        <v>0</v>
      </c>
      <c r="AH30" s="5">
        <f>VLOOKUP(AA30,howfared!$B$2:$AH$33,8,FALSE)</f>
        <v>0</v>
      </c>
      <c r="AI30" s="5">
        <f>VLOOKUP(AA30,howfared!$B$2:$AH$33,9,FALSE)</f>
        <v>0</v>
      </c>
      <c r="AJ30" s="5">
        <f>VLOOKUP(AA30,howfared!$B$2:$AH$33,10,FALSE)</f>
        <v>0</v>
      </c>
      <c r="AK30" s="5">
        <f>VLOOKUP(AA30,howfared!$B$2:$AH$33,11,FALSE)</f>
        <v>0</v>
      </c>
      <c r="AL30" s="5">
        <f>VLOOKUP(AA30,howfared!$B$2:$AH$33,12,FALSE)</f>
        <v>0</v>
      </c>
      <c r="AM30" s="5">
        <f>VLOOKUP(AA30,howfared!$B$2:$AH$33,13,FALSE)</f>
        <v>0</v>
      </c>
      <c r="AN30" s="5">
        <f>VLOOKUP(AA30,howfared!$B$2:$AH$33,14,FALSE)</f>
        <v>0</v>
      </c>
      <c r="AO30" s="5">
        <f>VLOOKUP(AA30,howfared!$B$2:$AH$33,15,FALSE)</f>
        <v>0</v>
      </c>
      <c r="AP30" s="5">
        <f>VLOOKUP(AA30,howfared!$B$2:$AH$33,16,FALSE)</f>
        <v>0</v>
      </c>
      <c r="AQ30" s="5">
        <f>VLOOKUP(AA30,howfared!$B$2:$AH$33,17,FALSE)</f>
        <v>0</v>
      </c>
      <c r="AR30" s="5">
        <f>VLOOKUP(AA30,howfared!$B$2:$AH$33,18,FALSE)</f>
        <v>0</v>
      </c>
      <c r="AS30" s="5" t="str">
        <f t="shared" si="4"/>
        <v>NO</v>
      </c>
      <c r="AT30" s="5">
        <f t="shared" si="5"/>
        <v>0</v>
      </c>
      <c r="AU30" s="5">
        <f t="shared" si="5"/>
        <v>4</v>
      </c>
    </row>
    <row r="31" spans="1:47" s="5" customFormat="1" ht="15.95" customHeight="1" x14ac:dyDescent="0.15">
      <c r="A31" s="5" t="s">
        <v>257</v>
      </c>
      <c r="B31" s="5" t="s">
        <v>208</v>
      </c>
      <c r="C31" s="5" t="s">
        <v>231</v>
      </c>
      <c r="D31" s="5">
        <v>1</v>
      </c>
      <c r="E31" s="5">
        <v>3</v>
      </c>
      <c r="F31" s="5">
        <v>0</v>
      </c>
      <c r="G31" s="42">
        <v>0.25</v>
      </c>
      <c r="H31" s="5">
        <v>67</v>
      </c>
      <c r="I31" s="5">
        <v>125</v>
      </c>
      <c r="J31" s="5">
        <v>-58</v>
      </c>
      <c r="K31" s="5">
        <v>6</v>
      </c>
      <c r="L31" s="43" t="s">
        <v>223</v>
      </c>
      <c r="M31" s="43" t="s">
        <v>228</v>
      </c>
      <c r="N31" s="43" t="s">
        <v>228</v>
      </c>
      <c r="O31" s="42">
        <v>0</v>
      </c>
      <c r="P31" s="43" t="s">
        <v>244</v>
      </c>
      <c r="Q31" s="42">
        <v>0.25</v>
      </c>
      <c r="R31" s="43" t="s">
        <v>201</v>
      </c>
      <c r="S31" s="5" t="s">
        <v>229</v>
      </c>
      <c r="T31" s="43" t="s">
        <v>244</v>
      </c>
      <c r="U31" s="9">
        <f t="shared" si="0"/>
        <v>16.75</v>
      </c>
      <c r="V31" s="9">
        <f t="shared" si="1"/>
        <v>31.25</v>
      </c>
      <c r="W31" s="9">
        <f t="shared" si="2"/>
        <v>-14.5</v>
      </c>
      <c r="X31" s="5">
        <f t="shared" si="3"/>
        <v>4</v>
      </c>
      <c r="Y31" s="44">
        <v>29</v>
      </c>
      <c r="Z31" s="5">
        <f>COUNTIF(AA$3:AA30,AB31)+COUNTIF(AA$3:AA31,AC31)+COUNTIF(AA$3:AA31,AD31)+COUNTIF(AA$3:AA31,AE31)+COUNTIF(AA$3:AA31,AF31)+COUNTIF(AA$3:AA31,AG31)+COUNTIF(AA$3:AA31,AH31)+COUNTIF(AA$3:AA31,AI31)+COUNTIF(AA$3:AA31,AJ31)+COUNTIF(AA$3:AA31,AK31)+COUNTIF(AA$3:AA31,AL31)+COUNTIF(AA$3:AA31,AM31)+COUNTIF(AA$3:AA31,AN31)+COUNTIF(AA$3:AA31,AO31)+COUNTIF(AA$3:AA31,AP31)+COUNTIF(AA$3:AA31,AQ31)+COUNTIF(AA$3:AA31,AR31)</f>
        <v>1</v>
      </c>
      <c r="AA31" s="45" t="str">
        <f>VLOOKUP(A31,howfared!$A$2:$B$33,2,FALSE)</f>
        <v>OAK</v>
      </c>
      <c r="AB31" s="5">
        <f>VLOOKUP(AA31,howfared!$B$2:$AH$33,2,FALSE)</f>
        <v>0</v>
      </c>
      <c r="AC31" s="5">
        <f>VLOOKUP(AA31,howfared!$B$2:$AH$33,3,FALSE)</f>
        <v>0</v>
      </c>
      <c r="AD31" s="5" t="str">
        <f>VLOOKUP(AA31,howfared!$B$2:$AH$33,4,FALSE)</f>
        <v>PIT</v>
      </c>
      <c r="AE31" s="5">
        <f>VLOOKUP(AA31,howfared!$B$2:$AH$33,5,FALSE)</f>
        <v>0</v>
      </c>
      <c r="AF31" s="5">
        <f>VLOOKUP(AA31,howfared!$B$2:$AH$33,6,FALSE)</f>
        <v>0</v>
      </c>
      <c r="AG31" s="5">
        <f>VLOOKUP(AA31,howfared!$B$2:$AH$33,7,FALSE)</f>
        <v>0</v>
      </c>
      <c r="AH31" s="5">
        <f>VLOOKUP(AA31,howfared!$B$2:$AH$33,8,FALSE)</f>
        <v>0</v>
      </c>
      <c r="AI31" s="5">
        <f>VLOOKUP(AA31,howfared!$B$2:$AH$33,9,FALSE)</f>
        <v>0</v>
      </c>
      <c r="AJ31" s="5">
        <f>VLOOKUP(AA31,howfared!$B$2:$AH$33,10,FALSE)</f>
        <v>0</v>
      </c>
      <c r="AK31" s="5">
        <f>VLOOKUP(AA31,howfared!$B$2:$AH$33,11,FALSE)</f>
        <v>0</v>
      </c>
      <c r="AL31" s="5">
        <f>VLOOKUP(AA31,howfared!$B$2:$AH$33,12,FALSE)</f>
        <v>0</v>
      </c>
      <c r="AM31" s="5">
        <f>VLOOKUP(AA31,howfared!$B$2:$AH$33,13,FALSE)</f>
        <v>0</v>
      </c>
      <c r="AN31" s="5">
        <f>VLOOKUP(AA31,howfared!$B$2:$AH$33,14,FALSE)</f>
        <v>0</v>
      </c>
      <c r="AO31" s="5">
        <f>VLOOKUP(AA31,howfared!$B$2:$AH$33,15,FALSE)</f>
        <v>0</v>
      </c>
      <c r="AP31" s="5">
        <f>VLOOKUP(AA31,howfared!$B$2:$AH$33,16,FALSE)</f>
        <v>0</v>
      </c>
      <c r="AQ31" s="5">
        <f>VLOOKUP(AA31,howfared!$B$2:$AH$33,17,FALSE)</f>
        <v>0</v>
      </c>
      <c r="AR31" s="5">
        <f>VLOOKUP(AA31,howfared!$B$2:$AH$33,18,FALSE)</f>
        <v>0</v>
      </c>
      <c r="AS31" s="5" t="str">
        <f t="shared" si="4"/>
        <v>OAK</v>
      </c>
      <c r="AT31" s="5">
        <f t="shared" si="5"/>
        <v>1</v>
      </c>
      <c r="AU31" s="5">
        <f t="shared" si="5"/>
        <v>3</v>
      </c>
    </row>
    <row r="32" spans="1:47" s="5" customFormat="1" ht="15.95" customHeight="1" x14ac:dyDescent="0.15">
      <c r="A32" s="5" t="s">
        <v>258</v>
      </c>
      <c r="B32" s="5" t="s">
        <v>197</v>
      </c>
      <c r="C32" s="5" t="s">
        <v>198</v>
      </c>
      <c r="D32" s="5">
        <v>1</v>
      </c>
      <c r="E32" s="5">
        <v>3</v>
      </c>
      <c r="F32" s="5">
        <v>0</v>
      </c>
      <c r="G32" s="42">
        <v>0.25</v>
      </c>
      <c r="H32" s="5">
        <v>62</v>
      </c>
      <c r="I32" s="5">
        <v>97</v>
      </c>
      <c r="J32" s="5">
        <v>-35</v>
      </c>
      <c r="K32" s="5">
        <v>6</v>
      </c>
      <c r="L32" s="43" t="s">
        <v>228</v>
      </c>
      <c r="M32" s="43" t="s">
        <v>223</v>
      </c>
      <c r="N32" s="43" t="s">
        <v>223</v>
      </c>
      <c r="O32" s="42">
        <v>0.5</v>
      </c>
      <c r="P32" s="43" t="s">
        <v>238</v>
      </c>
      <c r="Q32" s="42">
        <v>0.33300000000000002</v>
      </c>
      <c r="R32" s="43" t="s">
        <v>210</v>
      </c>
      <c r="S32" s="5" t="s">
        <v>229</v>
      </c>
      <c r="T32" s="43" t="s">
        <v>244</v>
      </c>
      <c r="U32" s="9">
        <f t="shared" si="0"/>
        <v>15.5</v>
      </c>
      <c r="V32" s="9">
        <f t="shared" si="1"/>
        <v>24.25</v>
      </c>
      <c r="W32" s="9">
        <f t="shared" si="2"/>
        <v>-8.75</v>
      </c>
      <c r="X32" s="5">
        <f t="shared" si="3"/>
        <v>4</v>
      </c>
      <c r="Y32" s="46">
        <v>30</v>
      </c>
      <c r="Z32" s="5">
        <f>COUNTIF(AA$3:AA31,AB32)+COUNTIF(AA$3:AA32,AC32)+COUNTIF(AA$3:AA32,AD32)+COUNTIF(AA$3:AA32,AE32)+COUNTIF(AA$3:AA32,AF32)+COUNTIF(AA$3:AA32,AG32)+COUNTIF(AA$3:AA32,AH32)+COUNTIF(AA$3:AA32,AI32)+COUNTIF(AA$3:AA32,AJ32)+COUNTIF(AA$3:AA32,AK32)+COUNTIF(AA$3:AA32,AL32)+COUNTIF(AA$3:AA32,AM32)+COUNTIF(AA$3:AA32,AN32)+COUNTIF(AA$3:AA32,AO32)+COUNTIF(AA$3:AA32,AP32)+COUNTIF(AA$3:AA32,AQ32)+COUNTIF(AA$3:AA32,AR32)</f>
        <v>0</v>
      </c>
      <c r="AA32" s="45" t="str">
        <f>VLOOKUP(A32,howfared!$A$2:$B$33,2,FALSE)</f>
        <v>JAC</v>
      </c>
      <c r="AB32" s="5">
        <f>VLOOKUP(AA32,howfared!$B$2:$AH$33,2,FALSE)</f>
        <v>0</v>
      </c>
      <c r="AC32" s="5">
        <f>VLOOKUP(AA32,howfared!$B$2:$AH$33,3,FALSE)</f>
        <v>0</v>
      </c>
      <c r="AD32" s="5" t="str">
        <f>VLOOKUP(AA32,howfared!$B$2:$AH$33,4,FALSE)</f>
        <v>IND</v>
      </c>
      <c r="AE32" s="5">
        <f>VLOOKUP(AA32,howfared!$B$2:$AH$33,5,FALSE)</f>
        <v>0</v>
      </c>
      <c r="AF32" s="5">
        <f>VLOOKUP(AA32,howfared!$B$2:$AH$33,6,FALSE)</f>
        <v>0</v>
      </c>
      <c r="AG32" s="5">
        <f>VLOOKUP(AA32,howfared!$B$2:$AH$33,7,FALSE)</f>
        <v>0</v>
      </c>
      <c r="AH32" s="5">
        <f>VLOOKUP(AA32,howfared!$B$2:$AH$33,8,FALSE)</f>
        <v>0</v>
      </c>
      <c r="AI32" s="5">
        <f>VLOOKUP(AA32,howfared!$B$2:$AH$33,9,FALSE)</f>
        <v>0</v>
      </c>
      <c r="AJ32" s="5">
        <f>VLOOKUP(AA32,howfared!$B$2:$AH$33,10,FALSE)</f>
        <v>0</v>
      </c>
      <c r="AK32" s="5">
        <f>VLOOKUP(AA32,howfared!$B$2:$AH$33,11,FALSE)</f>
        <v>0</v>
      </c>
      <c r="AL32" s="5">
        <f>VLOOKUP(AA32,howfared!$B$2:$AH$33,12,FALSE)</f>
        <v>0</v>
      </c>
      <c r="AM32" s="5">
        <f>VLOOKUP(AA32,howfared!$B$2:$AH$33,13,FALSE)</f>
        <v>0</v>
      </c>
      <c r="AN32" s="5">
        <f>VLOOKUP(AA32,howfared!$B$2:$AH$33,14,FALSE)</f>
        <v>0</v>
      </c>
      <c r="AO32" s="5">
        <f>VLOOKUP(AA32,howfared!$B$2:$AH$33,15,FALSE)</f>
        <v>0</v>
      </c>
      <c r="AP32" s="5">
        <f>VLOOKUP(AA32,howfared!$B$2:$AH$33,16,FALSE)</f>
        <v>0</v>
      </c>
      <c r="AQ32" s="5">
        <f>VLOOKUP(AA32,howfared!$B$2:$AH$33,17,FALSE)</f>
        <v>0</v>
      </c>
      <c r="AR32" s="5">
        <f>VLOOKUP(AA32,howfared!$B$2:$AH$33,18,FALSE)</f>
        <v>0</v>
      </c>
      <c r="AS32" s="5" t="str">
        <f t="shared" si="4"/>
        <v>JAC</v>
      </c>
      <c r="AT32" s="5">
        <f t="shared" si="5"/>
        <v>1</v>
      </c>
      <c r="AU32" s="5">
        <f t="shared" si="5"/>
        <v>3</v>
      </c>
    </row>
    <row r="33" spans="1:47" s="5" customFormat="1" ht="15.95" customHeight="1" x14ac:dyDescent="0.15">
      <c r="A33" s="5" t="s">
        <v>259</v>
      </c>
      <c r="B33" s="5" t="s">
        <v>197</v>
      </c>
      <c r="C33" s="5" t="s">
        <v>198</v>
      </c>
      <c r="D33" s="5">
        <v>1</v>
      </c>
      <c r="E33" s="5">
        <v>2</v>
      </c>
      <c r="F33" s="5">
        <v>0</v>
      </c>
      <c r="G33" s="42">
        <v>0.33300000000000002</v>
      </c>
      <c r="H33" s="5">
        <v>61</v>
      </c>
      <c r="I33" s="5">
        <v>83</v>
      </c>
      <c r="J33" s="5">
        <v>-22</v>
      </c>
      <c r="K33" s="5">
        <v>7</v>
      </c>
      <c r="L33" s="43" t="s">
        <v>223</v>
      </c>
      <c r="M33" s="43" t="s">
        <v>210</v>
      </c>
      <c r="N33" s="43" t="s">
        <v>210</v>
      </c>
      <c r="O33" s="42">
        <v>0</v>
      </c>
      <c r="P33" s="43" t="s">
        <v>210</v>
      </c>
      <c r="Q33" s="42">
        <v>0</v>
      </c>
      <c r="R33" s="43" t="s">
        <v>223</v>
      </c>
      <c r="S33" s="5" t="s">
        <v>229</v>
      </c>
      <c r="T33" s="43" t="s">
        <v>238</v>
      </c>
      <c r="U33" s="9">
        <f t="shared" si="0"/>
        <v>20.333333333333332</v>
      </c>
      <c r="V33" s="9">
        <f t="shared" si="1"/>
        <v>27.666666666666668</v>
      </c>
      <c r="W33" s="9">
        <f t="shared" si="2"/>
        <v>-7.3333333333333357</v>
      </c>
      <c r="X33" s="5">
        <f t="shared" si="3"/>
        <v>3</v>
      </c>
      <c r="Y33" s="44">
        <v>31</v>
      </c>
      <c r="Z33" s="5">
        <f>COUNTIF(AA$3:AA32,AB33)+COUNTIF(AA$3:AA33,AC33)+COUNTIF(AA$3:AA33,AD33)+COUNTIF(AA$3:AA33,AE33)+COUNTIF(AA$3:AA33,AF33)+COUNTIF(AA$3:AA33,AG33)+COUNTIF(AA$3:AA33,AH33)+COUNTIF(AA$3:AA33,AI33)+COUNTIF(AA$3:AA33,AJ33)+COUNTIF(AA$3:AA33,AK33)+COUNTIF(AA$3:AA33,AL33)+COUNTIF(AA$3:AA33,AM33)+COUNTIF(AA$3:AA33,AN33)+COUNTIF(AA$3:AA33,AO33)+COUNTIF(AA$3:AA33,AP33)+COUNTIF(AA$3:AA33,AQ33)+COUNTIF(AA$3:AA33,AR33)</f>
        <v>1</v>
      </c>
      <c r="AA33" s="45" t="str">
        <f>VLOOKUP(A33,howfared!$A$2:$B$33,2,FALSE)</f>
        <v>IND</v>
      </c>
      <c r="AB33" s="5">
        <f>VLOOKUP(AA33,howfared!$B$2:$AH$33,2,FALSE)</f>
        <v>0</v>
      </c>
      <c r="AC33" s="5" t="str">
        <f>VLOOKUP(AA33,howfared!$B$2:$AH$33,3,FALSE)</f>
        <v>MIN</v>
      </c>
      <c r="AD33" s="5">
        <f>VLOOKUP(AA33,howfared!$B$2:$AH$33,4,FALSE)</f>
        <v>0</v>
      </c>
      <c r="AE33" s="5">
        <f>VLOOKUP(AA33,howfared!$B$2:$AH$33,5,FALSE)</f>
        <v>0</v>
      </c>
      <c r="AF33" s="5">
        <f>VLOOKUP(AA33,howfared!$B$2:$AH$33,6,FALSE)</f>
        <v>0</v>
      </c>
      <c r="AG33" s="5">
        <f>VLOOKUP(AA33,howfared!$B$2:$AH$33,7,FALSE)</f>
        <v>0</v>
      </c>
      <c r="AH33" s="5">
        <f>VLOOKUP(AA33,howfared!$B$2:$AH$33,8,FALSE)</f>
        <v>0</v>
      </c>
      <c r="AI33" s="5">
        <f>VLOOKUP(AA33,howfared!$B$2:$AH$33,9,FALSE)</f>
        <v>0</v>
      </c>
      <c r="AJ33" s="5">
        <f>VLOOKUP(AA33,howfared!$B$2:$AH$33,10,FALSE)</f>
        <v>0</v>
      </c>
      <c r="AK33" s="5">
        <f>VLOOKUP(AA33,howfared!$B$2:$AH$33,11,FALSE)</f>
        <v>0</v>
      </c>
      <c r="AL33" s="5">
        <f>VLOOKUP(AA33,howfared!$B$2:$AH$33,12,FALSE)</f>
        <v>0</v>
      </c>
      <c r="AM33" s="5">
        <f>VLOOKUP(AA33,howfared!$B$2:$AH$33,13,FALSE)</f>
        <v>0</v>
      </c>
      <c r="AN33" s="5">
        <f>VLOOKUP(AA33,howfared!$B$2:$AH$33,14,FALSE)</f>
        <v>0</v>
      </c>
      <c r="AO33" s="5">
        <f>VLOOKUP(AA33,howfared!$B$2:$AH$33,15,FALSE)</f>
        <v>0</v>
      </c>
      <c r="AP33" s="5">
        <f>VLOOKUP(AA33,howfared!$B$2:$AH$33,16,FALSE)</f>
        <v>0</v>
      </c>
      <c r="AQ33" s="5">
        <f>VLOOKUP(AA33,howfared!$B$2:$AH$33,17,FALSE)</f>
        <v>0</v>
      </c>
      <c r="AR33" s="5">
        <f>VLOOKUP(AA33,howfared!$B$2:$AH$33,18,FALSE)</f>
        <v>0</v>
      </c>
      <c r="AS33" s="5" t="str">
        <f t="shared" si="4"/>
        <v>IND</v>
      </c>
      <c r="AT33" s="5">
        <f t="shared" si="5"/>
        <v>1</v>
      </c>
      <c r="AU33" s="5">
        <f t="shared" si="5"/>
        <v>2</v>
      </c>
    </row>
    <row r="34" spans="1:47" s="5" customFormat="1" ht="15.95" customHeight="1" x14ac:dyDescent="0.15">
      <c r="A34" s="5" t="s">
        <v>260</v>
      </c>
      <c r="B34" s="5" t="s">
        <v>208</v>
      </c>
      <c r="C34" s="5" t="s">
        <v>209</v>
      </c>
      <c r="D34" s="5">
        <v>0</v>
      </c>
      <c r="E34" s="5">
        <v>4</v>
      </c>
      <c r="F34" s="5">
        <v>0</v>
      </c>
      <c r="G34" s="42">
        <v>0</v>
      </c>
      <c r="H34" s="5">
        <v>73</v>
      </c>
      <c r="I34" s="5">
        <v>98</v>
      </c>
      <c r="J34" s="5">
        <v>-25</v>
      </c>
      <c r="K34" s="5">
        <v>7</v>
      </c>
      <c r="L34" s="43" t="s">
        <v>228</v>
      </c>
      <c r="M34" s="43" t="s">
        <v>228</v>
      </c>
      <c r="N34" s="43" t="s">
        <v>228</v>
      </c>
      <c r="O34" s="42">
        <v>0</v>
      </c>
      <c r="P34" s="43" t="s">
        <v>251</v>
      </c>
      <c r="Q34" s="42">
        <v>0</v>
      </c>
      <c r="R34" s="43" t="s">
        <v>210</v>
      </c>
      <c r="S34" s="5" t="s">
        <v>255</v>
      </c>
      <c r="T34" s="43" t="s">
        <v>256</v>
      </c>
      <c r="U34" s="9">
        <f t="shared" si="0"/>
        <v>18.25</v>
      </c>
      <c r="V34" s="9">
        <f t="shared" si="1"/>
        <v>24.5</v>
      </c>
      <c r="W34" s="9">
        <f t="shared" si="2"/>
        <v>-6.25</v>
      </c>
      <c r="X34" s="5">
        <f t="shared" si="3"/>
        <v>4</v>
      </c>
      <c r="Y34" s="46">
        <v>32</v>
      </c>
      <c r="Z34" s="5">
        <f>COUNTIF(AA$3:AA33,AB34)+COUNTIF(AA$3:AA34,AC34)+COUNTIF(AA$3:AA34,AD34)+COUNTIF(AA$3:AA34,AE34)+COUNTIF(AA$3:AA34,AF34)+COUNTIF(AA$3:AA34,AG34)+COUNTIF(AA$3:AA34,AH34)+COUNTIF(AA$3:AA34,AI34)+COUNTIF(AA$3:AA34,AJ34)+COUNTIF(AA$3:AA34,AK34)+COUNTIF(AA$3:AA34,AL34)+COUNTIF(AA$3:AA34,AM34)+COUNTIF(AA$3:AA34,AN34)+COUNTIF(AA$3:AA34,AO34)+COUNTIF(AA$3:AA34,AP34)+COUNTIF(AA$3:AA34,AQ34)+COUNTIF(AA$3:AA34,AR34)</f>
        <v>0</v>
      </c>
      <c r="AA34" s="45" t="str">
        <f>VLOOKUP(A34,howfared!$A$2:$B$33,2,FALSE)</f>
        <v>CLE</v>
      </c>
      <c r="AB34" s="5">
        <f>VLOOKUP(AA34,howfared!$B$2:$AH$33,2,FALSE)</f>
        <v>0</v>
      </c>
      <c r="AC34" s="5">
        <f>VLOOKUP(AA34,howfared!$B$2:$AH$33,3,FALSE)</f>
        <v>0</v>
      </c>
      <c r="AD34" s="5">
        <f>VLOOKUP(AA34,howfared!$B$2:$AH$33,4,FALSE)</f>
        <v>0</v>
      </c>
      <c r="AE34" s="5">
        <f>VLOOKUP(AA34,howfared!$B$2:$AH$33,5,FALSE)</f>
        <v>0</v>
      </c>
      <c r="AF34" s="5">
        <f>VLOOKUP(AA34,howfared!$B$2:$AH$33,6,FALSE)</f>
        <v>0</v>
      </c>
      <c r="AG34" s="5">
        <f>VLOOKUP(AA34,howfared!$B$2:$AH$33,7,FALSE)</f>
        <v>0</v>
      </c>
      <c r="AH34" s="5">
        <f>VLOOKUP(AA34,howfared!$B$2:$AH$33,8,FALSE)</f>
        <v>0</v>
      </c>
      <c r="AI34" s="5">
        <f>VLOOKUP(AA34,howfared!$B$2:$AH$33,9,FALSE)</f>
        <v>0</v>
      </c>
      <c r="AJ34" s="5">
        <f>VLOOKUP(AA34,howfared!$B$2:$AH$33,10,FALSE)</f>
        <v>0</v>
      </c>
      <c r="AK34" s="5">
        <f>VLOOKUP(AA34,howfared!$B$2:$AH$33,11,FALSE)</f>
        <v>0</v>
      </c>
      <c r="AL34" s="5">
        <f>VLOOKUP(AA34,howfared!$B$2:$AH$33,12,FALSE)</f>
        <v>0</v>
      </c>
      <c r="AM34" s="5">
        <f>VLOOKUP(AA34,howfared!$B$2:$AH$33,13,FALSE)</f>
        <v>0</v>
      </c>
      <c r="AN34" s="5">
        <f>VLOOKUP(AA34,howfared!$B$2:$AH$33,14,FALSE)</f>
        <v>0</v>
      </c>
      <c r="AO34" s="5">
        <f>VLOOKUP(AA34,howfared!$B$2:$AH$33,15,FALSE)</f>
        <v>0</v>
      </c>
      <c r="AP34" s="5">
        <f>VLOOKUP(AA34,howfared!$B$2:$AH$33,16,FALSE)</f>
        <v>0</v>
      </c>
      <c r="AQ34" s="5">
        <f>VLOOKUP(AA34,howfared!$B$2:$AH$33,17,FALSE)</f>
        <v>0</v>
      </c>
      <c r="AR34" s="5">
        <f>VLOOKUP(AA34,howfared!$B$2:$AH$33,18,FALSE)</f>
        <v>0</v>
      </c>
      <c r="AS34" s="5" t="str">
        <f t="shared" si="4"/>
        <v>CLE</v>
      </c>
      <c r="AT34" s="5">
        <f t="shared" si="5"/>
        <v>0</v>
      </c>
      <c r="AU34" s="5">
        <f t="shared" si="5"/>
        <v>4</v>
      </c>
    </row>
  </sheetData>
  <autoFilter ref="A2:Y34">
    <sortState ref="A3:Y34">
      <sortCondition ref="Y2:Y34"/>
    </sortState>
  </autoFilter>
  <conditionalFormatting sqref="Y3:Y34">
    <cfRule type="duplicateValues" dxfId="3" priority="1" stopIfTrue="1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34"/>
  <sheetViews>
    <sheetView workbookViewId="0">
      <pane xSplit="1" topLeftCell="B1" activePane="topRight" state="frozen"/>
      <selection activeCell="G20" sqref="G20"/>
      <selection pane="topRight" activeCell="G20" sqref="G20"/>
    </sheetView>
  </sheetViews>
  <sheetFormatPr defaultRowHeight="10.5" x14ac:dyDescent="0.15"/>
  <cols>
    <col min="1" max="1" width="22.5" style="19" customWidth="1"/>
    <col min="2" max="18" width="9.33203125" style="19"/>
    <col min="19" max="19" width="11.83203125" style="19" bestFit="1" customWidth="1"/>
    <col min="20" max="20" width="11.5" style="19" bestFit="1" customWidth="1"/>
    <col min="21" max="21" width="11.1640625" style="19" bestFit="1" customWidth="1"/>
    <col min="22" max="22" width="15" style="19" bestFit="1" customWidth="1"/>
    <col min="23" max="23" width="25.5" style="19" customWidth="1"/>
    <col min="24" max="24" width="9.33203125" style="19"/>
    <col min="25" max="25" width="12" style="19" customWidth="1"/>
    <col min="26" max="16384" width="9.33203125" style="19"/>
  </cols>
  <sheetData>
    <row r="1" spans="1:25" s="5" customFormat="1" ht="36" customHeight="1" x14ac:dyDescent="0.15">
      <c r="A1" s="5" t="s">
        <v>1</v>
      </c>
      <c r="B1" s="5" t="s">
        <v>144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161</v>
      </c>
      <c r="N1" s="5" t="s">
        <v>162</v>
      </c>
      <c r="O1" s="5" t="s">
        <v>163</v>
      </c>
      <c r="P1" s="5" t="s">
        <v>164</v>
      </c>
      <c r="Q1" s="5" t="s">
        <v>165</v>
      </c>
      <c r="R1" s="5" t="s">
        <v>166</v>
      </c>
      <c r="S1" s="5" t="s">
        <v>8</v>
      </c>
      <c r="T1" s="5" t="s">
        <v>168</v>
      </c>
      <c r="U1" s="5" t="s">
        <v>169</v>
      </c>
      <c r="V1" s="5" t="s">
        <v>11</v>
      </c>
      <c r="W1" s="5" t="s">
        <v>261</v>
      </c>
      <c r="X1" s="5" t="s">
        <v>262</v>
      </c>
      <c r="Y1" s="5" t="s">
        <v>263</v>
      </c>
    </row>
    <row r="2" spans="1:25" s="5" customFormat="1" ht="14.1" customHeight="1" x14ac:dyDescent="0.15">
      <c r="A2" s="5" t="s">
        <v>63</v>
      </c>
      <c r="B2" s="5">
        <v>31</v>
      </c>
      <c r="C2" s="5">
        <v>28</v>
      </c>
      <c r="D2" s="5">
        <v>29</v>
      </c>
      <c r="E2" s="5">
        <v>21</v>
      </c>
      <c r="F2" s="5">
        <v>14</v>
      </c>
      <c r="S2" s="47">
        <f t="shared" ref="S2:S33" si="0">AVERAGE(B2:R2)</f>
        <v>24.6</v>
      </c>
      <c r="T2" s="5">
        <f t="shared" ref="T2:T33" si="1">MINA(B2:R2)</f>
        <v>14</v>
      </c>
      <c r="U2" s="5">
        <f t="shared" ref="U2:U33" si="2">MAXA(B2:R2)</f>
        <v>31</v>
      </c>
      <c r="V2" s="5">
        <f t="shared" ref="V2:V33" si="3">U2-T2</f>
        <v>17</v>
      </c>
      <c r="W2" s="5" t="e">
        <f t="shared" ref="W2:W33" si="4">IF(X2&lt;0,CONCATENATE(A2," (-",ABS(X2),"), "),IF(X2=0,CONCATENATE(A2,", "),CONCATENATE(A2," (+",ABS(X2),"), ")))</f>
        <v>#REF!</v>
      </c>
      <c r="X2" s="5" t="e">
        <f>#REF!-B2</f>
        <v>#REF!</v>
      </c>
      <c r="Y2" s="5" t="e">
        <f>#REF!-B2</f>
        <v>#REF!</v>
      </c>
    </row>
    <row r="3" spans="1:25" s="5" customFormat="1" ht="14.1" customHeight="1" x14ac:dyDescent="0.15">
      <c r="A3" s="5" t="s">
        <v>69</v>
      </c>
      <c r="B3" s="5">
        <v>22</v>
      </c>
      <c r="C3" s="5">
        <v>26</v>
      </c>
      <c r="D3" s="5">
        <v>17</v>
      </c>
      <c r="E3" s="5">
        <v>10</v>
      </c>
      <c r="F3" s="5">
        <v>17</v>
      </c>
      <c r="S3" s="47">
        <f t="shared" si="0"/>
        <v>18.399999999999999</v>
      </c>
      <c r="T3" s="5">
        <f t="shared" si="1"/>
        <v>10</v>
      </c>
      <c r="U3" s="5">
        <f t="shared" si="2"/>
        <v>26</v>
      </c>
      <c r="V3" s="5">
        <f t="shared" si="3"/>
        <v>16</v>
      </c>
      <c r="W3" s="5" t="e">
        <f t="shared" si="4"/>
        <v>#REF!</v>
      </c>
      <c r="X3" s="5" t="e">
        <f>#REF!-B3</f>
        <v>#REF!</v>
      </c>
      <c r="Y3" s="5" t="e">
        <f>#REF!-B3</f>
        <v>#REF!</v>
      </c>
    </row>
    <row r="4" spans="1:25" s="5" customFormat="1" ht="14.1" customHeight="1" x14ac:dyDescent="0.15">
      <c r="A4" s="5" t="s">
        <v>41</v>
      </c>
      <c r="B4" s="5">
        <v>19</v>
      </c>
      <c r="C4" s="5">
        <v>20</v>
      </c>
      <c r="D4" s="5">
        <v>14</v>
      </c>
      <c r="E4" s="5">
        <v>5</v>
      </c>
      <c r="F4" s="5">
        <v>5</v>
      </c>
      <c r="S4" s="47">
        <f t="shared" si="0"/>
        <v>12.6</v>
      </c>
      <c r="T4" s="5">
        <f t="shared" si="1"/>
        <v>5</v>
      </c>
      <c r="U4" s="5">
        <f t="shared" si="2"/>
        <v>20</v>
      </c>
      <c r="V4" s="5">
        <f t="shared" si="3"/>
        <v>15</v>
      </c>
      <c r="W4" s="5" t="e">
        <f t="shared" si="4"/>
        <v>#REF!</v>
      </c>
      <c r="X4" s="5" t="e">
        <f>#REF!-B4</f>
        <v>#REF!</v>
      </c>
      <c r="Y4" s="5" t="e">
        <f>#REF!-B4</f>
        <v>#REF!</v>
      </c>
    </row>
    <row r="5" spans="1:25" s="5" customFormat="1" ht="14.1" customHeight="1" x14ac:dyDescent="0.15">
      <c r="A5" s="5" t="s">
        <v>91</v>
      </c>
      <c r="B5" s="5">
        <v>13</v>
      </c>
      <c r="C5" s="5">
        <v>16</v>
      </c>
      <c r="D5" s="5">
        <v>24</v>
      </c>
      <c r="E5" s="5">
        <v>28</v>
      </c>
      <c r="F5" s="5">
        <v>28</v>
      </c>
      <c r="S5" s="47">
        <f t="shared" si="0"/>
        <v>21.8</v>
      </c>
      <c r="T5" s="5">
        <f t="shared" si="1"/>
        <v>13</v>
      </c>
      <c r="U5" s="5">
        <f t="shared" si="2"/>
        <v>28</v>
      </c>
      <c r="V5" s="5">
        <f t="shared" si="3"/>
        <v>15</v>
      </c>
      <c r="W5" s="5" t="e">
        <f t="shared" si="4"/>
        <v>#REF!</v>
      </c>
      <c r="X5" s="5" t="e">
        <f>#REF!-B5</f>
        <v>#REF!</v>
      </c>
      <c r="Y5" s="5" t="e">
        <f>#REF!-B5</f>
        <v>#REF!</v>
      </c>
    </row>
    <row r="6" spans="1:25" s="5" customFormat="1" ht="14.1" customHeight="1" x14ac:dyDescent="0.15">
      <c r="A6" s="5" t="s">
        <v>75</v>
      </c>
      <c r="B6" s="5">
        <v>9</v>
      </c>
      <c r="C6" s="5">
        <v>13</v>
      </c>
      <c r="D6" s="5">
        <v>13</v>
      </c>
      <c r="E6" s="5">
        <v>18</v>
      </c>
      <c r="F6" s="5">
        <v>20</v>
      </c>
      <c r="S6" s="47">
        <f t="shared" si="0"/>
        <v>14.6</v>
      </c>
      <c r="T6" s="5">
        <f t="shared" si="1"/>
        <v>9</v>
      </c>
      <c r="U6" s="5">
        <f t="shared" si="2"/>
        <v>20</v>
      </c>
      <c r="V6" s="5">
        <f t="shared" si="3"/>
        <v>11</v>
      </c>
      <c r="W6" s="5" t="e">
        <f t="shared" si="4"/>
        <v>#REF!</v>
      </c>
      <c r="X6" s="5" t="e">
        <f>#REF!-B6</f>
        <v>#REF!</v>
      </c>
      <c r="Y6" s="5" t="e">
        <f>#REF!-B6</f>
        <v>#REF!</v>
      </c>
    </row>
    <row r="7" spans="1:25" s="5" customFormat="1" ht="14.1" customHeight="1" x14ac:dyDescent="0.15">
      <c r="A7" s="5" t="s">
        <v>89</v>
      </c>
      <c r="B7" s="5">
        <v>17</v>
      </c>
      <c r="C7" s="5">
        <v>19</v>
      </c>
      <c r="D7" s="5">
        <v>28</v>
      </c>
      <c r="E7" s="5">
        <v>26</v>
      </c>
      <c r="F7" s="5">
        <v>27</v>
      </c>
      <c r="S7" s="47">
        <f t="shared" si="0"/>
        <v>23.4</v>
      </c>
      <c r="T7" s="5">
        <f t="shared" si="1"/>
        <v>17</v>
      </c>
      <c r="U7" s="5">
        <f t="shared" si="2"/>
        <v>28</v>
      </c>
      <c r="V7" s="5">
        <f t="shared" si="3"/>
        <v>11</v>
      </c>
      <c r="W7" s="5" t="e">
        <f t="shared" si="4"/>
        <v>#REF!</v>
      </c>
      <c r="X7" s="5" t="e">
        <f>#REF!-B7</f>
        <v>#REF!</v>
      </c>
      <c r="Y7" s="5" t="e">
        <f>#REF!-B7</f>
        <v>#REF!</v>
      </c>
    </row>
    <row r="8" spans="1:25" s="5" customFormat="1" ht="14.1" customHeight="1" x14ac:dyDescent="0.15">
      <c r="A8" s="5" t="s">
        <v>32</v>
      </c>
      <c r="B8" s="5">
        <v>12</v>
      </c>
      <c r="C8" s="5">
        <v>6</v>
      </c>
      <c r="D8" s="5">
        <v>3</v>
      </c>
      <c r="E8" s="5">
        <v>2</v>
      </c>
      <c r="F8" s="5">
        <v>2</v>
      </c>
      <c r="S8" s="47">
        <f t="shared" si="0"/>
        <v>5</v>
      </c>
      <c r="T8" s="5">
        <f t="shared" si="1"/>
        <v>2</v>
      </c>
      <c r="U8" s="5">
        <f t="shared" si="2"/>
        <v>12</v>
      </c>
      <c r="V8" s="5">
        <f t="shared" si="3"/>
        <v>10</v>
      </c>
      <c r="W8" s="5" t="e">
        <f t="shared" si="4"/>
        <v>#REF!</v>
      </c>
      <c r="X8" s="5" t="e">
        <f>#REF!-B8</f>
        <v>#REF!</v>
      </c>
      <c r="Y8" s="5" t="e">
        <f>#REF!-B8</f>
        <v>#REF!</v>
      </c>
    </row>
    <row r="9" spans="1:25" s="5" customFormat="1" ht="14.1" customHeight="1" x14ac:dyDescent="0.15">
      <c r="A9" s="5" t="s">
        <v>73</v>
      </c>
      <c r="B9" s="5">
        <v>29</v>
      </c>
      <c r="C9" s="5">
        <v>27</v>
      </c>
      <c r="D9" s="5">
        <v>23</v>
      </c>
      <c r="E9" s="5">
        <v>25</v>
      </c>
      <c r="F9" s="5">
        <v>19</v>
      </c>
      <c r="S9" s="47">
        <f t="shared" si="0"/>
        <v>24.6</v>
      </c>
      <c r="T9" s="5">
        <f t="shared" si="1"/>
        <v>19</v>
      </c>
      <c r="U9" s="5">
        <f t="shared" si="2"/>
        <v>29</v>
      </c>
      <c r="V9" s="5">
        <f t="shared" si="3"/>
        <v>10</v>
      </c>
      <c r="W9" s="5" t="e">
        <f t="shared" si="4"/>
        <v>#REF!</v>
      </c>
      <c r="X9" s="5" t="e">
        <f>#REF!-B9</f>
        <v>#REF!</v>
      </c>
      <c r="Y9" s="5" t="e">
        <f>#REF!-B9</f>
        <v>#REF!</v>
      </c>
    </row>
    <row r="10" spans="1:25" s="5" customFormat="1" ht="14.1" customHeight="1" x14ac:dyDescent="0.15">
      <c r="A10" s="5" t="s">
        <v>71</v>
      </c>
      <c r="B10" s="5">
        <v>25</v>
      </c>
      <c r="C10" s="5">
        <v>15</v>
      </c>
      <c r="D10" s="5">
        <v>20</v>
      </c>
      <c r="E10" s="5">
        <v>22</v>
      </c>
      <c r="F10" s="5">
        <v>18</v>
      </c>
      <c r="S10" s="47">
        <f t="shared" si="0"/>
        <v>20</v>
      </c>
      <c r="T10" s="5">
        <f t="shared" si="1"/>
        <v>15</v>
      </c>
      <c r="U10" s="5">
        <f t="shared" si="2"/>
        <v>25</v>
      </c>
      <c r="V10" s="5">
        <f t="shared" si="3"/>
        <v>10</v>
      </c>
      <c r="W10" s="5" t="e">
        <f t="shared" si="4"/>
        <v>#REF!</v>
      </c>
      <c r="X10" s="5" t="e">
        <f>#REF!-B10</f>
        <v>#REF!</v>
      </c>
      <c r="Y10" s="5" t="e">
        <f>#REF!-B10</f>
        <v>#REF!</v>
      </c>
    </row>
    <row r="11" spans="1:25" s="5" customFormat="1" ht="14.1" customHeight="1" x14ac:dyDescent="0.15">
      <c r="A11" s="5" t="s">
        <v>54</v>
      </c>
      <c r="B11" s="5">
        <v>1</v>
      </c>
      <c r="C11" s="5">
        <v>7</v>
      </c>
      <c r="D11" s="5">
        <v>8</v>
      </c>
      <c r="E11" s="5">
        <v>6</v>
      </c>
      <c r="F11" s="5">
        <v>10</v>
      </c>
      <c r="S11" s="47">
        <f t="shared" si="0"/>
        <v>6.4</v>
      </c>
      <c r="T11" s="5">
        <f t="shared" si="1"/>
        <v>1</v>
      </c>
      <c r="U11" s="5">
        <f t="shared" si="2"/>
        <v>10</v>
      </c>
      <c r="V11" s="5">
        <f t="shared" si="3"/>
        <v>9</v>
      </c>
      <c r="W11" s="5" t="e">
        <f t="shared" si="4"/>
        <v>#REF!</v>
      </c>
      <c r="X11" s="5" t="e">
        <f>#REF!-B11</f>
        <v>#REF!</v>
      </c>
      <c r="Y11" s="5" t="e">
        <f>#REF!-B11</f>
        <v>#REF!</v>
      </c>
    </row>
    <row r="12" spans="1:25" s="5" customFormat="1" ht="14.1" customHeight="1" x14ac:dyDescent="0.15">
      <c r="A12" s="5" t="s">
        <v>67</v>
      </c>
      <c r="B12" s="5">
        <v>8</v>
      </c>
      <c r="C12" s="5">
        <v>11</v>
      </c>
      <c r="D12" s="5">
        <v>9</v>
      </c>
      <c r="E12" s="5">
        <v>16</v>
      </c>
      <c r="F12" s="5">
        <v>16</v>
      </c>
      <c r="S12" s="47">
        <f t="shared" si="0"/>
        <v>12</v>
      </c>
      <c r="T12" s="5">
        <f t="shared" si="1"/>
        <v>8</v>
      </c>
      <c r="U12" s="5">
        <f t="shared" si="2"/>
        <v>16</v>
      </c>
      <c r="V12" s="5">
        <f t="shared" si="3"/>
        <v>8</v>
      </c>
      <c r="W12" s="5" t="e">
        <f t="shared" si="4"/>
        <v>#REF!</v>
      </c>
      <c r="X12" s="5" t="e">
        <f>#REF!-B12</f>
        <v>#REF!</v>
      </c>
      <c r="Y12" s="5" t="e">
        <f>#REF!-B12</f>
        <v>#REF!</v>
      </c>
    </row>
    <row r="13" spans="1:25" s="5" customFormat="1" ht="14.1" customHeight="1" x14ac:dyDescent="0.15">
      <c r="A13" s="5" t="s">
        <v>85</v>
      </c>
      <c r="B13" s="5">
        <v>18</v>
      </c>
      <c r="C13" s="5">
        <v>22</v>
      </c>
      <c r="D13" s="5">
        <v>26</v>
      </c>
      <c r="E13" s="5">
        <v>24</v>
      </c>
      <c r="F13" s="5">
        <v>25</v>
      </c>
      <c r="S13" s="47">
        <f t="shared" si="0"/>
        <v>23</v>
      </c>
      <c r="T13" s="5">
        <f t="shared" si="1"/>
        <v>18</v>
      </c>
      <c r="U13" s="5">
        <f t="shared" si="2"/>
        <v>26</v>
      </c>
      <c r="V13" s="5">
        <f t="shared" si="3"/>
        <v>8</v>
      </c>
      <c r="W13" s="5" t="e">
        <f t="shared" si="4"/>
        <v>#REF!</v>
      </c>
      <c r="X13" s="5" t="e">
        <f>#REF!-B13</f>
        <v>#REF!</v>
      </c>
      <c r="Y13" s="5" t="e">
        <f>#REF!-B13</f>
        <v>#REF!</v>
      </c>
    </row>
    <row r="14" spans="1:25" s="5" customFormat="1" ht="14.1" customHeight="1" x14ac:dyDescent="0.15">
      <c r="A14" s="5" t="s">
        <v>43</v>
      </c>
      <c r="B14" s="5">
        <v>2</v>
      </c>
      <c r="C14" s="5">
        <v>1</v>
      </c>
      <c r="D14" s="5">
        <v>5</v>
      </c>
      <c r="E14" s="5">
        <v>8</v>
      </c>
      <c r="F14" s="5">
        <v>6</v>
      </c>
      <c r="S14" s="47">
        <f t="shared" si="0"/>
        <v>4.4000000000000004</v>
      </c>
      <c r="T14" s="5">
        <f t="shared" si="1"/>
        <v>1</v>
      </c>
      <c r="U14" s="5">
        <f t="shared" si="2"/>
        <v>8</v>
      </c>
      <c r="V14" s="5">
        <f t="shared" si="3"/>
        <v>7</v>
      </c>
      <c r="W14" s="5" t="e">
        <f t="shared" si="4"/>
        <v>#REF!</v>
      </c>
      <c r="X14" s="5" t="e">
        <f>#REF!-B14</f>
        <v>#REF!</v>
      </c>
      <c r="Y14" s="5" t="e">
        <f>#REF!-B14</f>
        <v>#REF!</v>
      </c>
    </row>
    <row r="15" spans="1:25" s="5" customFormat="1" ht="14.1" customHeight="1" x14ac:dyDescent="0.15">
      <c r="A15" s="5" t="s">
        <v>59</v>
      </c>
      <c r="B15" s="5">
        <v>16</v>
      </c>
      <c r="C15" s="5">
        <v>18</v>
      </c>
      <c r="D15" s="5">
        <v>16</v>
      </c>
      <c r="E15" s="5">
        <v>15</v>
      </c>
      <c r="F15" s="5">
        <v>12</v>
      </c>
      <c r="S15" s="47">
        <f t="shared" si="0"/>
        <v>15.4</v>
      </c>
      <c r="T15" s="5">
        <f t="shared" si="1"/>
        <v>12</v>
      </c>
      <c r="U15" s="5">
        <f t="shared" si="2"/>
        <v>18</v>
      </c>
      <c r="V15" s="5">
        <f t="shared" si="3"/>
        <v>6</v>
      </c>
      <c r="W15" s="5" t="e">
        <f t="shared" si="4"/>
        <v>#REF!</v>
      </c>
      <c r="X15" s="5" t="e">
        <f>#REF!-B15</f>
        <v>#REF!</v>
      </c>
      <c r="Y15" s="5" t="e">
        <f>#REF!-B15</f>
        <v>#REF!</v>
      </c>
    </row>
    <row r="16" spans="1:25" s="5" customFormat="1" ht="14.1" customHeight="1" x14ac:dyDescent="0.15">
      <c r="A16" s="5" t="s">
        <v>81</v>
      </c>
      <c r="B16" s="5">
        <v>20</v>
      </c>
      <c r="C16" s="5">
        <v>17</v>
      </c>
      <c r="D16" s="5">
        <v>18</v>
      </c>
      <c r="E16" s="5">
        <v>17</v>
      </c>
      <c r="F16" s="5">
        <v>23</v>
      </c>
      <c r="S16" s="47">
        <f t="shared" si="0"/>
        <v>19</v>
      </c>
      <c r="T16" s="5">
        <f t="shared" si="1"/>
        <v>17</v>
      </c>
      <c r="U16" s="5">
        <f t="shared" si="2"/>
        <v>23</v>
      </c>
      <c r="V16" s="5">
        <f t="shared" si="3"/>
        <v>6</v>
      </c>
      <c r="W16" s="5" t="e">
        <f t="shared" si="4"/>
        <v>#REF!</v>
      </c>
      <c r="X16" s="5" t="e">
        <f>#REF!-B16</f>
        <v>#REF!</v>
      </c>
      <c r="Y16" s="5" t="e">
        <f>#REF!-B16</f>
        <v>#REF!</v>
      </c>
    </row>
    <row r="17" spans="1:25" s="5" customFormat="1" ht="14.1" customHeight="1" x14ac:dyDescent="0.15">
      <c r="A17" s="5" t="s">
        <v>77</v>
      </c>
      <c r="B17" s="5">
        <v>23</v>
      </c>
      <c r="C17" s="5">
        <v>24</v>
      </c>
      <c r="D17" s="5">
        <v>22</v>
      </c>
      <c r="E17" s="5">
        <v>19</v>
      </c>
      <c r="F17" s="5">
        <v>21</v>
      </c>
      <c r="S17" s="47">
        <f t="shared" si="0"/>
        <v>21.8</v>
      </c>
      <c r="T17" s="5">
        <f t="shared" si="1"/>
        <v>19</v>
      </c>
      <c r="U17" s="5">
        <f t="shared" si="2"/>
        <v>24</v>
      </c>
      <c r="V17" s="5">
        <f t="shared" si="3"/>
        <v>5</v>
      </c>
      <c r="W17" s="5" t="e">
        <f t="shared" si="4"/>
        <v>#REF!</v>
      </c>
      <c r="X17" s="5" t="e">
        <f>#REF!-B17</f>
        <v>#REF!</v>
      </c>
      <c r="Y17" s="5" t="e">
        <f>#REF!-B17</f>
        <v>#REF!</v>
      </c>
    </row>
    <row r="18" spans="1:25" s="5" customFormat="1" ht="14.1" customHeight="1" x14ac:dyDescent="0.15">
      <c r="A18" s="5" t="s">
        <v>83</v>
      </c>
      <c r="B18" s="5">
        <v>21</v>
      </c>
      <c r="C18" s="5">
        <v>23</v>
      </c>
      <c r="D18" s="5">
        <v>19</v>
      </c>
      <c r="E18" s="5">
        <v>23</v>
      </c>
      <c r="F18" s="5">
        <v>24</v>
      </c>
      <c r="S18" s="47">
        <f t="shared" si="0"/>
        <v>22</v>
      </c>
      <c r="T18" s="5">
        <f t="shared" si="1"/>
        <v>19</v>
      </c>
      <c r="U18" s="5">
        <f t="shared" si="2"/>
        <v>24</v>
      </c>
      <c r="V18" s="5">
        <f t="shared" si="3"/>
        <v>5</v>
      </c>
      <c r="W18" s="5" t="e">
        <f t="shared" si="4"/>
        <v>#REF!</v>
      </c>
      <c r="X18" s="5" t="e">
        <f>#REF!-B18</f>
        <v>#REF!</v>
      </c>
      <c r="Y18" s="5" t="e">
        <f>#REF!-B18</f>
        <v>#REF!</v>
      </c>
    </row>
    <row r="19" spans="1:25" s="5" customFormat="1" ht="14.1" customHeight="1" x14ac:dyDescent="0.15">
      <c r="A19" s="5" t="s">
        <v>65</v>
      </c>
      <c r="B19" s="5">
        <v>14</v>
      </c>
      <c r="C19" s="5">
        <v>10</v>
      </c>
      <c r="D19" s="5">
        <v>15</v>
      </c>
      <c r="E19" s="5">
        <v>12</v>
      </c>
      <c r="F19" s="5">
        <v>15</v>
      </c>
      <c r="S19" s="47">
        <f t="shared" si="0"/>
        <v>13.2</v>
      </c>
      <c r="T19" s="5">
        <f t="shared" si="1"/>
        <v>10</v>
      </c>
      <c r="U19" s="5">
        <f t="shared" si="2"/>
        <v>15</v>
      </c>
      <c r="V19" s="5">
        <f t="shared" si="3"/>
        <v>5</v>
      </c>
      <c r="W19" s="5" t="e">
        <f t="shared" si="4"/>
        <v>#REF!</v>
      </c>
      <c r="X19" s="5" t="e">
        <f>#REF!-B19</f>
        <v>#REF!</v>
      </c>
      <c r="Y19" s="5" t="e">
        <f>#REF!-B19</f>
        <v>#REF!</v>
      </c>
    </row>
    <row r="20" spans="1:25" s="5" customFormat="1" ht="14.1" customHeight="1" x14ac:dyDescent="0.15">
      <c r="A20" s="5" t="s">
        <v>61</v>
      </c>
      <c r="B20" s="5">
        <v>10</v>
      </c>
      <c r="C20" s="5">
        <v>9</v>
      </c>
      <c r="D20" s="5">
        <v>10</v>
      </c>
      <c r="E20" s="5">
        <v>14</v>
      </c>
      <c r="F20" s="5">
        <v>13</v>
      </c>
      <c r="S20" s="47">
        <f t="shared" si="0"/>
        <v>11.2</v>
      </c>
      <c r="T20" s="5">
        <f t="shared" si="1"/>
        <v>9</v>
      </c>
      <c r="U20" s="5">
        <f t="shared" si="2"/>
        <v>14</v>
      </c>
      <c r="V20" s="5">
        <f t="shared" si="3"/>
        <v>5</v>
      </c>
      <c r="W20" s="5" t="e">
        <f t="shared" si="4"/>
        <v>#REF!</v>
      </c>
      <c r="X20" s="5" t="e">
        <f>#REF!-B20</f>
        <v>#REF!</v>
      </c>
      <c r="Y20" s="5" t="e">
        <f>#REF!-B20</f>
        <v>#REF!</v>
      </c>
    </row>
    <row r="21" spans="1:25" s="5" customFormat="1" ht="14.1" customHeight="1" x14ac:dyDescent="0.15">
      <c r="A21" s="5" t="s">
        <v>49</v>
      </c>
      <c r="B21" s="5">
        <v>3</v>
      </c>
      <c r="C21" s="5">
        <v>5</v>
      </c>
      <c r="D21" s="5">
        <v>4</v>
      </c>
      <c r="E21" s="5">
        <v>7</v>
      </c>
      <c r="F21" s="5">
        <v>8</v>
      </c>
      <c r="S21" s="47">
        <f t="shared" si="0"/>
        <v>5.4</v>
      </c>
      <c r="T21" s="5">
        <f t="shared" si="1"/>
        <v>3</v>
      </c>
      <c r="U21" s="5">
        <f t="shared" si="2"/>
        <v>8</v>
      </c>
      <c r="V21" s="5">
        <f t="shared" si="3"/>
        <v>5</v>
      </c>
      <c r="W21" s="5" t="e">
        <f t="shared" si="4"/>
        <v>#REF!</v>
      </c>
      <c r="X21" s="5" t="e">
        <f>#REF!-B21</f>
        <v>#REF!</v>
      </c>
      <c r="Y21" s="5" t="e">
        <f>#REF!-B21</f>
        <v>#REF!</v>
      </c>
    </row>
    <row r="22" spans="1:25" s="5" customFormat="1" ht="14.1" customHeight="1" x14ac:dyDescent="0.15">
      <c r="A22" s="5" t="s">
        <v>29</v>
      </c>
      <c r="B22" s="5">
        <v>6</v>
      </c>
      <c r="C22" s="5">
        <v>4</v>
      </c>
      <c r="D22" s="5">
        <v>2</v>
      </c>
      <c r="E22" s="5">
        <v>1</v>
      </c>
      <c r="F22" s="5">
        <v>1</v>
      </c>
      <c r="S22" s="47">
        <f t="shared" si="0"/>
        <v>2.8</v>
      </c>
      <c r="T22" s="5">
        <f t="shared" si="1"/>
        <v>1</v>
      </c>
      <c r="U22" s="5">
        <f t="shared" si="2"/>
        <v>6</v>
      </c>
      <c r="V22" s="5">
        <f t="shared" si="3"/>
        <v>5</v>
      </c>
      <c r="W22" s="5" t="e">
        <f t="shared" si="4"/>
        <v>#REF!</v>
      </c>
      <c r="X22" s="5" t="e">
        <f>#REF!-B22</f>
        <v>#REF!</v>
      </c>
      <c r="Y22" s="5" t="e">
        <f>#REF!-B22</f>
        <v>#REF!</v>
      </c>
    </row>
    <row r="23" spans="1:25" s="5" customFormat="1" ht="14.1" customHeight="1" x14ac:dyDescent="0.15">
      <c r="A23" s="5" t="s">
        <v>97</v>
      </c>
      <c r="B23" s="5">
        <v>32</v>
      </c>
      <c r="C23" s="5">
        <v>32</v>
      </c>
      <c r="D23" s="5">
        <v>27</v>
      </c>
      <c r="E23" s="5">
        <v>31</v>
      </c>
      <c r="F23" s="5">
        <v>31</v>
      </c>
      <c r="S23" s="47">
        <f t="shared" si="0"/>
        <v>30.6</v>
      </c>
      <c r="T23" s="5">
        <f t="shared" si="1"/>
        <v>27</v>
      </c>
      <c r="U23" s="5">
        <f t="shared" si="2"/>
        <v>32</v>
      </c>
      <c r="V23" s="5">
        <f t="shared" si="3"/>
        <v>5</v>
      </c>
      <c r="W23" s="5" t="e">
        <f t="shared" si="4"/>
        <v>#REF!</v>
      </c>
      <c r="X23" s="5" t="e">
        <f>#REF!-B23</f>
        <v>#REF!</v>
      </c>
      <c r="Y23" s="5" t="e">
        <f>#REF!-B23</f>
        <v>#REF!</v>
      </c>
    </row>
    <row r="24" spans="1:25" s="5" customFormat="1" ht="14.1" customHeight="1" x14ac:dyDescent="0.15">
      <c r="A24" s="5" t="s">
        <v>87</v>
      </c>
      <c r="B24" s="5">
        <v>27</v>
      </c>
      <c r="C24" s="5">
        <v>30</v>
      </c>
      <c r="D24" s="5">
        <v>25</v>
      </c>
      <c r="E24" s="5">
        <v>29</v>
      </c>
      <c r="F24" s="5">
        <v>26</v>
      </c>
      <c r="S24" s="47">
        <f t="shared" si="0"/>
        <v>27.4</v>
      </c>
      <c r="T24" s="5">
        <f t="shared" si="1"/>
        <v>25</v>
      </c>
      <c r="U24" s="5">
        <f t="shared" si="2"/>
        <v>30</v>
      </c>
      <c r="V24" s="5">
        <f t="shared" si="3"/>
        <v>5</v>
      </c>
      <c r="W24" s="5" t="e">
        <f t="shared" si="4"/>
        <v>#REF!</v>
      </c>
      <c r="X24" s="5" t="e">
        <f>#REF!-B24</f>
        <v>#REF!</v>
      </c>
      <c r="Y24" s="5" t="e">
        <f>#REF!-B24</f>
        <v>#REF!</v>
      </c>
    </row>
    <row r="25" spans="1:25" s="5" customFormat="1" ht="14.1" customHeight="1" x14ac:dyDescent="0.15">
      <c r="A25" s="5" t="s">
        <v>93</v>
      </c>
      <c r="B25" s="5">
        <v>26</v>
      </c>
      <c r="C25" s="5">
        <v>25</v>
      </c>
      <c r="D25" s="5">
        <v>30</v>
      </c>
      <c r="E25" s="5">
        <v>27</v>
      </c>
      <c r="F25" s="5">
        <v>29</v>
      </c>
      <c r="S25" s="47">
        <f t="shared" si="0"/>
        <v>27.4</v>
      </c>
      <c r="T25" s="5">
        <f t="shared" si="1"/>
        <v>25</v>
      </c>
      <c r="U25" s="5">
        <f t="shared" si="2"/>
        <v>30</v>
      </c>
      <c r="V25" s="5">
        <f t="shared" si="3"/>
        <v>5</v>
      </c>
      <c r="W25" s="5" t="e">
        <f t="shared" si="4"/>
        <v>#REF!</v>
      </c>
      <c r="X25" s="5" t="e">
        <f>#REF!-B25</f>
        <v>#REF!</v>
      </c>
      <c r="Y25" s="5" t="e">
        <f>#REF!-B25</f>
        <v>#REF!</v>
      </c>
    </row>
    <row r="26" spans="1:25" s="5" customFormat="1" ht="14.1" customHeight="1" x14ac:dyDescent="0.15">
      <c r="A26" s="5" t="s">
        <v>46</v>
      </c>
      <c r="B26" s="5">
        <v>7</v>
      </c>
      <c r="C26" s="5">
        <v>12</v>
      </c>
      <c r="D26" s="5">
        <v>7</v>
      </c>
      <c r="E26" s="5">
        <v>9</v>
      </c>
      <c r="F26" s="5">
        <v>7</v>
      </c>
      <c r="S26" s="47">
        <f t="shared" si="0"/>
        <v>8.4</v>
      </c>
      <c r="T26" s="5">
        <f t="shared" si="1"/>
        <v>7</v>
      </c>
      <c r="U26" s="5">
        <f t="shared" si="2"/>
        <v>12</v>
      </c>
      <c r="V26" s="5">
        <f t="shared" si="3"/>
        <v>5</v>
      </c>
      <c r="W26" s="5" t="e">
        <f t="shared" si="4"/>
        <v>#REF!</v>
      </c>
      <c r="X26" s="5" t="e">
        <f>#REF!-B26</f>
        <v>#REF!</v>
      </c>
      <c r="Y26" s="5" t="e">
        <f>#REF!-B26</f>
        <v>#REF!</v>
      </c>
    </row>
    <row r="27" spans="1:25" s="5" customFormat="1" ht="14.1" customHeight="1" x14ac:dyDescent="0.15">
      <c r="A27" s="5" t="s">
        <v>52</v>
      </c>
      <c r="B27" s="5">
        <v>11</v>
      </c>
      <c r="C27" s="5">
        <v>8</v>
      </c>
      <c r="D27" s="5">
        <v>12</v>
      </c>
      <c r="E27" s="5">
        <v>11</v>
      </c>
      <c r="F27" s="5">
        <v>9</v>
      </c>
      <c r="S27" s="47">
        <f t="shared" si="0"/>
        <v>10.199999999999999</v>
      </c>
      <c r="T27" s="5">
        <f t="shared" si="1"/>
        <v>8</v>
      </c>
      <c r="U27" s="5">
        <f t="shared" si="2"/>
        <v>12</v>
      </c>
      <c r="V27" s="5">
        <f t="shared" si="3"/>
        <v>4</v>
      </c>
      <c r="W27" s="5" t="e">
        <f t="shared" si="4"/>
        <v>#REF!</v>
      </c>
      <c r="X27" s="5" t="e">
        <f>#REF!-B27</f>
        <v>#REF!</v>
      </c>
      <c r="Y27" s="5" t="e">
        <f>#REF!-B27</f>
        <v>#REF!</v>
      </c>
    </row>
    <row r="28" spans="1:25" s="5" customFormat="1" ht="14.1" customHeight="1" x14ac:dyDescent="0.15">
      <c r="A28" s="5" t="s">
        <v>56</v>
      </c>
      <c r="B28" s="5">
        <v>15</v>
      </c>
      <c r="C28" s="5">
        <v>14</v>
      </c>
      <c r="D28" s="5">
        <v>11</v>
      </c>
      <c r="E28" s="5">
        <v>13</v>
      </c>
      <c r="F28" s="5">
        <v>11</v>
      </c>
      <c r="S28" s="47">
        <f t="shared" si="0"/>
        <v>12.8</v>
      </c>
      <c r="T28" s="5">
        <f t="shared" si="1"/>
        <v>11</v>
      </c>
      <c r="U28" s="5">
        <f t="shared" si="2"/>
        <v>15</v>
      </c>
      <c r="V28" s="5">
        <f t="shared" si="3"/>
        <v>4</v>
      </c>
      <c r="W28" s="5" t="e">
        <f t="shared" si="4"/>
        <v>#REF!</v>
      </c>
      <c r="X28" s="5" t="e">
        <f>#REF!-B28</f>
        <v>#REF!</v>
      </c>
      <c r="Y28" s="5" t="e">
        <f>#REF!-B28</f>
        <v>#REF!</v>
      </c>
    </row>
    <row r="29" spans="1:25" s="5" customFormat="1" ht="14.1" customHeight="1" x14ac:dyDescent="0.15">
      <c r="A29" s="5" t="s">
        <v>38</v>
      </c>
      <c r="B29" s="5">
        <v>5</v>
      </c>
      <c r="C29" s="5">
        <v>2</v>
      </c>
      <c r="D29" s="5">
        <v>1</v>
      </c>
      <c r="E29" s="5">
        <v>4</v>
      </c>
      <c r="F29" s="5">
        <v>4</v>
      </c>
      <c r="S29" s="47">
        <f t="shared" si="0"/>
        <v>3.2</v>
      </c>
      <c r="T29" s="5">
        <f t="shared" si="1"/>
        <v>1</v>
      </c>
      <c r="U29" s="5">
        <f t="shared" si="2"/>
        <v>5</v>
      </c>
      <c r="V29" s="5">
        <f t="shared" si="3"/>
        <v>4</v>
      </c>
      <c r="W29" s="5" t="e">
        <f t="shared" si="4"/>
        <v>#REF!</v>
      </c>
      <c r="X29" s="5" t="e">
        <f>#REF!-B29</f>
        <v>#REF!</v>
      </c>
      <c r="Y29" s="5" t="e">
        <f>#REF!-B29</f>
        <v>#REF!</v>
      </c>
    </row>
    <row r="30" spans="1:25" s="5" customFormat="1" ht="14.1" customHeight="1" x14ac:dyDescent="0.15">
      <c r="A30" s="5" t="s">
        <v>79</v>
      </c>
      <c r="B30" s="5">
        <v>24</v>
      </c>
      <c r="C30" s="5">
        <v>21</v>
      </c>
      <c r="D30" s="5">
        <v>21</v>
      </c>
      <c r="E30" s="5">
        <v>20</v>
      </c>
      <c r="F30" s="5">
        <v>22</v>
      </c>
      <c r="S30" s="47">
        <f t="shared" si="0"/>
        <v>21.6</v>
      </c>
      <c r="T30" s="5">
        <f t="shared" si="1"/>
        <v>20</v>
      </c>
      <c r="U30" s="5">
        <f t="shared" si="2"/>
        <v>24</v>
      </c>
      <c r="V30" s="5">
        <f t="shared" si="3"/>
        <v>4</v>
      </c>
      <c r="W30" s="5" t="e">
        <f t="shared" si="4"/>
        <v>#REF!</v>
      </c>
      <c r="X30" s="5" t="e">
        <f>#REF!-B30</f>
        <v>#REF!</v>
      </c>
      <c r="Y30" s="5" t="e">
        <f>#REF!-B30</f>
        <v>#REF!</v>
      </c>
    </row>
    <row r="31" spans="1:25" s="5" customFormat="1" ht="14.1" customHeight="1" x14ac:dyDescent="0.15">
      <c r="A31" s="5" t="s">
        <v>35</v>
      </c>
      <c r="B31" s="5">
        <v>4</v>
      </c>
      <c r="C31" s="5">
        <v>3</v>
      </c>
      <c r="D31" s="5">
        <v>6</v>
      </c>
      <c r="E31" s="5">
        <v>3</v>
      </c>
      <c r="F31" s="5">
        <v>3</v>
      </c>
      <c r="S31" s="47">
        <f t="shared" si="0"/>
        <v>3.8</v>
      </c>
      <c r="T31" s="5">
        <f t="shared" si="1"/>
        <v>3</v>
      </c>
      <c r="U31" s="5">
        <f t="shared" si="2"/>
        <v>6</v>
      </c>
      <c r="V31" s="5">
        <f t="shared" si="3"/>
        <v>3</v>
      </c>
      <c r="W31" s="5" t="e">
        <f t="shared" si="4"/>
        <v>#REF!</v>
      </c>
      <c r="X31" s="5" t="e">
        <f>#REF!-B31</f>
        <v>#REF!</v>
      </c>
      <c r="Y31" s="5" t="e">
        <f>#REF!-B31</f>
        <v>#REF!</v>
      </c>
    </row>
    <row r="32" spans="1:25" s="5" customFormat="1" ht="14.1" customHeight="1" x14ac:dyDescent="0.15">
      <c r="A32" s="5" t="s">
        <v>95</v>
      </c>
      <c r="B32" s="5">
        <v>28</v>
      </c>
      <c r="C32" s="5">
        <v>29</v>
      </c>
      <c r="D32" s="5">
        <v>31</v>
      </c>
      <c r="E32" s="5">
        <v>30</v>
      </c>
      <c r="F32" s="5">
        <v>30</v>
      </c>
      <c r="S32" s="47">
        <f t="shared" si="0"/>
        <v>29.6</v>
      </c>
      <c r="T32" s="5">
        <f t="shared" si="1"/>
        <v>28</v>
      </c>
      <c r="U32" s="5">
        <f t="shared" si="2"/>
        <v>31</v>
      </c>
      <c r="V32" s="5">
        <f t="shared" si="3"/>
        <v>3</v>
      </c>
      <c r="W32" s="5" t="e">
        <f t="shared" si="4"/>
        <v>#REF!</v>
      </c>
      <c r="X32" s="5" t="e">
        <f>#REF!-B32</f>
        <v>#REF!</v>
      </c>
      <c r="Y32" s="5" t="e">
        <f>#REF!-B32</f>
        <v>#REF!</v>
      </c>
    </row>
    <row r="33" spans="1:25" s="5" customFormat="1" ht="14.1" customHeight="1" x14ac:dyDescent="0.15">
      <c r="A33" s="5" t="s">
        <v>99</v>
      </c>
      <c r="B33" s="5">
        <v>30</v>
      </c>
      <c r="C33" s="5">
        <v>31</v>
      </c>
      <c r="D33" s="5">
        <v>32</v>
      </c>
      <c r="E33" s="5">
        <v>32</v>
      </c>
      <c r="F33" s="5">
        <v>32</v>
      </c>
      <c r="S33" s="47">
        <f t="shared" si="0"/>
        <v>31.4</v>
      </c>
      <c r="T33" s="5">
        <f t="shared" si="1"/>
        <v>30</v>
      </c>
      <c r="U33" s="5">
        <f t="shared" si="2"/>
        <v>32</v>
      </c>
      <c r="V33" s="5">
        <f t="shared" si="3"/>
        <v>2</v>
      </c>
      <c r="W33" s="5" t="e">
        <f t="shared" si="4"/>
        <v>#REF!</v>
      </c>
      <c r="X33" s="5" t="e">
        <f>#REF!-B33</f>
        <v>#REF!</v>
      </c>
      <c r="Y33" s="5" t="e">
        <f>#REF!-B33</f>
        <v>#REF!</v>
      </c>
    </row>
    <row r="34" spans="1:25" x14ac:dyDescent="0.15">
      <c r="F34" s="5"/>
    </row>
  </sheetData>
  <autoFilter ref="A1:Y1">
    <sortState ref="A2:Y33">
      <sortCondition descending="1" ref="V1"/>
    </sortState>
  </autoFilter>
  <conditionalFormatting sqref="F3:F34 G3:M33 O2:R33 B2:M2 B3:E33">
    <cfRule type="cellIs" dxfId="2" priority="3" operator="equal">
      <formula>1</formula>
    </cfRule>
  </conditionalFormatting>
  <conditionalFormatting sqref="N13">
    <cfRule type="cellIs" dxfId="1" priority="2" operator="equal">
      <formula>1</formula>
    </cfRule>
  </conditionalFormatting>
  <conditionalFormatting sqref="N2">
    <cfRule type="cellIs" dxfId="0" priority="1" operator="equal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33"/>
  <sheetViews>
    <sheetView workbookViewId="0">
      <selection activeCell="G20" sqref="A1:XFD1048576"/>
    </sheetView>
  </sheetViews>
  <sheetFormatPr defaultColWidth="20.33203125" defaultRowHeight="10.5" x14ac:dyDescent="0.15"/>
  <cols>
    <col min="1" max="1" width="20.33203125" style="5"/>
    <col min="2" max="9" width="14.83203125" style="5" customWidth="1"/>
    <col min="10" max="10" width="18.5" style="5" customWidth="1"/>
    <col min="255" max="262" width="14.83203125" customWidth="1"/>
    <col min="263" max="263" width="12.33203125" customWidth="1"/>
    <col min="511" max="518" width="14.83203125" customWidth="1"/>
    <col min="519" max="519" width="12.33203125" customWidth="1"/>
    <col min="767" max="774" width="14.83203125" customWidth="1"/>
    <col min="775" max="775" width="12.33203125" customWidth="1"/>
    <col min="1023" max="1030" width="14.83203125" customWidth="1"/>
    <col min="1031" max="1031" width="12.33203125" customWidth="1"/>
    <col min="1279" max="1286" width="14.83203125" customWidth="1"/>
    <col min="1287" max="1287" width="12.33203125" customWidth="1"/>
    <col min="1535" max="1542" width="14.83203125" customWidth="1"/>
    <col min="1543" max="1543" width="12.33203125" customWidth="1"/>
    <col min="1791" max="1798" width="14.83203125" customWidth="1"/>
    <col min="1799" max="1799" width="12.33203125" customWidth="1"/>
    <col min="2047" max="2054" width="14.83203125" customWidth="1"/>
    <col min="2055" max="2055" width="12.33203125" customWidth="1"/>
    <col min="2303" max="2310" width="14.83203125" customWidth="1"/>
    <col min="2311" max="2311" width="12.33203125" customWidth="1"/>
    <col min="2559" max="2566" width="14.83203125" customWidth="1"/>
    <col min="2567" max="2567" width="12.33203125" customWidth="1"/>
    <col min="2815" max="2822" width="14.83203125" customWidth="1"/>
    <col min="2823" max="2823" width="12.33203125" customWidth="1"/>
    <col min="3071" max="3078" width="14.83203125" customWidth="1"/>
    <col min="3079" max="3079" width="12.33203125" customWidth="1"/>
    <col min="3327" max="3334" width="14.83203125" customWidth="1"/>
    <col min="3335" max="3335" width="12.33203125" customWidth="1"/>
    <col min="3583" max="3590" width="14.83203125" customWidth="1"/>
    <col min="3591" max="3591" width="12.33203125" customWidth="1"/>
    <col min="3839" max="3846" width="14.83203125" customWidth="1"/>
    <col min="3847" max="3847" width="12.33203125" customWidth="1"/>
    <col min="4095" max="4102" width="14.83203125" customWidth="1"/>
    <col min="4103" max="4103" width="12.33203125" customWidth="1"/>
    <col min="4351" max="4358" width="14.83203125" customWidth="1"/>
    <col min="4359" max="4359" width="12.33203125" customWidth="1"/>
    <col min="4607" max="4614" width="14.83203125" customWidth="1"/>
    <col min="4615" max="4615" width="12.33203125" customWidth="1"/>
    <col min="4863" max="4870" width="14.83203125" customWidth="1"/>
    <col min="4871" max="4871" width="12.33203125" customWidth="1"/>
    <col min="5119" max="5126" width="14.83203125" customWidth="1"/>
    <col min="5127" max="5127" width="12.33203125" customWidth="1"/>
    <col min="5375" max="5382" width="14.83203125" customWidth="1"/>
    <col min="5383" max="5383" width="12.33203125" customWidth="1"/>
    <col min="5631" max="5638" width="14.83203125" customWidth="1"/>
    <col min="5639" max="5639" width="12.33203125" customWidth="1"/>
    <col min="5887" max="5894" width="14.83203125" customWidth="1"/>
    <col min="5895" max="5895" width="12.33203125" customWidth="1"/>
    <col min="6143" max="6150" width="14.83203125" customWidth="1"/>
    <col min="6151" max="6151" width="12.33203125" customWidth="1"/>
    <col min="6399" max="6406" width="14.83203125" customWidth="1"/>
    <col min="6407" max="6407" width="12.33203125" customWidth="1"/>
    <col min="6655" max="6662" width="14.83203125" customWidth="1"/>
    <col min="6663" max="6663" width="12.33203125" customWidth="1"/>
    <col min="6911" max="6918" width="14.83203125" customWidth="1"/>
    <col min="6919" max="6919" width="12.33203125" customWidth="1"/>
    <col min="7167" max="7174" width="14.83203125" customWidth="1"/>
    <col min="7175" max="7175" width="12.33203125" customWidth="1"/>
    <col min="7423" max="7430" width="14.83203125" customWidth="1"/>
    <col min="7431" max="7431" width="12.33203125" customWidth="1"/>
    <col min="7679" max="7686" width="14.83203125" customWidth="1"/>
    <col min="7687" max="7687" width="12.33203125" customWidth="1"/>
    <col min="7935" max="7942" width="14.83203125" customWidth="1"/>
    <col min="7943" max="7943" width="12.33203125" customWidth="1"/>
    <col min="8191" max="8198" width="14.83203125" customWidth="1"/>
    <col min="8199" max="8199" width="12.33203125" customWidth="1"/>
    <col min="8447" max="8454" width="14.83203125" customWidth="1"/>
    <col min="8455" max="8455" width="12.33203125" customWidth="1"/>
    <col min="8703" max="8710" width="14.83203125" customWidth="1"/>
    <col min="8711" max="8711" width="12.33203125" customWidth="1"/>
    <col min="8959" max="8966" width="14.83203125" customWidth="1"/>
    <col min="8967" max="8967" width="12.33203125" customWidth="1"/>
    <col min="9215" max="9222" width="14.83203125" customWidth="1"/>
    <col min="9223" max="9223" width="12.33203125" customWidth="1"/>
    <col min="9471" max="9478" width="14.83203125" customWidth="1"/>
    <col min="9479" max="9479" width="12.33203125" customWidth="1"/>
    <col min="9727" max="9734" width="14.83203125" customWidth="1"/>
    <col min="9735" max="9735" width="12.33203125" customWidth="1"/>
    <col min="9983" max="9990" width="14.83203125" customWidth="1"/>
    <col min="9991" max="9991" width="12.33203125" customWidth="1"/>
    <col min="10239" max="10246" width="14.83203125" customWidth="1"/>
    <col min="10247" max="10247" width="12.33203125" customWidth="1"/>
    <col min="10495" max="10502" width="14.83203125" customWidth="1"/>
    <col min="10503" max="10503" width="12.33203125" customWidth="1"/>
    <col min="10751" max="10758" width="14.83203125" customWidth="1"/>
    <col min="10759" max="10759" width="12.33203125" customWidth="1"/>
    <col min="11007" max="11014" width="14.83203125" customWidth="1"/>
    <col min="11015" max="11015" width="12.33203125" customWidth="1"/>
    <col min="11263" max="11270" width="14.83203125" customWidth="1"/>
    <col min="11271" max="11271" width="12.33203125" customWidth="1"/>
    <col min="11519" max="11526" width="14.83203125" customWidth="1"/>
    <col min="11527" max="11527" width="12.33203125" customWidth="1"/>
    <col min="11775" max="11782" width="14.83203125" customWidth="1"/>
    <col min="11783" max="11783" width="12.33203125" customWidth="1"/>
    <col min="12031" max="12038" width="14.83203125" customWidth="1"/>
    <col min="12039" max="12039" width="12.33203125" customWidth="1"/>
    <col min="12287" max="12294" width="14.83203125" customWidth="1"/>
    <col min="12295" max="12295" width="12.33203125" customWidth="1"/>
    <col min="12543" max="12550" width="14.83203125" customWidth="1"/>
    <col min="12551" max="12551" width="12.33203125" customWidth="1"/>
    <col min="12799" max="12806" width="14.83203125" customWidth="1"/>
    <col min="12807" max="12807" width="12.33203125" customWidth="1"/>
    <col min="13055" max="13062" width="14.83203125" customWidth="1"/>
    <col min="13063" max="13063" width="12.33203125" customWidth="1"/>
    <col min="13311" max="13318" width="14.83203125" customWidth="1"/>
    <col min="13319" max="13319" width="12.33203125" customWidth="1"/>
    <col min="13567" max="13574" width="14.83203125" customWidth="1"/>
    <col min="13575" max="13575" width="12.33203125" customWidth="1"/>
    <col min="13823" max="13830" width="14.83203125" customWidth="1"/>
    <col min="13831" max="13831" width="12.33203125" customWidth="1"/>
    <col min="14079" max="14086" width="14.83203125" customWidth="1"/>
    <col min="14087" max="14087" width="12.33203125" customWidth="1"/>
    <col min="14335" max="14342" width="14.83203125" customWidth="1"/>
    <col min="14343" max="14343" width="12.33203125" customWidth="1"/>
    <col min="14591" max="14598" width="14.83203125" customWidth="1"/>
    <col min="14599" max="14599" width="12.33203125" customWidth="1"/>
    <col min="14847" max="14854" width="14.83203125" customWidth="1"/>
    <col min="14855" max="14855" width="12.33203125" customWidth="1"/>
    <col min="15103" max="15110" width="14.83203125" customWidth="1"/>
    <col min="15111" max="15111" width="12.33203125" customWidth="1"/>
    <col min="15359" max="15366" width="14.83203125" customWidth="1"/>
    <col min="15367" max="15367" width="12.33203125" customWidth="1"/>
    <col min="15615" max="15622" width="14.83203125" customWidth="1"/>
    <col min="15623" max="15623" width="12.33203125" customWidth="1"/>
    <col min="15871" max="15878" width="14.83203125" customWidth="1"/>
    <col min="15879" max="15879" width="12.33203125" customWidth="1"/>
    <col min="16127" max="16134" width="14.83203125" customWidth="1"/>
    <col min="16135" max="16135" width="12.33203125" customWidth="1"/>
  </cols>
  <sheetData>
    <row r="1" spans="1:31" s="50" customFormat="1" ht="48" customHeight="1" x14ac:dyDescent="0.15">
      <c r="A1" s="48" t="s">
        <v>264</v>
      </c>
      <c r="B1" s="48" t="s">
        <v>45</v>
      </c>
      <c r="C1" s="48" t="s">
        <v>37</v>
      </c>
      <c r="D1" s="48" t="s">
        <v>31</v>
      </c>
      <c r="E1" s="48" t="s">
        <v>58</v>
      </c>
      <c r="F1" s="48" t="s">
        <v>48</v>
      </c>
      <c r="G1" s="48" t="s">
        <v>51</v>
      </c>
      <c r="H1" s="48" t="s">
        <v>34</v>
      </c>
      <c r="I1" s="48" t="s">
        <v>40</v>
      </c>
      <c r="J1" s="49" t="s">
        <v>265</v>
      </c>
    </row>
    <row r="2" spans="1:31" ht="18" customHeight="1" x14ac:dyDescent="0.15">
      <c r="A2" s="5" t="s">
        <v>266</v>
      </c>
      <c r="B2" s="5">
        <v>18.75</v>
      </c>
      <c r="C2" s="5">
        <v>15.75</v>
      </c>
      <c r="D2" s="5">
        <v>22</v>
      </c>
      <c r="E2" s="5">
        <v>20.25</v>
      </c>
      <c r="F2" s="5">
        <v>13.75</v>
      </c>
      <c r="G2" s="5">
        <v>12.25</v>
      </c>
      <c r="H2" s="5">
        <v>19</v>
      </c>
      <c r="I2" s="5">
        <v>10.25</v>
      </c>
      <c r="J2" s="5">
        <v>16.5</v>
      </c>
      <c r="AE2">
        <v>0</v>
      </c>
    </row>
    <row r="3" spans="1:31" ht="18" customHeight="1" x14ac:dyDescent="0.15">
      <c r="A3" s="5" t="s">
        <v>267</v>
      </c>
      <c r="B3" s="5">
        <v>19</v>
      </c>
      <c r="C3" s="5">
        <v>15.25</v>
      </c>
      <c r="D3" s="5">
        <v>22</v>
      </c>
      <c r="E3" s="5">
        <v>20.25</v>
      </c>
      <c r="F3" s="5">
        <v>14.75</v>
      </c>
      <c r="G3" s="5">
        <v>12.75</v>
      </c>
      <c r="H3" s="5">
        <v>17.5</v>
      </c>
      <c r="I3" s="5">
        <v>10.5</v>
      </c>
      <c r="J3" s="5">
        <v>16.5</v>
      </c>
      <c r="AE3">
        <v>0</v>
      </c>
    </row>
    <row r="4" spans="1:31" ht="18" customHeight="1" x14ac:dyDescent="0.15">
      <c r="A4" s="5" t="s">
        <v>268</v>
      </c>
      <c r="B4" s="5">
        <v>20.25</v>
      </c>
      <c r="C4" s="5">
        <v>15.75</v>
      </c>
      <c r="D4" s="5">
        <v>22.25</v>
      </c>
      <c r="E4" s="5">
        <v>20.25</v>
      </c>
      <c r="F4" s="5">
        <v>11.25</v>
      </c>
      <c r="G4" s="5">
        <v>12.25</v>
      </c>
      <c r="H4" s="5">
        <v>17.5</v>
      </c>
      <c r="I4" s="5">
        <v>12.5</v>
      </c>
      <c r="J4" s="5">
        <v>16.5</v>
      </c>
      <c r="AE4">
        <v>0</v>
      </c>
    </row>
    <row r="5" spans="1:31" ht="18" customHeight="1" x14ac:dyDescent="0.15">
      <c r="A5" s="5" t="s">
        <v>269</v>
      </c>
      <c r="B5" s="5">
        <v>20</v>
      </c>
      <c r="C5" s="5">
        <v>16</v>
      </c>
      <c r="D5" s="5">
        <v>19.75</v>
      </c>
      <c r="E5" s="5">
        <v>21</v>
      </c>
      <c r="F5" s="5">
        <v>12.25</v>
      </c>
      <c r="G5" s="5">
        <v>13.25</v>
      </c>
      <c r="H5" s="5">
        <v>19</v>
      </c>
      <c r="I5" s="5">
        <v>10.75</v>
      </c>
      <c r="J5" s="5">
        <v>16.5</v>
      </c>
      <c r="AE5">
        <v>0</v>
      </c>
    </row>
    <row r="6" spans="1:31" ht="18" customHeight="1" x14ac:dyDescent="0.15">
      <c r="A6" s="5" t="s">
        <v>270</v>
      </c>
      <c r="B6" s="5">
        <v>18.5</v>
      </c>
      <c r="C6" s="5">
        <v>16</v>
      </c>
      <c r="D6" s="5">
        <v>21.75</v>
      </c>
      <c r="E6" s="5">
        <v>18.25</v>
      </c>
      <c r="F6" s="5">
        <v>11.25</v>
      </c>
      <c r="G6" s="5">
        <v>14.25</v>
      </c>
      <c r="H6" s="5">
        <v>20</v>
      </c>
      <c r="I6" s="5">
        <v>12</v>
      </c>
      <c r="J6" s="5">
        <v>16.5</v>
      </c>
      <c r="AE6">
        <v>0</v>
      </c>
    </row>
    <row r="7" spans="1:31" x14ac:dyDescent="0.15">
      <c r="AE7">
        <v>0</v>
      </c>
    </row>
    <row r="8" spans="1:31" x14ac:dyDescent="0.15">
      <c r="A8" s="5" t="s">
        <v>8</v>
      </c>
      <c r="B8" s="9">
        <v>19.3</v>
      </c>
      <c r="C8" s="9">
        <v>15.75</v>
      </c>
      <c r="D8" s="9">
        <v>21.55</v>
      </c>
      <c r="E8" s="9">
        <v>20</v>
      </c>
      <c r="F8" s="9">
        <v>12.65</v>
      </c>
      <c r="G8" s="9">
        <v>12.95</v>
      </c>
      <c r="H8" s="9">
        <v>18.600000000000001</v>
      </c>
      <c r="I8" s="9">
        <v>11.2</v>
      </c>
      <c r="AE8">
        <v>0</v>
      </c>
    </row>
    <row r="9" spans="1:31" x14ac:dyDescent="0.15">
      <c r="A9" s="5" t="s">
        <v>0</v>
      </c>
      <c r="B9" s="5">
        <v>6</v>
      </c>
      <c r="C9" s="5">
        <v>4</v>
      </c>
      <c r="D9" s="5">
        <v>8</v>
      </c>
      <c r="E9" s="5">
        <v>7</v>
      </c>
      <c r="F9" s="5">
        <v>2</v>
      </c>
      <c r="G9" s="5">
        <v>3</v>
      </c>
      <c r="H9" s="5">
        <v>5</v>
      </c>
      <c r="I9" s="5">
        <v>1</v>
      </c>
    </row>
    <row r="32" spans="1:1" x14ac:dyDescent="0.15">
      <c r="A32" s="51"/>
    </row>
    <row r="33" spans="1:1" x14ac:dyDescent="0.15">
      <c r="A33" s="51"/>
    </row>
  </sheetData>
  <autoFilter ref="A1:J1">
    <sortState ref="A2:J5">
      <sortCondition ref="A1"/>
    </sortState>
  </autoFilter>
  <conditionalFormatting sqref="B2:B6">
    <cfRule type="colorScale" priority="16">
      <colorScale>
        <cfvo type="min"/>
        <cfvo type="max"/>
        <color rgb="FFFFEF9C"/>
        <color rgb="FFFF7128"/>
      </colorScale>
    </cfRule>
  </conditionalFormatting>
  <conditionalFormatting sqref="C2:C6">
    <cfRule type="colorScale" priority="15">
      <colorScale>
        <cfvo type="min"/>
        <cfvo type="max"/>
        <color rgb="FFFFEF9C"/>
        <color rgb="FFFF7128"/>
      </colorScale>
    </cfRule>
  </conditionalFormatting>
  <conditionalFormatting sqref="D2:D6">
    <cfRule type="colorScale" priority="14">
      <colorScale>
        <cfvo type="min"/>
        <cfvo type="max"/>
        <color rgb="FFFFEF9C"/>
        <color rgb="FFFF7128"/>
      </colorScale>
    </cfRule>
  </conditionalFormatting>
  <conditionalFormatting sqref="E2:E6">
    <cfRule type="colorScale" priority="13">
      <colorScale>
        <cfvo type="min"/>
        <cfvo type="max"/>
        <color rgb="FFFFEF9C"/>
        <color rgb="FFFF7128"/>
      </colorScale>
    </cfRule>
  </conditionalFormatting>
  <conditionalFormatting sqref="F2:F6">
    <cfRule type="colorScale" priority="12">
      <colorScale>
        <cfvo type="min"/>
        <cfvo type="max"/>
        <color rgb="FFFFEF9C"/>
        <color rgb="FFFF7128"/>
      </colorScale>
    </cfRule>
  </conditionalFormatting>
  <conditionalFormatting sqref="G2:G6">
    <cfRule type="colorScale" priority="11">
      <colorScale>
        <cfvo type="min"/>
        <cfvo type="max"/>
        <color rgb="FFFFEF9C"/>
        <color rgb="FFFF7128"/>
      </colorScale>
    </cfRule>
  </conditionalFormatting>
  <conditionalFormatting sqref="H2:H6">
    <cfRule type="colorScale" priority="10">
      <colorScale>
        <cfvo type="min"/>
        <cfvo type="max"/>
        <color rgb="FFFFEF9C"/>
        <color rgb="FFFF7128"/>
      </colorScale>
    </cfRule>
  </conditionalFormatting>
  <conditionalFormatting sqref="I2:I6">
    <cfRule type="colorScale" priority="9">
      <colorScale>
        <cfvo type="min"/>
        <cfvo type="max"/>
        <color rgb="FFFFEF9C"/>
        <color rgb="FFFF7128"/>
      </colorScale>
    </cfRule>
  </conditionalFormatting>
  <conditionalFormatting sqref="B17:B20">
    <cfRule type="colorScale" priority="8">
      <colorScale>
        <cfvo type="min"/>
        <cfvo type="max"/>
        <color rgb="FFFFEF9C"/>
        <color rgb="FFFF7128"/>
      </colorScale>
    </cfRule>
  </conditionalFormatting>
  <conditionalFormatting sqref="C17:C20">
    <cfRule type="colorScale" priority="7">
      <colorScale>
        <cfvo type="min"/>
        <cfvo type="max"/>
        <color rgb="FFFFEF9C"/>
        <color rgb="FFFF7128"/>
      </colorScale>
    </cfRule>
  </conditionalFormatting>
  <conditionalFormatting sqref="D17:D20">
    <cfRule type="colorScale" priority="6">
      <colorScale>
        <cfvo type="min"/>
        <cfvo type="max"/>
        <color rgb="FFFFEF9C"/>
        <color rgb="FFFF7128"/>
      </colorScale>
    </cfRule>
  </conditionalFormatting>
  <conditionalFormatting sqref="E17:E20">
    <cfRule type="colorScale" priority="5">
      <colorScale>
        <cfvo type="min"/>
        <cfvo type="max"/>
        <color rgb="FFFFEF9C"/>
        <color rgb="FFFF7128"/>
      </colorScale>
    </cfRule>
  </conditionalFormatting>
  <conditionalFormatting sqref="F17:F20">
    <cfRule type="colorScale" priority="4">
      <colorScale>
        <cfvo type="min"/>
        <cfvo type="max"/>
        <color rgb="FFFFEF9C"/>
        <color rgb="FFFF7128"/>
      </colorScale>
    </cfRule>
  </conditionalFormatting>
  <conditionalFormatting sqref="G17:G20">
    <cfRule type="colorScale" priority="3">
      <colorScale>
        <cfvo type="min"/>
        <cfvo type="max"/>
        <color rgb="FFFFEF9C"/>
        <color rgb="FFFF7128"/>
      </colorScale>
    </cfRule>
  </conditionalFormatting>
  <conditionalFormatting sqref="H17:H20">
    <cfRule type="colorScale" priority="2">
      <colorScale>
        <cfvo type="min"/>
        <cfvo type="max"/>
        <color rgb="FFFFEF9C"/>
        <color rgb="FFFF7128"/>
      </colorScale>
    </cfRule>
  </conditionalFormatting>
  <conditionalFormatting sqref="I17:I20">
    <cfRule type="colorScale" priority="1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33"/>
  <sheetViews>
    <sheetView workbookViewId="0">
      <pane xSplit="1" topLeftCell="B1" activePane="topRight" state="frozen"/>
      <selection activeCell="G20" sqref="G20"/>
      <selection pane="topRight" activeCell="G20" sqref="G20"/>
    </sheetView>
  </sheetViews>
  <sheetFormatPr defaultRowHeight="10.5" x14ac:dyDescent="0.15"/>
  <cols>
    <col min="1" max="1" width="32.1640625" style="29" customWidth="1"/>
    <col min="2" max="2" width="9.33203125" style="52"/>
    <col min="3" max="258" width="9.33203125" style="29"/>
    <col min="259" max="259" width="32.1640625" style="29" customWidth="1"/>
    <col min="260" max="514" width="9.33203125" style="29"/>
    <col min="515" max="515" width="32.1640625" style="29" customWidth="1"/>
    <col min="516" max="770" width="9.33203125" style="29"/>
    <col min="771" max="771" width="32.1640625" style="29" customWidth="1"/>
    <col min="772" max="1026" width="9.33203125" style="29"/>
    <col min="1027" max="1027" width="32.1640625" style="29" customWidth="1"/>
    <col min="1028" max="1282" width="9.33203125" style="29"/>
    <col min="1283" max="1283" width="32.1640625" style="29" customWidth="1"/>
    <col min="1284" max="1538" width="9.33203125" style="29"/>
    <col min="1539" max="1539" width="32.1640625" style="29" customWidth="1"/>
    <col min="1540" max="1794" width="9.33203125" style="29"/>
    <col min="1795" max="1795" width="32.1640625" style="29" customWidth="1"/>
    <col min="1796" max="2050" width="9.33203125" style="29"/>
    <col min="2051" max="2051" width="32.1640625" style="29" customWidth="1"/>
    <col min="2052" max="2306" width="9.33203125" style="29"/>
    <col min="2307" max="2307" width="32.1640625" style="29" customWidth="1"/>
    <col min="2308" max="2562" width="9.33203125" style="29"/>
    <col min="2563" max="2563" width="32.1640625" style="29" customWidth="1"/>
    <col min="2564" max="2818" width="9.33203125" style="29"/>
    <col min="2819" max="2819" width="32.1640625" style="29" customWidth="1"/>
    <col min="2820" max="3074" width="9.33203125" style="29"/>
    <col min="3075" max="3075" width="32.1640625" style="29" customWidth="1"/>
    <col min="3076" max="3330" width="9.33203125" style="29"/>
    <col min="3331" max="3331" width="32.1640625" style="29" customWidth="1"/>
    <col min="3332" max="3586" width="9.33203125" style="29"/>
    <col min="3587" max="3587" width="32.1640625" style="29" customWidth="1"/>
    <col min="3588" max="3842" width="9.33203125" style="29"/>
    <col min="3843" max="3843" width="32.1640625" style="29" customWidth="1"/>
    <col min="3844" max="4098" width="9.33203125" style="29"/>
    <col min="4099" max="4099" width="32.1640625" style="29" customWidth="1"/>
    <col min="4100" max="4354" width="9.33203125" style="29"/>
    <col min="4355" max="4355" width="32.1640625" style="29" customWidth="1"/>
    <col min="4356" max="4610" width="9.33203125" style="29"/>
    <col min="4611" max="4611" width="32.1640625" style="29" customWidth="1"/>
    <col min="4612" max="4866" width="9.33203125" style="29"/>
    <col min="4867" max="4867" width="32.1640625" style="29" customWidth="1"/>
    <col min="4868" max="5122" width="9.33203125" style="29"/>
    <col min="5123" max="5123" width="32.1640625" style="29" customWidth="1"/>
    <col min="5124" max="5378" width="9.33203125" style="29"/>
    <col min="5379" max="5379" width="32.1640625" style="29" customWidth="1"/>
    <col min="5380" max="5634" width="9.33203125" style="29"/>
    <col min="5635" max="5635" width="32.1640625" style="29" customWidth="1"/>
    <col min="5636" max="5890" width="9.33203125" style="29"/>
    <col min="5891" max="5891" width="32.1640625" style="29" customWidth="1"/>
    <col min="5892" max="6146" width="9.33203125" style="29"/>
    <col min="6147" max="6147" width="32.1640625" style="29" customWidth="1"/>
    <col min="6148" max="6402" width="9.33203125" style="29"/>
    <col min="6403" max="6403" width="32.1640625" style="29" customWidth="1"/>
    <col min="6404" max="6658" width="9.33203125" style="29"/>
    <col min="6659" max="6659" width="32.1640625" style="29" customWidth="1"/>
    <col min="6660" max="6914" width="9.33203125" style="29"/>
    <col min="6915" max="6915" width="32.1640625" style="29" customWidth="1"/>
    <col min="6916" max="7170" width="9.33203125" style="29"/>
    <col min="7171" max="7171" width="32.1640625" style="29" customWidth="1"/>
    <col min="7172" max="7426" width="9.33203125" style="29"/>
    <col min="7427" max="7427" width="32.1640625" style="29" customWidth="1"/>
    <col min="7428" max="7682" width="9.33203125" style="29"/>
    <col min="7683" max="7683" width="32.1640625" style="29" customWidth="1"/>
    <col min="7684" max="7938" width="9.33203125" style="29"/>
    <col min="7939" max="7939" width="32.1640625" style="29" customWidth="1"/>
    <col min="7940" max="8194" width="9.33203125" style="29"/>
    <col min="8195" max="8195" width="32.1640625" style="29" customWidth="1"/>
    <col min="8196" max="8450" width="9.33203125" style="29"/>
    <col min="8451" max="8451" width="32.1640625" style="29" customWidth="1"/>
    <col min="8452" max="8706" width="9.33203125" style="29"/>
    <col min="8707" max="8707" width="32.1640625" style="29" customWidth="1"/>
    <col min="8708" max="8962" width="9.33203125" style="29"/>
    <col min="8963" max="8963" width="32.1640625" style="29" customWidth="1"/>
    <col min="8964" max="9218" width="9.33203125" style="29"/>
    <col min="9219" max="9219" width="32.1640625" style="29" customWidth="1"/>
    <col min="9220" max="9474" width="9.33203125" style="29"/>
    <col min="9475" max="9475" width="32.1640625" style="29" customWidth="1"/>
    <col min="9476" max="9730" width="9.33203125" style="29"/>
    <col min="9731" max="9731" width="32.1640625" style="29" customWidth="1"/>
    <col min="9732" max="9986" width="9.33203125" style="29"/>
    <col min="9987" max="9987" width="32.1640625" style="29" customWidth="1"/>
    <col min="9988" max="10242" width="9.33203125" style="29"/>
    <col min="10243" max="10243" width="32.1640625" style="29" customWidth="1"/>
    <col min="10244" max="10498" width="9.33203125" style="29"/>
    <col min="10499" max="10499" width="32.1640625" style="29" customWidth="1"/>
    <col min="10500" max="10754" width="9.33203125" style="29"/>
    <col min="10755" max="10755" width="32.1640625" style="29" customWidth="1"/>
    <col min="10756" max="11010" width="9.33203125" style="29"/>
    <col min="11011" max="11011" width="32.1640625" style="29" customWidth="1"/>
    <col min="11012" max="11266" width="9.33203125" style="29"/>
    <col min="11267" max="11267" width="32.1640625" style="29" customWidth="1"/>
    <col min="11268" max="11522" width="9.33203125" style="29"/>
    <col min="11523" max="11523" width="32.1640625" style="29" customWidth="1"/>
    <col min="11524" max="11778" width="9.33203125" style="29"/>
    <col min="11779" max="11779" width="32.1640625" style="29" customWidth="1"/>
    <col min="11780" max="12034" width="9.33203125" style="29"/>
    <col min="12035" max="12035" width="32.1640625" style="29" customWidth="1"/>
    <col min="12036" max="12290" width="9.33203125" style="29"/>
    <col min="12291" max="12291" width="32.1640625" style="29" customWidth="1"/>
    <col min="12292" max="12546" width="9.33203125" style="29"/>
    <col min="12547" max="12547" width="32.1640625" style="29" customWidth="1"/>
    <col min="12548" max="12802" width="9.33203125" style="29"/>
    <col min="12803" max="12803" width="32.1640625" style="29" customWidth="1"/>
    <col min="12804" max="13058" width="9.33203125" style="29"/>
    <col min="13059" max="13059" width="32.1640625" style="29" customWidth="1"/>
    <col min="13060" max="13314" width="9.33203125" style="29"/>
    <col min="13315" max="13315" width="32.1640625" style="29" customWidth="1"/>
    <col min="13316" max="13570" width="9.33203125" style="29"/>
    <col min="13571" max="13571" width="32.1640625" style="29" customWidth="1"/>
    <col min="13572" max="13826" width="9.33203125" style="29"/>
    <col min="13827" max="13827" width="32.1640625" style="29" customWidth="1"/>
    <col min="13828" max="14082" width="9.33203125" style="29"/>
    <col min="14083" max="14083" width="32.1640625" style="29" customWidth="1"/>
    <col min="14084" max="14338" width="9.33203125" style="29"/>
    <col min="14339" max="14339" width="32.1640625" style="29" customWidth="1"/>
    <col min="14340" max="14594" width="9.33203125" style="29"/>
    <col min="14595" max="14595" width="32.1640625" style="29" customWidth="1"/>
    <col min="14596" max="14850" width="9.33203125" style="29"/>
    <col min="14851" max="14851" width="32.1640625" style="29" customWidth="1"/>
    <col min="14852" max="15106" width="9.33203125" style="29"/>
    <col min="15107" max="15107" width="32.1640625" style="29" customWidth="1"/>
    <col min="15108" max="15362" width="9.33203125" style="29"/>
    <col min="15363" max="15363" width="32.1640625" style="29" customWidth="1"/>
    <col min="15364" max="15618" width="9.33203125" style="29"/>
    <col min="15619" max="15619" width="32.1640625" style="29" customWidth="1"/>
    <col min="15620" max="15874" width="9.33203125" style="29"/>
    <col min="15875" max="15875" width="32.1640625" style="29" customWidth="1"/>
    <col min="15876" max="16130" width="9.33203125" style="29"/>
    <col min="16131" max="16131" width="32.1640625" style="29" customWidth="1"/>
    <col min="16132" max="16384" width="9.33203125" style="29"/>
  </cols>
  <sheetData>
    <row r="1" spans="1:23" ht="54.95" customHeight="1" x14ac:dyDescent="0.15">
      <c r="A1" s="5" t="s">
        <v>1</v>
      </c>
      <c r="B1" s="52" t="s">
        <v>271</v>
      </c>
      <c r="C1" s="5" t="s">
        <v>193</v>
      </c>
      <c r="D1" s="5" t="s">
        <v>193</v>
      </c>
      <c r="E1" s="5" t="s">
        <v>193</v>
      </c>
      <c r="F1" s="5" t="s">
        <v>193</v>
      </c>
      <c r="G1" s="5" t="s">
        <v>193</v>
      </c>
      <c r="H1" s="5" t="s">
        <v>193</v>
      </c>
      <c r="I1" s="5" t="s">
        <v>193</v>
      </c>
      <c r="J1" s="5" t="s">
        <v>193</v>
      </c>
      <c r="K1" s="5" t="s">
        <v>193</v>
      </c>
      <c r="L1" s="5" t="s">
        <v>193</v>
      </c>
      <c r="M1" s="5" t="s">
        <v>193</v>
      </c>
      <c r="N1" s="5" t="s">
        <v>193</v>
      </c>
      <c r="O1" s="5" t="s">
        <v>193</v>
      </c>
      <c r="P1" s="5" t="s">
        <v>193</v>
      </c>
      <c r="Q1" s="5" t="s">
        <v>193</v>
      </c>
      <c r="R1" s="5" t="s">
        <v>193</v>
      </c>
      <c r="S1" s="5" t="s">
        <v>193</v>
      </c>
      <c r="T1" s="5" t="s">
        <v>272</v>
      </c>
      <c r="U1" s="5" t="s">
        <v>273</v>
      </c>
      <c r="V1" s="5" t="s">
        <v>274</v>
      </c>
      <c r="W1" s="5" t="s">
        <v>275</v>
      </c>
    </row>
    <row r="2" spans="1:23" ht="15.95" customHeight="1" x14ac:dyDescent="0.15">
      <c r="A2" s="5" t="s">
        <v>217</v>
      </c>
      <c r="B2" s="52" t="s">
        <v>42</v>
      </c>
      <c r="C2" s="5" t="s">
        <v>70</v>
      </c>
      <c r="D2" s="5" t="s">
        <v>44</v>
      </c>
      <c r="E2" s="5" t="s">
        <v>47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>
        <f t="shared" ref="T2:T33" si="0">COUNTIF(C2:S2,"&gt;0'")</f>
        <v>3</v>
      </c>
      <c r="U2" s="5"/>
      <c r="V2" s="5"/>
      <c r="W2" s="5"/>
    </row>
    <row r="3" spans="1:23" ht="15.95" customHeight="1" x14ac:dyDescent="0.15">
      <c r="A3" s="5" t="s">
        <v>203</v>
      </c>
      <c r="B3" s="52" t="s">
        <v>33</v>
      </c>
      <c r="C3" s="5" t="s">
        <v>90</v>
      </c>
      <c r="D3" s="5" t="s">
        <v>62</v>
      </c>
      <c r="E3" s="5" t="s">
        <v>57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>
        <f t="shared" si="0"/>
        <v>3</v>
      </c>
      <c r="U3" s="5"/>
      <c r="V3" s="5"/>
      <c r="W3" s="5"/>
    </row>
    <row r="4" spans="1:23" ht="15.95" customHeight="1" x14ac:dyDescent="0.15">
      <c r="A4" s="5" t="s">
        <v>207</v>
      </c>
      <c r="B4" s="52" t="s">
        <v>36</v>
      </c>
      <c r="C4" s="5" t="s">
        <v>60</v>
      </c>
      <c r="D4" s="5"/>
      <c r="E4" s="5" t="s">
        <v>44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f t="shared" si="0"/>
        <v>2</v>
      </c>
      <c r="U4" s="5"/>
      <c r="V4" s="5"/>
      <c r="W4" s="5"/>
    </row>
    <row r="5" spans="1:23" ht="15.95" customHeight="1" x14ac:dyDescent="0.15">
      <c r="A5" s="5" t="s">
        <v>245</v>
      </c>
      <c r="B5" s="52" t="s">
        <v>78</v>
      </c>
      <c r="C5" s="5"/>
      <c r="D5" s="5" t="s">
        <v>90</v>
      </c>
      <c r="E5" s="5" t="s">
        <v>100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f t="shared" si="0"/>
        <v>2</v>
      </c>
      <c r="U5" s="5"/>
      <c r="V5" s="5"/>
      <c r="W5" s="5"/>
    </row>
    <row r="6" spans="1:23" ht="15.95" customHeight="1" x14ac:dyDescent="0.15">
      <c r="A6" s="5" t="s">
        <v>248</v>
      </c>
      <c r="B6" s="52" t="s">
        <v>84</v>
      </c>
      <c r="C6" s="5"/>
      <c r="D6" s="5" t="s">
        <v>92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f t="shared" si="0"/>
        <v>1</v>
      </c>
      <c r="U6" s="5"/>
      <c r="V6" s="5"/>
      <c r="W6" s="5"/>
    </row>
    <row r="7" spans="1:23" ht="15.95" customHeight="1" x14ac:dyDescent="0.15">
      <c r="A7" s="5" t="s">
        <v>226</v>
      </c>
      <c r="B7" s="52" t="s">
        <v>53</v>
      </c>
      <c r="C7" s="5" t="s">
        <v>98</v>
      </c>
      <c r="D7" s="5"/>
      <c r="E7" s="5" t="s">
        <v>74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f t="shared" si="0"/>
        <v>2</v>
      </c>
      <c r="U7" s="5"/>
      <c r="V7" s="5"/>
      <c r="W7" s="5"/>
    </row>
    <row r="8" spans="1:23" ht="15.95" customHeight="1" x14ac:dyDescent="0.15">
      <c r="A8" s="5" t="s">
        <v>232</v>
      </c>
      <c r="B8" s="52" t="s">
        <v>60</v>
      </c>
      <c r="C8" s="5"/>
      <c r="D8" s="5" t="s">
        <v>100</v>
      </c>
      <c r="E8" s="5" t="s">
        <v>72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f t="shared" si="0"/>
        <v>2</v>
      </c>
      <c r="U8" s="5"/>
      <c r="V8" s="5"/>
      <c r="W8" s="5"/>
    </row>
    <row r="9" spans="1:23" ht="15.95" customHeight="1" x14ac:dyDescent="0.15">
      <c r="A9" s="5" t="s">
        <v>260</v>
      </c>
      <c r="B9" s="52" t="s">
        <v>100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f t="shared" si="0"/>
        <v>0</v>
      </c>
      <c r="U9" s="5"/>
      <c r="V9" s="5"/>
      <c r="W9" s="5"/>
    </row>
    <row r="10" spans="1:23" ht="15.95" customHeight="1" x14ac:dyDescent="0.15">
      <c r="A10" s="5" t="s">
        <v>236</v>
      </c>
      <c r="B10" s="52" t="s">
        <v>66</v>
      </c>
      <c r="C10" s="5" t="s">
        <v>55</v>
      </c>
      <c r="D10" s="5"/>
      <c r="E10" s="5" t="s">
        <v>80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f t="shared" si="0"/>
        <v>2</v>
      </c>
      <c r="U10" s="5"/>
      <c r="V10" s="5"/>
      <c r="W10" s="5"/>
    </row>
    <row r="11" spans="1:23" ht="15.95" customHeight="1" x14ac:dyDescent="0.15">
      <c r="A11" s="5" t="s">
        <v>234</v>
      </c>
      <c r="B11" s="52" t="s">
        <v>62</v>
      </c>
      <c r="C11" s="5" t="s">
        <v>68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f t="shared" si="0"/>
        <v>1</v>
      </c>
      <c r="U11" s="5"/>
      <c r="V11" s="5"/>
      <c r="W11" s="5"/>
    </row>
    <row r="12" spans="1:23" ht="15.95" customHeight="1" x14ac:dyDescent="0.15">
      <c r="A12" s="5" t="s">
        <v>242</v>
      </c>
      <c r="B12" s="52" t="s">
        <v>76</v>
      </c>
      <c r="C12" s="5" t="s">
        <v>74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f t="shared" si="0"/>
        <v>1</v>
      </c>
      <c r="U12" s="5"/>
      <c r="V12" s="5"/>
      <c r="W12" s="5"/>
    </row>
    <row r="13" spans="1:23" ht="15.95" customHeight="1" x14ac:dyDescent="0.15">
      <c r="A13" s="5" t="s">
        <v>224</v>
      </c>
      <c r="B13" s="52" t="s">
        <v>50</v>
      </c>
      <c r="C13" s="5"/>
      <c r="D13" s="5" t="s">
        <v>53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f t="shared" si="0"/>
        <v>1</v>
      </c>
      <c r="U13" s="5"/>
      <c r="V13" s="5"/>
      <c r="W13" s="5"/>
    </row>
    <row r="14" spans="1:23" ht="15.95" customHeight="1" x14ac:dyDescent="0.15">
      <c r="A14" s="5" t="s">
        <v>196</v>
      </c>
      <c r="B14" s="52" t="s">
        <v>30</v>
      </c>
      <c r="C14" s="5" t="s">
        <v>88</v>
      </c>
      <c r="D14" s="5" t="s">
        <v>96</v>
      </c>
      <c r="E14" s="5" t="s">
        <v>62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f t="shared" si="0"/>
        <v>3</v>
      </c>
      <c r="U14" s="5"/>
      <c r="V14" s="5"/>
      <c r="W14" s="5"/>
    </row>
    <row r="15" spans="1:23" ht="15.95" customHeight="1" x14ac:dyDescent="0.15">
      <c r="A15" s="5" t="s">
        <v>259</v>
      </c>
      <c r="B15" s="52" t="s">
        <v>98</v>
      </c>
      <c r="C15" s="5"/>
      <c r="D15" s="5" t="s">
        <v>64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f t="shared" si="0"/>
        <v>1</v>
      </c>
      <c r="U15" s="5"/>
      <c r="V15" s="5"/>
      <c r="W15" s="5"/>
    </row>
    <row r="16" spans="1:23" ht="15.95" customHeight="1" x14ac:dyDescent="0.15">
      <c r="A16" s="5" t="s">
        <v>258</v>
      </c>
      <c r="B16" s="52" t="s">
        <v>96</v>
      </c>
      <c r="C16" s="5"/>
      <c r="D16" s="5"/>
      <c r="E16" s="5" t="s">
        <v>98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f t="shared" si="0"/>
        <v>1</v>
      </c>
      <c r="U16" s="5"/>
      <c r="V16" s="5"/>
      <c r="W16" s="5"/>
    </row>
    <row r="17" spans="1:23" ht="15.95" customHeight="1" x14ac:dyDescent="0.15">
      <c r="A17" s="5" t="s">
        <v>253</v>
      </c>
      <c r="B17" s="52" t="s">
        <v>90</v>
      </c>
      <c r="C17" s="5"/>
      <c r="D17" s="5"/>
      <c r="E17" s="5" t="s">
        <v>92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f t="shared" si="0"/>
        <v>1</v>
      </c>
      <c r="U17" s="5"/>
      <c r="V17" s="5"/>
      <c r="W17" s="5"/>
    </row>
    <row r="18" spans="1:23" ht="15.95" customHeight="1" x14ac:dyDescent="0.15">
      <c r="A18" s="5" t="s">
        <v>252</v>
      </c>
      <c r="B18" s="52" t="s">
        <v>88</v>
      </c>
      <c r="C18" s="5"/>
      <c r="D18" s="5" t="s">
        <v>94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f t="shared" si="0"/>
        <v>1</v>
      </c>
      <c r="U18" s="5"/>
      <c r="V18" s="5"/>
      <c r="W18" s="5"/>
    </row>
    <row r="19" spans="1:23" ht="15.95" customHeight="1" x14ac:dyDescent="0.15">
      <c r="A19" s="5" t="s">
        <v>235</v>
      </c>
      <c r="B19" s="52" t="s">
        <v>64</v>
      </c>
      <c r="C19" s="5" t="s">
        <v>96</v>
      </c>
      <c r="D19" s="5"/>
      <c r="E19" s="5" t="s">
        <v>39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f t="shared" si="0"/>
        <v>2</v>
      </c>
      <c r="U19" s="5"/>
      <c r="V19" s="5"/>
      <c r="W19" s="5"/>
    </row>
    <row r="20" spans="1:23" ht="15.95" customHeight="1" x14ac:dyDescent="0.15">
      <c r="A20" s="5" t="s">
        <v>218</v>
      </c>
      <c r="B20" s="52" t="s">
        <v>44</v>
      </c>
      <c r="C20" s="5" t="s">
        <v>86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f t="shared" si="0"/>
        <v>1</v>
      </c>
      <c r="U20" s="5"/>
      <c r="V20" s="5"/>
      <c r="W20" s="5"/>
    </row>
    <row r="21" spans="1:23" ht="15.95" customHeight="1" x14ac:dyDescent="0.15">
      <c r="A21" s="5" t="s">
        <v>254</v>
      </c>
      <c r="B21" s="52" t="s">
        <v>92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f t="shared" si="0"/>
        <v>0</v>
      </c>
      <c r="U21" s="5"/>
      <c r="V21" s="5"/>
      <c r="W21" s="5"/>
    </row>
    <row r="22" spans="1:23" ht="15.95" customHeight="1" x14ac:dyDescent="0.15">
      <c r="A22" s="5" t="s">
        <v>227</v>
      </c>
      <c r="B22" s="52" t="s">
        <v>55</v>
      </c>
      <c r="C22" s="5"/>
      <c r="D22" s="5" t="s">
        <v>80</v>
      </c>
      <c r="E22" s="5" t="s">
        <v>84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f t="shared" si="0"/>
        <v>2</v>
      </c>
      <c r="U22" s="5"/>
      <c r="V22" s="5"/>
      <c r="W22" s="5"/>
    </row>
    <row r="23" spans="1:23" ht="15.95" customHeight="1" x14ac:dyDescent="0.15">
      <c r="A23" s="5" t="s">
        <v>247</v>
      </c>
      <c r="B23" s="52" t="s">
        <v>82</v>
      </c>
      <c r="C23" s="5" t="s">
        <v>78</v>
      </c>
      <c r="D23" s="5"/>
      <c r="E23" s="5" t="s">
        <v>88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f t="shared" si="0"/>
        <v>2</v>
      </c>
      <c r="U23" s="5"/>
      <c r="V23" s="5"/>
      <c r="W23" s="5"/>
    </row>
    <row r="24" spans="1:23" ht="15.95" customHeight="1" x14ac:dyDescent="0.15">
      <c r="A24" s="5" t="s">
        <v>257</v>
      </c>
      <c r="B24" s="52" t="s">
        <v>94</v>
      </c>
      <c r="C24" s="5"/>
      <c r="D24" s="5"/>
      <c r="E24" s="5" t="s">
        <v>68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f t="shared" si="0"/>
        <v>1</v>
      </c>
      <c r="U24" s="5"/>
      <c r="V24" s="5"/>
      <c r="W24" s="5"/>
    </row>
    <row r="25" spans="1:23" ht="15.95" customHeight="1" x14ac:dyDescent="0.15">
      <c r="A25" s="5" t="s">
        <v>221</v>
      </c>
      <c r="B25" s="52" t="s">
        <v>47</v>
      </c>
      <c r="C25" s="5" t="s">
        <v>100</v>
      </c>
      <c r="D25" s="5" t="s">
        <v>36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f t="shared" si="0"/>
        <v>2</v>
      </c>
      <c r="U25" s="5"/>
      <c r="V25" s="5"/>
      <c r="W25" s="5"/>
    </row>
    <row r="26" spans="1:23" ht="15.95" customHeight="1" x14ac:dyDescent="0.15">
      <c r="A26" s="5" t="s">
        <v>237</v>
      </c>
      <c r="B26" s="52" t="s">
        <v>68</v>
      </c>
      <c r="C26" s="5"/>
      <c r="D26" s="5" t="s">
        <v>82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f t="shared" si="0"/>
        <v>1</v>
      </c>
      <c r="U26" s="5"/>
      <c r="V26" s="5"/>
      <c r="W26" s="5"/>
    </row>
    <row r="27" spans="1:23" ht="15.95" customHeight="1" x14ac:dyDescent="0.15">
      <c r="A27" s="5" t="s">
        <v>230</v>
      </c>
      <c r="B27" s="52" t="s">
        <v>57</v>
      </c>
      <c r="C27" s="5" t="s">
        <v>94</v>
      </c>
      <c r="D27" s="5" t="s">
        <v>86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f t="shared" si="0"/>
        <v>2</v>
      </c>
      <c r="U27" s="5"/>
      <c r="V27" s="5"/>
      <c r="W27" s="5"/>
    </row>
    <row r="28" spans="1:23" ht="15.95" customHeight="1" x14ac:dyDescent="0.15">
      <c r="A28" s="5" t="s">
        <v>213</v>
      </c>
      <c r="B28" s="52" t="s">
        <v>39</v>
      </c>
      <c r="C28" s="5" t="s">
        <v>50</v>
      </c>
      <c r="D28" s="5" t="s">
        <v>76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f t="shared" si="0"/>
        <v>2</v>
      </c>
      <c r="U28" s="5"/>
      <c r="V28" s="5"/>
      <c r="W28" s="5"/>
    </row>
    <row r="29" spans="1:23" ht="15.95" customHeight="1" x14ac:dyDescent="0.15">
      <c r="A29" s="5" t="s">
        <v>239</v>
      </c>
      <c r="B29" s="52" t="s">
        <v>70</v>
      </c>
      <c r="C29" s="5"/>
      <c r="D29" s="5" t="s">
        <v>66</v>
      </c>
      <c r="E29" s="5" t="s">
        <v>50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f t="shared" si="0"/>
        <v>2</v>
      </c>
      <c r="U29" s="5"/>
      <c r="V29" s="5"/>
      <c r="W29" s="5"/>
    </row>
    <row r="30" spans="1:23" ht="15.95" customHeight="1" x14ac:dyDescent="0.15">
      <c r="A30" s="5" t="s">
        <v>241</v>
      </c>
      <c r="B30" s="52" t="s">
        <v>74</v>
      </c>
      <c r="C30" s="5"/>
      <c r="D30" s="5" t="s">
        <v>72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f t="shared" si="0"/>
        <v>1</v>
      </c>
      <c r="U30" s="5"/>
      <c r="V30" s="5"/>
      <c r="W30" s="5"/>
    </row>
    <row r="31" spans="1:23" ht="15.95" customHeight="1" x14ac:dyDescent="0.15">
      <c r="A31" s="5" t="s">
        <v>246</v>
      </c>
      <c r="B31" s="52" t="s">
        <v>80</v>
      </c>
      <c r="C31" s="5" t="s">
        <v>84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f t="shared" si="0"/>
        <v>1</v>
      </c>
      <c r="U31" s="5"/>
      <c r="V31" s="5"/>
      <c r="W31" s="5"/>
    </row>
    <row r="32" spans="1:23" ht="15.95" customHeight="1" x14ac:dyDescent="0.15">
      <c r="A32" s="5" t="s">
        <v>250</v>
      </c>
      <c r="B32" s="52" t="s">
        <v>86</v>
      </c>
      <c r="C32" s="5"/>
      <c r="D32" s="5"/>
      <c r="E32" s="5" t="s">
        <v>76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f t="shared" si="0"/>
        <v>1</v>
      </c>
      <c r="U32" s="5"/>
      <c r="V32" s="5"/>
      <c r="W32" s="5"/>
    </row>
    <row r="33" spans="1:23" ht="15.95" customHeight="1" x14ac:dyDescent="0.15">
      <c r="A33" s="5" t="s">
        <v>240</v>
      </c>
      <c r="B33" s="52" t="s">
        <v>72</v>
      </c>
      <c r="C33" s="5" t="s">
        <v>92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f t="shared" si="0"/>
        <v>1</v>
      </c>
      <c r="U33" s="5"/>
      <c r="V33" s="5"/>
      <c r="W33" s="5"/>
    </row>
  </sheetData>
  <autoFilter ref="A1:W1">
    <sortState ref="A2:W3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power</vt:lpstr>
      <vt:lpstr>Sando</vt:lpstr>
      <vt:lpstr>Clayton</vt:lpstr>
      <vt:lpstr>Graziano</vt:lpstr>
      <vt:lpstr>Hensley</vt:lpstr>
      <vt:lpstr>Fox</vt:lpstr>
      <vt:lpstr>powerflaws</vt:lpstr>
      <vt:lpstr>Power by Week</vt:lpstr>
      <vt:lpstr>divisions</vt:lpstr>
      <vt:lpstr>howfared</vt:lpstr>
      <vt:lpstr>powerflaws!standings?category_league_season_2008_REG_split_Overall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2012-10-02T14:15:46Z</dcterms:created>
  <dcterms:modified xsi:type="dcterms:W3CDTF">2012-10-02T15:28:12Z</dcterms:modified>
</cp:coreProperties>
</file>