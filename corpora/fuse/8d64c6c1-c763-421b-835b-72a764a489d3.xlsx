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<sst xmlns="http://schemas.openxmlformats.org/spreadsheetml/2006/main" count="503" uniqueCount="400">
  <si>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</si>
  <si>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</si>
  <si>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</si>
  <si>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</si>
  <si>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</si>
  <si>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</si>
  <si>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</si>
  <si>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</si>
  <si>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</si>
  <si>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</si>
  <si>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</si>
  <si>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</si>
  <si>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</si>
  <si>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</si>
  <si>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</si>
  <si>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</si>
  <si>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</si>
  <si>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</si>
  <si>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</si>
  <si>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</si>
  <si>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</si>
  <si>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</si>
  <si>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</si>
  <si>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</si>
  <si>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</si>
  <si>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</si>
  <si>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</si>
  <si>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</si>
  <si>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</si>
  <si>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</si>
  <si>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</si>
  <si>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</si>
  <si>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</si>
  <si>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</si>
  <si>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</si>
  <si>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</si>
  <si>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</si>
  <si>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</si>
  <si>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</si>
  <si>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</si>
  <si>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</si>
  <si>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</si>
  <si>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</si>
  <si>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</si>
  <si>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</si>
  <si>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</si>
  <si>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</si>
  <si>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</si>
  <si>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</si>
  <si>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</si>
  <si>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</si>
  <si>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</si>
  <si>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</si>
  <si>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</si>
  <si>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</si>
  <si>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</si>
  <si>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</si>
  <si>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</si>
  <si>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</si>
  <si>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</si>
  <si>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</si>
  <si>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</si>
  <si>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</si>
  <si>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</si>
  <si>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</si>
  <si>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</si>
  <si>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</si>
  <si>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</si>
  <si>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</si>
  <si>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</si>
  <si>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</si>
  <si>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</si>
  <si>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</si>
  <si>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</si>
  <si>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</si>
  <si>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</si>
  <si>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</si>
  <si>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</si>
  <si>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</si>
  <si>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</si>
  <si>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</si>
  <si>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</si>
  <si>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</si>
  <si>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</si>
  <si>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</si>
  <si>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</si>
  <si>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</si>
  <si>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</si>
  <si>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</si>
  <si>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</si>
  <si>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</si>
  <si>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</si>
  <si>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</si>
  <si>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</si>
  <si>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</si>
  <si>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</si>
  <si>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</si>
  <si>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</si>
  <si>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</si>
  <si>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</si>
  <si>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</si>
  <si>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</si>
  <si>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</si>
  <si>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</si>
  <si>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</si>
  <si>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</si>
  <si>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</si>
  <si>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</si>
  <si>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</si>
  <si>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</si>
  <si>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</si>
  <si>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</si>
  <si>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</si>
  <si>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</si>
  <si>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</si>
  <si>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</si>
  <si>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</si>
  <si>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</si>
  <si>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</si>
  <si>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</si>
  <si>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</si>
  <si>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</si>
  <si>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</si>
  <si>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</si>
  <si>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</si>
  <si>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</si>
  <si>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</si>
  <si>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</si>
  <si>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</si>
  <si>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</si>
  <si>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</si>
  <si>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</si>
  <si>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</si>
  <si>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</si>
  <si>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</si>
  <si>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</si>
  <si>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</si>
  <si>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</si>
  <si>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</si>
  <si>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</si>
  <si>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</si>
  <si>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</si>
  <si>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</si>
  <si>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</si>
  <si>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</si>
  <si>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</si>
  <si>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</si>
  <si>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</si>
  <si>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</si>
  <si>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</si>
  <si>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</si>
  <si>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</si>
  <si>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</si>
  <si>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</si>
  <si>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</si>
  <si>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</si>
  <si>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</si>
  <si>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</si>
  <si>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</si>
  <si>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</si>
  <si>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</si>
  <si>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</si>
  <si>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</si>
  <si>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</si>
  <si>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</si>
  <si>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</si>
  <si>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</si>
  <si>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</si>
  <si>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</si>
  <si>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</si>
  <si>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</si>
  <si>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</si>
  <si>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</si>
  <si>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</si>
  <si>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</si>
  <si>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</si>
  <si>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</si>
  <si>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</si>
  <si>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</si>
  <si>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</si>
  <si>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</si>
  <si>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</si>
  <si>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</si>
  <si>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</si>
  <si>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</si>
  <si>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</si>
  <si>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</si>
  <si>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</si>
  <si>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</si>
  <si>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</si>
  <si>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</si>
  <si>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</si>
  <si>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</si>
  <si>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</si>
  <si>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</si>
  <si>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</si>
  <si>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</si>
  <si>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</si>
  <si>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</si>
  <si>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</si>
  <si>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</si>
  <si>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</si>
  <si>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</si>
  <si>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</si>
  <si>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</si>
  <si>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</si>
  <si>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</si>
  <si>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</si>
  <si>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</si>
  <si>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</si>
  <si>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</si>
  <si>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</si>
  <si>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</si>
  <si>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</si>
  <si>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</si>
  <si>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</si>
  <si>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</si>
  <si>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</si>
  <si>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</si>
  <si>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</si>
  <si>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</si>
  <si>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</si>
  <si>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</si>
  <si>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</si>
  <si>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</si>
  <si>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</si>
  <si>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</si>
  <si>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</si>
  <si>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</si>
  <si>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</si>
  <si>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</si>
  <si>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</si>
  <si>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</si>
  <si>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</si>
  <si>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</si>
  <si>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</si>
  <si>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</si>
  <si>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</si>
  <si>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</si>
  <si>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</si>
  <si>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</si>
  <si>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</si>
  <si>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</si>
  <si>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</si>
  <si>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</si>
  <si>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</si>
  <si>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</si>
  <si>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</si>
  <si>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</si>
  <si>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</si>
  <si>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</si>
  <si>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</si>
  <si>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</si>
  <si>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</si>
  <si>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</si>
  <si>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</si>
  <si>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</si>
  <si>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</si>
  <si>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</si>
  <si>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</si>
  <si>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</si>
  <si>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</si>
  <si>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</si>
  <si>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</si>
  <si>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</si>
  <si>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</si>
  <si>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</si>
  <si>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</si>
  <si>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</si>
  <si>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</si>
  <si>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</si>
  <si>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</si>
  <si>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</si>
  <si>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</si>
  <si>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</si>
  <si>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</si>
  <si>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</si>
  <si>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</si>
  <si>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</si>
  <si>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</si>
  <si>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</si>
  <si>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</si>
  <si>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</si>
  <si>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</si>
  <si>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</si>
  <si>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</si>
  <si>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</si>
  <si>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</si>
  <si>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</si>
  <si>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</si>
  <si>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</si>
  <si>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</si>
  <si>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</si>
  <si>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</si>
  <si>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</si>
  <si>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</si>
  <si>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</si>
  <si>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</si>
  <si>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</si>
  <si>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</si>
  <si>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</si>
  <si>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</si>
  <si>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</si>
  <si>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</si>
  <si>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</si>
  <si>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</si>
  <si>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</si>
  <si>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</si>
  <si>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</si>
  <si>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</si>
  <si>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</si>
  <si>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</si>
  <si>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</si>
  <si>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</si>
  <si>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</si>
  <si>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</si>
  <si>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</si>
  <si>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</si>
  <si>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</si>
  <si>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</si>
  <si>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</si>
  <si>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</si>
  <si>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</si>
  <si>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</si>
  <si>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</si>
  <si>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</si>
  <si>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</si>
  <si>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</si>
  <si>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</si>
  <si>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</si>
  <si>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</si>
  <si>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</si>
  <si>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</si>
  <si>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</si>
  <si>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</si>
  <si>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</si>
  <si>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</si>
  <si>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</si>
  <si>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</si>
  <si>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</si>
  <si>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</si>
  <si>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</si>
  <si>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</si>
  <si>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</si>
  <si>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</si>
  <si>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</si>
  <si>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</si>
  <si>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</si>
  <si>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</si>
  <si>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</si>
  <si>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</si>
  <si>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</si>
  <si>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</si>
  <si>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</si>
  <si>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</si>
  <si>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</si>
  <si>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</si>
  <si>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</si>
  <si>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</si>
  <si>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</si>
  <si>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</si>
  <si>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</si>
  <si>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</si>
  <si>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</si>
  <si>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</si>
  <si>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</si>
  <si>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</si>
  <si>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</si>
  <si>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</si>
  <si>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</si>
  <si>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</si>
  <si>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</si>
  <si>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</si>
  <si>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</si>
  <si>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</si>
  <si>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</si>
  <si>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</si>
  <si>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</si>
  <si>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</si>
  <si>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</si>
  <si>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</si>
  <si>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</si>
  <si>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</si>
  <si>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</si>
  <si>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</si>
  <si>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</si>
  <si>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</si>
  <si>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</si>
  <si>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</si>
  <si>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</si>
  <si>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</si>
  <si>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</si>
  <si>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</si>
  <si>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</si>
  <si>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</si>
  <si>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WQ0019754</t>
  </si>
  <si>
    <t>LUCK STONE - PITTSBORO PLANT</t>
  </si>
  <si>
    <t>Monthly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</si>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</sst>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S11" sqref="S1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395</v>
      </c>
      <c r="D1" s="112"/>
      <c r="E1" s="113" t="s">
        <v>62</v>
      </c>
      <c r="F1" s="114"/>
      <c r="G1" s="111" t="s">
        <v>396</v>
      </c>
      <c r="H1" s="115"/>
      <c r="I1" s="115"/>
      <c r="J1" s="115"/>
      <c r="K1" s="116"/>
      <c r="L1" s="12" t="s">
        <v>65</v>
      </c>
      <c r="M1" s="117" t="s">
        <v>105</v>
      </c>
      <c r="N1" s="90"/>
      <c r="O1" s="12" t="s">
        <v>63</v>
      </c>
      <c r="P1" s="89"/>
      <c r="Q1" s="90"/>
      <c r="R1" s="13" t="s">
        <v>64</v>
      </c>
      <c r="S1" s="25">
        <v>2012</v>
      </c>
      <c r="T1" s="3"/>
    </row>
    <row r="2" spans="1:20" ht="22.5" customHeight="1" thickBot="1">
      <c r="A2" s="91" t="s">
        <v>67</v>
      </c>
      <c r="B2" s="92"/>
      <c r="C2" s="14"/>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t="s">
        <v>16</v>
      </c>
      <c r="F3" s="46" t="s">
        <v>27</v>
      </c>
      <c r="G3" s="18" t="s">
        <v>48</v>
      </c>
      <c r="H3" s="46" t="s">
        <v>34</v>
      </c>
      <c r="I3" s="18" t="s">
        <v>24</v>
      </c>
      <c r="J3" s="46" t="s">
        <v>33</v>
      </c>
      <c r="K3" s="18" t="s">
        <v>44</v>
      </c>
      <c r="L3" s="46" t="s">
        <v>45</v>
      </c>
      <c r="M3" s="18"/>
      <c r="N3" s="46"/>
      <c r="O3" s="18"/>
      <c r="P3" s="46"/>
      <c r="Q3" s="18"/>
      <c r="R3" s="46"/>
      <c r="S3" s="28"/>
    </row>
    <row r="4" spans="1:20" ht="71.25" customHeight="1">
      <c r="A4" s="96"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Ammonia</v>
      </c>
      <c r="H4" s="48" t="str">
        <f>IF(ISBLANK(H$3), " ", VLOOKUP(H$3,'PCS Parameter Codes'!$A$1:$D$76,2,FALSE))</f>
        <v>Total Kjeldahl Nitrogen</v>
      </c>
      <c r="I4" s="47" t="str">
        <f>IF(ISBLANK(I$3), " ", VLOOKUP(I$3,'PCS Parameter Codes'!$A$1:$D$76,2,FALSE))</f>
        <v>Nitrate</v>
      </c>
      <c r="J4" s="48" t="str">
        <f>IF(ISBLANK(J$3), " ", VLOOKUP(J$3,'PCS Parameter Codes'!$A$1:$D$76,2,FALSE))</f>
        <v>pH</v>
      </c>
      <c r="K4" s="47" t="str">
        <f>IF(ISBLANK(K$3), " ", VLOOKUP(K$3,'PCS Parameter Codes'!$A$1:$D$76,2,FALSE))</f>
        <v>Total Phosphorus</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362</v>
      </c>
      <c r="B40" s="102"/>
      <c r="C40" s="103"/>
      <c r="D40" s="64" t="s">
        <v>365</v>
      </c>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98" t="s">
        <v>373</v>
      </c>
      <c r="B41" s="99"/>
      <c r="C41" s="100"/>
      <c r="D41" s="65">
        <v>600</v>
      </c>
      <c r="E41" s="6">
        <v>30</v>
      </c>
      <c r="F41" s="63">
        <v>200</v>
      </c>
      <c r="G41" s="6">
        <v>15</v>
      </c>
      <c r="H41" s="63"/>
      <c r="I41" s="6"/>
      <c r="J41" s="63"/>
      <c r="K41" s="6"/>
      <c r="L41" s="63">
        <v>30</v>
      </c>
      <c r="M41" s="6"/>
      <c r="N41" s="63"/>
      <c r="O41" s="6"/>
      <c r="P41" s="63"/>
      <c r="Q41" s="6"/>
      <c r="R41" s="63"/>
      <c r="S41" s="54"/>
    </row>
    <row r="42" spans="1:19" ht="15" customHeight="1">
      <c r="A42" s="78" t="s">
        <v>374</v>
      </c>
      <c r="B42" s="81"/>
      <c r="C42" s="82"/>
      <c r="D42" s="65"/>
      <c r="E42" s="6"/>
      <c r="F42" s="63"/>
      <c r="G42" s="6"/>
      <c r="H42" s="63"/>
      <c r="I42" s="6"/>
      <c r="J42" s="63"/>
      <c r="K42" s="6"/>
      <c r="L42" s="63"/>
      <c r="M42" s="6"/>
      <c r="N42" s="63"/>
      <c r="O42" s="6"/>
      <c r="P42" s="63"/>
      <c r="Q42" s="6"/>
      <c r="R42" s="63"/>
      <c r="S42" s="54"/>
    </row>
    <row r="43" spans="1:19" ht="15" customHeight="1">
      <c r="A43" s="78" t="s">
        <v>375</v>
      </c>
      <c r="B43" s="79"/>
      <c r="C43" s="80"/>
      <c r="D43" s="66" t="s">
        <v>397</v>
      </c>
      <c r="E43" s="67" t="s">
        <v>398</v>
      </c>
      <c r="F43" s="68" t="s">
        <v>398</v>
      </c>
      <c r="G43" s="67" t="s">
        <v>398</v>
      </c>
      <c r="H43" s="68" t="s">
        <v>398</v>
      </c>
      <c r="I43" s="67" t="s">
        <v>398</v>
      </c>
      <c r="J43" s="68" t="s">
        <v>399</v>
      </c>
      <c r="K43" s="67" t="s">
        <v>398</v>
      </c>
      <c r="L43" s="68" t="s">
        <v>398</v>
      </c>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2"/>
      <c r="E10" s="135"/>
      <c r="F10" s="135"/>
      <c r="G10" s="135"/>
      <c r="H10" s="135"/>
      <c r="I10" s="135"/>
      <c r="J10" s="157"/>
      <c r="K10" s="158" t="s">
        <v>216</v>
      </c>
      <c r="L10" s="156"/>
      <c r="M10" s="159"/>
      <c r="N10" s="135"/>
      <c r="O10" s="135"/>
      <c r="P10" s="135"/>
      <c r="Q10" s="135"/>
      <c r="R10" s="135"/>
      <c r="S10" s="136"/>
    </row>
    <row r="11" spans="1:20" ht="30.75" customHeight="1">
      <c r="A11" s="155" t="s">
        <v>221</v>
      </c>
      <c r="B11" s="156"/>
      <c r="C11" s="132"/>
      <c r="D11" s="132"/>
      <c r="E11" s="160" t="s">
        <v>78</v>
      </c>
      <c r="F11" s="156"/>
      <c r="G11" s="132"/>
      <c r="H11" s="135"/>
      <c r="I11" s="135"/>
      <c r="J11" s="157"/>
      <c r="K11" s="158" t="s">
        <v>217</v>
      </c>
      <c r="L11" s="156"/>
      <c r="M11" s="156"/>
      <c r="N11" s="159"/>
      <c r="O11" s="135"/>
      <c r="P11" s="135"/>
      <c r="Q11" s="135"/>
      <c r="R11" s="135"/>
      <c r="S11" s="136"/>
    </row>
    <row r="12" spans="1:20" ht="30.75" customHeight="1">
      <c r="A12" s="161" t="s">
        <v>222</v>
      </c>
      <c r="B12" s="162"/>
      <c r="C12" s="162"/>
      <c r="D12" s="162"/>
      <c r="E12" s="162"/>
      <c r="F12" s="162"/>
      <c r="G12" s="162"/>
      <c r="H12" s="162"/>
      <c r="I12" s="162"/>
      <c r="J12" s="163"/>
      <c r="K12" s="158" t="s">
        <v>218</v>
      </c>
      <c r="L12" s="156"/>
      <c r="M12" s="132"/>
      <c r="N12" s="135"/>
      <c r="O12" s="135"/>
      <c r="P12" s="164" t="s">
        <v>361</v>
      </c>
      <c r="Q12" s="156"/>
      <c r="R12" s="165"/>
      <c r="S12" s="166"/>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2012-05-07T17:18:33Z</cp:lastPrinted>
  <dcterms:created xsi:type="dcterms:W3CDTF">2003-04-30T19:20:22Z</dcterms:created>
  <dcterms:modified xsi:type="dcterms:W3CDTF">2012-05-07T17:18:37Z</dcterms:modified>
</cp:coreProperties>
</file>