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55" yWindow="405" windowWidth="14445" windowHeight="11760"/>
  </bookViews>
  <sheets>
    <sheet name="Table 1" sheetId="6" r:id="rId1"/>
  </sheets>
  <calcPr calcId="125725"/>
</workbook>
</file>

<file path=xl/calcChain.xml><?xml version="1.0" encoding="utf-8"?>
<calcChain xmlns="http://schemas.openxmlformats.org/spreadsheetml/2006/main">
  <c r="U37" i="6"/>
  <c r="T37"/>
  <c r="S37"/>
  <c r="R37"/>
  <c r="Q37"/>
  <c r="P37"/>
  <c r="O37"/>
  <c r="N37"/>
  <c r="M37"/>
  <c r="U33"/>
  <c r="T33"/>
  <c r="S33"/>
  <c r="R33"/>
  <c r="Q33"/>
  <c r="P33"/>
  <c r="O33"/>
  <c r="N33"/>
  <c r="M33"/>
  <c r="U32"/>
  <c r="T32"/>
  <c r="S32"/>
  <c r="R32"/>
  <c r="Q32"/>
  <c r="P32"/>
  <c r="O32"/>
  <c r="N32"/>
  <c r="M32"/>
  <c r="U31"/>
  <c r="T31"/>
  <c r="S31"/>
  <c r="R31"/>
  <c r="Q31"/>
  <c r="P31"/>
  <c r="O31"/>
  <c r="N31"/>
  <c r="M31"/>
  <c r="I25"/>
  <c r="I37" s="1"/>
  <c r="H25"/>
  <c r="H37" s="1"/>
  <c r="G25"/>
  <c r="G37" s="1"/>
  <c r="L25"/>
  <c r="L37" s="1"/>
  <c r="K25"/>
  <c r="K37" s="1"/>
  <c r="J25"/>
  <c r="J37" s="1"/>
  <c r="F25"/>
  <c r="F37" s="1"/>
  <c r="E25"/>
  <c r="E37" s="1"/>
  <c r="D25"/>
  <c r="D37" s="1"/>
  <c r="C25"/>
  <c r="C37" s="1"/>
  <c r="B25"/>
  <c r="B37" s="1"/>
  <c r="I12"/>
  <c r="H12"/>
  <c r="G12"/>
  <c r="L12"/>
  <c r="K12"/>
  <c r="J12"/>
  <c r="F12"/>
  <c r="E12"/>
  <c r="D12"/>
  <c r="C12"/>
  <c r="B12"/>
  <c r="O35" l="1"/>
  <c r="S35"/>
  <c r="N35"/>
  <c r="R35"/>
  <c r="M35"/>
  <c r="Q35"/>
  <c r="U35"/>
  <c r="P35"/>
  <c r="T35"/>
</calcChain>
</file>

<file path=xl/sharedStrings.xml><?xml version="1.0" encoding="utf-8"?>
<sst xmlns="http://schemas.openxmlformats.org/spreadsheetml/2006/main" count="169" uniqueCount="64">
  <si>
    <t>Borehole</t>
  </si>
  <si>
    <t xml:space="preserve">SiO2    </t>
  </si>
  <si>
    <t xml:space="preserve">TiO2    </t>
  </si>
  <si>
    <t xml:space="preserve">Al2O3   </t>
  </si>
  <si>
    <t xml:space="preserve">Cr2O3   </t>
  </si>
  <si>
    <t>Fe2O3</t>
  </si>
  <si>
    <t xml:space="preserve">FeO     </t>
  </si>
  <si>
    <t>FeOT</t>
  </si>
  <si>
    <t xml:space="preserve">MnO     </t>
  </si>
  <si>
    <t xml:space="preserve">MgO     </t>
  </si>
  <si>
    <t xml:space="preserve">CaO     </t>
  </si>
  <si>
    <t xml:space="preserve">NiO     </t>
  </si>
  <si>
    <t>Sum Ox%</t>
  </si>
  <si>
    <t xml:space="preserve">Si      </t>
  </si>
  <si>
    <t xml:space="preserve">Ti      </t>
  </si>
  <si>
    <t>Al total</t>
  </si>
  <si>
    <t xml:space="preserve">Cr      </t>
  </si>
  <si>
    <t xml:space="preserve">Fe3    </t>
  </si>
  <si>
    <t>Fe2</t>
  </si>
  <si>
    <t>FeT</t>
  </si>
  <si>
    <t xml:space="preserve">Mn </t>
  </si>
  <si>
    <t xml:space="preserve">Mg      </t>
  </si>
  <si>
    <t xml:space="preserve">Ca      </t>
  </si>
  <si>
    <t xml:space="preserve">Ni      </t>
  </si>
  <si>
    <t>%Tephroite</t>
  </si>
  <si>
    <t>%Forsterite</t>
  </si>
  <si>
    <t>%Fayalite</t>
  </si>
  <si>
    <t>Ca-Ol</t>
  </si>
  <si>
    <t>Total</t>
  </si>
  <si>
    <t>mg #</t>
  </si>
  <si>
    <t>33/35</t>
  </si>
  <si>
    <t xml:space="preserve">506.3-I-Ol-2 </t>
  </si>
  <si>
    <t xml:space="preserve">506.3-I-Ol-5 </t>
  </si>
  <si>
    <t xml:space="preserve">506.3-I-Ol-6 </t>
  </si>
  <si>
    <t xml:space="preserve">506.3-I-Ol-7 </t>
  </si>
  <si>
    <t xml:space="preserve">506.3-I-Ol-8 </t>
  </si>
  <si>
    <t>2A</t>
  </si>
  <si>
    <t>2B</t>
  </si>
  <si>
    <t>(wt.%)</t>
  </si>
  <si>
    <t>(apfu)</t>
  </si>
  <si>
    <t>—</t>
  </si>
  <si>
    <t>Point</t>
  </si>
  <si>
    <t xml:space="preserve">505B_e-Ol36 </t>
  </si>
  <si>
    <t xml:space="preserve">505B_e-Ol41 </t>
  </si>
  <si>
    <t xml:space="preserve">505B_e-Ol43 </t>
  </si>
  <si>
    <t xml:space="preserve">505B_a-Ol1 </t>
  </si>
  <si>
    <t xml:space="preserve">505B_a-Ol7 </t>
  </si>
  <si>
    <t xml:space="preserve">505B_a-Ol10 </t>
  </si>
  <si>
    <t>505.6-b-ol-1</t>
  </si>
  <si>
    <t>505.6-b-ol-2</t>
  </si>
  <si>
    <t>505,6 C OL 34</t>
  </si>
  <si>
    <t>505,6 e ol 61</t>
  </si>
  <si>
    <t>505,6 e ol 65</t>
  </si>
  <si>
    <t>505.6-b-ol-11</t>
  </si>
  <si>
    <t>505,6 C OL 31</t>
  </si>
  <si>
    <t>505,6 C OL 32</t>
  </si>
  <si>
    <t>505,6 e oli 60</t>
  </si>
  <si>
    <t>Olivine macrocryst</t>
  </si>
  <si>
    <t>3A</t>
  </si>
  <si>
    <t>3B</t>
  </si>
  <si>
    <t>3C</t>
  </si>
  <si>
    <r>
      <t>Texture types</t>
    </r>
    <r>
      <rPr>
        <i/>
        <sz val="10"/>
        <color theme="1"/>
        <rFont val="Times New Roman"/>
        <family val="1"/>
      </rPr>
      <t>: (1) homogeneous; (2A) crystal with "iddingsite"_core;  (2B) crystal with "iddingsite"_rim; (3A) zoned_core; (3B) zoned_middle; (3C) zoned_rim</t>
    </r>
  </si>
  <si>
    <t>Kimberlite</t>
  </si>
  <si>
    <t>CA</t>
  </si>
</sst>
</file>

<file path=xl/styles.xml><?xml version="1.0" encoding="utf-8"?>
<styleSheet xmlns="http://schemas.openxmlformats.org/spreadsheetml/2006/main">
  <numFmts count="3">
    <numFmt numFmtId="164" formatCode="0.00_ ;[Red]\-0.00\ "/>
    <numFmt numFmtId="165" formatCode="0.000"/>
    <numFmt numFmtId="166" formatCode="0.0000_ ;[Red]\-0.0000\ "/>
  </numFmts>
  <fonts count="12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8"/>
      <name val="Times New Roman"/>
      <family val="1"/>
    </font>
    <font>
      <i/>
      <sz val="1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/>
    <xf numFmtId="0" fontId="2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2" fillId="0" borderId="0" xfId="0" applyNumberFormat="1" applyFont="1" applyFill="1" applyBorder="1" applyAlignment="1">
      <alignment horizontal="left"/>
    </xf>
    <xf numFmtId="165" fontId="1" fillId="0" borderId="0" xfId="0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right"/>
    </xf>
    <xf numFmtId="2" fontId="4" fillId="0" borderId="0" xfId="0" applyNumberFormat="1" applyFont="1" applyBorder="1" applyAlignment="1">
      <alignment horizontal="right"/>
    </xf>
    <xf numFmtId="1" fontId="2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166" fontId="2" fillId="0" borderId="2" xfId="0" applyNumberFormat="1" applyFont="1" applyFill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0" fontId="5" fillId="0" borderId="1" xfId="0" applyFont="1" applyFill="1" applyBorder="1" applyAlignment="1">
      <alignment horizontal="right"/>
    </xf>
    <xf numFmtId="0" fontId="6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right"/>
    </xf>
    <xf numFmtId="165" fontId="8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/>
    <xf numFmtId="0" fontId="7" fillId="0" borderId="0" xfId="0" applyFont="1" applyFill="1" applyBorder="1" applyAlignment="1"/>
    <xf numFmtId="0" fontId="7" fillId="0" borderId="0" xfId="0" applyFont="1" applyFill="1"/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U39"/>
  <sheetViews>
    <sheetView tabSelected="1" zoomScale="50" zoomScaleNormal="50" workbookViewId="0">
      <selection activeCell="Z8" sqref="Z8"/>
    </sheetView>
  </sheetViews>
  <sheetFormatPr defaultColWidth="11.42578125" defaultRowHeight="15"/>
  <cols>
    <col min="1" max="1" width="24.42578125" style="1" customWidth="1"/>
    <col min="2" max="2" width="13.140625" style="1" bestFit="1" customWidth="1"/>
    <col min="3" max="3" width="12.85546875" style="1" bestFit="1" customWidth="1"/>
    <col min="4" max="4" width="13.140625" style="1" bestFit="1" customWidth="1"/>
    <col min="5" max="5" width="12.85546875" style="1" bestFit="1" customWidth="1"/>
    <col min="6" max="6" width="13.140625" style="1" bestFit="1" customWidth="1"/>
    <col min="7" max="7" width="13.7109375" style="1" bestFit="1" customWidth="1"/>
    <col min="8" max="8" width="13.28515625" style="1" bestFit="1" customWidth="1"/>
    <col min="9" max="9" width="13.7109375" style="1" bestFit="1" customWidth="1"/>
    <col min="10" max="10" width="12.140625" style="1" bestFit="1" customWidth="1"/>
    <col min="11" max="11" width="12.28515625" style="1" bestFit="1" customWidth="1"/>
    <col min="12" max="12" width="13.28515625" style="1" bestFit="1" customWidth="1"/>
    <col min="13" max="13" width="12.28515625" style="1" bestFit="1" customWidth="1"/>
    <col min="14" max="14" width="12.7109375" style="1" bestFit="1" customWidth="1"/>
    <col min="15" max="15" width="14" style="1" bestFit="1" customWidth="1"/>
    <col min="16" max="16" width="13.7109375" style="1" bestFit="1" customWidth="1"/>
    <col min="17" max="17" width="12.7109375" style="1" bestFit="1" customWidth="1"/>
    <col min="18" max="18" width="12.85546875" style="1" bestFit="1" customWidth="1"/>
    <col min="19" max="19" width="13.140625" style="1" bestFit="1" customWidth="1"/>
    <col min="20" max="20" width="13.7109375" style="1" bestFit="1" customWidth="1"/>
    <col min="21" max="21" width="14" style="1" bestFit="1" customWidth="1"/>
    <col min="22" max="16384" width="11.42578125" style="1"/>
  </cols>
  <sheetData>
    <row r="1" spans="1:21">
      <c r="A1" s="4" t="s">
        <v>62</v>
      </c>
      <c r="B1" s="12" t="s">
        <v>63</v>
      </c>
      <c r="C1" s="12" t="s">
        <v>63</v>
      </c>
      <c r="D1" s="12" t="s">
        <v>63</v>
      </c>
      <c r="E1" s="12" t="s">
        <v>63</v>
      </c>
      <c r="F1" s="12" t="s">
        <v>63</v>
      </c>
      <c r="G1" s="12" t="s">
        <v>63</v>
      </c>
      <c r="H1" s="12" t="s">
        <v>63</v>
      </c>
      <c r="I1" s="12" t="s">
        <v>63</v>
      </c>
      <c r="J1" s="12" t="s">
        <v>63</v>
      </c>
      <c r="K1" s="12" t="s">
        <v>63</v>
      </c>
      <c r="L1" s="12" t="s">
        <v>63</v>
      </c>
      <c r="M1" s="12" t="s">
        <v>63</v>
      </c>
      <c r="N1" s="12" t="s">
        <v>63</v>
      </c>
      <c r="O1" s="12" t="s">
        <v>63</v>
      </c>
      <c r="P1" s="12" t="s">
        <v>63</v>
      </c>
      <c r="Q1" s="12" t="s">
        <v>63</v>
      </c>
      <c r="R1" s="12" t="s">
        <v>63</v>
      </c>
      <c r="S1" s="12" t="s">
        <v>63</v>
      </c>
      <c r="T1" s="12" t="s">
        <v>63</v>
      </c>
      <c r="U1" s="12" t="s">
        <v>63</v>
      </c>
    </row>
    <row r="2" spans="1:21">
      <c r="A2" s="4" t="s">
        <v>0</v>
      </c>
      <c r="B2" s="12" t="s">
        <v>30</v>
      </c>
      <c r="C2" s="12" t="s">
        <v>30</v>
      </c>
      <c r="D2" s="12" t="s">
        <v>30</v>
      </c>
      <c r="E2" s="12" t="s">
        <v>30</v>
      </c>
      <c r="F2" s="12" t="s">
        <v>30</v>
      </c>
      <c r="G2" s="12" t="s">
        <v>30</v>
      </c>
      <c r="H2" s="12" t="s">
        <v>30</v>
      </c>
      <c r="I2" s="12" t="s">
        <v>30</v>
      </c>
      <c r="J2" s="12" t="s">
        <v>30</v>
      </c>
      <c r="K2" s="12" t="s">
        <v>30</v>
      </c>
      <c r="L2" s="12" t="s">
        <v>30</v>
      </c>
      <c r="M2" s="12" t="s">
        <v>30</v>
      </c>
      <c r="N2" s="12" t="s">
        <v>30</v>
      </c>
      <c r="O2" s="12" t="s">
        <v>30</v>
      </c>
      <c r="P2" s="12" t="s">
        <v>30</v>
      </c>
      <c r="Q2" s="12" t="s">
        <v>30</v>
      </c>
      <c r="R2" s="12" t="s">
        <v>30</v>
      </c>
      <c r="S2" s="12" t="s">
        <v>30</v>
      </c>
      <c r="T2" s="12" t="s">
        <v>30</v>
      </c>
      <c r="U2" s="12" t="s">
        <v>30</v>
      </c>
    </row>
    <row r="3" spans="1:21">
      <c r="A3" s="2" t="s">
        <v>57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 t="s">
        <v>36</v>
      </c>
      <c r="H3" s="3" t="s">
        <v>36</v>
      </c>
      <c r="I3" s="3" t="s">
        <v>36</v>
      </c>
      <c r="J3" s="3" t="s">
        <v>37</v>
      </c>
      <c r="K3" s="3" t="s">
        <v>37</v>
      </c>
      <c r="L3" s="3" t="s">
        <v>37</v>
      </c>
      <c r="M3" s="3" t="s">
        <v>58</v>
      </c>
      <c r="N3" s="3" t="s">
        <v>58</v>
      </c>
      <c r="O3" s="3" t="s">
        <v>58</v>
      </c>
      <c r="P3" s="3" t="s">
        <v>59</v>
      </c>
      <c r="Q3" s="3" t="s">
        <v>59</v>
      </c>
      <c r="R3" s="3" t="s">
        <v>59</v>
      </c>
      <c r="S3" s="3" t="s">
        <v>60</v>
      </c>
      <c r="T3" s="3" t="s">
        <v>60</v>
      </c>
      <c r="U3" s="3" t="s">
        <v>60</v>
      </c>
    </row>
    <row r="4" spans="1:21">
      <c r="A4" s="2" t="s">
        <v>41</v>
      </c>
      <c r="B4" s="16" t="s">
        <v>31</v>
      </c>
      <c r="C4" s="16" t="s">
        <v>32</v>
      </c>
      <c r="D4" s="16" t="s">
        <v>33</v>
      </c>
      <c r="E4" s="16" t="s">
        <v>34</v>
      </c>
      <c r="F4" s="16" t="s">
        <v>35</v>
      </c>
      <c r="G4" s="16" t="s">
        <v>42</v>
      </c>
      <c r="H4" s="16" t="s">
        <v>43</v>
      </c>
      <c r="I4" s="16" t="s">
        <v>44</v>
      </c>
      <c r="J4" s="16" t="s">
        <v>45</v>
      </c>
      <c r="K4" s="16" t="s">
        <v>46</v>
      </c>
      <c r="L4" s="16" t="s">
        <v>47</v>
      </c>
      <c r="M4" s="16" t="s">
        <v>48</v>
      </c>
      <c r="N4" s="16" t="s">
        <v>49</v>
      </c>
      <c r="O4" s="16" t="s">
        <v>50</v>
      </c>
      <c r="P4" s="16" t="s">
        <v>56</v>
      </c>
      <c r="Q4" s="16" t="s">
        <v>51</v>
      </c>
      <c r="R4" s="16" t="s">
        <v>52</v>
      </c>
      <c r="S4" s="16" t="s">
        <v>53</v>
      </c>
      <c r="T4" s="16" t="s">
        <v>54</v>
      </c>
      <c r="U4" s="16" t="s">
        <v>55</v>
      </c>
    </row>
    <row r="5" spans="1:21" ht="15.75">
      <c r="A5" s="6" t="s">
        <v>38</v>
      </c>
      <c r="B5" s="5"/>
      <c r="C5" s="18"/>
      <c r="D5" s="18"/>
      <c r="E5" s="18"/>
      <c r="F5" s="18"/>
      <c r="G5" s="19"/>
      <c r="H5" s="19"/>
      <c r="I5" s="19"/>
      <c r="J5" s="19"/>
      <c r="K5" s="19"/>
      <c r="L5" s="9"/>
      <c r="M5" s="13"/>
      <c r="N5" s="13"/>
      <c r="O5" s="13"/>
      <c r="P5" s="13"/>
      <c r="Q5" s="13"/>
      <c r="R5" s="13"/>
      <c r="S5" s="13"/>
      <c r="T5" s="13"/>
      <c r="U5" s="13"/>
    </row>
    <row r="6" spans="1:21">
      <c r="A6" s="8" t="s">
        <v>1</v>
      </c>
      <c r="B6" s="11">
        <v>41.16</v>
      </c>
      <c r="C6" s="11">
        <v>41.15</v>
      </c>
      <c r="D6" s="11">
        <v>40.950000000000003</v>
      </c>
      <c r="E6" s="11">
        <v>41.04</v>
      </c>
      <c r="F6" s="11">
        <v>41.34</v>
      </c>
      <c r="G6" s="11">
        <v>41.08</v>
      </c>
      <c r="H6" s="11">
        <v>41.18</v>
      </c>
      <c r="I6" s="11">
        <v>40.880000000000003</v>
      </c>
      <c r="J6" s="11">
        <v>41.04</v>
      </c>
      <c r="K6" s="11">
        <v>41.2</v>
      </c>
      <c r="L6" s="11">
        <v>41.04</v>
      </c>
      <c r="M6" s="11">
        <v>40.35</v>
      </c>
      <c r="N6" s="11">
        <v>40.03</v>
      </c>
      <c r="O6" s="11">
        <v>40.159999999999997</v>
      </c>
      <c r="P6" s="11">
        <v>39.549999999999997</v>
      </c>
      <c r="Q6" s="11">
        <v>39.17</v>
      </c>
      <c r="R6" s="11">
        <v>39.130000000000003</v>
      </c>
      <c r="S6" s="11">
        <v>38.69</v>
      </c>
      <c r="T6" s="11">
        <v>39.130000000000003</v>
      </c>
      <c r="U6" s="11">
        <v>39.229999999999997</v>
      </c>
    </row>
    <row r="7" spans="1:21">
      <c r="A7" s="8" t="s">
        <v>2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0.04</v>
      </c>
      <c r="N7" s="11">
        <v>0.02</v>
      </c>
      <c r="O7" s="11">
        <v>0.01</v>
      </c>
      <c r="P7" s="11">
        <v>0.02</v>
      </c>
      <c r="Q7" s="11">
        <v>0.03</v>
      </c>
      <c r="R7" s="11">
        <v>0.05</v>
      </c>
      <c r="S7" s="11">
        <v>0.04</v>
      </c>
      <c r="T7" s="11">
        <v>0.03</v>
      </c>
      <c r="U7" s="11">
        <v>7.0000000000000007E-2</v>
      </c>
    </row>
    <row r="8" spans="1:21">
      <c r="A8" s="8" t="s">
        <v>3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0.02</v>
      </c>
      <c r="R8" s="11">
        <v>0</v>
      </c>
      <c r="S8" s="11">
        <v>0</v>
      </c>
      <c r="T8" s="11">
        <v>0.02</v>
      </c>
      <c r="U8" s="11">
        <v>0</v>
      </c>
    </row>
    <row r="9" spans="1:21">
      <c r="A9" s="8" t="s">
        <v>4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0.03</v>
      </c>
      <c r="N9" s="11">
        <v>0.01</v>
      </c>
      <c r="O9" s="11">
        <v>0.03</v>
      </c>
      <c r="P9" s="11">
        <v>0.03</v>
      </c>
      <c r="Q9" s="11">
        <v>0.03</v>
      </c>
      <c r="R9" s="11">
        <v>7.0000000000000007E-2</v>
      </c>
      <c r="S9" s="11">
        <v>0.12</v>
      </c>
      <c r="T9" s="11">
        <v>0.11</v>
      </c>
      <c r="U9" s="11">
        <v>0.11</v>
      </c>
    </row>
    <row r="10" spans="1:21">
      <c r="A10" s="8" t="s">
        <v>5</v>
      </c>
      <c r="B10" s="11">
        <v>0.21555986780668346</v>
      </c>
      <c r="C10" s="11">
        <v>0.32628124313711626</v>
      </c>
      <c r="D10" s="11">
        <v>0.6063769188618221</v>
      </c>
      <c r="E10" s="11">
        <v>0.47479776703701948</v>
      </c>
      <c r="F10" s="11">
        <v>0</v>
      </c>
      <c r="G10" s="11">
        <v>0</v>
      </c>
      <c r="H10" s="11">
        <v>0</v>
      </c>
      <c r="I10" s="11">
        <v>0.37169256390288841</v>
      </c>
      <c r="J10" s="11">
        <v>0.19889518019846678</v>
      </c>
      <c r="K10" s="11">
        <v>0</v>
      </c>
      <c r="L10" s="11">
        <v>0</v>
      </c>
      <c r="M10" s="10" t="s">
        <v>40</v>
      </c>
      <c r="N10" s="10" t="s">
        <v>40</v>
      </c>
      <c r="O10" s="10" t="s">
        <v>40</v>
      </c>
      <c r="P10" s="10" t="s">
        <v>40</v>
      </c>
      <c r="Q10" s="10" t="s">
        <v>40</v>
      </c>
      <c r="R10" s="10" t="s">
        <v>40</v>
      </c>
      <c r="S10" s="10" t="s">
        <v>40</v>
      </c>
      <c r="T10" s="10" t="s">
        <v>40</v>
      </c>
      <c r="U10" s="10" t="s">
        <v>40</v>
      </c>
    </row>
    <row r="11" spans="1:21">
      <c r="A11" s="8" t="s">
        <v>6</v>
      </c>
      <c r="B11" s="11">
        <v>7.4460368573244509</v>
      </c>
      <c r="C11" s="11">
        <v>7.3664085446010956</v>
      </c>
      <c r="D11" s="11">
        <v>7.1343753713291695</v>
      </c>
      <c r="E11" s="11">
        <v>7.1727717410161738</v>
      </c>
      <c r="F11" s="11">
        <v>7.6599999999999993</v>
      </c>
      <c r="G11" s="11">
        <v>7.94</v>
      </c>
      <c r="H11" s="11">
        <v>7.91</v>
      </c>
      <c r="I11" s="11">
        <v>7.6355469381323262</v>
      </c>
      <c r="J11" s="11">
        <v>7.89103192673642</v>
      </c>
      <c r="K11" s="11">
        <v>8.15</v>
      </c>
      <c r="L11" s="11">
        <v>8.0399999999999991</v>
      </c>
      <c r="M11" s="10" t="s">
        <v>40</v>
      </c>
      <c r="N11" s="10" t="s">
        <v>40</v>
      </c>
      <c r="O11" s="10" t="s">
        <v>40</v>
      </c>
      <c r="P11" s="10" t="s">
        <v>40</v>
      </c>
      <c r="Q11" s="10" t="s">
        <v>40</v>
      </c>
      <c r="R11" s="10" t="s">
        <v>40</v>
      </c>
      <c r="S11" s="10" t="s">
        <v>40</v>
      </c>
      <c r="T11" s="10" t="s">
        <v>40</v>
      </c>
      <c r="U11" s="10" t="s">
        <v>40</v>
      </c>
    </row>
    <row r="12" spans="1:21">
      <c r="A12" s="8" t="s">
        <v>7</v>
      </c>
      <c r="B12" s="11">
        <f t="shared" ref="B12:L12" si="0">B10+B11</f>
        <v>7.6615967251311341</v>
      </c>
      <c r="C12" s="11">
        <f t="shared" si="0"/>
        <v>7.6926897877382121</v>
      </c>
      <c r="D12" s="11">
        <f t="shared" si="0"/>
        <v>7.7407522901909918</v>
      </c>
      <c r="E12" s="11">
        <f t="shared" si="0"/>
        <v>7.6475695080531931</v>
      </c>
      <c r="F12" s="11">
        <f t="shared" si="0"/>
        <v>7.6599999999999993</v>
      </c>
      <c r="G12" s="11">
        <f>G10+G11</f>
        <v>7.94</v>
      </c>
      <c r="H12" s="11">
        <f>H10+H11</f>
        <v>7.91</v>
      </c>
      <c r="I12" s="11">
        <f>I10+I11</f>
        <v>8.0072395020352154</v>
      </c>
      <c r="J12" s="11">
        <f t="shared" si="0"/>
        <v>8.089927106934887</v>
      </c>
      <c r="K12" s="11">
        <f t="shared" si="0"/>
        <v>8.15</v>
      </c>
      <c r="L12" s="11">
        <f t="shared" si="0"/>
        <v>8.0399999999999991</v>
      </c>
      <c r="M12" s="11">
        <v>10</v>
      </c>
      <c r="N12" s="11">
        <v>10</v>
      </c>
      <c r="O12" s="11">
        <v>8.39</v>
      </c>
      <c r="P12" s="11">
        <v>11.99</v>
      </c>
      <c r="Q12" s="11">
        <v>11.83</v>
      </c>
      <c r="R12" s="11">
        <v>12.21</v>
      </c>
      <c r="S12" s="11">
        <v>14.63</v>
      </c>
      <c r="T12" s="11">
        <v>14.54</v>
      </c>
      <c r="U12" s="11">
        <v>14.38</v>
      </c>
    </row>
    <row r="13" spans="1:21">
      <c r="A13" s="8" t="s">
        <v>8</v>
      </c>
      <c r="B13" s="11">
        <v>0.111</v>
      </c>
      <c r="C13" s="11">
        <v>0.10199999999999999</v>
      </c>
      <c r="D13" s="11">
        <v>0.109</v>
      </c>
      <c r="E13" s="11">
        <v>9.7000000000000003E-2</v>
      </c>
      <c r="F13" s="11">
        <v>0.123</v>
      </c>
      <c r="G13" s="11">
        <v>0.14499999999999999</v>
      </c>
      <c r="H13" s="11">
        <v>0.129</v>
      </c>
      <c r="I13" s="11">
        <v>0.124</v>
      </c>
      <c r="J13" s="11">
        <v>0.13</v>
      </c>
      <c r="K13" s="11">
        <v>0.14299999999999999</v>
      </c>
      <c r="L13" s="11">
        <v>0.14799999999999999</v>
      </c>
      <c r="M13" s="11">
        <v>0.16</v>
      </c>
      <c r="N13" s="11">
        <v>0.15</v>
      </c>
      <c r="O13" s="11">
        <v>7.0000000000000007E-2</v>
      </c>
      <c r="P13" s="11">
        <v>0.12</v>
      </c>
      <c r="Q13" s="11">
        <v>0.18</v>
      </c>
      <c r="R13" s="11">
        <v>0.15</v>
      </c>
      <c r="S13" s="11">
        <v>0.19</v>
      </c>
      <c r="T13" s="11">
        <v>0.2</v>
      </c>
      <c r="U13" s="11">
        <v>0.14000000000000001</v>
      </c>
    </row>
    <row r="14" spans="1:21">
      <c r="A14" s="8" t="s">
        <v>9</v>
      </c>
      <c r="B14" s="11">
        <v>51.03</v>
      </c>
      <c r="C14" s="11">
        <v>51.09</v>
      </c>
      <c r="D14" s="11">
        <v>51.02</v>
      </c>
      <c r="E14" s="11">
        <v>51.1</v>
      </c>
      <c r="F14" s="11">
        <v>50.86</v>
      </c>
      <c r="G14" s="11">
        <v>50.46</v>
      </c>
      <c r="H14" s="11">
        <v>50.53</v>
      </c>
      <c r="I14" s="11">
        <v>50.57</v>
      </c>
      <c r="J14" s="11">
        <v>50.59</v>
      </c>
      <c r="K14" s="11">
        <v>50.46</v>
      </c>
      <c r="L14" s="11">
        <v>50.43</v>
      </c>
      <c r="M14" s="11">
        <v>49.05</v>
      </c>
      <c r="N14" s="11">
        <v>49.08</v>
      </c>
      <c r="O14" s="11">
        <v>50.74</v>
      </c>
      <c r="P14" s="11">
        <v>47.43</v>
      </c>
      <c r="Q14" s="11">
        <v>47.67</v>
      </c>
      <c r="R14" s="11">
        <v>47.37</v>
      </c>
      <c r="S14" s="11">
        <v>45.72</v>
      </c>
      <c r="T14" s="11">
        <v>45.58</v>
      </c>
      <c r="U14" s="11">
        <v>45.61</v>
      </c>
    </row>
    <row r="15" spans="1:21">
      <c r="A15" s="8" t="s">
        <v>10</v>
      </c>
      <c r="B15" s="11">
        <v>6.0000000000000001E-3</v>
      </c>
      <c r="C15" s="11">
        <v>1.2E-2</v>
      </c>
      <c r="D15" s="11">
        <v>0.01</v>
      </c>
      <c r="E15" s="11">
        <v>0</v>
      </c>
      <c r="F15" s="11">
        <v>2.1999999999999999E-2</v>
      </c>
      <c r="G15" s="11">
        <v>0.01</v>
      </c>
      <c r="H15" s="11">
        <v>0</v>
      </c>
      <c r="I15" s="11">
        <v>0.02</v>
      </c>
      <c r="J15" s="11">
        <v>2.5999999999999999E-2</v>
      </c>
      <c r="K15" s="11">
        <v>1.7999999999999999E-2</v>
      </c>
      <c r="L15" s="11">
        <v>1.7999999999999999E-2</v>
      </c>
      <c r="M15" s="11">
        <v>0.02</v>
      </c>
      <c r="N15" s="11">
        <v>0.01</v>
      </c>
      <c r="O15" s="11">
        <v>0</v>
      </c>
      <c r="P15" s="11">
        <v>0.06</v>
      </c>
      <c r="Q15" s="11">
        <v>7.0000000000000007E-2</v>
      </c>
      <c r="R15" s="11">
        <v>0.02</v>
      </c>
      <c r="S15" s="11">
        <v>0.03</v>
      </c>
      <c r="T15" s="11">
        <v>0.04</v>
      </c>
      <c r="U15" s="11">
        <v>0.03</v>
      </c>
    </row>
    <row r="16" spans="1:21">
      <c r="A16" s="8" t="s">
        <v>11</v>
      </c>
      <c r="B16" s="10" t="s">
        <v>40</v>
      </c>
      <c r="C16" s="10" t="s">
        <v>40</v>
      </c>
      <c r="D16" s="10" t="s">
        <v>40</v>
      </c>
      <c r="E16" s="10" t="s">
        <v>40</v>
      </c>
      <c r="F16" s="10" t="s">
        <v>40</v>
      </c>
      <c r="G16" s="10" t="s">
        <v>40</v>
      </c>
      <c r="H16" s="10" t="s">
        <v>40</v>
      </c>
      <c r="I16" s="10" t="s">
        <v>40</v>
      </c>
      <c r="J16" s="10" t="s">
        <v>40</v>
      </c>
      <c r="K16" s="10" t="s">
        <v>40</v>
      </c>
      <c r="L16" s="10" t="s">
        <v>40</v>
      </c>
      <c r="M16" s="11">
        <v>0.35</v>
      </c>
      <c r="N16" s="11">
        <v>0.33</v>
      </c>
      <c r="O16" s="11">
        <v>0.41</v>
      </c>
      <c r="P16" s="11">
        <v>0.35</v>
      </c>
      <c r="Q16" s="11">
        <v>0.39</v>
      </c>
      <c r="R16" s="11">
        <v>0.3</v>
      </c>
      <c r="S16" s="11">
        <v>0.15</v>
      </c>
      <c r="T16" s="11">
        <v>0.18</v>
      </c>
      <c r="U16" s="11">
        <v>0.08</v>
      </c>
    </row>
    <row r="17" spans="1:21">
      <c r="A17" s="8" t="s">
        <v>12</v>
      </c>
      <c r="B17" s="11">
        <v>99.968596725131135</v>
      </c>
      <c r="C17" s="11">
        <v>100.04668978773822</v>
      </c>
      <c r="D17" s="11">
        <v>99.829752290190996</v>
      </c>
      <c r="E17" s="11">
        <v>99.88456950805319</v>
      </c>
      <c r="F17" s="11">
        <v>100.00500000000001</v>
      </c>
      <c r="G17" s="11">
        <v>99.635000000000005</v>
      </c>
      <c r="H17" s="11">
        <v>99.748999999999995</v>
      </c>
      <c r="I17" s="11">
        <v>99.601239502035227</v>
      </c>
      <c r="J17" s="11">
        <v>99.875927106934896</v>
      </c>
      <c r="K17" s="11">
        <v>99.971000000000004</v>
      </c>
      <c r="L17" s="11">
        <v>99.676000000000002</v>
      </c>
      <c r="M17" s="11">
        <v>99.99</v>
      </c>
      <c r="N17" s="11">
        <v>99.62</v>
      </c>
      <c r="O17" s="11">
        <v>99.82</v>
      </c>
      <c r="P17" s="11">
        <v>99.55</v>
      </c>
      <c r="Q17" s="11">
        <v>99.39</v>
      </c>
      <c r="R17" s="11">
        <v>99.28</v>
      </c>
      <c r="S17" s="11">
        <v>99.58</v>
      </c>
      <c r="T17" s="11">
        <v>99.83</v>
      </c>
      <c r="U17" s="11">
        <v>99.63</v>
      </c>
    </row>
    <row r="18" spans="1:21">
      <c r="A18" s="7" t="s">
        <v>39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>
      <c r="A19" s="8" t="s">
        <v>13</v>
      </c>
      <c r="B19" s="11">
        <v>0.99803340503859084</v>
      </c>
      <c r="C19" s="11">
        <v>0.99702555556171013</v>
      </c>
      <c r="D19" s="11">
        <v>0.99445944672253517</v>
      </c>
      <c r="E19" s="11">
        <v>0.99566596633913884</v>
      </c>
      <c r="F19" s="11">
        <v>1.0026362135087346</v>
      </c>
      <c r="G19" s="11">
        <v>1.0013199065220688</v>
      </c>
      <c r="H19" s="11">
        <v>1.0024948955309712</v>
      </c>
      <c r="I19" s="11">
        <v>0.9965906851429065</v>
      </c>
      <c r="J19" s="11">
        <v>0.99817986745546772</v>
      </c>
      <c r="K19" s="11">
        <v>1.0017827276260345</v>
      </c>
      <c r="L19" s="11">
        <v>1.0002634919788407</v>
      </c>
      <c r="M19" s="11">
        <v>0.99199999999999999</v>
      </c>
      <c r="N19" s="11">
        <v>0.98799999999999999</v>
      </c>
      <c r="O19" s="11">
        <v>0.98299999999999998</v>
      </c>
      <c r="P19" s="11">
        <v>0.98699999999999999</v>
      </c>
      <c r="Q19" s="11">
        <v>0.98</v>
      </c>
      <c r="R19" s="11">
        <v>0.98099999999999998</v>
      </c>
      <c r="S19" s="11">
        <v>0.97799999999999998</v>
      </c>
      <c r="T19" s="11">
        <v>0.98499999999999999</v>
      </c>
      <c r="U19" s="11">
        <v>0.98799999999999999</v>
      </c>
    </row>
    <row r="20" spans="1:21">
      <c r="A20" s="8" t="s">
        <v>14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1E-3</v>
      </c>
      <c r="N20" s="11">
        <v>0</v>
      </c>
      <c r="O20" s="11">
        <v>0</v>
      </c>
      <c r="P20" s="11">
        <v>0</v>
      </c>
      <c r="Q20" s="11">
        <v>1E-3</v>
      </c>
      <c r="R20" s="11">
        <v>1E-3</v>
      </c>
      <c r="S20" s="11">
        <v>1E-3</v>
      </c>
      <c r="T20" s="11">
        <v>1E-3</v>
      </c>
      <c r="U20" s="11">
        <v>1E-3</v>
      </c>
    </row>
    <row r="21" spans="1:21">
      <c r="A21" s="8" t="s">
        <v>15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</row>
    <row r="22" spans="1:21">
      <c r="A22" s="8" t="s">
        <v>16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1E-3</v>
      </c>
      <c r="N22" s="11">
        <v>0</v>
      </c>
      <c r="O22" s="11">
        <v>1E-3</v>
      </c>
      <c r="P22" s="11">
        <v>1E-3</v>
      </c>
      <c r="Q22" s="11">
        <v>1E-3</v>
      </c>
      <c r="R22" s="11">
        <v>1E-3</v>
      </c>
      <c r="S22" s="11">
        <v>2E-3</v>
      </c>
      <c r="T22" s="11">
        <v>2E-3</v>
      </c>
      <c r="U22" s="11">
        <v>2E-3</v>
      </c>
    </row>
    <row r="23" spans="1:21">
      <c r="A23" s="8" t="s">
        <v>17</v>
      </c>
      <c r="B23" s="11">
        <v>3.9331899228187694E-3</v>
      </c>
      <c r="C23" s="11">
        <v>5.9488888765795167E-3</v>
      </c>
      <c r="D23" s="11">
        <v>1.1081106554930109E-2</v>
      </c>
      <c r="E23" s="11">
        <v>8.6680673217216508E-3</v>
      </c>
      <c r="F23" s="11">
        <v>0</v>
      </c>
      <c r="G23" s="11">
        <v>0</v>
      </c>
      <c r="H23" s="11">
        <v>0</v>
      </c>
      <c r="I23" s="11">
        <v>6.8186297141865637E-3</v>
      </c>
      <c r="J23" s="11">
        <v>3.6402650890643429E-3</v>
      </c>
      <c r="K23" s="11">
        <v>0</v>
      </c>
      <c r="L23" s="11">
        <v>0</v>
      </c>
      <c r="M23" s="10" t="s">
        <v>40</v>
      </c>
      <c r="N23" s="10" t="s">
        <v>40</v>
      </c>
      <c r="O23" s="10" t="s">
        <v>40</v>
      </c>
      <c r="P23" s="10" t="s">
        <v>40</v>
      </c>
      <c r="Q23" s="10" t="s">
        <v>40</v>
      </c>
      <c r="R23" s="10" t="s">
        <v>40</v>
      </c>
      <c r="S23" s="10" t="s">
        <v>40</v>
      </c>
      <c r="T23" s="10" t="s">
        <v>40</v>
      </c>
      <c r="U23" s="10" t="s">
        <v>40</v>
      </c>
    </row>
    <row r="24" spans="1:21">
      <c r="A24" s="8" t="s">
        <v>18</v>
      </c>
      <c r="B24" s="11">
        <v>0.15099093945469286</v>
      </c>
      <c r="C24" s="11">
        <v>0.14926165269958741</v>
      </c>
      <c r="D24" s="11">
        <v>0.14489223825023059</v>
      </c>
      <c r="E24" s="11">
        <v>0.14552892283472407</v>
      </c>
      <c r="F24" s="11">
        <v>0.15536660573353034</v>
      </c>
      <c r="G24" s="11">
        <v>0.16185231354369062</v>
      </c>
      <c r="H24" s="11">
        <v>0.16103797662948988</v>
      </c>
      <c r="I24" s="11">
        <v>0.15566898071040647</v>
      </c>
      <c r="J24" s="11">
        <v>0.16050599146410088</v>
      </c>
      <c r="K24" s="11">
        <v>0.16572572446057546</v>
      </c>
      <c r="L24" s="11">
        <v>0.1638774164767873</v>
      </c>
      <c r="M24" s="10" t="s">
        <v>40</v>
      </c>
      <c r="N24" s="10" t="s">
        <v>40</v>
      </c>
      <c r="O24" s="10" t="s">
        <v>40</v>
      </c>
      <c r="P24" s="10" t="s">
        <v>40</v>
      </c>
      <c r="Q24" s="10" t="s">
        <v>40</v>
      </c>
      <c r="R24" s="10" t="s">
        <v>40</v>
      </c>
      <c r="S24" s="10" t="s">
        <v>40</v>
      </c>
      <c r="T24" s="10" t="s">
        <v>40</v>
      </c>
      <c r="U24" s="10" t="s">
        <v>40</v>
      </c>
    </row>
    <row r="25" spans="1:21">
      <c r="A25" s="8" t="s">
        <v>19</v>
      </c>
      <c r="B25" s="11">
        <f t="shared" ref="B25:L25" si="1">B23+B24</f>
        <v>0.15492412937751163</v>
      </c>
      <c r="C25" s="11">
        <f t="shared" si="1"/>
        <v>0.15521054157616693</v>
      </c>
      <c r="D25" s="11">
        <f t="shared" si="1"/>
        <v>0.1559733448051607</v>
      </c>
      <c r="E25" s="11">
        <f t="shared" si="1"/>
        <v>0.15419699015644572</v>
      </c>
      <c r="F25" s="11">
        <f t="shared" si="1"/>
        <v>0.15536660573353034</v>
      </c>
      <c r="G25" s="11">
        <f>G23+G24</f>
        <v>0.16185231354369062</v>
      </c>
      <c r="H25" s="11">
        <f>H23+H24</f>
        <v>0.16103797662948988</v>
      </c>
      <c r="I25" s="11">
        <f>I23+I24</f>
        <v>0.16248761042459303</v>
      </c>
      <c r="J25" s="11">
        <f t="shared" si="1"/>
        <v>0.16414625655316523</v>
      </c>
      <c r="K25" s="11">
        <f t="shared" si="1"/>
        <v>0.16572572446057546</v>
      </c>
      <c r="L25" s="11">
        <f t="shared" si="1"/>
        <v>0.1638774164767873</v>
      </c>
      <c r="M25" s="11">
        <v>0.20599999999999999</v>
      </c>
      <c r="N25" s="11">
        <v>0.20599999999999999</v>
      </c>
      <c r="O25" s="11">
        <v>0.17199999999999999</v>
      </c>
      <c r="P25" s="11">
        <v>0.25</v>
      </c>
      <c r="Q25" s="11">
        <v>0.247</v>
      </c>
      <c r="R25" s="11">
        <v>0.25600000000000001</v>
      </c>
      <c r="S25" s="11">
        <v>0.309</v>
      </c>
      <c r="T25" s="11">
        <v>0.30599999999999999</v>
      </c>
      <c r="U25" s="11">
        <v>0.30299999999999999</v>
      </c>
    </row>
    <row r="26" spans="1:21">
      <c r="A26" s="8" t="s">
        <v>20</v>
      </c>
      <c r="B26" s="11">
        <v>2.2797038341999085E-3</v>
      </c>
      <c r="C26" s="11">
        <v>2.0932560815680448E-3</v>
      </c>
      <c r="D26" s="11">
        <v>2.242050594342313E-3</v>
      </c>
      <c r="E26" s="11">
        <v>1.9932592299260706E-3</v>
      </c>
      <c r="F26" s="11">
        <v>2.5267586720456128E-3</v>
      </c>
      <c r="G26" s="11">
        <v>2.9936164504272742E-3</v>
      </c>
      <c r="H26" s="11">
        <v>2.6599365506180406E-3</v>
      </c>
      <c r="I26" s="11">
        <v>2.5604326754181364E-3</v>
      </c>
      <c r="J26" s="11">
        <v>2.6781231626478272E-3</v>
      </c>
      <c r="K26" s="11">
        <v>2.9450868063443914E-3</v>
      </c>
      <c r="L26" s="11">
        <v>3.0553046466492173E-3</v>
      </c>
      <c r="M26" s="11">
        <v>3.0000000000000001E-3</v>
      </c>
      <c r="N26" s="11">
        <v>3.0000000000000001E-3</v>
      </c>
      <c r="O26" s="11">
        <v>2E-3</v>
      </c>
      <c r="P26" s="11">
        <v>3.0000000000000001E-3</v>
      </c>
      <c r="Q26" s="11">
        <v>4.0000000000000001E-3</v>
      </c>
      <c r="R26" s="11">
        <v>3.0000000000000001E-3</v>
      </c>
      <c r="S26" s="11">
        <v>4.0000000000000001E-3</v>
      </c>
      <c r="T26" s="11">
        <v>4.0000000000000001E-3</v>
      </c>
      <c r="U26" s="11">
        <v>3.0000000000000001E-3</v>
      </c>
    </row>
    <row r="27" spans="1:21">
      <c r="A27" s="8" t="s">
        <v>21</v>
      </c>
      <c r="B27" s="11">
        <v>1.8446068859805362</v>
      </c>
      <c r="C27" s="11">
        <v>1.8453591343766909</v>
      </c>
      <c r="D27" s="11">
        <v>1.8470649677474233</v>
      </c>
      <c r="E27" s="11">
        <v>1.8481437842744894</v>
      </c>
      <c r="F27" s="11">
        <v>1.8388987417649367</v>
      </c>
      <c r="G27" s="11">
        <v>1.8335730074509935</v>
      </c>
      <c r="H27" s="11">
        <v>1.8338071912889211</v>
      </c>
      <c r="I27" s="11">
        <v>1.8378388832908525</v>
      </c>
      <c r="J27" s="11">
        <v>1.8343182167137178</v>
      </c>
      <c r="K27" s="11">
        <v>1.8290775327718065</v>
      </c>
      <c r="L27" s="11">
        <v>1.8323337442991994</v>
      </c>
      <c r="M27" s="11">
        <v>1.7969999999999999</v>
      </c>
      <c r="N27" s="11">
        <v>1.806</v>
      </c>
      <c r="O27" s="11">
        <v>1.851</v>
      </c>
      <c r="P27" s="11">
        <v>1.764</v>
      </c>
      <c r="Q27" s="11">
        <v>1.7769999999999999</v>
      </c>
      <c r="R27" s="11">
        <v>1.7689999999999999</v>
      </c>
      <c r="S27" s="11">
        <v>1.722</v>
      </c>
      <c r="T27" s="11">
        <v>1.71</v>
      </c>
      <c r="U27" s="11">
        <v>1.7110000000000001</v>
      </c>
    </row>
    <row r="28" spans="1:21">
      <c r="A28" s="8" t="s">
        <v>22</v>
      </c>
      <c r="B28" s="11">
        <v>1.5587576916105395E-4</v>
      </c>
      <c r="C28" s="11">
        <v>3.1151240386398577E-4</v>
      </c>
      <c r="D28" s="11">
        <v>2.6019013053853619E-4</v>
      </c>
      <c r="E28" s="11">
        <v>0</v>
      </c>
      <c r="F28" s="11">
        <v>5.7168032075255112E-4</v>
      </c>
      <c r="G28" s="11">
        <v>2.6115603282014029E-4</v>
      </c>
      <c r="H28" s="11">
        <v>0</v>
      </c>
      <c r="I28" s="11">
        <v>5.2238846622998511E-4</v>
      </c>
      <c r="J28" s="11">
        <v>6.7753611500128016E-4</v>
      </c>
      <c r="K28" s="11">
        <v>4.6892833523860849E-4</v>
      </c>
      <c r="L28" s="11">
        <v>4.7004259852293585E-4</v>
      </c>
      <c r="M28" s="11">
        <v>0</v>
      </c>
      <c r="N28" s="11">
        <v>0</v>
      </c>
      <c r="O28" s="11">
        <v>0</v>
      </c>
      <c r="P28" s="11">
        <v>2E-3</v>
      </c>
      <c r="Q28" s="11">
        <v>2E-3</v>
      </c>
      <c r="R28" s="11">
        <v>0</v>
      </c>
      <c r="S28" s="11">
        <v>1E-3</v>
      </c>
      <c r="T28" s="11">
        <v>1E-3</v>
      </c>
      <c r="U28" s="11">
        <v>1E-3</v>
      </c>
    </row>
    <row r="29" spans="1:21">
      <c r="A29" s="8" t="s">
        <v>23</v>
      </c>
      <c r="B29" s="10" t="s">
        <v>40</v>
      </c>
      <c r="C29" s="10" t="s">
        <v>40</v>
      </c>
      <c r="D29" s="10" t="s">
        <v>40</v>
      </c>
      <c r="E29" s="10" t="s">
        <v>40</v>
      </c>
      <c r="F29" s="10" t="s">
        <v>40</v>
      </c>
      <c r="G29" s="10" t="s">
        <v>40</v>
      </c>
      <c r="H29" s="10" t="s">
        <v>40</v>
      </c>
      <c r="I29" s="10" t="s">
        <v>40</v>
      </c>
      <c r="J29" s="10" t="s">
        <v>40</v>
      </c>
      <c r="K29" s="10" t="s">
        <v>40</v>
      </c>
      <c r="L29" s="10" t="s">
        <v>40</v>
      </c>
      <c r="M29" s="11">
        <v>7.0000000000000001E-3</v>
      </c>
      <c r="N29" s="11">
        <v>7.0000000000000001E-3</v>
      </c>
      <c r="O29" s="11">
        <v>8.0000000000000002E-3</v>
      </c>
      <c r="P29" s="11">
        <v>7.0000000000000001E-3</v>
      </c>
      <c r="Q29" s="11">
        <v>8.0000000000000002E-3</v>
      </c>
      <c r="R29" s="11">
        <v>6.0000000000000001E-3</v>
      </c>
      <c r="S29" s="11">
        <v>3.0000000000000001E-3</v>
      </c>
      <c r="T29" s="11">
        <v>4.0000000000000001E-3</v>
      </c>
      <c r="U29" s="11">
        <v>2E-3</v>
      </c>
    </row>
    <row r="30" spans="1:21" ht="18.75">
      <c r="A30" s="2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8" t="s">
        <v>24</v>
      </c>
      <c r="B31" s="11">
        <v>0.11387322045919819</v>
      </c>
      <c r="C31" s="11">
        <v>0.10450737838320616</v>
      </c>
      <c r="D31" s="11">
        <v>0.11179283264446296</v>
      </c>
      <c r="E31" s="11">
        <v>9.9447457182844784E-2</v>
      </c>
      <c r="F31" s="11">
        <v>0.12650468027581127</v>
      </c>
      <c r="G31" s="11">
        <v>0.14977967010308491</v>
      </c>
      <c r="H31" s="11">
        <v>0.13316294134452772</v>
      </c>
      <c r="I31" s="11">
        <v>0.12780377212136385</v>
      </c>
      <c r="J31" s="11">
        <v>0.13378440545722958</v>
      </c>
      <c r="K31" s="11">
        <v>0.14738571460977845</v>
      </c>
      <c r="L31" s="11">
        <v>0.15278536119103997</v>
      </c>
      <c r="M31" s="11">
        <f t="shared" ref="M31:R31" si="2">((M26)/(M25+M26+M27))*100</f>
        <v>0.14955134596211367</v>
      </c>
      <c r="N31" s="11">
        <f t="shared" si="2"/>
        <v>0.14888337468982629</v>
      </c>
      <c r="O31" s="11">
        <f t="shared" si="2"/>
        <v>9.876543209876544E-2</v>
      </c>
      <c r="P31" s="11">
        <f t="shared" si="2"/>
        <v>0.14873574615765989</v>
      </c>
      <c r="Q31" s="11">
        <f t="shared" si="2"/>
        <v>0.19723865877712032</v>
      </c>
      <c r="R31" s="11">
        <f t="shared" si="2"/>
        <v>0.14792899408284024</v>
      </c>
      <c r="S31" s="11">
        <f>((S26)/(S25+S26+S27))*100</f>
        <v>0.19656019656019655</v>
      </c>
      <c r="T31" s="11">
        <f>((T26)/(T25+T26+T27))*100</f>
        <v>0.19801980198019803</v>
      </c>
      <c r="U31" s="11">
        <f>((U26)/(U25+U26+U27))*100</f>
        <v>0.14873574615765989</v>
      </c>
    </row>
    <row r="32" spans="1:21">
      <c r="A32" s="8" t="s">
        <v>25</v>
      </c>
      <c r="B32" s="11">
        <v>92.139743521349516</v>
      </c>
      <c r="C32" s="11">
        <v>92.130937541452241</v>
      </c>
      <c r="D32" s="11">
        <v>92.098111141604193</v>
      </c>
      <c r="E32" s="11">
        <v>92.207374281766079</v>
      </c>
      <c r="F32" s="11">
        <v>92.066290287324108</v>
      </c>
      <c r="G32" s="11">
        <v>91.739193952763458</v>
      </c>
      <c r="H32" s="11">
        <v>91.804881358557452</v>
      </c>
      <c r="I32" s="11">
        <v>91.735566449732133</v>
      </c>
      <c r="J32" s="11">
        <v>91.632519170546004</v>
      </c>
      <c r="K32" s="11">
        <v>91.535468042410969</v>
      </c>
      <c r="L32" s="11">
        <v>91.628758936465431</v>
      </c>
      <c r="M32" s="11">
        <f t="shared" ref="M32:R32" si="3">((M27)/(M25+M26+M27))*100</f>
        <v>89.581256231306085</v>
      </c>
      <c r="N32" s="11">
        <f t="shared" si="3"/>
        <v>89.627791563275423</v>
      </c>
      <c r="O32" s="11">
        <f t="shared" si="3"/>
        <v>91.407407407407419</v>
      </c>
      <c r="P32" s="11">
        <f t="shared" si="3"/>
        <v>87.456618740704016</v>
      </c>
      <c r="Q32" s="11">
        <f t="shared" si="3"/>
        <v>87.623274161735694</v>
      </c>
      <c r="R32" s="11">
        <f t="shared" si="3"/>
        <v>87.22879684418146</v>
      </c>
      <c r="S32" s="11">
        <f>((S27)/(S25+S26+S27))*100</f>
        <v>84.619164619164607</v>
      </c>
      <c r="T32" s="11">
        <f>((T27)/(T25+T26+T27))*100</f>
        <v>84.653465346534645</v>
      </c>
      <c r="U32" s="11">
        <f>((U27)/(U25+U26+U27))*100</f>
        <v>84.828953891918701</v>
      </c>
    </row>
    <row r="33" spans="1:21">
      <c r="A33" s="8" t="s">
        <v>26</v>
      </c>
      <c r="B33" s="11">
        <v>7.7385971258175781</v>
      </c>
      <c r="C33" s="11">
        <v>7.7490025899803161</v>
      </c>
      <c r="D33" s="11">
        <v>7.7771224595916664</v>
      </c>
      <c r="E33" s="11">
        <v>7.6931782610510853</v>
      </c>
      <c r="F33" s="11">
        <v>7.7785832898502782</v>
      </c>
      <c r="G33" s="11">
        <v>8.0979599522627517</v>
      </c>
      <c r="H33" s="11">
        <v>8.0619557000980251</v>
      </c>
      <c r="I33" s="11">
        <v>8.1105548037338302</v>
      </c>
      <c r="J33" s="11">
        <v>8.1998504203530711</v>
      </c>
      <c r="K33" s="11">
        <v>8.293678908284404</v>
      </c>
      <c r="L33" s="11">
        <v>8.1949504756980378</v>
      </c>
      <c r="M33" s="11">
        <f t="shared" ref="M33:R33" si="4">((M25)/(M25+M26+M27))*100</f>
        <v>10.269192422731805</v>
      </c>
      <c r="N33" s="11">
        <f t="shared" si="4"/>
        <v>10.223325062034739</v>
      </c>
      <c r="O33" s="11">
        <f t="shared" si="4"/>
        <v>8.4938271604938258</v>
      </c>
      <c r="P33" s="11">
        <f t="shared" si="4"/>
        <v>12.394645513138325</v>
      </c>
      <c r="Q33" s="11">
        <f t="shared" si="4"/>
        <v>12.179487179487179</v>
      </c>
      <c r="R33" s="11">
        <f t="shared" si="4"/>
        <v>12.623274161735701</v>
      </c>
      <c r="S33" s="11">
        <f>((S25)/(S25+S26+S27))*100</f>
        <v>15.184275184275183</v>
      </c>
      <c r="T33" s="11">
        <f>((T25)/(T25+T26+T27))*100</f>
        <v>15.148514851485148</v>
      </c>
      <c r="U33" s="11">
        <f>((U25)/(U25+U26+U27))*100</f>
        <v>15.022310361923649</v>
      </c>
    </row>
    <row r="34" spans="1:21">
      <c r="A34" s="8" t="s">
        <v>27</v>
      </c>
      <c r="B34" s="11">
        <v>7.7861323737052016E-3</v>
      </c>
      <c r="C34" s="11">
        <v>1.5552490184234262E-2</v>
      </c>
      <c r="D34" s="11">
        <v>1.2973566159673615E-2</v>
      </c>
      <c r="E34" s="11">
        <v>0</v>
      </c>
      <c r="F34" s="11">
        <v>2.8621742549804218E-2</v>
      </c>
      <c r="G34" s="11">
        <v>1.3066424870710499E-2</v>
      </c>
      <c r="H34" s="11">
        <v>0</v>
      </c>
      <c r="I34" s="11">
        <v>2.6074974412667533E-2</v>
      </c>
      <c r="J34" s="11">
        <v>3.384600364369688E-2</v>
      </c>
      <c r="K34" s="11">
        <v>2.3467334694865397E-2</v>
      </c>
      <c r="L34" s="11">
        <v>2.3505226645487754E-2</v>
      </c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8" t="s">
        <v>28</v>
      </c>
      <c r="B35" s="11">
        <v>100</v>
      </c>
      <c r="C35" s="11">
        <v>100</v>
      </c>
      <c r="D35" s="11">
        <v>100</v>
      </c>
      <c r="E35" s="11">
        <v>100.00000000000001</v>
      </c>
      <c r="F35" s="11">
        <v>100</v>
      </c>
      <c r="G35" s="11">
        <v>100.00000000000001</v>
      </c>
      <c r="H35" s="11">
        <v>100</v>
      </c>
      <c r="I35" s="11">
        <v>100</v>
      </c>
      <c r="J35" s="11">
        <v>100.00000000000001</v>
      </c>
      <c r="K35" s="11">
        <v>100.00000000000003</v>
      </c>
      <c r="L35" s="11">
        <v>99.999999999999986</v>
      </c>
      <c r="M35" s="11">
        <f t="shared" ref="M35:O35" si="5">SUM(M31:M33)</f>
        <v>100</v>
      </c>
      <c r="N35" s="11">
        <f t="shared" si="5"/>
        <v>100</v>
      </c>
      <c r="O35" s="11">
        <f t="shared" si="5"/>
        <v>100</v>
      </c>
      <c r="P35" s="11">
        <f t="shared" ref="P35:R35" si="6">SUM(P31:P33)</f>
        <v>100</v>
      </c>
      <c r="Q35" s="11">
        <f t="shared" si="6"/>
        <v>100</v>
      </c>
      <c r="R35" s="11">
        <f t="shared" si="6"/>
        <v>100</v>
      </c>
      <c r="S35" s="11">
        <f>SUM(S31:S33)</f>
        <v>99.999999999999986</v>
      </c>
      <c r="T35" s="11">
        <f>SUM(T31:T33)</f>
        <v>99.999999999999986</v>
      </c>
      <c r="U35" s="11">
        <f>SUM(U31:U33)</f>
        <v>100</v>
      </c>
    </row>
    <row r="36" spans="1:21">
      <c r="A36" s="2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A37" s="14" t="s">
        <v>29</v>
      </c>
      <c r="B37" s="15">
        <f t="shared" ref="B37:I37" si="7">(B27/(B27+B25))*100</f>
        <v>92.251976679152932</v>
      </c>
      <c r="C37" s="15">
        <f t="shared" si="7"/>
        <v>92.241682784567786</v>
      </c>
      <c r="D37" s="15">
        <f t="shared" si="7"/>
        <v>92.2131621832837</v>
      </c>
      <c r="E37" s="15">
        <f t="shared" si="7"/>
        <v>92.299163452820949</v>
      </c>
      <c r="F37" s="15">
        <f t="shared" si="7"/>
        <v>92.209331324519255</v>
      </c>
      <c r="G37" s="15">
        <f t="shared" si="7"/>
        <v>91.888831326295389</v>
      </c>
      <c r="H37" s="15">
        <f t="shared" si="7"/>
        <v>91.927294447742511</v>
      </c>
      <c r="I37" s="15">
        <f t="shared" si="7"/>
        <v>91.876945541885746</v>
      </c>
      <c r="J37" s="15">
        <f t="shared" ref="J37:R37" si="8">(J27/(J27+J25))*100</f>
        <v>91.786381056610139</v>
      </c>
      <c r="K37" s="15">
        <f t="shared" si="8"/>
        <v>91.692126837084402</v>
      </c>
      <c r="L37" s="15">
        <f t="shared" si="8"/>
        <v>91.790577084386044</v>
      </c>
      <c r="M37" s="15">
        <f t="shared" si="8"/>
        <v>89.715426859710419</v>
      </c>
      <c r="N37" s="15">
        <f t="shared" si="8"/>
        <v>89.761431411530808</v>
      </c>
      <c r="O37" s="15">
        <f t="shared" si="8"/>
        <v>91.497775580820559</v>
      </c>
      <c r="P37" s="15">
        <f t="shared" si="8"/>
        <v>87.586891757696122</v>
      </c>
      <c r="Q37" s="15">
        <f t="shared" si="8"/>
        <v>87.796442687747032</v>
      </c>
      <c r="R37" s="15">
        <f t="shared" si="8"/>
        <v>87.358024691358025</v>
      </c>
      <c r="S37" s="15">
        <f>(S27/(S27+S25))*100</f>
        <v>84.785819793205306</v>
      </c>
      <c r="T37" s="15">
        <f>(T27/(T27+T25))*100</f>
        <v>84.821428571428569</v>
      </c>
      <c r="U37" s="15">
        <f>(U27/(U27+U25))*100</f>
        <v>84.955312810327698</v>
      </c>
    </row>
    <row r="38" spans="1:21">
      <c r="A38" s="17" t="s">
        <v>61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spans="1:21">
      <c r="A39" s="23"/>
      <c r="B39" s="22"/>
      <c r="C39" s="22"/>
      <c r="D39" s="22"/>
      <c r="E39" s="22"/>
      <c r="F39" s="22"/>
      <c r="G39" s="22"/>
      <c r="H39" s="22"/>
      <c r="I39" s="22"/>
      <c r="J39" s="22"/>
      <c r="K39" s="22"/>
    </row>
  </sheetData>
  <pageMargins left="0.22" right="0" top="0.75" bottom="0.75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S.Robles</cp:lastModifiedBy>
  <cp:lastPrinted>2012-09-12T05:12:20Z</cp:lastPrinted>
  <dcterms:created xsi:type="dcterms:W3CDTF">2012-09-11T17:58:25Z</dcterms:created>
  <dcterms:modified xsi:type="dcterms:W3CDTF">2012-09-16T05:21:22Z</dcterms:modified>
</cp:coreProperties>
</file>