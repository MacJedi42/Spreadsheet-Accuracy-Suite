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" yWindow="4608" windowWidth="17016" windowHeight="4848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83" i="1" l="1"/>
  <c r="P483" i="1"/>
  <c r="U483" i="1" s="1"/>
  <c r="Q483" i="1"/>
  <c r="R483" i="1"/>
  <c r="S483" i="1"/>
  <c r="T483" i="1"/>
  <c r="V483" i="1"/>
  <c r="W483" i="1"/>
  <c r="X483" i="1"/>
  <c r="Y483" i="1"/>
  <c r="Z483" i="1"/>
  <c r="N483" i="1"/>
  <c r="A483" i="1"/>
  <c r="Y482" i="1" l="1"/>
  <c r="X482" i="1"/>
  <c r="W482" i="1"/>
  <c r="V482" i="1"/>
  <c r="Q482" i="1"/>
  <c r="P482" i="1"/>
  <c r="O482" i="1"/>
  <c r="N482" i="1"/>
  <c r="T482" i="1" s="1"/>
  <c r="A482" i="1"/>
  <c r="U482" i="1" l="1"/>
  <c r="R482" i="1"/>
  <c r="Z482" i="1"/>
  <c r="S482" i="1"/>
  <c r="O481" i="1"/>
  <c r="P481" i="1"/>
  <c r="U481" i="1" s="1"/>
  <c r="Q481" i="1"/>
  <c r="R481" i="1"/>
  <c r="S481" i="1"/>
  <c r="T481" i="1"/>
  <c r="V481" i="1"/>
  <c r="W481" i="1"/>
  <c r="X481" i="1"/>
  <c r="Y481" i="1"/>
  <c r="Z481" i="1"/>
  <c r="N481" i="1"/>
  <c r="A481" i="1"/>
  <c r="O480" i="1" l="1"/>
  <c r="P480" i="1"/>
  <c r="U480" i="1" s="1"/>
  <c r="Q480" i="1"/>
  <c r="R480" i="1"/>
  <c r="S480" i="1"/>
  <c r="T480" i="1"/>
  <c r="V480" i="1"/>
  <c r="W480" i="1"/>
  <c r="X480" i="1"/>
  <c r="Y480" i="1"/>
  <c r="Z480" i="1"/>
  <c r="N480" i="1"/>
  <c r="A480" i="1"/>
  <c r="O479" i="1" l="1"/>
  <c r="P479" i="1"/>
  <c r="U479" i="1" s="1"/>
  <c r="Q479" i="1"/>
  <c r="R479" i="1"/>
  <c r="S479" i="1"/>
  <c r="T479" i="1"/>
  <c r="V479" i="1"/>
  <c r="W479" i="1"/>
  <c r="X479" i="1"/>
  <c r="Y479" i="1"/>
  <c r="Z479" i="1"/>
  <c r="N479" i="1"/>
  <c r="A479" i="1"/>
  <c r="O478" i="1" l="1"/>
  <c r="P478" i="1"/>
  <c r="U478" i="1" s="1"/>
  <c r="Q478" i="1"/>
  <c r="R478" i="1"/>
  <c r="S478" i="1"/>
  <c r="T478" i="1"/>
  <c r="V478" i="1"/>
  <c r="W478" i="1"/>
  <c r="X478" i="1"/>
  <c r="Y478" i="1"/>
  <c r="Z478" i="1" s="1"/>
  <c r="N478" i="1"/>
  <c r="A478" i="1"/>
  <c r="O477" i="1" l="1"/>
  <c r="P477" i="1"/>
  <c r="U477" i="1" s="1"/>
  <c r="Q477" i="1"/>
  <c r="R477" i="1"/>
  <c r="S477" i="1"/>
  <c r="T477" i="1"/>
  <c r="V477" i="1"/>
  <c r="W477" i="1"/>
  <c r="X477" i="1"/>
  <c r="Y477" i="1"/>
  <c r="Z477" i="1" s="1"/>
  <c r="N477" i="1"/>
  <c r="A477" i="1"/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<sst xmlns="http://schemas.openxmlformats.org/spreadsheetml/2006/main" count="45" uniqueCount="35">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</sst>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5712"/>
        <c:axId val="56278016"/>
      </c:barChart>
      <c:catAx>
        <c:axId val="56275712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2780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56278016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27571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data'!$A$461:$A$483</c:f>
              <c:numCache>
                <c:formatCode>m/d/yy;@</c:formatCode>
                <c:ptCount val="23"/>
                <c:pt idx="0">
                  <c:v>41769</c:v>
                </c:pt>
                <c:pt idx="1">
                  <c:v>41776</c:v>
                </c:pt>
                <c:pt idx="2">
                  <c:v>41783</c:v>
                </c:pt>
                <c:pt idx="3">
                  <c:v>41790</c:v>
                </c:pt>
                <c:pt idx="4">
                  <c:v>41797</c:v>
                </c:pt>
                <c:pt idx="5">
                  <c:v>41804</c:v>
                </c:pt>
                <c:pt idx="6">
                  <c:v>41811</c:v>
                </c:pt>
                <c:pt idx="7">
                  <c:v>41818</c:v>
                </c:pt>
                <c:pt idx="8">
                  <c:v>41825</c:v>
                </c:pt>
                <c:pt idx="9">
                  <c:v>41832</c:v>
                </c:pt>
                <c:pt idx="10">
                  <c:v>41839</c:v>
                </c:pt>
                <c:pt idx="11">
                  <c:v>41846</c:v>
                </c:pt>
                <c:pt idx="12">
                  <c:v>41853</c:v>
                </c:pt>
                <c:pt idx="13">
                  <c:v>41860</c:v>
                </c:pt>
                <c:pt idx="14">
                  <c:v>41867</c:v>
                </c:pt>
                <c:pt idx="15">
                  <c:v>41874</c:v>
                </c:pt>
                <c:pt idx="16">
                  <c:v>41881</c:v>
                </c:pt>
                <c:pt idx="17">
                  <c:v>41888</c:v>
                </c:pt>
                <c:pt idx="18">
                  <c:v>41895</c:v>
                </c:pt>
                <c:pt idx="19">
                  <c:v>41902</c:v>
                </c:pt>
                <c:pt idx="20">
                  <c:v>41909</c:v>
                </c:pt>
                <c:pt idx="21">
                  <c:v>41916</c:v>
                </c:pt>
                <c:pt idx="22">
                  <c:v>41923</c:v>
                </c:pt>
              </c:numCache>
            </c:numRef>
          </c:cat>
          <c:val>
            <c:numRef>
              <c:f>'upbound data'!$B$461:$B$483</c:f>
              <c:numCache>
                <c:formatCode>General</c:formatCode>
                <c:ptCount val="23"/>
                <c:pt idx="0">
                  <c:v>396</c:v>
                </c:pt>
                <c:pt idx="1">
                  <c:v>396</c:v>
                </c:pt>
                <c:pt idx="2">
                  <c:v>380</c:v>
                </c:pt>
                <c:pt idx="3">
                  <c:v>386</c:v>
                </c:pt>
                <c:pt idx="4">
                  <c:v>380</c:v>
                </c:pt>
                <c:pt idx="5">
                  <c:v>404</c:v>
                </c:pt>
                <c:pt idx="6">
                  <c:v>393</c:v>
                </c:pt>
                <c:pt idx="7">
                  <c:v>469</c:v>
                </c:pt>
                <c:pt idx="8">
                  <c:v>284</c:v>
                </c:pt>
                <c:pt idx="9">
                  <c:v>297</c:v>
                </c:pt>
                <c:pt idx="10">
                  <c:v>391</c:v>
                </c:pt>
                <c:pt idx="11">
                  <c:v>392</c:v>
                </c:pt>
                <c:pt idx="12">
                  <c:v>327</c:v>
                </c:pt>
                <c:pt idx="13">
                  <c:v>248</c:v>
                </c:pt>
                <c:pt idx="14">
                  <c:v>189</c:v>
                </c:pt>
                <c:pt idx="15">
                  <c:v>143</c:v>
                </c:pt>
                <c:pt idx="16">
                  <c:v>143</c:v>
                </c:pt>
                <c:pt idx="17">
                  <c:v>128</c:v>
                </c:pt>
                <c:pt idx="18">
                  <c:v>113</c:v>
                </c:pt>
                <c:pt idx="19">
                  <c:v>126</c:v>
                </c:pt>
                <c:pt idx="20">
                  <c:v>134</c:v>
                </c:pt>
                <c:pt idx="21">
                  <c:v>131</c:v>
                </c:pt>
                <c:pt idx="22">
                  <c:v>111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data'!$A$461:$A$483</c:f>
              <c:numCache>
                <c:formatCode>m/d/yy;@</c:formatCode>
                <c:ptCount val="23"/>
                <c:pt idx="0">
                  <c:v>41769</c:v>
                </c:pt>
                <c:pt idx="1">
                  <c:v>41776</c:v>
                </c:pt>
                <c:pt idx="2">
                  <c:v>41783</c:v>
                </c:pt>
                <c:pt idx="3">
                  <c:v>41790</c:v>
                </c:pt>
                <c:pt idx="4">
                  <c:v>41797</c:v>
                </c:pt>
                <c:pt idx="5">
                  <c:v>41804</c:v>
                </c:pt>
                <c:pt idx="6">
                  <c:v>41811</c:v>
                </c:pt>
                <c:pt idx="7">
                  <c:v>41818</c:v>
                </c:pt>
                <c:pt idx="8">
                  <c:v>41825</c:v>
                </c:pt>
                <c:pt idx="9">
                  <c:v>41832</c:v>
                </c:pt>
                <c:pt idx="10">
                  <c:v>41839</c:v>
                </c:pt>
                <c:pt idx="11">
                  <c:v>41846</c:v>
                </c:pt>
                <c:pt idx="12">
                  <c:v>41853</c:v>
                </c:pt>
                <c:pt idx="13">
                  <c:v>41860</c:v>
                </c:pt>
                <c:pt idx="14">
                  <c:v>41867</c:v>
                </c:pt>
                <c:pt idx="15">
                  <c:v>41874</c:v>
                </c:pt>
                <c:pt idx="16">
                  <c:v>41881</c:v>
                </c:pt>
                <c:pt idx="17">
                  <c:v>41888</c:v>
                </c:pt>
                <c:pt idx="18">
                  <c:v>41895</c:v>
                </c:pt>
                <c:pt idx="19">
                  <c:v>41902</c:v>
                </c:pt>
                <c:pt idx="20">
                  <c:v>41909</c:v>
                </c:pt>
                <c:pt idx="21">
                  <c:v>41916</c:v>
                </c:pt>
                <c:pt idx="22">
                  <c:v>41923</c:v>
                </c:pt>
              </c:numCache>
            </c:numRef>
          </c:cat>
          <c:val>
            <c:numRef>
              <c:f>'upbound data'!$F$461:$F$483</c:f>
              <c:numCache>
                <c:formatCode>General</c:formatCode>
                <c:ptCount val="23"/>
                <c:pt idx="0">
                  <c:v>6</c:v>
                </c:pt>
                <c:pt idx="1">
                  <c:v>1</c:v>
                </c:pt>
                <c:pt idx="2">
                  <c:v>7</c:v>
                </c:pt>
                <c:pt idx="3">
                  <c:v>4</c:v>
                </c:pt>
                <c:pt idx="4">
                  <c:v>4</c:v>
                </c:pt>
                <c:pt idx="5">
                  <c:v>6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4</c:v>
                </c:pt>
                <c:pt idx="10">
                  <c:v>14</c:v>
                </c:pt>
                <c:pt idx="11">
                  <c:v>4</c:v>
                </c:pt>
                <c:pt idx="12">
                  <c:v>20</c:v>
                </c:pt>
                <c:pt idx="13">
                  <c:v>2</c:v>
                </c:pt>
                <c:pt idx="14">
                  <c:v>10</c:v>
                </c:pt>
                <c:pt idx="15">
                  <c:v>11</c:v>
                </c:pt>
                <c:pt idx="16">
                  <c:v>0</c:v>
                </c:pt>
                <c:pt idx="17">
                  <c:v>19</c:v>
                </c:pt>
                <c:pt idx="18">
                  <c:v>17</c:v>
                </c:pt>
                <c:pt idx="19">
                  <c:v>15</c:v>
                </c:pt>
                <c:pt idx="20">
                  <c:v>16</c:v>
                </c:pt>
                <c:pt idx="21">
                  <c:v>29</c:v>
                </c:pt>
                <c:pt idx="22">
                  <c:v>24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data'!$A$461:$A$483</c:f>
              <c:numCache>
                <c:formatCode>m/d/yy;@</c:formatCode>
                <c:ptCount val="23"/>
                <c:pt idx="0">
                  <c:v>41769</c:v>
                </c:pt>
                <c:pt idx="1">
                  <c:v>41776</c:v>
                </c:pt>
                <c:pt idx="2">
                  <c:v>41783</c:v>
                </c:pt>
                <c:pt idx="3">
                  <c:v>41790</c:v>
                </c:pt>
                <c:pt idx="4">
                  <c:v>41797</c:v>
                </c:pt>
                <c:pt idx="5">
                  <c:v>41804</c:v>
                </c:pt>
                <c:pt idx="6">
                  <c:v>41811</c:v>
                </c:pt>
                <c:pt idx="7">
                  <c:v>41818</c:v>
                </c:pt>
                <c:pt idx="8">
                  <c:v>41825</c:v>
                </c:pt>
                <c:pt idx="9">
                  <c:v>41832</c:v>
                </c:pt>
                <c:pt idx="10">
                  <c:v>41839</c:v>
                </c:pt>
                <c:pt idx="11">
                  <c:v>41846</c:v>
                </c:pt>
                <c:pt idx="12">
                  <c:v>41853</c:v>
                </c:pt>
                <c:pt idx="13">
                  <c:v>41860</c:v>
                </c:pt>
                <c:pt idx="14">
                  <c:v>41867</c:v>
                </c:pt>
                <c:pt idx="15">
                  <c:v>41874</c:v>
                </c:pt>
                <c:pt idx="16">
                  <c:v>41881</c:v>
                </c:pt>
                <c:pt idx="17">
                  <c:v>41888</c:v>
                </c:pt>
                <c:pt idx="18">
                  <c:v>41895</c:v>
                </c:pt>
                <c:pt idx="19">
                  <c:v>41902</c:v>
                </c:pt>
                <c:pt idx="20">
                  <c:v>41909</c:v>
                </c:pt>
                <c:pt idx="21">
                  <c:v>41916</c:v>
                </c:pt>
                <c:pt idx="22">
                  <c:v>41923</c:v>
                </c:pt>
              </c:numCache>
            </c:numRef>
          </c:cat>
          <c:val>
            <c:numRef>
              <c:f>'upbound data'!$J$461:$J$483</c:f>
              <c:numCache>
                <c:formatCode>General</c:formatCode>
                <c:ptCount val="23"/>
                <c:pt idx="0">
                  <c:v>206</c:v>
                </c:pt>
                <c:pt idx="1">
                  <c:v>252</c:v>
                </c:pt>
                <c:pt idx="2">
                  <c:v>262</c:v>
                </c:pt>
                <c:pt idx="3">
                  <c:v>208</c:v>
                </c:pt>
                <c:pt idx="4">
                  <c:v>203</c:v>
                </c:pt>
                <c:pt idx="5">
                  <c:v>232</c:v>
                </c:pt>
                <c:pt idx="6">
                  <c:v>190</c:v>
                </c:pt>
                <c:pt idx="7">
                  <c:v>233</c:v>
                </c:pt>
                <c:pt idx="8">
                  <c:v>197</c:v>
                </c:pt>
                <c:pt idx="9">
                  <c:v>181</c:v>
                </c:pt>
                <c:pt idx="10">
                  <c:v>84</c:v>
                </c:pt>
                <c:pt idx="11">
                  <c:v>182</c:v>
                </c:pt>
                <c:pt idx="12">
                  <c:v>146</c:v>
                </c:pt>
                <c:pt idx="13">
                  <c:v>166</c:v>
                </c:pt>
                <c:pt idx="14">
                  <c:v>185</c:v>
                </c:pt>
                <c:pt idx="15">
                  <c:v>43</c:v>
                </c:pt>
                <c:pt idx="16">
                  <c:v>234</c:v>
                </c:pt>
                <c:pt idx="17">
                  <c:v>96</c:v>
                </c:pt>
                <c:pt idx="18">
                  <c:v>77</c:v>
                </c:pt>
                <c:pt idx="19">
                  <c:v>243</c:v>
                </c:pt>
                <c:pt idx="20">
                  <c:v>123</c:v>
                </c:pt>
                <c:pt idx="21">
                  <c:v>196</c:v>
                </c:pt>
                <c:pt idx="22">
                  <c:v>194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88512"/>
        <c:axId val="73306880"/>
      </c:lineChart>
      <c:dateAx>
        <c:axId val="7228851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3306880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73306880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288512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October 11:  329 total barges, down 27 barges from the previous week, and 31.7 percent below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3"/>
  <sheetViews>
    <sheetView zoomScale="80" zoomScaleNormal="80" workbookViewId="0">
      <pane xSplit="1" ySplit="6" topLeftCell="B460" activePane="bottomRight" state="frozen"/>
      <selection pane="topRight" activeCell="B1" sqref="B1"/>
      <selection pane="bottomLeft" activeCell="A5" sqref="A5"/>
      <selection pane="bottomRight" activeCell="Z483" sqref="Z483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83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81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.2" thickBot="1" x14ac:dyDescent="0.35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.2" thickBot="1" x14ac:dyDescent="0.35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" si="2825">SUM(B475,D475,F475,H475,J475,L475)</f>
        <v>729</v>
      </c>
      <c r="P475" s="22">
        <f t="shared" ref="P475" si="2826">SUM(C475,E475,G475,I475,K475,M475)</f>
        <v>2543</v>
      </c>
      <c r="Q475" s="22">
        <f t="shared" ref="Q475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.2" thickBot="1" x14ac:dyDescent="0.35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  <row r="477" spans="1:27" ht="16.2" thickBot="1" x14ac:dyDescent="0.35">
      <c r="A477" s="20">
        <f t="shared" si="2292"/>
        <v>41881</v>
      </c>
      <c r="B477" s="22">
        <v>143</v>
      </c>
      <c r="C477" s="22">
        <v>671</v>
      </c>
      <c r="D477" s="22">
        <v>102</v>
      </c>
      <c r="E477" s="22">
        <v>684</v>
      </c>
      <c r="F477" s="22">
        <v>0</v>
      </c>
      <c r="G477" s="22">
        <v>36</v>
      </c>
      <c r="H477" s="22">
        <v>54</v>
      </c>
      <c r="I477" s="22">
        <v>128</v>
      </c>
      <c r="J477" s="22">
        <v>234</v>
      </c>
      <c r="K477" s="22">
        <v>971</v>
      </c>
      <c r="L477" s="22">
        <v>382</v>
      </c>
      <c r="M477" s="22">
        <v>787</v>
      </c>
      <c r="N477" s="43">
        <f t="shared" si="2668"/>
        <v>377</v>
      </c>
      <c r="O477" s="22">
        <f t="shared" ref="O477" si="2849">SUM(B477,D477,F477,H477,J477,L477)</f>
        <v>915</v>
      </c>
      <c r="P477" s="22">
        <f t="shared" ref="P477" si="2850">SUM(C477,E477,G477,I477,K477,M477)</f>
        <v>3277</v>
      </c>
      <c r="Q477" s="22">
        <f t="shared" ref="Q477" si="2851">SUM(D477,H477,L477)</f>
        <v>538</v>
      </c>
      <c r="R477" s="34">
        <f t="shared" ref="R477" si="2852">(N477-N476)/N476</f>
        <v>0.91370558375634514</v>
      </c>
      <c r="S477" s="32">
        <f t="shared" ref="S477" si="2853">N477-N476</f>
        <v>180</v>
      </c>
      <c r="T477" s="34">
        <f t="shared" ref="T477" si="2854">(N477-N425)/N425</f>
        <v>0.34163701067615659</v>
      </c>
      <c r="U477" s="34">
        <f t="shared" ref="U477" si="2855">N477/P477</f>
        <v>0.11504424778761062</v>
      </c>
      <c r="V477" s="40">
        <f t="shared" ref="V477" si="2856">AVERAGE(B321,B373,B425)</f>
        <v>102.33333333333333</v>
      </c>
      <c r="W477" s="40">
        <f t="shared" ref="W477" si="2857">AVERAGE(F321,F373,F425)</f>
        <v>19.333333333333332</v>
      </c>
      <c r="X477" s="40">
        <f t="shared" ref="X477" si="2858">AVERAGE(J321,J373,J425)</f>
        <v>221.33333333333334</v>
      </c>
      <c r="Y477" s="40">
        <f t="shared" ref="Y477" si="2859">AVERAGE(N321,N373,N425)</f>
        <v>343</v>
      </c>
      <c r="Z477" s="61">
        <f t="shared" ref="Z477" si="2860">(N477-Y477)/Y477</f>
        <v>9.9125364431486881E-2</v>
      </c>
      <c r="AA477" s="61"/>
    </row>
    <row r="478" spans="1:27" ht="16.2" thickBot="1" x14ac:dyDescent="0.35">
      <c r="A478" s="20">
        <f t="shared" si="2292"/>
        <v>41888</v>
      </c>
      <c r="B478" s="22">
        <v>128</v>
      </c>
      <c r="C478" s="22">
        <v>421</v>
      </c>
      <c r="D478" s="22">
        <v>105</v>
      </c>
      <c r="E478" s="22">
        <v>469</v>
      </c>
      <c r="F478" s="22">
        <v>19</v>
      </c>
      <c r="G478" s="22">
        <v>64</v>
      </c>
      <c r="H478" s="22">
        <v>6</v>
      </c>
      <c r="I478" s="22">
        <v>33</v>
      </c>
      <c r="J478" s="22">
        <v>96</v>
      </c>
      <c r="K478" s="22">
        <v>399</v>
      </c>
      <c r="L478" s="22">
        <v>295</v>
      </c>
      <c r="M478" s="22">
        <v>532</v>
      </c>
      <c r="N478" s="43">
        <f t="shared" si="2668"/>
        <v>243</v>
      </c>
      <c r="O478" s="22">
        <f t="shared" ref="O478" si="2861">SUM(B478,D478,F478,H478,J478,L478)</f>
        <v>649</v>
      </c>
      <c r="P478" s="22">
        <f t="shared" ref="P478" si="2862">SUM(C478,E478,G478,I478,K478,M478)</f>
        <v>1918</v>
      </c>
      <c r="Q478" s="22">
        <f t="shared" ref="Q478" si="2863">SUM(D478,H478,L478)</f>
        <v>406</v>
      </c>
      <c r="R478" s="34">
        <f t="shared" ref="R478" si="2864">(N478-N477)/N477</f>
        <v>-0.35543766578249336</v>
      </c>
      <c r="S478" s="32">
        <f t="shared" ref="S478" si="2865">N478-N477</f>
        <v>-134</v>
      </c>
      <c r="T478" s="34">
        <f t="shared" ref="T478" si="2866">(N478-N426)/N426</f>
        <v>-0.35199999999999998</v>
      </c>
      <c r="U478" s="34">
        <f t="shared" ref="U478" si="2867">N478/P478</f>
        <v>0.12669447340980189</v>
      </c>
      <c r="V478" s="40">
        <f t="shared" ref="V478" si="2868">AVERAGE(B322,B374,B426)</f>
        <v>98.666666666666671</v>
      </c>
      <c r="W478" s="40">
        <f t="shared" ref="W478" si="2869">AVERAGE(F322,F374,F426)</f>
        <v>34.333333333333336</v>
      </c>
      <c r="X478" s="40">
        <f t="shared" ref="X478" si="2870">AVERAGE(J322,J374,J426)</f>
        <v>239.66666666666666</v>
      </c>
      <c r="Y478" s="40">
        <f t="shared" ref="Y478" si="2871">AVERAGE(N322,N374,N426)</f>
        <v>372.66666666666669</v>
      </c>
      <c r="Z478" s="61">
        <f t="shared" ref="Z478" si="2872">(N478-Y478)/Y478</f>
        <v>-0.34794275491949916</v>
      </c>
      <c r="AA478" s="61"/>
    </row>
    <row r="479" spans="1:27" ht="16.2" thickBot="1" x14ac:dyDescent="0.35">
      <c r="A479" s="20">
        <f t="shared" si="2292"/>
        <v>41895</v>
      </c>
      <c r="B479" s="22">
        <v>113</v>
      </c>
      <c r="C479" s="22">
        <v>542</v>
      </c>
      <c r="D479" s="22">
        <v>116</v>
      </c>
      <c r="E479" s="22">
        <v>497</v>
      </c>
      <c r="F479" s="22">
        <v>17</v>
      </c>
      <c r="G479" s="22">
        <v>90</v>
      </c>
      <c r="H479" s="22">
        <v>11</v>
      </c>
      <c r="I479" s="22">
        <v>38</v>
      </c>
      <c r="J479" s="22">
        <v>77</v>
      </c>
      <c r="K479" s="22">
        <v>512</v>
      </c>
      <c r="L479" s="22">
        <v>310</v>
      </c>
      <c r="M479" s="22">
        <v>580</v>
      </c>
      <c r="N479" s="43">
        <f t="shared" si="2668"/>
        <v>207</v>
      </c>
      <c r="O479" s="22">
        <f t="shared" ref="O479" si="2873">SUM(B479,D479,F479,H479,J479,L479)</f>
        <v>644</v>
      </c>
      <c r="P479" s="22">
        <f t="shared" ref="P479" si="2874">SUM(C479,E479,G479,I479,K479,M479)</f>
        <v>2259</v>
      </c>
      <c r="Q479" s="22">
        <f t="shared" ref="Q479" si="2875">SUM(D479,H479,L479)</f>
        <v>437</v>
      </c>
      <c r="R479" s="34">
        <f t="shared" ref="R479" si="2876">(N479-N478)/N478</f>
        <v>-0.14814814814814814</v>
      </c>
      <c r="S479" s="32">
        <f t="shared" ref="S479" si="2877">N479-N478</f>
        <v>-36</v>
      </c>
      <c r="T479" s="34">
        <f t="shared" ref="T479" si="2878">(N479-N427)/N427</f>
        <v>-0.25270758122743681</v>
      </c>
      <c r="U479" s="34">
        <f t="shared" ref="U479" si="2879">N479/P479</f>
        <v>9.1633466135458169E-2</v>
      </c>
      <c r="V479" s="40">
        <f t="shared" ref="V479" si="2880">AVERAGE(B323,B375,B427)</f>
        <v>103</v>
      </c>
      <c r="W479" s="40">
        <f t="shared" ref="W479" si="2881">AVERAGE(F323,F375,F427)</f>
        <v>32.333333333333336</v>
      </c>
      <c r="X479" s="40">
        <f t="shared" ref="X479" si="2882">AVERAGE(J323,J375,J427)</f>
        <v>193.33333333333334</v>
      </c>
      <c r="Y479" s="40">
        <f t="shared" ref="Y479" si="2883">AVERAGE(N323,N375,N427)</f>
        <v>328.66666666666669</v>
      </c>
      <c r="Z479" s="61">
        <f t="shared" ref="Z479" si="2884">(N479-Y479)/Y479</f>
        <v>-0.37018255578093312</v>
      </c>
      <c r="AA479" s="61"/>
    </row>
    <row r="480" spans="1:27" ht="16.2" thickBot="1" x14ac:dyDescent="0.35">
      <c r="A480" s="20">
        <f t="shared" si="2292"/>
        <v>41902</v>
      </c>
      <c r="B480" s="22">
        <v>126</v>
      </c>
      <c r="C480" s="22">
        <v>386</v>
      </c>
      <c r="D480" s="22">
        <v>120</v>
      </c>
      <c r="E480" s="22">
        <v>437</v>
      </c>
      <c r="F480" s="22">
        <v>15</v>
      </c>
      <c r="G480" s="22">
        <v>102</v>
      </c>
      <c r="H480" s="22">
        <v>9</v>
      </c>
      <c r="I480" s="22">
        <v>90</v>
      </c>
      <c r="J480" s="22">
        <v>243</v>
      </c>
      <c r="K480" s="22">
        <v>864</v>
      </c>
      <c r="L480" s="22">
        <v>310</v>
      </c>
      <c r="M480" s="22">
        <v>793</v>
      </c>
      <c r="N480" s="43">
        <f t="shared" si="2668"/>
        <v>384</v>
      </c>
      <c r="O480" s="22">
        <f t="shared" ref="O480" si="2885">SUM(B480,D480,F480,H480,J480,L480)</f>
        <v>823</v>
      </c>
      <c r="P480" s="22">
        <f t="shared" ref="P480" si="2886">SUM(C480,E480,G480,I480,K480,M480)</f>
        <v>2672</v>
      </c>
      <c r="Q480" s="22">
        <f t="shared" ref="Q480" si="2887">SUM(D480,H480,L480)</f>
        <v>439</v>
      </c>
      <c r="R480" s="34">
        <f t="shared" ref="R480" si="2888">(N480-N479)/N479</f>
        <v>0.85507246376811596</v>
      </c>
      <c r="S480" s="32">
        <f t="shared" ref="S480" si="2889">N480-N479</f>
        <v>177</v>
      </c>
      <c r="T480" s="34">
        <f t="shared" ref="T480" si="2890">(N480-N428)/N428</f>
        <v>-0.18123667377398719</v>
      </c>
      <c r="U480" s="34">
        <f t="shared" ref="U480" si="2891">N480/P480</f>
        <v>0.1437125748502994</v>
      </c>
      <c r="V480" s="40">
        <f t="shared" ref="V480" si="2892">AVERAGE(B324,B376,B428)</f>
        <v>89.666666666666671</v>
      </c>
      <c r="W480" s="40">
        <f t="shared" ref="W480" si="2893">AVERAGE(F324,F376,F428)</f>
        <v>31.666666666666668</v>
      </c>
      <c r="X480" s="40">
        <f t="shared" ref="X480" si="2894">AVERAGE(J324,J376,J428)</f>
        <v>299</v>
      </c>
      <c r="Y480" s="40">
        <f t="shared" ref="Y480" si="2895">AVERAGE(N324,N376,N428)</f>
        <v>420.33333333333331</v>
      </c>
      <c r="Z480" s="61">
        <f t="shared" ref="Z480" si="2896">(N480-Y480)/Y480</f>
        <v>-8.6439333862014231E-2</v>
      </c>
      <c r="AA480" s="61"/>
    </row>
    <row r="481" spans="1:27" ht="16.2" thickBot="1" x14ac:dyDescent="0.35">
      <c r="A481" s="20">
        <f t="shared" si="2292"/>
        <v>41909</v>
      </c>
      <c r="B481" s="22">
        <v>134</v>
      </c>
      <c r="C481" s="22">
        <v>450</v>
      </c>
      <c r="D481" s="22">
        <v>167</v>
      </c>
      <c r="E481" s="22">
        <v>486</v>
      </c>
      <c r="F481" s="22">
        <v>16</v>
      </c>
      <c r="G481" s="22">
        <v>55</v>
      </c>
      <c r="H481" s="22">
        <v>13</v>
      </c>
      <c r="I481" s="22">
        <v>75</v>
      </c>
      <c r="J481" s="22">
        <v>123</v>
      </c>
      <c r="K481" s="22">
        <v>578</v>
      </c>
      <c r="L481" s="22">
        <v>280</v>
      </c>
      <c r="M481" s="22">
        <v>655</v>
      </c>
      <c r="N481" s="43">
        <f t="shared" si="2668"/>
        <v>273</v>
      </c>
      <c r="O481" s="22">
        <f t="shared" ref="O481" si="2897">SUM(B481,D481,F481,H481,J481,L481)</f>
        <v>733</v>
      </c>
      <c r="P481" s="22">
        <f t="shared" ref="P481" si="2898">SUM(C481,E481,G481,I481,K481,M481)</f>
        <v>2299</v>
      </c>
      <c r="Q481" s="22">
        <f t="shared" ref="Q481" si="2899">SUM(D481,H481,L481)</f>
        <v>460</v>
      </c>
      <c r="R481" s="34">
        <f t="shared" ref="R481" si="2900">(N481-N480)/N480</f>
        <v>-0.2890625</v>
      </c>
      <c r="S481" s="32">
        <f t="shared" ref="S481" si="2901">N481-N480</f>
        <v>-111</v>
      </c>
      <c r="T481" s="34">
        <f t="shared" ref="T481" si="2902">(N481-N429)/N429</f>
        <v>-2.8469750889679714E-2</v>
      </c>
      <c r="U481" s="34">
        <f t="shared" ref="U481" si="2903">N481/P481</f>
        <v>0.11874728142670726</v>
      </c>
      <c r="V481" s="40">
        <f t="shared" ref="V481" si="2904">AVERAGE(B325,B377,B429)</f>
        <v>153.33333333333334</v>
      </c>
      <c r="W481" s="40">
        <f t="shared" ref="W481" si="2905">AVERAGE(F325,F377,F429)</f>
        <v>23.666666666666668</v>
      </c>
      <c r="X481" s="40">
        <f t="shared" ref="X481" si="2906">AVERAGE(J325,J377,J429)</f>
        <v>275.66666666666669</v>
      </c>
      <c r="Y481" s="40">
        <f t="shared" ref="Y481" si="2907">AVERAGE(N325,N377,N429)</f>
        <v>452.66666666666669</v>
      </c>
      <c r="Z481" s="61">
        <f t="shared" ref="Z481" si="2908">(N481-Y481)/Y481</f>
        <v>-0.39690721649484539</v>
      </c>
      <c r="AA481" s="61"/>
    </row>
    <row r="482" spans="1:27" ht="16.2" thickBot="1" x14ac:dyDescent="0.35">
      <c r="A482" s="20">
        <f t="shared" si="2292"/>
        <v>41916</v>
      </c>
      <c r="B482" s="22">
        <v>131</v>
      </c>
      <c r="C482" s="22">
        <v>539</v>
      </c>
      <c r="D482" s="22">
        <v>89</v>
      </c>
      <c r="E482" s="22">
        <v>504</v>
      </c>
      <c r="F482" s="22">
        <v>29</v>
      </c>
      <c r="G482" s="22">
        <v>88</v>
      </c>
      <c r="H482" s="22">
        <v>13</v>
      </c>
      <c r="I482" s="22">
        <v>104</v>
      </c>
      <c r="J482" s="22">
        <v>196</v>
      </c>
      <c r="K482" s="22">
        <v>658</v>
      </c>
      <c r="L482" s="22">
        <v>296</v>
      </c>
      <c r="M482" s="22">
        <v>710</v>
      </c>
      <c r="N482" s="43">
        <f t="shared" ref="N482:N483" si="2909">SUM(B482,F482,J482)</f>
        <v>356</v>
      </c>
      <c r="O482" s="22">
        <f t="shared" ref="O482" si="2910">SUM(B482,D482,F482,H482,J482,L482)</f>
        <v>754</v>
      </c>
      <c r="P482" s="22">
        <f t="shared" ref="P482" si="2911">SUM(C482,E482,G482,I482,K482,M482)</f>
        <v>2603</v>
      </c>
      <c r="Q482" s="22">
        <f t="shared" ref="Q482" si="2912">SUM(D482,H482,L482)</f>
        <v>398</v>
      </c>
      <c r="R482" s="34">
        <f t="shared" ref="R482" si="2913">(N482-N481)/N481</f>
        <v>0.304029304029304</v>
      </c>
      <c r="S482" s="32">
        <f t="shared" ref="S482" si="2914">N482-N481</f>
        <v>83</v>
      </c>
      <c r="T482" s="34">
        <f t="shared" ref="T482" si="2915">(N482-N430)/N430</f>
        <v>-3.2608695652173912E-2</v>
      </c>
      <c r="U482" s="34">
        <f t="shared" ref="U482" si="2916">N482/P482</f>
        <v>0.13676527084133691</v>
      </c>
      <c r="V482" s="40">
        <f t="shared" ref="V482" si="2917">AVERAGE(B326,B378,B430)</f>
        <v>166.33333333333334</v>
      </c>
      <c r="W482" s="40">
        <f t="shared" ref="W482" si="2918">AVERAGE(F326,F378,F430)</f>
        <v>32</v>
      </c>
      <c r="X482" s="40">
        <f t="shared" ref="X482" si="2919">AVERAGE(J326,J378,J430)</f>
        <v>257.66666666666669</v>
      </c>
      <c r="Y482" s="40">
        <f t="shared" ref="Y482" si="2920">AVERAGE(N326,N378,N430)</f>
        <v>456</v>
      </c>
      <c r="Z482" s="61">
        <f t="shared" ref="Z482" si="2921">(N482-Y482)/Y482</f>
        <v>-0.21929824561403508</v>
      </c>
      <c r="AA482" s="61"/>
    </row>
    <row r="483" spans="1:27" ht="16.2" thickBot="1" x14ac:dyDescent="0.35">
      <c r="A483" s="20">
        <f t="shared" si="2292"/>
        <v>41923</v>
      </c>
      <c r="B483" s="22">
        <v>111</v>
      </c>
      <c r="C483" s="22">
        <v>498</v>
      </c>
      <c r="D483" s="22">
        <v>57</v>
      </c>
      <c r="E483" s="22">
        <v>473</v>
      </c>
      <c r="F483" s="22">
        <v>24</v>
      </c>
      <c r="G483" s="22">
        <v>88</v>
      </c>
      <c r="H483" s="22">
        <v>17</v>
      </c>
      <c r="I483" s="22">
        <v>77</v>
      </c>
      <c r="J483" s="22">
        <v>194</v>
      </c>
      <c r="K483" s="22">
        <v>562</v>
      </c>
      <c r="L483" s="22">
        <v>281</v>
      </c>
      <c r="M483" s="22">
        <v>740</v>
      </c>
      <c r="N483" s="43">
        <f t="shared" si="2909"/>
        <v>329</v>
      </c>
      <c r="O483" s="22">
        <f t="shared" ref="O483" si="2922">SUM(B483,D483,F483,H483,J483,L483)</f>
        <v>684</v>
      </c>
      <c r="P483" s="22">
        <f t="shared" ref="P483" si="2923">SUM(C483,E483,G483,I483,K483,M483)</f>
        <v>2438</v>
      </c>
      <c r="Q483" s="22">
        <f t="shared" ref="Q483" si="2924">SUM(D483,H483,L483)</f>
        <v>355</v>
      </c>
      <c r="R483" s="34">
        <f t="shared" ref="R483" si="2925">(N483-N482)/N482</f>
        <v>-7.5842696629213488E-2</v>
      </c>
      <c r="S483" s="32">
        <f t="shared" ref="S483" si="2926">N483-N482</f>
        <v>-27</v>
      </c>
      <c r="T483" s="34">
        <f t="shared" ref="T483" si="2927">(N483-N431)/N431</f>
        <v>-0.36240310077519378</v>
      </c>
      <c r="U483" s="34">
        <f t="shared" ref="U483" si="2928">N483/P483</f>
        <v>0.13494667760459392</v>
      </c>
      <c r="V483" s="40">
        <f t="shared" ref="V483" si="2929">AVERAGE(B327,B379,B431)</f>
        <v>157.66666666666666</v>
      </c>
      <c r="W483" s="40">
        <f t="shared" ref="W483" si="2930">AVERAGE(F327,F379,F431)</f>
        <v>26.666666666666668</v>
      </c>
      <c r="X483" s="40">
        <f t="shared" ref="X483" si="2931">AVERAGE(J327,J379,J431)</f>
        <v>297.33333333333331</v>
      </c>
      <c r="Y483" s="40">
        <f t="shared" ref="Y483" si="2932">AVERAGE(N327,N379,N431)</f>
        <v>481.66666666666669</v>
      </c>
      <c r="Z483" s="61">
        <f t="shared" ref="Z483" si="2933">(N483-Y483)/Y483</f>
        <v>-0.31695501730103809</v>
      </c>
      <c r="AA483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2014-10-14T13:47:54Z</dcterms:modified>
</cp:coreProperties>
</file>