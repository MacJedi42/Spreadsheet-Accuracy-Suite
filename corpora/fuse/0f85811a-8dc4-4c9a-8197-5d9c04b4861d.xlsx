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17400" windowHeight="9975"/>
  </bookViews>
  <sheets>
    <sheet name="Sheet1" sheetId="1" r:id="rId1"/>
  </sheets>
  <definedNames>
    <definedName name="_xlnm.Print_Area" localSheetId="0">Sheet1!$A$1:$J$44</definedName>
  </definedNames>
  <calcPr calcId="145621"/>
</workbook>
</file>

<file path=xl/calcChain.xml><?xml version="1.0" encoding="utf-8"?>
<calcChain xmlns="http://schemas.openxmlformats.org/spreadsheetml/2006/main">
  <c r="B29" i="1"/>
  <c r="B30" s="1"/>
  <c r="J28"/>
  <c r="J27"/>
  <c r="J26"/>
  <c r="J25"/>
  <c r="J24"/>
  <c r="J23"/>
  <c r="J22"/>
  <c r="J21"/>
  <c r="J20"/>
  <c r="J19"/>
  <c r="J18"/>
  <c r="J17"/>
  <c r="J16"/>
  <c r="J15"/>
  <c r="J13"/>
  <c r="J12"/>
  <c r="J11"/>
  <c r="J10"/>
  <c r="J9"/>
  <c r="G29" l="1"/>
  <c r="G30" s="1"/>
  <c r="H29"/>
  <c r="H30" s="1"/>
  <c r="D29" l="1"/>
  <c r="D30" s="1"/>
  <c r="C29"/>
  <c r="C30" s="1"/>
  <c r="J14" l="1"/>
  <c r="I29"/>
  <c r="I30" s="1"/>
  <c r="E29" l="1"/>
  <c r="E30" s="1"/>
  <c r="F29"/>
  <c r="F30" s="1"/>
  <c r="J30" l="1"/>
</calcChain>
</file>

<file path=xl/sharedStrings.xml><?xml version="1.0" encoding="utf-8"?>
<sst xmlns="http://schemas.openxmlformats.org/spreadsheetml/2006/main" count="62" uniqueCount="47">
  <si>
    <t xml:space="preserve">Milestone A.  </t>
  </si>
  <si>
    <t xml:space="preserve">Milestone B.  </t>
  </si>
  <si>
    <t xml:space="preserve">Milestone C.  </t>
  </si>
  <si>
    <t xml:space="preserve">Milestone D.  </t>
  </si>
  <si>
    <t>Sub-Milestones</t>
  </si>
  <si>
    <t>NA</t>
  </si>
  <si>
    <t>Anticipated # of Milestone Payments</t>
  </si>
  <si>
    <t>Analytical - Soil</t>
  </si>
  <si>
    <t>Analytical - Water</t>
  </si>
  <si>
    <t>Analytical - Vapor</t>
  </si>
  <si>
    <t>Other Analytical</t>
  </si>
  <si>
    <t>Geoprobe / Driller</t>
  </si>
  <si>
    <t>Professional Surveyor</t>
  </si>
  <si>
    <t>Other (specify)</t>
  </si>
  <si>
    <t>Direct Costs</t>
  </si>
  <si>
    <t>Schedule of Unit Rates</t>
  </si>
  <si>
    <t>Additional / Reduced Cost per Unit</t>
  </si>
  <si>
    <t>Notes</t>
  </si>
  <si>
    <r>
      <t>Other Direct Costs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(ODCs)</t>
    </r>
  </si>
  <si>
    <r>
      <t xml:space="preserve">ODC </t>
    </r>
    <r>
      <rPr>
        <sz val="11"/>
        <color theme="1"/>
        <rFont val="Calibri"/>
        <family val="2"/>
      </rPr>
      <t>≥ $5,000 (Specify)</t>
    </r>
    <r>
      <rPr>
        <vertAlign val="superscript"/>
        <sz val="11"/>
        <color theme="1"/>
        <rFont val="Calibri"/>
        <family val="2"/>
      </rPr>
      <t>2</t>
    </r>
  </si>
  <si>
    <r>
      <t>Subcontracted Costs</t>
    </r>
    <r>
      <rPr>
        <b/>
        <vertAlign val="superscript"/>
        <sz val="14"/>
        <color theme="1"/>
        <rFont val="Calibri"/>
        <family val="2"/>
        <scheme val="minor"/>
      </rPr>
      <t>3</t>
    </r>
  </si>
  <si>
    <t>2 - Direct costs that are ≥ $5,000 should be listed individually.</t>
  </si>
  <si>
    <t>Milestone Description</t>
  </si>
  <si>
    <t>Cost Subtotals</t>
  </si>
  <si>
    <t>Labor (total)</t>
  </si>
  <si>
    <t>Preparation of Site Characterization Report</t>
  </si>
  <si>
    <t>Geophysical Surveyor</t>
  </si>
  <si>
    <t>Cost Per Sub-Milestone:</t>
  </si>
  <si>
    <t>Total Milestone Cost:</t>
  </si>
  <si>
    <t>1 - Sum of individual direct costs other than Labor.  Each individual direct cost included in the sum must be &lt;$5,000.  For example, vehicle charges, rental and/or disposable equipment, reproduction costs, and per diem.</t>
  </si>
  <si>
    <t>3 - Details related to subcontracted costs are required by the Solicitor.  Copies of subcontractor quotations shall be provided separately in the bid to assist in the bid evaluation.</t>
  </si>
  <si>
    <t>- Bidders can only enter information into the blue cells of the Bid Form.  Bidders shall not insert or delete columns or rows.</t>
  </si>
  <si>
    <t>- Bidders shall enter costs for each Direct Cost/Subcontracted Cost based on the proposed payment for achieving each milestone.  The "Total Milestone Cost" is the "Cost per Sub-Milestone" multiplied by the "Anticipated # of Milestone Payments"</t>
  </si>
  <si>
    <t xml:space="preserve">- In accordance with the Request for Bid, bidders must include a rate schedule that will be used for any out-of-scope work.  Failure to submit unit rate schedule(s) (separate from this attachment) may cause the submitted bid to be deemed incomplete and/or non-responsive. </t>
  </si>
  <si>
    <t xml:space="preserve">Milestone E.  </t>
  </si>
  <si>
    <t>Groundwater Sampling</t>
  </si>
  <si>
    <t xml:space="preserve">Milestone F.  </t>
  </si>
  <si>
    <t>Performance of Professional Land Survey</t>
  </si>
  <si>
    <t>Performance of Geophysical Survey and Engineering Evaluation of Underground Utilities</t>
  </si>
  <si>
    <t>Soil Boring Installation and Sampling</t>
  </si>
  <si>
    <t>Monitoring Well Installation, Development, Abandonment, and Refurbishment</t>
  </si>
  <si>
    <t>Soil Gas Sampling</t>
  </si>
  <si>
    <t>Single Well Aquifer Testing</t>
  </si>
  <si>
    <t>Milestone C. - All inclusive fixed unit-rate for the advancement of an additional 6 soil borings and the collection of 12 soil samples</t>
  </si>
  <si>
    <t xml:space="preserve">Milestone G.  </t>
  </si>
  <si>
    <t xml:space="preserve">Milestone H.  </t>
  </si>
  <si>
    <t>Milestone G. - All inclusive fixed unit-rate for a reduction in the number monitoring wells sampled ($/well)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</si>
</sst>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164" fontId="0" fillId="3" borderId="12" xfId="0" applyNumberFormat="1" applyFill="1" applyBorder="1" applyAlignment="1" applyProtection="1">
      <alignment horizontal="center"/>
      <protection locked="0"/>
    </xf>
    <xf numFmtId="164" fontId="0" fillId="3" borderId="11" xfId="0" applyNumberFormat="1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left" indent="2"/>
      <protection locked="0"/>
    </xf>
    <xf numFmtId="0" fontId="0" fillId="3" borderId="15" xfId="0" applyFill="1" applyBorder="1" applyAlignment="1" applyProtection="1">
      <alignment horizontal="left" indent="2"/>
      <protection locked="0"/>
    </xf>
    <xf numFmtId="164" fontId="0" fillId="3" borderId="14" xfId="0" applyNumberFormat="1" applyFill="1" applyBorder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164" fontId="0" fillId="3" borderId="21" xfId="0" applyNumberForma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Protection="1"/>
    <xf numFmtId="0" fontId="3" fillId="4" borderId="5" xfId="0" applyFont="1" applyFill="1" applyBorder="1" applyAlignment="1" applyProtection="1">
      <alignment horizontal="center" wrapText="1"/>
    </xf>
    <xf numFmtId="0" fontId="3" fillId="4" borderId="2" xfId="0" applyFont="1" applyFill="1" applyBorder="1" applyAlignment="1" applyProtection="1">
      <alignment horizontal="center" wrapText="1"/>
    </xf>
    <xf numFmtId="0" fontId="0" fillId="0" borderId="3" xfId="0" applyBorder="1" applyAlignment="1" applyProtection="1">
      <alignment horizontal="center" wrapText="1"/>
    </xf>
    <xf numFmtId="0" fontId="0" fillId="4" borderId="8" xfId="0" applyFill="1" applyBorder="1" applyAlignment="1" applyProtection="1">
      <alignment horizontal="center" vertical="center"/>
    </xf>
    <xf numFmtId="0" fontId="0" fillId="4" borderId="7" xfId="0" applyFill="1" applyBorder="1" applyAlignment="1" applyProtection="1">
      <alignment horizontal="center" vertical="center" wrapText="1"/>
    </xf>
    <xf numFmtId="0" fontId="0" fillId="4" borderId="4" xfId="0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wrapText="1"/>
    </xf>
    <xf numFmtId="0" fontId="0" fillId="4" borderId="8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7" fillId="0" borderId="18" xfId="0" applyFont="1" applyBorder="1" applyAlignment="1" applyProtection="1">
      <alignment horizontal="left"/>
    </xf>
    <xf numFmtId="0" fontId="0" fillId="0" borderId="13" xfId="0" applyFont="1" applyBorder="1" applyAlignment="1" applyProtection="1">
      <alignment horizontal="left" indent="2"/>
    </xf>
    <xf numFmtId="0" fontId="7" fillId="0" borderId="13" xfId="0" applyFont="1" applyBorder="1" applyAlignment="1" applyProtection="1">
      <alignment horizontal="left"/>
    </xf>
    <xf numFmtId="0" fontId="0" fillId="0" borderId="13" xfId="0" applyBorder="1" applyAlignment="1" applyProtection="1">
      <alignment horizontal="left" indent="2"/>
    </xf>
    <xf numFmtId="0" fontId="0" fillId="2" borderId="6" xfId="0" applyFill="1" applyBorder="1" applyProtection="1"/>
    <xf numFmtId="164" fontId="0" fillId="2" borderId="6" xfId="0" applyNumberForma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164" fontId="0" fillId="0" borderId="1" xfId="0" applyNumberFormat="1" applyFill="1" applyBorder="1" applyAlignment="1" applyProtection="1">
      <alignment horizontal="center"/>
    </xf>
    <xf numFmtId="164" fontId="0" fillId="0" borderId="7" xfId="0" applyNumberFormat="1" applyFill="1" applyBorder="1" applyAlignment="1" applyProtection="1">
      <alignment horizontal="center"/>
    </xf>
    <xf numFmtId="164" fontId="0" fillId="5" borderId="12" xfId="0" applyNumberForma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164" fontId="0" fillId="0" borderId="7" xfId="0" applyNumberFormat="1" applyBorder="1" applyAlignment="1" applyProtection="1">
      <alignment horizontal="center"/>
    </xf>
    <xf numFmtId="0" fontId="0" fillId="4" borderId="1" xfId="0" applyFill="1" applyBorder="1" applyAlignment="1" applyProtection="1">
      <alignment horizontal="center" vertical="center" wrapText="1"/>
    </xf>
    <xf numFmtId="164" fontId="0" fillId="0" borderId="22" xfId="0" applyNumberFormat="1" applyFill="1" applyBorder="1" applyAlignment="1" applyProtection="1">
      <alignment horizontal="center"/>
    </xf>
    <xf numFmtId="164" fontId="0" fillId="0" borderId="0" xfId="0" applyNumberFormat="1" applyFill="1" applyBorder="1" applyAlignment="1" applyProtection="1">
      <alignment horizontal="center"/>
    </xf>
    <xf numFmtId="0" fontId="3" fillId="0" borderId="0" xfId="0" applyFont="1" applyProtection="1"/>
    <xf numFmtId="0" fontId="0" fillId="0" borderId="0" xfId="0" quotePrefix="1" applyFont="1" applyAlignment="1" applyProtection="1"/>
    <xf numFmtId="0" fontId="0" fillId="0" borderId="0" xfId="0" applyFont="1" applyAlignment="1" applyProtection="1"/>
    <xf numFmtId="0" fontId="0" fillId="0" borderId="22" xfId="0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</xf>
    <xf numFmtId="0" fontId="0" fillId="0" borderId="0" xfId="0" quotePrefix="1" applyFont="1" applyAlignment="1" applyProtection="1">
      <alignment wrapText="1"/>
    </xf>
    <xf numFmtId="0" fontId="0" fillId="0" borderId="0" xfId="0" applyFont="1" applyAlignment="1" applyProtection="1">
      <alignment wrapText="1"/>
    </xf>
    <xf numFmtId="0" fontId="0" fillId="0" borderId="0" xfId="0" quotePrefix="1" applyFont="1" applyAlignment="1" applyProtection="1">
      <alignment horizontal="left" wrapText="1"/>
    </xf>
    <xf numFmtId="0" fontId="0" fillId="0" borderId="0" xfId="0" applyFont="1" applyAlignment="1" applyProtection="1">
      <alignment horizontal="left" wrapText="1"/>
    </xf>
    <xf numFmtId="0" fontId="0" fillId="4" borderId="2" xfId="0" applyFill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vertical="center"/>
    </xf>
    <xf numFmtId="0" fontId="0" fillId="0" borderId="7" xfId="0" applyFill="1" applyBorder="1" applyAlignment="1" applyProtection="1">
      <alignment horizontal="center" vertical="center"/>
    </xf>
    <xf numFmtId="0" fontId="0" fillId="0" borderId="5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4" borderId="8" xfId="0" applyFill="1" applyBorder="1" applyAlignment="1" applyProtection="1">
      <alignment horizontal="center" vertical="center"/>
    </xf>
    <xf numFmtId="0" fontId="0" fillId="4" borderId="10" xfId="0" applyFill="1" applyBorder="1" applyAlignment="1" applyProtection="1">
      <alignment horizontal="center" vertical="center"/>
    </xf>
    <xf numFmtId="0" fontId="0" fillId="4" borderId="9" xfId="0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wrapText="1"/>
    </xf>
    <xf numFmtId="0" fontId="0" fillId="0" borderId="6" xfId="0" applyFill="1" applyBorder="1" applyAlignment="1" applyProtection="1">
      <alignment horizontal="center" wrapText="1"/>
    </xf>
    <xf numFmtId="0" fontId="0" fillId="0" borderId="7" xfId="0" applyFill="1" applyBorder="1" applyAlignment="1" applyProtection="1">
      <alignment horizontal="center" wrapText="1"/>
    </xf>
    <xf numFmtId="0" fontId="0" fillId="0" borderId="18" xfId="0" applyBorder="1" applyAlignment="1" applyProtection="1">
      <alignment horizontal="left" vertical="center" wrapText="1"/>
    </xf>
    <xf numFmtId="0" fontId="0" fillId="0" borderId="19" xfId="0" applyBorder="1" applyAlignment="1" applyProtection="1">
      <alignment horizontal="left" vertical="center" wrapText="1"/>
    </xf>
    <xf numFmtId="0" fontId="0" fillId="0" borderId="20" xfId="0" applyBorder="1" applyAlignment="1" applyProtection="1">
      <alignment horizontal="left" vertical="center" wrapText="1"/>
    </xf>
    <xf numFmtId="0" fontId="0" fillId="0" borderId="15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0" fillId="0" borderId="16" xfId="0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1"/>
  <sheetViews>
    <sheetView tabSelected="1" view="pageBreakPreview" zoomScale="85" zoomScaleNormal="100" zoomScaleSheetLayoutView="85" workbookViewId="0">
      <selection activeCell="J11" sqref="J11"/>
    </sheetView>
  </sheetViews>
  <sheetFormatPr defaultRowHeight="15"/>
  <cols>
    <col min="1" max="1" width="41.85546875" style="1" customWidth="1"/>
    <col min="2" max="9" width="22.7109375" style="1" customWidth="1"/>
    <col min="10" max="10" width="20.5703125" style="1" customWidth="1"/>
    <col min="11" max="16384" width="9.140625" style="1"/>
  </cols>
  <sheetData>
    <row r="1" spans="1:13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3" ht="15.75" thickBot="1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3" ht="15.75" thickBot="1">
      <c r="A3" s="12"/>
      <c r="B3" s="13" t="s">
        <v>0</v>
      </c>
      <c r="C3" s="14" t="s">
        <v>1</v>
      </c>
      <c r="D3" s="14" t="s">
        <v>2</v>
      </c>
      <c r="E3" s="14" t="s">
        <v>3</v>
      </c>
      <c r="F3" s="13" t="s">
        <v>34</v>
      </c>
      <c r="G3" s="13" t="s">
        <v>36</v>
      </c>
      <c r="H3" s="13" t="s">
        <v>44</v>
      </c>
      <c r="I3" s="13" t="s">
        <v>45</v>
      </c>
      <c r="J3" s="15"/>
      <c r="K3" s="2"/>
      <c r="L3" s="2"/>
      <c r="M3" s="2"/>
    </row>
    <row r="4" spans="1:13" ht="75.75" thickBot="1">
      <c r="A4" s="16" t="s">
        <v>22</v>
      </c>
      <c r="B4" s="17" t="s">
        <v>37</v>
      </c>
      <c r="C4" s="18" t="s">
        <v>38</v>
      </c>
      <c r="D4" s="18" t="s">
        <v>39</v>
      </c>
      <c r="E4" s="18" t="s">
        <v>40</v>
      </c>
      <c r="F4" s="17" t="s">
        <v>41</v>
      </c>
      <c r="G4" s="17" t="s">
        <v>42</v>
      </c>
      <c r="H4" s="17" t="s">
        <v>35</v>
      </c>
      <c r="I4" s="17" t="s">
        <v>25</v>
      </c>
      <c r="J4" s="19"/>
    </row>
    <row r="5" spans="1:13" ht="15" customHeight="1">
      <c r="A5" s="47" t="s">
        <v>4</v>
      </c>
      <c r="B5" s="49" t="s">
        <v>5</v>
      </c>
      <c r="C5" s="49" t="s">
        <v>5</v>
      </c>
      <c r="D5" s="49" t="s">
        <v>5</v>
      </c>
      <c r="E5" s="51" t="s">
        <v>5</v>
      </c>
      <c r="F5" s="49" t="s">
        <v>5</v>
      </c>
      <c r="G5" s="49" t="s">
        <v>5</v>
      </c>
      <c r="H5" s="49" t="s">
        <v>5</v>
      </c>
      <c r="I5" s="49" t="s">
        <v>5</v>
      </c>
      <c r="J5" s="56" t="s">
        <v>23</v>
      </c>
    </row>
    <row r="6" spans="1:13" ht="15.75" thickBot="1">
      <c r="A6" s="48"/>
      <c r="B6" s="50"/>
      <c r="C6" s="50"/>
      <c r="D6" s="50"/>
      <c r="E6" s="52"/>
      <c r="F6" s="50"/>
      <c r="G6" s="50"/>
      <c r="H6" s="50"/>
      <c r="I6" s="50"/>
      <c r="J6" s="57"/>
    </row>
    <row r="7" spans="1:13" ht="15.75" thickBot="1">
      <c r="A7" s="20" t="s">
        <v>6</v>
      </c>
      <c r="B7" s="21">
        <v>1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  <c r="I7" s="21">
        <v>1</v>
      </c>
      <c r="J7" s="58"/>
    </row>
    <row r="8" spans="1:13" ht="18.75">
      <c r="A8" s="22" t="s">
        <v>14</v>
      </c>
      <c r="B8" s="26"/>
      <c r="C8" s="26"/>
      <c r="D8" s="26"/>
      <c r="E8" s="27"/>
      <c r="F8" s="27"/>
      <c r="G8" s="27"/>
      <c r="H8" s="27"/>
      <c r="I8" s="27"/>
      <c r="J8" s="27"/>
    </row>
    <row r="9" spans="1:13">
      <c r="A9" s="23" t="s">
        <v>24</v>
      </c>
      <c r="B9" s="3"/>
      <c r="C9" s="3"/>
      <c r="D9" s="3"/>
      <c r="E9" s="3"/>
      <c r="F9" s="3"/>
      <c r="G9" s="3"/>
      <c r="H9" s="3"/>
      <c r="I9" s="3"/>
      <c r="J9" s="32">
        <f>(B9*$B$7)+(C9*$C$7)+(D9*$D$7)+(E9*$E$7)+(F9*$F$7)+(G9*$G$7)+($H$7*H9)+($I$7*I9)</f>
        <v>0</v>
      </c>
    </row>
    <row r="10" spans="1:13" ht="17.25">
      <c r="A10" s="23" t="s">
        <v>18</v>
      </c>
      <c r="B10" s="4"/>
      <c r="C10" s="4"/>
      <c r="D10" s="4"/>
      <c r="E10" s="4"/>
      <c r="F10" s="4"/>
      <c r="G10" s="4"/>
      <c r="H10" s="4"/>
      <c r="I10" s="4"/>
      <c r="J10" s="32">
        <f>(B10*$B$7)+(C10*$C$7)+(D10*$D$7)+(E10*$E$7)+(F10*$F$7)+(G10*$G$7)+($H$7*H10)+($I$7*I10)</f>
        <v>0</v>
      </c>
    </row>
    <row r="11" spans="1:13" ht="17.25">
      <c r="A11" s="5" t="s">
        <v>19</v>
      </c>
      <c r="B11" s="4"/>
      <c r="C11" s="4"/>
      <c r="D11" s="4"/>
      <c r="E11" s="4"/>
      <c r="F11" s="4"/>
      <c r="G11" s="4"/>
      <c r="H11" s="4"/>
      <c r="I11" s="4"/>
      <c r="J11" s="32">
        <f>(B11*$B$7)+(C11*$C$7)+(D11*$D$7)+(E11*$E$7)+(F11*$F$7)+(G11*$G$7)+($H$7*H11)+($I$7*I11)</f>
        <v>0</v>
      </c>
    </row>
    <row r="12" spans="1:13" ht="17.25">
      <c r="A12" s="5" t="s">
        <v>19</v>
      </c>
      <c r="B12" s="3"/>
      <c r="C12" s="3"/>
      <c r="D12" s="3"/>
      <c r="E12" s="3"/>
      <c r="F12" s="3"/>
      <c r="G12" s="3"/>
      <c r="H12" s="3"/>
      <c r="I12" s="3"/>
      <c r="J12" s="32">
        <f>(B12*$B$7)+(C12*$C$7)+(D12*$D$7)+(E12*$E$7)+(F12*$F$7)+(G12*$G$7)+($H$7*H12)+($I$7*I12)</f>
        <v>0</v>
      </c>
    </row>
    <row r="13" spans="1:13" ht="17.25">
      <c r="A13" s="5" t="s">
        <v>19</v>
      </c>
      <c r="B13" s="3"/>
      <c r="C13" s="3"/>
      <c r="D13" s="3"/>
      <c r="E13" s="3"/>
      <c r="F13" s="3"/>
      <c r="G13" s="3"/>
      <c r="H13" s="3"/>
      <c r="I13" s="3"/>
      <c r="J13" s="32">
        <f>(B13*$B$7)+(C13*$C$7)+(D13*$D$7)+(E13*$E$7)+(F13*$F$7)+(G13*$G$7)+($H$7*H13)+($I$7*I13)</f>
        <v>0</v>
      </c>
    </row>
    <row r="14" spans="1:13" ht="21">
      <c r="A14" s="24" t="s">
        <v>20</v>
      </c>
      <c r="B14" s="26">
        <v>6</v>
      </c>
      <c r="C14" s="26"/>
      <c r="D14" s="26"/>
      <c r="E14" s="28"/>
      <c r="F14" s="28"/>
      <c r="G14" s="28"/>
      <c r="H14" s="28"/>
      <c r="I14" s="28"/>
      <c r="J14" s="28" t="e">
        <f>#REF!*$B$7</f>
        <v>#REF!</v>
      </c>
    </row>
    <row r="15" spans="1:13">
      <c r="A15" s="25" t="s">
        <v>8</v>
      </c>
      <c r="B15" s="4"/>
      <c r="C15" s="4"/>
      <c r="D15" s="4"/>
      <c r="E15" s="4"/>
      <c r="F15" s="4"/>
      <c r="G15" s="4"/>
      <c r="H15" s="4"/>
      <c r="I15" s="4"/>
      <c r="J15" s="32">
        <f t="shared" ref="J15:J28" si="0">(B15*$B$7)+(C15*$C$7)+(D15*$D$7)+(E15*$E$7)+(F15*$F$7)+(G15*$G$7)+($H$7*H15)+($I$7*I15)</f>
        <v>0</v>
      </c>
    </row>
    <row r="16" spans="1:13">
      <c r="A16" s="25" t="s">
        <v>7</v>
      </c>
      <c r="B16" s="3"/>
      <c r="C16" s="3"/>
      <c r="D16" s="3"/>
      <c r="E16" s="3"/>
      <c r="F16" s="3"/>
      <c r="G16" s="3"/>
      <c r="H16" s="3"/>
      <c r="I16" s="3"/>
      <c r="J16" s="32">
        <f t="shared" si="0"/>
        <v>0</v>
      </c>
    </row>
    <row r="17" spans="1:12">
      <c r="A17" s="25" t="s">
        <v>9</v>
      </c>
      <c r="B17" s="3"/>
      <c r="C17" s="3"/>
      <c r="D17" s="3"/>
      <c r="E17" s="3"/>
      <c r="F17" s="3"/>
      <c r="G17" s="3"/>
      <c r="H17" s="3"/>
      <c r="I17" s="3"/>
      <c r="J17" s="32">
        <f t="shared" si="0"/>
        <v>0</v>
      </c>
    </row>
    <row r="18" spans="1:12">
      <c r="A18" s="25" t="s">
        <v>10</v>
      </c>
      <c r="B18" s="3"/>
      <c r="C18" s="3"/>
      <c r="D18" s="3"/>
      <c r="E18" s="3"/>
      <c r="F18" s="3"/>
      <c r="G18" s="3"/>
      <c r="H18" s="3"/>
      <c r="I18" s="3"/>
      <c r="J18" s="32">
        <f t="shared" si="0"/>
        <v>0</v>
      </c>
    </row>
    <row r="19" spans="1:12">
      <c r="A19" s="25" t="s">
        <v>12</v>
      </c>
      <c r="B19" s="3"/>
      <c r="C19" s="3"/>
      <c r="D19" s="3"/>
      <c r="E19" s="3"/>
      <c r="F19" s="3"/>
      <c r="G19" s="3"/>
      <c r="H19" s="3"/>
      <c r="I19" s="3"/>
      <c r="J19" s="32">
        <f t="shared" si="0"/>
        <v>0</v>
      </c>
    </row>
    <row r="20" spans="1:12">
      <c r="A20" s="25" t="s">
        <v>11</v>
      </c>
      <c r="B20" s="3"/>
      <c r="C20" s="3"/>
      <c r="D20" s="3"/>
      <c r="E20" s="3"/>
      <c r="F20" s="3"/>
      <c r="G20" s="3"/>
      <c r="H20" s="3"/>
      <c r="I20" s="3"/>
      <c r="J20" s="32">
        <f t="shared" si="0"/>
        <v>0</v>
      </c>
    </row>
    <row r="21" spans="1:12">
      <c r="A21" s="25" t="s">
        <v>26</v>
      </c>
      <c r="B21" s="3"/>
      <c r="C21" s="3"/>
      <c r="D21" s="3"/>
      <c r="E21" s="3"/>
      <c r="F21" s="3"/>
      <c r="G21" s="3"/>
      <c r="H21" s="3"/>
      <c r="I21" s="3"/>
      <c r="J21" s="32">
        <f t="shared" si="0"/>
        <v>0</v>
      </c>
    </row>
    <row r="22" spans="1:12">
      <c r="A22" s="5" t="s">
        <v>13</v>
      </c>
      <c r="B22" s="3"/>
      <c r="C22" s="3"/>
      <c r="D22" s="3"/>
      <c r="E22" s="3"/>
      <c r="F22" s="3"/>
      <c r="G22" s="3"/>
      <c r="H22" s="3"/>
      <c r="I22" s="3"/>
      <c r="J22" s="32">
        <f t="shared" si="0"/>
        <v>0</v>
      </c>
    </row>
    <row r="23" spans="1:12">
      <c r="A23" s="5" t="s">
        <v>13</v>
      </c>
      <c r="B23" s="3"/>
      <c r="C23" s="3"/>
      <c r="D23" s="3"/>
      <c r="E23" s="3"/>
      <c r="F23" s="3"/>
      <c r="G23" s="3"/>
      <c r="H23" s="3"/>
      <c r="I23" s="3"/>
      <c r="J23" s="32">
        <f t="shared" si="0"/>
        <v>0</v>
      </c>
    </row>
    <row r="24" spans="1:12">
      <c r="A24" s="5" t="s">
        <v>13</v>
      </c>
      <c r="B24" s="3"/>
      <c r="C24" s="3"/>
      <c r="D24" s="3"/>
      <c r="E24" s="3"/>
      <c r="F24" s="3"/>
      <c r="G24" s="3"/>
      <c r="H24" s="3"/>
      <c r="I24" s="3"/>
      <c r="J24" s="32">
        <f t="shared" si="0"/>
        <v>0</v>
      </c>
    </row>
    <row r="25" spans="1:12">
      <c r="A25" s="5" t="s">
        <v>13</v>
      </c>
      <c r="B25" s="3"/>
      <c r="C25" s="3"/>
      <c r="D25" s="3"/>
      <c r="E25" s="3"/>
      <c r="F25" s="3"/>
      <c r="G25" s="3"/>
      <c r="H25" s="3"/>
      <c r="I25" s="3"/>
      <c r="J25" s="32">
        <f t="shared" si="0"/>
        <v>0</v>
      </c>
    </row>
    <row r="26" spans="1:12">
      <c r="A26" s="5" t="s">
        <v>13</v>
      </c>
      <c r="B26" s="3"/>
      <c r="C26" s="3"/>
      <c r="D26" s="3"/>
      <c r="E26" s="3"/>
      <c r="F26" s="3"/>
      <c r="G26" s="3"/>
      <c r="H26" s="3"/>
      <c r="I26" s="3"/>
      <c r="J26" s="32">
        <f t="shared" si="0"/>
        <v>0</v>
      </c>
    </row>
    <row r="27" spans="1:12">
      <c r="A27" s="5" t="s">
        <v>13</v>
      </c>
      <c r="B27" s="3"/>
      <c r="C27" s="3"/>
      <c r="D27" s="3"/>
      <c r="E27" s="3"/>
      <c r="F27" s="3"/>
      <c r="G27" s="3"/>
      <c r="H27" s="3"/>
      <c r="I27" s="3"/>
      <c r="J27" s="32">
        <f t="shared" si="0"/>
        <v>0</v>
      </c>
    </row>
    <row r="28" spans="1:12" ht="15.75" thickBot="1">
      <c r="A28" s="6" t="s">
        <v>13</v>
      </c>
      <c r="B28" s="7"/>
      <c r="C28" s="7"/>
      <c r="D28" s="7"/>
      <c r="E28" s="7"/>
      <c r="F28" s="7"/>
      <c r="G28" s="7"/>
      <c r="H28" s="7"/>
      <c r="I28" s="7"/>
      <c r="J28" s="32">
        <f t="shared" si="0"/>
        <v>0</v>
      </c>
      <c r="L28" s="8"/>
    </row>
    <row r="29" spans="1:12" ht="15.75" thickBot="1">
      <c r="A29" s="29" t="s">
        <v>27</v>
      </c>
      <c r="B29" s="30">
        <f>SUM(B9:B13,B15:B28)</f>
        <v>0</v>
      </c>
      <c r="C29" s="30">
        <f t="shared" ref="C29:D29" si="1">SUM(C9:C13,C15:C28)</f>
        <v>0</v>
      </c>
      <c r="D29" s="30">
        <f t="shared" si="1"/>
        <v>0</v>
      </c>
      <c r="E29" s="30">
        <f t="shared" ref="E29:F29" si="2">SUM(E9:E13,E15:E28)</f>
        <v>0</v>
      </c>
      <c r="F29" s="30">
        <f t="shared" si="2"/>
        <v>0</v>
      </c>
      <c r="G29" s="30">
        <f t="shared" ref="G29:H29" si="3">SUM(G9:G13,G15:G28)</f>
        <v>0</v>
      </c>
      <c r="H29" s="30">
        <f t="shared" si="3"/>
        <v>0</v>
      </c>
      <c r="I29" s="30">
        <f t="shared" ref="I29" si="4">SUM(I9:I13,I15:I28)</f>
        <v>0</v>
      </c>
      <c r="J29" s="33"/>
      <c r="L29" s="8"/>
    </row>
    <row r="30" spans="1:12" ht="15.75" thickBot="1">
      <c r="A30" s="29" t="s">
        <v>28</v>
      </c>
      <c r="B30" s="31">
        <f>B7*B29</f>
        <v>0</v>
      </c>
      <c r="C30" s="31">
        <f t="shared" ref="C30" si="5">C7*C29</f>
        <v>0</v>
      </c>
      <c r="D30" s="31">
        <f>D7*D29</f>
        <v>0</v>
      </c>
      <c r="E30" s="31">
        <f t="shared" ref="E30" si="6">E7*E29</f>
        <v>0</v>
      </c>
      <c r="F30" s="31">
        <f>F7*F29</f>
        <v>0</v>
      </c>
      <c r="G30" s="31">
        <f>G7*G29</f>
        <v>0</v>
      </c>
      <c r="H30" s="31">
        <f>H7*H29</f>
        <v>0</v>
      </c>
      <c r="I30" s="31">
        <f>I7*I29</f>
        <v>0</v>
      </c>
      <c r="J30" s="34">
        <f>SUM(B30:I30)</f>
        <v>0</v>
      </c>
      <c r="K30" s="8"/>
      <c r="L30" s="8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L31" s="8"/>
    </row>
    <row r="32" spans="1:12" ht="15.7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30" customHeight="1" thickBot="1">
      <c r="A33" s="53" t="s">
        <v>15</v>
      </c>
      <c r="B33" s="54"/>
      <c r="C33" s="54"/>
      <c r="D33" s="54"/>
      <c r="E33" s="54"/>
      <c r="F33" s="54"/>
      <c r="G33" s="54"/>
      <c r="H33" s="54"/>
      <c r="I33" s="55"/>
      <c r="J33" s="35" t="s">
        <v>16</v>
      </c>
    </row>
    <row r="34" spans="1:10" ht="30" customHeight="1">
      <c r="A34" s="59" t="s">
        <v>43</v>
      </c>
      <c r="B34" s="60"/>
      <c r="C34" s="60"/>
      <c r="D34" s="60"/>
      <c r="E34" s="60"/>
      <c r="F34" s="60"/>
      <c r="G34" s="60"/>
      <c r="H34" s="60"/>
      <c r="I34" s="61"/>
      <c r="J34" s="9"/>
    </row>
    <row r="35" spans="1:10" ht="30" customHeight="1" thickBot="1">
      <c r="A35" s="62" t="s">
        <v>46</v>
      </c>
      <c r="B35" s="63"/>
      <c r="C35" s="63"/>
      <c r="D35" s="63"/>
      <c r="E35" s="63"/>
      <c r="F35" s="63"/>
      <c r="G35" s="63"/>
      <c r="H35" s="63"/>
      <c r="I35" s="64"/>
      <c r="J35" s="7"/>
    </row>
    <row r="36" spans="1:10" ht="30" customHeight="1">
      <c r="A36" s="41"/>
      <c r="B36" s="41"/>
      <c r="C36" s="41"/>
      <c r="D36" s="41"/>
      <c r="E36" s="41"/>
      <c r="F36" s="41"/>
      <c r="G36" s="41"/>
      <c r="H36" s="41"/>
      <c r="I36" s="41"/>
      <c r="J36" s="36"/>
    </row>
    <row r="37" spans="1:10" ht="30" customHeight="1">
      <c r="A37" s="42"/>
      <c r="B37" s="42"/>
      <c r="C37" s="42"/>
      <c r="D37" s="42"/>
      <c r="E37" s="42"/>
      <c r="F37" s="42"/>
      <c r="G37" s="42"/>
      <c r="H37" s="42"/>
      <c r="I37" s="42"/>
      <c r="J37" s="37"/>
    </row>
    <row r="38" spans="1:10" ht="30" customHeight="1">
      <c r="A38" s="38" t="s">
        <v>17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30" customHeight="1">
      <c r="A39" s="39" t="s">
        <v>31</v>
      </c>
      <c r="B39" s="40"/>
      <c r="C39" s="40"/>
      <c r="D39" s="40"/>
      <c r="E39" s="40"/>
      <c r="F39" s="40"/>
      <c r="G39" s="40"/>
      <c r="H39" s="40"/>
      <c r="I39" s="12"/>
      <c r="J39" s="12"/>
    </row>
    <row r="40" spans="1:10" ht="30" customHeight="1">
      <c r="A40" s="43" t="s">
        <v>32</v>
      </c>
      <c r="B40" s="44"/>
      <c r="C40" s="44"/>
      <c r="D40" s="44"/>
      <c r="E40" s="44"/>
      <c r="F40" s="44"/>
      <c r="G40" s="44"/>
      <c r="H40" s="44"/>
      <c r="I40" s="44"/>
      <c r="J40" s="12"/>
    </row>
    <row r="41" spans="1:10" ht="30" customHeight="1">
      <c r="A41" s="45" t="s">
        <v>33</v>
      </c>
      <c r="B41" s="46"/>
      <c r="C41" s="46"/>
      <c r="D41" s="46"/>
      <c r="E41" s="46"/>
      <c r="F41" s="46"/>
      <c r="G41" s="46"/>
      <c r="H41" s="46"/>
      <c r="I41" s="46"/>
      <c r="J41" s="12"/>
    </row>
    <row r="42" spans="1:10" ht="30" customHeight="1">
      <c r="A42" s="40" t="s">
        <v>29</v>
      </c>
      <c r="B42" s="40"/>
      <c r="C42" s="40"/>
      <c r="D42" s="40"/>
      <c r="E42" s="40"/>
      <c r="F42" s="40"/>
      <c r="G42" s="40"/>
      <c r="H42" s="40"/>
      <c r="I42" s="12"/>
      <c r="J42" s="12"/>
    </row>
    <row r="43" spans="1:10" ht="30" customHeight="1">
      <c r="A43" s="40" t="s">
        <v>21</v>
      </c>
      <c r="B43" s="40"/>
      <c r="C43" s="40"/>
      <c r="D43" s="40"/>
      <c r="E43" s="40"/>
      <c r="F43" s="40"/>
      <c r="G43" s="40"/>
      <c r="H43" s="40"/>
      <c r="I43" s="12"/>
      <c r="J43" s="12"/>
    </row>
    <row r="44" spans="1:10" ht="30" customHeight="1">
      <c r="A44" s="40" t="s">
        <v>30</v>
      </c>
      <c r="B44" s="40"/>
      <c r="C44" s="40"/>
      <c r="D44" s="40"/>
      <c r="E44" s="40"/>
      <c r="F44" s="40"/>
      <c r="G44" s="40"/>
      <c r="H44" s="40"/>
      <c r="I44" s="12"/>
      <c r="J44" s="12"/>
    </row>
    <row r="45" spans="1:10" ht="15.75">
      <c r="A45" s="10"/>
    </row>
    <row r="46" spans="1:10" ht="15.75">
      <c r="A46" s="10"/>
    </row>
    <row r="47" spans="1:10" ht="15.75">
      <c r="A47" s="10"/>
    </row>
    <row r="49" spans="1:1">
      <c r="A49" s="11"/>
    </row>
    <row r="50" spans="1:1">
      <c r="A50" s="11"/>
    </row>
    <row r="51" spans="1:1">
      <c r="A51" s="11"/>
    </row>
  </sheetData>
  <sheetProtection password="E92B" sheet="1" objects="1" scenarios="1"/>
  <protectedRanges>
    <protectedRange sqref="A49:A51" name="Schedule of Labor"/>
    <protectedRange sqref="B15:I28" name="Sub Costs"/>
    <protectedRange sqref="B10:I13" name="ODC costs"/>
    <protectedRange sqref="B9:I9" name="Labor"/>
    <protectedRange sqref="A22:A28" name="Subcontractor Other"/>
    <protectedRange sqref="A11:A13" name="ODC"/>
    <protectedRange sqref="J34:J37" name="Adders and Subtractors_1_1"/>
  </protectedRanges>
  <mergeCells count="17">
    <mergeCell ref="J5:J7"/>
    <mergeCell ref="A34:I34"/>
    <mergeCell ref="A35:I35"/>
    <mergeCell ref="C5:C6"/>
    <mergeCell ref="D5:D6"/>
    <mergeCell ref="G5:G6"/>
    <mergeCell ref="H5:H6"/>
    <mergeCell ref="A36:I36"/>
    <mergeCell ref="A37:I37"/>
    <mergeCell ref="A40:I40"/>
    <mergeCell ref="A41:I41"/>
    <mergeCell ref="A5:A6"/>
    <mergeCell ref="B5:B6"/>
    <mergeCell ref="E5:E6"/>
    <mergeCell ref="F5:F6"/>
    <mergeCell ref="A33:I33"/>
    <mergeCell ref="I5:I6"/>
  </mergeCells>
  <pageMargins left="1" right="0.7" top="0.75" bottom="0.75" header="0.3" footer="0.3"/>
  <pageSetup paperSize="3" scale="48" orientation="landscape" horizontalDpi="1200" verticalDpi="1200" r:id="rId1"/>
  <headerFooter>
    <oddHeader xml:space="preserve">&amp;CATTACHMENT 2
BID COST TABULATION WORKSHEET
Benick's Service Station, Glen Lyon, PA&amp;14
PADEP FACILITY ID #40-50096; USTIF CLAIM # 1997-0405(S)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 Morgan</dc:creator>
  <cp:lastModifiedBy>Amy Steiner</cp:lastModifiedBy>
  <cp:lastPrinted>2014-01-27T20:41:27Z</cp:lastPrinted>
  <dcterms:created xsi:type="dcterms:W3CDTF">2013-02-06T15:10:28Z</dcterms:created>
  <dcterms:modified xsi:type="dcterms:W3CDTF">2014-01-28T12:52:40Z</dcterms:modified>
</cp:coreProperties>
</file>