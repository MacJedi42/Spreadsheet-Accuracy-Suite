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15" yWindow="135" windowWidth="12120" windowHeight="8685" tabRatio="488" activeTab="1"/>
  </bookViews>
  <sheets>
    <sheet name="PP 7.20.09-8.02.09" sheetId="4" r:id="rId1"/>
    <sheet name="PP 7.06.09-7.19.09" sheetId="10" r:id="rId2"/>
  </sheets>
  <definedNames>
    <definedName name="_xlnm.Print_Area" localSheetId="1">'PP 7.06.09-7.19.09'!$A$1:$Q$41</definedName>
    <definedName name="_xlnm.Print_Area" localSheetId="0">'PP 7.20.09-8.02.09'!$A$1:$Q$41</definedName>
  </definedNames>
  <calcPr calcId="125725"/>
</workbook>
</file>

<file path=xl/calcChain.xml><?xml version="1.0" encoding="utf-8"?>
<calcChain xmlns="http://schemas.openxmlformats.org/spreadsheetml/2006/main">
  <c r="O29" i="10"/>
  <c r="M29"/>
  <c r="K29"/>
  <c r="I29"/>
  <c r="G29"/>
  <c r="E29"/>
  <c r="C29"/>
  <c r="O26"/>
  <c r="N30"/>
  <c r="M26"/>
  <c r="L30"/>
  <c r="K26"/>
  <c r="J30"/>
  <c r="I26"/>
  <c r="H30"/>
  <c r="G26"/>
  <c r="F30"/>
  <c r="E26"/>
  <c r="D30"/>
  <c r="C26"/>
  <c r="B30"/>
  <c r="P30"/>
  <c r="N24"/>
  <c r="P20"/>
  <c r="L24"/>
  <c r="J24"/>
  <c r="H24"/>
  <c r="F24"/>
  <c r="D24"/>
  <c r="B24"/>
  <c r="O11"/>
  <c r="M11"/>
  <c r="K11"/>
  <c r="I11"/>
  <c r="G11"/>
  <c r="E11"/>
  <c r="C11"/>
  <c r="O8"/>
  <c r="N12"/>
  <c r="M8"/>
  <c r="L12"/>
  <c r="K8"/>
  <c r="J12"/>
  <c r="I8"/>
  <c r="H12"/>
  <c r="G8"/>
  <c r="F12"/>
  <c r="E8"/>
  <c r="D12"/>
  <c r="C8"/>
  <c r="N6"/>
  <c r="P2"/>
  <c r="L6"/>
  <c r="J6"/>
  <c r="H6"/>
  <c r="F6"/>
  <c r="D6"/>
  <c r="B6"/>
  <c r="O29" i="4"/>
  <c r="M29"/>
  <c r="K29"/>
  <c r="I29"/>
  <c r="G29"/>
  <c r="E29"/>
  <c r="C29"/>
  <c r="O26"/>
  <c r="N30"/>
  <c r="M26"/>
  <c r="L30"/>
  <c r="K26"/>
  <c r="J30"/>
  <c r="I26"/>
  <c r="H30"/>
  <c r="G26"/>
  <c r="E26"/>
  <c r="C26"/>
  <c r="N24"/>
  <c r="L24"/>
  <c r="J24"/>
  <c r="H24"/>
  <c r="F24"/>
  <c r="D24"/>
  <c r="B24"/>
  <c r="P20"/>
  <c r="O11"/>
  <c r="M11"/>
  <c r="K11"/>
  <c r="I11"/>
  <c r="G11"/>
  <c r="E11"/>
  <c r="C11"/>
  <c r="O8"/>
  <c r="N12"/>
  <c r="M8"/>
  <c r="L12"/>
  <c r="K8"/>
  <c r="J12"/>
  <c r="I8"/>
  <c r="G8"/>
  <c r="E8"/>
  <c r="D12"/>
  <c r="C8"/>
  <c r="B12"/>
  <c r="N6"/>
  <c r="L6"/>
  <c r="J6"/>
  <c r="H6"/>
  <c r="F6"/>
  <c r="D6"/>
  <c r="B6"/>
  <c r="P2"/>
  <c r="F30"/>
  <c r="D30"/>
  <c r="B30"/>
  <c r="H12"/>
  <c r="F12"/>
  <c r="P30"/>
  <c r="B12" i="10"/>
  <c r="P12"/>
  <c r="P12" i="4"/>
</calcChain>
</file>

<file path=xl/sharedStrings.xml><?xml version="1.0" encoding="utf-8"?>
<sst xmlns="http://schemas.openxmlformats.org/spreadsheetml/2006/main" count="164" uniqueCount="26">
  <si>
    <t>Total</t>
  </si>
  <si>
    <t>Saturday</t>
  </si>
  <si>
    <t>Sunday</t>
  </si>
  <si>
    <t>Monday</t>
  </si>
  <si>
    <t>Tuesday</t>
  </si>
  <si>
    <t>Wednesday</t>
  </si>
  <si>
    <t>Thursday</t>
  </si>
  <si>
    <t>Friday</t>
  </si>
  <si>
    <t>Time In</t>
  </si>
  <si>
    <t>Time Out</t>
  </si>
  <si>
    <t>Employee signature</t>
  </si>
  <si>
    <t>Date</t>
  </si>
  <si>
    <t>Manager signature</t>
  </si>
  <si>
    <t>Week ending:</t>
  </si>
  <si>
    <t>Week starting:</t>
  </si>
  <si>
    <t>Total Hours Scheduled</t>
  </si>
  <si>
    <t>Employee name:</t>
  </si>
  <si>
    <t>Manager name:</t>
  </si>
  <si>
    <t xml:space="preserve"> </t>
  </si>
  <si>
    <t>By signing above, we certify that the information on this form is accurate and complete.</t>
  </si>
  <si>
    <t xml:space="preserve">· Only the total hours worked per day are transferred to the Biweekly Time Sheet </t>
  </si>
  <si>
    <t>· Overtime hours must be submitted on the Overtime Form with a copy of the employee's Weekly Time Card</t>
  </si>
  <si>
    <t>· Employees are to obtain approval from their supervisor before working overtime hours</t>
  </si>
  <si>
    <t>· Employees are to complete their daily in and out times, print, sign and submit this form to their supervisor at the end of the pay period</t>
  </si>
  <si>
    <t>· Supervisors are to keep employee's Weekly Time Cards on file for 4 years</t>
  </si>
  <si>
    <t>WAGE EMPLOYEE BIWEEKLY TIME CARD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</si>
</sst>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h:mm\ AM/PM;@"/>
    <numFmt numFmtId="165" formatCode="0.00_);[Red]\(0.00\)"/>
  </numFmts>
  <fonts count="23">
    <font>
      <sz val="10"/>
      <name val="Arial"/>
    </font>
    <font>
      <sz val="10"/>
      <name val="Century Gothic"/>
      <family val="2"/>
    </font>
    <font>
      <b/>
      <i/>
      <sz val="14"/>
      <name val="Century Gothic"/>
      <family val="2"/>
    </font>
    <font>
      <b/>
      <sz val="8"/>
      <name val="Century Gothic"/>
      <family val="2"/>
    </font>
    <font>
      <sz val="8"/>
      <name val="Century Gothic"/>
      <family val="2"/>
    </font>
    <font>
      <sz val="9"/>
      <name val="Century Gothic"/>
      <family val="2"/>
    </font>
    <font>
      <sz val="9"/>
      <color indexed="23"/>
      <name val="Century Gothic"/>
      <family val="2"/>
    </font>
    <font>
      <b/>
      <sz val="9"/>
      <name val="Century Gothic"/>
      <family val="2"/>
    </font>
    <font>
      <sz val="9"/>
      <color indexed="63"/>
      <name val="Century Gothic"/>
      <family val="2"/>
    </font>
    <font>
      <sz val="10"/>
      <color indexed="23"/>
      <name val="Century Gothic"/>
      <family val="2"/>
    </font>
    <font>
      <b/>
      <sz val="10"/>
      <color indexed="9"/>
      <name val="Corbel"/>
      <family val="2"/>
    </font>
    <font>
      <sz val="10"/>
      <name val="Corbe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8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i/>
      <sz val="8"/>
      <color theme="4" tint="-0.249977111117893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19"/>
      </right>
      <top/>
      <bottom/>
      <diagonal/>
    </border>
    <border>
      <left/>
      <right style="thin">
        <color indexed="19"/>
      </right>
      <top/>
      <bottom style="thin">
        <color indexed="19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3"/>
      </right>
      <top style="thin">
        <color indexed="23"/>
      </top>
      <bottom style="thin">
        <color indexed="63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 style="thin">
        <color indexed="23"/>
      </left>
      <right style="thin">
        <color indexed="6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3"/>
      </right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6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19"/>
      </top>
      <bottom style="thin">
        <color indexed="55"/>
      </bottom>
      <diagonal/>
    </border>
    <border>
      <left/>
      <right style="thin">
        <color indexed="23"/>
      </right>
      <top style="thin">
        <color indexed="55"/>
      </top>
      <bottom style="thin">
        <color indexed="19"/>
      </bottom>
      <diagonal/>
    </border>
    <border>
      <left/>
      <right style="thin">
        <color indexed="23"/>
      </right>
      <top style="thin">
        <color indexed="55"/>
      </top>
      <bottom style="thin">
        <color indexed="55"/>
      </bottom>
      <diagonal/>
    </border>
    <border>
      <left/>
      <right style="thin">
        <color indexed="23"/>
      </right>
      <top style="thin">
        <color indexed="55"/>
      </top>
      <bottom style="thin">
        <color indexed="8"/>
      </bottom>
      <diagonal/>
    </border>
    <border>
      <left style="thin">
        <color indexed="2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6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23"/>
      </bottom>
      <diagonal/>
    </border>
    <border>
      <left style="thin">
        <color indexed="19"/>
      </left>
      <right style="thin">
        <color indexed="19"/>
      </right>
      <top style="thin">
        <color indexed="63"/>
      </top>
      <bottom style="thin">
        <color indexed="19"/>
      </bottom>
      <diagonal/>
    </border>
    <border>
      <left style="thin">
        <color indexed="19"/>
      </left>
      <right/>
      <top style="thin">
        <color indexed="63"/>
      </top>
      <bottom style="thin">
        <color indexed="19"/>
      </bottom>
      <diagonal/>
    </border>
    <border>
      <left style="thin">
        <color indexed="55"/>
      </left>
      <right style="thin">
        <color indexed="55"/>
      </right>
      <top style="thin">
        <color indexed="63"/>
      </top>
      <bottom style="thin">
        <color indexed="19"/>
      </bottom>
      <diagonal/>
    </border>
    <border>
      <left/>
      <right style="thin">
        <color indexed="19"/>
      </right>
      <top style="thin">
        <color indexed="63"/>
      </top>
      <bottom style="thin">
        <color indexed="19"/>
      </bottom>
      <diagonal/>
    </border>
    <border>
      <left style="thin">
        <color indexed="19"/>
      </left>
      <right style="thin">
        <color indexed="63"/>
      </right>
      <top style="thin">
        <color indexed="63"/>
      </top>
      <bottom style="thin">
        <color indexed="19"/>
      </bottom>
      <diagonal/>
    </border>
    <border>
      <left style="thin">
        <color indexed="19"/>
      </left>
      <right style="thin">
        <color indexed="63"/>
      </right>
      <top style="thin">
        <color indexed="19"/>
      </top>
      <bottom style="thin">
        <color indexed="2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2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9" fillId="0" borderId="0" xfId="0" applyFont="1"/>
    <xf numFmtId="0" fontId="6" fillId="0" borderId="0" xfId="0" applyFont="1" applyAlignment="1"/>
    <xf numFmtId="2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left"/>
    </xf>
    <xf numFmtId="165" fontId="7" fillId="3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Fill="1" applyBorder="1" applyAlignment="1">
      <alignment horizontal="left" vertical="top"/>
    </xf>
    <xf numFmtId="43" fontId="4" fillId="4" borderId="1" xfId="0" applyNumberFormat="1" applyFont="1" applyFill="1" applyBorder="1" applyAlignment="1">
      <alignment horizontal="center" vertical="center"/>
    </xf>
    <xf numFmtId="43" fontId="4" fillId="4" borderId="11" xfId="0" applyNumberFormat="1" applyFont="1" applyFill="1" applyBorder="1" applyAlignment="1">
      <alignment horizontal="center" vertical="center"/>
    </xf>
    <xf numFmtId="165" fontId="4" fillId="3" borderId="12" xfId="0" applyNumberFormat="1" applyFont="1" applyFill="1" applyBorder="1" applyAlignment="1">
      <alignment horizontal="center" vertical="center" wrapText="1"/>
    </xf>
    <xf numFmtId="165" fontId="4" fillId="3" borderId="13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43" fontId="4" fillId="4" borderId="16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14" fontId="8" fillId="0" borderId="4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14" fontId="11" fillId="2" borderId="10" xfId="0" applyNumberFormat="1" applyFont="1" applyFill="1" applyBorder="1" applyAlignment="1">
      <alignment horizontal="left" vertical="center"/>
    </xf>
    <xf numFmtId="14" fontId="10" fillId="5" borderId="18" xfId="0" applyNumberFormat="1" applyFont="1" applyFill="1" applyBorder="1" applyAlignment="1">
      <alignment horizontal="center" vertical="center"/>
    </xf>
    <xf numFmtId="14" fontId="10" fillId="5" borderId="19" xfId="0" applyNumberFormat="1" applyFont="1" applyFill="1" applyBorder="1" applyAlignment="1">
      <alignment horizontal="center" vertical="center"/>
    </xf>
    <xf numFmtId="14" fontId="10" fillId="5" borderId="20" xfId="0" applyNumberFormat="1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2" fontId="13" fillId="6" borderId="0" xfId="0" applyNumberFormat="1" applyFont="1" applyFill="1" applyBorder="1" applyAlignment="1" applyProtection="1">
      <alignment horizontal="left"/>
    </xf>
    <xf numFmtId="2" fontId="12" fillId="6" borderId="0" xfId="0" applyNumberFormat="1" applyFont="1" applyFill="1" applyBorder="1" applyAlignment="1" applyProtection="1">
      <alignment horizontal="center"/>
    </xf>
    <xf numFmtId="2" fontId="12" fillId="6" borderId="0" xfId="0" applyNumberFormat="1" applyFont="1" applyFill="1" applyBorder="1" applyAlignment="1" applyProtection="1">
      <alignment horizontal="left"/>
    </xf>
    <xf numFmtId="0" fontId="14" fillId="0" borderId="0" xfId="0" applyFont="1"/>
    <xf numFmtId="0" fontId="15" fillId="0" borderId="0" xfId="0" applyFont="1"/>
    <xf numFmtId="2" fontId="16" fillId="6" borderId="0" xfId="0" applyNumberFormat="1" applyFont="1" applyFill="1" applyBorder="1" applyAlignment="1" applyProtection="1">
      <alignment horizontal="left"/>
    </xf>
    <xf numFmtId="2" fontId="16" fillId="6" borderId="0" xfId="0" applyNumberFormat="1" applyFont="1" applyFill="1" applyBorder="1" applyAlignment="1" applyProtection="1">
      <alignment horizontal="left" vertical="center"/>
    </xf>
    <xf numFmtId="0" fontId="17" fillId="0" borderId="0" xfId="0" applyFont="1"/>
    <xf numFmtId="0" fontId="18" fillId="0" borderId="0" xfId="0" applyFont="1"/>
    <xf numFmtId="2" fontId="19" fillId="6" borderId="0" xfId="0" applyNumberFormat="1" applyFont="1" applyFill="1" applyBorder="1" applyAlignment="1" applyProtection="1">
      <alignment horizontal="left" vertical="center"/>
    </xf>
    <xf numFmtId="2" fontId="20" fillId="6" borderId="0" xfId="0" applyNumberFormat="1" applyFont="1" applyFill="1" applyBorder="1" applyAlignment="1" applyProtection="1">
      <alignment horizontal="left"/>
    </xf>
    <xf numFmtId="2" fontId="20" fillId="6" borderId="0" xfId="0" applyNumberFormat="1" applyFont="1" applyFill="1" applyBorder="1" applyAlignment="1" applyProtection="1">
      <alignment horizontal="center"/>
    </xf>
    <xf numFmtId="0" fontId="21" fillId="0" borderId="0" xfId="0" applyFont="1"/>
    <xf numFmtId="0" fontId="22" fillId="0" borderId="0" xfId="0" applyFont="1"/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6" borderId="0" xfId="0" applyNumberFormat="1" applyFont="1" applyFill="1" applyBorder="1" applyAlignment="1" applyProtection="1">
      <alignment horizontal="left"/>
    </xf>
    <xf numFmtId="0" fontId="0" fillId="0" borderId="0" xfId="0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right"/>
    </xf>
    <xf numFmtId="0" fontId="11" fillId="0" borderId="14" xfId="0" applyFont="1" applyBorder="1" applyAlignment="1" applyProtection="1">
      <alignment horizontal="left"/>
      <protection locked="0"/>
    </xf>
    <xf numFmtId="14" fontId="5" fillId="7" borderId="25" xfId="0" applyNumberFormat="1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0" fontId="1" fillId="0" borderId="0" xfId="0" applyFont="1" applyBorder="1" applyAlignment="1"/>
    <xf numFmtId="14" fontId="8" fillId="0" borderId="7" xfId="0" applyNumberFormat="1" applyFont="1" applyBorder="1" applyAlignment="1" applyProtection="1">
      <alignment horizontal="left"/>
      <protection locked="0"/>
    </xf>
    <xf numFmtId="0" fontId="10" fillId="5" borderId="29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14" fontId="8" fillId="0" borderId="14" xfId="0" applyNumberFormat="1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11" fillId="0" borderId="7" xfId="0" applyFont="1" applyBorder="1" applyAlignment="1" applyProtection="1">
      <protection locked="0"/>
    </xf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165" fontId="7" fillId="3" borderId="24" xfId="0" applyNumberFormat="1" applyFont="1" applyFill="1" applyBorder="1" applyAlignment="1">
      <alignment horizontal="center" vertical="center"/>
    </xf>
    <xf numFmtId="0" fontId="7" fillId="3" borderId="24" xfId="0" applyNumberFormat="1" applyFont="1" applyFill="1" applyBorder="1" applyAlignment="1">
      <alignment horizontal="center" vertical="center"/>
    </xf>
    <xf numFmtId="14" fontId="8" fillId="0" borderId="14" xfId="0" applyNumberFormat="1" applyFont="1" applyFill="1" applyBorder="1" applyAlignment="1" applyProtection="1">
      <alignment horizontal="left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6896CE"/>
      <rgbColor rgb="00FFFF00"/>
      <rgbColor rgb="00FF00FF"/>
      <rgbColor rgb="0000FFFF"/>
      <rgbColor rgb="00800000"/>
      <rgbColor rgb="00547D92"/>
      <rgbColor rgb="00C2D5E0"/>
      <rgbColor rgb="0037525F"/>
      <rgbColor rgb="00BCBCBC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EFCF2"/>
      <rgbColor rgb="00CCFFCC"/>
      <rgbColor rgb="00FFE7BD"/>
      <rgbColor rgb="00FCFAF2"/>
      <rgbColor rgb="00FF99CC"/>
      <rgbColor rgb="00EAEAEA"/>
      <rgbColor rgb="00FDF7DF"/>
      <rgbColor rgb="003366FF"/>
      <rgbColor rgb="0033CCCC"/>
      <rgbColor rgb="0099CC00"/>
      <rgbColor rgb="00FFCC00"/>
      <rgbColor rgb="00FF9900"/>
      <rgbColor rgb="00FF6600"/>
      <rgbColor rgb="00FBF8EF"/>
      <rgbColor rgb="00CFCFCF"/>
      <rgbColor rgb="00315D71"/>
      <rgbColor rgb="00339966"/>
      <rgbColor rgb="00739ED3"/>
      <rgbColor rgb="00ECF5D7"/>
      <rgbColor rgb="00993300"/>
      <rgbColor rgb="00993366"/>
      <rgbColor rgb="00F1F6F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showGridLines="0" workbookViewId="0">
      <selection activeCell="B8" sqref="B8"/>
    </sheetView>
  </sheetViews>
  <sheetFormatPr defaultRowHeight="12.75"/>
  <cols>
    <col min="3" max="3" width="5.85546875" bestFit="1" customWidth="1"/>
    <col min="5" max="5" width="5.85546875" bestFit="1" customWidth="1"/>
    <col min="7" max="7" width="5.85546875" bestFit="1" customWidth="1"/>
    <col min="9" max="9" width="5.85546875" bestFit="1" customWidth="1"/>
    <col min="11" max="11" width="5.85546875" bestFit="1" customWidth="1"/>
    <col min="13" max="13" width="5.85546875" bestFit="1" customWidth="1"/>
    <col min="15" max="15" width="5.85546875" bestFit="1" customWidth="1"/>
    <col min="16" max="16" width="9.140625" customWidth="1"/>
    <col min="17" max="17" width="0.140625" customWidth="1"/>
  </cols>
  <sheetData>
    <row r="1" spans="1:17" ht="14.25">
      <c r="A1" s="71" t="s">
        <v>25</v>
      </c>
      <c r="B1" s="71"/>
      <c r="C1" s="71"/>
      <c r="D1" s="71"/>
      <c r="E1" s="71"/>
      <c r="F1" s="1"/>
      <c r="G1" s="1"/>
      <c r="H1" s="56" t="s">
        <v>16</v>
      </c>
      <c r="I1" s="56"/>
      <c r="J1" s="72" t="s">
        <v>18</v>
      </c>
      <c r="K1" s="72"/>
      <c r="L1" s="72"/>
      <c r="M1" s="1"/>
      <c r="N1" s="56" t="s">
        <v>14</v>
      </c>
      <c r="O1" s="56"/>
      <c r="P1" s="65">
        <v>40014</v>
      </c>
      <c r="Q1" s="65"/>
    </row>
    <row r="2" spans="1:17" ht="14.25">
      <c r="A2" s="55"/>
      <c r="B2" s="55"/>
      <c r="C2" s="55"/>
      <c r="D2" s="55"/>
      <c r="E2" s="55"/>
      <c r="F2" s="1"/>
      <c r="G2" s="1"/>
      <c r="H2" s="56" t="s">
        <v>17</v>
      </c>
      <c r="I2" s="56"/>
      <c r="J2" s="57" t="s">
        <v>18</v>
      </c>
      <c r="K2" s="57"/>
      <c r="L2" s="57"/>
      <c r="M2" s="1"/>
      <c r="N2" s="56" t="s">
        <v>13</v>
      </c>
      <c r="O2" s="56"/>
      <c r="P2" s="70">
        <f>N6</f>
        <v>40020</v>
      </c>
      <c r="Q2" s="70"/>
    </row>
    <row r="3" spans="1:17" ht="14.25">
      <c r="A3" s="29"/>
      <c r="B3" s="29"/>
      <c r="C3" s="29"/>
      <c r="D3" s="29"/>
      <c r="E3" s="29"/>
      <c r="F3" s="1"/>
      <c r="G3" s="1"/>
      <c r="H3" s="30"/>
      <c r="I3" s="30"/>
      <c r="J3" s="27"/>
      <c r="K3" s="27"/>
      <c r="L3" s="27"/>
      <c r="M3" s="1"/>
      <c r="N3" s="30"/>
      <c r="O3" s="30"/>
      <c r="P3" s="28"/>
      <c r="Q3" s="28"/>
    </row>
    <row r="4" spans="1:17" ht="4.5" customHeight="1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</row>
    <row r="5" spans="1:17" ht="13.5">
      <c r="A5" s="2"/>
      <c r="B5" s="73" t="s">
        <v>3</v>
      </c>
      <c r="C5" s="74"/>
      <c r="D5" s="61" t="s">
        <v>4</v>
      </c>
      <c r="E5" s="61"/>
      <c r="F5" s="61" t="s">
        <v>5</v>
      </c>
      <c r="G5" s="61"/>
      <c r="H5" s="61" t="s">
        <v>6</v>
      </c>
      <c r="I5" s="61"/>
      <c r="J5" s="61" t="s">
        <v>7</v>
      </c>
      <c r="K5" s="61"/>
      <c r="L5" s="61" t="s">
        <v>1</v>
      </c>
      <c r="M5" s="61"/>
      <c r="N5" s="66" t="s">
        <v>2</v>
      </c>
      <c r="O5" s="67"/>
      <c r="P5" s="68"/>
      <c r="Q5" s="7"/>
    </row>
    <row r="6" spans="1:17" ht="14.25">
      <c r="A6" s="3"/>
      <c r="B6" s="58">
        <f>P1</f>
        <v>40014</v>
      </c>
      <c r="C6" s="59"/>
      <c r="D6" s="58">
        <f>IF($P$1=0,"",$P$1+1)</f>
        <v>40015</v>
      </c>
      <c r="E6" s="59"/>
      <c r="F6" s="58">
        <f>IF($P$1=0,"",$P$1+2)</f>
        <v>40016</v>
      </c>
      <c r="G6" s="59"/>
      <c r="H6" s="58">
        <f>IF($P$1=0,"",$P$1+3)</f>
        <v>40017</v>
      </c>
      <c r="I6" s="59"/>
      <c r="J6" s="58">
        <f>IF($P$1=0,"",$P$1+4)</f>
        <v>40018</v>
      </c>
      <c r="K6" s="59"/>
      <c r="L6" s="58">
        <f>IF($P$1=0,"",$P$1+5)</f>
        <v>40019</v>
      </c>
      <c r="M6" s="59"/>
      <c r="N6" s="58">
        <f>IF($P$1=0,"",$P$1+6)</f>
        <v>40020</v>
      </c>
      <c r="O6" s="60"/>
      <c r="P6" s="69"/>
      <c r="Q6" s="7"/>
    </row>
    <row r="7" spans="1:17" ht="14.25">
      <c r="A7" s="33" t="s">
        <v>8</v>
      </c>
      <c r="B7" s="51"/>
      <c r="C7" s="19" t="s">
        <v>0</v>
      </c>
      <c r="D7" s="51"/>
      <c r="E7" s="19" t="s">
        <v>0</v>
      </c>
      <c r="F7" s="51"/>
      <c r="G7" s="19" t="s">
        <v>0</v>
      </c>
      <c r="H7" s="51"/>
      <c r="I7" s="19" t="s">
        <v>0</v>
      </c>
      <c r="J7" s="51"/>
      <c r="K7" s="19" t="s">
        <v>0</v>
      </c>
      <c r="L7" s="51"/>
      <c r="M7" s="19" t="s">
        <v>0</v>
      </c>
      <c r="N7" s="51"/>
      <c r="O7" s="20" t="s">
        <v>0</v>
      </c>
      <c r="P7" s="12"/>
      <c r="Q7" s="7"/>
    </row>
    <row r="8" spans="1:17" ht="14.25">
      <c r="A8" s="34" t="s">
        <v>9</v>
      </c>
      <c r="B8" s="52"/>
      <c r="C8" s="21">
        <f>IF((OR(B8="",B7="")),0,IF((B8&lt;B7),((B8-B7)*24)+24,(B8-B7)*24))</f>
        <v>0</v>
      </c>
      <c r="D8" s="52"/>
      <c r="E8" s="21">
        <f>IF((OR(D8="",D7="")),0,IF((D8&lt;D7),((D8-D7)*24)+24,(D8-D7)*24))</f>
        <v>0</v>
      </c>
      <c r="F8" s="52"/>
      <c r="G8" s="21">
        <f>IF((OR(F8="",F7="")),0,IF((F8&lt;F7),((F8-F7)*24)+24,(F8-F7)*24))</f>
        <v>0</v>
      </c>
      <c r="H8" s="52"/>
      <c r="I8" s="21">
        <f>IF((OR(H8="",H7="")),0,IF((H8&lt;H7),((H8-H7)*24)+24,(H8-H7)*24))</f>
        <v>0</v>
      </c>
      <c r="J8" s="52"/>
      <c r="K8" s="21">
        <f>IF((OR(J8="",J7="")),0,IF((J8&lt;J7),((J8-J7)*24)+24,(J8-J7)*24))</f>
        <v>0</v>
      </c>
      <c r="L8" s="52"/>
      <c r="M8" s="21">
        <f>IF((OR(L8="",L7="")),0,IF((L8&lt;L7),((L8-L7)*24)+24,(L8-L7)*24))</f>
        <v>0</v>
      </c>
      <c r="N8" s="52"/>
      <c r="O8" s="22">
        <f>IF((OR(N8="",N7="")),0,IF((N8&lt;N7),((N8-N7)*24)+24,(N8-N7)*24))</f>
        <v>0</v>
      </c>
      <c r="P8" s="12"/>
      <c r="Q8" s="7"/>
    </row>
    <row r="9" spans="1:17" ht="4.5" customHeight="1">
      <c r="A9" s="3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13"/>
      <c r="Q9" s="7"/>
    </row>
    <row r="10" spans="1:17" ht="13.5">
      <c r="A10" s="33" t="s">
        <v>8</v>
      </c>
      <c r="B10" s="51"/>
      <c r="C10" s="19" t="s">
        <v>0</v>
      </c>
      <c r="D10" s="51"/>
      <c r="E10" s="19" t="s">
        <v>0</v>
      </c>
      <c r="F10" s="51"/>
      <c r="G10" s="19" t="s">
        <v>0</v>
      </c>
      <c r="H10" s="51"/>
      <c r="I10" s="19" t="s">
        <v>0</v>
      </c>
      <c r="J10" s="51"/>
      <c r="K10" s="19" t="s">
        <v>0</v>
      </c>
      <c r="L10" s="51"/>
      <c r="M10" s="19" t="s">
        <v>0</v>
      </c>
      <c r="N10" s="51"/>
      <c r="O10" s="25" t="s">
        <v>0</v>
      </c>
      <c r="P10" s="78" t="s">
        <v>15</v>
      </c>
      <c r="Q10" s="7"/>
    </row>
    <row r="11" spans="1:17" ht="13.5">
      <c r="A11" s="35" t="s">
        <v>9</v>
      </c>
      <c r="B11" s="52"/>
      <c r="C11" s="21">
        <f>IF((OR(B11="",B10="")),0,IF((B11&lt;B10),((B11-B10)*24)+24,(B11-B10)*24))</f>
        <v>0</v>
      </c>
      <c r="D11" s="52"/>
      <c r="E11" s="21">
        <f>IF((OR(D11="",D10="")),0,IF((D11&lt;D10),((D11-D10)*24)+24,(D11-D10)*24))</f>
        <v>0</v>
      </c>
      <c r="F11" s="52"/>
      <c r="G11" s="21">
        <f>IF((OR(F11="",F10="")),0,IF((F11&lt;F10),((F11-F10)*24)+24,(F11-F10)*24))</f>
        <v>0</v>
      </c>
      <c r="H11" s="52"/>
      <c r="I11" s="21">
        <f>IF((OR(H11="",H10="")),0,IF((H11&lt;H10),((H11-H10)*24)+24,(H11-H10)*24))</f>
        <v>0</v>
      </c>
      <c r="J11" s="52"/>
      <c r="K11" s="21">
        <f>IF((OR(J11="",J10="")),0,IF((J11&lt;J10),((J11-J10)*24)+24,(J11-J10)*24))</f>
        <v>0</v>
      </c>
      <c r="L11" s="52"/>
      <c r="M11" s="21">
        <f>IF((OR(L11="",L10="")),0,IF((L11&lt;L10),((L11-L10)*24)+24,(L11-L10)*24))</f>
        <v>0</v>
      </c>
      <c r="N11" s="52"/>
      <c r="O11" s="26">
        <f>IF((OR(N11="",N10="")),0,IF((N11&lt;N10),((N11-N10)*24)+24,(N11-N10)*24))</f>
        <v>0</v>
      </c>
      <c r="P11" s="79"/>
      <c r="Q11" s="7"/>
    </row>
    <row r="12" spans="1:17" ht="13.5">
      <c r="A12" s="36" t="s">
        <v>0</v>
      </c>
      <c r="B12" s="75">
        <f>IF(OR(ISTEXT(C8),ISTEXT(C11)),"Error in C12 or C15",(C8+C11))</f>
        <v>0</v>
      </c>
      <c r="C12" s="76"/>
      <c r="D12" s="75">
        <f>IF(OR(ISTEXT(E8),ISTEXT(E11)),"Error in C12 or C15",(E8+E11))</f>
        <v>0</v>
      </c>
      <c r="E12" s="76"/>
      <c r="F12" s="75">
        <f>IF(OR(ISTEXT(G8),ISTEXT(G11)),"Error in C12 or C15",(G8+G11))</f>
        <v>0</v>
      </c>
      <c r="G12" s="76"/>
      <c r="H12" s="75">
        <f>IF(OR(ISTEXT(I8),ISTEXT(I11)),"Error in C12 or C15",(I8+I11))</f>
        <v>0</v>
      </c>
      <c r="I12" s="76"/>
      <c r="J12" s="75">
        <f>IF(OR(ISTEXT(K8),ISTEXT(K11)),"Error in C12 or C15",(K8+K11))</f>
        <v>0</v>
      </c>
      <c r="K12" s="76"/>
      <c r="L12" s="75">
        <f>IF(OR(ISTEXT(M8),ISTEXT(M11)),"Error in C12 or C15",(M8+M11))</f>
        <v>0</v>
      </c>
      <c r="M12" s="76"/>
      <c r="N12" s="75">
        <f>IF(OR(ISTEXT(O8),ISTEXT(O11)),"Error in C12 or C15",(O8+O11))</f>
        <v>0</v>
      </c>
      <c r="O12" s="76"/>
      <c r="P12" s="14">
        <f>SUM(B12:O12)</f>
        <v>0</v>
      </c>
      <c r="Q12" s="7"/>
    </row>
    <row r="13" spans="1:17" ht="4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ht="37.5" customHeight="1">
      <c r="A14" s="62"/>
      <c r="B14" s="62"/>
      <c r="C14" s="62"/>
      <c r="D14" s="62"/>
      <c r="E14" s="62"/>
      <c r="F14" s="63"/>
      <c r="G14" s="63"/>
      <c r="H14" s="1"/>
      <c r="I14" s="1"/>
      <c r="J14" s="62"/>
      <c r="K14" s="62"/>
      <c r="L14" s="62"/>
      <c r="M14" s="62"/>
      <c r="N14" s="62"/>
      <c r="O14" s="63"/>
      <c r="P14" s="63"/>
      <c r="Q14" s="1"/>
    </row>
    <row r="15" spans="1:17" ht="14.25">
      <c r="A15" s="16" t="s">
        <v>10</v>
      </c>
      <c r="B15" s="16"/>
      <c r="C15" s="11"/>
      <c r="D15" s="17"/>
      <c r="E15" s="17"/>
      <c r="F15" s="16" t="s">
        <v>11</v>
      </c>
      <c r="G15" s="17"/>
      <c r="H15" s="17"/>
      <c r="I15" s="17"/>
      <c r="J15" s="18" t="s">
        <v>12</v>
      </c>
      <c r="K15" s="18"/>
      <c r="L15" s="17"/>
      <c r="M15" s="17"/>
      <c r="N15" s="17"/>
      <c r="O15" s="18" t="s">
        <v>11</v>
      </c>
      <c r="P15" s="10"/>
      <c r="Q15" s="1"/>
    </row>
    <row r="16" spans="1:17" ht="13.5">
      <c r="A16" s="47" t="s">
        <v>19</v>
      </c>
      <c r="B16" s="47"/>
      <c r="C16" s="47"/>
      <c r="D16" s="47"/>
      <c r="E16" s="47"/>
      <c r="F16" s="47"/>
      <c r="G16" s="48"/>
      <c r="H16" s="48"/>
      <c r="I16" s="48"/>
      <c r="J16" s="49"/>
      <c r="K16" s="50"/>
      <c r="L16" s="1"/>
      <c r="M16" s="1"/>
      <c r="N16" s="1"/>
      <c r="O16" s="1"/>
      <c r="P16" s="1"/>
      <c r="Q16" s="1"/>
    </row>
    <row r="17" spans="1:17" ht="13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>
      <c r="A19" s="55"/>
      <c r="B19" s="55"/>
      <c r="C19" s="55"/>
      <c r="D19" s="55"/>
      <c r="E19" s="55"/>
      <c r="F19" s="1"/>
      <c r="G19" s="1"/>
      <c r="H19" s="56"/>
      <c r="I19" s="56"/>
      <c r="J19" s="64"/>
      <c r="K19" s="64"/>
      <c r="L19" s="64"/>
      <c r="M19" s="1"/>
      <c r="N19" s="56" t="s">
        <v>14</v>
      </c>
      <c r="O19" s="56"/>
      <c r="P19" s="65">
        <v>40021</v>
      </c>
      <c r="Q19" s="65"/>
    </row>
    <row r="20" spans="1:17" ht="14.25">
      <c r="A20" s="55"/>
      <c r="B20" s="55"/>
      <c r="C20" s="55"/>
      <c r="D20" s="55"/>
      <c r="E20" s="55"/>
      <c r="F20" s="1"/>
      <c r="G20" s="1"/>
      <c r="H20" s="56"/>
      <c r="I20" s="56"/>
      <c r="J20" s="80" t="s">
        <v>18</v>
      </c>
      <c r="K20" s="80"/>
      <c r="L20" s="80"/>
      <c r="M20" s="1"/>
      <c r="N20" s="56" t="s">
        <v>13</v>
      </c>
      <c r="O20" s="56"/>
      <c r="P20" s="77">
        <f>N24</f>
        <v>40027</v>
      </c>
      <c r="Q20" s="77"/>
    </row>
    <row r="21" spans="1:17" ht="14.25">
      <c r="A21" s="29"/>
      <c r="B21" s="29"/>
      <c r="C21" s="29"/>
      <c r="D21" s="29"/>
      <c r="E21" s="29"/>
      <c r="F21" s="1"/>
      <c r="G21" s="1"/>
      <c r="H21" s="30"/>
      <c r="I21" s="30"/>
      <c r="J21" s="31"/>
      <c r="K21" s="31"/>
      <c r="L21" s="31"/>
      <c r="M21" s="1"/>
      <c r="N21" s="30"/>
      <c r="O21" s="30"/>
      <c r="P21" s="28"/>
      <c r="Q21" s="28"/>
    </row>
    <row r="22" spans="1:17" ht="4.5" customHeight="1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</row>
    <row r="23" spans="1:17" ht="13.5">
      <c r="A23" s="2"/>
      <c r="B23" s="73" t="s">
        <v>3</v>
      </c>
      <c r="C23" s="74"/>
      <c r="D23" s="61" t="s">
        <v>4</v>
      </c>
      <c r="E23" s="61"/>
      <c r="F23" s="61" t="s">
        <v>5</v>
      </c>
      <c r="G23" s="61"/>
      <c r="H23" s="61" t="s">
        <v>6</v>
      </c>
      <c r="I23" s="61"/>
      <c r="J23" s="61" t="s">
        <v>7</v>
      </c>
      <c r="K23" s="61"/>
      <c r="L23" s="61" t="s">
        <v>1</v>
      </c>
      <c r="M23" s="61"/>
      <c r="N23" s="66" t="s">
        <v>2</v>
      </c>
      <c r="O23" s="67"/>
      <c r="P23" s="68"/>
      <c r="Q23" s="7"/>
    </row>
    <row r="24" spans="1:17" ht="14.25">
      <c r="A24" s="3"/>
      <c r="B24" s="58">
        <f>P19</f>
        <v>40021</v>
      </c>
      <c r="C24" s="59"/>
      <c r="D24" s="58">
        <f>IF($P$19=0,"",$P$19+1)</f>
        <v>40022</v>
      </c>
      <c r="E24" s="59"/>
      <c r="F24" s="58">
        <f>IF($P$19=0,"",$P$19+2)</f>
        <v>40023</v>
      </c>
      <c r="G24" s="59"/>
      <c r="H24" s="58">
        <f>IF($P$19=0,"",$P$19+3)</f>
        <v>40024</v>
      </c>
      <c r="I24" s="59"/>
      <c r="J24" s="58">
        <f>IF($P$19=0,"",$P$19+4)</f>
        <v>40025</v>
      </c>
      <c r="K24" s="59"/>
      <c r="L24" s="58">
        <f>IF($P$19=0,"",$P$19+5)</f>
        <v>40026</v>
      </c>
      <c r="M24" s="59"/>
      <c r="N24" s="58">
        <f>IF($P$19=0,"",$P$19+6)</f>
        <v>40027</v>
      </c>
      <c r="O24" s="60"/>
      <c r="P24" s="69"/>
      <c r="Q24" s="7"/>
    </row>
    <row r="25" spans="1:17" ht="14.25">
      <c r="A25" s="33" t="s">
        <v>8</v>
      </c>
      <c r="B25" s="51"/>
      <c r="C25" s="19" t="s">
        <v>0</v>
      </c>
      <c r="D25" s="51"/>
      <c r="E25" s="19" t="s">
        <v>0</v>
      </c>
      <c r="F25" s="51"/>
      <c r="G25" s="19" t="s">
        <v>0</v>
      </c>
      <c r="H25" s="51"/>
      <c r="I25" s="19" t="s">
        <v>0</v>
      </c>
      <c r="J25" s="51"/>
      <c r="K25" s="19" t="s">
        <v>0</v>
      </c>
      <c r="L25" s="51"/>
      <c r="M25" s="19" t="s">
        <v>0</v>
      </c>
      <c r="N25" s="51"/>
      <c r="O25" s="20" t="s">
        <v>0</v>
      </c>
      <c r="P25" s="12"/>
      <c r="Q25" s="7"/>
    </row>
    <row r="26" spans="1:17" ht="14.25">
      <c r="A26" s="34" t="s">
        <v>9</v>
      </c>
      <c r="B26" s="52"/>
      <c r="C26" s="21">
        <f>IF((OR(B26="",B25="")),0,IF((B26&lt;B25),((B26-B25)*24)+24,(B26-B25)*24))</f>
        <v>0</v>
      </c>
      <c r="D26" s="52"/>
      <c r="E26" s="21">
        <f>IF((OR(D26="",D25="")),0,IF((D26&lt;D25),((D26-D25)*24)+24,(D26-D25)*24))</f>
        <v>0</v>
      </c>
      <c r="F26" s="52"/>
      <c r="G26" s="21">
        <f>IF((OR(F26="",F25="")),0,IF((F26&lt;F25),((F26-F25)*24)+24,(F26-F25)*24))</f>
        <v>0</v>
      </c>
      <c r="H26" s="52"/>
      <c r="I26" s="21">
        <f>IF((OR(H26="",H25="")),0,IF((H26&lt;H25),((H26-H25)*24)+24,(H26-H25)*24))</f>
        <v>0</v>
      </c>
      <c r="J26" s="52"/>
      <c r="K26" s="21">
        <f>IF((OR(J26="",J25="")),0,IF((J26&lt;J25),((J26-J25)*24)+24,(J26-J25)*24))</f>
        <v>0</v>
      </c>
      <c r="L26" s="52"/>
      <c r="M26" s="21">
        <f>IF((OR(L26="",L25="")),0,IF((L26&lt;L25),((L26-L25)*24)+24,(L26-L25)*24))</f>
        <v>0</v>
      </c>
      <c r="N26" s="52"/>
      <c r="O26" s="22">
        <f>IF((OR(N26="",N25="")),0,IF((N26&lt;N25),((N26-N25)*24)+24,(N26-N25)*24))</f>
        <v>0</v>
      </c>
      <c r="P26" s="12"/>
      <c r="Q26" s="7"/>
    </row>
    <row r="27" spans="1:17" ht="4.5" customHeight="1">
      <c r="A27" s="1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13"/>
      <c r="Q27" s="7"/>
    </row>
    <row r="28" spans="1:17" ht="13.5">
      <c r="A28" s="33" t="s">
        <v>8</v>
      </c>
      <c r="B28" s="51"/>
      <c r="C28" s="19" t="s">
        <v>0</v>
      </c>
      <c r="D28" s="51"/>
      <c r="E28" s="19" t="s">
        <v>0</v>
      </c>
      <c r="F28" s="51"/>
      <c r="G28" s="19" t="s">
        <v>0</v>
      </c>
      <c r="H28" s="51"/>
      <c r="I28" s="19" t="s">
        <v>0</v>
      </c>
      <c r="J28" s="51"/>
      <c r="K28" s="19" t="s">
        <v>0</v>
      </c>
      <c r="L28" s="51"/>
      <c r="M28" s="19" t="s">
        <v>0</v>
      </c>
      <c r="N28" s="51"/>
      <c r="O28" s="25" t="s">
        <v>0</v>
      </c>
      <c r="P28" s="78" t="s">
        <v>15</v>
      </c>
      <c r="Q28" s="7"/>
    </row>
    <row r="29" spans="1:17" ht="13.5">
      <c r="A29" s="35" t="s">
        <v>9</v>
      </c>
      <c r="B29" s="52"/>
      <c r="C29" s="21">
        <f>IF((OR(B29="",B28="")),0,IF((B29&lt;B28),((B29-B28)*24)+24,(B29-B28)*24))</f>
        <v>0</v>
      </c>
      <c r="D29" s="52"/>
      <c r="E29" s="21">
        <f>IF((OR(D29="",D28="")),0,IF((D29&lt;D28),((D29-D28)*24)+24,(D29-D28)*24))</f>
        <v>0</v>
      </c>
      <c r="F29" s="52"/>
      <c r="G29" s="21">
        <f>IF((OR(F29="",F28="")),0,IF((F29&lt;F28),((F29-F28)*24)+24,(F29-F28)*24))</f>
        <v>0</v>
      </c>
      <c r="H29" s="52"/>
      <c r="I29" s="21">
        <f>IF((OR(H29="",H28="")),0,IF((H29&lt;H28),((H29-H28)*24)+24,(H29-H28)*24))</f>
        <v>0</v>
      </c>
      <c r="J29" s="52"/>
      <c r="K29" s="21">
        <f>IF((OR(J29="",J28="")),0,IF((J29&lt;J28),((J29-J28)*24)+24,(J29-J28)*24))</f>
        <v>0</v>
      </c>
      <c r="L29" s="52"/>
      <c r="M29" s="21">
        <f>IF((OR(L29="",L28="")),0,IF((L29&lt;L28),((L29-L28)*24)+24,(L29-L28)*24))</f>
        <v>0</v>
      </c>
      <c r="N29" s="52"/>
      <c r="O29" s="26">
        <f>IF((OR(N29="",N28="")),0,IF((N29&lt;N28),((N29-N28)*24)+24,(N29-N28)*24))</f>
        <v>0</v>
      </c>
      <c r="P29" s="79"/>
      <c r="Q29" s="7"/>
    </row>
    <row r="30" spans="1:17" ht="13.5">
      <c r="A30" s="36" t="s">
        <v>0</v>
      </c>
      <c r="B30" s="75">
        <f>IF(OR(ISTEXT(C26),ISTEXT(C29)),"Error in C12 or C15",(C26+C29))</f>
        <v>0</v>
      </c>
      <c r="C30" s="76"/>
      <c r="D30" s="75">
        <f>IF(OR(ISTEXT(E26),ISTEXT(E29)),"Error in C12 or C15",(E26+E29))</f>
        <v>0</v>
      </c>
      <c r="E30" s="76"/>
      <c r="F30" s="75">
        <f>IF(OR(ISTEXT(G26),ISTEXT(G29)),"Error in C12 or C15",(G26+G29))</f>
        <v>0</v>
      </c>
      <c r="G30" s="76"/>
      <c r="H30" s="75">
        <f>IF(OR(ISTEXT(I26),ISTEXT(I29)),"Error in C12 or C15",(I26+I29))</f>
        <v>0</v>
      </c>
      <c r="I30" s="76"/>
      <c r="J30" s="75">
        <f>IF(OR(ISTEXT(K26),ISTEXT(K29)),"Error in C12 or C15",(K26+K29))</f>
        <v>0</v>
      </c>
      <c r="K30" s="76"/>
      <c r="L30" s="75">
        <f>IF(OR(ISTEXT(M26),ISTEXT(M29)),"Error in C12 or C15",(M26+M29))</f>
        <v>0</v>
      </c>
      <c r="M30" s="76"/>
      <c r="N30" s="75">
        <f>IF(OR(ISTEXT(O26),ISTEXT(O29)),"Error in C12 or C15",(O26+O29))</f>
        <v>0</v>
      </c>
      <c r="O30" s="76"/>
      <c r="P30" s="14">
        <f>SUM(B30:O30)</f>
        <v>0</v>
      </c>
      <c r="Q30" s="7"/>
    </row>
    <row r="31" spans="1:17" ht="4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</row>
    <row r="32" spans="1:17" ht="37.5" customHeight="1">
      <c r="A32" s="62"/>
      <c r="B32" s="62"/>
      <c r="C32" s="62"/>
      <c r="D32" s="62"/>
      <c r="E32" s="62"/>
      <c r="F32" s="63"/>
      <c r="G32" s="63"/>
      <c r="H32" s="1"/>
      <c r="I32" s="1"/>
      <c r="J32" s="62"/>
      <c r="K32" s="62"/>
      <c r="L32" s="62"/>
      <c r="M32" s="62"/>
      <c r="N32" s="62"/>
      <c r="O32" s="63"/>
      <c r="P32" s="63"/>
      <c r="Q32" s="1"/>
    </row>
    <row r="33" spans="1:17" ht="14.25">
      <c r="A33" s="16" t="s">
        <v>10</v>
      </c>
      <c r="B33" s="16"/>
      <c r="C33" s="11"/>
      <c r="D33" s="17"/>
      <c r="E33" s="17"/>
      <c r="F33" s="16" t="s">
        <v>11</v>
      </c>
      <c r="G33" s="17"/>
      <c r="H33" s="17"/>
      <c r="I33" s="17"/>
      <c r="J33" s="18" t="s">
        <v>12</v>
      </c>
      <c r="K33" s="18"/>
      <c r="L33" s="17"/>
      <c r="M33" s="17"/>
      <c r="N33" s="17"/>
      <c r="O33" s="18" t="s">
        <v>11</v>
      </c>
      <c r="P33" s="10"/>
      <c r="Q33" s="1"/>
    </row>
    <row r="34" spans="1:17">
      <c r="A34" s="47" t="s">
        <v>19</v>
      </c>
      <c r="B34" s="47"/>
      <c r="C34" s="47"/>
      <c r="D34" s="47"/>
      <c r="E34" s="47"/>
      <c r="F34" s="47"/>
      <c r="G34" s="48"/>
      <c r="H34" s="48"/>
      <c r="I34" s="48"/>
      <c r="J34" s="49"/>
      <c r="K34" s="50"/>
      <c r="L34" s="41"/>
      <c r="M34" s="40"/>
      <c r="N34" s="40"/>
      <c r="O34" s="40"/>
      <c r="P34" s="40"/>
    </row>
    <row r="36" spans="1:17">
      <c r="A36" s="42" t="s">
        <v>23</v>
      </c>
      <c r="B36" s="43"/>
      <c r="C36" s="43"/>
      <c r="D36" s="43"/>
      <c r="E36" s="43"/>
      <c r="F36" s="43"/>
      <c r="G36" s="43"/>
      <c r="H36" s="43"/>
      <c r="I36" s="42"/>
      <c r="J36" s="44"/>
      <c r="K36" s="45"/>
      <c r="L36" s="45"/>
      <c r="M36" s="45"/>
      <c r="N36" s="45"/>
    </row>
    <row r="37" spans="1:17">
      <c r="A37" s="42" t="s">
        <v>20</v>
      </c>
      <c r="B37" s="46"/>
      <c r="C37" s="46"/>
      <c r="D37" s="46"/>
      <c r="E37" s="46"/>
      <c r="F37" s="46"/>
      <c r="G37" s="46"/>
      <c r="H37" s="46"/>
      <c r="I37" s="42"/>
      <c r="J37" s="44"/>
      <c r="K37" s="44"/>
      <c r="L37" s="45"/>
      <c r="M37" s="45"/>
      <c r="N37" s="45"/>
    </row>
    <row r="38" spans="1:17">
      <c r="A38" s="42" t="s">
        <v>24</v>
      </c>
      <c r="B38" s="43"/>
      <c r="C38" s="43"/>
      <c r="D38" s="43"/>
      <c r="E38" s="43"/>
      <c r="F38" s="43"/>
      <c r="G38" s="46"/>
      <c r="H38" s="46"/>
      <c r="I38" s="42"/>
      <c r="J38" s="44"/>
      <c r="K38" s="44"/>
      <c r="L38" s="45"/>
      <c r="M38" s="45"/>
      <c r="N38" s="45"/>
    </row>
    <row r="39" spans="1:17">
      <c r="A39" s="42" t="s">
        <v>22</v>
      </c>
      <c r="B39" s="43"/>
      <c r="C39" s="43"/>
      <c r="D39" s="43"/>
      <c r="E39" s="43"/>
      <c r="F39" s="43"/>
      <c r="G39" s="43"/>
      <c r="H39" s="43"/>
      <c r="I39" s="42"/>
      <c r="J39" s="45"/>
      <c r="K39" s="45"/>
      <c r="L39" s="45"/>
      <c r="M39" s="45"/>
      <c r="N39" s="45"/>
    </row>
    <row r="40" spans="1:17">
      <c r="A40" s="42" t="s">
        <v>21</v>
      </c>
      <c r="B40" s="46"/>
      <c r="C40" s="46"/>
      <c r="D40" s="46"/>
      <c r="E40" s="46"/>
      <c r="F40" s="46"/>
      <c r="G40" s="46"/>
      <c r="H40" s="46"/>
      <c r="I40" s="42"/>
      <c r="J40" s="45"/>
      <c r="K40" s="45"/>
      <c r="L40" s="45"/>
      <c r="M40" s="45"/>
      <c r="N40" s="45"/>
    </row>
    <row r="42" spans="1:17">
      <c r="A42" s="37" t="s">
        <v>18</v>
      </c>
      <c r="B42" s="39"/>
      <c r="C42" s="39"/>
      <c r="D42" s="39"/>
      <c r="E42" s="39"/>
      <c r="F42" s="39"/>
      <c r="G42" s="38"/>
      <c r="H42" s="38"/>
      <c r="I42" s="38"/>
    </row>
    <row r="43" spans="1:17">
      <c r="A43" s="53" t="s">
        <v>18</v>
      </c>
      <c r="B43" s="54"/>
      <c r="C43" s="54"/>
      <c r="D43" s="54"/>
      <c r="E43" s="54"/>
      <c r="F43" s="54"/>
      <c r="G43" s="54"/>
      <c r="H43" s="54"/>
      <c r="I43" s="54"/>
    </row>
    <row r="44" spans="1:17">
      <c r="A44" s="37" t="s">
        <v>18</v>
      </c>
      <c r="B44" s="37" t="s">
        <v>18</v>
      </c>
      <c r="C44" s="37"/>
      <c r="D44" s="37"/>
      <c r="E44" s="37"/>
      <c r="F44" s="37"/>
      <c r="G44" s="39"/>
      <c r="H44" s="39"/>
      <c r="I44" s="38"/>
    </row>
  </sheetData>
  <sheetProtection password="C662" sheet="1" objects="1" scenarios="1"/>
  <mergeCells count="75">
    <mergeCell ref="O32:P32"/>
    <mergeCell ref="P28:P29"/>
    <mergeCell ref="B30:C30"/>
    <mergeCell ref="D30:E30"/>
    <mergeCell ref="F30:G30"/>
    <mergeCell ref="H30:I30"/>
    <mergeCell ref="J30:K30"/>
    <mergeCell ref="L30:M30"/>
    <mergeCell ref="N30:O30"/>
    <mergeCell ref="F24:G24"/>
    <mergeCell ref="H24:I24"/>
    <mergeCell ref="J24:K24"/>
    <mergeCell ref="L24:M24"/>
    <mergeCell ref="A32:E32"/>
    <mergeCell ref="F32:G32"/>
    <mergeCell ref="J32:N32"/>
    <mergeCell ref="B24:C24"/>
    <mergeCell ref="D24:E24"/>
    <mergeCell ref="A20:E20"/>
    <mergeCell ref="H20:I20"/>
    <mergeCell ref="J20:L20"/>
    <mergeCell ref="B23:C23"/>
    <mergeCell ref="D23:E23"/>
    <mergeCell ref="F23:G23"/>
    <mergeCell ref="H23:I23"/>
    <mergeCell ref="J23:K23"/>
    <mergeCell ref="L23:M23"/>
    <mergeCell ref="N23:O23"/>
    <mergeCell ref="P23:P24"/>
    <mergeCell ref="N20:O20"/>
    <mergeCell ref="P20:Q20"/>
    <mergeCell ref="N24:O24"/>
    <mergeCell ref="P10:P11"/>
    <mergeCell ref="N12:O12"/>
    <mergeCell ref="B12:C12"/>
    <mergeCell ref="D12:E12"/>
    <mergeCell ref="F12:G12"/>
    <mergeCell ref="H12:I12"/>
    <mergeCell ref="J12:K12"/>
    <mergeCell ref="L12:M12"/>
    <mergeCell ref="J1:L1"/>
    <mergeCell ref="N1:O1"/>
    <mergeCell ref="B5:C5"/>
    <mergeCell ref="D5:E5"/>
    <mergeCell ref="F5:G5"/>
    <mergeCell ref="H5:I5"/>
    <mergeCell ref="P1:Q1"/>
    <mergeCell ref="N5:O5"/>
    <mergeCell ref="P5:P6"/>
    <mergeCell ref="B6:C6"/>
    <mergeCell ref="D6:E6"/>
    <mergeCell ref="F6:G6"/>
    <mergeCell ref="P2:Q2"/>
    <mergeCell ref="L5:M5"/>
    <mergeCell ref="A1:E1"/>
    <mergeCell ref="H1:I1"/>
    <mergeCell ref="A14:E14"/>
    <mergeCell ref="F14:G14"/>
    <mergeCell ref="J14:N14"/>
    <mergeCell ref="O14:P14"/>
    <mergeCell ref="A19:E19"/>
    <mergeCell ref="H19:I19"/>
    <mergeCell ref="J19:L19"/>
    <mergeCell ref="N19:O19"/>
    <mergeCell ref="P19:Q19"/>
    <mergeCell ref="A43:I43"/>
    <mergeCell ref="A2:E2"/>
    <mergeCell ref="H2:I2"/>
    <mergeCell ref="J2:L2"/>
    <mergeCell ref="N2:O2"/>
    <mergeCell ref="H6:I6"/>
    <mergeCell ref="J6:K6"/>
    <mergeCell ref="L6:M6"/>
    <mergeCell ref="N6:O6"/>
    <mergeCell ref="J5:K5"/>
  </mergeCells>
  <dataValidations count="1">
    <dataValidation type="time" allowBlank="1" showInputMessage="1" showErrorMessage="1" errorTitle="Incorrect Time Format" error="Time should be entered in the following format: 12:00 AM" sqref="B25:B26 B7:B8 F10:F11 H10:H11 J10:J11 L10:L11 N10:N11 N7:N8 L7:L8 J7:J8 H7:H8 F7:F8 D7:D8 D10:D11 B10:B11 B28:B29 D28:D29 D25:D26 F25:F26 H25:H26 J25:J26 L25:L26 N25:N26 N28:N29 L28:L29 J28:J29 H28:H29 F28:F29">
      <formula1>0</formula1>
      <formula2>0.999988425925926</formula2>
    </dataValidation>
  </dataValidations>
  <pageMargins left="0.7" right="0.7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"/>
  <sheetViews>
    <sheetView showGridLines="0" tabSelected="1" zoomScale="85" zoomScaleNormal="85" workbookViewId="0">
      <selection activeCell="P1" sqref="P1:Q1"/>
    </sheetView>
  </sheetViews>
  <sheetFormatPr defaultRowHeight="12.75"/>
  <cols>
    <col min="3" max="3" width="5.85546875" bestFit="1" customWidth="1"/>
    <col min="5" max="5" width="5.85546875" bestFit="1" customWidth="1"/>
    <col min="7" max="7" width="5.85546875" bestFit="1" customWidth="1"/>
    <col min="9" max="9" width="5.85546875" bestFit="1" customWidth="1"/>
    <col min="11" max="11" width="5.85546875" bestFit="1" customWidth="1"/>
    <col min="13" max="13" width="5.85546875" bestFit="1" customWidth="1"/>
    <col min="15" max="15" width="5.85546875" bestFit="1" customWidth="1"/>
    <col min="16" max="16" width="9.7109375" customWidth="1"/>
    <col min="17" max="17" width="1.5703125" customWidth="1"/>
  </cols>
  <sheetData>
    <row r="1" spans="1:17" ht="14.25">
      <c r="A1" s="71" t="s">
        <v>25</v>
      </c>
      <c r="B1" s="71"/>
      <c r="C1" s="71"/>
      <c r="D1" s="71"/>
      <c r="E1" s="71"/>
      <c r="F1" s="1"/>
      <c r="G1" s="1"/>
      <c r="H1" s="56" t="s">
        <v>16</v>
      </c>
      <c r="I1" s="56"/>
      <c r="J1" s="72"/>
      <c r="K1" s="72"/>
      <c r="L1" s="72"/>
      <c r="M1" s="1"/>
      <c r="N1" s="56" t="s">
        <v>14</v>
      </c>
      <c r="O1" s="56"/>
      <c r="P1" s="65">
        <v>40112</v>
      </c>
      <c r="Q1" s="65"/>
    </row>
    <row r="2" spans="1:17" ht="14.25">
      <c r="A2" s="55"/>
      <c r="B2" s="55"/>
      <c r="C2" s="55"/>
      <c r="D2" s="55"/>
      <c r="E2" s="55"/>
      <c r="F2" s="1"/>
      <c r="G2" s="1"/>
      <c r="H2" s="56" t="s">
        <v>17</v>
      </c>
      <c r="I2" s="56"/>
      <c r="J2" s="57"/>
      <c r="K2" s="57"/>
      <c r="L2" s="57"/>
      <c r="M2" s="1"/>
      <c r="N2" s="56" t="s">
        <v>13</v>
      </c>
      <c r="O2" s="56"/>
      <c r="P2" s="70">
        <f>N6</f>
        <v>40118</v>
      </c>
      <c r="Q2" s="70"/>
    </row>
    <row r="3" spans="1:17" ht="14.25">
      <c r="A3" s="29"/>
      <c r="B3" s="29"/>
      <c r="C3" s="29"/>
      <c r="D3" s="29"/>
      <c r="E3" s="29"/>
      <c r="F3" s="1"/>
      <c r="G3" s="1"/>
      <c r="H3" s="30"/>
      <c r="I3" s="30"/>
      <c r="J3" s="27"/>
      <c r="K3" s="27"/>
      <c r="L3" s="27"/>
      <c r="M3" s="1"/>
      <c r="N3" s="30"/>
      <c r="O3" s="30"/>
      <c r="P3" s="28"/>
      <c r="Q3" s="28"/>
    </row>
    <row r="4" spans="1:17" ht="4.5" customHeight="1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</row>
    <row r="5" spans="1:17" ht="13.5">
      <c r="A5" s="2"/>
      <c r="B5" s="73" t="s">
        <v>3</v>
      </c>
      <c r="C5" s="74"/>
      <c r="D5" s="61" t="s">
        <v>4</v>
      </c>
      <c r="E5" s="61"/>
      <c r="F5" s="61" t="s">
        <v>5</v>
      </c>
      <c r="G5" s="61"/>
      <c r="H5" s="61" t="s">
        <v>6</v>
      </c>
      <c r="I5" s="61"/>
      <c r="J5" s="61" t="s">
        <v>7</v>
      </c>
      <c r="K5" s="61"/>
      <c r="L5" s="61" t="s">
        <v>1</v>
      </c>
      <c r="M5" s="61"/>
      <c r="N5" s="66" t="s">
        <v>2</v>
      </c>
      <c r="O5" s="67"/>
      <c r="P5" s="68"/>
      <c r="Q5" s="7"/>
    </row>
    <row r="6" spans="1:17" ht="14.25">
      <c r="A6" s="3"/>
      <c r="B6" s="58">
        <f>P1</f>
        <v>40112</v>
      </c>
      <c r="C6" s="59"/>
      <c r="D6" s="58">
        <f>IF($P$1=0,"",$P$1+1)</f>
        <v>40113</v>
      </c>
      <c r="E6" s="59"/>
      <c r="F6" s="58">
        <f>IF($P$1=0,"",$P$1+2)</f>
        <v>40114</v>
      </c>
      <c r="G6" s="59"/>
      <c r="H6" s="58">
        <f>IF($P$1=0,"",$P$1+3)</f>
        <v>40115</v>
      </c>
      <c r="I6" s="59"/>
      <c r="J6" s="58">
        <f>IF($P$1=0,"",$P$1+4)</f>
        <v>40116</v>
      </c>
      <c r="K6" s="59"/>
      <c r="L6" s="58">
        <f>IF($P$1=0,"",$P$1+5)</f>
        <v>40117</v>
      </c>
      <c r="M6" s="59"/>
      <c r="N6" s="58">
        <f>IF($P$1=0,"",$P$1+6)</f>
        <v>40118</v>
      </c>
      <c r="O6" s="60"/>
      <c r="P6" s="69"/>
      <c r="Q6" s="7"/>
    </row>
    <row r="7" spans="1:17" ht="14.25">
      <c r="A7" s="33" t="s">
        <v>8</v>
      </c>
      <c r="B7" s="51"/>
      <c r="C7" s="19" t="s">
        <v>0</v>
      </c>
      <c r="D7" s="51"/>
      <c r="E7" s="19" t="s">
        <v>0</v>
      </c>
      <c r="F7" s="51"/>
      <c r="G7" s="19" t="s">
        <v>0</v>
      </c>
      <c r="H7" s="51"/>
      <c r="I7" s="19" t="s">
        <v>0</v>
      </c>
      <c r="J7" s="51"/>
      <c r="K7" s="19" t="s">
        <v>0</v>
      </c>
      <c r="L7" s="51"/>
      <c r="M7" s="19" t="s">
        <v>0</v>
      </c>
      <c r="N7" s="51"/>
      <c r="O7" s="20" t="s">
        <v>0</v>
      </c>
      <c r="P7" s="12"/>
      <c r="Q7" s="7"/>
    </row>
    <row r="8" spans="1:17" ht="14.25">
      <c r="A8" s="34" t="s">
        <v>9</v>
      </c>
      <c r="B8" s="52"/>
      <c r="C8" s="21">
        <f>IF((OR(B8="",B7="")),0,IF((B8&lt;B7),((B8-B7)*24)+24,(B8-B7)*24))</f>
        <v>0</v>
      </c>
      <c r="D8" s="52"/>
      <c r="E8" s="21">
        <f>IF((OR(D8="",D7="")),0,IF((D8&lt;D7),((D8-D7)*24)+24,(D8-D7)*24))</f>
        <v>0</v>
      </c>
      <c r="F8" s="52"/>
      <c r="G8" s="21">
        <f>IF((OR(F8="",F7="")),0,IF((F8&lt;F7),((F8-F7)*24)+24,(F8-F7)*24))</f>
        <v>0</v>
      </c>
      <c r="H8" s="52"/>
      <c r="I8" s="21">
        <f>IF((OR(H8="",H7="")),0,IF((H8&lt;H7),((H8-H7)*24)+24,(H8-H7)*24))</f>
        <v>0</v>
      </c>
      <c r="J8" s="52"/>
      <c r="K8" s="21">
        <f>IF((OR(J8="",J7="")),0,IF((J8&lt;J7),((J8-J7)*24)+24,(J8-J7)*24))</f>
        <v>0</v>
      </c>
      <c r="L8" s="52"/>
      <c r="M8" s="21">
        <f>IF((OR(L8="",L7="")),0,IF((L8&lt;L7),((L8-L7)*24)+24,(L8-L7)*24))</f>
        <v>0</v>
      </c>
      <c r="N8" s="52"/>
      <c r="O8" s="22">
        <f>IF((OR(N8="",N7="")),0,IF((N8&lt;N7),((N8-N7)*24)+24,(N8-N7)*24))</f>
        <v>0</v>
      </c>
      <c r="P8" s="12"/>
      <c r="Q8" s="7"/>
    </row>
    <row r="9" spans="1:17" ht="4.5" customHeight="1">
      <c r="A9" s="3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13"/>
      <c r="Q9" s="7"/>
    </row>
    <row r="10" spans="1:17" ht="13.5">
      <c r="A10" s="33" t="s">
        <v>8</v>
      </c>
      <c r="B10" s="51"/>
      <c r="C10" s="19" t="s">
        <v>0</v>
      </c>
      <c r="D10" s="51"/>
      <c r="E10" s="19" t="s">
        <v>0</v>
      </c>
      <c r="F10" s="51"/>
      <c r="G10" s="19" t="s">
        <v>0</v>
      </c>
      <c r="H10" s="51"/>
      <c r="I10" s="19" t="s">
        <v>0</v>
      </c>
      <c r="J10" s="51"/>
      <c r="K10" s="19" t="s">
        <v>0</v>
      </c>
      <c r="L10" s="51"/>
      <c r="M10" s="19" t="s">
        <v>0</v>
      </c>
      <c r="N10" s="51"/>
      <c r="O10" s="25" t="s">
        <v>0</v>
      </c>
      <c r="P10" s="78" t="s">
        <v>15</v>
      </c>
      <c r="Q10" s="7"/>
    </row>
    <row r="11" spans="1:17" ht="13.5">
      <c r="A11" s="35" t="s">
        <v>9</v>
      </c>
      <c r="B11" s="52"/>
      <c r="C11" s="21">
        <f>IF((OR(B11="",B10="")),0,IF((B11&lt;B10),((B11-B10)*24)+24,(B11-B10)*24))</f>
        <v>0</v>
      </c>
      <c r="D11" s="52"/>
      <c r="E11" s="21">
        <f>IF((OR(D11="",D10="")),0,IF((D11&lt;D10),((D11-D10)*24)+24,(D11-D10)*24))</f>
        <v>0</v>
      </c>
      <c r="F11" s="52"/>
      <c r="G11" s="21">
        <f>IF((OR(F11="",F10="")),0,IF((F11&lt;F10),((F11-F10)*24)+24,(F11-F10)*24))</f>
        <v>0</v>
      </c>
      <c r="H11" s="52"/>
      <c r="I11" s="21">
        <f>IF((OR(H11="",H10="")),0,IF((H11&lt;H10),((H11-H10)*24)+24,(H11-H10)*24))</f>
        <v>0</v>
      </c>
      <c r="J11" s="52"/>
      <c r="K11" s="21">
        <f>IF((OR(J11="",J10="")),0,IF((J11&lt;J10),((J11-J10)*24)+24,(J11-J10)*24))</f>
        <v>0</v>
      </c>
      <c r="L11" s="52"/>
      <c r="M11" s="21">
        <f>IF((OR(L11="",L10="")),0,IF((L11&lt;L10),((L11-L10)*24)+24,(L11-L10)*24))</f>
        <v>0</v>
      </c>
      <c r="N11" s="52"/>
      <c r="O11" s="26">
        <f>IF((OR(N11="",N10="")),0,IF((N11&lt;N10),((N11-N10)*24)+24,(N11-N10)*24))</f>
        <v>0</v>
      </c>
      <c r="P11" s="79"/>
      <c r="Q11" s="7"/>
    </row>
    <row r="12" spans="1:17" ht="13.5">
      <c r="A12" s="36" t="s">
        <v>0</v>
      </c>
      <c r="B12" s="75">
        <f>IF(OR(ISTEXT(C8),ISTEXT(C11)),"Error in C12 or C15",(C8+C11))</f>
        <v>0</v>
      </c>
      <c r="C12" s="76"/>
      <c r="D12" s="75">
        <f>IF(OR(ISTEXT(E8),ISTEXT(E11)),"Error in C12 or C15",(E8+E11))</f>
        <v>0</v>
      </c>
      <c r="E12" s="76"/>
      <c r="F12" s="75">
        <f>IF(OR(ISTEXT(G8),ISTEXT(G11)),"Error in C12 or C15",(G8+G11))</f>
        <v>0</v>
      </c>
      <c r="G12" s="76"/>
      <c r="H12" s="75">
        <f>IF(OR(ISTEXT(I8),ISTEXT(I11)),"Error in C12 or C15",(I8+I11))</f>
        <v>0</v>
      </c>
      <c r="I12" s="76"/>
      <c r="J12" s="75">
        <f>IF(OR(ISTEXT(K8),ISTEXT(K11)),"Error in C12 or C15",(K8+K11))</f>
        <v>0</v>
      </c>
      <c r="K12" s="76"/>
      <c r="L12" s="75">
        <f>IF(OR(ISTEXT(M8),ISTEXT(M11)),"Error in C12 or C15",(M8+M11))</f>
        <v>0</v>
      </c>
      <c r="M12" s="76"/>
      <c r="N12" s="75">
        <f>IF(OR(ISTEXT(O8),ISTEXT(O11)),"Error in C12 or C15",(O8+O11))</f>
        <v>0</v>
      </c>
      <c r="O12" s="76"/>
      <c r="P12" s="14">
        <f>SUM(B12:O12)</f>
        <v>0</v>
      </c>
      <c r="Q12" s="7"/>
    </row>
    <row r="13" spans="1:17" ht="4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ht="37.5" customHeight="1">
      <c r="A14" s="62"/>
      <c r="B14" s="62"/>
      <c r="C14" s="62"/>
      <c r="D14" s="62"/>
      <c r="E14" s="62"/>
      <c r="F14" s="63"/>
      <c r="G14" s="63"/>
      <c r="H14" s="1"/>
      <c r="I14" s="1"/>
      <c r="J14" s="62"/>
      <c r="K14" s="62"/>
      <c r="L14" s="62"/>
      <c r="M14" s="62"/>
      <c r="N14" s="62"/>
      <c r="O14" s="63"/>
      <c r="P14" s="63"/>
      <c r="Q14" s="1"/>
    </row>
    <row r="15" spans="1:17" ht="14.25">
      <c r="A15" s="16" t="s">
        <v>10</v>
      </c>
      <c r="B15" s="16"/>
      <c r="C15" s="11"/>
      <c r="D15" s="17"/>
      <c r="E15" s="17"/>
      <c r="F15" s="16" t="s">
        <v>11</v>
      </c>
      <c r="G15" s="17"/>
      <c r="H15" s="17"/>
      <c r="I15" s="17"/>
      <c r="J15" s="18" t="s">
        <v>12</v>
      </c>
      <c r="K15" s="18"/>
      <c r="L15" s="17"/>
      <c r="M15" s="17"/>
      <c r="N15" s="17"/>
      <c r="O15" s="18" t="s">
        <v>11</v>
      </c>
      <c r="P15" s="10"/>
      <c r="Q15" s="1"/>
    </row>
    <row r="16" spans="1:17" ht="13.5">
      <c r="A16" s="47" t="s">
        <v>19</v>
      </c>
      <c r="B16" s="47"/>
      <c r="C16" s="47"/>
      <c r="D16" s="47"/>
      <c r="E16" s="47"/>
      <c r="F16" s="47"/>
      <c r="G16" s="48"/>
      <c r="H16" s="48"/>
      <c r="I16" s="48"/>
      <c r="J16" s="49"/>
      <c r="K16" s="50"/>
      <c r="L16" s="1"/>
      <c r="M16" s="1"/>
      <c r="N16" s="1"/>
      <c r="O16" s="1"/>
      <c r="P16" s="1"/>
      <c r="Q16" s="1"/>
    </row>
    <row r="17" spans="1:17" ht="13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>
      <c r="A19" s="55"/>
      <c r="B19" s="55"/>
      <c r="C19" s="55"/>
      <c r="D19" s="55"/>
      <c r="E19" s="55"/>
      <c r="F19" s="1"/>
      <c r="G19" s="1"/>
      <c r="H19" s="56"/>
      <c r="I19" s="56"/>
      <c r="J19" s="64"/>
      <c r="K19" s="64"/>
      <c r="L19" s="64"/>
      <c r="M19" s="1"/>
      <c r="N19" s="56" t="s">
        <v>14</v>
      </c>
      <c r="O19" s="56"/>
      <c r="P19" s="65">
        <v>40119</v>
      </c>
      <c r="Q19" s="65"/>
    </row>
    <row r="20" spans="1:17" ht="14.25">
      <c r="A20" s="55"/>
      <c r="B20" s="55"/>
      <c r="C20" s="55"/>
      <c r="D20" s="55"/>
      <c r="E20" s="55"/>
      <c r="F20" s="1"/>
      <c r="G20" s="1"/>
      <c r="H20" s="56"/>
      <c r="I20" s="56"/>
      <c r="J20" s="80" t="s">
        <v>18</v>
      </c>
      <c r="K20" s="80"/>
      <c r="L20" s="80"/>
      <c r="M20" s="1"/>
      <c r="N20" s="56" t="s">
        <v>13</v>
      </c>
      <c r="O20" s="56"/>
      <c r="P20" s="77">
        <f>N24</f>
        <v>40125</v>
      </c>
      <c r="Q20" s="77"/>
    </row>
    <row r="21" spans="1:17" ht="14.25">
      <c r="A21" s="29"/>
      <c r="B21" s="29"/>
      <c r="C21" s="29"/>
      <c r="D21" s="29"/>
      <c r="E21" s="29"/>
      <c r="F21" s="1"/>
      <c r="G21" s="1"/>
      <c r="H21" s="30"/>
      <c r="I21" s="30"/>
      <c r="J21" s="31"/>
      <c r="K21" s="31"/>
      <c r="L21" s="31"/>
      <c r="M21" s="1"/>
      <c r="N21" s="30"/>
      <c r="O21" s="30"/>
      <c r="P21" s="28"/>
      <c r="Q21" s="28"/>
    </row>
    <row r="22" spans="1:17" ht="4.5" customHeight="1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</row>
    <row r="23" spans="1:17" ht="13.5">
      <c r="A23" s="2"/>
      <c r="B23" s="73" t="s">
        <v>3</v>
      </c>
      <c r="C23" s="74"/>
      <c r="D23" s="61" t="s">
        <v>4</v>
      </c>
      <c r="E23" s="61"/>
      <c r="F23" s="61" t="s">
        <v>5</v>
      </c>
      <c r="G23" s="61"/>
      <c r="H23" s="61" t="s">
        <v>6</v>
      </c>
      <c r="I23" s="61"/>
      <c r="J23" s="61" t="s">
        <v>7</v>
      </c>
      <c r="K23" s="61"/>
      <c r="L23" s="61" t="s">
        <v>1</v>
      </c>
      <c r="M23" s="61"/>
      <c r="N23" s="66" t="s">
        <v>2</v>
      </c>
      <c r="O23" s="67"/>
      <c r="P23" s="68"/>
      <c r="Q23" s="7"/>
    </row>
    <row r="24" spans="1:17" ht="14.25">
      <c r="A24" s="3"/>
      <c r="B24" s="58">
        <f>P19</f>
        <v>40119</v>
      </c>
      <c r="C24" s="59"/>
      <c r="D24" s="58">
        <f>IF($P$19=0,"",$P$19+1)</f>
        <v>40120</v>
      </c>
      <c r="E24" s="59"/>
      <c r="F24" s="58">
        <f>IF($P$19=0,"",$P$19+2)</f>
        <v>40121</v>
      </c>
      <c r="G24" s="59"/>
      <c r="H24" s="58">
        <f>IF($P$19=0,"",$P$19+3)</f>
        <v>40122</v>
      </c>
      <c r="I24" s="59"/>
      <c r="J24" s="58">
        <f>IF($P$19=0,"",$P$19+4)</f>
        <v>40123</v>
      </c>
      <c r="K24" s="59"/>
      <c r="L24" s="58">
        <f>IF($P$19=0,"",$P$19+5)</f>
        <v>40124</v>
      </c>
      <c r="M24" s="59"/>
      <c r="N24" s="58">
        <f>IF($P$19=0,"",$P$19+6)</f>
        <v>40125</v>
      </c>
      <c r="O24" s="60"/>
      <c r="P24" s="69"/>
      <c r="Q24" s="7"/>
    </row>
    <row r="25" spans="1:17" ht="14.25">
      <c r="A25" s="33" t="s">
        <v>8</v>
      </c>
      <c r="B25" s="51"/>
      <c r="C25" s="19" t="s">
        <v>0</v>
      </c>
      <c r="D25" s="51"/>
      <c r="E25" s="19" t="s">
        <v>0</v>
      </c>
      <c r="F25" s="51"/>
      <c r="G25" s="19" t="s">
        <v>0</v>
      </c>
      <c r="H25" s="51"/>
      <c r="I25" s="19" t="s">
        <v>0</v>
      </c>
      <c r="J25" s="51"/>
      <c r="K25" s="19" t="s">
        <v>0</v>
      </c>
      <c r="L25" s="51"/>
      <c r="M25" s="19" t="s">
        <v>0</v>
      </c>
      <c r="N25" s="51"/>
      <c r="O25" s="20" t="s">
        <v>0</v>
      </c>
      <c r="P25" s="12"/>
      <c r="Q25" s="7"/>
    </row>
    <row r="26" spans="1:17" ht="14.25">
      <c r="A26" s="34" t="s">
        <v>9</v>
      </c>
      <c r="B26" s="52"/>
      <c r="C26" s="21">
        <f>IF((OR(B26="",B25="")),0,IF((B26&lt;B25),((B26-B25)*24)+24,(B26-B25)*24))</f>
        <v>0</v>
      </c>
      <c r="D26" s="52"/>
      <c r="E26" s="21">
        <f>IF((OR(D26="",D25="")),0,IF((D26&lt;D25),((D26-D25)*24)+24,(D26-D25)*24))</f>
        <v>0</v>
      </c>
      <c r="F26" s="52"/>
      <c r="G26" s="21">
        <f>IF((OR(F26="",F25="")),0,IF((F26&lt;F25),((F26-F25)*24)+24,(F26-F25)*24))</f>
        <v>0</v>
      </c>
      <c r="H26" s="52"/>
      <c r="I26" s="21">
        <f>IF((OR(H26="",H25="")),0,IF((H26&lt;H25),((H26-H25)*24)+24,(H26-H25)*24))</f>
        <v>0</v>
      </c>
      <c r="J26" s="52"/>
      <c r="K26" s="21">
        <f>IF((OR(J26="",J25="")),0,IF((J26&lt;J25),((J26-J25)*24)+24,(J26-J25)*24))</f>
        <v>0</v>
      </c>
      <c r="L26" s="52"/>
      <c r="M26" s="21">
        <f>IF((OR(L26="",L25="")),0,IF((L26&lt;L25),((L26-L25)*24)+24,(L26-L25)*24))</f>
        <v>0</v>
      </c>
      <c r="N26" s="52"/>
      <c r="O26" s="22">
        <f>IF((OR(N26="",N25="")),0,IF((N26&lt;N25),((N26-N25)*24)+24,(N26-N25)*24))</f>
        <v>0</v>
      </c>
      <c r="P26" s="12"/>
      <c r="Q26" s="7"/>
    </row>
    <row r="27" spans="1:17" ht="4.5" customHeight="1">
      <c r="A27" s="1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13"/>
      <c r="Q27" s="7"/>
    </row>
    <row r="28" spans="1:17" ht="13.5">
      <c r="A28" s="33" t="s">
        <v>8</v>
      </c>
      <c r="B28" s="51"/>
      <c r="C28" s="19" t="s">
        <v>0</v>
      </c>
      <c r="D28" s="51"/>
      <c r="E28" s="19" t="s">
        <v>0</v>
      </c>
      <c r="F28" s="51"/>
      <c r="G28" s="19" t="s">
        <v>0</v>
      </c>
      <c r="H28" s="51"/>
      <c r="I28" s="19" t="s">
        <v>0</v>
      </c>
      <c r="J28" s="51"/>
      <c r="K28" s="19" t="s">
        <v>0</v>
      </c>
      <c r="L28" s="51"/>
      <c r="M28" s="19" t="s">
        <v>0</v>
      </c>
      <c r="N28" s="51"/>
      <c r="O28" s="25" t="s">
        <v>0</v>
      </c>
      <c r="P28" s="78" t="s">
        <v>15</v>
      </c>
      <c r="Q28" s="7"/>
    </row>
    <row r="29" spans="1:17" ht="13.5">
      <c r="A29" s="35" t="s">
        <v>9</v>
      </c>
      <c r="B29" s="52"/>
      <c r="C29" s="21">
        <f>IF((OR(B29="",B28="")),0,IF((B29&lt;B28),((B29-B28)*24)+24,(B29-B28)*24))</f>
        <v>0</v>
      </c>
      <c r="D29" s="52"/>
      <c r="E29" s="21">
        <f>IF((OR(D29="",D28="")),0,IF((D29&lt;D28),((D29-D28)*24)+24,(D29-D28)*24))</f>
        <v>0</v>
      </c>
      <c r="F29" s="52"/>
      <c r="G29" s="21">
        <f>IF((OR(F29="",F28="")),0,IF((F29&lt;F28),((F29-F28)*24)+24,(F29-F28)*24))</f>
        <v>0</v>
      </c>
      <c r="H29" s="52"/>
      <c r="I29" s="21">
        <f>IF((OR(H29="",H28="")),0,IF((H29&lt;H28),((H29-H28)*24)+24,(H29-H28)*24))</f>
        <v>0</v>
      </c>
      <c r="J29" s="52"/>
      <c r="K29" s="21">
        <f>IF((OR(J29="",J28="")),0,IF((J29&lt;J28),((J29-J28)*24)+24,(J29-J28)*24))</f>
        <v>0</v>
      </c>
      <c r="L29" s="52"/>
      <c r="M29" s="21">
        <f>IF((OR(L29="",L28="")),0,IF((L29&lt;L28),((L29-L28)*24)+24,(L29-L28)*24))</f>
        <v>0</v>
      </c>
      <c r="N29" s="52"/>
      <c r="O29" s="26">
        <f>IF((OR(N29="",N28="")),0,IF((N29&lt;N28),((N29-N28)*24)+24,(N29-N28)*24))</f>
        <v>0</v>
      </c>
      <c r="P29" s="79"/>
      <c r="Q29" s="7"/>
    </row>
    <row r="30" spans="1:17" ht="13.5">
      <c r="A30" s="36" t="s">
        <v>0</v>
      </c>
      <c r="B30" s="75">
        <f>IF(OR(ISTEXT(C26),ISTEXT(C29)),"Error in C12 or C15",(C26+C29))</f>
        <v>0</v>
      </c>
      <c r="C30" s="76"/>
      <c r="D30" s="75">
        <f>IF(OR(ISTEXT(E26),ISTEXT(E29)),"Error in C12 or C15",(E26+E29))</f>
        <v>0</v>
      </c>
      <c r="E30" s="76"/>
      <c r="F30" s="75">
        <f>IF(OR(ISTEXT(G26),ISTEXT(G29)),"Error in C12 or C15",(G26+G29))</f>
        <v>0</v>
      </c>
      <c r="G30" s="76"/>
      <c r="H30" s="75">
        <f>IF(OR(ISTEXT(I26),ISTEXT(I29)),"Error in C12 or C15",(I26+I29))</f>
        <v>0</v>
      </c>
      <c r="I30" s="76"/>
      <c r="J30" s="75">
        <f>IF(OR(ISTEXT(K26),ISTEXT(K29)),"Error in C12 or C15",(K26+K29))</f>
        <v>0</v>
      </c>
      <c r="K30" s="76"/>
      <c r="L30" s="75">
        <f>IF(OR(ISTEXT(M26),ISTEXT(M29)),"Error in C12 or C15",(M26+M29))</f>
        <v>0</v>
      </c>
      <c r="M30" s="76"/>
      <c r="N30" s="75">
        <f>IF(OR(ISTEXT(O26),ISTEXT(O29)),"Error in C12 or C15",(O26+O29))</f>
        <v>0</v>
      </c>
      <c r="O30" s="76"/>
      <c r="P30" s="14">
        <f>SUM(B30:O30)</f>
        <v>0</v>
      </c>
      <c r="Q30" s="7"/>
    </row>
    <row r="31" spans="1:17" ht="4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</row>
    <row r="32" spans="1:17" ht="37.5" customHeight="1">
      <c r="A32" s="62"/>
      <c r="B32" s="62"/>
      <c r="C32" s="62"/>
      <c r="D32" s="62"/>
      <c r="E32" s="62"/>
      <c r="F32" s="63"/>
      <c r="G32" s="63"/>
      <c r="H32" s="1"/>
      <c r="I32" s="1"/>
      <c r="J32" s="62"/>
      <c r="K32" s="62"/>
      <c r="L32" s="62"/>
      <c r="M32" s="62"/>
      <c r="N32" s="62"/>
      <c r="O32" s="63"/>
      <c r="P32" s="63"/>
      <c r="Q32" s="1"/>
    </row>
    <row r="33" spans="1:17" ht="14.25">
      <c r="A33" s="16" t="s">
        <v>10</v>
      </c>
      <c r="B33" s="16"/>
      <c r="C33" s="11"/>
      <c r="D33" s="17"/>
      <c r="E33" s="17"/>
      <c r="F33" s="16" t="s">
        <v>11</v>
      </c>
      <c r="G33" s="17"/>
      <c r="H33" s="17"/>
      <c r="I33" s="17"/>
      <c r="J33" s="18" t="s">
        <v>12</v>
      </c>
      <c r="K33" s="18"/>
      <c r="L33" s="17"/>
      <c r="M33" s="17"/>
      <c r="N33" s="17"/>
      <c r="O33" s="18" t="s">
        <v>11</v>
      </c>
      <c r="P33" s="10"/>
      <c r="Q33" s="1"/>
    </row>
    <row r="34" spans="1:17">
      <c r="A34" s="47" t="s">
        <v>19</v>
      </c>
      <c r="B34" s="47"/>
      <c r="C34" s="47"/>
      <c r="D34" s="47"/>
      <c r="E34" s="47"/>
      <c r="F34" s="47"/>
      <c r="G34" s="48"/>
      <c r="H34" s="48"/>
      <c r="I34" s="48"/>
      <c r="J34" s="49"/>
      <c r="K34" s="50"/>
      <c r="L34" s="41"/>
      <c r="M34" s="40"/>
      <c r="N34" s="40"/>
      <c r="O34" s="40"/>
      <c r="P34" s="40"/>
    </row>
    <row r="36" spans="1:17">
      <c r="A36" s="42" t="s">
        <v>23</v>
      </c>
      <c r="B36" s="43"/>
      <c r="C36" s="43"/>
      <c r="D36" s="43"/>
      <c r="E36" s="43"/>
      <c r="F36" s="43"/>
      <c r="G36" s="43"/>
      <c r="H36" s="43"/>
      <c r="I36" s="42"/>
      <c r="J36" s="44"/>
      <c r="K36" s="45"/>
      <c r="L36" s="45"/>
      <c r="M36" s="45"/>
      <c r="N36" s="45"/>
    </row>
    <row r="37" spans="1:17">
      <c r="A37" s="42" t="s">
        <v>20</v>
      </c>
      <c r="B37" s="46"/>
      <c r="C37" s="46"/>
      <c r="D37" s="46"/>
      <c r="E37" s="46"/>
      <c r="F37" s="46"/>
      <c r="G37" s="46"/>
      <c r="H37" s="46"/>
      <c r="I37" s="42"/>
      <c r="J37" s="44"/>
      <c r="K37" s="44"/>
      <c r="L37" s="45"/>
      <c r="M37" s="45"/>
      <c r="N37" s="45"/>
    </row>
    <row r="38" spans="1:17">
      <c r="A38" s="42" t="s">
        <v>24</v>
      </c>
      <c r="B38" s="43"/>
      <c r="C38" s="43"/>
      <c r="D38" s="43"/>
      <c r="E38" s="43"/>
      <c r="F38" s="43"/>
      <c r="G38" s="46"/>
      <c r="H38" s="46"/>
      <c r="I38" s="42"/>
      <c r="J38" s="44"/>
      <c r="K38" s="44"/>
      <c r="L38" s="45"/>
      <c r="M38" s="45"/>
      <c r="N38" s="45"/>
    </row>
    <row r="39" spans="1:17">
      <c r="A39" s="42" t="s">
        <v>22</v>
      </c>
      <c r="B39" s="43"/>
      <c r="C39" s="43"/>
      <c r="D39" s="43"/>
      <c r="E39" s="43"/>
      <c r="F39" s="43"/>
      <c r="G39" s="43"/>
      <c r="H39" s="43"/>
      <c r="I39" s="42"/>
      <c r="J39" s="45"/>
      <c r="K39" s="45"/>
      <c r="L39" s="45"/>
      <c r="M39" s="45"/>
      <c r="N39" s="45"/>
    </row>
    <row r="40" spans="1:17">
      <c r="A40" s="42" t="s">
        <v>21</v>
      </c>
      <c r="B40" s="46"/>
      <c r="C40" s="46"/>
      <c r="D40" s="46"/>
      <c r="E40" s="46"/>
      <c r="F40" s="46"/>
      <c r="G40" s="46"/>
      <c r="H40" s="46"/>
      <c r="I40" s="42"/>
      <c r="J40" s="45"/>
      <c r="K40" s="45"/>
      <c r="L40" s="45"/>
      <c r="M40" s="45"/>
      <c r="N40" s="45"/>
    </row>
    <row r="42" spans="1:17">
      <c r="A42" s="37" t="s">
        <v>18</v>
      </c>
      <c r="B42" s="39"/>
      <c r="C42" s="39"/>
      <c r="D42" s="39"/>
      <c r="E42" s="39"/>
      <c r="F42" s="39"/>
      <c r="G42" s="38"/>
      <c r="H42" s="38"/>
      <c r="I42" s="38"/>
    </row>
    <row r="43" spans="1:17">
      <c r="A43" s="53" t="s">
        <v>18</v>
      </c>
      <c r="B43" s="54"/>
      <c r="C43" s="54"/>
      <c r="D43" s="54"/>
      <c r="E43" s="54"/>
      <c r="F43" s="54"/>
      <c r="G43" s="54"/>
      <c r="H43" s="54"/>
      <c r="I43" s="54"/>
    </row>
    <row r="44" spans="1:17">
      <c r="A44" s="37" t="s">
        <v>18</v>
      </c>
      <c r="B44" s="37" t="s">
        <v>18</v>
      </c>
      <c r="C44" s="37"/>
      <c r="D44" s="37"/>
      <c r="E44" s="37"/>
      <c r="F44" s="37"/>
      <c r="G44" s="39"/>
      <c r="H44" s="39"/>
      <c r="I44" s="38"/>
    </row>
  </sheetData>
  <sheetProtection password="EB20" sheet="1" objects="1" scenarios="1" selectLockedCells="1"/>
  <protectedRanges>
    <protectedRange sqref="P1:Q1 P19:Q19" name="week start date"/>
    <protectedRange sqref="B7:B11 D7:D11 F7:F11 H7:H11 J7:J11 L7:L11 N7:N11 B25:B29 D25:D29 F25:F29 H25:H29 J25:J29 L25:L29 N25:N29" name="times"/>
    <protectedRange sqref="J2:L2" name="manger name"/>
    <protectedRange sqref="J1:L1" name="name"/>
  </protectedRanges>
  <mergeCells count="75">
    <mergeCell ref="N1:O1"/>
    <mergeCell ref="P1:Q1"/>
    <mergeCell ref="A2:E2"/>
    <mergeCell ref="H2:I2"/>
    <mergeCell ref="J2:L2"/>
    <mergeCell ref="N2:O2"/>
    <mergeCell ref="P2:Q2"/>
    <mergeCell ref="D5:E5"/>
    <mergeCell ref="F5:G5"/>
    <mergeCell ref="H5:I5"/>
    <mergeCell ref="J5:K5"/>
    <mergeCell ref="L5:M5"/>
    <mergeCell ref="A1:E1"/>
    <mergeCell ref="H1:I1"/>
    <mergeCell ref="J1:L1"/>
    <mergeCell ref="N5:O5"/>
    <mergeCell ref="P5:P6"/>
    <mergeCell ref="B6:C6"/>
    <mergeCell ref="D6:E6"/>
    <mergeCell ref="F6:G6"/>
    <mergeCell ref="H6:I6"/>
    <mergeCell ref="J6:K6"/>
    <mergeCell ref="L6:M6"/>
    <mergeCell ref="N6:O6"/>
    <mergeCell ref="B5:C5"/>
    <mergeCell ref="P19:Q19"/>
    <mergeCell ref="P10:P11"/>
    <mergeCell ref="B12:C12"/>
    <mergeCell ref="D12:E12"/>
    <mergeCell ref="F12:G12"/>
    <mergeCell ref="H12:I12"/>
    <mergeCell ref="J12:K12"/>
    <mergeCell ref="L12:M12"/>
    <mergeCell ref="N12:O12"/>
    <mergeCell ref="N20:O20"/>
    <mergeCell ref="P20:Q20"/>
    <mergeCell ref="A14:E14"/>
    <mergeCell ref="F14:G14"/>
    <mergeCell ref="J14:N14"/>
    <mergeCell ref="O14:P14"/>
    <mergeCell ref="A19:E19"/>
    <mergeCell ref="H19:I19"/>
    <mergeCell ref="J19:L19"/>
    <mergeCell ref="N19:O19"/>
    <mergeCell ref="B23:C23"/>
    <mergeCell ref="D23:E23"/>
    <mergeCell ref="F23:G23"/>
    <mergeCell ref="H23:I23"/>
    <mergeCell ref="J23:K23"/>
    <mergeCell ref="A20:E20"/>
    <mergeCell ref="H20:I20"/>
    <mergeCell ref="J20:L20"/>
    <mergeCell ref="B24:C24"/>
    <mergeCell ref="D24:E24"/>
    <mergeCell ref="F24:G24"/>
    <mergeCell ref="H24:I24"/>
    <mergeCell ref="J24:K24"/>
    <mergeCell ref="L24:M24"/>
    <mergeCell ref="J30:K30"/>
    <mergeCell ref="L30:M30"/>
    <mergeCell ref="N30:O30"/>
    <mergeCell ref="L23:M23"/>
    <mergeCell ref="N23:O23"/>
    <mergeCell ref="P23:P24"/>
    <mergeCell ref="N24:O24"/>
    <mergeCell ref="A32:E32"/>
    <mergeCell ref="F32:G32"/>
    <mergeCell ref="J32:N32"/>
    <mergeCell ref="O32:P32"/>
    <mergeCell ref="A43:I43"/>
    <mergeCell ref="P28:P29"/>
    <mergeCell ref="B30:C30"/>
    <mergeCell ref="D30:E30"/>
    <mergeCell ref="F30:G30"/>
    <mergeCell ref="H30:I30"/>
  </mergeCells>
  <dataValidations count="1">
    <dataValidation type="time" allowBlank="1" showInputMessage="1" showErrorMessage="1" errorTitle="Incorrect Time Format" error="Time should be entered in the following format: 12:00 AM" sqref="B25:B26 B7:B8 F10:F11 H10:H11 J10:J11 L10:L11 N10:N11 N7:N8 L7:L8 J7:J8 H7:H8 F7:F8 D7:D8 D10:D11 B10:B11 B28:B29 D28:D29 D25:D26 F25:F26 H25:H26 J25:J26 L25:L26 N25:N26 N28:N29 L28:L29 J28:J29 H28:H29 F28:F29">
      <formula1>0</formula1>
      <formula2>0.999988425925926</formula2>
    </dataValidation>
  </dataValidations>
  <pageMargins left="0.7" right="0.7" top="0.5" bottom="0.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PP 7.20.09-8.02.09</vt:lpstr>
      <vt:lpstr>PP 7.06.09-7.19.09</vt:lpstr>
      <vt:lpstr>'PP 7.06.09-7.19.09'!Print_Area</vt:lpstr>
      <vt:lpstr>'PP 7.20.09-8.02.09'!Print_Area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lastPrinted>2009-07-28T14:11:47Z</cp:lastPrinted>
  <dcterms:created xsi:type="dcterms:W3CDTF">2000-08-25T01:59:39Z</dcterms:created>
  <dcterms:modified xsi:type="dcterms:W3CDTF">2011-07-29T22:13:32Z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TC060888721033</vt:lpwstr>
  </property>
</Properties>
</file>