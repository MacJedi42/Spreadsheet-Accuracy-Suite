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C528" lockStructure="1"/>
  <bookViews>
    <workbookView xWindow="0" yWindow="60" windowWidth="15300" windowHeight="8490" tabRatio="804"/>
  </bookViews>
  <sheets>
    <sheet name="Title" sheetId="1" r:id="rId1"/>
    <sheet name="General costs" sheetId="21" r:id="rId2"/>
    <sheet name="Travel" sheetId="30" r:id="rId3"/>
  </sheets>
  <calcPr calcId="145621"/>
</workbook>
</file>

<file path=xl/calcChain.xml><?xml version="1.0" encoding="utf-8"?>
<calcChain xmlns="http://schemas.openxmlformats.org/spreadsheetml/2006/main">
  <c r="F15" i="21" l="1"/>
  <c r="I42" i="30" l="1"/>
  <c r="I41" i="30"/>
  <c r="I40" i="30"/>
  <c r="I39" i="30"/>
  <c r="I38" i="30"/>
  <c r="I37" i="30"/>
  <c r="J91" i="30"/>
  <c r="A69" i="21"/>
  <c r="H26" i="1" s="1"/>
  <c r="F16" i="21"/>
  <c r="F17" i="21"/>
  <c r="F18" i="21"/>
  <c r="F19" i="21"/>
  <c r="F20" i="21"/>
  <c r="F21" i="21"/>
  <c r="F22" i="21"/>
  <c r="F23" i="21"/>
  <c r="F24" i="21"/>
  <c r="I84" i="30"/>
  <c r="I83" i="30"/>
  <c r="I82" i="30"/>
  <c r="I81" i="30"/>
  <c r="I80" i="30"/>
  <c r="I79" i="30"/>
  <c r="A85" i="30" s="1"/>
  <c r="I63" i="30"/>
  <c r="I62" i="30"/>
  <c r="I61" i="30"/>
  <c r="I60" i="30"/>
  <c r="I59" i="30"/>
  <c r="I58" i="30"/>
  <c r="I18" i="30"/>
  <c r="I21" i="30"/>
  <c r="I20" i="30"/>
  <c r="I19" i="30"/>
  <c r="I17" i="30"/>
  <c r="I16" i="30"/>
  <c r="A64" i="30" l="1"/>
  <c r="I91" i="30"/>
  <c r="H29" i="1" s="1"/>
  <c r="A43" i="30"/>
  <c r="A22" i="30"/>
  <c r="A24" i="21" l="1"/>
  <c r="F27" i="1" s="1"/>
  <c r="F56" i="21"/>
  <c r="F51" i="21"/>
  <c r="F46" i="21"/>
  <c r="G106" i="21" l="1"/>
  <c r="H32" i="1" s="1"/>
  <c r="A101" i="21"/>
  <c r="H28" i="1" s="1"/>
  <c r="A83" i="21"/>
  <c r="H27" i="1" s="1"/>
  <c r="F45" i="21"/>
  <c r="F44" i="21"/>
  <c r="F43" i="21"/>
  <c r="F106" i="21" l="1"/>
  <c r="A60" i="21"/>
  <c r="F29" i="1" s="1"/>
  <c r="A37" i="21"/>
  <c r="F28" i="1" s="1"/>
  <c r="A9" i="21"/>
  <c r="F26" i="1" s="1"/>
  <c r="H31" i="1" l="1"/>
</calcChain>
</file>

<file path=xl/sharedStrings.xml><?xml version="1.0" encoding="utf-8"?>
<sst xmlns="http://schemas.openxmlformats.org/spreadsheetml/2006/main" count="215" uniqueCount="79">
  <si>
    <t>Email:</t>
  </si>
  <si>
    <t>Name of organization:</t>
  </si>
  <si>
    <t>Grand Total Requested:</t>
  </si>
  <si>
    <t>Grand Total Allocated:</t>
  </si>
  <si>
    <t>Proposed Budget</t>
  </si>
  <si>
    <t>$ Allocated</t>
  </si>
  <si>
    <t>$ Requested</t>
  </si>
  <si>
    <t>Supplies</t>
  </si>
  <si>
    <t>Contact person(s):</t>
  </si>
  <si>
    <t>Purpose</t>
  </si>
  <si>
    <t>Miscellaneous</t>
  </si>
  <si>
    <t>Capital Expenditures</t>
  </si>
  <si>
    <t>Items that will be used for more than one year</t>
  </si>
  <si>
    <t>Food</t>
  </si>
  <si>
    <t>Hotel</t>
  </si>
  <si>
    <t>Meals</t>
  </si>
  <si>
    <t>Travel</t>
  </si>
  <si>
    <t>$$</t>
  </si>
  <si>
    <t>per</t>
  </si>
  <si>
    <t>travelers</t>
  </si>
  <si>
    <t>rooms</t>
  </si>
  <si>
    <t>#</t>
  </si>
  <si>
    <t>days</t>
  </si>
  <si>
    <t>vehicles</t>
  </si>
  <si>
    <t>airline ticket</t>
  </si>
  <si>
    <t>round-trip mileage</t>
  </si>
  <si>
    <t>Transportation (air)</t>
  </si>
  <si>
    <t>Transportation (ground)</t>
  </si>
  <si>
    <t>of</t>
  </si>
  <si>
    <t>Airport shuttle</t>
  </si>
  <si>
    <t>shuttle ticket</t>
  </si>
  <si>
    <t>nights</t>
  </si>
  <si>
    <t>Miscellaneous Items with Explanations</t>
  </si>
  <si>
    <t>Printing &amp; Mailing</t>
  </si>
  <si>
    <t>per person</t>
  </si>
  <si>
    <t>per mile</t>
  </si>
  <si>
    <t>per room</t>
  </si>
  <si>
    <t>Food for end of year celebration</t>
  </si>
  <si>
    <t>GENERAL COSTS</t>
  </si>
  <si>
    <t>Number of ACTIVE student members:</t>
  </si>
  <si>
    <t>Notes from Fee Committee:</t>
  </si>
  <si>
    <t>Postage - please describe need/use for postage in cell below.</t>
  </si>
  <si>
    <t>Price per person</t>
  </si>
  <si>
    <t># of people</t>
  </si>
  <si>
    <t>SAC #:</t>
  </si>
  <si>
    <t>Are you a currently active/registered club or program?</t>
  </si>
  <si>
    <t>Name of Advisor:</t>
  </si>
  <si>
    <t>Number of members particiapting in community service:</t>
  </si>
  <si>
    <t>Does your club collect dues? If so, how much?</t>
  </si>
  <si>
    <r>
      <t xml:space="preserve">Walk-up copying </t>
    </r>
    <r>
      <rPr>
        <b/>
        <sz val="8"/>
        <color indexed="10"/>
        <rFont val="Arial"/>
        <family val="2"/>
      </rPr>
      <t>($25 will cover about 350 copies)</t>
    </r>
  </si>
  <si>
    <t>Description of Supplies</t>
  </si>
  <si>
    <t>Food for 1st meeting of Fall quarter</t>
  </si>
  <si>
    <t>Food for 1st meeting of Spring quarter</t>
  </si>
  <si>
    <t>Food for campus-wide events (all students invited) - Fall quarter</t>
  </si>
  <si>
    <t>Food for campus-wide events (all students invited) - Winter quarter</t>
  </si>
  <si>
    <t>Food for campus-wide events (all students invited) - Spring quarter</t>
  </si>
  <si>
    <t>Campus Clubs are able to request funding between $300 - $1,500 total per academic year.</t>
  </si>
  <si>
    <t>Hourly Rate</t>
  </si>
  <si>
    <t>Hours per week</t>
  </si>
  <si>
    <t># of weeks</t>
  </si>
  <si>
    <t>Position Title</t>
  </si>
  <si>
    <t>Student Leader Wages (Student Programs)</t>
  </si>
  <si>
    <t>Detailed description of conference/travel event (including who would be traveling)</t>
  </si>
  <si>
    <t>Financial Allocations Committee (FAC) Campus Clubs &amp; Student Programs Budget Proposal Form 2013-2014</t>
  </si>
  <si>
    <t>Registration fee for conference</t>
  </si>
  <si>
    <t>Maximum meal allowance for travel is $52 per person per day. Groups may request lower food allowance in order to prioritze budget to other areas as desired.</t>
  </si>
  <si>
    <t>Trip #1</t>
  </si>
  <si>
    <t>Trip #4</t>
  </si>
  <si>
    <t>Trip #3</t>
  </si>
  <si>
    <t>Trip #2</t>
  </si>
  <si>
    <t>Description of Fall events where food is requested:</t>
  </si>
  <si>
    <t>Description of Winter events where food is requested:</t>
  </si>
  <si>
    <t>Description of Spring events where food is requested:</t>
  </si>
  <si>
    <r>
      <t xml:space="preserve">Speaker/Performer Fees                              </t>
    </r>
    <r>
      <rPr>
        <sz val="8"/>
        <rFont val="Arial"/>
        <family val="2"/>
      </rPr>
      <t>Description of Speaker/Performer</t>
    </r>
  </si>
  <si>
    <t>Student Leader Wages</t>
  </si>
  <si>
    <t>Speaker/Performers</t>
  </si>
  <si>
    <t>Other (rental vehicle, gas, etc.):</t>
  </si>
  <si>
    <t>NOTE THAT THERE ARE TABS AT THE BOTTOM OF THE SPREADSHEET.                             Once your form is complete, send it as an email attachment to asoit@oit.edu.</t>
  </si>
  <si>
    <t>Directions for completing:  Enter information into the cells that are shaded pale yellow (be sure to complete all of the yellow cells in the Title Tab; utilize those appropriate to your specific budget needs for the General Costs and Travel tabs).  Provide as much detail as possible so that the committee has a clear understanding of why you are participating in events and how the money your club receives directly relates to your group achieving its mission and objectives/goals.  The budget request amounts will tally for you as you enter information.  If there is a cell that is not open to enter information into, that is because the cell is locked.  These cells are locked for specific functions, and should not be tampered with.  If you have any questions about completing the form, contact Patrick Oswald in the ASOIT office at 541-885-1830 or email patrick.oswald@oit.edu.</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</si>
</sst>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7" formatCode="&quot;$&quot;#,##0.00_);\(&quot;$&quot;#,##0.00\)"/>
    <numFmt numFmtId="44" formatCode="_(&quot;$&quot;* #,##0.00_);_(&quot;$&quot;* \(#,##0.00\);_(&quot;$&quot;* &quot;-&quot;??_);_(@_)"/>
    <numFmt numFmtId="164" formatCode="&quot;$&quot;#,##0.00"/>
    <numFmt numFmtId="165" formatCode="_(&quot;$&quot;* #,##0.000_);_(&quot;$&quot;* \(#,##0.000\);_(&quot;$&quot;* &quot;-&quot;???_);_(@_)"/>
  </numFmts>
  <fonts count="15" x14ac:knownFonts="1">
    <font>
      <sz val="10"/>
      <name val="Arial"/>
    </font>
    <font>
      <sz val="10"/>
      <name val="Arial"/>
      <family val="2"/>
    </font>
    <font>
      <b/>
      <sz val="14"/>
      <name val="Arial"/>
      <family val="2"/>
    </font>
    <font>
      <sz val="8"/>
      <name val="Arial"/>
      <family val="2"/>
    </font>
    <font>
      <b/>
      <sz val="10"/>
      <name val="Arial"/>
      <family val="2"/>
    </font>
    <font>
      <sz val="10"/>
      <name val="Arial"/>
      <family val="2"/>
    </font>
    <font>
      <b/>
      <sz val="8"/>
      <name val="Arial"/>
      <family val="2"/>
    </font>
    <font>
      <sz val="8"/>
      <name val="Arial"/>
      <family val="2"/>
    </font>
    <font>
      <b/>
      <sz val="16"/>
      <name val="Arial"/>
      <family val="2"/>
    </font>
    <font>
      <b/>
      <sz val="8"/>
      <color indexed="10"/>
      <name val="Arial"/>
      <family val="2"/>
    </font>
    <font>
      <sz val="10"/>
      <color rgb="FFFF0000"/>
      <name val="Arial"/>
      <family val="2"/>
    </font>
    <font>
      <sz val="8"/>
      <color rgb="FFFF0000"/>
      <name val="Arial"/>
      <family val="2"/>
    </font>
    <font>
      <b/>
      <sz val="9"/>
      <color rgb="FFFF0000"/>
      <name val="Arial"/>
      <family val="2"/>
    </font>
    <font>
      <b/>
      <sz val="14"/>
      <color rgb="FFFF0000"/>
      <name val="Arial"/>
      <family val="2"/>
    </font>
    <font>
      <b/>
      <sz val="9"/>
      <name val="Arial"/>
      <family val="2"/>
    </font>
  </fonts>
  <fills count="8">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51"/>
        <bgColor indexed="64"/>
      </patternFill>
    </fill>
    <fill>
      <patternFill patternType="lightUp">
        <bgColor indexed="23"/>
      </patternFill>
    </fill>
    <fill>
      <patternFill patternType="solid">
        <fgColor rgb="FFFF0000"/>
        <bgColor indexed="64"/>
      </patternFill>
    </fill>
    <fill>
      <patternFill patternType="solid">
        <fgColor rgb="FFFFFF99"/>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139">
    <xf numFmtId="0" fontId="0" fillId="0" borderId="0" xfId="0"/>
    <xf numFmtId="0" fontId="2" fillId="0" borderId="0" xfId="0" applyFont="1" applyAlignment="1">
      <alignment horizontal="left"/>
    </xf>
    <xf numFmtId="0" fontId="3" fillId="0" borderId="0" xfId="0" applyFont="1" applyAlignment="1">
      <alignment horizontal="right"/>
    </xf>
    <xf numFmtId="0" fontId="5" fillId="2" borderId="1" xfId="0" applyFont="1" applyFill="1" applyBorder="1"/>
    <xf numFmtId="0" fontId="0" fillId="2" borderId="2" xfId="0" applyFill="1" applyBorder="1"/>
    <xf numFmtId="0" fontId="0" fillId="2" borderId="3" xfId="0" applyFill="1" applyBorder="1"/>
    <xf numFmtId="0" fontId="4" fillId="0" borderId="4" xfId="0" applyFont="1" applyFill="1" applyBorder="1"/>
    <xf numFmtId="0" fontId="0" fillId="0" borderId="0" xfId="0" applyFill="1" applyBorder="1"/>
    <xf numFmtId="0" fontId="0" fillId="0" borderId="5" xfId="0" applyFill="1" applyBorder="1"/>
    <xf numFmtId="0" fontId="3" fillId="0" borderId="4" xfId="0" applyFont="1" applyFill="1" applyBorder="1"/>
    <xf numFmtId="164" fontId="3" fillId="0" borderId="0" xfId="0" applyNumberFormat="1" applyFont="1" applyFill="1" applyBorder="1" applyAlignment="1">
      <alignment horizontal="left"/>
    </xf>
    <xf numFmtId="0" fontId="3" fillId="0" borderId="0" xfId="0" applyFont="1" applyFill="1" applyBorder="1"/>
    <xf numFmtId="164" fontId="3" fillId="0" borderId="5" xfId="0" applyNumberFormat="1" applyFont="1" applyFill="1" applyBorder="1" applyAlignment="1">
      <alignment horizontal="left"/>
    </xf>
    <xf numFmtId="0" fontId="0" fillId="3" borderId="1" xfId="0" applyFill="1" applyBorder="1"/>
    <xf numFmtId="0" fontId="0" fillId="3" borderId="2" xfId="0" applyFill="1" applyBorder="1"/>
    <xf numFmtId="164" fontId="0" fillId="3" borderId="3" xfId="0" applyNumberFormat="1" applyFill="1" applyBorder="1"/>
    <xf numFmtId="0" fontId="4" fillId="4" borderId="1" xfId="0" applyFont="1" applyFill="1" applyBorder="1"/>
    <xf numFmtId="0" fontId="0" fillId="4" borderId="2" xfId="0" applyFill="1" applyBorder="1"/>
    <xf numFmtId="164" fontId="4" fillId="4" borderId="3" xfId="0" applyNumberFormat="1" applyFont="1" applyFill="1" applyBorder="1"/>
    <xf numFmtId="0" fontId="3" fillId="0" borderId="0" xfId="0" applyFont="1"/>
    <xf numFmtId="0" fontId="5" fillId="0" borderId="0" xfId="0" applyFont="1"/>
    <xf numFmtId="0" fontId="3" fillId="3" borderId="2" xfId="0" applyFont="1" applyFill="1" applyBorder="1" applyAlignment="1">
      <alignment horizontal="center"/>
    </xf>
    <xf numFmtId="0" fontId="3" fillId="3" borderId="3" xfId="0" applyFont="1" applyFill="1" applyBorder="1" applyAlignment="1">
      <alignment horizontal="center"/>
    </xf>
    <xf numFmtId="164" fontId="3" fillId="0" borderId="6" xfId="0" applyNumberFormat="1" applyFont="1" applyFill="1" applyBorder="1"/>
    <xf numFmtId="164" fontId="6" fillId="0" borderId="6" xfId="0" applyNumberFormat="1" applyFont="1" applyFill="1" applyBorder="1" applyProtection="1">
      <protection locked="0"/>
    </xf>
    <xf numFmtId="164" fontId="3" fillId="0" borderId="0" xfId="0" applyNumberFormat="1" applyFont="1" applyFill="1" applyBorder="1"/>
    <xf numFmtId="164" fontId="6" fillId="0" borderId="0" xfId="0" applyNumberFormat="1" applyFont="1" applyFill="1" applyBorder="1"/>
    <xf numFmtId="0" fontId="3" fillId="0" borderId="0" xfId="0" applyFont="1" applyFill="1" applyBorder="1" applyAlignment="1">
      <alignment horizontal="center"/>
    </xf>
    <xf numFmtId="164" fontId="6" fillId="0" borderId="6" xfId="0" applyNumberFormat="1" applyFont="1" applyFill="1" applyBorder="1"/>
    <xf numFmtId="164" fontId="3" fillId="0" borderId="6" xfId="0" applyNumberFormat="1" applyFont="1" applyBorder="1" applyProtection="1">
      <protection locked="0"/>
    </xf>
    <xf numFmtId="0" fontId="3" fillId="3" borderId="2" xfId="0" applyNumberFormat="1" applyFont="1" applyFill="1" applyBorder="1" applyAlignment="1">
      <alignment horizontal="center"/>
    </xf>
    <xf numFmtId="164" fontId="3" fillId="5" borderId="0" xfId="0" applyNumberFormat="1" applyFont="1" applyFill="1" applyBorder="1"/>
    <xf numFmtId="164" fontId="6" fillId="5" borderId="5" xfId="0" applyNumberFormat="1" applyFont="1" applyFill="1" applyBorder="1"/>
    <xf numFmtId="164" fontId="3" fillId="5" borderId="8" xfId="0" applyNumberFormat="1" applyFont="1" applyFill="1" applyBorder="1"/>
    <xf numFmtId="164" fontId="6" fillId="5" borderId="9" xfId="0" applyNumberFormat="1" applyFont="1" applyFill="1" applyBorder="1"/>
    <xf numFmtId="1" fontId="3" fillId="3" borderId="2" xfId="0" applyNumberFormat="1" applyFont="1" applyFill="1" applyBorder="1" applyAlignment="1">
      <alignment horizontal="center"/>
    </xf>
    <xf numFmtId="164" fontId="6" fillId="0" borderId="0" xfId="0" applyNumberFormat="1" applyFont="1" applyFill="1" applyBorder="1" applyProtection="1">
      <protection locked="0"/>
    </xf>
    <xf numFmtId="164" fontId="3" fillId="0" borderId="6" xfId="0" applyNumberFormat="1" applyFont="1" applyFill="1" applyBorder="1" applyProtection="1">
      <protection locked="0"/>
    </xf>
    <xf numFmtId="44" fontId="3" fillId="0" borderId="6" xfId="1" applyFont="1" applyBorder="1" applyAlignment="1" applyProtection="1">
      <alignment horizontal="right" vertical="top" wrapText="1"/>
      <protection locked="0"/>
    </xf>
    <xf numFmtId="1" fontId="3" fillId="0" borderId="6" xfId="1" applyNumberFormat="1" applyFont="1" applyBorder="1" applyAlignment="1" applyProtection="1">
      <alignment horizontal="left" vertical="top" wrapText="1"/>
    </xf>
    <xf numFmtId="165" fontId="3" fillId="0" borderId="6" xfId="1" applyNumberFormat="1" applyFont="1" applyFill="1" applyBorder="1" applyAlignment="1" applyProtection="1">
      <alignment horizontal="right" vertical="top" wrapText="1"/>
    </xf>
    <xf numFmtId="0" fontId="3" fillId="0" borderId="12" xfId="0" applyFont="1" applyBorder="1" applyAlignment="1" applyProtection="1">
      <alignment horizontal="left" vertical="top" wrapText="1"/>
    </xf>
    <xf numFmtId="0" fontId="3" fillId="0" borderId="6" xfId="0" applyFont="1" applyFill="1" applyBorder="1" applyAlignment="1" applyProtection="1">
      <alignment horizontal="left" vertical="top" wrapText="1"/>
    </xf>
    <xf numFmtId="0" fontId="3" fillId="0" borderId="6" xfId="0" applyFont="1" applyBorder="1" applyAlignment="1" applyProtection="1">
      <alignment horizontal="left" vertical="top" wrapText="1"/>
    </xf>
    <xf numFmtId="1" fontId="3" fillId="0" borderId="6" xfId="1" applyNumberFormat="1" applyFont="1" applyFill="1" applyBorder="1" applyAlignment="1" applyProtection="1">
      <alignment horizontal="left" vertical="top" wrapText="1"/>
    </xf>
    <xf numFmtId="1" fontId="3" fillId="5" borderId="0" xfId="0" applyNumberFormat="1" applyFont="1" applyFill="1" applyBorder="1" applyAlignment="1" applyProtection="1">
      <alignment horizontal="right" vertical="top" wrapText="1"/>
    </xf>
    <xf numFmtId="0" fontId="3" fillId="5" borderId="0" xfId="0" applyFont="1" applyFill="1" applyBorder="1" applyAlignment="1" applyProtection="1">
      <alignment horizontal="left" vertical="top" wrapText="1"/>
    </xf>
    <xf numFmtId="0" fontId="3" fillId="0" borderId="6" xfId="0" applyNumberFormat="1" applyFont="1" applyFill="1" applyBorder="1" applyProtection="1"/>
    <xf numFmtId="44" fontId="3" fillId="3" borderId="2" xfId="1" applyFont="1" applyFill="1" applyBorder="1" applyAlignment="1">
      <alignment horizontal="center"/>
    </xf>
    <xf numFmtId="164" fontId="3" fillId="0" borderId="6" xfId="0" applyNumberFormat="1" applyFont="1" applyFill="1" applyBorder="1" applyProtection="1"/>
    <xf numFmtId="0" fontId="6" fillId="3" borderId="1" xfId="0" applyFont="1" applyFill="1" applyBorder="1" applyAlignment="1">
      <alignment horizontal="center"/>
    </xf>
    <xf numFmtId="0" fontId="3" fillId="0" borderId="10" xfId="0" applyFont="1" applyFill="1" applyBorder="1" applyAlignment="1">
      <alignment horizontal="center"/>
    </xf>
    <xf numFmtId="0" fontId="4" fillId="0" borderId="0" xfId="0" applyFont="1" applyBorder="1" applyAlignment="1" applyProtection="1">
      <alignment horizontal="center" vertical="top"/>
      <protection locked="0"/>
    </xf>
    <xf numFmtId="0" fontId="0" fillId="0" borderId="0" xfId="0" applyFill="1"/>
    <xf numFmtId="0" fontId="3" fillId="0" borderId="0" xfId="0" applyFont="1" applyFill="1" applyBorder="1" applyAlignment="1" applyProtection="1">
      <alignment horizontal="center" vertical="top" wrapText="1"/>
      <protection locked="0"/>
    </xf>
    <xf numFmtId="1" fontId="3" fillId="0" borderId="14" xfId="1" applyNumberFormat="1" applyFont="1" applyBorder="1" applyAlignment="1" applyProtection="1">
      <alignment horizontal="left" vertical="top" wrapText="1"/>
    </xf>
    <xf numFmtId="49" fontId="3" fillId="0" borderId="1" xfId="0" applyNumberFormat="1" applyFont="1" applyBorder="1" applyAlignment="1" applyProtection="1">
      <alignment horizontal="right"/>
      <protection locked="0"/>
    </xf>
    <xf numFmtId="0" fontId="11" fillId="0" borderId="0" xfId="0" applyFont="1" applyAlignment="1">
      <alignment horizontal="right"/>
    </xf>
    <xf numFmtId="0" fontId="3" fillId="0" borderId="0" xfId="0" applyFont="1" applyBorder="1" applyAlignment="1">
      <alignment horizontal="left"/>
    </xf>
    <xf numFmtId="164" fontId="3" fillId="0" borderId="0" xfId="0" applyNumberFormat="1" applyFont="1"/>
    <xf numFmtId="2" fontId="3" fillId="5" borderId="0" xfId="0" applyNumberFormat="1" applyFont="1" applyFill="1" applyBorder="1" applyAlignment="1" applyProtection="1">
      <alignment horizontal="right" vertical="top" wrapText="1"/>
    </xf>
    <xf numFmtId="1" fontId="3" fillId="0" borderId="14" xfId="1" applyNumberFormat="1" applyFont="1" applyFill="1" applyBorder="1" applyAlignment="1" applyProtection="1">
      <alignment horizontal="right" vertical="top" wrapText="1"/>
      <protection locked="0"/>
    </xf>
    <xf numFmtId="1" fontId="3" fillId="0" borderId="6" xfId="1" applyNumberFormat="1" applyFont="1" applyFill="1" applyBorder="1" applyAlignment="1" applyProtection="1">
      <alignment horizontal="right" vertical="top" wrapText="1"/>
      <protection locked="0"/>
    </xf>
    <xf numFmtId="1" fontId="3" fillId="0" borderId="6" xfId="1" applyNumberFormat="1" applyFont="1" applyBorder="1" applyAlignment="1" applyProtection="1">
      <alignment horizontal="right" vertical="top" wrapText="1"/>
      <protection locked="0"/>
    </xf>
    <xf numFmtId="0" fontId="12" fillId="0" borderId="0" xfId="0" applyFont="1" applyAlignment="1">
      <alignment vertical="top" wrapText="1"/>
    </xf>
    <xf numFmtId="0" fontId="3" fillId="3" borderId="2" xfId="0" applyFont="1" applyFill="1" applyBorder="1" applyAlignment="1">
      <alignment horizontal="center"/>
    </xf>
    <xf numFmtId="0" fontId="3" fillId="3" borderId="3" xfId="0" applyFont="1" applyFill="1" applyBorder="1" applyAlignment="1">
      <alignment horizontal="center"/>
    </xf>
    <xf numFmtId="164" fontId="3" fillId="0" borderId="1" xfId="0" applyNumberFormat="1" applyFont="1" applyBorder="1" applyAlignment="1" applyProtection="1">
      <alignment horizontal="right"/>
      <protection locked="0"/>
    </xf>
    <xf numFmtId="0" fontId="3" fillId="3" borderId="2" xfId="0" applyFont="1" applyFill="1" applyBorder="1" applyAlignment="1">
      <alignment horizontal="center"/>
    </xf>
    <xf numFmtId="0" fontId="3" fillId="0" borderId="0" xfId="0" applyNumberFormat="1" applyFont="1" applyBorder="1" applyAlignment="1" applyProtection="1">
      <alignment horizontal="left" vertical="top" wrapText="1"/>
      <protection locked="0"/>
    </xf>
    <xf numFmtId="0" fontId="6" fillId="3" borderId="1" xfId="0" applyFont="1" applyFill="1" applyBorder="1" applyAlignment="1">
      <alignment wrapText="1"/>
    </xf>
    <xf numFmtId="0" fontId="3" fillId="3" borderId="1" xfId="0" applyFont="1" applyFill="1" applyBorder="1" applyAlignment="1">
      <alignment wrapText="1"/>
    </xf>
    <xf numFmtId="164" fontId="3" fillId="0" borderId="0" xfId="0" applyNumberFormat="1" applyFont="1" applyFill="1" applyBorder="1" applyProtection="1"/>
    <xf numFmtId="164" fontId="3" fillId="0" borderId="13" xfId="0" applyNumberFormat="1" applyFont="1" applyFill="1" applyBorder="1"/>
    <xf numFmtId="164" fontId="6" fillId="0" borderId="7" xfId="0" applyNumberFormat="1" applyFont="1" applyFill="1" applyBorder="1"/>
    <xf numFmtId="0" fontId="4" fillId="0" borderId="0" xfId="0" applyFont="1"/>
    <xf numFmtId="0" fontId="0" fillId="0" borderId="0" xfId="0" applyBorder="1" applyAlignment="1">
      <alignment horizontal="left" wrapText="1"/>
    </xf>
    <xf numFmtId="0" fontId="8" fillId="0" borderId="0" xfId="0" applyFont="1" applyFill="1" applyBorder="1" applyAlignment="1">
      <alignment horizontal="left" wrapText="1"/>
    </xf>
    <xf numFmtId="44" fontId="3" fillId="0" borderId="0" xfId="1" applyFont="1" applyBorder="1" applyAlignment="1">
      <alignment horizontal="left"/>
    </xf>
    <xf numFmtId="44" fontId="3" fillId="0" borderId="0" xfId="1" applyFont="1" applyBorder="1" applyAlignment="1" applyProtection="1">
      <alignment horizontal="left" vertical="top" wrapText="1"/>
      <protection locked="0"/>
    </xf>
    <xf numFmtId="44" fontId="0" fillId="0" borderId="0" xfId="1" applyFont="1"/>
    <xf numFmtId="44" fontId="3" fillId="0" borderId="0" xfId="1" applyFont="1" applyFill="1" applyBorder="1" applyAlignment="1" applyProtection="1">
      <alignment horizontal="center" vertical="top" wrapText="1"/>
      <protection locked="0"/>
    </xf>
    <xf numFmtId="44" fontId="3" fillId="0" borderId="0" xfId="1" applyFont="1"/>
    <xf numFmtId="0" fontId="0" fillId="0" borderId="0" xfId="0" applyBorder="1" applyAlignment="1">
      <alignment wrapText="1"/>
    </xf>
    <xf numFmtId="0" fontId="3" fillId="0" borderId="0" xfId="0" applyFont="1" applyBorder="1" applyAlignment="1">
      <alignment vertical="top" wrapText="1"/>
    </xf>
    <xf numFmtId="7" fontId="3" fillId="0" borderId="1" xfId="1" applyNumberFormat="1" applyFont="1" applyBorder="1" applyAlignment="1" applyProtection="1">
      <alignment horizontal="right"/>
      <protection locked="0"/>
    </xf>
    <xf numFmtId="1" fontId="3" fillId="0" borderId="1" xfId="0" applyNumberFormat="1" applyFont="1" applyBorder="1" applyAlignment="1" applyProtection="1">
      <alignment horizontal="right"/>
      <protection locked="0"/>
    </xf>
    <xf numFmtId="164" fontId="3" fillId="7" borderId="1" xfId="0" applyNumberFormat="1" applyFont="1" applyFill="1" applyBorder="1" applyAlignment="1" applyProtection="1">
      <alignment horizontal="right"/>
      <protection locked="0"/>
    </xf>
    <xf numFmtId="0" fontId="0" fillId="0" borderId="0" xfId="0" applyBorder="1"/>
    <xf numFmtId="0" fontId="10" fillId="0" borderId="0" xfId="0" applyFont="1" applyAlignment="1">
      <alignment horizontal="left" vertical="top" wrapText="1"/>
    </xf>
    <xf numFmtId="0" fontId="2" fillId="0" borderId="0" xfId="0" applyFont="1" applyAlignment="1">
      <alignment horizontal="left" wrapText="1"/>
    </xf>
    <xf numFmtId="0" fontId="0" fillId="0" borderId="0" xfId="0" applyAlignment="1">
      <alignment wrapText="1"/>
    </xf>
    <xf numFmtId="0" fontId="4" fillId="0" borderId="1" xfId="0" applyFont="1" applyBorder="1" applyAlignment="1" applyProtection="1">
      <alignment horizontal="left" vertical="top"/>
      <protection locked="0"/>
    </xf>
    <xf numFmtId="0" fontId="4" fillId="0" borderId="2" xfId="0" applyFont="1" applyBorder="1" applyAlignment="1" applyProtection="1">
      <alignment horizontal="left" vertical="top"/>
      <protection locked="0"/>
    </xf>
    <xf numFmtId="0" fontId="4" fillId="0" borderId="3" xfId="0" applyFont="1" applyBorder="1" applyAlignment="1" applyProtection="1">
      <alignment horizontal="left" vertical="top"/>
      <protection locked="0"/>
    </xf>
    <xf numFmtId="0" fontId="13" fillId="0" borderId="0" xfId="0" applyFont="1" applyAlignment="1">
      <alignment horizontal="left" vertical="top" wrapText="1"/>
    </xf>
    <xf numFmtId="0" fontId="0" fillId="0" borderId="0" xfId="0" applyAlignment="1">
      <alignment horizontal="center"/>
    </xf>
    <xf numFmtId="0" fontId="3" fillId="0" borderId="1" xfId="0" applyFont="1" applyBorder="1" applyAlignment="1">
      <alignment horizontal="left"/>
    </xf>
    <xf numFmtId="0" fontId="3" fillId="0" borderId="3" xfId="0" applyFont="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0" fontId="3" fillId="3" borderId="3" xfId="0" applyFont="1" applyFill="1" applyBorder="1" applyAlignment="1">
      <alignment horizontal="left"/>
    </xf>
    <xf numFmtId="0" fontId="3" fillId="0" borderId="1" xfId="0" applyFont="1" applyBorder="1" applyAlignment="1" applyProtection="1">
      <alignment horizontal="left"/>
      <protection locked="0"/>
    </xf>
    <xf numFmtId="0" fontId="3" fillId="0" borderId="2" xfId="0" applyFont="1" applyBorder="1" applyAlignment="1" applyProtection="1">
      <alignment horizontal="left"/>
      <protection locked="0"/>
    </xf>
    <xf numFmtId="0" fontId="3" fillId="0" borderId="3" xfId="0" applyFont="1" applyBorder="1" applyAlignment="1" applyProtection="1">
      <alignment horizontal="left"/>
      <protection locked="0"/>
    </xf>
    <xf numFmtId="0" fontId="3" fillId="6" borderId="14" xfId="0" applyFont="1" applyFill="1" applyBorder="1" applyAlignment="1">
      <alignment horizontal="right" vertical="top" wrapText="1"/>
    </xf>
    <xf numFmtId="0" fontId="3" fillId="6" borderId="12" xfId="0" applyFont="1" applyFill="1" applyBorder="1" applyAlignment="1">
      <alignment horizontal="right" vertical="top" wrapText="1"/>
    </xf>
    <xf numFmtId="164" fontId="6" fillId="0" borderId="13" xfId="0" applyNumberFormat="1" applyFont="1" applyFill="1" applyBorder="1" applyAlignment="1" applyProtection="1">
      <alignment horizontal="left" vertical="top"/>
      <protection locked="0"/>
    </xf>
    <xf numFmtId="164" fontId="6" fillId="0" borderId="7" xfId="0" applyNumberFormat="1" applyFont="1" applyFill="1" applyBorder="1" applyAlignment="1" applyProtection="1">
      <alignment horizontal="left" vertical="top"/>
      <protection locked="0"/>
    </xf>
    <xf numFmtId="164" fontId="6" fillId="0" borderId="10" xfId="0" applyNumberFormat="1" applyFont="1" applyFill="1" applyBorder="1" applyAlignment="1" applyProtection="1">
      <alignment horizontal="left" vertical="top"/>
      <protection locked="0"/>
    </xf>
    <xf numFmtId="164" fontId="6" fillId="0" borderId="11" xfId="0" applyNumberFormat="1" applyFont="1" applyFill="1" applyBorder="1" applyAlignment="1" applyProtection="1">
      <alignment horizontal="left" vertical="top"/>
      <protection locked="0"/>
    </xf>
    <xf numFmtId="164" fontId="6" fillId="0" borderId="8" xfId="0" applyNumberFormat="1" applyFont="1" applyFill="1" applyBorder="1" applyAlignment="1" applyProtection="1">
      <alignment horizontal="left" vertical="top"/>
      <protection locked="0"/>
    </xf>
    <xf numFmtId="164" fontId="6" fillId="0" borderId="9" xfId="0" applyNumberFormat="1" applyFont="1" applyFill="1" applyBorder="1" applyAlignment="1" applyProtection="1">
      <alignment horizontal="left" vertical="top"/>
      <protection locked="0"/>
    </xf>
    <xf numFmtId="0" fontId="3" fillId="0" borderId="13" xfId="0" applyFont="1" applyBorder="1" applyAlignment="1" applyProtection="1">
      <alignment horizontal="left" vertical="top" wrapText="1"/>
      <protection locked="0"/>
    </xf>
    <xf numFmtId="0" fontId="3" fillId="0" borderId="7" xfId="0" applyFont="1" applyBorder="1" applyAlignment="1" applyProtection="1">
      <alignment horizontal="left" vertical="top" wrapText="1"/>
      <protection locked="0"/>
    </xf>
    <xf numFmtId="0" fontId="3" fillId="0" borderId="10" xfId="0" applyFont="1" applyBorder="1" applyAlignment="1" applyProtection="1">
      <alignment horizontal="left" vertical="top" wrapText="1"/>
      <protection locked="0"/>
    </xf>
    <xf numFmtId="0" fontId="3" fillId="0" borderId="4" xfId="0" applyFont="1" applyBorder="1" applyAlignment="1" applyProtection="1">
      <alignment horizontal="left" vertical="top" wrapText="1"/>
      <protection locked="0"/>
    </xf>
    <xf numFmtId="0" fontId="3" fillId="0" borderId="0" xfId="0" applyFont="1" applyBorder="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0" fontId="3" fillId="0" borderId="11" xfId="0" applyFont="1" applyBorder="1" applyAlignment="1" applyProtection="1">
      <alignment horizontal="left" vertical="top" wrapText="1"/>
      <protection locked="0"/>
    </xf>
    <xf numFmtId="0" fontId="3" fillId="0" borderId="8" xfId="0" applyFont="1" applyBorder="1" applyAlignment="1" applyProtection="1">
      <alignment horizontal="left" vertical="top" wrapText="1"/>
      <protection locked="0"/>
    </xf>
    <xf numFmtId="0" fontId="3" fillId="0" borderId="9" xfId="0" applyFont="1" applyBorder="1" applyAlignment="1" applyProtection="1">
      <alignment horizontal="left" vertical="top" wrapText="1"/>
      <protection locked="0"/>
    </xf>
    <xf numFmtId="0" fontId="6" fillId="3" borderId="1" xfId="0" applyFont="1" applyFill="1" applyBorder="1" applyAlignment="1">
      <alignment horizontal="left" wrapText="1"/>
    </xf>
    <xf numFmtId="0" fontId="6" fillId="3" borderId="2" xfId="0" applyFont="1" applyFill="1" applyBorder="1" applyAlignment="1">
      <alignment horizontal="left" wrapText="1"/>
    </xf>
    <xf numFmtId="0" fontId="8" fillId="3" borderId="1" xfId="0" applyFont="1" applyFill="1"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3" fillId="0" borderId="2" xfId="0" applyFont="1" applyBorder="1" applyAlignment="1">
      <alignment horizontal="left"/>
    </xf>
    <xf numFmtId="0" fontId="6" fillId="3" borderId="10" xfId="0" applyFont="1" applyFill="1" applyBorder="1" applyAlignment="1">
      <alignment horizontal="left" vertical="top" wrapText="1"/>
    </xf>
    <xf numFmtId="0" fontId="6" fillId="3" borderId="5" xfId="0" applyFont="1" applyFill="1" applyBorder="1" applyAlignment="1">
      <alignment horizontal="left" vertical="top" wrapText="1"/>
    </xf>
    <xf numFmtId="0" fontId="6" fillId="3" borderId="9" xfId="0" applyFont="1" applyFill="1" applyBorder="1" applyAlignment="1">
      <alignment horizontal="left" vertical="top" wrapText="1"/>
    </xf>
    <xf numFmtId="0" fontId="3" fillId="3" borderId="1" xfId="0" applyFont="1" applyFill="1" applyBorder="1" applyAlignment="1">
      <alignment horizontal="left" wrapText="1"/>
    </xf>
    <xf numFmtId="0" fontId="0" fillId="0" borderId="2" xfId="0" applyBorder="1" applyAlignment="1">
      <alignment wrapText="1"/>
    </xf>
    <xf numFmtId="0" fontId="3" fillId="0" borderId="1" xfId="1" applyNumberFormat="1" applyFont="1" applyBorder="1" applyAlignment="1" applyProtection="1">
      <alignment horizontal="left" vertical="top" wrapText="1"/>
      <protection locked="0"/>
    </xf>
    <xf numFmtId="0" fontId="3" fillId="0" borderId="2" xfId="1" applyNumberFormat="1" applyFont="1" applyBorder="1" applyAlignment="1" applyProtection="1">
      <alignment horizontal="left" vertical="top" wrapText="1"/>
      <protection locked="0"/>
    </xf>
    <xf numFmtId="0" fontId="0" fillId="0" borderId="2" xfId="0" applyNumberFormat="1" applyBorder="1" applyAlignment="1" applyProtection="1">
      <alignment horizontal="left"/>
      <protection locked="0"/>
    </xf>
    <xf numFmtId="0" fontId="0" fillId="0" borderId="3" xfId="0" applyNumberFormat="1" applyBorder="1" applyAlignment="1" applyProtection="1">
      <alignment horizontal="left"/>
      <protection locked="0"/>
    </xf>
    <xf numFmtId="0" fontId="10" fillId="0" borderId="0" xfId="0" applyFont="1" applyAlignment="1">
      <alignment horizontal="left" vertical="top" wrapText="1"/>
    </xf>
    <xf numFmtId="0" fontId="14" fillId="0" borderId="0" xfId="0" applyFont="1" applyAlignment="1">
      <alignment horizontal="left" vertical="top" wrapText="1"/>
    </xf>
  </cellXfs>
  <cellStyles count="2">
    <cellStyle name="Currency" xfId="1" builtinId="4"/>
    <cellStyle name="Normal" xfId="0" builtinId="0"/>
  </cellStyles>
  <dxfs count="49">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44"/>
        </patternFill>
      </fill>
    </dxf>
    <dxf>
      <fill>
        <patternFill>
          <bgColor indexed="43"/>
        </patternFill>
      </fill>
    </dxf>
    <dxf>
      <fill>
        <patternFill>
          <bgColor rgb="FFFFFF99"/>
        </patternFill>
      </fill>
    </dxf>
    <dxf>
      <fill>
        <patternFill>
          <bgColor indexed="43"/>
        </patternFill>
      </fill>
    </dxf>
    <dxf>
      <fill>
        <patternFill>
          <bgColor indexed="51"/>
        </patternFill>
      </fill>
    </dxf>
    <dxf>
      <fill>
        <patternFill>
          <bgColor indexed="44"/>
        </patternFill>
      </fill>
    </dxf>
    <dxf>
      <fill>
        <patternFill>
          <bgColor indexed="51"/>
        </patternFill>
      </fill>
    </dxf>
    <dxf>
      <fill>
        <patternFill>
          <bgColor indexed="44"/>
        </patternFill>
      </fill>
    </dxf>
    <dxf>
      <fill>
        <patternFill>
          <bgColor indexed="43"/>
        </patternFill>
      </fill>
    </dxf>
    <dxf>
      <fill>
        <patternFill>
          <bgColor rgb="FFFFFF99"/>
        </patternFill>
      </fill>
    </dxf>
    <dxf>
      <fill>
        <patternFill>
          <bgColor indexed="43"/>
        </patternFill>
      </fill>
    </dxf>
    <dxf>
      <fill>
        <patternFill>
          <bgColor indexed="51"/>
        </patternFill>
      </fill>
    </dxf>
    <dxf>
      <fill>
        <patternFill>
          <bgColor indexed="44"/>
        </patternFill>
      </fill>
    </dxf>
    <dxf>
      <fill>
        <patternFill>
          <bgColor indexed="43"/>
        </patternFill>
      </fill>
    </dxf>
    <dxf>
      <fill>
        <patternFill>
          <bgColor rgb="FFFFFF99"/>
        </patternFill>
      </fill>
    </dxf>
    <dxf>
      <fill>
        <patternFill>
          <bgColor indexed="43"/>
        </patternFill>
      </fill>
    </dxf>
    <dxf>
      <fill>
        <patternFill>
          <bgColor indexed="51"/>
        </patternFill>
      </fill>
    </dxf>
    <dxf>
      <fill>
        <patternFill>
          <bgColor indexed="44"/>
        </patternFill>
      </fill>
    </dxf>
    <dxf>
      <fill>
        <patternFill>
          <bgColor indexed="43"/>
        </patternFill>
      </fill>
    </dxf>
    <dxf>
      <fill>
        <patternFill>
          <bgColor rgb="FFFFFF99"/>
        </patternFill>
      </fill>
    </dxf>
    <dxf>
      <fill>
        <patternFill>
          <bgColor indexed="43"/>
        </patternFill>
      </fill>
    </dxf>
    <dxf>
      <fill>
        <patternFill>
          <bgColor indexed="51"/>
        </patternFill>
      </fill>
    </dxf>
    <dxf>
      <fill>
        <patternFill>
          <bgColor indexed="51"/>
        </patternFill>
      </fill>
    </dxf>
    <dxf>
      <fill>
        <patternFill>
          <bgColor indexed="44"/>
        </patternFill>
      </fill>
    </dxf>
    <dxf>
      <fill>
        <patternFill>
          <bgColor indexed="43"/>
        </patternFill>
      </fill>
    </dxf>
    <dxf>
      <fill>
        <patternFill>
          <bgColor indexed="43"/>
        </patternFill>
      </fill>
    </dxf>
    <dxf>
      <fill>
        <patternFill>
          <bgColor indexed="51"/>
        </patternFill>
      </fill>
    </dxf>
    <dxf>
      <fill>
        <patternFill>
          <bgColor indexed="44"/>
        </patternFill>
      </fill>
    </dxf>
    <dxf>
      <fill>
        <patternFill>
          <bgColor indexed="44"/>
        </patternFill>
      </fill>
    </dxf>
    <dxf>
      <fill>
        <patternFill>
          <bgColor indexed="43"/>
        </patternFill>
      </fill>
    </dxf>
    <dxf>
      <fill>
        <patternFill>
          <bgColor indexed="44"/>
        </patternFill>
      </fill>
    </dxf>
    <dxf>
      <fill>
        <patternFill>
          <bgColor indexed="43"/>
        </patternFill>
      </fill>
    </dxf>
    <dxf>
      <fill>
        <patternFill>
          <bgColor indexed="44"/>
        </patternFill>
      </fill>
    </dxf>
    <dxf>
      <fill>
        <patternFill>
          <bgColor indexed="43"/>
        </patternFill>
      </fill>
    </dxf>
    <dxf>
      <fill>
        <patternFill>
          <bgColor indexed="43"/>
        </patternFill>
      </fill>
    </dxf>
    <dxf>
      <fill>
        <patternFill>
          <bgColor indexed="51"/>
        </patternFill>
      </fill>
    </dxf>
    <dxf>
      <fill>
        <patternFill>
          <bgColor indexed="44"/>
        </patternFill>
      </fill>
    </dxf>
    <dxf>
      <fill>
        <patternFill>
          <bgColor indexed="51"/>
        </patternFill>
      </fill>
    </dxf>
    <dxf>
      <fill>
        <patternFill>
          <bgColor indexed="43"/>
        </patternFill>
      </fill>
    </dxf>
    <dxf>
      <fill>
        <patternFill>
          <bgColor indexed="44"/>
        </patternFill>
      </fill>
    </dxf>
    <dxf>
      <fill>
        <patternFill>
          <bgColor indexed="43"/>
        </patternFill>
      </fill>
    </dxf>
    <dxf>
      <fill>
        <patternFill>
          <bgColor indexed="51"/>
        </patternFill>
      </fill>
    </dxf>
    <dxf>
      <fill>
        <patternFill>
          <bgColor indexed="44"/>
        </patternFill>
      </fill>
    </dxf>
    <dxf>
      <fill>
        <patternFill>
          <bgColor indexed="43"/>
        </patternFill>
      </fil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9526</xdr:colOff>
      <xdr:row>0</xdr:row>
      <xdr:rowOff>0</xdr:rowOff>
    </xdr:from>
    <xdr:to>
      <xdr:col>8</xdr:col>
      <xdr:colOff>1371601</xdr:colOff>
      <xdr:row>3</xdr:row>
      <xdr:rowOff>133350</xdr:rowOff>
    </xdr:to>
    <xdr:pic>
      <xdr:nvPicPr>
        <xdr:cNvPr id="4" name="Picture 3" descr="C:\Users\joseph.maurer\Desktop\ASOIT Logo (2012).jpg"/>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2976" y="0"/>
          <a:ext cx="3219450" cy="10096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I32"/>
  <sheetViews>
    <sheetView tabSelected="1" zoomScaleNormal="100" workbookViewId="0">
      <selection activeCell="M21" sqref="M21"/>
    </sheetView>
  </sheetViews>
  <sheetFormatPr defaultRowHeight="12.75" x14ac:dyDescent="0.2"/>
  <cols>
    <col min="1" max="1" width="4.42578125" customWidth="1"/>
    <col min="3" max="3" width="17.28515625" customWidth="1"/>
    <col min="4" max="4" width="12.42578125" customWidth="1"/>
    <col min="5" max="5" width="18.7109375" customWidth="1"/>
    <col min="7" max="7" width="16.42578125" customWidth="1"/>
    <col min="8" max="8" width="11.42578125" customWidth="1"/>
    <col min="9" max="9" width="24.28515625" customWidth="1"/>
  </cols>
  <sheetData>
    <row r="1" spans="2:9" ht="23.25" customHeight="1" x14ac:dyDescent="0.2">
      <c r="B1" s="90" t="s">
        <v>63</v>
      </c>
      <c r="C1" s="91"/>
      <c r="D1" s="91"/>
      <c r="E1" s="91"/>
      <c r="F1" s="96"/>
      <c r="I1" s="88"/>
    </row>
    <row r="2" spans="2:9" ht="33" customHeight="1" x14ac:dyDescent="0.2">
      <c r="B2" s="91"/>
      <c r="C2" s="91"/>
      <c r="D2" s="91"/>
      <c r="E2" s="91"/>
      <c r="F2" s="96"/>
      <c r="I2" s="88"/>
    </row>
    <row r="3" spans="2:9" ht="12.75" customHeight="1" x14ac:dyDescent="0.2">
      <c r="B3" s="96"/>
      <c r="C3" s="96"/>
      <c r="D3" s="96"/>
      <c r="E3" s="96"/>
      <c r="F3" s="96"/>
      <c r="I3" s="88"/>
    </row>
    <row r="4" spans="2:9" ht="11.25" customHeight="1" x14ac:dyDescent="0.2">
      <c r="B4" s="96"/>
      <c r="C4" s="96"/>
      <c r="D4" s="96"/>
      <c r="E4" s="96"/>
      <c r="F4" s="96"/>
      <c r="I4" s="88"/>
    </row>
    <row r="5" spans="2:9" ht="15" customHeight="1" x14ac:dyDescent="0.2">
      <c r="B5" s="138" t="s">
        <v>78</v>
      </c>
      <c r="C5" s="138"/>
      <c r="D5" s="138"/>
      <c r="E5" s="138"/>
      <c r="F5" s="138"/>
      <c r="G5" s="138"/>
      <c r="H5" s="138"/>
      <c r="I5" s="138"/>
    </row>
    <row r="6" spans="2:9" ht="15" customHeight="1" x14ac:dyDescent="0.2">
      <c r="B6" s="138"/>
      <c r="C6" s="138"/>
      <c r="D6" s="138"/>
      <c r="E6" s="138"/>
      <c r="F6" s="138"/>
      <c r="G6" s="138"/>
      <c r="H6" s="138"/>
      <c r="I6" s="138"/>
    </row>
    <row r="7" spans="2:9" ht="15" customHeight="1" x14ac:dyDescent="0.2">
      <c r="B7" s="138"/>
      <c r="C7" s="138"/>
      <c r="D7" s="138"/>
      <c r="E7" s="138"/>
      <c r="F7" s="138"/>
      <c r="G7" s="138"/>
      <c r="H7" s="138"/>
      <c r="I7" s="138"/>
    </row>
    <row r="8" spans="2:9" ht="15" customHeight="1" x14ac:dyDescent="0.2">
      <c r="B8" s="138"/>
      <c r="C8" s="138"/>
      <c r="D8" s="138"/>
      <c r="E8" s="138"/>
      <c r="F8" s="138"/>
      <c r="G8" s="138"/>
      <c r="H8" s="138"/>
      <c r="I8" s="138"/>
    </row>
    <row r="9" spans="2:9" ht="21.75" customHeight="1" x14ac:dyDescent="0.2">
      <c r="B9" s="138"/>
      <c r="C9" s="138"/>
      <c r="D9" s="138"/>
      <c r="E9" s="138"/>
      <c r="F9" s="138"/>
      <c r="G9" s="138"/>
      <c r="H9" s="138"/>
      <c r="I9" s="138"/>
    </row>
    <row r="10" spans="2:9" ht="38.25" customHeight="1" x14ac:dyDescent="0.2">
      <c r="B10" s="95" t="s">
        <v>77</v>
      </c>
      <c r="C10" s="95"/>
      <c r="D10" s="95"/>
      <c r="E10" s="95"/>
      <c r="F10" s="95"/>
      <c r="G10" s="95"/>
      <c r="H10" s="95"/>
      <c r="I10" s="95"/>
    </row>
    <row r="12" spans="2:9" x14ac:dyDescent="0.2">
      <c r="B12" s="75" t="s">
        <v>56</v>
      </c>
    </row>
    <row r="14" spans="2:9" x14ac:dyDescent="0.2">
      <c r="D14" s="2" t="s">
        <v>1</v>
      </c>
      <c r="E14" s="92"/>
      <c r="F14" s="93"/>
      <c r="G14" s="93"/>
      <c r="H14" s="94"/>
    </row>
    <row r="15" spans="2:9" x14ac:dyDescent="0.2">
      <c r="D15" s="2" t="s">
        <v>44</v>
      </c>
      <c r="E15" s="92"/>
      <c r="F15" s="93"/>
      <c r="G15" s="93"/>
      <c r="H15" s="94"/>
    </row>
    <row r="16" spans="2:9" x14ac:dyDescent="0.2">
      <c r="D16" s="2" t="s">
        <v>8</v>
      </c>
      <c r="E16" s="92"/>
      <c r="F16" s="93"/>
      <c r="G16" s="93"/>
      <c r="H16" s="94"/>
    </row>
    <row r="17" spans="4:8" x14ac:dyDescent="0.2">
      <c r="D17" s="2" t="s">
        <v>0</v>
      </c>
      <c r="E17" s="92"/>
      <c r="F17" s="93"/>
      <c r="G17" s="93"/>
      <c r="H17" s="94"/>
    </row>
    <row r="18" spans="4:8" x14ac:dyDescent="0.2">
      <c r="D18" s="2" t="s">
        <v>46</v>
      </c>
      <c r="E18" s="92"/>
      <c r="F18" s="93"/>
      <c r="G18" s="93"/>
      <c r="H18" s="94"/>
    </row>
    <row r="19" spans="4:8" x14ac:dyDescent="0.2">
      <c r="D19" s="2" t="s">
        <v>45</v>
      </c>
      <c r="E19" s="92"/>
      <c r="F19" s="93"/>
      <c r="G19" s="93"/>
      <c r="H19" s="94"/>
    </row>
    <row r="20" spans="4:8" x14ac:dyDescent="0.2">
      <c r="D20" s="2" t="s">
        <v>39</v>
      </c>
      <c r="E20" s="92"/>
      <c r="F20" s="93"/>
      <c r="G20" s="93"/>
      <c r="H20" s="94"/>
    </row>
    <row r="21" spans="4:8" x14ac:dyDescent="0.2">
      <c r="D21" s="2" t="s">
        <v>47</v>
      </c>
      <c r="E21" s="92"/>
      <c r="F21" s="93"/>
      <c r="G21" s="93"/>
      <c r="H21" s="94"/>
    </row>
    <row r="22" spans="4:8" x14ac:dyDescent="0.2">
      <c r="D22" s="2" t="s">
        <v>48</v>
      </c>
      <c r="E22" s="92"/>
      <c r="F22" s="93"/>
      <c r="G22" s="93"/>
      <c r="H22" s="94"/>
    </row>
    <row r="23" spans="4:8" x14ac:dyDescent="0.2">
      <c r="D23" s="57"/>
      <c r="F23" s="52"/>
      <c r="G23" s="52"/>
      <c r="H23" s="52"/>
    </row>
    <row r="24" spans="4:8" x14ac:dyDescent="0.2">
      <c r="E24" s="3" t="s">
        <v>4</v>
      </c>
      <c r="F24" s="4"/>
      <c r="G24" s="4"/>
      <c r="H24" s="5"/>
    </row>
    <row r="25" spans="4:8" x14ac:dyDescent="0.2">
      <c r="E25" s="6"/>
      <c r="F25" s="7"/>
      <c r="G25" s="7"/>
      <c r="H25" s="8"/>
    </row>
    <row r="26" spans="4:8" x14ac:dyDescent="0.2">
      <c r="E26" s="9" t="s">
        <v>33</v>
      </c>
      <c r="F26" s="10">
        <f>'General costs'!A9</f>
        <v>0</v>
      </c>
      <c r="G26" s="11" t="s">
        <v>75</v>
      </c>
      <c r="H26" s="12">
        <f>'General costs'!A69</f>
        <v>0</v>
      </c>
    </row>
    <row r="27" spans="4:8" x14ac:dyDescent="0.2">
      <c r="E27" s="9" t="s">
        <v>74</v>
      </c>
      <c r="F27" s="10">
        <f>'General costs'!A24</f>
        <v>0</v>
      </c>
      <c r="G27" s="11" t="s">
        <v>11</v>
      </c>
      <c r="H27" s="12">
        <f>'General costs'!A83</f>
        <v>0</v>
      </c>
    </row>
    <row r="28" spans="4:8" x14ac:dyDescent="0.2">
      <c r="E28" s="9" t="s">
        <v>7</v>
      </c>
      <c r="F28" s="10">
        <f>'General costs'!A37</f>
        <v>0</v>
      </c>
      <c r="G28" s="11" t="s">
        <v>10</v>
      </c>
      <c r="H28" s="12">
        <f>'General costs'!A101</f>
        <v>0</v>
      </c>
    </row>
    <row r="29" spans="4:8" x14ac:dyDescent="0.2">
      <c r="E29" s="9" t="s">
        <v>13</v>
      </c>
      <c r="F29" s="10">
        <f>'General costs'!A60</f>
        <v>0</v>
      </c>
      <c r="G29" s="11" t="s">
        <v>16</v>
      </c>
      <c r="H29" s="12">
        <f>Travel!I91</f>
        <v>0</v>
      </c>
    </row>
    <row r="30" spans="4:8" x14ac:dyDescent="0.2">
      <c r="E30" s="6"/>
      <c r="F30" s="7"/>
      <c r="G30" s="7"/>
      <c r="H30" s="8"/>
    </row>
    <row r="31" spans="4:8" x14ac:dyDescent="0.2">
      <c r="E31" s="13" t="s">
        <v>2</v>
      </c>
      <c r="F31" s="14"/>
      <c r="G31" s="14"/>
      <c r="H31" s="15">
        <f>F26+F27+F28+F29+H26+H27+H28+H29</f>
        <v>0</v>
      </c>
    </row>
    <row r="32" spans="4:8" x14ac:dyDescent="0.2">
      <c r="E32" s="16" t="s">
        <v>3</v>
      </c>
      <c r="F32" s="17"/>
      <c r="G32" s="17"/>
      <c r="H32" s="18">
        <f>'General costs'!G106+Travel!J91</f>
        <v>0</v>
      </c>
    </row>
  </sheetData>
  <sheetProtection password="C528" sheet="1" objects="1" scenarios="1"/>
  <mergeCells count="14">
    <mergeCell ref="B1:E2"/>
    <mergeCell ref="E19:H19"/>
    <mergeCell ref="E20:H20"/>
    <mergeCell ref="E21:H21"/>
    <mergeCell ref="E22:H22"/>
    <mergeCell ref="E14:H14"/>
    <mergeCell ref="E15:H15"/>
    <mergeCell ref="E16:H16"/>
    <mergeCell ref="E17:H17"/>
    <mergeCell ref="E18:H18"/>
    <mergeCell ref="B5:I9"/>
    <mergeCell ref="B10:I10"/>
    <mergeCell ref="B3:F4"/>
    <mergeCell ref="F1:F2"/>
  </mergeCells>
  <phoneticPr fontId="7" type="noConversion"/>
  <conditionalFormatting sqref="E14:E22">
    <cfRule type="cellIs" dxfId="48" priority="1" stopIfTrue="1" operator="equal">
      <formula>0</formula>
    </cfRule>
  </conditionalFormatting>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106"/>
  <sheetViews>
    <sheetView zoomScaleNormal="100" workbookViewId="0">
      <selection activeCell="B7" sqref="B7:E9"/>
    </sheetView>
  </sheetViews>
  <sheetFormatPr defaultRowHeight="12.75" x14ac:dyDescent="0.2"/>
  <cols>
    <col min="1" max="1" width="12" customWidth="1"/>
    <col min="2" max="2" width="47.7109375" customWidth="1"/>
    <col min="3" max="3" width="13" style="80" customWidth="1"/>
    <col min="4" max="4" width="14.140625" customWidth="1"/>
    <col min="5" max="5" width="12.28515625" customWidth="1"/>
    <col min="6" max="6" width="11.85546875" customWidth="1"/>
    <col min="7" max="7" width="11.42578125" customWidth="1"/>
  </cols>
  <sheetData>
    <row r="1" spans="1:7" ht="21" customHeight="1" x14ac:dyDescent="0.3">
      <c r="A1" s="124" t="s">
        <v>38</v>
      </c>
      <c r="B1" s="125"/>
      <c r="C1" s="126"/>
    </row>
    <row r="4" spans="1:7" x14ac:dyDescent="0.2">
      <c r="A4" s="122" t="s">
        <v>33</v>
      </c>
      <c r="B4" s="125"/>
      <c r="C4" s="48"/>
      <c r="D4" s="21"/>
      <c r="E4" s="21"/>
      <c r="F4" s="21" t="s">
        <v>6</v>
      </c>
      <c r="G4" s="22" t="s">
        <v>5</v>
      </c>
    </row>
    <row r="5" spans="1:7" x14ac:dyDescent="0.2">
      <c r="B5" s="97" t="s">
        <v>49</v>
      </c>
      <c r="C5" s="127"/>
      <c r="D5" s="127"/>
      <c r="E5" s="98"/>
      <c r="F5" s="67"/>
      <c r="G5" s="24"/>
    </row>
    <row r="6" spans="1:7" x14ac:dyDescent="0.2">
      <c r="B6" s="97" t="s">
        <v>41</v>
      </c>
      <c r="C6" s="127"/>
      <c r="D6" s="127"/>
      <c r="E6" s="98"/>
      <c r="F6" s="67"/>
      <c r="G6" s="24"/>
    </row>
    <row r="7" spans="1:7" x14ac:dyDescent="0.2">
      <c r="B7" s="113"/>
      <c r="C7" s="114"/>
      <c r="D7" s="114"/>
      <c r="E7" s="115"/>
      <c r="F7" s="25"/>
      <c r="G7" s="36"/>
    </row>
    <row r="8" spans="1:7" x14ac:dyDescent="0.2">
      <c r="B8" s="116"/>
      <c r="C8" s="117"/>
      <c r="D8" s="117"/>
      <c r="E8" s="118"/>
      <c r="F8" s="25"/>
      <c r="G8" s="36"/>
    </row>
    <row r="9" spans="1:7" x14ac:dyDescent="0.2">
      <c r="A9" s="59">
        <f>SUM(F5:F6)</f>
        <v>0</v>
      </c>
      <c r="B9" s="119"/>
      <c r="C9" s="120"/>
      <c r="D9" s="120"/>
      <c r="E9" s="121"/>
      <c r="F9" s="25"/>
      <c r="G9" s="36"/>
    </row>
    <row r="10" spans="1:7" x14ac:dyDescent="0.2">
      <c r="B10" s="58"/>
      <c r="C10" s="78"/>
      <c r="F10" s="25"/>
      <c r="G10" s="36"/>
    </row>
    <row r="11" spans="1:7" ht="12.75" customHeight="1" x14ac:dyDescent="0.2">
      <c r="A11" s="105" t="s">
        <v>40</v>
      </c>
      <c r="B11" s="107"/>
      <c r="C11" s="108"/>
      <c r="D11" s="108"/>
      <c r="E11" s="108"/>
      <c r="F11" s="108"/>
      <c r="G11" s="109"/>
    </row>
    <row r="12" spans="1:7" x14ac:dyDescent="0.2">
      <c r="A12" s="106"/>
      <c r="B12" s="110"/>
      <c r="C12" s="111"/>
      <c r="D12" s="111"/>
      <c r="E12" s="111"/>
      <c r="F12" s="111"/>
      <c r="G12" s="112"/>
    </row>
    <row r="13" spans="1:7" x14ac:dyDescent="0.2">
      <c r="B13" s="58"/>
      <c r="C13" s="78"/>
      <c r="F13" s="25"/>
      <c r="G13" s="36"/>
    </row>
    <row r="14" spans="1:7" ht="12.75" customHeight="1" x14ac:dyDescent="0.2">
      <c r="A14" s="128" t="s">
        <v>61</v>
      </c>
      <c r="B14" s="71" t="s">
        <v>60</v>
      </c>
      <c r="C14" s="48" t="s">
        <v>57</v>
      </c>
      <c r="D14" s="68" t="s">
        <v>58</v>
      </c>
      <c r="E14" s="68" t="s">
        <v>59</v>
      </c>
      <c r="F14" s="68" t="s">
        <v>6</v>
      </c>
      <c r="G14" s="66" t="s">
        <v>5</v>
      </c>
    </row>
    <row r="15" spans="1:7" x14ac:dyDescent="0.2">
      <c r="A15" s="129"/>
      <c r="B15" s="67"/>
      <c r="C15" s="85"/>
      <c r="D15" s="86"/>
      <c r="E15" s="86"/>
      <c r="F15" s="49">
        <f>C15*D15*E15</f>
        <v>0</v>
      </c>
      <c r="G15" s="24"/>
    </row>
    <row r="16" spans="1:7" x14ac:dyDescent="0.2">
      <c r="A16" s="129"/>
      <c r="B16" s="67"/>
      <c r="C16" s="85"/>
      <c r="D16" s="86"/>
      <c r="E16" s="86"/>
      <c r="F16" s="49">
        <f t="shared" ref="F16:F24" si="0">C16*D16*E16</f>
        <v>0</v>
      </c>
      <c r="G16" s="24"/>
    </row>
    <row r="17" spans="1:7" x14ac:dyDescent="0.2">
      <c r="A17" s="130"/>
      <c r="B17" s="67"/>
      <c r="C17" s="85"/>
      <c r="D17" s="86"/>
      <c r="E17" s="86"/>
      <c r="F17" s="49">
        <f t="shared" si="0"/>
        <v>0</v>
      </c>
      <c r="G17" s="24"/>
    </row>
    <row r="18" spans="1:7" x14ac:dyDescent="0.2">
      <c r="A18" s="59"/>
      <c r="B18" s="67"/>
      <c r="C18" s="85"/>
      <c r="D18" s="86"/>
      <c r="E18" s="86"/>
      <c r="F18" s="49">
        <f t="shared" si="0"/>
        <v>0</v>
      </c>
      <c r="G18" s="24"/>
    </row>
    <row r="19" spans="1:7" x14ac:dyDescent="0.2">
      <c r="B19" s="67"/>
      <c r="C19" s="85"/>
      <c r="D19" s="86"/>
      <c r="E19" s="86"/>
      <c r="F19" s="49">
        <f t="shared" si="0"/>
        <v>0</v>
      </c>
      <c r="G19" s="24"/>
    </row>
    <row r="20" spans="1:7" x14ac:dyDescent="0.2">
      <c r="B20" s="67"/>
      <c r="C20" s="85"/>
      <c r="D20" s="86"/>
      <c r="E20" s="86"/>
      <c r="F20" s="49">
        <f t="shared" si="0"/>
        <v>0</v>
      </c>
      <c r="G20" s="24"/>
    </row>
    <row r="21" spans="1:7" x14ac:dyDescent="0.2">
      <c r="B21" s="67"/>
      <c r="C21" s="85"/>
      <c r="D21" s="86"/>
      <c r="E21" s="86"/>
      <c r="F21" s="49">
        <f t="shared" si="0"/>
        <v>0</v>
      </c>
      <c r="G21" s="24"/>
    </row>
    <row r="22" spans="1:7" x14ac:dyDescent="0.2">
      <c r="B22" s="67"/>
      <c r="C22" s="85"/>
      <c r="D22" s="86"/>
      <c r="E22" s="86"/>
      <c r="F22" s="49">
        <f t="shared" si="0"/>
        <v>0</v>
      </c>
      <c r="G22" s="24"/>
    </row>
    <row r="23" spans="1:7" x14ac:dyDescent="0.2">
      <c r="B23" s="67"/>
      <c r="C23" s="85"/>
      <c r="D23" s="86"/>
      <c r="E23" s="86"/>
      <c r="F23" s="49">
        <f t="shared" si="0"/>
        <v>0</v>
      </c>
      <c r="G23" s="24"/>
    </row>
    <row r="24" spans="1:7" x14ac:dyDescent="0.2">
      <c r="A24" s="59">
        <f>SUM(F15:F24)</f>
        <v>0</v>
      </c>
      <c r="B24" s="67"/>
      <c r="C24" s="85"/>
      <c r="D24" s="86"/>
      <c r="E24" s="86"/>
      <c r="F24" s="49">
        <f t="shared" si="0"/>
        <v>0</v>
      </c>
      <c r="G24" s="24"/>
    </row>
    <row r="25" spans="1:7" x14ac:dyDescent="0.2">
      <c r="B25" s="58"/>
      <c r="C25" s="78"/>
      <c r="F25" s="25"/>
      <c r="G25" s="36"/>
    </row>
    <row r="26" spans="1:7" x14ac:dyDescent="0.2">
      <c r="A26" s="105" t="s">
        <v>40</v>
      </c>
      <c r="B26" s="107"/>
      <c r="C26" s="108"/>
      <c r="D26" s="108"/>
      <c r="E26" s="108"/>
      <c r="F26" s="108"/>
      <c r="G26" s="109"/>
    </row>
    <row r="27" spans="1:7" x14ac:dyDescent="0.2">
      <c r="A27" s="106"/>
      <c r="B27" s="110"/>
      <c r="C27" s="111"/>
      <c r="D27" s="111"/>
      <c r="E27" s="111"/>
      <c r="F27" s="111"/>
      <c r="G27" s="112"/>
    </row>
    <row r="28" spans="1:7" x14ac:dyDescent="0.2">
      <c r="B28" s="58"/>
      <c r="C28" s="78"/>
      <c r="F28" s="25"/>
      <c r="G28" s="36"/>
    </row>
    <row r="29" spans="1:7" x14ac:dyDescent="0.2">
      <c r="A29" s="70" t="s">
        <v>7</v>
      </c>
      <c r="B29" s="71" t="s">
        <v>50</v>
      </c>
      <c r="C29" s="48"/>
      <c r="D29" s="21"/>
      <c r="E29" s="21"/>
      <c r="F29" s="21" t="s">
        <v>6</v>
      </c>
      <c r="G29" s="22" t="s">
        <v>5</v>
      </c>
    </row>
    <row r="30" spans="1:7" x14ac:dyDescent="0.2">
      <c r="B30" s="102"/>
      <c r="C30" s="103"/>
      <c r="D30" s="103"/>
      <c r="E30" s="104"/>
      <c r="F30" s="67"/>
      <c r="G30" s="24"/>
    </row>
    <row r="31" spans="1:7" x14ac:dyDescent="0.2">
      <c r="B31" s="102"/>
      <c r="C31" s="103"/>
      <c r="D31" s="103"/>
      <c r="E31" s="104"/>
      <c r="F31" s="67"/>
      <c r="G31" s="24"/>
    </row>
    <row r="32" spans="1:7" x14ac:dyDescent="0.2">
      <c r="B32" s="102"/>
      <c r="C32" s="103"/>
      <c r="D32" s="103"/>
      <c r="E32" s="104"/>
      <c r="F32" s="67"/>
      <c r="G32" s="24"/>
    </row>
    <row r="33" spans="1:7" x14ac:dyDescent="0.2">
      <c r="B33" s="102"/>
      <c r="C33" s="103"/>
      <c r="D33" s="103"/>
      <c r="E33" s="104"/>
      <c r="F33" s="67"/>
      <c r="G33" s="24"/>
    </row>
    <row r="34" spans="1:7" x14ac:dyDescent="0.2">
      <c r="B34" s="102"/>
      <c r="C34" s="103"/>
      <c r="D34" s="103"/>
      <c r="E34" s="104"/>
      <c r="F34" s="67"/>
      <c r="G34" s="24"/>
    </row>
    <row r="35" spans="1:7" x14ac:dyDescent="0.2">
      <c r="B35" s="102"/>
      <c r="C35" s="103"/>
      <c r="D35" s="103"/>
      <c r="E35" s="104"/>
      <c r="F35" s="67"/>
      <c r="G35" s="24"/>
    </row>
    <row r="36" spans="1:7" x14ac:dyDescent="0.2">
      <c r="B36" s="102"/>
      <c r="C36" s="103"/>
      <c r="D36" s="103"/>
      <c r="E36" s="104"/>
      <c r="F36" s="67"/>
      <c r="G36" s="24"/>
    </row>
    <row r="37" spans="1:7" x14ac:dyDescent="0.2">
      <c r="A37" s="59">
        <f>SUM(F30:F37)</f>
        <v>0</v>
      </c>
      <c r="B37" s="102"/>
      <c r="C37" s="103"/>
      <c r="D37" s="103"/>
      <c r="E37" s="104"/>
      <c r="F37" s="67"/>
      <c r="G37" s="24"/>
    </row>
    <row r="39" spans="1:7" x14ac:dyDescent="0.2">
      <c r="A39" s="105" t="s">
        <v>40</v>
      </c>
      <c r="B39" s="107"/>
      <c r="C39" s="108"/>
      <c r="D39" s="108"/>
      <c r="E39" s="108"/>
      <c r="F39" s="108"/>
      <c r="G39" s="109"/>
    </row>
    <row r="40" spans="1:7" x14ac:dyDescent="0.2">
      <c r="A40" s="106"/>
      <c r="B40" s="110"/>
      <c r="C40" s="111"/>
      <c r="D40" s="111"/>
      <c r="E40" s="111"/>
      <c r="F40" s="111"/>
      <c r="G40" s="112"/>
    </row>
    <row r="42" spans="1:7" x14ac:dyDescent="0.2">
      <c r="A42" s="122" t="s">
        <v>13</v>
      </c>
      <c r="B42" s="125"/>
      <c r="C42" s="48"/>
      <c r="D42" s="65" t="s">
        <v>42</v>
      </c>
      <c r="E42" s="65" t="s">
        <v>43</v>
      </c>
      <c r="F42" s="21" t="s">
        <v>6</v>
      </c>
      <c r="G42" s="22" t="s">
        <v>5</v>
      </c>
    </row>
    <row r="43" spans="1:7" x14ac:dyDescent="0.2">
      <c r="B43" s="97" t="s">
        <v>51</v>
      </c>
      <c r="C43" s="98"/>
      <c r="D43" s="67"/>
      <c r="E43" s="56"/>
      <c r="F43" s="49">
        <f>D43*E43</f>
        <v>0</v>
      </c>
      <c r="G43" s="24"/>
    </row>
    <row r="44" spans="1:7" ht="12.75" customHeight="1" x14ac:dyDescent="0.2">
      <c r="B44" s="97" t="s">
        <v>52</v>
      </c>
      <c r="C44" s="98"/>
      <c r="D44" s="67"/>
      <c r="E44" s="56"/>
      <c r="F44" s="49">
        <f>D44*E44</f>
        <v>0</v>
      </c>
      <c r="G44" s="24"/>
    </row>
    <row r="45" spans="1:7" x14ac:dyDescent="0.2">
      <c r="B45" s="97" t="s">
        <v>37</v>
      </c>
      <c r="C45" s="98"/>
      <c r="D45" s="67"/>
      <c r="E45" s="56"/>
      <c r="F45" s="49">
        <f>D45*E45</f>
        <v>0</v>
      </c>
      <c r="G45" s="24"/>
    </row>
    <row r="46" spans="1:7" x14ac:dyDescent="0.2">
      <c r="A46" s="59"/>
      <c r="B46" s="97" t="s">
        <v>53</v>
      </c>
      <c r="C46" s="98"/>
      <c r="D46" s="67"/>
      <c r="E46" s="56"/>
      <c r="F46" s="49">
        <f t="shared" ref="F46" si="1">D46*E46</f>
        <v>0</v>
      </c>
      <c r="G46" s="24"/>
    </row>
    <row r="47" spans="1:7" x14ac:dyDescent="0.2">
      <c r="A47" s="59"/>
      <c r="B47" s="99" t="s">
        <v>70</v>
      </c>
      <c r="C47" s="100"/>
      <c r="D47" s="100"/>
      <c r="E47" s="101"/>
      <c r="F47" s="73"/>
      <c r="G47" s="74"/>
    </row>
    <row r="48" spans="1:7" x14ac:dyDescent="0.2">
      <c r="A48" s="59"/>
      <c r="B48" s="113"/>
      <c r="C48" s="114"/>
      <c r="D48" s="114"/>
      <c r="E48" s="115"/>
      <c r="F48" s="72"/>
      <c r="G48" s="36"/>
    </row>
    <row r="49" spans="1:7" x14ac:dyDescent="0.2">
      <c r="A49" s="59"/>
      <c r="B49" s="116"/>
      <c r="C49" s="117"/>
      <c r="D49" s="117"/>
      <c r="E49" s="118"/>
      <c r="F49" s="72"/>
      <c r="G49" s="36"/>
    </row>
    <row r="50" spans="1:7" x14ac:dyDescent="0.2">
      <c r="A50" s="59"/>
      <c r="B50" s="119"/>
      <c r="C50" s="120"/>
      <c r="D50" s="120"/>
      <c r="E50" s="121"/>
      <c r="F50" s="72"/>
      <c r="G50" s="36"/>
    </row>
    <row r="51" spans="1:7" x14ac:dyDescent="0.2">
      <c r="A51" s="59"/>
      <c r="B51" s="97" t="s">
        <v>54</v>
      </c>
      <c r="C51" s="98"/>
      <c r="D51" s="67"/>
      <c r="E51" s="56"/>
      <c r="F51" s="49">
        <f t="shared" ref="F51" si="2">D51*E51</f>
        <v>0</v>
      </c>
      <c r="G51" s="24"/>
    </row>
    <row r="52" spans="1:7" x14ac:dyDescent="0.2">
      <c r="A52" s="59"/>
      <c r="B52" s="99" t="s">
        <v>71</v>
      </c>
      <c r="C52" s="100"/>
      <c r="D52" s="100"/>
      <c r="E52" s="101"/>
      <c r="F52" s="73"/>
      <c r="G52" s="74"/>
    </row>
    <row r="53" spans="1:7" x14ac:dyDescent="0.2">
      <c r="A53" s="59"/>
      <c r="B53" s="113"/>
      <c r="C53" s="114"/>
      <c r="D53" s="114"/>
      <c r="E53" s="115"/>
      <c r="F53" s="72"/>
      <c r="G53" s="36"/>
    </row>
    <row r="54" spans="1:7" x14ac:dyDescent="0.2">
      <c r="A54" s="59"/>
      <c r="B54" s="116"/>
      <c r="C54" s="117"/>
      <c r="D54" s="117"/>
      <c r="E54" s="118"/>
      <c r="F54" s="72"/>
      <c r="G54" s="36"/>
    </row>
    <row r="55" spans="1:7" x14ac:dyDescent="0.2">
      <c r="A55" s="59"/>
      <c r="B55" s="119"/>
      <c r="C55" s="120"/>
      <c r="D55" s="120"/>
      <c r="E55" s="121"/>
      <c r="F55" s="72"/>
      <c r="G55" s="36"/>
    </row>
    <row r="56" spans="1:7" x14ac:dyDescent="0.2">
      <c r="A56" s="59"/>
      <c r="B56" s="97" t="s">
        <v>55</v>
      </c>
      <c r="C56" s="98"/>
      <c r="D56" s="67"/>
      <c r="E56" s="56"/>
      <c r="F56" s="49">
        <f t="shared" ref="F56" si="3">D56*E56</f>
        <v>0</v>
      </c>
      <c r="G56" s="24"/>
    </row>
    <row r="57" spans="1:7" x14ac:dyDescent="0.2">
      <c r="A57" s="59"/>
      <c r="B57" s="99" t="s">
        <v>72</v>
      </c>
      <c r="C57" s="100"/>
      <c r="D57" s="100"/>
      <c r="E57" s="101"/>
      <c r="F57" s="73"/>
      <c r="G57" s="74"/>
    </row>
    <row r="58" spans="1:7" x14ac:dyDescent="0.2">
      <c r="A58" s="59"/>
      <c r="B58" s="113"/>
      <c r="C58" s="114"/>
      <c r="D58" s="114"/>
      <c r="E58" s="115"/>
      <c r="F58" s="72"/>
      <c r="G58" s="36"/>
    </row>
    <row r="59" spans="1:7" x14ac:dyDescent="0.2">
      <c r="A59" s="59"/>
      <c r="B59" s="116"/>
      <c r="C59" s="117"/>
      <c r="D59" s="117"/>
      <c r="E59" s="118"/>
      <c r="F59" s="72"/>
      <c r="G59" s="36"/>
    </row>
    <row r="60" spans="1:7" x14ac:dyDescent="0.2">
      <c r="A60" s="59">
        <f>SUM(F43:F56)</f>
        <v>0</v>
      </c>
      <c r="B60" s="119"/>
      <c r="C60" s="120"/>
      <c r="D60" s="120"/>
      <c r="E60" s="121"/>
      <c r="F60" s="72"/>
      <c r="G60" s="36"/>
    </row>
    <row r="61" spans="1:7" x14ac:dyDescent="0.2">
      <c r="A61" s="59"/>
      <c r="B61" s="58"/>
      <c r="C61" s="78"/>
      <c r="F61" s="72"/>
      <c r="G61" s="36"/>
    </row>
    <row r="62" spans="1:7" x14ac:dyDescent="0.2">
      <c r="A62" s="105" t="s">
        <v>40</v>
      </c>
      <c r="B62" s="107"/>
      <c r="C62" s="108"/>
      <c r="D62" s="108"/>
      <c r="E62" s="108"/>
      <c r="F62" s="108"/>
      <c r="G62" s="109"/>
    </row>
    <row r="63" spans="1:7" x14ac:dyDescent="0.2">
      <c r="A63" s="106"/>
      <c r="B63" s="110"/>
      <c r="C63" s="111"/>
      <c r="D63" s="111"/>
      <c r="E63" s="111"/>
      <c r="F63" s="111"/>
      <c r="G63" s="112"/>
    </row>
    <row r="65" spans="1:10" ht="12.75" customHeight="1" x14ac:dyDescent="0.2">
      <c r="A65" s="122" t="s">
        <v>73</v>
      </c>
      <c r="B65" s="123"/>
      <c r="C65" s="100"/>
      <c r="D65" s="100"/>
      <c r="E65" s="68"/>
      <c r="F65" s="68" t="s">
        <v>6</v>
      </c>
      <c r="G65" s="66" t="s">
        <v>5</v>
      </c>
    </row>
    <row r="66" spans="1:10" x14ac:dyDescent="0.2">
      <c r="B66" s="113"/>
      <c r="C66" s="114"/>
      <c r="D66" s="114"/>
      <c r="E66" s="115"/>
      <c r="F66" s="67"/>
      <c r="G66" s="29"/>
    </row>
    <row r="67" spans="1:10" x14ac:dyDescent="0.2">
      <c r="B67" s="116"/>
      <c r="C67" s="117"/>
      <c r="D67" s="117"/>
      <c r="E67" s="118"/>
      <c r="F67" s="33"/>
      <c r="G67" s="34"/>
    </row>
    <row r="68" spans="1:10" x14ac:dyDescent="0.2">
      <c r="B68" s="116"/>
      <c r="C68" s="117"/>
      <c r="D68" s="117"/>
      <c r="E68" s="118"/>
    </row>
    <row r="69" spans="1:10" x14ac:dyDescent="0.2">
      <c r="A69" s="59">
        <f>F66</f>
        <v>0</v>
      </c>
      <c r="B69" s="119"/>
      <c r="C69" s="120"/>
      <c r="D69" s="120"/>
      <c r="E69" s="121"/>
    </row>
    <row r="70" spans="1:10" x14ac:dyDescent="0.2">
      <c r="B70" s="69"/>
      <c r="C70" s="79"/>
      <c r="D70" s="69"/>
      <c r="E70" s="69"/>
      <c r="F70" s="69"/>
      <c r="G70" s="69"/>
      <c r="H70" s="69"/>
      <c r="I70" s="25"/>
      <c r="J70" s="26"/>
    </row>
    <row r="71" spans="1:10" x14ac:dyDescent="0.2">
      <c r="A71" s="105" t="s">
        <v>40</v>
      </c>
      <c r="B71" s="107"/>
      <c r="C71" s="108"/>
      <c r="D71" s="108"/>
      <c r="E71" s="108"/>
      <c r="F71" s="108"/>
      <c r="G71" s="109"/>
      <c r="H71" s="69"/>
      <c r="I71" s="25"/>
      <c r="J71" s="26"/>
    </row>
    <row r="72" spans="1:10" ht="12.75" customHeight="1" x14ac:dyDescent="0.2">
      <c r="A72" s="106"/>
      <c r="B72" s="110"/>
      <c r="C72" s="111"/>
      <c r="D72" s="111"/>
      <c r="E72" s="111"/>
      <c r="F72" s="111"/>
      <c r="G72" s="112"/>
    </row>
    <row r="74" spans="1:10" ht="18" x14ac:dyDescent="0.25">
      <c r="A74" s="1" t="s">
        <v>11</v>
      </c>
      <c r="D74" s="64"/>
      <c r="E74" s="64"/>
      <c r="F74" s="64"/>
      <c r="G74" s="64"/>
    </row>
    <row r="75" spans="1:10" ht="18" customHeight="1" x14ac:dyDescent="0.2">
      <c r="A75" s="131" t="s">
        <v>12</v>
      </c>
      <c r="B75" s="132"/>
      <c r="C75" s="132"/>
      <c r="D75" s="132"/>
      <c r="E75" s="132"/>
      <c r="F75" s="21" t="s">
        <v>6</v>
      </c>
      <c r="G75" s="22" t="s">
        <v>5</v>
      </c>
    </row>
    <row r="76" spans="1:10" ht="15" customHeight="1" x14ac:dyDescent="0.2">
      <c r="B76" s="113"/>
      <c r="C76" s="114"/>
      <c r="D76" s="114"/>
      <c r="E76" s="115"/>
      <c r="F76" s="67"/>
      <c r="G76" s="29"/>
    </row>
    <row r="77" spans="1:10" x14ac:dyDescent="0.2">
      <c r="B77" s="119"/>
      <c r="C77" s="120"/>
      <c r="D77" s="120"/>
      <c r="E77" s="121"/>
      <c r="F77" s="33"/>
      <c r="G77" s="34"/>
    </row>
    <row r="78" spans="1:10" x14ac:dyDescent="0.2">
      <c r="B78" s="113"/>
      <c r="C78" s="114"/>
      <c r="D78" s="114"/>
      <c r="E78" s="115"/>
      <c r="F78" s="67"/>
      <c r="G78" s="29"/>
    </row>
    <row r="79" spans="1:10" x14ac:dyDescent="0.2">
      <c r="B79" s="119"/>
      <c r="C79" s="120"/>
      <c r="D79" s="120"/>
      <c r="E79" s="121"/>
      <c r="F79" s="33"/>
      <c r="G79" s="34"/>
    </row>
    <row r="80" spans="1:10" x14ac:dyDescent="0.2">
      <c r="B80" s="113"/>
      <c r="C80" s="114"/>
      <c r="D80" s="114"/>
      <c r="E80" s="115"/>
      <c r="F80" s="67"/>
      <c r="G80" s="29"/>
    </row>
    <row r="81" spans="1:10" x14ac:dyDescent="0.2">
      <c r="B81" s="119"/>
      <c r="C81" s="120"/>
      <c r="D81" s="120"/>
      <c r="E81" s="121"/>
      <c r="F81" s="33"/>
      <c r="G81" s="34"/>
    </row>
    <row r="82" spans="1:10" x14ac:dyDescent="0.2">
      <c r="B82" s="113"/>
      <c r="C82" s="114"/>
      <c r="D82" s="114"/>
      <c r="E82" s="115"/>
      <c r="F82" s="67"/>
      <c r="G82" s="29"/>
    </row>
    <row r="83" spans="1:10" x14ac:dyDescent="0.2">
      <c r="A83" s="59">
        <f>SUM(F76:F82)</f>
        <v>0</v>
      </c>
      <c r="B83" s="119"/>
      <c r="C83" s="120"/>
      <c r="D83" s="120"/>
      <c r="E83" s="121"/>
      <c r="F83" s="33"/>
      <c r="G83" s="34"/>
    </row>
    <row r="84" spans="1:10" x14ac:dyDescent="0.2">
      <c r="A84" s="53"/>
      <c r="B84" s="54"/>
      <c r="C84" s="81"/>
      <c r="D84" s="54"/>
      <c r="E84" s="54"/>
      <c r="F84" s="25"/>
      <c r="G84" s="26"/>
      <c r="H84" s="53"/>
      <c r="I84" s="53"/>
      <c r="J84" s="53"/>
    </row>
    <row r="85" spans="1:10" x14ac:dyDescent="0.2">
      <c r="A85" s="105" t="s">
        <v>40</v>
      </c>
      <c r="B85" s="107"/>
      <c r="C85" s="108"/>
      <c r="D85" s="108"/>
      <c r="E85" s="108"/>
      <c r="F85" s="108"/>
      <c r="G85" s="109"/>
    </row>
    <row r="86" spans="1:10" s="53" customFormat="1" x14ac:dyDescent="0.2">
      <c r="A86" s="106"/>
      <c r="B86" s="110"/>
      <c r="C86" s="111"/>
      <c r="D86" s="111"/>
      <c r="E86" s="111"/>
      <c r="F86" s="111"/>
      <c r="G86" s="112"/>
      <c r="H86"/>
      <c r="I86"/>
      <c r="J86"/>
    </row>
    <row r="87" spans="1:10" x14ac:dyDescent="0.2">
      <c r="B87" s="19"/>
      <c r="C87" s="82"/>
      <c r="D87" s="19"/>
    </row>
    <row r="88" spans="1:10" ht="18" x14ac:dyDescent="0.25">
      <c r="A88" s="1" t="s">
        <v>10</v>
      </c>
      <c r="C88" s="82"/>
      <c r="D88" s="19"/>
    </row>
    <row r="89" spans="1:10" x14ac:dyDescent="0.2">
      <c r="A89" s="131" t="s">
        <v>32</v>
      </c>
      <c r="B89" s="132"/>
      <c r="C89" s="132"/>
      <c r="D89" s="132"/>
      <c r="E89" s="132"/>
      <c r="F89" s="21" t="s">
        <v>6</v>
      </c>
      <c r="G89" s="22" t="s">
        <v>5</v>
      </c>
    </row>
    <row r="90" spans="1:10" x14ac:dyDescent="0.2">
      <c r="B90" s="116"/>
      <c r="C90" s="117"/>
      <c r="D90" s="117"/>
      <c r="E90" s="118"/>
      <c r="F90" s="87"/>
      <c r="G90" s="29"/>
    </row>
    <row r="91" spans="1:10" x14ac:dyDescent="0.2">
      <c r="B91" s="116"/>
      <c r="C91" s="117"/>
      <c r="D91" s="117"/>
      <c r="E91" s="118"/>
      <c r="F91" s="31"/>
      <c r="G91" s="32"/>
    </row>
    <row r="92" spans="1:10" x14ac:dyDescent="0.2">
      <c r="B92" s="119"/>
      <c r="C92" s="120"/>
      <c r="D92" s="120"/>
      <c r="E92" s="121"/>
      <c r="F92" s="31"/>
      <c r="G92" s="32"/>
    </row>
    <row r="93" spans="1:10" x14ac:dyDescent="0.2">
      <c r="B93" s="113"/>
      <c r="C93" s="114"/>
      <c r="D93" s="114"/>
      <c r="E93" s="115"/>
      <c r="F93" s="87"/>
      <c r="G93" s="29"/>
    </row>
    <row r="94" spans="1:10" x14ac:dyDescent="0.2">
      <c r="B94" s="116"/>
      <c r="C94" s="117"/>
      <c r="D94" s="117"/>
      <c r="E94" s="118"/>
      <c r="F94" s="31"/>
      <c r="G94" s="32"/>
    </row>
    <row r="95" spans="1:10" x14ac:dyDescent="0.2">
      <c r="B95" s="119"/>
      <c r="C95" s="120"/>
      <c r="D95" s="120"/>
      <c r="E95" s="121"/>
      <c r="F95" s="31"/>
      <c r="G95" s="32"/>
    </row>
    <row r="96" spans="1:10" x14ac:dyDescent="0.2">
      <c r="B96" s="113"/>
      <c r="C96" s="114"/>
      <c r="D96" s="114"/>
      <c r="E96" s="115"/>
      <c r="F96" s="87"/>
      <c r="G96" s="29"/>
    </row>
    <row r="97" spans="1:7" x14ac:dyDescent="0.2">
      <c r="B97" s="116"/>
      <c r="C97" s="117"/>
      <c r="D97" s="117"/>
      <c r="E97" s="118"/>
      <c r="F97" s="31"/>
      <c r="G97" s="32"/>
    </row>
    <row r="98" spans="1:7" x14ac:dyDescent="0.2">
      <c r="B98" s="119"/>
      <c r="C98" s="120"/>
      <c r="D98" s="120"/>
      <c r="E98" s="121"/>
      <c r="F98" s="31"/>
      <c r="G98" s="32"/>
    </row>
    <row r="99" spans="1:7" x14ac:dyDescent="0.2">
      <c r="B99" s="113"/>
      <c r="C99" s="114"/>
      <c r="D99" s="114"/>
      <c r="E99" s="115"/>
      <c r="F99" s="87"/>
      <c r="G99" s="29"/>
    </row>
    <row r="100" spans="1:7" x14ac:dyDescent="0.2">
      <c r="B100" s="116"/>
      <c r="C100" s="117"/>
      <c r="D100" s="117"/>
      <c r="E100" s="118"/>
      <c r="F100" s="31"/>
      <c r="G100" s="32"/>
    </row>
    <row r="101" spans="1:7" x14ac:dyDescent="0.2">
      <c r="A101" s="59">
        <f>SUM(F90:F99)</f>
        <v>0</v>
      </c>
      <c r="B101" s="119"/>
      <c r="C101" s="120"/>
      <c r="D101" s="120"/>
      <c r="E101" s="121"/>
      <c r="F101" s="31"/>
      <c r="G101" s="32"/>
    </row>
    <row r="102" spans="1:7" x14ac:dyDescent="0.2">
      <c r="B102" s="19"/>
      <c r="F102" s="19"/>
      <c r="G102" s="19"/>
    </row>
    <row r="103" spans="1:7" x14ac:dyDescent="0.2">
      <c r="A103" s="105" t="s">
        <v>40</v>
      </c>
      <c r="B103" s="107"/>
      <c r="C103" s="108"/>
      <c r="D103" s="108"/>
      <c r="E103" s="108"/>
      <c r="F103" s="108"/>
      <c r="G103" s="109"/>
    </row>
    <row r="104" spans="1:7" x14ac:dyDescent="0.2">
      <c r="A104" s="106"/>
      <c r="B104" s="110"/>
      <c r="C104" s="111"/>
      <c r="D104" s="111"/>
      <c r="E104" s="111"/>
      <c r="F104" s="111"/>
      <c r="G104" s="112"/>
    </row>
    <row r="105" spans="1:7" x14ac:dyDescent="0.2">
      <c r="B105" s="19"/>
      <c r="F105" s="19"/>
      <c r="G105" s="19"/>
    </row>
    <row r="106" spans="1:7" x14ac:dyDescent="0.2">
      <c r="B106" s="19"/>
      <c r="F106" s="28">
        <f>SUM(F5:F99)</f>
        <v>0</v>
      </c>
      <c r="G106" s="28">
        <f>SUM(G5:G101)</f>
        <v>0</v>
      </c>
    </row>
  </sheetData>
  <sheetProtection sheet="1" objects="1" scenarios="1"/>
  <mergeCells count="54">
    <mergeCell ref="A103:A104"/>
    <mergeCell ref="B103:G104"/>
    <mergeCell ref="B11:G12"/>
    <mergeCell ref="A39:A40"/>
    <mergeCell ref="B39:G40"/>
    <mergeCell ref="A62:A63"/>
    <mergeCell ref="B62:G63"/>
    <mergeCell ref="B90:E92"/>
    <mergeCell ref="B93:E95"/>
    <mergeCell ref="A75:E75"/>
    <mergeCell ref="A89:E89"/>
    <mergeCell ref="B80:E81"/>
    <mergeCell ref="B82:E83"/>
    <mergeCell ref="A85:A86"/>
    <mergeCell ref="B85:G86"/>
    <mergeCell ref="B99:E101"/>
    <mergeCell ref="A1:C1"/>
    <mergeCell ref="A4:B4"/>
    <mergeCell ref="A42:B42"/>
    <mergeCell ref="A11:A12"/>
    <mergeCell ref="B5:E5"/>
    <mergeCell ref="B6:E6"/>
    <mergeCell ref="A26:A27"/>
    <mergeCell ref="B26:G27"/>
    <mergeCell ref="A14:A17"/>
    <mergeCell ref="B96:E98"/>
    <mergeCell ref="B7:E9"/>
    <mergeCell ref="B43:C43"/>
    <mergeCell ref="B45:C45"/>
    <mergeCell ref="B76:E77"/>
    <mergeCell ref="B78:E79"/>
    <mergeCell ref="B30:E30"/>
    <mergeCell ref="B31:E31"/>
    <mergeCell ref="B58:E60"/>
    <mergeCell ref="B44:C44"/>
    <mergeCell ref="B48:E50"/>
    <mergeCell ref="B47:E47"/>
    <mergeCell ref="B51:C51"/>
    <mergeCell ref="B52:E52"/>
    <mergeCell ref="B53:E55"/>
    <mergeCell ref="B46:C46"/>
    <mergeCell ref="A71:A72"/>
    <mergeCell ref="B71:G72"/>
    <mergeCell ref="B66:E69"/>
    <mergeCell ref="A65:B65"/>
    <mergeCell ref="C65:D65"/>
    <mergeCell ref="B56:C56"/>
    <mergeCell ref="B57:E57"/>
    <mergeCell ref="B37:E37"/>
    <mergeCell ref="B32:E32"/>
    <mergeCell ref="B33:E33"/>
    <mergeCell ref="B34:E34"/>
    <mergeCell ref="B35:E35"/>
    <mergeCell ref="B36:E36"/>
  </mergeCells>
  <conditionalFormatting sqref="F106:G106 F76 F13 F7:F10 F78 F80 F82 F43:F46 F48:F51 F53:F56 F58:F61">
    <cfRule type="cellIs" dxfId="47" priority="115" stopIfTrue="1" operator="greaterThan">
      <formula>0</formula>
    </cfRule>
  </conditionalFormatting>
  <conditionalFormatting sqref="G96 G93 G90 G99 G106 G76 G78 G80 G82 G30:G37 G5:G10 G13 B11:G12 B39:G40 B62:G63 B85:G86 G43:G46 G48:G51 G53:G56 G58:G61">
    <cfRule type="cellIs" dxfId="46" priority="114" stopIfTrue="1" operator="greaterThan">
      <formula>0</formula>
    </cfRule>
  </conditionalFormatting>
  <conditionalFormatting sqref="B96 B93 B90 B99 B76 B78 B80 B82 F76 B7 F78 F80 F82 B30:B37 D43:E46 D51:E51 D56:E56">
    <cfRule type="cellIs" dxfId="45" priority="113" stopIfTrue="1" operator="equal">
      <formula>0</formula>
    </cfRule>
  </conditionalFormatting>
  <conditionalFormatting sqref="F90 F93 F96 F99">
    <cfRule type="cellIs" dxfId="44" priority="111" stopIfTrue="1" operator="greaterThan">
      <formula>0</formula>
    </cfRule>
  </conditionalFormatting>
  <conditionalFormatting sqref="B66 F66">
    <cfRule type="cellIs" dxfId="43" priority="15" stopIfTrue="1" operator="equal">
      <formula>0</formula>
    </cfRule>
  </conditionalFormatting>
  <conditionalFormatting sqref="B71:G72">
    <cfRule type="cellIs" dxfId="42" priority="18" stopIfTrue="1" operator="greaterThan">
      <formula>0</formula>
    </cfRule>
  </conditionalFormatting>
  <conditionalFormatting sqref="F66">
    <cfRule type="cellIs" dxfId="41" priority="17" stopIfTrue="1" operator="greaterThan">
      <formula>0</formula>
    </cfRule>
  </conditionalFormatting>
  <conditionalFormatting sqref="G66">
    <cfRule type="cellIs" dxfId="40" priority="16" stopIfTrue="1" operator="greaterThan">
      <formula>0</formula>
    </cfRule>
  </conditionalFormatting>
  <conditionalFormatting sqref="F30:F37">
    <cfRule type="cellIs" dxfId="39" priority="9" stopIfTrue="1" operator="equal">
      <formula>0</formula>
    </cfRule>
  </conditionalFormatting>
  <conditionalFormatting sqref="F5">
    <cfRule type="cellIs" dxfId="38" priority="13" stopIfTrue="1" operator="equal">
      <formula>0</formula>
    </cfRule>
  </conditionalFormatting>
  <conditionalFormatting sqref="F5">
    <cfRule type="cellIs" dxfId="37" priority="14" stopIfTrue="1" operator="greaterThan">
      <formula>0</formula>
    </cfRule>
  </conditionalFormatting>
  <conditionalFormatting sqref="F6">
    <cfRule type="cellIs" dxfId="36" priority="11" stopIfTrue="1" operator="equal">
      <formula>0</formula>
    </cfRule>
  </conditionalFormatting>
  <conditionalFormatting sqref="F6">
    <cfRule type="cellIs" dxfId="35" priority="12" stopIfTrue="1" operator="greaterThan">
      <formula>0</formula>
    </cfRule>
  </conditionalFormatting>
  <conditionalFormatting sqref="B48 B53 B58">
    <cfRule type="cellIs" dxfId="34" priority="8" stopIfTrue="1" operator="equal">
      <formula>0</formula>
    </cfRule>
  </conditionalFormatting>
  <conditionalFormatting sqref="F30:F37">
    <cfRule type="cellIs" dxfId="33" priority="10" stopIfTrue="1" operator="greaterThan">
      <formula>0</formula>
    </cfRule>
  </conditionalFormatting>
  <conditionalFormatting sqref="F15:F24">
    <cfRule type="cellIs" dxfId="32" priority="7" stopIfTrue="1" operator="greaterThan">
      <formula>0</formula>
    </cfRule>
  </conditionalFormatting>
  <conditionalFormatting sqref="G15:G24">
    <cfRule type="cellIs" dxfId="31" priority="6" stopIfTrue="1" operator="greaterThan">
      <formula>0</formula>
    </cfRule>
  </conditionalFormatting>
  <conditionalFormatting sqref="D15:E24">
    <cfRule type="cellIs" dxfId="30" priority="5" stopIfTrue="1" operator="equal">
      <formula>0</formula>
    </cfRule>
  </conditionalFormatting>
  <conditionalFormatting sqref="B15:C24">
    <cfRule type="cellIs" dxfId="29" priority="4" stopIfTrue="1" operator="equal">
      <formula>0</formula>
    </cfRule>
  </conditionalFormatting>
  <conditionalFormatting sqref="F28 F25">
    <cfRule type="cellIs" dxfId="28" priority="3" stopIfTrue="1" operator="greaterThan">
      <formula>0</formula>
    </cfRule>
  </conditionalFormatting>
  <conditionalFormatting sqref="G25 G28 B26:G27">
    <cfRule type="cellIs" dxfId="27" priority="2" stopIfTrue="1" operator="greaterThan">
      <formula>0</formula>
    </cfRule>
  </conditionalFormatting>
  <conditionalFormatting sqref="B103:G104">
    <cfRule type="cellIs" dxfId="26" priority="1" stopIfTrue="1" operator="greaterThan">
      <formula>0</formula>
    </cfRule>
  </conditionalFormatting>
  <pageMargins left="0.75" right="0.75" top="1" bottom="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91"/>
  <sheetViews>
    <sheetView zoomScaleNormal="100" workbookViewId="0">
      <selection activeCell="L9" sqref="L9"/>
    </sheetView>
  </sheetViews>
  <sheetFormatPr defaultRowHeight="12.75" x14ac:dyDescent="0.2"/>
  <cols>
    <col min="1" max="1" width="12" customWidth="1"/>
    <col min="2" max="2" width="23.28515625" bestFit="1" customWidth="1"/>
    <col min="3" max="3" width="7.5703125" customWidth="1"/>
    <col min="4" max="4" width="14.140625" customWidth="1"/>
    <col min="5" max="5" width="9.7109375" customWidth="1"/>
    <col min="6" max="6" width="11.85546875" customWidth="1"/>
    <col min="7" max="7" width="11.42578125" customWidth="1"/>
    <col min="8" max="8" width="13.42578125" bestFit="1" customWidth="1"/>
  </cols>
  <sheetData>
    <row r="1" spans="1:10" ht="21" customHeight="1" x14ac:dyDescent="0.3">
      <c r="A1" s="124" t="s">
        <v>16</v>
      </c>
      <c r="B1" s="125"/>
      <c r="C1" s="126"/>
    </row>
    <row r="2" spans="1:10" ht="12.75" customHeight="1" x14ac:dyDescent="0.3">
      <c r="A2" s="77"/>
      <c r="B2" s="76"/>
      <c r="C2" s="76"/>
    </row>
    <row r="3" spans="1:10" ht="12.75" customHeight="1" x14ac:dyDescent="0.2">
      <c r="A3" s="137" t="s">
        <v>65</v>
      </c>
      <c r="B3" s="137"/>
      <c r="C3" s="137"/>
      <c r="D3" s="137"/>
      <c r="E3" s="137"/>
      <c r="F3" s="137"/>
      <c r="G3" s="137"/>
      <c r="H3" s="137"/>
    </row>
    <row r="4" spans="1:10" ht="12.75" customHeight="1" x14ac:dyDescent="0.2">
      <c r="A4" s="137"/>
      <c r="B4" s="137"/>
      <c r="C4" s="137"/>
      <c r="D4" s="137"/>
      <c r="E4" s="137"/>
      <c r="F4" s="137"/>
      <c r="G4" s="137"/>
      <c r="H4" s="137"/>
    </row>
    <row r="5" spans="1:10" ht="12.75" customHeight="1" x14ac:dyDescent="0.2">
      <c r="A5" s="89"/>
      <c r="B5" s="89"/>
      <c r="C5" s="89"/>
      <c r="D5" s="89"/>
      <c r="E5" s="89"/>
      <c r="F5" s="89"/>
      <c r="G5" s="89"/>
      <c r="H5" s="89"/>
    </row>
    <row r="6" spans="1:10" x14ac:dyDescent="0.2">
      <c r="A6" s="75" t="s">
        <v>66</v>
      </c>
    </row>
    <row r="7" spans="1:10" x14ac:dyDescent="0.2">
      <c r="A7" s="122" t="s">
        <v>62</v>
      </c>
      <c r="B7" s="125"/>
      <c r="C7" s="125"/>
      <c r="D7" s="125"/>
      <c r="E7" s="125"/>
      <c r="F7" s="126"/>
    </row>
    <row r="8" spans="1:10" x14ac:dyDescent="0.2">
      <c r="A8" s="113"/>
      <c r="B8" s="114"/>
      <c r="C8" s="114"/>
      <c r="D8" s="114"/>
      <c r="E8" s="114"/>
      <c r="F8" s="114"/>
      <c r="G8" s="114"/>
      <c r="H8" s="115"/>
      <c r="I8" s="83"/>
      <c r="J8" s="83"/>
    </row>
    <row r="9" spans="1:10" x14ac:dyDescent="0.2">
      <c r="A9" s="116"/>
      <c r="B9" s="117"/>
      <c r="C9" s="117"/>
      <c r="D9" s="117"/>
      <c r="E9" s="117"/>
      <c r="F9" s="117"/>
      <c r="G9" s="117"/>
      <c r="H9" s="118"/>
      <c r="I9" s="83"/>
      <c r="J9" s="83"/>
    </row>
    <row r="10" spans="1:10" x14ac:dyDescent="0.2">
      <c r="A10" s="116"/>
      <c r="B10" s="117"/>
      <c r="C10" s="117"/>
      <c r="D10" s="117"/>
      <c r="E10" s="117"/>
      <c r="F10" s="117"/>
      <c r="G10" s="117"/>
      <c r="H10" s="118"/>
      <c r="I10" s="83"/>
      <c r="J10" s="83"/>
    </row>
    <row r="11" spans="1:10" x14ac:dyDescent="0.2">
      <c r="A11" s="116"/>
      <c r="B11" s="117"/>
      <c r="C11" s="117"/>
      <c r="D11" s="117"/>
      <c r="E11" s="117"/>
      <c r="F11" s="117"/>
      <c r="G11" s="117"/>
      <c r="H11" s="118"/>
      <c r="I11" s="83"/>
      <c r="J11" s="83"/>
    </row>
    <row r="12" spans="1:10" x14ac:dyDescent="0.2">
      <c r="A12" s="116"/>
      <c r="B12" s="117"/>
      <c r="C12" s="117"/>
      <c r="D12" s="117"/>
      <c r="E12" s="117"/>
      <c r="F12" s="117"/>
      <c r="G12" s="117"/>
      <c r="H12" s="118"/>
      <c r="I12" s="83"/>
      <c r="J12" s="83"/>
    </row>
    <row r="13" spans="1:10" x14ac:dyDescent="0.2">
      <c r="A13" s="119"/>
      <c r="B13" s="120"/>
      <c r="C13" s="120"/>
      <c r="D13" s="120"/>
      <c r="E13" s="120"/>
      <c r="F13" s="120"/>
      <c r="G13" s="120"/>
      <c r="H13" s="121"/>
      <c r="I13" s="83"/>
      <c r="J13" s="83"/>
    </row>
    <row r="15" spans="1:10" x14ac:dyDescent="0.2">
      <c r="A15" s="50" t="s">
        <v>16</v>
      </c>
      <c r="B15" s="68" t="s">
        <v>9</v>
      </c>
      <c r="C15" s="35" t="s">
        <v>21</v>
      </c>
      <c r="D15" s="35" t="s">
        <v>28</v>
      </c>
      <c r="E15" s="48" t="s">
        <v>17</v>
      </c>
      <c r="F15" s="68" t="s">
        <v>18</v>
      </c>
      <c r="G15" s="35" t="s">
        <v>21</v>
      </c>
      <c r="H15" s="30" t="s">
        <v>28</v>
      </c>
      <c r="I15" s="68" t="s">
        <v>6</v>
      </c>
      <c r="J15" s="66" t="s">
        <v>5</v>
      </c>
    </row>
    <row r="16" spans="1:10" x14ac:dyDescent="0.2">
      <c r="A16" s="51"/>
      <c r="B16" s="43" t="s">
        <v>26</v>
      </c>
      <c r="C16" s="61"/>
      <c r="D16" s="55" t="s">
        <v>19</v>
      </c>
      <c r="E16" s="38"/>
      <c r="F16" s="43" t="s">
        <v>24</v>
      </c>
      <c r="G16" s="45"/>
      <c r="H16" s="46"/>
      <c r="I16" s="23">
        <f>C16*E16</f>
        <v>0</v>
      </c>
      <c r="J16" s="24"/>
    </row>
    <row r="17" spans="1:10" x14ac:dyDescent="0.2">
      <c r="A17" s="27"/>
      <c r="B17" s="41" t="s">
        <v>29</v>
      </c>
      <c r="C17" s="61"/>
      <c r="D17" s="55" t="s">
        <v>19</v>
      </c>
      <c r="E17" s="38"/>
      <c r="F17" s="43" t="s">
        <v>30</v>
      </c>
      <c r="G17" s="45"/>
      <c r="H17" s="46"/>
      <c r="I17" s="23">
        <f>C17*E17</f>
        <v>0</v>
      </c>
      <c r="J17" s="24"/>
    </row>
    <row r="18" spans="1:10" x14ac:dyDescent="0.2">
      <c r="A18" s="27"/>
      <c r="B18" s="42" t="s">
        <v>27</v>
      </c>
      <c r="C18" s="62"/>
      <c r="D18" s="44" t="s">
        <v>23</v>
      </c>
      <c r="E18" s="40">
        <v>0.56499999999999995</v>
      </c>
      <c r="F18" s="42" t="s">
        <v>35</v>
      </c>
      <c r="G18" s="62"/>
      <c r="H18" s="47" t="s">
        <v>25</v>
      </c>
      <c r="I18" s="23">
        <f>C18*E18*G18</f>
        <v>0</v>
      </c>
      <c r="J18" s="24"/>
    </row>
    <row r="19" spans="1:10" x14ac:dyDescent="0.2">
      <c r="A19" s="19"/>
      <c r="B19" s="43" t="s">
        <v>64</v>
      </c>
      <c r="C19" s="63"/>
      <c r="D19" s="39" t="s">
        <v>19</v>
      </c>
      <c r="E19" s="38"/>
      <c r="F19" s="43" t="s">
        <v>34</v>
      </c>
      <c r="G19" s="60"/>
      <c r="H19" s="46"/>
      <c r="I19" s="23">
        <f>C19*E19</f>
        <v>0</v>
      </c>
      <c r="J19" s="24"/>
    </row>
    <row r="20" spans="1:10" x14ac:dyDescent="0.2">
      <c r="A20" s="19"/>
      <c r="B20" s="43" t="s">
        <v>15</v>
      </c>
      <c r="C20" s="63"/>
      <c r="D20" s="39" t="s">
        <v>19</v>
      </c>
      <c r="E20" s="38"/>
      <c r="F20" s="43" t="s">
        <v>34</v>
      </c>
      <c r="G20" s="62"/>
      <c r="H20" s="47" t="s">
        <v>22</v>
      </c>
      <c r="I20" s="23">
        <f>C20*E20*G20</f>
        <v>0</v>
      </c>
      <c r="J20" s="24"/>
    </row>
    <row r="21" spans="1:10" x14ac:dyDescent="0.2">
      <c r="A21" s="19"/>
      <c r="B21" s="43" t="s">
        <v>14</v>
      </c>
      <c r="C21" s="63"/>
      <c r="D21" s="39" t="s">
        <v>20</v>
      </c>
      <c r="E21" s="38"/>
      <c r="F21" s="43" t="s">
        <v>36</v>
      </c>
      <c r="G21" s="62"/>
      <c r="H21" s="47" t="s">
        <v>31</v>
      </c>
      <c r="I21" s="23">
        <f>C21*E21*G21</f>
        <v>0</v>
      </c>
      <c r="J21" s="24"/>
    </row>
    <row r="22" spans="1:10" x14ac:dyDescent="0.2">
      <c r="A22" s="59">
        <f>SUM(I16:I22)</f>
        <v>0</v>
      </c>
      <c r="B22" s="43" t="s">
        <v>76</v>
      </c>
      <c r="C22" s="133"/>
      <c r="D22" s="134"/>
      <c r="E22" s="135"/>
      <c r="F22" s="135"/>
      <c r="G22" s="135"/>
      <c r="H22" s="136"/>
      <c r="I22" s="37"/>
      <c r="J22" s="24"/>
    </row>
    <row r="24" spans="1:10" ht="12.75" customHeight="1" x14ac:dyDescent="0.2">
      <c r="A24" s="105" t="s">
        <v>40</v>
      </c>
      <c r="B24" s="107"/>
      <c r="C24" s="108"/>
      <c r="D24" s="108"/>
      <c r="E24" s="108"/>
      <c r="F24" s="108"/>
      <c r="G24" s="108"/>
      <c r="H24" s="109"/>
      <c r="I24" s="84"/>
      <c r="J24" s="84"/>
    </row>
    <row r="25" spans="1:10" x14ac:dyDescent="0.2">
      <c r="A25" s="106"/>
      <c r="B25" s="110"/>
      <c r="C25" s="111"/>
      <c r="D25" s="111"/>
      <c r="E25" s="111"/>
      <c r="F25" s="111"/>
      <c r="G25" s="111"/>
      <c r="H25" s="112"/>
      <c r="I25" s="84"/>
      <c r="J25" s="84"/>
    </row>
    <row r="26" spans="1:10" x14ac:dyDescent="0.2">
      <c r="A26" s="19"/>
      <c r="B26" s="19"/>
      <c r="C26" s="19"/>
      <c r="D26" s="19"/>
      <c r="E26" s="20"/>
    </row>
    <row r="27" spans="1:10" x14ac:dyDescent="0.2">
      <c r="A27" s="75" t="s">
        <v>69</v>
      </c>
      <c r="B27" s="19"/>
      <c r="C27" s="19"/>
      <c r="D27" s="19"/>
      <c r="E27" s="20"/>
    </row>
    <row r="28" spans="1:10" x14ac:dyDescent="0.2">
      <c r="A28" s="122" t="s">
        <v>62</v>
      </c>
      <c r="B28" s="125"/>
      <c r="C28" s="125"/>
      <c r="D28" s="125"/>
      <c r="E28" s="125"/>
      <c r="F28" s="126"/>
    </row>
    <row r="29" spans="1:10" x14ac:dyDescent="0.2">
      <c r="A29" s="113"/>
      <c r="B29" s="114"/>
      <c r="C29" s="114"/>
      <c r="D29" s="114"/>
      <c r="E29" s="114"/>
      <c r="F29" s="114"/>
      <c r="G29" s="114"/>
      <c r="H29" s="115"/>
      <c r="I29" s="83"/>
      <c r="J29" s="83"/>
    </row>
    <row r="30" spans="1:10" x14ac:dyDescent="0.2">
      <c r="A30" s="116"/>
      <c r="B30" s="117"/>
      <c r="C30" s="117"/>
      <c r="D30" s="117"/>
      <c r="E30" s="117"/>
      <c r="F30" s="117"/>
      <c r="G30" s="117"/>
      <c r="H30" s="118"/>
      <c r="I30" s="83"/>
      <c r="J30" s="83"/>
    </row>
    <row r="31" spans="1:10" x14ac:dyDescent="0.2">
      <c r="A31" s="116"/>
      <c r="B31" s="117"/>
      <c r="C31" s="117"/>
      <c r="D31" s="117"/>
      <c r="E31" s="117"/>
      <c r="F31" s="117"/>
      <c r="G31" s="117"/>
      <c r="H31" s="118"/>
      <c r="I31" s="83"/>
      <c r="J31" s="83"/>
    </row>
    <row r="32" spans="1:10" x14ac:dyDescent="0.2">
      <c r="A32" s="116"/>
      <c r="B32" s="117"/>
      <c r="C32" s="117"/>
      <c r="D32" s="117"/>
      <c r="E32" s="117"/>
      <c r="F32" s="117"/>
      <c r="G32" s="117"/>
      <c r="H32" s="118"/>
      <c r="I32" s="83"/>
      <c r="J32" s="83"/>
    </row>
    <row r="33" spans="1:10" x14ac:dyDescent="0.2">
      <c r="A33" s="116"/>
      <c r="B33" s="117"/>
      <c r="C33" s="117"/>
      <c r="D33" s="117"/>
      <c r="E33" s="117"/>
      <c r="F33" s="117"/>
      <c r="G33" s="117"/>
      <c r="H33" s="118"/>
      <c r="I33" s="83"/>
      <c r="J33" s="83"/>
    </row>
    <row r="34" spans="1:10" x14ac:dyDescent="0.2">
      <c r="A34" s="119"/>
      <c r="B34" s="120"/>
      <c r="C34" s="120"/>
      <c r="D34" s="120"/>
      <c r="E34" s="120"/>
      <c r="F34" s="120"/>
      <c r="G34" s="120"/>
      <c r="H34" s="121"/>
      <c r="I34" s="83"/>
      <c r="J34" s="83"/>
    </row>
    <row r="36" spans="1:10" x14ac:dyDescent="0.2">
      <c r="A36" s="50" t="s">
        <v>16</v>
      </c>
      <c r="B36" s="68" t="s">
        <v>9</v>
      </c>
      <c r="C36" s="35" t="s">
        <v>21</v>
      </c>
      <c r="D36" s="35" t="s">
        <v>28</v>
      </c>
      <c r="E36" s="48" t="s">
        <v>17</v>
      </c>
      <c r="F36" s="68" t="s">
        <v>18</v>
      </c>
      <c r="G36" s="35" t="s">
        <v>21</v>
      </c>
      <c r="H36" s="30" t="s">
        <v>28</v>
      </c>
      <c r="I36" s="68" t="s">
        <v>6</v>
      </c>
      <c r="J36" s="66" t="s">
        <v>5</v>
      </c>
    </row>
    <row r="37" spans="1:10" x14ac:dyDescent="0.2">
      <c r="A37" s="51"/>
      <c r="B37" s="43" t="s">
        <v>26</v>
      </c>
      <c r="C37" s="61"/>
      <c r="D37" s="55" t="s">
        <v>19</v>
      </c>
      <c r="E37" s="38"/>
      <c r="F37" s="43" t="s">
        <v>24</v>
      </c>
      <c r="G37" s="45"/>
      <c r="H37" s="46"/>
      <c r="I37" s="23">
        <f>C37*E37</f>
        <v>0</v>
      </c>
      <c r="J37" s="24"/>
    </row>
    <row r="38" spans="1:10" x14ac:dyDescent="0.2">
      <c r="A38" s="27"/>
      <c r="B38" s="41" t="s">
        <v>29</v>
      </c>
      <c r="C38" s="61"/>
      <c r="D38" s="55" t="s">
        <v>19</v>
      </c>
      <c r="E38" s="38"/>
      <c r="F38" s="43" t="s">
        <v>30</v>
      </c>
      <c r="G38" s="45"/>
      <c r="H38" s="46"/>
      <c r="I38" s="23">
        <f>C38*E38</f>
        <v>0</v>
      </c>
      <c r="J38" s="24"/>
    </row>
    <row r="39" spans="1:10" x14ac:dyDescent="0.2">
      <c r="A39" s="27"/>
      <c r="B39" s="42" t="s">
        <v>27</v>
      </c>
      <c r="C39" s="62"/>
      <c r="D39" s="44" t="s">
        <v>23</v>
      </c>
      <c r="E39" s="40">
        <v>0.56499999999999995</v>
      </c>
      <c r="F39" s="42" t="s">
        <v>35</v>
      </c>
      <c r="G39" s="62"/>
      <c r="H39" s="47" t="s">
        <v>25</v>
      </c>
      <c r="I39" s="23">
        <f>C39*E39*G39</f>
        <v>0</v>
      </c>
      <c r="J39" s="24"/>
    </row>
    <row r="40" spans="1:10" x14ac:dyDescent="0.2">
      <c r="A40" s="19"/>
      <c r="B40" s="43" t="s">
        <v>64</v>
      </c>
      <c r="C40" s="63"/>
      <c r="D40" s="39" t="s">
        <v>19</v>
      </c>
      <c r="E40" s="38"/>
      <c r="F40" s="43" t="s">
        <v>34</v>
      </c>
      <c r="G40" s="60"/>
      <c r="H40" s="46"/>
      <c r="I40" s="23">
        <f>C40*E40</f>
        <v>0</v>
      </c>
      <c r="J40" s="24"/>
    </row>
    <row r="41" spans="1:10" x14ac:dyDescent="0.2">
      <c r="A41" s="19"/>
      <c r="B41" s="43" t="s">
        <v>15</v>
      </c>
      <c r="C41" s="63"/>
      <c r="D41" s="39" t="s">
        <v>19</v>
      </c>
      <c r="E41" s="38"/>
      <c r="F41" s="43" t="s">
        <v>34</v>
      </c>
      <c r="G41" s="62"/>
      <c r="H41" s="47" t="s">
        <v>22</v>
      </c>
      <c r="I41" s="23">
        <f>C41*E41*G41</f>
        <v>0</v>
      </c>
      <c r="J41" s="24"/>
    </row>
    <row r="42" spans="1:10" x14ac:dyDescent="0.2">
      <c r="A42" s="19"/>
      <c r="B42" s="43" t="s">
        <v>14</v>
      </c>
      <c r="C42" s="63"/>
      <c r="D42" s="39" t="s">
        <v>20</v>
      </c>
      <c r="E42" s="38"/>
      <c r="F42" s="43" t="s">
        <v>36</v>
      </c>
      <c r="G42" s="62"/>
      <c r="H42" s="47" t="s">
        <v>31</v>
      </c>
      <c r="I42" s="23">
        <f>C42*E42*G42</f>
        <v>0</v>
      </c>
      <c r="J42" s="24"/>
    </row>
    <row r="43" spans="1:10" x14ac:dyDescent="0.2">
      <c r="A43" s="59">
        <f>SUM(I37:I43)</f>
        <v>0</v>
      </c>
      <c r="B43" s="43" t="s">
        <v>76</v>
      </c>
      <c r="C43" s="133"/>
      <c r="D43" s="134"/>
      <c r="E43" s="135"/>
      <c r="F43" s="135"/>
      <c r="G43" s="135"/>
      <c r="H43" s="136"/>
      <c r="I43" s="37"/>
      <c r="J43" s="24"/>
    </row>
    <row r="45" spans="1:10" x14ac:dyDescent="0.2">
      <c r="A45" s="105" t="s">
        <v>40</v>
      </c>
      <c r="B45" s="107"/>
      <c r="C45" s="108"/>
      <c r="D45" s="108"/>
      <c r="E45" s="108"/>
      <c r="F45" s="108"/>
      <c r="G45" s="108"/>
      <c r="H45" s="109"/>
      <c r="I45" s="84"/>
      <c r="J45" s="84"/>
    </row>
    <row r="46" spans="1:10" x14ac:dyDescent="0.2">
      <c r="A46" s="106"/>
      <c r="B46" s="110"/>
      <c r="C46" s="111"/>
      <c r="D46" s="111"/>
      <c r="E46" s="111"/>
      <c r="F46" s="111"/>
      <c r="G46" s="111"/>
      <c r="H46" s="112"/>
      <c r="I46" s="84"/>
      <c r="J46" s="84"/>
    </row>
    <row r="48" spans="1:10" x14ac:dyDescent="0.2">
      <c r="A48" s="75" t="s">
        <v>68</v>
      </c>
    </row>
    <row r="49" spans="1:10" x14ac:dyDescent="0.2">
      <c r="A49" s="122" t="s">
        <v>62</v>
      </c>
      <c r="B49" s="125"/>
      <c r="C49" s="125"/>
      <c r="D49" s="125"/>
      <c r="E49" s="125"/>
      <c r="F49" s="126"/>
    </row>
    <row r="50" spans="1:10" x14ac:dyDescent="0.2">
      <c r="A50" s="113"/>
      <c r="B50" s="114"/>
      <c r="C50" s="114"/>
      <c r="D50" s="114"/>
      <c r="E50" s="114"/>
      <c r="F50" s="114"/>
      <c r="G50" s="114"/>
      <c r="H50" s="115"/>
      <c r="I50" s="83"/>
      <c r="J50" s="83"/>
    </row>
    <row r="51" spans="1:10" x14ac:dyDescent="0.2">
      <c r="A51" s="116"/>
      <c r="B51" s="117"/>
      <c r="C51" s="117"/>
      <c r="D51" s="117"/>
      <c r="E51" s="117"/>
      <c r="F51" s="117"/>
      <c r="G51" s="117"/>
      <c r="H51" s="118"/>
      <c r="I51" s="83"/>
      <c r="J51" s="83"/>
    </row>
    <row r="52" spans="1:10" x14ac:dyDescent="0.2">
      <c r="A52" s="116"/>
      <c r="B52" s="117"/>
      <c r="C52" s="117"/>
      <c r="D52" s="117"/>
      <c r="E52" s="117"/>
      <c r="F52" s="117"/>
      <c r="G52" s="117"/>
      <c r="H52" s="118"/>
      <c r="I52" s="83"/>
      <c r="J52" s="83"/>
    </row>
    <row r="53" spans="1:10" x14ac:dyDescent="0.2">
      <c r="A53" s="116"/>
      <c r="B53" s="117"/>
      <c r="C53" s="117"/>
      <c r="D53" s="117"/>
      <c r="E53" s="117"/>
      <c r="F53" s="117"/>
      <c r="G53" s="117"/>
      <c r="H53" s="118"/>
      <c r="I53" s="83"/>
      <c r="J53" s="83"/>
    </row>
    <row r="54" spans="1:10" x14ac:dyDescent="0.2">
      <c r="A54" s="116"/>
      <c r="B54" s="117"/>
      <c r="C54" s="117"/>
      <c r="D54" s="117"/>
      <c r="E54" s="117"/>
      <c r="F54" s="117"/>
      <c r="G54" s="117"/>
      <c r="H54" s="118"/>
      <c r="I54" s="83"/>
      <c r="J54" s="83"/>
    </row>
    <row r="55" spans="1:10" x14ac:dyDescent="0.2">
      <c r="A55" s="119"/>
      <c r="B55" s="120"/>
      <c r="C55" s="120"/>
      <c r="D55" s="120"/>
      <c r="E55" s="120"/>
      <c r="F55" s="120"/>
      <c r="G55" s="120"/>
      <c r="H55" s="121"/>
      <c r="I55" s="83"/>
      <c r="J55" s="83"/>
    </row>
    <row r="57" spans="1:10" x14ac:dyDescent="0.2">
      <c r="A57" s="50" t="s">
        <v>16</v>
      </c>
      <c r="B57" s="68" t="s">
        <v>9</v>
      </c>
      <c r="C57" s="35" t="s">
        <v>21</v>
      </c>
      <c r="D57" s="35" t="s">
        <v>28</v>
      </c>
      <c r="E57" s="48" t="s">
        <v>17</v>
      </c>
      <c r="F57" s="68" t="s">
        <v>18</v>
      </c>
      <c r="G57" s="35" t="s">
        <v>21</v>
      </c>
      <c r="H57" s="30" t="s">
        <v>28</v>
      </c>
      <c r="I57" s="68" t="s">
        <v>6</v>
      </c>
      <c r="J57" s="66" t="s">
        <v>5</v>
      </c>
    </row>
    <row r="58" spans="1:10" x14ac:dyDescent="0.2">
      <c r="A58" s="51"/>
      <c r="B58" s="43" t="s">
        <v>26</v>
      </c>
      <c r="C58" s="61"/>
      <c r="D58" s="55" t="s">
        <v>19</v>
      </c>
      <c r="E58" s="38"/>
      <c r="F58" s="43" t="s">
        <v>24</v>
      </c>
      <c r="G58" s="45"/>
      <c r="H58" s="46"/>
      <c r="I58" s="23">
        <f>C58*E58</f>
        <v>0</v>
      </c>
      <c r="J58" s="24"/>
    </row>
    <row r="59" spans="1:10" x14ac:dyDescent="0.2">
      <c r="A59" s="27"/>
      <c r="B59" s="41" t="s">
        <v>29</v>
      </c>
      <c r="C59" s="61"/>
      <c r="D59" s="55" t="s">
        <v>19</v>
      </c>
      <c r="E59" s="38"/>
      <c r="F59" s="43" t="s">
        <v>30</v>
      </c>
      <c r="G59" s="45"/>
      <c r="H59" s="46"/>
      <c r="I59" s="23">
        <f>C59*E59</f>
        <v>0</v>
      </c>
      <c r="J59" s="24"/>
    </row>
    <row r="60" spans="1:10" x14ac:dyDescent="0.2">
      <c r="A60" s="27"/>
      <c r="B60" s="42" t="s">
        <v>27</v>
      </c>
      <c r="C60" s="62"/>
      <c r="D60" s="44" t="s">
        <v>23</v>
      </c>
      <c r="E60" s="40">
        <v>0.56499999999999995</v>
      </c>
      <c r="F60" s="42" t="s">
        <v>35</v>
      </c>
      <c r="G60" s="62"/>
      <c r="H60" s="47" t="s">
        <v>25</v>
      </c>
      <c r="I60" s="23">
        <f>C60*E60*G60</f>
        <v>0</v>
      </c>
      <c r="J60" s="24"/>
    </row>
    <row r="61" spans="1:10" x14ac:dyDescent="0.2">
      <c r="A61" s="19"/>
      <c r="B61" s="43" t="s">
        <v>64</v>
      </c>
      <c r="C61" s="63"/>
      <c r="D61" s="39" t="s">
        <v>19</v>
      </c>
      <c r="E61" s="38"/>
      <c r="F61" s="43" t="s">
        <v>34</v>
      </c>
      <c r="G61" s="60"/>
      <c r="H61" s="46"/>
      <c r="I61" s="23">
        <f>C61*E61</f>
        <v>0</v>
      </c>
      <c r="J61" s="24"/>
    </row>
    <row r="62" spans="1:10" x14ac:dyDescent="0.2">
      <c r="A62" s="19"/>
      <c r="B62" s="43" t="s">
        <v>15</v>
      </c>
      <c r="C62" s="63"/>
      <c r="D62" s="39" t="s">
        <v>19</v>
      </c>
      <c r="E62" s="38"/>
      <c r="F62" s="43" t="s">
        <v>34</v>
      </c>
      <c r="G62" s="62"/>
      <c r="H62" s="47" t="s">
        <v>22</v>
      </c>
      <c r="I62" s="23">
        <f>C62*E62*G62</f>
        <v>0</v>
      </c>
      <c r="J62" s="24"/>
    </row>
    <row r="63" spans="1:10" x14ac:dyDescent="0.2">
      <c r="A63" s="19"/>
      <c r="B63" s="43" t="s">
        <v>14</v>
      </c>
      <c r="C63" s="63"/>
      <c r="D63" s="39" t="s">
        <v>20</v>
      </c>
      <c r="E63" s="38"/>
      <c r="F63" s="43" t="s">
        <v>36</v>
      </c>
      <c r="G63" s="62"/>
      <c r="H63" s="47" t="s">
        <v>31</v>
      </c>
      <c r="I63" s="23">
        <f>C63*E63*G63</f>
        <v>0</v>
      </c>
      <c r="J63" s="24"/>
    </row>
    <row r="64" spans="1:10" x14ac:dyDescent="0.2">
      <c r="A64" s="59">
        <f>SUM(I58:I64)</f>
        <v>0</v>
      </c>
      <c r="B64" s="43" t="s">
        <v>76</v>
      </c>
      <c r="C64" s="133"/>
      <c r="D64" s="134"/>
      <c r="E64" s="135"/>
      <c r="F64" s="135"/>
      <c r="G64" s="135"/>
      <c r="H64" s="136"/>
      <c r="I64" s="37"/>
      <c r="J64" s="24"/>
    </row>
    <row r="66" spans="1:10" x14ac:dyDescent="0.2">
      <c r="A66" s="105" t="s">
        <v>40</v>
      </c>
      <c r="B66" s="107"/>
      <c r="C66" s="108"/>
      <c r="D66" s="108"/>
      <c r="E66" s="108"/>
      <c r="F66" s="108"/>
      <c r="G66" s="108"/>
      <c r="H66" s="109"/>
      <c r="I66" s="84"/>
      <c r="J66" s="84"/>
    </row>
    <row r="67" spans="1:10" x14ac:dyDescent="0.2">
      <c r="A67" s="106"/>
      <c r="B67" s="110"/>
      <c r="C67" s="111"/>
      <c r="D67" s="111"/>
      <c r="E67" s="111"/>
      <c r="F67" s="111"/>
      <c r="G67" s="111"/>
      <c r="H67" s="112"/>
      <c r="I67" s="84"/>
      <c r="J67" s="84"/>
    </row>
    <row r="69" spans="1:10" x14ac:dyDescent="0.2">
      <c r="A69" s="75" t="s">
        <v>67</v>
      </c>
    </row>
    <row r="70" spans="1:10" x14ac:dyDescent="0.2">
      <c r="A70" s="122" t="s">
        <v>62</v>
      </c>
      <c r="B70" s="125"/>
      <c r="C70" s="125"/>
      <c r="D70" s="125"/>
      <c r="E70" s="125"/>
      <c r="F70" s="126"/>
    </row>
    <row r="71" spans="1:10" x14ac:dyDescent="0.2">
      <c r="A71" s="113"/>
      <c r="B71" s="114"/>
      <c r="C71" s="114"/>
      <c r="D71" s="114"/>
      <c r="E71" s="114"/>
      <c r="F71" s="114"/>
      <c r="G71" s="114"/>
      <c r="H71" s="115"/>
      <c r="I71" s="83"/>
      <c r="J71" s="83"/>
    </row>
    <row r="72" spans="1:10" x14ac:dyDescent="0.2">
      <c r="A72" s="116"/>
      <c r="B72" s="117"/>
      <c r="C72" s="117"/>
      <c r="D72" s="117"/>
      <c r="E72" s="117"/>
      <c r="F72" s="117"/>
      <c r="G72" s="117"/>
      <c r="H72" s="118"/>
      <c r="I72" s="83"/>
      <c r="J72" s="83"/>
    </row>
    <row r="73" spans="1:10" x14ac:dyDescent="0.2">
      <c r="A73" s="116"/>
      <c r="B73" s="117"/>
      <c r="C73" s="117"/>
      <c r="D73" s="117"/>
      <c r="E73" s="117"/>
      <c r="F73" s="117"/>
      <c r="G73" s="117"/>
      <c r="H73" s="118"/>
      <c r="I73" s="83"/>
      <c r="J73" s="83"/>
    </row>
    <row r="74" spans="1:10" x14ac:dyDescent="0.2">
      <c r="A74" s="116"/>
      <c r="B74" s="117"/>
      <c r="C74" s="117"/>
      <c r="D74" s="117"/>
      <c r="E74" s="117"/>
      <c r="F74" s="117"/>
      <c r="G74" s="117"/>
      <c r="H74" s="118"/>
      <c r="I74" s="83"/>
      <c r="J74" s="83"/>
    </row>
    <row r="75" spans="1:10" x14ac:dyDescent="0.2">
      <c r="A75" s="116"/>
      <c r="B75" s="117"/>
      <c r="C75" s="117"/>
      <c r="D75" s="117"/>
      <c r="E75" s="117"/>
      <c r="F75" s="117"/>
      <c r="G75" s="117"/>
      <c r="H75" s="118"/>
      <c r="I75" s="83"/>
      <c r="J75" s="83"/>
    </row>
    <row r="76" spans="1:10" x14ac:dyDescent="0.2">
      <c r="A76" s="119"/>
      <c r="B76" s="120"/>
      <c r="C76" s="120"/>
      <c r="D76" s="120"/>
      <c r="E76" s="120"/>
      <c r="F76" s="120"/>
      <c r="G76" s="120"/>
      <c r="H76" s="121"/>
      <c r="I76" s="83"/>
      <c r="J76" s="83"/>
    </row>
    <row r="78" spans="1:10" x14ac:dyDescent="0.2">
      <c r="A78" s="50" t="s">
        <v>16</v>
      </c>
      <c r="B78" s="68" t="s">
        <v>9</v>
      </c>
      <c r="C78" s="35" t="s">
        <v>21</v>
      </c>
      <c r="D78" s="35" t="s">
        <v>28</v>
      </c>
      <c r="E78" s="48" t="s">
        <v>17</v>
      </c>
      <c r="F78" s="68" t="s">
        <v>18</v>
      </c>
      <c r="G78" s="35" t="s">
        <v>21</v>
      </c>
      <c r="H78" s="30" t="s">
        <v>28</v>
      </c>
      <c r="I78" s="68" t="s">
        <v>6</v>
      </c>
      <c r="J78" s="66" t="s">
        <v>5</v>
      </c>
    </row>
    <row r="79" spans="1:10" x14ac:dyDescent="0.2">
      <c r="A79" s="51"/>
      <c r="B79" s="43" t="s">
        <v>26</v>
      </c>
      <c r="C79" s="61"/>
      <c r="D79" s="55" t="s">
        <v>19</v>
      </c>
      <c r="E79" s="38"/>
      <c r="F79" s="43" t="s">
        <v>24</v>
      </c>
      <c r="G79" s="45"/>
      <c r="H79" s="46"/>
      <c r="I79" s="23">
        <f>C79*E79</f>
        <v>0</v>
      </c>
      <c r="J79" s="24"/>
    </row>
    <row r="80" spans="1:10" x14ac:dyDescent="0.2">
      <c r="A80" s="27"/>
      <c r="B80" s="41" t="s">
        <v>29</v>
      </c>
      <c r="C80" s="61"/>
      <c r="D80" s="55" t="s">
        <v>19</v>
      </c>
      <c r="E80" s="38"/>
      <c r="F80" s="43" t="s">
        <v>30</v>
      </c>
      <c r="G80" s="45"/>
      <c r="H80" s="46"/>
      <c r="I80" s="23">
        <f>C80*E80</f>
        <v>0</v>
      </c>
      <c r="J80" s="24"/>
    </row>
    <row r="81" spans="1:10" x14ac:dyDescent="0.2">
      <c r="A81" s="27"/>
      <c r="B81" s="42" t="s">
        <v>27</v>
      </c>
      <c r="C81" s="62"/>
      <c r="D81" s="44" t="s">
        <v>23</v>
      </c>
      <c r="E81" s="40">
        <v>0.56499999999999995</v>
      </c>
      <c r="F81" s="42" t="s">
        <v>35</v>
      </c>
      <c r="G81" s="62"/>
      <c r="H81" s="47" t="s">
        <v>25</v>
      </c>
      <c r="I81" s="23">
        <f>C81*E81*G81</f>
        <v>0</v>
      </c>
      <c r="J81" s="24"/>
    </row>
    <row r="82" spans="1:10" x14ac:dyDescent="0.2">
      <c r="A82" s="19"/>
      <c r="B82" s="43" t="s">
        <v>64</v>
      </c>
      <c r="C82" s="63"/>
      <c r="D82" s="39" t="s">
        <v>19</v>
      </c>
      <c r="E82" s="38"/>
      <c r="F82" s="43" t="s">
        <v>34</v>
      </c>
      <c r="G82" s="60"/>
      <c r="H82" s="46"/>
      <c r="I82" s="23">
        <f>C82*E82</f>
        <v>0</v>
      </c>
      <c r="J82" s="24"/>
    </row>
    <row r="83" spans="1:10" x14ac:dyDescent="0.2">
      <c r="A83" s="19"/>
      <c r="B83" s="43" t="s">
        <v>15</v>
      </c>
      <c r="C83" s="63"/>
      <c r="D83" s="39" t="s">
        <v>19</v>
      </c>
      <c r="E83" s="38"/>
      <c r="F83" s="43" t="s">
        <v>34</v>
      </c>
      <c r="G83" s="62"/>
      <c r="H83" s="47" t="s">
        <v>22</v>
      </c>
      <c r="I83" s="23">
        <f>C83*E83*G83</f>
        <v>0</v>
      </c>
      <c r="J83" s="24"/>
    </row>
    <row r="84" spans="1:10" x14ac:dyDescent="0.2">
      <c r="A84" s="19"/>
      <c r="B84" s="43" t="s">
        <v>14</v>
      </c>
      <c r="C84" s="63"/>
      <c r="D84" s="39" t="s">
        <v>20</v>
      </c>
      <c r="E84" s="38"/>
      <c r="F84" s="43" t="s">
        <v>36</v>
      </c>
      <c r="G84" s="62"/>
      <c r="H84" s="47" t="s">
        <v>31</v>
      </c>
      <c r="I84" s="23">
        <f>C84*E84*G84</f>
        <v>0</v>
      </c>
      <c r="J84" s="24"/>
    </row>
    <row r="85" spans="1:10" x14ac:dyDescent="0.2">
      <c r="A85" s="59">
        <f>SUM(I79:I85)</f>
        <v>0</v>
      </c>
      <c r="B85" s="43" t="s">
        <v>76</v>
      </c>
      <c r="C85" s="133"/>
      <c r="D85" s="134"/>
      <c r="E85" s="135"/>
      <c r="F85" s="135"/>
      <c r="G85" s="135"/>
      <c r="H85" s="136"/>
      <c r="I85" s="37"/>
      <c r="J85" s="24"/>
    </row>
    <row r="87" spans="1:10" x14ac:dyDescent="0.2">
      <c r="A87" s="105" t="s">
        <v>40</v>
      </c>
      <c r="B87" s="107"/>
      <c r="C87" s="108"/>
      <c r="D87" s="108"/>
      <c r="E87" s="108"/>
      <c r="F87" s="108"/>
      <c r="G87" s="108"/>
      <c r="H87" s="109"/>
      <c r="I87" s="84"/>
      <c r="J87" s="84"/>
    </row>
    <row r="88" spans="1:10" x14ac:dyDescent="0.2">
      <c r="A88" s="106"/>
      <c r="B88" s="110"/>
      <c r="C88" s="111"/>
      <c r="D88" s="111"/>
      <c r="E88" s="111"/>
      <c r="F88" s="111"/>
      <c r="G88" s="111"/>
      <c r="H88" s="112"/>
      <c r="I88" s="84"/>
      <c r="J88" s="84"/>
    </row>
    <row r="91" spans="1:10" x14ac:dyDescent="0.2">
      <c r="I91" s="28">
        <f>SUM(I16:I90)</f>
        <v>0</v>
      </c>
      <c r="J91" s="28">
        <f>SUM(J16:J90)</f>
        <v>0</v>
      </c>
    </row>
  </sheetData>
  <sheetProtection password="C528" sheet="1" objects="1" scenarios="1"/>
  <mergeCells count="22">
    <mergeCell ref="C22:H22"/>
    <mergeCell ref="A7:F7"/>
    <mergeCell ref="A28:F28"/>
    <mergeCell ref="A24:A25"/>
    <mergeCell ref="A1:C1"/>
    <mergeCell ref="A3:H4"/>
    <mergeCell ref="C85:H85"/>
    <mergeCell ref="A87:A88"/>
    <mergeCell ref="A8:H13"/>
    <mergeCell ref="A29:H34"/>
    <mergeCell ref="A50:H55"/>
    <mergeCell ref="B45:H46"/>
    <mergeCell ref="B66:H67"/>
    <mergeCell ref="A71:H76"/>
    <mergeCell ref="B87:H88"/>
    <mergeCell ref="B24:H25"/>
    <mergeCell ref="C64:H64"/>
    <mergeCell ref="A66:A67"/>
    <mergeCell ref="A70:F70"/>
    <mergeCell ref="C43:H43"/>
    <mergeCell ref="A45:A46"/>
    <mergeCell ref="A49:F49"/>
  </mergeCells>
  <conditionalFormatting sqref="A8">
    <cfRule type="cellIs" dxfId="25" priority="27" stopIfTrue="1" operator="equal">
      <formula>0</formula>
    </cfRule>
  </conditionalFormatting>
  <conditionalFormatting sqref="I22">
    <cfRule type="cellIs" dxfId="24" priority="28" operator="equal">
      <formula>0</formula>
    </cfRule>
  </conditionalFormatting>
  <conditionalFormatting sqref="E19:E21 G18 D22:H22 E16:E17 C16:C22 G20:G21">
    <cfRule type="cellIs" dxfId="23" priority="31" stopIfTrue="1" operator="equal">
      <formula>0</formula>
    </cfRule>
  </conditionalFormatting>
  <conditionalFormatting sqref="I16:I22">
    <cfRule type="cellIs" dxfId="22" priority="30" stopIfTrue="1" operator="greaterThan">
      <formula>0</formula>
    </cfRule>
  </conditionalFormatting>
  <conditionalFormatting sqref="J16:J22">
    <cfRule type="cellIs" dxfId="21" priority="29" stopIfTrue="1" operator="greaterThan">
      <formula>0</formula>
    </cfRule>
  </conditionalFormatting>
  <conditionalFormatting sqref="A50">
    <cfRule type="cellIs" dxfId="20" priority="17" stopIfTrue="1" operator="equal">
      <formula>0</formula>
    </cfRule>
  </conditionalFormatting>
  <conditionalFormatting sqref="I64">
    <cfRule type="cellIs" dxfId="19" priority="18" operator="equal">
      <formula>0</formula>
    </cfRule>
  </conditionalFormatting>
  <conditionalFormatting sqref="E61:E63 G60 D64:H64 E58:E59 C58:C64 G62:G63">
    <cfRule type="cellIs" dxfId="18" priority="21" stopIfTrue="1" operator="equal">
      <formula>0</formula>
    </cfRule>
  </conditionalFormatting>
  <conditionalFormatting sqref="I58:I64">
    <cfRule type="cellIs" dxfId="17" priority="20" stopIfTrue="1" operator="greaterThan">
      <formula>0</formula>
    </cfRule>
  </conditionalFormatting>
  <conditionalFormatting sqref="J58:J64">
    <cfRule type="cellIs" dxfId="16" priority="19" stopIfTrue="1" operator="greaterThan">
      <formula>0</formula>
    </cfRule>
  </conditionalFormatting>
  <conditionalFormatting sqref="A71">
    <cfRule type="cellIs" dxfId="15" priority="12" stopIfTrue="1" operator="equal">
      <formula>0</formula>
    </cfRule>
  </conditionalFormatting>
  <conditionalFormatting sqref="I85">
    <cfRule type="cellIs" dxfId="14" priority="13" operator="equal">
      <formula>0</formula>
    </cfRule>
  </conditionalFormatting>
  <conditionalFormatting sqref="E82:E84 G81 D85:H85 E79:E80 C79:C85 G83:G84">
    <cfRule type="cellIs" dxfId="13" priority="16" stopIfTrue="1" operator="equal">
      <formula>0</formula>
    </cfRule>
  </conditionalFormatting>
  <conditionalFormatting sqref="I79:I85">
    <cfRule type="cellIs" dxfId="12" priority="15" stopIfTrue="1" operator="greaterThan">
      <formula>0</formula>
    </cfRule>
  </conditionalFormatting>
  <conditionalFormatting sqref="J79:J85">
    <cfRule type="cellIs" dxfId="11" priority="14" stopIfTrue="1" operator="greaterThan">
      <formula>0</formula>
    </cfRule>
  </conditionalFormatting>
  <conditionalFormatting sqref="I91:J91">
    <cfRule type="cellIs" dxfId="10" priority="11" stopIfTrue="1" operator="greaterThan">
      <formula>0</formula>
    </cfRule>
  </conditionalFormatting>
  <conditionalFormatting sqref="J91">
    <cfRule type="cellIs" dxfId="9" priority="10" stopIfTrue="1" operator="greaterThan">
      <formula>0</formula>
    </cfRule>
  </conditionalFormatting>
  <conditionalFormatting sqref="A29">
    <cfRule type="cellIs" dxfId="8" priority="9" stopIfTrue="1" operator="equal">
      <formula>0</formula>
    </cfRule>
  </conditionalFormatting>
  <conditionalFormatting sqref="I43">
    <cfRule type="cellIs" dxfId="7" priority="5" operator="equal">
      <formula>0</formula>
    </cfRule>
  </conditionalFormatting>
  <conditionalFormatting sqref="E40:E42 G39 D43:H43 E37:E38 C37:C43 G41:G42">
    <cfRule type="cellIs" dxfId="6" priority="8" stopIfTrue="1" operator="equal">
      <formula>0</formula>
    </cfRule>
  </conditionalFormatting>
  <conditionalFormatting sqref="I37:I43">
    <cfRule type="cellIs" dxfId="5" priority="7" stopIfTrue="1" operator="greaterThan">
      <formula>0</formula>
    </cfRule>
  </conditionalFormatting>
  <conditionalFormatting sqref="J37:J43">
    <cfRule type="cellIs" dxfId="4" priority="6" stopIfTrue="1" operator="greaterThan">
      <formula>0</formula>
    </cfRule>
  </conditionalFormatting>
  <conditionalFormatting sqref="B87">
    <cfRule type="cellIs" dxfId="3" priority="1" stopIfTrue="1" operator="greaterThan">
      <formula>0</formula>
    </cfRule>
  </conditionalFormatting>
  <conditionalFormatting sqref="B24">
    <cfRule type="cellIs" dxfId="2" priority="4" stopIfTrue="1" operator="greaterThan">
      <formula>0</formula>
    </cfRule>
  </conditionalFormatting>
  <conditionalFormatting sqref="B45">
    <cfRule type="cellIs" dxfId="1" priority="3" stopIfTrue="1" operator="greaterThan">
      <formula>0</formula>
    </cfRule>
  </conditionalFormatting>
  <conditionalFormatting sqref="B66">
    <cfRule type="cellIs" dxfId="0" priority="2" stopIfTrue="1" operator="greaterThan">
      <formula>0</formula>
    </cfRule>
  </conditionalFormatting>
  <pageMargins left="0.75" right="0.75" top="1" bottom="1" header="0.5" footer="0.5"/>
  <pageSetup orientation="landscape" r:id="rId1"/>
  <headerFooter alignWithMargins="0"/>
  <ignoredErrors>
    <ignoredError sqref="I18:I19 I60:I61 I81:I82 I39:I4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vt:lpstr>
      <vt:lpstr>General costs</vt:lpstr>
      <vt:lpstr>Travel</vt:lpstr>
    </vt:vector>
  </TitlesOfParts>
  <Company>NHMCCD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jmaurer</dc:creator>
  <cp:lastModifiedBy>Joseph Maurer</cp:lastModifiedBy>
  <cp:lastPrinted>2011-03-01T15:58:15Z</cp:lastPrinted>
  <dcterms:created xsi:type="dcterms:W3CDTF">2005-10-18T15:30:53Z</dcterms:created>
  <dcterms:modified xsi:type="dcterms:W3CDTF">2013-01-16T00:34:25Z</dcterms:modified>
</cp:coreProperties>
</file>