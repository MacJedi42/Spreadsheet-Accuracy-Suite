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5480" windowHeight="9405" firstSheet="3" activeTab="7"/>
  </bookViews>
  <sheets>
    <sheet name="Summary" sheetId="4" r:id="rId1"/>
    <sheet name="Calculations" sheetId="5" r:id="rId2"/>
    <sheet name="Cost Factor" sheetId="1" r:id="rId3"/>
    <sheet name="Data" sheetId="3" r:id="rId4"/>
    <sheet name="Notes" sheetId="6" r:id="rId5"/>
    <sheet name="Revenue" sheetId="7" r:id="rId6"/>
    <sheet name="position by div" sheetId="11" r:id="rId7"/>
    <sheet name="position report" sheetId="8" r:id="rId8"/>
    <sheet name="FY11 expense" sheetId="19" r:id="rId9"/>
    <sheet name="Sheet1" sheetId="35" r:id="rId10"/>
    <sheet name="FY11 expense (2)" sheetId="20" r:id="rId11"/>
    <sheet name="fy12 budget" sheetId="12" r:id="rId12"/>
    <sheet name="fy12 budget (2)" sheetId="18" r:id="rId13"/>
    <sheet name="exp&amp;bud data" sheetId="10" r:id="rId14"/>
    <sheet name="University Cost" sheetId="28" r:id="rId15"/>
  </sheets>
  <definedNames>
    <definedName name="_xlnm._FilterDatabase" localSheetId="13" hidden="1">'exp&amp;bud data'!$A$1:$S$2331</definedName>
    <definedName name="_xlnm._FilterDatabase" localSheetId="7" hidden="1">'position report'!$A$1:$V$645</definedName>
  </definedNames>
  <calcPr calcId="145621"/>
  <pivotCaches>
    <pivotCache cacheId="0" r:id="rId16"/>
    <pivotCache cacheId="1" r:id="rId17"/>
  </pivotCaches>
</workbook>
</file>

<file path=xl/calcChain.xml><?xml version="1.0" encoding="utf-8"?>
<calcChain xmlns="http://schemas.openxmlformats.org/spreadsheetml/2006/main">
  <c r="I24" i="7" l="1"/>
  <c r="I25" i="7"/>
  <c r="D123" i="10" l="1"/>
  <c r="F26" i="3" l="1"/>
  <c r="F20" i="3"/>
  <c r="F12" i="3"/>
  <c r="E12" i="3"/>
  <c r="F13" i="3"/>
  <c r="E13" i="3"/>
  <c r="E9" i="3"/>
  <c r="F8" i="3"/>
  <c r="E8" i="3"/>
  <c r="E27" i="3"/>
  <c r="E19" i="3"/>
  <c r="E26" i="3"/>
  <c r="E15" i="3"/>
  <c r="E23" i="3"/>
  <c r="E18" i="3"/>
  <c r="E14" i="3"/>
  <c r="E22" i="3"/>
  <c r="E11" i="3"/>
  <c r="E20" i="3"/>
  <c r="E10" i="3"/>
  <c r="E21" i="3"/>
  <c r="E17" i="3"/>
  <c r="E7" i="3"/>
  <c r="E6" i="3"/>
  <c r="F23" i="3"/>
  <c r="F18" i="3"/>
  <c r="F22" i="3"/>
  <c r="F11" i="3"/>
  <c r="F10" i="3"/>
  <c r="F21" i="3"/>
  <c r="F6" i="3"/>
  <c r="F29" i="3" s="1"/>
  <c r="F16" i="3"/>
  <c r="E16" i="3"/>
  <c r="M29" i="3" l="1"/>
  <c r="H29" i="3"/>
  <c r="J25" i="7"/>
  <c r="J24" i="7"/>
  <c r="G72" i="28"/>
  <c r="G4" i="28"/>
  <c r="D65" i="28" l="1"/>
  <c r="D64" i="28"/>
  <c r="D60" i="28"/>
  <c r="G65" i="28" l="1"/>
  <c r="K57" i="7"/>
  <c r="K56" i="7"/>
  <c r="K55" i="7"/>
  <c r="K54" i="7"/>
  <c r="K53" i="7"/>
  <c r="K52" i="7"/>
  <c r="K51" i="7"/>
  <c r="K50" i="7"/>
  <c r="K61" i="7"/>
  <c r="K60" i="7"/>
  <c r="K59" i="7"/>
  <c r="K58" i="7"/>
  <c r="K21" i="7"/>
  <c r="K20" i="7"/>
  <c r="K19" i="7"/>
  <c r="K18" i="7"/>
  <c r="K17" i="7"/>
  <c r="K15" i="7"/>
  <c r="K14" i="7"/>
  <c r="K11" i="7"/>
  <c r="K10" i="7"/>
  <c r="K8" i="7"/>
  <c r="K5" i="7"/>
  <c r="K4" i="7"/>
  <c r="P190" i="10" l="1"/>
  <c r="P192" i="10"/>
  <c r="R181" i="10"/>
  <c r="M179" i="10"/>
  <c r="M181" i="10"/>
  <c r="D325" i="10"/>
  <c r="D324" i="10"/>
  <c r="L192" i="10"/>
  <c r="D193" i="10"/>
  <c r="D192" i="10"/>
  <c r="L179" i="10"/>
  <c r="L181" i="10"/>
  <c r="L191" i="10"/>
  <c r="L193" i="10"/>
  <c r="L180" i="10"/>
  <c r="L182" i="10"/>
  <c r="D182" i="10"/>
  <c r="D181" i="10"/>
  <c r="H94" i="7"/>
  <c r="J94" i="7"/>
  <c r="H87" i="7"/>
  <c r="H86" i="7"/>
  <c r="H85" i="7"/>
  <c r="H84" i="7"/>
  <c r="H83" i="7"/>
  <c r="H82" i="7"/>
  <c r="H81" i="7"/>
  <c r="H80" i="7"/>
  <c r="J87" i="7"/>
  <c r="J86" i="7"/>
  <c r="J85" i="7"/>
  <c r="J84" i="7"/>
  <c r="J83" i="7"/>
  <c r="J82" i="7"/>
  <c r="J81" i="7"/>
  <c r="J80" i="7"/>
  <c r="J88" i="7" s="1"/>
  <c r="I87" i="7"/>
  <c r="I86" i="7"/>
  <c r="I85" i="7"/>
  <c r="I84" i="7"/>
  <c r="I83" i="7"/>
  <c r="I82" i="7"/>
  <c r="I81" i="7"/>
  <c r="I80" i="7"/>
  <c r="I88" i="7" s="1"/>
  <c r="I94" i="7"/>
  <c r="P727" i="10"/>
  <c r="K48" i="7"/>
  <c r="K47" i="7"/>
  <c r="K46" i="7"/>
  <c r="K45" i="7"/>
  <c r="K44" i="7"/>
  <c r="K43" i="7"/>
  <c r="K42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3" i="7"/>
  <c r="K22" i="7"/>
  <c r="H25" i="7"/>
  <c r="H24" i="7"/>
  <c r="B34" i="4"/>
  <c r="G34" i="4"/>
  <c r="H88" i="7" l="1"/>
  <c r="M727" i="10"/>
  <c r="K25" i="7"/>
  <c r="K24" i="7"/>
  <c r="D21" i="28" l="1"/>
  <c r="O12" i="5" l="1"/>
  <c r="D66" i="28" l="1"/>
  <c r="G71" i="28" s="1"/>
  <c r="D39" i="28"/>
  <c r="D34" i="28"/>
  <c r="D30" i="28"/>
  <c r="D29" i="28"/>
  <c r="D25" i="28"/>
  <c r="D22" i="28"/>
  <c r="D18" i="28"/>
  <c r="D14" i="28"/>
  <c r="N9" i="5"/>
  <c r="D10" i="4"/>
  <c r="D73" i="28" l="1"/>
  <c r="F38" i="4" s="1"/>
  <c r="G49" i="28"/>
  <c r="C7" i="4"/>
  <c r="R37" i="10"/>
  <c r="R32" i="10"/>
  <c r="R30" i="10"/>
  <c r="O37" i="10"/>
  <c r="O32" i="10"/>
  <c r="O30" i="10"/>
  <c r="F34" i="4"/>
  <c r="H34" i="4" s="1"/>
  <c r="G11" i="4"/>
  <c r="G10" i="4"/>
  <c r="B6" i="4"/>
  <c r="B8" i="4"/>
  <c r="G9" i="4"/>
  <c r="G8" i="4"/>
  <c r="G6" i="4"/>
  <c r="B11" i="4"/>
  <c r="R727" i="10" l="1"/>
  <c r="L71" i="10"/>
  <c r="B21" i="4"/>
  <c r="G28" i="4"/>
  <c r="B32" i="4"/>
  <c r="G18" i="4"/>
  <c r="B28" i="4"/>
  <c r="B17" i="4"/>
  <c r="G23" i="4"/>
  <c r="B27" i="4"/>
  <c r="G17" i="4"/>
  <c r="B29" i="4"/>
  <c r="G16" i="4"/>
  <c r="B18" i="4"/>
  <c r="G27" i="4"/>
  <c r="G13" i="4"/>
  <c r="B25" i="4"/>
  <c r="G12" i="4"/>
  <c r="B14" i="4"/>
  <c r="G22" i="4"/>
  <c r="G19" i="4"/>
  <c r="B9" i="4"/>
  <c r="B16" i="4"/>
  <c r="G24" i="4"/>
  <c r="B26" i="4"/>
  <c r="B15" i="4"/>
  <c r="G21" i="4"/>
  <c r="B12" i="4"/>
  <c r="G20" i="4"/>
  <c r="B22" i="4"/>
  <c r="G32" i="4"/>
  <c r="B24" i="4"/>
  <c r="B13" i="4"/>
  <c r="G15" i="4"/>
  <c r="B23" i="4"/>
  <c r="G31" i="4"/>
  <c r="B20" i="4"/>
  <c r="G29" i="4"/>
  <c r="B31" i="4"/>
  <c r="B19" i="4"/>
  <c r="B7" i="4" s="1"/>
  <c r="G26" i="4"/>
  <c r="G14" i="4"/>
  <c r="B10" i="4"/>
  <c r="L2332" i="10" l="1"/>
  <c r="L727" i="10"/>
  <c r="D726" i="10"/>
  <c r="D694" i="10"/>
  <c r="D693" i="10"/>
  <c r="D178" i="10"/>
  <c r="D177" i="10"/>
  <c r="D441" i="10"/>
  <c r="D439" i="10"/>
  <c r="D373" i="10"/>
  <c r="D365" i="10"/>
  <c r="D440" i="10"/>
  <c r="D438" i="10"/>
  <c r="D372" i="10"/>
  <c r="D723" i="10"/>
  <c r="D458" i="10"/>
  <c r="D386" i="10"/>
  <c r="D457" i="10"/>
  <c r="D385" i="10"/>
  <c r="D311" i="10"/>
  <c r="D219" i="10"/>
  <c r="D201" i="10"/>
  <c r="D22" i="10"/>
  <c r="D690" i="10"/>
  <c r="D550" i="10"/>
  <c r="D456" i="10"/>
  <c r="D689" i="10"/>
  <c r="D455" i="10"/>
  <c r="D314" i="10"/>
  <c r="D223" i="10"/>
  <c r="D205" i="10"/>
  <c r="D204" i="10"/>
  <c r="D27" i="10"/>
  <c r="D26" i="10"/>
  <c r="D464" i="10"/>
  <c r="D463" i="10"/>
  <c r="D228" i="10"/>
  <c r="D29" i="10"/>
  <c r="D28" i="10"/>
  <c r="D725" i="10"/>
  <c r="D724" i="10"/>
  <c r="D483" i="10"/>
  <c r="D475" i="10"/>
  <c r="D473" i="10"/>
  <c r="D462" i="10"/>
  <c r="D460" i="10"/>
  <c r="D482" i="10"/>
  <c r="D478" i="10"/>
  <c r="D474" i="10"/>
  <c r="D472" i="10"/>
  <c r="D461" i="10"/>
  <c r="D459" i="10"/>
  <c r="D283" i="10"/>
  <c r="D312" i="10"/>
  <c r="D282" i="10"/>
  <c r="D220" i="10"/>
  <c r="D218" i="10"/>
  <c r="D209" i="10"/>
  <c r="D202" i="10"/>
  <c r="D200" i="10"/>
  <c r="D21" i="10"/>
  <c r="D20" i="10"/>
  <c r="D453" i="10"/>
  <c r="D452" i="10"/>
  <c r="D199" i="10"/>
  <c r="D487" i="10"/>
  <c r="D471" i="10"/>
  <c r="D486" i="10"/>
  <c r="D470" i="10"/>
  <c r="D572" i="10"/>
  <c r="D480" i="10"/>
  <c r="D467" i="10"/>
  <c r="D571" i="10"/>
  <c r="D496" i="10"/>
  <c r="D481" i="10"/>
  <c r="D479" i="10"/>
  <c r="D466" i="10"/>
  <c r="D465" i="10"/>
  <c r="D275" i="10"/>
  <c r="D371" i="10"/>
  <c r="D369" i="10"/>
  <c r="D370" i="10"/>
  <c r="D368" i="10"/>
  <c r="D381" i="10"/>
  <c r="D380" i="10"/>
  <c r="D274" i="10"/>
  <c r="D273" i="10"/>
  <c r="D363" i="10"/>
  <c r="D362" i="10"/>
  <c r="D384" i="10"/>
  <c r="D379" i="10"/>
  <c r="D378" i="10"/>
  <c r="D577" i="10"/>
  <c r="D367" i="10"/>
  <c r="D576" i="10"/>
  <c r="D366" i="10"/>
  <c r="D211" i="10"/>
  <c r="D485" i="10"/>
  <c r="D421" i="10"/>
  <c r="D484" i="10"/>
  <c r="D420" i="10"/>
  <c r="D433" i="10"/>
  <c r="D432" i="10"/>
  <c r="D217" i="10"/>
  <c r="D19" i="10"/>
  <c r="D417" i="10"/>
  <c r="D416" i="10"/>
  <c r="D215" i="10"/>
  <c r="D15" i="10"/>
  <c r="D14" i="10"/>
  <c r="D413" i="10"/>
  <c r="D412" i="10"/>
  <c r="D415" i="10"/>
  <c r="D414" i="10"/>
  <c r="D214" i="10"/>
  <c r="D13" i="10"/>
  <c r="D12" i="10"/>
  <c r="D498" i="10"/>
  <c r="D429" i="10"/>
  <c r="D427" i="10"/>
  <c r="D425" i="10"/>
  <c r="D423" i="10"/>
  <c r="D497" i="10"/>
  <c r="D428" i="10"/>
  <c r="D426" i="10"/>
  <c r="D424" i="10"/>
  <c r="D422" i="10"/>
  <c r="D216" i="10"/>
  <c r="D51" i="10"/>
  <c r="D49" i="10"/>
  <c r="D50" i="10"/>
  <c r="D48" i="10"/>
  <c r="D16" i="10"/>
  <c r="D722" i="10"/>
  <c r="D419" i="10"/>
  <c r="D407" i="10"/>
  <c r="D404" i="10"/>
  <c r="D402" i="10"/>
  <c r="D396" i="10"/>
  <c r="D454" i="10"/>
  <c r="D418" i="10"/>
  <c r="D406" i="10"/>
  <c r="D403" i="10"/>
  <c r="D401" i="10"/>
  <c r="D395" i="10"/>
  <c r="D213" i="10"/>
  <c r="D198" i="10"/>
  <c r="D11" i="10"/>
  <c r="D10" i="10"/>
  <c r="D449" i="10"/>
  <c r="D448" i="10"/>
  <c r="D435" i="10"/>
  <c r="D434" i="10"/>
  <c r="D437" i="10"/>
  <c r="D436" i="10"/>
  <c r="D431" i="10"/>
  <c r="D430" i="10"/>
  <c r="D400" i="10"/>
  <c r="D399" i="10"/>
  <c r="D500" i="10"/>
  <c r="D411" i="10"/>
  <c r="D409" i="10"/>
  <c r="D499" i="10"/>
  <c r="D410" i="10"/>
  <c r="D408" i="10"/>
  <c r="D721" i="10"/>
  <c r="D720" i="10"/>
  <c r="D719" i="10"/>
  <c r="D718" i="10"/>
  <c r="D717" i="10"/>
  <c r="D716" i="10"/>
  <c r="D342" i="10"/>
  <c r="D340" i="10"/>
  <c r="D338" i="10"/>
  <c r="D336" i="10"/>
  <c r="D334" i="10"/>
  <c r="D332" i="10"/>
  <c r="D331" i="10"/>
  <c r="D329" i="10"/>
  <c r="D327" i="10"/>
  <c r="D341" i="10"/>
  <c r="D339" i="10"/>
  <c r="D337" i="10"/>
  <c r="D335" i="10"/>
  <c r="D333" i="10"/>
  <c r="D330" i="10"/>
  <c r="D328" i="10"/>
  <c r="D326" i="10"/>
  <c r="D235" i="10"/>
  <c r="D234" i="10"/>
  <c r="D233" i="10"/>
  <c r="D232" i="10"/>
  <c r="D231" i="10"/>
  <c r="D230" i="10"/>
  <c r="D229" i="10"/>
  <c r="D47" i="10"/>
  <c r="D45" i="10"/>
  <c r="D43" i="10"/>
  <c r="D40" i="10"/>
  <c r="D38" i="10"/>
  <c r="D36" i="10"/>
  <c r="D35" i="10"/>
  <c r="D33" i="10"/>
  <c r="D31" i="10"/>
  <c r="D46" i="10"/>
  <c r="D44" i="10"/>
  <c r="D42" i="10"/>
  <c r="D41" i="10"/>
  <c r="D39" i="10"/>
  <c r="D37" i="10"/>
  <c r="D34" i="10"/>
  <c r="D32" i="10"/>
  <c r="D30" i="10"/>
  <c r="D398" i="10"/>
  <c r="D397" i="10"/>
  <c r="D212" i="10"/>
  <c r="D9" i="10"/>
  <c r="D8" i="10"/>
  <c r="D708" i="10"/>
  <c r="D706" i="10"/>
  <c r="D353" i="10"/>
  <c r="D351" i="10"/>
  <c r="D707" i="10"/>
  <c r="D705" i="10"/>
  <c r="D352" i="10"/>
  <c r="D350" i="10"/>
  <c r="D447" i="10"/>
  <c r="D445" i="10"/>
  <c r="D446" i="10"/>
  <c r="D444" i="10"/>
  <c r="D714" i="10"/>
  <c r="D712" i="10"/>
  <c r="D710" i="10"/>
  <c r="D696" i="10"/>
  <c r="D394" i="10"/>
  <c r="D349" i="10"/>
  <c r="D713" i="10"/>
  <c r="D711" i="10"/>
  <c r="D709" i="10"/>
  <c r="D695" i="10"/>
  <c r="D405" i="10"/>
  <c r="D393" i="10"/>
  <c r="D364" i="10"/>
  <c r="D348" i="10"/>
  <c r="D310" i="10"/>
  <c r="D18" i="10"/>
  <c r="D17" i="10"/>
  <c r="D583" i="10"/>
  <c r="D390" i="10"/>
  <c r="D584" i="10"/>
  <c r="D389" i="10"/>
  <c r="D306" i="10"/>
  <c r="D305" i="10"/>
  <c r="D304" i="10"/>
  <c r="D303" i="10"/>
  <c r="D299" i="10"/>
  <c r="D284" i="10"/>
  <c r="D302" i="10"/>
  <c r="D301" i="10"/>
  <c r="D300" i="10"/>
  <c r="D298" i="10"/>
  <c r="D297" i="10"/>
  <c r="D296" i="10"/>
  <c r="D295" i="10"/>
  <c r="D294" i="10"/>
  <c r="D293" i="10"/>
  <c r="D292" i="10"/>
  <c r="D291" i="10"/>
  <c r="D290" i="10"/>
  <c r="D289" i="10"/>
  <c r="D288" i="10"/>
  <c r="D287" i="10"/>
  <c r="D286" i="10"/>
  <c r="D285" i="10"/>
  <c r="D278" i="10"/>
  <c r="D692" i="10"/>
  <c r="D645" i="10"/>
  <c r="D634" i="10"/>
  <c r="D632" i="10"/>
  <c r="D609" i="10"/>
  <c r="D604" i="10"/>
  <c r="D596" i="10"/>
  <c r="D592" i="10"/>
  <c r="D591" i="10"/>
  <c r="D590" i="10"/>
  <c r="D477" i="10"/>
  <c r="D691" i="10"/>
  <c r="D644" i="10"/>
  <c r="D633" i="10"/>
  <c r="D631" i="10"/>
  <c r="D612" i="10"/>
  <c r="D610" i="10"/>
  <c r="D608" i="10"/>
  <c r="D607" i="10"/>
  <c r="D606" i="10"/>
  <c r="D605" i="10"/>
  <c r="D603" i="10"/>
  <c r="D602" i="10"/>
  <c r="D601" i="10"/>
  <c r="D600" i="10"/>
  <c r="D599" i="10"/>
  <c r="D598" i="10"/>
  <c r="D597" i="10"/>
  <c r="D595" i="10"/>
  <c r="D594" i="10"/>
  <c r="D593" i="10"/>
  <c r="D589" i="10"/>
  <c r="D588" i="10"/>
  <c r="D587" i="10"/>
  <c r="D586" i="10"/>
  <c r="D585" i="10"/>
  <c r="D476" i="10"/>
  <c r="D222" i="10"/>
  <c r="D323" i="10"/>
  <c r="D281" i="10"/>
  <c r="D221" i="10"/>
  <c r="D208" i="10"/>
  <c r="D137" i="10"/>
  <c r="D125" i="10"/>
  <c r="D136" i="10"/>
  <c r="D124" i="10"/>
  <c r="D23" i="10"/>
  <c r="D556" i="10"/>
  <c r="D548" i="10"/>
  <c r="D555" i="10"/>
  <c r="D272" i="10"/>
  <c r="D118" i="10"/>
  <c r="D117" i="10"/>
  <c r="D543" i="10"/>
  <c r="D267" i="10"/>
  <c r="D108" i="10"/>
  <c r="D107" i="10"/>
  <c r="D547" i="10"/>
  <c r="D546" i="10"/>
  <c r="D271" i="10"/>
  <c r="D270" i="10"/>
  <c r="D116" i="10"/>
  <c r="D114" i="10"/>
  <c r="D115" i="10"/>
  <c r="D113" i="10"/>
  <c r="D545" i="10"/>
  <c r="D544" i="10"/>
  <c r="D269" i="10"/>
  <c r="D268" i="10"/>
  <c r="D112" i="10"/>
  <c r="D111" i="10"/>
  <c r="D110" i="10"/>
  <c r="D105" i="10"/>
  <c r="D109" i="10"/>
  <c r="D104" i="10"/>
  <c r="D630" i="10"/>
  <c r="D629" i="10"/>
  <c r="D628" i="10"/>
  <c r="D280" i="10"/>
  <c r="D135" i="10"/>
  <c r="D542" i="10"/>
  <c r="D541" i="10"/>
  <c r="D321" i="10"/>
  <c r="D266" i="10"/>
  <c r="D265" i="10"/>
  <c r="D106" i="10"/>
  <c r="D540" i="10"/>
  <c r="D264" i="10"/>
  <c r="D103" i="10"/>
  <c r="D539" i="10"/>
  <c r="D263" i="10"/>
  <c r="D102" i="10"/>
  <c r="D538" i="10"/>
  <c r="D537" i="10"/>
  <c r="D262" i="10"/>
  <c r="D101" i="10"/>
  <c r="D536" i="10"/>
  <c r="D535" i="10"/>
  <c r="D320" i="10"/>
  <c r="D261" i="10"/>
  <c r="D100" i="10"/>
  <c r="D534" i="10"/>
  <c r="D533" i="10"/>
  <c r="D99" i="10"/>
  <c r="D98" i="10"/>
  <c r="D627" i="10"/>
  <c r="D626" i="10"/>
  <c r="D625" i="10"/>
  <c r="D207" i="10"/>
  <c r="D134" i="10"/>
  <c r="D133" i="10"/>
  <c r="D529" i="10"/>
  <c r="D528" i="10"/>
  <c r="D257" i="10"/>
  <c r="D319" i="10"/>
  <c r="D256" i="10"/>
  <c r="D91" i="10"/>
  <c r="D89" i="10"/>
  <c r="D90" i="10"/>
  <c r="D88" i="10"/>
  <c r="D532" i="10"/>
  <c r="D260" i="10"/>
  <c r="D97" i="10"/>
  <c r="D96" i="10"/>
  <c r="D531" i="10"/>
  <c r="D530" i="10"/>
  <c r="D259" i="10"/>
  <c r="D258" i="10"/>
  <c r="D95" i="10"/>
  <c r="D93" i="10"/>
  <c r="D94" i="10"/>
  <c r="D92" i="10"/>
  <c r="D624" i="10"/>
  <c r="D622" i="10"/>
  <c r="D581" i="10"/>
  <c r="D623" i="10"/>
  <c r="D621" i="10"/>
  <c r="D580" i="10"/>
  <c r="D206" i="10"/>
  <c r="D132" i="10"/>
  <c r="D131" i="10"/>
  <c r="D308" i="10"/>
  <c r="D307" i="10"/>
  <c r="D527" i="10"/>
  <c r="D255" i="10"/>
  <c r="D87" i="10"/>
  <c r="D526" i="10"/>
  <c r="D525" i="10"/>
  <c r="D254" i="10"/>
  <c r="D318" i="10"/>
  <c r="D253" i="10"/>
  <c r="D86" i="10"/>
  <c r="D84" i="10"/>
  <c r="D85" i="10"/>
  <c r="D83" i="10"/>
  <c r="D558" i="10"/>
  <c r="D554" i="10"/>
  <c r="D524" i="10"/>
  <c r="D557" i="10"/>
  <c r="D553" i="10"/>
  <c r="D523" i="10"/>
  <c r="D82" i="10"/>
  <c r="D81" i="10"/>
  <c r="D522" i="10"/>
  <c r="D521" i="10"/>
  <c r="D252" i="10"/>
  <c r="D251" i="10"/>
  <c r="D80" i="10"/>
  <c r="D78" i="10"/>
  <c r="D79" i="10"/>
  <c r="D77" i="10"/>
  <c r="D620" i="10"/>
  <c r="D618" i="10"/>
  <c r="D579" i="10"/>
  <c r="D619" i="10"/>
  <c r="D617" i="10"/>
  <c r="D578" i="10"/>
  <c r="D322" i="10"/>
  <c r="D130" i="10"/>
  <c r="D129" i="10"/>
  <c r="D570" i="10"/>
  <c r="D518" i="10"/>
  <c r="D569" i="10"/>
  <c r="D276" i="10"/>
  <c r="D249" i="10"/>
  <c r="D74" i="10"/>
  <c r="D520" i="10"/>
  <c r="D519" i="10"/>
  <c r="D317" i="10"/>
  <c r="D250" i="10"/>
  <c r="D76" i="10"/>
  <c r="D75" i="10"/>
  <c r="D564" i="10"/>
  <c r="D515" i="10"/>
  <c r="D563" i="10"/>
  <c r="D514" i="10"/>
  <c r="D247" i="10"/>
  <c r="D227" i="10"/>
  <c r="D72" i="10"/>
  <c r="D121" i="10"/>
  <c r="D517" i="10"/>
  <c r="D516" i="10"/>
  <c r="D248" i="10"/>
  <c r="D73" i="10"/>
  <c r="D513" i="10"/>
  <c r="D512" i="10"/>
  <c r="D246" i="10"/>
  <c r="D245" i="10"/>
  <c r="D71" i="10"/>
  <c r="D70" i="10"/>
  <c r="D511" i="10"/>
  <c r="D510" i="10"/>
  <c r="D244" i="10"/>
  <c r="D316" i="10"/>
  <c r="D243" i="10"/>
  <c r="D68" i="10"/>
  <c r="D69" i="10"/>
  <c r="D67" i="10"/>
  <c r="D566" i="10"/>
  <c r="D562" i="10"/>
  <c r="D509" i="10"/>
  <c r="D565" i="10"/>
  <c r="D561" i="10"/>
  <c r="D508" i="10"/>
  <c r="D242" i="10"/>
  <c r="D241" i="10"/>
  <c r="D226" i="10"/>
  <c r="D120" i="10"/>
  <c r="D66" i="10"/>
  <c r="D64" i="10"/>
  <c r="D119" i="10"/>
  <c r="D65" i="10"/>
  <c r="D63" i="10"/>
  <c r="D552" i="10"/>
  <c r="D507" i="10"/>
  <c r="D392" i="10"/>
  <c r="D551" i="10"/>
  <c r="D506" i="10"/>
  <c r="D391" i="10"/>
  <c r="D240" i="10"/>
  <c r="D315" i="10"/>
  <c r="D277" i="10"/>
  <c r="D239" i="10"/>
  <c r="D62" i="10"/>
  <c r="D60" i="10"/>
  <c r="D61" i="10"/>
  <c r="D59" i="10"/>
  <c r="D505" i="10"/>
  <c r="D58" i="10"/>
  <c r="D504" i="10"/>
  <c r="D238" i="10"/>
  <c r="D57" i="10"/>
  <c r="D56" i="10"/>
  <c r="D503" i="10"/>
  <c r="D502" i="10"/>
  <c r="D237" i="10"/>
  <c r="D236" i="10"/>
  <c r="D55" i="10"/>
  <c r="D54" i="10"/>
  <c r="D568" i="10"/>
  <c r="D501" i="10"/>
  <c r="D567" i="10"/>
  <c r="D53" i="10"/>
  <c r="D52" i="10"/>
  <c r="D616" i="10"/>
  <c r="D614" i="10"/>
  <c r="D615" i="10"/>
  <c r="D613" i="10"/>
  <c r="D582" i="10"/>
  <c r="D279" i="10"/>
  <c r="D128" i="10"/>
  <c r="D127" i="10"/>
  <c r="D469" i="10"/>
  <c r="D468" i="10"/>
  <c r="D203" i="10"/>
  <c r="D25" i="10"/>
  <c r="D24" i="10"/>
  <c r="D313" i="10"/>
  <c r="D489" i="10"/>
  <c r="D488" i="10"/>
  <c r="D451" i="10"/>
  <c r="D450" i="10"/>
  <c r="D560" i="10"/>
  <c r="D559" i="10"/>
  <c r="D388" i="10"/>
  <c r="D387" i="10"/>
  <c r="D197" i="10"/>
  <c r="D715" i="10"/>
  <c r="D611" i="10"/>
  <c r="D549" i="10"/>
  <c r="D361" i="10"/>
  <c r="D357" i="10"/>
  <c r="D360" i="10"/>
  <c r="D356" i="10"/>
  <c r="D5" i="10"/>
  <c r="D701" i="10"/>
  <c r="D574" i="10"/>
  <c r="D700" i="10"/>
  <c r="D573" i="10"/>
  <c r="D122" i="10"/>
  <c r="D643" i="10"/>
  <c r="D642" i="10"/>
  <c r="D142" i="10"/>
  <c r="D143" i="10"/>
  <c r="D141" i="10"/>
  <c r="D699" i="10"/>
  <c r="D495" i="10"/>
  <c r="D698" i="10"/>
  <c r="D494" i="10"/>
  <c r="D641" i="10"/>
  <c r="D637" i="10"/>
  <c r="D635" i="10"/>
  <c r="D575" i="10"/>
  <c r="D359" i="10"/>
  <c r="D355" i="10"/>
  <c r="D702" i="10"/>
  <c r="D640" i="10"/>
  <c r="D636" i="10"/>
  <c r="D358" i="10"/>
  <c r="D354" i="10"/>
  <c r="D195" i="10"/>
  <c r="D126" i="10"/>
  <c r="D138" i="10"/>
  <c r="D4" i="10"/>
  <c r="D697" i="10"/>
  <c r="D493" i="10"/>
  <c r="D491" i="10"/>
  <c r="D492" i="10"/>
  <c r="D490" i="10"/>
  <c r="D225" i="10"/>
  <c r="D224" i="10"/>
  <c r="D346" i="10"/>
  <c r="D345" i="10"/>
  <c r="D377" i="10"/>
  <c r="D375" i="10"/>
  <c r="D376" i="10"/>
  <c r="D374" i="10"/>
  <c r="D210" i="10"/>
  <c r="D196" i="10"/>
  <c r="D7" i="10"/>
  <c r="D6" i="10"/>
  <c r="D688" i="10"/>
  <c r="D639" i="10"/>
  <c r="D443" i="10"/>
  <c r="D383" i="10"/>
  <c r="D347" i="10"/>
  <c r="D344" i="10"/>
  <c r="D687" i="10"/>
  <c r="D638" i="10"/>
  <c r="D442" i="10"/>
  <c r="D382" i="10"/>
  <c r="D343" i="10"/>
  <c r="D194" i="10"/>
  <c r="D3" i="10"/>
  <c r="D2" i="10"/>
  <c r="G7" i="4"/>
  <c r="G36" i="4" l="1"/>
  <c r="B36" i="4"/>
  <c r="E645" i="8"/>
  <c r="E644" i="8"/>
  <c r="E643" i="8"/>
  <c r="E642" i="8"/>
  <c r="E641" i="8"/>
  <c r="E640" i="8"/>
  <c r="E639" i="8"/>
  <c r="E638" i="8"/>
  <c r="E637" i="8"/>
  <c r="E636" i="8"/>
  <c r="E635" i="8"/>
  <c r="E634" i="8"/>
  <c r="E633" i="8"/>
  <c r="E632" i="8"/>
  <c r="E631" i="8"/>
  <c r="E630" i="8"/>
  <c r="E629" i="8"/>
  <c r="E628" i="8"/>
  <c r="E627" i="8"/>
  <c r="E626" i="8"/>
  <c r="E625" i="8"/>
  <c r="E624" i="8"/>
  <c r="E623" i="8"/>
  <c r="E622" i="8"/>
  <c r="E621" i="8"/>
  <c r="E620" i="8"/>
  <c r="E619" i="8"/>
  <c r="E618" i="8"/>
  <c r="E617" i="8"/>
  <c r="E616" i="8"/>
  <c r="E615" i="8"/>
  <c r="E614" i="8"/>
  <c r="E613" i="8"/>
  <c r="E612" i="8"/>
  <c r="E611" i="8"/>
  <c r="E610" i="8"/>
  <c r="E609" i="8"/>
  <c r="E608" i="8"/>
  <c r="E607" i="8"/>
  <c r="E606" i="8"/>
  <c r="E605" i="8"/>
  <c r="E604" i="8"/>
  <c r="E603" i="8"/>
  <c r="E602" i="8"/>
  <c r="E601" i="8"/>
  <c r="E600" i="8"/>
  <c r="E599" i="8"/>
  <c r="E598" i="8"/>
  <c r="E597" i="8"/>
  <c r="E596" i="8"/>
  <c r="E595" i="8"/>
  <c r="E594" i="8"/>
  <c r="E593" i="8"/>
  <c r="E592" i="8"/>
  <c r="E591" i="8"/>
  <c r="E590" i="8"/>
  <c r="E589" i="8"/>
  <c r="E588" i="8"/>
  <c r="E587" i="8"/>
  <c r="E586" i="8"/>
  <c r="E585" i="8"/>
  <c r="E584" i="8"/>
  <c r="E583" i="8"/>
  <c r="E582" i="8"/>
  <c r="E581" i="8"/>
  <c r="E580" i="8"/>
  <c r="E579" i="8"/>
  <c r="E578" i="8"/>
  <c r="E577" i="8"/>
  <c r="E576" i="8"/>
  <c r="E575" i="8"/>
  <c r="E574" i="8"/>
  <c r="E573" i="8"/>
  <c r="E572" i="8"/>
  <c r="E571" i="8"/>
  <c r="E570" i="8"/>
  <c r="E569" i="8"/>
  <c r="E568" i="8"/>
  <c r="E567" i="8"/>
  <c r="E566" i="8"/>
  <c r="E565" i="8"/>
  <c r="E564" i="8"/>
  <c r="E563" i="8"/>
  <c r="E562" i="8"/>
  <c r="E561" i="8"/>
  <c r="E560" i="8"/>
  <c r="E559" i="8"/>
  <c r="E558" i="8"/>
  <c r="E557" i="8"/>
  <c r="E556" i="8"/>
  <c r="E555" i="8"/>
  <c r="E554" i="8"/>
  <c r="E553" i="8"/>
  <c r="E552" i="8"/>
  <c r="E551" i="8"/>
  <c r="E550" i="8"/>
  <c r="E549" i="8"/>
  <c r="E548" i="8"/>
  <c r="E547" i="8"/>
  <c r="E546" i="8"/>
  <c r="E545" i="8"/>
  <c r="E544" i="8"/>
  <c r="E543" i="8"/>
  <c r="E542" i="8"/>
  <c r="E541" i="8"/>
  <c r="E540" i="8"/>
  <c r="E539" i="8"/>
  <c r="E538" i="8"/>
  <c r="E537" i="8"/>
  <c r="E536" i="8"/>
  <c r="E535" i="8"/>
  <c r="E534" i="8"/>
  <c r="E533" i="8"/>
  <c r="E532" i="8"/>
  <c r="E531" i="8"/>
  <c r="E530" i="8"/>
  <c r="E529" i="8"/>
  <c r="E528" i="8"/>
  <c r="E527" i="8"/>
  <c r="E526" i="8"/>
  <c r="E525" i="8"/>
  <c r="E524" i="8"/>
  <c r="E523" i="8"/>
  <c r="E522" i="8"/>
  <c r="E521" i="8"/>
  <c r="E520" i="8"/>
  <c r="E519" i="8"/>
  <c r="E518" i="8"/>
  <c r="E517" i="8"/>
  <c r="E516" i="8"/>
  <c r="E515" i="8"/>
  <c r="E514" i="8"/>
  <c r="E513" i="8"/>
  <c r="E512" i="8"/>
  <c r="E511" i="8"/>
  <c r="E510" i="8"/>
  <c r="E509" i="8"/>
  <c r="E508" i="8"/>
  <c r="E507" i="8"/>
  <c r="E506" i="8"/>
  <c r="E505" i="8"/>
  <c r="E504" i="8"/>
  <c r="E503" i="8"/>
  <c r="E502" i="8"/>
  <c r="E501" i="8"/>
  <c r="E500" i="8"/>
  <c r="E499" i="8"/>
  <c r="E498" i="8"/>
  <c r="E497" i="8"/>
  <c r="E496" i="8"/>
  <c r="E495" i="8"/>
  <c r="E494" i="8"/>
  <c r="E493" i="8"/>
  <c r="E492" i="8"/>
  <c r="E491" i="8"/>
  <c r="E490" i="8"/>
  <c r="E489" i="8"/>
  <c r="E488" i="8"/>
  <c r="E487" i="8"/>
  <c r="E486" i="8"/>
  <c r="E485" i="8"/>
  <c r="E484" i="8"/>
  <c r="E483" i="8"/>
  <c r="E482" i="8"/>
  <c r="E481" i="8"/>
  <c r="E480" i="8"/>
  <c r="E479" i="8"/>
  <c r="E478" i="8"/>
  <c r="E477" i="8"/>
  <c r="E476" i="8"/>
  <c r="E475" i="8"/>
  <c r="E474" i="8"/>
  <c r="E473" i="8"/>
  <c r="E472" i="8"/>
  <c r="E471" i="8"/>
  <c r="E470" i="8"/>
  <c r="E469" i="8"/>
  <c r="E468" i="8"/>
  <c r="E467" i="8"/>
  <c r="E466" i="8"/>
  <c r="E465" i="8"/>
  <c r="E464" i="8"/>
  <c r="E463" i="8"/>
  <c r="E462" i="8"/>
  <c r="E461" i="8"/>
  <c r="E460" i="8"/>
  <c r="E459" i="8"/>
  <c r="E458" i="8"/>
  <c r="E457" i="8"/>
  <c r="E456" i="8"/>
  <c r="E455" i="8"/>
  <c r="E454" i="8"/>
  <c r="E453" i="8"/>
  <c r="E452" i="8"/>
  <c r="E451" i="8"/>
  <c r="E450" i="8"/>
  <c r="E449" i="8"/>
  <c r="E448" i="8"/>
  <c r="E447" i="8"/>
  <c r="E446" i="8"/>
  <c r="E445" i="8"/>
  <c r="E444" i="8"/>
  <c r="E443" i="8"/>
  <c r="E442" i="8"/>
  <c r="E441" i="8"/>
  <c r="E440" i="8"/>
  <c r="E439" i="8"/>
  <c r="E438" i="8"/>
  <c r="E437" i="8"/>
  <c r="E436" i="8"/>
  <c r="E435" i="8"/>
  <c r="E434" i="8"/>
  <c r="E433" i="8"/>
  <c r="E432" i="8"/>
  <c r="E431" i="8"/>
  <c r="E430" i="8"/>
  <c r="E429" i="8"/>
  <c r="E428" i="8"/>
  <c r="E427" i="8"/>
  <c r="E426" i="8"/>
  <c r="E425" i="8"/>
  <c r="E424" i="8"/>
  <c r="E423" i="8"/>
  <c r="E422" i="8"/>
  <c r="E421" i="8"/>
  <c r="E420" i="8"/>
  <c r="E419" i="8"/>
  <c r="E418" i="8"/>
  <c r="E417" i="8"/>
  <c r="E416" i="8"/>
  <c r="E415" i="8"/>
  <c r="E414" i="8"/>
  <c r="E413" i="8"/>
  <c r="E412" i="8"/>
  <c r="E411" i="8"/>
  <c r="E410" i="8"/>
  <c r="E409" i="8"/>
  <c r="E408" i="8"/>
  <c r="E407" i="8"/>
  <c r="E406" i="8"/>
  <c r="E405" i="8"/>
  <c r="E404" i="8"/>
  <c r="E403" i="8"/>
  <c r="E402" i="8"/>
  <c r="E401" i="8"/>
  <c r="E400" i="8"/>
  <c r="E399" i="8"/>
  <c r="E398" i="8"/>
  <c r="E397" i="8"/>
  <c r="E396" i="8"/>
  <c r="E395" i="8"/>
  <c r="E394" i="8"/>
  <c r="E393" i="8"/>
  <c r="E392" i="8"/>
  <c r="E391" i="8"/>
  <c r="E390" i="8"/>
  <c r="E389" i="8"/>
  <c r="E388" i="8"/>
  <c r="E387" i="8"/>
  <c r="E386" i="8"/>
  <c r="E385" i="8"/>
  <c r="E384" i="8"/>
  <c r="E383" i="8"/>
  <c r="E382" i="8"/>
  <c r="E381" i="8"/>
  <c r="E380" i="8"/>
  <c r="E379" i="8"/>
  <c r="E378" i="8"/>
  <c r="E377" i="8"/>
  <c r="E376" i="8"/>
  <c r="E375" i="8"/>
  <c r="E374" i="8"/>
  <c r="E373" i="8"/>
  <c r="E372" i="8"/>
  <c r="E371" i="8"/>
  <c r="E370" i="8"/>
  <c r="E369" i="8"/>
  <c r="E368" i="8"/>
  <c r="E367" i="8"/>
  <c r="E366" i="8"/>
  <c r="E365" i="8"/>
  <c r="E364" i="8"/>
  <c r="E363" i="8"/>
  <c r="E362" i="8"/>
  <c r="E361" i="8"/>
  <c r="E360" i="8"/>
  <c r="E359" i="8"/>
  <c r="E358" i="8"/>
  <c r="E357" i="8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E326" i="8"/>
  <c r="E325" i="8"/>
  <c r="E324" i="8"/>
  <c r="E323" i="8"/>
  <c r="E322" i="8"/>
  <c r="E321" i="8"/>
  <c r="E320" i="8"/>
  <c r="E319" i="8"/>
  <c r="E318" i="8"/>
  <c r="E317" i="8"/>
  <c r="E316" i="8"/>
  <c r="E315" i="8"/>
  <c r="E314" i="8"/>
  <c r="E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N13" i="5"/>
  <c r="N12" i="5"/>
  <c r="N10" i="5"/>
  <c r="N8" i="5"/>
  <c r="P13" i="5" l="1"/>
  <c r="P10" i="5"/>
  <c r="K74" i="7"/>
  <c r="J79" i="7" l="1"/>
  <c r="I79" i="7"/>
  <c r="H79" i="7"/>
  <c r="I41" i="7" l="1"/>
  <c r="K41" i="7" s="1"/>
  <c r="I9" i="7"/>
  <c r="K9" i="7" s="1"/>
  <c r="J2" i="7"/>
  <c r="I2" i="7"/>
  <c r="H2" i="7"/>
  <c r="I62" i="7" l="1"/>
  <c r="I89" i="7" s="1"/>
  <c r="J62" i="7"/>
  <c r="K2" i="7"/>
  <c r="H62" i="7"/>
  <c r="H89" i="7" s="1"/>
  <c r="H96" i="7" s="1"/>
  <c r="L10" i="1"/>
  <c r="K62" i="7" l="1"/>
  <c r="J89" i="7"/>
  <c r="J96" i="7" s="1"/>
  <c r="I96" i="7"/>
  <c r="C11" i="4" l="1"/>
  <c r="C10" i="4"/>
  <c r="C9" i="4"/>
  <c r="C8" i="4"/>
  <c r="C6" i="4"/>
  <c r="C22" i="1"/>
  <c r="C24" i="1"/>
  <c r="C12" i="1"/>
  <c r="C16" i="1"/>
  <c r="C26" i="1"/>
  <c r="C31" i="1"/>
  <c r="C19" i="1"/>
  <c r="C20" i="1"/>
  <c r="C30" i="1"/>
  <c r="C10" i="1"/>
  <c r="C15" i="1"/>
  <c r="C29" i="1"/>
  <c r="C21" i="1"/>
  <c r="C17" i="1"/>
  <c r="C14" i="1"/>
  <c r="C25" i="1"/>
  <c r="C18" i="1"/>
  <c r="C13" i="1"/>
  <c r="C27" i="1"/>
  <c r="C23" i="1"/>
  <c r="C11" i="1"/>
  <c r="C28" i="1"/>
  <c r="G19" i="3" l="1"/>
  <c r="G17" i="3"/>
  <c r="G11" i="3"/>
  <c r="G10" i="3"/>
  <c r="J9" i="3"/>
  <c r="G27" i="3"/>
  <c r="G26" i="3"/>
  <c r="G25" i="3"/>
  <c r="G24" i="3"/>
  <c r="G23" i="3"/>
  <c r="G22" i="3"/>
  <c r="G21" i="3"/>
  <c r="G20" i="3"/>
  <c r="G18" i="3"/>
  <c r="G16" i="3"/>
  <c r="G15" i="3"/>
  <c r="G14" i="3"/>
  <c r="G13" i="3"/>
  <c r="G12" i="3"/>
  <c r="G9" i="3"/>
  <c r="G8" i="3"/>
  <c r="G7" i="3"/>
  <c r="G6" i="3"/>
  <c r="J27" i="3"/>
  <c r="J26" i="3"/>
  <c r="J25" i="3"/>
  <c r="K25" i="3" s="1"/>
  <c r="J24" i="3"/>
  <c r="J23" i="3"/>
  <c r="K23" i="3" s="1"/>
  <c r="J22" i="3"/>
  <c r="J21" i="3"/>
  <c r="J20" i="3"/>
  <c r="J19" i="3"/>
  <c r="J18" i="3"/>
  <c r="J17" i="3"/>
  <c r="J16" i="3"/>
  <c r="J15" i="3"/>
  <c r="J14" i="3"/>
  <c r="J13" i="3"/>
  <c r="K13" i="3" s="1"/>
  <c r="J12" i="3"/>
  <c r="J11" i="3"/>
  <c r="J10" i="3"/>
  <c r="J8" i="3"/>
  <c r="J7" i="3"/>
  <c r="K7" i="3" s="1"/>
  <c r="J6" i="3"/>
  <c r="P12" i="5"/>
  <c r="P11" i="5"/>
  <c r="P8" i="5"/>
  <c r="E28" i="1"/>
  <c r="E23" i="1"/>
  <c r="E16" i="1"/>
  <c r="C34" i="4"/>
  <c r="E11" i="4"/>
  <c r="E17" i="1"/>
  <c r="D7" i="4"/>
  <c r="E30" i="1"/>
  <c r="D9" i="4"/>
  <c r="E19" i="1"/>
  <c r="D6" i="4"/>
  <c r="E24" i="1"/>
  <c r="E11" i="1"/>
  <c r="E26" i="1"/>
  <c r="E14" i="1"/>
  <c r="E6" i="4"/>
  <c r="E31" i="1"/>
  <c r="E35" i="5"/>
  <c r="C35" i="5"/>
  <c r="E15" i="1"/>
  <c r="D35" i="5"/>
  <c r="E13" i="1"/>
  <c r="E10" i="4"/>
  <c r="E25" i="1"/>
  <c r="D11" i="4"/>
  <c r="E20" i="1"/>
  <c r="E34" i="4"/>
  <c r="E18" i="1"/>
  <c r="E27" i="1"/>
  <c r="E10" i="1"/>
  <c r="E8" i="4"/>
  <c r="D8" i="4"/>
  <c r="E29" i="1"/>
  <c r="E9" i="4"/>
  <c r="E22" i="1"/>
  <c r="D34" i="4"/>
  <c r="E21" i="1"/>
  <c r="F35" i="5"/>
  <c r="E12" i="1"/>
  <c r="G29" i="3" l="1"/>
  <c r="K24" i="3"/>
  <c r="K6" i="3"/>
  <c r="J35" i="5"/>
  <c r="I35" i="5"/>
  <c r="K27" i="3"/>
  <c r="K26" i="3"/>
  <c r="K22" i="3"/>
  <c r="K20" i="3"/>
  <c r="K21" i="3"/>
  <c r="K19" i="3"/>
  <c r="K18" i="3"/>
  <c r="K17" i="3"/>
  <c r="K16" i="3"/>
  <c r="K14" i="3"/>
  <c r="K15" i="3"/>
  <c r="K12" i="3"/>
  <c r="K11" i="3"/>
  <c r="K10" i="3"/>
  <c r="K9" i="3"/>
  <c r="K8" i="3"/>
  <c r="H35" i="5"/>
  <c r="K29" i="3" l="1"/>
  <c r="M35" i="5"/>
  <c r="D14" i="3" l="1"/>
  <c r="D27" i="3"/>
  <c r="D11" i="3"/>
  <c r="D15" i="3"/>
  <c r="L31" i="1" l="1"/>
  <c r="N31" i="1" s="1"/>
  <c r="L30" i="1"/>
  <c r="N30" i="1" s="1"/>
  <c r="L29" i="1"/>
  <c r="N29" i="1" s="1"/>
  <c r="L28" i="1"/>
  <c r="N28" i="1" s="1"/>
  <c r="L27" i="1"/>
  <c r="N27" i="1" s="1"/>
  <c r="L26" i="1"/>
  <c r="N26" i="1" s="1"/>
  <c r="L25" i="1"/>
  <c r="N25" i="1" s="1"/>
  <c r="L24" i="1"/>
  <c r="N24" i="1" s="1"/>
  <c r="L23" i="1"/>
  <c r="N23" i="1" s="1"/>
  <c r="L22" i="1"/>
  <c r="N22" i="1" s="1"/>
  <c r="L21" i="1"/>
  <c r="N21" i="1" s="1"/>
  <c r="L20" i="1"/>
  <c r="N20" i="1" s="1"/>
  <c r="L19" i="1"/>
  <c r="N19" i="1" s="1"/>
  <c r="L18" i="1"/>
  <c r="N18" i="1" s="1"/>
  <c r="L17" i="1"/>
  <c r="N17" i="1" s="1"/>
  <c r="L16" i="1"/>
  <c r="N16" i="1" s="1"/>
  <c r="L15" i="1"/>
  <c r="N15" i="1" s="1"/>
  <c r="L14" i="1"/>
  <c r="N14" i="1" s="1"/>
  <c r="L13" i="1"/>
  <c r="N13" i="1" s="1"/>
  <c r="L12" i="1"/>
  <c r="N12" i="1" s="1"/>
  <c r="L11" i="1"/>
  <c r="N11" i="1" s="1"/>
  <c r="Q13" i="5" l="1"/>
  <c r="M12" i="1"/>
  <c r="M14" i="1"/>
  <c r="M16" i="1"/>
  <c r="M18" i="1"/>
  <c r="M20" i="1"/>
  <c r="M22" i="1"/>
  <c r="M24" i="1"/>
  <c r="M26" i="1"/>
  <c r="M28" i="1"/>
  <c r="M30" i="1"/>
  <c r="M11" i="1"/>
  <c r="M13" i="1"/>
  <c r="M15" i="1"/>
  <c r="M17" i="1"/>
  <c r="M19" i="1"/>
  <c r="M21" i="1"/>
  <c r="M23" i="1"/>
  <c r="M25" i="1"/>
  <c r="M27" i="1"/>
  <c r="M29" i="1"/>
  <c r="M31" i="1"/>
  <c r="P31" i="1"/>
  <c r="R31" i="1" s="1"/>
  <c r="P30" i="1"/>
  <c r="R30" i="1" s="1"/>
  <c r="P29" i="1"/>
  <c r="R29" i="1" s="1"/>
  <c r="P28" i="1"/>
  <c r="R28" i="1" s="1"/>
  <c r="P27" i="1"/>
  <c r="R27" i="1" s="1"/>
  <c r="P26" i="1"/>
  <c r="R26" i="1" s="1"/>
  <c r="P25" i="1"/>
  <c r="R25" i="1" s="1"/>
  <c r="P24" i="1"/>
  <c r="R24" i="1" s="1"/>
  <c r="P23" i="1"/>
  <c r="R23" i="1" s="1"/>
  <c r="P22" i="1"/>
  <c r="R22" i="1" s="1"/>
  <c r="P21" i="1"/>
  <c r="R21" i="1" s="1"/>
  <c r="P20" i="1"/>
  <c r="R20" i="1" s="1"/>
  <c r="P19" i="1"/>
  <c r="R19" i="1" s="1"/>
  <c r="P18" i="1"/>
  <c r="R18" i="1" s="1"/>
  <c r="P17" i="1"/>
  <c r="R17" i="1" s="1"/>
  <c r="P16" i="1"/>
  <c r="R16" i="1" s="1"/>
  <c r="P15" i="1"/>
  <c r="R15" i="1" s="1"/>
  <c r="P14" i="1"/>
  <c r="R14" i="1" s="1"/>
  <c r="P13" i="1"/>
  <c r="R13" i="1" s="1"/>
  <c r="P12" i="1"/>
  <c r="R12" i="1" s="1"/>
  <c r="P11" i="1"/>
  <c r="R11" i="1" s="1"/>
  <c r="P10" i="1"/>
  <c r="F11" i="4"/>
  <c r="Q30" i="1" l="1"/>
  <c r="Q26" i="1"/>
  <c r="Q22" i="1"/>
  <c r="Q18" i="1"/>
  <c r="Q14" i="1"/>
  <c r="Q29" i="1"/>
  <c r="Q25" i="1"/>
  <c r="Q21" i="1"/>
  <c r="Q17" i="1"/>
  <c r="Q13" i="1"/>
  <c r="Q31" i="1"/>
  <c r="Q27" i="1"/>
  <c r="Q23" i="1"/>
  <c r="Q19" i="1"/>
  <c r="Q15" i="1"/>
  <c r="Q11" i="1"/>
  <c r="Q28" i="1"/>
  <c r="Q24" i="1"/>
  <c r="Q20" i="1"/>
  <c r="Q16" i="1"/>
  <c r="Q12" i="1"/>
  <c r="H11" i="4"/>
  <c r="Q12" i="5"/>
  <c r="Q11" i="5"/>
  <c r="Q10" i="5"/>
  <c r="Q8" i="5"/>
  <c r="D33" i="1"/>
  <c r="D29" i="3"/>
  <c r="C29" i="3"/>
  <c r="F10" i="4"/>
  <c r="F6" i="4"/>
  <c r="F9" i="4"/>
  <c r="F8" i="4"/>
  <c r="H8" i="4" l="1"/>
  <c r="H10" i="4"/>
  <c r="H9" i="4"/>
  <c r="H6" i="4"/>
  <c r="G12" i="1"/>
  <c r="G28" i="1"/>
  <c r="G25" i="1"/>
  <c r="G16" i="1"/>
  <c r="G24" i="1"/>
  <c r="G13" i="1"/>
  <c r="G21" i="1"/>
  <c r="G29" i="1"/>
  <c r="G11" i="1"/>
  <c r="G18" i="1"/>
  <c r="G26" i="1"/>
  <c r="G15" i="1"/>
  <c r="G23" i="1"/>
  <c r="G31" i="1"/>
  <c r="G20" i="1"/>
  <c r="G17" i="1"/>
  <c r="G14" i="1"/>
  <c r="G22" i="1"/>
  <c r="G30" i="1"/>
  <c r="G19" i="1"/>
  <c r="G27" i="1"/>
  <c r="F11" i="1"/>
  <c r="F12" i="1"/>
  <c r="F14" i="1"/>
  <c r="F16" i="1"/>
  <c r="F18" i="1"/>
  <c r="F20" i="1"/>
  <c r="F22" i="1"/>
  <c r="F24" i="1"/>
  <c r="F26" i="1"/>
  <c r="F28" i="1"/>
  <c r="F30" i="1"/>
  <c r="F13" i="1"/>
  <c r="F15" i="1"/>
  <c r="F17" i="1"/>
  <c r="F19" i="1"/>
  <c r="F21" i="1"/>
  <c r="F23" i="1"/>
  <c r="F25" i="1"/>
  <c r="F27" i="1"/>
  <c r="F29" i="1"/>
  <c r="F31" i="1"/>
  <c r="F10" i="1"/>
  <c r="C33" i="1" l="1"/>
  <c r="C5" i="1" s="1"/>
  <c r="G10" i="1"/>
  <c r="I10" i="1" s="1"/>
  <c r="I29" i="1"/>
  <c r="I25" i="1"/>
  <c r="I21" i="1"/>
  <c r="I17" i="1"/>
  <c r="I13" i="1"/>
  <c r="I28" i="1"/>
  <c r="I24" i="1"/>
  <c r="I20" i="1"/>
  <c r="I16" i="1"/>
  <c r="I12" i="1"/>
  <c r="I31" i="1"/>
  <c r="I27" i="1"/>
  <c r="I23" i="1"/>
  <c r="I19" i="1"/>
  <c r="I15" i="1"/>
  <c r="I30" i="1"/>
  <c r="I26" i="1"/>
  <c r="I22" i="1"/>
  <c r="I18" i="1"/>
  <c r="I14" i="1"/>
  <c r="I11" i="1"/>
  <c r="G35" i="5" l="1"/>
  <c r="O35" i="5"/>
  <c r="D33" i="4"/>
  <c r="K35" i="5" l="1"/>
  <c r="L35" i="5"/>
  <c r="N35" i="5" s="1"/>
  <c r="C33" i="4"/>
  <c r="J31" i="1"/>
  <c r="P35" i="5" l="1"/>
  <c r="Q35" i="5" s="1"/>
  <c r="F33" i="4"/>
  <c r="E33" i="4"/>
  <c r="H33" i="4" l="1"/>
  <c r="P9" i="5" l="1"/>
  <c r="E7" i="4"/>
  <c r="Q9" i="5" l="1"/>
  <c r="F7" i="4"/>
  <c r="H7" i="4" l="1"/>
  <c r="M10" i="1"/>
  <c r="Q10" i="1" s="1"/>
  <c r="N10" i="1"/>
  <c r="R10" i="1" s="1"/>
  <c r="F40" i="4"/>
  <c r="C2" i="1"/>
  <c r="C6" i="1" s="1"/>
  <c r="H21" i="1" l="1"/>
  <c r="H31" i="1"/>
  <c r="H18" i="1"/>
  <c r="H28" i="1"/>
  <c r="H19" i="1"/>
  <c r="H10" i="1"/>
  <c r="H13" i="1"/>
  <c r="H23" i="1"/>
  <c r="H11" i="1"/>
  <c r="H20" i="1"/>
  <c r="H30" i="1"/>
  <c r="H24" i="1"/>
  <c r="H15" i="1"/>
  <c r="H25" i="1"/>
  <c r="H12" i="1"/>
  <c r="H22" i="1"/>
  <c r="H29" i="1"/>
  <c r="H16" i="1"/>
  <c r="H26" i="1"/>
  <c r="H17" i="1"/>
  <c r="H27" i="1"/>
  <c r="H14" i="1"/>
  <c r="O31" i="1"/>
  <c r="S31" i="1" s="1"/>
  <c r="O21" i="1"/>
  <c r="S21" i="1" s="1"/>
  <c r="U21" i="1" s="1"/>
  <c r="O26" i="1"/>
  <c r="S26" i="1" s="1"/>
  <c r="U26" i="1" s="1"/>
  <c r="O12" i="1"/>
  <c r="S12" i="1" s="1"/>
  <c r="U12" i="1" s="1"/>
  <c r="O14" i="1"/>
  <c r="S14" i="1" s="1"/>
  <c r="U14" i="1" s="1"/>
  <c r="O13" i="1"/>
  <c r="S13" i="1" s="1"/>
  <c r="U13" i="1" s="1"/>
  <c r="O30" i="1"/>
  <c r="S30" i="1" s="1"/>
  <c r="U30" i="1" s="1"/>
  <c r="O20" i="1"/>
  <c r="S20" i="1" s="1"/>
  <c r="U20" i="1" s="1"/>
  <c r="O29" i="1"/>
  <c r="S29" i="1" s="1"/>
  <c r="U29" i="1" s="1"/>
  <c r="O23" i="1"/>
  <c r="S23" i="1" s="1"/>
  <c r="U23" i="1" s="1"/>
  <c r="O18" i="1"/>
  <c r="S18" i="1" s="1"/>
  <c r="U18" i="1" s="1"/>
  <c r="O25" i="1"/>
  <c r="S25" i="1" s="1"/>
  <c r="U25" i="1" s="1"/>
  <c r="O17" i="1"/>
  <c r="S17" i="1" s="1"/>
  <c r="U17" i="1" s="1"/>
  <c r="O11" i="1"/>
  <c r="S11" i="1" s="1"/>
  <c r="U11" i="1" s="1"/>
  <c r="O15" i="1"/>
  <c r="S15" i="1" s="1"/>
  <c r="U15" i="1" s="1"/>
  <c r="O27" i="1"/>
  <c r="S27" i="1" s="1"/>
  <c r="U27" i="1" s="1"/>
  <c r="O16" i="1"/>
  <c r="S16" i="1" s="1"/>
  <c r="U16" i="1" s="1"/>
  <c r="O28" i="1"/>
  <c r="S28" i="1" s="1"/>
  <c r="U28" i="1" s="1"/>
  <c r="O22" i="1"/>
  <c r="S22" i="1" s="1"/>
  <c r="U22" i="1" s="1"/>
  <c r="O19" i="1"/>
  <c r="S19" i="1" s="1"/>
  <c r="U19" i="1" s="1"/>
  <c r="O24" i="1"/>
  <c r="S24" i="1" s="1"/>
  <c r="U24" i="1" s="1"/>
  <c r="O10" i="1"/>
  <c r="S10" i="1" s="1"/>
  <c r="U10" i="1" s="1"/>
  <c r="C21" i="5"/>
  <c r="C31" i="5"/>
  <c r="C24" i="5"/>
  <c r="D22" i="5"/>
  <c r="D30" i="5"/>
  <c r="D17" i="5"/>
  <c r="E22" i="5"/>
  <c r="F17" i="5"/>
  <c r="C22" i="5"/>
  <c r="C30" i="5"/>
  <c r="C15" i="5"/>
  <c r="F26" i="5"/>
  <c r="F14" i="5"/>
  <c r="E15" i="5"/>
  <c r="E20" i="5"/>
  <c r="F33" i="5"/>
  <c r="E14" i="5"/>
  <c r="E24" i="5"/>
  <c r="C16" i="5"/>
  <c r="C20" i="5"/>
  <c r="D19" i="5"/>
  <c r="E33" i="5"/>
  <c r="D20" i="5"/>
  <c r="F25" i="5"/>
  <c r="F34" i="5"/>
  <c r="E21" i="5"/>
  <c r="F32" i="5"/>
  <c r="F24" i="5"/>
  <c r="F15" i="5"/>
  <c r="E26" i="5"/>
  <c r="C19" i="5"/>
  <c r="C34" i="5"/>
  <c r="F29" i="5"/>
  <c r="F16" i="5"/>
  <c r="E34" i="5"/>
  <c r="F23" i="5"/>
  <c r="E25" i="5"/>
  <c r="F18" i="5"/>
  <c r="F27" i="5"/>
  <c r="E31" i="5"/>
  <c r="E28" i="5"/>
  <c r="C29" i="5"/>
  <c r="D29" i="5"/>
  <c r="C26" i="5"/>
  <c r="D16" i="5"/>
  <c r="D33" i="5"/>
  <c r="E19" i="5"/>
  <c r="D23" i="5"/>
  <c r="E29" i="5"/>
  <c r="E16" i="5"/>
  <c r="C18" i="5"/>
  <c r="E23" i="5"/>
  <c r="C28" i="5"/>
  <c r="C23" i="5"/>
  <c r="D32" i="5"/>
  <c r="D27" i="5"/>
  <c r="F31" i="5"/>
  <c r="F28" i="5"/>
  <c r="D21" i="5"/>
  <c r="D31" i="5"/>
  <c r="D24" i="5"/>
  <c r="F22" i="5"/>
  <c r="E30" i="5"/>
  <c r="E17" i="5"/>
  <c r="C27" i="5"/>
  <c r="C25" i="5"/>
  <c r="D18" i="5"/>
  <c r="C32" i="5"/>
  <c r="D28" i="5"/>
  <c r="F19" i="5"/>
  <c r="E32" i="5"/>
  <c r="E27" i="5"/>
  <c r="C14" i="5"/>
  <c r="C17" i="5"/>
  <c r="C33" i="5"/>
  <c r="D25" i="5"/>
  <c r="D34" i="5"/>
  <c r="F21" i="5"/>
  <c r="E18" i="5"/>
  <c r="F30" i="5"/>
  <c r="D26" i="5"/>
  <c r="D14" i="5"/>
  <c r="D15" i="5"/>
  <c r="F20" i="5"/>
  <c r="I14" i="5" l="1"/>
  <c r="J14" i="5"/>
  <c r="H14" i="5"/>
  <c r="O14" i="5"/>
  <c r="G14" i="5"/>
  <c r="L14" i="5" s="1"/>
  <c r="I23" i="5"/>
  <c r="J23" i="5"/>
  <c r="H23" i="5"/>
  <c r="O23" i="5"/>
  <c r="G23" i="5"/>
  <c r="L23" i="5" s="1"/>
  <c r="I32" i="5"/>
  <c r="J32" i="5"/>
  <c r="H32" i="5"/>
  <c r="O32" i="5"/>
  <c r="G32" i="5"/>
  <c r="L32" i="5" s="1"/>
  <c r="I31" i="5"/>
  <c r="J31" i="5"/>
  <c r="H31" i="5"/>
  <c r="O31" i="5"/>
  <c r="G31" i="5"/>
  <c r="J15" i="5"/>
  <c r="I15" i="5"/>
  <c r="H15" i="5"/>
  <c r="O15" i="5"/>
  <c r="G15" i="5"/>
  <c r="I29" i="5"/>
  <c r="J29" i="5"/>
  <c r="H29" i="5"/>
  <c r="O29" i="5"/>
  <c r="G29" i="5"/>
  <c r="L29" i="5" s="1"/>
  <c r="I27" i="5"/>
  <c r="J27" i="5"/>
  <c r="H27" i="5"/>
  <c r="O27" i="5"/>
  <c r="G27" i="5"/>
  <c r="I24" i="5"/>
  <c r="J24" i="5"/>
  <c r="H24" i="5"/>
  <c r="O24" i="5"/>
  <c r="G24" i="5"/>
  <c r="L24" i="5" s="1"/>
  <c r="J17" i="5"/>
  <c r="I17" i="5"/>
  <c r="H17" i="5"/>
  <c r="O17" i="5"/>
  <c r="G17" i="5"/>
  <c r="I16" i="5"/>
  <c r="J16" i="5"/>
  <c r="H16" i="5"/>
  <c r="O16" i="5"/>
  <c r="G16" i="5"/>
  <c r="I25" i="5"/>
  <c r="J25" i="5"/>
  <c r="H25" i="5"/>
  <c r="O25" i="5"/>
  <c r="G25" i="5"/>
  <c r="L25" i="5" s="1"/>
  <c r="I28" i="5"/>
  <c r="J28" i="5"/>
  <c r="H28" i="5"/>
  <c r="O28" i="5"/>
  <c r="G28" i="5"/>
  <c r="L28" i="5" s="1"/>
  <c r="I26" i="5"/>
  <c r="J26" i="5"/>
  <c r="H26" i="5"/>
  <c r="O26" i="5"/>
  <c r="G26" i="5"/>
  <c r="L26" i="5" s="1"/>
  <c r="I20" i="5"/>
  <c r="J20" i="5"/>
  <c r="H20" i="5"/>
  <c r="O20" i="5"/>
  <c r="G20" i="5"/>
  <c r="L20" i="5" s="1"/>
  <c r="J19" i="5"/>
  <c r="I19" i="5"/>
  <c r="H19" i="5"/>
  <c r="O19" i="5"/>
  <c r="G19" i="5"/>
  <c r="I21" i="5"/>
  <c r="J21" i="5"/>
  <c r="H21" i="5"/>
  <c r="O21" i="5"/>
  <c r="G21" i="5"/>
  <c r="L21" i="5" s="1"/>
  <c r="I22" i="5"/>
  <c r="J22" i="5"/>
  <c r="H22" i="5"/>
  <c r="O22" i="5"/>
  <c r="G22" i="5"/>
  <c r="L22" i="5" s="1"/>
  <c r="J33" i="5"/>
  <c r="I33" i="5"/>
  <c r="H33" i="5"/>
  <c r="O33" i="5"/>
  <c r="G33" i="5"/>
  <c r="I34" i="5"/>
  <c r="J34" i="5"/>
  <c r="H34" i="5"/>
  <c r="O34" i="5"/>
  <c r="G34" i="5"/>
  <c r="L34" i="5" s="1"/>
  <c r="J18" i="5"/>
  <c r="I18" i="5"/>
  <c r="H18" i="5"/>
  <c r="O18" i="5"/>
  <c r="G18" i="5"/>
  <c r="J30" i="5"/>
  <c r="I30" i="5"/>
  <c r="H30" i="5"/>
  <c r="O30" i="5"/>
  <c r="G30" i="5"/>
  <c r="D12" i="4"/>
  <c r="D16" i="4"/>
  <c r="D25" i="4"/>
  <c r="D27" i="4"/>
  <c r="D29" i="4"/>
  <c r="D24" i="4"/>
  <c r="D26" i="4"/>
  <c r="D18" i="4"/>
  <c r="D30" i="4"/>
  <c r="D20" i="4"/>
  <c r="D15" i="4"/>
  <c r="D19" i="4"/>
  <c r="D23" i="4"/>
  <c r="D21" i="4"/>
  <c r="D17" i="4"/>
  <c r="D28" i="4"/>
  <c r="D13" i="4"/>
  <c r="D32" i="4"/>
  <c r="D14" i="4"/>
  <c r="D31" i="4"/>
  <c r="D22" i="4"/>
  <c r="L16" i="5" l="1"/>
  <c r="L31" i="5"/>
  <c r="L27" i="5"/>
  <c r="L30" i="5"/>
  <c r="L19" i="5"/>
  <c r="L17" i="5"/>
  <c r="L15" i="5"/>
  <c r="L18" i="5"/>
  <c r="L33" i="5"/>
  <c r="D36" i="4"/>
  <c r="M18" i="5"/>
  <c r="K18" i="5"/>
  <c r="M33" i="5"/>
  <c r="N33" i="5" s="1"/>
  <c r="K33" i="5"/>
  <c r="M21" i="5"/>
  <c r="N21" i="5" s="1"/>
  <c r="K21" i="5"/>
  <c r="M20" i="5"/>
  <c r="N20" i="5" s="1"/>
  <c r="K20" i="5"/>
  <c r="M28" i="5"/>
  <c r="N28" i="5" s="1"/>
  <c r="K28" i="5"/>
  <c r="M16" i="5"/>
  <c r="N16" i="5" s="1"/>
  <c r="K16" i="5"/>
  <c r="M24" i="5"/>
  <c r="N24" i="5" s="1"/>
  <c r="K24" i="5"/>
  <c r="M29" i="5"/>
  <c r="N29" i="5" s="1"/>
  <c r="K29" i="5"/>
  <c r="M31" i="5"/>
  <c r="K31" i="5"/>
  <c r="M23" i="5"/>
  <c r="N23" i="5" s="1"/>
  <c r="K23" i="5"/>
  <c r="M30" i="5"/>
  <c r="K30" i="5"/>
  <c r="M34" i="5"/>
  <c r="N34" i="5" s="1"/>
  <c r="K34" i="5"/>
  <c r="M22" i="5"/>
  <c r="N22" i="5" s="1"/>
  <c r="K22" i="5"/>
  <c r="M19" i="5"/>
  <c r="N19" i="5" s="1"/>
  <c r="K19" i="5"/>
  <c r="M26" i="5"/>
  <c r="N26" i="5" s="1"/>
  <c r="K26" i="5"/>
  <c r="M25" i="5"/>
  <c r="N25" i="5" s="1"/>
  <c r="K25" i="5"/>
  <c r="M17" i="5"/>
  <c r="K17" i="5"/>
  <c r="M27" i="5"/>
  <c r="N27" i="5" s="1"/>
  <c r="K27" i="5"/>
  <c r="M15" i="5"/>
  <c r="N15" i="5" s="1"/>
  <c r="K15" i="5"/>
  <c r="M32" i="5"/>
  <c r="N32" i="5" s="1"/>
  <c r="K32" i="5"/>
  <c r="M14" i="5"/>
  <c r="N14" i="5" s="1"/>
  <c r="K14" i="5"/>
  <c r="J17" i="1"/>
  <c r="J16" i="1"/>
  <c r="C19" i="4"/>
  <c r="C14" i="4"/>
  <c r="J21" i="1"/>
  <c r="C12" i="4"/>
  <c r="C23" i="4"/>
  <c r="J28" i="1"/>
  <c r="C17" i="4"/>
  <c r="J29" i="1"/>
  <c r="J22" i="1"/>
  <c r="J23" i="1"/>
  <c r="C13" i="4"/>
  <c r="C32" i="4"/>
  <c r="C26" i="4"/>
  <c r="C22" i="4"/>
  <c r="J10" i="1"/>
  <c r="J18" i="1"/>
  <c r="J25" i="1"/>
  <c r="C21" i="4"/>
  <c r="J14" i="1"/>
  <c r="J20" i="1"/>
  <c r="C31" i="4"/>
  <c r="C25" i="4"/>
  <c r="C24" i="4"/>
  <c r="C27" i="4"/>
  <c r="J13" i="1"/>
  <c r="J30" i="1"/>
  <c r="C18" i="4"/>
  <c r="J24" i="1"/>
  <c r="J27" i="1"/>
  <c r="J19" i="1"/>
  <c r="J11" i="1"/>
  <c r="J15" i="1"/>
  <c r="J12" i="1"/>
  <c r="C20" i="4"/>
  <c r="C30" i="4"/>
  <c r="J26" i="1"/>
  <c r="N31" i="5" l="1"/>
  <c r="N17" i="5"/>
  <c r="N30" i="5"/>
  <c r="N18" i="5"/>
  <c r="P14" i="5"/>
  <c r="P15" i="5"/>
  <c r="P17" i="5"/>
  <c r="P26" i="5"/>
  <c r="P22" i="5"/>
  <c r="P30" i="5"/>
  <c r="P31" i="5"/>
  <c r="Q31" i="5" s="1"/>
  <c r="P24" i="5"/>
  <c r="P28" i="5"/>
  <c r="P21" i="5"/>
  <c r="P18" i="5"/>
  <c r="P32" i="5"/>
  <c r="Q32" i="5" s="1"/>
  <c r="P27" i="5"/>
  <c r="P25" i="5"/>
  <c r="P19" i="5"/>
  <c r="P34" i="5"/>
  <c r="P23" i="5"/>
  <c r="P29" i="5"/>
  <c r="P16" i="5"/>
  <c r="P20" i="5"/>
  <c r="P33" i="5"/>
  <c r="E18" i="4"/>
  <c r="E31" i="4"/>
  <c r="E21" i="4"/>
  <c r="E29" i="4"/>
  <c r="E30" i="4"/>
  <c r="C28" i="4"/>
  <c r="E20" i="4"/>
  <c r="E23" i="4"/>
  <c r="C15" i="4"/>
  <c r="C29" i="4"/>
  <c r="E14" i="4"/>
  <c r="E17" i="4"/>
  <c r="E16" i="4"/>
  <c r="E13" i="4"/>
  <c r="E24" i="4"/>
  <c r="E28" i="4"/>
  <c r="E26" i="4"/>
  <c r="E19" i="4"/>
  <c r="C16" i="4"/>
  <c r="F29" i="4"/>
  <c r="E22" i="4"/>
  <c r="E27" i="4"/>
  <c r="E15" i="4"/>
  <c r="E32" i="4"/>
  <c r="F30" i="4"/>
  <c r="E25" i="4"/>
  <c r="E12" i="4"/>
  <c r="Q18" i="5" l="1"/>
  <c r="Q17" i="5"/>
  <c r="C36" i="4"/>
  <c r="H29" i="4"/>
  <c r="H30" i="4"/>
  <c r="E36" i="4"/>
  <c r="Q21" i="5"/>
  <c r="Q30" i="5"/>
  <c r="Q15" i="5"/>
  <c r="Q33" i="5"/>
  <c r="Q20" i="5"/>
  <c r="Q16" i="5"/>
  <c r="Q29" i="5"/>
  <c r="Q23" i="5"/>
  <c r="Q34" i="5"/>
  <c r="Q19" i="5"/>
  <c r="Q25" i="5"/>
  <c r="Q27" i="5"/>
  <c r="Q24" i="5"/>
  <c r="Q26" i="5"/>
  <c r="Q28" i="5"/>
  <c r="Q22" i="5"/>
  <c r="Q14" i="5"/>
  <c r="F22" i="4"/>
  <c r="F21" i="4"/>
  <c r="F12" i="4"/>
  <c r="F14" i="4"/>
  <c r="F26" i="4"/>
  <c r="F25" i="4"/>
  <c r="F24" i="4"/>
  <c r="F16" i="4"/>
  <c r="F32" i="4"/>
  <c r="F18" i="4"/>
  <c r="F31" i="4"/>
  <c r="F27" i="4"/>
  <c r="F20" i="4"/>
  <c r="F15" i="4"/>
  <c r="F19" i="4"/>
  <c r="F23" i="4"/>
  <c r="F17" i="4"/>
  <c r="F13" i="4"/>
  <c r="F28" i="4"/>
  <c r="H15" i="4" l="1"/>
  <c r="H16" i="4"/>
  <c r="H12" i="4"/>
  <c r="F36" i="4"/>
  <c r="F39" i="4" s="1"/>
  <c r="F41" i="4" s="1"/>
  <c r="H26" i="4"/>
  <c r="H22" i="4"/>
  <c r="H23" i="4"/>
  <c r="H32" i="4"/>
  <c r="H27" i="4"/>
  <c r="H18" i="4"/>
  <c r="H13" i="4"/>
  <c r="H19" i="4"/>
  <c r="H20" i="4"/>
  <c r="H24" i="4"/>
  <c r="H25" i="4"/>
  <c r="H17" i="4"/>
  <c r="H21" i="4"/>
  <c r="H14" i="4"/>
  <c r="H31" i="4"/>
  <c r="H28" i="4"/>
  <c r="I33" i="4" l="1"/>
</calcChain>
</file>

<file path=xl/comments1.xml><?xml version="1.0" encoding="utf-8"?>
<comments xmlns="http://schemas.openxmlformats.org/spreadsheetml/2006/main">
  <authors>
    <author>Angelo State University</author>
  </authors>
  <commentList>
    <comment ref="F7" authorId="0">
      <text>
        <r>
          <rPr>
            <b/>
            <sz val="8"/>
            <color indexed="81"/>
            <rFont val="Tahoma"/>
            <family val="2"/>
          </rPr>
          <t>Angelo State University:</t>
        </r>
        <r>
          <rPr>
            <sz val="8"/>
            <color indexed="81"/>
            <rFont val="Tahoma"/>
            <family val="2"/>
          </rPr>
          <t xml:space="preserve">
Transfer expense to IE &amp; DE</t>
        </r>
      </text>
    </comment>
    <comment ref="B29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This does not include SI</t>
        </r>
      </text>
    </comment>
    <comment ref="G29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This does not include SI funds</t>
        </r>
      </text>
    </comment>
  </commentList>
</comments>
</file>

<file path=xl/comments2.xml><?xml version="1.0" encoding="utf-8"?>
<comments xmlns="http://schemas.openxmlformats.org/spreadsheetml/2006/main">
  <authors>
    <author>Angelo State University</author>
  </authors>
  <commentList>
    <comment ref="C9" authorId="0">
      <text>
        <r>
          <rPr>
            <b/>
            <sz val="8"/>
            <color indexed="81"/>
            <rFont val="Tahoma"/>
            <family val="2"/>
          </rPr>
          <t>Angelo State University:</t>
        </r>
        <r>
          <rPr>
            <sz val="8"/>
            <color indexed="81"/>
            <rFont val="Tahoma"/>
            <family val="2"/>
          </rPr>
          <t xml:space="preserve">
Includes faculty compensation
</t>
        </r>
      </text>
    </comment>
    <comment ref="K9" authorId="0">
      <text>
        <r>
          <rPr>
            <b/>
            <sz val="8"/>
            <color indexed="81"/>
            <rFont val="Tahoma"/>
            <family val="2"/>
          </rPr>
          <t xml:space="preserve">TCC report provided by Academic Affairs
based on fall fte
</t>
        </r>
      </text>
    </comment>
  </commentList>
</comments>
</file>

<file path=xl/comments3.xml><?xml version="1.0" encoding="utf-8"?>
<comments xmlns="http://schemas.openxmlformats.org/spreadsheetml/2006/main">
  <authors>
    <author>Angelo State University</author>
  </authors>
  <commentList>
    <comment ref="C16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was 3400
</t>
        </r>
      </text>
    </comment>
    <comment ref="O30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adjusted by WTB 11061</t>
        </r>
      </text>
    </comment>
    <comment ref="R30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adjusted by WTB 11061</t>
        </r>
      </text>
    </comment>
    <comment ref="R31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adjusted by state appr $767,624.38
</t>
        </r>
      </text>
    </comment>
    <comment ref="O32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adjusted by state appr $767,624.38
</t>
        </r>
      </text>
    </comment>
    <comment ref="R32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adjusted by state appr $767,624.38
</t>
        </r>
      </text>
    </comment>
    <comment ref="R33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adjusted by state appr $1417591.49
</t>
        </r>
      </text>
    </comment>
    <comment ref="O37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adjusted by state appr $1417591.49
</t>
        </r>
      </text>
    </comment>
    <comment ref="R37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adjusted by state appr $1417591.49
</t>
        </r>
      </text>
    </comment>
    <comment ref="C48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was 3400
</t>
        </r>
      </text>
    </comment>
    <comment ref="C49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was 3400
</t>
        </r>
      </text>
    </comment>
    <comment ref="C50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was 3400
</t>
        </r>
      </text>
    </comment>
    <comment ref="C51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was 3400
</t>
        </r>
      </text>
    </comment>
    <comment ref="L71" authorId="0">
      <text>
        <r>
          <rPr>
            <b/>
            <sz val="8"/>
            <color indexed="81"/>
            <rFont val="Tahoma"/>
            <family val="2"/>
          </rPr>
          <t>Angelo State University:</t>
        </r>
        <r>
          <rPr>
            <sz val="8"/>
            <color indexed="81"/>
            <rFont val="Tahoma"/>
            <family val="2"/>
          </rPr>
          <t xml:space="preserve">
adjusted for transfer to history</t>
        </r>
      </text>
    </comment>
    <comment ref="L179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si only
</t>
        </r>
      </text>
    </comment>
    <comment ref="L180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SI only</t>
        </r>
      </text>
    </comment>
    <comment ref="L181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In addition to SI</t>
        </r>
      </text>
    </comment>
    <comment ref="L182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in addition to SI</t>
        </r>
      </text>
    </comment>
    <comment ref="L190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SI only
</t>
        </r>
      </text>
    </comment>
    <comment ref="L191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SI only</t>
        </r>
      </text>
    </comment>
    <comment ref="L192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In addition to SI</t>
        </r>
      </text>
    </comment>
    <comment ref="L193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In addition to SI</t>
        </r>
      </text>
    </comment>
    <comment ref="C216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was 3400
</t>
        </r>
      </text>
    </comment>
    <comment ref="C422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was 3400
</t>
        </r>
      </text>
    </comment>
    <comment ref="C423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was 3400
</t>
        </r>
      </text>
    </comment>
    <comment ref="C424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was 3400
</t>
        </r>
      </text>
    </comment>
    <comment ref="C425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was 3400
</t>
        </r>
      </text>
    </comment>
    <comment ref="C426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was 3400
</t>
        </r>
      </text>
    </comment>
    <comment ref="C427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was 3400
</t>
        </r>
      </text>
    </comment>
    <comment ref="C428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was 3400
</t>
        </r>
      </text>
    </comment>
    <comment ref="C429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was 3400
</t>
        </r>
      </text>
    </comment>
    <comment ref="C497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was 3400
</t>
        </r>
      </text>
    </comment>
    <comment ref="C498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was 3400
</t>
        </r>
      </text>
    </comment>
    <comment ref="C677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was 3400
</t>
        </r>
      </text>
    </comment>
    <comment ref="C678" authorId="0">
      <text>
        <r>
          <rPr>
            <b/>
            <sz val="8"/>
            <color indexed="81"/>
            <rFont val="Tahoma"/>
            <charset val="1"/>
          </rPr>
          <t>Angelo State University:</t>
        </r>
        <r>
          <rPr>
            <sz val="8"/>
            <color indexed="81"/>
            <rFont val="Tahoma"/>
            <charset val="1"/>
          </rPr>
          <t xml:space="preserve">
was 3400
</t>
        </r>
      </text>
    </comment>
  </commentList>
</comments>
</file>

<file path=xl/sharedStrings.xml><?xml version="1.0" encoding="utf-8"?>
<sst xmlns="http://schemas.openxmlformats.org/spreadsheetml/2006/main" count="14172" uniqueCount="2117">
  <si>
    <t>Agriculture</t>
  </si>
  <si>
    <t>Art &amp; Music</t>
  </si>
  <si>
    <t>Biology</t>
  </si>
  <si>
    <t>Chemistry &amp; Biochemistry</t>
  </si>
  <si>
    <t>Communication, Mass Media, &amp; Theatre</t>
  </si>
  <si>
    <t>English &amp; Modern Langagues</t>
  </si>
  <si>
    <t>Mathematics &amp; Computer Science</t>
  </si>
  <si>
    <t>Physics</t>
  </si>
  <si>
    <t>Accounting, Economics, &amp; Finance</t>
  </si>
  <si>
    <t>Aerospace Studies</t>
  </si>
  <si>
    <t>Management &amp; marketing</t>
  </si>
  <si>
    <t>Security Studies &amp; Criminal Justice</t>
  </si>
  <si>
    <t>Teacher Education</t>
  </si>
  <si>
    <t>Curriculum &amp; Instruction</t>
  </si>
  <si>
    <t>Kinesiology</t>
  </si>
  <si>
    <t>Nursing</t>
  </si>
  <si>
    <t>Athletic Training</t>
  </si>
  <si>
    <t>Physical Therapy</t>
  </si>
  <si>
    <t>Psychology, Sociology &amp; Social Work</t>
  </si>
  <si>
    <t>Academic Affairs</t>
  </si>
  <si>
    <t>2010/11
Expenditures</t>
  </si>
  <si>
    <t>2010/11
Instructional Compensation</t>
  </si>
  <si>
    <t>Instructional Cost per Credit</t>
  </si>
  <si>
    <t>Departmental Cost per Credit</t>
  </si>
  <si>
    <t>Institutional Cost per Credit</t>
  </si>
  <si>
    <t>Departmental Overhead %</t>
  </si>
  <si>
    <t>Budget Division</t>
  </si>
  <si>
    <t>2009-10 Credits</t>
  </si>
  <si>
    <t>2010-11 Credits</t>
  </si>
  <si>
    <t>Total Credits</t>
  </si>
  <si>
    <t>Total Adjusted Revenues</t>
  </si>
  <si>
    <t>Administrative $</t>
  </si>
  <si>
    <t>Facility $ (prior yr facilities allocation)</t>
  </si>
  <si>
    <t>Instructional Funding</t>
  </si>
  <si>
    <t>Inst. Overhead Factor</t>
  </si>
  <si>
    <t>2010/11</t>
  </si>
  <si>
    <t>Total</t>
  </si>
  <si>
    <t>Not Needed</t>
  </si>
  <si>
    <t>BUDGET DIVISION</t>
  </si>
  <si>
    <t>President</t>
  </si>
  <si>
    <t xml:space="preserve">Provost </t>
  </si>
  <si>
    <t>Finance &amp; Aministration</t>
  </si>
  <si>
    <t>Strategy, Planning &amp; Policy</t>
  </si>
  <si>
    <t>Student Services &amp; Enrollment Management</t>
  </si>
  <si>
    <t>Development</t>
  </si>
  <si>
    <t>Facilities</t>
  </si>
  <si>
    <t>ADMIN &amp; SUPPORT</t>
  </si>
  <si>
    <t>OPERATING</t>
  </si>
  <si>
    <t>TOTAL ALLOCATION</t>
  </si>
  <si>
    <t>10/11 Expenditure</t>
  </si>
  <si>
    <t>+/- last year</t>
  </si>
  <si>
    <t>Required</t>
  </si>
  <si>
    <t>2011/12 Projected</t>
  </si>
  <si>
    <t>HeadCount Driven</t>
  </si>
  <si>
    <t>2011/12</t>
  </si>
  <si>
    <t>HOLD HARMLESS</t>
  </si>
  <si>
    <t>DIFFERENCE</t>
  </si>
  <si>
    <t>Variables</t>
  </si>
  <si>
    <t>Faculty (full time)</t>
  </si>
  <si>
    <t>Faculty (adjunct)</t>
  </si>
  <si>
    <t>Academic Operating</t>
  </si>
  <si>
    <t>FTE/Support Factor</t>
  </si>
  <si>
    <t>Support Operating</t>
  </si>
  <si>
    <t>Headcount Factor</t>
  </si>
  <si>
    <t>Support for Head Count</t>
  </si>
  <si>
    <t>Faculty (full time) Compensation</t>
  </si>
  <si>
    <t>Faculty (adjunct) Compensation</t>
  </si>
  <si>
    <t>Administrative Compensation</t>
  </si>
  <si>
    <t>Support Salary</t>
  </si>
  <si>
    <t>Facilities Funding per Sq.Ft</t>
  </si>
  <si>
    <t>Total Institutional Sq. Ft.</t>
  </si>
  <si>
    <t>Total Institutional Headcount</t>
  </si>
  <si>
    <t>Student Credit Hour Operating</t>
  </si>
  <si>
    <t>Calculated Faculty FTE</t>
  </si>
  <si>
    <t>Faculty Instructional Hours</t>
  </si>
  <si>
    <t>IH_Cost</t>
  </si>
  <si>
    <t>Actual Faculty FTE</t>
  </si>
  <si>
    <t>Department IH_Cost</t>
  </si>
  <si>
    <t>Institutional IH_Cost</t>
  </si>
  <si>
    <t>Revenue per Credit Hour</t>
  </si>
  <si>
    <t>Instructional Break-Even Class Size</t>
  </si>
  <si>
    <t>Departmental Break-Even Class Size</t>
  </si>
  <si>
    <t>Institutional Break-Even Class Size</t>
  </si>
  <si>
    <t>Restricted Class Size</t>
  </si>
  <si>
    <t>Cost Factor</t>
  </si>
  <si>
    <t xml:space="preserve">SALARIES </t>
  </si>
  <si>
    <t>Actual 2012</t>
  </si>
  <si>
    <t>BUDGET</t>
  </si>
  <si>
    <t>USTD 1101 is fee based course</t>
  </si>
  <si>
    <t>USTD 1201 is tuition based</t>
  </si>
  <si>
    <t>Undergrad</t>
  </si>
  <si>
    <t>Graduate</t>
  </si>
  <si>
    <t>2011-12 SCH</t>
  </si>
  <si>
    <t>UG SCH</t>
  </si>
  <si>
    <t>G SCH</t>
  </si>
  <si>
    <t>Required Class Size (Grad)</t>
  </si>
  <si>
    <t>Required Class Size (UG)</t>
  </si>
  <si>
    <t>G Fac. FTE</t>
  </si>
  <si>
    <t>UG Fac. FTE</t>
  </si>
  <si>
    <t>Required UG Faculty Teaching Load</t>
  </si>
  <si>
    <t>Required Grad Faculty Teaching Load</t>
  </si>
  <si>
    <t xml:space="preserve">2011/12 UG </t>
  </si>
  <si>
    <t>2011/12 Grad</t>
  </si>
  <si>
    <t>Faculty Salaries</t>
  </si>
  <si>
    <t>Formula Allocation</t>
  </si>
  <si>
    <t>AG</t>
  </si>
  <si>
    <t xml:space="preserve">Total </t>
  </si>
  <si>
    <t>Faculty</t>
  </si>
  <si>
    <t>Instructional SCH</t>
  </si>
  <si>
    <t>Lab SCH</t>
  </si>
  <si>
    <t>2011-12 HC</t>
  </si>
  <si>
    <t>total</t>
  </si>
  <si>
    <t>Required UG Lab (HC)</t>
  </si>
  <si>
    <t>Required Grad Lab (HC)</t>
  </si>
  <si>
    <t xml:space="preserve">Required </t>
  </si>
  <si>
    <t>UG Lab Fac</t>
  </si>
  <si>
    <t>G Lab Fac</t>
  </si>
  <si>
    <t>UG Lab (HC)</t>
  </si>
  <si>
    <t>G Lab (HC)</t>
  </si>
  <si>
    <t>AM</t>
  </si>
  <si>
    <t>BIO</t>
  </si>
  <si>
    <t>BCHM</t>
  </si>
  <si>
    <t>CMMT</t>
  </si>
  <si>
    <t>EML</t>
  </si>
  <si>
    <t>POLS</t>
  </si>
  <si>
    <t>PHYS</t>
  </si>
  <si>
    <t>NRS</t>
  </si>
  <si>
    <t>MCS</t>
  </si>
  <si>
    <t>AEF</t>
  </si>
  <si>
    <t>AS</t>
  </si>
  <si>
    <t>MM</t>
  </si>
  <si>
    <t>SSCJ</t>
  </si>
  <si>
    <t>CI</t>
  </si>
  <si>
    <t>ED</t>
  </si>
  <si>
    <t>KIN</t>
  </si>
  <si>
    <t>PSS</t>
  </si>
  <si>
    <t>HONR/USTD</t>
  </si>
  <si>
    <t>HIP</t>
  </si>
  <si>
    <t>Management &amp; Marketing</t>
  </si>
  <si>
    <t>2011/12
Total Credits</t>
  </si>
  <si>
    <t>Pol Science</t>
  </si>
  <si>
    <t>History</t>
  </si>
  <si>
    <t>Concerns/Questions</t>
  </si>
  <si>
    <t>Lab hours for Biology seem to be too low</t>
  </si>
  <si>
    <t>Total Expense appears to be lower than total faculty salaries for English Modern Languages</t>
  </si>
  <si>
    <t>Expense for Modern Languages was downloaded as 'Modern Langauages', corrected to read 'English &amp; Modern Languages' which corrected the problem.</t>
  </si>
  <si>
    <t>Should the Writing Center costs be included in English &amp; Modern Languages</t>
  </si>
  <si>
    <t>Will look at moving these expenses to IE funds.  Will also investigate moving Math labs to IE funds.</t>
  </si>
  <si>
    <t>Correct Separation of History/Criminal Justice/Security Studies</t>
  </si>
  <si>
    <t>Done</t>
  </si>
  <si>
    <t>No hours for Athletic Training</t>
  </si>
  <si>
    <t>This will have to be separated by Department Heads.  Courses were coded as Kinesiology in FY11</t>
  </si>
  <si>
    <t>No hours for Physical Therapy</t>
  </si>
  <si>
    <t>Action/Answer</t>
  </si>
  <si>
    <t>Courses are coded as NRS</t>
  </si>
  <si>
    <t>Instructional Hours on Cost Factor were not correct</t>
  </si>
  <si>
    <t>Adjusted Cost Factor Tab to calculate from column J not K (cut and pasted J to avoid circular reference)</t>
  </si>
  <si>
    <t>COA Code</t>
  </si>
  <si>
    <t>Fund Code</t>
  </si>
  <si>
    <t>Fund Description</t>
  </si>
  <si>
    <t>Organization Code</t>
  </si>
  <si>
    <t>Organization Description</t>
  </si>
  <si>
    <t>Account Code</t>
  </si>
  <si>
    <t>Account Description</t>
  </si>
  <si>
    <t>A</t>
  </si>
  <si>
    <t>0010</t>
  </si>
  <si>
    <t>Educational and General</t>
  </si>
  <si>
    <t>00010</t>
  </si>
  <si>
    <t>Est Income Educ &amp; General</t>
  </si>
  <si>
    <t>5010</t>
  </si>
  <si>
    <t>Legislative Appropriations</t>
  </si>
  <si>
    <t>5016</t>
  </si>
  <si>
    <t>Appropriations Supplement Gen Rev</t>
  </si>
  <si>
    <t>5050</t>
  </si>
  <si>
    <t>Tuition - Fall Semester</t>
  </si>
  <si>
    <t>5052</t>
  </si>
  <si>
    <t>Tuition - Spring Semester</t>
  </si>
  <si>
    <t>5058</t>
  </si>
  <si>
    <t>Tuition Rebate Section 54.0065</t>
  </si>
  <si>
    <t>5060</t>
  </si>
  <si>
    <t>Transfer TPEG</t>
  </si>
  <si>
    <t>5066</t>
  </si>
  <si>
    <t>Grad Tuition - Fall Semester</t>
  </si>
  <si>
    <t>5068</t>
  </si>
  <si>
    <t>Grad Tuition - Spring Semester</t>
  </si>
  <si>
    <t>5070</t>
  </si>
  <si>
    <t>Grad Tuition - I Summer Semester</t>
  </si>
  <si>
    <t>5072</t>
  </si>
  <si>
    <t>Grad Tuition - II Summer Semester</t>
  </si>
  <si>
    <t>5075</t>
  </si>
  <si>
    <t>Doctoral Tuition - Fall Semester</t>
  </si>
  <si>
    <t>5076</t>
  </si>
  <si>
    <t>Doctoral Tuition - Spring Semester</t>
  </si>
  <si>
    <t>5077</t>
  </si>
  <si>
    <t>Doctoral Tuition-I Summer Semester</t>
  </si>
  <si>
    <t>5078</t>
  </si>
  <si>
    <t>Doctoral Tuition-II Summer Semester</t>
  </si>
  <si>
    <t>5863</t>
  </si>
  <si>
    <t>Dep Int-Local Funds State Treasury</t>
  </si>
  <si>
    <t>5970</t>
  </si>
  <si>
    <t>Miscellaneous Income</t>
  </si>
  <si>
    <t>0018</t>
  </si>
  <si>
    <t>E&amp;G Institutional Enhancement</t>
  </si>
  <si>
    <t>00018</t>
  </si>
  <si>
    <t>Est Income E&amp;G Inst Enhancement</t>
  </si>
  <si>
    <t>0100</t>
  </si>
  <si>
    <t>Designated Tuition Fee</t>
  </si>
  <si>
    <t>00100</t>
  </si>
  <si>
    <t>Est Income Designated Tuition Fee</t>
  </si>
  <si>
    <t>5127</t>
  </si>
  <si>
    <t>Designated Tuition - Fall</t>
  </si>
  <si>
    <t>5128</t>
  </si>
  <si>
    <t>Designated Tuition - Spring</t>
  </si>
  <si>
    <t>5132</t>
  </si>
  <si>
    <t>Transfer B on Time Set Aside</t>
  </si>
  <si>
    <t>5134</t>
  </si>
  <si>
    <t>Transfer Ram Fin Aid Set Aside</t>
  </si>
  <si>
    <t>5450</t>
  </si>
  <si>
    <t>Endowment Income</t>
  </si>
  <si>
    <t>5500</t>
  </si>
  <si>
    <t>Ranch Sales</t>
  </si>
  <si>
    <t>5506</t>
  </si>
  <si>
    <t>Special Events Merchandise Sales</t>
  </si>
  <si>
    <t>5507</t>
  </si>
  <si>
    <t>Mail Services-Resale</t>
  </si>
  <si>
    <t>5508</t>
  </si>
  <si>
    <t>Mail Services-Postage Sales</t>
  </si>
  <si>
    <t>5515</t>
  </si>
  <si>
    <t>Dinner Theatre</t>
  </si>
  <si>
    <t>5535</t>
  </si>
  <si>
    <t>Ticket Fees</t>
  </si>
  <si>
    <t>5539</t>
  </si>
  <si>
    <t>Junell Center</t>
  </si>
  <si>
    <t>5540</t>
  </si>
  <si>
    <t>Higher One Commission</t>
  </si>
  <si>
    <t>5541</t>
  </si>
  <si>
    <t>OneCard Replacement Fee</t>
  </si>
  <si>
    <t>5542</t>
  </si>
  <si>
    <t>RamBucks</t>
  </si>
  <si>
    <t>5550</t>
  </si>
  <si>
    <t>SAY Baseball Complex</t>
  </si>
  <si>
    <t>5833</t>
  </si>
  <si>
    <t>SOAR</t>
  </si>
  <si>
    <t>5869</t>
  </si>
  <si>
    <t>Depository Bank Earnings Credit</t>
  </si>
  <si>
    <t>5872</t>
  </si>
  <si>
    <t>Indirect Costs Revenue</t>
  </si>
  <si>
    <t>5877</t>
  </si>
  <si>
    <t>Licensing Royalties</t>
  </si>
  <si>
    <t>5878</t>
  </si>
  <si>
    <t>Lease Revenue</t>
  </si>
  <si>
    <t>5884</t>
  </si>
  <si>
    <t>Mail Services</t>
  </si>
  <si>
    <t>5935</t>
  </si>
  <si>
    <t>Late Registration Fee</t>
  </si>
  <si>
    <t>5971</t>
  </si>
  <si>
    <t>Interest Income</t>
  </si>
  <si>
    <t>5998</t>
  </si>
  <si>
    <t>Non-Mandatory Transfer</t>
  </si>
  <si>
    <t>Less Line Items not transferrable</t>
  </si>
  <si>
    <t>Tuition Revenue Bond Retirement</t>
  </si>
  <si>
    <t>School-Based Clinic</t>
  </si>
  <si>
    <t>Center for Academic Excellence</t>
  </si>
  <si>
    <t>Small Business Development</t>
  </si>
  <si>
    <t>Center for Fine Arts</t>
  </si>
  <si>
    <t>MIR Center</t>
  </si>
  <si>
    <t>5019</t>
  </si>
  <si>
    <t>Appropriations Supplement OASI</t>
  </si>
  <si>
    <t>5031</t>
  </si>
  <si>
    <t>Appropriations Supplement ORP</t>
  </si>
  <si>
    <t>5034</t>
  </si>
  <si>
    <t>Appropriations Supplement TX Grants</t>
  </si>
  <si>
    <t>5300</t>
  </si>
  <si>
    <t>Valedictorian</t>
  </si>
  <si>
    <t>5301</t>
  </si>
  <si>
    <t>Texas Tomorrow Fund</t>
  </si>
  <si>
    <t>5302</t>
  </si>
  <si>
    <t>Veterans</t>
  </si>
  <si>
    <t>5304</t>
  </si>
  <si>
    <t>Reciprocal Education Exchange</t>
  </si>
  <si>
    <t>5306</t>
  </si>
  <si>
    <t>Blind and Deaf</t>
  </si>
  <si>
    <t>5312</t>
  </si>
  <si>
    <t>Sr. Citizens</t>
  </si>
  <si>
    <t>5314</t>
  </si>
  <si>
    <t>Child of Disabled Firemen</t>
  </si>
  <si>
    <t>5319</t>
  </si>
  <si>
    <t>Clinical Preceptors</t>
  </si>
  <si>
    <t>5320</t>
  </si>
  <si>
    <t>Child of Prof. Nursing Fac/Staff</t>
  </si>
  <si>
    <t>0012</t>
  </si>
  <si>
    <t>E&amp;G Incentive Performance Funding</t>
  </si>
  <si>
    <t>00012</t>
  </si>
  <si>
    <t>Est Income Incentive Performance Fd</t>
  </si>
  <si>
    <t>5351</t>
  </si>
  <si>
    <t>Federal Grant Funds (Stimulus)</t>
  </si>
  <si>
    <t>0015</t>
  </si>
  <si>
    <t>E&amp;G Nursing and Allied Health ARRA</t>
  </si>
  <si>
    <t>00015</t>
  </si>
  <si>
    <t>Est Income Nursing Allied Hlth ARRA</t>
  </si>
  <si>
    <t>5054</t>
  </si>
  <si>
    <t>Tuition - I Summer Semester</t>
  </si>
  <si>
    <t>5056</t>
  </si>
  <si>
    <t>Tuition - II Summer Semester</t>
  </si>
  <si>
    <t>5129</t>
  </si>
  <si>
    <t>5130</t>
  </si>
  <si>
    <t>FY12 Budget</t>
  </si>
  <si>
    <t>FY11 Actual</t>
  </si>
  <si>
    <t>FY13 Estimated</t>
  </si>
  <si>
    <t>Projected 2012/13</t>
  </si>
  <si>
    <t>Position report downloaded 3/29/12</t>
  </si>
  <si>
    <t>Position Number</t>
  </si>
  <si>
    <t>FUND</t>
  </si>
  <si>
    <t>ORGN</t>
  </si>
  <si>
    <t>DEPT</t>
  </si>
  <si>
    <t>ORGN Desc</t>
  </si>
  <si>
    <t>ACCT</t>
  </si>
  <si>
    <t>PROG</t>
  </si>
  <si>
    <t>PROG Desc</t>
  </si>
  <si>
    <t>ACTV</t>
  </si>
  <si>
    <t>ACTV Desc</t>
  </si>
  <si>
    <t>Salary Budget</t>
  </si>
  <si>
    <t>Distribution Budget</t>
  </si>
  <si>
    <t>Distribution Percent</t>
  </si>
  <si>
    <t>999948</t>
  </si>
  <si>
    <t>32100</t>
  </si>
  <si>
    <t>1050</t>
  </si>
  <si>
    <t>Office of the President</t>
  </si>
  <si>
    <t>7010</t>
  </si>
  <si>
    <t>6010</t>
  </si>
  <si>
    <t>General Administration</t>
  </si>
  <si>
    <t>110311</t>
  </si>
  <si>
    <t>Departmental Operating Expense</t>
  </si>
  <si>
    <t>999743</t>
  </si>
  <si>
    <t>33100</t>
  </si>
  <si>
    <t>1400</t>
  </si>
  <si>
    <t>Communications and Marketing</t>
  </si>
  <si>
    <t>6020</t>
  </si>
  <si>
    <t>General Institutional</t>
  </si>
  <si>
    <t>999454</t>
  </si>
  <si>
    <t>999877</t>
  </si>
  <si>
    <t>7015</t>
  </si>
  <si>
    <t>998915</t>
  </si>
  <si>
    <t>998933</t>
  </si>
  <si>
    <t>999180</t>
  </si>
  <si>
    <t>999878</t>
  </si>
  <si>
    <t>33290</t>
  </si>
  <si>
    <t>3110</t>
  </si>
  <si>
    <t>Budget and Payroll Services</t>
  </si>
  <si>
    <t>999004</t>
  </si>
  <si>
    <t>999726</t>
  </si>
  <si>
    <t>999856</t>
  </si>
  <si>
    <t>999997</t>
  </si>
  <si>
    <t>33300</t>
  </si>
  <si>
    <t>3300</t>
  </si>
  <si>
    <t>Controller's Office</t>
  </si>
  <si>
    <t>999998</t>
  </si>
  <si>
    <t>999990</t>
  </si>
  <si>
    <t>999937</t>
  </si>
  <si>
    <t>999879</t>
  </si>
  <si>
    <t>999999</t>
  </si>
  <si>
    <t>998910</t>
  </si>
  <si>
    <t>999718</t>
  </si>
  <si>
    <t>999764</t>
  </si>
  <si>
    <t>999758</t>
  </si>
  <si>
    <t>999958</t>
  </si>
  <si>
    <t>999925</t>
  </si>
  <si>
    <t>33319</t>
  </si>
  <si>
    <t>3700</t>
  </si>
  <si>
    <t>Materials Management Office</t>
  </si>
  <si>
    <t>999917</t>
  </si>
  <si>
    <t>999787</t>
  </si>
  <si>
    <t>999934</t>
  </si>
  <si>
    <t>999936</t>
  </si>
  <si>
    <t>999915</t>
  </si>
  <si>
    <t>998702</t>
  </si>
  <si>
    <t>999776</t>
  </si>
  <si>
    <t>999756</t>
  </si>
  <si>
    <t>999528</t>
  </si>
  <si>
    <t>33350</t>
  </si>
  <si>
    <t>3730</t>
  </si>
  <si>
    <t>Print Shop</t>
  </si>
  <si>
    <t>999774</t>
  </si>
  <si>
    <t>998374</t>
  </si>
  <si>
    <t>33715</t>
  </si>
  <si>
    <t>2240</t>
  </si>
  <si>
    <t>First Year Experience</t>
  </si>
  <si>
    <t>7008</t>
  </si>
  <si>
    <t>Student Services</t>
  </si>
  <si>
    <t>999742</t>
  </si>
  <si>
    <t>33730</t>
  </si>
  <si>
    <t>5230</t>
  </si>
  <si>
    <t>Financial Aid</t>
  </si>
  <si>
    <t>999064</t>
  </si>
  <si>
    <t>999906</t>
  </si>
  <si>
    <t>999907</t>
  </si>
  <si>
    <t>998950</t>
  </si>
  <si>
    <t>998382</t>
  </si>
  <si>
    <t>999909</t>
  </si>
  <si>
    <t>999200</t>
  </si>
  <si>
    <t>999905</t>
  </si>
  <si>
    <t>33765</t>
  </si>
  <si>
    <t>5220</t>
  </si>
  <si>
    <t>Career Development</t>
  </si>
  <si>
    <t>999870</t>
  </si>
  <si>
    <t>40005</t>
  </si>
  <si>
    <t>2405</t>
  </si>
  <si>
    <t>1010</t>
  </si>
  <si>
    <t>Arts and Sciences</t>
  </si>
  <si>
    <t>998931</t>
  </si>
  <si>
    <t>999356</t>
  </si>
  <si>
    <t>999358</t>
  </si>
  <si>
    <t>998882</t>
  </si>
  <si>
    <t>999359</t>
  </si>
  <si>
    <t>999295</t>
  </si>
  <si>
    <t>998674</t>
  </si>
  <si>
    <t>998620</t>
  </si>
  <si>
    <t>999357</t>
  </si>
  <si>
    <t>999229</t>
  </si>
  <si>
    <t>999871</t>
  </si>
  <si>
    <t>40010</t>
  </si>
  <si>
    <t>2410</t>
  </si>
  <si>
    <t>Art and Music</t>
  </si>
  <si>
    <t>999060</t>
  </si>
  <si>
    <t>999059</t>
  </si>
  <si>
    <t>999061</t>
  </si>
  <si>
    <t>999408</t>
  </si>
  <si>
    <t>999414</t>
  </si>
  <si>
    <t>999412</t>
  </si>
  <si>
    <t>999417</t>
  </si>
  <si>
    <t>999415</t>
  </si>
  <si>
    <t>999416</t>
  </si>
  <si>
    <t>999409</t>
  </si>
  <si>
    <t>998447</t>
  </si>
  <si>
    <t>999865</t>
  </si>
  <si>
    <t>40013</t>
  </si>
  <si>
    <t>2414</t>
  </si>
  <si>
    <t>998533</t>
  </si>
  <si>
    <t>998540</t>
  </si>
  <si>
    <t>999487</t>
  </si>
  <si>
    <t>999441</t>
  </si>
  <si>
    <t>999348</t>
  </si>
  <si>
    <t>999250</t>
  </si>
  <si>
    <t>999347</t>
  </si>
  <si>
    <t>999346</t>
  </si>
  <si>
    <t>999246</t>
  </si>
  <si>
    <t>999247</t>
  </si>
  <si>
    <t>999244</t>
  </si>
  <si>
    <t>999227</t>
  </si>
  <si>
    <t>999248</t>
  </si>
  <si>
    <t>999245</t>
  </si>
  <si>
    <t>999249</t>
  </si>
  <si>
    <t>999891</t>
  </si>
  <si>
    <t>40018</t>
  </si>
  <si>
    <t>2418</t>
  </si>
  <si>
    <t>Chemistry and Biochemistry</t>
  </si>
  <si>
    <t>999442</t>
  </si>
  <si>
    <t>999351</t>
  </si>
  <si>
    <t>999350</t>
  </si>
  <si>
    <t>999352</t>
  </si>
  <si>
    <t>999354</t>
  </si>
  <si>
    <t>999355</t>
  </si>
  <si>
    <t>999251</t>
  </si>
  <si>
    <t>999228</t>
  </si>
  <si>
    <t>999735</t>
  </si>
  <si>
    <t>40020</t>
  </si>
  <si>
    <t>2420</t>
  </si>
  <si>
    <t>Communication, Mass Media &amp; Theatre</t>
  </si>
  <si>
    <t>999893</t>
  </si>
  <si>
    <t>999491</t>
  </si>
  <si>
    <t>999492</t>
  </si>
  <si>
    <t>999869</t>
  </si>
  <si>
    <t>999322</t>
  </si>
  <si>
    <t>999405</t>
  </si>
  <si>
    <t>999453</t>
  </si>
  <si>
    <t>999455</t>
  </si>
  <si>
    <t>999062</t>
  </si>
  <si>
    <t>999406</t>
  </si>
  <si>
    <t>999324</t>
  </si>
  <si>
    <t>999404</t>
  </si>
  <si>
    <t>999403</t>
  </si>
  <si>
    <t>999323</t>
  </si>
  <si>
    <t>999225</t>
  </si>
  <si>
    <t>999407</t>
  </si>
  <si>
    <t>999451</t>
  </si>
  <si>
    <t>40030</t>
  </si>
  <si>
    <t>2430</t>
  </si>
  <si>
    <t>English and Modern Languages</t>
  </si>
  <si>
    <t>999399</t>
  </si>
  <si>
    <t>999384</t>
  </si>
  <si>
    <t>998687</t>
  </si>
  <si>
    <t>999081</t>
  </si>
  <si>
    <t>999284</t>
  </si>
  <si>
    <t>999319</t>
  </si>
  <si>
    <t>999385</t>
  </si>
  <si>
    <t>999387</t>
  </si>
  <si>
    <t>999388</t>
  </si>
  <si>
    <t>999398</t>
  </si>
  <si>
    <t>999401</t>
  </si>
  <si>
    <t>999396</t>
  </si>
  <si>
    <t>999400</t>
  </si>
  <si>
    <t>999490</t>
  </si>
  <si>
    <t>999220</t>
  </si>
  <si>
    <t>999402</t>
  </si>
  <si>
    <t>999397</t>
  </si>
  <si>
    <t>999321</t>
  </si>
  <si>
    <t>999318</t>
  </si>
  <si>
    <t>999314</t>
  </si>
  <si>
    <t>999391</t>
  </si>
  <si>
    <t>40040</t>
  </si>
  <si>
    <t>2440</t>
  </si>
  <si>
    <t>Political Science</t>
  </si>
  <si>
    <t>999393</t>
  </si>
  <si>
    <t>999394</t>
  </si>
  <si>
    <t>999276</t>
  </si>
  <si>
    <t>40050</t>
  </si>
  <si>
    <t>2450</t>
  </si>
  <si>
    <t>998713</t>
  </si>
  <si>
    <t>999273</t>
  </si>
  <si>
    <t>999390</t>
  </si>
  <si>
    <t>999274</t>
  </si>
  <si>
    <t>999389</t>
  </si>
  <si>
    <t>999275</t>
  </si>
  <si>
    <t>999440</t>
  </si>
  <si>
    <t>40058</t>
  </si>
  <si>
    <t>2465</t>
  </si>
  <si>
    <t>Mathematics and Computer Science</t>
  </si>
  <si>
    <t>999435</t>
  </si>
  <si>
    <t>999144</t>
  </si>
  <si>
    <t>999439</t>
  </si>
  <si>
    <t>999438</t>
  </si>
  <si>
    <t>998361</t>
  </si>
  <si>
    <t>999342</t>
  </si>
  <si>
    <t>999345</t>
  </si>
  <si>
    <t>999343</t>
  </si>
  <si>
    <t>999341</t>
  </si>
  <si>
    <t>999344</t>
  </si>
  <si>
    <t>999437</t>
  </si>
  <si>
    <t>999376</t>
  </si>
  <si>
    <t>999263</t>
  </si>
  <si>
    <t>999218</t>
  </si>
  <si>
    <t>999304</t>
  </si>
  <si>
    <t>999226</t>
  </si>
  <si>
    <t>999888</t>
  </si>
  <si>
    <t>40065</t>
  </si>
  <si>
    <t>2475</t>
  </si>
  <si>
    <t>998324</t>
  </si>
  <si>
    <t>998446</t>
  </si>
  <si>
    <t>999330</t>
  </si>
  <si>
    <t>999331</t>
  </si>
  <si>
    <t>999327</t>
  </si>
  <si>
    <t>999239</t>
  </si>
  <si>
    <t>999332</t>
  </si>
  <si>
    <t>999329</t>
  </si>
  <si>
    <t>999328</t>
  </si>
  <si>
    <t>999214</t>
  </si>
  <si>
    <t>998409</t>
  </si>
  <si>
    <t>999863</t>
  </si>
  <si>
    <t>40090</t>
  </si>
  <si>
    <t>2510</t>
  </si>
  <si>
    <t>1020</t>
  </si>
  <si>
    <t>Business</t>
  </si>
  <si>
    <t>999449</t>
  </si>
  <si>
    <t>999448</t>
  </si>
  <si>
    <t>999310</t>
  </si>
  <si>
    <t>999378</t>
  </si>
  <si>
    <t>999379</t>
  </si>
  <si>
    <t>999306</t>
  </si>
  <si>
    <t>999377</t>
  </si>
  <si>
    <t>999267</t>
  </si>
  <si>
    <t>999230</t>
  </si>
  <si>
    <t>999305</t>
  </si>
  <si>
    <t>998525</t>
  </si>
  <si>
    <t>999268</t>
  </si>
  <si>
    <t>999859</t>
  </si>
  <si>
    <t>40100</t>
  </si>
  <si>
    <t>2520</t>
  </si>
  <si>
    <t>999861</t>
  </si>
  <si>
    <t>40110</t>
  </si>
  <si>
    <t>2530</t>
  </si>
  <si>
    <t>Management and Marketing</t>
  </si>
  <si>
    <t>999301</t>
  </si>
  <si>
    <t>999300</t>
  </si>
  <si>
    <t>999257</t>
  </si>
  <si>
    <t>999258</t>
  </si>
  <si>
    <t>999370</t>
  </si>
  <si>
    <t>999369</t>
  </si>
  <si>
    <t>999371</t>
  </si>
  <si>
    <t>999259</t>
  </si>
  <si>
    <t>999219</t>
  </si>
  <si>
    <t>999298</t>
  </si>
  <si>
    <t>999299</t>
  </si>
  <si>
    <t>999302</t>
  </si>
  <si>
    <t>998503</t>
  </si>
  <si>
    <t>40140</t>
  </si>
  <si>
    <t>2535</t>
  </si>
  <si>
    <t>Security Studies Criminal Justice</t>
  </si>
  <si>
    <t>998613</t>
  </si>
  <si>
    <t>998484</t>
  </si>
  <si>
    <t>998485</t>
  </si>
  <si>
    <t>998498</t>
  </si>
  <si>
    <t>998499</t>
  </si>
  <si>
    <t>998541</t>
  </si>
  <si>
    <t>998464</t>
  </si>
  <si>
    <t>998619</t>
  </si>
  <si>
    <t>998584</t>
  </si>
  <si>
    <t>999395</t>
  </si>
  <si>
    <t>999392</t>
  </si>
  <si>
    <t>999316</t>
  </si>
  <si>
    <t>999142</t>
  </si>
  <si>
    <t>40160</t>
  </si>
  <si>
    <t>2630</t>
  </si>
  <si>
    <t>1025</t>
  </si>
  <si>
    <t>Education</t>
  </si>
  <si>
    <t>999068</t>
  </si>
  <si>
    <t>999361</t>
  </si>
  <si>
    <t>999366</t>
  </si>
  <si>
    <t>999365</t>
  </si>
  <si>
    <t>999360</t>
  </si>
  <si>
    <t>998892</t>
  </si>
  <si>
    <t>999368</t>
  </si>
  <si>
    <t>999141</t>
  </si>
  <si>
    <t>999065</t>
  </si>
  <si>
    <t>40165</t>
  </si>
  <si>
    <t>2610</t>
  </si>
  <si>
    <t>Curriculum and Instruction</t>
  </si>
  <si>
    <t>999367</t>
  </si>
  <si>
    <t>999297</t>
  </si>
  <si>
    <t>999067</t>
  </si>
  <si>
    <t>999140</t>
  </si>
  <si>
    <t>999362</t>
  </si>
  <si>
    <t>999363</t>
  </si>
  <si>
    <t>999066</t>
  </si>
  <si>
    <t>999475</t>
  </si>
  <si>
    <t>40282</t>
  </si>
  <si>
    <t>2830</t>
  </si>
  <si>
    <t>1035</t>
  </si>
  <si>
    <t>Health and Human Services</t>
  </si>
  <si>
    <t>999895</t>
  </si>
  <si>
    <t>999488</t>
  </si>
  <si>
    <t>998518</t>
  </si>
  <si>
    <t>998333</t>
  </si>
  <si>
    <t>999375</t>
  </si>
  <si>
    <t>998881</t>
  </si>
  <si>
    <t>999221</t>
  </si>
  <si>
    <t>999262</t>
  </si>
  <si>
    <t>999303</t>
  </si>
  <si>
    <t>999139</t>
  </si>
  <si>
    <t>999883</t>
  </si>
  <si>
    <t>40285</t>
  </si>
  <si>
    <t>2810</t>
  </si>
  <si>
    <t>999858</t>
  </si>
  <si>
    <t>998766</t>
  </si>
  <si>
    <t>998599</t>
  </si>
  <si>
    <t>998600</t>
  </si>
  <si>
    <t>998601</t>
  </si>
  <si>
    <t>999433</t>
  </si>
  <si>
    <t>999434</t>
  </si>
  <si>
    <t>998608</t>
  </si>
  <si>
    <t>998596</t>
  </si>
  <si>
    <t>998604</t>
  </si>
  <si>
    <t>998609</t>
  </si>
  <si>
    <t>999432</t>
  </si>
  <si>
    <t>999429</t>
  </si>
  <si>
    <t>998692</t>
  </si>
  <si>
    <t>998610</t>
  </si>
  <si>
    <t>999424</t>
  </si>
  <si>
    <t>999427</t>
  </si>
  <si>
    <t>999428</t>
  </si>
  <si>
    <t>999426</t>
  </si>
  <si>
    <t>999337</t>
  </si>
  <si>
    <t>998448</t>
  </si>
  <si>
    <t>999423</t>
  </si>
  <si>
    <t>998603</t>
  </si>
  <si>
    <t>999338</t>
  </si>
  <si>
    <t>999335</t>
  </si>
  <si>
    <t>999291</t>
  </si>
  <si>
    <t>999430</t>
  </si>
  <si>
    <t>999340</t>
  </si>
  <si>
    <t>999336</t>
  </si>
  <si>
    <t>999292</t>
  </si>
  <si>
    <t>998607</t>
  </si>
  <si>
    <t>999217</t>
  </si>
  <si>
    <t>999476</t>
  </si>
  <si>
    <t>40287</t>
  </si>
  <si>
    <t>998773</t>
  </si>
  <si>
    <t>998786</t>
  </si>
  <si>
    <t>40291</t>
  </si>
  <si>
    <t>2820</t>
  </si>
  <si>
    <t>Physical Therapy Graduate Program</t>
  </si>
  <si>
    <t>999868</t>
  </si>
  <si>
    <t>40295</t>
  </si>
  <si>
    <t>2860</t>
  </si>
  <si>
    <t>999489</t>
  </si>
  <si>
    <t>998460</t>
  </si>
  <si>
    <t>998779</t>
  </si>
  <si>
    <t>998787</t>
  </si>
  <si>
    <t>999271</t>
  </si>
  <si>
    <t>999312</t>
  </si>
  <si>
    <t>999380</t>
  </si>
  <si>
    <t>999382</t>
  </si>
  <si>
    <t>999450</t>
  </si>
  <si>
    <t>999383</t>
  </si>
  <si>
    <t>999381</t>
  </si>
  <si>
    <t>999311</t>
  </si>
  <si>
    <t>999270</t>
  </si>
  <si>
    <t>999269</t>
  </si>
  <si>
    <t>998344</t>
  </si>
  <si>
    <t>40475</t>
  </si>
  <si>
    <t>2054</t>
  </si>
  <si>
    <t>Honors Program</t>
  </si>
  <si>
    <t>1040</t>
  </si>
  <si>
    <t>Other Instructional &amp; Departmental</t>
  </si>
  <si>
    <t>999133</t>
  </si>
  <si>
    <t>40500</t>
  </si>
  <si>
    <t>3100</t>
  </si>
  <si>
    <t>General Contingency (TBA President)</t>
  </si>
  <si>
    <t>999134</t>
  </si>
  <si>
    <t>40590</t>
  </si>
  <si>
    <t>2050</t>
  </si>
  <si>
    <t>Non Tenure Eligible Faculty Pool</t>
  </si>
  <si>
    <t>41000</t>
  </si>
  <si>
    <t>2400</t>
  </si>
  <si>
    <t>College of Arts and Sciences</t>
  </si>
  <si>
    <t>4010</t>
  </si>
  <si>
    <t>Academic Administration</t>
  </si>
  <si>
    <t>999881</t>
  </si>
  <si>
    <t>999025</t>
  </si>
  <si>
    <t>999843</t>
  </si>
  <si>
    <t>998451</t>
  </si>
  <si>
    <t>999233</t>
  </si>
  <si>
    <t>999844</t>
  </si>
  <si>
    <t>41050</t>
  </si>
  <si>
    <t>2500</t>
  </si>
  <si>
    <t>College of Business</t>
  </si>
  <si>
    <t>999236</t>
  </si>
  <si>
    <t>999940</t>
  </si>
  <si>
    <t>41080</t>
  </si>
  <si>
    <t>2600</t>
  </si>
  <si>
    <t>College of Education</t>
  </si>
  <si>
    <t>999850</t>
  </si>
  <si>
    <t>998934</t>
  </si>
  <si>
    <t>999849</t>
  </si>
  <si>
    <t>999235</t>
  </si>
  <si>
    <t>999232</t>
  </si>
  <si>
    <t>41100</t>
  </si>
  <si>
    <t>2700</t>
  </si>
  <si>
    <t>College of Sciences</t>
  </si>
  <si>
    <t>998946</t>
  </si>
  <si>
    <t>41150</t>
  </si>
  <si>
    <t>2900</t>
  </si>
  <si>
    <t>College of Graduate Studies</t>
  </si>
  <si>
    <t>999853</t>
  </si>
  <si>
    <t>999729</t>
  </si>
  <si>
    <t>43100</t>
  </si>
  <si>
    <t>University Ranch Operations</t>
  </si>
  <si>
    <t>4030</t>
  </si>
  <si>
    <t>Ranch Operation</t>
  </si>
  <si>
    <t>224115</t>
  </si>
  <si>
    <t>Organized Activitites</t>
  </si>
  <si>
    <t>999715</t>
  </si>
  <si>
    <t>999804</t>
  </si>
  <si>
    <t>44000</t>
  </si>
  <si>
    <t>2052</t>
  </si>
  <si>
    <t>Library Operations</t>
  </si>
  <si>
    <t>4020</t>
  </si>
  <si>
    <t>Library</t>
  </si>
  <si>
    <t>999798</t>
  </si>
  <si>
    <t>999206</t>
  </si>
  <si>
    <t>999792</t>
  </si>
  <si>
    <t>999800</t>
  </si>
  <si>
    <t>999801</t>
  </si>
  <si>
    <t>999802</t>
  </si>
  <si>
    <t>999803</t>
  </si>
  <si>
    <t>999889</t>
  </si>
  <si>
    <t>999799</t>
  </si>
  <si>
    <t>999753</t>
  </si>
  <si>
    <t>999002</t>
  </si>
  <si>
    <t>999762</t>
  </si>
  <si>
    <t>999514</t>
  </si>
  <si>
    <t>46000</t>
  </si>
  <si>
    <t>3500</t>
  </si>
  <si>
    <t>Facilities Mgmt  Administration</t>
  </si>
  <si>
    <t>Operation &amp; Maintenance of Plant</t>
  </si>
  <si>
    <t>128218</t>
  </si>
  <si>
    <t>Plant Support Services</t>
  </si>
  <si>
    <t>999922</t>
  </si>
  <si>
    <t>998929</t>
  </si>
  <si>
    <t>999923</t>
  </si>
  <si>
    <t>999531</t>
  </si>
  <si>
    <t>999846</t>
  </si>
  <si>
    <t>999957</t>
  </si>
  <si>
    <t>999513</t>
  </si>
  <si>
    <t>46200</t>
  </si>
  <si>
    <t>3550</t>
  </si>
  <si>
    <t>Building Maintenance</t>
  </si>
  <si>
    <t>999767</t>
  </si>
  <si>
    <t>999534</t>
  </si>
  <si>
    <t>999533</t>
  </si>
  <si>
    <t>999521</t>
  </si>
  <si>
    <t>998918</t>
  </si>
  <si>
    <t>999525</t>
  </si>
  <si>
    <t>999520</t>
  </si>
  <si>
    <t>999522</t>
  </si>
  <si>
    <t>999519</t>
  </si>
  <si>
    <t>999530</t>
  </si>
  <si>
    <t>999510</t>
  </si>
  <si>
    <t>999524</t>
  </si>
  <si>
    <t>999775</t>
  </si>
  <si>
    <t>999507</t>
  </si>
  <si>
    <t>999515</t>
  </si>
  <si>
    <t>999768</t>
  </si>
  <si>
    <t>46300</t>
  </si>
  <si>
    <t>3510</t>
  </si>
  <si>
    <t>Custodial Services</t>
  </si>
  <si>
    <t>999974</t>
  </si>
  <si>
    <t>999977</t>
  </si>
  <si>
    <t>46400</t>
  </si>
  <si>
    <t>3530</t>
  </si>
  <si>
    <t>Grounds Maintenance</t>
  </si>
  <si>
    <t>999979</t>
  </si>
  <si>
    <t>999980</t>
  </si>
  <si>
    <t>999981</t>
  </si>
  <si>
    <t>999984</t>
  </si>
  <si>
    <t>999985</t>
  </si>
  <si>
    <t>999982</t>
  </si>
  <si>
    <t>998536</t>
  </si>
  <si>
    <t>999983</t>
  </si>
  <si>
    <t>999975</t>
  </si>
  <si>
    <t>999986</t>
  </si>
  <si>
    <t>999978</t>
  </si>
  <si>
    <t>999786</t>
  </si>
  <si>
    <t>46500</t>
  </si>
  <si>
    <t>3520</t>
  </si>
  <si>
    <t>Other Utility Costs</t>
  </si>
  <si>
    <t>999511</t>
  </si>
  <si>
    <t>999506</t>
  </si>
  <si>
    <t>999505</t>
  </si>
  <si>
    <t>48500</t>
  </si>
  <si>
    <t>Management Instr &amp; Research Ctr</t>
  </si>
  <si>
    <t>9210</t>
  </si>
  <si>
    <t>Special Items</t>
  </si>
  <si>
    <t>152113</t>
  </si>
  <si>
    <t>Management, Instruction</t>
  </si>
  <si>
    <t>998513</t>
  </si>
  <si>
    <t>48610</t>
  </si>
  <si>
    <t>2220</t>
  </si>
  <si>
    <t>161111</t>
  </si>
  <si>
    <t>Center For Academic Excellence</t>
  </si>
  <si>
    <t>999053</t>
  </si>
  <si>
    <t>998818</t>
  </si>
  <si>
    <t>998527</t>
  </si>
  <si>
    <t>999782</t>
  </si>
  <si>
    <t>998534</t>
  </si>
  <si>
    <t>999901</t>
  </si>
  <si>
    <t>999854</t>
  </si>
  <si>
    <t>998539</t>
  </si>
  <si>
    <t>999129</t>
  </si>
  <si>
    <t>998415</t>
  </si>
  <si>
    <t>999952</t>
  </si>
  <si>
    <t>999128</t>
  </si>
  <si>
    <t>998668</t>
  </si>
  <si>
    <t>48660</t>
  </si>
  <si>
    <t>School Based Clinics</t>
  </si>
  <si>
    <t>150113</t>
  </si>
  <si>
    <t>School-Based Clinics</t>
  </si>
  <si>
    <t>999712</t>
  </si>
  <si>
    <t>48670</t>
  </si>
  <si>
    <t>2540</t>
  </si>
  <si>
    <t>Small Business Development Center</t>
  </si>
  <si>
    <t>3010</t>
  </si>
  <si>
    <t>Public Service</t>
  </si>
  <si>
    <t>153113</t>
  </si>
  <si>
    <t>Special Item Small Business Develop</t>
  </si>
  <si>
    <t>998660</t>
  </si>
  <si>
    <t>999717</t>
  </si>
  <si>
    <t>999873</t>
  </si>
  <si>
    <t>999962</t>
  </si>
  <si>
    <t>41120</t>
  </si>
  <si>
    <t>College Health and Human Services</t>
  </si>
  <si>
    <t>998904</t>
  </si>
  <si>
    <t>33710</t>
  </si>
  <si>
    <t>Pre-Enrollment Advising-Graduate</t>
  </si>
  <si>
    <t>159111</t>
  </si>
  <si>
    <t>Institutional Enhancement</t>
  </si>
  <si>
    <t>999288</t>
  </si>
  <si>
    <t>999410</t>
  </si>
  <si>
    <t>999418</t>
  </si>
  <si>
    <t>999413</t>
  </si>
  <si>
    <t>999411</t>
  </si>
  <si>
    <t>999325</t>
  </si>
  <si>
    <t>999326</t>
  </si>
  <si>
    <t>999231</t>
  </si>
  <si>
    <t>999349</t>
  </si>
  <si>
    <t>999320</t>
  </si>
  <si>
    <t>999317</t>
  </si>
  <si>
    <t>999224</t>
  </si>
  <si>
    <t>999283</t>
  </si>
  <si>
    <t>999285</t>
  </si>
  <si>
    <t>999281</t>
  </si>
  <si>
    <t>999280</t>
  </si>
  <si>
    <t>999315</t>
  </si>
  <si>
    <t>999279</t>
  </si>
  <si>
    <t>999222</t>
  </si>
  <si>
    <t>999277</t>
  </si>
  <si>
    <t>999278</t>
  </si>
  <si>
    <t>999223</t>
  </si>
  <si>
    <t>998949</t>
  </si>
  <si>
    <t>999436</t>
  </si>
  <si>
    <t>999293</t>
  </si>
  <si>
    <t>999241</t>
  </si>
  <si>
    <t>999307</t>
  </si>
  <si>
    <t>999252</t>
  </si>
  <si>
    <t>999296</t>
  </si>
  <si>
    <t>999256</t>
  </si>
  <si>
    <t>999255</t>
  </si>
  <si>
    <t>40290</t>
  </si>
  <si>
    <t>999872</t>
  </si>
  <si>
    <t>333333</t>
  </si>
  <si>
    <t>999422</t>
  </si>
  <si>
    <t>998780</t>
  </si>
  <si>
    <t>999419</t>
  </si>
  <si>
    <t>999420</t>
  </si>
  <si>
    <t>999334</t>
  </si>
  <si>
    <t>999421</t>
  </si>
  <si>
    <t>999290</t>
  </si>
  <si>
    <t>999333</t>
  </si>
  <si>
    <t>998404</t>
  </si>
  <si>
    <t>998405</t>
  </si>
  <si>
    <t>998670</t>
  </si>
  <si>
    <t>999313</t>
  </si>
  <si>
    <t>999216</t>
  </si>
  <si>
    <t>999836</t>
  </si>
  <si>
    <t>40340</t>
  </si>
  <si>
    <t>Information Technology</t>
  </si>
  <si>
    <t>999835</t>
  </si>
  <si>
    <t>999805</t>
  </si>
  <si>
    <t>999826</t>
  </si>
  <si>
    <t>999823</t>
  </si>
  <si>
    <t>999832</t>
  </si>
  <si>
    <t>999816</t>
  </si>
  <si>
    <t>999819</t>
  </si>
  <si>
    <t>998878</t>
  </si>
  <si>
    <t>999828</t>
  </si>
  <si>
    <t>999160</t>
  </si>
  <si>
    <t>999820</t>
  </si>
  <si>
    <t>999822</t>
  </si>
  <si>
    <t>999818</t>
  </si>
  <si>
    <t>999810</t>
  </si>
  <si>
    <t>40480</t>
  </si>
  <si>
    <t>Planetarium</t>
  </si>
  <si>
    <t>999725</t>
  </si>
  <si>
    <t>41300</t>
  </si>
  <si>
    <t>5210</t>
  </si>
  <si>
    <t>Maintenance Scholastic &amp; Adm Stdrds</t>
  </si>
  <si>
    <t>999120</t>
  </si>
  <si>
    <t>45000</t>
  </si>
  <si>
    <t>2910</t>
  </si>
  <si>
    <t>Research Enhancement Reserve</t>
  </si>
  <si>
    <t>2010</t>
  </si>
  <si>
    <t>Research</t>
  </si>
  <si>
    <t>0019</t>
  </si>
  <si>
    <t>110413</t>
  </si>
  <si>
    <t>Stimulus Formula Funding</t>
  </si>
  <si>
    <t>999731</t>
  </si>
  <si>
    <t>998808</t>
  </si>
  <si>
    <t>998616</t>
  </si>
  <si>
    <t>999339</t>
  </si>
  <si>
    <t>998581</t>
  </si>
  <si>
    <t>2800</t>
  </si>
  <si>
    <t>998618</t>
  </si>
  <si>
    <t>998645</t>
  </si>
  <si>
    <t>999720</t>
  </si>
  <si>
    <t>998837</t>
  </si>
  <si>
    <t>998502</t>
  </si>
  <si>
    <t>998400</t>
  </si>
  <si>
    <t>998403</t>
  </si>
  <si>
    <t>998332</t>
  </si>
  <si>
    <t>998402</t>
  </si>
  <si>
    <t>998401</t>
  </si>
  <si>
    <t>998836</t>
  </si>
  <si>
    <t>998398</t>
  </si>
  <si>
    <t>999852</t>
  </si>
  <si>
    <t>60010</t>
  </si>
  <si>
    <t>President's Office</t>
  </si>
  <si>
    <t>DES</t>
  </si>
  <si>
    <t>Designated Funds</t>
  </si>
  <si>
    <t>999838</t>
  </si>
  <si>
    <t>999953</t>
  </si>
  <si>
    <t>998641</t>
  </si>
  <si>
    <t>60022</t>
  </si>
  <si>
    <t>TTF Minerals and Royalties</t>
  </si>
  <si>
    <t>998926</t>
  </si>
  <si>
    <t>60025</t>
  </si>
  <si>
    <t>3050</t>
  </si>
  <si>
    <t>Office Finance and Administration</t>
  </si>
  <si>
    <t>998611</t>
  </si>
  <si>
    <t>999949</t>
  </si>
  <si>
    <t>999007</t>
  </si>
  <si>
    <t>60030</t>
  </si>
  <si>
    <t>Associate VP Finance and Admin</t>
  </si>
  <si>
    <t>999839</t>
  </si>
  <si>
    <t>60040</t>
  </si>
  <si>
    <t>Office Academic Affairs</t>
  </si>
  <si>
    <t>999875</t>
  </si>
  <si>
    <t>999951</t>
  </si>
  <si>
    <t>998879</t>
  </si>
  <si>
    <t>60080</t>
  </si>
  <si>
    <t>6050</t>
  </si>
  <si>
    <t>Office VP for Development</t>
  </si>
  <si>
    <t>998838</t>
  </si>
  <si>
    <t>999199</t>
  </si>
  <si>
    <t>998908</t>
  </si>
  <si>
    <t>998659</t>
  </si>
  <si>
    <t>998784</t>
  </si>
  <si>
    <t>999705</t>
  </si>
  <si>
    <t>999851</t>
  </si>
  <si>
    <t>60092</t>
  </si>
  <si>
    <t>Ofc Student Affairs Enrollment Mgmt</t>
  </si>
  <si>
    <t>998490</t>
  </si>
  <si>
    <t>998685</t>
  </si>
  <si>
    <t>998589</t>
  </si>
  <si>
    <t>60102</t>
  </si>
  <si>
    <t>Branding and Marketing</t>
  </si>
  <si>
    <t>998767</t>
  </si>
  <si>
    <t>60103</t>
  </si>
  <si>
    <t>998886</t>
  </si>
  <si>
    <t>998746</t>
  </si>
  <si>
    <t>999969</t>
  </si>
  <si>
    <t>999713</t>
  </si>
  <si>
    <t>998582</t>
  </si>
  <si>
    <t>60104</t>
  </si>
  <si>
    <t>Inst Research and Accountability</t>
  </si>
  <si>
    <t>999899</t>
  </si>
  <si>
    <t>998928</t>
  </si>
  <si>
    <t>999966</t>
  </si>
  <si>
    <t>998978</t>
  </si>
  <si>
    <t>60105</t>
  </si>
  <si>
    <t>IT Technology Services</t>
  </si>
  <si>
    <t>998544</t>
  </si>
  <si>
    <t>998917</t>
  </si>
  <si>
    <t>999821</t>
  </si>
  <si>
    <t>999963</t>
  </si>
  <si>
    <t>60109</t>
  </si>
  <si>
    <t>Institutional Effectiveness</t>
  </si>
  <si>
    <t>998843</t>
  </si>
  <si>
    <t>60112</t>
  </si>
  <si>
    <t>2110</t>
  </si>
  <si>
    <t>Center for Innovation</t>
  </si>
  <si>
    <t>998841</t>
  </si>
  <si>
    <t>998907</t>
  </si>
  <si>
    <t>60113</t>
  </si>
  <si>
    <t>Sponsored Projects Office</t>
  </si>
  <si>
    <t>998612</t>
  </si>
  <si>
    <t>60170</t>
  </si>
  <si>
    <t>Budget Office</t>
  </si>
  <si>
    <t>998700</t>
  </si>
  <si>
    <t>999003</t>
  </si>
  <si>
    <t>998955</t>
  </si>
  <si>
    <t>60200</t>
  </si>
  <si>
    <t>3120</t>
  </si>
  <si>
    <t>Human Resources Office</t>
  </si>
  <si>
    <t>998491</t>
  </si>
  <si>
    <t>998526</t>
  </si>
  <si>
    <t>998834</t>
  </si>
  <si>
    <t>999709</t>
  </si>
  <si>
    <t>999723</t>
  </si>
  <si>
    <t>999959</t>
  </si>
  <si>
    <t>998408</t>
  </si>
  <si>
    <t>60205</t>
  </si>
  <si>
    <t>3720</t>
  </si>
  <si>
    <t>999933</t>
  </si>
  <si>
    <t>999924</t>
  </si>
  <si>
    <t>998839</t>
  </si>
  <si>
    <t>60209</t>
  </si>
  <si>
    <t>Office of Materials Management</t>
  </si>
  <si>
    <t>998925</t>
  </si>
  <si>
    <t>999916</t>
  </si>
  <si>
    <t>60210</t>
  </si>
  <si>
    <t>3740</t>
  </si>
  <si>
    <t>Purchasing Office</t>
  </si>
  <si>
    <t>999918</t>
  </si>
  <si>
    <t>998755</t>
  </si>
  <si>
    <t>999995</t>
  </si>
  <si>
    <t>999910</t>
  </si>
  <si>
    <t>999968</t>
  </si>
  <si>
    <t>999098</t>
  </si>
  <si>
    <t>60220</t>
  </si>
  <si>
    <t>3910</t>
  </si>
  <si>
    <t>OneCard Operations</t>
  </si>
  <si>
    <t>999777</t>
  </si>
  <si>
    <t>999211</t>
  </si>
  <si>
    <t>60222</t>
  </si>
  <si>
    <t>EHS and Risk Management</t>
  </si>
  <si>
    <t>999501</t>
  </si>
  <si>
    <t>60245</t>
  </si>
  <si>
    <t>3900</t>
  </si>
  <si>
    <t>University Police</t>
  </si>
  <si>
    <t>6030</t>
  </si>
  <si>
    <t>Campus Police</t>
  </si>
  <si>
    <t>999503</t>
  </si>
  <si>
    <t>999057</t>
  </si>
  <si>
    <t>999497</t>
  </si>
  <si>
    <t>999498</t>
  </si>
  <si>
    <t>999499</t>
  </si>
  <si>
    <t>999494</t>
  </si>
  <si>
    <t>999495</t>
  </si>
  <si>
    <t>999493</t>
  </si>
  <si>
    <t>999961</t>
  </si>
  <si>
    <t>999771</t>
  </si>
  <si>
    <t>60260</t>
  </si>
  <si>
    <t>3210</t>
  </si>
  <si>
    <t>998884</t>
  </si>
  <si>
    <t>999967</t>
  </si>
  <si>
    <t>999097</t>
  </si>
  <si>
    <t>998356</t>
  </si>
  <si>
    <t>60265</t>
  </si>
  <si>
    <t>Alumni Relations</t>
  </si>
  <si>
    <t>998357</t>
  </si>
  <si>
    <t>998696</t>
  </si>
  <si>
    <t>60277</t>
  </si>
  <si>
    <t>3052</t>
  </si>
  <si>
    <t>Admin. Planning &amp; Special Projects</t>
  </si>
  <si>
    <t>999960</t>
  </si>
  <si>
    <t>999780</t>
  </si>
  <si>
    <t>60280</t>
  </si>
  <si>
    <t>3240</t>
  </si>
  <si>
    <t>Ticket Office</t>
  </si>
  <si>
    <t>999855</t>
  </si>
  <si>
    <t>60285</t>
  </si>
  <si>
    <t>2140</t>
  </si>
  <si>
    <t>Quality Enhancement Plan</t>
  </si>
  <si>
    <t>998781</t>
  </si>
  <si>
    <t>60295</t>
  </si>
  <si>
    <t>5200</t>
  </si>
  <si>
    <t>Enrollment Management</t>
  </si>
  <si>
    <t>999740</t>
  </si>
  <si>
    <t>60300</t>
  </si>
  <si>
    <t>Financial Aid Office</t>
  </si>
  <si>
    <t>999741</t>
  </si>
  <si>
    <t>999964</t>
  </si>
  <si>
    <t>998457</t>
  </si>
  <si>
    <t>60303</t>
  </si>
  <si>
    <t>Admissions Office</t>
  </si>
  <si>
    <t>998512</t>
  </si>
  <si>
    <t>60305</t>
  </si>
  <si>
    <t>999973</t>
  </si>
  <si>
    <t>999738</t>
  </si>
  <si>
    <t>60308</t>
  </si>
  <si>
    <t>5100</t>
  </si>
  <si>
    <t>Office of Exec Dir of Student Life</t>
  </si>
  <si>
    <t>999894</t>
  </si>
  <si>
    <t>999760</t>
  </si>
  <si>
    <t>60309</t>
  </si>
  <si>
    <t>998909</t>
  </si>
  <si>
    <t>60310</t>
  </si>
  <si>
    <t>5110</t>
  </si>
  <si>
    <t>Student Involvement</t>
  </si>
  <si>
    <t>999746</t>
  </si>
  <si>
    <t>60315</t>
  </si>
  <si>
    <t>Pre-Enrollment Advising &amp; Visit</t>
  </si>
  <si>
    <t>998678</t>
  </si>
  <si>
    <t>60353</t>
  </si>
  <si>
    <t>1700</t>
  </si>
  <si>
    <t>Multicultural Relations</t>
  </si>
  <si>
    <t>998819</t>
  </si>
  <si>
    <t>998833</t>
  </si>
  <si>
    <t>998785</t>
  </si>
  <si>
    <t>60354</t>
  </si>
  <si>
    <t>Multicultural Center</t>
  </si>
  <si>
    <t>998888</t>
  </si>
  <si>
    <t>60355</t>
  </si>
  <si>
    <t>2051</t>
  </si>
  <si>
    <t>Center for International Studies</t>
  </si>
  <si>
    <t>998890</t>
  </si>
  <si>
    <t>998889</t>
  </si>
  <si>
    <t>998840</t>
  </si>
  <si>
    <t>998442</t>
  </si>
  <si>
    <t>60420</t>
  </si>
  <si>
    <t>999887</t>
  </si>
  <si>
    <t>60425</t>
  </si>
  <si>
    <t>998441</t>
  </si>
  <si>
    <t>60430</t>
  </si>
  <si>
    <t>998440</t>
  </si>
  <si>
    <t>60434</t>
  </si>
  <si>
    <t>999932</t>
  </si>
  <si>
    <t>60612</t>
  </si>
  <si>
    <t>Writing Center</t>
  </si>
  <si>
    <t>60691</t>
  </si>
  <si>
    <t>SACS Accreditation</t>
  </si>
  <si>
    <t>61023</t>
  </si>
  <si>
    <t>Instr Planning &amp; Faculty Recruitmnt</t>
  </si>
  <si>
    <t>999793</t>
  </si>
  <si>
    <t>61030</t>
  </si>
  <si>
    <t>999794</t>
  </si>
  <si>
    <t>999790</t>
  </si>
  <si>
    <t>999789</t>
  </si>
  <si>
    <t>999788</t>
  </si>
  <si>
    <t>999791</t>
  </si>
  <si>
    <t>999956</t>
  </si>
  <si>
    <t>998749</t>
  </si>
  <si>
    <t>61148</t>
  </si>
  <si>
    <t>Facilities Mgmt  Operations</t>
  </si>
  <si>
    <t>998698</t>
  </si>
  <si>
    <t>61150</t>
  </si>
  <si>
    <t>999529</t>
  </si>
  <si>
    <t>999512</t>
  </si>
  <si>
    <t>999508</t>
  </si>
  <si>
    <t>999518</t>
  </si>
  <si>
    <t>999516</t>
  </si>
  <si>
    <t>999517</t>
  </si>
  <si>
    <t>999769</t>
  </si>
  <si>
    <t>61185</t>
  </si>
  <si>
    <t>Junell Center Plant Operations</t>
  </si>
  <si>
    <t>999991</t>
  </si>
  <si>
    <t>0117</t>
  </si>
  <si>
    <t>60175</t>
  </si>
  <si>
    <t>998697</t>
  </si>
  <si>
    <t>999926</t>
  </si>
  <si>
    <t>999994</t>
  </si>
  <si>
    <t>999763</t>
  </si>
  <si>
    <t>998370</t>
  </si>
  <si>
    <t>60301</t>
  </si>
  <si>
    <t>5240</t>
  </si>
  <si>
    <t>Office of the Registrar</t>
  </si>
  <si>
    <t>998977</t>
  </si>
  <si>
    <t>999912</t>
  </si>
  <si>
    <t>999914</t>
  </si>
  <si>
    <t>999904</t>
  </si>
  <si>
    <t>998594</t>
  </si>
  <si>
    <t>999876</t>
  </si>
  <si>
    <t>999770</t>
  </si>
  <si>
    <t>999757</t>
  </si>
  <si>
    <t>998979</t>
  </si>
  <si>
    <t>999913</t>
  </si>
  <si>
    <t>999929</t>
  </si>
  <si>
    <t>998885</t>
  </si>
  <si>
    <t>999096</t>
  </si>
  <si>
    <t>999747</t>
  </si>
  <si>
    <t>998621</t>
  </si>
  <si>
    <t>999847</t>
  </si>
  <si>
    <t>999772</t>
  </si>
  <si>
    <t>999238</t>
  </si>
  <si>
    <t>999745</t>
  </si>
  <si>
    <t>999778</t>
  </si>
  <si>
    <t>Div</t>
  </si>
  <si>
    <t>Row Labels</t>
  </si>
  <si>
    <t>(blank)</t>
  </si>
  <si>
    <t>Grand Total</t>
  </si>
  <si>
    <t>1</t>
  </si>
  <si>
    <t>2</t>
  </si>
  <si>
    <t>3</t>
  </si>
  <si>
    <t>5</t>
  </si>
  <si>
    <t>6</t>
  </si>
  <si>
    <t>Sum of Distribution Budget</t>
  </si>
  <si>
    <t>(Multiple Items)</t>
  </si>
  <si>
    <t>FSYR</t>
  </si>
  <si>
    <t>DEPARTMENT</t>
  </si>
  <si>
    <t>DEPT CODE</t>
  </si>
  <si>
    <t>FUND CODE</t>
  </si>
  <si>
    <t>ORGANIZATION</t>
  </si>
  <si>
    <t>ORGN CODE</t>
  </si>
  <si>
    <t>MANAGER</t>
  </si>
  <si>
    <t>ADOPTED BUDGET</t>
  </si>
  <si>
    <t>PRIOR YR ENC</t>
  </si>
  <si>
    <t>BEGINNING BUDGET</t>
  </si>
  <si>
    <t>SALARY</t>
  </si>
  <si>
    <t>SALARY STUDENTS</t>
  </si>
  <si>
    <t>BENEFITS</t>
  </si>
  <si>
    <t>OPERATING EXPENSE</t>
  </si>
  <si>
    <t>COMMITMENTS</t>
  </si>
  <si>
    <t>TOTAL EXPENSE</t>
  </si>
  <si>
    <t>AVAILABLE BALANCE</t>
  </si>
  <si>
    <t>2011</t>
  </si>
  <si>
    <t>Morales, Adelina C.</t>
  </si>
  <si>
    <t>0.00</t>
  </si>
  <si>
    <t>Rallo, Joseph C.</t>
  </si>
  <si>
    <t>Institutional Memberships</t>
  </si>
  <si>
    <t>60107</t>
  </si>
  <si>
    <t>Achievement Awards &amp; Functions</t>
  </si>
  <si>
    <t>60275</t>
  </si>
  <si>
    <t>Faculty Senate</t>
  </si>
  <si>
    <t>61025</t>
  </si>
  <si>
    <t>Sleutel, Martha R.</t>
  </si>
  <si>
    <t>Scholarships</t>
  </si>
  <si>
    <t>61200</t>
  </si>
  <si>
    <t>2100</t>
  </si>
  <si>
    <t>Lewis, John P.</t>
  </si>
  <si>
    <t>Office of Audit Services</t>
  </si>
  <si>
    <t>1500</t>
  </si>
  <si>
    <t>Audit Services</t>
  </si>
  <si>
    <t>60020</t>
  </si>
  <si>
    <t>Knopp, Emily A.</t>
  </si>
  <si>
    <t>Multicultural Initiatives</t>
  </si>
  <si>
    <t>Transitional Services</t>
  </si>
  <si>
    <t>33750</t>
  </si>
  <si>
    <t>Madero, Flor L.</t>
  </si>
  <si>
    <t>Munoz, Joe</t>
  </si>
  <si>
    <t>Ehlers, Robert S.</t>
  </si>
  <si>
    <t>Provost and VPAA</t>
  </si>
  <si>
    <t>32250</t>
  </si>
  <si>
    <t>May, Brian J.</t>
  </si>
  <si>
    <t>Allen, Nancy G.</t>
  </si>
  <si>
    <t>41200</t>
  </si>
  <si>
    <t>Discretionary Funds VPAA</t>
  </si>
  <si>
    <t>60050</t>
  </si>
  <si>
    <t>Faculty &amp; Staff Recruitment</t>
  </si>
  <si>
    <t>61024</t>
  </si>
  <si>
    <t>Faculty &amp; Staff Prof Development</t>
  </si>
  <si>
    <t>61026</t>
  </si>
  <si>
    <t>Grow Your Own Program</t>
  </si>
  <si>
    <t>61232</t>
  </si>
  <si>
    <t>Accreditation Reserve</t>
  </si>
  <si>
    <t>60690</t>
  </si>
  <si>
    <t>Tomlin, Sharynn</t>
  </si>
  <si>
    <t>International Student Scholarships</t>
  </si>
  <si>
    <t>61225</t>
  </si>
  <si>
    <t>Porter Henderson Library</t>
  </si>
  <si>
    <t>Fortin, Maurice G.</t>
  </si>
  <si>
    <t>Library Books, Periodicals, Binding</t>
  </si>
  <si>
    <t>44100</t>
  </si>
  <si>
    <t>60680</t>
  </si>
  <si>
    <t>Eoff, Shirley M.</t>
  </si>
  <si>
    <t>Honors Scholarship</t>
  </si>
  <si>
    <t>61230</t>
  </si>
  <si>
    <t>Vice Provost for Academic Affairs</t>
  </si>
  <si>
    <t>Vice Provost Academic Affairs</t>
  </si>
  <si>
    <t>32255</t>
  </si>
  <si>
    <t>Faculty Development Reserve</t>
  </si>
  <si>
    <t>Office of the Vice Provost</t>
  </si>
  <si>
    <t>60042</t>
  </si>
  <si>
    <t>Discretionary Funds AVPAA</t>
  </si>
  <si>
    <t>60052</t>
  </si>
  <si>
    <t>Reserve for Faculty Travel</t>
  </si>
  <si>
    <t>60602</t>
  </si>
  <si>
    <t>Dowler, Robert C.</t>
  </si>
  <si>
    <t>Cntr Innovation Teaching Research</t>
  </si>
  <si>
    <t>33200</t>
  </si>
  <si>
    <t>Wegner, John M.</t>
  </si>
  <si>
    <t>Tutoring Center</t>
  </si>
  <si>
    <t>2130</t>
  </si>
  <si>
    <t>Tutor Center</t>
  </si>
  <si>
    <t>60611</t>
  </si>
  <si>
    <t>Weertz, Sara L.</t>
  </si>
  <si>
    <t>Carter, Doyle D.</t>
  </si>
  <si>
    <t>60352</t>
  </si>
  <si>
    <t>Student Life and Student Services</t>
  </si>
  <si>
    <t>2230</t>
  </si>
  <si>
    <t>Work Schol Assoc Dean Stud Services</t>
  </si>
  <si>
    <t>46780</t>
  </si>
  <si>
    <t>Mears, Philip N.</t>
  </si>
  <si>
    <t>Dean College of Arts and Sciences</t>
  </si>
  <si>
    <t>Swets, Paul K.</t>
  </si>
  <si>
    <t>College Lib Fine Arts Accreditation</t>
  </si>
  <si>
    <t>60695</t>
  </si>
  <si>
    <t>Discretionary Dean Arts Sciences</t>
  </si>
  <si>
    <t>61000</t>
  </si>
  <si>
    <t>61001</t>
  </si>
  <si>
    <t>Engdahl, Gilbert R.</t>
  </si>
  <si>
    <t>Food Safety Product Development Lab</t>
  </si>
  <si>
    <t>60641</t>
  </si>
  <si>
    <t>Braden, Kirk W.</t>
  </si>
  <si>
    <t>Branham, Loree A.</t>
  </si>
  <si>
    <t>Scott, David</t>
  </si>
  <si>
    <t>60410</t>
  </si>
  <si>
    <t>Wilke, R. R.</t>
  </si>
  <si>
    <t>Amos, Bonnie B.</t>
  </si>
  <si>
    <t>Osborne, Edith M.</t>
  </si>
  <si>
    <t>Osterhout, John J.</t>
  </si>
  <si>
    <t>Wahl, Shawn T.</t>
  </si>
  <si>
    <t>Comm, Mass Media, Theatre Grad Prog</t>
  </si>
  <si>
    <t>40021</t>
  </si>
  <si>
    <t>Communication Production Facility</t>
  </si>
  <si>
    <t>40740</t>
  </si>
  <si>
    <t>Work Schol Comm, Drama, Journalism</t>
  </si>
  <si>
    <t>47040</t>
  </si>
  <si>
    <t>Dinner Theatres</t>
  </si>
  <si>
    <t>60140</t>
  </si>
  <si>
    <t>Doll, William M.</t>
  </si>
  <si>
    <t>60415</t>
  </si>
  <si>
    <t>60604</t>
  </si>
  <si>
    <t>Musgrove, Laurence E.</t>
  </si>
  <si>
    <t>English and Modern Lang Grad Prog</t>
  </si>
  <si>
    <t>40031</t>
  </si>
  <si>
    <t>40450</t>
  </si>
  <si>
    <t>EOS Writing Center</t>
  </si>
  <si>
    <t>33755</t>
  </si>
  <si>
    <t>Literary Magazine</t>
  </si>
  <si>
    <t>60621</t>
  </si>
  <si>
    <t>Cody, Karen</t>
  </si>
  <si>
    <t>Jones, Laurence F.</t>
  </si>
  <si>
    <t>Political Science Graduate Program</t>
  </si>
  <si>
    <t>40041</t>
  </si>
  <si>
    <t>Work Schol Poli Sci Crim Justice</t>
  </si>
  <si>
    <t>47080</t>
  </si>
  <si>
    <t>Olson, Edward C.</t>
  </si>
  <si>
    <t>Heineman, Kenneth J.</t>
  </si>
  <si>
    <t>Modern Languages</t>
  </si>
  <si>
    <t>2460</t>
  </si>
  <si>
    <t>40060</t>
  </si>
  <si>
    <t>60435</t>
  </si>
  <si>
    <t>Math Learning Lab</t>
  </si>
  <si>
    <t>40470</t>
  </si>
  <si>
    <t>Zarnowski, Roger E.</t>
  </si>
  <si>
    <t>EOS Math Learning Lab</t>
  </si>
  <si>
    <t>33760</t>
  </si>
  <si>
    <t>60614</t>
  </si>
  <si>
    <t>Roden, Timothy E.</t>
  </si>
  <si>
    <t>Mathematics</t>
  </si>
  <si>
    <t>Computer Science</t>
  </si>
  <si>
    <t>2470</t>
  </si>
  <si>
    <t>40070</t>
  </si>
  <si>
    <t>Davidson, William B.</t>
  </si>
  <si>
    <t>Psychology Graduate Program</t>
  </si>
  <si>
    <t>40071</t>
  </si>
  <si>
    <t>Work Schol Psychology &amp; Sociology</t>
  </si>
  <si>
    <t>47140</t>
  </si>
  <si>
    <t>60440</t>
  </si>
  <si>
    <t>60650</t>
  </si>
  <si>
    <t>Sonntag, Mark S.</t>
  </si>
  <si>
    <t>Wallace, Andrew B.</t>
  </si>
  <si>
    <t>Sauncy, Toni D.</t>
  </si>
  <si>
    <t>Satterfield, Joseph I.</t>
  </si>
  <si>
    <t>Dean College of Business</t>
  </si>
  <si>
    <t>Gaulden, Corbett F.</t>
  </si>
  <si>
    <t>Work Schol College of Business</t>
  </si>
  <si>
    <t>47520</t>
  </si>
  <si>
    <t>College of Business Accreditation</t>
  </si>
  <si>
    <t>60692</t>
  </si>
  <si>
    <t>61004</t>
  </si>
  <si>
    <t>Discretionary Dean College of Bus</t>
  </si>
  <si>
    <t>61005</t>
  </si>
  <si>
    <t>Accounting, Economics, and Finance</t>
  </si>
  <si>
    <t>Bankston, Thomas A.</t>
  </si>
  <si>
    <t>Acctg, Eco, Finance Grad Program</t>
  </si>
  <si>
    <t>40091</t>
  </si>
  <si>
    <t>Accounting, Economics, Finance</t>
  </si>
  <si>
    <t>60445</t>
  </si>
  <si>
    <t>Badgett, Tommy F.</t>
  </si>
  <si>
    <t>Magnan, Stephen W.</t>
  </si>
  <si>
    <t>60450</t>
  </si>
  <si>
    <t>ROTC Drill Meet</t>
  </si>
  <si>
    <t>60605</t>
  </si>
  <si>
    <t>AFROTC Special</t>
  </si>
  <si>
    <t>60610</t>
  </si>
  <si>
    <t>Mgmt and Marketing Graduate Program</t>
  </si>
  <si>
    <t>40111</t>
  </si>
  <si>
    <t>Work Schol Mgmt and Marketing</t>
  </si>
  <si>
    <t>47200</t>
  </si>
  <si>
    <t>60455</t>
  </si>
  <si>
    <t>Erickson, David A.</t>
  </si>
  <si>
    <t>International Trade</t>
  </si>
  <si>
    <t>45960</t>
  </si>
  <si>
    <t>Dean College of Education</t>
  </si>
  <si>
    <t>Miazga, John J.</t>
  </si>
  <si>
    <t>College of Education Accreditation</t>
  </si>
  <si>
    <t>60694</t>
  </si>
  <si>
    <t>61009</t>
  </si>
  <si>
    <t>Discretionary Dean Education</t>
  </si>
  <si>
    <t>61010</t>
  </si>
  <si>
    <t>Summerlin, James A.</t>
  </si>
  <si>
    <t>Curriculum and Instruction Graduate</t>
  </si>
  <si>
    <t>40166</t>
  </si>
  <si>
    <t>60472</t>
  </si>
  <si>
    <t>2620</t>
  </si>
  <si>
    <t>40170</t>
  </si>
  <si>
    <t>Snowden, Steven R.</t>
  </si>
  <si>
    <t>Kinesiology Graduate Program</t>
  </si>
  <si>
    <t>40171</t>
  </si>
  <si>
    <t>60475</t>
  </si>
  <si>
    <t>Lucksinger, Linda N.</t>
  </si>
  <si>
    <t>Teacher Education Graduate Program</t>
  </si>
  <si>
    <t>40161</t>
  </si>
  <si>
    <t>Work Schol Education</t>
  </si>
  <si>
    <t>47240</t>
  </si>
  <si>
    <t>60470</t>
  </si>
  <si>
    <t>Evans, Richard A.</t>
  </si>
  <si>
    <t>Dean College of Sciences</t>
  </si>
  <si>
    <t>61014</t>
  </si>
  <si>
    <t>Discretionary Dean Sciences</t>
  </si>
  <si>
    <t>61015</t>
  </si>
  <si>
    <t>2710</t>
  </si>
  <si>
    <t>40210</t>
  </si>
  <si>
    <t>Agriculture Graduate Program</t>
  </si>
  <si>
    <t>40211</t>
  </si>
  <si>
    <t>60490</t>
  </si>
  <si>
    <t>2720</t>
  </si>
  <si>
    <t>40220</t>
  </si>
  <si>
    <t>Biology Graduate Program</t>
  </si>
  <si>
    <t>Work Schol Biology</t>
  </si>
  <si>
    <t>47320</t>
  </si>
  <si>
    <t>60500</t>
  </si>
  <si>
    <t>2730</t>
  </si>
  <si>
    <t>40230</t>
  </si>
  <si>
    <t>Chemistry</t>
  </si>
  <si>
    <t>60505</t>
  </si>
  <si>
    <t>2740</t>
  </si>
  <si>
    <t>40235</t>
  </si>
  <si>
    <t>60507</t>
  </si>
  <si>
    <t xml:space="preserve">Mathematics </t>
  </si>
  <si>
    <t>2750</t>
  </si>
  <si>
    <t>40240</t>
  </si>
  <si>
    <t>60510</t>
  </si>
  <si>
    <t>2760</t>
  </si>
  <si>
    <t>40275</t>
  </si>
  <si>
    <t>40280</t>
  </si>
  <si>
    <t>Work Schol Physics</t>
  </si>
  <si>
    <t>47420</t>
  </si>
  <si>
    <t>60525</t>
  </si>
  <si>
    <t>Dean College Health Human Services</t>
  </si>
  <si>
    <t>Mayrand, Leslie M.</t>
  </si>
  <si>
    <t>61016</t>
  </si>
  <si>
    <t>Discretionary Dean Health Human Srv</t>
  </si>
  <si>
    <t>61017</t>
  </si>
  <si>
    <t>Nursing and Rehabilitation Sciences</t>
  </si>
  <si>
    <t>Nursing Graduate Program</t>
  </si>
  <si>
    <t>40266</t>
  </si>
  <si>
    <t>Wilkinson, Susan C.</t>
  </si>
  <si>
    <t>60530</t>
  </si>
  <si>
    <t>Weise, Shelly D.</t>
  </si>
  <si>
    <t>Physical Therapy Doctoral Program</t>
  </si>
  <si>
    <t>40292</t>
  </si>
  <si>
    <t>60535</t>
  </si>
  <si>
    <t>Psychology, Sociology, Social Work</t>
  </si>
  <si>
    <t>Social Work Programs</t>
  </si>
  <si>
    <t>60606</t>
  </si>
  <si>
    <t>Starkey, Thomas W.</t>
  </si>
  <si>
    <t>Dean College of Graduate Studies</t>
  </si>
  <si>
    <t>Reserve for College of Graduate Std</t>
  </si>
  <si>
    <t>40565</t>
  </si>
  <si>
    <t>Work Schol Coll of Graduate Studies</t>
  </si>
  <si>
    <t>47560</t>
  </si>
  <si>
    <t>60317</t>
  </si>
  <si>
    <t>Research Enh 11 Ammerman, L</t>
  </si>
  <si>
    <t>60730</t>
  </si>
  <si>
    <t>Ammerman, Loren K.</t>
  </si>
  <si>
    <t>Research Enh 11 Ashworth-King E</t>
  </si>
  <si>
    <t>60731</t>
  </si>
  <si>
    <t>Research Enh 11 Kang W</t>
  </si>
  <si>
    <t>60733</t>
  </si>
  <si>
    <t>Kang, WooJin</t>
  </si>
  <si>
    <t>Research Enh 11 Klingemann J</t>
  </si>
  <si>
    <t>60734</t>
  </si>
  <si>
    <t>Klingemann, John E.</t>
  </si>
  <si>
    <t>Research Enh 11 Zheng G</t>
  </si>
  <si>
    <t>60735</t>
  </si>
  <si>
    <t>Zheng, Guoqiang</t>
  </si>
  <si>
    <t>Carr Student Res 10 Cox, Jordan</t>
  </si>
  <si>
    <t>60872</t>
  </si>
  <si>
    <t>McGlamery, Mary E.</t>
  </si>
  <si>
    <t>Carr Student Res 11 Cochran, T</t>
  </si>
  <si>
    <t>60887</t>
  </si>
  <si>
    <t>Carr Student Res 11 Laqua, H</t>
  </si>
  <si>
    <t>60888</t>
  </si>
  <si>
    <t>Carr Student Res 11 McWilliams, K</t>
  </si>
  <si>
    <t>60889</t>
  </si>
  <si>
    <t>Carr Student Res 11 Pomposelli, C</t>
  </si>
  <si>
    <t>60890</t>
  </si>
  <si>
    <t>Carr Student Res 11 Tipps, M</t>
  </si>
  <si>
    <t>60891</t>
  </si>
  <si>
    <t>Carr Student Res 11 Whitford, E</t>
  </si>
  <si>
    <t>60892</t>
  </si>
  <si>
    <t>Carr Student Res 11 Barnett, T</t>
  </si>
  <si>
    <t>60893</t>
  </si>
  <si>
    <t>Bixler, David L.</t>
  </si>
  <si>
    <t>Carr Student Res 11 Black, E</t>
  </si>
  <si>
    <t>60894</t>
  </si>
  <si>
    <t>Mason, Carolyn R.</t>
  </si>
  <si>
    <t>Carr Student Res 11 Gilbert, K</t>
  </si>
  <si>
    <t>60896</t>
  </si>
  <si>
    <t>Carr Student Res 11 Gross, K</t>
  </si>
  <si>
    <t>60897</t>
  </si>
  <si>
    <t>Carr Student Res 11 Register, W</t>
  </si>
  <si>
    <t>60900</t>
  </si>
  <si>
    <t>Carr Student Res 11 Requena, S</t>
  </si>
  <si>
    <t>60901</t>
  </si>
  <si>
    <t>Williams, Scott C.</t>
  </si>
  <si>
    <t>Carr Student Res 11 Siller, V</t>
  </si>
  <si>
    <t>60902</t>
  </si>
  <si>
    <t>Carr Student Res 11 White, D</t>
  </si>
  <si>
    <t>60903</t>
  </si>
  <si>
    <t>Guardiola, Amaris R.</t>
  </si>
  <si>
    <t>Student Research Travel</t>
  </si>
  <si>
    <t>60990</t>
  </si>
  <si>
    <t>61019</t>
  </si>
  <si>
    <t>Discretionary Dean Graduate Studies</t>
  </si>
  <si>
    <t>61020</t>
  </si>
  <si>
    <t>Research Enhancement Graduate Dean</t>
  </si>
  <si>
    <t>61034</t>
  </si>
  <si>
    <t>Graduate Research Fellowships</t>
  </si>
  <si>
    <t>61202</t>
  </si>
  <si>
    <t>Sponsored Projects</t>
  </si>
  <si>
    <t>Research Development Fund Reserve</t>
  </si>
  <si>
    <t>45500</t>
  </si>
  <si>
    <t>Research Dev 10 Braden, K</t>
  </si>
  <si>
    <t>45553</t>
  </si>
  <si>
    <t>Research Dev 10 Dowler, R</t>
  </si>
  <si>
    <t>45554</t>
  </si>
  <si>
    <t>Research Dev 10 Guardiola, A</t>
  </si>
  <si>
    <t>45555</t>
  </si>
  <si>
    <t>Research Dev 10 Sauncy, T</t>
  </si>
  <si>
    <t>45557</t>
  </si>
  <si>
    <t>Research Dev 11 Ammerman L</t>
  </si>
  <si>
    <t>45558</t>
  </si>
  <si>
    <t>Research Dev 11 Dunham H</t>
  </si>
  <si>
    <t>45559</t>
  </si>
  <si>
    <t>Dunham, Hardin R.</t>
  </si>
  <si>
    <t>Research Dev 11 Ko M</t>
  </si>
  <si>
    <t>45560</t>
  </si>
  <si>
    <t>Ko, Man-Soo</t>
  </si>
  <si>
    <t>Research Dev 11 LeGrand R</t>
  </si>
  <si>
    <t>45561</t>
  </si>
  <si>
    <t>LeGrand, Robert H.</t>
  </si>
  <si>
    <t>Research Dev 11 Pierce J</t>
  </si>
  <si>
    <t>45562</t>
  </si>
  <si>
    <t>Pierce, Jason E.</t>
  </si>
  <si>
    <t>Faculty Dev 10 Greenwald, B</t>
  </si>
  <si>
    <t>40946</t>
  </si>
  <si>
    <t>Greenwald, Beverly J.</t>
  </si>
  <si>
    <t>Research Enh 10 Evans, R</t>
  </si>
  <si>
    <t>45056</t>
  </si>
  <si>
    <t>Research Enh 10 Osborne, E</t>
  </si>
  <si>
    <t>45058</t>
  </si>
  <si>
    <t>Research Enh 10 Osterhout, J</t>
  </si>
  <si>
    <t>45059</t>
  </si>
  <si>
    <t>Research Enh 10 Velasquez, J</t>
  </si>
  <si>
    <t>45062</t>
  </si>
  <si>
    <t>Velasquez, Jose</t>
  </si>
  <si>
    <t>Research Enh 11 Ammerman L</t>
  </si>
  <si>
    <t>45064</t>
  </si>
  <si>
    <t>Research Enh 11 Dunham H</t>
  </si>
  <si>
    <t>45066</t>
  </si>
  <si>
    <t>Research Enh 11 Forbes J</t>
  </si>
  <si>
    <t>45067</t>
  </si>
  <si>
    <t>Forbes, James N.</t>
  </si>
  <si>
    <t>Research Enh 11 Glassford J</t>
  </si>
  <si>
    <t>45068</t>
  </si>
  <si>
    <t>Glassford, John</t>
  </si>
  <si>
    <t>Research Enh 11 Hack T</t>
  </si>
  <si>
    <t>45069</t>
  </si>
  <si>
    <t>Hack, Teresa E.</t>
  </si>
  <si>
    <t>45071</t>
  </si>
  <si>
    <t>45072</t>
  </si>
  <si>
    <t>Research Enh 11 LeGrand R</t>
  </si>
  <si>
    <t>45073</t>
  </si>
  <si>
    <t>Research Enh 11 Livengood McGlamery</t>
  </si>
  <si>
    <t>45074</t>
  </si>
  <si>
    <t>Livengood, Kimberly K.</t>
  </si>
  <si>
    <t>Research Enh 11 Parker A</t>
  </si>
  <si>
    <t>45075</t>
  </si>
  <si>
    <t>Parker, Adam G.</t>
  </si>
  <si>
    <t>Research Enh 11 Sanders, D</t>
  </si>
  <si>
    <t>45076</t>
  </si>
  <si>
    <t>Sanders, David N.</t>
  </si>
  <si>
    <t>Research Enh 11 Ward J</t>
  </si>
  <si>
    <t>45077</t>
  </si>
  <si>
    <t>Ward, James W.</t>
  </si>
  <si>
    <t>45078</t>
  </si>
  <si>
    <t>Plum, Katie M.</t>
  </si>
  <si>
    <t>60700</t>
  </si>
  <si>
    <t>Faculty Dev 10 Sauncy, T</t>
  </si>
  <si>
    <t>60728</t>
  </si>
  <si>
    <t>VP Finance and Administration</t>
  </si>
  <si>
    <t>System Office Operations</t>
  </si>
  <si>
    <t>33590</t>
  </si>
  <si>
    <t>Reid, Michael L.</t>
  </si>
  <si>
    <t>Tuition Revenue Bonds</t>
  </si>
  <si>
    <t>46568</t>
  </si>
  <si>
    <t>Work Schol Ofc Finance and Admin</t>
  </si>
  <si>
    <t>46640</t>
  </si>
  <si>
    <t>Brodnax, Denise H.</t>
  </si>
  <si>
    <t>Discretionary Funds VPFA</t>
  </si>
  <si>
    <t>60075</t>
  </si>
  <si>
    <t>Employment Services</t>
  </si>
  <si>
    <t>60164</t>
  </si>
  <si>
    <t>Directory Listing and Advertising</t>
  </si>
  <si>
    <t>60181</t>
  </si>
  <si>
    <t>Pepper, Margaret R.</t>
  </si>
  <si>
    <t>Enrollment Enhancement Scholarship</t>
  </si>
  <si>
    <t>61216</t>
  </si>
  <si>
    <t>Temporary Office Debt Service</t>
  </si>
  <si>
    <t>61267</t>
  </si>
  <si>
    <t>Revenue Bond Series 1998</t>
  </si>
  <si>
    <t>61270</t>
  </si>
  <si>
    <t>Revenue Bond Series 2002</t>
  </si>
  <si>
    <t>61275</t>
  </si>
  <si>
    <t>Transfer to Other Funds</t>
  </si>
  <si>
    <t>Special Projects</t>
  </si>
  <si>
    <t>Fitness &amp; Wellness Program</t>
  </si>
  <si>
    <t>60276</t>
  </si>
  <si>
    <t>Cullins, Billy G.</t>
  </si>
  <si>
    <t>Assoc VP Finance and Administration</t>
  </si>
  <si>
    <t>Wright, Angelina W.</t>
  </si>
  <si>
    <t>Transfer to Unexpended Plant</t>
  </si>
  <si>
    <t>Administrative Recruitment</t>
  </si>
  <si>
    <t>60036</t>
  </si>
  <si>
    <t>61255</t>
  </si>
  <si>
    <t>61260</t>
  </si>
  <si>
    <t>61265</t>
  </si>
  <si>
    <t xml:space="preserve">Budget Office </t>
  </si>
  <si>
    <t>Staff Benefits</t>
  </si>
  <si>
    <t>3115</t>
  </si>
  <si>
    <t>Staff Group Insurance Premiums</t>
  </si>
  <si>
    <t>33800</t>
  </si>
  <si>
    <t>ORP Fund 001 &amp; Local</t>
  </si>
  <si>
    <t>33910</t>
  </si>
  <si>
    <t>ORP Supplement Fund 227 &amp; Local</t>
  </si>
  <si>
    <t>33920</t>
  </si>
  <si>
    <t>OASI Fund 001 &amp; Local</t>
  </si>
  <si>
    <t>33950</t>
  </si>
  <si>
    <t>TRS, Fund 227 and Local</t>
  </si>
  <si>
    <t>33980</t>
  </si>
  <si>
    <t>TRS, Fund 001</t>
  </si>
  <si>
    <t>33990</t>
  </si>
  <si>
    <t>TRS New Members</t>
  </si>
  <si>
    <t>33992</t>
  </si>
  <si>
    <t>TRS Surcharge</t>
  </si>
  <si>
    <t>33993</t>
  </si>
  <si>
    <t>Unemployment Compensation</t>
  </si>
  <si>
    <t>33995</t>
  </si>
  <si>
    <t>Human Resources</t>
  </si>
  <si>
    <t>Neal, Kurtis R.</t>
  </si>
  <si>
    <t>Job Recruitment</t>
  </si>
  <si>
    <t>60201</t>
  </si>
  <si>
    <t>Retiree Benefits</t>
  </si>
  <si>
    <t>60395</t>
  </si>
  <si>
    <t>Payroll Services</t>
  </si>
  <si>
    <t>3130</t>
  </si>
  <si>
    <t>60172</t>
  </si>
  <si>
    <t>Brooks, Shonda L.</t>
  </si>
  <si>
    <t>Business Services</t>
  </si>
  <si>
    <t>3200</t>
  </si>
  <si>
    <t>Office Relocation</t>
  </si>
  <si>
    <t>60232</t>
  </si>
  <si>
    <t>Pecina, Gregorio G.</t>
  </si>
  <si>
    <t>Rosipal, David C.</t>
  </si>
  <si>
    <t>Junell Center/Stephens Arena</t>
  </si>
  <si>
    <t>Special Events Facilities Services</t>
  </si>
  <si>
    <t>3230</t>
  </si>
  <si>
    <t>60250</t>
  </si>
  <si>
    <t>Manning, Jessica A.</t>
  </si>
  <si>
    <t>Controller</t>
  </si>
  <si>
    <t>60165</t>
  </si>
  <si>
    <t>Depository Bank Service Charge</t>
  </si>
  <si>
    <t>60180</t>
  </si>
  <si>
    <t>Coleman, Janet E.</t>
  </si>
  <si>
    <t>Hope Tax Reporting Services</t>
  </si>
  <si>
    <t>60190</t>
  </si>
  <si>
    <t>Credit Card Services</t>
  </si>
  <si>
    <t>60215</t>
  </si>
  <si>
    <t>Financial Aid Audit</t>
  </si>
  <si>
    <t>60299</t>
  </si>
  <si>
    <t>33410</t>
  </si>
  <si>
    <t>SORM, Fund 001</t>
  </si>
  <si>
    <t>33996</t>
  </si>
  <si>
    <t>SORM, Fund 227</t>
  </si>
  <si>
    <t>33997</t>
  </si>
  <si>
    <t>Commercial Crime Insurance</t>
  </si>
  <si>
    <t>60224</t>
  </si>
  <si>
    <t>Property Insurance</t>
  </si>
  <si>
    <t>60225</t>
  </si>
  <si>
    <t>Auto Insurance Premiums</t>
  </si>
  <si>
    <t>60226</t>
  </si>
  <si>
    <t>SORM</t>
  </si>
  <si>
    <t>60390</t>
  </si>
  <si>
    <t>Waste Management</t>
  </si>
  <si>
    <t>61167</t>
  </si>
  <si>
    <t>Facilities Management</t>
  </si>
  <si>
    <t>Halbert, Jay S.</t>
  </si>
  <si>
    <t>46100</t>
  </si>
  <si>
    <t>Plant Renewal</t>
  </si>
  <si>
    <t>61165</t>
  </si>
  <si>
    <t>Bus Operations</t>
  </si>
  <si>
    <t>61170</t>
  </si>
  <si>
    <t>Custodial</t>
  </si>
  <si>
    <t>61152</t>
  </si>
  <si>
    <t>Energy Management</t>
  </si>
  <si>
    <t>Purchased Utilities-Electricity</t>
  </si>
  <si>
    <t>46510</t>
  </si>
  <si>
    <t>Purchased Utilities</t>
  </si>
  <si>
    <t>61155</t>
  </si>
  <si>
    <t>61156</t>
  </si>
  <si>
    <t>Purchased Utilities-Fuel</t>
  </si>
  <si>
    <t>61157</t>
  </si>
  <si>
    <t>Purchased Utilities-Water</t>
  </si>
  <si>
    <t>61158</t>
  </si>
  <si>
    <t>Purchased Utilities-Sewer</t>
  </si>
  <si>
    <t>61159</t>
  </si>
  <si>
    <t>Grounds</t>
  </si>
  <si>
    <t>61154</t>
  </si>
  <si>
    <t>Maintenance</t>
  </si>
  <si>
    <t>Facilities Maintenance</t>
  </si>
  <si>
    <t>61250</t>
  </si>
  <si>
    <t>Facilities Planning Construction</t>
  </si>
  <si>
    <t>3600</t>
  </si>
  <si>
    <t>Facilities Planning/Construction</t>
  </si>
  <si>
    <t>46115</t>
  </si>
  <si>
    <t>Russell, John H.</t>
  </si>
  <si>
    <t>48800</t>
  </si>
  <si>
    <t>Construction Management</t>
  </si>
  <si>
    <t>61141</t>
  </si>
  <si>
    <t>Facilities Services</t>
  </si>
  <si>
    <t>61145</t>
  </si>
  <si>
    <t>Reidy Building</t>
  </si>
  <si>
    <t>61163</t>
  </si>
  <si>
    <t>Performance Contract Payment</t>
  </si>
  <si>
    <t>61166</t>
  </si>
  <si>
    <t>Materials Management</t>
  </si>
  <si>
    <t>Flage, Bruce H.</t>
  </si>
  <si>
    <t>Lennon, Jennifer M.</t>
  </si>
  <si>
    <t>Materials Management Supplies</t>
  </si>
  <si>
    <t>61161</t>
  </si>
  <si>
    <t>Begil, Henry H.</t>
  </si>
  <si>
    <t>Purchasing and Property Management</t>
  </si>
  <si>
    <t>Mata, Maria M.</t>
  </si>
  <si>
    <t>33640</t>
  </si>
  <si>
    <t>Adams, James E.</t>
  </si>
  <si>
    <t xml:space="preserve">One Card </t>
  </si>
  <si>
    <t>Wilson, Audrey D.</t>
  </si>
  <si>
    <t>60345</t>
  </si>
  <si>
    <t>VP Strategy, Policy, and Planning</t>
  </si>
  <si>
    <t>4050</t>
  </si>
  <si>
    <t>VP Strategy, Planning, and Policy</t>
  </si>
  <si>
    <t>33130</t>
  </si>
  <si>
    <t>Limbaugh, James M.</t>
  </si>
  <si>
    <t>Office Strategy, Planning, Policy</t>
  </si>
  <si>
    <t>60090</t>
  </si>
  <si>
    <t>Logan, Sarah M.</t>
  </si>
  <si>
    <t>Inst Research and Effectiveness</t>
  </si>
  <si>
    <t>Assoc VP Information Technology</t>
  </si>
  <si>
    <t>Discretionary Funds AVPIT</t>
  </si>
  <si>
    <t>60054</t>
  </si>
  <si>
    <t>Fox, Douglas W.</t>
  </si>
  <si>
    <t>Braden, Brian M.</t>
  </si>
  <si>
    <t>IT Business Office</t>
  </si>
  <si>
    <t>Irby, Jeane M.</t>
  </si>
  <si>
    <t>Infrastructure Services</t>
  </si>
  <si>
    <t>Communications System Maintenance</t>
  </si>
  <si>
    <t>61168</t>
  </si>
  <si>
    <t>VP Student Affairs Enrollment Mgmt</t>
  </si>
  <si>
    <t>Valerio, Vance R.</t>
  </si>
  <si>
    <t>Discretionary Funds VPSAEM</t>
  </si>
  <si>
    <t>60093</t>
  </si>
  <si>
    <t>American Disability Act Services</t>
  </si>
  <si>
    <t>40366</t>
  </si>
  <si>
    <t>Office of Student Life</t>
  </si>
  <si>
    <t>60307</t>
  </si>
  <si>
    <t>60330</t>
  </si>
  <si>
    <t>RAMbunctious Weekend</t>
  </si>
  <si>
    <t>60335</t>
  </si>
  <si>
    <t>Discretionary Exec Dir Student Life</t>
  </si>
  <si>
    <t>60385</t>
  </si>
  <si>
    <t>60670</t>
  </si>
  <si>
    <t>Greek Activities</t>
  </si>
  <si>
    <t>60350</t>
  </si>
  <si>
    <t>Assoc VP Enrollment Management</t>
  </si>
  <si>
    <t>33645</t>
  </si>
  <si>
    <t>Skaruppa, Cindy L.</t>
  </si>
  <si>
    <t>Loehring, Michael E.</t>
  </si>
  <si>
    <t>Office of Admissions</t>
  </si>
  <si>
    <t>33650</t>
  </si>
  <si>
    <t>Pre-Enrollment Advising-Undgrad</t>
  </si>
  <si>
    <t>33700</t>
  </si>
  <si>
    <t>Wheeler, Megan R.</t>
  </si>
  <si>
    <t>Work Schol Admissions</t>
  </si>
  <si>
    <t>46690</t>
  </si>
  <si>
    <t>Office of Admissions-Postage</t>
  </si>
  <si>
    <t>60304</t>
  </si>
  <si>
    <t>Student Search</t>
  </si>
  <si>
    <t>60316</t>
  </si>
  <si>
    <t>General Publications-Postage</t>
  </si>
  <si>
    <t>60325</t>
  </si>
  <si>
    <t>ASU College Day</t>
  </si>
  <si>
    <t>60340</t>
  </si>
  <si>
    <t>Ruthenbeck, Julie J.</t>
  </si>
  <si>
    <t>Bennett, Michelle A.</t>
  </si>
  <si>
    <t>Fifth Year Accounting</t>
  </si>
  <si>
    <t>46570</t>
  </si>
  <si>
    <t>Texas Grant THECB</t>
  </si>
  <si>
    <t>46580</t>
  </si>
  <si>
    <t>33740</t>
  </si>
  <si>
    <t>Work Schol Financial Aid Office</t>
  </si>
  <si>
    <t>46800</t>
  </si>
  <si>
    <t>Blue and Gold Guarantee Scholarship</t>
  </si>
  <si>
    <t>61201</t>
  </si>
  <si>
    <t>Registrar's Office</t>
  </si>
  <si>
    <t>33670</t>
  </si>
  <si>
    <t>Weeaks, Cynthia D.</t>
  </si>
  <si>
    <t>Work Schol Registrar</t>
  </si>
  <si>
    <t>46680</t>
  </si>
  <si>
    <t>Graduation</t>
  </si>
  <si>
    <t>60110</t>
  </si>
  <si>
    <t>University Recreation Intramurals</t>
  </si>
  <si>
    <t>Exercise Room</t>
  </si>
  <si>
    <t>61175</t>
  </si>
  <si>
    <t>Petty, Bradley C.</t>
  </si>
  <si>
    <t>VP Development</t>
  </si>
  <si>
    <t>60095</t>
  </si>
  <si>
    <t>Penry, Jason C.</t>
  </si>
  <si>
    <t>60270</t>
  </si>
  <si>
    <t>Other non-budgeted</t>
  </si>
  <si>
    <t>9999</t>
  </si>
  <si>
    <t>Tuition &amp; Fee Remission &amp; Exemption</t>
  </si>
  <si>
    <t>46590</t>
  </si>
  <si>
    <t>61210</t>
  </si>
  <si>
    <t>2012</t>
  </si>
  <si>
    <t>Box, Wana D.</t>
  </si>
  <si>
    <t>First Generation Mentor Scholarship</t>
  </si>
  <si>
    <t>61221</t>
  </si>
  <si>
    <t>Student Research Fellow 12 Bartlett</t>
  </si>
  <si>
    <t>60904</t>
  </si>
  <si>
    <t>Student Research Fellow 12 Louder</t>
  </si>
  <si>
    <t>64807</t>
  </si>
  <si>
    <t>40006</t>
  </si>
  <si>
    <t>60405</t>
  </si>
  <si>
    <t>40014</t>
  </si>
  <si>
    <t>60413</t>
  </si>
  <si>
    <t>60414</t>
  </si>
  <si>
    <t>60438</t>
  </si>
  <si>
    <t>60465</t>
  </si>
  <si>
    <t>40286</t>
  </si>
  <si>
    <t>40283</t>
  </si>
  <si>
    <t>60528</t>
  </si>
  <si>
    <t>Psychology Sociology Soc Work Grad</t>
  </si>
  <si>
    <t>40296</t>
  </si>
  <si>
    <t>60540</t>
  </si>
  <si>
    <t>Fac Development 12 Braden H</t>
  </si>
  <si>
    <t>60736</t>
  </si>
  <si>
    <t>Braden, Heather J.</t>
  </si>
  <si>
    <t>Fac Development 12 Satterfield J</t>
  </si>
  <si>
    <t>60740</t>
  </si>
  <si>
    <t>Fac Development 12 Runia R</t>
  </si>
  <si>
    <t>60742</t>
  </si>
  <si>
    <t>Runia, Robin M.</t>
  </si>
  <si>
    <t>Research Dev 12 Runia R</t>
  </si>
  <si>
    <t>45566</t>
  </si>
  <si>
    <t>Research Dev 12 Williams S</t>
  </si>
  <si>
    <t>45567</t>
  </si>
  <si>
    <t>Research Enh 12 Branham L</t>
  </si>
  <si>
    <t>45081</t>
  </si>
  <si>
    <t>Research Enh 12 Dowler R</t>
  </si>
  <si>
    <t>45082</t>
  </si>
  <si>
    <t>Research Enh 12 Heineman K</t>
  </si>
  <si>
    <t>45084</t>
  </si>
  <si>
    <t>Research Enh 12 Satterfield J</t>
  </si>
  <si>
    <t>45088</t>
  </si>
  <si>
    <t>ORP Proportional, Fund 227</t>
  </si>
  <si>
    <t>33940</t>
  </si>
  <si>
    <t>Financial and Records Service Fee</t>
  </si>
  <si>
    <t>61140</t>
  </si>
  <si>
    <t>Braden, Crystal M.</t>
  </si>
  <si>
    <t>Coordinating Board Work Study</t>
  </si>
  <si>
    <t>48620</t>
  </si>
  <si>
    <t>Reserve for Work Scholarship</t>
  </si>
  <si>
    <t>60603</t>
  </si>
  <si>
    <t>Sum of BEGINNING BUDGET</t>
  </si>
  <si>
    <t>Division</t>
  </si>
  <si>
    <t>4</t>
  </si>
  <si>
    <t>9</t>
  </si>
  <si>
    <t>Sum of TOTAL EXPENSE</t>
  </si>
  <si>
    <t>Totals</t>
  </si>
  <si>
    <t>HR</t>
  </si>
  <si>
    <t>Background checks</t>
  </si>
  <si>
    <t>0100-60200</t>
  </si>
  <si>
    <t>C12ABGI1</t>
  </si>
  <si>
    <t>EAP</t>
  </si>
  <si>
    <t>C12UTHS1</t>
  </si>
  <si>
    <t>Recruiting Advertisement</t>
  </si>
  <si>
    <t>0100-60201</t>
  </si>
  <si>
    <t>C12HIGH1</t>
  </si>
  <si>
    <t>C12IHED1</t>
  </si>
  <si>
    <t>C12LIHE1</t>
  </si>
  <si>
    <t>C12CHED</t>
  </si>
  <si>
    <t>Applicant Tracking</t>
  </si>
  <si>
    <t>C12ADM1</t>
  </si>
  <si>
    <t>Salary Data and Training</t>
  </si>
  <si>
    <t>Controller's</t>
  </si>
  <si>
    <t>0100-60165</t>
  </si>
  <si>
    <t>0100-60180</t>
  </si>
  <si>
    <t>Hope Tax Reporting</t>
  </si>
  <si>
    <t>0100-60190</t>
  </si>
  <si>
    <t>0100-60215</t>
  </si>
  <si>
    <t>0100-60299</t>
  </si>
  <si>
    <t>Postoffice</t>
  </si>
  <si>
    <t>Bulk Mail Permits</t>
  </si>
  <si>
    <t>0100-</t>
  </si>
  <si>
    <t>IT</t>
  </si>
  <si>
    <t>Banner</t>
  </si>
  <si>
    <t>0100-60105 (.33)/0120-61460 (.33)/1270-65691 (.33)</t>
  </si>
  <si>
    <t>P1200191</t>
  </si>
  <si>
    <t>Stellen,Captova Support (Imagine)</t>
  </si>
  <si>
    <t>0100-60105 (.75) 1270-65691 (.25)</t>
  </si>
  <si>
    <t>P1200165</t>
  </si>
  <si>
    <t>Blackboard Mobile</t>
  </si>
  <si>
    <t>0100-60105</t>
  </si>
  <si>
    <t>R1200458</t>
  </si>
  <si>
    <t>P1200520</t>
  </si>
  <si>
    <t>Microsoft campus license agreement</t>
  </si>
  <si>
    <t>0100-60105 (.60) 0120-61460 (.40)</t>
  </si>
  <si>
    <t>P1200551</t>
  </si>
  <si>
    <t>evsions, Form Fusion and Intellicheck for A/P and payroll</t>
  </si>
  <si>
    <t>P1200186</t>
  </si>
  <si>
    <t>Cashnet</t>
  </si>
  <si>
    <t>Panapto Silver Support</t>
  </si>
  <si>
    <t>Cognos Renewal Support</t>
  </si>
  <si>
    <t>0100-60105 (.75) 0120-65691 (.25)</t>
  </si>
  <si>
    <t>P1200190</t>
  </si>
  <si>
    <t>Oracle maintenance Support</t>
  </si>
  <si>
    <t>0100-60105/0100-60105 (.40) 0120-61460 (.4) 1270-65691 (.20)</t>
  </si>
  <si>
    <t>P1200553</t>
  </si>
  <si>
    <t>Adobe Acrobat Pro</t>
  </si>
  <si>
    <t>P1200206</t>
  </si>
  <si>
    <t>Clean Address 1 year subscription</t>
  </si>
  <si>
    <t>P1200192</t>
  </si>
  <si>
    <t>Cable TV Service</t>
  </si>
  <si>
    <t xml:space="preserve">IT </t>
  </si>
  <si>
    <t>Appworx</t>
  </si>
  <si>
    <t>0100-60105 (.75) 1270-65691 (.75)</t>
  </si>
  <si>
    <t>Risk Management</t>
  </si>
  <si>
    <t>Employee Insurance (Bond)</t>
  </si>
  <si>
    <t>0100-60224</t>
  </si>
  <si>
    <t>0100-60225</t>
  </si>
  <si>
    <t>Auto Insurance</t>
  </si>
  <si>
    <t>0100-60226</t>
  </si>
  <si>
    <t>0100-60390/0010-33996/0010-33997</t>
  </si>
  <si>
    <t>Insurance</t>
  </si>
  <si>
    <t>OASI</t>
  </si>
  <si>
    <t>Unemployment Comp</t>
  </si>
  <si>
    <t>TRS</t>
  </si>
  <si>
    <t>ORP</t>
  </si>
  <si>
    <t>Total University Cost</t>
  </si>
  <si>
    <t>University Expenses supported by other fees</t>
  </si>
  <si>
    <t>Blackboard Licensing</t>
  </si>
  <si>
    <t>0115-60601</t>
  </si>
  <si>
    <t>Turnitin License</t>
  </si>
  <si>
    <t>0101-60105</t>
  </si>
  <si>
    <t>P1200181</t>
  </si>
  <si>
    <t>Adobe Cold Fusion</t>
  </si>
  <si>
    <t>0120-61460</t>
  </si>
  <si>
    <t>Respondus</t>
  </si>
  <si>
    <t>Securexam Brower/Password</t>
  </si>
  <si>
    <t>Denotes that expense is split between other fee revenue</t>
  </si>
  <si>
    <t>Purchased Utilities - Electricity</t>
  </si>
  <si>
    <t>46510/61156</t>
  </si>
  <si>
    <t xml:space="preserve">Purchased Utilities  </t>
  </si>
  <si>
    <t>Purchased Utilies - Fuel</t>
  </si>
  <si>
    <t>Purchased Utilities - Water</t>
  </si>
  <si>
    <t>Purchased Utilities - Sewer</t>
  </si>
  <si>
    <t>Utilities</t>
  </si>
  <si>
    <t>0100-61255</t>
  </si>
  <si>
    <t>0100-61260</t>
  </si>
  <si>
    <t>0100-61267</t>
  </si>
  <si>
    <t>0100-61270</t>
  </si>
  <si>
    <t>0100-61275</t>
  </si>
  <si>
    <t>Transfer to Other Funds (Athletics)</t>
  </si>
  <si>
    <t>Revenue Bond Serires 2002</t>
  </si>
  <si>
    <t>University Expenses</t>
  </si>
  <si>
    <t>Budget Requirements</t>
  </si>
  <si>
    <t>Revenue</t>
  </si>
  <si>
    <t>Strategic Iniatives</t>
  </si>
  <si>
    <t>General Contingency</t>
  </si>
  <si>
    <t>0100-61265</t>
  </si>
  <si>
    <t>Designated Tuition - I Summer (set-aside)</t>
  </si>
  <si>
    <t>Designated Tuition - II Summer (set-aside)</t>
  </si>
  <si>
    <t>Jeff reran several reports.  It appears that some classes offered in Biology combine classroom instruction with a lab making it a 4 hours course.  Will discuss in Budget Task Force Group.  4/5 - will do cost factor for heavy lab dependent departments</t>
  </si>
  <si>
    <t>College of Nursing &amp; Allied Health</t>
  </si>
  <si>
    <t>(All)</t>
  </si>
  <si>
    <t>00117</t>
  </si>
  <si>
    <t>5120</t>
  </si>
  <si>
    <t>5122</t>
  </si>
  <si>
    <t>5124</t>
  </si>
  <si>
    <t>5126</t>
  </si>
  <si>
    <t>Research Development Fund</t>
  </si>
  <si>
    <t>00019</t>
  </si>
  <si>
    <t>Total Non-Transferrable E&amp;G Funds</t>
  </si>
  <si>
    <t>Total Revenue</t>
  </si>
  <si>
    <t>X</t>
  </si>
  <si>
    <t>F</t>
  </si>
  <si>
    <t>1= president</t>
  </si>
  <si>
    <t>2= Academic Affairs</t>
  </si>
  <si>
    <t>3= Finance &amp; Administration</t>
  </si>
  <si>
    <t>4= Strategy &amp; Planning</t>
  </si>
  <si>
    <t>5= Student Affairs</t>
  </si>
  <si>
    <t>6= Development</t>
  </si>
  <si>
    <t>9= Non budgeted</t>
  </si>
  <si>
    <t>X= funded by non-transferrable revenue</t>
  </si>
  <si>
    <t>F= Facilities</t>
  </si>
  <si>
    <t>W-2's</t>
  </si>
  <si>
    <t>0100-60172</t>
  </si>
  <si>
    <t>Print/distribute LAR's &amp; Budgets</t>
  </si>
  <si>
    <t>0100-60170</t>
  </si>
  <si>
    <t>Longevity</t>
  </si>
  <si>
    <t>Admissions</t>
  </si>
  <si>
    <t>Postage</t>
  </si>
  <si>
    <t>0100-60304</t>
  </si>
  <si>
    <t>0100-60316</t>
  </si>
  <si>
    <t>ASU College Days</t>
  </si>
  <si>
    <t>0100-60340</t>
  </si>
  <si>
    <t>BRM</t>
  </si>
  <si>
    <t>THECB - Apply Texas Fees</t>
  </si>
  <si>
    <t>Pitney Bowes</t>
  </si>
  <si>
    <t>Zinch Names</t>
  </si>
  <si>
    <t>Texas 4-H Ag Foundation</t>
  </si>
  <si>
    <t>Vatat Booth Rental FFA Ag</t>
  </si>
  <si>
    <t>Transcript Paper &amp; Seals</t>
  </si>
  <si>
    <t>BOR reports - 20+ bppls 3X a year</t>
  </si>
  <si>
    <t>Postcards for Bacterial Meningitis</t>
  </si>
  <si>
    <t>??  ADA</t>
  </si>
  <si>
    <t>Registrar</t>
  </si>
  <si>
    <t>Student Affairs</t>
  </si>
  <si>
    <t>Time Clock Plus - Data Management</t>
  </si>
  <si>
    <t>Branding &amp; Marketing</t>
  </si>
  <si>
    <t>Communications &amp; Marketing</t>
  </si>
  <si>
    <t>PR Marketing-ASU Magazine</t>
  </si>
  <si>
    <t>Targeted markting-Publications</t>
  </si>
  <si>
    <t>0100-60102</t>
  </si>
  <si>
    <t>University Expenses Supported by E&amp;G and Designated Tuition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</si>
</sst>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"/>
    <numFmt numFmtId="166" formatCode="_(* #,##0_);_(* \(#,##0\);_(* &quot;-&quot;??_);_(@_)"/>
    <numFmt numFmtId="167" formatCode="_(&quot;$&quot;* #,##0_);_(&quot;$&quot;* \(#,##0\);_(&quot;$&quot;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theme="0" tint="-0.49998474074526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color indexed="81"/>
      <name val="Tahoma"/>
      <charset val="1"/>
    </font>
    <font>
      <b/>
      <sz val="8"/>
      <color indexed="81"/>
      <name val="Tahoma"/>
      <charset val="1"/>
    </font>
    <font>
      <b/>
      <sz val="11"/>
      <color theme="1"/>
      <name val="Calibri"/>
      <family val="2"/>
      <scheme val="minor"/>
    </font>
    <font>
      <sz val="10"/>
      <color theme="1"/>
      <name val="Andale WT"/>
      <family val="2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FD2E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4"/>
    <xf numFmtId="0" fontId="4" fillId="0" borderId="0" xfId="4" applyFont="1"/>
    <xf numFmtId="0" fontId="4" fillId="0" borderId="0" xfId="4" applyFont="1" applyFill="1"/>
    <xf numFmtId="9" fontId="0" fillId="0" borderId="0" xfId="2" applyFont="1"/>
    <xf numFmtId="0" fontId="4" fillId="0" borderId="0" xfId="4" applyFont="1" applyFill="1" applyAlignment="1">
      <alignment horizontal="right" indent="1"/>
    </xf>
    <xf numFmtId="0" fontId="4" fillId="0" borderId="0" xfId="4" applyFont="1" applyFill="1" applyAlignment="1">
      <alignment horizontal="right"/>
    </xf>
    <xf numFmtId="0" fontId="3" fillId="0" borderId="0" xfId="4" applyAlignment="1">
      <alignment horizontal="center" wrapText="1"/>
    </xf>
    <xf numFmtId="8" fontId="3" fillId="0" borderId="0" xfId="4" applyNumberFormat="1" applyAlignment="1">
      <alignment horizontal="center" wrapText="1"/>
    </xf>
    <xf numFmtId="44" fontId="4" fillId="0" borderId="0" xfId="4" applyNumberFormat="1" applyFont="1" applyAlignment="1">
      <alignment horizontal="center" wrapText="1"/>
    </xf>
    <xf numFmtId="0" fontId="4" fillId="0" borderId="0" xfId="4" applyFont="1" applyAlignment="1">
      <alignment horizontal="center" wrapText="1"/>
    </xf>
    <xf numFmtId="0" fontId="5" fillId="0" borderId="0" xfId="4" applyFont="1"/>
    <xf numFmtId="0" fontId="4" fillId="0" borderId="0" xfId="4" applyFont="1"/>
    <xf numFmtId="0" fontId="5" fillId="0" borderId="0" xfId="4" applyFont="1" applyAlignment="1">
      <alignment horizontal="center" wrapText="1"/>
    </xf>
    <xf numFmtId="0" fontId="4" fillId="0" borderId="0" xfId="4" applyFont="1" applyFill="1"/>
    <xf numFmtId="44" fontId="0" fillId="0" borderId="0" xfId="0" applyNumberFormat="1"/>
    <xf numFmtId="0" fontId="3" fillId="0" borderId="0" xfId="4"/>
    <xf numFmtId="0" fontId="4" fillId="0" borderId="0" xfId="4" applyFont="1"/>
    <xf numFmtId="44" fontId="4" fillId="6" borderId="0" xfId="7" applyFont="1" applyFill="1"/>
    <xf numFmtId="0" fontId="4" fillId="0" borderId="0" xfId="4" applyFont="1" applyFill="1"/>
    <xf numFmtId="44" fontId="0" fillId="0" borderId="0" xfId="1" applyFont="1"/>
    <xf numFmtId="0" fontId="3" fillId="0" borderId="0" xfId="4"/>
    <xf numFmtId="10" fontId="3" fillId="0" borderId="0" xfId="4" applyNumberFormat="1"/>
    <xf numFmtId="44" fontId="3" fillId="0" borderId="0" xfId="4" applyNumberFormat="1"/>
    <xf numFmtId="0" fontId="4" fillId="0" borderId="0" xfId="4" applyFont="1" applyAlignment="1">
      <alignment horizontal="center"/>
    </xf>
    <xf numFmtId="0" fontId="3" fillId="0" borderId="0" xfId="4"/>
    <xf numFmtId="0" fontId="5" fillId="0" borderId="0" xfId="4" applyFont="1"/>
    <xf numFmtId="0" fontId="3" fillId="0" borderId="0" xfId="4" applyFill="1"/>
    <xf numFmtId="0" fontId="4" fillId="0" borderId="0" xfId="4" applyFont="1"/>
    <xf numFmtId="0" fontId="4" fillId="0" borderId="0" xfId="4" applyFont="1" applyFill="1"/>
    <xf numFmtId="0" fontId="3" fillId="0" borderId="0" xfId="4"/>
    <xf numFmtId="44" fontId="3" fillId="0" borderId="0" xfId="4" applyNumberFormat="1" applyAlignment="1">
      <alignment horizontal="center"/>
    </xf>
    <xf numFmtId="13" fontId="3" fillId="0" borderId="0" xfId="4" quotePrefix="1" applyNumberFormat="1" applyAlignment="1">
      <alignment horizontal="center"/>
    </xf>
    <xf numFmtId="0" fontId="7" fillId="7" borderId="0" xfId="4" quotePrefix="1" applyFont="1" applyFill="1" applyAlignment="1">
      <alignment horizontal="center"/>
    </xf>
    <xf numFmtId="44" fontId="4" fillId="0" borderId="0" xfId="7" applyNumberFormat="1" applyFont="1" applyAlignment="1">
      <alignment horizontal="center"/>
    </xf>
    <xf numFmtId="0" fontId="3" fillId="0" borderId="0" xfId="4"/>
    <xf numFmtId="0" fontId="5" fillId="0" borderId="0" xfId="4" applyFont="1"/>
    <xf numFmtId="0" fontId="3" fillId="0" borderId="0" xfId="4" applyFill="1"/>
    <xf numFmtId="0" fontId="4" fillId="0" borderId="0" xfId="4" applyFont="1"/>
    <xf numFmtId="0" fontId="4" fillId="0" borderId="0" xfId="4" applyFont="1" applyFill="1"/>
    <xf numFmtId="0" fontId="5" fillId="0" borderId="0" xfId="4" applyFont="1"/>
    <xf numFmtId="0" fontId="5" fillId="0" borderId="0" xfId="4" applyFont="1" applyAlignment="1">
      <alignment horizontal="center"/>
    </xf>
    <xf numFmtId="0" fontId="3" fillId="0" borderId="0" xfId="4"/>
    <xf numFmtId="0" fontId="3" fillId="0" borderId="0" xfId="4" applyAlignment="1">
      <alignment horizontal="center"/>
    </xf>
    <xf numFmtId="44" fontId="3" fillId="0" borderId="0" xfId="4" applyNumberFormat="1"/>
    <xf numFmtId="44" fontId="3" fillId="0" borderId="0" xfId="4" applyNumberFormat="1" applyAlignment="1">
      <alignment horizontal="center"/>
    </xf>
    <xf numFmtId="0" fontId="4" fillId="0" borderId="0" xfId="4" applyFont="1" applyAlignment="1">
      <alignment horizontal="center"/>
    </xf>
    <xf numFmtId="164" fontId="4" fillId="0" borderId="0" xfId="4" applyNumberFormat="1" applyFont="1" applyAlignment="1">
      <alignment horizontal="center"/>
    </xf>
    <xf numFmtId="0" fontId="4" fillId="0" borderId="0" xfId="4" applyNumberFormat="1" applyFont="1" applyAlignment="1">
      <alignment horizontal="center"/>
    </xf>
    <xf numFmtId="0" fontId="7" fillId="0" borderId="0" xfId="4" applyFont="1" applyAlignment="1">
      <alignment horizontal="center"/>
    </xf>
    <xf numFmtId="0" fontId="3" fillId="0" borderId="0" xfId="4"/>
    <xf numFmtId="0" fontId="5" fillId="0" borderId="0" xfId="4" applyFont="1"/>
    <xf numFmtId="0" fontId="3" fillId="3" borderId="0" xfId="4" applyFill="1"/>
    <xf numFmtId="0" fontId="3" fillId="5" borderId="0" xfId="4" applyFill="1"/>
    <xf numFmtId="1" fontId="0" fillId="0" borderId="0" xfId="0" applyNumberFormat="1"/>
    <xf numFmtId="0" fontId="4" fillId="0" borderId="1" xfId="4" applyFont="1" applyBorder="1"/>
    <xf numFmtId="0" fontId="0" fillId="0" borderId="1" xfId="0" applyBorder="1"/>
    <xf numFmtId="0" fontId="4" fillId="0" borderId="1" xfId="4" applyFont="1" applyFill="1" applyBorder="1"/>
    <xf numFmtId="44" fontId="3" fillId="3" borderId="0" xfId="7" applyFont="1" applyFill="1"/>
    <xf numFmtId="0" fontId="3" fillId="0" borderId="0" xfId="4" applyFill="1" applyAlignment="1">
      <alignment horizontal="center" wrapText="1"/>
    </xf>
    <xf numFmtId="44" fontId="3" fillId="0" borderId="0" xfId="1" applyFont="1"/>
    <xf numFmtId="0" fontId="3" fillId="4" borderId="0" xfId="4" applyFill="1" applyAlignment="1">
      <alignment horizontal="center" wrapText="1"/>
    </xf>
    <xf numFmtId="44" fontId="0" fillId="0" borderId="1" xfId="0" applyNumberFormat="1" applyBorder="1"/>
    <xf numFmtId="2" fontId="3" fillId="0" borderId="0" xfId="4" applyNumberFormat="1" applyFill="1" applyAlignment="1">
      <alignment horizontal="center" wrapText="1"/>
    </xf>
    <xf numFmtId="2" fontId="2" fillId="2" borderId="0" xfId="3" applyNumberFormat="1"/>
    <xf numFmtId="44" fontId="4" fillId="8" borderId="0" xfId="4" applyNumberFormat="1" applyFont="1" applyFill="1"/>
    <xf numFmtId="44" fontId="6" fillId="8" borderId="0" xfId="1" applyFont="1" applyFill="1"/>
    <xf numFmtId="43" fontId="0" fillId="0" borderId="1" xfId="10" applyFont="1" applyBorder="1"/>
    <xf numFmtId="43" fontId="0" fillId="0" borderId="0" xfId="10" applyFont="1"/>
    <xf numFmtId="0" fontId="0" fillId="0" borderId="0" xfId="0" applyAlignment="1">
      <alignment horizontal="center" wrapText="1"/>
    </xf>
    <xf numFmtId="0" fontId="0" fillId="9" borderId="0" xfId="0" applyFill="1"/>
    <xf numFmtId="44" fontId="0" fillId="0" borderId="0" xfId="1" applyFont="1" applyBorder="1"/>
    <xf numFmtId="0" fontId="0" fillId="10" borderId="0" xfId="0" applyFill="1"/>
    <xf numFmtId="165" fontId="0" fillId="0" borderId="0" xfId="0" applyNumberFormat="1"/>
    <xf numFmtId="0" fontId="5" fillId="0" borderId="0" xfId="4" applyFont="1" applyFill="1"/>
    <xf numFmtId="44" fontId="0" fillId="0" borderId="0" xfId="1" applyFont="1"/>
    <xf numFmtId="1" fontId="0" fillId="0" borderId="0" xfId="0" applyNumberFormat="1"/>
    <xf numFmtId="43" fontId="0" fillId="0" borderId="0" xfId="10" applyFont="1"/>
    <xf numFmtId="44" fontId="0" fillId="0" borderId="0" xfId="1" applyFont="1"/>
    <xf numFmtId="0" fontId="0" fillId="0" borderId="0" xfId="0"/>
    <xf numFmtId="0" fontId="4" fillId="0" borderId="0" xfId="4" applyFont="1" applyFill="1"/>
    <xf numFmtId="0" fontId="5" fillId="0" borderId="0" xfId="4" applyFont="1"/>
    <xf numFmtId="44" fontId="0" fillId="0" borderId="0" xfId="0" applyNumberFormat="1"/>
    <xf numFmtId="44" fontId="0" fillId="0" borderId="0" xfId="1" applyFont="1"/>
    <xf numFmtId="0" fontId="5" fillId="0" borderId="0" xfId="4" applyFont="1" applyAlignment="1">
      <alignment horizontal="center"/>
    </xf>
    <xf numFmtId="0" fontId="3" fillId="5" borderId="0" xfId="4" applyFill="1"/>
    <xf numFmtId="1" fontId="0" fillId="0" borderId="0" xfId="0" applyNumberFormat="1"/>
    <xf numFmtId="44" fontId="0" fillId="0" borderId="1" xfId="1" applyFont="1" applyBorder="1"/>
    <xf numFmtId="0" fontId="0" fillId="0" borderId="1" xfId="0" applyBorder="1"/>
    <xf numFmtId="43" fontId="0" fillId="0" borderId="1" xfId="10" applyFont="1" applyBorder="1"/>
    <xf numFmtId="43" fontId="0" fillId="0" borderId="0" xfId="10" applyFont="1"/>
    <xf numFmtId="9" fontId="0" fillId="0" borderId="0" xfId="0" applyNumberFormat="1"/>
    <xf numFmtId="1" fontId="0" fillId="0" borderId="1" xfId="0" applyNumberFormat="1" applyBorder="1"/>
    <xf numFmtId="165" fontId="0" fillId="0" borderId="1" xfId="0" applyNumberFormat="1" applyBorder="1"/>
    <xf numFmtId="43" fontId="0" fillId="0" borderId="0" xfId="0" applyNumberFormat="1"/>
    <xf numFmtId="166" fontId="3" fillId="3" borderId="0" xfId="10" applyNumberFormat="1" applyFont="1" applyFill="1"/>
    <xf numFmtId="0" fontId="3" fillId="0" borderId="0" xfId="4" applyFont="1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49" fontId="0" fillId="0" borderId="0" xfId="0" applyNumberFormat="1"/>
    <xf numFmtId="49" fontId="0" fillId="0" borderId="0" xfId="0" applyNumberFormat="1" applyFill="1"/>
    <xf numFmtId="43" fontId="0" fillId="0" borderId="0" xfId="10" applyFont="1" applyFill="1"/>
    <xf numFmtId="0" fontId="0" fillId="0" borderId="0" xfId="0" applyFill="1"/>
    <xf numFmtId="43" fontId="0" fillId="11" borderId="0" xfId="10" applyFont="1" applyFill="1"/>
    <xf numFmtId="49" fontId="0" fillId="8" borderId="0" xfId="0" applyNumberFormat="1" applyFill="1"/>
    <xf numFmtId="43" fontId="0" fillId="8" borderId="0" xfId="10" applyFont="1" applyFill="1"/>
    <xf numFmtId="49" fontId="0" fillId="12" borderId="0" xfId="0" applyNumberFormat="1" applyFill="1"/>
    <xf numFmtId="43" fontId="0" fillId="12" borderId="0" xfId="10" applyFont="1" applyFill="1"/>
    <xf numFmtId="43" fontId="0" fillId="13" borderId="0" xfId="10" applyFont="1" applyFill="1"/>
    <xf numFmtId="44" fontId="3" fillId="0" borderId="0" xfId="4" applyNumberFormat="1" applyFont="1" applyAlignment="1">
      <alignment horizontal="center"/>
    </xf>
    <xf numFmtId="39" fontId="3" fillId="0" borderId="0" xfId="4" applyNumberFormat="1" applyFont="1" applyAlignment="1">
      <alignment horizontal="center" wrapText="1"/>
    </xf>
    <xf numFmtId="0" fontId="12" fillId="0" borderId="0" xfId="0" applyFont="1"/>
    <xf numFmtId="0" fontId="12" fillId="14" borderId="0" xfId="0" applyFont="1" applyFill="1"/>
    <xf numFmtId="166" fontId="12" fillId="0" borderId="0" xfId="10" applyNumberFormat="1" applyFont="1"/>
    <xf numFmtId="43" fontId="12" fillId="0" borderId="0" xfId="10" applyNumberFormat="1" applyFont="1"/>
    <xf numFmtId="0" fontId="0" fillId="14" borderId="0" xfId="0" applyFill="1"/>
    <xf numFmtId="166" fontId="0" fillId="0" borderId="0" xfId="10" applyNumberFormat="1" applyFont="1"/>
    <xf numFmtId="43" fontId="0" fillId="0" borderId="0" xfId="10" applyNumberFormat="1" applyFont="1"/>
    <xf numFmtId="49" fontId="0" fillId="14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13" fillId="15" borderId="2" xfId="0" applyFont="1" applyFill="1" applyBorder="1" applyAlignment="1">
      <alignment horizontal="left" vertical="top"/>
    </xf>
    <xf numFmtId="0" fontId="13" fillId="15" borderId="3" xfId="0" applyFont="1" applyFill="1" applyBorder="1" applyAlignment="1">
      <alignment vertical="center"/>
    </xf>
    <xf numFmtId="0" fontId="13" fillId="15" borderId="2" xfId="0" applyFont="1" applyFill="1" applyBorder="1" applyAlignment="1">
      <alignment horizontal="right" vertical="top"/>
    </xf>
    <xf numFmtId="0" fontId="13" fillId="15" borderId="3" xfId="0" applyFont="1" applyFill="1" applyBorder="1" applyAlignment="1">
      <alignment horizontal="right" vertical="center"/>
    </xf>
    <xf numFmtId="0" fontId="13" fillId="0" borderId="4" xfId="0" applyFont="1" applyBorder="1" applyAlignment="1">
      <alignment vertical="top"/>
    </xf>
    <xf numFmtId="4" fontId="13" fillId="0" borderId="4" xfId="0" applyNumberFormat="1" applyFont="1" applyBorder="1" applyAlignment="1">
      <alignment horizontal="right" vertical="top"/>
    </xf>
    <xf numFmtId="0" fontId="13" fillId="0" borderId="4" xfId="0" applyFont="1" applyBorder="1" applyAlignment="1">
      <alignment horizontal="right" vertical="top"/>
    </xf>
    <xf numFmtId="0" fontId="0" fillId="0" borderId="4" xfId="0" applyBorder="1"/>
    <xf numFmtId="49" fontId="13" fillId="0" borderId="4" xfId="0" applyNumberFormat="1" applyFont="1" applyBorder="1" applyAlignment="1">
      <alignment vertical="top"/>
    </xf>
    <xf numFmtId="0" fontId="0" fillId="0" borderId="0" xfId="0" applyBorder="1"/>
    <xf numFmtId="44" fontId="12" fillId="0" borderId="0" xfId="0" applyNumberFormat="1" applyFont="1"/>
    <xf numFmtId="0" fontId="15" fillId="0" borderId="0" xfId="0" applyFont="1"/>
    <xf numFmtId="167" fontId="0" fillId="0" borderId="0" xfId="1" applyNumberFormat="1" applyFont="1"/>
    <xf numFmtId="0" fontId="0" fillId="12" borderId="0" xfId="0" applyFill="1"/>
    <xf numFmtId="167" fontId="0" fillId="12" borderId="0" xfId="1" applyNumberFormat="1" applyFont="1" applyFill="1"/>
    <xf numFmtId="0" fontId="14" fillId="12" borderId="0" xfId="0" applyFont="1" applyFill="1"/>
    <xf numFmtId="167" fontId="0" fillId="0" borderId="0" xfId="1" applyNumberFormat="1" applyFont="1" applyFill="1"/>
    <xf numFmtId="0" fontId="16" fillId="0" borderId="0" xfId="0" applyFont="1" applyFill="1"/>
    <xf numFmtId="167" fontId="0" fillId="0" borderId="5" xfId="1" applyNumberFormat="1" applyFont="1" applyBorder="1"/>
    <xf numFmtId="0" fontId="15" fillId="0" borderId="0" xfId="0" applyFont="1" applyFill="1"/>
    <xf numFmtId="49" fontId="16" fillId="0" borderId="0" xfId="0" applyNumberFormat="1" applyFont="1" applyFill="1"/>
    <xf numFmtId="0" fontId="0" fillId="0" borderId="0" xfId="0" applyAlignment="1">
      <alignment horizontal="right"/>
    </xf>
    <xf numFmtId="44" fontId="0" fillId="8" borderId="1" xfId="1" applyFont="1" applyFill="1" applyBorder="1"/>
    <xf numFmtId="4" fontId="0" fillId="0" borderId="0" xfId="0" applyNumberFormat="1" applyBorder="1"/>
    <xf numFmtId="43" fontId="0" fillId="0" borderId="6" xfId="10" applyFont="1" applyBorder="1"/>
    <xf numFmtId="43" fontId="0" fillId="16" borderId="0" xfId="10" applyFont="1" applyFill="1"/>
    <xf numFmtId="49" fontId="0" fillId="17" borderId="0" xfId="0" applyNumberFormat="1" applyFill="1"/>
    <xf numFmtId="43" fontId="0" fillId="17" borderId="0" xfId="10" applyFont="1" applyFill="1"/>
    <xf numFmtId="0" fontId="0" fillId="17" borderId="0" xfId="0" applyFill="1"/>
    <xf numFmtId="43" fontId="0" fillId="17" borderId="7" xfId="10" applyFont="1" applyFill="1" applyBorder="1"/>
    <xf numFmtId="4" fontId="13" fillId="0" borderId="8" xfId="0" applyNumberFormat="1" applyFont="1" applyFill="1" applyBorder="1" applyAlignment="1">
      <alignment horizontal="right" vertical="top"/>
    </xf>
    <xf numFmtId="167" fontId="0" fillId="0" borderId="0" xfId="0" applyNumberFormat="1"/>
    <xf numFmtId="167" fontId="0" fillId="0" borderId="0" xfId="0" applyNumberFormat="1" applyFill="1"/>
    <xf numFmtId="0" fontId="5" fillId="18" borderId="0" xfId="4" applyFont="1" applyFill="1" applyAlignment="1">
      <alignment horizontal="center" wrapText="1"/>
    </xf>
    <xf numFmtId="0" fontId="4" fillId="18" borderId="0" xfId="4" applyFont="1" applyFill="1"/>
    <xf numFmtId="0" fontId="0" fillId="18" borderId="0" xfId="0" applyFill="1"/>
    <xf numFmtId="44" fontId="0" fillId="0" borderId="0" xfId="2" applyNumberFormat="1" applyFont="1"/>
    <xf numFmtId="0" fontId="13" fillId="12" borderId="4" xfId="0" applyFont="1" applyFill="1" applyBorder="1" applyAlignment="1">
      <alignment vertical="top"/>
    </xf>
  </cellXfs>
  <cellStyles count="11">
    <cellStyle name="Comma" xfId="10" builtinId="3"/>
    <cellStyle name="Comma 2" xfId="6"/>
    <cellStyle name="Comma 3" xfId="5"/>
    <cellStyle name="Currency" xfId="1" builtinId="4"/>
    <cellStyle name="Currency 2" xfId="7"/>
    <cellStyle name="Neutral" xfId="3" builtinId="28"/>
    <cellStyle name="Normal" xfId="0" builtinId="0"/>
    <cellStyle name="Normal 2" xfId="8"/>
    <cellStyle name="Normal 3" xfId="4"/>
    <cellStyle name="Percent" xfId="2" builtinId="5"/>
    <cellStyle name="Percent 2" xfId="9"/>
  </cellStyles>
  <dxfs count="9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gelo State University" refreshedDate="41033.371714120367" createdVersion="4" refreshedVersion="4" minRefreshableVersion="3" recordCount="645">
  <cacheSource type="worksheet">
    <worksheetSource ref="A1:N1048576" sheet="position report"/>
  </cacheSource>
  <cacheFields count="15">
    <cacheField name="Position Number" numFmtId="0">
      <sharedItems containsBlank="1"/>
    </cacheField>
    <cacheField name="Position Title" numFmtId="0">
      <sharedItems containsBlank="1"/>
    </cacheField>
    <cacheField name="FUND" numFmtId="0">
      <sharedItems containsBlank="1"/>
    </cacheField>
    <cacheField name="ORGN" numFmtId="0">
      <sharedItems containsBlank="1" count="108">
        <s v="32100"/>
        <s v="33100"/>
        <s v="33290"/>
        <s v="33300"/>
        <s v="33319"/>
        <s v="33350"/>
        <s v="33715"/>
        <s v="33730"/>
        <s v="33765"/>
        <s v="40005"/>
        <s v="40010"/>
        <s v="40013"/>
        <s v="40018"/>
        <s v="40020"/>
        <s v="40030"/>
        <s v="40040"/>
        <s v="40050"/>
        <s v="40058"/>
        <s v="40065"/>
        <s v="40090"/>
        <s v="40100"/>
        <s v="40110"/>
        <s v="40140"/>
        <s v="40160"/>
        <s v="40165"/>
        <s v="40282"/>
        <s v="40285"/>
        <s v="40287"/>
        <s v="40291"/>
        <s v="40295"/>
        <s v="40475"/>
        <s v="40500"/>
        <s v="40590"/>
        <s v="41000"/>
        <s v="41050"/>
        <s v="41080"/>
        <s v="41100"/>
        <s v="41150"/>
        <s v="43100"/>
        <s v="44000"/>
        <s v="46000"/>
        <s v="46200"/>
        <s v="46300"/>
        <s v="46400"/>
        <s v="46500"/>
        <s v="48500"/>
        <s v="48610"/>
        <s v="48660"/>
        <s v="48670"/>
        <s v="33710"/>
        <s v="40290"/>
        <s v="40340"/>
        <s v="40480"/>
        <s v="41300"/>
        <s v="45000"/>
        <s v="41120"/>
        <s v="60010"/>
        <s v="60022"/>
        <s v="60025"/>
        <s v="60030"/>
        <s v="60040"/>
        <s v="60080"/>
        <s v="60092"/>
        <s v="60102"/>
        <s v="60103"/>
        <s v="60104"/>
        <s v="60105"/>
        <s v="60109"/>
        <s v="60112"/>
        <s v="60113"/>
        <s v="60170"/>
        <s v="60200"/>
        <s v="60205"/>
        <s v="60209"/>
        <s v="60210"/>
        <s v="60220"/>
        <s v="60222"/>
        <s v="60245"/>
        <s v="60260"/>
        <s v="60265"/>
        <s v="60277"/>
        <s v="60280"/>
        <s v="60285"/>
        <s v="60295"/>
        <s v="60300"/>
        <s v="60303"/>
        <s v="60305"/>
        <s v="60308"/>
        <s v="60309"/>
        <s v="60310"/>
        <s v="60315"/>
        <s v="60353"/>
        <s v="60354"/>
        <s v="60355"/>
        <s v="60420"/>
        <s v="60425"/>
        <s v="60430"/>
        <s v="60434"/>
        <s v="60612"/>
        <s v="60691"/>
        <s v="61023"/>
        <s v="61030"/>
        <s v="61148"/>
        <s v="61150"/>
        <s v="61185"/>
        <s v="60175"/>
        <s v="60301"/>
        <m/>
      </sharedItems>
    </cacheField>
    <cacheField name="DEPT" numFmtId="0">
      <sharedItems containsBlank="1" containsMixedTypes="1" containsNumber="1" containsInteger="1" minValue="2056" maxValue="6300"/>
    </cacheField>
    <cacheField name="Div" numFmtId="0">
      <sharedItems containsBlank="1" count="6">
        <s v="1"/>
        <s v="3"/>
        <s v="2"/>
        <s v="5"/>
        <s v="6"/>
        <m/>
      </sharedItems>
    </cacheField>
    <cacheField name="ORGN Desc" numFmtId="0">
      <sharedItems containsBlank="1"/>
    </cacheField>
    <cacheField name="ACCT" numFmtId="0">
      <sharedItems containsBlank="1" count="4">
        <s v="7010"/>
        <s v="7015"/>
        <s v="7008"/>
        <m/>
      </sharedItems>
    </cacheField>
    <cacheField name="PROG" numFmtId="0">
      <sharedItems containsBlank="1" count="17">
        <s v="6010"/>
        <s v="6020"/>
        <s v="5010"/>
        <s v="1010"/>
        <s v="1020"/>
        <s v="1025"/>
        <s v="1035"/>
        <s v="1040"/>
        <s v="4010"/>
        <s v="4030"/>
        <s v="4020"/>
        <s v="7010"/>
        <s v="9210"/>
        <s v="3010"/>
        <s v="2010"/>
        <s v="6030"/>
        <m/>
      </sharedItems>
    </cacheField>
    <cacheField name="PROG Desc" numFmtId="0">
      <sharedItems containsBlank="1"/>
    </cacheField>
    <cacheField name="ACTV" numFmtId="0">
      <sharedItems containsBlank="1"/>
    </cacheField>
    <cacheField name="ACTV Desc" numFmtId="0">
      <sharedItems containsBlank="1"/>
    </cacheField>
    <cacheField name="Salary Budget" numFmtId="166">
      <sharedItems containsString="0" containsBlank="1" containsNumber="1" containsInteger="1" minValue="5000" maxValue="1653792"/>
    </cacheField>
    <cacheField name="Distribution Budget" numFmtId="166">
      <sharedItems containsString="0" containsBlank="1" containsNumber="1" containsInteger="1" minValue="1099" maxValue="1653792"/>
    </cacheField>
    <cacheField name="Distribution Percent" numFmtId="43">
      <sharedItems containsString="0" containsBlank="1" containsNumber="1" minValue="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ngelo State University" refreshedDate="41033.371714351852" createdVersion="4" refreshedVersion="4" minRefreshableVersion="3" recordCount="2332">
  <cacheSource type="worksheet">
    <worksheetSource ref="A1:S1048576" sheet="exp&amp;bud data"/>
  </cacheSource>
  <cacheFields count="19">
    <cacheField name="FSYR" numFmtId="0">
      <sharedItems containsBlank="1" count="3">
        <s v="2011"/>
        <s v="2012"/>
        <m/>
      </sharedItems>
    </cacheField>
    <cacheField name="DEPARTMENT" numFmtId="0">
      <sharedItems containsBlank="1" count="89">
        <s v="President"/>
        <s v="Provost and VPAA"/>
        <s v="Vice Provost for Academic Affairs"/>
        <s v="Communications and Marketing"/>
        <s v="Budget Office "/>
        <s v="Controller"/>
        <s v="Materials Management"/>
        <s v="Print Shop"/>
        <s v="EHS and Risk Management"/>
        <s v="VP Finance and Administration"/>
        <s v="University Police"/>
        <s v="Admissions Office"/>
        <s v="Registrar's Office"/>
        <s v="Dean College of Graduate Studies"/>
        <s v="First Year Experience"/>
        <s v="Financial Aid"/>
        <s v="Career Development"/>
        <s v="Staff Benefits"/>
        <s v="Agriculture"/>
        <s v="Art and Music"/>
        <s v="Biology"/>
        <s v="Chemistry and Biochemistry"/>
        <s v="Communication, Mass Media &amp; Theatre"/>
        <s v="English and Modern Languages"/>
        <s v="Political Science"/>
        <s v="History"/>
        <s v="Mathematics and Computer Science"/>
        <s v="Modern Languages"/>
        <s v="Physics"/>
        <s v="Psychology, Sociology, Social Work"/>
        <s v="Accounting, Economics, and Finance"/>
        <s v="Aerospace Studies"/>
        <s v="Management and Marketing"/>
        <s v="Security Studies Criminal Justice"/>
        <s v="Teacher Education"/>
        <s v="Curriculum and Instruction"/>
        <s v="Kinesiology"/>
        <s v="Computer Science"/>
        <s v="Mathematics "/>
        <s v="Nursing and Rehabilitation Sciences"/>
        <s v="Physical Therapy"/>
        <s v="Honors Program"/>
        <s v="Assoc VP Finance and Administration"/>
        <s v="Dean College of Arts and Sciences"/>
        <s v="Dean College of Business"/>
        <s v="Dean College of Education"/>
        <s v="Dean College of Sciences"/>
        <s v="Dean College Health Human Services"/>
        <s v="Porter Henderson Library"/>
        <s v="Sponsored Projects"/>
        <s v="Facilities Management"/>
        <s v="Facilities Planning Construction"/>
        <s v="Maintenance"/>
        <s v="Custodial"/>
        <s v="Grounds"/>
        <s v="Energy Management"/>
        <s v="Other non-budgeted"/>
        <s v="Center for Academic Excellence"/>
        <s v="Small Business Development Center"/>
        <s v="Cntr Innovation Teaching Research"/>
        <s v="Assoc VP Enrollment Management"/>
        <s v="VP Strategy, Policy, and Planning"/>
        <s v="Multicultural Initiatives"/>
        <s v="IT Business Office"/>
        <s v="Student Life and Student Services"/>
        <s v="Office of Audit Services"/>
        <s v="Assoc VP Information Technology"/>
        <s v="VP Development"/>
        <s v="VP Student Affairs Enrollment Mgmt"/>
        <s v="Inst Research and Effectiveness"/>
        <s v="Payroll Services"/>
        <s v="Human Resources"/>
        <s v="Mail Services"/>
        <s v="Purchasing and Property Management"/>
        <s v="One Card "/>
        <s v="Business Services"/>
        <s v="Special Events Facilities Services"/>
        <s v="Junell Center/Stephens Arena"/>
        <s v="Special Projects"/>
        <s v="Ticket Office"/>
        <s v="Quality Enhancement Plan"/>
        <s v="Student Involvement"/>
        <s v="Center for International Studies"/>
        <s v="Tutoring Center"/>
        <s v="Infrastructure Services"/>
        <s v="University Recreation Intramurals"/>
        <m/>
        <s v="Psychology Sociology Social Work" u="1"/>
        <s v="History and Political Science" u="1"/>
      </sharedItems>
    </cacheField>
    <cacheField name="DEPT CODE" numFmtId="0">
      <sharedItems containsBlank="1" containsMixedTypes="1" containsNumber="1" containsInteger="1" minValue="2056" maxValue="23100" count="97">
        <s v="1050"/>
        <s v="2050"/>
        <s v="2100"/>
        <s v="1400"/>
        <s v="3110"/>
        <s v="3300"/>
        <s v="3700"/>
        <s v="3730"/>
        <n v="3181"/>
        <s v="3050"/>
        <s v="3900"/>
        <s v="5210"/>
        <s v="5240"/>
        <s v="2900"/>
        <s v="2240"/>
        <s v="5230"/>
        <s v="5220"/>
        <s v="3115"/>
        <s v="2405"/>
        <s v="2410"/>
        <s v="2414"/>
        <s v="2418"/>
        <s v="2420"/>
        <s v="2430"/>
        <s v="2440"/>
        <s v="2450"/>
        <s v="2465"/>
        <s v="2460"/>
        <s v="2475"/>
        <s v="2470"/>
        <s v="2510"/>
        <s v="2520"/>
        <s v="2530"/>
        <s v="2535"/>
        <s v="2630"/>
        <s v="2610"/>
        <s v="2620"/>
        <s v="2710"/>
        <s v="2720"/>
        <s v="2730"/>
        <s v="2740"/>
        <s v="2750"/>
        <s v="2810"/>
        <s v="2760"/>
        <s v="2830"/>
        <s v="2820"/>
        <s v="2860"/>
        <s v="2054"/>
        <n v="23100"/>
        <s v="2400"/>
        <s v="2500"/>
        <s v="2600"/>
        <s v="2700"/>
        <s v="2800"/>
        <s v="2052"/>
        <s v="2910"/>
        <s v="3500"/>
        <s v="3600"/>
        <s v="3550"/>
        <s v="3510"/>
        <s v="3530"/>
        <s v="3520"/>
        <s v="9999"/>
        <s v="2220"/>
        <s v="2540"/>
        <s v="2110"/>
        <s v="5200"/>
        <s v="4050"/>
        <s v="1700"/>
        <n v="3810"/>
        <s v="5100"/>
        <s v="2230"/>
        <s v="1500"/>
        <s v="3100"/>
        <n v="3800"/>
        <s v="6050"/>
        <s v="5050"/>
        <n v="2080"/>
        <n v="2057"/>
        <s v="3130"/>
        <s v="3120"/>
        <s v="3720"/>
        <s v="3740"/>
        <s v="3910"/>
        <s v="3200"/>
        <s v="3230"/>
        <s v="3210"/>
        <s v="3052"/>
        <s v="3240"/>
        <s v="2140"/>
        <s v="5110"/>
        <s v="2051"/>
        <s v="2130"/>
        <n v="2056"/>
        <n v="3850"/>
        <s v="5500"/>
        <m/>
      </sharedItems>
    </cacheField>
    <cacheField name="Division" numFmtId="0">
      <sharedItems containsBlank="1" count="10">
        <s v="1"/>
        <s v="2"/>
        <s v="3"/>
        <s v="5"/>
        <s v="X"/>
        <s v="F"/>
        <s v="9"/>
        <s v="4"/>
        <s v="6"/>
        <m/>
      </sharedItems>
    </cacheField>
    <cacheField name="FUND" numFmtId="0">
      <sharedItems containsBlank="1" count="9">
        <s v="Educational and General"/>
        <s v="E&amp;G Incentive Performance Funding"/>
        <s v="E&amp;G Institutional Enhancement"/>
        <s v="Designated Tuition Fee"/>
        <s v="Financial and Records Service Fee"/>
        <m/>
        <s v="E&amp;G Nursing and Allied Health ARRA" u="1"/>
        <s v="E&amp;G Nursing Shortage Reduction Prgm" u="1"/>
        <s v="E&amp;G SI Nursing and Allied Health" u="1"/>
      </sharedItems>
    </cacheField>
    <cacheField name="FUND CODE" numFmtId="0">
      <sharedItems containsBlank="1" count="6">
        <s v="0010"/>
        <s v="0012"/>
        <s v="0018"/>
        <s v="0100"/>
        <s v="0117"/>
        <m/>
      </sharedItems>
    </cacheField>
    <cacheField name="ORGANIZATION" numFmtId="0">
      <sharedItems containsBlank="1" count="316">
        <s v="Office of the President"/>
        <s v="Office Academic Affairs"/>
        <s v="Vice Provost Academic Affairs"/>
        <s v="Communications and Marketing"/>
        <s v="Budget and Payroll Services"/>
        <s v="Controller's Office"/>
        <s v="Materials Management Office"/>
        <s v="Print Shop"/>
        <s v="EHS and Risk Management"/>
        <s v="System Office Operations"/>
        <s v="University Police"/>
        <s v="Office of Admissions"/>
        <s v="Office of the Registrar"/>
        <s v="Pre-Enrollment Advising-Graduate"/>
        <s v="First Year Experience"/>
        <s v="Financial Aid"/>
        <s v="Career Development"/>
        <s v="Staff Group Insurance Premiums"/>
        <s v="ORP Fund 001 &amp; Local"/>
        <s v="ORP Supplement Fund 227 &amp; Local"/>
        <s v="ORP Proportional, Fund 227"/>
        <s v="OASI Fund 001 &amp; Local"/>
        <s v="TRS, Fund 227 and Local"/>
        <s v="TRS, Fund 001"/>
        <s v="TRS New Members"/>
        <s v="TRS Surcharge"/>
        <s v="Unemployment Compensation"/>
        <s v="SORM, Fund 001"/>
        <s v="SORM, Fund 227"/>
        <s v="Agriculture"/>
        <s v="Agriculture Graduate Program"/>
        <s v="Art and Music"/>
        <s v="Biology"/>
        <s v="Biology Graduate Program"/>
        <s v="Chemistry and Biochemistry"/>
        <s v="Communication, Mass Media &amp; Theatre"/>
        <s v="Comm, Mass Media, Theatre Grad Prog"/>
        <s v="English and Modern Languages"/>
        <s v="English and Modern Lang Grad Prog"/>
        <s v="Political Science"/>
        <s v="Political Science Graduate Program"/>
        <s v="History"/>
        <s v="Mathematics and Computer Science"/>
        <s v="Modern Languages"/>
        <s v="Physics"/>
        <s v="Psychology, Sociology &amp; Social Work"/>
        <s v="Psychology Graduate Program"/>
        <s v="Accounting, Economics, &amp; Finance"/>
        <s v="Acctg, Eco, Finance Grad Program"/>
        <s v="Aerospace Studies"/>
        <s v="Management and Marketing"/>
        <s v="Mgmt and Marketing Graduate Program"/>
        <s v="Security Studies Criminal Justice"/>
        <s v="Teacher Education"/>
        <s v="Teacher Education Graduate Program"/>
        <s v="Curriculum and Instruction"/>
        <s v="Curriculum and Instruction Graduate"/>
        <s v="Kinesiology"/>
        <s v="Kinesiology Graduate Program"/>
        <s v="Computer Science"/>
        <s v="Mathematics"/>
        <s v="Nursing Graduate Program"/>
        <s v="Nursing"/>
        <s v="Athletic Training"/>
        <s v="Physical Therapy Graduate Program"/>
        <s v="Physical Therapy Doctoral Program"/>
        <s v="Psychology Sociology Soc Work Grad"/>
        <s v="Writing Center"/>
        <s v="Math Learning Lab"/>
        <s v="Honors Program"/>
        <s v="General Contingency (TBA President)"/>
        <s v="Reserve for College of Graduate Std"/>
        <s v="Non Tenure Eligible Faculty Pool"/>
        <s v="College of Arts and Sciences"/>
        <s v="College of Business"/>
        <s v="College of Education"/>
        <s v="College of Sciences"/>
        <s v="College Health and Human Services"/>
        <s v="College of Graduate Studies"/>
        <s v="Instr Planning &amp; Faculty Recruitmnt"/>
        <s v="University Ranch Operations"/>
        <s v="Library Operations"/>
        <s v="Library Books, Periodicals, Binding"/>
        <s v="Research Development Fund Reserve"/>
        <s v="Research Dev 10 Braden, K"/>
        <s v="Research Dev 10 Dowler, R"/>
        <s v="Research Dev 10 Guardiola, A"/>
        <s v="Research Dev 10 Sauncy, T"/>
        <s v="Research Dev 11 Ammerman L"/>
        <s v="Research Dev 11 Dunham H"/>
        <s v="Research Dev 11 Ko M"/>
        <s v="Research Dev 11 LeGrand R"/>
        <s v="Research Dev 11 Pierce J"/>
        <s v="Research Dev 12 Runia R"/>
        <s v="Research Dev 12 Williams S"/>
        <s v="Facilities Mgmt  Administration"/>
        <s v="Facilities Mgmt  Operations"/>
        <s v="Facilities Planning/Construction"/>
        <s v="Building Maintenance"/>
        <s v="Custodial Services"/>
        <s v="Grounds Maintenance"/>
        <s v="Other Utility Costs"/>
        <s v="Purchased Utilities-Electricity"/>
        <s v="Tuition Revenue Bonds"/>
        <s v="Fifth Year Accounting"/>
        <s v="Texas Grant THECB"/>
        <s v="Tuition &amp; Fee Remission &amp; Exemption"/>
        <s v="Management Instr &amp; Research Ctr"/>
        <s v="Center for Academic Excellence"/>
        <s v="Coordinating Board Work Study"/>
        <s v="School Based Clinics"/>
        <s v="Small Business Development Center"/>
        <s v="Center for Fine Arts"/>
        <s v="Center for Innovation"/>
        <s v="Enrollment Management"/>
        <s v="Pre-Enrollment Advising-Undgrad"/>
        <s v="Financial Aid Office"/>
        <s v="Maintenance Scholastic &amp; Adm Stdrds"/>
        <s v="VP Strategy, Planning, and Policy"/>
        <s v="Transitional Services"/>
        <s v="EOS Writing Center"/>
        <s v="EOS Math Learning Lab"/>
        <s v="Planetarium"/>
        <s v="Physical Therapy"/>
        <s v="Information Technology"/>
        <s v="American Disability Act Services"/>
        <s v="Communication Production Facility"/>
        <s v="Faculty Dev 10 Greenwald, B"/>
        <s v="Research Enhancement Reserve"/>
        <s v="Research Enh 10 Evans, R"/>
        <s v="Research Enh 10 Osborne, E"/>
        <s v="Research Enh 10 Osterhout, J"/>
        <s v="Research Enh 10 Velasquez, J"/>
        <s v="Research Enh 11 Ammerman L"/>
        <s v="Research Enh 11 Dunham H"/>
        <s v="Research Enh 11 Forbes J"/>
        <s v="Research Enh 11 Glassford J"/>
        <s v="Research Enh 11 Hack T"/>
        <s v="Research Enh 11 Kang W"/>
        <s v="Research Enh 11 Klingemann J"/>
        <s v="Research Enh 11 LeGrand R"/>
        <s v="Research Enh 11 Livengood McGlamery"/>
        <s v="Research Enh 11 Parker A"/>
        <s v="Research Enh 11 Sanders, D"/>
        <s v="Research Enh 11 Ward J"/>
        <s v="Research Enh 11 Zheng G"/>
        <s v="Research Enh 12 Branham L"/>
        <s v="Research Enh 12 Dowler R"/>
        <s v="Research Enh 12 Heineman K"/>
        <s v="Research Enh 12 Satterfield J"/>
        <s v="International Trade"/>
        <s v="Work Schol Ofc Finance and Admin"/>
        <s v="Work Schol Registrar"/>
        <s v="Work Schol Admissions"/>
        <s v="Work Schol Assoc Dean Stud Services"/>
        <s v="Work Schol Financial Aid Office"/>
        <s v="Work Schol Comm, Drama, Journalism"/>
        <s v="Work Schol Poli Sci Crim Justice"/>
        <s v="Work Schol Psychology &amp; Sociology"/>
        <s v="Work Schol Mgmt and Marketing"/>
        <s v="Work Schol Education"/>
        <s v="Work Schol Biology"/>
        <s v="Work Schol Physics"/>
        <s v="Work Schol College of Business"/>
        <s v="Work Schol Coll of Graduate Studies"/>
        <s v="President's Office"/>
        <s v="Audit Services"/>
        <s v="TTF Minerals and Royalties"/>
        <s v="Office Finance and Administration"/>
        <s v="Associate VP Finance and Admin"/>
        <s v="Administrative Recruitment"/>
        <s v="Office of the Vice Provost"/>
        <s v="Discretionary Funds VPAA"/>
        <s v="Discretionary Funds AVPAA"/>
        <s v="Discretionary Funds AVPIT"/>
        <s v="Discretionary Funds VPFA"/>
        <s v="Office VP for Development"/>
        <s v="Office Strategy, Planning, Policy"/>
        <s v="Ofc Student Affairs Enrollment Mgmt"/>
        <s v="Discretionary Funds VPSAEM"/>
        <s v="Development"/>
        <s v="Branding and Marketing"/>
        <s v="Inst Research and Accountability"/>
        <s v="IT Technology Services"/>
        <s v="Institutional Memberships"/>
        <s v="Institutional Effectiveness"/>
        <s v="Graduation"/>
        <s v="Sponsored Projects Office"/>
        <s v="Dinner Theatres"/>
        <s v="Employment Services"/>
        <s v="Budget Office"/>
        <s v="Payroll Services"/>
        <s v="Depository Bank Service Charge"/>
        <s v="Directory Listing and Advertising"/>
        <s v="Hope Tax Reporting Services"/>
        <s v="Human Resources Office"/>
        <s v="Job Recruitment"/>
        <s v="Mail Services"/>
        <s v="Office of Materials Management"/>
        <s v="Purchasing Office"/>
        <s v="Credit Card Services"/>
        <s v="OneCard Operations"/>
        <s v="Commercial Crime Insurance"/>
        <s v="Property Insurance"/>
        <s v="Auto Insurance Premiums"/>
        <s v="Office Relocation"/>
        <s v="SAY Baseball Complex"/>
        <s v="Junell Center"/>
        <s v="Alumni Relations"/>
        <s v="Achievement Awards &amp; Functions"/>
        <s v="Fitness &amp; Wellness Program"/>
        <s v="Admin. Planning &amp; Special Projects"/>
        <s v="Ticket Office"/>
        <s v="Quality Enhancement Plan"/>
        <s v="Financial Aid Audit"/>
        <s v="Admissions Office"/>
        <s v="Office of Admissions-Postage"/>
        <s v="Office of Student Life"/>
        <s v="Office of Exec Dir of Student Life"/>
        <s v="Student Involvement"/>
        <s v="Pre-Enrollment Advising &amp; Visit"/>
        <s v="Student Search"/>
        <s v="General Publications-Postage"/>
        <s v="SOAR"/>
        <s v="RAMbunctious Weekend"/>
        <s v="ASU College Day"/>
        <s v="RamBucks"/>
        <s v="Greek Activities"/>
        <s v="Multicultural Relations"/>
        <s v="Multicultural Center"/>
        <s v="Center for International Studies"/>
        <s v="Discretionary Exec Dir Student Life"/>
        <s v="SORM"/>
        <s v="Retiree Benefits"/>
        <s v="Accounting, Economics, Finance"/>
        <s v="Chemistry"/>
        <s v="Reserve for Faculty Travel"/>
        <s v="Reserve for Work Scholarship"/>
        <s v="ROTC Drill Meet"/>
        <s v="Social Work Programs"/>
        <s v="AFROTC Special"/>
        <s v="Tutor Center"/>
        <s v="Literary Magazine"/>
        <s v="Food Safety Product Development Lab"/>
        <s v="Accreditation Reserve"/>
        <s v="SACS Accreditation"/>
        <s v="College of Business Accreditation"/>
        <s v="College of Education Accreditation"/>
        <s v="College Lib Fine Arts Accreditation"/>
        <s v="Faculty Development Reserve"/>
        <s v="Faculty Dev 10 Sauncy, T"/>
        <s v="Research Enh 11 Ammerman, L"/>
        <s v="Research Enh 11 Ashworth-King E"/>
        <s v="Fac Development 12 Braden H"/>
        <s v="Fac Development 12 Satterfield J"/>
        <s v="Fac Development 12 Runia R"/>
        <s v="Carr Student Res 10 Cox, Jordan"/>
        <s v="Carr Student Res 11 Cochran, T"/>
        <s v="Carr Student Res 11 Laqua, H"/>
        <s v="Carr Student Res 11 McWilliams, K"/>
        <s v="Carr Student Res 11 Pomposelli, C"/>
        <s v="Carr Student Res 11 Tipps, M"/>
        <s v="Carr Student Res 11 Whitford, E"/>
        <s v="Carr Student Res 11 Barnett, T"/>
        <s v="Carr Student Res 11 Black, E"/>
        <s v="Carr Student Res 11 Gilbert, K"/>
        <s v="Carr Student Res 11 Gross, K"/>
        <s v="Carr Student Res 11 Register, W"/>
        <s v="Carr Student Res 11 Requena, S"/>
        <s v="Carr Student Res 11 Siller, V"/>
        <s v="Carr Student Res 11 White, D"/>
        <s v="Student Research Fellow 12 Bartlett"/>
        <s v="Student Research Travel"/>
        <s v="Discretionary Dean Arts Sciences"/>
        <s v="Discretionary Dean College of Bus"/>
        <s v="Discretionary Dean Education"/>
        <s v="Discretionary Dean Sciences"/>
        <s v="Discretionary Dean Health Human Srv"/>
        <s v="Discretionary Dean Graduate Studies"/>
        <s v="Faculty &amp; Staff Recruitment"/>
        <s v="Faculty Senate"/>
        <s v="Faculty &amp; Staff Prof Development"/>
        <s v="Library"/>
        <s v="Research Enhancement Graduate Dean"/>
        <s v="Construction Management"/>
        <s v="Facilities Services"/>
        <s v="Purchased Utilities"/>
        <s v="Purchased Utilities-Fuel"/>
        <s v="Purchased Utilities-Water"/>
        <s v="Purchased Utilities-Sewer"/>
        <s v="Materials Management Supplies"/>
        <s v="Reidy Building"/>
        <s v="Plant Renewal"/>
        <s v="Performance Contract Payment"/>
        <s v="Waste Management"/>
        <s v="Communications System Maintenance"/>
        <s v="Bus Operations"/>
        <s v="Exercise Room"/>
        <s v="Junell Center Plant Operations"/>
        <s v="Scholarships"/>
        <s v="Blue and Gold Guarantee Scholarship"/>
        <s v="Graduate Research Fellowships"/>
        <s v="Enrollment Enhancement Scholarship"/>
        <s v="First Generation Mentor Scholarship"/>
        <s v="International Student Scholarships"/>
        <s v="Honors Scholarship"/>
        <s v="Grow Your Own Program"/>
        <s v="Facilities Maintenance"/>
        <s v="Transfer to Other Funds"/>
        <s v="Transfer to Unexpended Plant"/>
        <s v="Temporary Office Debt Service"/>
        <s v="Revenue Bond Series 1998"/>
        <s v="Revenue Bond Series 2002"/>
        <s v="Student Research Fellow 12 Louder"/>
        <m/>
        <s v="Bad Debts" u="1"/>
      </sharedItems>
    </cacheField>
    <cacheField name="ORGN CODE" numFmtId="0">
      <sharedItems containsBlank="1" count="396">
        <s v="32100"/>
        <s v="32250"/>
        <s v="32255"/>
        <s v="33100"/>
        <s v="33290"/>
        <s v="33300"/>
        <s v="33319"/>
        <s v="33350"/>
        <s v="33410"/>
        <s v="33590"/>
        <s v="33640"/>
        <s v="33650"/>
        <s v="33670"/>
        <s v="33710"/>
        <s v="33715"/>
        <s v="33730"/>
        <s v="33765"/>
        <s v="33800"/>
        <s v="33910"/>
        <s v="33920"/>
        <s v="33940"/>
        <s v="33950"/>
        <s v="33980"/>
        <s v="33990"/>
        <s v="33992"/>
        <s v="33993"/>
        <s v="33995"/>
        <s v="33996"/>
        <s v="33997"/>
        <s v="40005"/>
        <s v="40006"/>
        <s v="40010"/>
        <s v="40013"/>
        <s v="40014"/>
        <s v="40018"/>
        <s v="40020"/>
        <s v="40021"/>
        <s v="40030"/>
        <s v="40031"/>
        <s v="40040"/>
        <s v="40041"/>
        <s v="40050"/>
        <s v="40058"/>
        <s v="40060"/>
        <s v="40065"/>
        <s v="40070"/>
        <s v="40071"/>
        <s v="40090"/>
        <s v="40091"/>
        <s v="40100"/>
        <s v="40110"/>
        <s v="40111"/>
        <s v="40140"/>
        <s v="40160"/>
        <s v="40161"/>
        <s v="40165"/>
        <s v="40166"/>
        <s v="40170"/>
        <s v="40171"/>
        <s v="40210"/>
        <s v="40211"/>
        <s v="40220"/>
        <s v="40230"/>
        <s v="40235"/>
        <s v="40240"/>
        <s v="40266"/>
        <s v="40275"/>
        <s v="40282"/>
        <s v="40283"/>
        <s v="40285"/>
        <s v="40286"/>
        <s v="40287"/>
        <s v="40291"/>
        <s v="40292"/>
        <s v="40295"/>
        <s v="40296"/>
        <s v="40450"/>
        <s v="40470"/>
        <s v="40475"/>
        <s v="40500"/>
        <s v="40565"/>
        <s v="40590"/>
        <s v="41000"/>
        <s v="41050"/>
        <s v="41080"/>
        <s v="41100"/>
        <s v="41120"/>
        <s v="41150"/>
        <s v="41200"/>
        <s v="43100"/>
        <s v="44000"/>
        <s v="44100"/>
        <s v="45500"/>
        <s v="45553"/>
        <s v="45554"/>
        <s v="45555"/>
        <s v="45557"/>
        <s v="45558"/>
        <s v="45559"/>
        <s v="45560"/>
        <s v="45561"/>
        <s v="45562"/>
        <s v="45566"/>
        <s v="45567"/>
        <s v="46000"/>
        <s v="46100"/>
        <s v="46115"/>
        <s v="46200"/>
        <s v="46300"/>
        <s v="46400"/>
        <s v="46500"/>
        <s v="46510"/>
        <s v="46568"/>
        <s v="46570"/>
        <s v="46580"/>
        <s v="46590"/>
        <s v="48500"/>
        <s v="48610"/>
        <s v="48620"/>
        <s v="48660"/>
        <s v="48670"/>
        <s v="48800"/>
        <s v="33200"/>
        <s v="33645"/>
        <s v="33700"/>
        <s v="33740"/>
        <s v="41300"/>
        <s v="33130"/>
        <s v="33750"/>
        <s v="33755"/>
        <s v="33760"/>
        <s v="40280"/>
        <s v="40290"/>
        <s v="40340"/>
        <s v="40366"/>
        <s v="40480"/>
        <s v="40740"/>
        <s v="40946"/>
        <s v="45000"/>
        <s v="45056"/>
        <s v="45058"/>
        <s v="45059"/>
        <s v="45062"/>
        <s v="45064"/>
        <s v="45066"/>
        <s v="45067"/>
        <s v="45068"/>
        <s v="45069"/>
        <s v="45071"/>
        <s v="45072"/>
        <s v="45073"/>
        <s v="45074"/>
        <s v="45075"/>
        <s v="45076"/>
        <s v="45077"/>
        <s v="45078"/>
        <s v="45081"/>
        <s v="45082"/>
        <s v="45084"/>
        <s v="45088"/>
        <s v="45960"/>
        <s v="46640"/>
        <s v="46680"/>
        <s v="46690"/>
        <s v="46780"/>
        <s v="46800"/>
        <s v="47040"/>
        <s v="47080"/>
        <s v="47140"/>
        <s v="47200"/>
        <s v="47240"/>
        <s v="47320"/>
        <s v="47420"/>
        <s v="47520"/>
        <s v="47560"/>
        <s v="60010"/>
        <s v="60020"/>
        <s v="60022"/>
        <s v="60025"/>
        <s v="60030"/>
        <s v="60036"/>
        <s v="60040"/>
        <s v="60042"/>
        <s v="60050"/>
        <s v="60052"/>
        <s v="60054"/>
        <s v="60075"/>
        <s v="60080"/>
        <s v="60090"/>
        <s v="60092"/>
        <s v="60093"/>
        <s v="60095"/>
        <s v="60102"/>
        <s v="60103"/>
        <s v="60104"/>
        <s v="60105"/>
        <s v="60107"/>
        <s v="60109"/>
        <s v="60110"/>
        <s v="60112"/>
        <s v="60113"/>
        <s v="60140"/>
        <s v="60164"/>
        <s v="60165"/>
        <s v="60170"/>
        <s v="60172"/>
        <s v="60175"/>
        <s v="60180"/>
        <s v="60181"/>
        <s v="60190"/>
        <s v="60200"/>
        <s v="60201"/>
        <s v="60205"/>
        <s v="60209"/>
        <s v="60210"/>
        <s v="60215"/>
        <s v="60220"/>
        <s v="60222"/>
        <s v="60224"/>
        <s v="60225"/>
        <s v="60226"/>
        <s v="60232"/>
        <s v="60245"/>
        <s v="60250"/>
        <s v="60260"/>
        <s v="60265"/>
        <s v="60270"/>
        <s v="60275"/>
        <s v="60276"/>
        <s v="60277"/>
        <s v="60280"/>
        <s v="60285"/>
        <s v="60295"/>
        <s v="60299"/>
        <s v="60300"/>
        <s v="60301"/>
        <s v="60303"/>
        <s v="60304"/>
        <s v="60305"/>
        <s v="60307"/>
        <s v="60308"/>
        <s v="60309"/>
        <s v="60310"/>
        <s v="60315"/>
        <s v="60316"/>
        <s v="60317"/>
        <s v="60325"/>
        <s v="60330"/>
        <s v="60335"/>
        <s v="60340"/>
        <s v="60345"/>
        <s v="60350"/>
        <s v="60352"/>
        <s v="60353"/>
        <s v="60354"/>
        <s v="60355"/>
        <s v="60385"/>
        <s v="60390"/>
        <s v="60395"/>
        <s v="60405"/>
        <s v="60410"/>
        <s v="60413"/>
        <s v="60414"/>
        <s v="60415"/>
        <s v="60420"/>
        <s v="60425"/>
        <s v="60430"/>
        <s v="60434"/>
        <s v="60435"/>
        <s v="60438"/>
        <s v="60440"/>
        <s v="60445"/>
        <s v="60450"/>
        <s v="60455"/>
        <s v="60465"/>
        <s v="60470"/>
        <s v="60472"/>
        <s v="60475"/>
        <s v="60490"/>
        <s v="60500"/>
        <s v="60505"/>
        <s v="60507"/>
        <s v="60510"/>
        <s v="60525"/>
        <s v="60528"/>
        <s v="60530"/>
        <s v="60535"/>
        <s v="60540"/>
        <s v="60602"/>
        <s v="60603"/>
        <s v="60604"/>
        <s v="60605"/>
        <s v="60606"/>
        <s v="60610"/>
        <s v="60611"/>
        <s v="60612"/>
        <s v="60614"/>
        <s v="60621"/>
        <s v="60641"/>
        <s v="60650"/>
        <s v="60670"/>
        <s v="60680"/>
        <s v="60690"/>
        <s v="60691"/>
        <s v="60692"/>
        <s v="60694"/>
        <s v="60695"/>
        <s v="60700"/>
        <s v="60728"/>
        <s v="60730"/>
        <s v="60731"/>
        <s v="60733"/>
        <s v="60734"/>
        <s v="60735"/>
        <s v="60736"/>
        <s v="60740"/>
        <s v="60742"/>
        <s v="60872"/>
        <s v="60887"/>
        <s v="60888"/>
        <s v="60889"/>
        <s v="60890"/>
        <s v="60891"/>
        <s v="60892"/>
        <s v="60893"/>
        <s v="60894"/>
        <s v="60896"/>
        <s v="60897"/>
        <s v="60900"/>
        <s v="60901"/>
        <s v="60902"/>
        <s v="60903"/>
        <s v="60904"/>
        <s v="60990"/>
        <s v="61000"/>
        <s v="61001"/>
        <s v="61004"/>
        <s v="61005"/>
        <s v="61009"/>
        <s v="61010"/>
        <s v="61014"/>
        <s v="61015"/>
        <s v="61016"/>
        <s v="61017"/>
        <s v="61019"/>
        <s v="61020"/>
        <s v="61023"/>
        <s v="61024"/>
        <s v="61025"/>
        <s v="61026"/>
        <s v="61030"/>
        <s v="61034"/>
        <s v="61140"/>
        <s v="61141"/>
        <s v="61145"/>
        <s v="61148"/>
        <s v="61150"/>
        <s v="61152"/>
        <s v="61154"/>
        <s v="61155"/>
        <s v="61156"/>
        <s v="61157"/>
        <s v="61158"/>
        <s v="61159"/>
        <s v="61161"/>
        <s v="61163"/>
        <s v="61165"/>
        <s v="61166"/>
        <s v="61167"/>
        <s v="61168"/>
        <s v="61170"/>
        <s v="61175"/>
        <s v="61185"/>
        <s v="61200"/>
        <s v="61201"/>
        <s v="61202"/>
        <s v="61210"/>
        <s v="61216"/>
        <s v="61221"/>
        <s v="61225"/>
        <s v="61230"/>
        <s v="61232"/>
        <s v="61250"/>
        <s v="61255"/>
        <s v="61260"/>
        <s v="61265"/>
        <s v="61267"/>
        <s v="61270"/>
        <s v="61275"/>
        <s v="64807"/>
        <m/>
        <s v="45963" u="1"/>
        <s v="45962" u="1"/>
        <s v="33599" u="1"/>
        <s v="40297" u="1"/>
        <s v="40440" u="1"/>
      </sharedItems>
    </cacheField>
    <cacheField name="MANAGER" numFmtId="0">
      <sharedItems containsBlank="1"/>
    </cacheField>
    <cacheField name="ADOPTED BUDGET" numFmtId="0">
      <sharedItems containsString="0" containsBlank="1" containsNumber="1" minValue="0" maxValue="4129564"/>
    </cacheField>
    <cacheField name="PRIOR YR ENC" numFmtId="0">
      <sharedItems containsBlank="1" containsMixedTypes="1" containsNumber="1" minValue="0" maxValue="92246.03"/>
    </cacheField>
    <cacheField name="BEGINNING BUDGET" numFmtId="0">
      <sharedItems containsString="0" containsBlank="1" containsNumber="1" containsInteger="1" minValue="0" maxValue="106505617"/>
    </cacheField>
    <cacheField name="SALARY" numFmtId="0">
      <sharedItems containsString="0" containsBlank="1" containsNumber="1" minValue="0" maxValue="51407246.710000008"/>
    </cacheField>
    <cacheField name="SALARY STUDENTS" numFmtId="0">
      <sharedItems containsString="0" containsBlank="1" containsNumber="1" minValue="0" maxValue="101749.98"/>
    </cacheField>
    <cacheField name="BENEFITS" numFmtId="0">
      <sharedItems containsString="0" containsBlank="1" containsNumber="1" minValue="0" maxValue="972230.88"/>
    </cacheField>
    <cacheField name="OPERATING EXPENSE" numFmtId="0">
      <sharedItems containsString="0" containsBlank="1" containsNumber="1" minValue="-72464.86" maxValue="38578942.599999987"/>
    </cacheField>
    <cacheField name="COMMITMENTS" numFmtId="0">
      <sharedItems containsString="0" containsBlank="1" containsNumber="1" minValue="0" maxValue="308732.65000000002"/>
    </cacheField>
    <cacheField name="TOTAL EXPENSE" numFmtId="0">
      <sharedItems containsString="0" containsBlank="1" containsNumber="1" minValue="-8544.44" maxValue="100758737.65999994"/>
    </cacheField>
    <cacheField name="AVAILABLE BALANCE" numFmtId="0">
      <sharedItems containsString="0" containsBlank="1" containsNumber="1" minValue="-3908876" maxValue="1655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5">
  <r>
    <s v="999948"/>
    <s v="President"/>
    <s v="0010"/>
    <x v="0"/>
    <s v="1050"/>
    <x v="0"/>
    <s v="Office of the President"/>
    <x v="0"/>
    <x v="0"/>
    <s v="General Administration"/>
    <s v="110311"/>
    <s v="Departmental Operating Expense"/>
    <n v="242046"/>
    <n v="65945"/>
    <n v="27.24"/>
  </r>
  <r>
    <s v="999743"/>
    <s v="Dir of Athletic Communications"/>
    <s v="0010"/>
    <x v="1"/>
    <s v="1400"/>
    <x v="0"/>
    <s v="Communications and Marketing"/>
    <x v="0"/>
    <x v="1"/>
    <s v="General Institutional"/>
    <s v="110311"/>
    <s v="Departmental Operating Expense"/>
    <n v="45000"/>
    <n v="3127"/>
    <n v="6.95"/>
  </r>
  <r>
    <s v="999454"/>
    <s v="Senior Inst &amp; Univ Photograph"/>
    <s v="0010"/>
    <x v="1"/>
    <s v="1400"/>
    <x v="0"/>
    <s v="Communications and Marketing"/>
    <x v="0"/>
    <x v="1"/>
    <s v="General Institutional"/>
    <s v="110311"/>
    <s v="Departmental Operating Expense"/>
    <n v="43649"/>
    <n v="12155"/>
    <n v="27.85"/>
  </r>
  <r>
    <s v="999877"/>
    <s v="Publications Assistant"/>
    <s v="0010"/>
    <x v="1"/>
    <s v="1400"/>
    <x v="0"/>
    <s v="Communications and Marketing"/>
    <x v="1"/>
    <x v="1"/>
    <s v="General Institutional"/>
    <s v="110311"/>
    <s v="Departmental Operating Expense"/>
    <n v="29117"/>
    <n v="29117"/>
    <n v="100"/>
  </r>
  <r>
    <s v="998915"/>
    <s v="News/Information Specialist"/>
    <s v="0010"/>
    <x v="1"/>
    <s v="1400"/>
    <x v="0"/>
    <s v="Communications and Marketing"/>
    <x v="0"/>
    <x v="1"/>
    <s v="General Institutional"/>
    <s v="110311"/>
    <s v="Departmental Operating Expense"/>
    <n v="39500"/>
    <n v="39500"/>
    <n v="100"/>
  </r>
  <r>
    <s v="998933"/>
    <s v="Photographer"/>
    <s v="0010"/>
    <x v="1"/>
    <s v="1400"/>
    <x v="0"/>
    <s v="Communications and Marketing"/>
    <x v="0"/>
    <x v="1"/>
    <s v="General Institutional"/>
    <s v="110311"/>
    <s v="Departmental Operating Expense"/>
    <n v="39780"/>
    <n v="39780"/>
    <n v="100"/>
  </r>
  <r>
    <s v="999180"/>
    <s v="News/Information Specialist"/>
    <s v="0010"/>
    <x v="1"/>
    <s v="1400"/>
    <x v="0"/>
    <s v="Communications and Marketing"/>
    <x v="0"/>
    <x v="1"/>
    <s v="General Institutional"/>
    <s v="110311"/>
    <s v="Departmental Operating Expense"/>
    <n v="42799"/>
    <n v="42799"/>
    <n v="100"/>
  </r>
  <r>
    <s v="999878"/>
    <s v="Payroll Clerk"/>
    <s v="0010"/>
    <x v="2"/>
    <s v="3110"/>
    <x v="1"/>
    <s v="Budget and Payroll Services"/>
    <x v="1"/>
    <x v="1"/>
    <s v="General Institutional"/>
    <s v="110311"/>
    <s v="Departmental Operating Expense"/>
    <n v="26000"/>
    <n v="26000"/>
    <n v="100"/>
  </r>
  <r>
    <s v="999004"/>
    <s v="Payroll Clerk"/>
    <s v="0010"/>
    <x v="2"/>
    <s v="3110"/>
    <x v="1"/>
    <s v="Budget and Payroll Services"/>
    <x v="1"/>
    <x v="1"/>
    <s v="General Institutional"/>
    <s v="110311"/>
    <s v="Departmental Operating Expense"/>
    <n v="28000"/>
    <n v="28000"/>
    <n v="100"/>
  </r>
  <r>
    <s v="999726"/>
    <s v="Payroll Coordinator"/>
    <s v="0010"/>
    <x v="2"/>
    <s v="3110"/>
    <x v="1"/>
    <s v="Budget and Payroll Services"/>
    <x v="0"/>
    <x v="1"/>
    <s v="General Institutional"/>
    <s v="110311"/>
    <s v="Departmental Operating Expense"/>
    <n v="39776"/>
    <n v="39776"/>
    <n v="100"/>
  </r>
  <r>
    <s v="999856"/>
    <s v="Accountant, Payroll"/>
    <s v="0010"/>
    <x v="2"/>
    <s v="3110"/>
    <x v="1"/>
    <s v="Budget and Payroll Services"/>
    <x v="0"/>
    <x v="1"/>
    <s v="General Institutional"/>
    <s v="110311"/>
    <s v="Departmental Operating Expense"/>
    <n v="40000"/>
    <n v="40000"/>
    <n v="100"/>
  </r>
  <r>
    <s v="999997"/>
    <s v="Accounting Clerk I"/>
    <s v="0010"/>
    <x v="3"/>
    <s v="3300"/>
    <x v="1"/>
    <s v="Controller's Office"/>
    <x v="1"/>
    <x v="1"/>
    <s v="General Institutional"/>
    <s v="110311"/>
    <s v="Departmental Operating Expense"/>
    <n v="20680"/>
    <n v="20680"/>
    <n v="100"/>
  </r>
  <r>
    <s v="999998"/>
    <s v="Accounting Clerk I"/>
    <s v="0010"/>
    <x v="3"/>
    <s v="3300"/>
    <x v="1"/>
    <s v="Controller's Office"/>
    <x v="1"/>
    <x v="1"/>
    <s v="General Institutional"/>
    <s v="110311"/>
    <s v="Departmental Operating Expense"/>
    <n v="20680"/>
    <n v="20680"/>
    <n v="100"/>
  </r>
  <r>
    <s v="999990"/>
    <s v="Accountant"/>
    <s v="0010"/>
    <x v="3"/>
    <s v="3300"/>
    <x v="1"/>
    <s v="Controller's Office"/>
    <x v="0"/>
    <x v="1"/>
    <s v="General Institutional"/>
    <s v="110311"/>
    <s v="Departmental Operating Expense"/>
    <n v="43285"/>
    <n v="21642"/>
    <n v="50"/>
  </r>
  <r>
    <s v="999937"/>
    <s v="Accounting Clerk I"/>
    <s v="0010"/>
    <x v="3"/>
    <s v="3300"/>
    <x v="1"/>
    <s v="Controller's Office"/>
    <x v="1"/>
    <x v="1"/>
    <s v="General Institutional"/>
    <s v="110311"/>
    <s v="Departmental Operating Expense"/>
    <n v="22778"/>
    <n v="22778"/>
    <n v="100"/>
  </r>
  <r>
    <s v="999879"/>
    <s v="Office Coordinator I"/>
    <s v="0010"/>
    <x v="3"/>
    <s v="3300"/>
    <x v="1"/>
    <s v="Controller's Office"/>
    <x v="1"/>
    <x v="1"/>
    <s v="General Institutional"/>
    <s v="110311"/>
    <s v="Departmental Operating Expense"/>
    <n v="26000"/>
    <n v="26000"/>
    <n v="100"/>
  </r>
  <r>
    <s v="999999"/>
    <s v="Accounting Clerk I"/>
    <s v="0010"/>
    <x v="3"/>
    <s v="3300"/>
    <x v="1"/>
    <s v="Controller's Office"/>
    <x v="1"/>
    <x v="1"/>
    <s v="General Institutional"/>
    <s v="110311"/>
    <s v="Departmental Operating Expense"/>
    <n v="28938"/>
    <n v="28938"/>
    <n v="100"/>
  </r>
  <r>
    <s v="998910"/>
    <s v="Assistant Accounts Payable Mgr"/>
    <s v="0010"/>
    <x v="3"/>
    <s v="3300"/>
    <x v="1"/>
    <s v="Controller's Office"/>
    <x v="0"/>
    <x v="1"/>
    <s v="General Institutional"/>
    <s v="110311"/>
    <s v="Departmental Operating Expense"/>
    <n v="36031"/>
    <n v="36031"/>
    <n v="100"/>
  </r>
  <r>
    <s v="999718"/>
    <s v="Accountant, Assets"/>
    <s v="0010"/>
    <x v="3"/>
    <s v="3300"/>
    <x v="1"/>
    <s v="Controller's Office"/>
    <x v="0"/>
    <x v="1"/>
    <s v="General Institutional"/>
    <s v="110311"/>
    <s v="Departmental Operating Expense"/>
    <n v="40000"/>
    <n v="40000"/>
    <n v="100"/>
  </r>
  <r>
    <s v="999764"/>
    <s v="Accounts Payable Manager"/>
    <s v="0010"/>
    <x v="3"/>
    <s v="3300"/>
    <x v="1"/>
    <s v="Controller's Office"/>
    <x v="0"/>
    <x v="1"/>
    <s v="General Institutional"/>
    <s v="110311"/>
    <s v="Departmental Operating Expense"/>
    <n v="57749"/>
    <n v="57749"/>
    <n v="100"/>
  </r>
  <r>
    <s v="999758"/>
    <s v="Director of Accounting"/>
    <s v="0010"/>
    <x v="3"/>
    <s v="3300"/>
    <x v="1"/>
    <s v="Controller's Office"/>
    <x v="0"/>
    <x v="1"/>
    <s v="General Institutional"/>
    <s v="110311"/>
    <s v="Departmental Operating Expense"/>
    <n v="67892"/>
    <n v="67892"/>
    <n v="100"/>
  </r>
  <r>
    <s v="999958"/>
    <s v="Exec Director and Controller"/>
    <s v="0010"/>
    <x v="3"/>
    <s v="3300"/>
    <x v="1"/>
    <s v="Controller's Office"/>
    <x v="0"/>
    <x v="1"/>
    <s v="General Institutional"/>
    <s v="110311"/>
    <s v="Departmental Operating Expense"/>
    <n v="88398"/>
    <n v="88398"/>
    <n v="100"/>
  </r>
  <r>
    <s v="999925"/>
    <s v="Materials Handling Assistant"/>
    <s v="0010"/>
    <x v="4"/>
    <s v="3700"/>
    <x v="1"/>
    <s v="Materials Management Office"/>
    <x v="1"/>
    <x v="1"/>
    <s v="General Institutional"/>
    <s v="110311"/>
    <s v="Departmental Operating Expense"/>
    <n v="10993"/>
    <n v="10993"/>
    <n v="100"/>
  </r>
  <r>
    <s v="999917"/>
    <s v="Materials Handling Assistant"/>
    <s v="0010"/>
    <x v="4"/>
    <s v="3700"/>
    <x v="1"/>
    <s v="Materials Management Office"/>
    <x v="1"/>
    <x v="1"/>
    <s v="General Institutional"/>
    <s v="110311"/>
    <s v="Departmental Operating Expense"/>
    <n v="23000"/>
    <n v="23000"/>
    <n v="100"/>
  </r>
  <r>
    <s v="999787"/>
    <s v="Materials Handling Assistant"/>
    <s v="0010"/>
    <x v="4"/>
    <s v="3700"/>
    <x v="1"/>
    <s v="Materials Management Office"/>
    <x v="1"/>
    <x v="1"/>
    <s v="General Institutional"/>
    <s v="110311"/>
    <s v="Departmental Operating Expense"/>
    <n v="26769"/>
    <n v="26769"/>
    <n v="100"/>
  </r>
  <r>
    <s v="999934"/>
    <s v="Materials Handling Assistant"/>
    <s v="0010"/>
    <x v="4"/>
    <s v="3700"/>
    <x v="1"/>
    <s v="Materials Management Office"/>
    <x v="1"/>
    <x v="1"/>
    <s v="General Institutional"/>
    <s v="110311"/>
    <s v="Departmental Operating Expense"/>
    <n v="28231"/>
    <n v="28231"/>
    <n v="100"/>
  </r>
  <r>
    <s v="999936"/>
    <s v="Materials Handling Assistant"/>
    <s v="0010"/>
    <x v="4"/>
    <s v="3700"/>
    <x v="1"/>
    <s v="Materials Management Office"/>
    <x v="1"/>
    <x v="1"/>
    <s v="General Institutional"/>
    <s v="110311"/>
    <s v="Departmental Operating Expense"/>
    <n v="28254"/>
    <n v="28254"/>
    <n v="100"/>
  </r>
  <r>
    <s v="999915"/>
    <s v="Business Service Assistant"/>
    <s v="0010"/>
    <x v="4"/>
    <s v="3700"/>
    <x v="1"/>
    <s v="Materials Management Office"/>
    <x v="1"/>
    <x v="1"/>
    <s v="General Institutional"/>
    <s v="110311"/>
    <s v="Departmental Operating Expense"/>
    <n v="33531"/>
    <n v="33531"/>
    <n v="100"/>
  </r>
  <r>
    <s v="998702"/>
    <s v="Property Manager/Accountant"/>
    <s v="0010"/>
    <x v="4"/>
    <s v="3700"/>
    <x v="1"/>
    <s v="Materials Management Office"/>
    <x v="0"/>
    <x v="1"/>
    <s v="General Institutional"/>
    <s v="110311"/>
    <s v="Departmental Operating Expense"/>
    <n v="35000"/>
    <n v="35000"/>
    <n v="100"/>
  </r>
  <r>
    <s v="999776"/>
    <s v="Procurement Specialist"/>
    <s v="0010"/>
    <x v="4"/>
    <s v="3700"/>
    <x v="1"/>
    <s v="Materials Management Office"/>
    <x v="1"/>
    <x v="1"/>
    <s v="General Institutional"/>
    <s v="110311"/>
    <s v="Departmental Operating Expense"/>
    <n v="42050"/>
    <n v="42050"/>
    <n v="100"/>
  </r>
  <r>
    <s v="999756"/>
    <s v="Dir of Procurement &amp; Ener Serv"/>
    <s v="0010"/>
    <x v="4"/>
    <s v="3700"/>
    <x v="1"/>
    <s v="Materials Management Office"/>
    <x v="0"/>
    <x v="1"/>
    <s v="General Institutional"/>
    <s v="110311"/>
    <s v="Departmental Operating Expense"/>
    <n v="55000"/>
    <n v="55000"/>
    <n v="100"/>
  </r>
  <r>
    <s v="999528"/>
    <s v="Printer"/>
    <s v="0010"/>
    <x v="5"/>
    <s v="3730"/>
    <x v="1"/>
    <s v="Print Shop"/>
    <x v="1"/>
    <x v="1"/>
    <s v="General Institutional"/>
    <s v="110311"/>
    <s v="Departmental Operating Expense"/>
    <n v="32380"/>
    <n v="32380"/>
    <n v="100"/>
  </r>
  <r>
    <s v="999774"/>
    <s v="Print Shop Supervisor"/>
    <s v="0010"/>
    <x v="5"/>
    <s v="3730"/>
    <x v="1"/>
    <s v="Print Shop"/>
    <x v="0"/>
    <x v="1"/>
    <s v="General Institutional"/>
    <s v="110311"/>
    <s v="Departmental Operating Expense"/>
    <n v="48308"/>
    <n v="48308"/>
    <n v="100"/>
  </r>
  <r>
    <s v="998374"/>
    <s v="Reserve for USTD Faculty"/>
    <s v="0010"/>
    <x v="6"/>
    <s v="2240"/>
    <x v="2"/>
    <s v="First Year Experience"/>
    <x v="2"/>
    <x v="2"/>
    <s v="Student Services"/>
    <s v="110311"/>
    <s v="Departmental Operating Expense"/>
    <n v="5000"/>
    <n v="5000"/>
    <n v="100"/>
  </r>
  <r>
    <s v="999742"/>
    <s v="Assoc Dir, Financial Aid"/>
    <s v="0010"/>
    <x v="7"/>
    <s v="5230"/>
    <x v="3"/>
    <s v="Financial Aid"/>
    <x v="0"/>
    <x v="2"/>
    <s v="Student Services"/>
    <s v="110311"/>
    <s v="Departmental Operating Expense"/>
    <n v="55808"/>
    <n v="13952"/>
    <n v="25"/>
  </r>
  <r>
    <s v="999064"/>
    <s v="Financial Aid Assistant I"/>
    <s v="0010"/>
    <x v="7"/>
    <s v="5230"/>
    <x v="3"/>
    <s v="Financial Aid"/>
    <x v="1"/>
    <x v="2"/>
    <s v="Student Services"/>
    <s v="110311"/>
    <s v="Departmental Operating Expense"/>
    <n v="23500"/>
    <n v="23500"/>
    <n v="100"/>
  </r>
  <r>
    <s v="999906"/>
    <s v="Financial Aid Assistant I"/>
    <s v="0010"/>
    <x v="7"/>
    <s v="5230"/>
    <x v="3"/>
    <s v="Financial Aid"/>
    <x v="1"/>
    <x v="2"/>
    <s v="Student Services"/>
    <s v="110311"/>
    <s v="Departmental Operating Expense"/>
    <n v="24000"/>
    <n v="24000"/>
    <n v="100"/>
  </r>
  <r>
    <s v="999907"/>
    <s v="Financial Aid Asst II"/>
    <s v="0010"/>
    <x v="7"/>
    <s v="5230"/>
    <x v="3"/>
    <s v="Financial Aid"/>
    <x v="1"/>
    <x v="2"/>
    <s v="Student Services"/>
    <s v="110311"/>
    <s v="Departmental Operating Expense"/>
    <n v="24186"/>
    <n v="24186"/>
    <n v="100"/>
  </r>
  <r>
    <s v="998950"/>
    <s v="Accounts/Reports Coordinator"/>
    <s v="0010"/>
    <x v="7"/>
    <s v="5230"/>
    <x v="3"/>
    <s v="Financial Aid"/>
    <x v="1"/>
    <x v="2"/>
    <s v="Student Services"/>
    <s v="110311"/>
    <s v="Departmental Operating Expense"/>
    <n v="27524"/>
    <n v="27524"/>
    <n v="100"/>
  </r>
  <r>
    <s v="998382"/>
    <s v="VA Services Counselor"/>
    <s v="0010"/>
    <x v="7"/>
    <s v="5230"/>
    <x v="3"/>
    <s v="Financial Aid"/>
    <x v="0"/>
    <x v="2"/>
    <s v="Student Services"/>
    <s v="110311"/>
    <s v="Departmental Operating Expense"/>
    <n v="49316"/>
    <n v="34521"/>
    <n v="70"/>
  </r>
  <r>
    <s v="999909"/>
    <s v="Financial Aid Counselor"/>
    <s v="0010"/>
    <x v="7"/>
    <s v="5230"/>
    <x v="3"/>
    <s v="Financial Aid"/>
    <x v="0"/>
    <x v="2"/>
    <s v="Student Services"/>
    <s v="110311"/>
    <s v="Departmental Operating Expense"/>
    <n v="38700"/>
    <n v="38700"/>
    <n v="100"/>
  </r>
  <r>
    <s v="999200"/>
    <s v="Data Integ &amp; Reporting Manager"/>
    <s v="0010"/>
    <x v="7"/>
    <s v="5230"/>
    <x v="3"/>
    <s v="Financial Aid"/>
    <x v="0"/>
    <x v="2"/>
    <s v="Student Services"/>
    <s v="110311"/>
    <s v="Departmental Operating Expense"/>
    <n v="39880"/>
    <n v="39880"/>
    <n v="100"/>
  </r>
  <r>
    <s v="999905"/>
    <s v="Career Development Asst"/>
    <s v="0010"/>
    <x v="8"/>
    <s v="5220"/>
    <x v="3"/>
    <s v="Career Development"/>
    <x v="1"/>
    <x v="2"/>
    <s v="Student Services"/>
    <s v="110311"/>
    <s v="Departmental Operating Expense"/>
    <n v="27496"/>
    <n v="13724"/>
    <n v="49.91"/>
  </r>
  <r>
    <s v="999870"/>
    <s v="Office Coordinator II"/>
    <s v="0010"/>
    <x v="9"/>
    <s v="2405"/>
    <x v="2"/>
    <s v="Agriculture"/>
    <x v="1"/>
    <x v="3"/>
    <s v="Arts and Sciences"/>
    <s v="110311"/>
    <s v="Departmental Operating Expense"/>
    <n v="29217"/>
    <n v="29217"/>
    <n v="100"/>
  </r>
  <r>
    <s v="998931"/>
    <s v="Instructor/Research Associate"/>
    <s v="0010"/>
    <x v="9"/>
    <s v="2405"/>
    <x v="2"/>
    <s v="Agriculture"/>
    <x v="2"/>
    <x v="3"/>
    <s v="Arts and Sciences"/>
    <s v="110311"/>
    <s v="Departmental Operating Expense"/>
    <n v="44039"/>
    <n v="33029"/>
    <n v="75"/>
  </r>
  <r>
    <s v="999356"/>
    <s v="Asst Prof/Rsch Scientist"/>
    <s v="0010"/>
    <x v="9"/>
    <s v="2405"/>
    <x v="2"/>
    <s v="Agriculture"/>
    <x v="2"/>
    <x v="3"/>
    <s v="Arts and Sciences"/>
    <s v="110311"/>
    <s v="Departmental Operating Expense"/>
    <n v="69689"/>
    <n v="34845"/>
    <n v="50"/>
  </r>
  <r>
    <s v="999358"/>
    <s v="Asst Prof/Research Scientist"/>
    <s v="0010"/>
    <x v="9"/>
    <s v="2405"/>
    <x v="2"/>
    <s v="Agriculture"/>
    <x v="2"/>
    <x v="3"/>
    <s v="Arts and Sciences"/>
    <s v="110311"/>
    <s v="Departmental Operating Expense"/>
    <n v="69689"/>
    <n v="34845"/>
    <n v="50"/>
  </r>
  <r>
    <s v="998882"/>
    <s v="Research Associate/Instructor"/>
    <s v="0010"/>
    <x v="9"/>
    <s v="2405"/>
    <x v="2"/>
    <s v="Agriculture"/>
    <x v="0"/>
    <x v="3"/>
    <s v="Arts and Sciences"/>
    <s v="110311"/>
    <s v="Departmental Operating Expense"/>
    <n v="42196"/>
    <n v="42196"/>
    <n v="100"/>
  </r>
  <r>
    <s v="999359"/>
    <s v="Professor/Rsch Scientist"/>
    <s v="0010"/>
    <x v="9"/>
    <s v="2405"/>
    <x v="2"/>
    <s v="Agriculture"/>
    <x v="2"/>
    <x v="3"/>
    <s v="Arts and Sciences"/>
    <s v="110311"/>
    <s v="Departmental Operating Expense"/>
    <n v="84498"/>
    <n v="42249"/>
    <n v="50"/>
  </r>
  <r>
    <s v="999295"/>
    <s v="Prof/Research Scientist"/>
    <s v="0010"/>
    <x v="9"/>
    <s v="2405"/>
    <x v="2"/>
    <s v="Agriculture"/>
    <x v="2"/>
    <x v="3"/>
    <s v="Arts and Sciences"/>
    <s v="110311"/>
    <s v="Departmental Operating Expense"/>
    <n v="89459"/>
    <n v="44730"/>
    <n v="50"/>
  </r>
  <r>
    <s v="998674"/>
    <s v="Instructor/Research Associate"/>
    <s v="0010"/>
    <x v="9"/>
    <s v="2405"/>
    <x v="2"/>
    <s v="Agriculture"/>
    <x v="2"/>
    <x v="3"/>
    <s v="Arts and Sciences"/>
    <s v="110311"/>
    <s v="Departmental Operating Expense"/>
    <n v="46053"/>
    <n v="46053"/>
    <n v="100"/>
  </r>
  <r>
    <s v="998620"/>
    <s v="Assistant Professor"/>
    <s v="0010"/>
    <x v="9"/>
    <s v="2405"/>
    <x v="2"/>
    <s v="Agriculture"/>
    <x v="2"/>
    <x v="3"/>
    <s v="Arts and Sciences"/>
    <s v="110311"/>
    <s v="Departmental Operating Expense"/>
    <n v="51817"/>
    <n v="51817"/>
    <n v="100"/>
  </r>
  <r>
    <s v="999357"/>
    <s v="Asst Prof/Research Scientist"/>
    <s v="0010"/>
    <x v="9"/>
    <s v="2405"/>
    <x v="2"/>
    <s v="Agriculture"/>
    <x v="2"/>
    <x v="3"/>
    <s v="Arts and Sciences"/>
    <s v="110311"/>
    <s v="Departmental Operating Expense"/>
    <n v="71624"/>
    <n v="53718"/>
    <n v="75"/>
  </r>
  <r>
    <s v="999229"/>
    <s v="Dept Head/Prof/Dir MIR Ctr"/>
    <s v="0010"/>
    <x v="9"/>
    <s v="2405"/>
    <x v="2"/>
    <s v="Agriculture"/>
    <x v="2"/>
    <x v="3"/>
    <s v="Arts and Sciences"/>
    <s v="110311"/>
    <s v="Departmental Operating Expense"/>
    <n v="114547"/>
    <n v="57274"/>
    <n v="50"/>
  </r>
  <r>
    <s v="999871"/>
    <s v="Office Coordinator II"/>
    <s v="0010"/>
    <x v="10"/>
    <s v="2410"/>
    <x v="2"/>
    <s v="Art and Music"/>
    <x v="1"/>
    <x v="3"/>
    <s v="Arts and Sciences"/>
    <s v="110311"/>
    <s v="Departmental Operating Expense"/>
    <n v="28025"/>
    <n v="28025"/>
    <n v="100"/>
  </r>
  <r>
    <s v="999060"/>
    <s v="Asst Prof/Asst Dir of Bands"/>
    <s v="0010"/>
    <x v="10"/>
    <s v="2410"/>
    <x v="2"/>
    <s v="Art and Music"/>
    <x v="2"/>
    <x v="3"/>
    <s v="Arts and Sciences"/>
    <s v="110311"/>
    <s v="Departmental Operating Expense"/>
    <n v="51817"/>
    <n v="51817"/>
    <n v="100"/>
  </r>
  <r>
    <s v="999059"/>
    <s v="Instructor"/>
    <s v="0010"/>
    <x v="10"/>
    <s v="2410"/>
    <x v="2"/>
    <s v="Art and Music"/>
    <x v="2"/>
    <x v="3"/>
    <s v="Arts and Sciences"/>
    <s v="110311"/>
    <s v="Departmental Operating Expense"/>
    <n v="52417"/>
    <n v="52417"/>
    <n v="100"/>
  </r>
  <r>
    <s v="999061"/>
    <s v="Asst Professor/Dir of Bands"/>
    <s v="0010"/>
    <x v="10"/>
    <s v="2410"/>
    <x v="2"/>
    <s v="Art and Music"/>
    <x v="2"/>
    <x v="3"/>
    <s v="Arts and Sciences"/>
    <s v="110311"/>
    <s v="Departmental Operating Expense"/>
    <n v="52417"/>
    <n v="52417"/>
    <n v="100"/>
  </r>
  <r>
    <s v="999408"/>
    <s v="Assistant Professor"/>
    <s v="0010"/>
    <x v="10"/>
    <s v="2410"/>
    <x v="2"/>
    <s v="Art and Music"/>
    <x v="2"/>
    <x v="3"/>
    <s v="Arts and Sciences"/>
    <s v="110311"/>
    <s v="Departmental Operating Expense"/>
    <n v="52417"/>
    <n v="52417"/>
    <n v="100"/>
  </r>
  <r>
    <s v="999414"/>
    <s v="Lecturer"/>
    <s v="0010"/>
    <x v="10"/>
    <s v="2410"/>
    <x v="2"/>
    <s v="Art and Music"/>
    <x v="2"/>
    <x v="3"/>
    <s v="Arts and Sciences"/>
    <s v="110311"/>
    <s v="Departmental Operating Expense"/>
    <n v="53868"/>
    <n v="53868"/>
    <n v="100"/>
  </r>
  <r>
    <s v="999412"/>
    <s v="Associate Professor"/>
    <s v="0010"/>
    <x v="10"/>
    <s v="2410"/>
    <x v="2"/>
    <s v="Art and Music"/>
    <x v="2"/>
    <x v="3"/>
    <s v="Arts and Sciences"/>
    <s v="110311"/>
    <s v="Departmental Operating Expense"/>
    <n v="55600"/>
    <n v="55600"/>
    <n v="100"/>
  </r>
  <r>
    <s v="999417"/>
    <s v="Associate Professor"/>
    <s v="0010"/>
    <x v="10"/>
    <s v="2410"/>
    <x v="2"/>
    <s v="Art and Music"/>
    <x v="2"/>
    <x v="3"/>
    <s v="Arts and Sciences"/>
    <s v="110311"/>
    <s v="Departmental Operating Expense"/>
    <n v="55600"/>
    <n v="55600"/>
    <n v="100"/>
  </r>
  <r>
    <s v="999415"/>
    <s v="Associate Professor"/>
    <s v="0010"/>
    <x v="10"/>
    <s v="2410"/>
    <x v="2"/>
    <s v="Art and Music"/>
    <x v="2"/>
    <x v="3"/>
    <s v="Arts and Sciences"/>
    <s v="110311"/>
    <s v="Departmental Operating Expense"/>
    <n v="56868"/>
    <n v="56868"/>
    <n v="100"/>
  </r>
  <r>
    <s v="999416"/>
    <s v="Associate Professor"/>
    <s v="0010"/>
    <x v="10"/>
    <s v="2410"/>
    <x v="2"/>
    <s v="Art and Music"/>
    <x v="2"/>
    <x v="3"/>
    <s v="Arts and Sciences"/>
    <s v="110311"/>
    <s v="Departmental Operating Expense"/>
    <n v="58451"/>
    <n v="58451"/>
    <n v="100"/>
  </r>
  <r>
    <s v="999409"/>
    <s v="Associate Professor"/>
    <s v="0010"/>
    <x v="10"/>
    <s v="2410"/>
    <x v="2"/>
    <s v="Art and Music"/>
    <x v="2"/>
    <x v="3"/>
    <s v="Arts and Sciences"/>
    <s v="110311"/>
    <s v="Departmental Operating Expense"/>
    <n v="59560"/>
    <n v="59560"/>
    <n v="100"/>
  </r>
  <r>
    <s v="998447"/>
    <s v="Professor"/>
    <s v="0010"/>
    <x v="10"/>
    <s v="2410"/>
    <x v="2"/>
    <s v="Art and Music"/>
    <x v="2"/>
    <x v="3"/>
    <s v="Arts and Sciences"/>
    <s v="110311"/>
    <s v="Departmental Operating Expense"/>
    <n v="81245"/>
    <n v="81245"/>
    <n v="100"/>
  </r>
  <r>
    <s v="999865"/>
    <s v="Office Coordinator II"/>
    <s v="0010"/>
    <x v="11"/>
    <s v="2414"/>
    <x v="2"/>
    <s v="Biology"/>
    <x v="1"/>
    <x v="3"/>
    <s v="Arts and Sciences"/>
    <s v="110311"/>
    <s v="Departmental Operating Expense"/>
    <n v="32332"/>
    <n v="32332"/>
    <n v="100"/>
  </r>
  <r>
    <s v="998533"/>
    <s v="Instructor"/>
    <s v="0010"/>
    <x v="11"/>
    <s v="2414"/>
    <x v="2"/>
    <s v="Biology"/>
    <x v="2"/>
    <x v="3"/>
    <s v="Arts and Sciences"/>
    <s v="110311"/>
    <s v="Departmental Operating Expense"/>
    <n v="34540"/>
    <n v="34540"/>
    <n v="100"/>
  </r>
  <r>
    <s v="998540"/>
    <s v="Instructor"/>
    <s v="0010"/>
    <x v="11"/>
    <s v="2414"/>
    <x v="2"/>
    <s v="Biology"/>
    <x v="2"/>
    <x v="3"/>
    <s v="Arts and Sciences"/>
    <s v="110311"/>
    <s v="Departmental Operating Expense"/>
    <n v="34540"/>
    <n v="34540"/>
    <n v="100"/>
  </r>
  <r>
    <s v="999487"/>
    <s v="Teaching Assistant"/>
    <s v="0010"/>
    <x v="11"/>
    <s v="2414"/>
    <x v="2"/>
    <s v="Biology"/>
    <x v="2"/>
    <x v="3"/>
    <s v="Arts and Sciences"/>
    <s v="110311"/>
    <s v="Departmental Operating Expense"/>
    <n v="38832"/>
    <n v="38832"/>
    <n v="100"/>
  </r>
  <r>
    <s v="999441"/>
    <s v="Senior Instructor"/>
    <s v="0010"/>
    <x v="11"/>
    <s v="2414"/>
    <x v="2"/>
    <s v="Biology"/>
    <x v="2"/>
    <x v="3"/>
    <s v="Arts and Sciences"/>
    <s v="110311"/>
    <s v="Departmental Operating Expense"/>
    <n v="43170"/>
    <n v="43170"/>
    <n v="100"/>
  </r>
  <r>
    <s v="999348"/>
    <s v="Assistant Professor"/>
    <s v="0010"/>
    <x v="11"/>
    <s v="2414"/>
    <x v="2"/>
    <s v="Biology"/>
    <x v="2"/>
    <x v="3"/>
    <s v="Arts and Sciences"/>
    <s v="110311"/>
    <s v="Departmental Operating Expense"/>
    <n v="51817"/>
    <n v="51817"/>
    <n v="100"/>
  </r>
  <r>
    <s v="999250"/>
    <s v="Assistant Professor"/>
    <s v="0010"/>
    <x v="11"/>
    <s v="2414"/>
    <x v="2"/>
    <s v="Biology"/>
    <x v="2"/>
    <x v="3"/>
    <s v="Arts and Sciences"/>
    <s v="110311"/>
    <s v="Departmental Operating Expense"/>
    <n v="52417"/>
    <n v="52417"/>
    <n v="100"/>
  </r>
  <r>
    <s v="999347"/>
    <s v="Assistant Professor"/>
    <s v="0010"/>
    <x v="11"/>
    <s v="2414"/>
    <x v="2"/>
    <s v="Biology"/>
    <x v="2"/>
    <x v="3"/>
    <s v="Arts and Sciences"/>
    <s v="110311"/>
    <s v="Departmental Operating Expense"/>
    <n v="52417"/>
    <n v="52417"/>
    <n v="100"/>
  </r>
  <r>
    <s v="999346"/>
    <s v="Associate Professor"/>
    <s v="0010"/>
    <x v="11"/>
    <s v="2414"/>
    <x v="2"/>
    <s v="Biology"/>
    <x v="2"/>
    <x v="3"/>
    <s v="Arts and Sciences"/>
    <s v="110311"/>
    <s v="Departmental Operating Expense"/>
    <n v="57395"/>
    <n v="57395"/>
    <n v="100"/>
  </r>
  <r>
    <s v="999246"/>
    <s v="Professor"/>
    <s v="0010"/>
    <x v="11"/>
    <s v="2414"/>
    <x v="2"/>
    <s v="Biology"/>
    <x v="2"/>
    <x v="3"/>
    <s v="Arts and Sciences"/>
    <s v="110311"/>
    <s v="Departmental Operating Expense"/>
    <n v="68716"/>
    <n v="68716"/>
    <n v="100"/>
  </r>
  <r>
    <s v="999247"/>
    <s v="Professor"/>
    <s v="0010"/>
    <x v="11"/>
    <s v="2414"/>
    <x v="2"/>
    <s v="Biology"/>
    <x v="2"/>
    <x v="3"/>
    <s v="Arts and Sciences"/>
    <s v="110311"/>
    <s v="Departmental Operating Expense"/>
    <n v="71069"/>
    <n v="71069"/>
    <n v="100"/>
  </r>
  <r>
    <s v="999244"/>
    <s v="Professor"/>
    <s v="0010"/>
    <x v="11"/>
    <s v="2414"/>
    <x v="2"/>
    <s v="Biology"/>
    <x v="2"/>
    <x v="3"/>
    <s v="Arts and Sciences"/>
    <s v="110311"/>
    <s v="Departmental Operating Expense"/>
    <n v="71119"/>
    <n v="71119"/>
    <n v="100"/>
  </r>
  <r>
    <s v="999227"/>
    <s v="Dept Head, Professor"/>
    <s v="0010"/>
    <x v="11"/>
    <s v="2414"/>
    <x v="2"/>
    <s v="Biology"/>
    <x v="2"/>
    <x v="3"/>
    <s v="Arts and Sciences"/>
    <s v="110311"/>
    <s v="Departmental Operating Expense"/>
    <n v="71408"/>
    <n v="71408"/>
    <n v="100"/>
  </r>
  <r>
    <s v="999248"/>
    <s v="Professor"/>
    <s v="0010"/>
    <x v="11"/>
    <s v="2414"/>
    <x v="2"/>
    <s v="Biology"/>
    <x v="2"/>
    <x v="3"/>
    <s v="Arts and Sciences"/>
    <s v="110311"/>
    <s v="Departmental Operating Expense"/>
    <n v="76751"/>
    <n v="76751"/>
    <n v="100"/>
  </r>
  <r>
    <s v="999245"/>
    <s v="Professor"/>
    <s v="0010"/>
    <x v="11"/>
    <s v="2414"/>
    <x v="2"/>
    <s v="Biology"/>
    <x v="2"/>
    <x v="3"/>
    <s v="Arts and Sciences"/>
    <s v="110311"/>
    <s v="Departmental Operating Expense"/>
    <n v="77256"/>
    <n v="77256"/>
    <n v="100"/>
  </r>
  <r>
    <s v="999249"/>
    <s v="Professor"/>
    <s v="0010"/>
    <x v="11"/>
    <s v="2414"/>
    <x v="2"/>
    <s v="Biology"/>
    <x v="2"/>
    <x v="3"/>
    <s v="Arts and Sciences"/>
    <s v="110311"/>
    <s v="Departmental Operating Expense"/>
    <n v="77516"/>
    <n v="77516"/>
    <n v="100"/>
  </r>
  <r>
    <s v="999891"/>
    <s v="Office Coordinator II"/>
    <s v="0010"/>
    <x v="12"/>
    <s v="2418"/>
    <x v="2"/>
    <s v="Chemistry and Biochemistry"/>
    <x v="1"/>
    <x v="3"/>
    <s v="Arts and Sciences"/>
    <s v="110311"/>
    <s v="Departmental Operating Expense"/>
    <n v="30801"/>
    <n v="30801"/>
    <n v="100"/>
  </r>
  <r>
    <s v="999442"/>
    <s v="Senior Instructor"/>
    <s v="0010"/>
    <x v="12"/>
    <s v="2418"/>
    <x v="2"/>
    <s v="Chemistry and Biochemistry"/>
    <x v="2"/>
    <x v="3"/>
    <s v="Arts and Sciences"/>
    <s v="110311"/>
    <s v="Departmental Operating Expense"/>
    <n v="39253"/>
    <n v="39253"/>
    <n v="100"/>
  </r>
  <r>
    <s v="999351"/>
    <s v="Assistant Professor"/>
    <s v="0010"/>
    <x v="12"/>
    <s v="2418"/>
    <x v="2"/>
    <s v="Chemistry and Biochemistry"/>
    <x v="2"/>
    <x v="3"/>
    <s v="Arts and Sciences"/>
    <s v="110311"/>
    <s v="Departmental Operating Expense"/>
    <n v="51817"/>
    <n v="51817"/>
    <n v="100"/>
  </r>
  <r>
    <s v="999350"/>
    <s v="Assistant Professor"/>
    <s v="0010"/>
    <x v="12"/>
    <s v="2418"/>
    <x v="2"/>
    <s v="Chemistry and Biochemistry"/>
    <x v="2"/>
    <x v="3"/>
    <s v="Arts and Sciences"/>
    <s v="110311"/>
    <s v="Departmental Operating Expense"/>
    <n v="52417"/>
    <n v="52417"/>
    <n v="100"/>
  </r>
  <r>
    <s v="999352"/>
    <s v="Assistant Professor"/>
    <s v="0010"/>
    <x v="12"/>
    <s v="2418"/>
    <x v="2"/>
    <s v="Chemistry and Biochemistry"/>
    <x v="2"/>
    <x v="3"/>
    <s v="Arts and Sciences"/>
    <s v="110311"/>
    <s v="Departmental Operating Expense"/>
    <n v="53868"/>
    <n v="53868"/>
    <n v="100"/>
  </r>
  <r>
    <s v="999354"/>
    <s v="Assistant Professor"/>
    <s v="0010"/>
    <x v="12"/>
    <s v="2418"/>
    <x v="2"/>
    <s v="Chemistry and Biochemistry"/>
    <x v="2"/>
    <x v="3"/>
    <s v="Arts and Sciences"/>
    <s v="110311"/>
    <s v="Departmental Operating Expense"/>
    <n v="56126"/>
    <n v="56126"/>
    <n v="100"/>
  </r>
  <r>
    <s v="999355"/>
    <s v="Associate Professor"/>
    <s v="0010"/>
    <x v="12"/>
    <s v="2418"/>
    <x v="2"/>
    <s v="Chemistry and Biochemistry"/>
    <x v="2"/>
    <x v="3"/>
    <s v="Arts and Sciences"/>
    <s v="110311"/>
    <s v="Departmental Operating Expense"/>
    <n v="56500"/>
    <n v="56500"/>
    <n v="100"/>
  </r>
  <r>
    <s v="999251"/>
    <s v="Assistant Professor"/>
    <s v="0010"/>
    <x v="12"/>
    <s v="2418"/>
    <x v="2"/>
    <s v="Chemistry and Biochemistry"/>
    <x v="2"/>
    <x v="3"/>
    <s v="Arts and Sciences"/>
    <s v="110311"/>
    <s v="Departmental Operating Expense"/>
    <n v="71122"/>
    <n v="71122"/>
    <n v="100"/>
  </r>
  <r>
    <s v="999228"/>
    <s v="Dept Head, Professor"/>
    <s v="0010"/>
    <x v="12"/>
    <s v="2418"/>
    <x v="2"/>
    <s v="Chemistry and Biochemistry"/>
    <x v="2"/>
    <x v="3"/>
    <s v="Arts and Sciences"/>
    <s v="110311"/>
    <s v="Departmental Operating Expense"/>
    <n v="72446"/>
    <n v="72446"/>
    <n v="100"/>
  </r>
  <r>
    <s v="999735"/>
    <s v="Technical Director"/>
    <s v="0010"/>
    <x v="13"/>
    <s v="2420"/>
    <x v="2"/>
    <s v="Communication, Mass Media &amp; Theatre"/>
    <x v="1"/>
    <x v="3"/>
    <s v="Arts and Sciences"/>
    <s v="110311"/>
    <s v="Departmental Operating Expense"/>
    <n v="30286"/>
    <n v="9669"/>
    <n v="31.93"/>
  </r>
  <r>
    <s v="999893"/>
    <s v="Office Coordinator II"/>
    <s v="0010"/>
    <x v="13"/>
    <s v="2420"/>
    <x v="2"/>
    <s v="Communication, Mass Media &amp; Theatre"/>
    <x v="1"/>
    <x v="3"/>
    <s v="Arts and Sciences"/>
    <s v="110311"/>
    <s v="Departmental Operating Expense"/>
    <n v="13917"/>
    <n v="13917"/>
    <n v="100"/>
  </r>
  <r>
    <s v="999491"/>
    <s v="Teaching Assistant"/>
    <s v="0010"/>
    <x v="13"/>
    <s v="2420"/>
    <x v="2"/>
    <s v="Communication, Mass Media &amp; Theatre"/>
    <x v="2"/>
    <x v="3"/>
    <s v="Arts and Sciences"/>
    <s v="110311"/>
    <s v="Departmental Operating Expense"/>
    <n v="22190"/>
    <n v="22190"/>
    <n v="100"/>
  </r>
  <r>
    <s v="999492"/>
    <s v="Costumer"/>
    <s v="0010"/>
    <x v="13"/>
    <s v="2420"/>
    <x v="2"/>
    <s v="Communication, Mass Media &amp; Theatre"/>
    <x v="1"/>
    <x v="3"/>
    <s v="Arts and Sciences"/>
    <s v="110311"/>
    <s v="Departmental Operating Expense"/>
    <n v="25518"/>
    <n v="25518"/>
    <n v="100"/>
  </r>
  <r>
    <s v="999869"/>
    <s v="Office Coordinator II"/>
    <s v="0010"/>
    <x v="13"/>
    <s v="2420"/>
    <x v="2"/>
    <s v="Communication, Mass Media &amp; Theatre"/>
    <x v="1"/>
    <x v="3"/>
    <s v="Arts and Sciences"/>
    <s v="110311"/>
    <s v="Departmental Operating Expense"/>
    <n v="28946"/>
    <n v="28946"/>
    <n v="100"/>
  </r>
  <r>
    <s v="999454"/>
    <s v="Senior Inst &amp; Univ Photograph"/>
    <s v="0010"/>
    <x v="13"/>
    <s v="2420"/>
    <x v="2"/>
    <s v="Communication, Mass Media &amp; Theatre"/>
    <x v="2"/>
    <x v="3"/>
    <s v="Arts and Sciences"/>
    <s v="110311"/>
    <s v="Departmental Operating Expense"/>
    <n v="43649"/>
    <n v="31494"/>
    <n v="72.150000000000006"/>
  </r>
  <r>
    <s v="999322"/>
    <s v="Assistant Professor"/>
    <s v="0010"/>
    <x v="13"/>
    <s v="2420"/>
    <x v="2"/>
    <s v="Communication, Mass Media &amp; Theatre"/>
    <x v="2"/>
    <x v="3"/>
    <s v="Arts and Sciences"/>
    <s v="110311"/>
    <s v="Departmental Operating Expense"/>
    <n v="51817"/>
    <n v="51817"/>
    <n v="100"/>
  </r>
  <r>
    <s v="999405"/>
    <s v="Assistant Professor"/>
    <s v="0010"/>
    <x v="13"/>
    <s v="2420"/>
    <x v="2"/>
    <s v="Communication, Mass Media &amp; Theatre"/>
    <x v="2"/>
    <x v="3"/>
    <s v="Arts and Sciences"/>
    <s v="110311"/>
    <s v="Departmental Operating Expense"/>
    <n v="51817"/>
    <n v="51817"/>
    <n v="100"/>
  </r>
  <r>
    <s v="999453"/>
    <s v="Assistant Professor"/>
    <s v="0010"/>
    <x v="13"/>
    <s v="2420"/>
    <x v="2"/>
    <s v="Communication, Mass Media &amp; Theatre"/>
    <x v="2"/>
    <x v="3"/>
    <s v="Arts and Sciences"/>
    <s v="110311"/>
    <s v="Departmental Operating Expense"/>
    <n v="51817"/>
    <n v="51817"/>
    <n v="100"/>
  </r>
  <r>
    <s v="999455"/>
    <s v="Assistant Professor"/>
    <s v="0010"/>
    <x v="13"/>
    <s v="2420"/>
    <x v="2"/>
    <s v="Communication, Mass Media &amp; Theatre"/>
    <x v="2"/>
    <x v="3"/>
    <s v="Arts and Sciences"/>
    <s v="110311"/>
    <s v="Departmental Operating Expense"/>
    <n v="51817"/>
    <n v="51817"/>
    <n v="100"/>
  </r>
  <r>
    <s v="999062"/>
    <s v="Assistant Professor"/>
    <s v="0010"/>
    <x v="13"/>
    <s v="2420"/>
    <x v="2"/>
    <s v="Communication, Mass Media &amp; Theatre"/>
    <x v="2"/>
    <x v="3"/>
    <s v="Arts and Sciences"/>
    <s v="110311"/>
    <s v="Departmental Operating Expense"/>
    <n v="52417"/>
    <n v="52417"/>
    <n v="100"/>
  </r>
  <r>
    <s v="999406"/>
    <s v="Asst Prof/Asst Dir Univ Thtr"/>
    <s v="0010"/>
    <x v="13"/>
    <s v="2420"/>
    <x v="2"/>
    <s v="Communication, Mass Media &amp; Theatre"/>
    <x v="2"/>
    <x v="3"/>
    <s v="Arts and Sciences"/>
    <s v="110311"/>
    <s v="Departmental Operating Expense"/>
    <n v="53817"/>
    <n v="53817"/>
    <n v="100"/>
  </r>
  <r>
    <s v="999324"/>
    <s v="Associate Professor"/>
    <s v="0010"/>
    <x v="13"/>
    <s v="2420"/>
    <x v="2"/>
    <s v="Communication, Mass Media &amp; Theatre"/>
    <x v="2"/>
    <x v="3"/>
    <s v="Arts and Sciences"/>
    <s v="110311"/>
    <s v="Departmental Operating Expense"/>
    <n v="56500"/>
    <n v="56500"/>
    <n v="100"/>
  </r>
  <r>
    <s v="999404"/>
    <s v="Associate Professor"/>
    <s v="0010"/>
    <x v="13"/>
    <s v="2420"/>
    <x v="2"/>
    <s v="Communication, Mass Media &amp; Theatre"/>
    <x v="2"/>
    <x v="3"/>
    <s v="Arts and Sciences"/>
    <s v="110311"/>
    <s v="Departmental Operating Expense"/>
    <n v="56868"/>
    <n v="56868"/>
    <n v="100"/>
  </r>
  <r>
    <s v="999403"/>
    <s v="Assoc Prof/RAM PAGE Advisor"/>
    <s v="0010"/>
    <x v="13"/>
    <s v="2420"/>
    <x v="2"/>
    <s v="Communication, Mass Media &amp; Theatre"/>
    <x v="2"/>
    <x v="3"/>
    <s v="Arts and Sciences"/>
    <s v="110311"/>
    <s v="Departmental Operating Expense"/>
    <n v="57792"/>
    <n v="57792"/>
    <n v="100"/>
  </r>
  <r>
    <s v="999323"/>
    <s v="Professor/Dir of Univ Thtr"/>
    <s v="0010"/>
    <x v="13"/>
    <s v="2420"/>
    <x v="2"/>
    <s v="Communication, Mass Media &amp; Theatre"/>
    <x v="2"/>
    <x v="3"/>
    <s v="Arts and Sciences"/>
    <s v="110311"/>
    <s v="Departmental Operating Expense"/>
    <n v="63067"/>
    <n v="63067"/>
    <n v="100"/>
  </r>
  <r>
    <s v="999225"/>
    <s v="Dept Head, Professor"/>
    <s v="0010"/>
    <x v="13"/>
    <s v="2420"/>
    <x v="2"/>
    <s v="Communication, Mass Media &amp; Theatre"/>
    <x v="2"/>
    <x v="3"/>
    <s v="Arts and Sciences"/>
    <s v="110311"/>
    <s v="Departmental Operating Expense"/>
    <n v="68874"/>
    <n v="68874"/>
    <n v="100"/>
  </r>
  <r>
    <s v="999407"/>
    <s v="Professor"/>
    <s v="0010"/>
    <x v="13"/>
    <s v="2420"/>
    <x v="2"/>
    <s v="Communication, Mass Media &amp; Theatre"/>
    <x v="2"/>
    <x v="3"/>
    <s v="Arts and Sciences"/>
    <s v="110311"/>
    <s v="Departmental Operating Expense"/>
    <n v="70562"/>
    <n v="70562"/>
    <n v="100"/>
  </r>
  <r>
    <s v="999451"/>
    <s v="Senior Instructor"/>
    <s v="0010"/>
    <x v="14"/>
    <s v="2430"/>
    <x v="2"/>
    <s v="English and Modern Languages"/>
    <x v="2"/>
    <x v="3"/>
    <s v="Arts and Sciences"/>
    <s v="110311"/>
    <s v="Departmental Operating Expense"/>
    <n v="41134"/>
    <n v="41134"/>
    <n v="100"/>
  </r>
  <r>
    <s v="999399"/>
    <s v="Assistant Professor"/>
    <s v="0010"/>
    <x v="14"/>
    <s v="2430"/>
    <x v="2"/>
    <s v="English and Modern Languages"/>
    <x v="2"/>
    <x v="3"/>
    <s v="Arts and Sciences"/>
    <s v="110311"/>
    <s v="Departmental Operating Expense"/>
    <n v="50000"/>
    <n v="50000"/>
    <n v="100"/>
  </r>
  <r>
    <s v="999384"/>
    <s v="Asst Prof/Coord Mex Exch Prog"/>
    <s v="0010"/>
    <x v="14"/>
    <s v="2430"/>
    <x v="2"/>
    <s v="English and Modern Languages"/>
    <x v="2"/>
    <x v="3"/>
    <s v="Arts and Sciences"/>
    <s v="110311"/>
    <s v="Departmental Operating Expense"/>
    <n v="50975"/>
    <n v="50975"/>
    <n v="100"/>
  </r>
  <r>
    <s v="998687"/>
    <s v="Assistant Professor"/>
    <s v="0010"/>
    <x v="14"/>
    <s v="2430"/>
    <x v="2"/>
    <s v="English and Modern Languages"/>
    <x v="2"/>
    <x v="3"/>
    <s v="Arts and Sciences"/>
    <s v="110311"/>
    <s v="Departmental Operating Expense"/>
    <n v="51817"/>
    <n v="51817"/>
    <n v="100"/>
  </r>
  <r>
    <s v="999081"/>
    <s v="Assistant Professor"/>
    <s v="0010"/>
    <x v="14"/>
    <s v="2430"/>
    <x v="2"/>
    <s v="English and Modern Languages"/>
    <x v="2"/>
    <x v="3"/>
    <s v="Arts and Sciences"/>
    <s v="110311"/>
    <s v="Departmental Operating Expense"/>
    <n v="51817"/>
    <n v="51817"/>
    <n v="100"/>
  </r>
  <r>
    <s v="999284"/>
    <s v="Assistant Professor"/>
    <s v="0010"/>
    <x v="14"/>
    <s v="2430"/>
    <x v="2"/>
    <s v="English and Modern Languages"/>
    <x v="2"/>
    <x v="3"/>
    <s v="Arts and Sciences"/>
    <s v="110311"/>
    <s v="Departmental Operating Expense"/>
    <n v="51817"/>
    <n v="51817"/>
    <n v="100"/>
  </r>
  <r>
    <s v="999319"/>
    <s v="Assistant Professor"/>
    <s v="0010"/>
    <x v="14"/>
    <s v="2430"/>
    <x v="2"/>
    <s v="English and Modern Languages"/>
    <x v="2"/>
    <x v="3"/>
    <s v="Arts and Sciences"/>
    <s v="110311"/>
    <s v="Departmental Operating Expense"/>
    <n v="51817"/>
    <n v="51817"/>
    <n v="100"/>
  </r>
  <r>
    <s v="999385"/>
    <s v="Assistant Professor"/>
    <s v="0010"/>
    <x v="14"/>
    <s v="2430"/>
    <x v="2"/>
    <s v="English and Modern Languages"/>
    <x v="2"/>
    <x v="3"/>
    <s v="Arts and Sciences"/>
    <s v="110311"/>
    <s v="Departmental Operating Expense"/>
    <n v="51817"/>
    <n v="51817"/>
    <n v="100"/>
  </r>
  <r>
    <s v="999387"/>
    <s v="Assistant Professor"/>
    <s v="0010"/>
    <x v="14"/>
    <s v="2430"/>
    <x v="2"/>
    <s v="English and Modern Languages"/>
    <x v="2"/>
    <x v="3"/>
    <s v="Arts and Sciences"/>
    <s v="110311"/>
    <s v="Departmental Operating Expense"/>
    <n v="51817"/>
    <n v="51817"/>
    <n v="100"/>
  </r>
  <r>
    <s v="999388"/>
    <s v="Assistant Professor"/>
    <s v="0010"/>
    <x v="14"/>
    <s v="2430"/>
    <x v="2"/>
    <s v="English and Modern Languages"/>
    <x v="2"/>
    <x v="3"/>
    <s v="Arts and Sciences"/>
    <s v="110311"/>
    <s v="Departmental Operating Expense"/>
    <n v="51817"/>
    <n v="51817"/>
    <n v="100"/>
  </r>
  <r>
    <s v="999398"/>
    <s v="Assistant Professor"/>
    <s v="0010"/>
    <x v="14"/>
    <s v="2430"/>
    <x v="2"/>
    <s v="English and Modern Languages"/>
    <x v="2"/>
    <x v="3"/>
    <s v="Arts and Sciences"/>
    <s v="110311"/>
    <s v="Departmental Operating Expense"/>
    <n v="51817"/>
    <n v="51817"/>
    <n v="100"/>
  </r>
  <r>
    <s v="999401"/>
    <s v="Assistant Professor"/>
    <s v="0010"/>
    <x v="14"/>
    <s v="2430"/>
    <x v="2"/>
    <s v="English and Modern Languages"/>
    <x v="2"/>
    <x v="3"/>
    <s v="Arts and Sciences"/>
    <s v="110311"/>
    <s v="Departmental Operating Expense"/>
    <n v="51817"/>
    <n v="51817"/>
    <n v="100"/>
  </r>
  <r>
    <s v="999396"/>
    <s v="Assistant Professor"/>
    <s v="0010"/>
    <x v="14"/>
    <s v="2430"/>
    <x v="2"/>
    <s v="English and Modern Languages"/>
    <x v="2"/>
    <x v="3"/>
    <s v="Arts and Sciences"/>
    <s v="110311"/>
    <s v="Departmental Operating Expense"/>
    <n v="52417"/>
    <n v="52417"/>
    <n v="100"/>
  </r>
  <r>
    <s v="999400"/>
    <s v="Assistant Professor"/>
    <s v="0010"/>
    <x v="14"/>
    <s v="2430"/>
    <x v="2"/>
    <s v="English and Modern Languages"/>
    <x v="2"/>
    <x v="3"/>
    <s v="Arts and Sciences"/>
    <s v="110311"/>
    <s v="Departmental Operating Expense"/>
    <n v="52417"/>
    <n v="52417"/>
    <n v="100"/>
  </r>
  <r>
    <s v="999490"/>
    <s v="Teaching Assistant"/>
    <s v="0010"/>
    <x v="14"/>
    <s v="2430"/>
    <x v="2"/>
    <s v="English and Modern Languages"/>
    <x v="2"/>
    <x v="3"/>
    <s v="Arts and Sciences"/>
    <s v="110311"/>
    <s v="Departmental Operating Expense"/>
    <n v="55475"/>
    <n v="55475"/>
    <n v="100"/>
  </r>
  <r>
    <s v="999220"/>
    <s v="Associate Professor"/>
    <s v="0010"/>
    <x v="14"/>
    <s v="2430"/>
    <x v="2"/>
    <s v="English and Modern Languages"/>
    <x v="2"/>
    <x v="3"/>
    <s v="Arts and Sciences"/>
    <s v="110311"/>
    <s v="Departmental Operating Expense"/>
    <n v="56500"/>
    <n v="56500"/>
    <n v="100"/>
  </r>
  <r>
    <s v="999402"/>
    <s v="Associate Professor"/>
    <s v="0010"/>
    <x v="14"/>
    <s v="2430"/>
    <x v="2"/>
    <s v="English and Modern Languages"/>
    <x v="2"/>
    <x v="3"/>
    <s v="Arts and Sciences"/>
    <s v="110311"/>
    <s v="Departmental Operating Expense"/>
    <n v="56500"/>
    <n v="56500"/>
    <n v="100"/>
  </r>
  <r>
    <s v="999397"/>
    <s v="Professor"/>
    <s v="0010"/>
    <x v="14"/>
    <s v="2430"/>
    <x v="2"/>
    <s v="English and Modern Languages"/>
    <x v="2"/>
    <x v="3"/>
    <s v="Arts and Sciences"/>
    <s v="110311"/>
    <s v="Departmental Operating Expense"/>
    <n v="65340"/>
    <n v="65340"/>
    <n v="100"/>
  </r>
  <r>
    <s v="999321"/>
    <s v="Professor"/>
    <s v="0010"/>
    <x v="14"/>
    <s v="2430"/>
    <x v="2"/>
    <s v="English and Modern Languages"/>
    <x v="2"/>
    <x v="3"/>
    <s v="Arts and Sciences"/>
    <s v="110311"/>
    <s v="Departmental Operating Expense"/>
    <n v="65576"/>
    <n v="65576"/>
    <n v="100"/>
  </r>
  <r>
    <s v="999318"/>
    <s v="Prof/Dir of CITR"/>
    <s v="0010"/>
    <x v="14"/>
    <s v="2430"/>
    <x v="2"/>
    <s v="English and Modern Languages"/>
    <x v="2"/>
    <x v="3"/>
    <s v="Arts and Sciences"/>
    <s v="110311"/>
    <s v="Departmental Operating Expense"/>
    <n v="67608"/>
    <n v="67608"/>
    <n v="100"/>
  </r>
  <r>
    <s v="999314"/>
    <s v="Professor"/>
    <s v="0010"/>
    <x v="14"/>
    <s v="2430"/>
    <x v="2"/>
    <s v="English and Modern Languages"/>
    <x v="2"/>
    <x v="3"/>
    <s v="Arts and Sciences"/>
    <s v="110311"/>
    <s v="Departmental Operating Expense"/>
    <n v="70029"/>
    <n v="70029"/>
    <n v="100"/>
  </r>
  <r>
    <s v="999391"/>
    <s v="Assistant Professor"/>
    <s v="0010"/>
    <x v="15"/>
    <s v="2440"/>
    <x v="2"/>
    <s v="Political Science"/>
    <x v="2"/>
    <x v="3"/>
    <s v="Arts and Sciences"/>
    <s v="110311"/>
    <s v="Departmental Operating Expense"/>
    <n v="46635"/>
    <n v="46635"/>
    <n v="100"/>
  </r>
  <r>
    <s v="999393"/>
    <s v="Associate Professor"/>
    <s v="0010"/>
    <x v="15"/>
    <s v="2440"/>
    <x v="2"/>
    <s v="Political Science"/>
    <x v="2"/>
    <x v="3"/>
    <s v="Arts and Sciences"/>
    <s v="110311"/>
    <s v="Departmental Operating Expense"/>
    <n v="56500"/>
    <n v="56500"/>
    <n v="100"/>
  </r>
  <r>
    <s v="999394"/>
    <s v="Associate Professor"/>
    <s v="0010"/>
    <x v="15"/>
    <s v="2440"/>
    <x v="2"/>
    <s v="Political Science"/>
    <x v="2"/>
    <x v="3"/>
    <s v="Arts and Sciences"/>
    <s v="110311"/>
    <s v="Departmental Operating Expense"/>
    <n v="57051"/>
    <n v="57051"/>
    <n v="100"/>
  </r>
  <r>
    <s v="999276"/>
    <s v="Assistant Professor"/>
    <s v="0010"/>
    <x v="16"/>
    <s v="2450"/>
    <x v="2"/>
    <s v="History"/>
    <x v="2"/>
    <x v="3"/>
    <s v="Arts and Sciences"/>
    <s v="110311"/>
    <s v="Departmental Operating Expense"/>
    <n v="52417"/>
    <n v="39313"/>
    <n v="75"/>
  </r>
  <r>
    <s v="998713"/>
    <s v="Assistant Professor"/>
    <s v="0010"/>
    <x v="16"/>
    <s v="2450"/>
    <x v="2"/>
    <s v="History"/>
    <x v="2"/>
    <x v="3"/>
    <s v="Arts and Sciences"/>
    <s v="110311"/>
    <s v="Departmental Operating Expense"/>
    <n v="51817"/>
    <n v="51817"/>
    <n v="100"/>
  </r>
  <r>
    <s v="999273"/>
    <s v="Assistant Professor"/>
    <s v="0010"/>
    <x v="16"/>
    <s v="2450"/>
    <x v="2"/>
    <s v="History"/>
    <x v="2"/>
    <x v="3"/>
    <s v="Arts and Sciences"/>
    <s v="110311"/>
    <s v="Departmental Operating Expense"/>
    <n v="51817"/>
    <n v="51817"/>
    <n v="100"/>
  </r>
  <r>
    <s v="999390"/>
    <s v="Assistant Professor"/>
    <s v="0010"/>
    <x v="16"/>
    <s v="2450"/>
    <x v="2"/>
    <s v="History"/>
    <x v="2"/>
    <x v="3"/>
    <s v="Arts and Sciences"/>
    <s v="110311"/>
    <s v="Departmental Operating Expense"/>
    <n v="52417"/>
    <n v="52417"/>
    <n v="100"/>
  </r>
  <r>
    <s v="999274"/>
    <s v="Associate Professor"/>
    <s v="0010"/>
    <x v="16"/>
    <s v="2450"/>
    <x v="2"/>
    <s v="History"/>
    <x v="2"/>
    <x v="3"/>
    <s v="Arts and Sciences"/>
    <s v="110311"/>
    <s v="Departmental Operating Expense"/>
    <n v="55600"/>
    <n v="55600"/>
    <n v="100"/>
  </r>
  <r>
    <s v="999389"/>
    <s v="Professor"/>
    <s v="0010"/>
    <x v="16"/>
    <s v="2450"/>
    <x v="2"/>
    <s v="History"/>
    <x v="2"/>
    <x v="3"/>
    <s v="Arts and Sciences"/>
    <s v="110311"/>
    <s v="Departmental Operating Expense"/>
    <n v="65339"/>
    <n v="65339"/>
    <n v="100"/>
  </r>
  <r>
    <s v="999275"/>
    <s v="Professor"/>
    <s v="0010"/>
    <x v="16"/>
    <s v="2450"/>
    <x v="2"/>
    <s v="History"/>
    <x v="2"/>
    <x v="3"/>
    <s v="Arts and Sciences"/>
    <s v="110311"/>
    <s v="Departmental Operating Expense"/>
    <n v="69010"/>
    <n v="69010"/>
    <n v="100"/>
  </r>
  <r>
    <s v="999440"/>
    <s v="Senior Instructor"/>
    <s v="0010"/>
    <x v="17"/>
    <s v="2465"/>
    <x v="2"/>
    <s v="Mathematics and Computer Science"/>
    <x v="2"/>
    <x v="3"/>
    <s v="Arts and Sciences"/>
    <s v="110311"/>
    <s v="Departmental Operating Expense"/>
    <n v="43170"/>
    <n v="37774"/>
    <n v="87.5"/>
  </r>
  <r>
    <s v="999435"/>
    <s v="Senior Instructor"/>
    <s v="0010"/>
    <x v="17"/>
    <s v="2465"/>
    <x v="2"/>
    <s v="Mathematics and Computer Science"/>
    <x v="2"/>
    <x v="3"/>
    <s v="Arts and Sciences"/>
    <s v="110311"/>
    <s v="Departmental Operating Expense"/>
    <n v="39396"/>
    <n v="39396"/>
    <n v="100"/>
  </r>
  <r>
    <s v="999144"/>
    <s v="Sr Instr/Dir Dev Math"/>
    <s v="0010"/>
    <x v="17"/>
    <s v="2465"/>
    <x v="2"/>
    <s v="Mathematics and Computer Science"/>
    <x v="2"/>
    <x v="3"/>
    <s v="Arts and Sciences"/>
    <s v="110311"/>
    <s v="Departmental Operating Expense"/>
    <n v="41507"/>
    <n v="41507"/>
    <n v="100"/>
  </r>
  <r>
    <s v="999439"/>
    <s v="Senior Instructor"/>
    <s v="0010"/>
    <x v="17"/>
    <s v="2465"/>
    <x v="2"/>
    <s v="Mathematics and Computer Science"/>
    <x v="2"/>
    <x v="3"/>
    <s v="Arts and Sciences"/>
    <s v="110311"/>
    <s v="Departmental Operating Expense"/>
    <n v="43851"/>
    <n v="43851"/>
    <n v="100"/>
  </r>
  <r>
    <s v="999438"/>
    <s v="Senior Instructor"/>
    <s v="0010"/>
    <x v="17"/>
    <s v="2465"/>
    <x v="2"/>
    <s v="Mathematics and Computer Science"/>
    <x v="2"/>
    <x v="3"/>
    <s v="Arts and Sciences"/>
    <s v="110311"/>
    <s v="Departmental Operating Expense"/>
    <n v="44089"/>
    <n v="44089"/>
    <n v="100"/>
  </r>
  <r>
    <s v="998361"/>
    <s v="Assistant Professor"/>
    <s v="0010"/>
    <x v="17"/>
    <s v="2465"/>
    <x v="2"/>
    <s v="Mathematics and Computer Science"/>
    <x v="2"/>
    <x v="3"/>
    <s v="Arts and Sciences"/>
    <s v="110311"/>
    <s v="Departmental Operating Expense"/>
    <n v="50000"/>
    <n v="50000"/>
    <n v="100"/>
  </r>
  <r>
    <s v="999342"/>
    <s v="Assistant Professor"/>
    <s v="0010"/>
    <x v="17"/>
    <s v="2465"/>
    <x v="2"/>
    <s v="Mathematics and Computer Science"/>
    <x v="2"/>
    <x v="3"/>
    <s v="Arts and Sciences"/>
    <s v="110311"/>
    <s v="Departmental Operating Expense"/>
    <n v="53868"/>
    <n v="53868"/>
    <n v="100"/>
  </r>
  <r>
    <s v="999345"/>
    <s v="Associate Professor"/>
    <s v="0010"/>
    <x v="17"/>
    <s v="2465"/>
    <x v="2"/>
    <s v="Mathematics and Computer Science"/>
    <x v="2"/>
    <x v="3"/>
    <s v="Arts and Sciences"/>
    <s v="110311"/>
    <s v="Departmental Operating Expense"/>
    <n v="56451"/>
    <n v="56451"/>
    <n v="100"/>
  </r>
  <r>
    <s v="999343"/>
    <s v="Associate Professor"/>
    <s v="0010"/>
    <x v="17"/>
    <s v="2465"/>
    <x v="2"/>
    <s v="Mathematics and Computer Science"/>
    <x v="2"/>
    <x v="3"/>
    <s v="Arts and Sciences"/>
    <s v="110311"/>
    <s v="Departmental Operating Expense"/>
    <n v="56868"/>
    <n v="56868"/>
    <n v="100"/>
  </r>
  <r>
    <s v="999341"/>
    <s v="Associate Professor"/>
    <s v="0010"/>
    <x v="17"/>
    <s v="2465"/>
    <x v="2"/>
    <s v="Mathematics and Computer Science"/>
    <x v="2"/>
    <x v="3"/>
    <s v="Arts and Sciences"/>
    <s v="110311"/>
    <s v="Departmental Operating Expense"/>
    <n v="57485"/>
    <n v="57485"/>
    <n v="100"/>
  </r>
  <r>
    <s v="999344"/>
    <s v="Associate Professor"/>
    <s v="0010"/>
    <x v="17"/>
    <s v="2465"/>
    <x v="2"/>
    <s v="Mathematics and Computer Science"/>
    <x v="2"/>
    <x v="3"/>
    <s v="Arts and Sciences"/>
    <s v="110311"/>
    <s v="Departmental Operating Expense"/>
    <n v="59249"/>
    <n v="59249"/>
    <n v="100"/>
  </r>
  <r>
    <s v="999437"/>
    <s v="Associate Professor"/>
    <s v="0010"/>
    <x v="17"/>
    <s v="2465"/>
    <x v="2"/>
    <s v="Mathematics and Computer Science"/>
    <x v="2"/>
    <x v="3"/>
    <s v="Arts and Sciences"/>
    <s v="110311"/>
    <s v="Departmental Operating Expense"/>
    <n v="59275"/>
    <n v="59275"/>
    <n v="100"/>
  </r>
  <r>
    <s v="999376"/>
    <s v="Associate Professor"/>
    <s v="0010"/>
    <x v="17"/>
    <s v="2465"/>
    <x v="2"/>
    <s v="Mathematics and Computer Science"/>
    <x v="2"/>
    <x v="3"/>
    <s v="Arts and Sciences"/>
    <s v="110311"/>
    <s v="Departmental Operating Expense"/>
    <n v="70379"/>
    <n v="70379"/>
    <n v="100"/>
  </r>
  <r>
    <s v="999263"/>
    <s v="Assistant Professor"/>
    <s v="0010"/>
    <x v="17"/>
    <s v="2465"/>
    <x v="2"/>
    <s v="Mathematics and Computer Science"/>
    <x v="2"/>
    <x v="3"/>
    <s v="Arts and Sciences"/>
    <s v="110311"/>
    <s v="Departmental Operating Expense"/>
    <n v="75000"/>
    <n v="75000"/>
    <n v="100"/>
  </r>
  <r>
    <s v="999218"/>
    <s v="Dept Head/Professor"/>
    <s v="0010"/>
    <x v="17"/>
    <s v="2465"/>
    <x v="2"/>
    <s v="Mathematics and Computer Science"/>
    <x v="2"/>
    <x v="3"/>
    <s v="Arts and Sciences"/>
    <s v="110311"/>
    <s v="Departmental Operating Expense"/>
    <n v="84446"/>
    <n v="84446"/>
    <n v="100"/>
  </r>
  <r>
    <s v="999304"/>
    <s v="Assoc Professor/Dir of CS Prog"/>
    <s v="0010"/>
    <x v="17"/>
    <s v="2465"/>
    <x v="2"/>
    <s v="Mathematics and Computer Science"/>
    <x v="2"/>
    <x v="3"/>
    <s v="Arts and Sciences"/>
    <s v="110311"/>
    <s v="Departmental Operating Expense"/>
    <n v="85853"/>
    <n v="85853"/>
    <n v="100"/>
  </r>
  <r>
    <s v="999226"/>
    <s v="Professor"/>
    <s v="0010"/>
    <x v="17"/>
    <s v="2465"/>
    <x v="2"/>
    <s v="Mathematics and Computer Science"/>
    <x v="2"/>
    <x v="3"/>
    <s v="Arts and Sciences"/>
    <s v="110311"/>
    <s v="Departmental Operating Expense"/>
    <n v="94101"/>
    <n v="94101"/>
    <n v="100"/>
  </r>
  <r>
    <s v="999888"/>
    <s v="Office Coordinator II"/>
    <s v="0010"/>
    <x v="18"/>
    <s v="2475"/>
    <x v="2"/>
    <s v="Physics"/>
    <x v="1"/>
    <x v="3"/>
    <s v="Arts and Sciences"/>
    <s v="110311"/>
    <s v="Departmental Operating Expense"/>
    <n v="26605"/>
    <n v="26605"/>
    <n v="100"/>
  </r>
  <r>
    <s v="998324"/>
    <s v="Dean of Academic Excellence"/>
    <s v="0010"/>
    <x v="18"/>
    <s v="2475"/>
    <x v="2"/>
    <s v="Physics"/>
    <x v="2"/>
    <x v="3"/>
    <s v="Arts and Sciences"/>
    <s v="110311"/>
    <s v="Departmental Operating Expense"/>
    <n v="112218"/>
    <n v="33014"/>
    <n v="29.42"/>
  </r>
  <r>
    <s v="998446"/>
    <s v="Professor"/>
    <s v="0010"/>
    <x v="18"/>
    <s v="2475"/>
    <x v="2"/>
    <s v="Physics"/>
    <x v="2"/>
    <x v="3"/>
    <s v="Arts and Sciences"/>
    <s v="110311"/>
    <s v="Departmental Operating Expense"/>
    <n v="50000"/>
    <n v="50000"/>
    <n v="100"/>
  </r>
  <r>
    <s v="999330"/>
    <s v="Assistant Professor"/>
    <s v="0010"/>
    <x v="18"/>
    <s v="2475"/>
    <x v="2"/>
    <s v="Physics"/>
    <x v="2"/>
    <x v="3"/>
    <s v="Arts and Sciences"/>
    <s v="110311"/>
    <s v="Departmental Operating Expense"/>
    <n v="51817"/>
    <n v="51817"/>
    <n v="100"/>
  </r>
  <r>
    <s v="999331"/>
    <s v="Assistant Professor"/>
    <s v="0010"/>
    <x v="18"/>
    <s v="2475"/>
    <x v="2"/>
    <s v="Physics"/>
    <x v="2"/>
    <x v="3"/>
    <s v="Arts and Sciences"/>
    <s v="110311"/>
    <s v="Departmental Operating Expense"/>
    <n v="51817"/>
    <n v="51817"/>
    <n v="100"/>
  </r>
  <r>
    <s v="999327"/>
    <s v="Assistant Professor"/>
    <s v="0010"/>
    <x v="18"/>
    <s v="2475"/>
    <x v="2"/>
    <s v="Physics"/>
    <x v="2"/>
    <x v="3"/>
    <s v="Arts and Sciences"/>
    <s v="110311"/>
    <s v="Departmental Operating Expense"/>
    <n v="52417"/>
    <n v="52417"/>
    <n v="100"/>
  </r>
  <r>
    <s v="999239"/>
    <s v="Professor/Dir Univ Planetarium"/>
    <s v="0010"/>
    <x v="18"/>
    <s v="2475"/>
    <x v="2"/>
    <s v="Physics"/>
    <x v="2"/>
    <x v="3"/>
    <s v="Arts and Sciences"/>
    <s v="110311"/>
    <s v="Departmental Operating Expense"/>
    <n v="74783"/>
    <n v="56087"/>
    <n v="75"/>
  </r>
  <r>
    <s v="999332"/>
    <s v="Associate Professor"/>
    <s v="0010"/>
    <x v="18"/>
    <s v="2475"/>
    <x v="2"/>
    <s v="Physics"/>
    <x v="2"/>
    <x v="3"/>
    <s v="Arts and Sciences"/>
    <s v="110311"/>
    <s v="Departmental Operating Expense"/>
    <n v="56451"/>
    <n v="56451"/>
    <n v="100"/>
  </r>
  <r>
    <s v="999329"/>
    <s v="Associate Professor"/>
    <s v="0010"/>
    <x v="18"/>
    <s v="2475"/>
    <x v="2"/>
    <s v="Physics"/>
    <x v="2"/>
    <x v="3"/>
    <s v="Arts and Sciences"/>
    <s v="110311"/>
    <s v="Departmental Operating Expense"/>
    <n v="56500"/>
    <n v="56500"/>
    <n v="100"/>
  </r>
  <r>
    <s v="999328"/>
    <s v="Professor"/>
    <s v="0010"/>
    <x v="18"/>
    <s v="2475"/>
    <x v="2"/>
    <s v="Physics"/>
    <x v="2"/>
    <x v="3"/>
    <s v="Arts and Sciences"/>
    <s v="110311"/>
    <s v="Departmental Operating Expense"/>
    <n v="65340"/>
    <n v="65340"/>
    <n v="100"/>
  </r>
  <r>
    <s v="999214"/>
    <s v="Dept Head, Professor"/>
    <s v="0010"/>
    <x v="18"/>
    <s v="2475"/>
    <x v="2"/>
    <s v="Physics"/>
    <x v="2"/>
    <x v="3"/>
    <s v="Arts and Sciences"/>
    <s v="110311"/>
    <s v="Departmental Operating Expense"/>
    <n v="76662"/>
    <n v="76662"/>
    <n v="100"/>
  </r>
  <r>
    <s v="998409"/>
    <s v="Professor"/>
    <s v="0010"/>
    <x v="18"/>
    <s v="2475"/>
    <x v="2"/>
    <s v="Physics"/>
    <x v="2"/>
    <x v="3"/>
    <s v="Arts and Sciences"/>
    <s v="110311"/>
    <s v="Departmental Operating Expense"/>
    <n v="105000"/>
    <n v="105000"/>
    <n v="100"/>
  </r>
  <r>
    <s v="999863"/>
    <s v="Office Coordinator II"/>
    <s v="0010"/>
    <x v="19"/>
    <s v="2510"/>
    <x v="2"/>
    <s v="Accounting, Economics, &amp; Finance"/>
    <x v="1"/>
    <x v="4"/>
    <s v="Business"/>
    <s v="110311"/>
    <s v="Departmental Operating Expense"/>
    <n v="30146"/>
    <n v="30146"/>
    <n v="100"/>
  </r>
  <r>
    <s v="999449"/>
    <s v="Senior Instructor"/>
    <s v="0010"/>
    <x v="19"/>
    <s v="2510"/>
    <x v="2"/>
    <s v="Accounting, Economics, &amp; Finance"/>
    <x v="2"/>
    <x v="4"/>
    <s v="Business"/>
    <s v="110311"/>
    <s v="Departmental Operating Expense"/>
    <n v="40287"/>
    <n v="40287"/>
    <n v="100"/>
  </r>
  <r>
    <s v="999448"/>
    <s v="Senior Instructor"/>
    <s v="0010"/>
    <x v="19"/>
    <s v="2510"/>
    <x v="2"/>
    <s v="Accounting, Economics, &amp; Finance"/>
    <x v="2"/>
    <x v="4"/>
    <s v="Business"/>
    <s v="110311"/>
    <s v="Departmental Operating Expense"/>
    <n v="47302"/>
    <n v="47302"/>
    <n v="100"/>
  </r>
  <r>
    <s v="999310"/>
    <s v="Assistant Professor"/>
    <s v="0010"/>
    <x v="19"/>
    <s v="2510"/>
    <x v="2"/>
    <s v="Accounting, Economics, &amp; Finance"/>
    <x v="2"/>
    <x v="4"/>
    <s v="Business"/>
    <s v="110311"/>
    <s v="Departmental Operating Expense"/>
    <n v="60600"/>
    <n v="60600"/>
    <n v="100"/>
  </r>
  <r>
    <s v="999378"/>
    <s v="Associate Professor"/>
    <s v="0010"/>
    <x v="19"/>
    <s v="2510"/>
    <x v="2"/>
    <s v="Accounting, Economics, &amp; Finance"/>
    <x v="2"/>
    <x v="4"/>
    <s v="Business"/>
    <s v="110311"/>
    <s v="Departmental Operating Expense"/>
    <n v="66794"/>
    <n v="66794"/>
    <n v="100"/>
  </r>
  <r>
    <s v="999379"/>
    <s v="Professor"/>
    <s v="0010"/>
    <x v="19"/>
    <s v="2510"/>
    <x v="2"/>
    <s v="Accounting, Economics, &amp; Finance"/>
    <x v="2"/>
    <x v="4"/>
    <s v="Business"/>
    <s v="110311"/>
    <s v="Departmental Operating Expense"/>
    <n v="75760"/>
    <n v="75760"/>
    <n v="100"/>
  </r>
  <r>
    <s v="999306"/>
    <s v="Professor"/>
    <s v="0010"/>
    <x v="19"/>
    <s v="2510"/>
    <x v="2"/>
    <s v="Accounting, Economics, &amp; Finance"/>
    <x v="2"/>
    <x v="4"/>
    <s v="Business"/>
    <s v="110311"/>
    <s v="Departmental Operating Expense"/>
    <n v="76941"/>
    <n v="76941"/>
    <n v="100"/>
  </r>
  <r>
    <s v="999377"/>
    <s v="Associate Professor"/>
    <s v="0010"/>
    <x v="19"/>
    <s v="2510"/>
    <x v="2"/>
    <s v="Accounting, Economics, &amp; Finance"/>
    <x v="2"/>
    <x v="4"/>
    <s v="Business"/>
    <s v="110311"/>
    <s v="Departmental Operating Expense"/>
    <n v="77377"/>
    <n v="77377"/>
    <n v="100"/>
  </r>
  <r>
    <s v="999267"/>
    <s v="Professor"/>
    <s v="0010"/>
    <x v="19"/>
    <s v="2510"/>
    <x v="2"/>
    <s v="Accounting, Economics, &amp; Finance"/>
    <x v="2"/>
    <x v="4"/>
    <s v="Business"/>
    <s v="110311"/>
    <s v="Departmental Operating Expense"/>
    <n v="82874"/>
    <n v="82874"/>
    <n v="100"/>
  </r>
  <r>
    <s v="999230"/>
    <s v="Dept Head/Professor"/>
    <s v="0010"/>
    <x v="19"/>
    <s v="2510"/>
    <x v="2"/>
    <s v="Accounting, Economics, &amp; Finance"/>
    <x v="2"/>
    <x v="4"/>
    <s v="Business"/>
    <s v="110311"/>
    <s v="Departmental Operating Expense"/>
    <n v="84925"/>
    <n v="84925"/>
    <n v="100"/>
  </r>
  <r>
    <s v="999305"/>
    <s v="Assistant Professor"/>
    <s v="0010"/>
    <x v="19"/>
    <s v="2510"/>
    <x v="2"/>
    <s v="Accounting, Economics, &amp; Finance"/>
    <x v="2"/>
    <x v="4"/>
    <s v="Business"/>
    <s v="110311"/>
    <s v="Departmental Operating Expense"/>
    <n v="100000"/>
    <n v="100000"/>
    <n v="100"/>
  </r>
  <r>
    <s v="998525"/>
    <s v="Assistant Professor"/>
    <s v="0010"/>
    <x v="19"/>
    <s v="2510"/>
    <x v="2"/>
    <s v="Accounting, Economics, &amp; Finance"/>
    <x v="2"/>
    <x v="4"/>
    <s v="Business"/>
    <s v="110311"/>
    <s v="Departmental Operating Expense"/>
    <n v="105000"/>
    <n v="105000"/>
    <n v="100"/>
  </r>
  <r>
    <s v="999268"/>
    <s v="Assistant Professor"/>
    <s v="0010"/>
    <x v="19"/>
    <s v="2510"/>
    <x v="2"/>
    <s v="Accounting, Economics, &amp; Finance"/>
    <x v="2"/>
    <x v="4"/>
    <s v="Business"/>
    <s v="110311"/>
    <s v="Departmental Operating Expense"/>
    <n v="110000"/>
    <n v="110000"/>
    <n v="100"/>
  </r>
  <r>
    <s v="999859"/>
    <s v="Office Coordinator II"/>
    <s v="0010"/>
    <x v="20"/>
    <s v="2520"/>
    <x v="2"/>
    <s v="Aerospace Studies"/>
    <x v="1"/>
    <x v="4"/>
    <s v="Business"/>
    <s v="110311"/>
    <s v="Departmental Operating Expense"/>
    <n v="31063"/>
    <n v="31063"/>
    <n v="100"/>
  </r>
  <r>
    <s v="999861"/>
    <s v="Office Coordinator II"/>
    <s v="0010"/>
    <x v="21"/>
    <s v="2530"/>
    <x v="2"/>
    <s v="Management and Marketing"/>
    <x v="1"/>
    <x v="4"/>
    <s v="Business"/>
    <s v="110311"/>
    <s v="Departmental Operating Expense"/>
    <n v="28946"/>
    <n v="28946"/>
    <n v="100"/>
  </r>
  <r>
    <s v="999301"/>
    <s v="Associate Professor"/>
    <s v="0010"/>
    <x v="21"/>
    <s v="2530"/>
    <x v="2"/>
    <s v="Management and Marketing"/>
    <x v="2"/>
    <x v="4"/>
    <s v="Business"/>
    <s v="110311"/>
    <s v="Departmental Operating Expense"/>
    <n v="70150"/>
    <n v="70150"/>
    <n v="100"/>
  </r>
  <r>
    <s v="999300"/>
    <s v="Prof/Dir Ctr for Int'l Studies"/>
    <s v="0010"/>
    <x v="21"/>
    <s v="2530"/>
    <x v="2"/>
    <s v="Management and Marketing"/>
    <x v="2"/>
    <x v="4"/>
    <s v="Business"/>
    <s v="110311"/>
    <s v="Departmental Operating Expense"/>
    <n v="75881"/>
    <n v="75881"/>
    <n v="100"/>
  </r>
  <r>
    <s v="999257"/>
    <s v="Professor"/>
    <s v="0010"/>
    <x v="21"/>
    <s v="2530"/>
    <x v="2"/>
    <s v="Management and Marketing"/>
    <x v="2"/>
    <x v="4"/>
    <s v="Business"/>
    <s v="110311"/>
    <s v="Departmental Operating Expense"/>
    <n v="82725"/>
    <n v="82725"/>
    <n v="100"/>
  </r>
  <r>
    <s v="999258"/>
    <s v="Assistant Professor"/>
    <s v="0010"/>
    <x v="21"/>
    <s v="2530"/>
    <x v="2"/>
    <s v="Management and Marketing"/>
    <x v="2"/>
    <x v="4"/>
    <s v="Business"/>
    <s v="110311"/>
    <s v="Departmental Operating Expense"/>
    <n v="83000"/>
    <n v="83000"/>
    <n v="100"/>
  </r>
  <r>
    <s v="999370"/>
    <s v="Assistant Professor"/>
    <s v="0010"/>
    <x v="21"/>
    <s v="2530"/>
    <x v="2"/>
    <s v="Management and Marketing"/>
    <x v="2"/>
    <x v="4"/>
    <s v="Business"/>
    <s v="110311"/>
    <s v="Departmental Operating Expense"/>
    <n v="83000"/>
    <n v="83000"/>
    <n v="100"/>
  </r>
  <r>
    <s v="999369"/>
    <s v="Assistant Professor"/>
    <s v="0010"/>
    <x v="21"/>
    <s v="2530"/>
    <x v="2"/>
    <s v="Management and Marketing"/>
    <x v="2"/>
    <x v="4"/>
    <s v="Business"/>
    <s v="110311"/>
    <s v="Departmental Operating Expense"/>
    <n v="83288"/>
    <n v="83288"/>
    <n v="100"/>
  </r>
  <r>
    <s v="999371"/>
    <s v="Associate Professor"/>
    <s v="0010"/>
    <x v="21"/>
    <s v="2530"/>
    <x v="2"/>
    <s v="Management and Marketing"/>
    <x v="2"/>
    <x v="4"/>
    <s v="Business"/>
    <s v="110311"/>
    <s v="Departmental Operating Expense"/>
    <n v="84700"/>
    <n v="84700"/>
    <n v="100"/>
  </r>
  <r>
    <s v="999259"/>
    <s v="Assistant Professor"/>
    <s v="0010"/>
    <x v="21"/>
    <s v="2530"/>
    <x v="2"/>
    <s v="Management and Marketing"/>
    <x v="2"/>
    <x v="4"/>
    <s v="Business"/>
    <s v="110311"/>
    <s v="Departmental Operating Expense"/>
    <n v="85000"/>
    <n v="85000"/>
    <n v="100"/>
  </r>
  <r>
    <s v="999219"/>
    <s v="Dept Head, Professor"/>
    <s v="0010"/>
    <x v="21"/>
    <s v="2530"/>
    <x v="2"/>
    <s v="Management and Marketing"/>
    <x v="2"/>
    <x v="4"/>
    <s v="Business"/>
    <s v="110311"/>
    <s v="Departmental Operating Expense"/>
    <n v="90680"/>
    <n v="90680"/>
    <n v="100"/>
  </r>
  <r>
    <s v="999298"/>
    <s v="Assistant Professor"/>
    <s v="0010"/>
    <x v="21"/>
    <s v="2530"/>
    <x v="2"/>
    <s v="Management and Marketing"/>
    <x v="2"/>
    <x v="4"/>
    <s v="Business"/>
    <s v="110311"/>
    <s v="Departmental Operating Expense"/>
    <n v="91406"/>
    <n v="91406"/>
    <n v="100"/>
  </r>
  <r>
    <s v="999299"/>
    <s v="Professor"/>
    <s v="0010"/>
    <x v="21"/>
    <s v="2530"/>
    <x v="2"/>
    <s v="Management and Marketing"/>
    <x v="2"/>
    <x v="4"/>
    <s v="Business"/>
    <s v="110311"/>
    <s v="Departmental Operating Expense"/>
    <n v="92707"/>
    <n v="92707"/>
    <n v="100"/>
  </r>
  <r>
    <s v="999302"/>
    <s v="Professor/International Chair"/>
    <s v="0010"/>
    <x v="21"/>
    <s v="2530"/>
    <x v="2"/>
    <s v="Management and Marketing"/>
    <x v="2"/>
    <x v="4"/>
    <s v="Business"/>
    <s v="110311"/>
    <s v="Departmental Operating Expense"/>
    <n v="125000"/>
    <n v="125000"/>
    <n v="100"/>
  </r>
  <r>
    <s v="998503"/>
    <s v="Assistant Professor"/>
    <s v="0010"/>
    <x v="22"/>
    <s v="2535"/>
    <x v="2"/>
    <s v="Security Studies Criminal Justice"/>
    <x v="2"/>
    <x v="4"/>
    <s v="Business"/>
    <s v="110311"/>
    <s v="Departmental Operating Expense"/>
    <n v="70000"/>
    <n v="1400"/>
    <n v="2"/>
  </r>
  <r>
    <s v="998613"/>
    <s v="Assistant Professor"/>
    <s v="0010"/>
    <x v="22"/>
    <s v="2535"/>
    <x v="2"/>
    <s v="Security Studies Criminal Justice"/>
    <x v="2"/>
    <x v="4"/>
    <s v="Business"/>
    <s v="110311"/>
    <s v="Departmental Operating Expense"/>
    <n v="70000"/>
    <n v="1400"/>
    <n v="2"/>
  </r>
  <r>
    <s v="998484"/>
    <s v="Assistant Professor"/>
    <s v="0010"/>
    <x v="22"/>
    <s v="2535"/>
    <x v="2"/>
    <s v="Security Studies Criminal Justice"/>
    <x v="2"/>
    <x v="4"/>
    <s v="Business"/>
    <s v="110311"/>
    <s v="Departmental Operating Expense"/>
    <n v="71000"/>
    <n v="1420"/>
    <n v="2"/>
  </r>
  <r>
    <s v="998485"/>
    <s v="Assistant Professor"/>
    <s v="0010"/>
    <x v="22"/>
    <s v="2535"/>
    <x v="2"/>
    <s v="Security Studies Criminal Justice"/>
    <x v="2"/>
    <x v="4"/>
    <s v="Business"/>
    <s v="110311"/>
    <s v="Departmental Operating Expense"/>
    <n v="71000"/>
    <n v="1420"/>
    <n v="2"/>
  </r>
  <r>
    <s v="998498"/>
    <s v="Assistant Professor"/>
    <s v="0010"/>
    <x v="22"/>
    <s v="2535"/>
    <x v="2"/>
    <s v="Security Studies Criminal Justice"/>
    <x v="2"/>
    <x v="4"/>
    <s v="Business"/>
    <s v="110311"/>
    <s v="Departmental Operating Expense"/>
    <n v="71000"/>
    <n v="1420"/>
    <n v="2"/>
  </r>
  <r>
    <s v="998499"/>
    <s v="Assistant Professor"/>
    <s v="0010"/>
    <x v="22"/>
    <s v="2535"/>
    <x v="2"/>
    <s v="Security Studies Criminal Justice"/>
    <x v="2"/>
    <x v="4"/>
    <s v="Business"/>
    <s v="110311"/>
    <s v="Departmental Operating Expense"/>
    <n v="71000"/>
    <n v="1420"/>
    <n v="2"/>
  </r>
  <r>
    <s v="998541"/>
    <s v="Assistant Professor"/>
    <s v="0010"/>
    <x v="22"/>
    <s v="2535"/>
    <x v="2"/>
    <s v="Security Studies Criminal Justice"/>
    <x v="2"/>
    <x v="4"/>
    <s v="Business"/>
    <s v="110311"/>
    <s v="Departmental Operating Expense"/>
    <n v="71000"/>
    <n v="1420"/>
    <n v="2"/>
  </r>
  <r>
    <s v="998464"/>
    <s v="Assistant Professor"/>
    <s v="0010"/>
    <x v="22"/>
    <s v="2535"/>
    <x v="2"/>
    <s v="Security Studies Criminal Justice"/>
    <x v="2"/>
    <x v="4"/>
    <s v="Business"/>
    <s v="110311"/>
    <s v="Departmental Operating Expense"/>
    <n v="91000"/>
    <n v="1820"/>
    <n v="2"/>
  </r>
  <r>
    <s v="998619"/>
    <s v="Associate Professor"/>
    <s v="0010"/>
    <x v="22"/>
    <s v="2535"/>
    <x v="2"/>
    <s v="Security Studies Criminal Justice"/>
    <x v="2"/>
    <x v="4"/>
    <s v="Business"/>
    <s v="110311"/>
    <s v="Departmental Operating Expense"/>
    <n v="91000"/>
    <n v="1820"/>
    <n v="2"/>
  </r>
  <r>
    <s v="998584"/>
    <s v="Dir, Center for Security Stud"/>
    <s v="0010"/>
    <x v="22"/>
    <s v="2535"/>
    <x v="2"/>
    <s v="Security Studies Criminal Justice"/>
    <x v="2"/>
    <x v="4"/>
    <s v="Business"/>
    <s v="110311"/>
    <s v="Departmental Operating Expense"/>
    <n v="120000"/>
    <n v="6000"/>
    <n v="5"/>
  </r>
  <r>
    <s v="999395"/>
    <s v="Assistant Professor"/>
    <s v="0010"/>
    <x v="22"/>
    <s v="2535"/>
    <x v="2"/>
    <s v="Security Studies Criminal Justice"/>
    <x v="2"/>
    <x v="4"/>
    <s v="Business"/>
    <s v="110311"/>
    <s v="Departmental Operating Expense"/>
    <n v="60498"/>
    <n v="60498"/>
    <n v="100"/>
  </r>
  <r>
    <s v="999392"/>
    <s v="Associate Professor"/>
    <s v="0010"/>
    <x v="22"/>
    <s v="2535"/>
    <x v="2"/>
    <s v="Security Studies Criminal Justice"/>
    <x v="2"/>
    <x v="4"/>
    <s v="Business"/>
    <s v="110311"/>
    <s v="Departmental Operating Expense"/>
    <n v="63594"/>
    <n v="63594"/>
    <n v="100"/>
  </r>
  <r>
    <s v="999316"/>
    <s v="Associate Professor"/>
    <s v="0010"/>
    <x v="22"/>
    <s v="2535"/>
    <x v="2"/>
    <s v="Security Studies Criminal Justice"/>
    <x v="2"/>
    <x v="4"/>
    <s v="Business"/>
    <s v="110311"/>
    <s v="Departmental Operating Expense"/>
    <n v="64785"/>
    <n v="64785"/>
    <n v="100"/>
  </r>
  <r>
    <s v="999142"/>
    <s v="Office Coordinator II"/>
    <s v="0010"/>
    <x v="23"/>
    <s v="2630"/>
    <x v="2"/>
    <s v="Teacher Education"/>
    <x v="1"/>
    <x v="5"/>
    <s v="Education"/>
    <s v="110311"/>
    <s v="Departmental Operating Expense"/>
    <n v="26605"/>
    <n v="26605"/>
    <n v="100"/>
  </r>
  <r>
    <s v="999068"/>
    <s v="Assistant Professor"/>
    <s v="0010"/>
    <x v="23"/>
    <s v="2630"/>
    <x v="2"/>
    <s v="Teacher Education"/>
    <x v="2"/>
    <x v="5"/>
    <s v="Education"/>
    <s v="110311"/>
    <s v="Departmental Operating Expense"/>
    <n v="51817"/>
    <n v="51817"/>
    <n v="100"/>
  </r>
  <r>
    <s v="999361"/>
    <s v="Assistant Professor"/>
    <s v="0010"/>
    <x v="23"/>
    <s v="2630"/>
    <x v="2"/>
    <s v="Teacher Education"/>
    <x v="2"/>
    <x v="5"/>
    <s v="Education"/>
    <s v="110311"/>
    <s v="Departmental Operating Expense"/>
    <n v="51817"/>
    <n v="51817"/>
    <n v="100"/>
  </r>
  <r>
    <s v="999366"/>
    <s v="Assistant Professor"/>
    <s v="0010"/>
    <x v="23"/>
    <s v="2630"/>
    <x v="2"/>
    <s v="Teacher Education"/>
    <x v="2"/>
    <x v="5"/>
    <s v="Education"/>
    <s v="110311"/>
    <s v="Departmental Operating Expense"/>
    <n v="51817"/>
    <n v="51817"/>
    <n v="100"/>
  </r>
  <r>
    <s v="999365"/>
    <s v="Assistant Professor"/>
    <s v="0010"/>
    <x v="23"/>
    <s v="2630"/>
    <x v="2"/>
    <s v="Teacher Education"/>
    <x v="2"/>
    <x v="5"/>
    <s v="Education"/>
    <s v="110311"/>
    <s v="Departmental Operating Expense"/>
    <n v="53817"/>
    <n v="53817"/>
    <n v="100"/>
  </r>
  <r>
    <s v="999360"/>
    <s v="Associate Professor"/>
    <s v="0010"/>
    <x v="23"/>
    <s v="2630"/>
    <x v="2"/>
    <s v="Teacher Education"/>
    <x v="2"/>
    <x v="5"/>
    <s v="Education"/>
    <s v="110311"/>
    <s v="Departmental Operating Expense"/>
    <n v="56500"/>
    <n v="56500"/>
    <n v="100"/>
  </r>
  <r>
    <s v="998892"/>
    <s v="Associate Professor"/>
    <s v="0010"/>
    <x v="23"/>
    <s v="2630"/>
    <x v="2"/>
    <s v="Teacher Education"/>
    <x v="2"/>
    <x v="5"/>
    <s v="Education"/>
    <s v="110311"/>
    <s v="Departmental Operating Expense"/>
    <n v="57051"/>
    <n v="57051"/>
    <n v="100"/>
  </r>
  <r>
    <s v="999368"/>
    <s v="Professor"/>
    <s v="0010"/>
    <x v="23"/>
    <s v="2630"/>
    <x v="2"/>
    <s v="Teacher Education"/>
    <x v="2"/>
    <x v="5"/>
    <s v="Education"/>
    <s v="110311"/>
    <s v="Departmental Operating Expense"/>
    <n v="65340"/>
    <n v="65340"/>
    <n v="100"/>
  </r>
  <r>
    <s v="999141"/>
    <s v="Dept Head, Professor"/>
    <s v="0010"/>
    <x v="23"/>
    <s v="2630"/>
    <x v="2"/>
    <s v="Teacher Education"/>
    <x v="2"/>
    <x v="5"/>
    <s v="Education"/>
    <s v="110311"/>
    <s v="Departmental Operating Expense"/>
    <n v="72746"/>
    <n v="72746"/>
    <n v="100"/>
  </r>
  <r>
    <s v="999065"/>
    <s v="Office Coordinator II"/>
    <s v="0010"/>
    <x v="24"/>
    <s v="2610"/>
    <x v="2"/>
    <s v="Curriculum and Instruction"/>
    <x v="1"/>
    <x v="5"/>
    <s v="Education"/>
    <s v="110311"/>
    <s v="Departmental Operating Expense"/>
    <n v="26605"/>
    <n v="26605"/>
    <n v="100"/>
  </r>
  <r>
    <s v="999367"/>
    <s v="Assistant Professor"/>
    <s v="0010"/>
    <x v="24"/>
    <s v="2610"/>
    <x v="2"/>
    <s v="Curriculum and Instruction"/>
    <x v="2"/>
    <x v="5"/>
    <s v="Education"/>
    <s v="110311"/>
    <s v="Departmental Operating Expense"/>
    <n v="50000"/>
    <n v="50000"/>
    <n v="100"/>
  </r>
  <r>
    <s v="999297"/>
    <s v="Assistant Professor"/>
    <s v="0010"/>
    <x v="24"/>
    <s v="2610"/>
    <x v="2"/>
    <s v="Curriculum and Instruction"/>
    <x v="2"/>
    <x v="5"/>
    <s v="Education"/>
    <s v="110311"/>
    <s v="Departmental Operating Expense"/>
    <n v="51817"/>
    <n v="51817"/>
    <n v="100"/>
  </r>
  <r>
    <s v="999067"/>
    <s v="Assistant Professor"/>
    <s v="0010"/>
    <x v="24"/>
    <s v="2610"/>
    <x v="2"/>
    <s v="Curriculum and Instruction"/>
    <x v="2"/>
    <x v="5"/>
    <s v="Education"/>
    <s v="110311"/>
    <s v="Departmental Operating Expense"/>
    <n v="52417"/>
    <n v="52417"/>
    <n v="100"/>
  </r>
  <r>
    <s v="999140"/>
    <s v="Assistant Professor"/>
    <s v="0010"/>
    <x v="24"/>
    <s v="2610"/>
    <x v="2"/>
    <s v="Curriculum and Instruction"/>
    <x v="2"/>
    <x v="5"/>
    <s v="Education"/>
    <s v="110311"/>
    <s v="Departmental Operating Expense"/>
    <n v="52417"/>
    <n v="52417"/>
    <n v="100"/>
  </r>
  <r>
    <s v="999362"/>
    <s v="Assistant Professor"/>
    <s v="0010"/>
    <x v="24"/>
    <s v="2610"/>
    <x v="2"/>
    <s v="Curriculum and Instruction"/>
    <x v="2"/>
    <x v="5"/>
    <s v="Education"/>
    <s v="110311"/>
    <s v="Departmental Operating Expense"/>
    <n v="52417"/>
    <n v="52417"/>
    <n v="100"/>
  </r>
  <r>
    <s v="999363"/>
    <s v="Professor"/>
    <s v="0010"/>
    <x v="24"/>
    <s v="2610"/>
    <x v="2"/>
    <s v="Curriculum and Instruction"/>
    <x v="2"/>
    <x v="5"/>
    <s v="Education"/>
    <s v="110311"/>
    <s v="Departmental Operating Expense"/>
    <n v="62565"/>
    <n v="62565"/>
    <n v="100"/>
  </r>
  <r>
    <s v="999066"/>
    <s v="Dept Head, Assoc Professor"/>
    <s v="0010"/>
    <x v="24"/>
    <s v="2610"/>
    <x v="2"/>
    <s v="Curriculum and Instruction"/>
    <x v="2"/>
    <x v="5"/>
    <s v="Education"/>
    <s v="110311"/>
    <s v="Departmental Operating Expense"/>
    <n v="67082"/>
    <n v="67082"/>
    <n v="100"/>
  </r>
  <r>
    <s v="999475"/>
    <s v="Lect/Asst Athletic Trainer"/>
    <s v="0010"/>
    <x v="25"/>
    <s v="2830"/>
    <x v="2"/>
    <s v="Kinesiology"/>
    <x v="2"/>
    <x v="6"/>
    <s v="Health and Human Services"/>
    <s v="110311"/>
    <s v="Departmental Operating Expense"/>
    <n v="35556"/>
    <n v="8000"/>
    <n v="22.5"/>
  </r>
  <r>
    <s v="999895"/>
    <s v="Office Coordinator II"/>
    <s v="0010"/>
    <x v="25"/>
    <s v="2830"/>
    <x v="2"/>
    <s v="Kinesiology"/>
    <x v="1"/>
    <x v="6"/>
    <s v="Health and Human Services"/>
    <s v="110311"/>
    <s v="Departmental Operating Expense"/>
    <n v="27956"/>
    <n v="27956"/>
    <n v="100"/>
  </r>
  <r>
    <s v="999488"/>
    <s v="Teaching Assistant"/>
    <s v="0010"/>
    <x v="25"/>
    <s v="2830"/>
    <x v="2"/>
    <s v="Kinesiology"/>
    <x v="2"/>
    <x v="6"/>
    <s v="Health and Human Services"/>
    <s v="110311"/>
    <s v="Departmental Operating Expense"/>
    <n v="33285"/>
    <n v="33285"/>
    <n v="100"/>
  </r>
  <r>
    <s v="998518"/>
    <s v="Professor/QEP Director"/>
    <s v="0010"/>
    <x v="25"/>
    <s v="2830"/>
    <x v="2"/>
    <s v="Kinesiology"/>
    <x v="2"/>
    <x v="6"/>
    <s v="Health and Human Services"/>
    <s v="110311"/>
    <s v="Departmental Operating Expense"/>
    <n v="97529"/>
    <n v="42023"/>
    <n v="43.09"/>
  </r>
  <r>
    <s v="998333"/>
    <s v="Assistant Professor"/>
    <s v="0010"/>
    <x v="25"/>
    <s v="2830"/>
    <x v="2"/>
    <s v="Kinesiology"/>
    <x v="2"/>
    <x v="6"/>
    <s v="Health and Human Services"/>
    <s v="110311"/>
    <s v="Departmental Operating Expense"/>
    <n v="51000"/>
    <n v="51000"/>
    <n v="100"/>
  </r>
  <r>
    <s v="999375"/>
    <s v="Assistant Professor"/>
    <s v="0010"/>
    <x v="25"/>
    <s v="2830"/>
    <x v="2"/>
    <s v="Kinesiology"/>
    <x v="2"/>
    <x v="6"/>
    <s v="Health and Human Services"/>
    <s v="110311"/>
    <s v="Departmental Operating Expense"/>
    <n v="51817"/>
    <n v="51817"/>
    <n v="100"/>
  </r>
  <r>
    <s v="998881"/>
    <s v="Associate Professor"/>
    <s v="0010"/>
    <x v="25"/>
    <s v="2830"/>
    <x v="2"/>
    <s v="Kinesiology"/>
    <x v="2"/>
    <x v="6"/>
    <s v="Health and Human Services"/>
    <s v="110311"/>
    <s v="Departmental Operating Expense"/>
    <n v="59275"/>
    <n v="59275"/>
    <n v="100"/>
  </r>
  <r>
    <s v="999221"/>
    <s v="Dept Head/Assoc Professor"/>
    <s v="0010"/>
    <x v="25"/>
    <s v="2830"/>
    <x v="2"/>
    <s v="Kinesiology"/>
    <x v="2"/>
    <x v="6"/>
    <s v="Health and Human Services"/>
    <s v="110311"/>
    <s v="Departmental Operating Expense"/>
    <n v="64309"/>
    <n v="64309"/>
    <n v="100"/>
  </r>
  <r>
    <s v="999262"/>
    <s v="Professor"/>
    <s v="0010"/>
    <x v="25"/>
    <s v="2830"/>
    <x v="2"/>
    <s v="Kinesiology"/>
    <x v="2"/>
    <x v="6"/>
    <s v="Health and Human Services"/>
    <s v="110311"/>
    <s v="Departmental Operating Expense"/>
    <n v="65340"/>
    <n v="65340"/>
    <n v="100"/>
  </r>
  <r>
    <s v="999303"/>
    <s v="Professor"/>
    <s v="0010"/>
    <x v="25"/>
    <s v="2830"/>
    <x v="2"/>
    <s v="Kinesiology"/>
    <x v="2"/>
    <x v="6"/>
    <s v="Health and Human Services"/>
    <s v="110311"/>
    <s v="Departmental Operating Expense"/>
    <n v="67961"/>
    <n v="67961"/>
    <n v="100"/>
  </r>
  <r>
    <s v="999139"/>
    <s v="Professor"/>
    <s v="0010"/>
    <x v="25"/>
    <s v="2830"/>
    <x v="2"/>
    <s v="Kinesiology"/>
    <x v="2"/>
    <x v="6"/>
    <s v="Health and Human Services"/>
    <s v="110311"/>
    <s v="Departmental Operating Expense"/>
    <n v="68376"/>
    <n v="68376"/>
    <n v="100"/>
  </r>
  <r>
    <s v="999883"/>
    <s v="Secretary"/>
    <s v="0010"/>
    <x v="26"/>
    <s v="2810"/>
    <x v="2"/>
    <s v="Nursing"/>
    <x v="1"/>
    <x v="6"/>
    <s v="Health and Human Services"/>
    <s v="110311"/>
    <s v="Departmental Operating Expense"/>
    <n v="24986"/>
    <n v="24986"/>
    <n v="100"/>
  </r>
  <r>
    <s v="999858"/>
    <s v="Office Coordinator II"/>
    <s v="0010"/>
    <x v="26"/>
    <s v="2810"/>
    <x v="2"/>
    <s v="Nursing"/>
    <x v="1"/>
    <x v="6"/>
    <s v="Health and Human Services"/>
    <s v="110311"/>
    <s v="Departmental Operating Expense"/>
    <n v="27750"/>
    <n v="27750"/>
    <n v="100"/>
  </r>
  <r>
    <s v="998766"/>
    <s v="Multimedia Spec-Nurs Sim Lab"/>
    <s v="0010"/>
    <x v="26"/>
    <s v="2810"/>
    <x v="2"/>
    <s v="Nursing"/>
    <x v="0"/>
    <x v="6"/>
    <s v="Health and Human Services"/>
    <s v="110311"/>
    <s v="Departmental Operating Expense"/>
    <n v="41849"/>
    <n v="41849"/>
    <n v="100"/>
  </r>
  <r>
    <s v="998599"/>
    <s v="Assistant Clinical Professor"/>
    <s v="0010"/>
    <x v="26"/>
    <s v="2810"/>
    <x v="2"/>
    <s v="Nursing"/>
    <x v="2"/>
    <x v="6"/>
    <s v="Health and Human Services"/>
    <s v="110311"/>
    <s v="Departmental Operating Expense"/>
    <n v="44880"/>
    <n v="44880"/>
    <n v="100"/>
  </r>
  <r>
    <s v="998600"/>
    <s v="Assistant Clinical Professor"/>
    <s v="0010"/>
    <x v="26"/>
    <s v="2810"/>
    <x v="2"/>
    <s v="Nursing"/>
    <x v="2"/>
    <x v="6"/>
    <s v="Health and Human Services"/>
    <s v="110311"/>
    <s v="Departmental Operating Expense"/>
    <n v="44880"/>
    <n v="44880"/>
    <n v="100"/>
  </r>
  <r>
    <s v="998601"/>
    <s v="Assistant Clinical Professor"/>
    <s v="0010"/>
    <x v="26"/>
    <s v="2810"/>
    <x v="2"/>
    <s v="Nursing"/>
    <x v="2"/>
    <x v="6"/>
    <s v="Health and Human Services"/>
    <s v="110311"/>
    <s v="Departmental Operating Expense"/>
    <n v="44880"/>
    <n v="44880"/>
    <n v="100"/>
  </r>
  <r>
    <s v="999433"/>
    <s v="Visiting Asst Clin Professor"/>
    <s v="0010"/>
    <x v="26"/>
    <s v="2810"/>
    <x v="2"/>
    <s v="Nursing"/>
    <x v="2"/>
    <x v="6"/>
    <s v="Health and Human Services"/>
    <s v="110311"/>
    <s v="Departmental Operating Expense"/>
    <n v="44880"/>
    <n v="44880"/>
    <n v="100"/>
  </r>
  <r>
    <s v="999434"/>
    <s v="Asst Clinical Professor"/>
    <s v="0010"/>
    <x v="26"/>
    <s v="2810"/>
    <x v="2"/>
    <s v="Nursing"/>
    <x v="2"/>
    <x v="6"/>
    <s v="Health and Human Services"/>
    <s v="110311"/>
    <s v="Departmental Operating Expense"/>
    <n v="44880"/>
    <n v="44880"/>
    <n v="100"/>
  </r>
  <r>
    <s v="998608"/>
    <s v="Assistant Clinical Professor"/>
    <s v="0010"/>
    <x v="26"/>
    <s v="2810"/>
    <x v="2"/>
    <s v="Nursing"/>
    <x v="2"/>
    <x v="6"/>
    <s v="Health and Human Services"/>
    <s v="110311"/>
    <s v="Departmental Operating Expense"/>
    <n v="45911"/>
    <n v="45911"/>
    <n v="100"/>
  </r>
  <r>
    <s v="998596"/>
    <s v="Assistant Clinical Professor"/>
    <s v="0010"/>
    <x v="26"/>
    <s v="2810"/>
    <x v="2"/>
    <s v="Nursing"/>
    <x v="2"/>
    <x v="6"/>
    <s v="Health and Human Services"/>
    <s v="110311"/>
    <s v="Departmental Operating Expense"/>
    <n v="48353"/>
    <n v="48353"/>
    <n v="100"/>
  </r>
  <r>
    <s v="998604"/>
    <s v="Assistant Clinical Professor"/>
    <s v="0010"/>
    <x v="26"/>
    <s v="2810"/>
    <x v="2"/>
    <s v="Nursing"/>
    <x v="2"/>
    <x v="6"/>
    <s v="Health and Human Services"/>
    <s v="110311"/>
    <s v="Departmental Operating Expense"/>
    <n v="48353"/>
    <n v="48353"/>
    <n v="100"/>
  </r>
  <r>
    <s v="998609"/>
    <s v="Assistant Clinical Professor"/>
    <s v="0010"/>
    <x v="26"/>
    <s v="2810"/>
    <x v="2"/>
    <s v="Nursing"/>
    <x v="2"/>
    <x v="6"/>
    <s v="Health and Human Services"/>
    <s v="110311"/>
    <s v="Departmental Operating Expense"/>
    <n v="48363"/>
    <n v="48363"/>
    <n v="100"/>
  </r>
  <r>
    <s v="999432"/>
    <s v="Assistant Clinical Professor"/>
    <s v="0010"/>
    <x v="26"/>
    <s v="2810"/>
    <x v="2"/>
    <s v="Nursing"/>
    <x v="2"/>
    <x v="6"/>
    <s v="Health and Human Services"/>
    <s v="110311"/>
    <s v="Departmental Operating Expense"/>
    <n v="49405"/>
    <n v="49405"/>
    <n v="100"/>
  </r>
  <r>
    <s v="999429"/>
    <s v="Assistant Clinical Professor"/>
    <s v="0010"/>
    <x v="26"/>
    <s v="2810"/>
    <x v="2"/>
    <s v="Nursing"/>
    <x v="2"/>
    <x v="6"/>
    <s v="Health and Human Services"/>
    <s v="110311"/>
    <s v="Departmental Operating Expense"/>
    <n v="49784"/>
    <n v="49784"/>
    <n v="100"/>
  </r>
  <r>
    <s v="998692"/>
    <s v="Visiting Asst Professor"/>
    <s v="0010"/>
    <x v="26"/>
    <s v="2810"/>
    <x v="2"/>
    <s v="Nursing"/>
    <x v="2"/>
    <x v="6"/>
    <s v="Health and Human Services"/>
    <s v="110311"/>
    <s v="Departmental Operating Expense"/>
    <n v="50000"/>
    <n v="50000"/>
    <n v="100"/>
  </r>
  <r>
    <s v="998610"/>
    <s v="Assistant Clinical Professor"/>
    <s v="0010"/>
    <x v="26"/>
    <s v="2810"/>
    <x v="2"/>
    <s v="Nursing"/>
    <x v="2"/>
    <x v="6"/>
    <s v="Health and Human Services"/>
    <s v="110311"/>
    <s v="Departmental Operating Expense"/>
    <n v="50334"/>
    <n v="50334"/>
    <n v="100"/>
  </r>
  <r>
    <s v="999424"/>
    <s v="Assistant Clinical Professor"/>
    <s v="0010"/>
    <x v="26"/>
    <s v="2810"/>
    <x v="2"/>
    <s v="Nursing"/>
    <x v="2"/>
    <x v="6"/>
    <s v="Health and Human Services"/>
    <s v="110311"/>
    <s v="Departmental Operating Expense"/>
    <n v="51907"/>
    <n v="51907"/>
    <n v="100"/>
  </r>
  <r>
    <s v="999427"/>
    <s v="Assistant Clinical Professor"/>
    <s v="0010"/>
    <x v="26"/>
    <s v="2810"/>
    <x v="2"/>
    <s v="Nursing"/>
    <x v="2"/>
    <x v="6"/>
    <s v="Health and Human Services"/>
    <s v="110311"/>
    <s v="Departmental Operating Expense"/>
    <n v="51907"/>
    <n v="51907"/>
    <n v="100"/>
  </r>
  <r>
    <s v="999428"/>
    <s v="Assistant Clinical Professor"/>
    <s v="0010"/>
    <x v="26"/>
    <s v="2810"/>
    <x v="2"/>
    <s v="Nursing"/>
    <x v="2"/>
    <x v="6"/>
    <s v="Health and Human Services"/>
    <s v="110311"/>
    <s v="Departmental Operating Expense"/>
    <n v="51907"/>
    <n v="51907"/>
    <n v="100"/>
  </r>
  <r>
    <s v="999426"/>
    <s v="Assistant Clinical Professor"/>
    <s v="0010"/>
    <x v="26"/>
    <s v="2810"/>
    <x v="2"/>
    <s v="Nursing"/>
    <x v="2"/>
    <x v="6"/>
    <s v="Health and Human Services"/>
    <s v="110311"/>
    <s v="Departmental Operating Expense"/>
    <n v="52637"/>
    <n v="52637"/>
    <n v="100"/>
  </r>
  <r>
    <s v="999337"/>
    <s v="Assistant Professor"/>
    <s v="0010"/>
    <x v="26"/>
    <s v="2810"/>
    <x v="2"/>
    <s v="Nursing"/>
    <x v="2"/>
    <x v="6"/>
    <s v="Health and Human Services"/>
    <s v="110311"/>
    <s v="Departmental Operating Expense"/>
    <n v="53862"/>
    <n v="53862"/>
    <n v="100"/>
  </r>
  <r>
    <s v="998448"/>
    <s v="Assistant Professor"/>
    <s v="0010"/>
    <x v="26"/>
    <s v="2810"/>
    <x v="2"/>
    <s v="Nursing"/>
    <x v="2"/>
    <x v="6"/>
    <s v="Health and Human Services"/>
    <s v="110311"/>
    <s v="Departmental Operating Expense"/>
    <n v="56250"/>
    <n v="56250"/>
    <n v="100"/>
  </r>
  <r>
    <s v="999423"/>
    <s v="Assistant Clinical Professor"/>
    <s v="0010"/>
    <x v="26"/>
    <s v="2810"/>
    <x v="2"/>
    <s v="Nursing"/>
    <x v="2"/>
    <x v="6"/>
    <s v="Health and Human Services"/>
    <s v="110311"/>
    <s v="Departmental Operating Expense"/>
    <n v="57694"/>
    <n v="57694"/>
    <n v="100"/>
  </r>
  <r>
    <s v="998603"/>
    <s v="Assistant Professor"/>
    <s v="0010"/>
    <x v="26"/>
    <s v="2810"/>
    <x v="2"/>
    <s v="Nursing"/>
    <x v="2"/>
    <x v="6"/>
    <s v="Health and Human Services"/>
    <s v="110311"/>
    <s v="Departmental Operating Expense"/>
    <n v="61507"/>
    <n v="61507"/>
    <n v="100"/>
  </r>
  <r>
    <s v="999338"/>
    <s v="Associate Professor"/>
    <s v="0010"/>
    <x v="26"/>
    <s v="2810"/>
    <x v="2"/>
    <s v="Nursing"/>
    <x v="2"/>
    <x v="6"/>
    <s v="Health and Human Services"/>
    <s v="110311"/>
    <s v="Departmental Operating Expense"/>
    <n v="66388"/>
    <n v="66388"/>
    <n v="100"/>
  </r>
  <r>
    <s v="999335"/>
    <s v="Dir, Nursing Program"/>
    <s v="0010"/>
    <x v="26"/>
    <s v="2810"/>
    <x v="2"/>
    <s v="Nursing"/>
    <x v="2"/>
    <x v="6"/>
    <s v="Health and Human Services"/>
    <s v="110311"/>
    <s v="Departmental Operating Expense"/>
    <n v="67510"/>
    <n v="67510"/>
    <n v="100"/>
  </r>
  <r>
    <s v="999291"/>
    <s v="Professor"/>
    <s v="0010"/>
    <x v="26"/>
    <s v="2810"/>
    <x v="2"/>
    <s v="Nursing"/>
    <x v="2"/>
    <x v="6"/>
    <s v="Health and Human Services"/>
    <s v="110311"/>
    <s v="Departmental Operating Expense"/>
    <n v="68569"/>
    <n v="68569"/>
    <n v="100"/>
  </r>
  <r>
    <s v="999430"/>
    <s v="Associate Professor"/>
    <s v="0010"/>
    <x v="26"/>
    <s v="2810"/>
    <x v="2"/>
    <s v="Nursing"/>
    <x v="2"/>
    <x v="6"/>
    <s v="Health and Human Services"/>
    <s v="110311"/>
    <s v="Departmental Operating Expense"/>
    <n v="69215"/>
    <n v="69215"/>
    <n v="100"/>
  </r>
  <r>
    <s v="999340"/>
    <s v="Associate Professor"/>
    <s v="0010"/>
    <x v="26"/>
    <s v="2810"/>
    <x v="2"/>
    <s v="Nursing"/>
    <x v="2"/>
    <x v="6"/>
    <s v="Health and Human Services"/>
    <s v="110311"/>
    <s v="Departmental Operating Expense"/>
    <n v="71705"/>
    <n v="71705"/>
    <n v="100"/>
  </r>
  <r>
    <s v="999336"/>
    <s v="Associate Professor"/>
    <s v="0010"/>
    <x v="26"/>
    <s v="2810"/>
    <x v="2"/>
    <s v="Nursing"/>
    <x v="2"/>
    <x v="6"/>
    <s v="Health and Human Services"/>
    <s v="110311"/>
    <s v="Departmental Operating Expense"/>
    <n v="72801"/>
    <n v="72801"/>
    <n v="100"/>
  </r>
  <r>
    <s v="999292"/>
    <s v="Professor"/>
    <s v="0010"/>
    <x v="26"/>
    <s v="2810"/>
    <x v="2"/>
    <s v="Nursing"/>
    <x v="2"/>
    <x v="6"/>
    <s v="Health and Human Services"/>
    <s v="110311"/>
    <s v="Departmental Operating Expense"/>
    <n v="76842"/>
    <n v="76842"/>
    <n v="100"/>
  </r>
  <r>
    <s v="998607"/>
    <s v="Associate Clinical Professor"/>
    <s v="0010"/>
    <x v="26"/>
    <s v="2810"/>
    <x v="2"/>
    <s v="Nursing"/>
    <x v="2"/>
    <x v="6"/>
    <s v="Health and Human Services"/>
    <s v="110311"/>
    <s v="Departmental Operating Expense"/>
    <n v="85000"/>
    <n v="85000"/>
    <n v="100"/>
  </r>
  <r>
    <s v="999217"/>
    <s v="DH-NHS/Assoc Prof/Dir Nur Prog"/>
    <s v="0010"/>
    <x v="26"/>
    <s v="2810"/>
    <x v="2"/>
    <s v="Nursing"/>
    <x v="2"/>
    <x v="6"/>
    <s v="Health and Human Services"/>
    <s v="110311"/>
    <s v="Departmental Operating Expense"/>
    <n v="106221"/>
    <n v="92559"/>
    <n v="87.14"/>
  </r>
  <r>
    <s v="999476"/>
    <s v="Lec/Assoc Hd At Tr/Clin Ed Dir"/>
    <s v="0010"/>
    <x v="27"/>
    <s v="2810"/>
    <x v="2"/>
    <s v="Athletic Training"/>
    <x v="2"/>
    <x v="6"/>
    <s v="Health and Human Services"/>
    <s v="110311"/>
    <s v="Departmental Operating Expense"/>
    <n v="40703"/>
    <n v="40703"/>
    <n v="100"/>
  </r>
  <r>
    <s v="998773"/>
    <s v="Assoc Prof/Dir Ath Trng Prog"/>
    <s v="0010"/>
    <x v="27"/>
    <s v="2810"/>
    <x v="2"/>
    <s v="Athletic Training"/>
    <x v="2"/>
    <x v="6"/>
    <s v="Health and Human Services"/>
    <s v="110311"/>
    <s v="Departmental Operating Expense"/>
    <n v="59500"/>
    <n v="59500"/>
    <n v="100"/>
  </r>
  <r>
    <s v="998786"/>
    <s v="Secretary"/>
    <s v="0010"/>
    <x v="28"/>
    <s v="2820"/>
    <x v="2"/>
    <s v="Physical Therapy Graduate Program"/>
    <x v="1"/>
    <x v="6"/>
    <s v="Health and Human Services"/>
    <s v="110311"/>
    <s v="Departmental Operating Expense"/>
    <n v="10920"/>
    <n v="2730"/>
    <n v="25"/>
  </r>
  <r>
    <s v="999868"/>
    <s v="Office Coordinator II"/>
    <s v="0010"/>
    <x v="29"/>
    <s v="2860"/>
    <x v="2"/>
    <s v="Psychology, Sociology &amp; Social Work"/>
    <x v="1"/>
    <x v="6"/>
    <s v="Health and Human Services"/>
    <s v="110311"/>
    <s v="Departmental Operating Expense"/>
    <n v="28025"/>
    <n v="28025"/>
    <n v="100"/>
  </r>
  <r>
    <s v="999489"/>
    <s v="Teaching Assistant"/>
    <s v="0010"/>
    <x v="29"/>
    <s v="2860"/>
    <x v="2"/>
    <s v="Psychology, Sociology &amp; Social Work"/>
    <x v="2"/>
    <x v="6"/>
    <s v="Health and Human Services"/>
    <s v="110311"/>
    <s v="Departmental Operating Expense"/>
    <n v="33285"/>
    <n v="33285"/>
    <n v="100"/>
  </r>
  <r>
    <s v="998460"/>
    <s v="Assistant Professor"/>
    <s v="0010"/>
    <x v="29"/>
    <s v="2860"/>
    <x v="2"/>
    <s v="Psychology, Sociology &amp; Social Work"/>
    <x v="2"/>
    <x v="6"/>
    <s v="Health and Human Services"/>
    <s v="110311"/>
    <s v="Departmental Operating Expense"/>
    <n v="51817"/>
    <n v="51817"/>
    <n v="100"/>
  </r>
  <r>
    <s v="998779"/>
    <s v="Asst Prof/Int Dir Soc Wk Prog"/>
    <s v="0010"/>
    <x v="29"/>
    <s v="2860"/>
    <x v="2"/>
    <s v="Psychology, Sociology &amp; Social Work"/>
    <x v="2"/>
    <x v="6"/>
    <s v="Health and Human Services"/>
    <s v="110311"/>
    <s v="Departmental Operating Expense"/>
    <n v="56817"/>
    <n v="51817"/>
    <n v="91.2"/>
  </r>
  <r>
    <s v="998787"/>
    <s v="Assistant Professor"/>
    <s v="0010"/>
    <x v="29"/>
    <s v="2860"/>
    <x v="2"/>
    <s v="Psychology, Sociology &amp; Social Work"/>
    <x v="2"/>
    <x v="6"/>
    <s v="Health and Human Services"/>
    <s v="110311"/>
    <s v="Departmental Operating Expense"/>
    <n v="51817"/>
    <n v="51817"/>
    <n v="100"/>
  </r>
  <r>
    <s v="999271"/>
    <s v="Assistant Professor"/>
    <s v="0010"/>
    <x v="29"/>
    <s v="2860"/>
    <x v="2"/>
    <s v="Psychology, Sociology &amp; Social Work"/>
    <x v="2"/>
    <x v="6"/>
    <s v="Health and Human Services"/>
    <s v="110311"/>
    <s v="Departmental Operating Expense"/>
    <n v="51817"/>
    <n v="51817"/>
    <n v="100"/>
  </r>
  <r>
    <s v="999312"/>
    <s v="Assistant Professor"/>
    <s v="0010"/>
    <x v="29"/>
    <s v="2860"/>
    <x v="2"/>
    <s v="Psychology, Sociology &amp; Social Work"/>
    <x v="2"/>
    <x v="6"/>
    <s v="Health and Human Services"/>
    <s v="110311"/>
    <s v="Departmental Operating Expense"/>
    <n v="51817"/>
    <n v="51817"/>
    <n v="100"/>
  </r>
  <r>
    <s v="999380"/>
    <s v="Assistant Professor"/>
    <s v="0010"/>
    <x v="29"/>
    <s v="2860"/>
    <x v="2"/>
    <s v="Psychology, Sociology &amp; Social Work"/>
    <x v="2"/>
    <x v="6"/>
    <s v="Health and Human Services"/>
    <s v="110311"/>
    <s v="Departmental Operating Expense"/>
    <n v="51817"/>
    <n v="51817"/>
    <n v="100"/>
  </r>
  <r>
    <s v="999382"/>
    <s v="Assistant Professor"/>
    <s v="0010"/>
    <x v="29"/>
    <s v="2860"/>
    <x v="2"/>
    <s v="Psychology, Sociology &amp; Social Work"/>
    <x v="2"/>
    <x v="6"/>
    <s v="Health and Human Services"/>
    <s v="110311"/>
    <s v="Departmental Operating Expense"/>
    <n v="51817"/>
    <n v="51817"/>
    <n v="100"/>
  </r>
  <r>
    <s v="999450"/>
    <s v="Assistant Professor"/>
    <s v="0010"/>
    <x v="29"/>
    <s v="2860"/>
    <x v="2"/>
    <s v="Psychology, Sociology &amp; Social Work"/>
    <x v="2"/>
    <x v="6"/>
    <s v="Health and Human Services"/>
    <s v="110311"/>
    <s v="Departmental Operating Expense"/>
    <n v="52417"/>
    <n v="52417"/>
    <n v="100"/>
  </r>
  <r>
    <s v="999383"/>
    <s v="Associate Professor"/>
    <s v="0010"/>
    <x v="29"/>
    <s v="2860"/>
    <x v="2"/>
    <s v="Psychology, Sociology &amp; Social Work"/>
    <x v="2"/>
    <x v="6"/>
    <s v="Health and Human Services"/>
    <s v="110311"/>
    <s v="Departmental Operating Expense"/>
    <n v="56500"/>
    <n v="56500"/>
    <n v="100"/>
  </r>
  <r>
    <s v="999381"/>
    <s v="Professor"/>
    <s v="0010"/>
    <x v="29"/>
    <s v="2860"/>
    <x v="2"/>
    <s v="Psychology, Sociology &amp; Social Work"/>
    <x v="2"/>
    <x v="6"/>
    <s v="Health and Human Services"/>
    <s v="110311"/>
    <s v="Departmental Operating Expense"/>
    <n v="67885"/>
    <n v="67885"/>
    <n v="100"/>
  </r>
  <r>
    <s v="999311"/>
    <s v="Professor"/>
    <s v="0010"/>
    <x v="29"/>
    <s v="2860"/>
    <x v="2"/>
    <s v="Psychology, Sociology &amp; Social Work"/>
    <x v="2"/>
    <x v="6"/>
    <s v="Health and Human Services"/>
    <s v="110311"/>
    <s v="Departmental Operating Expense"/>
    <n v="68459"/>
    <n v="68459"/>
    <n v="100"/>
  </r>
  <r>
    <s v="999270"/>
    <s v="Professor"/>
    <s v="0010"/>
    <x v="29"/>
    <s v="2860"/>
    <x v="2"/>
    <s v="Psychology, Sociology &amp; Social Work"/>
    <x v="2"/>
    <x v="6"/>
    <s v="Health and Human Services"/>
    <s v="110311"/>
    <s v="Departmental Operating Expense"/>
    <n v="76683"/>
    <n v="76683"/>
    <n v="100"/>
  </r>
  <r>
    <s v="999269"/>
    <s v="Professor"/>
    <s v="0010"/>
    <x v="29"/>
    <s v="2860"/>
    <x v="2"/>
    <s v="Psychology, Sociology &amp; Social Work"/>
    <x v="2"/>
    <x v="6"/>
    <s v="Health and Human Services"/>
    <s v="110311"/>
    <s v="Departmental Operating Expense"/>
    <n v="77256"/>
    <n v="77256"/>
    <n v="100"/>
  </r>
  <r>
    <s v="998344"/>
    <s v="Director of Honors Program"/>
    <s v="0010"/>
    <x v="30"/>
    <s v="2054"/>
    <x v="2"/>
    <s v="Honors Program"/>
    <x v="0"/>
    <x v="7"/>
    <s v="Other Instructional &amp; Departmental"/>
    <s v="110311"/>
    <s v="Departmental Operating Expense"/>
    <n v="97738"/>
    <n v="74946"/>
    <n v="76.680000000000007"/>
  </r>
  <r>
    <s v="999133"/>
    <s v="Reserve for Sum (Faculty)"/>
    <s v="0010"/>
    <x v="31"/>
    <s v="3100"/>
    <x v="1"/>
    <s v="General Contingency (TBA President)"/>
    <x v="2"/>
    <x v="7"/>
    <s v="Other Instructional &amp; Departmental"/>
    <s v="110311"/>
    <s v="Departmental Operating Expense"/>
    <n v="1653792"/>
    <n v="1653792"/>
    <n v="100"/>
  </r>
  <r>
    <s v="999134"/>
    <s v="Faculty Contingency"/>
    <s v="0010"/>
    <x v="32"/>
    <s v="2050"/>
    <x v="2"/>
    <s v="Non Tenure Eligible Faculty Pool"/>
    <x v="2"/>
    <x v="7"/>
    <s v="Other Instructional &amp; Departmental"/>
    <s v="110311"/>
    <s v="Departmental Operating Expense"/>
    <n v="936610"/>
    <n v="936610"/>
    <n v="100"/>
  </r>
  <r>
    <s v="998344"/>
    <s v="Director of Honors Program"/>
    <s v="0010"/>
    <x v="33"/>
    <s v="2400"/>
    <x v="2"/>
    <s v="College of Arts and Sciences"/>
    <x v="0"/>
    <x v="8"/>
    <s v="Academic Administration"/>
    <s v="110311"/>
    <s v="Departmental Operating Expense"/>
    <n v="97738"/>
    <n v="2795"/>
    <n v="2.86"/>
  </r>
  <r>
    <s v="999881"/>
    <s v="Office Coordinator II"/>
    <s v="0010"/>
    <x v="33"/>
    <s v="2400"/>
    <x v="2"/>
    <s v="College of Arts and Sciences"/>
    <x v="1"/>
    <x v="8"/>
    <s v="Academic Administration"/>
    <s v="110311"/>
    <s v="Departmental Operating Expense"/>
    <n v="13302"/>
    <n v="13302"/>
    <n v="100"/>
  </r>
  <r>
    <s v="999025"/>
    <s v="Office Coordinator II"/>
    <s v="0010"/>
    <x v="33"/>
    <s v="2400"/>
    <x v="2"/>
    <s v="College of Arts and Sciences"/>
    <x v="1"/>
    <x v="8"/>
    <s v="Academic Administration"/>
    <s v="110311"/>
    <s v="Departmental Operating Expense"/>
    <n v="19955"/>
    <n v="19955"/>
    <n v="100"/>
  </r>
  <r>
    <s v="999843"/>
    <s v="Acad Admin Asst to the Dean"/>
    <s v="0010"/>
    <x v="33"/>
    <s v="2400"/>
    <x v="2"/>
    <s v="College of Arts and Sciences"/>
    <x v="1"/>
    <x v="8"/>
    <s v="Academic Administration"/>
    <s v="110311"/>
    <s v="Departmental Operating Expense"/>
    <n v="38000"/>
    <n v="38000"/>
    <n v="100"/>
  </r>
  <r>
    <s v="998451"/>
    <s v="Interim Dean, Academic"/>
    <s v="0010"/>
    <x v="33"/>
    <s v="2400"/>
    <x v="2"/>
    <s v="College of Arts and Sciences"/>
    <x v="0"/>
    <x v="8"/>
    <s v="Academic Administration"/>
    <s v="110311"/>
    <s v="Departmental Operating Expense"/>
    <n v="115448"/>
    <n v="115448"/>
    <n v="100"/>
  </r>
  <r>
    <s v="999233"/>
    <s v="Dean/Professor"/>
    <s v="0010"/>
    <x v="33"/>
    <s v="2400"/>
    <x v="2"/>
    <s v="College of Arts and Sciences"/>
    <x v="0"/>
    <x v="8"/>
    <s v="Academic Administration"/>
    <s v="110311"/>
    <s v="Departmental Operating Expense"/>
    <n v="123992"/>
    <n v="123992"/>
    <n v="100"/>
  </r>
  <r>
    <s v="999844"/>
    <s v="Acad Admin Asst to the Dean"/>
    <s v="0010"/>
    <x v="34"/>
    <s v="2500"/>
    <x v="2"/>
    <s v="College of Business"/>
    <x v="1"/>
    <x v="8"/>
    <s v="Academic Administration"/>
    <s v="110311"/>
    <s v="Departmental Operating Expense"/>
    <n v="34309"/>
    <n v="34309"/>
    <n v="100"/>
  </r>
  <r>
    <s v="999236"/>
    <s v="Dean/Professor"/>
    <s v="0010"/>
    <x v="34"/>
    <s v="2500"/>
    <x v="2"/>
    <s v="College of Business"/>
    <x v="0"/>
    <x v="8"/>
    <s v="Academic Administration"/>
    <s v="110311"/>
    <s v="Departmental Operating Expense"/>
    <n v="142865"/>
    <n v="142865"/>
    <n v="100"/>
  </r>
  <r>
    <s v="999940"/>
    <s v="Secretary"/>
    <s v="0010"/>
    <x v="35"/>
    <s v="2600"/>
    <x v="2"/>
    <s v="College of Education"/>
    <x v="1"/>
    <x v="8"/>
    <s v="Academic Administration"/>
    <s v="110311"/>
    <s v="Departmental Operating Expense"/>
    <n v="19988"/>
    <n v="19988"/>
    <n v="100"/>
  </r>
  <r>
    <s v="999850"/>
    <s v="Acad Admin Asst to the Dean"/>
    <s v="0010"/>
    <x v="35"/>
    <s v="2600"/>
    <x v="2"/>
    <s v="College of Education"/>
    <x v="1"/>
    <x v="8"/>
    <s v="Academic Administration"/>
    <s v="110311"/>
    <s v="Departmental Operating Expense"/>
    <n v="35422"/>
    <n v="35422"/>
    <n v="100"/>
  </r>
  <r>
    <s v="998934"/>
    <s v="Field Experience Advisor"/>
    <s v="0010"/>
    <x v="35"/>
    <s v="2600"/>
    <x v="2"/>
    <s v="College of Education"/>
    <x v="0"/>
    <x v="8"/>
    <s v="Academic Administration"/>
    <s v="110311"/>
    <s v="Departmental Operating Expense"/>
    <n v="40000"/>
    <n v="40000"/>
    <n v="100"/>
  </r>
  <r>
    <s v="999849"/>
    <s v="Dir, Educator Support Serv"/>
    <s v="0010"/>
    <x v="35"/>
    <s v="2600"/>
    <x v="2"/>
    <s v="College of Education"/>
    <x v="0"/>
    <x v="8"/>
    <s v="Academic Administration"/>
    <s v="110311"/>
    <s v="Departmental Operating Expense"/>
    <n v="55000"/>
    <n v="48125"/>
    <n v="87.5"/>
  </r>
  <r>
    <s v="999235"/>
    <s v="Dean/Professor"/>
    <s v="0010"/>
    <x v="35"/>
    <s v="2600"/>
    <x v="2"/>
    <s v="College of Education"/>
    <x v="0"/>
    <x v="8"/>
    <s v="Academic Administration"/>
    <s v="110311"/>
    <s v="Departmental Operating Expense"/>
    <n v="127591"/>
    <n v="127591"/>
    <n v="100"/>
  </r>
  <r>
    <s v="999232"/>
    <s v="Assistant Professor"/>
    <s v="0010"/>
    <x v="36"/>
    <s v="2700"/>
    <x v="2"/>
    <s v="College of Sciences"/>
    <x v="0"/>
    <x v="8"/>
    <s v="Academic Administration"/>
    <s v="110311"/>
    <s v="Departmental Operating Expense"/>
    <n v="50000"/>
    <n v="50000"/>
    <n v="100"/>
  </r>
  <r>
    <s v="998946"/>
    <s v="Graduate Admissions Coord"/>
    <s v="0010"/>
    <x v="37"/>
    <s v="2900"/>
    <x v="2"/>
    <s v="College of Graduate Studies"/>
    <x v="0"/>
    <x v="8"/>
    <s v="Academic Administration"/>
    <s v="110311"/>
    <s v="Departmental Operating Expense"/>
    <n v="29265"/>
    <n v="14632"/>
    <n v="50"/>
  </r>
  <r>
    <s v="999853"/>
    <s v="Acad Admin Asst to the Dean"/>
    <s v="0010"/>
    <x v="37"/>
    <s v="2900"/>
    <x v="2"/>
    <s v="College of Graduate Studies"/>
    <x v="1"/>
    <x v="8"/>
    <s v="Academic Administration"/>
    <s v="110311"/>
    <s v="Departmental Operating Expense"/>
    <n v="40000"/>
    <n v="34490"/>
    <n v="86.23"/>
  </r>
  <r>
    <s v="999729"/>
    <s v="Research Field Technician"/>
    <s v="0010"/>
    <x v="38"/>
    <s v="2405"/>
    <x v="2"/>
    <s v="University Ranch Operations"/>
    <x v="0"/>
    <x v="9"/>
    <s v="Ranch Operation"/>
    <s v="224115"/>
    <s v="Organized Activitites"/>
    <n v="38952"/>
    <n v="19476"/>
    <n v="50"/>
  </r>
  <r>
    <s v="999715"/>
    <s v="Research Coordinator"/>
    <s v="0010"/>
    <x v="38"/>
    <s v="2405"/>
    <x v="2"/>
    <s v="University Ranch Operations"/>
    <x v="0"/>
    <x v="9"/>
    <s v="Ranch Operation"/>
    <s v="224115"/>
    <s v="Organized Activitites"/>
    <n v="36661"/>
    <n v="26396"/>
    <n v="72"/>
  </r>
  <r>
    <s v="999804"/>
    <s v="Library Assistant"/>
    <s v="0010"/>
    <x v="39"/>
    <s v="2052"/>
    <x v="2"/>
    <s v="Library Operations"/>
    <x v="1"/>
    <x v="10"/>
    <s v="Library"/>
    <s v="110311"/>
    <s v="Departmental Operating Expense"/>
    <n v="21987"/>
    <n v="21987"/>
    <n v="100"/>
  </r>
  <r>
    <s v="999798"/>
    <s v="Library Assistant"/>
    <s v="0010"/>
    <x v="39"/>
    <s v="2052"/>
    <x v="2"/>
    <s v="Library Operations"/>
    <x v="1"/>
    <x v="10"/>
    <s v="Library"/>
    <s v="110311"/>
    <s v="Departmental Operating Expense"/>
    <n v="23250"/>
    <n v="23250"/>
    <n v="100"/>
  </r>
  <r>
    <s v="999206"/>
    <s v="Library Assistant"/>
    <s v="0010"/>
    <x v="39"/>
    <s v="2052"/>
    <x v="2"/>
    <s v="Library Operations"/>
    <x v="1"/>
    <x v="10"/>
    <s v="Library"/>
    <s v="110311"/>
    <s v="Departmental Operating Expense"/>
    <n v="23345"/>
    <n v="23345"/>
    <n v="100"/>
  </r>
  <r>
    <s v="999792"/>
    <s v="Library Assistant"/>
    <s v="0010"/>
    <x v="39"/>
    <s v="2052"/>
    <x v="2"/>
    <s v="Library Operations"/>
    <x v="1"/>
    <x v="10"/>
    <s v="Library"/>
    <s v="110311"/>
    <s v="Departmental Operating Expense"/>
    <n v="23513"/>
    <n v="23513"/>
    <n v="100"/>
  </r>
  <r>
    <s v="999800"/>
    <s v="Library Assistant"/>
    <s v="0010"/>
    <x v="39"/>
    <s v="2052"/>
    <x v="2"/>
    <s v="Library Operations"/>
    <x v="1"/>
    <x v="10"/>
    <s v="Library"/>
    <s v="110311"/>
    <s v="Departmental Operating Expense"/>
    <n v="24000"/>
    <n v="24000"/>
    <n v="100"/>
  </r>
  <r>
    <s v="999801"/>
    <s v="Library Assistant"/>
    <s v="0010"/>
    <x v="39"/>
    <s v="2052"/>
    <x v="2"/>
    <s v="Library Operations"/>
    <x v="1"/>
    <x v="10"/>
    <s v="Library"/>
    <s v="110311"/>
    <s v="Departmental Operating Expense"/>
    <n v="24000"/>
    <n v="24000"/>
    <n v="100"/>
  </r>
  <r>
    <s v="999802"/>
    <s v="Library Assistant"/>
    <s v="0010"/>
    <x v="39"/>
    <s v="2052"/>
    <x v="2"/>
    <s v="Library Operations"/>
    <x v="1"/>
    <x v="10"/>
    <s v="Library"/>
    <s v="110311"/>
    <s v="Departmental Operating Expense"/>
    <n v="24379"/>
    <n v="24379"/>
    <n v="100"/>
  </r>
  <r>
    <s v="999803"/>
    <s v="Library Assistant"/>
    <s v="0010"/>
    <x v="39"/>
    <s v="2052"/>
    <x v="2"/>
    <s v="Library Operations"/>
    <x v="1"/>
    <x v="10"/>
    <s v="Library"/>
    <s v="110311"/>
    <s v="Departmental Operating Expense"/>
    <n v="24379"/>
    <n v="24379"/>
    <n v="100"/>
  </r>
  <r>
    <s v="999889"/>
    <s v="Office Coordinator II"/>
    <s v="0010"/>
    <x v="39"/>
    <s v="2052"/>
    <x v="2"/>
    <s v="Library Operations"/>
    <x v="1"/>
    <x v="10"/>
    <s v="Library"/>
    <s v="110311"/>
    <s v="Departmental Operating Expense"/>
    <n v="28500"/>
    <n v="28500"/>
    <n v="100"/>
  </r>
  <r>
    <s v="999799"/>
    <s v="Library Assistant"/>
    <s v="0010"/>
    <x v="39"/>
    <s v="2052"/>
    <x v="2"/>
    <s v="Library Operations"/>
    <x v="1"/>
    <x v="10"/>
    <s v="Library"/>
    <s v="110311"/>
    <s v="Departmental Operating Expense"/>
    <n v="28558"/>
    <n v="28558"/>
    <n v="100"/>
  </r>
  <r>
    <s v="999753"/>
    <s v="Archivist"/>
    <s v="0010"/>
    <x v="39"/>
    <s v="2052"/>
    <x v="2"/>
    <s v="Library Operations"/>
    <x v="0"/>
    <x v="10"/>
    <s v="Library"/>
    <s v="110311"/>
    <s v="Departmental Operating Expense"/>
    <n v="29838"/>
    <n v="29838"/>
    <n v="100"/>
  </r>
  <r>
    <s v="999002"/>
    <s v="Library Circulation Dsk Supvsr"/>
    <s v="0010"/>
    <x v="39"/>
    <s v="2052"/>
    <x v="2"/>
    <s v="Library Operations"/>
    <x v="0"/>
    <x v="10"/>
    <s v="Library"/>
    <s v="110311"/>
    <s v="Departmental Operating Expense"/>
    <n v="33061"/>
    <n v="33061"/>
    <n v="100"/>
  </r>
  <r>
    <s v="999762"/>
    <s v="Head of Spec Collect Prog"/>
    <s v="0010"/>
    <x v="39"/>
    <s v="2052"/>
    <x v="2"/>
    <s v="Library Operations"/>
    <x v="0"/>
    <x v="10"/>
    <s v="Library"/>
    <s v="110311"/>
    <s v="Departmental Operating Expense"/>
    <n v="57061"/>
    <n v="38212"/>
    <n v="66.97"/>
  </r>
  <r>
    <s v="999514"/>
    <s v="Energy Control Technician"/>
    <s v="0010"/>
    <x v="40"/>
    <s v="3500"/>
    <x v="1"/>
    <s v="Facilities Mgmt  Administration"/>
    <x v="1"/>
    <x v="11"/>
    <s v="Operation &amp; Maintenance of Plant"/>
    <s v="128218"/>
    <s v="Plant Support Services"/>
    <n v="38361"/>
    <n v="3500"/>
    <n v="9.1199999999999992"/>
  </r>
  <r>
    <s v="999922"/>
    <s v="Secretary"/>
    <s v="0010"/>
    <x v="40"/>
    <s v="3500"/>
    <x v="1"/>
    <s v="Facilities Mgmt  Administration"/>
    <x v="1"/>
    <x v="11"/>
    <s v="Operation &amp; Maintenance of Plant"/>
    <s v="128218"/>
    <s v="Plant Support Services"/>
    <n v="10965"/>
    <n v="10965"/>
    <n v="100"/>
  </r>
  <r>
    <s v="998929"/>
    <s v="Equipment Mechanic"/>
    <s v="0010"/>
    <x v="40"/>
    <s v="3500"/>
    <x v="1"/>
    <s v="Facilities Mgmt  Administration"/>
    <x v="1"/>
    <x v="11"/>
    <s v="Operation &amp; Maintenance of Plant"/>
    <s v="128218"/>
    <s v="Plant Support Services"/>
    <n v="22500"/>
    <n v="22500"/>
    <n v="100"/>
  </r>
  <r>
    <s v="999923"/>
    <s v="Secretary"/>
    <s v="0010"/>
    <x v="40"/>
    <s v="3500"/>
    <x v="1"/>
    <s v="Facilities Mgmt  Administration"/>
    <x v="1"/>
    <x v="11"/>
    <s v="Operation &amp; Maintenance of Plant"/>
    <s v="128218"/>
    <s v="Plant Support Services"/>
    <n v="22500"/>
    <n v="22500"/>
    <n v="100"/>
  </r>
  <r>
    <s v="999531"/>
    <s v="Equipment Mechanic"/>
    <s v="0010"/>
    <x v="40"/>
    <s v="3500"/>
    <x v="1"/>
    <s v="Facilities Mgmt  Administration"/>
    <x v="1"/>
    <x v="11"/>
    <s v="Operation &amp; Maintenance of Plant"/>
    <s v="128218"/>
    <s v="Plant Support Services"/>
    <n v="28082"/>
    <n v="28082"/>
    <n v="100"/>
  </r>
  <r>
    <s v="999846"/>
    <s v="Office Coordinator I"/>
    <s v="0010"/>
    <x v="40"/>
    <s v="3500"/>
    <x v="1"/>
    <s v="Facilities Mgmt  Administration"/>
    <x v="1"/>
    <x v="11"/>
    <s v="Operation &amp; Maintenance of Plant"/>
    <s v="128218"/>
    <s v="Plant Support Services"/>
    <n v="29000"/>
    <n v="29000"/>
    <n v="100"/>
  </r>
  <r>
    <s v="999957"/>
    <s v="Dir, Facilities Management"/>
    <s v="0010"/>
    <x v="40"/>
    <s v="3500"/>
    <x v="1"/>
    <s v="Facilities Mgmt  Administration"/>
    <x v="0"/>
    <x v="11"/>
    <s v="Operation &amp; Maintenance of Plant"/>
    <s v="128218"/>
    <s v="Plant Support Services"/>
    <n v="85911"/>
    <n v="42956"/>
    <n v="50"/>
  </r>
  <r>
    <s v="999513"/>
    <s v="Lead Energy Control Tech"/>
    <s v="0010"/>
    <x v="41"/>
    <s v="3550"/>
    <x v="1"/>
    <s v="Building Maintenance"/>
    <x v="1"/>
    <x v="11"/>
    <s v="Operation &amp; Maintenance of Plant"/>
    <s v="128218"/>
    <s v="Plant Support Services"/>
    <n v="43693"/>
    <n v="3972"/>
    <n v="9.09"/>
  </r>
  <r>
    <s v="999767"/>
    <s v="Assoc Dir of Mechanical Svcs"/>
    <s v="0010"/>
    <x v="41"/>
    <s v="3550"/>
    <x v="1"/>
    <s v="Building Maintenance"/>
    <x v="0"/>
    <x v="11"/>
    <s v="Operation &amp; Maintenance of Plant"/>
    <s v="128218"/>
    <s v="Plant Support Services"/>
    <n v="52846"/>
    <n v="26423"/>
    <n v="50"/>
  </r>
  <r>
    <s v="999534"/>
    <s v="Painter"/>
    <s v="0010"/>
    <x v="41"/>
    <s v="3550"/>
    <x v="1"/>
    <s v="Building Maintenance"/>
    <x v="1"/>
    <x v="11"/>
    <s v="Operation &amp; Maintenance of Plant"/>
    <s v="128218"/>
    <s v="Plant Support Services"/>
    <n v="30856"/>
    <n v="30856"/>
    <n v="100"/>
  </r>
  <r>
    <s v="999533"/>
    <s v="Painter"/>
    <s v="0010"/>
    <x v="41"/>
    <s v="3550"/>
    <x v="1"/>
    <s v="Building Maintenance"/>
    <x v="1"/>
    <x v="11"/>
    <s v="Operation &amp; Maintenance of Plant"/>
    <s v="128218"/>
    <s v="Plant Support Services"/>
    <n v="30973"/>
    <n v="30973"/>
    <n v="100"/>
  </r>
  <r>
    <s v="999521"/>
    <s v="Building Maintenance Tech"/>
    <s v="0010"/>
    <x v="41"/>
    <s v="3550"/>
    <x v="1"/>
    <s v="Building Maintenance"/>
    <x v="1"/>
    <x v="11"/>
    <s v="Operation &amp; Maintenance of Plant"/>
    <s v="128218"/>
    <s v="Plant Support Services"/>
    <n v="31279"/>
    <n v="31279"/>
    <n v="100"/>
  </r>
  <r>
    <s v="998918"/>
    <s v="Electronics &amp; Systems Tech"/>
    <s v="0010"/>
    <x v="41"/>
    <s v="3550"/>
    <x v="1"/>
    <s v="Building Maintenance"/>
    <x v="0"/>
    <x v="11"/>
    <s v="Operation &amp; Maintenance of Plant"/>
    <s v="128218"/>
    <s v="Plant Support Services"/>
    <n v="32192"/>
    <n v="32192"/>
    <n v="100"/>
  </r>
  <r>
    <s v="999525"/>
    <s v="Plumber"/>
    <s v="0010"/>
    <x v="41"/>
    <s v="3550"/>
    <x v="1"/>
    <s v="Building Maintenance"/>
    <x v="1"/>
    <x v="11"/>
    <s v="Operation &amp; Maintenance of Plant"/>
    <s v="128218"/>
    <s v="Plant Support Services"/>
    <n v="32192"/>
    <n v="32192"/>
    <n v="100"/>
  </r>
  <r>
    <s v="999520"/>
    <s v="Building Maintenance Tech"/>
    <s v="0010"/>
    <x v="41"/>
    <s v="3550"/>
    <x v="1"/>
    <s v="Building Maintenance"/>
    <x v="1"/>
    <x v="11"/>
    <s v="Operation &amp; Maintenance of Plant"/>
    <s v="128218"/>
    <s v="Plant Support Services"/>
    <n v="32779"/>
    <n v="32779"/>
    <n v="100"/>
  </r>
  <r>
    <s v="999522"/>
    <s v="Building Maintenance Tech"/>
    <s v="0010"/>
    <x v="41"/>
    <s v="3550"/>
    <x v="1"/>
    <s v="Building Maintenance"/>
    <x v="1"/>
    <x v="11"/>
    <s v="Operation &amp; Maintenance of Plant"/>
    <s v="128218"/>
    <s v="Plant Support Services"/>
    <n v="32952"/>
    <n v="32952"/>
    <n v="100"/>
  </r>
  <r>
    <s v="999519"/>
    <s v="Lead Building Maint Tech"/>
    <s v="0010"/>
    <x v="41"/>
    <s v="3550"/>
    <x v="1"/>
    <s v="Building Maintenance"/>
    <x v="1"/>
    <x v="11"/>
    <s v="Operation &amp; Maintenance of Plant"/>
    <s v="128218"/>
    <s v="Plant Support Services"/>
    <n v="34719"/>
    <n v="34719"/>
    <n v="100"/>
  </r>
  <r>
    <s v="999530"/>
    <s v="Locksmith"/>
    <s v="0010"/>
    <x v="41"/>
    <s v="3550"/>
    <x v="1"/>
    <s v="Building Maintenance"/>
    <x v="1"/>
    <x v="11"/>
    <s v="Operation &amp; Maintenance of Plant"/>
    <s v="128218"/>
    <s v="Plant Support Services"/>
    <n v="35128"/>
    <n v="35128"/>
    <n v="100"/>
  </r>
  <r>
    <s v="999510"/>
    <s v="HVAC Technician"/>
    <s v="0010"/>
    <x v="41"/>
    <s v="3550"/>
    <x v="1"/>
    <s v="Building Maintenance"/>
    <x v="1"/>
    <x v="11"/>
    <s v="Operation &amp; Maintenance of Plant"/>
    <s v="128218"/>
    <s v="Plant Support Services"/>
    <n v="35411"/>
    <n v="35411"/>
    <n v="100"/>
  </r>
  <r>
    <s v="999524"/>
    <s v="Plumber"/>
    <s v="0010"/>
    <x v="41"/>
    <s v="3550"/>
    <x v="1"/>
    <s v="Building Maintenance"/>
    <x v="1"/>
    <x v="11"/>
    <s v="Operation &amp; Maintenance of Plant"/>
    <s v="128218"/>
    <s v="Plant Support Services"/>
    <n v="37033"/>
    <n v="37033"/>
    <n v="100"/>
  </r>
  <r>
    <s v="999775"/>
    <s v="Lead Plumber"/>
    <s v="0010"/>
    <x v="41"/>
    <s v="3550"/>
    <x v="1"/>
    <s v="Building Maintenance"/>
    <x v="1"/>
    <x v="11"/>
    <s v="Operation &amp; Maintenance of Plant"/>
    <s v="128218"/>
    <s v="Plant Support Services"/>
    <n v="37816"/>
    <n v="37816"/>
    <n v="100"/>
  </r>
  <r>
    <s v="999507"/>
    <s v="HVAC Technician"/>
    <s v="0010"/>
    <x v="41"/>
    <s v="3550"/>
    <x v="1"/>
    <s v="Building Maintenance"/>
    <x v="1"/>
    <x v="11"/>
    <s v="Operation &amp; Maintenance of Plant"/>
    <s v="128218"/>
    <s v="Plant Support Services"/>
    <n v="38438"/>
    <n v="38438"/>
    <n v="100"/>
  </r>
  <r>
    <s v="999515"/>
    <s v="Utility Worker"/>
    <s v="0010"/>
    <x v="41"/>
    <s v="3550"/>
    <x v="1"/>
    <s v="Building Maintenance"/>
    <x v="1"/>
    <x v="11"/>
    <s v="Operation &amp; Maintenance of Plant"/>
    <s v="128218"/>
    <s v="Plant Support Services"/>
    <n v="39843"/>
    <n v="39843"/>
    <n v="100"/>
  </r>
  <r>
    <s v="999768"/>
    <s v="Assoc Dir Spc Svcs-Grnds/Cust"/>
    <s v="0010"/>
    <x v="42"/>
    <s v="3510"/>
    <x v="1"/>
    <s v="Custodial Services"/>
    <x v="0"/>
    <x v="11"/>
    <s v="Operation &amp; Maintenance of Plant"/>
    <s v="128218"/>
    <s v="Plant Support Services"/>
    <n v="58256"/>
    <n v="6991"/>
    <n v="12"/>
  </r>
  <r>
    <s v="999974"/>
    <s v="Lead Athletic Field Technician"/>
    <s v="0010"/>
    <x v="42"/>
    <s v="3510"/>
    <x v="1"/>
    <s v="Custodial Services"/>
    <x v="1"/>
    <x v="11"/>
    <s v="Operation &amp; Maintenance of Plant"/>
    <s v="128218"/>
    <s v="Plant Support Services"/>
    <n v="30466"/>
    <n v="30466"/>
    <n v="100"/>
  </r>
  <r>
    <s v="999977"/>
    <s v="Groundskeeper"/>
    <s v="0010"/>
    <x v="43"/>
    <s v="3530"/>
    <x v="1"/>
    <s v="Grounds Maintenance"/>
    <x v="1"/>
    <x v="11"/>
    <s v="Operation &amp; Maintenance of Plant"/>
    <s v="128218"/>
    <s v="Plant Support Services"/>
    <n v="19988"/>
    <n v="19988"/>
    <n v="100"/>
  </r>
  <r>
    <s v="999979"/>
    <s v="Groundskeeper"/>
    <s v="0010"/>
    <x v="43"/>
    <s v="3530"/>
    <x v="1"/>
    <s v="Grounds Maintenance"/>
    <x v="1"/>
    <x v="11"/>
    <s v="Operation &amp; Maintenance of Plant"/>
    <s v="128218"/>
    <s v="Plant Support Services"/>
    <n v="19988"/>
    <n v="19988"/>
    <n v="100"/>
  </r>
  <r>
    <s v="999980"/>
    <s v="Groundskeeper"/>
    <s v="0010"/>
    <x v="43"/>
    <s v="3530"/>
    <x v="1"/>
    <s v="Grounds Maintenance"/>
    <x v="1"/>
    <x v="11"/>
    <s v="Operation &amp; Maintenance of Plant"/>
    <s v="128218"/>
    <s v="Plant Support Services"/>
    <n v="19988"/>
    <n v="19988"/>
    <n v="100"/>
  </r>
  <r>
    <s v="999981"/>
    <s v="Groundskeeper"/>
    <s v="0010"/>
    <x v="43"/>
    <s v="3530"/>
    <x v="1"/>
    <s v="Grounds Maintenance"/>
    <x v="1"/>
    <x v="11"/>
    <s v="Operation &amp; Maintenance of Plant"/>
    <s v="128218"/>
    <s v="Plant Support Services"/>
    <n v="19988"/>
    <n v="19988"/>
    <n v="100"/>
  </r>
  <r>
    <s v="999984"/>
    <s v="Groundskeeper"/>
    <s v="0010"/>
    <x v="43"/>
    <s v="3530"/>
    <x v="1"/>
    <s v="Grounds Maintenance"/>
    <x v="1"/>
    <x v="11"/>
    <s v="Operation &amp; Maintenance of Plant"/>
    <s v="128218"/>
    <s v="Plant Support Services"/>
    <n v="19988"/>
    <n v="19988"/>
    <n v="100"/>
  </r>
  <r>
    <s v="999985"/>
    <s v="Groundskeeper"/>
    <s v="0010"/>
    <x v="43"/>
    <s v="3530"/>
    <x v="1"/>
    <s v="Grounds Maintenance"/>
    <x v="1"/>
    <x v="11"/>
    <s v="Operation &amp; Maintenance of Plant"/>
    <s v="128218"/>
    <s v="Plant Support Services"/>
    <n v="19988"/>
    <n v="19988"/>
    <n v="100"/>
  </r>
  <r>
    <s v="999982"/>
    <s v="Groundskeeper"/>
    <s v="0010"/>
    <x v="43"/>
    <s v="3530"/>
    <x v="1"/>
    <s v="Grounds Maintenance"/>
    <x v="1"/>
    <x v="11"/>
    <s v="Operation &amp; Maintenance of Plant"/>
    <s v="128218"/>
    <s v="Plant Support Services"/>
    <n v="19989"/>
    <n v="19989"/>
    <n v="100"/>
  </r>
  <r>
    <s v="998536"/>
    <s v="Groundskeeper"/>
    <s v="0010"/>
    <x v="43"/>
    <s v="3530"/>
    <x v="1"/>
    <s v="Grounds Maintenance"/>
    <x v="1"/>
    <x v="11"/>
    <s v="Operation &amp; Maintenance of Plant"/>
    <s v="128218"/>
    <s v="Plant Support Services"/>
    <n v="21500"/>
    <n v="21500"/>
    <n v="100"/>
  </r>
  <r>
    <s v="999983"/>
    <s v="Groundskeeper"/>
    <s v="0010"/>
    <x v="43"/>
    <s v="3530"/>
    <x v="1"/>
    <s v="Grounds Maintenance"/>
    <x v="1"/>
    <x v="11"/>
    <s v="Operation &amp; Maintenance of Plant"/>
    <s v="128218"/>
    <s v="Plant Support Services"/>
    <n v="21950"/>
    <n v="21950"/>
    <n v="100"/>
  </r>
  <r>
    <s v="999975"/>
    <s v="Irrigation Technician"/>
    <s v="0010"/>
    <x v="43"/>
    <s v="3530"/>
    <x v="1"/>
    <s v="Grounds Maintenance"/>
    <x v="1"/>
    <x v="11"/>
    <s v="Operation &amp; Maintenance of Plant"/>
    <s v="128218"/>
    <s v="Plant Support Services"/>
    <n v="24500"/>
    <n v="24500"/>
    <n v="100"/>
  </r>
  <r>
    <s v="999986"/>
    <s v="Groundskeeper"/>
    <s v="0010"/>
    <x v="43"/>
    <s v="3530"/>
    <x v="1"/>
    <s v="Grounds Maintenance"/>
    <x v="1"/>
    <x v="11"/>
    <s v="Operation &amp; Maintenance of Plant"/>
    <s v="128218"/>
    <s v="Plant Support Services"/>
    <n v="25842"/>
    <n v="25842"/>
    <n v="100"/>
  </r>
  <r>
    <s v="999978"/>
    <s v="Groundskeeper"/>
    <s v="0010"/>
    <x v="43"/>
    <s v="3530"/>
    <x v="1"/>
    <s v="Grounds Maintenance"/>
    <x v="1"/>
    <x v="11"/>
    <s v="Operation &amp; Maintenance of Plant"/>
    <s v="128218"/>
    <s v="Plant Support Services"/>
    <n v="30080"/>
    <n v="30080"/>
    <n v="100"/>
  </r>
  <r>
    <s v="999786"/>
    <s v="Lead Groundskeeper"/>
    <s v="0010"/>
    <x v="43"/>
    <s v="3530"/>
    <x v="1"/>
    <s v="Grounds Maintenance"/>
    <x v="1"/>
    <x v="11"/>
    <s v="Operation &amp; Maintenance of Plant"/>
    <s v="128218"/>
    <s v="Plant Support Services"/>
    <n v="36194"/>
    <n v="36194"/>
    <n v="100"/>
  </r>
  <r>
    <s v="999768"/>
    <s v="Assoc Dir Spc Svcs-Grnds/Cust"/>
    <s v="0010"/>
    <x v="43"/>
    <s v="3530"/>
    <x v="1"/>
    <s v="Grounds Maintenance"/>
    <x v="0"/>
    <x v="11"/>
    <s v="Operation &amp; Maintenance of Plant"/>
    <s v="128218"/>
    <s v="Plant Support Services"/>
    <n v="58256"/>
    <n v="51265"/>
    <n v="88"/>
  </r>
  <r>
    <s v="999767"/>
    <s v="Assoc Dir of Mechanical Svcs"/>
    <s v="0010"/>
    <x v="44"/>
    <s v="3520"/>
    <x v="1"/>
    <s v="Other Utility Costs"/>
    <x v="0"/>
    <x v="11"/>
    <s v="Operation &amp; Maintenance of Plant"/>
    <s v="128218"/>
    <s v="Plant Support Services"/>
    <n v="52846"/>
    <n v="26423"/>
    <n v="50"/>
  </r>
  <r>
    <s v="999511"/>
    <s v="HVAC Technician"/>
    <s v="0010"/>
    <x v="44"/>
    <s v="3520"/>
    <x v="1"/>
    <s v="Other Utility Costs"/>
    <x v="1"/>
    <x v="11"/>
    <s v="Operation &amp; Maintenance of Plant"/>
    <s v="128218"/>
    <s v="Plant Support Services"/>
    <n v="36649"/>
    <n v="36649"/>
    <n v="100"/>
  </r>
  <r>
    <s v="999506"/>
    <s v="HVAC Technician"/>
    <s v="0010"/>
    <x v="44"/>
    <s v="3520"/>
    <x v="1"/>
    <s v="Other Utility Costs"/>
    <x v="1"/>
    <x v="11"/>
    <s v="Operation &amp; Maintenance of Plant"/>
    <s v="128218"/>
    <s v="Plant Support Services"/>
    <n v="39718"/>
    <n v="39718"/>
    <n v="100"/>
  </r>
  <r>
    <s v="999513"/>
    <s v="Lead Energy Control Tech"/>
    <s v="0010"/>
    <x v="44"/>
    <s v="3520"/>
    <x v="1"/>
    <s v="Other Utility Costs"/>
    <x v="1"/>
    <x v="11"/>
    <s v="Operation &amp; Maintenance of Plant"/>
    <s v="128218"/>
    <s v="Plant Support Services"/>
    <n v="43693"/>
    <n v="39721"/>
    <n v="90.91"/>
  </r>
  <r>
    <s v="999505"/>
    <s v="HVAC Technician"/>
    <s v="0010"/>
    <x v="44"/>
    <s v="3520"/>
    <x v="1"/>
    <s v="Other Utility Costs"/>
    <x v="1"/>
    <x v="11"/>
    <s v="Operation &amp; Maintenance of Plant"/>
    <s v="128218"/>
    <s v="Plant Support Services"/>
    <n v="41210"/>
    <n v="41210"/>
    <n v="100"/>
  </r>
  <r>
    <s v="999715"/>
    <s v="Research Coordinator"/>
    <s v="0010"/>
    <x v="45"/>
    <s v="2405"/>
    <x v="2"/>
    <s v="Management Instr &amp; Research Ctr"/>
    <x v="0"/>
    <x v="12"/>
    <s v="Special Items"/>
    <s v="152113"/>
    <s v="Management, Instruction"/>
    <n v="36661"/>
    <n v="10265"/>
    <n v="28"/>
  </r>
  <r>
    <s v="998931"/>
    <s v="Instructor/Research Associate"/>
    <s v="0010"/>
    <x v="45"/>
    <s v="2405"/>
    <x v="2"/>
    <s v="Management Instr &amp; Research Ctr"/>
    <x v="0"/>
    <x v="12"/>
    <s v="Special Items"/>
    <s v="152113"/>
    <s v="Management, Instruction"/>
    <n v="44039"/>
    <n v="11010"/>
    <n v="25"/>
  </r>
  <r>
    <s v="999357"/>
    <s v="Asst Prof/Research Scientist"/>
    <s v="0010"/>
    <x v="45"/>
    <s v="2405"/>
    <x v="2"/>
    <s v="Management Instr &amp; Research Ctr"/>
    <x v="0"/>
    <x v="12"/>
    <s v="Special Items"/>
    <s v="152113"/>
    <s v="Management, Instruction"/>
    <n v="71624"/>
    <n v="17906"/>
    <n v="25"/>
  </r>
  <r>
    <s v="999729"/>
    <s v="Research Field Technician"/>
    <s v="0010"/>
    <x v="45"/>
    <s v="2405"/>
    <x v="2"/>
    <s v="Management Instr &amp; Research Ctr"/>
    <x v="0"/>
    <x v="12"/>
    <s v="Special Items"/>
    <s v="152113"/>
    <s v="Management, Instruction"/>
    <n v="38952"/>
    <n v="19476"/>
    <n v="50"/>
  </r>
  <r>
    <s v="999356"/>
    <s v="Asst Prof/Rsch Scientist"/>
    <s v="0010"/>
    <x v="45"/>
    <s v="2405"/>
    <x v="2"/>
    <s v="Management Instr &amp; Research Ctr"/>
    <x v="0"/>
    <x v="12"/>
    <s v="Special Items"/>
    <s v="152113"/>
    <s v="Management, Instruction"/>
    <n v="69689"/>
    <n v="34844"/>
    <n v="50"/>
  </r>
  <r>
    <s v="999358"/>
    <s v="Asst Prof/Research Scientist"/>
    <s v="0010"/>
    <x v="45"/>
    <s v="2405"/>
    <x v="2"/>
    <s v="Management Instr &amp; Research Ctr"/>
    <x v="0"/>
    <x v="12"/>
    <s v="Special Items"/>
    <s v="152113"/>
    <s v="Management, Instruction"/>
    <n v="69689"/>
    <n v="34844"/>
    <n v="50"/>
  </r>
  <r>
    <s v="999359"/>
    <s v="Professor/Rsch Scientist"/>
    <s v="0010"/>
    <x v="45"/>
    <s v="2405"/>
    <x v="2"/>
    <s v="Management Instr &amp; Research Ctr"/>
    <x v="0"/>
    <x v="12"/>
    <s v="Special Items"/>
    <s v="152113"/>
    <s v="Management, Instruction"/>
    <n v="84498"/>
    <n v="42249"/>
    <n v="50"/>
  </r>
  <r>
    <s v="999295"/>
    <s v="Prof/Research Scientist"/>
    <s v="0010"/>
    <x v="45"/>
    <s v="2405"/>
    <x v="2"/>
    <s v="Management Instr &amp; Research Ctr"/>
    <x v="0"/>
    <x v="12"/>
    <s v="Special Items"/>
    <s v="152113"/>
    <s v="Management, Instruction"/>
    <n v="89459"/>
    <n v="44729"/>
    <n v="50"/>
  </r>
  <r>
    <s v="999229"/>
    <s v="Dept Head/Prof/Dir MIR Ctr"/>
    <s v="0010"/>
    <x v="45"/>
    <s v="2405"/>
    <x v="2"/>
    <s v="Management Instr &amp; Research Ctr"/>
    <x v="0"/>
    <x v="12"/>
    <s v="Special Items"/>
    <s v="152113"/>
    <s v="Management, Instruction"/>
    <n v="114547"/>
    <n v="57273"/>
    <n v="50"/>
  </r>
  <r>
    <s v="998513"/>
    <s v="Office Coordinator II"/>
    <s v="0010"/>
    <x v="46"/>
    <s v="2220"/>
    <x v="2"/>
    <s v="Center for Academic Excellence"/>
    <x v="1"/>
    <x v="12"/>
    <s v="Special Items"/>
    <s v="161111"/>
    <s v="Center For Academic Excellence"/>
    <n v="30000"/>
    <n v="1500"/>
    <n v="5"/>
  </r>
  <r>
    <s v="999053"/>
    <s v="Office Coordinator I"/>
    <s v="0010"/>
    <x v="46"/>
    <s v="2220"/>
    <x v="2"/>
    <s v="Center for Academic Excellence"/>
    <x v="1"/>
    <x v="12"/>
    <s v="Special Items"/>
    <s v="161111"/>
    <s v="Center For Academic Excellence"/>
    <n v="12328"/>
    <n v="12328"/>
    <n v="100"/>
  </r>
  <r>
    <s v="998818"/>
    <s v="Transitional Services Advisor"/>
    <s v="0010"/>
    <x v="46"/>
    <s v="2220"/>
    <x v="2"/>
    <s v="Center for Academic Excellence"/>
    <x v="0"/>
    <x v="12"/>
    <s v="Special Items"/>
    <s v="161111"/>
    <s v="Center For Academic Excellence"/>
    <n v="32192"/>
    <n v="16096"/>
    <n v="50"/>
  </r>
  <r>
    <s v="998527"/>
    <s v="Tutoring Center &amp; SI Coord"/>
    <s v="0010"/>
    <x v="46"/>
    <s v="2220"/>
    <x v="2"/>
    <s v="Center for Academic Excellence"/>
    <x v="0"/>
    <x v="12"/>
    <s v="Special Items"/>
    <s v="161111"/>
    <s v="Center For Academic Excellence"/>
    <n v="32000"/>
    <n v="16640"/>
    <n v="52"/>
  </r>
  <r>
    <s v="999782"/>
    <s v="Assoc Dir, Multicultural"/>
    <s v="0010"/>
    <x v="46"/>
    <s v="2220"/>
    <x v="2"/>
    <s v="Center for Academic Excellence"/>
    <x v="0"/>
    <x v="12"/>
    <s v="Special Items"/>
    <s v="161111"/>
    <s v="Center For Academic Excellence"/>
    <n v="41250"/>
    <n v="18546"/>
    <n v="44.96"/>
  </r>
  <r>
    <s v="998344"/>
    <s v="Director of Honors Program"/>
    <s v="0010"/>
    <x v="46"/>
    <s v="2220"/>
    <x v="2"/>
    <s v="Center for Academic Excellence"/>
    <x v="0"/>
    <x v="12"/>
    <s v="Special Items"/>
    <s v="161111"/>
    <s v="Center For Academic Excellence"/>
    <n v="97738"/>
    <n v="19997"/>
    <n v="20.46"/>
  </r>
  <r>
    <s v="998534"/>
    <s v="Secretary"/>
    <s v="0010"/>
    <x v="46"/>
    <s v="2220"/>
    <x v="2"/>
    <s v="Center for Academic Excellence"/>
    <x v="1"/>
    <x v="12"/>
    <s v="Special Items"/>
    <s v="161111"/>
    <s v="Center For Academic Excellence"/>
    <n v="24986"/>
    <n v="24986"/>
    <n v="100"/>
  </r>
  <r>
    <s v="999901"/>
    <s v="Career Counselor"/>
    <s v="0010"/>
    <x v="46"/>
    <s v="2220"/>
    <x v="2"/>
    <s v="Center for Academic Excellence"/>
    <x v="0"/>
    <x v="12"/>
    <s v="Special Items"/>
    <s v="161111"/>
    <s v="Center For Academic Excellence"/>
    <n v="32192"/>
    <n v="27726"/>
    <n v="86.13"/>
  </r>
  <r>
    <s v="999854"/>
    <s v="Administrative Assistant"/>
    <s v="0010"/>
    <x v="46"/>
    <s v="2220"/>
    <x v="2"/>
    <s v="Center for Academic Excellence"/>
    <x v="1"/>
    <x v="12"/>
    <s v="Special Items"/>
    <s v="161111"/>
    <s v="Center For Academic Excellence"/>
    <n v="30000"/>
    <n v="30000"/>
    <n v="100"/>
  </r>
  <r>
    <s v="998539"/>
    <s v="Honors Program Coordinator"/>
    <s v="0010"/>
    <x v="46"/>
    <s v="2220"/>
    <x v="2"/>
    <s v="Center for Academic Excellence"/>
    <x v="0"/>
    <x v="12"/>
    <s v="Special Items"/>
    <s v="161111"/>
    <s v="Center For Academic Excellence"/>
    <n v="30265"/>
    <n v="30265"/>
    <n v="100"/>
  </r>
  <r>
    <s v="999129"/>
    <s v="Honors Program Officer"/>
    <s v="0010"/>
    <x v="46"/>
    <s v="2220"/>
    <x v="2"/>
    <s v="Center for Academic Excellence"/>
    <x v="0"/>
    <x v="12"/>
    <s v="Special Items"/>
    <s v="161111"/>
    <s v="Center For Academic Excellence"/>
    <n v="36581"/>
    <n v="36581"/>
    <n v="100"/>
  </r>
  <r>
    <s v="998415"/>
    <s v="Summer Faculty"/>
    <s v="0010"/>
    <x v="46"/>
    <s v="2220"/>
    <x v="2"/>
    <s v="Center for Academic Excellence"/>
    <x v="0"/>
    <x v="12"/>
    <s v="Special Items"/>
    <s v="161111"/>
    <s v="Center For Academic Excellence"/>
    <n v="50000"/>
    <n v="50000"/>
    <n v="100"/>
  </r>
  <r>
    <s v="999952"/>
    <s v="Prof/Vice Provost"/>
    <s v="0010"/>
    <x v="46"/>
    <s v="2220"/>
    <x v="2"/>
    <s v="Center for Academic Excellence"/>
    <x v="0"/>
    <x v="12"/>
    <s v="Special Items"/>
    <s v="161111"/>
    <s v="Center For Academic Excellence"/>
    <n v="126674"/>
    <n v="50670"/>
    <n v="40"/>
  </r>
  <r>
    <s v="999128"/>
    <s v="Dir of Supplemental Education"/>
    <s v="0010"/>
    <x v="46"/>
    <s v="2220"/>
    <x v="2"/>
    <s v="Center for Academic Excellence"/>
    <x v="0"/>
    <x v="12"/>
    <s v="Special Items"/>
    <s v="161111"/>
    <s v="Center For Academic Excellence"/>
    <n v="61271"/>
    <n v="61271"/>
    <n v="100"/>
  </r>
  <r>
    <s v="998668"/>
    <s v="Clinic Office Manager"/>
    <s v="0010"/>
    <x v="47"/>
    <s v="2810"/>
    <x v="2"/>
    <s v="School Based Clinics"/>
    <x v="0"/>
    <x v="12"/>
    <s v="Special Items"/>
    <s v="150113"/>
    <s v="School-Based Clinics"/>
    <n v="40000"/>
    <n v="32000"/>
    <n v="80"/>
  </r>
  <r>
    <s v="999712"/>
    <s v="Business Development Spec"/>
    <s v="0010"/>
    <x v="48"/>
    <s v="2540"/>
    <x v="2"/>
    <s v="Small Business Development Center"/>
    <x v="0"/>
    <x v="13"/>
    <s v="Public Service"/>
    <s v="153113"/>
    <s v="Special Item Small Business Develop"/>
    <n v="38000"/>
    <n v="19000"/>
    <n v="50"/>
  </r>
  <r>
    <s v="998660"/>
    <s v="Business Development Spec"/>
    <s v="0010"/>
    <x v="48"/>
    <s v="2540"/>
    <x v="2"/>
    <s v="Small Business Development Center"/>
    <x v="0"/>
    <x v="13"/>
    <s v="Public Service"/>
    <s v="153113"/>
    <s v="Special Item Small Business Develop"/>
    <n v="43800"/>
    <n v="21900"/>
    <n v="50"/>
  </r>
  <r>
    <s v="999717"/>
    <s v="Business Development Spec"/>
    <s v="0010"/>
    <x v="48"/>
    <s v="2540"/>
    <x v="2"/>
    <s v="Small Business Development Center"/>
    <x v="0"/>
    <x v="13"/>
    <s v="Public Service"/>
    <s v="153113"/>
    <s v="Special Item Small Business Develop"/>
    <n v="42451"/>
    <n v="23348"/>
    <n v="55"/>
  </r>
  <r>
    <s v="999873"/>
    <s v="Office Coordinator I"/>
    <s v="0010"/>
    <x v="48"/>
    <s v="2540"/>
    <x v="2"/>
    <s v="Small Business Development Center"/>
    <x v="1"/>
    <x v="13"/>
    <s v="Public Service"/>
    <s v="153113"/>
    <s v="Special Item Small Business Develop"/>
    <n v="29955"/>
    <n v="23664"/>
    <n v="79"/>
  </r>
  <r>
    <s v="999962"/>
    <s v="Dir of Small Business Devt Ctr"/>
    <s v="0010"/>
    <x v="48"/>
    <s v="2540"/>
    <x v="2"/>
    <s v="Small Business Development Center"/>
    <x v="0"/>
    <x v="13"/>
    <s v="Public Service"/>
    <s v="153113"/>
    <s v="Special Item Small Business Develop"/>
    <n v="61638"/>
    <n v="44218"/>
    <n v="71.739999999999995"/>
  </r>
  <r>
    <s v="998904"/>
    <s v="Degree Audit &amp; Curriculum Coor"/>
    <s v="0018"/>
    <x v="49"/>
    <s v="2900"/>
    <x v="2"/>
    <s v="Pre-Enrollment Advising-Graduate"/>
    <x v="0"/>
    <x v="2"/>
    <s v="Student Services"/>
    <s v="159111"/>
    <s v="Institutional Enhancement"/>
    <n v="43419"/>
    <n v="20558"/>
    <n v="47.35"/>
  </r>
  <r>
    <s v="999288"/>
    <s v="Assistant Professor"/>
    <s v="0018"/>
    <x v="10"/>
    <s v="2410"/>
    <x v="2"/>
    <s v="Art and Music"/>
    <x v="2"/>
    <x v="3"/>
    <s v="Arts and Sciences"/>
    <s v="159111"/>
    <s v="Institutional Enhancement"/>
    <n v="51817"/>
    <n v="51817"/>
    <n v="100"/>
  </r>
  <r>
    <s v="999410"/>
    <s v="Associate Professor"/>
    <s v="0018"/>
    <x v="10"/>
    <s v="2410"/>
    <x v="2"/>
    <s v="Art and Music"/>
    <x v="2"/>
    <x v="3"/>
    <s v="Arts and Sciences"/>
    <s v="159111"/>
    <s v="Institutional Enhancement"/>
    <n v="56500"/>
    <n v="56500"/>
    <n v="100"/>
  </r>
  <r>
    <s v="999418"/>
    <s v="Associate Professor"/>
    <s v="0018"/>
    <x v="10"/>
    <s v="2410"/>
    <x v="2"/>
    <s v="Art and Music"/>
    <x v="2"/>
    <x v="3"/>
    <s v="Arts and Sciences"/>
    <s v="159111"/>
    <s v="Institutional Enhancement"/>
    <n v="61112"/>
    <n v="61112"/>
    <n v="100"/>
  </r>
  <r>
    <s v="999413"/>
    <s v="Professor"/>
    <s v="0018"/>
    <x v="10"/>
    <s v="2410"/>
    <x v="2"/>
    <s v="Art and Music"/>
    <x v="2"/>
    <x v="3"/>
    <s v="Arts and Sciences"/>
    <s v="159111"/>
    <s v="Institutional Enhancement"/>
    <n v="62565"/>
    <n v="62565"/>
    <n v="100"/>
  </r>
  <r>
    <s v="999411"/>
    <s v="Professor"/>
    <s v="0018"/>
    <x v="10"/>
    <s v="2410"/>
    <x v="2"/>
    <s v="Art and Music"/>
    <x v="2"/>
    <x v="3"/>
    <s v="Arts and Sciences"/>
    <s v="159111"/>
    <s v="Institutional Enhancement"/>
    <n v="67176"/>
    <n v="67176"/>
    <n v="100"/>
  </r>
  <r>
    <s v="999325"/>
    <s v="Professor"/>
    <s v="0018"/>
    <x v="10"/>
    <s v="2410"/>
    <x v="2"/>
    <s v="Art and Music"/>
    <x v="2"/>
    <x v="3"/>
    <s v="Arts and Sciences"/>
    <s v="159111"/>
    <s v="Institutional Enhancement"/>
    <n v="67823"/>
    <n v="67823"/>
    <n v="100"/>
  </r>
  <r>
    <s v="999326"/>
    <s v="Professor/Dir Choral"/>
    <s v="0018"/>
    <x v="10"/>
    <s v="2410"/>
    <x v="2"/>
    <s v="Art and Music"/>
    <x v="2"/>
    <x v="3"/>
    <s v="Arts and Sciences"/>
    <s v="159111"/>
    <s v="Institutional Enhancement"/>
    <n v="68389"/>
    <n v="68389"/>
    <n v="100"/>
  </r>
  <r>
    <s v="999231"/>
    <s v="Dept Head/Professor"/>
    <s v="0018"/>
    <x v="10"/>
    <s v="2410"/>
    <x v="2"/>
    <s v="Art and Music"/>
    <x v="2"/>
    <x v="3"/>
    <s v="Arts and Sciences"/>
    <s v="159111"/>
    <s v="Institutional Enhancement"/>
    <n v="72412"/>
    <n v="72412"/>
    <n v="100"/>
  </r>
  <r>
    <s v="999349"/>
    <s v="Professor"/>
    <s v="0018"/>
    <x v="11"/>
    <s v="2414"/>
    <x v="2"/>
    <s v="Biology"/>
    <x v="2"/>
    <x v="3"/>
    <s v="Arts and Sciences"/>
    <s v="159111"/>
    <s v="Institutional Enhancement"/>
    <n v="65340"/>
    <n v="65340"/>
    <n v="100"/>
  </r>
  <r>
    <s v="999320"/>
    <s v="Associate Professor"/>
    <s v="0018"/>
    <x v="14"/>
    <s v="2430"/>
    <x v="2"/>
    <s v="English and Modern Languages"/>
    <x v="2"/>
    <x v="3"/>
    <s v="Arts and Sciences"/>
    <s v="159111"/>
    <s v="Institutional Enhancement"/>
    <n v="61968"/>
    <n v="61968"/>
    <n v="100"/>
  </r>
  <r>
    <s v="999317"/>
    <s v="Professor"/>
    <s v="0018"/>
    <x v="14"/>
    <s v="2430"/>
    <x v="2"/>
    <s v="English and Modern Languages"/>
    <x v="2"/>
    <x v="3"/>
    <s v="Arts and Sciences"/>
    <s v="159111"/>
    <s v="Institutional Enhancement"/>
    <n v="68295"/>
    <n v="68295"/>
    <n v="100"/>
  </r>
  <r>
    <s v="999224"/>
    <s v="Dept Head &amp; Professor"/>
    <s v="0018"/>
    <x v="14"/>
    <s v="2430"/>
    <x v="2"/>
    <s v="English and Modern Languages"/>
    <x v="2"/>
    <x v="3"/>
    <s v="Arts and Sciences"/>
    <s v="159111"/>
    <s v="Institutional Enhancement"/>
    <n v="68874"/>
    <n v="68874"/>
    <n v="100"/>
  </r>
  <r>
    <s v="999283"/>
    <s v="Professor"/>
    <s v="0018"/>
    <x v="14"/>
    <s v="2430"/>
    <x v="2"/>
    <s v="English and Modern Languages"/>
    <x v="2"/>
    <x v="3"/>
    <s v="Arts and Sciences"/>
    <s v="159111"/>
    <s v="Institutional Enhancement"/>
    <n v="74881"/>
    <n v="74881"/>
    <n v="100"/>
  </r>
  <r>
    <s v="999285"/>
    <s v="Professor"/>
    <s v="0018"/>
    <x v="14"/>
    <s v="2430"/>
    <x v="2"/>
    <s v="English and Modern Languages"/>
    <x v="2"/>
    <x v="3"/>
    <s v="Arts and Sciences"/>
    <s v="159111"/>
    <s v="Institutional Enhancement"/>
    <n v="76638"/>
    <n v="76638"/>
    <n v="100"/>
  </r>
  <r>
    <s v="999281"/>
    <s v="Assistant Professor"/>
    <s v="0018"/>
    <x v="15"/>
    <s v="2440"/>
    <x v="2"/>
    <s v="Political Science"/>
    <x v="2"/>
    <x v="3"/>
    <s v="Arts and Sciences"/>
    <s v="159111"/>
    <s v="Institutional Enhancement"/>
    <n v="51817"/>
    <n v="51817"/>
    <n v="100"/>
  </r>
  <r>
    <s v="999280"/>
    <s v="Professor"/>
    <s v="0018"/>
    <x v="15"/>
    <s v="2440"/>
    <x v="2"/>
    <s v="Political Science"/>
    <x v="2"/>
    <x v="3"/>
    <s v="Arts and Sciences"/>
    <s v="159111"/>
    <s v="Institutional Enhancement"/>
    <n v="68640"/>
    <n v="68640"/>
    <n v="100"/>
  </r>
  <r>
    <s v="999315"/>
    <s v="Associate Professor"/>
    <s v="0018"/>
    <x v="15"/>
    <s v="2440"/>
    <x v="2"/>
    <s v="Political Science"/>
    <x v="2"/>
    <x v="3"/>
    <s v="Arts and Sciences"/>
    <s v="159111"/>
    <s v="Institutional Enhancement"/>
    <n v="70707"/>
    <n v="70707"/>
    <n v="100"/>
  </r>
  <r>
    <s v="999279"/>
    <s v="Professor/Interim Dept Head"/>
    <s v="0018"/>
    <x v="15"/>
    <s v="2440"/>
    <x v="2"/>
    <s v="Political Science"/>
    <x v="2"/>
    <x v="3"/>
    <s v="Arts and Sciences"/>
    <s v="159111"/>
    <s v="Institutional Enhancement"/>
    <n v="73427"/>
    <n v="73427"/>
    <n v="100"/>
  </r>
  <r>
    <s v="999222"/>
    <s v="Dept Head, Professor"/>
    <s v="0018"/>
    <x v="16"/>
    <s v="2450"/>
    <x v="2"/>
    <s v="History"/>
    <x v="2"/>
    <x v="3"/>
    <s v="Arts and Sciences"/>
    <s v="159111"/>
    <s v="Institutional Enhancement"/>
    <n v="68874"/>
    <n v="68874"/>
    <n v="100"/>
  </r>
  <r>
    <s v="999277"/>
    <s v="Professor/Dir of Honors Prog"/>
    <s v="0018"/>
    <x v="16"/>
    <s v="2450"/>
    <x v="2"/>
    <s v="History"/>
    <x v="2"/>
    <x v="3"/>
    <s v="Arts and Sciences"/>
    <s v="159111"/>
    <s v="Institutional Enhancement"/>
    <n v="76489"/>
    <n v="76489"/>
    <n v="100"/>
  </r>
  <r>
    <s v="999278"/>
    <s v="Professor"/>
    <s v="0018"/>
    <x v="16"/>
    <s v="2450"/>
    <x v="2"/>
    <s v="History"/>
    <x v="2"/>
    <x v="3"/>
    <s v="Arts and Sciences"/>
    <s v="159111"/>
    <s v="Institutional Enhancement"/>
    <n v="77117"/>
    <n v="77117"/>
    <n v="100"/>
  </r>
  <r>
    <s v="999223"/>
    <s v="Assistant Professor"/>
    <s v="0018"/>
    <x v="16"/>
    <s v="2450"/>
    <x v="2"/>
    <s v="History"/>
    <x v="2"/>
    <x v="3"/>
    <s v="Arts and Sciences"/>
    <s v="159111"/>
    <s v="Institutional Enhancement"/>
    <n v="77756"/>
    <n v="77756"/>
    <n v="100"/>
  </r>
  <r>
    <s v="998949"/>
    <s v="Professor"/>
    <s v="0018"/>
    <x v="16"/>
    <s v="2450"/>
    <x v="2"/>
    <s v="History"/>
    <x v="2"/>
    <x v="3"/>
    <s v="Arts and Sciences"/>
    <s v="159111"/>
    <s v="Institutional Enhancement"/>
    <n v="90834"/>
    <n v="90834"/>
    <n v="100"/>
  </r>
  <r>
    <s v="999436"/>
    <s v="Senior Instructor"/>
    <s v="0018"/>
    <x v="17"/>
    <s v="2465"/>
    <x v="2"/>
    <s v="Mathematics and Computer Science"/>
    <x v="2"/>
    <x v="3"/>
    <s v="Arts and Sciences"/>
    <s v="159111"/>
    <s v="Institutional Enhancement"/>
    <n v="43175"/>
    <n v="37778"/>
    <n v="87.5"/>
  </r>
  <r>
    <s v="999293"/>
    <s v="Associate Professor"/>
    <s v="0018"/>
    <x v="17"/>
    <s v="2465"/>
    <x v="2"/>
    <s v="Mathematics and Computer Science"/>
    <x v="2"/>
    <x v="3"/>
    <s v="Arts and Sciences"/>
    <s v="159111"/>
    <s v="Institutional Enhancement"/>
    <n v="55319"/>
    <n v="55319"/>
    <n v="100"/>
  </r>
  <r>
    <s v="999241"/>
    <s v="Professor"/>
    <s v="0018"/>
    <x v="17"/>
    <s v="2465"/>
    <x v="2"/>
    <s v="Mathematics and Computer Science"/>
    <x v="2"/>
    <x v="3"/>
    <s v="Arts and Sciences"/>
    <s v="159111"/>
    <s v="Institutional Enhancement"/>
    <n v="76637"/>
    <n v="76637"/>
    <n v="100"/>
  </r>
  <r>
    <s v="999307"/>
    <s v="Associate Professor"/>
    <s v="0018"/>
    <x v="19"/>
    <s v="2510"/>
    <x v="2"/>
    <s v="Accounting, Economics, &amp; Finance"/>
    <x v="2"/>
    <x v="4"/>
    <s v="Business"/>
    <s v="159111"/>
    <s v="Institutional Enhancement"/>
    <n v="88770"/>
    <n v="88770"/>
    <n v="100"/>
  </r>
  <r>
    <s v="999252"/>
    <s v="Professor (Modified)"/>
    <s v="0018"/>
    <x v="23"/>
    <s v="2630"/>
    <x v="2"/>
    <s v="Teacher Education"/>
    <x v="2"/>
    <x v="5"/>
    <s v="Education"/>
    <s v="159111"/>
    <s v="Institutional Enhancement"/>
    <n v="34072"/>
    <n v="34072"/>
    <n v="100"/>
  </r>
  <r>
    <s v="999296"/>
    <s v="Assistant Professor"/>
    <s v="0018"/>
    <x v="23"/>
    <s v="2630"/>
    <x v="2"/>
    <s v="Teacher Education"/>
    <x v="2"/>
    <x v="5"/>
    <s v="Education"/>
    <s v="159111"/>
    <s v="Institutional Enhancement"/>
    <n v="51817"/>
    <n v="51817"/>
    <n v="100"/>
  </r>
  <r>
    <s v="999256"/>
    <s v="Associate Professor"/>
    <s v="0018"/>
    <x v="23"/>
    <s v="2630"/>
    <x v="2"/>
    <s v="Teacher Education"/>
    <x v="2"/>
    <x v="5"/>
    <s v="Education"/>
    <s v="159111"/>
    <s v="Institutional Enhancement"/>
    <n v="59275"/>
    <n v="59275"/>
    <n v="100"/>
  </r>
  <r>
    <s v="999255"/>
    <s v="Professor"/>
    <s v="0018"/>
    <x v="23"/>
    <s v="2630"/>
    <x v="2"/>
    <s v="Teacher Education"/>
    <x v="2"/>
    <x v="5"/>
    <s v="Education"/>
    <s v="159111"/>
    <s v="Institutional Enhancement"/>
    <n v="70488"/>
    <n v="70488"/>
    <n v="100"/>
  </r>
  <r>
    <s v="998786"/>
    <s v="Secretary"/>
    <s v="0018"/>
    <x v="50"/>
    <s v="2820"/>
    <x v="2"/>
    <s v="Physical Therapy"/>
    <x v="1"/>
    <x v="6"/>
    <s v="Health and Human Services"/>
    <s v="159111"/>
    <s v="Institutional Enhancement"/>
    <n v="10920"/>
    <n v="8190"/>
    <n v="75"/>
  </r>
  <r>
    <s v="999872"/>
    <s v="Office Coordinator II"/>
    <s v="0018"/>
    <x v="50"/>
    <s v="2820"/>
    <x v="2"/>
    <s v="Physical Therapy"/>
    <x v="1"/>
    <x v="6"/>
    <s v="Health and Human Services"/>
    <s v="159111"/>
    <s v="Institutional Enhancement"/>
    <n v="28012"/>
    <n v="28012"/>
    <n v="100"/>
  </r>
  <r>
    <s v="333333"/>
    <s v="Coach"/>
    <s v="0018"/>
    <x v="50"/>
    <s v="2820"/>
    <x v="2"/>
    <s v="Physical Therapy"/>
    <x v="2"/>
    <x v="6"/>
    <s v="Health and Human Services"/>
    <s v="159111"/>
    <s v="Institutional Enhancement"/>
    <n v="56250"/>
    <n v="56250"/>
    <n v="100"/>
  </r>
  <r>
    <s v="999422"/>
    <s v="Assistant Clinical Professor"/>
    <s v="0018"/>
    <x v="50"/>
    <s v="2820"/>
    <x v="2"/>
    <s v="Physical Therapy"/>
    <x v="2"/>
    <x v="6"/>
    <s v="Health and Human Services"/>
    <s v="159111"/>
    <s v="Institutional Enhancement"/>
    <n v="76351"/>
    <n v="76351"/>
    <n v="100"/>
  </r>
  <r>
    <s v="998780"/>
    <s v="Assistant Professor"/>
    <s v="0018"/>
    <x v="50"/>
    <s v="2820"/>
    <x v="2"/>
    <s v="Physical Therapy"/>
    <x v="2"/>
    <x v="6"/>
    <s v="Health and Human Services"/>
    <s v="159111"/>
    <s v="Institutional Enhancement"/>
    <n v="77000"/>
    <n v="77000"/>
    <n v="100"/>
  </r>
  <r>
    <s v="999419"/>
    <s v="Assistant Professor"/>
    <s v="0018"/>
    <x v="50"/>
    <s v="2820"/>
    <x v="2"/>
    <s v="Physical Therapy"/>
    <x v="2"/>
    <x v="6"/>
    <s v="Health and Human Services"/>
    <s v="159111"/>
    <s v="Institutional Enhancement"/>
    <n v="77600"/>
    <n v="77600"/>
    <n v="100"/>
  </r>
  <r>
    <s v="999420"/>
    <s v="Assistant Professor"/>
    <s v="0018"/>
    <x v="50"/>
    <s v="2820"/>
    <x v="2"/>
    <s v="Physical Therapy"/>
    <x v="2"/>
    <x v="6"/>
    <s v="Health and Human Services"/>
    <s v="159111"/>
    <s v="Institutional Enhancement"/>
    <n v="80375"/>
    <n v="80375"/>
    <n v="100"/>
  </r>
  <r>
    <s v="999334"/>
    <s v="Assistant Professor"/>
    <s v="0018"/>
    <x v="50"/>
    <s v="2820"/>
    <x v="2"/>
    <s v="Physical Therapy"/>
    <x v="2"/>
    <x v="6"/>
    <s v="Health and Human Services"/>
    <s v="159111"/>
    <s v="Institutional Enhancement"/>
    <n v="81000"/>
    <n v="81000"/>
    <n v="100"/>
  </r>
  <r>
    <s v="999421"/>
    <s v="Asst Clin P/Acad Coord Clin Ed"/>
    <s v="0018"/>
    <x v="50"/>
    <s v="2820"/>
    <x v="2"/>
    <s v="Physical Therapy"/>
    <x v="2"/>
    <x v="6"/>
    <s v="Health and Human Services"/>
    <s v="159111"/>
    <s v="Institutional Enhancement"/>
    <n v="81648"/>
    <n v="81648"/>
    <n v="100"/>
  </r>
  <r>
    <s v="999290"/>
    <s v="Assistant Professor"/>
    <s v="0018"/>
    <x v="50"/>
    <s v="2820"/>
    <x v="2"/>
    <s v="Physical Therapy"/>
    <x v="2"/>
    <x v="6"/>
    <s v="Health and Human Services"/>
    <s v="159111"/>
    <s v="Institutional Enhancement"/>
    <n v="84000"/>
    <n v="84000"/>
    <n v="100"/>
  </r>
  <r>
    <s v="999333"/>
    <s v="Associate Professor"/>
    <s v="0018"/>
    <x v="50"/>
    <s v="2820"/>
    <x v="2"/>
    <s v="Physical Therapy"/>
    <x v="2"/>
    <x v="6"/>
    <s v="Health and Human Services"/>
    <s v="159111"/>
    <s v="Institutional Enhancement"/>
    <n v="85536"/>
    <n v="85536"/>
    <n v="100"/>
  </r>
  <r>
    <s v="998404"/>
    <s v="Assoc Prof/Dir of PT Program"/>
    <s v="0018"/>
    <x v="50"/>
    <s v="2820"/>
    <x v="2"/>
    <s v="Physical Therapy"/>
    <x v="2"/>
    <x v="6"/>
    <s v="Health and Human Services"/>
    <s v="159111"/>
    <s v="Institutional Enhancement"/>
    <n v="101673"/>
    <n v="88011"/>
    <n v="86.56"/>
  </r>
  <r>
    <s v="998405"/>
    <s v="Professor"/>
    <s v="0018"/>
    <x v="50"/>
    <s v="2820"/>
    <x v="2"/>
    <s v="Physical Therapy"/>
    <x v="2"/>
    <x v="6"/>
    <s v="Health and Human Services"/>
    <s v="159111"/>
    <s v="Institutional Enhancement"/>
    <n v="98000"/>
    <n v="98000"/>
    <n v="100"/>
  </r>
  <r>
    <s v="998670"/>
    <s v="Secretary"/>
    <s v="0018"/>
    <x v="29"/>
    <s v="2860"/>
    <x v="2"/>
    <s v="Psychology, Sociology &amp; Social Work"/>
    <x v="1"/>
    <x v="6"/>
    <s v="Health and Human Services"/>
    <s v="159111"/>
    <s v="Institutional Enhancement"/>
    <n v="12493"/>
    <n v="12493"/>
    <n v="100"/>
  </r>
  <r>
    <s v="999313"/>
    <s v="Assistant Professor"/>
    <s v="0018"/>
    <x v="29"/>
    <s v="2860"/>
    <x v="2"/>
    <s v="Psychology, Sociology &amp; Social Work"/>
    <x v="2"/>
    <x v="6"/>
    <s v="Health and Human Services"/>
    <s v="159111"/>
    <s v="Institutional Enhancement"/>
    <n v="52417"/>
    <n v="52417"/>
    <n v="100"/>
  </r>
  <r>
    <s v="999216"/>
    <s v="Dept Head, Professor"/>
    <s v="0018"/>
    <x v="29"/>
    <s v="2860"/>
    <x v="2"/>
    <s v="Psychology, Sociology &amp; Social Work"/>
    <x v="2"/>
    <x v="6"/>
    <s v="Health and Human Services"/>
    <s v="159111"/>
    <s v="Institutional Enhancement"/>
    <n v="85565"/>
    <n v="85565"/>
    <n v="100"/>
  </r>
  <r>
    <s v="999836"/>
    <s v="Customer Support Spec II"/>
    <s v="0018"/>
    <x v="51"/>
    <n v="3810"/>
    <x v="1"/>
    <s v="Information Technology"/>
    <x v="0"/>
    <x v="7"/>
    <s v="Other Instructional &amp; Departmental"/>
    <s v="159111"/>
    <s v="Institutional Enhancement"/>
    <n v="39132"/>
    <n v="3287"/>
    <n v="8.4"/>
  </r>
  <r>
    <s v="999835"/>
    <s v="Technology Svcs Spec"/>
    <s v="0018"/>
    <x v="51"/>
    <n v="3810"/>
    <x v="1"/>
    <s v="Information Technology"/>
    <x v="0"/>
    <x v="7"/>
    <s v="Other Instructional &amp; Departmental"/>
    <s v="159111"/>
    <s v="Institutional Enhancement"/>
    <n v="46000"/>
    <n v="13928"/>
    <n v="30.28"/>
  </r>
  <r>
    <s v="999805"/>
    <s v="Dir of Strat Plan/Asst to CIO"/>
    <s v="0018"/>
    <x v="51"/>
    <n v="3810"/>
    <x v="1"/>
    <s v="Information Technology"/>
    <x v="0"/>
    <x v="7"/>
    <s v="Other Instructional &amp; Departmental"/>
    <s v="159111"/>
    <s v="Institutional Enhancement"/>
    <n v="99554"/>
    <n v="22529"/>
    <n v="22.63"/>
  </r>
  <r>
    <s v="999826"/>
    <s v="Technology Svcs Spec"/>
    <s v="0018"/>
    <x v="51"/>
    <n v="3810"/>
    <x v="1"/>
    <s v="Information Technology"/>
    <x v="0"/>
    <x v="7"/>
    <s v="Other Instructional &amp; Departmental"/>
    <s v="159111"/>
    <s v="Institutional Enhancement"/>
    <n v="52000"/>
    <n v="24782"/>
    <n v="47.66"/>
  </r>
  <r>
    <s v="999823"/>
    <s v="Senior Analyst"/>
    <s v="0018"/>
    <x v="51"/>
    <n v="3810"/>
    <x v="1"/>
    <s v="Information Technology"/>
    <x v="0"/>
    <x v="7"/>
    <s v="Other Instructional &amp; Departmental"/>
    <s v="159111"/>
    <s v="Institutional Enhancement"/>
    <n v="66763"/>
    <n v="27173"/>
    <n v="40.700000000000003"/>
  </r>
  <r>
    <s v="999832"/>
    <s v="Customer Support Analyst"/>
    <s v="0018"/>
    <x v="51"/>
    <n v="3810"/>
    <x v="1"/>
    <s v="Information Technology"/>
    <x v="0"/>
    <x v="7"/>
    <s v="Other Instructional &amp; Departmental"/>
    <s v="159111"/>
    <s v="Institutional Enhancement"/>
    <n v="43099"/>
    <n v="34479"/>
    <n v="80"/>
  </r>
  <r>
    <s v="999816"/>
    <s v="Network Svcs Specialist"/>
    <s v="0018"/>
    <x v="51"/>
    <n v="3810"/>
    <x v="1"/>
    <s v="Information Technology"/>
    <x v="0"/>
    <x v="7"/>
    <s v="Other Instructional &amp; Departmental"/>
    <s v="159111"/>
    <s v="Institutional Enhancement"/>
    <n v="47390"/>
    <n v="39334"/>
    <n v="83"/>
  </r>
  <r>
    <s v="999819"/>
    <s v="IT Programmer"/>
    <s v="0018"/>
    <x v="51"/>
    <n v="3810"/>
    <x v="1"/>
    <s v="Information Technology"/>
    <x v="0"/>
    <x v="7"/>
    <s v="Other Instructional &amp; Departmental"/>
    <s v="159111"/>
    <s v="Institutional Enhancement"/>
    <n v="40000"/>
    <n v="40000"/>
    <n v="100"/>
  </r>
  <r>
    <s v="998878"/>
    <s v="Technology Svcs Mgr"/>
    <s v="0018"/>
    <x v="51"/>
    <n v="3810"/>
    <x v="1"/>
    <s v="Information Technology"/>
    <x v="0"/>
    <x v="7"/>
    <s v="Other Instructional &amp; Departmental"/>
    <s v="159111"/>
    <s v="Institutional Enhancement"/>
    <n v="74000"/>
    <n v="41581"/>
    <n v="56.19"/>
  </r>
  <r>
    <s v="999828"/>
    <s v="Technology Svcs Spec"/>
    <s v="0018"/>
    <x v="51"/>
    <n v="3810"/>
    <x v="1"/>
    <s v="Information Technology"/>
    <x v="0"/>
    <x v="7"/>
    <s v="Other Instructional &amp; Departmental"/>
    <s v="159111"/>
    <s v="Institutional Enhancement"/>
    <n v="47270"/>
    <n v="43961"/>
    <n v="93"/>
  </r>
  <r>
    <s v="999160"/>
    <s v="Technology Servs Prog Mgr"/>
    <s v="0018"/>
    <x v="51"/>
    <n v="3810"/>
    <x v="1"/>
    <s v="Information Technology"/>
    <x v="0"/>
    <x v="7"/>
    <s v="Other Instructional &amp; Departmental"/>
    <s v="159111"/>
    <s v="Institutional Enhancement"/>
    <n v="74000"/>
    <n v="51023"/>
    <n v="68.95"/>
  </r>
  <r>
    <s v="999820"/>
    <s v="Information Technology Analyst"/>
    <s v="0018"/>
    <x v="51"/>
    <n v="3810"/>
    <x v="1"/>
    <s v="Information Technology"/>
    <x v="0"/>
    <x v="7"/>
    <s v="Other Instructional &amp; Departmental"/>
    <s v="159111"/>
    <s v="Institutional Enhancement"/>
    <n v="56000"/>
    <n v="51643"/>
    <n v="92.22"/>
  </r>
  <r>
    <s v="999822"/>
    <s v="Senior Analyst"/>
    <s v="0018"/>
    <x v="51"/>
    <n v="3810"/>
    <x v="1"/>
    <s v="Information Technology"/>
    <x v="0"/>
    <x v="7"/>
    <s v="Other Instructional &amp; Departmental"/>
    <s v="159111"/>
    <s v="Institutional Enhancement"/>
    <n v="58150"/>
    <n v="58150"/>
    <n v="100"/>
  </r>
  <r>
    <s v="999818"/>
    <s v="Technology Svcs Analyst"/>
    <s v="0018"/>
    <x v="51"/>
    <n v="3810"/>
    <x v="1"/>
    <s v="Information Technology"/>
    <x v="0"/>
    <x v="7"/>
    <s v="Other Instructional &amp; Departmental"/>
    <s v="159111"/>
    <s v="Institutional Enhancement"/>
    <n v="74068"/>
    <n v="70365"/>
    <n v="95"/>
  </r>
  <r>
    <s v="999810"/>
    <s v="Database Administrator II"/>
    <s v="0018"/>
    <x v="51"/>
    <n v="3810"/>
    <x v="1"/>
    <s v="Information Technology"/>
    <x v="0"/>
    <x v="7"/>
    <s v="Other Instructional &amp; Departmental"/>
    <s v="159111"/>
    <s v="Institutional Enhancement"/>
    <n v="73058"/>
    <n v="73058"/>
    <n v="100"/>
  </r>
  <r>
    <s v="999239"/>
    <s v="Professor/Dir Univ Planetarium"/>
    <s v="0018"/>
    <x v="52"/>
    <s v="2475"/>
    <x v="2"/>
    <s v="Planetarium"/>
    <x v="0"/>
    <x v="7"/>
    <s v="Other Instructional &amp; Departmental"/>
    <s v="159111"/>
    <s v="Institutional Enhancement"/>
    <n v="74783"/>
    <n v="18696"/>
    <n v="25"/>
  </r>
  <r>
    <s v="999725"/>
    <s v="Transfer Services Coord"/>
    <s v="0018"/>
    <x v="53"/>
    <s v="5210"/>
    <x v="3"/>
    <s v="Maintenance Scholastic &amp; Adm Stdrds"/>
    <x v="0"/>
    <x v="8"/>
    <s v="Academic Administration"/>
    <s v="159111"/>
    <s v="Institutional Enhancement"/>
    <n v="35411"/>
    <n v="35411"/>
    <n v="100"/>
  </r>
  <r>
    <s v="999120"/>
    <s v="Reserve, Research Grants"/>
    <s v="0018"/>
    <x v="54"/>
    <s v="2910"/>
    <x v="2"/>
    <s v="Research Enhancement Reserve"/>
    <x v="0"/>
    <x v="14"/>
    <s v="Research"/>
    <s v="159111"/>
    <s v="Institutional Enhancement"/>
    <n v="90917"/>
    <n v="90917"/>
    <n v="100"/>
  </r>
  <r>
    <s v="999217"/>
    <s v="DH-NHS/Assoc Prof/Dir Nur Prog"/>
    <s v="0019"/>
    <x v="26"/>
    <s v="2810"/>
    <x v="2"/>
    <s v="Nursing"/>
    <x v="2"/>
    <x v="6"/>
    <s v="Health and Human Services"/>
    <s v="110413"/>
    <s v="Stimulus Formula Funding"/>
    <n v="106221"/>
    <n v="13662"/>
    <n v="12.86"/>
  </r>
  <r>
    <s v="999731"/>
    <s v="Learning Resource Specialist"/>
    <s v="0019"/>
    <x v="26"/>
    <s v="2810"/>
    <x v="2"/>
    <s v="Nursing"/>
    <x v="0"/>
    <x v="6"/>
    <s v="Health and Human Services"/>
    <s v="110413"/>
    <s v="Stimulus Formula Funding"/>
    <n v="32428"/>
    <n v="32428"/>
    <n v="100"/>
  </r>
  <r>
    <s v="998808"/>
    <s v="Assistant Clinical Professor"/>
    <s v="0019"/>
    <x v="26"/>
    <s v="2810"/>
    <x v="2"/>
    <s v="Nursing"/>
    <x v="2"/>
    <x v="6"/>
    <s v="Health and Human Services"/>
    <s v="110413"/>
    <s v="Stimulus Formula Funding"/>
    <n v="39068"/>
    <n v="39068"/>
    <n v="100"/>
  </r>
  <r>
    <s v="998616"/>
    <s v="Assistant Professor"/>
    <s v="0019"/>
    <x v="26"/>
    <s v="2810"/>
    <x v="2"/>
    <s v="Nursing"/>
    <x v="2"/>
    <x v="6"/>
    <s v="Health and Human Services"/>
    <s v="110413"/>
    <s v="Stimulus Formula Funding"/>
    <n v="48953"/>
    <n v="48953"/>
    <n v="100"/>
  </r>
  <r>
    <s v="999339"/>
    <s v="Assistant Professor"/>
    <s v="0019"/>
    <x v="26"/>
    <s v="2810"/>
    <x v="2"/>
    <s v="Nursing"/>
    <x v="2"/>
    <x v="6"/>
    <s v="Health and Human Services"/>
    <s v="110413"/>
    <s v="Stimulus Formula Funding"/>
    <n v="51817"/>
    <n v="51817"/>
    <n v="100"/>
  </r>
  <r>
    <s v="998404"/>
    <s v="Assoc Prof/Dir of PT Program"/>
    <s v="0019"/>
    <x v="50"/>
    <s v="2820"/>
    <x v="2"/>
    <s v="Physical Therapy"/>
    <x v="2"/>
    <x v="6"/>
    <s v="Health and Human Services"/>
    <s v="110413"/>
    <s v="Stimulus Formula Funding"/>
    <n v="101673"/>
    <n v="13662"/>
    <n v="13.44"/>
  </r>
  <r>
    <s v="998779"/>
    <s v="Asst Prof/Int Dir Soc Wk Prog"/>
    <s v="0019"/>
    <x v="29"/>
    <s v="2860"/>
    <x v="2"/>
    <s v="Psychology, Sociology &amp; Social Work"/>
    <x v="2"/>
    <x v="6"/>
    <s v="Health and Human Services"/>
    <s v="110413"/>
    <s v="Stimulus Formula Funding"/>
    <n v="56817"/>
    <n v="5000"/>
    <n v="8.8000000000000007"/>
  </r>
  <r>
    <s v="998581"/>
    <s v="Clinic Operations Asst"/>
    <s v="0019"/>
    <x v="55"/>
    <s v="2800"/>
    <x v="2"/>
    <s v="College Health and Human Services"/>
    <x v="1"/>
    <x v="8"/>
    <s v="Academic Administration"/>
    <s v="110413"/>
    <s v="Stimulus Formula Funding"/>
    <n v="23086"/>
    <n v="1099"/>
    <n v="4.76"/>
  </r>
  <r>
    <s v="998618"/>
    <s v="Medical Assistant"/>
    <s v="0019"/>
    <x v="55"/>
    <s v="2800"/>
    <x v="2"/>
    <s v="College Health and Human Services"/>
    <x v="1"/>
    <x v="8"/>
    <s v="Academic Administration"/>
    <s v="110413"/>
    <s v="Stimulus Formula Funding"/>
    <n v="23086"/>
    <n v="1099"/>
    <n v="4.76"/>
  </r>
  <r>
    <s v="998645"/>
    <s v="Medical Assistant"/>
    <s v="0019"/>
    <x v="55"/>
    <s v="2800"/>
    <x v="2"/>
    <s v="College Health and Human Services"/>
    <x v="1"/>
    <x v="8"/>
    <s v="Academic Administration"/>
    <s v="110413"/>
    <s v="Stimulus Formula Funding"/>
    <n v="23086"/>
    <n v="1099"/>
    <n v="4.76"/>
  </r>
  <r>
    <s v="999720"/>
    <s v="Registered Nurse"/>
    <s v="0019"/>
    <x v="55"/>
    <s v="2800"/>
    <x v="2"/>
    <s v="College Health and Human Services"/>
    <x v="0"/>
    <x v="8"/>
    <s v="Academic Administration"/>
    <s v="110413"/>
    <s v="Stimulus Formula Funding"/>
    <n v="44695"/>
    <n v="2128"/>
    <n v="4.76"/>
  </r>
  <r>
    <s v="998837"/>
    <s v="Acad Advisor, Off of the Dean"/>
    <s v="0019"/>
    <x v="55"/>
    <s v="2800"/>
    <x v="2"/>
    <s v="College Health and Human Services"/>
    <x v="0"/>
    <x v="8"/>
    <s v="Academic Administration"/>
    <s v="110413"/>
    <s v="Stimulus Formula Funding"/>
    <n v="43849"/>
    <n v="21925"/>
    <n v="50"/>
  </r>
  <r>
    <s v="998502"/>
    <s v="Administrator - LWBIWH"/>
    <s v="0019"/>
    <x v="55"/>
    <s v="2800"/>
    <x v="2"/>
    <s v="College Health and Human Services"/>
    <x v="0"/>
    <x v="8"/>
    <s v="Academic Administration"/>
    <s v="110413"/>
    <s v="Stimulus Formula Funding"/>
    <n v="31000"/>
    <n v="31000"/>
    <n v="100"/>
  </r>
  <r>
    <s v="998400"/>
    <s v="WED Center Projects Mgr"/>
    <s v="0019"/>
    <x v="55"/>
    <s v="2800"/>
    <x v="2"/>
    <s v="College Health and Human Services"/>
    <x v="0"/>
    <x v="8"/>
    <s v="Academic Administration"/>
    <s v="110413"/>
    <s v="Stimulus Formula Funding"/>
    <n v="32000"/>
    <n v="32000"/>
    <n v="100"/>
  </r>
  <r>
    <s v="998403"/>
    <s v="Acad Admin Asst to the Dean"/>
    <s v="0019"/>
    <x v="55"/>
    <s v="2800"/>
    <x v="2"/>
    <s v="College Health and Human Services"/>
    <x v="1"/>
    <x v="8"/>
    <s v="Academic Administration"/>
    <s v="110413"/>
    <s v="Stimulus Formula Funding"/>
    <n v="40000"/>
    <n v="40000"/>
    <n v="100"/>
  </r>
  <r>
    <s v="998332"/>
    <s v="Assistant Clinical Professor"/>
    <s v="0019"/>
    <x v="55"/>
    <s v="2800"/>
    <x v="2"/>
    <s v="College Health and Human Services"/>
    <x v="2"/>
    <x v="8"/>
    <s v="Academic Administration"/>
    <s v="110413"/>
    <s v="Stimulus Formula Funding"/>
    <n v="50000"/>
    <n v="50000"/>
    <n v="100"/>
  </r>
  <r>
    <s v="998402"/>
    <s v="Dir, Community Research Serv"/>
    <s v="0019"/>
    <x v="55"/>
    <s v="2800"/>
    <x v="2"/>
    <s v="College Health and Human Services"/>
    <x v="0"/>
    <x v="8"/>
    <s v="Academic Administration"/>
    <s v="110413"/>
    <s v="Stimulus Formula Funding"/>
    <n v="60000"/>
    <n v="60000"/>
    <n v="100"/>
  </r>
  <r>
    <s v="998401"/>
    <s v="Exec Dir, WED Center"/>
    <s v="0019"/>
    <x v="55"/>
    <s v="2800"/>
    <x v="2"/>
    <s v="College Health and Human Services"/>
    <x v="0"/>
    <x v="8"/>
    <s v="Academic Administration"/>
    <s v="110413"/>
    <s v="Stimulus Formula Funding"/>
    <n v="80000"/>
    <n v="80000"/>
    <n v="100"/>
  </r>
  <r>
    <s v="998836"/>
    <s v="Professor/Dean"/>
    <s v="0019"/>
    <x v="55"/>
    <s v="2800"/>
    <x v="2"/>
    <s v="College Health and Human Services"/>
    <x v="0"/>
    <x v="8"/>
    <s v="Academic Administration"/>
    <s v="110413"/>
    <s v="Stimulus Formula Funding"/>
    <n v="146034"/>
    <n v="146034"/>
    <n v="100"/>
  </r>
  <r>
    <s v="998668"/>
    <s v="Clinic Office Manager"/>
    <s v="0019"/>
    <x v="47"/>
    <s v="2810"/>
    <x v="2"/>
    <s v="School Based Clinics"/>
    <x v="0"/>
    <x v="12"/>
    <s v="Special Items"/>
    <s v="110413"/>
    <s v="Stimulus Formula Funding"/>
    <n v="40000"/>
    <n v="8000"/>
    <n v="20"/>
  </r>
  <r>
    <s v="998398"/>
    <s v="Nurse Practitioner"/>
    <s v="0019"/>
    <x v="47"/>
    <s v="2810"/>
    <x v="2"/>
    <s v="School Based Clinics"/>
    <x v="0"/>
    <x v="12"/>
    <s v="Special Items"/>
    <s v="110413"/>
    <s v="Stimulus Formula Funding"/>
    <n v="80000"/>
    <n v="80000"/>
    <n v="100"/>
  </r>
  <r>
    <s v="999852"/>
    <s v="Administrative Assistant"/>
    <s v="0100"/>
    <x v="56"/>
    <s v="1050"/>
    <x v="0"/>
    <s v="President's Office"/>
    <x v="1"/>
    <x v="0"/>
    <s v="General Administration"/>
    <s v="DES"/>
    <s v="Designated Funds"/>
    <n v="36000"/>
    <n v="36000"/>
    <n v="100"/>
  </r>
  <r>
    <s v="999838"/>
    <s v="Exec Asst to the President"/>
    <s v="0100"/>
    <x v="56"/>
    <s v="1050"/>
    <x v="0"/>
    <s v="President's Office"/>
    <x v="0"/>
    <x v="0"/>
    <s v="General Administration"/>
    <s v="DES"/>
    <s v="Designated Funds"/>
    <n v="68305"/>
    <n v="68305"/>
    <n v="100"/>
  </r>
  <r>
    <s v="999953"/>
    <s v="Sr Exec/Multicult Com Rel Asst"/>
    <s v="0100"/>
    <x v="56"/>
    <s v="1050"/>
    <x v="0"/>
    <s v="President's Office"/>
    <x v="0"/>
    <x v="0"/>
    <s v="General Administration"/>
    <s v="DES"/>
    <s v="Designated Funds"/>
    <n v="91394"/>
    <n v="91394"/>
    <n v="100"/>
  </r>
  <r>
    <s v="999948"/>
    <s v="President"/>
    <s v="0100"/>
    <x v="56"/>
    <s v="1050"/>
    <x v="0"/>
    <s v="President's Office"/>
    <x v="0"/>
    <x v="0"/>
    <s v="General Administration"/>
    <s v="DES"/>
    <s v="Designated Funds"/>
    <n v="242046"/>
    <n v="158491"/>
    <n v="65.48"/>
  </r>
  <r>
    <s v="998641"/>
    <s v="TTUS Dir of Min &amp; Royal Int"/>
    <s v="0100"/>
    <x v="57"/>
    <s v="1050"/>
    <x v="0"/>
    <s v="TTF Minerals and Royalties"/>
    <x v="0"/>
    <x v="0"/>
    <s v="General Administration"/>
    <s v="DES"/>
    <s v="Designated Funds"/>
    <n v="68556"/>
    <n v="34278"/>
    <n v="50"/>
  </r>
  <r>
    <s v="998926"/>
    <s v="Administrative Assistant"/>
    <s v="0100"/>
    <x v="58"/>
    <s v="3050"/>
    <x v="1"/>
    <s v="Office Finance and Administration"/>
    <x v="1"/>
    <x v="0"/>
    <s v="General Administration"/>
    <s v="DES"/>
    <s v="Designated Funds"/>
    <n v="27000"/>
    <n v="27000"/>
    <n v="100"/>
  </r>
  <r>
    <s v="998611"/>
    <s v="Asst VP for Fin &amp; Admin"/>
    <s v="0100"/>
    <x v="58"/>
    <s v="3050"/>
    <x v="1"/>
    <s v="Office Finance and Administration"/>
    <x v="0"/>
    <x v="0"/>
    <s v="General Administration"/>
    <s v="DES"/>
    <s v="Designated Funds"/>
    <n v="100000"/>
    <n v="100000"/>
    <n v="100"/>
  </r>
  <r>
    <s v="999949"/>
    <s v="Vice President"/>
    <s v="0100"/>
    <x v="58"/>
    <s v="3050"/>
    <x v="1"/>
    <s v="Office Finance and Administration"/>
    <x v="0"/>
    <x v="0"/>
    <s v="General Administration"/>
    <s v="DES"/>
    <s v="Designated Funds"/>
    <n v="172000"/>
    <n v="172000"/>
    <n v="100"/>
  </r>
  <r>
    <s v="999007"/>
    <s v="Associate VP Finance &amp; Admin"/>
    <s v="0100"/>
    <x v="59"/>
    <s v="3100"/>
    <x v="1"/>
    <s v="Associate VP Finance and Admin"/>
    <x v="0"/>
    <x v="0"/>
    <s v="General Administration"/>
    <s v="DES"/>
    <s v="Designated Funds"/>
    <n v="120000"/>
    <n v="120000"/>
    <n v="100"/>
  </r>
  <r>
    <s v="999839"/>
    <s v="Exec Asst to the Provost"/>
    <s v="0100"/>
    <x v="60"/>
    <s v="2050"/>
    <x v="2"/>
    <s v="Office Academic Affairs"/>
    <x v="0"/>
    <x v="0"/>
    <s v="General Administration"/>
    <s v="DES"/>
    <s v="Designated Funds"/>
    <n v="52000"/>
    <n v="26000"/>
    <n v="50"/>
  </r>
  <r>
    <s v="999875"/>
    <s v="Office Coordinator II"/>
    <s v="0100"/>
    <x v="60"/>
    <s v="2050"/>
    <x v="2"/>
    <s v="Office Academic Affairs"/>
    <x v="1"/>
    <x v="0"/>
    <s v="General Administration"/>
    <s v="DES"/>
    <s v="Designated Funds"/>
    <n v="29456"/>
    <n v="29456"/>
    <n v="100"/>
  </r>
  <r>
    <s v="999952"/>
    <s v="Prof/Vice Provost"/>
    <s v="0100"/>
    <x v="60"/>
    <s v="2050"/>
    <x v="2"/>
    <s v="Office Academic Affairs"/>
    <x v="0"/>
    <x v="0"/>
    <s v="General Administration"/>
    <s v="DES"/>
    <s v="Designated Funds"/>
    <n v="126674"/>
    <n v="76004"/>
    <n v="60"/>
  </r>
  <r>
    <s v="999951"/>
    <s v="Inter Prov/VPAA/Dean Grad Stud"/>
    <s v="0100"/>
    <x v="60"/>
    <s v="2050"/>
    <x v="2"/>
    <s v="Office Academic Affairs"/>
    <x v="0"/>
    <x v="0"/>
    <s v="General Administration"/>
    <s v="DES"/>
    <s v="Designated Funds"/>
    <n v="143875"/>
    <n v="143875"/>
    <n v="100"/>
  </r>
  <r>
    <s v="998879"/>
    <s v="Office Coordinator I"/>
    <s v="0100"/>
    <x v="61"/>
    <s v="6050"/>
    <x v="4"/>
    <s v="Office VP for Development"/>
    <x v="1"/>
    <x v="0"/>
    <s v="General Administration"/>
    <s v="DES"/>
    <s v="Designated Funds"/>
    <n v="26500"/>
    <n v="26500"/>
    <n v="100"/>
  </r>
  <r>
    <s v="998838"/>
    <s v="Corp and Foundation Officer"/>
    <s v="0100"/>
    <x v="61"/>
    <s v="6050"/>
    <x v="4"/>
    <s v="Office VP for Development"/>
    <x v="0"/>
    <x v="0"/>
    <s v="General Administration"/>
    <s v="DES"/>
    <s v="Designated Funds"/>
    <n v="32192"/>
    <n v="32192"/>
    <n v="100"/>
  </r>
  <r>
    <s v="999199"/>
    <s v="Advancement Services Coord"/>
    <s v="0100"/>
    <x v="61"/>
    <s v="6050"/>
    <x v="4"/>
    <s v="Office VP for Development"/>
    <x v="1"/>
    <x v="0"/>
    <s v="General Administration"/>
    <s v="DES"/>
    <s v="Designated Funds"/>
    <n v="33612"/>
    <n v="33612"/>
    <n v="100"/>
  </r>
  <r>
    <s v="998908"/>
    <s v="Annual Fund Coordinator"/>
    <s v="0100"/>
    <x v="61"/>
    <s v="6050"/>
    <x v="4"/>
    <s v="Office VP for Development"/>
    <x v="0"/>
    <x v="0"/>
    <s v="General Administration"/>
    <s v="DES"/>
    <s v="Designated Funds"/>
    <n v="38000"/>
    <n v="38000"/>
    <n v="100"/>
  </r>
  <r>
    <s v="998659"/>
    <s v="Assoc Athletic Dir for Dev"/>
    <s v="0100"/>
    <x v="61"/>
    <n v="6200"/>
    <x v="4"/>
    <s v="Office VP for Development"/>
    <x v="0"/>
    <x v="0"/>
    <s v="General Administration"/>
    <s v="DES"/>
    <s v="Designated Funds"/>
    <n v="52500"/>
    <n v="52500"/>
    <n v="100"/>
  </r>
  <r>
    <s v="998784"/>
    <s v="Development Officer"/>
    <s v="0100"/>
    <x v="61"/>
    <s v="6050"/>
    <x v="4"/>
    <s v="Office VP for Development"/>
    <x v="0"/>
    <x v="0"/>
    <s v="General Administration"/>
    <s v="DES"/>
    <s v="Designated Funds"/>
    <n v="60000"/>
    <n v="60000"/>
    <n v="100"/>
  </r>
  <r>
    <s v="999705"/>
    <s v="Vice Pres for Dev &amp; Alumni Rel"/>
    <s v="0100"/>
    <x v="61"/>
    <s v="6050"/>
    <x v="4"/>
    <s v="Office VP for Development"/>
    <x v="0"/>
    <x v="0"/>
    <s v="General Administration"/>
    <s v="DES"/>
    <s v="Designated Funds"/>
    <n v="120000"/>
    <n v="120000"/>
    <n v="100"/>
  </r>
  <r>
    <s v="999851"/>
    <s v="Senior Administrative Asst"/>
    <s v="0100"/>
    <x v="62"/>
    <s v="5050"/>
    <x v="3"/>
    <s v="Ofc Student Affairs Enrollment Mgmt"/>
    <x v="1"/>
    <x v="0"/>
    <s v="General Administration"/>
    <s v="DES"/>
    <s v="Designated Funds"/>
    <n v="37000"/>
    <n v="37000"/>
    <n v="100"/>
  </r>
  <r>
    <s v="998490"/>
    <s v="Director, Budget Policy Planni"/>
    <s v="0100"/>
    <x v="62"/>
    <s v="5050"/>
    <x v="3"/>
    <s v="Ofc Student Affairs Enrollment Mgmt"/>
    <x v="0"/>
    <x v="0"/>
    <s v="General Administration"/>
    <s v="DES"/>
    <s v="Designated Funds"/>
    <n v="64000"/>
    <n v="48000"/>
    <n v="75"/>
  </r>
  <r>
    <s v="998685"/>
    <s v="VP for Stud Affrs &amp; Enroll Mgt"/>
    <s v="0100"/>
    <x v="62"/>
    <s v="5050"/>
    <x v="3"/>
    <s v="Ofc Student Affairs Enrollment Mgmt"/>
    <x v="0"/>
    <x v="0"/>
    <s v="General Administration"/>
    <s v="DES"/>
    <s v="Designated Funds"/>
    <n v="160000"/>
    <n v="160000"/>
    <n v="100"/>
  </r>
  <r>
    <s v="998589"/>
    <s v="Asst Dir of Athletic Comm"/>
    <s v="0100"/>
    <x v="63"/>
    <s v="1400"/>
    <x v="0"/>
    <s v="Branding and Marketing"/>
    <x v="0"/>
    <x v="1"/>
    <s v="General Institutional"/>
    <s v="DES"/>
    <s v="Designated Funds"/>
    <n v="32192"/>
    <n v="6438"/>
    <n v="20"/>
  </r>
  <r>
    <s v="998767"/>
    <s v="Web Information Specialist"/>
    <s v="0100"/>
    <x v="64"/>
    <s v="1400"/>
    <x v="0"/>
    <s v="Communications and Marketing"/>
    <x v="0"/>
    <x v="1"/>
    <s v="General Institutional"/>
    <s v="DES"/>
    <s v="Designated Funds"/>
    <n v="39500"/>
    <n v="39500"/>
    <n v="100"/>
  </r>
  <r>
    <s v="998886"/>
    <s v="Graphic Artist/Web Designer"/>
    <s v="0100"/>
    <x v="64"/>
    <s v="1400"/>
    <x v="0"/>
    <s v="Communications and Marketing"/>
    <x v="0"/>
    <x v="1"/>
    <s v="General Institutional"/>
    <s v="DES"/>
    <s v="Designated Funds"/>
    <n v="39500"/>
    <n v="39500"/>
    <n v="100"/>
  </r>
  <r>
    <s v="998746"/>
    <s v="Dir of Community Relations"/>
    <s v="0100"/>
    <x v="64"/>
    <s v="1400"/>
    <x v="0"/>
    <s v="Communications and Marketing"/>
    <x v="0"/>
    <x v="1"/>
    <s v="General Institutional"/>
    <s v="DES"/>
    <s v="Designated Funds"/>
    <n v="59500"/>
    <n v="59500"/>
    <n v="100"/>
  </r>
  <r>
    <s v="999969"/>
    <s v="Dir of Comm &amp; Marketing"/>
    <s v="0100"/>
    <x v="64"/>
    <s v="1400"/>
    <x v="0"/>
    <s v="Communications and Marketing"/>
    <x v="0"/>
    <x v="1"/>
    <s v="General Institutional"/>
    <s v="DES"/>
    <s v="Designated Funds"/>
    <n v="67836"/>
    <n v="61032"/>
    <n v="89.97"/>
  </r>
  <r>
    <s v="999713"/>
    <s v="Dir of Graphics"/>
    <s v="0100"/>
    <x v="64"/>
    <s v="1400"/>
    <x v="0"/>
    <s v="Communications and Marketing"/>
    <x v="0"/>
    <x v="1"/>
    <s v="General Institutional"/>
    <s v="DES"/>
    <s v="Designated Funds"/>
    <n v="64364"/>
    <n v="64364"/>
    <n v="100"/>
  </r>
  <r>
    <s v="998582"/>
    <s v="Institutional Research Asst"/>
    <s v="0100"/>
    <x v="65"/>
    <n v="2080"/>
    <x v="2"/>
    <s v="Inst Research and Accountability"/>
    <x v="1"/>
    <x v="1"/>
    <s v="General Institutional"/>
    <s v="DES"/>
    <s v="Designated Funds"/>
    <n v="31000"/>
    <n v="31000"/>
    <n v="100"/>
  </r>
  <r>
    <s v="999899"/>
    <s v="Office Evaluation Coordinator"/>
    <s v="0100"/>
    <x v="65"/>
    <n v="2080"/>
    <x v="2"/>
    <s v="Inst Research and Accountability"/>
    <x v="1"/>
    <x v="1"/>
    <s v="General Institutional"/>
    <s v="DES"/>
    <s v="Designated Funds"/>
    <n v="33667"/>
    <n v="33667"/>
    <n v="100"/>
  </r>
  <r>
    <s v="998928"/>
    <s v="Data Analyst"/>
    <s v="0100"/>
    <x v="65"/>
    <n v="2080"/>
    <x v="2"/>
    <s v="Inst Research and Accountability"/>
    <x v="0"/>
    <x v="1"/>
    <s v="General Institutional"/>
    <s v="DES"/>
    <s v="Designated Funds"/>
    <n v="43192"/>
    <n v="43192"/>
    <n v="100"/>
  </r>
  <r>
    <s v="999966"/>
    <s v="Asst VP of Inst Rsch &amp; Effect"/>
    <s v="0100"/>
    <x v="65"/>
    <n v="2080"/>
    <x v="2"/>
    <s v="Inst Research and Accountability"/>
    <x v="0"/>
    <x v="1"/>
    <s v="General Institutional"/>
    <s v="DES"/>
    <s v="Designated Funds"/>
    <n v="100000"/>
    <n v="100000"/>
    <n v="100"/>
  </r>
  <r>
    <s v="998978"/>
    <s v="Technology Services Manager"/>
    <s v="0100"/>
    <x v="66"/>
    <n v="3810"/>
    <x v="1"/>
    <s v="IT Technology Services"/>
    <x v="0"/>
    <x v="1"/>
    <s v="General Institutional"/>
    <s v="DES"/>
    <s v="Designated Funds"/>
    <n v="74000"/>
    <n v="3596"/>
    <n v="4.8600000000000003"/>
  </r>
  <r>
    <s v="998544"/>
    <s v="Technology Servs Proj Mgr"/>
    <s v="0100"/>
    <x v="66"/>
    <n v="3810"/>
    <x v="1"/>
    <s v="IT Technology Services"/>
    <x v="0"/>
    <x v="1"/>
    <s v="General Institutional"/>
    <s v="DES"/>
    <s v="Designated Funds"/>
    <n v="64000"/>
    <n v="30976"/>
    <n v="48.4"/>
  </r>
  <r>
    <s v="999823"/>
    <s v="Senior Analyst"/>
    <s v="0100"/>
    <x v="66"/>
    <n v="3810"/>
    <x v="1"/>
    <s v="IT Technology Services"/>
    <x v="0"/>
    <x v="1"/>
    <s v="General Institutional"/>
    <s v="DES"/>
    <s v="Designated Funds"/>
    <n v="66763"/>
    <n v="34589"/>
    <n v="51.81"/>
  </r>
  <r>
    <s v="998917"/>
    <s v="Business Analyst"/>
    <s v="0100"/>
    <x v="66"/>
    <n v="3810"/>
    <x v="1"/>
    <s v="IT Technology Services"/>
    <x v="0"/>
    <x v="1"/>
    <s v="General Institutional"/>
    <s v="DES"/>
    <s v="Designated Funds"/>
    <n v="48000"/>
    <n v="45000"/>
    <n v="93.75"/>
  </r>
  <r>
    <s v="999821"/>
    <s v="Information Technology Analyst"/>
    <s v="0100"/>
    <x v="66"/>
    <n v="3810"/>
    <x v="1"/>
    <s v="IT Technology Services"/>
    <x v="0"/>
    <x v="1"/>
    <s v="General Institutional"/>
    <s v="DES"/>
    <s v="Designated Funds"/>
    <n v="63500"/>
    <n v="51873"/>
    <n v="81.69"/>
  </r>
  <r>
    <s v="999963"/>
    <s v="Dir of Inst Plan, Policy &amp; Eff"/>
    <s v="0100"/>
    <x v="67"/>
    <n v="2057"/>
    <x v="2"/>
    <s v="Institutional Effectiveness"/>
    <x v="0"/>
    <x v="1"/>
    <s v="General Institutional"/>
    <s v="DES"/>
    <s v="Designated Funds"/>
    <n v="60000"/>
    <n v="60000"/>
    <n v="100"/>
  </r>
  <r>
    <s v="998843"/>
    <s v="Office Coordinator I"/>
    <s v="0100"/>
    <x v="68"/>
    <s v="2110"/>
    <x v="2"/>
    <s v="Center for Innovation"/>
    <x v="1"/>
    <x v="1"/>
    <s v="General Institutional"/>
    <s v="DES"/>
    <s v="Designated Funds"/>
    <n v="24186"/>
    <n v="24186"/>
    <n v="100"/>
  </r>
  <r>
    <s v="998841"/>
    <s v="Instructional Tech Specialist"/>
    <s v="0100"/>
    <x v="68"/>
    <s v="2110"/>
    <x v="2"/>
    <s v="Center for Innovation"/>
    <x v="0"/>
    <x v="1"/>
    <s v="General Institutional"/>
    <s v="DES"/>
    <s v="Designated Funds"/>
    <n v="50000"/>
    <n v="50000"/>
    <n v="100"/>
  </r>
  <r>
    <s v="998907"/>
    <s v="Dir of Sponsored Projects"/>
    <s v="0100"/>
    <x v="69"/>
    <s v="2910"/>
    <x v="2"/>
    <s v="Sponsored Projects Office"/>
    <x v="0"/>
    <x v="1"/>
    <s v="General Institutional"/>
    <s v="DES"/>
    <s v="Designated Funds"/>
    <n v="54000"/>
    <n v="27000"/>
    <n v="50"/>
  </r>
  <r>
    <s v="998612"/>
    <s v="Budget Office Coordinator"/>
    <s v="0100"/>
    <x v="70"/>
    <s v="3110"/>
    <x v="1"/>
    <s v="Budget Office"/>
    <x v="1"/>
    <x v="1"/>
    <s v="General Institutional"/>
    <s v="DES"/>
    <s v="Designated Funds"/>
    <n v="37547"/>
    <n v="37547"/>
    <n v="100"/>
  </r>
  <r>
    <s v="998700"/>
    <s v="Budget Analyst"/>
    <s v="0100"/>
    <x v="70"/>
    <s v="3110"/>
    <x v="1"/>
    <s v="Budget Office"/>
    <x v="0"/>
    <x v="1"/>
    <s v="General Institutional"/>
    <s v="DES"/>
    <s v="Designated Funds"/>
    <n v="41000"/>
    <n v="41000"/>
    <n v="100"/>
  </r>
  <r>
    <s v="999003"/>
    <s v="Budget Analyst"/>
    <s v="0100"/>
    <x v="70"/>
    <s v="3110"/>
    <x v="1"/>
    <s v="Budget Office"/>
    <x v="0"/>
    <x v="1"/>
    <s v="General Institutional"/>
    <s v="DES"/>
    <s v="Designated Funds"/>
    <n v="41000"/>
    <n v="41000"/>
    <n v="100"/>
  </r>
  <r>
    <s v="998955"/>
    <s v="Office Coordinator I"/>
    <s v="0100"/>
    <x v="71"/>
    <s v="3120"/>
    <x v="1"/>
    <s v="Human Resources Office"/>
    <x v="1"/>
    <x v="1"/>
    <s v="General Institutional"/>
    <s v="DES"/>
    <s v="Designated Funds"/>
    <n v="25131"/>
    <n v="25131"/>
    <n v="100"/>
  </r>
  <r>
    <s v="998491"/>
    <s v="HR Assistant"/>
    <s v="0100"/>
    <x v="71"/>
    <s v="3120"/>
    <x v="1"/>
    <s v="Human Resources Office"/>
    <x v="1"/>
    <x v="1"/>
    <s v="General Institutional"/>
    <s v="DES"/>
    <s v="Designated Funds"/>
    <n v="29265"/>
    <n v="29265"/>
    <n v="100"/>
  </r>
  <r>
    <s v="998526"/>
    <s v="HR Specialist"/>
    <s v="0100"/>
    <x v="71"/>
    <s v="3120"/>
    <x v="1"/>
    <s v="Human Resources Office"/>
    <x v="0"/>
    <x v="1"/>
    <s v="General Institutional"/>
    <s v="DES"/>
    <s v="Designated Funds"/>
    <n v="32192"/>
    <n v="32192"/>
    <n v="100"/>
  </r>
  <r>
    <s v="998834"/>
    <s v="HR Specialist"/>
    <s v="0100"/>
    <x v="71"/>
    <s v="3120"/>
    <x v="1"/>
    <s v="Human Resources Office"/>
    <x v="0"/>
    <x v="1"/>
    <s v="General Institutional"/>
    <s v="DES"/>
    <s v="Designated Funds"/>
    <n v="32192"/>
    <n v="32192"/>
    <n v="100"/>
  </r>
  <r>
    <s v="999709"/>
    <s v="HR Specialist"/>
    <s v="0100"/>
    <x v="71"/>
    <s v="3120"/>
    <x v="1"/>
    <s v="Human Resources Office"/>
    <x v="0"/>
    <x v="1"/>
    <s v="General Institutional"/>
    <s v="DES"/>
    <s v="Designated Funds"/>
    <n v="40000"/>
    <n v="40000"/>
    <n v="100"/>
  </r>
  <r>
    <s v="999723"/>
    <s v="HR Specialist"/>
    <s v="0100"/>
    <x v="71"/>
    <s v="3120"/>
    <x v="1"/>
    <s v="Human Resources Office"/>
    <x v="0"/>
    <x v="1"/>
    <s v="General Institutional"/>
    <s v="DES"/>
    <s v="Designated Funds"/>
    <n v="40000"/>
    <n v="40000"/>
    <n v="100"/>
  </r>
  <r>
    <s v="999959"/>
    <s v="Dir of Human Resources"/>
    <s v="0100"/>
    <x v="71"/>
    <s v="3120"/>
    <x v="1"/>
    <s v="Human Resources Office"/>
    <x v="0"/>
    <x v="1"/>
    <s v="General Institutional"/>
    <s v="DES"/>
    <s v="Designated Funds"/>
    <n v="80000"/>
    <n v="80000"/>
    <n v="100"/>
  </r>
  <r>
    <s v="998408"/>
    <s v="Mail Services Assistant"/>
    <s v="0100"/>
    <x v="72"/>
    <s v="3720"/>
    <x v="1"/>
    <s v="Mail Services"/>
    <x v="1"/>
    <x v="1"/>
    <s v="General Institutional"/>
    <s v="DES"/>
    <s v="Designated Funds"/>
    <n v="10400"/>
    <n v="10400"/>
    <n v="100"/>
  </r>
  <r>
    <s v="999933"/>
    <s v="Mail Services Assistant"/>
    <s v="0100"/>
    <x v="72"/>
    <s v="3720"/>
    <x v="1"/>
    <s v="Mail Services"/>
    <x v="1"/>
    <x v="1"/>
    <s v="General Institutional"/>
    <s v="DES"/>
    <s v="Designated Funds"/>
    <n v="25834"/>
    <n v="25834"/>
    <n v="100"/>
  </r>
  <r>
    <s v="999924"/>
    <s v="Mail Services Manager"/>
    <s v="0100"/>
    <x v="72"/>
    <s v="3720"/>
    <x v="1"/>
    <s v="Mail Services"/>
    <x v="1"/>
    <x v="1"/>
    <s v="General Institutional"/>
    <s v="DES"/>
    <s v="Designated Funds"/>
    <n v="34568"/>
    <n v="34568"/>
    <n v="100"/>
  </r>
  <r>
    <s v="998839"/>
    <s v="Materials &amp; Contracts Coord"/>
    <s v="0100"/>
    <x v="73"/>
    <s v="3700"/>
    <x v="1"/>
    <s v="Office of Materials Management"/>
    <x v="0"/>
    <x v="1"/>
    <s v="General Institutional"/>
    <s v="DES"/>
    <s v="Designated Funds"/>
    <n v="33000"/>
    <n v="33000"/>
    <n v="100"/>
  </r>
  <r>
    <s v="998925"/>
    <s v="Exec Dir of Materials Mgt"/>
    <s v="0100"/>
    <x v="73"/>
    <s v="3700"/>
    <x v="1"/>
    <s v="Office of Materials Management"/>
    <x v="0"/>
    <x v="1"/>
    <s v="General Institutional"/>
    <s v="DES"/>
    <s v="Designated Funds"/>
    <n v="82500"/>
    <n v="82500"/>
    <n v="100"/>
  </r>
  <r>
    <s v="999916"/>
    <s v="Purchasing Assistant"/>
    <s v="0100"/>
    <x v="74"/>
    <s v="3740"/>
    <x v="1"/>
    <s v="Purchasing Office"/>
    <x v="1"/>
    <x v="1"/>
    <s v="General Institutional"/>
    <s v="DES"/>
    <s v="Designated Funds"/>
    <n v="25586"/>
    <n v="25586"/>
    <n v="100"/>
  </r>
  <r>
    <s v="999918"/>
    <s v="Purch Spec/Vendor Coord"/>
    <s v="0100"/>
    <x v="74"/>
    <s v="3740"/>
    <x v="1"/>
    <s v="Purchasing Office"/>
    <x v="1"/>
    <x v="1"/>
    <s v="General Institutional"/>
    <s v="DES"/>
    <s v="Designated Funds"/>
    <n v="29496"/>
    <n v="29496"/>
    <n v="100"/>
  </r>
  <r>
    <s v="998755"/>
    <s v="Travel Accounts Coordinator"/>
    <s v="0100"/>
    <x v="74"/>
    <s v="3740"/>
    <x v="1"/>
    <s v="Purchasing Office"/>
    <x v="1"/>
    <x v="1"/>
    <s v="General Institutional"/>
    <s v="DES"/>
    <s v="Designated Funds"/>
    <n v="30000"/>
    <n v="30000"/>
    <n v="100"/>
  </r>
  <r>
    <s v="999995"/>
    <s v="Travel Accounts Coordinator"/>
    <s v="0100"/>
    <x v="74"/>
    <s v="3740"/>
    <x v="1"/>
    <s v="Purchasing Office"/>
    <x v="1"/>
    <x v="1"/>
    <s v="General Institutional"/>
    <s v="DES"/>
    <s v="Designated Funds"/>
    <n v="30000"/>
    <n v="30000"/>
    <n v="100"/>
  </r>
  <r>
    <s v="999910"/>
    <s v="Buyer Assistant"/>
    <s v="0100"/>
    <x v="74"/>
    <s v="3740"/>
    <x v="1"/>
    <s v="Purchasing Office"/>
    <x v="1"/>
    <x v="1"/>
    <s v="General Institutional"/>
    <s v="DES"/>
    <s v="Designated Funds"/>
    <n v="30003"/>
    <n v="30003"/>
    <n v="100"/>
  </r>
  <r>
    <s v="999968"/>
    <s v="Dir of Purchasing &amp; Opers"/>
    <s v="0100"/>
    <x v="74"/>
    <s v="3740"/>
    <x v="1"/>
    <s v="Purchasing Office"/>
    <x v="0"/>
    <x v="1"/>
    <s v="General Institutional"/>
    <s v="DES"/>
    <s v="Designated Funds"/>
    <n v="62844"/>
    <n v="62844"/>
    <n v="100"/>
  </r>
  <r>
    <s v="999098"/>
    <s v="Office Coordinator I"/>
    <s v="0100"/>
    <x v="75"/>
    <s v="3910"/>
    <x v="1"/>
    <s v="OneCard Operations"/>
    <x v="1"/>
    <x v="1"/>
    <s v="General Institutional"/>
    <s v="DES"/>
    <s v="Designated Funds"/>
    <n v="24579"/>
    <n v="24579"/>
    <n v="100"/>
  </r>
  <r>
    <s v="999777"/>
    <s v="Dir of OneCard Program"/>
    <s v="0100"/>
    <x v="75"/>
    <s v="3910"/>
    <x v="1"/>
    <s v="OneCard Operations"/>
    <x v="0"/>
    <x v="1"/>
    <s v="General Institutional"/>
    <s v="DES"/>
    <s v="Designated Funds"/>
    <n v="57412"/>
    <n v="57412"/>
    <n v="100"/>
  </r>
  <r>
    <s v="999211"/>
    <s v="Dir of Risk &amp; Emergency Mgmt"/>
    <s v="0100"/>
    <x v="76"/>
    <n v="3181"/>
    <x v="1"/>
    <s v="EHS and Risk Management"/>
    <x v="0"/>
    <x v="1"/>
    <s v="General Institutional"/>
    <s v="DES"/>
    <s v="Designated Funds"/>
    <n v="61000"/>
    <n v="61000"/>
    <n v="100"/>
  </r>
  <r>
    <s v="999501"/>
    <s v="Police Dispatcher"/>
    <s v="0100"/>
    <x v="77"/>
    <s v="3900"/>
    <x v="1"/>
    <s v="University Police"/>
    <x v="1"/>
    <x v="15"/>
    <s v="Campus Police"/>
    <s v="DES"/>
    <s v="Designated Funds"/>
    <n v="22388"/>
    <n v="22388"/>
    <n v="100"/>
  </r>
  <r>
    <s v="999503"/>
    <s v="Police Dispatcher"/>
    <s v="0100"/>
    <x v="77"/>
    <s v="3900"/>
    <x v="1"/>
    <s v="University Police"/>
    <x v="1"/>
    <x v="15"/>
    <s v="Campus Police"/>
    <s v="DES"/>
    <s v="Designated Funds"/>
    <n v="22500"/>
    <n v="22500"/>
    <n v="100"/>
  </r>
  <r>
    <s v="999057"/>
    <s v="Police Officer II"/>
    <s v="0100"/>
    <x v="77"/>
    <s v="3900"/>
    <x v="1"/>
    <s v="University Police"/>
    <x v="1"/>
    <x v="15"/>
    <s v="Campus Police"/>
    <s v="DES"/>
    <s v="Designated Funds"/>
    <n v="35411"/>
    <n v="35411"/>
    <n v="100"/>
  </r>
  <r>
    <s v="999497"/>
    <s v="Police Officer II"/>
    <s v="0100"/>
    <x v="77"/>
    <s v="3900"/>
    <x v="1"/>
    <s v="University Police"/>
    <x v="1"/>
    <x v="15"/>
    <s v="Campus Police"/>
    <s v="DES"/>
    <s v="Designated Funds"/>
    <n v="35411"/>
    <n v="35411"/>
    <n v="100"/>
  </r>
  <r>
    <s v="999498"/>
    <s v="Police Officer II"/>
    <s v="0100"/>
    <x v="77"/>
    <s v="3900"/>
    <x v="1"/>
    <s v="University Police"/>
    <x v="1"/>
    <x v="15"/>
    <s v="Campus Police"/>
    <s v="DES"/>
    <s v="Designated Funds"/>
    <n v="35411"/>
    <n v="35411"/>
    <n v="100"/>
  </r>
  <r>
    <s v="999499"/>
    <s v="Police Officer II"/>
    <s v="0100"/>
    <x v="77"/>
    <s v="3900"/>
    <x v="1"/>
    <s v="University Police"/>
    <x v="1"/>
    <x v="15"/>
    <s v="Campus Police"/>
    <s v="DES"/>
    <s v="Designated Funds"/>
    <n v="35411"/>
    <n v="35411"/>
    <n v="100"/>
  </r>
  <r>
    <s v="999494"/>
    <s v="Police Sergeant"/>
    <s v="0100"/>
    <x v="77"/>
    <s v="3900"/>
    <x v="1"/>
    <s v="University Police"/>
    <x v="1"/>
    <x v="15"/>
    <s v="Campus Police"/>
    <s v="DES"/>
    <s v="Designated Funds"/>
    <n v="42847"/>
    <n v="42847"/>
    <n v="100"/>
  </r>
  <r>
    <s v="999495"/>
    <s v="Police Sergeant"/>
    <s v="0100"/>
    <x v="77"/>
    <s v="3900"/>
    <x v="1"/>
    <s v="University Police"/>
    <x v="1"/>
    <x v="15"/>
    <s v="Campus Police"/>
    <s v="DES"/>
    <s v="Designated Funds"/>
    <n v="42847"/>
    <n v="42847"/>
    <n v="100"/>
  </r>
  <r>
    <s v="999493"/>
    <s v="Police Lieutenant"/>
    <s v="0100"/>
    <x v="77"/>
    <s v="3900"/>
    <x v="1"/>
    <s v="University Police"/>
    <x v="0"/>
    <x v="15"/>
    <s v="Campus Police"/>
    <s v="DES"/>
    <s v="Designated Funds"/>
    <n v="51845"/>
    <n v="51845"/>
    <n v="100"/>
  </r>
  <r>
    <s v="999961"/>
    <s v="Dir of Pub Saf/Chief of Police"/>
    <s v="0100"/>
    <x v="77"/>
    <s v="3900"/>
    <x v="1"/>
    <s v="University Police"/>
    <x v="0"/>
    <x v="15"/>
    <s v="Campus Police"/>
    <s v="DES"/>
    <s v="Designated Funds"/>
    <n v="77517"/>
    <n v="77517"/>
    <n v="100"/>
  </r>
  <r>
    <s v="999771"/>
    <s v="Assoc Dir, Spec Events Fac/Svc"/>
    <s v="0100"/>
    <x v="78"/>
    <s v="3210"/>
    <x v="1"/>
    <s v="Junell Center"/>
    <x v="0"/>
    <x v="1"/>
    <s v="General Institutional"/>
    <s v="DES"/>
    <s v="Designated Funds"/>
    <n v="49048"/>
    <n v="6867"/>
    <n v="14"/>
  </r>
  <r>
    <s v="998884"/>
    <s v="Scheduling Coordinator"/>
    <s v="0100"/>
    <x v="78"/>
    <s v="3210"/>
    <x v="1"/>
    <s v="Junell Center"/>
    <x v="1"/>
    <x v="1"/>
    <s v="General Institutional"/>
    <s v="DES"/>
    <s v="Designated Funds"/>
    <n v="31564"/>
    <n v="7891"/>
    <n v="25"/>
  </r>
  <r>
    <s v="999967"/>
    <s v="Exec Dir of Business Svcs"/>
    <s v="0100"/>
    <x v="78"/>
    <s v="3210"/>
    <x v="1"/>
    <s v="Junell Center"/>
    <x v="0"/>
    <x v="1"/>
    <s v="General Institutional"/>
    <s v="DES"/>
    <s v="Designated Funds"/>
    <n v="98857"/>
    <n v="20335"/>
    <n v="20.57"/>
  </r>
  <r>
    <s v="999097"/>
    <s v="Events Manager"/>
    <s v="0100"/>
    <x v="78"/>
    <s v="3210"/>
    <x v="1"/>
    <s v="Junell Center"/>
    <x v="0"/>
    <x v="1"/>
    <s v="General Institutional"/>
    <s v="DES"/>
    <s v="Designated Funds"/>
    <n v="32192"/>
    <n v="24144"/>
    <n v="75"/>
  </r>
  <r>
    <s v="998356"/>
    <s v="Office Manager"/>
    <s v="0100"/>
    <x v="79"/>
    <n v="6300"/>
    <x v="4"/>
    <s v="Alumni Relations"/>
    <x v="1"/>
    <x v="1"/>
    <s v="General Institutional"/>
    <s v="DES"/>
    <s v="Designated Funds"/>
    <n v="31000"/>
    <n v="31000"/>
    <n v="100"/>
  </r>
  <r>
    <s v="998357"/>
    <s v="Exec Dir, Alumni Association"/>
    <s v="0100"/>
    <x v="79"/>
    <n v="6300"/>
    <x v="4"/>
    <s v="Alumni Relations"/>
    <x v="0"/>
    <x v="1"/>
    <s v="General Institutional"/>
    <s v="DES"/>
    <s v="Designated Funds"/>
    <n v="34000"/>
    <n v="34000"/>
    <n v="100"/>
  </r>
  <r>
    <s v="998696"/>
    <s v="Secretary"/>
    <s v="0100"/>
    <x v="80"/>
    <s v="3052"/>
    <x v="1"/>
    <s v="Admin. Planning &amp; Special Projects"/>
    <x v="1"/>
    <x v="1"/>
    <s v="General Institutional"/>
    <s v="DES"/>
    <s v="Designated Funds"/>
    <n v="18750"/>
    <n v="18750"/>
    <n v="100"/>
  </r>
  <r>
    <s v="999960"/>
    <s v="Exec Dir Adm Plan &amp; Spec Proj."/>
    <s v="0100"/>
    <x v="80"/>
    <s v="3052"/>
    <x v="1"/>
    <s v="Admin. Planning &amp; Special Projects"/>
    <x v="0"/>
    <x v="1"/>
    <s v="General Institutional"/>
    <s v="DES"/>
    <s v="Designated Funds"/>
    <n v="69838"/>
    <n v="69838"/>
    <n v="100"/>
  </r>
  <r>
    <s v="999780"/>
    <s v="Ticket Manager"/>
    <s v="0100"/>
    <x v="81"/>
    <s v="3240"/>
    <x v="1"/>
    <s v="Ticket Office"/>
    <x v="0"/>
    <x v="1"/>
    <s v="General Institutional"/>
    <s v="DES"/>
    <s v="Designated Funds"/>
    <n v="37000"/>
    <n v="37000"/>
    <n v="100"/>
  </r>
  <r>
    <s v="999855"/>
    <s v="Admin Asst &amp; SACS/QEP Spec"/>
    <s v="0100"/>
    <x v="82"/>
    <s v="2140"/>
    <x v="2"/>
    <s v="Quality Enhancement Plan"/>
    <x v="1"/>
    <x v="1"/>
    <s v="General Institutional"/>
    <s v="DES"/>
    <s v="Designated Funds"/>
    <n v="37519"/>
    <n v="34519"/>
    <n v="92"/>
  </r>
  <r>
    <s v="998518"/>
    <s v="Professor/QEP Director"/>
    <s v="0100"/>
    <x v="82"/>
    <s v="2140"/>
    <x v="2"/>
    <s v="Quality Enhancement Plan"/>
    <x v="0"/>
    <x v="1"/>
    <s v="General Institutional"/>
    <s v="DES"/>
    <s v="Designated Funds"/>
    <n v="97529"/>
    <n v="55506"/>
    <n v="56.91"/>
  </r>
  <r>
    <s v="998781"/>
    <s v="AVP for Enrollment Mgmt"/>
    <s v="0100"/>
    <x v="83"/>
    <s v="5200"/>
    <x v="3"/>
    <s v="Enrollment Management"/>
    <x v="0"/>
    <x v="2"/>
    <s v="Student Services"/>
    <s v="DES"/>
    <s v="Designated Funds"/>
    <n v="120000"/>
    <n v="120000"/>
    <n v="100"/>
  </r>
  <r>
    <s v="999740"/>
    <s v="Senior Financial Aid Counselor"/>
    <s v="0100"/>
    <x v="84"/>
    <s v="5230"/>
    <x v="3"/>
    <s v="Financial Aid Office"/>
    <x v="0"/>
    <x v="2"/>
    <s v="Student Services"/>
    <s v="DES"/>
    <s v="Designated Funds"/>
    <n v="50292"/>
    <n v="50292"/>
    <n v="100"/>
  </r>
  <r>
    <s v="999741"/>
    <s v="Assoc Dir, Financial Aid"/>
    <s v="0100"/>
    <x v="84"/>
    <s v="5230"/>
    <x v="3"/>
    <s v="Financial Aid Office"/>
    <x v="0"/>
    <x v="2"/>
    <s v="Student Services"/>
    <s v="DES"/>
    <s v="Designated Funds"/>
    <n v="50292"/>
    <n v="50292"/>
    <n v="100"/>
  </r>
  <r>
    <s v="999964"/>
    <s v="Dir of Financial Aid"/>
    <s v="0100"/>
    <x v="84"/>
    <s v="5230"/>
    <x v="3"/>
    <s v="Financial Aid Office"/>
    <x v="0"/>
    <x v="2"/>
    <s v="Student Services"/>
    <s v="DES"/>
    <s v="Designated Funds"/>
    <n v="62732"/>
    <n v="62732"/>
    <n v="100"/>
  </r>
  <r>
    <s v="998457"/>
    <s v="Asst Dir of Transfer Services"/>
    <s v="0100"/>
    <x v="85"/>
    <s v="5210"/>
    <x v="3"/>
    <s v="Admissions Office"/>
    <x v="0"/>
    <x v="2"/>
    <s v="Student Services"/>
    <s v="DES"/>
    <s v="Designated Funds"/>
    <n v="50000"/>
    <n v="2500"/>
    <n v="5"/>
  </r>
  <r>
    <s v="998512"/>
    <s v="Interim Dir, Admissions"/>
    <s v="0100"/>
    <x v="85"/>
    <s v="5210"/>
    <x v="3"/>
    <s v="Admissions Office"/>
    <x v="0"/>
    <x v="2"/>
    <s v="Student Services"/>
    <s v="DES"/>
    <s v="Designated Funds"/>
    <n v="67398"/>
    <n v="67398"/>
    <n v="100"/>
  </r>
  <r>
    <s v="999901"/>
    <s v="Career Counselor"/>
    <s v="0100"/>
    <x v="86"/>
    <s v="5220"/>
    <x v="3"/>
    <s v="Career Development"/>
    <x v="0"/>
    <x v="2"/>
    <s v="Student Services"/>
    <s v="DES"/>
    <s v="Designated Funds"/>
    <n v="32192"/>
    <n v="4466"/>
    <n v="13.87"/>
  </r>
  <r>
    <s v="999973"/>
    <s v="Dir of Career Development"/>
    <s v="0100"/>
    <x v="86"/>
    <s v="5220"/>
    <x v="3"/>
    <s v="Career Development"/>
    <x v="0"/>
    <x v="2"/>
    <s v="Student Services"/>
    <s v="DES"/>
    <s v="Designated Funds"/>
    <n v="56965"/>
    <n v="53542"/>
    <n v="93.99"/>
  </r>
  <r>
    <s v="999738"/>
    <s v="Leadership Development Coord"/>
    <s v="0100"/>
    <x v="87"/>
    <s v="5100"/>
    <x v="3"/>
    <s v="Office of Exec Dir of Student Life"/>
    <x v="0"/>
    <x v="2"/>
    <s v="Student Services"/>
    <s v="DES"/>
    <s v="Designated Funds"/>
    <n v="32192"/>
    <n v="13521"/>
    <n v="42"/>
  </r>
  <r>
    <s v="999894"/>
    <s v="Office Coordinator I"/>
    <s v="0100"/>
    <x v="87"/>
    <s v="5100"/>
    <x v="3"/>
    <s v="Office of Exec Dir of Student Life"/>
    <x v="1"/>
    <x v="2"/>
    <s v="Student Services"/>
    <s v="DES"/>
    <s v="Designated Funds"/>
    <n v="28500"/>
    <n v="28500"/>
    <n v="100"/>
  </r>
  <r>
    <s v="999760"/>
    <s v="Exec Dir of Student Life"/>
    <s v="0100"/>
    <x v="87"/>
    <s v="5100"/>
    <x v="3"/>
    <s v="Office of Exec Dir of Student Life"/>
    <x v="0"/>
    <x v="2"/>
    <s v="Student Services"/>
    <s v="DES"/>
    <s v="Designated Funds"/>
    <n v="73390"/>
    <n v="73390"/>
    <n v="100"/>
  </r>
  <r>
    <s v="998527"/>
    <s v="Tutoring Center &amp; SI Coord"/>
    <s v="0100"/>
    <x v="88"/>
    <s v="2240"/>
    <x v="2"/>
    <s v="First Year Experience"/>
    <x v="0"/>
    <x v="2"/>
    <s v="Student Services"/>
    <s v="DES"/>
    <s v="Designated Funds"/>
    <n v="32000"/>
    <n v="15360"/>
    <n v="48"/>
  </r>
  <r>
    <s v="998909"/>
    <s v="Student Organizations Coor"/>
    <s v="0100"/>
    <x v="89"/>
    <s v="5110"/>
    <x v="3"/>
    <s v="Student Involvement"/>
    <x v="0"/>
    <x v="2"/>
    <s v="Student Services"/>
    <s v="DES"/>
    <s v="Designated Funds"/>
    <n v="33000"/>
    <n v="33000"/>
    <n v="100"/>
  </r>
  <r>
    <s v="999746"/>
    <s v="Lead Admissions Counselor"/>
    <s v="0100"/>
    <x v="90"/>
    <s v="5210"/>
    <x v="3"/>
    <s v="Pre-Enrollment Advising &amp; Visit"/>
    <x v="0"/>
    <x v="2"/>
    <s v="Student Services"/>
    <s v="DES"/>
    <s v="Designated Funds"/>
    <n v="35411"/>
    <n v="31870"/>
    <n v="90"/>
  </r>
  <r>
    <s v="998678"/>
    <s v="Educational Guidance Advisor"/>
    <s v="0100"/>
    <x v="91"/>
    <s v="1700"/>
    <x v="0"/>
    <s v="Multicultural Relations"/>
    <x v="0"/>
    <x v="2"/>
    <s v="Student Services"/>
    <s v="DES"/>
    <s v="Designated Funds"/>
    <n v="33000"/>
    <n v="11748"/>
    <n v="35.6"/>
  </r>
  <r>
    <s v="999782"/>
    <s v="Assoc Dir, Multicultural"/>
    <s v="0100"/>
    <x v="91"/>
    <s v="1700"/>
    <x v="0"/>
    <s v="Multicultural Relations"/>
    <x v="0"/>
    <x v="2"/>
    <s v="Student Services"/>
    <s v="DES"/>
    <s v="Designated Funds"/>
    <n v="41250"/>
    <n v="22704"/>
    <n v="55.04"/>
  </r>
  <r>
    <s v="998819"/>
    <s v="Office Coordinator I"/>
    <s v="0100"/>
    <x v="91"/>
    <s v="1700"/>
    <x v="0"/>
    <s v="Multicultural Relations"/>
    <x v="1"/>
    <x v="2"/>
    <s v="Student Services"/>
    <s v="DES"/>
    <s v="Designated Funds"/>
    <n v="25000"/>
    <n v="25000"/>
    <n v="100"/>
  </r>
  <r>
    <s v="998833"/>
    <s v="Multicultural Prog. Specialist"/>
    <s v="0100"/>
    <x v="91"/>
    <s v="1700"/>
    <x v="0"/>
    <s v="Multicultural Relations"/>
    <x v="0"/>
    <x v="2"/>
    <s v="Student Services"/>
    <s v="DES"/>
    <s v="Designated Funds"/>
    <n v="33530"/>
    <n v="33000"/>
    <n v="98.42"/>
  </r>
  <r>
    <s v="998785"/>
    <s v="Multicultural Prog. Specialist"/>
    <s v="0100"/>
    <x v="92"/>
    <s v="1700"/>
    <x v="0"/>
    <s v="Multicultural Center"/>
    <x v="0"/>
    <x v="2"/>
    <s v="Student Services"/>
    <s v="DES"/>
    <s v="Designated Funds"/>
    <n v="32192"/>
    <n v="32192"/>
    <n v="100"/>
  </r>
  <r>
    <s v="998888"/>
    <s v="Secretary"/>
    <s v="0100"/>
    <x v="93"/>
    <s v="2051"/>
    <x v="2"/>
    <s v="Center for International Studies"/>
    <x v="1"/>
    <x v="2"/>
    <s v="Student Services"/>
    <s v="DES"/>
    <s v="Designated Funds"/>
    <n v="24000"/>
    <n v="18000"/>
    <n v="75"/>
  </r>
  <r>
    <s v="998890"/>
    <s v="Office Coordinator II"/>
    <s v="0100"/>
    <x v="93"/>
    <s v="2051"/>
    <x v="2"/>
    <s v="Center for International Studies"/>
    <x v="1"/>
    <x v="2"/>
    <s v="Student Services"/>
    <s v="DES"/>
    <s v="Designated Funds"/>
    <n v="36043"/>
    <n v="18022"/>
    <n v="50"/>
  </r>
  <r>
    <s v="998889"/>
    <s v="Int'l Student Serv Counselor"/>
    <s v="0100"/>
    <x v="93"/>
    <s v="2051"/>
    <x v="2"/>
    <s v="Center for International Studies"/>
    <x v="0"/>
    <x v="2"/>
    <s v="Student Services"/>
    <s v="DES"/>
    <s v="Designated Funds"/>
    <n v="40000"/>
    <n v="30000"/>
    <n v="75"/>
  </r>
  <r>
    <s v="998840"/>
    <s v="English Lang Learners Coord"/>
    <s v="0100"/>
    <x v="93"/>
    <s v="2051"/>
    <x v="2"/>
    <s v="Center for International Studies"/>
    <x v="0"/>
    <x v="2"/>
    <s v="Student Services"/>
    <s v="DES"/>
    <s v="Designated Funds"/>
    <n v="45000"/>
    <n v="45000"/>
    <n v="100"/>
  </r>
  <r>
    <s v="998442"/>
    <s v="Office Coordinator II"/>
    <s v="0100"/>
    <x v="94"/>
    <s v="2430"/>
    <x v="2"/>
    <s v="English and Modern Languages"/>
    <x v="1"/>
    <x v="3"/>
    <s v="Arts and Sciences"/>
    <s v="DES"/>
    <s v="Designated Funds"/>
    <n v="28000"/>
    <n v="28000"/>
    <n v="100"/>
  </r>
  <r>
    <s v="999887"/>
    <s v="Office Coordinator II"/>
    <s v="0100"/>
    <x v="95"/>
    <s v="2440"/>
    <x v="2"/>
    <s v="Political Science"/>
    <x v="1"/>
    <x v="3"/>
    <s v="Arts and Sciences"/>
    <s v="DES"/>
    <s v="Designated Funds"/>
    <n v="28770"/>
    <n v="28770"/>
    <n v="100"/>
  </r>
  <r>
    <s v="998441"/>
    <s v="Office Coordinator II"/>
    <s v="0100"/>
    <x v="96"/>
    <s v="2450"/>
    <x v="2"/>
    <s v="History"/>
    <x v="1"/>
    <x v="3"/>
    <s v="Arts and Sciences"/>
    <s v="DES"/>
    <s v="Designated Funds"/>
    <n v="30000"/>
    <n v="30000"/>
    <n v="100"/>
  </r>
  <r>
    <s v="998440"/>
    <s v="Office Coordinator II"/>
    <s v="0100"/>
    <x v="97"/>
    <s v="2465"/>
    <x v="2"/>
    <s v="Mathematics and Computer Science"/>
    <x v="1"/>
    <x v="3"/>
    <s v="Arts and Sciences"/>
    <s v="DES"/>
    <s v="Designated Funds"/>
    <n v="30000"/>
    <n v="30000"/>
    <n v="100"/>
  </r>
  <r>
    <s v="999932"/>
    <s v="Writing Center Coordinator"/>
    <s v="0100"/>
    <x v="98"/>
    <s v="2430"/>
    <x v="2"/>
    <s v="Writing Center"/>
    <x v="0"/>
    <x v="7"/>
    <s v="Other Instructional &amp; Departmental"/>
    <s v="DES"/>
    <s v="Designated Funds"/>
    <n v="14633"/>
    <n v="14633"/>
    <n v="100"/>
  </r>
  <r>
    <s v="999855"/>
    <s v="Admin Asst &amp; SACS/QEP Spec"/>
    <s v="0100"/>
    <x v="99"/>
    <n v="2056"/>
    <x v="2"/>
    <s v="SACS Accreditation"/>
    <x v="1"/>
    <x v="7"/>
    <s v="Other Instructional &amp; Departmental"/>
    <s v="DES"/>
    <s v="Designated Funds"/>
    <n v="37519"/>
    <n v="3000"/>
    <n v="8"/>
  </r>
  <r>
    <s v="999839"/>
    <s v="Exec Asst to the Provost"/>
    <s v="0100"/>
    <x v="100"/>
    <s v="2050"/>
    <x v="2"/>
    <s v="Instr Planning &amp; Faculty Recruitmnt"/>
    <x v="0"/>
    <x v="8"/>
    <s v="Academic Administration"/>
    <s v="DES"/>
    <s v="Designated Funds"/>
    <n v="52000"/>
    <n v="26000"/>
    <n v="50"/>
  </r>
  <r>
    <s v="999793"/>
    <s v="Librarian, Ref &amp; Govt Info"/>
    <s v="0100"/>
    <x v="101"/>
    <s v="2052"/>
    <x v="2"/>
    <s v="Library"/>
    <x v="0"/>
    <x v="10"/>
    <s v="Library"/>
    <s v="DES"/>
    <s v="Designated Funds"/>
    <n v="41000"/>
    <n v="41000"/>
    <n v="100"/>
  </r>
  <r>
    <s v="999794"/>
    <s v="Librarian, Multimedia Supp Svc"/>
    <s v="0100"/>
    <x v="101"/>
    <s v="2052"/>
    <x v="2"/>
    <s v="Library"/>
    <x v="0"/>
    <x v="10"/>
    <s v="Library"/>
    <s v="DES"/>
    <s v="Designated Funds"/>
    <n v="44647"/>
    <n v="44647"/>
    <n v="100"/>
  </r>
  <r>
    <s v="999790"/>
    <s v="Librarian, Acquisitions"/>
    <s v="0100"/>
    <x v="101"/>
    <s v="2052"/>
    <x v="2"/>
    <s v="Library"/>
    <x v="0"/>
    <x v="10"/>
    <s v="Library"/>
    <s v="DES"/>
    <s v="Designated Funds"/>
    <n v="49000"/>
    <n v="49000"/>
    <n v="100"/>
  </r>
  <r>
    <s v="999789"/>
    <s v="Head of Lib Reference Svcs"/>
    <s v="0100"/>
    <x v="101"/>
    <s v="2052"/>
    <x v="2"/>
    <s v="Library"/>
    <x v="0"/>
    <x v="10"/>
    <s v="Library"/>
    <s v="DES"/>
    <s v="Designated Funds"/>
    <n v="52576"/>
    <n v="52576"/>
    <n v="100"/>
  </r>
  <r>
    <s v="999788"/>
    <s v="Head of Lib Access Svcs"/>
    <s v="0100"/>
    <x v="101"/>
    <s v="2052"/>
    <x v="2"/>
    <s v="Library"/>
    <x v="0"/>
    <x v="10"/>
    <s v="Library"/>
    <s v="DES"/>
    <s v="Designated Funds"/>
    <n v="53747"/>
    <n v="53747"/>
    <n v="100"/>
  </r>
  <r>
    <s v="999791"/>
    <s v="Head of Library Technical Svs"/>
    <s v="0100"/>
    <x v="101"/>
    <s v="2052"/>
    <x v="2"/>
    <s v="Library"/>
    <x v="0"/>
    <x v="10"/>
    <s v="Library"/>
    <s v="DES"/>
    <s v="Designated Funds"/>
    <n v="59034"/>
    <n v="59034"/>
    <n v="100"/>
  </r>
  <r>
    <s v="999956"/>
    <s v="Exec Dir of Library Services"/>
    <s v="0100"/>
    <x v="101"/>
    <s v="2052"/>
    <x v="2"/>
    <s v="Library"/>
    <x v="0"/>
    <x v="10"/>
    <s v="Library"/>
    <s v="DES"/>
    <s v="Designated Funds"/>
    <n v="105144"/>
    <n v="105144"/>
    <n v="100"/>
  </r>
  <r>
    <s v="998749"/>
    <s v="Fac Mgt Business Manager"/>
    <s v="0100"/>
    <x v="102"/>
    <s v="3500"/>
    <x v="1"/>
    <s v="Facilities Mgmt  Operations"/>
    <x v="0"/>
    <x v="11"/>
    <s v="Operation &amp; Maintenance of Plant"/>
    <s v="DES"/>
    <s v="Designated Funds"/>
    <n v="35411"/>
    <n v="35411"/>
    <n v="100"/>
  </r>
  <r>
    <s v="998698"/>
    <s v="Access Control Technician"/>
    <s v="0100"/>
    <x v="103"/>
    <s v="3550"/>
    <x v="1"/>
    <s v="Building Maintenance"/>
    <x v="1"/>
    <x v="11"/>
    <s v="Operation &amp; Maintenance of Plant"/>
    <s v="DES"/>
    <s v="Designated Funds"/>
    <n v="26605"/>
    <n v="26605"/>
    <n v="100"/>
  </r>
  <r>
    <s v="999529"/>
    <s v="Painter"/>
    <s v="0100"/>
    <x v="103"/>
    <s v="3550"/>
    <x v="1"/>
    <s v="Building Maintenance"/>
    <x v="1"/>
    <x v="11"/>
    <s v="Operation &amp; Maintenance of Plant"/>
    <s v="DES"/>
    <s v="Designated Funds"/>
    <n v="29265"/>
    <n v="29265"/>
    <n v="100"/>
  </r>
  <r>
    <s v="999512"/>
    <s v="HVAC Technician"/>
    <s v="0100"/>
    <x v="103"/>
    <s v="3550"/>
    <x v="1"/>
    <s v="Building Maintenance"/>
    <x v="1"/>
    <x v="11"/>
    <s v="Operation &amp; Maintenance of Plant"/>
    <s v="DES"/>
    <s v="Designated Funds"/>
    <n v="36612"/>
    <n v="36612"/>
    <n v="100"/>
  </r>
  <r>
    <s v="999508"/>
    <s v="HVAC Technician"/>
    <s v="0100"/>
    <x v="103"/>
    <s v="3550"/>
    <x v="1"/>
    <s v="Building Maintenance"/>
    <x v="1"/>
    <x v="11"/>
    <s v="Operation &amp; Maintenance of Plant"/>
    <s v="DES"/>
    <s v="Designated Funds"/>
    <n v="39664"/>
    <n v="39664"/>
    <n v="100"/>
  </r>
  <r>
    <s v="999518"/>
    <s v="Senior Electrician"/>
    <s v="0100"/>
    <x v="103"/>
    <s v="3550"/>
    <x v="1"/>
    <s v="Building Maintenance"/>
    <x v="1"/>
    <x v="11"/>
    <s v="Operation &amp; Maintenance of Plant"/>
    <s v="DES"/>
    <s v="Designated Funds"/>
    <n v="41750"/>
    <n v="41750"/>
    <n v="100"/>
  </r>
  <r>
    <s v="999516"/>
    <s v="Senior Electrician"/>
    <s v="0100"/>
    <x v="103"/>
    <s v="3550"/>
    <x v="1"/>
    <s v="Building Maintenance"/>
    <x v="1"/>
    <x v="11"/>
    <s v="Operation &amp; Maintenance of Plant"/>
    <s v="DES"/>
    <s v="Designated Funds"/>
    <n v="42000"/>
    <n v="42000"/>
    <n v="100"/>
  </r>
  <r>
    <s v="999957"/>
    <s v="Dir, Facilities Management"/>
    <s v="0100"/>
    <x v="103"/>
    <s v="3550"/>
    <x v="1"/>
    <s v="Building Maintenance"/>
    <x v="0"/>
    <x v="11"/>
    <s v="Operation &amp; Maintenance of Plant"/>
    <s v="DES"/>
    <s v="Designated Funds"/>
    <n v="85911"/>
    <n v="42955"/>
    <n v="50"/>
  </r>
  <r>
    <s v="999517"/>
    <s v="Senior Electrician"/>
    <s v="0100"/>
    <x v="103"/>
    <s v="3550"/>
    <x v="1"/>
    <s v="Building Maintenance"/>
    <x v="1"/>
    <x v="11"/>
    <s v="Operation &amp; Maintenance of Plant"/>
    <s v="DES"/>
    <s v="Designated Funds"/>
    <n v="43031"/>
    <n v="43031"/>
    <n v="100"/>
  </r>
  <r>
    <s v="999769"/>
    <s v="Assoc Director Building Svcs"/>
    <s v="0100"/>
    <x v="103"/>
    <s v="3550"/>
    <x v="1"/>
    <s v="Building Maintenance"/>
    <x v="0"/>
    <x v="11"/>
    <s v="Operation &amp; Maintenance of Plant"/>
    <s v="DES"/>
    <s v="Designated Funds"/>
    <n v="52846"/>
    <n v="52846"/>
    <n v="100"/>
  </r>
  <r>
    <s v="999514"/>
    <s v="Energy Control Technician"/>
    <s v="0100"/>
    <x v="104"/>
    <s v="3550"/>
    <x v="1"/>
    <s v="Junell Center Plant Operations"/>
    <x v="1"/>
    <x v="11"/>
    <s v="Operation &amp; Maintenance of Plant"/>
    <s v="DES"/>
    <s v="Designated Funds"/>
    <n v="38361"/>
    <n v="34861"/>
    <n v="90.88"/>
  </r>
  <r>
    <s v="999991"/>
    <s v="Accountant, Accts Receivable"/>
    <s v="0117"/>
    <x v="105"/>
    <s v="3300"/>
    <x v="1"/>
    <s v="Controller's Office"/>
    <x v="0"/>
    <x v="1"/>
    <s v="General Institutional"/>
    <s v="DES"/>
    <s v="Designated Funds"/>
    <n v="38000"/>
    <n v="19000"/>
    <n v="50"/>
  </r>
  <r>
    <s v="998697"/>
    <s v="Student Accts Coordinator"/>
    <s v="0117"/>
    <x v="105"/>
    <s v="3300"/>
    <x v="1"/>
    <s v="Controller's Office"/>
    <x v="1"/>
    <x v="1"/>
    <s v="General Institutional"/>
    <s v="DES"/>
    <s v="Designated Funds"/>
    <n v="22000"/>
    <n v="22000"/>
    <n v="100"/>
  </r>
  <r>
    <s v="999926"/>
    <s v="Head Cashier"/>
    <s v="0117"/>
    <x v="105"/>
    <s v="3300"/>
    <x v="1"/>
    <s v="Controller's Office"/>
    <x v="1"/>
    <x v="1"/>
    <s v="General Institutional"/>
    <s v="DES"/>
    <s v="Designated Funds"/>
    <n v="23138"/>
    <n v="23138"/>
    <n v="100"/>
  </r>
  <r>
    <s v="999994"/>
    <s v="Student Accts Collection Coord"/>
    <s v="0117"/>
    <x v="105"/>
    <s v="3300"/>
    <x v="1"/>
    <s v="Controller's Office"/>
    <x v="1"/>
    <x v="1"/>
    <s v="General Institutional"/>
    <s v="DES"/>
    <s v="Designated Funds"/>
    <n v="23542"/>
    <n v="23542"/>
    <n v="100"/>
  </r>
  <r>
    <s v="999763"/>
    <s v="Bursar"/>
    <s v="0117"/>
    <x v="105"/>
    <s v="3300"/>
    <x v="1"/>
    <s v="Controller's Office"/>
    <x v="0"/>
    <x v="1"/>
    <s v="General Institutional"/>
    <s v="DES"/>
    <s v="Designated Funds"/>
    <n v="44725"/>
    <n v="44725"/>
    <n v="100"/>
  </r>
  <r>
    <s v="998370"/>
    <s v="Coord of Test Ctr/Dual Credit"/>
    <s v="0117"/>
    <x v="106"/>
    <s v="5240"/>
    <x v="3"/>
    <s v="Office of the Registrar"/>
    <x v="0"/>
    <x v="2"/>
    <s v="Student Services"/>
    <s v="DES"/>
    <s v="Designated Funds"/>
    <n v="56000"/>
    <n v="13726"/>
    <n v="24.51"/>
  </r>
  <r>
    <s v="998977"/>
    <s v="Registration Asst I"/>
    <s v="0117"/>
    <x v="106"/>
    <s v="5240"/>
    <x v="3"/>
    <s v="Office of the Registrar"/>
    <x v="1"/>
    <x v="2"/>
    <s v="Student Services"/>
    <s v="DES"/>
    <s v="Designated Funds"/>
    <n v="21987"/>
    <n v="21987"/>
    <n v="100"/>
  </r>
  <r>
    <s v="999912"/>
    <s v="Registration Asst I"/>
    <s v="0117"/>
    <x v="106"/>
    <s v="5240"/>
    <x v="3"/>
    <s v="Office of the Registrar"/>
    <x v="1"/>
    <x v="2"/>
    <s v="Student Services"/>
    <s v="DES"/>
    <s v="Designated Funds"/>
    <n v="21987"/>
    <n v="21987"/>
    <n v="100"/>
  </r>
  <r>
    <s v="999914"/>
    <s v="Registration Asst I"/>
    <s v="0117"/>
    <x v="106"/>
    <s v="5240"/>
    <x v="3"/>
    <s v="Office of the Registrar"/>
    <x v="1"/>
    <x v="2"/>
    <s v="Student Services"/>
    <s v="DES"/>
    <s v="Designated Funds"/>
    <n v="21987"/>
    <n v="21987"/>
    <n v="100"/>
  </r>
  <r>
    <s v="999904"/>
    <s v="Office Coordinator I"/>
    <s v="0117"/>
    <x v="106"/>
    <s v="5240"/>
    <x v="3"/>
    <s v="Office of the Registrar"/>
    <x v="1"/>
    <x v="2"/>
    <s v="Student Services"/>
    <s v="DES"/>
    <s v="Designated Funds"/>
    <n v="27186"/>
    <n v="27186"/>
    <n v="100"/>
  </r>
  <r>
    <s v="998594"/>
    <s v="Registrar Services Specialist"/>
    <s v="0117"/>
    <x v="106"/>
    <s v="5240"/>
    <x v="3"/>
    <s v="Office of the Registrar"/>
    <x v="0"/>
    <x v="2"/>
    <s v="Student Services"/>
    <s v="DES"/>
    <s v="Designated Funds"/>
    <n v="32192"/>
    <n v="32192"/>
    <n v="100"/>
  </r>
  <r>
    <s v="999876"/>
    <s v="Interim Assistant Director"/>
    <s v="0117"/>
    <x v="106"/>
    <s v="5240"/>
    <x v="3"/>
    <s v="Office of the Registrar"/>
    <x v="0"/>
    <x v="2"/>
    <s v="Student Services"/>
    <s v="DES"/>
    <s v="Designated Funds"/>
    <n v="40723"/>
    <n v="40723"/>
    <n v="100"/>
  </r>
  <r>
    <s v="999770"/>
    <s v="Asst Dir of Registrar Svcs"/>
    <s v="0117"/>
    <x v="106"/>
    <s v="5240"/>
    <x v="3"/>
    <s v="Office of the Registrar"/>
    <x v="0"/>
    <x v="2"/>
    <s v="Student Services"/>
    <s v="DES"/>
    <s v="Designated Funds"/>
    <n v="47132"/>
    <n v="47132"/>
    <n v="100"/>
  </r>
  <r>
    <s v="999757"/>
    <s v="Dir of Registrar Services"/>
    <s v="0117"/>
    <x v="106"/>
    <s v="5240"/>
    <x v="3"/>
    <s v="Office of the Registrar"/>
    <x v="0"/>
    <x v="2"/>
    <s v="Student Services"/>
    <s v="DES"/>
    <s v="Designated Funds"/>
    <n v="76500"/>
    <n v="76500"/>
    <n v="100"/>
  </r>
  <r>
    <s v="998979"/>
    <s v="Secretary"/>
    <s v="0117"/>
    <x v="85"/>
    <s v="5210"/>
    <x v="3"/>
    <s v="Admissions Office"/>
    <x v="1"/>
    <x v="2"/>
    <s v="Student Services"/>
    <s v="DES"/>
    <s v="Designated Funds"/>
    <n v="24986"/>
    <n v="11382"/>
    <n v="45.55"/>
  </r>
  <r>
    <s v="999913"/>
    <s v="Admissions Assistant I"/>
    <s v="0117"/>
    <x v="85"/>
    <s v="5210"/>
    <x v="3"/>
    <s v="Admissions Office"/>
    <x v="1"/>
    <x v="2"/>
    <s v="Student Services"/>
    <s v="DES"/>
    <s v="Designated Funds"/>
    <n v="22500"/>
    <n v="22500"/>
    <n v="100"/>
  </r>
  <r>
    <s v="999929"/>
    <s v="Admissions Assistant I"/>
    <s v="0117"/>
    <x v="85"/>
    <s v="5210"/>
    <x v="3"/>
    <s v="Admissions Office"/>
    <x v="1"/>
    <x v="2"/>
    <s v="Student Services"/>
    <s v="DES"/>
    <s v="Designated Funds"/>
    <n v="23000"/>
    <n v="23000"/>
    <n v="100"/>
  </r>
  <r>
    <s v="998885"/>
    <s v="Admiss Counselor"/>
    <s v="0117"/>
    <x v="85"/>
    <s v="5210"/>
    <x v="3"/>
    <s v="Admissions Office"/>
    <x v="0"/>
    <x v="2"/>
    <s v="Student Services"/>
    <s v="DES"/>
    <s v="Designated Funds"/>
    <n v="32192"/>
    <n v="32192"/>
    <n v="100"/>
  </r>
  <r>
    <s v="999096"/>
    <s v="Transfer Admissions Counselor"/>
    <s v="0117"/>
    <x v="85"/>
    <s v="5210"/>
    <x v="3"/>
    <s v="Admissions Office"/>
    <x v="0"/>
    <x v="2"/>
    <s v="Student Services"/>
    <s v="DES"/>
    <s v="Designated Funds"/>
    <n v="32192"/>
    <n v="32192"/>
    <n v="100"/>
  </r>
  <r>
    <s v="999747"/>
    <s v="Admissions Counselor"/>
    <s v="0117"/>
    <x v="85"/>
    <s v="5210"/>
    <x v="3"/>
    <s v="Admissions Office"/>
    <x v="0"/>
    <x v="2"/>
    <s v="Student Services"/>
    <s v="DES"/>
    <s v="Designated Funds"/>
    <n v="32192"/>
    <n v="32192"/>
    <n v="100"/>
  </r>
  <r>
    <s v="998621"/>
    <s v="Administrative Assistant"/>
    <s v="0117"/>
    <x v="85"/>
    <s v="5210"/>
    <x v="3"/>
    <s v="Admissions Office"/>
    <x v="1"/>
    <x v="2"/>
    <s v="Student Services"/>
    <s v="DES"/>
    <s v="Designated Funds"/>
    <n v="39706"/>
    <n v="39706"/>
    <n v="100"/>
  </r>
  <r>
    <s v="999847"/>
    <s v="Asst Dir of Admissions"/>
    <s v="0117"/>
    <x v="85"/>
    <s v="5210"/>
    <x v="3"/>
    <s v="Admissions Office"/>
    <x v="0"/>
    <x v="2"/>
    <s v="Student Services"/>
    <s v="DES"/>
    <s v="Designated Funds"/>
    <n v="51000"/>
    <n v="51000"/>
    <n v="100"/>
  </r>
  <r>
    <s v="999772"/>
    <s v="Assoc Dir of Admissions"/>
    <s v="0117"/>
    <x v="85"/>
    <s v="5210"/>
    <x v="3"/>
    <s v="Admissions Office"/>
    <x v="0"/>
    <x v="2"/>
    <s v="Student Services"/>
    <s v="DES"/>
    <s v="Designated Funds"/>
    <n v="64000"/>
    <n v="64000"/>
    <n v="100"/>
  </r>
  <r>
    <s v="999238"/>
    <s v="Dir, Recruit Serv &amp; Admissions"/>
    <s v="0117"/>
    <x v="85"/>
    <s v="5210"/>
    <x v="3"/>
    <s v="Admissions Office"/>
    <x v="0"/>
    <x v="2"/>
    <s v="Student Services"/>
    <s v="DES"/>
    <s v="Designated Funds"/>
    <n v="76000"/>
    <n v="76000"/>
    <n v="100"/>
  </r>
  <r>
    <s v="998979"/>
    <s v="Secretary"/>
    <s v="0117"/>
    <x v="90"/>
    <s v="5210"/>
    <x v="3"/>
    <s v="Pre-Enrollment Advising &amp; Visit"/>
    <x v="1"/>
    <x v="2"/>
    <s v="Student Services"/>
    <s v="DES"/>
    <s v="Designated Funds"/>
    <n v="24986"/>
    <n v="13604"/>
    <n v="54.45"/>
  </r>
  <r>
    <s v="999745"/>
    <s v="Admissions Counselor"/>
    <s v="0117"/>
    <x v="90"/>
    <s v="5210"/>
    <x v="3"/>
    <s v="Pre-Enrollment Advising &amp; Visit"/>
    <x v="0"/>
    <x v="2"/>
    <s v="Student Services"/>
    <s v="DES"/>
    <s v="Designated Funds"/>
    <n v="32192"/>
    <n v="32192"/>
    <n v="100"/>
  </r>
  <r>
    <s v="999778"/>
    <s v="Assoc Dir of Admissions"/>
    <s v="0117"/>
    <x v="90"/>
    <s v="5210"/>
    <x v="3"/>
    <s v="Pre-Enrollment Advising &amp; Visit"/>
    <x v="0"/>
    <x v="2"/>
    <s v="Student Services"/>
    <s v="DES"/>
    <s v="Designated Funds"/>
    <n v="50000"/>
    <n v="50000"/>
    <n v="100"/>
  </r>
  <r>
    <m/>
    <m/>
    <m/>
    <x v="107"/>
    <m/>
    <x v="5"/>
    <m/>
    <x v="3"/>
    <x v="16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32">
  <r>
    <x v="0"/>
    <x v="0"/>
    <x v="0"/>
    <x v="0"/>
    <x v="0"/>
    <x v="0"/>
    <x v="0"/>
    <x v="0"/>
    <s v="Morales, Adelina C."/>
    <n v="138330"/>
    <s v="0.00"/>
    <n v="138330"/>
    <n v="138250"/>
    <n v="0"/>
    <n v="0"/>
    <n v="0"/>
    <n v="0"/>
    <n v="138250"/>
    <n v="80"/>
  </r>
  <r>
    <x v="1"/>
    <x v="0"/>
    <x v="0"/>
    <x v="0"/>
    <x v="0"/>
    <x v="0"/>
    <x v="0"/>
    <x v="0"/>
    <s v="Morales, Adelina C."/>
    <n v="65945"/>
    <s v="0.00"/>
    <n v="65945"/>
    <n v="38747.94"/>
    <n v="0"/>
    <n v="0"/>
    <n v="0"/>
    <n v="0"/>
    <n v="38747.94"/>
    <n v="27197.06"/>
  </r>
  <r>
    <x v="0"/>
    <x v="1"/>
    <x v="1"/>
    <x v="1"/>
    <x v="0"/>
    <x v="0"/>
    <x v="1"/>
    <x v="1"/>
    <s v="May, Brian J."/>
    <n v="0"/>
    <s v="0.00"/>
    <n v="0"/>
    <n v="146.9"/>
    <n v="0"/>
    <n v="0"/>
    <n v="0"/>
    <n v="0"/>
    <n v="146.9"/>
    <n v="0"/>
  </r>
  <r>
    <x v="0"/>
    <x v="2"/>
    <x v="2"/>
    <x v="1"/>
    <x v="0"/>
    <x v="0"/>
    <x v="2"/>
    <x v="2"/>
    <s v="Allen, Nancy G."/>
    <n v="11002.49"/>
    <n v="652.49"/>
    <n v="10350"/>
    <n v="0"/>
    <n v="0"/>
    <n v="0"/>
    <n v="5367.56"/>
    <n v="0"/>
    <n v="5367.56"/>
    <n v="4910.43"/>
  </r>
  <r>
    <x v="0"/>
    <x v="3"/>
    <x v="3"/>
    <x v="0"/>
    <x v="0"/>
    <x v="0"/>
    <x v="3"/>
    <x v="3"/>
    <s v="Lewis, John P."/>
    <n v="401723"/>
    <s v="0.00"/>
    <n v="401723"/>
    <n v="393771.52000000002"/>
    <n v="1370.25"/>
    <n v="0"/>
    <n v="0"/>
    <n v="0"/>
    <n v="395141.77"/>
    <n v="-22812.46"/>
  </r>
  <r>
    <x v="1"/>
    <x v="3"/>
    <x v="3"/>
    <x v="0"/>
    <x v="0"/>
    <x v="0"/>
    <x v="3"/>
    <x v="3"/>
    <s v="Lewis, John P."/>
    <n v="168638"/>
    <s v="0.00"/>
    <n v="168638"/>
    <n v="99341.14"/>
    <n v="0"/>
    <n v="0"/>
    <n v="0"/>
    <n v="0"/>
    <n v="99341.14"/>
    <n v="69209.86"/>
  </r>
  <r>
    <x v="0"/>
    <x v="4"/>
    <x v="4"/>
    <x v="2"/>
    <x v="0"/>
    <x v="0"/>
    <x v="4"/>
    <x v="4"/>
    <s v="Wright, Angelina W."/>
    <n v="136176"/>
    <s v="0.00"/>
    <n v="136176"/>
    <n v="135346.76"/>
    <n v="0"/>
    <n v="0"/>
    <n v="0"/>
    <n v="0"/>
    <n v="135346.76"/>
    <n v="-10498.76"/>
  </r>
  <r>
    <x v="1"/>
    <x v="4"/>
    <x v="4"/>
    <x v="2"/>
    <x v="0"/>
    <x v="0"/>
    <x v="4"/>
    <x v="4"/>
    <s v="Wright, Angelina W."/>
    <n v="136656"/>
    <s v="0.00"/>
    <n v="136656"/>
    <n v="77265.64"/>
    <n v="0"/>
    <n v="0"/>
    <n v="0"/>
    <n v="0"/>
    <n v="77265.64"/>
    <n v="59390.36"/>
  </r>
  <r>
    <x v="0"/>
    <x v="5"/>
    <x v="5"/>
    <x v="2"/>
    <x v="0"/>
    <x v="0"/>
    <x v="5"/>
    <x v="5"/>
    <s v="Brodnax, Denise H."/>
    <n v="111512"/>
    <s v="0.00"/>
    <n v="111512"/>
    <n v="98195.18"/>
    <n v="0"/>
    <n v="0"/>
    <n v="0"/>
    <n v="0"/>
    <n v="98195.18"/>
    <n v="-6969.79"/>
  </r>
  <r>
    <x v="1"/>
    <x v="5"/>
    <x v="5"/>
    <x v="2"/>
    <x v="0"/>
    <x v="0"/>
    <x v="5"/>
    <x v="5"/>
    <s v="Brodnax, Denise H."/>
    <n v="446883"/>
    <s v="0.00"/>
    <n v="446883"/>
    <n v="240343.77"/>
    <n v="0"/>
    <n v="0"/>
    <n v="0"/>
    <n v="0"/>
    <n v="240343.77"/>
    <n v="199698.23"/>
  </r>
  <r>
    <x v="0"/>
    <x v="6"/>
    <x v="6"/>
    <x v="2"/>
    <x v="0"/>
    <x v="0"/>
    <x v="6"/>
    <x v="6"/>
    <s v="Flage, Bruce H."/>
    <n v="306335"/>
    <s v="0.00"/>
    <n v="306335"/>
    <n v="295555.62"/>
    <n v="2144"/>
    <n v="0"/>
    <n v="0"/>
    <n v="0"/>
    <n v="297699.62"/>
    <n v="-21864.04"/>
  </r>
  <r>
    <x v="1"/>
    <x v="6"/>
    <x v="6"/>
    <x v="2"/>
    <x v="0"/>
    <x v="0"/>
    <x v="6"/>
    <x v="6"/>
    <s v="Flage, Bruce H."/>
    <n v="295275"/>
    <s v="0.00"/>
    <n v="295275"/>
    <n v="161564.04999999999"/>
    <n v="0"/>
    <n v="0"/>
    <n v="0"/>
    <n v="0"/>
    <n v="161564.04999999999"/>
    <n v="130702.95"/>
  </r>
  <r>
    <x v="0"/>
    <x v="7"/>
    <x v="7"/>
    <x v="2"/>
    <x v="0"/>
    <x v="0"/>
    <x v="7"/>
    <x v="7"/>
    <s v="Begil, Henry H."/>
    <n v="158221.19"/>
    <n v="19950.189999999999"/>
    <n v="138271"/>
    <n v="113536.07"/>
    <n v="0"/>
    <n v="0"/>
    <n v="-72464.86"/>
    <n v="14740.3"/>
    <n v="55811.51"/>
    <n v="58350.02"/>
  </r>
  <r>
    <x v="1"/>
    <x v="7"/>
    <x v="7"/>
    <x v="2"/>
    <x v="0"/>
    <x v="0"/>
    <x v="7"/>
    <x v="7"/>
    <s v="Begil, Henry H."/>
    <n v="103011.3"/>
    <n v="14740.3"/>
    <n v="88271"/>
    <n v="49080.04"/>
    <n v="7449.25"/>
    <n v="0"/>
    <n v="-69212.240000000005"/>
    <n v="11814.08"/>
    <n v="-868.87"/>
    <n v="103880.17"/>
  </r>
  <r>
    <x v="0"/>
    <x v="8"/>
    <x v="8"/>
    <x v="2"/>
    <x v="0"/>
    <x v="0"/>
    <x v="8"/>
    <x v="8"/>
    <m/>
    <n v="64744"/>
    <s v="0.00"/>
    <n v="64744"/>
    <n v="53654.22"/>
    <n v="0"/>
    <n v="0"/>
    <n v="0"/>
    <n v="0"/>
    <n v="53654.22"/>
    <n v="-4110.22"/>
  </r>
  <r>
    <x v="0"/>
    <x v="9"/>
    <x v="9"/>
    <x v="2"/>
    <x v="0"/>
    <x v="0"/>
    <x v="9"/>
    <x v="9"/>
    <s v="Reid, Michael L."/>
    <n v="120628"/>
    <s v="0.00"/>
    <n v="120628"/>
    <n v="0"/>
    <n v="0"/>
    <n v="0"/>
    <n v="120628"/>
    <n v="0"/>
    <n v="120628"/>
    <n v="0"/>
  </r>
  <r>
    <x v="1"/>
    <x v="9"/>
    <x v="9"/>
    <x v="2"/>
    <x v="0"/>
    <x v="0"/>
    <x v="9"/>
    <x v="9"/>
    <s v="Reid, Michael L."/>
    <n v="120628"/>
    <s v="0.00"/>
    <n v="120628"/>
    <n v="0"/>
    <n v="0"/>
    <n v="0"/>
    <n v="120628"/>
    <n v="0"/>
    <n v="120628"/>
    <n v="0"/>
  </r>
  <r>
    <x v="0"/>
    <x v="10"/>
    <x v="10"/>
    <x v="2"/>
    <x v="0"/>
    <x v="0"/>
    <x v="10"/>
    <x v="10"/>
    <s v="Adams, James E."/>
    <n v="0"/>
    <s v="0.00"/>
    <n v="0"/>
    <n v="69169.31"/>
    <n v="0"/>
    <n v="0"/>
    <n v="0"/>
    <n v="0"/>
    <n v="69169.31"/>
    <n v="-3175.48"/>
  </r>
  <r>
    <x v="0"/>
    <x v="11"/>
    <x v="11"/>
    <x v="3"/>
    <x v="0"/>
    <x v="0"/>
    <x v="11"/>
    <x v="11"/>
    <s v="Loehring, Michael E."/>
    <n v="261421.31"/>
    <n v="1878.31"/>
    <n v="259543"/>
    <n v="177419.94"/>
    <n v="35666.97"/>
    <n v="0"/>
    <n v="1688.67"/>
    <n v="0"/>
    <n v="214775.58"/>
    <n v="854.89"/>
  </r>
  <r>
    <x v="1"/>
    <x v="11"/>
    <x v="11"/>
    <x v="3"/>
    <x v="0"/>
    <x v="0"/>
    <x v="11"/>
    <x v="11"/>
    <s v="Loehring, Michael E."/>
    <n v="0"/>
    <s v="0.00"/>
    <n v="0"/>
    <n v="0"/>
    <n v="145"/>
    <n v="0"/>
    <n v="0"/>
    <n v="0"/>
    <n v="145"/>
    <n v="-145"/>
  </r>
  <r>
    <x v="0"/>
    <x v="12"/>
    <x v="12"/>
    <x v="3"/>
    <x v="0"/>
    <x v="0"/>
    <x v="12"/>
    <x v="12"/>
    <s v="Weeaks, Cynthia D."/>
    <n v="130598"/>
    <s v="0.00"/>
    <n v="130598"/>
    <n v="125974.87"/>
    <n v="0"/>
    <n v="0"/>
    <n v="0"/>
    <n v="0"/>
    <n v="125974.87"/>
    <n v="-159.79"/>
  </r>
  <r>
    <x v="0"/>
    <x v="13"/>
    <x v="13"/>
    <x v="1"/>
    <x v="0"/>
    <x v="0"/>
    <x v="13"/>
    <x v="13"/>
    <s v="May, Brian J."/>
    <n v="0"/>
    <s v="0.00"/>
    <n v="0"/>
    <n v="1713.24"/>
    <n v="0"/>
    <n v="0"/>
    <n v="0"/>
    <n v="0"/>
    <n v="1713.24"/>
    <n v="-1713.24"/>
  </r>
  <r>
    <x v="0"/>
    <x v="14"/>
    <x v="14"/>
    <x v="1"/>
    <x v="0"/>
    <x v="0"/>
    <x v="14"/>
    <x v="14"/>
    <s v="Allen, Nancy G."/>
    <n v="0"/>
    <s v="0.00"/>
    <n v="0"/>
    <n v="59448"/>
    <n v="0"/>
    <n v="0"/>
    <n v="0"/>
    <n v="0"/>
    <n v="59448"/>
    <n v="0"/>
  </r>
  <r>
    <x v="1"/>
    <x v="14"/>
    <x v="14"/>
    <x v="1"/>
    <x v="0"/>
    <x v="0"/>
    <x v="14"/>
    <x v="14"/>
    <s v="Allen, Nancy G."/>
    <n v="0"/>
    <s v="0.00"/>
    <n v="0"/>
    <n v="56743"/>
    <n v="0"/>
    <n v="0"/>
    <n v="0"/>
    <n v="0"/>
    <n v="56743"/>
    <n v="3274"/>
  </r>
  <r>
    <x v="0"/>
    <x v="15"/>
    <x v="15"/>
    <x v="3"/>
    <x v="0"/>
    <x v="0"/>
    <x v="15"/>
    <x v="15"/>
    <s v="Bennett, Michelle A."/>
    <n v="321861"/>
    <s v="0.00"/>
    <n v="321861"/>
    <n v="209753.60000000001"/>
    <n v="10898.78"/>
    <n v="0"/>
    <n v="0"/>
    <n v="0"/>
    <n v="220652.38"/>
    <n v="12250.01"/>
  </r>
  <r>
    <x v="1"/>
    <x v="15"/>
    <x v="15"/>
    <x v="3"/>
    <x v="0"/>
    <x v="0"/>
    <x v="15"/>
    <x v="15"/>
    <s v="Bennett, Michelle A."/>
    <n v="242987"/>
    <s v="0.00"/>
    <n v="242987"/>
    <n v="135847.35999999999"/>
    <n v="2789.23"/>
    <n v="0"/>
    <n v="0"/>
    <n v="0"/>
    <n v="138636.59"/>
    <n v="109038.41"/>
  </r>
  <r>
    <x v="0"/>
    <x v="16"/>
    <x v="16"/>
    <x v="3"/>
    <x v="0"/>
    <x v="0"/>
    <x v="16"/>
    <x v="16"/>
    <s v="Ruthenbeck, Julie J."/>
    <n v="14263"/>
    <s v="0.00"/>
    <n v="14263"/>
    <n v="13115.99"/>
    <n v="0"/>
    <n v="0"/>
    <n v="0"/>
    <n v="0"/>
    <n v="13115.99"/>
    <n v="3.64"/>
  </r>
  <r>
    <x v="1"/>
    <x v="16"/>
    <x v="16"/>
    <x v="3"/>
    <x v="0"/>
    <x v="0"/>
    <x v="16"/>
    <x v="16"/>
    <s v="Ruthenbeck, Julie J."/>
    <n v="14383"/>
    <s v="0.00"/>
    <n v="14383"/>
    <n v="7779.66"/>
    <n v="0"/>
    <n v="0"/>
    <n v="0"/>
    <n v="0"/>
    <n v="7779.66"/>
    <n v="6603.34"/>
  </r>
  <r>
    <x v="0"/>
    <x v="17"/>
    <x v="17"/>
    <x v="2"/>
    <x v="0"/>
    <x v="0"/>
    <x v="17"/>
    <x v="17"/>
    <s v="Wright, Angelina W."/>
    <n v="1048198"/>
    <s v="0.00"/>
    <n v="1048198"/>
    <n v="0"/>
    <n v="0"/>
    <n v="879088.16999999993"/>
    <n v="0"/>
    <n v="0"/>
    <n v="879088.16999999993"/>
    <n v="-3908876"/>
  </r>
  <r>
    <x v="1"/>
    <x v="17"/>
    <x v="17"/>
    <x v="2"/>
    <x v="0"/>
    <x v="0"/>
    <x v="17"/>
    <x v="17"/>
    <s v="Wright, Angelina W."/>
    <n v="1271290"/>
    <s v="0.00"/>
    <n v="1271290"/>
    <n v="0"/>
    <n v="0"/>
    <n v="658867.43000000005"/>
    <n v="0"/>
    <n v="0"/>
    <n v="126893.92000000004"/>
    <n v="612422.56999999995"/>
  </r>
  <r>
    <x v="0"/>
    <x v="17"/>
    <x v="17"/>
    <x v="2"/>
    <x v="0"/>
    <x v="0"/>
    <x v="18"/>
    <x v="18"/>
    <s v="Wright, Angelina W."/>
    <n v="1854150"/>
    <s v="0.00"/>
    <n v="1854150"/>
    <n v="0"/>
    <n v="0"/>
    <n v="126893.92000000004"/>
    <n v="0"/>
    <n v="0"/>
    <n v="126893.92000000004"/>
    <n v="989631.7"/>
  </r>
  <r>
    <x v="1"/>
    <x v="17"/>
    <x v="17"/>
    <x v="2"/>
    <x v="0"/>
    <x v="0"/>
    <x v="18"/>
    <x v="18"/>
    <s v="Wright, Angelina W."/>
    <n v="1706595"/>
    <s v="0.00"/>
    <m/>
    <n v="0"/>
    <n v="0"/>
    <n v="439091.44"/>
    <n v="0"/>
    <n v="0"/>
    <n v="467922.1100000001"/>
    <n v="926184.56"/>
  </r>
  <r>
    <x v="0"/>
    <x v="17"/>
    <x v="17"/>
    <x v="2"/>
    <x v="0"/>
    <x v="0"/>
    <x v="19"/>
    <x v="19"/>
    <s v="Wright, Angelina W."/>
    <n v="125927"/>
    <s v="0.00"/>
    <n v="125927"/>
    <n v="0"/>
    <n v="0"/>
    <n v="111247.55"/>
    <n v="0"/>
    <n v="0"/>
    <n v="111247.55"/>
    <n v="14679.45"/>
  </r>
  <r>
    <x v="1"/>
    <x v="17"/>
    <x v="17"/>
    <x v="2"/>
    <x v="0"/>
    <x v="0"/>
    <x v="19"/>
    <x v="19"/>
    <s v="Wright, Angelina W."/>
    <n v="80000"/>
    <s v="0.00"/>
    <n v="80000"/>
    <n v="0"/>
    <n v="0"/>
    <n v="84575.84"/>
    <n v="0"/>
    <n v="0"/>
    <n v="84575.84"/>
    <n v="-4575.84"/>
  </r>
  <r>
    <x v="1"/>
    <x v="17"/>
    <x v="17"/>
    <x v="2"/>
    <x v="0"/>
    <x v="0"/>
    <x v="20"/>
    <x v="20"/>
    <s v="Wright, Angelina W."/>
    <n v="1035"/>
    <s v="0.00"/>
    <n v="1035"/>
    <n v="0"/>
    <n v="0"/>
    <n v="0"/>
    <n v="0"/>
    <n v="0"/>
    <n v="0"/>
    <n v="1035"/>
  </r>
  <r>
    <x v="0"/>
    <x v="17"/>
    <x v="17"/>
    <x v="2"/>
    <x v="0"/>
    <x v="0"/>
    <x v="21"/>
    <x v="21"/>
    <s v="Wright, Angelina W."/>
    <n v="1976713"/>
    <s v="0.00"/>
    <n v="1976713"/>
    <n v="0"/>
    <n v="0"/>
    <n v="467922.1100000001"/>
    <n v="0"/>
    <n v="0"/>
    <n v="467922.1100000001"/>
    <n v="91199.4"/>
  </r>
  <r>
    <x v="1"/>
    <x v="17"/>
    <x v="17"/>
    <x v="2"/>
    <x v="0"/>
    <x v="0"/>
    <x v="21"/>
    <x v="21"/>
    <s v="Wright, Angelina W."/>
    <n v="2145716"/>
    <s v="0.00"/>
    <m/>
    <n v="0"/>
    <n v="0"/>
    <n v="972230.88"/>
    <n v="0"/>
    <n v="0"/>
    <n v="972230.88"/>
    <n v="1173485.1200000001"/>
  </r>
  <r>
    <x v="0"/>
    <x v="17"/>
    <x v="17"/>
    <x v="2"/>
    <x v="0"/>
    <x v="0"/>
    <x v="22"/>
    <x v="22"/>
    <s v="Wright, Angelina W."/>
    <n v="0"/>
    <s v="0.00"/>
    <n v="0"/>
    <n v="0"/>
    <n v="0"/>
    <n v="253910.04"/>
    <n v="0"/>
    <n v="0"/>
    <n v="253910.04"/>
    <n v="-73485.02"/>
  </r>
  <r>
    <x v="1"/>
    <x v="17"/>
    <x v="17"/>
    <x v="2"/>
    <x v="0"/>
    <x v="0"/>
    <x v="22"/>
    <x v="22"/>
    <s v="Wright, Angelina W."/>
    <n v="0"/>
    <s v="0.00"/>
    <n v="0"/>
    <n v="0"/>
    <n v="0"/>
    <n v="36444.39"/>
    <n v="0"/>
    <n v="0"/>
    <n v="36444.39"/>
    <n v="304874.61"/>
  </r>
  <r>
    <x v="0"/>
    <x v="17"/>
    <x v="17"/>
    <x v="2"/>
    <x v="0"/>
    <x v="0"/>
    <x v="23"/>
    <x v="23"/>
    <s v="Wright, Angelina W."/>
    <n v="0"/>
    <s v="0.00"/>
    <n v="0"/>
    <n v="0"/>
    <n v="0"/>
    <n v="244350.18"/>
    <n v="0"/>
    <n v="0"/>
    <n v="244350.18"/>
    <n v="-244350.18"/>
  </r>
  <r>
    <x v="0"/>
    <x v="17"/>
    <x v="17"/>
    <x v="2"/>
    <x v="0"/>
    <x v="0"/>
    <x v="24"/>
    <x v="24"/>
    <s v="Wright, Angelina W."/>
    <n v="20000"/>
    <s v="0.00"/>
    <n v="20000"/>
    <n v="0"/>
    <n v="0"/>
    <n v="12007.69"/>
    <n v="0"/>
    <n v="0"/>
    <n v="12007.69"/>
    <n v="7992.31"/>
  </r>
  <r>
    <x v="1"/>
    <x v="17"/>
    <x v="17"/>
    <x v="2"/>
    <x v="0"/>
    <x v="0"/>
    <x v="24"/>
    <x v="24"/>
    <s v="Wright, Angelina W."/>
    <n v="10000"/>
    <s v="0.00"/>
    <n v="10000"/>
    <n v="0"/>
    <n v="0"/>
    <n v="6154.84"/>
    <n v="0"/>
    <n v="0"/>
    <n v="6154.84"/>
    <n v="3845.16"/>
  </r>
  <r>
    <x v="0"/>
    <x v="17"/>
    <x v="17"/>
    <x v="2"/>
    <x v="0"/>
    <x v="0"/>
    <x v="25"/>
    <x v="25"/>
    <s v="Wright, Angelina W."/>
    <n v="0"/>
    <s v="0.00"/>
    <n v="0"/>
    <n v="0"/>
    <n v="0"/>
    <n v="22644.27"/>
    <n v="0"/>
    <n v="0"/>
    <n v="22644.27"/>
    <n v="-3069.29"/>
  </r>
  <r>
    <x v="1"/>
    <x v="17"/>
    <x v="17"/>
    <x v="2"/>
    <x v="0"/>
    <x v="0"/>
    <x v="25"/>
    <x v="25"/>
    <s v="Wright, Angelina W."/>
    <n v="0"/>
    <s v="0.00"/>
    <n v="0"/>
    <n v="0"/>
    <n v="0"/>
    <n v="19003.439999999999"/>
    <n v="0"/>
    <n v="0"/>
    <n v="19003.439999999999"/>
    <n v="-19003.439999999999"/>
  </r>
  <r>
    <x v="0"/>
    <x v="17"/>
    <x v="17"/>
    <x v="2"/>
    <x v="0"/>
    <x v="0"/>
    <x v="26"/>
    <x v="26"/>
    <s v="Wright, Angelina W."/>
    <n v="31021"/>
    <s v="0.00"/>
    <n v="31021"/>
    <n v="0"/>
    <n v="0"/>
    <n v="81996.55"/>
    <n v="0"/>
    <n v="0"/>
    <n v="81996.55"/>
    <n v="-50975.55"/>
  </r>
  <r>
    <x v="1"/>
    <x v="17"/>
    <x v="17"/>
    <x v="2"/>
    <x v="0"/>
    <x v="0"/>
    <x v="26"/>
    <x v="26"/>
    <s v="Wright, Angelina W."/>
    <n v="10000"/>
    <s v="0.00"/>
    <n v="10000"/>
    <n v="0"/>
    <n v="0"/>
    <n v="25088.45"/>
    <n v="0"/>
    <n v="0"/>
    <n v="25088.45"/>
    <n v="4911.55"/>
  </r>
  <r>
    <x v="0"/>
    <x v="8"/>
    <x v="8"/>
    <x v="2"/>
    <x v="0"/>
    <x v="0"/>
    <x v="27"/>
    <x v="27"/>
    <m/>
    <n v="60000"/>
    <s v="0.00"/>
    <n v="60000"/>
    <n v="0"/>
    <n v="0"/>
    <n v="0"/>
    <n v="48757.64"/>
    <n v="0"/>
    <n v="48757.64"/>
    <n v="8139.15"/>
  </r>
  <r>
    <x v="1"/>
    <x v="8"/>
    <x v="8"/>
    <x v="2"/>
    <x v="0"/>
    <x v="0"/>
    <x v="27"/>
    <x v="27"/>
    <m/>
    <n v="50000"/>
    <s v="0.00"/>
    <n v="50000"/>
    <n v="0"/>
    <n v="0"/>
    <n v="0"/>
    <n v="30567.24"/>
    <n v="0"/>
    <n v="30567.24"/>
    <n v="10189.76"/>
  </r>
  <r>
    <x v="0"/>
    <x v="8"/>
    <x v="8"/>
    <x v="2"/>
    <x v="0"/>
    <x v="0"/>
    <x v="28"/>
    <x v="28"/>
    <m/>
    <n v="17369"/>
    <s v="0.00"/>
    <n v="17369"/>
    <n v="0"/>
    <n v="0"/>
    <n v="0"/>
    <n v="20472.21"/>
    <n v="0"/>
    <n v="20472.21"/>
    <n v="0"/>
  </r>
  <r>
    <x v="1"/>
    <x v="8"/>
    <x v="8"/>
    <x v="2"/>
    <x v="0"/>
    <x v="0"/>
    <x v="28"/>
    <x v="28"/>
    <m/>
    <n v="10000"/>
    <s v="0.00"/>
    <n v="10000"/>
    <n v="0"/>
    <n v="0"/>
    <n v="0"/>
    <n v="11451.44"/>
    <n v="0"/>
    <n v="11451.44"/>
    <n v="3817.56"/>
  </r>
  <r>
    <x v="1"/>
    <x v="18"/>
    <x v="18"/>
    <x v="1"/>
    <x v="0"/>
    <x v="0"/>
    <x v="29"/>
    <x v="29"/>
    <s v="Engdahl, Gilbert R."/>
    <n v="490373"/>
    <s v="0.00"/>
    <n v="490373"/>
    <n v="342193.03"/>
    <n v="0"/>
    <n v="0"/>
    <n v="0"/>
    <n v="0"/>
    <n v="342193.03"/>
    <n v="164075.97"/>
  </r>
  <r>
    <x v="1"/>
    <x v="18"/>
    <x v="18"/>
    <x v="1"/>
    <x v="0"/>
    <x v="0"/>
    <x v="30"/>
    <x v="30"/>
    <s v="Engdahl, Gilbert R."/>
    <n v="0"/>
    <s v="0.00"/>
    <n v="0"/>
    <n v="0"/>
    <n v="0"/>
    <n v="0"/>
    <n v="2552.6999999999998"/>
    <n v="1215"/>
    <n v="3767.7"/>
    <n v="3732.3"/>
  </r>
  <r>
    <x v="0"/>
    <x v="19"/>
    <x v="19"/>
    <x v="1"/>
    <x v="0"/>
    <x v="0"/>
    <x v="31"/>
    <x v="31"/>
    <s v="Scott, David"/>
    <n v="569664"/>
    <s v="0.00"/>
    <n v="569664"/>
    <n v="637295.9"/>
    <n v="0"/>
    <n v="0"/>
    <n v="0"/>
    <n v="0"/>
    <n v="637295.9"/>
    <n v="246.36"/>
  </r>
  <r>
    <x v="1"/>
    <x v="19"/>
    <x v="19"/>
    <x v="1"/>
    <x v="0"/>
    <x v="0"/>
    <x v="31"/>
    <x v="31"/>
    <s v="Scott, David"/>
    <n v="657365"/>
    <s v="0.00"/>
    <n v="657365"/>
    <n v="533577.85"/>
    <n v="0"/>
    <n v="0"/>
    <n v="0"/>
    <n v="0"/>
    <n v="533577.85"/>
    <n v="159057.15"/>
  </r>
  <r>
    <x v="1"/>
    <x v="20"/>
    <x v="20"/>
    <x v="1"/>
    <x v="0"/>
    <x v="0"/>
    <x v="32"/>
    <x v="32"/>
    <s v="Wilke, R. R."/>
    <n v="919532"/>
    <s v="0.00"/>
    <n v="919532"/>
    <n v="721897.17"/>
    <n v="0"/>
    <n v="0"/>
    <n v="0"/>
    <n v="0"/>
    <n v="721897.17"/>
    <n v="213728.83"/>
  </r>
  <r>
    <x v="1"/>
    <x v="20"/>
    <x v="20"/>
    <x v="1"/>
    <x v="0"/>
    <x v="0"/>
    <x v="33"/>
    <x v="33"/>
    <s v="Wilke, R. R."/>
    <n v="0"/>
    <s v="0.00"/>
    <n v="0"/>
    <n v="0"/>
    <n v="0"/>
    <n v="0"/>
    <n v="3143.67"/>
    <n v="1311.25"/>
    <n v="4454.92"/>
    <n v="3870.08"/>
  </r>
  <r>
    <x v="1"/>
    <x v="21"/>
    <x v="21"/>
    <x v="1"/>
    <x v="0"/>
    <x v="0"/>
    <x v="34"/>
    <x v="34"/>
    <s v="Osterhout, John J."/>
    <n v="487350"/>
    <s v="0.00"/>
    <n v="487350"/>
    <n v="388037.41"/>
    <n v="0"/>
    <n v="0"/>
    <n v="0"/>
    <n v="0"/>
    <n v="388037.41"/>
    <n v="121058.59"/>
  </r>
  <r>
    <x v="0"/>
    <x v="22"/>
    <x v="22"/>
    <x v="1"/>
    <x v="0"/>
    <x v="0"/>
    <x v="35"/>
    <x v="35"/>
    <s v="Wahl, Shawn T."/>
    <n v="834907.43"/>
    <n v="5890.43"/>
    <n v="829017"/>
    <n v="991380.78"/>
    <n v="0"/>
    <n v="0"/>
    <n v="357.27"/>
    <n v="0"/>
    <n v="991738.05"/>
    <n v="34222.379999999997"/>
  </r>
  <r>
    <x v="1"/>
    <x v="22"/>
    <x v="22"/>
    <x v="1"/>
    <x v="0"/>
    <x v="0"/>
    <x v="35"/>
    <x v="35"/>
    <s v="Wahl, Shawn T."/>
    <n v="822047"/>
    <s v="0.00"/>
    <n v="822047"/>
    <n v="656287.72"/>
    <n v="0"/>
    <n v="0"/>
    <n v="0"/>
    <n v="0"/>
    <n v="656287.72"/>
    <n v="206666.28"/>
  </r>
  <r>
    <x v="0"/>
    <x v="22"/>
    <x v="22"/>
    <x v="1"/>
    <x v="0"/>
    <x v="0"/>
    <x v="36"/>
    <x v="36"/>
    <s v="Wahl, Shawn T."/>
    <n v="3241"/>
    <n v="649"/>
    <n v="2592"/>
    <n v="0"/>
    <n v="0"/>
    <n v="0"/>
    <n v="6171.53"/>
    <n v="0"/>
    <n v="6171.53"/>
    <n v="888.03"/>
  </r>
  <r>
    <x v="1"/>
    <x v="22"/>
    <x v="22"/>
    <x v="1"/>
    <x v="0"/>
    <x v="0"/>
    <x v="36"/>
    <x v="36"/>
    <s v="Wahl, Shawn T."/>
    <n v="0"/>
    <s v="0.00"/>
    <n v="0"/>
    <n v="0"/>
    <n v="0"/>
    <n v="0"/>
    <n v="5567.75"/>
    <n v="1623.33"/>
    <n v="7191.08"/>
    <n v="308.92"/>
  </r>
  <r>
    <x v="0"/>
    <x v="23"/>
    <x v="23"/>
    <x v="1"/>
    <x v="0"/>
    <x v="0"/>
    <x v="37"/>
    <x v="37"/>
    <s v="Musgrove, Laurence E."/>
    <n v="693749"/>
    <s v="0.00"/>
    <n v="693749"/>
    <n v="991997.13"/>
    <n v="0"/>
    <n v="0"/>
    <n v="0"/>
    <n v="0"/>
    <n v="991997.13"/>
    <n v="20.37"/>
  </r>
  <r>
    <x v="1"/>
    <x v="23"/>
    <x v="23"/>
    <x v="1"/>
    <x v="0"/>
    <x v="0"/>
    <x v="37"/>
    <x v="37"/>
    <s v="Musgrove, Laurence E."/>
    <n v="1100324"/>
    <s v="0.00"/>
    <n v="1100324"/>
    <n v="934022.28"/>
    <n v="0"/>
    <n v="0"/>
    <n v="0"/>
    <n v="0"/>
    <n v="934022.28"/>
    <n v="258315.72"/>
  </r>
  <r>
    <x v="0"/>
    <x v="23"/>
    <x v="23"/>
    <x v="1"/>
    <x v="0"/>
    <x v="0"/>
    <x v="38"/>
    <x v="38"/>
    <s v="Musgrove, Laurence E."/>
    <n v="3780"/>
    <s v="0.00"/>
    <n v="3780"/>
    <n v="0"/>
    <n v="0"/>
    <n v="0"/>
    <n v="3412.03"/>
    <n v="0"/>
    <n v="3412.03"/>
    <n v="103.37"/>
  </r>
  <r>
    <x v="1"/>
    <x v="23"/>
    <x v="23"/>
    <x v="1"/>
    <x v="0"/>
    <x v="0"/>
    <x v="38"/>
    <x v="38"/>
    <s v="Musgrove, Laurence E."/>
    <n v="0"/>
    <s v="0.00"/>
    <n v="0"/>
    <n v="0"/>
    <n v="0"/>
    <n v="0"/>
    <n v="2051.04"/>
    <n v="1665.33"/>
    <n v="3716.37"/>
    <n v="783.63"/>
  </r>
  <r>
    <x v="0"/>
    <x v="24"/>
    <x v="24"/>
    <x v="1"/>
    <x v="0"/>
    <x v="0"/>
    <x v="39"/>
    <x v="39"/>
    <s v="Jones, Laurence F."/>
    <n v="316367"/>
    <s v="0.00"/>
    <n v="316367"/>
    <n v="384143.55"/>
    <n v="0"/>
    <n v="0"/>
    <n v="0"/>
    <n v="0"/>
    <n v="384143.55"/>
    <n v="99.97"/>
  </r>
  <r>
    <x v="1"/>
    <x v="24"/>
    <x v="24"/>
    <x v="1"/>
    <x v="0"/>
    <x v="0"/>
    <x v="39"/>
    <x v="39"/>
    <s v="Jones, Laurence F."/>
    <n v="0"/>
    <s v="0.00"/>
    <n v="462519"/>
    <n v="53395.35"/>
    <n v="0"/>
    <n v="0"/>
    <n v="0"/>
    <n v="0"/>
    <n v="53395.35"/>
    <n v="35596.65"/>
  </r>
  <r>
    <x v="0"/>
    <x v="24"/>
    <x v="24"/>
    <x v="1"/>
    <x v="0"/>
    <x v="0"/>
    <x v="40"/>
    <x v="40"/>
    <s v="Jones, Laurence F."/>
    <n v="2511"/>
    <s v="0.00"/>
    <n v="2511"/>
    <n v="0"/>
    <n v="0"/>
    <n v="0"/>
    <n v="1003.59"/>
    <n v="0"/>
    <n v="1003.59"/>
    <n v="1331.64"/>
  </r>
  <r>
    <x v="0"/>
    <x v="25"/>
    <x v="25"/>
    <x v="1"/>
    <x v="0"/>
    <x v="0"/>
    <x v="41"/>
    <x v="41"/>
    <s v="Heineman, Kenneth J."/>
    <n v="407741"/>
    <s v="0.00"/>
    <n v="407741"/>
    <n v="414562.69"/>
    <n v="0"/>
    <n v="0"/>
    <n v="0"/>
    <n v="0"/>
    <n v="414562.69"/>
    <n v="-4189.6899999999996"/>
  </r>
  <r>
    <x v="1"/>
    <x v="25"/>
    <x v="25"/>
    <x v="1"/>
    <x v="0"/>
    <x v="0"/>
    <x v="41"/>
    <x v="41"/>
    <s v="Heineman, Kenneth J."/>
    <n v="545499"/>
    <s v="0.00"/>
    <n v="82980"/>
    <n v="388088.69"/>
    <n v="0"/>
    <n v="0"/>
    <n v="0"/>
    <n v="0"/>
    <n v="388088.69"/>
    <n v="59328.31"/>
  </r>
  <r>
    <x v="1"/>
    <x v="26"/>
    <x v="26"/>
    <x v="1"/>
    <x v="0"/>
    <x v="0"/>
    <x v="42"/>
    <x v="42"/>
    <s v="Zarnowski, Roger E."/>
    <n v="952342"/>
    <s v="0.00"/>
    <n v="952342"/>
    <n v="897317.32"/>
    <n v="0"/>
    <n v="0"/>
    <n v="0"/>
    <n v="0"/>
    <n v="897317.32"/>
    <n v="255840.68"/>
  </r>
  <r>
    <x v="0"/>
    <x v="27"/>
    <x v="27"/>
    <x v="1"/>
    <x v="0"/>
    <x v="0"/>
    <x v="43"/>
    <x v="43"/>
    <s v="Cody, Karen"/>
    <n v="462806"/>
    <s v="0.00"/>
    <n v="462806"/>
    <n v="520996.91"/>
    <n v="0"/>
    <n v="0"/>
    <n v="0"/>
    <n v="0"/>
    <n v="520996.91"/>
    <n v="900.09"/>
  </r>
  <r>
    <x v="1"/>
    <x v="28"/>
    <x v="28"/>
    <x v="1"/>
    <x v="0"/>
    <x v="0"/>
    <x v="44"/>
    <x v="44"/>
    <s v="Wallace, Andrew B."/>
    <n v="750779"/>
    <s v="0.00"/>
    <n v="750779"/>
    <n v="516746.93"/>
    <n v="0"/>
    <n v="0"/>
    <n v="0"/>
    <n v="0"/>
    <n v="516746.93"/>
    <n v="154590.07"/>
  </r>
  <r>
    <x v="0"/>
    <x v="29"/>
    <x v="29"/>
    <x v="1"/>
    <x v="0"/>
    <x v="0"/>
    <x v="45"/>
    <x v="45"/>
    <s v="Davidson, William B."/>
    <n v="743961"/>
    <s v="0.00"/>
    <n v="743961"/>
    <n v="855632.48"/>
    <n v="0"/>
    <n v="0"/>
    <n v="0"/>
    <n v="0"/>
    <n v="855632.48"/>
    <n v="568.52"/>
  </r>
  <r>
    <x v="0"/>
    <x v="29"/>
    <x v="29"/>
    <x v="1"/>
    <x v="0"/>
    <x v="0"/>
    <x v="46"/>
    <x v="46"/>
    <s v="Davidson, William B."/>
    <n v="19737"/>
    <s v="0.00"/>
    <n v="19737"/>
    <n v="0"/>
    <n v="0"/>
    <n v="0"/>
    <n v="13861.91"/>
    <n v="0"/>
    <n v="13861.91"/>
    <n v="4493.5"/>
  </r>
  <r>
    <x v="0"/>
    <x v="30"/>
    <x v="30"/>
    <x v="1"/>
    <x v="0"/>
    <x v="0"/>
    <x v="47"/>
    <x v="47"/>
    <s v="Bankston, Thomas A."/>
    <n v="804383"/>
    <s v="0.00"/>
    <n v="804383"/>
    <n v="964208.08"/>
    <n v="0"/>
    <n v="0"/>
    <n v="0"/>
    <n v="0"/>
    <n v="964208.08"/>
    <n v="-79.94"/>
  </r>
  <r>
    <x v="1"/>
    <x v="30"/>
    <x v="30"/>
    <x v="1"/>
    <x v="0"/>
    <x v="0"/>
    <x v="47"/>
    <x v="47"/>
    <s v="Bankston, Thomas A."/>
    <n v="955391"/>
    <s v="0.00"/>
    <n v="955391"/>
    <n v="744129.26"/>
    <n v="0"/>
    <n v="0"/>
    <n v="0"/>
    <n v="0"/>
    <n v="744129.26"/>
    <n v="241672.74"/>
  </r>
  <r>
    <x v="0"/>
    <x v="30"/>
    <x v="30"/>
    <x v="1"/>
    <x v="0"/>
    <x v="0"/>
    <x v="48"/>
    <x v="48"/>
    <s v="Bankston, Thomas A."/>
    <n v="7938"/>
    <s v="0.00"/>
    <n v="7938"/>
    <n v="0"/>
    <n v="0"/>
    <n v="0"/>
    <n v="7851.95"/>
    <n v="0"/>
    <n v="7851.95"/>
    <n v="530.39"/>
  </r>
  <r>
    <x v="1"/>
    <x v="30"/>
    <x v="30"/>
    <x v="1"/>
    <x v="0"/>
    <x v="0"/>
    <x v="48"/>
    <x v="48"/>
    <s v="Bankston, Thomas A."/>
    <n v="0"/>
    <s v="0.00"/>
    <n v="0"/>
    <n v="0"/>
    <n v="0"/>
    <n v="0"/>
    <n v="1819.39"/>
    <n v="1980"/>
    <n v="3799.39"/>
    <n v="3700.61"/>
  </r>
  <r>
    <x v="0"/>
    <x v="31"/>
    <x v="31"/>
    <x v="1"/>
    <x v="0"/>
    <x v="0"/>
    <x v="49"/>
    <x v="49"/>
    <s v="Magnan, Stephen W."/>
    <n v="32863"/>
    <s v="0.00"/>
    <n v="32863"/>
    <n v="32822.959999999999"/>
    <n v="0"/>
    <n v="0"/>
    <n v="0"/>
    <n v="0"/>
    <n v="32822.959999999999"/>
    <n v="40.04"/>
  </r>
  <r>
    <x v="1"/>
    <x v="31"/>
    <x v="31"/>
    <x v="1"/>
    <x v="0"/>
    <x v="0"/>
    <x v="49"/>
    <x v="49"/>
    <s v="Magnan, Stephen W."/>
    <n v="33103"/>
    <s v="0.00"/>
    <n v="33103"/>
    <n v="17826.09"/>
    <n v="0"/>
    <n v="0"/>
    <n v="0"/>
    <n v="0"/>
    <n v="17826.09"/>
    <n v="15276.91"/>
  </r>
  <r>
    <x v="0"/>
    <x v="32"/>
    <x v="32"/>
    <x v="1"/>
    <x v="0"/>
    <x v="0"/>
    <x v="50"/>
    <x v="50"/>
    <s v="Badgett, Tommy F."/>
    <n v="1082443"/>
    <s v="0.00"/>
    <n v="1082443"/>
    <n v="1215093.93"/>
    <n v="0"/>
    <n v="0"/>
    <n v="0"/>
    <n v="0"/>
    <n v="1215093.93"/>
    <n v="120.07"/>
  </r>
  <r>
    <x v="1"/>
    <x v="32"/>
    <x v="32"/>
    <x v="1"/>
    <x v="0"/>
    <x v="0"/>
    <x v="50"/>
    <x v="50"/>
    <s v="Badgett, Tommy F."/>
    <n v="1076843"/>
    <s v="0.00"/>
    <n v="1076843"/>
    <n v="835134.45"/>
    <n v="0"/>
    <n v="0"/>
    <n v="0"/>
    <n v="0"/>
    <n v="835134.45"/>
    <n v="238557.55"/>
  </r>
  <r>
    <x v="0"/>
    <x v="32"/>
    <x v="32"/>
    <x v="1"/>
    <x v="0"/>
    <x v="0"/>
    <x v="51"/>
    <x v="51"/>
    <s v="Badgett, Tommy F."/>
    <n v="10179"/>
    <s v="0.00"/>
    <n v="10179"/>
    <n v="0"/>
    <n v="0"/>
    <n v="0"/>
    <n v="13888.6"/>
    <n v="0"/>
    <n v="13888.6"/>
    <n v="77.87"/>
  </r>
  <r>
    <x v="1"/>
    <x v="32"/>
    <x v="32"/>
    <x v="1"/>
    <x v="0"/>
    <x v="0"/>
    <x v="51"/>
    <x v="51"/>
    <s v="Badgett, Tommy F."/>
    <n v="0"/>
    <s v="0.00"/>
    <n v="0"/>
    <n v="0"/>
    <n v="1339.88"/>
    <n v="0"/>
    <n v="3196.51"/>
    <n v="4730.9399999999996"/>
    <n v="9267.33"/>
    <n v="6732.67"/>
  </r>
  <r>
    <x v="1"/>
    <x v="33"/>
    <x v="33"/>
    <x v="1"/>
    <x v="0"/>
    <x v="0"/>
    <x v="52"/>
    <x v="52"/>
    <s v="Ehlers, Robert S."/>
    <n v="188877"/>
    <s v="0.00"/>
    <n v="188877"/>
    <n v="157333.81"/>
    <n v="0"/>
    <n v="0"/>
    <n v="0"/>
    <n v="0"/>
    <n v="157333.81"/>
    <n v="48172.19"/>
  </r>
  <r>
    <x v="0"/>
    <x v="34"/>
    <x v="34"/>
    <x v="1"/>
    <x v="0"/>
    <x v="0"/>
    <x v="53"/>
    <x v="53"/>
    <s v="Lucksinger, Linda N."/>
    <n v="485351"/>
    <s v="0.00"/>
    <n v="485351"/>
    <n v="578962.80000000005"/>
    <n v="0"/>
    <n v="0"/>
    <n v="0"/>
    <n v="0"/>
    <n v="578962.80000000005"/>
    <n v="411.38"/>
  </r>
  <r>
    <x v="1"/>
    <x v="34"/>
    <x v="34"/>
    <x v="1"/>
    <x v="0"/>
    <x v="0"/>
    <x v="53"/>
    <x v="53"/>
    <s v="Lucksinger, Linda N."/>
    <n v="489163"/>
    <s v="0.00"/>
    <n v="489163"/>
    <n v="380966.41"/>
    <n v="0"/>
    <n v="0"/>
    <n v="0"/>
    <n v="0"/>
    <n v="380966.41"/>
    <n v="117156.59"/>
  </r>
  <r>
    <x v="0"/>
    <x v="34"/>
    <x v="34"/>
    <x v="1"/>
    <x v="0"/>
    <x v="0"/>
    <x v="54"/>
    <x v="54"/>
    <s v="Miazga, John J."/>
    <n v="15179.41"/>
    <n v="2224.41"/>
    <n v="12955"/>
    <n v="0"/>
    <n v="0"/>
    <n v="0"/>
    <n v="12142.8"/>
    <n v="0"/>
    <n v="12142.8"/>
    <n v="2549.7600000000002"/>
  </r>
  <r>
    <x v="1"/>
    <x v="34"/>
    <x v="34"/>
    <x v="1"/>
    <x v="0"/>
    <x v="0"/>
    <x v="54"/>
    <x v="54"/>
    <s v="Miazga, John J."/>
    <n v="0"/>
    <s v="0.00"/>
    <n v="0"/>
    <n v="0"/>
    <n v="0"/>
    <n v="0"/>
    <n v="5542.13"/>
    <n v="5677.35"/>
    <n v="11219.48"/>
    <n v="15780.52"/>
  </r>
  <r>
    <x v="0"/>
    <x v="35"/>
    <x v="35"/>
    <x v="1"/>
    <x v="0"/>
    <x v="0"/>
    <x v="55"/>
    <x v="55"/>
    <s v="Summerlin, James A."/>
    <n v="465780"/>
    <s v="0.00"/>
    <n v="465780"/>
    <n v="690630.58"/>
    <n v="0"/>
    <n v="0"/>
    <n v="0"/>
    <n v="0"/>
    <n v="690630.58"/>
    <n v="-1323.58"/>
  </r>
  <r>
    <x v="1"/>
    <x v="35"/>
    <x v="35"/>
    <x v="1"/>
    <x v="0"/>
    <x v="0"/>
    <x v="55"/>
    <x v="55"/>
    <s v="Summerlin, James A."/>
    <n v="417977"/>
    <s v="0.00"/>
    <n v="417977"/>
    <n v="469381.73"/>
    <n v="0"/>
    <n v="0"/>
    <n v="0"/>
    <n v="0"/>
    <n v="469381.73"/>
    <n v="140382.26999999999"/>
  </r>
  <r>
    <x v="0"/>
    <x v="35"/>
    <x v="35"/>
    <x v="1"/>
    <x v="0"/>
    <x v="0"/>
    <x v="56"/>
    <x v="56"/>
    <s v="Miazga, John J."/>
    <n v="11915.9"/>
    <n v="11915.9"/>
    <n v="0"/>
    <n v="3132"/>
    <n v="30809.63"/>
    <n v="0"/>
    <n v="57316.14"/>
    <n v="0"/>
    <n v="91257.77"/>
    <n v="20885.13"/>
  </r>
  <r>
    <x v="1"/>
    <x v="35"/>
    <x v="35"/>
    <x v="1"/>
    <x v="0"/>
    <x v="0"/>
    <x v="56"/>
    <x v="56"/>
    <s v="Miazga, John J."/>
    <n v="0"/>
    <s v="0.00"/>
    <n v="0"/>
    <n v="0"/>
    <n v="14271.88"/>
    <n v="0"/>
    <n v="2769.87"/>
    <n v="6722.75"/>
    <n v="23764.5"/>
    <n v="58735.5"/>
  </r>
  <r>
    <x v="0"/>
    <x v="36"/>
    <x v="36"/>
    <x v="1"/>
    <x v="0"/>
    <x v="0"/>
    <x v="57"/>
    <x v="57"/>
    <s v="Snowden, Steven R."/>
    <n v="693007"/>
    <s v="0.00"/>
    <n v="693007"/>
    <n v="758382.16"/>
    <n v="0"/>
    <n v="0"/>
    <n v="0"/>
    <n v="0"/>
    <n v="758382.16"/>
    <n v="-533.28"/>
  </r>
  <r>
    <x v="0"/>
    <x v="36"/>
    <x v="36"/>
    <x v="1"/>
    <x v="0"/>
    <x v="0"/>
    <x v="58"/>
    <x v="58"/>
    <s v="Snowden, Steven R."/>
    <n v="4838.6000000000004"/>
    <n v="977.6"/>
    <n v="3861"/>
    <n v="0"/>
    <n v="0"/>
    <n v="0"/>
    <n v="5250.04"/>
    <n v="0"/>
    <n v="5250.04"/>
    <n v="2318.29"/>
  </r>
  <r>
    <x v="0"/>
    <x v="18"/>
    <x v="37"/>
    <x v="1"/>
    <x v="0"/>
    <x v="0"/>
    <x v="29"/>
    <x v="59"/>
    <s v="Engdahl, Gilbert R."/>
    <n v="556025"/>
    <s v="0.00"/>
    <n v="556025"/>
    <n v="480538.92"/>
    <n v="0"/>
    <n v="0"/>
    <n v="0"/>
    <n v="0"/>
    <n v="480538.92"/>
    <n v="-7326.42"/>
  </r>
  <r>
    <x v="0"/>
    <x v="18"/>
    <x v="37"/>
    <x v="1"/>
    <x v="0"/>
    <x v="0"/>
    <x v="30"/>
    <x v="60"/>
    <s v="Engdahl, Gilbert R."/>
    <n v="6292"/>
    <n v="154"/>
    <n v="6138"/>
    <n v="0"/>
    <n v="5703.6"/>
    <n v="0"/>
    <n v="15.25"/>
    <n v="0"/>
    <n v="5718.85"/>
    <n v="164"/>
  </r>
  <r>
    <x v="0"/>
    <x v="20"/>
    <x v="38"/>
    <x v="1"/>
    <x v="0"/>
    <x v="0"/>
    <x v="32"/>
    <x v="61"/>
    <s v="Wilke, R. R."/>
    <n v="919344"/>
    <s v="0.00"/>
    <n v="919344"/>
    <n v="948404.27"/>
    <n v="0"/>
    <n v="0"/>
    <n v="0"/>
    <n v="0"/>
    <n v="948404.27"/>
    <n v="19.96"/>
  </r>
  <r>
    <x v="0"/>
    <x v="21"/>
    <x v="39"/>
    <x v="1"/>
    <x v="0"/>
    <x v="0"/>
    <x v="34"/>
    <x v="62"/>
    <s v="Osterhout, John J."/>
    <n v="494568"/>
    <s v="0.00"/>
    <n v="494568"/>
    <n v="538860.62"/>
    <n v="0"/>
    <n v="0"/>
    <n v="0"/>
    <n v="0"/>
    <n v="538860.62"/>
    <n v="20.67"/>
  </r>
  <r>
    <x v="0"/>
    <x v="37"/>
    <x v="40"/>
    <x v="1"/>
    <x v="0"/>
    <x v="0"/>
    <x v="59"/>
    <x v="63"/>
    <s v="Roden, Timothy E."/>
    <n v="427121"/>
    <s v="0.00"/>
    <n v="427121"/>
    <n v="457511.02"/>
    <n v="0"/>
    <n v="0"/>
    <n v="0"/>
    <n v="0"/>
    <n v="457511.02"/>
    <n v="-40.08"/>
  </r>
  <r>
    <x v="0"/>
    <x v="38"/>
    <x v="41"/>
    <x v="1"/>
    <x v="0"/>
    <x v="0"/>
    <x v="60"/>
    <x v="64"/>
    <s v="Zarnowski, Roger E."/>
    <n v="654238"/>
    <s v="0.00"/>
    <n v="654238"/>
    <n v="888190.81"/>
    <n v="0"/>
    <n v="0"/>
    <n v="0"/>
    <n v="0"/>
    <n v="888190.81"/>
    <n v="59.74"/>
  </r>
  <r>
    <x v="0"/>
    <x v="39"/>
    <x v="42"/>
    <x v="1"/>
    <x v="0"/>
    <x v="0"/>
    <x v="61"/>
    <x v="65"/>
    <s v="Wilkinson, Susan C."/>
    <n v="11574"/>
    <s v="0.00"/>
    <n v="11574"/>
    <n v="0"/>
    <n v="0"/>
    <n v="0"/>
    <n v="9325.0300000000007"/>
    <n v="791.1"/>
    <n v="10116.129999999999"/>
    <n v="647.69000000000005"/>
  </r>
  <r>
    <x v="1"/>
    <x v="39"/>
    <x v="42"/>
    <x v="1"/>
    <x v="0"/>
    <x v="0"/>
    <x v="61"/>
    <x v="65"/>
    <s v="Wilkinson, Susan C."/>
    <n v="791.1"/>
    <n v="791.1"/>
    <n v="0"/>
    <n v="0"/>
    <n v="0"/>
    <n v="0"/>
    <n v="0"/>
    <n v="791.1"/>
    <n v="791.1"/>
    <n v="0"/>
  </r>
  <r>
    <x v="0"/>
    <x v="28"/>
    <x v="43"/>
    <x v="1"/>
    <x v="0"/>
    <x v="0"/>
    <x v="44"/>
    <x v="66"/>
    <s v="Wallace, Andrew B."/>
    <n v="549539"/>
    <s v="0.00"/>
    <n v="549539"/>
    <n v="603377.6"/>
    <n v="0"/>
    <n v="0"/>
    <n v="0"/>
    <n v="0"/>
    <n v="603377.6"/>
    <n v="591.94000000000005"/>
  </r>
  <r>
    <x v="1"/>
    <x v="36"/>
    <x v="44"/>
    <x v="1"/>
    <x v="0"/>
    <x v="0"/>
    <x v="57"/>
    <x v="67"/>
    <s v="Snowden, Steven R."/>
    <n v="499902"/>
    <s v="0.00"/>
    <n v="499902"/>
    <n v="375564.44"/>
    <n v="14799.13"/>
    <n v="0"/>
    <n v="0"/>
    <n v="0"/>
    <n v="390363.57"/>
    <n v="141668.43"/>
  </r>
  <r>
    <x v="1"/>
    <x v="36"/>
    <x v="44"/>
    <x v="1"/>
    <x v="0"/>
    <x v="0"/>
    <x v="58"/>
    <x v="68"/>
    <s v="Snowden, Steven R."/>
    <n v="0"/>
    <s v="0.00"/>
    <n v="0"/>
    <n v="0"/>
    <n v="0"/>
    <n v="0"/>
    <n v="2016.48"/>
    <n v="0"/>
    <n v="2016.48"/>
    <n v="7483.52"/>
  </r>
  <r>
    <x v="0"/>
    <x v="39"/>
    <x v="42"/>
    <x v="1"/>
    <x v="0"/>
    <x v="0"/>
    <x v="62"/>
    <x v="69"/>
    <s v="Wilkinson, Susan C."/>
    <n v="1770966"/>
    <s v="0.00"/>
    <n v="1770966"/>
    <n v="1799915.74"/>
    <n v="0"/>
    <n v="0"/>
    <n v="0"/>
    <n v="0"/>
    <n v="1799915.74"/>
    <n v="4635.26"/>
  </r>
  <r>
    <x v="1"/>
    <x v="39"/>
    <x v="42"/>
    <x v="1"/>
    <x v="0"/>
    <x v="0"/>
    <x v="62"/>
    <x v="69"/>
    <s v="Wilkinson, Susan C."/>
    <n v="1754689"/>
    <s v="0.00"/>
    <n v="1754689"/>
    <n v="1347305.03"/>
    <n v="0"/>
    <n v="0"/>
    <n v="0"/>
    <n v="0"/>
    <n v="1347305.03"/>
    <n v="383855.97"/>
  </r>
  <r>
    <x v="1"/>
    <x v="39"/>
    <x v="42"/>
    <x v="1"/>
    <x v="0"/>
    <x v="0"/>
    <x v="61"/>
    <x v="70"/>
    <s v="Wilkinson, Susan C."/>
    <n v="0"/>
    <s v="0.00"/>
    <n v="0"/>
    <n v="0"/>
    <n v="0"/>
    <n v="0"/>
    <n v="11248.71"/>
    <n v="9241.26"/>
    <n v="20489.97"/>
    <n v="2510.0300000000002"/>
  </r>
  <r>
    <x v="1"/>
    <x v="39"/>
    <x v="42"/>
    <x v="1"/>
    <x v="0"/>
    <x v="0"/>
    <x v="63"/>
    <x v="71"/>
    <s v="Wilkinson, Susan C."/>
    <n v="100203"/>
    <s v="0.00"/>
    <n v="100203"/>
    <n v="79873.69"/>
    <n v="0"/>
    <n v="0"/>
    <n v="0"/>
    <n v="0"/>
    <n v="79873.69"/>
    <n v="23559.31"/>
  </r>
  <r>
    <x v="0"/>
    <x v="40"/>
    <x v="45"/>
    <x v="1"/>
    <x v="0"/>
    <x v="0"/>
    <x v="64"/>
    <x v="72"/>
    <s v="Weise, Shelly D."/>
    <n v="35343.64"/>
    <n v="135.63999999999999"/>
    <n v="35208"/>
    <n v="2729.98"/>
    <n v="0"/>
    <n v="0"/>
    <n v="32247.21"/>
    <n v="0"/>
    <n v="34977.19"/>
    <n v="92.99"/>
  </r>
  <r>
    <x v="1"/>
    <x v="40"/>
    <x v="45"/>
    <x v="1"/>
    <x v="0"/>
    <x v="0"/>
    <x v="64"/>
    <x v="72"/>
    <s v="Weise, Shelly D."/>
    <n v="2730"/>
    <s v="0.00"/>
    <n v="2730"/>
    <n v="1478.67"/>
    <n v="0"/>
    <n v="0"/>
    <n v="10257.120000000001"/>
    <n v="0"/>
    <n v="11735.79"/>
    <n v="18494.21"/>
  </r>
  <r>
    <x v="0"/>
    <x v="40"/>
    <x v="45"/>
    <x v="1"/>
    <x v="0"/>
    <x v="0"/>
    <x v="65"/>
    <x v="73"/>
    <s v="Weise, Shelly D."/>
    <n v="70289.84"/>
    <n v="1339.84"/>
    <n v="68950"/>
    <n v="0"/>
    <n v="0"/>
    <n v="0"/>
    <n v="62179.82"/>
    <n v="394.18"/>
    <n v="62574"/>
    <n v="2889.34"/>
  </r>
  <r>
    <x v="1"/>
    <x v="40"/>
    <x v="45"/>
    <x v="1"/>
    <x v="0"/>
    <x v="0"/>
    <x v="65"/>
    <x v="73"/>
    <s v="Weise, Shelly D."/>
    <n v="57623.18"/>
    <n v="394.18"/>
    <n v="57229"/>
    <n v="0"/>
    <n v="0"/>
    <n v="0"/>
    <n v="15748.31"/>
    <n v="5930.06"/>
    <n v="21678.37"/>
    <n v="35944.81"/>
  </r>
  <r>
    <x v="1"/>
    <x v="29"/>
    <x v="46"/>
    <x v="1"/>
    <x v="0"/>
    <x v="0"/>
    <x v="45"/>
    <x v="74"/>
    <s v="Davidson, William B."/>
    <n v="891114"/>
    <s v="0.00"/>
    <n v="823229"/>
    <n v="619063.47"/>
    <n v="0"/>
    <n v="0"/>
    <n v="0"/>
    <n v="0"/>
    <n v="619063.47"/>
    <n v="181078.53"/>
  </r>
  <r>
    <x v="1"/>
    <x v="29"/>
    <x v="46"/>
    <x v="1"/>
    <x v="0"/>
    <x v="0"/>
    <x v="66"/>
    <x v="75"/>
    <s v="Davidson, William B."/>
    <n v="0"/>
    <s v="0.00"/>
    <n v="0"/>
    <n v="0"/>
    <n v="5062.5"/>
    <n v="0"/>
    <n v="4364.7700000000004"/>
    <n v="2495.85"/>
    <n v="11923.12"/>
    <n v="23576.880000000001"/>
  </r>
  <r>
    <x v="0"/>
    <x v="23"/>
    <x v="23"/>
    <x v="1"/>
    <x v="0"/>
    <x v="0"/>
    <x v="67"/>
    <x v="76"/>
    <s v="Musgrove, Laurence E."/>
    <n v="82677.16"/>
    <n v="5784.16"/>
    <n v="76893"/>
    <n v="14633.04"/>
    <n v="46479.15"/>
    <n v="0"/>
    <n v="13220.06"/>
    <n v="90.96"/>
    <n v="74423.210000000006"/>
    <n v="6342.25"/>
  </r>
  <r>
    <x v="1"/>
    <x v="23"/>
    <x v="23"/>
    <x v="1"/>
    <x v="0"/>
    <x v="0"/>
    <x v="67"/>
    <x v="76"/>
    <s v="Musgrove, Laurence E."/>
    <n v="90.96"/>
    <n v="90.96"/>
    <n v="0"/>
    <n v="0"/>
    <n v="0"/>
    <n v="0"/>
    <n v="90.96"/>
    <n v="0"/>
    <n v="90.96"/>
    <n v="0"/>
  </r>
  <r>
    <x v="0"/>
    <x v="26"/>
    <x v="26"/>
    <x v="1"/>
    <x v="0"/>
    <x v="0"/>
    <x v="68"/>
    <x v="77"/>
    <s v="Zarnowski, Roger E."/>
    <n v="25071"/>
    <s v="0.00"/>
    <n v="25071"/>
    <n v="0"/>
    <n v="20887.47"/>
    <n v="0"/>
    <n v="2985.21"/>
    <n v="0"/>
    <n v="23872.68"/>
    <n v="535.65"/>
  </r>
  <r>
    <x v="1"/>
    <x v="41"/>
    <x v="47"/>
    <x v="1"/>
    <x v="0"/>
    <x v="0"/>
    <x v="69"/>
    <x v="78"/>
    <s v="Eoff, Shirley M."/>
    <n v="0"/>
    <s v="0.00"/>
    <n v="0"/>
    <n v="19426.490000000002"/>
    <n v="0"/>
    <n v="0"/>
    <n v="0"/>
    <n v="0"/>
    <n v="19426.490000000002"/>
    <n v="30537.51"/>
  </r>
  <r>
    <x v="1"/>
    <x v="42"/>
    <x v="48"/>
    <x v="1"/>
    <x v="0"/>
    <x v="0"/>
    <x v="70"/>
    <x v="79"/>
    <s v="Wright, Angelina W."/>
    <n v="1653792"/>
    <s v="0.00"/>
    <n v="1653792"/>
    <n v="0"/>
    <n v="0"/>
    <n v="0"/>
    <n v="0"/>
    <n v="0"/>
    <n v="0"/>
    <n v="1655001"/>
  </r>
  <r>
    <x v="0"/>
    <x v="13"/>
    <x v="13"/>
    <x v="1"/>
    <x v="0"/>
    <x v="0"/>
    <x v="71"/>
    <x v="80"/>
    <s v="May, Brian J."/>
    <n v="117530.45"/>
    <n v="1925.45"/>
    <n v="115605"/>
    <n v="12000"/>
    <n v="0"/>
    <n v="0"/>
    <n v="1925.45"/>
    <n v="0"/>
    <n v="13925.45"/>
    <n v="685"/>
  </r>
  <r>
    <x v="1"/>
    <x v="13"/>
    <x v="13"/>
    <x v="1"/>
    <x v="0"/>
    <x v="0"/>
    <x v="71"/>
    <x v="80"/>
    <s v="May, Brian J."/>
    <n v="252503"/>
    <s v="0.00"/>
    <n v="252503"/>
    <n v="0"/>
    <n v="0"/>
    <n v="0"/>
    <n v="0"/>
    <n v="0"/>
    <n v="0"/>
    <n v="0"/>
  </r>
  <r>
    <x v="1"/>
    <x v="1"/>
    <x v="1"/>
    <x v="1"/>
    <x v="0"/>
    <x v="0"/>
    <x v="72"/>
    <x v="81"/>
    <s v="Allen, Nancy G."/>
    <n v="936610"/>
    <s v="0.00"/>
    <n v="936610"/>
    <n v="0"/>
    <n v="0"/>
    <n v="0"/>
    <n v="0"/>
    <n v="0"/>
    <n v="0"/>
    <n v="221920"/>
  </r>
  <r>
    <x v="0"/>
    <x v="43"/>
    <x v="49"/>
    <x v="1"/>
    <x v="0"/>
    <x v="0"/>
    <x v="73"/>
    <x v="82"/>
    <s v="Swets, Paul K."/>
    <n v="182635"/>
    <s v="0.00"/>
    <n v="182635"/>
    <n v="173650.55"/>
    <n v="2128"/>
    <n v="900"/>
    <n v="2805.11"/>
    <n v="87"/>
    <n v="179570.66"/>
    <n v="7431.29"/>
  </r>
  <r>
    <x v="1"/>
    <x v="43"/>
    <x v="49"/>
    <x v="1"/>
    <x v="0"/>
    <x v="0"/>
    <x v="73"/>
    <x v="82"/>
    <s v="Swets, Paul K."/>
    <n v="226551"/>
    <n v="87"/>
    <n v="226464"/>
    <n v="110977.13"/>
    <n v="0"/>
    <n v="0"/>
    <n v="87"/>
    <n v="0"/>
    <n v="111064.13"/>
    <n v="104786.87"/>
  </r>
  <r>
    <x v="0"/>
    <x v="44"/>
    <x v="50"/>
    <x v="1"/>
    <x v="0"/>
    <x v="0"/>
    <x v="74"/>
    <x v="83"/>
    <s v="Gaulden, Corbett F."/>
    <n v="204285"/>
    <s v="0.00"/>
    <n v="204285"/>
    <n v="196499.96"/>
    <n v="3940.54"/>
    <n v="900"/>
    <n v="1439.45"/>
    <n v="0"/>
    <n v="202779.95"/>
    <n v="975.5"/>
  </r>
  <r>
    <x v="1"/>
    <x v="44"/>
    <x v="50"/>
    <x v="1"/>
    <x v="0"/>
    <x v="0"/>
    <x v="74"/>
    <x v="83"/>
    <s v="Gaulden, Corbett F."/>
    <n v="182454"/>
    <s v="0.00"/>
    <n v="182454"/>
    <n v="104881.72"/>
    <n v="0"/>
    <n v="0"/>
    <n v="0"/>
    <n v="0"/>
    <n v="104881.72"/>
    <n v="77572.28"/>
  </r>
  <r>
    <x v="0"/>
    <x v="45"/>
    <x v="51"/>
    <x v="1"/>
    <x v="0"/>
    <x v="0"/>
    <x v="75"/>
    <x v="84"/>
    <s v="Miazga, John J."/>
    <n v="316102"/>
    <n v="6565"/>
    <n v="309537"/>
    <n v="282543.84000000003"/>
    <n v="15732.25"/>
    <n v="0"/>
    <n v="20181.29"/>
    <n v="3185.2"/>
    <n v="321642.58"/>
    <n v="5574.42"/>
  </r>
  <r>
    <x v="1"/>
    <x v="45"/>
    <x v="51"/>
    <x v="1"/>
    <x v="0"/>
    <x v="0"/>
    <x v="75"/>
    <x v="84"/>
    <s v="Miazga, John J."/>
    <n v="283023.2"/>
    <n v="3185.2"/>
    <n v="279838"/>
    <n v="150248.95000000001"/>
    <n v="0"/>
    <n v="0"/>
    <n v="3185.2"/>
    <n v="0"/>
    <n v="153434.15"/>
    <n v="127507.05"/>
  </r>
  <r>
    <x v="0"/>
    <x v="46"/>
    <x v="52"/>
    <x v="1"/>
    <x v="0"/>
    <x v="0"/>
    <x v="76"/>
    <x v="85"/>
    <s v="Swets, Paul K."/>
    <n v="207776.57"/>
    <n v="2662.57"/>
    <n v="205114"/>
    <n v="181661.29"/>
    <n v="3409.44"/>
    <n v="900"/>
    <n v="11313.46"/>
    <n v="2318.1999999999998"/>
    <n v="199602.39"/>
    <n v="1963.72"/>
  </r>
  <r>
    <x v="1"/>
    <x v="46"/>
    <x v="52"/>
    <x v="1"/>
    <x v="0"/>
    <x v="0"/>
    <x v="76"/>
    <x v="85"/>
    <s v="Swets, Paul K."/>
    <n v="2318.1999999999998"/>
    <n v="2318.1999999999998"/>
    <n v="0"/>
    <n v="0"/>
    <n v="0"/>
    <n v="0"/>
    <n v="2314"/>
    <n v="4.2"/>
    <n v="2318.1999999999998"/>
    <n v="0"/>
  </r>
  <r>
    <x v="0"/>
    <x v="47"/>
    <x v="53"/>
    <x v="1"/>
    <x v="0"/>
    <x v="0"/>
    <x v="77"/>
    <x v="86"/>
    <s v="Mayrand, Leslie M."/>
    <n v="0"/>
    <s v="0.00"/>
    <n v="0"/>
    <n v="18120.32"/>
    <n v="0"/>
    <n v="228.75"/>
    <n v="0"/>
    <n v="0"/>
    <n v="18349.07"/>
    <n v="62969.599999999999"/>
  </r>
  <r>
    <x v="0"/>
    <x v="13"/>
    <x v="13"/>
    <x v="1"/>
    <x v="0"/>
    <x v="0"/>
    <x v="78"/>
    <x v="87"/>
    <s v="May, Brian J."/>
    <n v="166288"/>
    <n v="93"/>
    <n v="166195"/>
    <n v="131564.94"/>
    <n v="0"/>
    <n v="900"/>
    <n v="10020.81"/>
    <n v="0"/>
    <n v="142485.75"/>
    <n v="890.86"/>
  </r>
  <r>
    <x v="1"/>
    <x v="13"/>
    <x v="13"/>
    <x v="1"/>
    <x v="0"/>
    <x v="0"/>
    <x v="78"/>
    <x v="87"/>
    <s v="May, Brian J."/>
    <n v="50622"/>
    <s v="0.00"/>
    <n v="50622"/>
    <n v="27942.02"/>
    <n v="0"/>
    <n v="0"/>
    <n v="0"/>
    <n v="0"/>
    <n v="27942.02"/>
    <n v="22679.98"/>
  </r>
  <r>
    <x v="0"/>
    <x v="1"/>
    <x v="1"/>
    <x v="1"/>
    <x v="0"/>
    <x v="0"/>
    <x v="79"/>
    <x v="88"/>
    <s v="May, Brian J."/>
    <n v="27674"/>
    <s v="0.00"/>
    <n v="27674"/>
    <n v="26120.01"/>
    <n v="0"/>
    <n v="0"/>
    <n v="0"/>
    <n v="0"/>
    <n v="26120.01"/>
    <n v="1436.81"/>
  </r>
  <r>
    <x v="0"/>
    <x v="18"/>
    <x v="18"/>
    <x v="4"/>
    <x v="0"/>
    <x v="0"/>
    <x v="80"/>
    <x v="89"/>
    <s v="Engdahl, Gilbert R."/>
    <n v="164634.82"/>
    <n v="2024.82"/>
    <n v="162610"/>
    <n v="48694.33"/>
    <n v="18752.419999999998"/>
    <n v="420"/>
    <n v="140261.31"/>
    <n v="4494.18"/>
    <n v="212622.24"/>
    <n v="17951.400000000001"/>
  </r>
  <r>
    <x v="1"/>
    <x v="18"/>
    <x v="18"/>
    <x v="4"/>
    <x v="0"/>
    <x v="0"/>
    <x v="80"/>
    <x v="89"/>
    <s v="Engdahl, Gilbert R."/>
    <n v="124494.18"/>
    <n v="4494.18"/>
    <n v="120000"/>
    <n v="28507.01"/>
    <n v="14024.44"/>
    <n v="0"/>
    <n v="34434.69"/>
    <n v="10837.07"/>
    <n v="87803.21"/>
    <n v="36690.97"/>
  </r>
  <r>
    <x v="0"/>
    <x v="48"/>
    <x v="54"/>
    <x v="1"/>
    <x v="0"/>
    <x v="0"/>
    <x v="81"/>
    <x v="90"/>
    <s v="Fortin, Maurice G."/>
    <n v="488848"/>
    <s v="0.00"/>
    <n v="488848"/>
    <n v="469838.99"/>
    <n v="0"/>
    <n v="0"/>
    <n v="0"/>
    <n v="0"/>
    <n v="469838.99"/>
    <n v="804.01"/>
  </r>
  <r>
    <x v="1"/>
    <x v="48"/>
    <x v="54"/>
    <x v="1"/>
    <x v="0"/>
    <x v="0"/>
    <x v="81"/>
    <x v="90"/>
    <s v="Fortin, Maurice G."/>
    <n v="359868"/>
    <s v="0.00"/>
    <n v="359868"/>
    <n v="195427.53"/>
    <n v="0"/>
    <n v="0"/>
    <n v="0"/>
    <n v="0"/>
    <n v="195427.53"/>
    <n v="164440.47"/>
  </r>
  <r>
    <x v="0"/>
    <x v="48"/>
    <x v="54"/>
    <x v="1"/>
    <x v="0"/>
    <x v="0"/>
    <x v="82"/>
    <x v="91"/>
    <s v="Fortin, Maurice G."/>
    <n v="12644"/>
    <n v="5994"/>
    <n v="6650"/>
    <n v="0"/>
    <n v="0"/>
    <n v="0"/>
    <n v="12178.5"/>
    <n v="0"/>
    <n v="12178.5"/>
    <n v="0"/>
  </r>
  <r>
    <x v="1"/>
    <x v="49"/>
    <x v="55"/>
    <x v="4"/>
    <x v="0"/>
    <x v="0"/>
    <x v="83"/>
    <x v="92"/>
    <s v="Allen, Nancy G."/>
    <n v="61588"/>
    <s v="0.00"/>
    <n v="61588"/>
    <n v="0"/>
    <n v="0"/>
    <n v="0"/>
    <n v="0"/>
    <n v="0"/>
    <n v="0"/>
    <n v="6461"/>
  </r>
  <r>
    <x v="0"/>
    <x v="49"/>
    <x v="55"/>
    <x v="4"/>
    <x v="0"/>
    <x v="0"/>
    <x v="84"/>
    <x v="93"/>
    <s v="Braden, Kirk W."/>
    <n v="1329.98"/>
    <n v="1329.98"/>
    <n v="0"/>
    <n v="0"/>
    <n v="0"/>
    <n v="0"/>
    <n v="1285.29"/>
    <n v="0"/>
    <n v="1285.29"/>
    <n v="44.69"/>
  </r>
  <r>
    <x v="0"/>
    <x v="49"/>
    <x v="55"/>
    <x v="4"/>
    <x v="0"/>
    <x v="0"/>
    <x v="85"/>
    <x v="94"/>
    <s v="Dowler, Robert C."/>
    <n v="775.24"/>
    <n v="775.24"/>
    <n v="0"/>
    <n v="0"/>
    <n v="0"/>
    <n v="0"/>
    <n v="775.24"/>
    <n v="0"/>
    <n v="775.24"/>
    <n v="0"/>
  </r>
  <r>
    <x v="0"/>
    <x v="49"/>
    <x v="55"/>
    <x v="4"/>
    <x v="0"/>
    <x v="0"/>
    <x v="86"/>
    <x v="95"/>
    <s v="Guardiola, Amaris R."/>
    <n v="216.99"/>
    <n v="216.99"/>
    <n v="0"/>
    <n v="0"/>
    <n v="0"/>
    <n v="0"/>
    <n v="65.05"/>
    <n v="0"/>
    <n v="65.05"/>
    <n v="151.94"/>
  </r>
  <r>
    <x v="0"/>
    <x v="49"/>
    <x v="55"/>
    <x v="4"/>
    <x v="0"/>
    <x v="0"/>
    <x v="87"/>
    <x v="96"/>
    <s v="Sauncy, Toni D."/>
    <n v="1299.8"/>
    <n v="1299.8"/>
    <n v="0"/>
    <n v="0"/>
    <n v="0"/>
    <n v="0"/>
    <n v="242.5"/>
    <n v="0"/>
    <n v="242.5"/>
    <n v="1057.3"/>
  </r>
  <r>
    <x v="0"/>
    <x v="49"/>
    <x v="55"/>
    <x v="4"/>
    <x v="0"/>
    <x v="0"/>
    <x v="88"/>
    <x v="97"/>
    <s v="Ammerman, Loren K."/>
    <n v="0"/>
    <s v="0.00"/>
    <n v="0"/>
    <n v="0"/>
    <n v="3940"/>
    <n v="0"/>
    <n v="6650.94"/>
    <n v="0"/>
    <n v="10590.94"/>
    <n v="36.06"/>
  </r>
  <r>
    <x v="0"/>
    <x v="49"/>
    <x v="55"/>
    <x v="4"/>
    <x v="0"/>
    <x v="0"/>
    <x v="89"/>
    <x v="98"/>
    <s v="Dunham, Hardin R."/>
    <n v="0"/>
    <s v="0.00"/>
    <n v="0"/>
    <n v="0"/>
    <n v="0"/>
    <n v="0"/>
    <n v="10218.459999999999"/>
    <n v="0"/>
    <n v="10218.459999999999"/>
    <n v="0"/>
  </r>
  <r>
    <x v="0"/>
    <x v="49"/>
    <x v="55"/>
    <x v="4"/>
    <x v="0"/>
    <x v="0"/>
    <x v="90"/>
    <x v="99"/>
    <s v="Ko, Man-Soo"/>
    <n v="0"/>
    <s v="0.00"/>
    <n v="0"/>
    <n v="0"/>
    <n v="3240"/>
    <n v="0"/>
    <n v="15120"/>
    <n v="2836.98"/>
    <n v="21196.98"/>
    <n v="-2011.98"/>
  </r>
  <r>
    <x v="1"/>
    <x v="49"/>
    <x v="55"/>
    <x v="4"/>
    <x v="0"/>
    <x v="0"/>
    <x v="90"/>
    <x v="99"/>
    <s v="Ko, Man-Soo"/>
    <n v="2836.98"/>
    <n v="2836.98"/>
    <n v="0"/>
    <n v="0"/>
    <n v="0"/>
    <n v="0"/>
    <n v="2701.1"/>
    <n v="135.88"/>
    <n v="2836.98"/>
    <n v="0"/>
  </r>
  <r>
    <x v="0"/>
    <x v="49"/>
    <x v="55"/>
    <x v="4"/>
    <x v="0"/>
    <x v="0"/>
    <x v="91"/>
    <x v="100"/>
    <s v="LeGrand, Robert H."/>
    <n v="0"/>
    <s v="0.00"/>
    <n v="0"/>
    <n v="0"/>
    <n v="893.76"/>
    <n v="0"/>
    <n v="973"/>
    <n v="0"/>
    <n v="1866.76"/>
    <n v="47.24"/>
  </r>
  <r>
    <x v="0"/>
    <x v="49"/>
    <x v="55"/>
    <x v="4"/>
    <x v="0"/>
    <x v="0"/>
    <x v="92"/>
    <x v="101"/>
    <s v="Pierce, Jason E."/>
    <n v="0"/>
    <s v="0.00"/>
    <n v="0"/>
    <n v="0"/>
    <n v="0"/>
    <n v="0"/>
    <n v="2347.36"/>
    <n v="2347.36"/>
    <n v="4694.72"/>
    <n v="-1502.72"/>
  </r>
  <r>
    <x v="1"/>
    <x v="49"/>
    <x v="55"/>
    <x v="4"/>
    <x v="0"/>
    <x v="0"/>
    <x v="92"/>
    <x v="101"/>
    <s v="Pierce, Jason E."/>
    <n v="2347.36"/>
    <n v="2347.36"/>
    <n v="0"/>
    <n v="0"/>
    <n v="0"/>
    <n v="0"/>
    <n v="1968.12"/>
    <n v="379.24"/>
    <n v="2347.36"/>
    <n v="0"/>
  </r>
  <r>
    <x v="1"/>
    <x v="49"/>
    <x v="55"/>
    <x v="4"/>
    <x v="0"/>
    <x v="0"/>
    <x v="93"/>
    <x v="102"/>
    <s v="Runia, Robin M."/>
    <n v="0"/>
    <s v="0.00"/>
    <n v="0"/>
    <n v="0"/>
    <n v="0"/>
    <n v="0"/>
    <n v="0"/>
    <n v="6137"/>
    <n v="6137"/>
    <n v="1200"/>
  </r>
  <r>
    <x v="1"/>
    <x v="49"/>
    <x v="55"/>
    <x v="4"/>
    <x v="0"/>
    <x v="0"/>
    <x v="94"/>
    <x v="103"/>
    <s v="Williams, Scott C."/>
    <n v="0"/>
    <s v="0.00"/>
    <n v="0"/>
    <n v="0"/>
    <n v="0"/>
    <n v="0"/>
    <n v="6567"/>
    <n v="2567"/>
    <n v="9134"/>
    <n v="3366"/>
  </r>
  <r>
    <x v="0"/>
    <x v="50"/>
    <x v="56"/>
    <x v="5"/>
    <x v="0"/>
    <x v="0"/>
    <x v="95"/>
    <x v="104"/>
    <s v="Halbert, Jay S."/>
    <n v="231514"/>
    <n v="15"/>
    <n v="231499"/>
    <n v="189310.55"/>
    <n v="22506.86"/>
    <n v="1320"/>
    <n v="3696.49"/>
    <n v="0"/>
    <n v="216833.9"/>
    <n v="5120.79"/>
  </r>
  <r>
    <x v="1"/>
    <x v="50"/>
    <x v="56"/>
    <x v="5"/>
    <x v="0"/>
    <x v="0"/>
    <x v="95"/>
    <x v="104"/>
    <s v="Halbert, Jay S."/>
    <n v="194496"/>
    <s v="0.00"/>
    <n v="194496"/>
    <n v="90249.81"/>
    <n v="22456.15"/>
    <n v="902.5"/>
    <n v="2470.04"/>
    <n v="315.32"/>
    <n v="116393.82"/>
    <n v="78522.179999999993"/>
  </r>
  <r>
    <x v="0"/>
    <x v="50"/>
    <x v="56"/>
    <x v="5"/>
    <x v="0"/>
    <x v="0"/>
    <x v="96"/>
    <x v="105"/>
    <s v="Halbert, Jay S."/>
    <n v="7460"/>
    <s v="0.00"/>
    <n v="7460"/>
    <n v="0"/>
    <n v="7108.8"/>
    <n v="0"/>
    <n v="0"/>
    <n v="0"/>
    <n v="7108.8"/>
    <n v="202"/>
  </r>
  <r>
    <x v="0"/>
    <x v="51"/>
    <x v="57"/>
    <x v="5"/>
    <x v="0"/>
    <x v="0"/>
    <x v="97"/>
    <x v="106"/>
    <s v="Russell, John H."/>
    <n v="20100.7"/>
    <n v="1000.7"/>
    <n v="19100"/>
    <n v="0"/>
    <n v="0"/>
    <n v="0"/>
    <n v="14873.5"/>
    <n v="285.41000000000003"/>
    <n v="15158.91"/>
    <n v="3604.79"/>
  </r>
  <r>
    <x v="1"/>
    <x v="51"/>
    <x v="57"/>
    <x v="5"/>
    <x v="0"/>
    <x v="0"/>
    <x v="97"/>
    <x v="106"/>
    <s v="Russell, John H."/>
    <n v="285.41000000000003"/>
    <n v="285.41000000000003"/>
    <n v="0"/>
    <n v="0"/>
    <n v="0"/>
    <n v="0"/>
    <n v="285.41000000000003"/>
    <n v="0"/>
    <n v="285.41000000000003"/>
    <n v="0"/>
  </r>
  <r>
    <x v="0"/>
    <x v="52"/>
    <x v="58"/>
    <x v="5"/>
    <x v="0"/>
    <x v="0"/>
    <x v="98"/>
    <x v="107"/>
    <s v="Halbert, Jay S."/>
    <n v="513680"/>
    <s v="0.00"/>
    <n v="513680"/>
    <n v="504117.58"/>
    <n v="0"/>
    <n v="1740"/>
    <n v="0"/>
    <n v="0"/>
    <n v="505857.58"/>
    <n v="2430.42"/>
  </r>
  <r>
    <x v="1"/>
    <x v="52"/>
    <x v="58"/>
    <x v="5"/>
    <x v="0"/>
    <x v="0"/>
    <x v="98"/>
    <x v="107"/>
    <s v="Halbert, Jay S."/>
    <n v="507724"/>
    <s v="0.00"/>
    <n v="507724"/>
    <n v="286853.32"/>
    <n v="0"/>
    <n v="1505"/>
    <n v="0"/>
    <n v="0"/>
    <n v="288358.32"/>
    <n v="247226.68"/>
  </r>
  <r>
    <x v="0"/>
    <x v="53"/>
    <x v="59"/>
    <x v="5"/>
    <x v="0"/>
    <x v="0"/>
    <x v="99"/>
    <x v="108"/>
    <s v="Halbert, Jay S."/>
    <n v="91037"/>
    <s v="0.00"/>
    <n v="91037"/>
    <n v="51055.5"/>
    <n v="0"/>
    <n v="900"/>
    <n v="0"/>
    <n v="0"/>
    <n v="51955.5"/>
    <n v="3522.5"/>
  </r>
  <r>
    <x v="1"/>
    <x v="53"/>
    <x v="59"/>
    <x v="5"/>
    <x v="0"/>
    <x v="0"/>
    <x v="99"/>
    <x v="108"/>
    <s v="Halbert, Jay S."/>
    <n v="39672"/>
    <s v="0.00"/>
    <n v="39672"/>
    <n v="21806.65"/>
    <n v="0"/>
    <n v="675"/>
    <n v="0"/>
    <n v="0"/>
    <n v="22481.65"/>
    <n v="18240.349999999999"/>
  </r>
  <r>
    <x v="0"/>
    <x v="54"/>
    <x v="60"/>
    <x v="5"/>
    <x v="0"/>
    <x v="0"/>
    <x v="100"/>
    <x v="109"/>
    <s v="Halbert, Jay S."/>
    <n v="394584"/>
    <s v="0.00"/>
    <n v="394584"/>
    <n v="367778.52"/>
    <n v="12874.59"/>
    <n v="0"/>
    <n v="0"/>
    <n v="0"/>
    <n v="380653.11"/>
    <n v="1932.85"/>
  </r>
  <r>
    <x v="1"/>
    <x v="54"/>
    <x v="60"/>
    <x v="5"/>
    <x v="0"/>
    <x v="0"/>
    <x v="100"/>
    <x v="109"/>
    <s v="Halbert, Jay S."/>
    <n v="384979"/>
    <s v="0.00"/>
    <n v="384979"/>
    <n v="199088.71"/>
    <n v="9757.64"/>
    <n v="0"/>
    <n v="0"/>
    <n v="0"/>
    <n v="208846.35"/>
    <n v="171132.65"/>
  </r>
  <r>
    <x v="0"/>
    <x v="55"/>
    <x v="61"/>
    <x v="5"/>
    <x v="0"/>
    <x v="0"/>
    <x v="101"/>
    <x v="110"/>
    <s v="Halbert, Jay S."/>
    <n v="224171"/>
    <s v="0.00"/>
    <n v="224171"/>
    <n v="190482.33"/>
    <n v="0"/>
    <n v="420"/>
    <n v="17192.189999999999"/>
    <n v="0"/>
    <n v="208094.52"/>
    <n v="13096.48"/>
  </r>
  <r>
    <x v="1"/>
    <x v="55"/>
    <x v="61"/>
    <x v="5"/>
    <x v="0"/>
    <x v="0"/>
    <x v="101"/>
    <x v="110"/>
    <s v="Halbert, Jay S."/>
    <n v="219521"/>
    <s v="0.00"/>
    <n v="219521"/>
    <n v="104381.55"/>
    <n v="0"/>
    <n v="227.5"/>
    <n v="4264.33"/>
    <n v="2535.1799999999998"/>
    <n v="111408.56"/>
    <n v="104002.44"/>
  </r>
  <r>
    <x v="0"/>
    <x v="55"/>
    <x v="61"/>
    <x v="5"/>
    <x v="0"/>
    <x v="0"/>
    <x v="102"/>
    <x v="111"/>
    <s v="Halbert, Jay S."/>
    <n v="404158.91"/>
    <n v="211.91"/>
    <n v="403947"/>
    <n v="0"/>
    <n v="0"/>
    <n v="0"/>
    <n v="-92.37"/>
    <n v="0"/>
    <n v="-92.37"/>
    <n v="304.27999999999997"/>
  </r>
  <r>
    <x v="0"/>
    <x v="9"/>
    <x v="9"/>
    <x v="4"/>
    <x v="0"/>
    <x v="0"/>
    <x v="103"/>
    <x v="112"/>
    <s v="Reid, Michael L."/>
    <n v="4129564"/>
    <s v="0.00"/>
    <n v="4129564"/>
    <n v="0"/>
    <n v="0"/>
    <n v="0"/>
    <n v="3952356.58"/>
    <n v="0"/>
    <n v="3952356.58"/>
    <n v="177207.42"/>
  </r>
  <r>
    <x v="1"/>
    <x v="9"/>
    <x v="9"/>
    <x v="4"/>
    <x v="0"/>
    <x v="0"/>
    <x v="103"/>
    <x v="112"/>
    <s v="Reid, Michael L."/>
    <n v="4003574"/>
    <s v="0.00"/>
    <n v="4003574"/>
    <n v="0"/>
    <n v="0"/>
    <n v="0"/>
    <n v="3921291.16"/>
    <n v="0"/>
    <n v="3921291.16"/>
    <n v="82282.84"/>
  </r>
  <r>
    <x v="0"/>
    <x v="15"/>
    <x v="15"/>
    <x v="4"/>
    <x v="0"/>
    <x v="0"/>
    <x v="104"/>
    <x v="113"/>
    <s v="Bennett, Michelle A."/>
    <n v="0"/>
    <s v="0.00"/>
    <n v="0"/>
    <n v="0"/>
    <n v="0"/>
    <n v="0"/>
    <n v="6000"/>
    <n v="0"/>
    <n v="6000"/>
    <n v="0"/>
  </r>
  <r>
    <x v="0"/>
    <x v="15"/>
    <x v="15"/>
    <x v="4"/>
    <x v="0"/>
    <x v="0"/>
    <x v="105"/>
    <x v="114"/>
    <s v="Bennett, Michelle A."/>
    <n v="0"/>
    <s v="0.00"/>
    <n v="0"/>
    <n v="0"/>
    <n v="0"/>
    <n v="0"/>
    <n v="4076314.5"/>
    <n v="0"/>
    <n v="4076314.5"/>
    <n v="0"/>
  </r>
  <r>
    <x v="1"/>
    <x v="15"/>
    <x v="15"/>
    <x v="4"/>
    <x v="0"/>
    <x v="0"/>
    <x v="105"/>
    <x v="114"/>
    <s v="Bennett, Michelle A."/>
    <n v="0"/>
    <s v="0.00"/>
    <n v="0"/>
    <n v="0"/>
    <n v="0"/>
    <n v="0"/>
    <n v="4167500"/>
    <n v="0"/>
    <n v="4167500"/>
    <n v="0"/>
  </r>
  <r>
    <x v="0"/>
    <x v="56"/>
    <x v="62"/>
    <x v="6"/>
    <x v="0"/>
    <x v="0"/>
    <x v="106"/>
    <x v="115"/>
    <s v="Penry, Jason C."/>
    <n v="0"/>
    <s v="0.00"/>
    <n v="0"/>
    <n v="0"/>
    <n v="0"/>
    <n v="0"/>
    <n v="306423.21000000002"/>
    <n v="0"/>
    <n v="306423.21000000002"/>
    <n v="-306423.21000000002"/>
  </r>
  <r>
    <x v="1"/>
    <x v="56"/>
    <x v="62"/>
    <x v="6"/>
    <x v="0"/>
    <x v="0"/>
    <x v="106"/>
    <x v="115"/>
    <s v="Penry, Jason C."/>
    <n v="0"/>
    <s v="0.00"/>
    <n v="0"/>
    <n v="0"/>
    <n v="0"/>
    <n v="0"/>
    <n v="382732.04"/>
    <n v="0"/>
    <n v="382732.04"/>
    <n v="-382732.04"/>
  </r>
  <r>
    <x v="0"/>
    <x v="18"/>
    <x v="18"/>
    <x v="4"/>
    <x v="0"/>
    <x v="0"/>
    <x v="107"/>
    <x v="116"/>
    <s v="Engdahl, Gilbert R."/>
    <n v="381420.4"/>
    <n v="8377.4"/>
    <n v="245992"/>
    <n v="245991.99999999997"/>
    <n v="0"/>
    <n v="0"/>
    <n v="0"/>
    <n v="0"/>
    <n v="245992"/>
    <n v="0"/>
  </r>
  <r>
    <x v="1"/>
    <x v="18"/>
    <x v="18"/>
    <x v="4"/>
    <x v="0"/>
    <x v="0"/>
    <x v="107"/>
    <x v="116"/>
    <s v="Engdahl, Gilbert R."/>
    <n v="339984"/>
    <n v="135"/>
    <n v="184494"/>
    <n v="105730.14"/>
    <n v="21933.64"/>
    <n v="0"/>
    <n v="23602.54"/>
    <n v="2104.88"/>
    <n v="153371.20000000001"/>
    <n v="195073.84"/>
  </r>
  <r>
    <x v="0"/>
    <x v="18"/>
    <x v="18"/>
    <x v="1"/>
    <x v="0"/>
    <x v="0"/>
    <x v="107"/>
    <x v="116"/>
    <s v="Engdahl, Gilbert R."/>
    <n v="381420.4"/>
    <n v="8377.4"/>
    <n v="127051"/>
    <n v="25539.789999999979"/>
    <n v="33096.400000000001"/>
    <n v="0"/>
    <n v="62377.13"/>
    <n v="135"/>
    <n v="121148.32"/>
    <n v="26225.07"/>
  </r>
  <r>
    <x v="1"/>
    <x v="18"/>
    <x v="18"/>
    <x v="1"/>
    <x v="0"/>
    <x v="0"/>
    <x v="107"/>
    <x v="116"/>
    <s v="Engdahl, Gilbert R."/>
    <n v="339984"/>
    <n v="135"/>
    <n v="155355"/>
    <m/>
    <m/>
    <n v="0"/>
    <m/>
    <m/>
    <m/>
    <n v="0"/>
  </r>
  <r>
    <x v="0"/>
    <x v="57"/>
    <x v="63"/>
    <x v="4"/>
    <x v="0"/>
    <x v="0"/>
    <x v="108"/>
    <x v="117"/>
    <s v="Allen, Nancy G."/>
    <n v="415626"/>
    <s v="0.00"/>
    <n v="415626"/>
    <n v="299288.67"/>
    <n v="49036.61"/>
    <n v="0"/>
    <n v="5741.47"/>
    <n v="0"/>
    <n v="354066.75"/>
    <n v="63434.25"/>
  </r>
  <r>
    <x v="1"/>
    <x v="57"/>
    <x v="63"/>
    <x v="4"/>
    <x v="0"/>
    <x v="0"/>
    <x v="108"/>
    <x v="117"/>
    <s v="Allen, Nancy G."/>
    <n v="311720"/>
    <s v="0.00"/>
    <n v="311720"/>
    <n v="105153.05"/>
    <n v="20693.27"/>
    <n v="0"/>
    <n v="10434.549999999999"/>
    <n v="1079.22"/>
    <n v="137360.09"/>
    <n v="174359.91"/>
  </r>
  <r>
    <x v="1"/>
    <x v="15"/>
    <x v="15"/>
    <x v="4"/>
    <x v="0"/>
    <x v="0"/>
    <x v="109"/>
    <x v="118"/>
    <s v="Bennett, Michelle A."/>
    <n v="0"/>
    <s v="0.00"/>
    <n v="0"/>
    <n v="0"/>
    <n v="28515.25"/>
    <n v="0"/>
    <n v="0"/>
    <n v="0"/>
    <n v="28515.25"/>
    <n v="9056.5400000000009"/>
  </r>
  <r>
    <x v="0"/>
    <x v="39"/>
    <x v="42"/>
    <x v="4"/>
    <x v="0"/>
    <x v="0"/>
    <x v="110"/>
    <x v="119"/>
    <s v="Mayrand, Leslie M."/>
    <n v="46550"/>
    <s v="0.00"/>
    <n v="46550"/>
    <n v="46421.39"/>
    <n v="0"/>
    <n v="0"/>
    <n v="0"/>
    <n v="0"/>
    <n v="46421.39"/>
    <n v="686.61"/>
  </r>
  <r>
    <x v="1"/>
    <x v="39"/>
    <x v="42"/>
    <x v="4"/>
    <x v="0"/>
    <x v="0"/>
    <x v="110"/>
    <x v="119"/>
    <s v="Mayrand, Leslie M."/>
    <n v="34912"/>
    <s v="0.00"/>
    <n v="34912"/>
    <n v="2666.66"/>
    <n v="0"/>
    <n v="0"/>
    <n v="0"/>
    <n v="0"/>
    <n v="2666.66"/>
    <n v="32245.34"/>
  </r>
  <r>
    <x v="0"/>
    <x v="58"/>
    <x v="64"/>
    <x v="4"/>
    <x v="0"/>
    <x v="0"/>
    <x v="111"/>
    <x v="120"/>
    <s v="Erickson, David A."/>
    <n v="135270"/>
    <n v="1000"/>
    <n v="134270"/>
    <n v="130095.27"/>
    <n v="0"/>
    <n v="0"/>
    <n v="4677.29"/>
    <n v="0"/>
    <n v="134772.56"/>
    <n v="3782.44"/>
  </r>
  <r>
    <x v="1"/>
    <x v="58"/>
    <x v="64"/>
    <x v="4"/>
    <x v="0"/>
    <x v="0"/>
    <x v="111"/>
    <x v="120"/>
    <s v="Erickson, David A."/>
    <n v="134270"/>
    <s v="0.00"/>
    <n v="134270"/>
    <n v="73865.649999999994"/>
    <n v="0"/>
    <n v="0"/>
    <n v="0"/>
    <n v="0"/>
    <n v="73865.649999999994"/>
    <n v="60404.35"/>
  </r>
  <r>
    <x v="0"/>
    <x v="51"/>
    <x v="57"/>
    <x v="4"/>
    <x v="0"/>
    <x v="0"/>
    <x v="112"/>
    <x v="121"/>
    <s v="Russell, John H."/>
    <n v="53426"/>
    <s v="0.00"/>
    <n v="53426"/>
    <n v="0"/>
    <n v="0"/>
    <n v="0"/>
    <n v="53426"/>
    <n v="0"/>
    <n v="53426"/>
    <n v="0"/>
  </r>
  <r>
    <x v="1"/>
    <x v="51"/>
    <x v="57"/>
    <x v="4"/>
    <x v="0"/>
    <x v="0"/>
    <x v="112"/>
    <x v="121"/>
    <s v="Russell, John H."/>
    <n v="56316"/>
    <s v="0.00"/>
    <n v="40070"/>
    <n v="0"/>
    <n v="0"/>
    <n v="0"/>
    <n v="37536"/>
    <n v="18768"/>
    <n v="56304"/>
    <n v="12"/>
  </r>
  <r>
    <x v="0"/>
    <x v="51"/>
    <x v="57"/>
    <x v="2"/>
    <x v="0"/>
    <x v="0"/>
    <x v="112"/>
    <x v="121"/>
    <s v="Russell, John H."/>
    <n v="53426"/>
    <s v="0.00"/>
    <n v="0"/>
    <n v="0"/>
    <n v="0"/>
    <n v="0"/>
    <n v="2326"/>
    <n v="0"/>
    <n v="2326"/>
    <n v="0"/>
  </r>
  <r>
    <x v="1"/>
    <x v="51"/>
    <x v="57"/>
    <x v="2"/>
    <x v="0"/>
    <x v="0"/>
    <x v="112"/>
    <x v="121"/>
    <s v="Russell, John H."/>
    <n v="56316"/>
    <s v="0.00"/>
    <n v="16246"/>
    <n v="0"/>
    <n v="0"/>
    <n v="0"/>
    <n v="37536"/>
    <n v="18768"/>
    <n v="56304"/>
    <n v="12"/>
  </r>
  <r>
    <x v="0"/>
    <x v="0"/>
    <x v="0"/>
    <x v="0"/>
    <x v="1"/>
    <x v="1"/>
    <x v="0"/>
    <x v="0"/>
    <s v="Morales, Adelina C."/>
    <n v="78082"/>
    <s v="0.00"/>
    <n v="78082"/>
    <n v="45947"/>
    <n v="0"/>
    <n v="0"/>
    <n v="0"/>
    <n v="0"/>
    <n v="45947"/>
    <n v="0"/>
  </r>
  <r>
    <x v="0"/>
    <x v="1"/>
    <x v="1"/>
    <x v="1"/>
    <x v="1"/>
    <x v="1"/>
    <x v="1"/>
    <x v="1"/>
    <s v="May, Brian J."/>
    <n v="0"/>
    <s v="0.00"/>
    <n v="0"/>
    <n v="29385.279999999999"/>
    <n v="0"/>
    <n v="0"/>
    <n v="0"/>
    <n v="0"/>
    <n v="29385.279999999999"/>
    <n v="0"/>
  </r>
  <r>
    <x v="0"/>
    <x v="3"/>
    <x v="3"/>
    <x v="0"/>
    <x v="1"/>
    <x v="1"/>
    <x v="3"/>
    <x v="3"/>
    <s v="Lewis, John P."/>
    <n v="39500"/>
    <s v="0.00"/>
    <n v="39500"/>
    <n v="23061.69"/>
    <n v="0"/>
    <n v="0"/>
    <n v="0"/>
    <n v="0"/>
    <n v="23061.69"/>
    <n v="0"/>
  </r>
  <r>
    <x v="0"/>
    <x v="59"/>
    <x v="65"/>
    <x v="1"/>
    <x v="1"/>
    <x v="1"/>
    <x v="113"/>
    <x v="122"/>
    <s v="Wegner, John M."/>
    <n v="50960"/>
    <s v="0.00"/>
    <n v="50960"/>
    <n v="31882.19"/>
    <n v="0"/>
    <n v="0"/>
    <n v="0"/>
    <n v="0"/>
    <n v="31882.19"/>
    <n v="0"/>
  </r>
  <r>
    <x v="0"/>
    <x v="5"/>
    <x v="5"/>
    <x v="2"/>
    <x v="1"/>
    <x v="1"/>
    <x v="5"/>
    <x v="5"/>
    <s v="Brodnax, Denise H."/>
    <n v="47125"/>
    <s v="0.00"/>
    <n v="47125"/>
    <n v="27489.56"/>
    <n v="0"/>
    <n v="0"/>
    <n v="0"/>
    <n v="0"/>
    <n v="27489.56"/>
    <n v="1.2"/>
  </r>
  <r>
    <x v="0"/>
    <x v="60"/>
    <x v="66"/>
    <x v="3"/>
    <x v="1"/>
    <x v="1"/>
    <x v="114"/>
    <x v="123"/>
    <s v="Skaruppa, Cindy L."/>
    <n v="0"/>
    <s v="0.00"/>
    <n v="0"/>
    <n v="10000"/>
    <n v="0"/>
    <n v="0"/>
    <n v="0"/>
    <n v="0"/>
    <n v="10000"/>
    <n v="0"/>
  </r>
  <r>
    <x v="0"/>
    <x v="11"/>
    <x v="11"/>
    <x v="3"/>
    <x v="1"/>
    <x v="1"/>
    <x v="11"/>
    <x v="11"/>
    <s v="Loehring, Michael E."/>
    <n v="27275"/>
    <s v="0.00"/>
    <n v="27275"/>
    <n v="41275.86"/>
    <n v="0"/>
    <n v="0"/>
    <n v="0"/>
    <n v="0"/>
    <n v="41275.86"/>
    <n v="0"/>
  </r>
  <r>
    <x v="0"/>
    <x v="12"/>
    <x v="12"/>
    <x v="3"/>
    <x v="1"/>
    <x v="1"/>
    <x v="12"/>
    <x v="12"/>
    <s v="Weeaks, Cynthia D."/>
    <n v="0"/>
    <s v="0.00"/>
    <n v="0"/>
    <n v="10702.67"/>
    <n v="0"/>
    <n v="0"/>
    <n v="0"/>
    <n v="0"/>
    <n v="10702.67"/>
    <n v="0"/>
  </r>
  <r>
    <x v="0"/>
    <x v="11"/>
    <x v="11"/>
    <x v="3"/>
    <x v="1"/>
    <x v="1"/>
    <x v="115"/>
    <x v="124"/>
    <s v="Wheeler, Megan R."/>
    <n v="0"/>
    <s v="0.00"/>
    <n v="0"/>
    <n v="5394.5"/>
    <n v="0"/>
    <n v="0"/>
    <n v="0"/>
    <n v="0"/>
    <n v="5394.5"/>
    <n v="0"/>
  </r>
  <r>
    <x v="0"/>
    <x v="14"/>
    <x v="14"/>
    <x v="1"/>
    <x v="1"/>
    <x v="1"/>
    <x v="14"/>
    <x v="14"/>
    <s v="Allen, Nancy G."/>
    <n v="0"/>
    <s v="0.00"/>
    <n v="0"/>
    <n v="1406.76"/>
    <n v="0"/>
    <n v="0"/>
    <n v="0"/>
    <n v="0"/>
    <n v="1406.76"/>
    <n v="0"/>
  </r>
  <r>
    <x v="0"/>
    <x v="15"/>
    <x v="15"/>
    <x v="3"/>
    <x v="1"/>
    <x v="1"/>
    <x v="15"/>
    <x v="15"/>
    <s v="Bennett, Michelle A."/>
    <n v="0"/>
    <s v="0.00"/>
    <n v="0"/>
    <n v="17024.080000000002"/>
    <n v="0"/>
    <n v="0"/>
    <n v="0"/>
    <n v="0"/>
    <n v="17024.080000000002"/>
    <n v="0"/>
  </r>
  <r>
    <x v="0"/>
    <x v="15"/>
    <x v="15"/>
    <x v="3"/>
    <x v="1"/>
    <x v="1"/>
    <x v="116"/>
    <x v="125"/>
    <s v="Bennett, Michelle A."/>
    <n v="51495"/>
    <s v="0.00"/>
    <n v="51495"/>
    <n v="39775.67"/>
    <n v="0"/>
    <n v="0"/>
    <n v="0"/>
    <n v="0"/>
    <n v="39775.67"/>
    <n v="0"/>
  </r>
  <r>
    <x v="0"/>
    <x v="45"/>
    <x v="51"/>
    <x v="1"/>
    <x v="1"/>
    <x v="1"/>
    <x v="75"/>
    <x v="84"/>
    <s v="Miazga, John J."/>
    <n v="0"/>
    <s v="0.00"/>
    <n v="0"/>
    <n v="3963.83"/>
    <n v="0"/>
    <n v="0"/>
    <n v="0"/>
    <n v="0"/>
    <n v="3963.83"/>
    <n v="0"/>
  </r>
  <r>
    <x v="0"/>
    <x v="46"/>
    <x v="52"/>
    <x v="1"/>
    <x v="1"/>
    <x v="1"/>
    <x v="76"/>
    <x v="85"/>
    <s v="Swets, Paul K."/>
    <n v="0"/>
    <s v="0.00"/>
    <n v="0"/>
    <n v="2926.41"/>
    <n v="0"/>
    <n v="0"/>
    <n v="0"/>
    <n v="0"/>
    <n v="2926.41"/>
    <n v="0"/>
  </r>
  <r>
    <x v="0"/>
    <x v="13"/>
    <x v="13"/>
    <x v="1"/>
    <x v="1"/>
    <x v="1"/>
    <x v="78"/>
    <x v="87"/>
    <s v="May, Brian J."/>
    <n v="0"/>
    <s v="0.00"/>
    <n v="0"/>
    <n v="1229.3800000000001"/>
    <n v="0"/>
    <n v="0"/>
    <n v="0"/>
    <n v="0"/>
    <n v="1229.3800000000001"/>
    <n v="0"/>
  </r>
  <r>
    <x v="0"/>
    <x v="11"/>
    <x v="11"/>
    <x v="3"/>
    <x v="1"/>
    <x v="1"/>
    <x v="117"/>
    <x v="126"/>
    <s v="Loehring, Michael E."/>
    <n v="0"/>
    <s v="0.00"/>
    <n v="0"/>
    <n v="2970.92"/>
    <n v="0"/>
    <n v="0"/>
    <n v="0"/>
    <n v="0"/>
    <n v="2970.92"/>
    <n v="0"/>
  </r>
  <r>
    <x v="0"/>
    <x v="3"/>
    <x v="3"/>
    <x v="0"/>
    <x v="2"/>
    <x v="2"/>
    <x v="3"/>
    <x v="3"/>
    <s v="Lewis, John P."/>
    <n v="2984"/>
    <s v="0.00"/>
    <n v="2984"/>
    <n v="440"/>
    <n v="2921.76"/>
    <n v="0"/>
    <n v="0"/>
    <n v="0"/>
    <n v="3361.76"/>
    <n v="23937.25"/>
  </r>
  <r>
    <x v="0"/>
    <x v="61"/>
    <x v="67"/>
    <x v="7"/>
    <x v="2"/>
    <x v="2"/>
    <x v="118"/>
    <x v="127"/>
    <s v="Limbaugh, James M."/>
    <n v="8544.44"/>
    <n v="8544.44"/>
    <n v="0"/>
    <n v="0"/>
    <n v="0"/>
    <n v="0"/>
    <n v="-8544.44"/>
    <n v="0"/>
    <n v="-8544.44"/>
    <n v="17088.88"/>
  </r>
  <r>
    <x v="0"/>
    <x v="4"/>
    <x v="4"/>
    <x v="2"/>
    <x v="2"/>
    <x v="2"/>
    <x v="4"/>
    <x v="4"/>
    <s v="Wright, Angelina W."/>
    <n v="0"/>
    <s v="0.00"/>
    <n v="0"/>
    <n v="469.24"/>
    <n v="0"/>
    <n v="0"/>
    <n v="0"/>
    <n v="0"/>
    <n v="469.24"/>
    <n v="10858.76"/>
  </r>
  <r>
    <x v="0"/>
    <x v="5"/>
    <x v="5"/>
    <x v="2"/>
    <x v="2"/>
    <x v="2"/>
    <x v="5"/>
    <x v="5"/>
    <s v="Brodnax, Denise H."/>
    <n v="0"/>
    <s v="0.00"/>
    <n v="0"/>
    <n v="120"/>
    <n v="0"/>
    <n v="0"/>
    <n v="0"/>
    <n v="0"/>
    <n v="120"/>
    <n v="7309.79"/>
  </r>
  <r>
    <x v="0"/>
    <x v="6"/>
    <x v="6"/>
    <x v="2"/>
    <x v="2"/>
    <x v="2"/>
    <x v="6"/>
    <x v="6"/>
    <s v="Flage, Bruce H."/>
    <n v="0"/>
    <s v="0.00"/>
    <n v="0"/>
    <n v="740"/>
    <n v="0"/>
    <n v="0"/>
    <n v="0"/>
    <n v="0"/>
    <n v="740"/>
    <n v="22673.33"/>
  </r>
  <r>
    <x v="0"/>
    <x v="7"/>
    <x v="7"/>
    <x v="2"/>
    <x v="2"/>
    <x v="2"/>
    <x v="7"/>
    <x v="7"/>
    <s v="Begil, Henry H."/>
    <n v="0"/>
    <s v="0.00"/>
    <n v="0"/>
    <n v="280"/>
    <n v="0"/>
    <n v="0"/>
    <n v="0"/>
    <n v="0"/>
    <n v="280"/>
    <n v="6724"/>
  </r>
  <r>
    <x v="0"/>
    <x v="8"/>
    <x v="8"/>
    <x v="2"/>
    <x v="2"/>
    <x v="2"/>
    <x v="8"/>
    <x v="8"/>
    <m/>
    <n v="80657"/>
    <s v="0.00"/>
    <n v="80657"/>
    <n v="49039.25"/>
    <n v="14214.5"/>
    <n v="0"/>
    <n v="0"/>
    <n v="0"/>
    <n v="63253.75"/>
    <n v="3999.41"/>
  </r>
  <r>
    <x v="0"/>
    <x v="10"/>
    <x v="10"/>
    <x v="2"/>
    <x v="2"/>
    <x v="2"/>
    <x v="10"/>
    <x v="10"/>
    <s v="Adams, James E."/>
    <n v="25139"/>
    <s v="0.00"/>
    <n v="25139"/>
    <n v="11136.25"/>
    <n v="15455"/>
    <n v="0"/>
    <n v="0"/>
    <n v="0"/>
    <n v="26591.25"/>
    <n v="3022.14"/>
  </r>
  <r>
    <x v="0"/>
    <x v="11"/>
    <x v="11"/>
    <x v="3"/>
    <x v="2"/>
    <x v="2"/>
    <x v="11"/>
    <x v="11"/>
    <s v="Loehring, Michael E."/>
    <n v="0"/>
    <s v="0.00"/>
    <n v="0"/>
    <n v="5485.5"/>
    <n v="0"/>
    <n v="0"/>
    <n v="0"/>
    <n v="0"/>
    <n v="5485.5"/>
    <n v="0"/>
  </r>
  <r>
    <x v="0"/>
    <x v="12"/>
    <x v="12"/>
    <x v="3"/>
    <x v="2"/>
    <x v="2"/>
    <x v="12"/>
    <x v="12"/>
    <s v="Weeaks, Cynthia D."/>
    <n v="128672"/>
    <s v="0.00"/>
    <n v="128672"/>
    <n v="122732.54"/>
    <n v="0"/>
    <n v="0"/>
    <n v="0"/>
    <n v="0"/>
    <n v="122732.54"/>
    <n v="479.38"/>
  </r>
  <r>
    <x v="0"/>
    <x v="11"/>
    <x v="11"/>
    <x v="3"/>
    <x v="2"/>
    <x v="2"/>
    <x v="115"/>
    <x v="124"/>
    <s v="Wheeler, Megan R."/>
    <n v="106272"/>
    <s v="0.00"/>
    <n v="106272"/>
    <n v="66217.600000000006"/>
    <n v="17514.8"/>
    <n v="0"/>
    <n v="0"/>
    <n v="0"/>
    <n v="83732.399999999994"/>
    <n v="-457.48"/>
  </r>
  <r>
    <x v="0"/>
    <x v="13"/>
    <x v="13"/>
    <x v="1"/>
    <x v="2"/>
    <x v="2"/>
    <x v="13"/>
    <x v="13"/>
    <s v="May, Brian J."/>
    <n v="26898"/>
    <s v="0.00"/>
    <n v="26898"/>
    <n v="22355.26"/>
    <n v="1566"/>
    <n v="0"/>
    <n v="0"/>
    <n v="0"/>
    <n v="23921.26"/>
    <n v="2873.8"/>
  </r>
  <r>
    <x v="1"/>
    <x v="13"/>
    <x v="13"/>
    <x v="1"/>
    <x v="2"/>
    <x v="2"/>
    <x v="13"/>
    <x v="13"/>
    <s v="May, Brian J."/>
    <n v="26898"/>
    <s v="0.00"/>
    <n v="26898"/>
    <n v="13435.89"/>
    <n v="4371.3900000000003"/>
    <n v="0"/>
    <n v="0"/>
    <n v="0"/>
    <n v="17807.28"/>
    <n v="9090.7199999999993"/>
  </r>
  <r>
    <x v="0"/>
    <x v="15"/>
    <x v="15"/>
    <x v="3"/>
    <x v="2"/>
    <x v="2"/>
    <x v="15"/>
    <x v="15"/>
    <s v="Bennett, Michelle A."/>
    <n v="0"/>
    <s v="0.00"/>
    <n v="0"/>
    <n v="3978.33"/>
    <n v="0"/>
    <n v="0"/>
    <n v="0"/>
    <n v="0"/>
    <n v="3978.33"/>
    <n v="0"/>
  </r>
  <r>
    <x v="0"/>
    <x v="62"/>
    <x v="68"/>
    <x v="0"/>
    <x v="2"/>
    <x v="2"/>
    <x v="119"/>
    <x v="128"/>
    <s v="Madero, Flor L."/>
    <n v="6934"/>
    <s v="0.00"/>
    <n v="6934"/>
    <n v="0"/>
    <n v="0"/>
    <n v="1800"/>
    <n v="4253.09"/>
    <n v="261.7"/>
    <n v="6314.79"/>
    <n v="239.59"/>
  </r>
  <r>
    <x v="1"/>
    <x v="62"/>
    <x v="68"/>
    <x v="0"/>
    <x v="2"/>
    <x v="2"/>
    <x v="119"/>
    <x v="128"/>
    <s v="Madero, Flor L."/>
    <n v="261.7"/>
    <n v="261.7"/>
    <n v="0"/>
    <n v="0"/>
    <n v="0"/>
    <n v="0"/>
    <n v="261.7"/>
    <n v="0"/>
    <n v="261.7"/>
    <n v="0"/>
  </r>
  <r>
    <x v="0"/>
    <x v="23"/>
    <x v="23"/>
    <x v="1"/>
    <x v="2"/>
    <x v="2"/>
    <x v="120"/>
    <x v="129"/>
    <s v="Musgrove, Laurence E."/>
    <n v="14174"/>
    <s v="0.00"/>
    <n v="14174"/>
    <n v="0"/>
    <n v="13629.84"/>
    <n v="0"/>
    <n v="0"/>
    <n v="0"/>
    <n v="13629.84"/>
    <n v="260.68"/>
  </r>
  <r>
    <x v="0"/>
    <x v="26"/>
    <x v="26"/>
    <x v="1"/>
    <x v="2"/>
    <x v="2"/>
    <x v="121"/>
    <x v="130"/>
    <s v="Zarnowski, Roger E."/>
    <n v="8504"/>
    <s v="0.00"/>
    <n v="8504"/>
    <n v="0"/>
    <n v="8278.84"/>
    <n v="0"/>
    <n v="0"/>
    <n v="0"/>
    <n v="8278.84"/>
    <n v="55.08"/>
  </r>
  <r>
    <x v="0"/>
    <x v="16"/>
    <x v="16"/>
    <x v="3"/>
    <x v="2"/>
    <x v="2"/>
    <x v="16"/>
    <x v="16"/>
    <s v="Ruthenbeck, Julie J."/>
    <n v="0"/>
    <s v="0.00"/>
    <n v="0"/>
    <n v="1193.27"/>
    <n v="0"/>
    <n v="0"/>
    <n v="0"/>
    <n v="0"/>
    <n v="1193.27"/>
    <n v="0"/>
  </r>
  <r>
    <x v="1"/>
    <x v="17"/>
    <x v="17"/>
    <x v="2"/>
    <x v="2"/>
    <x v="2"/>
    <x v="17"/>
    <x v="17"/>
    <s v="Wright, Angelina W."/>
    <n v="0"/>
    <s v="0.00"/>
    <n v="0"/>
    <n v="0"/>
    <n v="0"/>
    <n v="29207.42"/>
    <n v="0"/>
    <n v="0"/>
    <n v="29207.42"/>
    <n v="-29207.42"/>
  </r>
  <r>
    <x v="1"/>
    <x v="17"/>
    <x v="17"/>
    <x v="2"/>
    <x v="2"/>
    <x v="2"/>
    <x v="18"/>
    <x v="18"/>
    <s v="Wright, Angelina W."/>
    <n v="0"/>
    <s v="0.00"/>
    <n v="0"/>
    <n v="0"/>
    <n v="0"/>
    <n v="11719.09"/>
    <n v="0"/>
    <n v="0"/>
    <n v="11719.09"/>
    <n v="-11719.09"/>
  </r>
  <r>
    <x v="1"/>
    <x v="17"/>
    <x v="17"/>
    <x v="2"/>
    <x v="2"/>
    <x v="2"/>
    <x v="19"/>
    <x v="19"/>
    <s v="Wright, Angelina W."/>
    <n v="0"/>
    <s v="0.00"/>
    <n v="0"/>
    <n v="0"/>
    <n v="0"/>
    <n v="3266.82"/>
    <n v="0"/>
    <n v="0"/>
    <n v="3266.82"/>
    <n v="-3266.82"/>
  </r>
  <r>
    <x v="1"/>
    <x v="17"/>
    <x v="17"/>
    <x v="2"/>
    <x v="2"/>
    <x v="2"/>
    <x v="21"/>
    <x v="21"/>
    <s v="Wright, Angelina W."/>
    <n v="0"/>
    <s v="0.00"/>
    <n v="0"/>
    <n v="0"/>
    <n v="0"/>
    <n v="25518.98"/>
    <n v="0"/>
    <n v="0"/>
    <n v="25518.98"/>
    <n v="-25518.98"/>
  </r>
  <r>
    <x v="1"/>
    <x v="17"/>
    <x v="17"/>
    <x v="2"/>
    <x v="2"/>
    <x v="2"/>
    <x v="22"/>
    <x v="22"/>
    <s v="Wright, Angelina W."/>
    <n v="0"/>
    <s v="0.00"/>
    <n v="0"/>
    <n v="0"/>
    <n v="0"/>
    <n v="7815.08"/>
    <n v="0"/>
    <n v="0"/>
    <n v="7815.08"/>
    <n v="-7815.08"/>
  </r>
  <r>
    <x v="1"/>
    <x v="17"/>
    <x v="17"/>
    <x v="2"/>
    <x v="2"/>
    <x v="2"/>
    <x v="24"/>
    <x v="24"/>
    <s v="Wright, Angelina W."/>
    <n v="0"/>
    <s v="0.00"/>
    <n v="0"/>
    <n v="0"/>
    <n v="0"/>
    <n v="93.02"/>
    <n v="0"/>
    <n v="0"/>
    <n v="93.02"/>
    <n v="-93.02"/>
  </r>
  <r>
    <x v="1"/>
    <x v="17"/>
    <x v="17"/>
    <x v="2"/>
    <x v="2"/>
    <x v="2"/>
    <x v="25"/>
    <x v="25"/>
    <s v="Wright, Angelina W."/>
    <n v="0"/>
    <s v="0.00"/>
    <n v="0"/>
    <n v="0"/>
    <n v="0"/>
    <n v="791.78"/>
    <n v="0"/>
    <n v="0"/>
    <n v="791.78"/>
    <n v="-791.78"/>
  </r>
  <r>
    <x v="0"/>
    <x v="19"/>
    <x v="19"/>
    <x v="1"/>
    <x v="2"/>
    <x v="2"/>
    <x v="31"/>
    <x v="31"/>
    <s v="Scott, David"/>
    <n v="495664"/>
    <s v="0.00"/>
    <n v="495664"/>
    <n v="518133.45"/>
    <n v="0"/>
    <n v="0"/>
    <n v="0"/>
    <n v="0"/>
    <n v="518133.45"/>
    <n v="-396.71"/>
  </r>
  <r>
    <x v="1"/>
    <x v="19"/>
    <x v="19"/>
    <x v="1"/>
    <x v="2"/>
    <x v="2"/>
    <x v="31"/>
    <x v="31"/>
    <s v="Scott, David"/>
    <n v="507794"/>
    <s v="0.00"/>
    <n v="507794"/>
    <n v="394950.92"/>
    <n v="0"/>
    <n v="0"/>
    <n v="0"/>
    <n v="0"/>
    <n v="394950.92"/>
    <n v="112843.08"/>
  </r>
  <r>
    <x v="1"/>
    <x v="20"/>
    <x v="20"/>
    <x v="1"/>
    <x v="2"/>
    <x v="2"/>
    <x v="32"/>
    <x v="32"/>
    <s v="Wilke, R. R."/>
    <n v="0"/>
    <s v="0.00"/>
    <n v="65340"/>
    <n v="53920.800000000003"/>
    <n v="0"/>
    <n v="0"/>
    <n v="0"/>
    <n v="0"/>
    <n v="53920.800000000003"/>
    <n v="16587.2"/>
  </r>
  <r>
    <x v="0"/>
    <x v="22"/>
    <x v="22"/>
    <x v="1"/>
    <x v="2"/>
    <x v="2"/>
    <x v="35"/>
    <x v="35"/>
    <s v="Wahl, Shawn T."/>
    <n v="0"/>
    <s v="0.00"/>
    <n v="0"/>
    <n v="71201"/>
    <n v="0"/>
    <n v="0"/>
    <n v="0"/>
    <n v="0"/>
    <n v="71201"/>
    <n v="0"/>
  </r>
  <r>
    <x v="1"/>
    <x v="22"/>
    <x v="22"/>
    <x v="1"/>
    <x v="2"/>
    <x v="2"/>
    <x v="35"/>
    <x v="35"/>
    <s v="Wahl, Shawn T."/>
    <n v="0"/>
    <s v="0.00"/>
    <n v="0"/>
    <n v="9302.4"/>
    <n v="0"/>
    <n v="0"/>
    <n v="0"/>
    <n v="0"/>
    <n v="9302.4"/>
    <n v="6201.6"/>
  </r>
  <r>
    <x v="0"/>
    <x v="23"/>
    <x v="23"/>
    <x v="1"/>
    <x v="2"/>
    <x v="2"/>
    <x v="37"/>
    <x v="37"/>
    <s v="Musgrove, Laurence E."/>
    <n v="350656"/>
    <s v="0.00"/>
    <n v="350656"/>
    <n v="397694.42"/>
    <n v="0"/>
    <n v="0"/>
    <n v="0"/>
    <n v="0"/>
    <n v="397694.42"/>
    <n v="0.08"/>
  </r>
  <r>
    <x v="1"/>
    <x v="23"/>
    <x v="23"/>
    <x v="1"/>
    <x v="2"/>
    <x v="2"/>
    <x v="37"/>
    <x v="37"/>
    <s v="Musgrove, Laurence E."/>
    <n v="350656"/>
    <s v="0.00"/>
    <n v="350656"/>
    <n v="285135.59000000003"/>
    <n v="0"/>
    <n v="0"/>
    <n v="0"/>
    <n v="0"/>
    <n v="285135.59000000003"/>
    <n v="86192.41"/>
  </r>
  <r>
    <x v="0"/>
    <x v="24"/>
    <x v="24"/>
    <x v="1"/>
    <x v="2"/>
    <x v="2"/>
    <x v="39"/>
    <x v="39"/>
    <s v="Jones, Laurence F."/>
    <n v="375727"/>
    <s v="0.00"/>
    <n v="375727"/>
    <n v="408010.83"/>
    <n v="0"/>
    <n v="0"/>
    <n v="0"/>
    <n v="0"/>
    <n v="408010.83"/>
    <n v="-0.35"/>
  </r>
  <r>
    <x v="1"/>
    <x v="24"/>
    <x v="24"/>
    <x v="1"/>
    <x v="2"/>
    <x v="2"/>
    <x v="39"/>
    <x v="39"/>
    <s v="Jones, Laurence F."/>
    <n v="0"/>
    <s v="0.00"/>
    <n v="0"/>
    <n v="96651.25"/>
    <n v="0"/>
    <n v="0"/>
    <n v="0"/>
    <n v="0"/>
    <n v="96651.25"/>
    <n v="61993.75"/>
  </r>
  <r>
    <x v="0"/>
    <x v="25"/>
    <x v="25"/>
    <x v="1"/>
    <x v="2"/>
    <x v="2"/>
    <x v="41"/>
    <x v="41"/>
    <s v="Heineman, Kenneth J."/>
    <n v="275070"/>
    <s v="0.00"/>
    <n v="275070"/>
    <n v="308955.61"/>
    <n v="0"/>
    <n v="0"/>
    <n v="0"/>
    <n v="0"/>
    <n v="308955.61"/>
    <n v="0.39"/>
  </r>
  <r>
    <x v="1"/>
    <x v="25"/>
    <x v="25"/>
    <x v="1"/>
    <x v="2"/>
    <x v="2"/>
    <x v="41"/>
    <x v="41"/>
    <s v="Heineman, Kenneth J."/>
    <n v="616447"/>
    <s v="0.00"/>
    <n v="616447"/>
    <n v="340504.22"/>
    <n v="0"/>
    <n v="0"/>
    <n v="0"/>
    <n v="0"/>
    <n v="340504.22"/>
    <n v="58984.78"/>
  </r>
  <r>
    <x v="1"/>
    <x v="26"/>
    <x v="26"/>
    <x v="1"/>
    <x v="2"/>
    <x v="2"/>
    <x v="42"/>
    <x v="42"/>
    <s v="Zarnowski, Roger E."/>
    <n v="169734"/>
    <s v="0.00"/>
    <n v="169734"/>
    <n v="73839.350000000006"/>
    <n v="0"/>
    <n v="0"/>
    <n v="0"/>
    <n v="0"/>
    <n v="73839.350000000006"/>
    <n v="21841.65"/>
  </r>
  <r>
    <x v="0"/>
    <x v="27"/>
    <x v="27"/>
    <x v="1"/>
    <x v="2"/>
    <x v="2"/>
    <x v="43"/>
    <x v="43"/>
    <s v="Cody, Karen"/>
    <n v="0"/>
    <s v="0.00"/>
    <n v="0"/>
    <n v="26841.94"/>
    <n v="0"/>
    <n v="0"/>
    <n v="0"/>
    <n v="0"/>
    <n v="26841.94"/>
    <n v="-228.94"/>
  </r>
  <r>
    <x v="1"/>
    <x v="28"/>
    <x v="28"/>
    <x v="1"/>
    <x v="2"/>
    <x v="2"/>
    <x v="44"/>
    <x v="44"/>
    <s v="Wallace, Andrew B."/>
    <n v="0"/>
    <s v="0.00"/>
    <n v="0"/>
    <n v="1938"/>
    <n v="0"/>
    <n v="0"/>
    <n v="0"/>
    <n v="0"/>
    <n v="1938"/>
    <n v="1292"/>
  </r>
  <r>
    <x v="0"/>
    <x v="29"/>
    <x v="29"/>
    <x v="1"/>
    <x v="2"/>
    <x v="2"/>
    <x v="45"/>
    <x v="45"/>
    <s v="Davidson, William B."/>
    <n v="150475"/>
    <s v="0.00"/>
    <n v="150475"/>
    <n v="260384.93"/>
    <n v="0"/>
    <n v="0"/>
    <n v="0"/>
    <n v="0"/>
    <n v="260384.93"/>
    <n v="7.0000000000000007E-2"/>
  </r>
  <r>
    <x v="0"/>
    <x v="30"/>
    <x v="30"/>
    <x v="1"/>
    <x v="2"/>
    <x v="2"/>
    <x v="47"/>
    <x v="47"/>
    <s v="Bankston, Thomas A."/>
    <n v="315770"/>
    <s v="0.00"/>
    <n v="315770"/>
    <n v="236764.82"/>
    <n v="0"/>
    <n v="0"/>
    <n v="0"/>
    <n v="0"/>
    <n v="236764.82"/>
    <n v="0.04"/>
  </r>
  <r>
    <x v="1"/>
    <x v="30"/>
    <x v="30"/>
    <x v="1"/>
    <x v="2"/>
    <x v="2"/>
    <x v="47"/>
    <x v="47"/>
    <s v="Bankston, Thomas A."/>
    <n v="88770"/>
    <s v="0.00"/>
    <n v="88770"/>
    <n v="84928.31"/>
    <n v="0"/>
    <n v="0"/>
    <n v="0"/>
    <n v="0"/>
    <n v="84928.31"/>
    <n v="30316.69"/>
  </r>
  <r>
    <x v="0"/>
    <x v="32"/>
    <x v="32"/>
    <x v="1"/>
    <x v="2"/>
    <x v="2"/>
    <x v="50"/>
    <x v="50"/>
    <s v="Badgett, Tommy F."/>
    <n v="0"/>
    <s v="0.00"/>
    <n v="0"/>
    <n v="93598"/>
    <n v="0"/>
    <n v="0"/>
    <n v="0"/>
    <n v="0"/>
    <n v="93598"/>
    <n v="0"/>
  </r>
  <r>
    <x v="1"/>
    <x v="32"/>
    <x v="32"/>
    <x v="1"/>
    <x v="2"/>
    <x v="2"/>
    <x v="50"/>
    <x v="50"/>
    <s v="Badgett, Tommy F."/>
    <n v="0"/>
    <s v="0.00"/>
    <n v="0"/>
    <n v="19380"/>
    <n v="0"/>
    <n v="0"/>
    <n v="0"/>
    <n v="0"/>
    <n v="19380"/>
    <n v="12920"/>
  </r>
  <r>
    <x v="1"/>
    <x v="33"/>
    <x v="33"/>
    <x v="1"/>
    <x v="2"/>
    <x v="2"/>
    <x v="52"/>
    <x v="52"/>
    <s v="Ehlers, Robert S."/>
    <n v="0"/>
    <s v="0.00"/>
    <n v="0"/>
    <n v="1938"/>
    <n v="0"/>
    <n v="0"/>
    <n v="0"/>
    <n v="0"/>
    <n v="1938"/>
    <n v="1292"/>
  </r>
  <r>
    <x v="0"/>
    <x v="34"/>
    <x v="34"/>
    <x v="1"/>
    <x v="2"/>
    <x v="2"/>
    <x v="53"/>
    <x v="53"/>
    <s v="Lucksinger, Linda N."/>
    <n v="227831"/>
    <s v="0.00"/>
    <n v="227831"/>
    <n v="199789.83"/>
    <n v="0"/>
    <n v="0"/>
    <n v="0"/>
    <n v="0"/>
    <n v="199789.83"/>
    <n v="-0.01"/>
  </r>
  <r>
    <x v="1"/>
    <x v="34"/>
    <x v="34"/>
    <x v="1"/>
    <x v="2"/>
    <x v="2"/>
    <x v="53"/>
    <x v="53"/>
    <s v="Lucksinger, Linda N."/>
    <n v="215652"/>
    <s v="0.00"/>
    <n v="215652"/>
    <n v="171365.55"/>
    <n v="0"/>
    <n v="0"/>
    <n v="0"/>
    <n v="0"/>
    <n v="171365.55"/>
    <n v="49454.45"/>
  </r>
  <r>
    <x v="0"/>
    <x v="35"/>
    <x v="35"/>
    <x v="1"/>
    <x v="2"/>
    <x v="2"/>
    <x v="55"/>
    <x v="55"/>
    <s v="Summerlin, James A."/>
    <n v="0"/>
    <s v="0.00"/>
    <n v="0"/>
    <n v="103010"/>
    <n v="0"/>
    <n v="0"/>
    <n v="0"/>
    <n v="0"/>
    <n v="103010"/>
    <n v="0"/>
  </r>
  <r>
    <x v="1"/>
    <x v="35"/>
    <x v="35"/>
    <x v="1"/>
    <x v="2"/>
    <x v="2"/>
    <x v="55"/>
    <x v="55"/>
    <s v="Summerlin, James A."/>
    <n v="0"/>
    <s v="0.00"/>
    <n v="0"/>
    <n v="6976.8"/>
    <n v="0"/>
    <n v="0"/>
    <n v="0"/>
    <n v="0"/>
    <n v="6976.8"/>
    <n v="4651.2"/>
  </r>
  <r>
    <x v="0"/>
    <x v="36"/>
    <x v="36"/>
    <x v="1"/>
    <x v="2"/>
    <x v="2"/>
    <x v="57"/>
    <x v="57"/>
    <s v="Snowden, Steven R."/>
    <n v="0"/>
    <s v="0.00"/>
    <n v="0"/>
    <n v="30206.11"/>
    <n v="0"/>
    <n v="0"/>
    <n v="0"/>
    <n v="0"/>
    <n v="30206.11"/>
    <n v="574.01"/>
  </r>
  <r>
    <x v="0"/>
    <x v="20"/>
    <x v="38"/>
    <x v="1"/>
    <x v="2"/>
    <x v="2"/>
    <x v="32"/>
    <x v="61"/>
    <s v="Wilke, R. R."/>
    <n v="59275"/>
    <s v="0.00"/>
    <n v="59275"/>
    <n v="82989.759999999995"/>
    <n v="0"/>
    <n v="0"/>
    <n v="0"/>
    <n v="0"/>
    <n v="82989.759999999995"/>
    <n v="0.01"/>
  </r>
  <r>
    <x v="0"/>
    <x v="21"/>
    <x v="39"/>
    <x v="1"/>
    <x v="2"/>
    <x v="2"/>
    <x v="34"/>
    <x v="62"/>
    <s v="Osterhout, John J."/>
    <n v="0"/>
    <s v="0.00"/>
    <n v="0"/>
    <n v="8934.7199999999993"/>
    <n v="0"/>
    <n v="0"/>
    <n v="0"/>
    <n v="0"/>
    <n v="8934.7199999999993"/>
    <n v="-0.01"/>
  </r>
  <r>
    <x v="0"/>
    <x v="37"/>
    <x v="40"/>
    <x v="1"/>
    <x v="2"/>
    <x v="2"/>
    <x v="59"/>
    <x v="63"/>
    <s v="Roden, Timothy E."/>
    <n v="0"/>
    <s v="0.00"/>
    <n v="0"/>
    <n v="16211.98"/>
    <n v="0"/>
    <n v="0"/>
    <n v="0"/>
    <n v="0"/>
    <n v="16211.98"/>
    <n v="-4359.92"/>
  </r>
  <r>
    <x v="0"/>
    <x v="38"/>
    <x v="41"/>
    <x v="1"/>
    <x v="2"/>
    <x v="2"/>
    <x v="60"/>
    <x v="64"/>
    <s v="Zarnowski, Roger E."/>
    <n v="169734"/>
    <s v="0.00"/>
    <n v="169734"/>
    <n v="194333.9"/>
    <n v="0"/>
    <n v="0"/>
    <n v="0"/>
    <n v="0"/>
    <n v="194333.9"/>
    <n v="3229.55"/>
  </r>
  <r>
    <x v="0"/>
    <x v="28"/>
    <x v="43"/>
    <x v="1"/>
    <x v="2"/>
    <x v="2"/>
    <x v="44"/>
    <x v="66"/>
    <s v="Wallace, Andrew B."/>
    <n v="0"/>
    <s v="0.00"/>
    <n v="0"/>
    <n v="28755.45"/>
    <n v="0"/>
    <n v="0"/>
    <n v="0"/>
    <n v="0"/>
    <n v="28755.45"/>
    <n v="0.01"/>
  </r>
  <r>
    <x v="0"/>
    <x v="28"/>
    <x v="43"/>
    <x v="1"/>
    <x v="2"/>
    <x v="2"/>
    <x v="122"/>
    <x v="131"/>
    <s v="Sonntag, Mark S."/>
    <n v="18696"/>
    <s v="0.00"/>
    <n v="18696"/>
    <n v="18695.73"/>
    <n v="0"/>
    <n v="0"/>
    <n v="0"/>
    <n v="0"/>
    <n v="18695.73"/>
    <n v="0.27"/>
  </r>
  <r>
    <x v="1"/>
    <x v="36"/>
    <x v="44"/>
    <x v="1"/>
    <x v="2"/>
    <x v="2"/>
    <x v="57"/>
    <x v="67"/>
    <s v="Snowden, Steven R."/>
    <n v="0"/>
    <s v="0.00"/>
    <n v="0"/>
    <n v="4852.8"/>
    <n v="0"/>
    <n v="0"/>
    <n v="0"/>
    <n v="0"/>
    <n v="4852.8"/>
    <n v="3235.2"/>
  </r>
  <r>
    <x v="0"/>
    <x v="39"/>
    <x v="42"/>
    <x v="1"/>
    <x v="2"/>
    <x v="2"/>
    <x v="62"/>
    <x v="69"/>
    <s v="Wilkinson, Susan C."/>
    <n v="151570"/>
    <s v="0.00"/>
    <n v="151570"/>
    <n v="275699.96000000002"/>
    <n v="0"/>
    <n v="0"/>
    <n v="0"/>
    <n v="0"/>
    <n v="275699.96000000002"/>
    <n v="-963.96"/>
  </r>
  <r>
    <x v="1"/>
    <x v="39"/>
    <x v="42"/>
    <x v="1"/>
    <x v="2"/>
    <x v="2"/>
    <x v="62"/>
    <x v="69"/>
    <s v="Wilkinson, Susan C."/>
    <n v="0"/>
    <s v="0.00"/>
    <n v="0"/>
    <n v="29946.6"/>
    <n v="0"/>
    <n v="0"/>
    <n v="0"/>
    <n v="0"/>
    <n v="29946.6"/>
    <n v="18079.400000000001"/>
  </r>
  <r>
    <x v="0"/>
    <x v="40"/>
    <x v="45"/>
    <x v="1"/>
    <x v="2"/>
    <x v="2"/>
    <x v="123"/>
    <x v="132"/>
    <s v="Weise, Shelly D."/>
    <n v="931337"/>
    <n v="3199"/>
    <n v="928138"/>
    <n v="872647.88"/>
    <n v="9447.36"/>
    <n v="0"/>
    <n v="1599"/>
    <n v="0"/>
    <n v="883694.24"/>
    <n v="-27490.799999999999"/>
  </r>
  <r>
    <x v="1"/>
    <x v="40"/>
    <x v="45"/>
    <x v="1"/>
    <x v="2"/>
    <x v="2"/>
    <x v="123"/>
    <x v="132"/>
    <s v="Weise, Shelly D."/>
    <n v="970359"/>
    <s v="0.00"/>
    <n v="882348"/>
    <n v="610246.66"/>
    <n v="6920.31"/>
    <n v="0"/>
    <n v="0"/>
    <n v="0"/>
    <n v="617166.97"/>
    <n v="201432.03"/>
  </r>
  <r>
    <x v="1"/>
    <x v="29"/>
    <x v="46"/>
    <x v="1"/>
    <x v="2"/>
    <x v="2"/>
    <x v="45"/>
    <x v="74"/>
    <s v="Davidson, William B."/>
    <n v="150475"/>
    <s v="0.00"/>
    <n v="150475"/>
    <n v="94185.94"/>
    <n v="0"/>
    <n v="0"/>
    <n v="0"/>
    <n v="0"/>
    <n v="94185.94"/>
    <n v="39084.06"/>
  </r>
  <r>
    <x v="0"/>
    <x v="63"/>
    <x v="69"/>
    <x v="2"/>
    <x v="2"/>
    <x v="2"/>
    <x v="124"/>
    <x v="133"/>
    <s v="Irby, Jeane M."/>
    <n v="727890"/>
    <s v="0.00"/>
    <n v="727890"/>
    <n v="615042.03"/>
    <n v="0"/>
    <n v="0"/>
    <n v="0"/>
    <n v="0"/>
    <n v="615042.03"/>
    <n v="5029.33"/>
  </r>
  <r>
    <x v="1"/>
    <x v="63"/>
    <x v="69"/>
    <x v="2"/>
    <x v="2"/>
    <x v="2"/>
    <x v="124"/>
    <x v="133"/>
    <s v="Irby, Jeane M."/>
    <n v="609938"/>
    <s v="0.00"/>
    <n v="609938"/>
    <n v="324953.34000000003"/>
    <n v="0"/>
    <n v="0"/>
    <n v="0"/>
    <n v="0"/>
    <n v="324953.34000000003"/>
    <n v="259158.66"/>
  </r>
  <r>
    <x v="0"/>
    <x v="64"/>
    <x v="70"/>
    <x v="3"/>
    <x v="2"/>
    <x v="2"/>
    <x v="125"/>
    <x v="134"/>
    <s v="Mears, Philip N."/>
    <n v="7794"/>
    <s v="0.00"/>
    <n v="7794"/>
    <n v="105"/>
    <n v="0"/>
    <n v="0"/>
    <n v="0"/>
    <n v="0"/>
    <n v="105"/>
    <n v="7533.12"/>
  </r>
  <r>
    <x v="1"/>
    <x v="28"/>
    <x v="28"/>
    <x v="1"/>
    <x v="2"/>
    <x v="2"/>
    <x v="122"/>
    <x v="135"/>
    <s v="Sonntag, Mark S."/>
    <n v="18696"/>
    <s v="0.00"/>
    <n v="18696"/>
    <n v="14541.13"/>
    <n v="0"/>
    <n v="0"/>
    <n v="0"/>
    <n v="0"/>
    <n v="14541.13"/>
    <n v="4154.87"/>
  </r>
  <r>
    <x v="0"/>
    <x v="22"/>
    <x v="22"/>
    <x v="1"/>
    <x v="2"/>
    <x v="2"/>
    <x v="126"/>
    <x v="136"/>
    <s v="Wahl, Shawn T."/>
    <n v="15656"/>
    <s v="0.00"/>
    <n v="15656"/>
    <n v="0"/>
    <n v="15341.32"/>
    <n v="0"/>
    <n v="0"/>
    <n v="0"/>
    <n v="15341.32"/>
    <n v="1.56"/>
  </r>
  <r>
    <x v="0"/>
    <x v="49"/>
    <x v="55"/>
    <x v="1"/>
    <x v="2"/>
    <x v="2"/>
    <x v="127"/>
    <x v="137"/>
    <s v="Greenwald, Beverly J."/>
    <n v="1522.22"/>
    <n v="1522.22"/>
    <n v="0"/>
    <n v="0"/>
    <n v="0"/>
    <n v="0"/>
    <n v="-359.2"/>
    <n v="0"/>
    <n v="-359.2"/>
    <n v="1881.42"/>
  </r>
  <r>
    <x v="0"/>
    <x v="43"/>
    <x v="49"/>
    <x v="1"/>
    <x v="2"/>
    <x v="2"/>
    <x v="73"/>
    <x v="82"/>
    <s v="Swets, Paul K."/>
    <n v="0"/>
    <s v="0.00"/>
    <n v="0"/>
    <n v="7537.03"/>
    <n v="0"/>
    <n v="0"/>
    <n v="0"/>
    <n v="0"/>
    <n v="7537.03"/>
    <n v="-7537.03"/>
  </r>
  <r>
    <x v="0"/>
    <x v="47"/>
    <x v="53"/>
    <x v="1"/>
    <x v="2"/>
    <x v="2"/>
    <x v="77"/>
    <x v="86"/>
    <s v="Mayrand, Leslie M."/>
    <n v="0"/>
    <s v="0.00"/>
    <n v="0"/>
    <n v="3353.33"/>
    <n v="0"/>
    <n v="0"/>
    <n v="0"/>
    <n v="0"/>
    <n v="3353.33"/>
    <n v="0"/>
  </r>
  <r>
    <x v="0"/>
    <x v="13"/>
    <x v="13"/>
    <x v="1"/>
    <x v="2"/>
    <x v="2"/>
    <x v="78"/>
    <x v="87"/>
    <s v="May, Brian J."/>
    <n v="51018"/>
    <s v="0.00"/>
    <n v="51018"/>
    <n v="23864.85"/>
    <n v="14825.66"/>
    <n v="0"/>
    <n v="0"/>
    <n v="0"/>
    <n v="38690.51"/>
    <n v="4661.87"/>
  </r>
  <r>
    <x v="0"/>
    <x v="11"/>
    <x v="11"/>
    <x v="3"/>
    <x v="2"/>
    <x v="2"/>
    <x v="117"/>
    <x v="126"/>
    <s v="Loehring, Michael E."/>
    <n v="35771"/>
    <s v="0.00"/>
    <n v="35771"/>
    <n v="32680.12"/>
    <n v="0"/>
    <n v="0"/>
    <n v="0"/>
    <n v="0"/>
    <n v="32680.12"/>
    <n v="139.88"/>
  </r>
  <r>
    <x v="1"/>
    <x v="11"/>
    <x v="11"/>
    <x v="3"/>
    <x v="2"/>
    <x v="2"/>
    <x v="117"/>
    <x v="126"/>
    <s v="Loehring, Michael E."/>
    <n v="36011"/>
    <s v="0.00"/>
    <n v="36011"/>
    <n v="20936.439999999999"/>
    <n v="0"/>
    <n v="0"/>
    <n v="0"/>
    <n v="0"/>
    <n v="20936.439999999999"/>
    <n v="15074.56"/>
  </r>
  <r>
    <x v="1"/>
    <x v="49"/>
    <x v="55"/>
    <x v="1"/>
    <x v="2"/>
    <x v="2"/>
    <x v="128"/>
    <x v="138"/>
    <s v="Allen, Nancy G."/>
    <n v="90917"/>
    <s v="0.00"/>
    <n v="90917"/>
    <n v="0"/>
    <n v="0"/>
    <n v="0"/>
    <n v="0"/>
    <n v="0"/>
    <n v="0"/>
    <n v="0"/>
  </r>
  <r>
    <x v="0"/>
    <x v="49"/>
    <x v="55"/>
    <x v="1"/>
    <x v="2"/>
    <x v="2"/>
    <x v="129"/>
    <x v="139"/>
    <s v="Evans, Richard A."/>
    <n v="1914.15"/>
    <n v="1914.15"/>
    <n v="0"/>
    <n v="0"/>
    <n v="0"/>
    <n v="0"/>
    <n v="75.599999999999994"/>
    <n v="0"/>
    <n v="75.599999999999994"/>
    <n v="1838.55"/>
  </r>
  <r>
    <x v="0"/>
    <x v="49"/>
    <x v="55"/>
    <x v="1"/>
    <x v="2"/>
    <x v="2"/>
    <x v="130"/>
    <x v="140"/>
    <s v="Osborne, Edith M."/>
    <n v="7037.23"/>
    <n v="7037.23"/>
    <n v="0"/>
    <n v="0"/>
    <n v="0"/>
    <n v="0"/>
    <n v="2315.4699999999998"/>
    <n v="0"/>
    <n v="2315.4699999999998"/>
    <n v="4721.76"/>
  </r>
  <r>
    <x v="0"/>
    <x v="49"/>
    <x v="55"/>
    <x v="1"/>
    <x v="2"/>
    <x v="2"/>
    <x v="131"/>
    <x v="141"/>
    <s v="Osterhout, John J."/>
    <n v="8054.37"/>
    <n v="8054.37"/>
    <n v="0"/>
    <n v="0"/>
    <n v="0"/>
    <n v="0"/>
    <n v="3437.51"/>
    <n v="0"/>
    <n v="3437.51"/>
    <n v="4616.8599999999997"/>
  </r>
  <r>
    <x v="0"/>
    <x v="49"/>
    <x v="55"/>
    <x v="1"/>
    <x v="2"/>
    <x v="2"/>
    <x v="132"/>
    <x v="142"/>
    <s v="Velasquez, Jose"/>
    <n v="2497.09"/>
    <n v="2497.09"/>
    <n v="0"/>
    <n v="0"/>
    <n v="0"/>
    <n v="0"/>
    <n v="197.02"/>
    <n v="0"/>
    <n v="197.02"/>
    <n v="2300.0700000000002"/>
  </r>
  <r>
    <x v="0"/>
    <x v="49"/>
    <x v="55"/>
    <x v="1"/>
    <x v="2"/>
    <x v="2"/>
    <x v="133"/>
    <x v="143"/>
    <s v="Ammerman, Loren K."/>
    <n v="0"/>
    <s v="0.00"/>
    <n v="0"/>
    <n v="4000"/>
    <n v="0"/>
    <n v="0"/>
    <n v="0"/>
    <n v="0"/>
    <n v="4000"/>
    <n v="0"/>
  </r>
  <r>
    <x v="0"/>
    <x v="49"/>
    <x v="55"/>
    <x v="1"/>
    <x v="2"/>
    <x v="2"/>
    <x v="134"/>
    <x v="144"/>
    <s v="Dunham, Hardin R."/>
    <n v="0"/>
    <s v="0.00"/>
    <n v="0"/>
    <n v="4000"/>
    <n v="800"/>
    <n v="0"/>
    <n v="1410.66"/>
    <n v="0"/>
    <n v="6210.66"/>
    <n v="3163.34"/>
  </r>
  <r>
    <x v="0"/>
    <x v="49"/>
    <x v="55"/>
    <x v="1"/>
    <x v="2"/>
    <x v="2"/>
    <x v="135"/>
    <x v="145"/>
    <s v="Forbes, James N."/>
    <n v="0"/>
    <s v="0.00"/>
    <n v="0"/>
    <n v="3500.01"/>
    <n v="0"/>
    <n v="0"/>
    <n v="0"/>
    <n v="0"/>
    <n v="3500.01"/>
    <n v="-0.01"/>
  </r>
  <r>
    <x v="0"/>
    <x v="49"/>
    <x v="55"/>
    <x v="1"/>
    <x v="2"/>
    <x v="2"/>
    <x v="136"/>
    <x v="146"/>
    <s v="Glassford, John"/>
    <n v="0"/>
    <s v="0.00"/>
    <n v="0"/>
    <n v="3500.01"/>
    <n v="0"/>
    <n v="0"/>
    <n v="0"/>
    <n v="0"/>
    <n v="3500.01"/>
    <n v="-0.01"/>
  </r>
  <r>
    <x v="0"/>
    <x v="49"/>
    <x v="55"/>
    <x v="1"/>
    <x v="2"/>
    <x v="2"/>
    <x v="137"/>
    <x v="147"/>
    <s v="Hack, Teresa E."/>
    <n v="0"/>
    <s v="0.00"/>
    <n v="0"/>
    <n v="3939"/>
    <n v="0"/>
    <n v="0"/>
    <n v="0"/>
    <n v="0"/>
    <n v="3939"/>
    <n v="0"/>
  </r>
  <r>
    <x v="0"/>
    <x v="49"/>
    <x v="55"/>
    <x v="1"/>
    <x v="2"/>
    <x v="2"/>
    <x v="138"/>
    <x v="148"/>
    <s v="Kang, WooJin"/>
    <n v="0"/>
    <s v="0.00"/>
    <n v="0"/>
    <n v="4000"/>
    <n v="480"/>
    <n v="0"/>
    <n v="1494"/>
    <n v="0"/>
    <n v="5974"/>
    <n v="20"/>
  </r>
  <r>
    <x v="0"/>
    <x v="49"/>
    <x v="55"/>
    <x v="1"/>
    <x v="2"/>
    <x v="2"/>
    <x v="139"/>
    <x v="149"/>
    <s v="Klingemann, John E."/>
    <n v="0"/>
    <s v="0.00"/>
    <n v="0"/>
    <n v="3775"/>
    <n v="0"/>
    <n v="0"/>
    <n v="2653.77"/>
    <n v="0"/>
    <n v="6428.77"/>
    <n v="448.23"/>
  </r>
  <r>
    <x v="0"/>
    <x v="49"/>
    <x v="55"/>
    <x v="1"/>
    <x v="2"/>
    <x v="2"/>
    <x v="140"/>
    <x v="150"/>
    <s v="LeGrand, Robert H."/>
    <n v="0"/>
    <s v="0.00"/>
    <n v="0"/>
    <n v="4000"/>
    <n v="0"/>
    <n v="0"/>
    <n v="0"/>
    <n v="0"/>
    <n v="4000"/>
    <n v="0"/>
  </r>
  <r>
    <x v="0"/>
    <x v="49"/>
    <x v="55"/>
    <x v="1"/>
    <x v="2"/>
    <x v="2"/>
    <x v="141"/>
    <x v="151"/>
    <s v="Livengood, Kimberly K."/>
    <n v="0"/>
    <s v="0.00"/>
    <n v="0"/>
    <n v="0"/>
    <n v="0"/>
    <n v="0"/>
    <n v="9677"/>
    <n v="0"/>
    <n v="9677"/>
    <n v="1903"/>
  </r>
  <r>
    <x v="0"/>
    <x v="49"/>
    <x v="55"/>
    <x v="1"/>
    <x v="2"/>
    <x v="2"/>
    <x v="142"/>
    <x v="152"/>
    <s v="Parker, Adam G."/>
    <n v="0"/>
    <s v="0.00"/>
    <n v="0"/>
    <n v="6590"/>
    <n v="0"/>
    <n v="0"/>
    <n v="3047.38"/>
    <n v="994"/>
    <n v="10631.38"/>
    <n v="1176.6199999999999"/>
  </r>
  <r>
    <x v="1"/>
    <x v="49"/>
    <x v="55"/>
    <x v="1"/>
    <x v="2"/>
    <x v="2"/>
    <x v="142"/>
    <x v="152"/>
    <s v="Parker, Adam G."/>
    <n v="994"/>
    <n v="994"/>
    <n v="0"/>
    <n v="0"/>
    <n v="0"/>
    <n v="0"/>
    <n v="994"/>
    <n v="0"/>
    <n v="994"/>
    <n v="0"/>
  </r>
  <r>
    <x v="0"/>
    <x v="49"/>
    <x v="55"/>
    <x v="1"/>
    <x v="2"/>
    <x v="2"/>
    <x v="143"/>
    <x v="153"/>
    <s v="Sanders, David N."/>
    <n v="0"/>
    <s v="0.00"/>
    <n v="0"/>
    <n v="7380"/>
    <n v="950"/>
    <n v="0"/>
    <n v="866.15"/>
    <n v="0"/>
    <n v="9196.15"/>
    <n v="5041.8500000000004"/>
  </r>
  <r>
    <x v="0"/>
    <x v="49"/>
    <x v="55"/>
    <x v="1"/>
    <x v="2"/>
    <x v="2"/>
    <x v="144"/>
    <x v="154"/>
    <s v="Ward, James W."/>
    <n v="0"/>
    <s v="0.00"/>
    <n v="0"/>
    <n v="0"/>
    <n v="4200"/>
    <n v="0"/>
    <n v="8841.2900000000009"/>
    <n v="0"/>
    <n v="13041.29"/>
    <n v="8.7100000000000009"/>
  </r>
  <r>
    <x v="0"/>
    <x v="49"/>
    <x v="55"/>
    <x v="1"/>
    <x v="2"/>
    <x v="2"/>
    <x v="145"/>
    <x v="155"/>
    <s v="Zheng, Guoqiang"/>
    <n v="0"/>
    <s v="0.00"/>
    <n v="0"/>
    <n v="4000"/>
    <n v="0"/>
    <n v="0"/>
    <n v="0"/>
    <n v="0"/>
    <n v="4000"/>
    <n v="0"/>
  </r>
  <r>
    <x v="1"/>
    <x v="49"/>
    <x v="55"/>
    <x v="1"/>
    <x v="2"/>
    <x v="2"/>
    <x v="146"/>
    <x v="156"/>
    <s v="Branham, Loree A."/>
    <n v="0"/>
    <s v="0.00"/>
    <n v="0"/>
    <n v="0"/>
    <n v="0"/>
    <n v="0"/>
    <n v="0"/>
    <n v="9000"/>
    <n v="9000"/>
    <n v="3650"/>
  </r>
  <r>
    <x v="1"/>
    <x v="49"/>
    <x v="55"/>
    <x v="1"/>
    <x v="2"/>
    <x v="2"/>
    <x v="147"/>
    <x v="157"/>
    <s v="Dowler, Robert C."/>
    <n v="0"/>
    <s v="0.00"/>
    <n v="0"/>
    <n v="0"/>
    <n v="405"/>
    <n v="0"/>
    <n v="0"/>
    <n v="0"/>
    <n v="405"/>
    <n v="9655"/>
  </r>
  <r>
    <x v="1"/>
    <x v="49"/>
    <x v="55"/>
    <x v="1"/>
    <x v="2"/>
    <x v="2"/>
    <x v="148"/>
    <x v="158"/>
    <s v="Heineman, Kenneth J."/>
    <n v="0"/>
    <s v="0.00"/>
    <n v="0"/>
    <n v="0"/>
    <n v="0"/>
    <n v="0"/>
    <n v="0"/>
    <n v="2240"/>
    <n v="2240"/>
    <n v="0"/>
  </r>
  <r>
    <x v="1"/>
    <x v="49"/>
    <x v="55"/>
    <x v="1"/>
    <x v="2"/>
    <x v="2"/>
    <x v="149"/>
    <x v="159"/>
    <s v="Satterfield, Joseph I."/>
    <n v="0"/>
    <s v="0.00"/>
    <n v="0"/>
    <n v="0"/>
    <n v="0"/>
    <n v="0"/>
    <n v="556.16"/>
    <n v="556.16"/>
    <n v="1112.32"/>
    <n v="9169.68"/>
  </r>
  <r>
    <x v="0"/>
    <x v="58"/>
    <x v="64"/>
    <x v="1"/>
    <x v="2"/>
    <x v="2"/>
    <x v="150"/>
    <x v="160"/>
    <s v="Erickson, David A."/>
    <n v="25274"/>
    <s v="0.00"/>
    <n v="25274"/>
    <n v="0"/>
    <n v="18636.75"/>
    <n v="0"/>
    <n v="0"/>
    <n v="0"/>
    <n v="18636.75"/>
    <n v="6131.77"/>
  </r>
  <r>
    <x v="1"/>
    <x v="58"/>
    <x v="64"/>
    <x v="1"/>
    <x v="2"/>
    <x v="2"/>
    <x v="150"/>
    <x v="160"/>
    <s v="Erickson, David A."/>
    <n v="24769"/>
    <s v="0.00"/>
    <n v="24769"/>
    <n v="0"/>
    <n v="8930.25"/>
    <n v="0"/>
    <n v="0"/>
    <n v="0"/>
    <n v="8930.25"/>
    <n v="15838.75"/>
  </r>
  <r>
    <x v="0"/>
    <x v="55"/>
    <x v="61"/>
    <x v="5"/>
    <x v="2"/>
    <x v="2"/>
    <x v="102"/>
    <x v="111"/>
    <s v="Halbert, Jay S."/>
    <n v="498383"/>
    <s v="0.00"/>
    <n v="498383"/>
    <n v="0"/>
    <n v="0"/>
    <n v="0"/>
    <n v="116654.88"/>
    <n v="0"/>
    <n v="116654.88"/>
    <n v="-112725.16"/>
  </r>
  <r>
    <x v="0"/>
    <x v="9"/>
    <x v="9"/>
    <x v="2"/>
    <x v="2"/>
    <x v="2"/>
    <x v="151"/>
    <x v="161"/>
    <s v="Brodnax, Denise H."/>
    <n v="0"/>
    <s v="0.00"/>
    <n v="0"/>
    <n v="0"/>
    <n v="230.19"/>
    <n v="0"/>
    <n v="0"/>
    <n v="0"/>
    <n v="230.19"/>
    <n v="2769.81"/>
  </r>
  <r>
    <x v="0"/>
    <x v="12"/>
    <x v="12"/>
    <x v="3"/>
    <x v="2"/>
    <x v="2"/>
    <x v="152"/>
    <x v="162"/>
    <s v="Weeaks, Cynthia D."/>
    <n v="3770"/>
    <s v="0.00"/>
    <n v="3770"/>
    <n v="0"/>
    <n v="2145.9699999999998"/>
    <n v="0"/>
    <n v="0"/>
    <n v="0"/>
    <n v="2145.9699999999998"/>
    <n v="1548.63"/>
  </r>
  <r>
    <x v="0"/>
    <x v="11"/>
    <x v="11"/>
    <x v="3"/>
    <x v="2"/>
    <x v="2"/>
    <x v="153"/>
    <x v="163"/>
    <s v="Loehring, Michael E."/>
    <n v="3771"/>
    <s v="0.00"/>
    <n v="3771"/>
    <n v="0"/>
    <n v="2995.15"/>
    <n v="0"/>
    <n v="0"/>
    <n v="0"/>
    <n v="2995.15"/>
    <n v="700.43"/>
  </r>
  <r>
    <x v="0"/>
    <x v="64"/>
    <x v="71"/>
    <x v="1"/>
    <x v="2"/>
    <x v="2"/>
    <x v="154"/>
    <x v="164"/>
    <s v="Mears, Philip N."/>
    <n v="1937"/>
    <s v="0.00"/>
    <n v="1937"/>
    <n v="0"/>
    <n v="936.71"/>
    <n v="0"/>
    <n v="0"/>
    <n v="0"/>
    <n v="936.71"/>
    <n v="961.55"/>
  </r>
  <r>
    <x v="0"/>
    <x v="15"/>
    <x v="15"/>
    <x v="3"/>
    <x v="2"/>
    <x v="2"/>
    <x v="155"/>
    <x v="165"/>
    <s v="Bennett, Michelle A."/>
    <n v="14430"/>
    <s v="0.00"/>
    <n v="14430"/>
    <n v="0"/>
    <n v="2972.06"/>
    <n v="0"/>
    <n v="0"/>
    <n v="0"/>
    <n v="2972.06"/>
    <n v="8169.34"/>
  </r>
  <r>
    <x v="0"/>
    <x v="22"/>
    <x v="22"/>
    <x v="1"/>
    <x v="2"/>
    <x v="2"/>
    <x v="156"/>
    <x v="166"/>
    <s v="Wahl, Shawn T."/>
    <n v="1191"/>
    <s v="0.00"/>
    <n v="1191"/>
    <n v="0"/>
    <n v="1713.84"/>
    <n v="0"/>
    <n v="0"/>
    <n v="0"/>
    <n v="1713.84"/>
    <n v="-546.66"/>
  </r>
  <r>
    <x v="0"/>
    <x v="24"/>
    <x v="24"/>
    <x v="1"/>
    <x v="2"/>
    <x v="2"/>
    <x v="157"/>
    <x v="167"/>
    <s v="Olson, Edward C."/>
    <n v="1248"/>
    <s v="0.00"/>
    <n v="1248"/>
    <n v="0"/>
    <n v="1161.81"/>
    <n v="0"/>
    <n v="0"/>
    <n v="0"/>
    <n v="1161.81"/>
    <n v="61.23"/>
  </r>
  <r>
    <x v="0"/>
    <x v="29"/>
    <x v="29"/>
    <x v="1"/>
    <x v="2"/>
    <x v="2"/>
    <x v="158"/>
    <x v="168"/>
    <s v="Davidson, William B."/>
    <n v="1191"/>
    <s v="0.00"/>
    <n v="1191"/>
    <n v="0"/>
    <n v="1012.28"/>
    <n v="0"/>
    <n v="0"/>
    <n v="0"/>
    <n v="1012.28"/>
    <n v="154.9"/>
  </r>
  <r>
    <x v="0"/>
    <x v="32"/>
    <x v="32"/>
    <x v="1"/>
    <x v="2"/>
    <x v="2"/>
    <x v="159"/>
    <x v="169"/>
    <s v="Badgett, Tommy F."/>
    <n v="2976"/>
    <s v="0.00"/>
    <n v="2976"/>
    <n v="0"/>
    <n v="1205.29"/>
    <n v="0"/>
    <n v="0"/>
    <n v="0"/>
    <n v="1205.29"/>
    <n v="1711.19"/>
  </r>
  <r>
    <x v="0"/>
    <x v="34"/>
    <x v="34"/>
    <x v="1"/>
    <x v="2"/>
    <x v="2"/>
    <x v="160"/>
    <x v="170"/>
    <s v="Miazga, John J."/>
    <n v="5753"/>
    <s v="0.00"/>
    <n v="5753"/>
    <n v="0"/>
    <n v="9068.17"/>
    <n v="0"/>
    <n v="0"/>
    <n v="0"/>
    <n v="9068.17"/>
    <n v="-3430.23"/>
  </r>
  <r>
    <x v="0"/>
    <x v="20"/>
    <x v="38"/>
    <x v="1"/>
    <x v="2"/>
    <x v="2"/>
    <x v="161"/>
    <x v="171"/>
    <s v="Wilke, R. R."/>
    <n v="1191"/>
    <s v="0.00"/>
    <n v="1191"/>
    <n v="0"/>
    <n v="3194.17"/>
    <n v="0"/>
    <n v="0"/>
    <n v="0"/>
    <n v="3194.17"/>
    <n v="-2026.99"/>
  </r>
  <r>
    <x v="0"/>
    <x v="28"/>
    <x v="43"/>
    <x v="1"/>
    <x v="2"/>
    <x v="2"/>
    <x v="162"/>
    <x v="172"/>
    <s v="Wallace, Andrew B."/>
    <n v="1191"/>
    <s v="0.00"/>
    <n v="1191"/>
    <n v="0"/>
    <n v="619.87"/>
    <n v="0"/>
    <n v="0"/>
    <n v="0"/>
    <n v="619.87"/>
    <n v="547.30999999999995"/>
  </r>
  <r>
    <x v="0"/>
    <x v="44"/>
    <x v="50"/>
    <x v="1"/>
    <x v="2"/>
    <x v="2"/>
    <x v="163"/>
    <x v="173"/>
    <s v="Gaulden, Corbett F."/>
    <n v="2381"/>
    <s v="0.00"/>
    <n v="2381"/>
    <n v="0"/>
    <n v="1004.83"/>
    <n v="0"/>
    <n v="0"/>
    <n v="0"/>
    <n v="1004.83"/>
    <n v="1328.55"/>
  </r>
  <r>
    <x v="0"/>
    <x v="13"/>
    <x v="13"/>
    <x v="1"/>
    <x v="2"/>
    <x v="2"/>
    <x v="164"/>
    <x v="174"/>
    <s v="May, Brian J."/>
    <n v="2645"/>
    <s v="0.00"/>
    <n v="2645"/>
    <n v="0"/>
    <n v="206.17"/>
    <n v="0"/>
    <n v="0"/>
    <n v="0"/>
    <n v="206.17"/>
    <n v="2385.9299999999998"/>
  </r>
  <r>
    <x v="0"/>
    <x v="18"/>
    <x v="18"/>
    <x v="1"/>
    <x v="2"/>
    <x v="2"/>
    <x v="107"/>
    <x v="116"/>
    <s v="Engdahl, Gilbert R."/>
    <n v="45948"/>
    <s v="0.00"/>
    <n v="45948"/>
    <n v="0"/>
    <n v="41135.760000000002"/>
    <n v="0"/>
    <n v="0"/>
    <n v="0"/>
    <n v="41135.760000000002"/>
    <n v="3893.28"/>
  </r>
  <r>
    <x v="1"/>
    <x v="18"/>
    <x v="18"/>
    <x v="1"/>
    <x v="2"/>
    <x v="2"/>
    <x v="107"/>
    <x v="116"/>
    <s v="Engdahl, Gilbert R."/>
    <n v="45948"/>
    <s v="0.00"/>
    <n v="45948"/>
    <n v="0"/>
    <n v="17859.64"/>
    <n v="0"/>
    <n v="0"/>
    <n v="0"/>
    <n v="17859.64"/>
    <n v="28088.36"/>
  </r>
  <r>
    <x v="0"/>
    <x v="17"/>
    <x v="17"/>
    <x v="2"/>
    <x v="3"/>
    <x v="3"/>
    <x v="17"/>
    <x v="17"/>
    <s v="Wright, Angelina W."/>
    <n v="481500"/>
    <s v="0.00"/>
    <n v="481500"/>
    <n v="0"/>
    <n v="0"/>
    <n v="722926.47"/>
    <n v="0"/>
    <n v="0"/>
    <n v="722926.47"/>
    <n v="6063.53"/>
  </r>
  <r>
    <x v="1"/>
    <x v="17"/>
    <x v="17"/>
    <x v="2"/>
    <x v="3"/>
    <x v="3"/>
    <x v="17"/>
    <x v="17"/>
    <s v="Wright, Angelina W."/>
    <n v="444073"/>
    <s v="0.00"/>
    <n v="444073"/>
    <n v="0"/>
    <n v="0"/>
    <n v="402754.88"/>
    <n v="0"/>
    <n v="0"/>
    <n v="402754.88"/>
    <n v="41318.120000000003"/>
  </r>
  <r>
    <x v="0"/>
    <x v="17"/>
    <x v="17"/>
    <x v="2"/>
    <x v="3"/>
    <x v="3"/>
    <x v="18"/>
    <x v="18"/>
    <s v="Wright, Angelina W."/>
    <n v="68418"/>
    <s v="0.00"/>
    <n v="68418"/>
    <n v="0"/>
    <n v="0"/>
    <n v="89730.57"/>
    <n v="0"/>
    <n v="0"/>
    <n v="89730.57"/>
    <n v="-1112.57"/>
  </r>
  <r>
    <x v="1"/>
    <x v="17"/>
    <x v="17"/>
    <x v="2"/>
    <x v="3"/>
    <x v="3"/>
    <x v="18"/>
    <x v="18"/>
    <s v="Wright, Angelina W."/>
    <n v="61576"/>
    <s v="0.00"/>
    <n v="61576"/>
    <n v="0"/>
    <n v="0"/>
    <n v="57936.6"/>
    <n v="0"/>
    <n v="0"/>
    <n v="57936.6"/>
    <n v="4289.3999999999996"/>
  </r>
  <r>
    <x v="0"/>
    <x v="17"/>
    <x v="17"/>
    <x v="2"/>
    <x v="3"/>
    <x v="3"/>
    <x v="19"/>
    <x v="19"/>
    <s v="Wright, Angelina W."/>
    <n v="17202"/>
    <s v="0.00"/>
    <n v="17202"/>
    <n v="0"/>
    <n v="0"/>
    <n v="9114"/>
    <n v="0"/>
    <n v="0"/>
    <n v="9114"/>
    <n v="188"/>
  </r>
  <r>
    <x v="1"/>
    <x v="17"/>
    <x v="17"/>
    <x v="2"/>
    <x v="3"/>
    <x v="3"/>
    <x v="19"/>
    <x v="19"/>
    <s v="Wright, Angelina W."/>
    <n v="7000"/>
    <s v="0.00"/>
    <n v="7000"/>
    <n v="0"/>
    <n v="0"/>
    <n v="11904.78"/>
    <n v="0"/>
    <n v="0"/>
    <n v="11904.78"/>
    <n v="9095.2199999999993"/>
  </r>
  <r>
    <x v="1"/>
    <x v="17"/>
    <x v="17"/>
    <x v="2"/>
    <x v="3"/>
    <x v="3"/>
    <x v="20"/>
    <x v="20"/>
    <s v="Wright, Angelina W."/>
    <n v="650"/>
    <s v="0.00"/>
    <n v="650"/>
    <n v="0"/>
    <n v="0"/>
    <n v="0"/>
    <n v="0"/>
    <n v="0"/>
    <n v="0"/>
    <n v="0"/>
  </r>
  <r>
    <x v="0"/>
    <x v="17"/>
    <x v="17"/>
    <x v="2"/>
    <x v="3"/>
    <x v="3"/>
    <x v="21"/>
    <x v="21"/>
    <s v="Wright, Angelina W."/>
    <n v="304908"/>
    <s v="0.00"/>
    <n v="304908"/>
    <n v="0"/>
    <n v="0"/>
    <n v="445339.65"/>
    <n v="0"/>
    <n v="0"/>
    <n v="445339.65"/>
    <n v="3251.35"/>
  </r>
  <r>
    <x v="1"/>
    <x v="17"/>
    <x v="17"/>
    <x v="2"/>
    <x v="3"/>
    <x v="3"/>
    <x v="21"/>
    <x v="21"/>
    <s v="Wright, Angelina W."/>
    <n v="431327"/>
    <s v="0.00"/>
    <n v="431327"/>
    <n v="0"/>
    <n v="0"/>
    <n v="245029.27"/>
    <n v="0"/>
    <n v="0"/>
    <n v="245029.27"/>
    <n v="186297.73"/>
  </r>
  <r>
    <x v="0"/>
    <x v="17"/>
    <x v="17"/>
    <x v="2"/>
    <x v="3"/>
    <x v="3"/>
    <x v="22"/>
    <x v="22"/>
    <s v="Wright, Angelina W."/>
    <n v="209155"/>
    <s v="0.00"/>
    <n v="209155"/>
    <n v="0"/>
    <n v="0"/>
    <n v="286027.55"/>
    <n v="0"/>
    <n v="0"/>
    <n v="286027.55"/>
    <n v="1474.45"/>
  </r>
  <r>
    <x v="1"/>
    <x v="17"/>
    <x v="17"/>
    <x v="2"/>
    <x v="3"/>
    <x v="3"/>
    <x v="22"/>
    <x v="22"/>
    <s v="Wright, Angelina W."/>
    <n v="209758"/>
    <s v="0.00"/>
    <n v="209758"/>
    <n v="0"/>
    <n v="0"/>
    <n v="144580.66"/>
    <n v="0"/>
    <n v="0"/>
    <n v="144580.66"/>
    <n v="65177.34"/>
  </r>
  <r>
    <x v="0"/>
    <x v="17"/>
    <x v="17"/>
    <x v="2"/>
    <x v="3"/>
    <x v="3"/>
    <x v="24"/>
    <x v="24"/>
    <s v="Wright, Angelina W."/>
    <n v="10000"/>
    <s v="0.00"/>
    <n v="10000"/>
    <n v="0"/>
    <n v="0"/>
    <n v="3331.56"/>
    <n v="0"/>
    <n v="0"/>
    <n v="3331.56"/>
    <n v="1668.44"/>
  </r>
  <r>
    <x v="1"/>
    <x v="17"/>
    <x v="17"/>
    <x v="2"/>
    <x v="3"/>
    <x v="3"/>
    <x v="24"/>
    <x v="24"/>
    <s v="Wright, Angelina W."/>
    <n v="2000"/>
    <s v="0.00"/>
    <n v="2000"/>
    <n v="0"/>
    <n v="0"/>
    <n v="1747.57"/>
    <n v="0"/>
    <n v="0"/>
    <n v="1747.57"/>
    <n v="252.43"/>
  </r>
  <r>
    <x v="0"/>
    <x v="17"/>
    <x v="17"/>
    <x v="2"/>
    <x v="3"/>
    <x v="3"/>
    <x v="25"/>
    <x v="25"/>
    <s v="Wright, Angelina W."/>
    <n v="25000"/>
    <s v="0.00"/>
    <n v="25000"/>
    <n v="0"/>
    <n v="0"/>
    <n v="544.59"/>
    <n v="0"/>
    <n v="0"/>
    <n v="544.59"/>
    <n v="255.41"/>
  </r>
  <r>
    <x v="1"/>
    <x v="17"/>
    <x v="17"/>
    <x v="2"/>
    <x v="3"/>
    <x v="3"/>
    <x v="25"/>
    <x v="25"/>
    <s v="Wright, Angelina W."/>
    <n v="750"/>
    <s v="0.00"/>
    <n v="750"/>
    <n v="0"/>
    <n v="0"/>
    <n v="627.62"/>
    <n v="0"/>
    <n v="0"/>
    <n v="627.62"/>
    <n v="122.38"/>
  </r>
  <r>
    <x v="0"/>
    <x v="17"/>
    <x v="17"/>
    <x v="2"/>
    <x v="3"/>
    <x v="3"/>
    <x v="26"/>
    <x v="26"/>
    <s v="Wright, Angelina W."/>
    <n v="5000"/>
    <s v="0.00"/>
    <n v="5000"/>
    <n v="0"/>
    <n v="0"/>
    <n v="10917.94"/>
    <n v="0"/>
    <n v="0"/>
    <n v="10917.94"/>
    <n v="9082.06"/>
  </r>
  <r>
    <x v="1"/>
    <x v="17"/>
    <x v="17"/>
    <x v="2"/>
    <x v="3"/>
    <x v="3"/>
    <x v="26"/>
    <x v="26"/>
    <s v="Wright, Angelina W."/>
    <n v="5000"/>
    <s v="0.00"/>
    <n v="5000"/>
    <n v="0"/>
    <n v="0"/>
    <n v="5769.13"/>
    <n v="0"/>
    <n v="0"/>
    <n v="5769.13"/>
    <n v="4230.87"/>
  </r>
  <r>
    <x v="0"/>
    <x v="0"/>
    <x v="0"/>
    <x v="0"/>
    <x v="3"/>
    <x v="3"/>
    <x v="165"/>
    <x v="175"/>
    <s v="Morales, Adelina C."/>
    <n v="297437.69"/>
    <n v="963.69"/>
    <n v="296474"/>
    <n v="233824.75"/>
    <n v="7378.53"/>
    <n v="1050"/>
    <n v="59683.05"/>
    <n v="1000.89"/>
    <n v="302937.21999999997"/>
    <n v="29486.799999999999"/>
  </r>
  <r>
    <x v="1"/>
    <x v="0"/>
    <x v="0"/>
    <x v="0"/>
    <x v="3"/>
    <x v="3"/>
    <x v="165"/>
    <x v="175"/>
    <s v="Morales, Adelina C."/>
    <n v="447250.89"/>
    <n v="1000.89"/>
    <n v="446250"/>
    <n v="208830.49"/>
    <n v="2488"/>
    <n v="750"/>
    <n v="34499.120000000003"/>
    <n v="6332.39"/>
    <n v="252900"/>
    <n v="194350.89"/>
  </r>
  <r>
    <x v="0"/>
    <x v="65"/>
    <x v="72"/>
    <x v="0"/>
    <x v="3"/>
    <x v="3"/>
    <x v="166"/>
    <x v="176"/>
    <s v="Knopp, Emily A."/>
    <n v="0"/>
    <s v="0.00"/>
    <n v="0"/>
    <n v="0"/>
    <n v="0"/>
    <n v="0"/>
    <n v="116.41"/>
    <n v="116.41"/>
    <n v="232.82"/>
    <n v="2267.1799999999998"/>
  </r>
  <r>
    <x v="1"/>
    <x v="65"/>
    <x v="72"/>
    <x v="0"/>
    <x v="3"/>
    <x v="3"/>
    <x v="166"/>
    <x v="176"/>
    <s v="Knopp, Emily A."/>
    <n v="2616.41"/>
    <n v="116.41"/>
    <n v="2500"/>
    <n v="0"/>
    <n v="0"/>
    <n v="0"/>
    <n v="1251.82"/>
    <n v="789.47"/>
    <n v="2041.29"/>
    <n v="575.12"/>
  </r>
  <r>
    <x v="1"/>
    <x v="0"/>
    <x v="0"/>
    <x v="0"/>
    <x v="3"/>
    <x v="3"/>
    <x v="167"/>
    <x v="177"/>
    <s v="Box, Wana D."/>
    <n v="36378"/>
    <s v="0.00"/>
    <n v="36378"/>
    <n v="21185.49"/>
    <n v="0"/>
    <n v="0"/>
    <n v="874.11"/>
    <n v="713.66"/>
    <n v="22773.26"/>
    <n v="17604.740000000002"/>
  </r>
  <r>
    <x v="0"/>
    <x v="9"/>
    <x v="9"/>
    <x v="2"/>
    <x v="3"/>
    <x v="3"/>
    <x v="168"/>
    <x v="178"/>
    <s v="Reid, Michael L."/>
    <n v="352813.65"/>
    <n v="310.64999999999998"/>
    <n v="352503"/>
    <n v="358644.54"/>
    <n v="0"/>
    <n v="1350"/>
    <n v="15873.97"/>
    <n v="90.64"/>
    <n v="375959.15"/>
    <n v="13635"/>
  </r>
  <r>
    <x v="1"/>
    <x v="9"/>
    <x v="9"/>
    <x v="2"/>
    <x v="3"/>
    <x v="3"/>
    <x v="168"/>
    <x v="178"/>
    <s v="Reid, Michael L."/>
    <n v="327090.64"/>
    <n v="90.64"/>
    <n v="327000"/>
    <n v="174091.41"/>
    <n v="0"/>
    <n v="0"/>
    <n v="7711.23"/>
    <n v="1839.73"/>
    <n v="183642.37"/>
    <n v="143448.26999999999"/>
  </r>
  <r>
    <x v="0"/>
    <x v="42"/>
    <x v="73"/>
    <x v="2"/>
    <x v="3"/>
    <x v="3"/>
    <x v="169"/>
    <x v="179"/>
    <s v="Wright, Angelina W."/>
    <n v="125280"/>
    <s v="0.00"/>
    <n v="125280"/>
    <n v="123720"/>
    <n v="0"/>
    <n v="0"/>
    <n v="2753.06"/>
    <n v="0"/>
    <n v="126473.06"/>
    <n v="96.94"/>
  </r>
  <r>
    <x v="1"/>
    <x v="42"/>
    <x v="73"/>
    <x v="2"/>
    <x v="3"/>
    <x v="3"/>
    <x v="169"/>
    <x v="179"/>
    <s v="Wright, Angelina W."/>
    <n v="125010"/>
    <s v="0.00"/>
    <n v="125010"/>
    <n v="71400"/>
    <n v="0"/>
    <n v="0"/>
    <n v="293.3"/>
    <n v="0"/>
    <n v="71693.3"/>
    <n v="53316.7"/>
  </r>
  <r>
    <x v="0"/>
    <x v="42"/>
    <x v="73"/>
    <x v="2"/>
    <x v="3"/>
    <x v="3"/>
    <x v="170"/>
    <x v="180"/>
    <s v="Wright, Angelina W."/>
    <n v="0"/>
    <s v="0.00"/>
    <n v="0"/>
    <n v="0"/>
    <n v="0"/>
    <n v="0"/>
    <n v="5177.29"/>
    <n v="0"/>
    <n v="5177.29"/>
    <n v="2822.71"/>
  </r>
  <r>
    <x v="1"/>
    <x v="42"/>
    <x v="73"/>
    <x v="2"/>
    <x v="3"/>
    <x v="3"/>
    <x v="170"/>
    <x v="180"/>
    <s v="Wright, Angelina W."/>
    <n v="5000"/>
    <s v="0.00"/>
    <n v="5000"/>
    <n v="0"/>
    <n v="0"/>
    <n v="0"/>
    <n v="0"/>
    <n v="409.86"/>
    <n v="409.86"/>
    <n v="4590.1400000000003"/>
  </r>
  <r>
    <x v="0"/>
    <x v="1"/>
    <x v="1"/>
    <x v="1"/>
    <x v="3"/>
    <x v="3"/>
    <x v="1"/>
    <x v="181"/>
    <s v="May, Brian J."/>
    <n v="384801.27"/>
    <n v="4934.2700000000004"/>
    <n v="379867"/>
    <n v="338832.33"/>
    <n v="0"/>
    <n v="1800"/>
    <n v="14201.41"/>
    <n v="965.46"/>
    <n v="355799.2"/>
    <n v="8312.15"/>
  </r>
  <r>
    <x v="1"/>
    <x v="1"/>
    <x v="1"/>
    <x v="1"/>
    <x v="3"/>
    <x v="3"/>
    <x v="1"/>
    <x v="181"/>
    <s v="May, Brian J."/>
    <n v="358921.46"/>
    <n v="965.46"/>
    <n v="357956"/>
    <n v="169337.27"/>
    <n v="0"/>
    <n v="0"/>
    <n v="51638.97"/>
    <n v="4202.18"/>
    <n v="225178.42"/>
    <n v="135328.04"/>
  </r>
  <r>
    <x v="0"/>
    <x v="2"/>
    <x v="2"/>
    <x v="1"/>
    <x v="3"/>
    <x v="3"/>
    <x v="171"/>
    <x v="182"/>
    <s v="Allen, Nancy G."/>
    <n v="0"/>
    <s v="0.00"/>
    <n v="0"/>
    <n v="0"/>
    <n v="0"/>
    <n v="0"/>
    <n v="1357.62"/>
    <n v="0"/>
    <n v="1357.62"/>
    <n v="17558.73"/>
  </r>
  <r>
    <x v="1"/>
    <x v="2"/>
    <x v="2"/>
    <x v="1"/>
    <x v="3"/>
    <x v="3"/>
    <x v="171"/>
    <x v="182"/>
    <s v="Allen, Nancy G."/>
    <n v="15000"/>
    <s v="0.00"/>
    <n v="15000"/>
    <n v="0"/>
    <n v="0"/>
    <n v="0"/>
    <n v="3948.9"/>
    <n v="0"/>
    <n v="3948.9"/>
    <n v="11051.1"/>
  </r>
  <r>
    <x v="0"/>
    <x v="1"/>
    <x v="1"/>
    <x v="1"/>
    <x v="3"/>
    <x v="3"/>
    <x v="172"/>
    <x v="183"/>
    <s v="May, Brian J."/>
    <n v="20439.52"/>
    <n v="2439.52"/>
    <n v="18000"/>
    <n v="64.5"/>
    <n v="0"/>
    <n v="0"/>
    <n v="8939.3799999999992"/>
    <n v="651"/>
    <n v="9654.8799999999992"/>
    <n v="7059.64"/>
  </r>
  <r>
    <x v="1"/>
    <x v="1"/>
    <x v="1"/>
    <x v="1"/>
    <x v="3"/>
    <x v="3"/>
    <x v="172"/>
    <x v="183"/>
    <s v="May, Brian J."/>
    <n v="9651"/>
    <n v="651"/>
    <n v="9000"/>
    <n v="0"/>
    <n v="0"/>
    <n v="0"/>
    <n v="4870.75"/>
    <n v="33.25"/>
    <n v="4904"/>
    <n v="4566.87"/>
  </r>
  <r>
    <x v="0"/>
    <x v="2"/>
    <x v="2"/>
    <x v="1"/>
    <x v="3"/>
    <x v="3"/>
    <x v="173"/>
    <x v="184"/>
    <s v="Allen, Nancy G."/>
    <n v="1500"/>
    <s v="0.00"/>
    <n v="1500"/>
    <n v="0"/>
    <n v="0"/>
    <n v="0"/>
    <n v="433.16"/>
    <n v="0"/>
    <n v="433.16"/>
    <n v="961.84"/>
  </r>
  <r>
    <x v="1"/>
    <x v="2"/>
    <x v="2"/>
    <x v="1"/>
    <x v="3"/>
    <x v="3"/>
    <x v="173"/>
    <x v="184"/>
    <s v="Allen, Nancy G."/>
    <n v="750"/>
    <s v="0.00"/>
    <n v="750"/>
    <n v="0"/>
    <n v="0"/>
    <n v="0"/>
    <n v="241.45"/>
    <n v="0"/>
    <n v="241.45"/>
    <n v="508.55"/>
  </r>
  <r>
    <x v="0"/>
    <x v="66"/>
    <x v="74"/>
    <x v="2"/>
    <x v="3"/>
    <x v="3"/>
    <x v="174"/>
    <x v="185"/>
    <s v="Fox, Douglas W."/>
    <n v="3000"/>
    <s v="0.00"/>
    <n v="3000"/>
    <n v="0"/>
    <n v="0"/>
    <n v="0"/>
    <n v="1494.31"/>
    <n v="0"/>
    <n v="1494.31"/>
    <n v="1295.69"/>
  </r>
  <r>
    <x v="1"/>
    <x v="66"/>
    <x v="74"/>
    <x v="2"/>
    <x v="3"/>
    <x v="3"/>
    <x v="174"/>
    <x v="185"/>
    <s v="Fox, Douglas W."/>
    <n v="1500"/>
    <s v="0.00"/>
    <n v="1500"/>
    <n v="0"/>
    <n v="0"/>
    <n v="0"/>
    <n v="0"/>
    <n v="0"/>
    <n v="0"/>
    <n v="1500"/>
  </r>
  <r>
    <x v="0"/>
    <x v="9"/>
    <x v="9"/>
    <x v="2"/>
    <x v="3"/>
    <x v="3"/>
    <x v="175"/>
    <x v="186"/>
    <s v="Reid, Michael L."/>
    <n v="18000"/>
    <s v="0.00"/>
    <n v="18000"/>
    <n v="0"/>
    <n v="0"/>
    <n v="0"/>
    <n v="6225.51"/>
    <n v="0"/>
    <n v="6225.51"/>
    <n v="10514.49"/>
  </r>
  <r>
    <x v="1"/>
    <x v="67"/>
    <x v="75"/>
    <x v="8"/>
    <x v="3"/>
    <x v="3"/>
    <x v="176"/>
    <x v="187"/>
    <s v="Penry, Jason C."/>
    <n v="0"/>
    <s v="0.00"/>
    <n v="0"/>
    <n v="179305.63"/>
    <n v="0"/>
    <n v="1050"/>
    <n v="26745.58"/>
    <n v="4349.28"/>
    <n v="211450.49"/>
    <n v="161707.07999999999"/>
  </r>
  <r>
    <x v="0"/>
    <x v="61"/>
    <x v="67"/>
    <x v="7"/>
    <x v="3"/>
    <x v="3"/>
    <x v="177"/>
    <x v="188"/>
    <s v="Reid, Michael L."/>
    <n v="301433.95"/>
    <n v="4604.95"/>
    <n v="296829"/>
    <n v="232070.74"/>
    <n v="0"/>
    <n v="825"/>
    <n v="20402.25"/>
    <n v="0"/>
    <n v="253297.99"/>
    <n v="18205.07"/>
  </r>
  <r>
    <x v="1"/>
    <x v="61"/>
    <x v="67"/>
    <x v="7"/>
    <x v="3"/>
    <x v="3"/>
    <x v="177"/>
    <x v="188"/>
    <s v="Reid, Michael L."/>
    <n v="272144"/>
    <s v="0.00"/>
    <n v="272144"/>
    <n v="96647.35"/>
    <n v="0"/>
    <n v="0"/>
    <n v="3461.38"/>
    <n v="740.78"/>
    <n v="100849.51"/>
    <n v="109573.49"/>
  </r>
  <r>
    <x v="0"/>
    <x v="68"/>
    <x v="76"/>
    <x v="3"/>
    <x v="3"/>
    <x v="3"/>
    <x v="178"/>
    <x v="189"/>
    <s v="Valerio, Vance R."/>
    <n v="0"/>
    <s v="0.00"/>
    <n v="0"/>
    <n v="102758.3"/>
    <n v="0"/>
    <n v="747"/>
    <n v="10032.09"/>
    <n v="1502.62"/>
    <n v="115040.01"/>
    <n v="-1553.86"/>
  </r>
  <r>
    <x v="1"/>
    <x v="68"/>
    <x v="76"/>
    <x v="3"/>
    <x v="3"/>
    <x v="3"/>
    <x v="178"/>
    <x v="189"/>
    <s v="Valerio, Vance R."/>
    <n v="259576.62"/>
    <n v="1502.62"/>
    <n v="258074"/>
    <n v="142624.68"/>
    <n v="0"/>
    <n v="750"/>
    <n v="4799.58"/>
    <n v="2268.21"/>
    <n v="150442.47"/>
    <n v="109134.15"/>
  </r>
  <r>
    <x v="0"/>
    <x v="68"/>
    <x v="76"/>
    <x v="3"/>
    <x v="3"/>
    <x v="3"/>
    <x v="179"/>
    <x v="190"/>
    <s v="Valerio, Vance R."/>
    <n v="0"/>
    <s v="0.00"/>
    <n v="0"/>
    <n v="0"/>
    <n v="0"/>
    <n v="0"/>
    <n v="677.64"/>
    <n v="794.6"/>
    <n v="1472.24"/>
    <n v="178.81"/>
  </r>
  <r>
    <x v="1"/>
    <x v="68"/>
    <x v="76"/>
    <x v="3"/>
    <x v="3"/>
    <x v="3"/>
    <x v="179"/>
    <x v="190"/>
    <s v="Valerio, Vance R."/>
    <n v="3294.6"/>
    <n v="794.6"/>
    <n v="2500"/>
    <n v="0"/>
    <n v="0"/>
    <n v="0"/>
    <n v="1383.83"/>
    <n v="0"/>
    <n v="1383.83"/>
    <n v="1910.77"/>
  </r>
  <r>
    <x v="0"/>
    <x v="67"/>
    <x v="75"/>
    <x v="8"/>
    <x v="3"/>
    <x v="3"/>
    <x v="180"/>
    <x v="191"/>
    <s v="Penry, Jason C."/>
    <n v="18399.54"/>
    <n v="399.54"/>
    <n v="18000"/>
    <n v="0"/>
    <n v="0"/>
    <n v="0"/>
    <n v="15530.98"/>
    <n v="0"/>
    <n v="15530.98"/>
    <n v="1608.56"/>
  </r>
  <r>
    <x v="1"/>
    <x v="67"/>
    <x v="75"/>
    <x v="8"/>
    <x v="3"/>
    <x v="3"/>
    <x v="180"/>
    <x v="191"/>
    <s v="Penry, Jason C."/>
    <n v="14940"/>
    <s v="0.00"/>
    <n v="14940"/>
    <n v="0"/>
    <n v="0"/>
    <n v="0"/>
    <n v="424.43"/>
    <n v="0"/>
    <n v="424.43"/>
    <n v="0"/>
  </r>
  <r>
    <x v="0"/>
    <x v="3"/>
    <x v="3"/>
    <x v="0"/>
    <x v="3"/>
    <x v="3"/>
    <x v="181"/>
    <x v="192"/>
    <s v="Lewis, John P."/>
    <n v="403853.5"/>
    <n v="60757.5"/>
    <n v="343096"/>
    <n v="6438.37"/>
    <n v="0"/>
    <n v="0"/>
    <n v="288451.57"/>
    <n v="59131"/>
    <n v="354020.94"/>
    <n v="29356.83"/>
  </r>
  <r>
    <x v="1"/>
    <x v="3"/>
    <x v="3"/>
    <x v="0"/>
    <x v="3"/>
    <x v="3"/>
    <x v="181"/>
    <x v="192"/>
    <s v="Lewis, John P."/>
    <n v="343153"/>
    <n v="59131"/>
    <n v="284022"/>
    <n v="3816.92"/>
    <n v="0"/>
    <n v="0"/>
    <n v="210677.42"/>
    <n v="73615.81"/>
    <n v="288110.15000000002"/>
    <n v="54923.43"/>
  </r>
  <r>
    <x v="0"/>
    <x v="3"/>
    <x v="3"/>
    <x v="0"/>
    <x v="3"/>
    <x v="3"/>
    <x v="3"/>
    <x v="193"/>
    <s v="Lewis, John P."/>
    <n v="35032.959999999999"/>
    <n v="3031.96"/>
    <n v="32001"/>
    <n v="28400.65"/>
    <n v="7764.76"/>
    <n v="1794"/>
    <n v="16147.1"/>
    <n v="123.02"/>
    <n v="54229.53"/>
    <n v="7389.56"/>
  </r>
  <r>
    <x v="1"/>
    <x v="3"/>
    <x v="3"/>
    <x v="0"/>
    <x v="3"/>
    <x v="3"/>
    <x v="3"/>
    <x v="193"/>
    <s v="Lewis, John P."/>
    <n v="304660.02"/>
    <n v="123.02"/>
    <n v="304537"/>
    <n v="158441.28"/>
    <n v="6961.84"/>
    <n v="1050"/>
    <n v="8024.3"/>
    <n v="695.96"/>
    <n v="175173.38"/>
    <n v="129486.64"/>
  </r>
  <r>
    <x v="0"/>
    <x v="69"/>
    <x v="77"/>
    <x v="1"/>
    <x v="3"/>
    <x v="3"/>
    <x v="182"/>
    <x v="194"/>
    <s v="Logan, Sarah M."/>
    <n v="301597.5"/>
    <n v="11542.5"/>
    <n v="290055"/>
    <n v="236957.29"/>
    <n v="0"/>
    <n v="0"/>
    <n v="41800.46"/>
    <n v="321.95"/>
    <n v="279079.7"/>
    <n v="17082.580000000002"/>
  </r>
  <r>
    <x v="1"/>
    <x v="69"/>
    <x v="77"/>
    <x v="1"/>
    <x v="3"/>
    <x v="3"/>
    <x v="182"/>
    <x v="194"/>
    <s v="Logan, Sarah M."/>
    <n v="217650.95"/>
    <n v="321.95"/>
    <n v="217329"/>
    <n v="113231.83"/>
    <n v="0"/>
    <n v="0"/>
    <n v="13347.99"/>
    <n v="2515.98"/>
    <n v="129095.8"/>
    <n v="92388.15"/>
  </r>
  <r>
    <x v="0"/>
    <x v="63"/>
    <x v="69"/>
    <x v="2"/>
    <x v="3"/>
    <x v="3"/>
    <x v="183"/>
    <x v="195"/>
    <s v="Irby, Jeane M."/>
    <n v="675075.06"/>
    <n v="3487.06"/>
    <n v="671588"/>
    <n v="189360.62"/>
    <n v="58436.7"/>
    <n v="0"/>
    <n v="398269.44"/>
    <n v="18568.310000000001"/>
    <n v="664635.06999999995"/>
    <n v="-17482.39"/>
  </r>
  <r>
    <x v="1"/>
    <x v="63"/>
    <x v="69"/>
    <x v="2"/>
    <x v="3"/>
    <x v="3"/>
    <x v="183"/>
    <x v="195"/>
    <s v="Irby, Jeane M."/>
    <n v="611694.31000000006"/>
    <n v="18568.310000000001"/>
    <n v="593126"/>
    <n v="97909.67"/>
    <n v="27696.47"/>
    <n v="0"/>
    <n v="317596.40999999997"/>
    <n v="52889.86"/>
    <n v="496092.41"/>
    <n v="115602.9"/>
  </r>
  <r>
    <x v="0"/>
    <x v="0"/>
    <x v="0"/>
    <x v="0"/>
    <x v="3"/>
    <x v="3"/>
    <x v="184"/>
    <x v="196"/>
    <s v="Rallo, Joseph C."/>
    <n v="37000"/>
    <s v="0.00"/>
    <n v="37000"/>
    <n v="0"/>
    <n v="0"/>
    <n v="0"/>
    <n v="29630"/>
    <n v="0"/>
    <n v="29630"/>
    <n v="4780"/>
  </r>
  <r>
    <x v="1"/>
    <x v="0"/>
    <x v="0"/>
    <x v="0"/>
    <x v="3"/>
    <x v="3"/>
    <x v="184"/>
    <x v="196"/>
    <s v="Rallo, Joseph C."/>
    <n v="30710"/>
    <s v="0.00"/>
    <n v="30710"/>
    <n v="0"/>
    <n v="0"/>
    <n v="0"/>
    <n v="3517"/>
    <n v="0"/>
    <n v="3517"/>
    <n v="27193"/>
  </r>
  <r>
    <x v="1"/>
    <x v="69"/>
    <x v="78"/>
    <x v="1"/>
    <x v="3"/>
    <x v="3"/>
    <x v="185"/>
    <x v="197"/>
    <s v="Braden, Crystal M."/>
    <n v="0"/>
    <s v="0.00"/>
    <n v="0"/>
    <n v="10080"/>
    <n v="0"/>
    <n v="0"/>
    <n v="1121.3499999999999"/>
    <n v="614"/>
    <n v="11815.35"/>
    <n v="30184.65"/>
  </r>
  <r>
    <x v="0"/>
    <x v="12"/>
    <x v="12"/>
    <x v="3"/>
    <x v="3"/>
    <x v="3"/>
    <x v="186"/>
    <x v="198"/>
    <s v="Weeaks, Cynthia D."/>
    <n v="36513"/>
    <s v="0.00"/>
    <n v="36513"/>
    <n v="1330.12"/>
    <n v="1400"/>
    <n v="0"/>
    <n v="34429.93"/>
    <n v="0"/>
    <n v="37160.050000000003"/>
    <n v="5638.34"/>
  </r>
  <r>
    <x v="1"/>
    <x v="12"/>
    <x v="12"/>
    <x v="3"/>
    <x v="3"/>
    <x v="3"/>
    <x v="186"/>
    <x v="198"/>
    <s v="Weeaks, Cynthia D."/>
    <n v="31160"/>
    <s v="0.00"/>
    <n v="31160"/>
    <n v="596.59"/>
    <n v="740"/>
    <n v="0"/>
    <n v="9230.1"/>
    <n v="1100"/>
    <n v="11666.69"/>
    <n v="19493.310000000001"/>
  </r>
  <r>
    <x v="0"/>
    <x v="59"/>
    <x v="65"/>
    <x v="1"/>
    <x v="3"/>
    <x v="3"/>
    <x v="113"/>
    <x v="199"/>
    <s v="Wegner, John M."/>
    <n v="39906"/>
    <s v="0.00"/>
    <n v="39906"/>
    <n v="44693.85"/>
    <n v="0"/>
    <n v="0"/>
    <n v="13755.23"/>
    <n v="0"/>
    <n v="58449.08"/>
    <n v="-26.08"/>
  </r>
  <r>
    <x v="1"/>
    <x v="59"/>
    <x v="65"/>
    <x v="1"/>
    <x v="3"/>
    <x v="3"/>
    <x v="113"/>
    <x v="199"/>
    <s v="Wegner, John M."/>
    <n v="88794"/>
    <s v="0.00"/>
    <n v="88794"/>
    <n v="38742.339999999997"/>
    <n v="0"/>
    <n v="0"/>
    <n v="7170.15"/>
    <n v="743.48"/>
    <n v="46655.97"/>
    <n v="42138.03"/>
  </r>
  <r>
    <x v="0"/>
    <x v="49"/>
    <x v="55"/>
    <x v="1"/>
    <x v="3"/>
    <x v="3"/>
    <x v="187"/>
    <x v="200"/>
    <s v="Plum, Katie M."/>
    <n v="74840"/>
    <s v="0.00"/>
    <n v="74840"/>
    <n v="22800"/>
    <n v="0"/>
    <n v="0"/>
    <n v="14633.85"/>
    <n v="425"/>
    <n v="37858.85"/>
    <n v="4081.15"/>
  </r>
  <r>
    <x v="1"/>
    <x v="49"/>
    <x v="55"/>
    <x v="1"/>
    <x v="3"/>
    <x v="3"/>
    <x v="187"/>
    <x v="200"/>
    <s v="Plum, Katie M."/>
    <n v="44565"/>
    <n v="425"/>
    <n v="44140"/>
    <n v="16020.02"/>
    <n v="0"/>
    <n v="0"/>
    <n v="4536.1099999999997"/>
    <n v="1676.58"/>
    <n v="22232.71"/>
    <n v="18363.29"/>
  </r>
  <r>
    <x v="0"/>
    <x v="22"/>
    <x v="22"/>
    <x v="1"/>
    <x v="3"/>
    <x v="3"/>
    <x v="188"/>
    <x v="201"/>
    <s v="Doll, William M."/>
    <n v="37931.599999999999"/>
    <n v="3567.6"/>
    <n v="34364"/>
    <n v="0"/>
    <n v="2863.75"/>
    <n v="0"/>
    <n v="28379.45"/>
    <n v="0"/>
    <n v="31243.200000000001"/>
    <n v="4441.12"/>
  </r>
  <r>
    <x v="1"/>
    <x v="22"/>
    <x v="22"/>
    <x v="1"/>
    <x v="3"/>
    <x v="3"/>
    <x v="188"/>
    <x v="201"/>
    <s v="Doll, William M."/>
    <n v="29060"/>
    <s v="0.00"/>
    <n v="29060"/>
    <n v="0"/>
    <n v="0"/>
    <n v="0"/>
    <n v="8867.66"/>
    <n v="0"/>
    <n v="8867.66"/>
    <n v="20192.34"/>
  </r>
  <r>
    <x v="0"/>
    <x v="9"/>
    <x v="9"/>
    <x v="2"/>
    <x v="3"/>
    <x v="3"/>
    <x v="189"/>
    <x v="202"/>
    <s v="Reid, Michael L."/>
    <n v="52800"/>
    <s v="0.00"/>
    <n v="52800"/>
    <n v="0"/>
    <n v="0"/>
    <n v="0"/>
    <n v="52800"/>
    <n v="0"/>
    <n v="52800"/>
    <n v="0"/>
  </r>
  <r>
    <x v="1"/>
    <x v="9"/>
    <x v="9"/>
    <x v="2"/>
    <x v="3"/>
    <x v="3"/>
    <x v="189"/>
    <x v="202"/>
    <s v="Reid, Michael L."/>
    <n v="26400"/>
    <s v="0.00"/>
    <n v="26400"/>
    <n v="0"/>
    <n v="0"/>
    <n v="0"/>
    <n v="26400"/>
    <n v="13200"/>
    <n v="39600"/>
    <n v="0"/>
  </r>
  <r>
    <x v="0"/>
    <x v="5"/>
    <x v="5"/>
    <x v="2"/>
    <x v="3"/>
    <x v="3"/>
    <x v="9"/>
    <x v="203"/>
    <s v="Brodnax, Denise H."/>
    <n v="302189"/>
    <s v="0.00"/>
    <n v="302189"/>
    <n v="10000"/>
    <n v="0"/>
    <n v="0"/>
    <n v="272331"/>
    <n v="0"/>
    <n v="282331"/>
    <n v="49033"/>
  </r>
  <r>
    <x v="1"/>
    <x v="5"/>
    <x v="5"/>
    <x v="2"/>
    <x v="3"/>
    <x v="3"/>
    <x v="9"/>
    <x v="203"/>
    <s v="Brodnax, Denise H."/>
    <n v="272731"/>
    <s v="0.00"/>
    <n v="272731"/>
    <n v="0"/>
    <n v="0"/>
    <n v="0"/>
    <n v="264215.75"/>
    <n v="5625"/>
    <n v="269840.75"/>
    <n v="2890.25"/>
  </r>
  <r>
    <x v="0"/>
    <x v="4"/>
    <x v="4"/>
    <x v="2"/>
    <x v="3"/>
    <x v="3"/>
    <x v="190"/>
    <x v="204"/>
    <s v="Wright, Angelina W."/>
    <n v="139765.69"/>
    <n v="561.69000000000005"/>
    <n v="139204"/>
    <n v="125557.12"/>
    <n v="6798.4"/>
    <n v="900"/>
    <n v="7474.08"/>
    <n v="200.63"/>
    <n v="140930.23000000001"/>
    <n v="1737.92"/>
  </r>
  <r>
    <x v="1"/>
    <x v="4"/>
    <x v="4"/>
    <x v="2"/>
    <x v="3"/>
    <x v="3"/>
    <x v="190"/>
    <x v="204"/>
    <s v="Wright, Angelina W."/>
    <n v="138424.63"/>
    <n v="200.63"/>
    <n v="138224"/>
    <n v="69771.11"/>
    <n v="2503.5100000000002"/>
    <n v="0"/>
    <n v="3907.18"/>
    <n v="1043.1199999999999"/>
    <n v="77224.92"/>
    <n v="61199.71"/>
  </r>
  <r>
    <x v="0"/>
    <x v="70"/>
    <x v="79"/>
    <x v="2"/>
    <x v="3"/>
    <x v="3"/>
    <x v="191"/>
    <x v="205"/>
    <s v="Brooks, Shonda L."/>
    <n v="7070"/>
    <n v="70"/>
    <n v="7000"/>
    <n v="2250"/>
    <n v="0"/>
    <n v="0"/>
    <n v="6114.27"/>
    <n v="0"/>
    <n v="8364.27"/>
    <n v="465.73"/>
  </r>
  <r>
    <x v="1"/>
    <x v="70"/>
    <x v="79"/>
    <x v="2"/>
    <x v="3"/>
    <x v="3"/>
    <x v="191"/>
    <x v="205"/>
    <s v="Brooks, Shonda L."/>
    <n v="5810"/>
    <s v="0.00"/>
    <n v="5810"/>
    <n v="0"/>
    <n v="0"/>
    <n v="0"/>
    <n v="1558.53"/>
    <n v="2.2599999999999998"/>
    <n v="1560.79"/>
    <n v="4249.21"/>
  </r>
  <r>
    <x v="0"/>
    <x v="5"/>
    <x v="5"/>
    <x v="2"/>
    <x v="3"/>
    <x v="3"/>
    <x v="5"/>
    <x v="206"/>
    <s v="Brodnax, Denise H."/>
    <n v="583980.28"/>
    <n v="9307.2800000000007"/>
    <n v="574673"/>
    <n v="516554.41"/>
    <n v="5712.3"/>
    <n v="900"/>
    <n v="22239.55"/>
    <n v="3051.84"/>
    <n v="548458.1"/>
    <n v="37833.21"/>
  </r>
  <r>
    <x v="1"/>
    <x v="5"/>
    <x v="5"/>
    <x v="2"/>
    <x v="3"/>
    <x v="3"/>
    <x v="5"/>
    <x v="206"/>
    <s v="Brodnax, Denise H."/>
    <n v="54051.839999999997"/>
    <n v="3051.84"/>
    <n v="51000"/>
    <n v="0"/>
    <n v="0"/>
    <n v="0"/>
    <n v="13145.21"/>
    <n v="2640.21"/>
    <n v="15785.42"/>
    <n v="38266.42"/>
  </r>
  <r>
    <x v="0"/>
    <x v="5"/>
    <x v="5"/>
    <x v="2"/>
    <x v="3"/>
    <x v="3"/>
    <x v="192"/>
    <x v="207"/>
    <s v="Coleman, Janet E."/>
    <n v="18762.36"/>
    <n v="8762.36"/>
    <n v="10000"/>
    <n v="0"/>
    <n v="0"/>
    <n v="0"/>
    <n v="960.73"/>
    <n v="8234.07"/>
    <n v="9194.7999999999993"/>
    <n v="9567.56"/>
  </r>
  <r>
    <x v="1"/>
    <x v="5"/>
    <x v="5"/>
    <x v="2"/>
    <x v="3"/>
    <x v="3"/>
    <x v="192"/>
    <x v="207"/>
    <s v="Coleman, Janet E."/>
    <n v="15234.07"/>
    <n v="8234.07"/>
    <n v="7000"/>
    <n v="0"/>
    <n v="0"/>
    <n v="0"/>
    <n v="612.54999999999995"/>
    <n v="14621.52"/>
    <n v="15234.07"/>
    <n v="0"/>
  </r>
  <r>
    <x v="0"/>
    <x v="9"/>
    <x v="9"/>
    <x v="2"/>
    <x v="3"/>
    <x v="3"/>
    <x v="193"/>
    <x v="208"/>
    <s v="Pepper, Margaret R."/>
    <n v="6708"/>
    <s v="0.00"/>
    <n v="6708"/>
    <n v="0"/>
    <n v="0"/>
    <n v="0"/>
    <n v="826.9"/>
    <n v="0"/>
    <n v="826.9"/>
    <n v="5881.1"/>
  </r>
  <r>
    <x v="0"/>
    <x v="5"/>
    <x v="5"/>
    <x v="2"/>
    <x v="3"/>
    <x v="3"/>
    <x v="194"/>
    <x v="209"/>
    <s v="Brodnax, Denise H."/>
    <n v="18500"/>
    <s v="0.00"/>
    <n v="18500"/>
    <n v="0"/>
    <n v="0"/>
    <n v="0"/>
    <n v="11906.54"/>
    <n v="0"/>
    <n v="11906.54"/>
    <n v="5298.46"/>
  </r>
  <r>
    <x v="1"/>
    <x v="5"/>
    <x v="5"/>
    <x v="2"/>
    <x v="3"/>
    <x v="3"/>
    <x v="194"/>
    <x v="209"/>
    <s v="Brodnax, Denise H."/>
    <n v="17205"/>
    <s v="0.00"/>
    <n v="17205"/>
    <n v="0"/>
    <n v="0"/>
    <n v="0"/>
    <n v="8392.3700000000008"/>
    <n v="3105.07"/>
    <n v="11497.44"/>
    <n v="5707.56"/>
  </r>
  <r>
    <x v="0"/>
    <x v="71"/>
    <x v="80"/>
    <x v="2"/>
    <x v="3"/>
    <x v="3"/>
    <x v="195"/>
    <x v="210"/>
    <s v="Neal, Kurtis R."/>
    <n v="416211.9"/>
    <n v="2091.9"/>
    <n v="414120"/>
    <n v="252105.11"/>
    <n v="2962.41"/>
    <n v="1050"/>
    <n v="38627.53"/>
    <n v="3271.92"/>
    <n v="298016.96999999997"/>
    <n v="35665.61"/>
  </r>
  <r>
    <x v="1"/>
    <x v="71"/>
    <x v="80"/>
    <x v="2"/>
    <x v="3"/>
    <x v="3"/>
    <x v="195"/>
    <x v="210"/>
    <s v="Neal, Kurtis R."/>
    <n v="325270.92"/>
    <n v="3271.92"/>
    <n v="321999"/>
    <n v="148002.37"/>
    <n v="1902.21"/>
    <n v="525"/>
    <n v="16332.94"/>
    <n v="14528.13"/>
    <n v="181290.65"/>
    <n v="143980.26999999999"/>
  </r>
  <r>
    <x v="0"/>
    <x v="71"/>
    <x v="80"/>
    <x v="2"/>
    <x v="3"/>
    <x v="3"/>
    <x v="196"/>
    <x v="211"/>
    <s v="Neal, Kurtis R."/>
    <n v="60404.12"/>
    <n v="404.12"/>
    <n v="60000"/>
    <n v="0"/>
    <n v="0"/>
    <n v="0"/>
    <n v="34347.9"/>
    <n v="245"/>
    <n v="34592.9"/>
    <n v="23111.22"/>
  </r>
  <r>
    <x v="1"/>
    <x v="71"/>
    <x v="80"/>
    <x v="2"/>
    <x v="3"/>
    <x v="3"/>
    <x v="196"/>
    <x v="211"/>
    <s v="Neal, Kurtis R."/>
    <n v="50045"/>
    <n v="245"/>
    <n v="49800"/>
    <n v="0"/>
    <n v="0"/>
    <n v="0"/>
    <n v="32382.6"/>
    <n v="0"/>
    <n v="32382.6"/>
    <n v="17662.400000000001"/>
  </r>
  <r>
    <x v="0"/>
    <x v="72"/>
    <x v="81"/>
    <x v="2"/>
    <x v="3"/>
    <x v="3"/>
    <x v="197"/>
    <x v="212"/>
    <s v="Lennon, Jennifer M."/>
    <n v="85173"/>
    <n v="394"/>
    <n v="84779"/>
    <n v="68262.98"/>
    <n v="5843.35"/>
    <n v="0"/>
    <n v="22760.02"/>
    <n v="1645.05"/>
    <n v="98511.4"/>
    <n v="5684.31"/>
  </r>
  <r>
    <x v="1"/>
    <x v="72"/>
    <x v="81"/>
    <x v="2"/>
    <x v="3"/>
    <x v="3"/>
    <x v="197"/>
    <x v="212"/>
    <s v="Lennon, Jennifer M."/>
    <n v="81250.05"/>
    <n v="1645.05"/>
    <n v="79605"/>
    <n v="37471.25"/>
    <n v="2088.4"/>
    <n v="0"/>
    <n v="21723.27"/>
    <n v="60.29"/>
    <n v="61343.21"/>
    <n v="41605.839999999997"/>
  </r>
  <r>
    <x v="0"/>
    <x v="6"/>
    <x v="6"/>
    <x v="2"/>
    <x v="3"/>
    <x v="3"/>
    <x v="198"/>
    <x v="213"/>
    <s v="Lennon, Jennifer M."/>
    <n v="143797.25"/>
    <n v="77.25"/>
    <n v="143720"/>
    <n v="128730"/>
    <n v="0"/>
    <n v="1800"/>
    <n v="16693.509999999998"/>
    <n v="220.16"/>
    <n v="147443.67000000001"/>
    <n v="4678.58"/>
  </r>
  <r>
    <x v="1"/>
    <x v="6"/>
    <x v="6"/>
    <x v="2"/>
    <x v="3"/>
    <x v="3"/>
    <x v="198"/>
    <x v="213"/>
    <s v="Lennon, Jennifer M."/>
    <n v="146200.16"/>
    <n v="220.16"/>
    <n v="145980"/>
    <n v="67655"/>
    <n v="0"/>
    <n v="1050"/>
    <n v="12550.94"/>
    <n v="1764.4"/>
    <n v="83020.34"/>
    <n v="62379.82"/>
  </r>
  <r>
    <x v="0"/>
    <x v="73"/>
    <x v="82"/>
    <x v="2"/>
    <x v="3"/>
    <x v="3"/>
    <x v="199"/>
    <x v="214"/>
    <s v="Mata, Maria M."/>
    <n v="258204"/>
    <s v="0.00"/>
    <n v="258204"/>
    <n v="223137.49"/>
    <n v="0"/>
    <n v="0"/>
    <n v="12067.31"/>
    <n v="842.22"/>
    <n v="236047.02"/>
    <n v="1379.93"/>
  </r>
  <r>
    <x v="1"/>
    <x v="73"/>
    <x v="82"/>
    <x v="2"/>
    <x v="3"/>
    <x v="3"/>
    <x v="199"/>
    <x v="214"/>
    <s v="Mata, Maria M."/>
    <n v="230856.22"/>
    <n v="842.22"/>
    <n v="230014"/>
    <n v="119861.08"/>
    <n v="0"/>
    <n v="0"/>
    <n v="10965.39"/>
    <n v="836.7"/>
    <n v="131663.17000000001"/>
    <n v="99655.05"/>
  </r>
  <r>
    <x v="0"/>
    <x v="5"/>
    <x v="5"/>
    <x v="2"/>
    <x v="3"/>
    <x v="3"/>
    <x v="200"/>
    <x v="215"/>
    <s v="Brodnax, Denise H."/>
    <n v="160000"/>
    <s v="0.00"/>
    <n v="160000"/>
    <n v="0"/>
    <n v="0"/>
    <n v="0"/>
    <n v="167780.24"/>
    <n v="0"/>
    <n v="167780.24"/>
    <n v="3028.76"/>
  </r>
  <r>
    <x v="1"/>
    <x v="5"/>
    <x v="5"/>
    <x v="2"/>
    <x v="3"/>
    <x v="3"/>
    <x v="200"/>
    <x v="215"/>
    <s v="Brodnax, Denise H."/>
    <n v="160000"/>
    <s v="0.00"/>
    <n v="160000"/>
    <n v="0"/>
    <n v="0"/>
    <n v="0"/>
    <n v="134767.67000000001"/>
    <n v="0"/>
    <n v="134767.67000000001"/>
    <n v="25232.33"/>
  </r>
  <r>
    <x v="0"/>
    <x v="74"/>
    <x v="83"/>
    <x v="2"/>
    <x v="3"/>
    <x v="3"/>
    <x v="201"/>
    <x v="216"/>
    <s v="Wilson, Audrey D."/>
    <n v="209992.41"/>
    <n v="4713.41"/>
    <n v="205279"/>
    <n v="111311.17"/>
    <n v="9902.6"/>
    <n v="1650"/>
    <n v="73151.66"/>
    <n v="2465.75"/>
    <n v="198481.18"/>
    <n v="5385.47"/>
  </r>
  <r>
    <x v="1"/>
    <x v="74"/>
    <x v="83"/>
    <x v="2"/>
    <x v="3"/>
    <x v="3"/>
    <x v="201"/>
    <x v="216"/>
    <s v="Wilson, Audrey D."/>
    <n v="194689.75"/>
    <n v="2465.75"/>
    <n v="192224"/>
    <n v="48479.63"/>
    <n v="4415.26"/>
    <n v="0"/>
    <n v="48163.08"/>
    <n v="9140.6299999999992"/>
    <n v="110198.6"/>
    <n v="57791.15"/>
  </r>
  <r>
    <x v="0"/>
    <x v="8"/>
    <x v="8"/>
    <x v="2"/>
    <x v="3"/>
    <x v="3"/>
    <x v="8"/>
    <x v="217"/>
    <m/>
    <n v="35063.86"/>
    <n v="2412.86"/>
    <n v="32651"/>
    <n v="7307.5"/>
    <n v="0"/>
    <n v="1622.95"/>
    <n v="21913.24"/>
    <n v="2043.92"/>
    <n v="32887.61"/>
    <n v="5390.68"/>
  </r>
  <r>
    <x v="1"/>
    <x v="8"/>
    <x v="8"/>
    <x v="2"/>
    <x v="3"/>
    <x v="3"/>
    <x v="8"/>
    <x v="217"/>
    <m/>
    <n v="132087.92000000001"/>
    <n v="2043.92"/>
    <n v="130044"/>
    <n v="10927.36"/>
    <n v="7668.16"/>
    <n v="0"/>
    <n v="26068.69"/>
    <n v="4510.4799999999996"/>
    <n v="49174.69"/>
    <n v="61230.23"/>
  </r>
  <r>
    <x v="0"/>
    <x v="8"/>
    <x v="8"/>
    <x v="2"/>
    <x v="3"/>
    <x v="3"/>
    <x v="202"/>
    <x v="218"/>
    <m/>
    <n v="8000"/>
    <s v="0.00"/>
    <n v="8000"/>
    <n v="0"/>
    <n v="0"/>
    <n v="0"/>
    <n v="5584.42"/>
    <n v="0"/>
    <n v="5584.42"/>
    <n v="0"/>
  </r>
  <r>
    <x v="1"/>
    <x v="8"/>
    <x v="8"/>
    <x v="2"/>
    <x v="3"/>
    <x v="3"/>
    <x v="202"/>
    <x v="218"/>
    <m/>
    <n v="6300"/>
    <s v="0.00"/>
    <n v="6300"/>
    <n v="0"/>
    <n v="0"/>
    <n v="0"/>
    <n v="4532.62"/>
    <n v="0"/>
    <n v="4532.62"/>
    <n v="1767.38"/>
  </r>
  <r>
    <x v="0"/>
    <x v="8"/>
    <x v="8"/>
    <x v="2"/>
    <x v="3"/>
    <x v="3"/>
    <x v="203"/>
    <x v="219"/>
    <m/>
    <n v="138000"/>
    <s v="0.00"/>
    <n v="138000"/>
    <n v="0"/>
    <n v="0"/>
    <n v="0"/>
    <n v="103134.5"/>
    <n v="0"/>
    <n v="103134.5"/>
    <n v="12084.17"/>
  </r>
  <r>
    <x v="1"/>
    <x v="8"/>
    <x v="8"/>
    <x v="2"/>
    <x v="3"/>
    <x v="3"/>
    <x v="203"/>
    <x v="219"/>
    <m/>
    <n v="118505"/>
    <s v="0.00"/>
    <n v="118505"/>
    <n v="0"/>
    <n v="0"/>
    <n v="0"/>
    <n v="106026.93"/>
    <n v="0"/>
    <n v="106026.93"/>
    <n v="939.07"/>
  </r>
  <r>
    <x v="0"/>
    <x v="8"/>
    <x v="8"/>
    <x v="2"/>
    <x v="3"/>
    <x v="3"/>
    <x v="204"/>
    <x v="220"/>
    <m/>
    <n v="33000"/>
    <s v="0.00"/>
    <n v="33000"/>
    <n v="0"/>
    <n v="0"/>
    <n v="0"/>
    <n v="29348.799999999999"/>
    <n v="0"/>
    <n v="29348.799999999999"/>
    <n v="0"/>
  </r>
  <r>
    <x v="1"/>
    <x v="8"/>
    <x v="8"/>
    <x v="2"/>
    <x v="3"/>
    <x v="3"/>
    <x v="204"/>
    <x v="220"/>
    <m/>
    <n v="30000"/>
    <s v="0.00"/>
    <n v="30000"/>
    <n v="0"/>
    <n v="0"/>
    <n v="0"/>
    <n v="28973.31"/>
    <n v="0"/>
    <n v="28973.31"/>
    <n v="1026.69"/>
  </r>
  <r>
    <x v="0"/>
    <x v="75"/>
    <x v="84"/>
    <x v="2"/>
    <x v="3"/>
    <x v="3"/>
    <x v="205"/>
    <x v="221"/>
    <s v="Pecina, Gregorio G."/>
    <n v="11408.1"/>
    <n v="1408.1"/>
    <n v="10000"/>
    <n v="0"/>
    <n v="0"/>
    <n v="0"/>
    <n v="5305.39"/>
    <n v="0"/>
    <n v="5305.39"/>
    <n v="5402.71"/>
  </r>
  <r>
    <x v="1"/>
    <x v="75"/>
    <x v="84"/>
    <x v="2"/>
    <x v="3"/>
    <x v="3"/>
    <x v="205"/>
    <x v="221"/>
    <s v="Pecina, Gregorio G."/>
    <n v="5000"/>
    <s v="0.00"/>
    <n v="5000"/>
    <n v="0"/>
    <n v="0"/>
    <n v="0"/>
    <n v="1345.87"/>
    <n v="0"/>
    <n v="1345.87"/>
    <n v="3654.13"/>
  </r>
  <r>
    <x v="0"/>
    <x v="10"/>
    <x v="10"/>
    <x v="2"/>
    <x v="3"/>
    <x v="3"/>
    <x v="10"/>
    <x v="222"/>
    <s v="Adams, James E."/>
    <n v="356118"/>
    <n v="21"/>
    <n v="356097"/>
    <n v="333780.44"/>
    <n v="0"/>
    <n v="0"/>
    <n v="17594.849999999999"/>
    <n v="3663.74"/>
    <n v="355039.03"/>
    <n v="280.02999999999997"/>
  </r>
  <r>
    <x v="1"/>
    <x v="10"/>
    <x v="10"/>
    <x v="2"/>
    <x v="3"/>
    <x v="3"/>
    <x v="10"/>
    <x v="222"/>
    <s v="Adams, James E."/>
    <n v="456900.74"/>
    <n v="3663.74"/>
    <n v="453237"/>
    <n v="228429.7"/>
    <n v="0"/>
    <n v="0"/>
    <n v="8641.44"/>
    <n v="1169.8499999999999"/>
    <n v="238240.99"/>
    <n v="195020.75"/>
  </r>
  <r>
    <x v="0"/>
    <x v="76"/>
    <x v="85"/>
    <x v="2"/>
    <x v="3"/>
    <x v="3"/>
    <x v="206"/>
    <x v="223"/>
    <s v="Rosipal, David C."/>
    <n v="65540.7"/>
    <n v="990.7"/>
    <n v="64550"/>
    <n v="0"/>
    <n v="17649.18"/>
    <n v="0"/>
    <n v="7355.88"/>
    <n v="37.99"/>
    <n v="25043.05"/>
    <n v="36600.65"/>
  </r>
  <r>
    <x v="1"/>
    <x v="76"/>
    <x v="85"/>
    <x v="2"/>
    <x v="3"/>
    <x v="3"/>
    <x v="206"/>
    <x v="223"/>
    <s v="Rosipal, David C."/>
    <n v="55727.99"/>
    <n v="37.99"/>
    <n v="55690"/>
    <n v="0"/>
    <n v="5022.47"/>
    <n v="0"/>
    <n v="6442.02"/>
    <n v="4082.72"/>
    <n v="15547.21"/>
    <n v="37680.78"/>
  </r>
  <r>
    <x v="0"/>
    <x v="77"/>
    <x v="86"/>
    <x v="2"/>
    <x v="3"/>
    <x v="3"/>
    <x v="207"/>
    <x v="224"/>
    <s v="Pecina, Gregorio G."/>
    <n v="167234.6"/>
    <n v="121.6"/>
    <n v="167113"/>
    <n v="87974.26"/>
    <n v="46765.1"/>
    <n v="0"/>
    <n v="17543.79"/>
    <n v="2953.77"/>
    <n v="155236.92000000001"/>
    <n v="12219.47"/>
  </r>
  <r>
    <x v="1"/>
    <x v="77"/>
    <x v="86"/>
    <x v="2"/>
    <x v="3"/>
    <x v="3"/>
    <x v="207"/>
    <x v="224"/>
    <s v="Pecina, Gregorio G."/>
    <n v="152932.76999999999"/>
    <n v="2953.77"/>
    <n v="149979"/>
    <n v="51951.93"/>
    <n v="36012.300000000003"/>
    <n v="0"/>
    <n v="29647.25"/>
    <n v="5907.11"/>
    <n v="123518.59"/>
    <n v="36283.18"/>
  </r>
  <r>
    <x v="0"/>
    <x v="67"/>
    <x v="75"/>
    <x v="8"/>
    <x v="3"/>
    <x v="3"/>
    <x v="208"/>
    <x v="225"/>
    <s v="Penry, Jason C."/>
    <n v="50000"/>
    <s v="0.00"/>
    <n v="50000"/>
    <n v="0"/>
    <n v="0"/>
    <n v="0"/>
    <n v="50000"/>
    <n v="0"/>
    <n v="50000"/>
    <n v="0"/>
  </r>
  <r>
    <x v="1"/>
    <x v="67"/>
    <x v="75"/>
    <x v="8"/>
    <x v="3"/>
    <x v="3"/>
    <x v="208"/>
    <x v="225"/>
    <s v="Penry, Jason C."/>
    <n v="50000"/>
    <s v="0.00"/>
    <n v="50000"/>
    <n v="12989.28"/>
    <n v="0"/>
    <n v="0"/>
    <n v="12500"/>
    <n v="0"/>
    <n v="25489.279999999999"/>
    <n v="28153.72"/>
  </r>
  <r>
    <x v="0"/>
    <x v="67"/>
    <x v="75"/>
    <x v="8"/>
    <x v="3"/>
    <x v="3"/>
    <x v="180"/>
    <x v="226"/>
    <s v="Penry, Jason C."/>
    <n v="220029.44"/>
    <n v="91.44"/>
    <n v="219938"/>
    <n v="199598.7"/>
    <n v="0"/>
    <n v="1728.75"/>
    <n v="11458.3"/>
    <n v="872.34"/>
    <n v="213658.09"/>
    <n v="6631.18"/>
  </r>
  <r>
    <x v="1"/>
    <x v="67"/>
    <x v="75"/>
    <x v="8"/>
    <x v="3"/>
    <x v="3"/>
    <x v="180"/>
    <x v="226"/>
    <s v="Penry, Jason C."/>
    <n v="385764.34"/>
    <n v="872.34"/>
    <n v="384892"/>
    <n v="0"/>
    <n v="0"/>
    <n v="0"/>
    <n v="919.29"/>
    <n v="140.43"/>
    <n v="1059.72"/>
    <n v="-187.38"/>
  </r>
  <r>
    <x v="0"/>
    <x v="0"/>
    <x v="0"/>
    <x v="0"/>
    <x v="3"/>
    <x v="3"/>
    <x v="209"/>
    <x v="227"/>
    <s v="Rallo, Joseph C."/>
    <n v="12325.55"/>
    <n v="325.55"/>
    <n v="12000"/>
    <n v="75"/>
    <n v="0"/>
    <n v="0"/>
    <n v="16679.29"/>
    <n v="0"/>
    <n v="16754.29"/>
    <n v="831.26"/>
  </r>
  <r>
    <x v="1"/>
    <x v="0"/>
    <x v="0"/>
    <x v="0"/>
    <x v="3"/>
    <x v="3"/>
    <x v="209"/>
    <x v="227"/>
    <s v="Rallo, Joseph C."/>
    <n v="12000"/>
    <s v="0.00"/>
    <n v="12000"/>
    <n v="0"/>
    <n v="0"/>
    <n v="0"/>
    <n v="75.87"/>
    <n v="0"/>
    <n v="75.87"/>
    <n v="11924.13"/>
  </r>
  <r>
    <x v="0"/>
    <x v="78"/>
    <x v="87"/>
    <x v="2"/>
    <x v="3"/>
    <x v="3"/>
    <x v="210"/>
    <x v="228"/>
    <s v="Cullins, Billy G."/>
    <n v="10500"/>
    <s v="0.00"/>
    <n v="10500"/>
    <n v="0"/>
    <n v="0"/>
    <n v="0"/>
    <n v="9465.6200000000008"/>
    <n v="0"/>
    <n v="9465.6200000000008"/>
    <n v="299.38"/>
  </r>
  <r>
    <x v="1"/>
    <x v="78"/>
    <x v="87"/>
    <x v="2"/>
    <x v="3"/>
    <x v="3"/>
    <x v="210"/>
    <x v="228"/>
    <s v="Cullins, Billy G."/>
    <n v="5250"/>
    <s v="0.00"/>
    <n v="5250"/>
    <n v="0"/>
    <n v="0"/>
    <n v="0"/>
    <n v="5212.5200000000004"/>
    <n v="0"/>
    <n v="5212.5200000000004"/>
    <n v="2537.48"/>
  </r>
  <r>
    <x v="0"/>
    <x v="78"/>
    <x v="87"/>
    <x v="2"/>
    <x v="3"/>
    <x v="3"/>
    <x v="211"/>
    <x v="229"/>
    <s v="Cullins, Billy G."/>
    <n v="107418"/>
    <s v="0.00"/>
    <n v="107418"/>
    <n v="95557.96"/>
    <n v="0"/>
    <n v="900"/>
    <n v="3101.62"/>
    <n v="0"/>
    <n v="99559.58"/>
    <n v="8378.42"/>
  </r>
  <r>
    <x v="1"/>
    <x v="78"/>
    <x v="87"/>
    <x v="2"/>
    <x v="3"/>
    <x v="3"/>
    <x v="211"/>
    <x v="229"/>
    <s v="Cullins, Billy G."/>
    <n v="104498"/>
    <s v="0.00"/>
    <n v="104498"/>
    <n v="54046.06"/>
    <n v="0"/>
    <n v="525"/>
    <n v="1718.58"/>
    <n v="4.83"/>
    <n v="56294.47"/>
    <n v="41953.53"/>
  </r>
  <r>
    <x v="0"/>
    <x v="79"/>
    <x v="88"/>
    <x v="2"/>
    <x v="3"/>
    <x v="3"/>
    <x v="212"/>
    <x v="230"/>
    <s v="Manning, Jessica A."/>
    <n v="120613.49"/>
    <n v="6114.49"/>
    <n v="114499"/>
    <n v="66912.67"/>
    <n v="27782.85"/>
    <n v="401.8"/>
    <n v="12044.04"/>
    <n v="992.55"/>
    <n v="108133.91"/>
    <n v="3610.8"/>
  </r>
  <r>
    <x v="1"/>
    <x v="79"/>
    <x v="88"/>
    <x v="2"/>
    <x v="3"/>
    <x v="3"/>
    <x v="212"/>
    <x v="230"/>
    <s v="Manning, Jessica A."/>
    <n v="83156.55"/>
    <n v="992.55"/>
    <n v="82164"/>
    <n v="39660.620000000003"/>
    <n v="5613.91"/>
    <n v="245"/>
    <n v="10098.93"/>
    <n v="243.7"/>
    <n v="55862.16"/>
    <n v="37394.39"/>
  </r>
  <r>
    <x v="0"/>
    <x v="80"/>
    <x v="89"/>
    <x v="1"/>
    <x v="3"/>
    <x v="3"/>
    <x v="213"/>
    <x v="231"/>
    <s v="Carter, Doyle D."/>
    <n v="100613.45"/>
    <n v="613.45000000000005"/>
    <n v="100000"/>
    <n v="49926.48"/>
    <n v="2625.76"/>
    <n v="3750"/>
    <n v="12424.99"/>
    <n v="200"/>
    <n v="68927.23"/>
    <n v="24686.22"/>
  </r>
  <r>
    <x v="1"/>
    <x v="80"/>
    <x v="89"/>
    <x v="1"/>
    <x v="3"/>
    <x v="3"/>
    <x v="213"/>
    <x v="231"/>
    <s v="Carter, Doyle D."/>
    <n v="81174"/>
    <n v="200"/>
    <n v="80974"/>
    <n v="39877.11"/>
    <n v="5980.51"/>
    <n v="525"/>
    <n v="13417.84"/>
    <n v="2120"/>
    <n v="61920.46"/>
    <n v="43850.84"/>
  </r>
  <r>
    <x v="0"/>
    <x v="60"/>
    <x v="66"/>
    <x v="3"/>
    <x v="3"/>
    <x v="3"/>
    <x v="114"/>
    <x v="232"/>
    <s v="Skaruppa, Cindy L."/>
    <n v="125000"/>
    <s v="0.00"/>
    <n v="125000"/>
    <n v="110000"/>
    <n v="0"/>
    <n v="0"/>
    <n v="53680.94"/>
    <n v="0"/>
    <n v="163680.94"/>
    <n v="0"/>
  </r>
  <r>
    <x v="1"/>
    <x v="60"/>
    <x v="66"/>
    <x v="3"/>
    <x v="3"/>
    <x v="3"/>
    <x v="114"/>
    <x v="232"/>
    <s v="Skaruppa, Cindy L."/>
    <n v="124150"/>
    <s v="0.00"/>
    <n v="124150"/>
    <n v="75549.52"/>
    <n v="0"/>
    <n v="150"/>
    <n v="7765.49"/>
    <n v="7500"/>
    <n v="90965.01"/>
    <n v="40800.99"/>
  </r>
  <r>
    <x v="0"/>
    <x v="5"/>
    <x v="5"/>
    <x v="2"/>
    <x v="3"/>
    <x v="3"/>
    <x v="214"/>
    <x v="233"/>
    <s v="Brodnax, Denise H."/>
    <n v="0"/>
    <s v="0.00"/>
    <n v="0"/>
    <n v="0"/>
    <n v="0"/>
    <n v="0"/>
    <n v="29440"/>
    <n v="0"/>
    <n v="29440"/>
    <n v="0"/>
  </r>
  <r>
    <x v="0"/>
    <x v="15"/>
    <x v="15"/>
    <x v="3"/>
    <x v="3"/>
    <x v="3"/>
    <x v="116"/>
    <x v="234"/>
    <s v="Bennett, Michelle A."/>
    <n v="155179.91"/>
    <n v="4.91"/>
    <n v="155175"/>
    <n v="141684.28"/>
    <n v="362.5"/>
    <n v="0"/>
    <n v="38198.61"/>
    <n v="293.94"/>
    <n v="180539.33"/>
    <n v="7224.57"/>
  </r>
  <r>
    <x v="1"/>
    <x v="15"/>
    <x v="15"/>
    <x v="3"/>
    <x v="3"/>
    <x v="3"/>
    <x v="116"/>
    <x v="234"/>
    <s v="Bennett, Michelle A."/>
    <n v="210395.94"/>
    <n v="293.94"/>
    <n v="210102"/>
    <n v="103039.79"/>
    <n v="0"/>
    <n v="1050"/>
    <n v="15347.46"/>
    <n v="5523.19"/>
    <n v="124960.44"/>
    <n v="90572.5"/>
  </r>
  <r>
    <x v="0"/>
    <x v="12"/>
    <x v="12"/>
    <x v="3"/>
    <x v="3"/>
    <x v="3"/>
    <x v="12"/>
    <x v="235"/>
    <s v="Weeaks, Cynthia D."/>
    <n v="97382.25"/>
    <n v="1530.25"/>
    <n v="95852"/>
    <n v="73017.100000000006"/>
    <n v="6592.06"/>
    <n v="0"/>
    <n v="28624.560000000001"/>
    <n v="57.5"/>
    <n v="108291.22"/>
    <n v="29142.54"/>
  </r>
  <r>
    <x v="1"/>
    <x v="12"/>
    <x v="12"/>
    <x v="3"/>
    <x v="3"/>
    <x v="3"/>
    <x v="12"/>
    <x v="235"/>
    <s v="Weeaks, Cynthia D."/>
    <n v="57.5"/>
    <n v="57.5"/>
    <n v="0"/>
    <n v="504"/>
    <n v="0"/>
    <n v="0"/>
    <n v="57.5"/>
    <n v="0"/>
    <n v="561.5"/>
    <n v="-504"/>
  </r>
  <r>
    <x v="0"/>
    <x v="11"/>
    <x v="11"/>
    <x v="3"/>
    <x v="3"/>
    <x v="3"/>
    <x v="215"/>
    <x v="236"/>
    <s v="Loehring, Michael E."/>
    <n v="280620.5"/>
    <n v="39.5"/>
    <n v="280581"/>
    <n v="128902.09"/>
    <n v="0"/>
    <n v="0"/>
    <n v="97993.72"/>
    <n v="13943.27"/>
    <n v="240839.08"/>
    <n v="-2108.44"/>
  </r>
  <r>
    <x v="1"/>
    <x v="11"/>
    <x v="11"/>
    <x v="3"/>
    <x v="3"/>
    <x v="3"/>
    <x v="215"/>
    <x v="236"/>
    <s v="Loehring, Michael E."/>
    <n v="13943.27"/>
    <n v="13943.27"/>
    <n v="0"/>
    <n v="1525.34"/>
    <n v="18"/>
    <n v="0"/>
    <n v="13937.37"/>
    <n v="5.9"/>
    <n v="15486.61"/>
    <n v="956.66"/>
  </r>
  <r>
    <x v="0"/>
    <x v="11"/>
    <x v="11"/>
    <x v="3"/>
    <x v="3"/>
    <x v="3"/>
    <x v="216"/>
    <x v="237"/>
    <s v="Loehring, Michael E."/>
    <n v="85090"/>
    <s v="0.00"/>
    <n v="85090"/>
    <n v="0"/>
    <n v="0"/>
    <n v="0"/>
    <n v="80708.710000000006"/>
    <n v="0"/>
    <n v="80708.710000000006"/>
    <n v="-0.71"/>
  </r>
  <r>
    <x v="1"/>
    <x v="11"/>
    <x v="11"/>
    <x v="3"/>
    <x v="3"/>
    <x v="3"/>
    <x v="216"/>
    <x v="237"/>
    <s v="Loehring, Michael E."/>
    <n v="94876"/>
    <s v="0.00"/>
    <n v="94876"/>
    <n v="0"/>
    <n v="0"/>
    <n v="0"/>
    <n v="51758.48"/>
    <n v="0"/>
    <n v="51758.48"/>
    <n v="43117.52"/>
  </r>
  <r>
    <x v="0"/>
    <x v="16"/>
    <x v="16"/>
    <x v="3"/>
    <x v="3"/>
    <x v="3"/>
    <x v="16"/>
    <x v="238"/>
    <s v="Ruthenbeck, Julie J."/>
    <n v="87273.45"/>
    <n v="1289.45"/>
    <n v="85984"/>
    <n v="62289.06"/>
    <n v="11202.83"/>
    <n v="0"/>
    <n v="13294.62"/>
    <n v="523.24"/>
    <n v="87309.75"/>
    <n v="2521.1"/>
  </r>
  <r>
    <x v="1"/>
    <x v="16"/>
    <x v="16"/>
    <x v="3"/>
    <x v="3"/>
    <x v="3"/>
    <x v="16"/>
    <x v="238"/>
    <s v="Ruthenbeck, Julie J."/>
    <n v="83979.24"/>
    <n v="523.24"/>
    <n v="83456"/>
    <n v="31893.8"/>
    <n v="5567.88"/>
    <n v="0"/>
    <n v="5935.79"/>
    <n v="2052.5100000000002"/>
    <n v="45449.98"/>
    <n v="36297.26"/>
  </r>
  <r>
    <x v="0"/>
    <x v="64"/>
    <x v="70"/>
    <x v="3"/>
    <x v="3"/>
    <x v="3"/>
    <x v="217"/>
    <x v="239"/>
    <s v="Mears, Philip N."/>
    <n v="203365"/>
    <s v="0.00"/>
    <n v="203365"/>
    <n v="132899.95000000001"/>
    <n v="0"/>
    <n v="1200"/>
    <n v="7275.66"/>
    <n v="0"/>
    <n v="141375.60999999999"/>
    <n v="-28.38"/>
  </r>
  <r>
    <x v="0"/>
    <x v="64"/>
    <x v="70"/>
    <x v="3"/>
    <x v="3"/>
    <x v="3"/>
    <x v="218"/>
    <x v="240"/>
    <s v="Mears, Philip N."/>
    <n v="142758"/>
    <s v="0.00"/>
    <n v="142758"/>
    <n v="134708.47"/>
    <n v="7938"/>
    <n v="0"/>
    <n v="3891.07"/>
    <n v="1605.23"/>
    <n v="148142.76999999999"/>
    <n v="-1668.31"/>
  </r>
  <r>
    <x v="1"/>
    <x v="64"/>
    <x v="70"/>
    <x v="3"/>
    <x v="3"/>
    <x v="3"/>
    <x v="218"/>
    <x v="240"/>
    <s v="Mears, Philip N."/>
    <n v="144728.23000000001"/>
    <n v="1605.23"/>
    <n v="143123"/>
    <n v="64297.13"/>
    <n v="0"/>
    <n v="525"/>
    <n v="2437.9"/>
    <n v="492.7"/>
    <n v="67752.73"/>
    <n v="64516.5"/>
  </r>
  <r>
    <x v="0"/>
    <x v="14"/>
    <x v="14"/>
    <x v="1"/>
    <x v="3"/>
    <x v="3"/>
    <x v="14"/>
    <x v="241"/>
    <s v="Allen, Nancy G."/>
    <n v="42772"/>
    <s v="0.00"/>
    <n v="42772"/>
    <n v="11350.48"/>
    <n v="4229.45"/>
    <n v="0"/>
    <n v="16598.919999999998"/>
    <n v="1306.99"/>
    <n v="33485.839999999997"/>
    <n v="7743.16"/>
  </r>
  <r>
    <x v="1"/>
    <x v="14"/>
    <x v="14"/>
    <x v="1"/>
    <x v="3"/>
    <x v="3"/>
    <x v="14"/>
    <x v="241"/>
    <s v="Allen, Nancy G."/>
    <n v="39298.99"/>
    <n v="1306.99"/>
    <n v="37992"/>
    <n v="6167.27"/>
    <n v="3348"/>
    <n v="0"/>
    <n v="14382.32"/>
    <n v="2285.67"/>
    <n v="26183.26"/>
    <n v="9940.73"/>
  </r>
  <r>
    <x v="0"/>
    <x v="81"/>
    <x v="90"/>
    <x v="3"/>
    <x v="3"/>
    <x v="3"/>
    <x v="219"/>
    <x v="242"/>
    <s v="Mears, Philip N."/>
    <n v="53967.9"/>
    <n v="107.9"/>
    <n v="53860"/>
    <n v="33990"/>
    <n v="6158.88"/>
    <n v="0"/>
    <n v="8446.89"/>
    <n v="3143.79"/>
    <n v="51739.56"/>
    <n v="1860.64"/>
  </r>
  <r>
    <x v="1"/>
    <x v="81"/>
    <x v="90"/>
    <x v="3"/>
    <x v="3"/>
    <x v="3"/>
    <x v="219"/>
    <x v="242"/>
    <s v="Mears, Philip N."/>
    <n v="54597.79"/>
    <n v="3143.79"/>
    <n v="51454"/>
    <n v="19390"/>
    <n v="3385.78"/>
    <n v="0"/>
    <n v="8122.72"/>
    <n v="25"/>
    <n v="30923.5"/>
    <n v="23674.29"/>
  </r>
  <r>
    <x v="0"/>
    <x v="11"/>
    <x v="11"/>
    <x v="3"/>
    <x v="3"/>
    <x v="3"/>
    <x v="220"/>
    <x v="243"/>
    <s v="Loehring, Michael E."/>
    <n v="136055.16"/>
    <n v="11431.16"/>
    <n v="124624"/>
    <n v="31350.51"/>
    <n v="6871.22"/>
    <n v="6142.7"/>
    <n v="48394.23"/>
    <n v="642.23"/>
    <n v="93400.89"/>
    <n v="3810.76"/>
  </r>
  <r>
    <x v="1"/>
    <x v="11"/>
    <x v="11"/>
    <x v="3"/>
    <x v="3"/>
    <x v="3"/>
    <x v="220"/>
    <x v="243"/>
    <s v="Loehring, Michael E."/>
    <n v="110844.23"/>
    <n v="642.23"/>
    <n v="110202"/>
    <n v="18842.810000000001"/>
    <n v="0"/>
    <n v="4630"/>
    <n v="39768.129999999997"/>
    <n v="10703.2"/>
    <n v="73944.14"/>
    <n v="37941.089999999997"/>
  </r>
  <r>
    <x v="0"/>
    <x v="11"/>
    <x v="11"/>
    <x v="3"/>
    <x v="3"/>
    <x v="3"/>
    <x v="221"/>
    <x v="244"/>
    <s v="Loehring, Michael E."/>
    <n v="100000"/>
    <s v="0.00"/>
    <n v="100000"/>
    <n v="0"/>
    <n v="0"/>
    <n v="0"/>
    <n v="124614.76"/>
    <n v="18778.78"/>
    <n v="143393.54"/>
    <n v="-18778.78"/>
  </r>
  <r>
    <x v="1"/>
    <x v="11"/>
    <x v="11"/>
    <x v="3"/>
    <x v="3"/>
    <x v="3"/>
    <x v="221"/>
    <x v="244"/>
    <s v="Loehring, Michael E."/>
    <n v="101778.78"/>
    <n v="18778.78"/>
    <n v="83000"/>
    <n v="0"/>
    <n v="0"/>
    <n v="0"/>
    <n v="41425"/>
    <n v="60353.78"/>
    <n v="101778.78"/>
    <n v="0"/>
  </r>
  <r>
    <x v="0"/>
    <x v="13"/>
    <x v="13"/>
    <x v="1"/>
    <x v="3"/>
    <x v="3"/>
    <x v="13"/>
    <x v="245"/>
    <s v="May, Brian J."/>
    <n v="13345"/>
    <s v="0.00"/>
    <n v="13345"/>
    <n v="710.25"/>
    <n v="0"/>
    <n v="0"/>
    <n v="12407.92"/>
    <n v="0"/>
    <n v="13118.17"/>
    <n v="2.93"/>
  </r>
  <r>
    <x v="1"/>
    <x v="13"/>
    <x v="13"/>
    <x v="1"/>
    <x v="3"/>
    <x v="3"/>
    <x v="13"/>
    <x v="245"/>
    <s v="May, Brian J."/>
    <n v="11076"/>
    <s v="0.00"/>
    <n v="11076"/>
    <n v="0"/>
    <n v="0"/>
    <n v="0"/>
    <n v="1311.68"/>
    <n v="208.7"/>
    <n v="1520.38"/>
    <n v="9555.6200000000008"/>
  </r>
  <r>
    <x v="0"/>
    <x v="11"/>
    <x v="11"/>
    <x v="3"/>
    <x v="3"/>
    <x v="3"/>
    <x v="222"/>
    <x v="246"/>
    <s v="Loehring, Michael E."/>
    <n v="29219"/>
    <s v="0.00"/>
    <n v="29219"/>
    <n v="0"/>
    <n v="0"/>
    <n v="0"/>
    <n v="3508.35"/>
    <n v="0"/>
    <n v="3508.35"/>
    <n v="18269.080000000002"/>
  </r>
  <r>
    <x v="0"/>
    <x v="64"/>
    <x v="70"/>
    <x v="3"/>
    <x v="3"/>
    <x v="3"/>
    <x v="223"/>
    <x v="247"/>
    <s v="Mears, Philip N."/>
    <n v="55398"/>
    <n v="4589"/>
    <n v="50809"/>
    <n v="0"/>
    <n v="11114.46"/>
    <n v="0"/>
    <n v="31820.880000000001"/>
    <n v="0"/>
    <n v="42935.34"/>
    <n v="22797.33"/>
  </r>
  <r>
    <x v="1"/>
    <x v="64"/>
    <x v="70"/>
    <x v="3"/>
    <x v="3"/>
    <x v="3"/>
    <x v="223"/>
    <x v="247"/>
    <s v="Mears, Philip N."/>
    <n v="45202"/>
    <s v="0.00"/>
    <n v="45202"/>
    <n v="0"/>
    <n v="175.81"/>
    <n v="0"/>
    <n v="624.91999999999996"/>
    <n v="20834"/>
    <n v="21634.73"/>
    <n v="23567.27"/>
  </r>
  <r>
    <x v="0"/>
    <x v="64"/>
    <x v="70"/>
    <x v="3"/>
    <x v="3"/>
    <x v="3"/>
    <x v="224"/>
    <x v="248"/>
    <s v="Mears, Philip N."/>
    <n v="12972"/>
    <n v="5215"/>
    <n v="7757"/>
    <n v="0"/>
    <n v="0"/>
    <n v="0"/>
    <n v="5404"/>
    <n v="0"/>
    <n v="5404"/>
    <n v="25.01"/>
  </r>
  <r>
    <x v="0"/>
    <x v="11"/>
    <x v="11"/>
    <x v="3"/>
    <x v="3"/>
    <x v="3"/>
    <x v="225"/>
    <x v="249"/>
    <s v="Loehring, Michael E."/>
    <n v="32610.94"/>
    <n v="5902.94"/>
    <n v="26708"/>
    <n v="0"/>
    <n v="0"/>
    <n v="0"/>
    <n v="27610.68"/>
    <n v="1940"/>
    <n v="29550.68"/>
    <n v="1190.7"/>
  </r>
  <r>
    <x v="1"/>
    <x v="11"/>
    <x v="11"/>
    <x v="3"/>
    <x v="3"/>
    <x v="3"/>
    <x v="225"/>
    <x v="249"/>
    <s v="Loehring, Michael E."/>
    <n v="24108"/>
    <n v="1940"/>
    <n v="22168"/>
    <n v="0"/>
    <n v="0"/>
    <n v="0"/>
    <n v="13187.73"/>
    <n v="7056.37"/>
    <n v="20244.099999999999"/>
    <n v="3863.9"/>
  </r>
  <r>
    <x v="0"/>
    <x v="74"/>
    <x v="83"/>
    <x v="2"/>
    <x v="3"/>
    <x v="3"/>
    <x v="226"/>
    <x v="250"/>
    <s v="Wilson, Audrey D."/>
    <n v="134643.89000000001"/>
    <n v="49643.89"/>
    <n v="85000"/>
    <n v="0"/>
    <n v="0"/>
    <n v="0"/>
    <n v="10218.31"/>
    <n v="26651.68"/>
    <n v="36869.99"/>
    <n v="91823.9"/>
  </r>
  <r>
    <x v="1"/>
    <x v="74"/>
    <x v="83"/>
    <x v="2"/>
    <x v="3"/>
    <x v="3"/>
    <x v="226"/>
    <x v="250"/>
    <s v="Wilson, Audrey D."/>
    <n v="61651.68"/>
    <n v="26651.68"/>
    <n v="35000"/>
    <n v="0"/>
    <n v="0"/>
    <n v="0"/>
    <n v="15519.32"/>
    <n v="39432.36"/>
    <n v="54951.68"/>
    <n v="6700"/>
  </r>
  <r>
    <x v="0"/>
    <x v="81"/>
    <x v="90"/>
    <x v="3"/>
    <x v="3"/>
    <x v="3"/>
    <x v="227"/>
    <x v="251"/>
    <s v="Mears, Philip N."/>
    <n v="3890"/>
    <s v="0.00"/>
    <n v="3890"/>
    <n v="0"/>
    <n v="0"/>
    <n v="0"/>
    <n v="3589.23"/>
    <n v="713.3"/>
    <n v="4302.53"/>
    <n v="-684.83"/>
  </r>
  <r>
    <x v="1"/>
    <x v="81"/>
    <x v="90"/>
    <x v="3"/>
    <x v="3"/>
    <x v="3"/>
    <x v="227"/>
    <x v="251"/>
    <s v="Mears, Philip N."/>
    <n v="3941.3"/>
    <n v="713.3"/>
    <n v="3228"/>
    <n v="0"/>
    <n v="0"/>
    <n v="0"/>
    <n v="2844.37"/>
    <n v="0"/>
    <n v="2844.37"/>
    <n v="1096.93"/>
  </r>
  <r>
    <x v="0"/>
    <x v="57"/>
    <x v="63"/>
    <x v="1"/>
    <x v="3"/>
    <x v="3"/>
    <x v="119"/>
    <x v="252"/>
    <s v="Allen, Nancy G."/>
    <n v="5131"/>
    <s v="0.00"/>
    <n v="5131"/>
    <n v="0"/>
    <n v="0"/>
    <n v="0"/>
    <n v="567.73"/>
    <n v="0"/>
    <n v="567.73"/>
    <n v="4204.1000000000004"/>
  </r>
  <r>
    <x v="1"/>
    <x v="57"/>
    <x v="63"/>
    <x v="1"/>
    <x v="3"/>
    <x v="3"/>
    <x v="119"/>
    <x v="252"/>
    <s v="Allen, Nancy G."/>
    <n v="10014"/>
    <s v="0.00"/>
    <n v="10014"/>
    <n v="0"/>
    <n v="0"/>
    <n v="0"/>
    <n v="71.540000000000006"/>
    <n v="5"/>
    <n v="76.540000000000006"/>
    <n v="9937.4599999999991"/>
  </r>
  <r>
    <x v="0"/>
    <x v="62"/>
    <x v="68"/>
    <x v="0"/>
    <x v="3"/>
    <x v="3"/>
    <x v="228"/>
    <x v="253"/>
    <s v="Madero, Flor L."/>
    <n v="98784"/>
    <s v="0.00"/>
    <n v="98784"/>
    <n v="95794.33"/>
    <n v="0"/>
    <n v="0"/>
    <n v="4750.88"/>
    <n v="0"/>
    <n v="100545.21"/>
    <n v="21.55"/>
  </r>
  <r>
    <x v="1"/>
    <x v="62"/>
    <x v="68"/>
    <x v="0"/>
    <x v="3"/>
    <x v="3"/>
    <x v="228"/>
    <x v="253"/>
    <s v="Madero, Flor L."/>
    <n v="98266"/>
    <s v="0.00"/>
    <n v="98266"/>
    <n v="53636.13"/>
    <n v="0"/>
    <n v="975"/>
    <n v="1062.5899999999999"/>
    <n v="971.88"/>
    <n v="56645.599999999999"/>
    <n v="41620.400000000001"/>
  </r>
  <r>
    <x v="0"/>
    <x v="62"/>
    <x v="68"/>
    <x v="0"/>
    <x v="3"/>
    <x v="3"/>
    <x v="229"/>
    <x v="254"/>
    <s v="Munoz, Joe"/>
    <n v="68290"/>
    <n v="408"/>
    <n v="67882"/>
    <n v="30139.85"/>
    <n v="15380.99"/>
    <n v="0"/>
    <n v="39170.959999999999"/>
    <n v="356.72"/>
    <n v="85048.52"/>
    <n v="165.34"/>
  </r>
  <r>
    <x v="1"/>
    <x v="62"/>
    <x v="68"/>
    <x v="0"/>
    <x v="3"/>
    <x v="3"/>
    <x v="229"/>
    <x v="254"/>
    <s v="Munoz, Joe"/>
    <n v="65566.720000000001"/>
    <n v="356.72"/>
    <n v="65210"/>
    <n v="19038.689999999999"/>
    <n v="10510.77"/>
    <n v="0"/>
    <n v="54291.05"/>
    <n v="203.6"/>
    <n v="84044.11"/>
    <n v="28947.65"/>
  </r>
  <r>
    <x v="0"/>
    <x v="82"/>
    <x v="91"/>
    <x v="1"/>
    <x v="3"/>
    <x v="3"/>
    <x v="230"/>
    <x v="255"/>
    <s v="Tomlin, Sharynn"/>
    <n v="211310"/>
    <n v="768"/>
    <n v="210542"/>
    <n v="121351.47"/>
    <n v="18388.25"/>
    <n v="900"/>
    <n v="60512.27"/>
    <n v="472.49"/>
    <n v="201624.48"/>
    <n v="11448.52"/>
  </r>
  <r>
    <x v="1"/>
    <x v="82"/>
    <x v="91"/>
    <x v="1"/>
    <x v="3"/>
    <x v="3"/>
    <x v="230"/>
    <x v="255"/>
    <s v="Tomlin, Sharynn"/>
    <n v="175574.49"/>
    <n v="472.49"/>
    <n v="175102"/>
    <n v="65011.17"/>
    <n v="12145.75"/>
    <n v="825"/>
    <n v="19301.150000000001"/>
    <n v="18164.3"/>
    <n v="115447.37"/>
    <n v="60127.12"/>
  </r>
  <r>
    <x v="0"/>
    <x v="64"/>
    <x v="70"/>
    <x v="3"/>
    <x v="3"/>
    <x v="3"/>
    <x v="231"/>
    <x v="256"/>
    <s v="Mears, Philip N."/>
    <n v="2500"/>
    <s v="0.00"/>
    <n v="2500"/>
    <n v="0"/>
    <n v="0"/>
    <n v="0"/>
    <n v="573.95000000000005"/>
    <n v="0"/>
    <n v="573.95000000000005"/>
    <n v="100"/>
  </r>
  <r>
    <x v="0"/>
    <x v="8"/>
    <x v="8"/>
    <x v="2"/>
    <x v="3"/>
    <x v="3"/>
    <x v="232"/>
    <x v="257"/>
    <m/>
    <n v="39826"/>
    <s v="0.00"/>
    <n v="39826"/>
    <n v="0"/>
    <n v="0"/>
    <n v="0"/>
    <n v="41911.33"/>
    <n v="0"/>
    <n v="41911.33"/>
    <n v="0"/>
  </r>
  <r>
    <x v="1"/>
    <x v="8"/>
    <x v="8"/>
    <x v="2"/>
    <x v="3"/>
    <x v="3"/>
    <x v="232"/>
    <x v="257"/>
    <m/>
    <n v="36000"/>
    <s v="0.00"/>
    <n v="36000"/>
    <n v="0"/>
    <n v="0"/>
    <n v="0"/>
    <n v="33579.94"/>
    <n v="0"/>
    <n v="33579.94"/>
    <n v="11194.06"/>
  </r>
  <r>
    <x v="0"/>
    <x v="71"/>
    <x v="80"/>
    <x v="2"/>
    <x v="3"/>
    <x v="3"/>
    <x v="233"/>
    <x v="258"/>
    <s v="Neal, Kurtis R."/>
    <n v="78000"/>
    <s v="0.00"/>
    <n v="78000"/>
    <n v="0"/>
    <n v="0"/>
    <n v="85245.9"/>
    <n v="0"/>
    <n v="0"/>
    <n v="85245.9"/>
    <n v="3754.1"/>
  </r>
  <r>
    <x v="1"/>
    <x v="71"/>
    <x v="80"/>
    <x v="2"/>
    <x v="3"/>
    <x v="3"/>
    <x v="233"/>
    <x v="258"/>
    <s v="Neal, Kurtis R."/>
    <n v="75095"/>
    <s v="0.00"/>
    <n v="75095"/>
    <n v="0"/>
    <n v="0"/>
    <n v="34945.56"/>
    <n v="0"/>
    <n v="0"/>
    <n v="34945.56"/>
    <n v="40149.440000000002"/>
  </r>
  <r>
    <x v="1"/>
    <x v="18"/>
    <x v="18"/>
    <x v="1"/>
    <x v="3"/>
    <x v="3"/>
    <x v="29"/>
    <x v="259"/>
    <s v="Engdahl, Gilbert R."/>
    <n v="62896"/>
    <s v="0.00"/>
    <n v="62896"/>
    <n v="0"/>
    <n v="22240.16"/>
    <n v="0"/>
    <n v="11723.68"/>
    <n v="2324.23"/>
    <n v="36288.07"/>
    <n v="26607.93"/>
  </r>
  <r>
    <x v="0"/>
    <x v="19"/>
    <x v="19"/>
    <x v="1"/>
    <x v="3"/>
    <x v="3"/>
    <x v="31"/>
    <x v="260"/>
    <s v="Scott, David"/>
    <n v="76864.75"/>
    <n v="1847.75"/>
    <n v="75017"/>
    <n v="3000"/>
    <n v="9796.1299999999992"/>
    <n v="0"/>
    <n v="56278.02"/>
    <n v="1424.2"/>
    <n v="70498.350000000006"/>
    <n v="7928.31"/>
  </r>
  <r>
    <x v="1"/>
    <x v="19"/>
    <x v="19"/>
    <x v="1"/>
    <x v="3"/>
    <x v="3"/>
    <x v="31"/>
    <x v="260"/>
    <s v="Scott, David"/>
    <n v="65320.2"/>
    <n v="1424.2"/>
    <n v="63896"/>
    <n v="0"/>
    <n v="4314.45"/>
    <n v="0"/>
    <n v="28880.85"/>
    <n v="4916.74"/>
    <n v="38112.04"/>
    <n v="27908.16"/>
  </r>
  <r>
    <x v="1"/>
    <x v="20"/>
    <x v="20"/>
    <x v="1"/>
    <x v="3"/>
    <x v="3"/>
    <x v="32"/>
    <x v="261"/>
    <s v="Wilke, R. R."/>
    <n v="123764"/>
    <s v="0.00"/>
    <n v="123764"/>
    <n v="0"/>
    <n v="33489.79"/>
    <n v="0"/>
    <n v="32293.74"/>
    <n v="4160.22"/>
    <n v="69943.75"/>
    <n v="58040.25"/>
  </r>
  <r>
    <x v="1"/>
    <x v="21"/>
    <x v="21"/>
    <x v="1"/>
    <x v="3"/>
    <x v="3"/>
    <x v="34"/>
    <x v="262"/>
    <s v="Osterhout, John J."/>
    <n v="44195"/>
    <s v="0.00"/>
    <n v="44195"/>
    <n v="0"/>
    <n v="7260.14"/>
    <n v="0"/>
    <n v="7911.98"/>
    <n v="4251.24"/>
    <n v="19423.36"/>
    <n v="24771.64"/>
  </r>
  <r>
    <x v="0"/>
    <x v="22"/>
    <x v="22"/>
    <x v="1"/>
    <x v="3"/>
    <x v="3"/>
    <x v="35"/>
    <x v="263"/>
    <s v="Wahl, Shawn T."/>
    <n v="134324.62"/>
    <n v="7927.62"/>
    <n v="126397"/>
    <n v="6718.5"/>
    <n v="70624.490000000005"/>
    <n v="0"/>
    <n v="52884.49"/>
    <n v="0"/>
    <n v="130227.48"/>
    <n v="7200.65"/>
  </r>
  <r>
    <x v="1"/>
    <x v="22"/>
    <x v="22"/>
    <x v="1"/>
    <x v="3"/>
    <x v="3"/>
    <x v="35"/>
    <x v="263"/>
    <s v="Wahl, Shawn T."/>
    <n v="114732"/>
    <s v="0.00"/>
    <n v="114732"/>
    <n v="1522.5"/>
    <n v="37440.949999999997"/>
    <n v="0"/>
    <n v="31341.54"/>
    <n v="14892.35"/>
    <n v="85197.34"/>
    <n v="32534.66"/>
  </r>
  <r>
    <x v="0"/>
    <x v="23"/>
    <x v="23"/>
    <x v="1"/>
    <x v="3"/>
    <x v="3"/>
    <x v="37"/>
    <x v="264"/>
    <s v="Musgrove, Laurence E."/>
    <n v="72022.960000000006"/>
    <n v="2090.96"/>
    <n v="69932"/>
    <n v="1500"/>
    <n v="30726.6"/>
    <n v="0"/>
    <n v="41912.83"/>
    <n v="90.96"/>
    <n v="74230.39"/>
    <n v="2618.58"/>
  </r>
  <r>
    <x v="1"/>
    <x v="23"/>
    <x v="23"/>
    <x v="1"/>
    <x v="3"/>
    <x v="3"/>
    <x v="37"/>
    <x v="264"/>
    <s v="Musgrove, Laurence E."/>
    <n v="115315.96"/>
    <n v="90.96"/>
    <n v="115225"/>
    <n v="17822.2"/>
    <n v="23800.21"/>
    <n v="0"/>
    <n v="25800.12"/>
    <n v="6793.2"/>
    <n v="74215.73"/>
    <n v="44494.57"/>
  </r>
  <r>
    <x v="0"/>
    <x v="24"/>
    <x v="24"/>
    <x v="1"/>
    <x v="3"/>
    <x v="3"/>
    <x v="39"/>
    <x v="265"/>
    <s v="Jones, Laurence F."/>
    <n v="19053.28"/>
    <n v="1482.28"/>
    <n v="17571"/>
    <n v="3755"/>
    <n v="0"/>
    <n v="0"/>
    <n v="12529.93"/>
    <n v="3356.23"/>
    <n v="19641.16"/>
    <n v="2993.38"/>
  </r>
  <r>
    <x v="1"/>
    <x v="24"/>
    <x v="24"/>
    <x v="1"/>
    <x v="3"/>
    <x v="3"/>
    <x v="39"/>
    <x v="265"/>
    <s v="Jones, Laurence F."/>
    <n v="3356.23"/>
    <n v="3356.23"/>
    <n v="0"/>
    <n v="16534.2"/>
    <n v="1040.92"/>
    <n v="0"/>
    <n v="7126.81"/>
    <n v="2001.12"/>
    <n v="26703.05"/>
    <n v="16193.1"/>
  </r>
  <r>
    <x v="0"/>
    <x v="25"/>
    <x v="25"/>
    <x v="1"/>
    <x v="3"/>
    <x v="3"/>
    <x v="41"/>
    <x v="266"/>
    <s v="Heineman, Kenneth J."/>
    <n v="25833.1"/>
    <n v="1004.1"/>
    <n v="24829"/>
    <n v="0"/>
    <n v="9879.2999999999993"/>
    <n v="0"/>
    <n v="13843.95"/>
    <n v="119.6"/>
    <n v="23842.85"/>
    <n v="1928.27"/>
  </r>
  <r>
    <x v="1"/>
    <x v="25"/>
    <x v="25"/>
    <x v="1"/>
    <x v="3"/>
    <x v="3"/>
    <x v="41"/>
    <x v="266"/>
    <s v="Heineman, Kenneth J."/>
    <n v="62841.599999999999"/>
    <n v="119.6"/>
    <n v="62722"/>
    <n v="16365.17"/>
    <n v="742"/>
    <n v="0"/>
    <n v="8881.0499999999993"/>
    <n v="1058.81"/>
    <n v="27047.03"/>
    <n v="29266.400000000001"/>
  </r>
  <r>
    <x v="0"/>
    <x v="26"/>
    <x v="26"/>
    <x v="1"/>
    <x v="3"/>
    <x v="3"/>
    <x v="42"/>
    <x v="267"/>
    <s v="Zarnowski, Roger E."/>
    <n v="0"/>
    <s v="0.00"/>
    <n v="0"/>
    <n v="0"/>
    <n v="0"/>
    <n v="0"/>
    <n v="-113.6"/>
    <n v="0"/>
    <n v="-113.6"/>
    <n v="113.6"/>
  </r>
  <r>
    <x v="1"/>
    <x v="26"/>
    <x v="26"/>
    <x v="1"/>
    <x v="3"/>
    <x v="3"/>
    <x v="42"/>
    <x v="267"/>
    <s v="Zarnowski, Roger E."/>
    <n v="103118"/>
    <s v="0.00"/>
    <n v="103118"/>
    <n v="16669.78"/>
    <n v="21182.36"/>
    <n v="525"/>
    <n v="18290.54"/>
    <n v="5713.04"/>
    <n v="62380.72"/>
    <n v="39480.18"/>
  </r>
  <r>
    <x v="0"/>
    <x v="27"/>
    <x v="27"/>
    <x v="1"/>
    <x v="3"/>
    <x v="3"/>
    <x v="43"/>
    <x v="268"/>
    <s v="Cody, Karen"/>
    <n v="28732.35"/>
    <n v="1548.35"/>
    <n v="27184"/>
    <n v="3000"/>
    <n v="2928.7"/>
    <n v="0"/>
    <n v="11043.81"/>
    <n v="104.1"/>
    <n v="17076.61"/>
    <n v="10331.66"/>
  </r>
  <r>
    <x v="1"/>
    <x v="27"/>
    <x v="27"/>
    <x v="1"/>
    <x v="3"/>
    <x v="3"/>
    <x v="43"/>
    <x v="268"/>
    <s v="Cody, Karen"/>
    <n v="104.1"/>
    <n v="104.1"/>
    <n v="0"/>
    <n v="0"/>
    <n v="0"/>
    <n v="0"/>
    <n v="104.1"/>
    <n v="0"/>
    <n v="104.1"/>
    <n v="0"/>
  </r>
  <r>
    <x v="1"/>
    <x v="28"/>
    <x v="28"/>
    <x v="1"/>
    <x v="3"/>
    <x v="3"/>
    <x v="44"/>
    <x v="269"/>
    <s v="Wallace, Andrew B."/>
    <n v="27328"/>
    <s v="0.00"/>
    <n v="27328"/>
    <n v="0"/>
    <n v="2305.5"/>
    <n v="0"/>
    <n v="11934.75"/>
    <n v="2657.98"/>
    <n v="16898.23"/>
    <n v="10703.77"/>
  </r>
  <r>
    <x v="0"/>
    <x v="29"/>
    <x v="29"/>
    <x v="1"/>
    <x v="3"/>
    <x v="3"/>
    <x v="45"/>
    <x v="270"/>
    <s v="Davidson, William B."/>
    <n v="111092.5"/>
    <n v="16417.5"/>
    <n v="94675"/>
    <n v="1500"/>
    <n v="57327.78"/>
    <n v="0"/>
    <n v="34784.67"/>
    <n v="759.15"/>
    <n v="94371.6"/>
    <n v="16573.650000000001"/>
  </r>
  <r>
    <x v="1"/>
    <x v="29"/>
    <x v="29"/>
    <x v="1"/>
    <x v="3"/>
    <x v="3"/>
    <x v="45"/>
    <x v="270"/>
    <s v="Davidson, William B."/>
    <n v="759.15"/>
    <n v="759.15"/>
    <n v="0"/>
    <n v="0"/>
    <n v="0"/>
    <n v="0"/>
    <n v="722.67"/>
    <n v="36.479999999999997"/>
    <n v="759.15"/>
    <n v="0"/>
  </r>
  <r>
    <x v="0"/>
    <x v="30"/>
    <x v="30"/>
    <x v="1"/>
    <x v="3"/>
    <x v="3"/>
    <x v="234"/>
    <x v="271"/>
    <s v="Bankston, Thomas A."/>
    <n v="25951.1"/>
    <n v="201.1"/>
    <n v="25750"/>
    <n v="1500"/>
    <n v="6167.93"/>
    <n v="0"/>
    <n v="15406.41"/>
    <n v="1645.85"/>
    <n v="24720.19"/>
    <n v="2325.2199999999998"/>
  </r>
  <r>
    <x v="1"/>
    <x v="30"/>
    <x v="30"/>
    <x v="1"/>
    <x v="3"/>
    <x v="3"/>
    <x v="234"/>
    <x v="271"/>
    <s v="Bankston, Thomas A."/>
    <n v="24338.85"/>
    <n v="1645.85"/>
    <n v="22693"/>
    <n v="150"/>
    <n v="2116.09"/>
    <n v="0"/>
    <n v="2293.1999999999998"/>
    <n v="2135.36"/>
    <n v="6694.65"/>
    <n v="18580.650000000001"/>
  </r>
  <r>
    <x v="0"/>
    <x v="31"/>
    <x v="31"/>
    <x v="1"/>
    <x v="3"/>
    <x v="3"/>
    <x v="49"/>
    <x v="272"/>
    <s v="Magnan, Stephen W."/>
    <n v="12112.04"/>
    <n v="585.04"/>
    <n v="11527"/>
    <n v="3000"/>
    <n v="0"/>
    <n v="0"/>
    <n v="10615.21"/>
    <n v="2118.14"/>
    <n v="15733.35"/>
    <n v="-1428.2"/>
  </r>
  <r>
    <x v="1"/>
    <x v="31"/>
    <x v="31"/>
    <x v="1"/>
    <x v="3"/>
    <x v="3"/>
    <x v="49"/>
    <x v="272"/>
    <s v="Magnan, Stephen W."/>
    <n v="11685.14"/>
    <n v="2118.14"/>
    <n v="9567"/>
    <n v="0"/>
    <n v="0"/>
    <n v="0"/>
    <n v="7646.27"/>
    <n v="91.87"/>
    <n v="7738.14"/>
    <n v="3947"/>
  </r>
  <r>
    <x v="0"/>
    <x v="32"/>
    <x v="32"/>
    <x v="1"/>
    <x v="3"/>
    <x v="3"/>
    <x v="50"/>
    <x v="273"/>
    <s v="Badgett, Tommy F."/>
    <n v="30943"/>
    <s v="0.00"/>
    <n v="30943"/>
    <n v="0"/>
    <n v="5705.76"/>
    <n v="1800"/>
    <n v="24668.720000000001"/>
    <n v="268"/>
    <n v="32442.48"/>
    <n v="723.55"/>
  </r>
  <r>
    <x v="1"/>
    <x v="32"/>
    <x v="32"/>
    <x v="1"/>
    <x v="3"/>
    <x v="3"/>
    <x v="50"/>
    <x v="273"/>
    <s v="Badgett, Tommy F."/>
    <n v="25951"/>
    <n v="268"/>
    <n v="25683"/>
    <n v="0"/>
    <n v="2494.02"/>
    <n v="1050"/>
    <n v="19121.009999999998"/>
    <n v="1116.1600000000001"/>
    <n v="23781.19"/>
    <n v="4808.3900000000003"/>
  </r>
  <r>
    <x v="1"/>
    <x v="33"/>
    <x v="33"/>
    <x v="1"/>
    <x v="3"/>
    <x v="3"/>
    <x v="52"/>
    <x v="274"/>
    <s v="Ehlers, Robert S."/>
    <n v="4633"/>
    <s v="0.00"/>
    <n v="4633"/>
    <n v="0"/>
    <n v="0"/>
    <n v="0"/>
    <n v="1583.6"/>
    <n v="194.3"/>
    <n v="1777.9"/>
    <n v="2855.1"/>
  </r>
  <r>
    <x v="0"/>
    <x v="34"/>
    <x v="34"/>
    <x v="1"/>
    <x v="3"/>
    <x v="3"/>
    <x v="53"/>
    <x v="275"/>
    <s v="Lucksinger, Linda N."/>
    <n v="68053.990000000005"/>
    <n v="4104.99"/>
    <n v="63949"/>
    <n v="750"/>
    <n v="34456.879999999997"/>
    <n v="0"/>
    <n v="34541.68"/>
    <n v="36"/>
    <n v="69784.56"/>
    <n v="386.95"/>
  </r>
  <r>
    <x v="1"/>
    <x v="34"/>
    <x v="34"/>
    <x v="1"/>
    <x v="3"/>
    <x v="3"/>
    <x v="53"/>
    <x v="275"/>
    <s v="Lucksinger, Linda N."/>
    <n v="58359"/>
    <n v="36"/>
    <n v="58323"/>
    <n v="0"/>
    <n v="18131.88"/>
    <n v="0"/>
    <n v="12929.16"/>
    <n v="2610.48"/>
    <n v="33671.519999999997"/>
    <n v="27785.81"/>
  </r>
  <r>
    <x v="0"/>
    <x v="35"/>
    <x v="35"/>
    <x v="1"/>
    <x v="3"/>
    <x v="3"/>
    <x v="55"/>
    <x v="276"/>
    <s v="Summerlin, James A."/>
    <n v="45577"/>
    <s v="0.00"/>
    <n v="45577"/>
    <n v="3307.5"/>
    <n v="18900.009999999998"/>
    <n v="0"/>
    <n v="20329.28"/>
    <n v="45"/>
    <n v="42581.79"/>
    <n v="983.67"/>
  </r>
  <r>
    <x v="1"/>
    <x v="35"/>
    <x v="35"/>
    <x v="1"/>
    <x v="3"/>
    <x v="3"/>
    <x v="55"/>
    <x v="276"/>
    <s v="Summerlin, James A."/>
    <n v="41882"/>
    <n v="45"/>
    <n v="41837"/>
    <n v="330.75"/>
    <n v="21759.16"/>
    <n v="0"/>
    <n v="10202.629999999999"/>
    <n v="1815.17"/>
    <n v="34107.71"/>
    <n v="7774.29"/>
  </r>
  <r>
    <x v="0"/>
    <x v="36"/>
    <x v="36"/>
    <x v="1"/>
    <x v="3"/>
    <x v="3"/>
    <x v="57"/>
    <x v="277"/>
    <s v="Snowden, Steven R."/>
    <n v="49881.4"/>
    <n v="5390.4"/>
    <n v="44491"/>
    <n v="1967"/>
    <n v="17406.080000000002"/>
    <n v="0"/>
    <n v="21968.63"/>
    <n v="0"/>
    <n v="41341.71"/>
    <n v="7836.87"/>
  </r>
  <r>
    <x v="0"/>
    <x v="18"/>
    <x v="37"/>
    <x v="1"/>
    <x v="3"/>
    <x v="3"/>
    <x v="29"/>
    <x v="278"/>
    <s v="Engdahl, Gilbert R."/>
    <n v="125970.37"/>
    <n v="11314.37"/>
    <n v="114656"/>
    <n v="9000"/>
    <n v="30617.97"/>
    <n v="0"/>
    <n v="27014.16"/>
    <n v="695.53"/>
    <n v="67327.66"/>
    <n v="15356.04"/>
  </r>
  <r>
    <x v="1"/>
    <x v="18"/>
    <x v="37"/>
    <x v="1"/>
    <x v="3"/>
    <x v="3"/>
    <x v="29"/>
    <x v="278"/>
    <s v="Engdahl, Gilbert R."/>
    <n v="695.53"/>
    <n v="695.53"/>
    <n v="0"/>
    <n v="0"/>
    <n v="45"/>
    <n v="0"/>
    <n v="695.53"/>
    <n v="0"/>
    <n v="740.53"/>
    <n v="-45"/>
  </r>
  <r>
    <x v="0"/>
    <x v="20"/>
    <x v="38"/>
    <x v="1"/>
    <x v="3"/>
    <x v="3"/>
    <x v="32"/>
    <x v="279"/>
    <s v="Wilke, R. R."/>
    <n v="139526.04999999999"/>
    <n v="3427.05"/>
    <n v="136099"/>
    <n v="3000"/>
    <n v="60155.7"/>
    <n v="0"/>
    <n v="67150.44"/>
    <n v="625.29999999999995"/>
    <n v="130931.44"/>
    <n v="6644.73"/>
  </r>
  <r>
    <x v="1"/>
    <x v="20"/>
    <x v="38"/>
    <x v="1"/>
    <x v="3"/>
    <x v="3"/>
    <x v="32"/>
    <x v="279"/>
    <s v="Wilke, R. R."/>
    <n v="625.29999999999995"/>
    <n v="625.29999999999995"/>
    <n v="0"/>
    <n v="0"/>
    <n v="0"/>
    <n v="0"/>
    <n v="625.29999999999995"/>
    <n v="0"/>
    <n v="625.29999999999995"/>
    <n v="0"/>
  </r>
  <r>
    <x v="0"/>
    <x v="21"/>
    <x v="39"/>
    <x v="1"/>
    <x v="3"/>
    <x v="3"/>
    <x v="235"/>
    <x v="280"/>
    <s v="Osterhout, John J."/>
    <n v="53599.88"/>
    <n v="4200.88"/>
    <n v="49399"/>
    <n v="3000"/>
    <n v="19035.77"/>
    <n v="0"/>
    <n v="23216.67"/>
    <n v="2049.0700000000002"/>
    <n v="47301.51"/>
    <n v="6779.89"/>
  </r>
  <r>
    <x v="1"/>
    <x v="21"/>
    <x v="39"/>
    <x v="1"/>
    <x v="3"/>
    <x v="3"/>
    <x v="235"/>
    <x v="280"/>
    <s v="Osterhout, John J."/>
    <n v="2049.0700000000002"/>
    <n v="2049.0700000000002"/>
    <n v="0"/>
    <n v="0"/>
    <n v="0"/>
    <n v="0"/>
    <n v="1725.13"/>
    <n v="323.94"/>
    <n v="2049.0700000000002"/>
    <n v="0"/>
  </r>
  <r>
    <x v="0"/>
    <x v="37"/>
    <x v="40"/>
    <x v="1"/>
    <x v="3"/>
    <x v="3"/>
    <x v="59"/>
    <x v="281"/>
    <s v="Roden, Timothy E."/>
    <n v="40879.440000000002"/>
    <n v="5214.4399999999996"/>
    <n v="35665"/>
    <n v="3000"/>
    <n v="5888.35"/>
    <n v="1797"/>
    <n v="29156.17"/>
    <n v="0"/>
    <n v="39841.519999999997"/>
    <n v="1796.17"/>
  </r>
  <r>
    <x v="0"/>
    <x v="38"/>
    <x v="41"/>
    <x v="1"/>
    <x v="3"/>
    <x v="3"/>
    <x v="60"/>
    <x v="282"/>
    <s v="Zarnowski, Roger E."/>
    <n v="49521.22"/>
    <n v="6076.22"/>
    <n v="43445"/>
    <n v="3000"/>
    <n v="24559.88"/>
    <n v="0"/>
    <n v="17054.580000000002"/>
    <n v="0"/>
    <n v="44614.46"/>
    <n v="6215.96"/>
  </r>
  <r>
    <x v="0"/>
    <x v="28"/>
    <x v="43"/>
    <x v="1"/>
    <x v="3"/>
    <x v="3"/>
    <x v="44"/>
    <x v="283"/>
    <s v="Wallace, Andrew B."/>
    <n v="35917.11"/>
    <n v="3251.11"/>
    <n v="32666"/>
    <n v="3000"/>
    <n v="3652.57"/>
    <n v="0"/>
    <n v="26161.07"/>
    <n v="194.33"/>
    <n v="33007.97"/>
    <n v="3837.72"/>
  </r>
  <r>
    <x v="1"/>
    <x v="28"/>
    <x v="43"/>
    <x v="1"/>
    <x v="3"/>
    <x v="3"/>
    <x v="44"/>
    <x v="283"/>
    <s v="Wallace, Andrew B."/>
    <n v="194.33"/>
    <n v="194.33"/>
    <n v="0"/>
    <n v="0"/>
    <n v="116"/>
    <n v="0"/>
    <n v="194.33"/>
    <n v="0"/>
    <n v="310.33"/>
    <n v="-116"/>
  </r>
  <r>
    <x v="1"/>
    <x v="36"/>
    <x v="44"/>
    <x v="1"/>
    <x v="3"/>
    <x v="3"/>
    <x v="57"/>
    <x v="284"/>
    <s v="Snowden, Steven R."/>
    <n v="38697"/>
    <s v="0.00"/>
    <n v="38697"/>
    <n v="0"/>
    <n v="28632.38"/>
    <n v="0"/>
    <n v="5520.29"/>
    <n v="2241.0700000000002"/>
    <n v="36393.74"/>
    <n v="2303.2600000000002"/>
  </r>
  <r>
    <x v="0"/>
    <x v="39"/>
    <x v="42"/>
    <x v="1"/>
    <x v="3"/>
    <x v="3"/>
    <x v="62"/>
    <x v="285"/>
    <s v="Wilkinson, Susan C."/>
    <n v="113127.5"/>
    <n v="37.5"/>
    <n v="113090"/>
    <n v="5377.5"/>
    <n v="2368.0300000000002"/>
    <n v="302.25"/>
    <n v="88060.2"/>
    <n v="4969.96"/>
    <n v="101077.94"/>
    <n v="5455.46"/>
  </r>
  <r>
    <x v="1"/>
    <x v="39"/>
    <x v="42"/>
    <x v="1"/>
    <x v="3"/>
    <x v="3"/>
    <x v="62"/>
    <x v="285"/>
    <s v="Wilkinson, Susan C."/>
    <n v="101838.96"/>
    <n v="4969.96"/>
    <n v="96869"/>
    <n v="0"/>
    <n v="3185.01"/>
    <n v="1823.56"/>
    <n v="56148.67"/>
    <n v="11085.95"/>
    <n v="72243.19"/>
    <n v="29595.77"/>
  </r>
  <r>
    <x v="0"/>
    <x v="40"/>
    <x v="45"/>
    <x v="1"/>
    <x v="3"/>
    <x v="3"/>
    <x v="123"/>
    <x v="286"/>
    <s v="Weise, Shelly D."/>
    <n v="53309.25"/>
    <n v="7384.25"/>
    <n v="45925"/>
    <n v="3375"/>
    <n v="0"/>
    <n v="0"/>
    <n v="40224.800000000003"/>
    <n v="572.66"/>
    <n v="44172.46"/>
    <n v="9297.0400000000009"/>
  </r>
  <r>
    <x v="1"/>
    <x v="40"/>
    <x v="45"/>
    <x v="1"/>
    <x v="3"/>
    <x v="3"/>
    <x v="123"/>
    <x v="286"/>
    <s v="Weise, Shelly D."/>
    <n v="38690.660000000003"/>
    <n v="572.66"/>
    <n v="38118"/>
    <n v="0"/>
    <n v="0"/>
    <n v="0"/>
    <n v="17557.599999999999"/>
    <n v="3504.24"/>
    <n v="21061.84"/>
    <n v="17628.82"/>
  </r>
  <r>
    <x v="1"/>
    <x v="29"/>
    <x v="46"/>
    <x v="1"/>
    <x v="3"/>
    <x v="3"/>
    <x v="45"/>
    <x v="287"/>
    <s v="Davidson, William B."/>
    <n v="90753"/>
    <s v="0.00"/>
    <n v="90753"/>
    <n v="0"/>
    <n v="38672.199999999997"/>
    <n v="0"/>
    <n v="11362.15"/>
    <n v="1638.35"/>
    <n v="51672.7"/>
    <n v="39480.300000000003"/>
  </r>
  <r>
    <x v="1"/>
    <x v="2"/>
    <x v="2"/>
    <x v="1"/>
    <x v="3"/>
    <x v="3"/>
    <x v="236"/>
    <x v="288"/>
    <s v="Allen, Nancy G."/>
    <n v="16600"/>
    <s v="0.00"/>
    <n v="16600"/>
    <n v="0"/>
    <n v="0"/>
    <n v="0"/>
    <n v="0"/>
    <n v="0"/>
    <n v="0"/>
    <n v="547.23"/>
  </r>
  <r>
    <x v="1"/>
    <x v="15"/>
    <x v="15"/>
    <x v="3"/>
    <x v="3"/>
    <x v="3"/>
    <x v="237"/>
    <x v="289"/>
    <s v="Bennett, Michelle A."/>
    <n v="44615"/>
    <s v="0.00"/>
    <n v="44615"/>
    <n v="0"/>
    <n v="0"/>
    <n v="0"/>
    <n v="0"/>
    <n v="0"/>
    <n v="0"/>
    <n v="44615"/>
  </r>
  <r>
    <x v="0"/>
    <x v="22"/>
    <x v="22"/>
    <x v="1"/>
    <x v="3"/>
    <x v="3"/>
    <x v="126"/>
    <x v="290"/>
    <s v="Wahl, Shawn T."/>
    <n v="11050.64"/>
    <n v="1050.6400000000001"/>
    <n v="10000"/>
    <n v="0"/>
    <n v="0"/>
    <n v="0"/>
    <n v="8654.5"/>
    <n v="0"/>
    <n v="8654.5"/>
    <n v="1696.14"/>
  </r>
  <r>
    <x v="1"/>
    <x v="22"/>
    <x v="22"/>
    <x v="1"/>
    <x v="3"/>
    <x v="3"/>
    <x v="126"/>
    <x v="290"/>
    <s v="Wahl, Shawn T."/>
    <n v="23956"/>
    <s v="0.00"/>
    <n v="23956"/>
    <n v="476"/>
    <n v="8354.01"/>
    <n v="0"/>
    <n v="7410.47"/>
    <n v="870.6"/>
    <n v="17111.080000000002"/>
    <n v="6844.92"/>
  </r>
  <r>
    <x v="0"/>
    <x v="31"/>
    <x v="31"/>
    <x v="1"/>
    <x v="3"/>
    <x v="3"/>
    <x v="238"/>
    <x v="291"/>
    <s v="Magnan, Stephen W."/>
    <n v="400"/>
    <s v="0.00"/>
    <n v="400"/>
    <n v="0"/>
    <n v="0"/>
    <n v="0"/>
    <n v="363.5"/>
    <n v="0"/>
    <n v="363.5"/>
    <n v="8.5"/>
  </r>
  <r>
    <x v="1"/>
    <x v="31"/>
    <x v="31"/>
    <x v="1"/>
    <x v="3"/>
    <x v="3"/>
    <x v="238"/>
    <x v="291"/>
    <s v="Magnan, Stephen W."/>
    <n v="332"/>
    <s v="0.00"/>
    <n v="332"/>
    <n v="0"/>
    <n v="0"/>
    <n v="0"/>
    <n v="325.04000000000002"/>
    <n v="0"/>
    <n v="325.04000000000002"/>
    <n v="6.96"/>
  </r>
  <r>
    <x v="0"/>
    <x v="29"/>
    <x v="46"/>
    <x v="1"/>
    <x v="3"/>
    <x v="3"/>
    <x v="239"/>
    <x v="292"/>
    <s v="Starkey, Thomas W."/>
    <n v="0"/>
    <s v="0.00"/>
    <n v="0"/>
    <n v="0"/>
    <n v="0"/>
    <n v="0"/>
    <n v="3689.56"/>
    <n v="0"/>
    <n v="3689.56"/>
    <n v="10.44"/>
  </r>
  <r>
    <x v="1"/>
    <x v="29"/>
    <x v="46"/>
    <x v="1"/>
    <x v="3"/>
    <x v="3"/>
    <x v="239"/>
    <x v="292"/>
    <s v="Starkey, Thomas W."/>
    <n v="0"/>
    <s v="0.00"/>
    <n v="0"/>
    <n v="0"/>
    <n v="0"/>
    <n v="0"/>
    <n v="500"/>
    <n v="0"/>
    <n v="500"/>
    <n v="0"/>
  </r>
  <r>
    <x v="0"/>
    <x v="31"/>
    <x v="31"/>
    <x v="1"/>
    <x v="3"/>
    <x v="3"/>
    <x v="240"/>
    <x v="293"/>
    <s v="Magnan, Stephen W."/>
    <n v="1285"/>
    <s v="0.00"/>
    <n v="1285"/>
    <n v="0"/>
    <n v="0"/>
    <n v="0"/>
    <n v="1021.21"/>
    <n v="618.70000000000005"/>
    <n v="1639.91"/>
    <n v="-444.86"/>
  </r>
  <r>
    <x v="1"/>
    <x v="31"/>
    <x v="31"/>
    <x v="1"/>
    <x v="3"/>
    <x v="3"/>
    <x v="240"/>
    <x v="293"/>
    <s v="Magnan, Stephen W."/>
    <n v="1684.7"/>
    <n v="618.70000000000005"/>
    <n v="1066"/>
    <n v="0"/>
    <n v="0"/>
    <n v="0"/>
    <n v="996.71"/>
    <n v="0"/>
    <n v="996.71"/>
    <n v="687.99"/>
  </r>
  <r>
    <x v="0"/>
    <x v="83"/>
    <x v="92"/>
    <x v="1"/>
    <x v="3"/>
    <x v="3"/>
    <x v="241"/>
    <x v="294"/>
    <s v="Weertz, Sara L."/>
    <n v="55000"/>
    <s v="0.00"/>
    <n v="55000"/>
    <n v="2797.88"/>
    <n v="33303.33"/>
    <n v="0"/>
    <n v="0"/>
    <n v="0"/>
    <n v="36101.21"/>
    <n v="17798.79"/>
  </r>
  <r>
    <x v="1"/>
    <x v="83"/>
    <x v="92"/>
    <x v="1"/>
    <x v="3"/>
    <x v="3"/>
    <x v="241"/>
    <x v="294"/>
    <s v="Weertz, Sara L."/>
    <n v="55000"/>
    <s v="0.00"/>
    <n v="55000"/>
    <n v="0"/>
    <n v="18071.419999999998"/>
    <n v="0"/>
    <n v="0"/>
    <n v="0"/>
    <n v="18071.419999999998"/>
    <n v="36928.58"/>
  </r>
  <r>
    <x v="0"/>
    <x v="23"/>
    <x v="23"/>
    <x v="1"/>
    <x v="3"/>
    <x v="3"/>
    <x v="67"/>
    <x v="295"/>
    <s v="Musgrove, Laurence E."/>
    <n v="4276"/>
    <s v="0.00"/>
    <n v="4276"/>
    <n v="0"/>
    <n v="0"/>
    <n v="0"/>
    <n v="2747.97"/>
    <n v="0"/>
    <n v="2747.97"/>
    <n v="28.71"/>
  </r>
  <r>
    <x v="1"/>
    <x v="23"/>
    <x v="23"/>
    <x v="1"/>
    <x v="3"/>
    <x v="3"/>
    <x v="67"/>
    <x v="295"/>
    <s v="Musgrove, Laurence E."/>
    <n v="92350"/>
    <s v="0.00"/>
    <n v="92350"/>
    <n v="8535.94"/>
    <n v="38212.629999999997"/>
    <n v="0"/>
    <n v="3202.79"/>
    <n v="223.28"/>
    <n v="50174.64"/>
    <n v="42175.360000000001"/>
  </r>
  <r>
    <x v="0"/>
    <x v="26"/>
    <x v="26"/>
    <x v="1"/>
    <x v="3"/>
    <x v="3"/>
    <x v="68"/>
    <x v="296"/>
    <s v="Zarnowski, Roger E."/>
    <n v="2350"/>
    <n v="206"/>
    <n v="2144"/>
    <n v="0"/>
    <n v="0"/>
    <n v="0"/>
    <n v="2031.85"/>
    <n v="0"/>
    <n v="2031.85"/>
    <n v="168.07"/>
  </r>
  <r>
    <x v="1"/>
    <x v="26"/>
    <x v="26"/>
    <x v="1"/>
    <x v="3"/>
    <x v="3"/>
    <x v="68"/>
    <x v="296"/>
    <s v="Zarnowski, Roger E."/>
    <n v="34805"/>
    <s v="0.00"/>
    <n v="34805"/>
    <n v="0"/>
    <n v="21366.7"/>
    <n v="0"/>
    <n v="0"/>
    <n v="0"/>
    <n v="21366.7"/>
    <n v="13438.3"/>
  </r>
  <r>
    <x v="0"/>
    <x v="23"/>
    <x v="23"/>
    <x v="1"/>
    <x v="3"/>
    <x v="3"/>
    <x v="242"/>
    <x v="297"/>
    <s v="Musgrove, Laurence E."/>
    <n v="0"/>
    <s v="0.00"/>
    <n v="0"/>
    <n v="0"/>
    <n v="0"/>
    <n v="0"/>
    <n v="3354.34"/>
    <n v="0"/>
    <n v="3354.34"/>
    <n v="2095.66"/>
  </r>
  <r>
    <x v="1"/>
    <x v="23"/>
    <x v="23"/>
    <x v="1"/>
    <x v="3"/>
    <x v="3"/>
    <x v="242"/>
    <x v="297"/>
    <s v="Musgrove, Laurence E."/>
    <n v="4524"/>
    <s v="0.00"/>
    <n v="4524"/>
    <n v="0"/>
    <n v="0"/>
    <n v="0"/>
    <n v="50.4"/>
    <n v="0"/>
    <n v="50.4"/>
    <n v="4473.6000000000004"/>
  </r>
  <r>
    <x v="0"/>
    <x v="18"/>
    <x v="18"/>
    <x v="1"/>
    <x v="3"/>
    <x v="3"/>
    <x v="243"/>
    <x v="298"/>
    <s v="Braden, Kirk W."/>
    <n v="0"/>
    <s v="0.00"/>
    <n v="0"/>
    <n v="0"/>
    <n v="0"/>
    <n v="0"/>
    <n v="46000"/>
    <n v="0"/>
    <n v="46000"/>
    <n v="0"/>
  </r>
  <r>
    <x v="1"/>
    <x v="18"/>
    <x v="18"/>
    <x v="1"/>
    <x v="3"/>
    <x v="3"/>
    <x v="243"/>
    <x v="298"/>
    <s v="Braden, Kirk W."/>
    <n v="38180"/>
    <n v="0"/>
    <n v="38180"/>
    <n v="0"/>
    <n v="0"/>
    <n v="0"/>
    <n v="28643.67"/>
    <n v="5346.86"/>
    <n v="33990.53"/>
    <n v="4189.47"/>
  </r>
  <r>
    <x v="0"/>
    <x v="28"/>
    <x v="28"/>
    <x v="1"/>
    <x v="3"/>
    <x v="3"/>
    <x v="122"/>
    <x v="299"/>
    <s v="Sonntag, Mark S."/>
    <n v="16430.91"/>
    <n v="466.91"/>
    <n v="15964"/>
    <n v="0"/>
    <n v="0"/>
    <n v="0"/>
    <n v="14959.92"/>
    <n v="0"/>
    <n v="14959.92"/>
    <n v="353.51"/>
  </r>
  <r>
    <x v="1"/>
    <x v="28"/>
    <x v="28"/>
    <x v="1"/>
    <x v="3"/>
    <x v="3"/>
    <x v="122"/>
    <x v="299"/>
    <s v="Sonntag, Mark S."/>
    <n v="13250"/>
    <s v="0.00"/>
    <n v="13250"/>
    <n v="0"/>
    <n v="0"/>
    <n v="0"/>
    <n v="8514.44"/>
    <n v="209.71"/>
    <n v="8724.15"/>
    <n v="4525.8500000000004"/>
  </r>
  <r>
    <x v="0"/>
    <x v="64"/>
    <x v="70"/>
    <x v="3"/>
    <x v="3"/>
    <x v="3"/>
    <x v="125"/>
    <x v="300"/>
    <s v="Mears, Philip N."/>
    <n v="39251"/>
    <s v="0.00"/>
    <n v="39251"/>
    <n v="116"/>
    <n v="0"/>
    <n v="0"/>
    <n v="4578.88"/>
    <n v="0"/>
    <n v="4694.88"/>
    <n v="26256.1"/>
  </r>
  <r>
    <x v="1"/>
    <x v="64"/>
    <x v="70"/>
    <x v="3"/>
    <x v="3"/>
    <x v="3"/>
    <x v="125"/>
    <x v="300"/>
    <s v="Mears, Philip N."/>
    <n v="39047"/>
    <s v="0.00"/>
    <n v="39047"/>
    <n v="0"/>
    <n v="108.75"/>
    <n v="0"/>
    <n v="2872.16"/>
    <n v="1015.2"/>
    <n v="3996.11"/>
    <n v="35050.89"/>
  </r>
  <r>
    <x v="0"/>
    <x v="41"/>
    <x v="47"/>
    <x v="1"/>
    <x v="3"/>
    <x v="3"/>
    <x v="69"/>
    <x v="301"/>
    <s v="Eoff, Shirley M."/>
    <n v="11429"/>
    <s v="0.00"/>
    <n v="11429"/>
    <n v="0"/>
    <n v="380"/>
    <n v="0"/>
    <n v="5160.28"/>
    <n v="500"/>
    <n v="6040.28"/>
    <n v="4660.1400000000003"/>
  </r>
  <r>
    <x v="1"/>
    <x v="41"/>
    <x v="47"/>
    <x v="1"/>
    <x v="3"/>
    <x v="3"/>
    <x v="69"/>
    <x v="301"/>
    <s v="Eoff, Shirley M."/>
    <n v="10229"/>
    <n v="500"/>
    <n v="9729"/>
    <n v="0"/>
    <n v="0"/>
    <n v="0"/>
    <n v="2358.31"/>
    <n v="410.55"/>
    <n v="2768.86"/>
    <n v="7460.14"/>
  </r>
  <r>
    <x v="1"/>
    <x v="1"/>
    <x v="1"/>
    <x v="1"/>
    <x v="3"/>
    <x v="3"/>
    <x v="244"/>
    <x v="302"/>
    <s v="May, Brian J."/>
    <n v="50000"/>
    <s v="0.00"/>
    <n v="50000"/>
    <n v="0"/>
    <n v="0"/>
    <n v="0"/>
    <n v="1000"/>
    <n v="4750"/>
    <n v="5750"/>
    <n v="22313.87"/>
  </r>
  <r>
    <x v="0"/>
    <x v="61"/>
    <x v="93"/>
    <x v="1"/>
    <x v="3"/>
    <x v="3"/>
    <x v="245"/>
    <x v="303"/>
    <s v="Logan, Sarah M."/>
    <n v="35000"/>
    <n v="0"/>
    <n v="35000"/>
    <n v="3168.7"/>
    <n v="0"/>
    <n v="0"/>
    <n v="21555.31"/>
    <n v="0"/>
    <n v="24724.01"/>
    <n v="37321.72"/>
  </r>
  <r>
    <x v="1"/>
    <x v="61"/>
    <x v="93"/>
    <x v="1"/>
    <x v="3"/>
    <x v="3"/>
    <x v="245"/>
    <x v="303"/>
    <s v="Logan, Sarah M."/>
    <n v="26125"/>
    <s v="0.00"/>
    <n v="26125"/>
    <n v="1692.99"/>
    <n v="0"/>
    <n v="0"/>
    <n v="27432.58"/>
    <n v="27370.71"/>
    <n v="56496.28"/>
    <n v="6950.44"/>
  </r>
  <r>
    <x v="0"/>
    <x v="44"/>
    <x v="50"/>
    <x v="1"/>
    <x v="3"/>
    <x v="3"/>
    <x v="246"/>
    <x v="304"/>
    <s v="Gaulden, Corbett F."/>
    <n v="0"/>
    <s v="0.00"/>
    <n v="0"/>
    <n v="0"/>
    <n v="0"/>
    <n v="0"/>
    <n v="14433.68"/>
    <n v="0"/>
    <n v="14433.68"/>
    <n v="535.55999999999995"/>
  </r>
  <r>
    <x v="1"/>
    <x v="44"/>
    <x v="50"/>
    <x v="1"/>
    <x v="3"/>
    <x v="3"/>
    <x v="246"/>
    <x v="304"/>
    <s v="Gaulden, Corbett F."/>
    <n v="0"/>
    <s v="0.00"/>
    <n v="0"/>
    <n v="0"/>
    <n v="0"/>
    <n v="0"/>
    <n v="4894.92"/>
    <n v="2898.58"/>
    <n v="7793.5"/>
    <n v="670.23"/>
  </r>
  <r>
    <x v="0"/>
    <x v="45"/>
    <x v="51"/>
    <x v="1"/>
    <x v="3"/>
    <x v="3"/>
    <x v="247"/>
    <x v="305"/>
    <s v="Miazga, John J."/>
    <n v="0"/>
    <s v="0.00"/>
    <n v="0"/>
    <n v="0"/>
    <n v="0"/>
    <n v="0"/>
    <n v="7583.15"/>
    <n v="0"/>
    <n v="7583.15"/>
    <n v="4411.8500000000004"/>
  </r>
  <r>
    <x v="1"/>
    <x v="45"/>
    <x v="51"/>
    <x v="1"/>
    <x v="3"/>
    <x v="3"/>
    <x v="247"/>
    <x v="305"/>
    <s v="Miazga, John J."/>
    <n v="0"/>
    <s v="0.00"/>
    <n v="0"/>
    <n v="0"/>
    <n v="0"/>
    <n v="0"/>
    <n v="9668.73"/>
    <n v="1038"/>
    <n v="10706.73"/>
    <n v="461.27"/>
  </r>
  <r>
    <x v="0"/>
    <x v="43"/>
    <x v="49"/>
    <x v="1"/>
    <x v="3"/>
    <x v="3"/>
    <x v="248"/>
    <x v="306"/>
    <s v="Swets, Paul K."/>
    <n v="0"/>
    <s v="0.00"/>
    <n v="0"/>
    <n v="0"/>
    <n v="0"/>
    <n v="0"/>
    <n v="5837.35"/>
    <n v="0"/>
    <n v="5837.35"/>
    <n v="7.65"/>
  </r>
  <r>
    <x v="1"/>
    <x v="49"/>
    <x v="55"/>
    <x v="1"/>
    <x v="3"/>
    <x v="3"/>
    <x v="249"/>
    <x v="307"/>
    <s v="Allen, Nancy G."/>
    <n v="9644"/>
    <s v="0.00"/>
    <n v="9644"/>
    <n v="0"/>
    <n v="0"/>
    <n v="0"/>
    <n v="0"/>
    <n v="0"/>
    <n v="0"/>
    <n v="0"/>
  </r>
  <r>
    <x v="0"/>
    <x v="49"/>
    <x v="55"/>
    <x v="1"/>
    <x v="3"/>
    <x v="3"/>
    <x v="250"/>
    <x v="308"/>
    <s v="Sauncy, Toni D."/>
    <n v="456.24"/>
    <n v="456.24"/>
    <n v="0"/>
    <n v="0"/>
    <n v="0"/>
    <n v="0"/>
    <n v="78.540000000000006"/>
    <n v="0"/>
    <n v="78.540000000000006"/>
    <n v="377.7"/>
  </r>
  <r>
    <x v="0"/>
    <x v="13"/>
    <x v="13"/>
    <x v="1"/>
    <x v="3"/>
    <x v="3"/>
    <x v="251"/>
    <x v="309"/>
    <s v="Ammerman, Loren K."/>
    <n v="0"/>
    <s v="0.00"/>
    <n v="0"/>
    <n v="0"/>
    <n v="0"/>
    <n v="0"/>
    <n v="1800"/>
    <n v="0"/>
    <n v="1800"/>
    <n v="0"/>
  </r>
  <r>
    <x v="0"/>
    <x v="13"/>
    <x v="13"/>
    <x v="1"/>
    <x v="3"/>
    <x v="3"/>
    <x v="252"/>
    <x v="310"/>
    <m/>
    <n v="0"/>
    <s v="0.00"/>
    <n v="0"/>
    <n v="0"/>
    <n v="0"/>
    <n v="0"/>
    <n v="3958"/>
    <n v="0"/>
    <n v="3958"/>
    <n v="0"/>
  </r>
  <r>
    <x v="0"/>
    <x v="13"/>
    <x v="13"/>
    <x v="1"/>
    <x v="3"/>
    <x v="3"/>
    <x v="138"/>
    <x v="311"/>
    <s v="Kang, WooJin"/>
    <n v="0"/>
    <s v="0.00"/>
    <n v="0"/>
    <n v="0"/>
    <n v="0"/>
    <n v="0"/>
    <n v="2678"/>
    <n v="0"/>
    <n v="2678"/>
    <n v="0"/>
  </r>
  <r>
    <x v="0"/>
    <x v="13"/>
    <x v="13"/>
    <x v="1"/>
    <x v="3"/>
    <x v="3"/>
    <x v="139"/>
    <x v="312"/>
    <s v="Klingemann, John E."/>
    <n v="0"/>
    <s v="0.00"/>
    <n v="0"/>
    <n v="0"/>
    <n v="0"/>
    <n v="0"/>
    <n v="849.6"/>
    <n v="0"/>
    <n v="849.6"/>
    <n v="0"/>
  </r>
  <r>
    <x v="0"/>
    <x v="13"/>
    <x v="13"/>
    <x v="1"/>
    <x v="3"/>
    <x v="3"/>
    <x v="145"/>
    <x v="313"/>
    <s v="Zheng, Guoqiang"/>
    <n v="0"/>
    <s v="0.00"/>
    <n v="0"/>
    <n v="0"/>
    <n v="0"/>
    <n v="0"/>
    <n v="1261"/>
    <n v="0"/>
    <n v="1261"/>
    <n v="0"/>
  </r>
  <r>
    <x v="1"/>
    <x v="13"/>
    <x v="13"/>
    <x v="1"/>
    <x v="3"/>
    <x v="3"/>
    <x v="253"/>
    <x v="314"/>
    <s v="Braden, Heather J."/>
    <n v="0"/>
    <s v="0.00"/>
    <n v="0"/>
    <n v="0"/>
    <n v="0"/>
    <n v="0"/>
    <n v="130"/>
    <n v="590.03"/>
    <n v="720.03"/>
    <n v="779.97"/>
  </r>
  <r>
    <x v="1"/>
    <x v="13"/>
    <x v="13"/>
    <x v="1"/>
    <x v="3"/>
    <x v="3"/>
    <x v="254"/>
    <x v="315"/>
    <s v="Satterfield, Joseph I."/>
    <n v="0"/>
    <s v="0.00"/>
    <n v="0"/>
    <n v="0"/>
    <n v="0"/>
    <n v="0"/>
    <n v="1482.6"/>
    <n v="0"/>
    <n v="1482.6"/>
    <n v="97.4"/>
  </r>
  <r>
    <x v="1"/>
    <x v="13"/>
    <x v="13"/>
    <x v="1"/>
    <x v="3"/>
    <x v="3"/>
    <x v="255"/>
    <x v="316"/>
    <s v="Runia, Robin M."/>
    <n v="0"/>
    <s v="0.00"/>
    <n v="0"/>
    <n v="0"/>
    <n v="0"/>
    <n v="0"/>
    <n v="0"/>
    <n v="1200"/>
    <n v="1200"/>
    <n v="-1200"/>
  </r>
  <r>
    <x v="0"/>
    <x v="13"/>
    <x v="13"/>
    <x v="1"/>
    <x v="3"/>
    <x v="3"/>
    <x v="256"/>
    <x v="317"/>
    <s v="McGlamery, Mary E."/>
    <n v="140.13999999999999"/>
    <n v="140.13999999999999"/>
    <n v="0"/>
    <n v="0"/>
    <n v="0"/>
    <n v="0"/>
    <n v="-0.04"/>
    <n v="0"/>
    <n v="-0.04"/>
    <n v="140.18"/>
  </r>
  <r>
    <x v="0"/>
    <x v="13"/>
    <x v="13"/>
    <x v="1"/>
    <x v="3"/>
    <x v="3"/>
    <x v="257"/>
    <x v="318"/>
    <s v="Dowler, Robert C."/>
    <n v="0"/>
    <s v="0.00"/>
    <n v="0"/>
    <n v="0"/>
    <n v="0"/>
    <n v="0"/>
    <n v="500"/>
    <n v="0"/>
    <n v="500"/>
    <n v="0"/>
  </r>
  <r>
    <x v="0"/>
    <x v="13"/>
    <x v="13"/>
    <x v="1"/>
    <x v="3"/>
    <x v="3"/>
    <x v="258"/>
    <x v="319"/>
    <s v="Amos, Bonnie B."/>
    <n v="0"/>
    <s v="0.00"/>
    <n v="0"/>
    <n v="0"/>
    <n v="0"/>
    <n v="0"/>
    <n v="75.55"/>
    <n v="97.49"/>
    <n v="173.04"/>
    <n v="326.95999999999998"/>
  </r>
  <r>
    <x v="1"/>
    <x v="13"/>
    <x v="13"/>
    <x v="1"/>
    <x v="3"/>
    <x v="3"/>
    <x v="258"/>
    <x v="319"/>
    <s v="Amos, Bonnie B."/>
    <n v="97.49"/>
    <n v="97.49"/>
    <n v="0"/>
    <n v="0"/>
    <n v="0"/>
    <n v="0"/>
    <n v="0"/>
    <n v="97.49"/>
    <n v="97.49"/>
    <n v="0"/>
  </r>
  <r>
    <x v="0"/>
    <x v="13"/>
    <x v="13"/>
    <x v="1"/>
    <x v="3"/>
    <x v="3"/>
    <x v="259"/>
    <x v="320"/>
    <s v="Evans, Richard A."/>
    <n v="0"/>
    <s v="0.00"/>
    <n v="0"/>
    <n v="0"/>
    <n v="0"/>
    <n v="0"/>
    <n v="186.91"/>
    <n v="0"/>
    <n v="186.91"/>
    <n v="313.08999999999997"/>
  </r>
  <r>
    <x v="0"/>
    <x v="13"/>
    <x v="13"/>
    <x v="1"/>
    <x v="3"/>
    <x v="3"/>
    <x v="260"/>
    <x v="321"/>
    <s v="Dowler, Robert C."/>
    <n v="0"/>
    <s v="0.00"/>
    <n v="0"/>
    <n v="0"/>
    <n v="0"/>
    <n v="0"/>
    <n v="493.5"/>
    <n v="0"/>
    <n v="493.5"/>
    <n v="6.5"/>
  </r>
  <r>
    <x v="0"/>
    <x v="13"/>
    <x v="13"/>
    <x v="1"/>
    <x v="3"/>
    <x v="3"/>
    <x v="261"/>
    <x v="322"/>
    <s v="Ammerman, Loren K."/>
    <n v="0"/>
    <s v="0.00"/>
    <n v="0"/>
    <n v="0"/>
    <n v="0"/>
    <n v="0"/>
    <n v="487.79"/>
    <n v="0"/>
    <n v="487.79"/>
    <n v="12.21"/>
  </r>
  <r>
    <x v="0"/>
    <x v="13"/>
    <x v="13"/>
    <x v="1"/>
    <x v="3"/>
    <x v="3"/>
    <x v="262"/>
    <x v="323"/>
    <s v="Wegner, John M."/>
    <n v="0"/>
    <s v="0.00"/>
    <n v="0"/>
    <n v="0"/>
    <n v="0"/>
    <n v="0"/>
    <n v="498.8"/>
    <n v="0"/>
    <n v="498.8"/>
    <n v="1.2"/>
  </r>
  <r>
    <x v="0"/>
    <x v="13"/>
    <x v="13"/>
    <x v="1"/>
    <x v="3"/>
    <x v="3"/>
    <x v="263"/>
    <x v="324"/>
    <s v="Bixler, David L."/>
    <n v="0"/>
    <s v="0.00"/>
    <n v="0"/>
    <n v="0"/>
    <n v="0"/>
    <n v="0"/>
    <n v="300"/>
    <n v="0"/>
    <n v="300"/>
    <n v="0"/>
  </r>
  <r>
    <x v="0"/>
    <x v="13"/>
    <x v="13"/>
    <x v="1"/>
    <x v="3"/>
    <x v="3"/>
    <x v="264"/>
    <x v="325"/>
    <s v="Mason, Carolyn R."/>
    <n v="0"/>
    <s v="0.00"/>
    <n v="0"/>
    <n v="0"/>
    <n v="0"/>
    <n v="0"/>
    <n v="217.84"/>
    <n v="0"/>
    <n v="217.84"/>
    <n v="82.16"/>
  </r>
  <r>
    <x v="0"/>
    <x v="13"/>
    <x v="13"/>
    <x v="1"/>
    <x v="3"/>
    <x v="3"/>
    <x v="265"/>
    <x v="326"/>
    <s v="Sauncy, Toni D."/>
    <n v="0"/>
    <s v="0.00"/>
    <n v="0"/>
    <n v="0"/>
    <n v="0"/>
    <n v="0"/>
    <n v="283.47000000000003"/>
    <n v="16.53"/>
    <n v="300"/>
    <n v="0"/>
  </r>
  <r>
    <x v="1"/>
    <x v="13"/>
    <x v="13"/>
    <x v="1"/>
    <x v="3"/>
    <x v="3"/>
    <x v="265"/>
    <x v="326"/>
    <s v="Sauncy, Toni D."/>
    <n v="16.53"/>
    <n v="16.53"/>
    <n v="0"/>
    <n v="0"/>
    <n v="0"/>
    <n v="0"/>
    <n v="0"/>
    <n v="16.53"/>
    <n v="16.53"/>
    <n v="0"/>
  </r>
  <r>
    <x v="0"/>
    <x v="13"/>
    <x v="13"/>
    <x v="1"/>
    <x v="3"/>
    <x v="3"/>
    <x v="266"/>
    <x v="327"/>
    <s v="Weise, Shelly D."/>
    <n v="0"/>
    <s v="0.00"/>
    <n v="0"/>
    <n v="0"/>
    <n v="0"/>
    <n v="0"/>
    <n v="300"/>
    <n v="0"/>
    <n v="300"/>
    <n v="0"/>
  </r>
  <r>
    <x v="0"/>
    <x v="13"/>
    <x v="13"/>
    <x v="1"/>
    <x v="3"/>
    <x v="3"/>
    <x v="267"/>
    <x v="328"/>
    <s v="Osborne, Edith M."/>
    <n v="0"/>
    <s v="0.00"/>
    <n v="0"/>
    <n v="0"/>
    <n v="0"/>
    <n v="0"/>
    <n v="293.10000000000002"/>
    <n v="0"/>
    <n v="293.10000000000002"/>
    <n v="6.9"/>
  </r>
  <r>
    <x v="0"/>
    <x v="13"/>
    <x v="13"/>
    <x v="1"/>
    <x v="3"/>
    <x v="3"/>
    <x v="268"/>
    <x v="329"/>
    <s v="Williams, Scott C."/>
    <n v="0"/>
    <s v="0.00"/>
    <n v="0"/>
    <n v="0"/>
    <n v="0"/>
    <n v="0"/>
    <n v="87.95"/>
    <n v="0"/>
    <n v="87.95"/>
    <n v="212.05"/>
  </r>
  <r>
    <x v="0"/>
    <x v="13"/>
    <x v="13"/>
    <x v="1"/>
    <x v="3"/>
    <x v="3"/>
    <x v="269"/>
    <x v="330"/>
    <s v="Satterfield, Joseph I."/>
    <n v="0"/>
    <s v="0.00"/>
    <n v="0"/>
    <n v="0"/>
    <n v="0"/>
    <n v="0"/>
    <n v="286.5"/>
    <n v="286.5"/>
    <n v="573"/>
    <n v="-273"/>
  </r>
  <r>
    <x v="1"/>
    <x v="13"/>
    <x v="13"/>
    <x v="1"/>
    <x v="3"/>
    <x v="3"/>
    <x v="269"/>
    <x v="330"/>
    <s v="Satterfield, Joseph I."/>
    <n v="286.5"/>
    <n v="286.5"/>
    <n v="0"/>
    <n v="0"/>
    <n v="0"/>
    <n v="0"/>
    <n v="285.58999999999997"/>
    <n v="0.91"/>
    <n v="286.5"/>
    <n v="0"/>
  </r>
  <r>
    <x v="0"/>
    <x v="13"/>
    <x v="13"/>
    <x v="1"/>
    <x v="3"/>
    <x v="3"/>
    <x v="270"/>
    <x v="331"/>
    <s v="Guardiola, Amaris R."/>
    <n v="0"/>
    <s v="0.00"/>
    <n v="0"/>
    <n v="0"/>
    <n v="0"/>
    <n v="0"/>
    <n v="300"/>
    <n v="0"/>
    <n v="300"/>
    <n v="0"/>
  </r>
  <r>
    <x v="1"/>
    <x v="2"/>
    <x v="2"/>
    <x v="1"/>
    <x v="3"/>
    <x v="3"/>
    <x v="271"/>
    <x v="332"/>
    <s v="Ammerman, Loren K."/>
    <n v="0"/>
    <s v="0.00"/>
    <n v="0"/>
    <n v="0"/>
    <n v="0"/>
    <n v="0"/>
    <n v="193.97"/>
    <n v="0"/>
    <n v="193.97"/>
    <n v="306.02999999999997"/>
  </r>
  <r>
    <x v="0"/>
    <x v="13"/>
    <x v="13"/>
    <x v="1"/>
    <x v="3"/>
    <x v="3"/>
    <x v="272"/>
    <x v="333"/>
    <s v="May, Brian J."/>
    <n v="5000"/>
    <s v="0.00"/>
    <n v="5000"/>
    <n v="0"/>
    <n v="0"/>
    <n v="0"/>
    <n v="2098.66"/>
    <n v="0"/>
    <n v="2098.66"/>
    <n v="2551.34"/>
  </r>
  <r>
    <x v="0"/>
    <x v="43"/>
    <x v="49"/>
    <x v="1"/>
    <x v="3"/>
    <x v="3"/>
    <x v="273"/>
    <x v="334"/>
    <s v="Swets, Paul K."/>
    <n v="18619.580000000002"/>
    <n v="619.58000000000004"/>
    <n v="18000"/>
    <n v="0"/>
    <n v="0"/>
    <n v="0"/>
    <n v="12981.06"/>
    <n v="0"/>
    <n v="12981.06"/>
    <n v="647.52"/>
  </r>
  <r>
    <x v="1"/>
    <x v="43"/>
    <x v="49"/>
    <x v="1"/>
    <x v="3"/>
    <x v="3"/>
    <x v="273"/>
    <x v="334"/>
    <s v="Swets, Paul K."/>
    <n v="9000"/>
    <s v="0.00"/>
    <n v="9000"/>
    <n v="0"/>
    <n v="0"/>
    <n v="0"/>
    <n v="1964.23"/>
    <n v="2036.76"/>
    <n v="4000.99"/>
    <n v="4999.01"/>
  </r>
  <r>
    <x v="0"/>
    <x v="43"/>
    <x v="49"/>
    <x v="1"/>
    <x v="3"/>
    <x v="3"/>
    <x v="73"/>
    <x v="335"/>
    <s v="Swets, Paul K."/>
    <n v="73623.509999999995"/>
    <n v="66123.509999999995"/>
    <n v="7500"/>
    <n v="1500"/>
    <n v="0"/>
    <n v="0"/>
    <n v="67345.83"/>
    <n v="1534.38"/>
    <n v="70380.210000000006"/>
    <n v="498.3"/>
  </r>
  <r>
    <x v="1"/>
    <x v="43"/>
    <x v="49"/>
    <x v="1"/>
    <x v="3"/>
    <x v="3"/>
    <x v="73"/>
    <x v="335"/>
    <s v="Swets, Paul K."/>
    <n v="42309.38"/>
    <n v="1534.38"/>
    <n v="40775"/>
    <n v="0"/>
    <n v="879.74"/>
    <n v="0"/>
    <n v="19245.47"/>
    <n v="872.79"/>
    <n v="20998"/>
    <n v="14519.38"/>
  </r>
  <r>
    <x v="0"/>
    <x v="44"/>
    <x v="50"/>
    <x v="1"/>
    <x v="3"/>
    <x v="3"/>
    <x v="74"/>
    <x v="336"/>
    <s v="Gaulden, Corbett F."/>
    <n v="4325"/>
    <s v="0.00"/>
    <n v="4325"/>
    <n v="2625"/>
    <n v="0"/>
    <n v="0"/>
    <n v="3989.66"/>
    <n v="119.88"/>
    <n v="6734.54"/>
    <n v="62.71"/>
  </r>
  <r>
    <x v="1"/>
    <x v="44"/>
    <x v="50"/>
    <x v="1"/>
    <x v="3"/>
    <x v="3"/>
    <x v="74"/>
    <x v="336"/>
    <s v="Gaulden, Corbett F."/>
    <n v="9988.8799999999992"/>
    <n v="119.88"/>
    <n v="9869"/>
    <n v="0"/>
    <n v="3434.86"/>
    <n v="525"/>
    <n v="3426.59"/>
    <n v="403.89"/>
    <n v="7790.34"/>
    <n v="3728.54"/>
  </r>
  <r>
    <x v="0"/>
    <x v="44"/>
    <x v="50"/>
    <x v="1"/>
    <x v="3"/>
    <x v="3"/>
    <x v="274"/>
    <x v="337"/>
    <s v="Gaulden, Corbett F."/>
    <n v="18129.3"/>
    <n v="129.30000000000001"/>
    <n v="18000"/>
    <n v="0"/>
    <n v="2265.63"/>
    <n v="0"/>
    <n v="9543.44"/>
    <n v="0"/>
    <n v="11809.07"/>
    <n v="3935.23"/>
  </r>
  <r>
    <x v="1"/>
    <x v="44"/>
    <x v="50"/>
    <x v="1"/>
    <x v="3"/>
    <x v="3"/>
    <x v="274"/>
    <x v="337"/>
    <s v="Gaulden, Corbett F."/>
    <n v="9000"/>
    <s v="0.00"/>
    <n v="9000"/>
    <n v="0"/>
    <n v="0"/>
    <n v="0"/>
    <n v="892"/>
    <n v="15"/>
    <n v="907"/>
    <n v="6288"/>
  </r>
  <r>
    <x v="0"/>
    <x v="45"/>
    <x v="51"/>
    <x v="1"/>
    <x v="3"/>
    <x v="3"/>
    <x v="75"/>
    <x v="338"/>
    <s v="Miazga, John J."/>
    <n v="13618.84"/>
    <n v="2564.84"/>
    <n v="11054"/>
    <n v="9802.27"/>
    <n v="0"/>
    <n v="0"/>
    <n v="10186.51"/>
    <n v="0"/>
    <n v="19988.78"/>
    <n v="302.56"/>
  </r>
  <r>
    <x v="1"/>
    <x v="45"/>
    <x v="51"/>
    <x v="1"/>
    <x v="3"/>
    <x v="3"/>
    <x v="75"/>
    <x v="338"/>
    <s v="Miazga, John J."/>
    <n v="30918"/>
    <s v="0.00"/>
    <n v="30918"/>
    <n v="0"/>
    <n v="0"/>
    <n v="0"/>
    <n v="10825.22"/>
    <n v="1269.96"/>
    <n v="12095.18"/>
    <n v="18822.82"/>
  </r>
  <r>
    <x v="0"/>
    <x v="45"/>
    <x v="51"/>
    <x v="1"/>
    <x v="3"/>
    <x v="3"/>
    <x v="275"/>
    <x v="339"/>
    <s v="Miazga, John J."/>
    <n v="23052.080000000002"/>
    <n v="5052.08"/>
    <n v="18000"/>
    <n v="0"/>
    <n v="0"/>
    <n v="1500"/>
    <n v="14852.08"/>
    <n v="3088.3"/>
    <n v="19440.38"/>
    <n v="2351.6999999999998"/>
  </r>
  <r>
    <x v="1"/>
    <x v="45"/>
    <x v="51"/>
    <x v="1"/>
    <x v="3"/>
    <x v="3"/>
    <x v="275"/>
    <x v="339"/>
    <s v="Miazga, John J."/>
    <n v="12088.3"/>
    <n v="3088.3"/>
    <n v="9000"/>
    <n v="0"/>
    <n v="0"/>
    <n v="0"/>
    <n v="5185.3599999999997"/>
    <n v="603.98"/>
    <n v="5789.34"/>
    <n v="6298.96"/>
  </r>
  <r>
    <x v="0"/>
    <x v="46"/>
    <x v="52"/>
    <x v="1"/>
    <x v="3"/>
    <x v="3"/>
    <x v="76"/>
    <x v="340"/>
    <s v="Swets, Paul K."/>
    <n v="27979.56"/>
    <n v="1743.56"/>
    <n v="26236"/>
    <n v="0"/>
    <n v="0"/>
    <n v="0"/>
    <n v="20823.02"/>
    <n v="0"/>
    <n v="20823.02"/>
    <n v="3902.29"/>
  </r>
  <r>
    <x v="0"/>
    <x v="46"/>
    <x v="52"/>
    <x v="1"/>
    <x v="3"/>
    <x v="3"/>
    <x v="276"/>
    <x v="341"/>
    <s v="Swets, Paul K."/>
    <n v="23652.07"/>
    <n v="5652.07"/>
    <n v="18000"/>
    <n v="0"/>
    <n v="0"/>
    <n v="0"/>
    <n v="19365.82"/>
    <n v="121.7"/>
    <n v="19487.52"/>
    <n v="2904.55"/>
  </r>
  <r>
    <x v="1"/>
    <x v="46"/>
    <x v="52"/>
    <x v="1"/>
    <x v="3"/>
    <x v="3"/>
    <x v="276"/>
    <x v="341"/>
    <s v="Swets, Paul K."/>
    <n v="121.7"/>
    <n v="121.7"/>
    <n v="0"/>
    <n v="0"/>
    <n v="0"/>
    <n v="0"/>
    <n v="121.7"/>
    <n v="0"/>
    <n v="121.7"/>
    <n v="0"/>
  </r>
  <r>
    <x v="0"/>
    <x v="47"/>
    <x v="53"/>
    <x v="1"/>
    <x v="3"/>
    <x v="3"/>
    <x v="77"/>
    <x v="342"/>
    <s v="Mayrand, Leslie M."/>
    <n v="14453"/>
    <n v="14453"/>
    <n v="0"/>
    <n v="750"/>
    <n v="0"/>
    <n v="0"/>
    <n v="10856.44"/>
    <n v="0"/>
    <n v="11606.44"/>
    <n v="3596.56"/>
  </r>
  <r>
    <x v="0"/>
    <x v="47"/>
    <x v="53"/>
    <x v="1"/>
    <x v="3"/>
    <x v="3"/>
    <x v="277"/>
    <x v="343"/>
    <s v="Mayrand, Leslie M."/>
    <n v="22700.080000000002"/>
    <n v="4700.08"/>
    <n v="18000"/>
    <n v="0"/>
    <n v="0"/>
    <n v="0"/>
    <n v="19031.400000000001"/>
    <n v="543.96"/>
    <n v="19575.36"/>
    <n v="1864.72"/>
  </r>
  <r>
    <x v="1"/>
    <x v="47"/>
    <x v="53"/>
    <x v="1"/>
    <x v="3"/>
    <x v="3"/>
    <x v="277"/>
    <x v="343"/>
    <s v="Mayrand, Leslie M."/>
    <n v="543.96"/>
    <n v="543.96"/>
    <n v="0"/>
    <n v="0"/>
    <n v="0"/>
    <n v="0"/>
    <n v="3291.82"/>
    <n v="529"/>
    <n v="3820.82"/>
    <n v="7827.54"/>
  </r>
  <r>
    <x v="0"/>
    <x v="13"/>
    <x v="13"/>
    <x v="1"/>
    <x v="3"/>
    <x v="3"/>
    <x v="78"/>
    <x v="344"/>
    <s v="May, Brian J."/>
    <n v="4633"/>
    <s v="0.00"/>
    <n v="4633"/>
    <n v="6000"/>
    <n v="0"/>
    <n v="0"/>
    <n v="4262.83"/>
    <n v="0"/>
    <n v="10262.83"/>
    <n v="45.86"/>
  </r>
  <r>
    <x v="1"/>
    <x v="13"/>
    <x v="13"/>
    <x v="1"/>
    <x v="3"/>
    <x v="3"/>
    <x v="78"/>
    <x v="344"/>
    <s v="May, Brian J."/>
    <n v="31466"/>
    <s v="0.00"/>
    <n v="31466"/>
    <n v="0"/>
    <n v="8259.75"/>
    <n v="0"/>
    <n v="5983.2"/>
    <n v="578.75"/>
    <n v="14821.7"/>
    <n v="13319.3"/>
  </r>
  <r>
    <x v="0"/>
    <x v="13"/>
    <x v="13"/>
    <x v="1"/>
    <x v="3"/>
    <x v="3"/>
    <x v="278"/>
    <x v="345"/>
    <s v="May, Brian J."/>
    <n v="27807.7"/>
    <n v="9807.7000000000007"/>
    <n v="18000"/>
    <n v="0"/>
    <n v="0"/>
    <n v="0"/>
    <n v="17763.900000000001"/>
    <n v="0"/>
    <n v="17763.900000000001"/>
    <n v="8783.7999999999993"/>
  </r>
  <r>
    <x v="1"/>
    <x v="13"/>
    <x v="13"/>
    <x v="1"/>
    <x v="3"/>
    <x v="3"/>
    <x v="278"/>
    <x v="345"/>
    <s v="May, Brian J."/>
    <n v="9000"/>
    <s v="0.00"/>
    <n v="9000"/>
    <n v="0"/>
    <n v="0"/>
    <n v="0"/>
    <n v="3836.8"/>
    <n v="0"/>
    <n v="3836.8"/>
    <n v="5163.2"/>
  </r>
  <r>
    <x v="1"/>
    <x v="1"/>
    <x v="1"/>
    <x v="1"/>
    <x v="3"/>
    <x v="3"/>
    <x v="79"/>
    <x v="346"/>
    <s v="May, Brian J."/>
    <n v="28311"/>
    <s v="0.00"/>
    <n v="28311"/>
    <n v="15236.65"/>
    <n v="0"/>
    <n v="0"/>
    <n v="1614.26"/>
    <n v="0"/>
    <n v="16850.91"/>
    <n v="11460.09"/>
  </r>
  <r>
    <x v="0"/>
    <x v="1"/>
    <x v="1"/>
    <x v="1"/>
    <x v="3"/>
    <x v="3"/>
    <x v="279"/>
    <x v="347"/>
    <s v="May, Brian J."/>
    <n v="14504"/>
    <s v="0.00"/>
    <n v="14504"/>
    <n v="0"/>
    <n v="0"/>
    <n v="0"/>
    <n v="2351.8000000000002"/>
    <n v="0"/>
    <n v="2351.8000000000002"/>
    <n v="2136.92"/>
  </r>
  <r>
    <x v="1"/>
    <x v="1"/>
    <x v="1"/>
    <x v="1"/>
    <x v="3"/>
    <x v="3"/>
    <x v="279"/>
    <x v="347"/>
    <s v="May, Brian J."/>
    <n v="12038"/>
    <s v="0.00"/>
    <n v="12038"/>
    <n v="0"/>
    <n v="0"/>
    <n v="0"/>
    <n v="2002.57"/>
    <n v="0"/>
    <n v="2002.57"/>
    <n v="9535.74"/>
  </r>
  <r>
    <x v="0"/>
    <x v="0"/>
    <x v="0"/>
    <x v="0"/>
    <x v="3"/>
    <x v="3"/>
    <x v="280"/>
    <x v="348"/>
    <s v="Sleutel, Martha R."/>
    <n v="1972.95"/>
    <n v="172.95"/>
    <n v="1800"/>
    <n v="0"/>
    <n v="0"/>
    <n v="0"/>
    <n v="402.87"/>
    <n v="0"/>
    <n v="402.87"/>
    <n v="1444.08"/>
  </r>
  <r>
    <x v="1"/>
    <x v="0"/>
    <x v="0"/>
    <x v="0"/>
    <x v="3"/>
    <x v="3"/>
    <x v="280"/>
    <x v="348"/>
    <s v="Sleutel, Martha R."/>
    <n v="1494"/>
    <s v="0.00"/>
    <n v="1494"/>
    <n v="0"/>
    <n v="0"/>
    <n v="0"/>
    <n v="0"/>
    <n v="0"/>
    <n v="0"/>
    <n v="1494"/>
  </r>
  <r>
    <x v="0"/>
    <x v="1"/>
    <x v="1"/>
    <x v="1"/>
    <x v="3"/>
    <x v="3"/>
    <x v="281"/>
    <x v="349"/>
    <s v="May, Brian J."/>
    <n v="25000"/>
    <s v="0.00"/>
    <n v="25000"/>
    <n v="0"/>
    <n v="0"/>
    <n v="0"/>
    <n v="12971.11"/>
    <n v="0"/>
    <n v="12971.11"/>
    <n v="3.89"/>
  </r>
  <r>
    <x v="1"/>
    <x v="1"/>
    <x v="1"/>
    <x v="1"/>
    <x v="3"/>
    <x v="3"/>
    <x v="281"/>
    <x v="349"/>
    <s v="May, Brian J."/>
    <n v="20750"/>
    <s v="0.00"/>
    <n v="20750"/>
    <n v="0"/>
    <n v="0"/>
    <n v="0"/>
    <n v="14278.97"/>
    <n v="2284.27"/>
    <n v="16563.240000000002"/>
    <n v="4186.76"/>
  </r>
  <r>
    <x v="0"/>
    <x v="48"/>
    <x v="54"/>
    <x v="1"/>
    <x v="3"/>
    <x v="3"/>
    <x v="282"/>
    <x v="350"/>
    <s v="Fortin, Maurice G."/>
    <n v="487451.35"/>
    <n v="9592.35"/>
    <n v="477859"/>
    <n v="298087.64"/>
    <n v="101749.98"/>
    <n v="0"/>
    <n v="45229.73"/>
    <n v="6985.48"/>
    <n v="452052.83"/>
    <n v="17469.87"/>
  </r>
  <r>
    <x v="1"/>
    <x v="48"/>
    <x v="54"/>
    <x v="1"/>
    <x v="3"/>
    <x v="3"/>
    <x v="282"/>
    <x v="350"/>
    <s v="Fortin, Maurice G."/>
    <n v="636153.48"/>
    <n v="6985.48"/>
    <n v="629168"/>
    <n v="235629.32"/>
    <n v="58842.19"/>
    <n v="0"/>
    <n v="14162.15"/>
    <n v="10671.29"/>
    <n v="319304.95"/>
    <n v="256972.53"/>
  </r>
  <r>
    <x v="0"/>
    <x v="13"/>
    <x v="13"/>
    <x v="1"/>
    <x v="3"/>
    <x v="3"/>
    <x v="283"/>
    <x v="351"/>
    <s v="May, Brian J."/>
    <n v="10000"/>
    <s v="0.00"/>
    <n v="10000"/>
    <n v="0"/>
    <n v="0"/>
    <n v="0"/>
    <n v="1074.98"/>
    <n v="0"/>
    <n v="1074.98"/>
    <n v="8225.02"/>
  </r>
  <r>
    <x v="1"/>
    <x v="13"/>
    <x v="13"/>
    <x v="1"/>
    <x v="3"/>
    <x v="3"/>
    <x v="283"/>
    <x v="351"/>
    <s v="May, Brian J."/>
    <n v="8300"/>
    <s v="0.00"/>
    <n v="8300"/>
    <n v="0"/>
    <n v="0"/>
    <n v="0"/>
    <n v="883.8"/>
    <n v="0"/>
    <n v="883.8"/>
    <n v="7416.2"/>
  </r>
  <r>
    <x v="1"/>
    <x v="51"/>
    <x v="57"/>
    <x v="5"/>
    <x v="3"/>
    <x v="3"/>
    <x v="97"/>
    <x v="352"/>
    <s v="Russell, John H."/>
    <n v="0"/>
    <s v="0.00"/>
    <n v="0"/>
    <n v="0"/>
    <n v="0"/>
    <n v="0"/>
    <n v="5264.89"/>
    <n v="2548.39"/>
    <n v="7813.28"/>
    <n v="7246.72"/>
  </r>
  <r>
    <x v="0"/>
    <x v="51"/>
    <x v="57"/>
    <x v="5"/>
    <x v="3"/>
    <x v="3"/>
    <x v="284"/>
    <x v="353"/>
    <s v="Russell, John H."/>
    <n v="0"/>
    <s v="0.00"/>
    <n v="0"/>
    <n v="0"/>
    <n v="0"/>
    <n v="0"/>
    <n v="0"/>
    <n v="3006.33"/>
    <n v="3006.33"/>
    <n v="639.66999999999996"/>
  </r>
  <r>
    <x v="1"/>
    <x v="51"/>
    <x v="57"/>
    <x v="5"/>
    <x v="3"/>
    <x v="3"/>
    <x v="284"/>
    <x v="353"/>
    <s v="Russell, John H."/>
    <n v="18066.330000000002"/>
    <n v="3006.33"/>
    <n v="15060"/>
    <n v="0"/>
    <n v="0"/>
    <n v="0"/>
    <n v="3006.33"/>
    <n v="0"/>
    <n v="3006.33"/>
    <n v="0"/>
  </r>
  <r>
    <x v="0"/>
    <x v="51"/>
    <x v="57"/>
    <x v="5"/>
    <x v="3"/>
    <x v="3"/>
    <x v="285"/>
    <x v="354"/>
    <s v="Russell, John H."/>
    <n v="62196.01"/>
    <n v="17196.009999999998"/>
    <n v="45000"/>
    <n v="0"/>
    <n v="0"/>
    <n v="0"/>
    <n v="29274.83"/>
    <n v="10827.5"/>
    <n v="40102.33"/>
    <n v="18943.68"/>
  </r>
  <r>
    <x v="1"/>
    <x v="51"/>
    <x v="57"/>
    <x v="5"/>
    <x v="3"/>
    <x v="3"/>
    <x v="285"/>
    <x v="354"/>
    <s v="Russell, John H."/>
    <n v="46309.5"/>
    <n v="10827.5"/>
    <n v="35482"/>
    <n v="0"/>
    <n v="0"/>
    <n v="0"/>
    <n v="10860"/>
    <n v="14887.5"/>
    <n v="25747.5"/>
    <n v="20562"/>
  </r>
  <r>
    <x v="0"/>
    <x v="50"/>
    <x v="56"/>
    <x v="5"/>
    <x v="3"/>
    <x v="3"/>
    <x v="96"/>
    <x v="355"/>
    <s v="Halbert, Jay S."/>
    <n v="98032.76"/>
    <n v="12485.76"/>
    <n v="85547"/>
    <n v="12648.6"/>
    <n v="0"/>
    <n v="0"/>
    <n v="38660.79"/>
    <n v="11695.73"/>
    <n v="63005.120000000003"/>
    <n v="41687.949999999997"/>
  </r>
  <r>
    <x v="1"/>
    <x v="50"/>
    <x v="56"/>
    <x v="5"/>
    <x v="3"/>
    <x v="3"/>
    <x v="96"/>
    <x v="355"/>
    <s v="Halbert, Jay S."/>
    <n v="125570.73"/>
    <n v="11695.73"/>
    <n v="113875"/>
    <n v="0"/>
    <n v="1298.51"/>
    <n v="0"/>
    <n v="540.21"/>
    <n v="22489.25"/>
    <n v="24327.97"/>
    <n v="83536.759999999995"/>
  </r>
  <r>
    <x v="0"/>
    <x v="52"/>
    <x v="58"/>
    <x v="5"/>
    <x v="3"/>
    <x v="3"/>
    <x v="98"/>
    <x v="356"/>
    <s v="Halbert, Jay S."/>
    <n v="907815.03"/>
    <n v="92246.03"/>
    <n v="815569"/>
    <n v="379957.29"/>
    <n v="9356.99"/>
    <n v="900"/>
    <n v="387474.68"/>
    <n v="38257.08"/>
    <n v="815946.04"/>
    <n v="89775.22"/>
  </r>
  <r>
    <x v="1"/>
    <x v="52"/>
    <x v="58"/>
    <x v="5"/>
    <x v="3"/>
    <x v="3"/>
    <x v="98"/>
    <x v="356"/>
    <s v="Halbert, Jay S."/>
    <n v="779372.08"/>
    <n v="38257.08"/>
    <n v="741115"/>
    <n v="205902.52"/>
    <n v="0"/>
    <n v="1012.5"/>
    <n v="247860.54"/>
    <n v="129498.32"/>
    <n v="584273.88"/>
    <n v="223503.2"/>
  </r>
  <r>
    <x v="0"/>
    <x v="53"/>
    <x v="59"/>
    <x v="5"/>
    <x v="3"/>
    <x v="3"/>
    <x v="99"/>
    <x v="357"/>
    <s v="Halbert, Jay S."/>
    <n v="695552.03"/>
    <n v="34088.03"/>
    <n v="661464"/>
    <n v="4860"/>
    <n v="0"/>
    <n v="0"/>
    <n v="633937.4"/>
    <n v="46931.71"/>
    <n v="685729.11"/>
    <n v="882.12"/>
  </r>
  <r>
    <x v="1"/>
    <x v="53"/>
    <x v="59"/>
    <x v="5"/>
    <x v="3"/>
    <x v="3"/>
    <x v="99"/>
    <x v="357"/>
    <s v="Halbert, Jay S."/>
    <n v="686334.71"/>
    <n v="46931.71"/>
    <n v="639403"/>
    <n v="0"/>
    <n v="0"/>
    <n v="0"/>
    <n v="355512.48"/>
    <n v="308732.65000000002"/>
    <n v="664245.13"/>
    <n v="22089.58"/>
  </r>
  <r>
    <x v="0"/>
    <x v="54"/>
    <x v="60"/>
    <x v="5"/>
    <x v="3"/>
    <x v="3"/>
    <x v="100"/>
    <x v="358"/>
    <s v="Halbert, Jay S."/>
    <n v="117300.71"/>
    <n v="5900.71"/>
    <n v="111400"/>
    <n v="15390"/>
    <n v="0"/>
    <n v="0"/>
    <n v="105002.37"/>
    <n v="7424.4"/>
    <n v="127816.77"/>
    <n v="7075.94"/>
  </r>
  <r>
    <x v="1"/>
    <x v="54"/>
    <x v="60"/>
    <x v="5"/>
    <x v="3"/>
    <x v="3"/>
    <x v="100"/>
    <x v="358"/>
    <s v="Halbert, Jay S."/>
    <n v="99886.399999999994"/>
    <n v="7424.4"/>
    <n v="92462"/>
    <n v="0"/>
    <n v="0"/>
    <n v="0"/>
    <n v="60937.51"/>
    <n v="46946.12"/>
    <n v="107883.63"/>
    <n v="3002.77"/>
  </r>
  <r>
    <x v="0"/>
    <x v="55"/>
    <x v="61"/>
    <x v="5"/>
    <x v="3"/>
    <x v="3"/>
    <x v="286"/>
    <x v="359"/>
    <s v="Halbert, Jay S."/>
    <n v="273727.34000000003"/>
    <n v="22727.34"/>
    <n v="251000"/>
    <n v="0"/>
    <n v="0"/>
    <n v="0"/>
    <n v="164988.85999999999"/>
    <n v="0"/>
    <n v="164988.85999999999"/>
    <n v="91168.48"/>
  </r>
  <r>
    <x v="1"/>
    <x v="55"/>
    <x v="61"/>
    <x v="5"/>
    <x v="3"/>
    <x v="3"/>
    <x v="286"/>
    <x v="359"/>
    <s v="Halbert, Jay S."/>
    <n v="186000"/>
    <s v="0.00"/>
    <n v="186000"/>
    <n v="0"/>
    <n v="0"/>
    <n v="0"/>
    <n v="113041.81"/>
    <n v="0"/>
    <n v="113041.81"/>
    <n v="72958.19"/>
  </r>
  <r>
    <x v="0"/>
    <x v="55"/>
    <x v="61"/>
    <x v="5"/>
    <x v="3"/>
    <x v="3"/>
    <x v="102"/>
    <x v="360"/>
    <s v="Halbert, Jay S."/>
    <n v="357325.66"/>
    <n v="48870.66"/>
    <n v="308455"/>
    <n v="0"/>
    <n v="0"/>
    <n v="0"/>
    <n v="1032767.32"/>
    <n v="0"/>
    <n v="1032767.32"/>
    <n v="205785.47"/>
  </r>
  <r>
    <x v="1"/>
    <x v="55"/>
    <x v="61"/>
    <x v="5"/>
    <x v="3"/>
    <x v="3"/>
    <x v="102"/>
    <x v="360"/>
    <s v="Halbert, Jay S."/>
    <n v="970000"/>
    <s v="0.00"/>
    <n v="970000"/>
    <n v="0"/>
    <n v="0"/>
    <n v="0"/>
    <n v="697633.82"/>
    <n v="0"/>
    <n v="697633.82"/>
    <n v="272366.18"/>
  </r>
  <r>
    <x v="0"/>
    <x v="55"/>
    <x v="61"/>
    <x v="5"/>
    <x v="3"/>
    <x v="3"/>
    <x v="287"/>
    <x v="361"/>
    <s v="Halbert, Jay S."/>
    <n v="242700"/>
    <n v="2700"/>
    <n v="240000"/>
    <n v="0"/>
    <n v="0"/>
    <n v="0"/>
    <n v="120671.57"/>
    <n v="0"/>
    <n v="120671.57"/>
    <n v="5228.43"/>
  </r>
  <r>
    <x v="1"/>
    <x v="55"/>
    <x v="61"/>
    <x v="5"/>
    <x v="3"/>
    <x v="3"/>
    <x v="287"/>
    <x v="361"/>
    <s v="Halbert, Jay S."/>
    <n v="145000"/>
    <s v="0.00"/>
    <n v="145000"/>
    <n v="0"/>
    <n v="0"/>
    <n v="0"/>
    <n v="75799.28"/>
    <n v="0"/>
    <n v="75799.28"/>
    <n v="69200.72"/>
  </r>
  <r>
    <x v="0"/>
    <x v="55"/>
    <x v="61"/>
    <x v="5"/>
    <x v="3"/>
    <x v="3"/>
    <x v="288"/>
    <x v="362"/>
    <s v="Halbert, Jay S."/>
    <n v="101909.13"/>
    <n v="9209.1299999999992"/>
    <n v="92700"/>
    <n v="0"/>
    <n v="0"/>
    <n v="0"/>
    <n v="79384.19"/>
    <n v="0"/>
    <n v="79384.19"/>
    <n v="16035.94"/>
  </r>
  <r>
    <x v="1"/>
    <x v="55"/>
    <x v="61"/>
    <x v="5"/>
    <x v="3"/>
    <x v="3"/>
    <x v="288"/>
    <x v="362"/>
    <s v="Halbert, Jay S."/>
    <n v="80000"/>
    <s v="0.00"/>
    <n v="80000"/>
    <n v="0"/>
    <n v="0"/>
    <n v="0"/>
    <n v="57613.91"/>
    <n v="0"/>
    <n v="57613.91"/>
    <n v="22386.09"/>
  </r>
  <r>
    <x v="0"/>
    <x v="55"/>
    <x v="61"/>
    <x v="5"/>
    <x v="3"/>
    <x v="3"/>
    <x v="289"/>
    <x v="363"/>
    <s v="Halbert, Jay S."/>
    <n v="47512.52"/>
    <n v="1762.52"/>
    <n v="45750"/>
    <n v="0"/>
    <n v="0"/>
    <n v="0"/>
    <n v="28531.66"/>
    <n v="0"/>
    <n v="28531.66"/>
    <n v="15778.36"/>
  </r>
  <r>
    <x v="1"/>
    <x v="55"/>
    <x v="61"/>
    <x v="5"/>
    <x v="3"/>
    <x v="3"/>
    <x v="289"/>
    <x v="363"/>
    <s v="Halbert, Jay S."/>
    <n v="30000"/>
    <s v="0.00"/>
    <n v="30000"/>
    <n v="0"/>
    <n v="0"/>
    <n v="0"/>
    <n v="17227.43"/>
    <n v="0"/>
    <n v="17227.43"/>
    <n v="12772.57"/>
  </r>
  <r>
    <x v="0"/>
    <x v="6"/>
    <x v="6"/>
    <x v="5"/>
    <x v="3"/>
    <x v="3"/>
    <x v="290"/>
    <x v="364"/>
    <s v="Flage, Bruce H."/>
    <n v="138046.64000000001"/>
    <n v="38046.639999999999"/>
    <n v="100000"/>
    <n v="0"/>
    <n v="0"/>
    <n v="0"/>
    <n v="14535.24"/>
    <n v="39321"/>
    <n v="53856.24"/>
    <n v="77190.399999999994"/>
  </r>
  <r>
    <x v="1"/>
    <x v="6"/>
    <x v="6"/>
    <x v="5"/>
    <x v="3"/>
    <x v="3"/>
    <x v="290"/>
    <x v="364"/>
    <s v="Flage, Bruce H."/>
    <n v="89321"/>
    <n v="39321"/>
    <n v="50000"/>
    <n v="0"/>
    <n v="0"/>
    <n v="0"/>
    <n v="82505.19"/>
    <n v="1974.59"/>
    <n v="84479.78"/>
    <n v="4841.22"/>
  </r>
  <r>
    <x v="0"/>
    <x v="51"/>
    <x v="57"/>
    <x v="5"/>
    <x v="3"/>
    <x v="3"/>
    <x v="291"/>
    <x v="365"/>
    <s v="Russell, John H."/>
    <n v="66000"/>
    <s v="0.00"/>
    <n v="66000"/>
    <n v="0"/>
    <n v="0"/>
    <n v="0"/>
    <n v="66000"/>
    <n v="0"/>
    <n v="66000"/>
    <n v="0"/>
  </r>
  <r>
    <x v="1"/>
    <x v="51"/>
    <x v="57"/>
    <x v="5"/>
    <x v="3"/>
    <x v="3"/>
    <x v="291"/>
    <x v="365"/>
    <s v="Russell, John H."/>
    <n v="66000"/>
    <s v="0.00"/>
    <n v="66000"/>
    <n v="0"/>
    <n v="0"/>
    <n v="0"/>
    <n v="39135.379999999997"/>
    <n v="21095"/>
    <n v="60230.38"/>
    <n v="5769.62"/>
  </r>
  <r>
    <x v="0"/>
    <x v="50"/>
    <x v="56"/>
    <x v="5"/>
    <x v="3"/>
    <x v="3"/>
    <x v="292"/>
    <x v="366"/>
    <s v="Halbert, Jay S."/>
    <n v="241079.65"/>
    <n v="77401.649999999994"/>
    <n v="163678"/>
    <n v="0"/>
    <n v="0"/>
    <n v="0"/>
    <n v="183334.39999999999"/>
    <n v="0"/>
    <n v="183334.39999999999"/>
    <n v="45387.79"/>
  </r>
  <r>
    <x v="1"/>
    <x v="50"/>
    <x v="56"/>
    <x v="5"/>
    <x v="3"/>
    <x v="3"/>
    <x v="292"/>
    <x v="366"/>
    <s v="Halbert, Jay S."/>
    <n v="81839"/>
    <s v="0.00"/>
    <n v="81839"/>
    <n v="0"/>
    <n v="0"/>
    <n v="0"/>
    <n v="5205.0200000000004"/>
    <n v="2444.29"/>
    <n v="7649.31"/>
    <n v="67389.69"/>
  </r>
  <r>
    <x v="0"/>
    <x v="51"/>
    <x v="57"/>
    <x v="5"/>
    <x v="3"/>
    <x v="3"/>
    <x v="293"/>
    <x v="367"/>
    <s v="Russell, John H."/>
    <n v="799014"/>
    <s v="0.00"/>
    <n v="799014"/>
    <n v="0"/>
    <n v="0"/>
    <n v="0"/>
    <n v="503485.84"/>
    <n v="0"/>
    <n v="503485.84"/>
    <n v="0.16"/>
  </r>
  <r>
    <x v="1"/>
    <x v="51"/>
    <x v="57"/>
    <x v="5"/>
    <x v="3"/>
    <x v="3"/>
    <x v="293"/>
    <x v="367"/>
    <s v="Russell, John H."/>
    <n v="504000"/>
    <s v="0.00"/>
    <n v="504000"/>
    <n v="0"/>
    <n v="0"/>
    <n v="0"/>
    <n v="0"/>
    <n v="0"/>
    <n v="0"/>
    <n v="504000"/>
  </r>
  <r>
    <x v="0"/>
    <x v="8"/>
    <x v="8"/>
    <x v="5"/>
    <x v="3"/>
    <x v="3"/>
    <x v="294"/>
    <x v="368"/>
    <m/>
    <n v="16000"/>
    <s v="0.00"/>
    <n v="16000"/>
    <n v="0"/>
    <n v="0"/>
    <n v="0"/>
    <n v="14780.09"/>
    <n v="415"/>
    <n v="15195.09"/>
    <n v="-67.63"/>
  </r>
  <r>
    <x v="1"/>
    <x v="8"/>
    <x v="8"/>
    <x v="5"/>
    <x v="3"/>
    <x v="3"/>
    <x v="294"/>
    <x v="368"/>
    <m/>
    <n v="13695"/>
    <n v="415"/>
    <n v="13280"/>
    <n v="0"/>
    <n v="0"/>
    <n v="0"/>
    <n v="1549.99"/>
    <n v="1930"/>
    <n v="3479.99"/>
    <n v="10215.01"/>
  </r>
  <r>
    <x v="0"/>
    <x v="84"/>
    <x v="94"/>
    <x v="5"/>
    <x v="3"/>
    <x v="3"/>
    <x v="295"/>
    <x v="369"/>
    <s v="Braden, Brian M."/>
    <n v="48000"/>
    <s v="0.00"/>
    <n v="48000"/>
    <n v="0"/>
    <n v="0"/>
    <n v="0"/>
    <n v="45041.63"/>
    <n v="0"/>
    <n v="45041.63"/>
    <n v="0"/>
  </r>
  <r>
    <x v="1"/>
    <x v="84"/>
    <x v="94"/>
    <x v="5"/>
    <x v="3"/>
    <x v="3"/>
    <x v="295"/>
    <x v="369"/>
    <s v="Braden, Brian M."/>
    <n v="39840"/>
    <s v="0.00"/>
    <n v="39840"/>
    <n v="0"/>
    <n v="0"/>
    <n v="0"/>
    <n v="21902.02"/>
    <n v="13808.22"/>
    <n v="35710.239999999998"/>
    <n v="4129.76"/>
  </r>
  <r>
    <x v="0"/>
    <x v="50"/>
    <x v="56"/>
    <x v="5"/>
    <x v="3"/>
    <x v="3"/>
    <x v="296"/>
    <x v="370"/>
    <s v="Halbert, Jay S."/>
    <n v="63058"/>
    <s v="0.00"/>
    <n v="63058"/>
    <n v="2472.7600000000002"/>
    <n v="0"/>
    <n v="0"/>
    <n v="14054.4"/>
    <n v="0"/>
    <n v="16527.16"/>
    <n v="42435.839999999997"/>
  </r>
  <r>
    <x v="1"/>
    <x v="50"/>
    <x v="56"/>
    <x v="5"/>
    <x v="3"/>
    <x v="3"/>
    <x v="296"/>
    <x v="370"/>
    <s v="Halbert, Jay S."/>
    <n v="20600"/>
    <s v="0.00"/>
    <n v="20600"/>
    <n v="1543.51"/>
    <n v="0"/>
    <n v="0"/>
    <n v="1398.93"/>
    <n v="638.65"/>
    <n v="3581.09"/>
    <n v="17018.91"/>
  </r>
  <r>
    <x v="0"/>
    <x v="85"/>
    <x v="95"/>
    <x v="5"/>
    <x v="3"/>
    <x v="3"/>
    <x v="297"/>
    <x v="371"/>
    <s v="Petty, Bradley C."/>
    <n v="8500"/>
    <s v="0.00"/>
    <n v="8500"/>
    <n v="0"/>
    <n v="0"/>
    <n v="0"/>
    <n v="7423.28"/>
    <n v="0"/>
    <n v="7423.28"/>
    <n v="481.72"/>
  </r>
  <r>
    <x v="1"/>
    <x v="85"/>
    <x v="95"/>
    <x v="5"/>
    <x v="3"/>
    <x v="3"/>
    <x v="297"/>
    <x v="371"/>
    <s v="Petty, Bradley C."/>
    <n v="7055"/>
    <s v="0.00"/>
    <n v="7055"/>
    <n v="0"/>
    <n v="0"/>
    <n v="0"/>
    <n v="1724.87"/>
    <n v="0"/>
    <n v="1724.87"/>
    <n v="5330.13"/>
  </r>
  <r>
    <x v="0"/>
    <x v="52"/>
    <x v="58"/>
    <x v="5"/>
    <x v="3"/>
    <x v="3"/>
    <x v="298"/>
    <x v="372"/>
    <s v="Halbert, Jay S."/>
    <n v="238417.25"/>
    <n v="8774.25"/>
    <n v="229643"/>
    <n v="38297.71"/>
    <n v="0"/>
    <n v="0"/>
    <n v="181759.72"/>
    <n v="9999.5400000000009"/>
    <n v="230056.97"/>
    <n v="5505.35"/>
  </r>
  <r>
    <x v="1"/>
    <x v="52"/>
    <x v="58"/>
    <x v="5"/>
    <x v="3"/>
    <x v="3"/>
    <x v="298"/>
    <x v="372"/>
    <s v="Halbert, Jay S."/>
    <n v="227918.54"/>
    <n v="9999.5400000000009"/>
    <n v="217919"/>
    <n v="19392.439999999999"/>
    <n v="0"/>
    <n v="0"/>
    <n v="113596.23"/>
    <n v="70404.350000000006"/>
    <n v="203393.02"/>
    <n v="24525.52"/>
  </r>
  <r>
    <x v="0"/>
    <x v="0"/>
    <x v="0"/>
    <x v="0"/>
    <x v="3"/>
    <x v="3"/>
    <x v="299"/>
    <x v="373"/>
    <s v="Rallo, Joseph C."/>
    <n v="200000"/>
    <s v="0.00"/>
    <n v="200000"/>
    <n v="0"/>
    <n v="0"/>
    <n v="0"/>
    <n v="211879.9"/>
    <n v="0"/>
    <n v="211879.9"/>
    <n v="-11879.9"/>
  </r>
  <r>
    <x v="1"/>
    <x v="0"/>
    <x v="0"/>
    <x v="0"/>
    <x v="3"/>
    <x v="3"/>
    <x v="299"/>
    <x v="373"/>
    <s v="Rallo, Joseph C."/>
    <n v="200000"/>
    <s v="0.00"/>
    <n v="200000"/>
    <n v="0"/>
    <n v="0"/>
    <n v="0"/>
    <n v="74977.58"/>
    <n v="0"/>
    <n v="74977.58"/>
    <n v="-12977.58"/>
  </r>
  <r>
    <x v="0"/>
    <x v="15"/>
    <x v="15"/>
    <x v="3"/>
    <x v="3"/>
    <x v="3"/>
    <x v="300"/>
    <x v="374"/>
    <s v="Bennett, Michelle A."/>
    <n v="20000"/>
    <s v="0.00"/>
    <n v="20000"/>
    <n v="0"/>
    <n v="0"/>
    <n v="0"/>
    <n v="5640.11"/>
    <n v="0"/>
    <n v="5640.11"/>
    <n v="14359.89"/>
  </r>
  <r>
    <x v="1"/>
    <x v="15"/>
    <x v="15"/>
    <x v="3"/>
    <x v="3"/>
    <x v="3"/>
    <x v="300"/>
    <x v="374"/>
    <s v="Bennett, Michelle A."/>
    <n v="16600"/>
    <s v="0.00"/>
    <n v="16600"/>
    <n v="0"/>
    <n v="0"/>
    <n v="0"/>
    <n v="0"/>
    <n v="0"/>
    <n v="0"/>
    <n v="8080"/>
  </r>
  <r>
    <x v="0"/>
    <x v="13"/>
    <x v="13"/>
    <x v="1"/>
    <x v="3"/>
    <x v="3"/>
    <x v="301"/>
    <x v="375"/>
    <s v="May, Brian J."/>
    <n v="0"/>
    <s v="0.00"/>
    <n v="0"/>
    <n v="0"/>
    <n v="0"/>
    <n v="0"/>
    <n v="18000"/>
    <n v="0"/>
    <n v="18000"/>
    <n v="-18000"/>
  </r>
  <r>
    <x v="1"/>
    <x v="13"/>
    <x v="13"/>
    <x v="1"/>
    <x v="3"/>
    <x v="3"/>
    <x v="301"/>
    <x v="375"/>
    <s v="May, Brian J."/>
    <n v="0"/>
    <s v="0.00"/>
    <n v="0"/>
    <n v="0"/>
    <n v="0"/>
    <n v="0"/>
    <n v="24000"/>
    <n v="0"/>
    <n v="24000"/>
    <n v="0"/>
  </r>
  <r>
    <x v="0"/>
    <x v="56"/>
    <x v="62"/>
    <x v="6"/>
    <x v="3"/>
    <x v="3"/>
    <x v="106"/>
    <x v="376"/>
    <s v="Penry, Jason C."/>
    <n v="0"/>
    <s v="0.00"/>
    <n v="0"/>
    <n v="0"/>
    <n v="0"/>
    <n v="0"/>
    <n v="625162.43999999994"/>
    <n v="0"/>
    <n v="625162.43999999994"/>
    <n v="-625162.43999999994"/>
  </r>
  <r>
    <x v="1"/>
    <x v="56"/>
    <x v="62"/>
    <x v="6"/>
    <x v="3"/>
    <x v="3"/>
    <x v="106"/>
    <x v="376"/>
    <s v="Penry, Jason C."/>
    <n v="0"/>
    <s v="0.00"/>
    <n v="0"/>
    <n v="0"/>
    <n v="0"/>
    <n v="0"/>
    <n v="824310.65"/>
    <n v="0"/>
    <n v="824310.65"/>
    <n v="-824310.65"/>
  </r>
  <r>
    <x v="0"/>
    <x v="9"/>
    <x v="9"/>
    <x v="2"/>
    <x v="3"/>
    <x v="3"/>
    <x v="302"/>
    <x v="377"/>
    <s v="Reid, Michael L."/>
    <n v="150000"/>
    <s v="0.00"/>
    <n v="150000"/>
    <n v="0"/>
    <n v="0"/>
    <n v="0"/>
    <n v="283000"/>
    <n v="0"/>
    <n v="283000"/>
    <n v="-133000"/>
  </r>
  <r>
    <x v="1"/>
    <x v="9"/>
    <x v="9"/>
    <x v="2"/>
    <x v="3"/>
    <x v="3"/>
    <x v="302"/>
    <x v="377"/>
    <s v="Reid, Michael L."/>
    <n v="150000"/>
    <s v="0.00"/>
    <n v="150000"/>
    <n v="0"/>
    <n v="0"/>
    <n v="0"/>
    <n v="259178"/>
    <n v="0"/>
    <n v="259178"/>
    <n v="-109178"/>
  </r>
  <r>
    <x v="1"/>
    <x v="62"/>
    <x v="68"/>
    <x v="0"/>
    <x v="3"/>
    <x v="3"/>
    <x v="303"/>
    <x v="378"/>
    <s v="Munoz, Joe"/>
    <n v="0"/>
    <s v="0.00"/>
    <n v="0"/>
    <n v="0"/>
    <n v="0"/>
    <n v="0"/>
    <n v="2000"/>
    <n v="0"/>
    <n v="2000"/>
    <n v="-2000"/>
  </r>
  <r>
    <x v="0"/>
    <x v="82"/>
    <x v="91"/>
    <x v="1"/>
    <x v="3"/>
    <x v="3"/>
    <x v="304"/>
    <x v="379"/>
    <s v="Rallo, Joseph C."/>
    <n v="275000"/>
    <s v="0.00"/>
    <n v="275000"/>
    <n v="0"/>
    <n v="0"/>
    <n v="0"/>
    <n v="268000"/>
    <n v="0"/>
    <n v="268000"/>
    <n v="7000"/>
  </r>
  <r>
    <x v="1"/>
    <x v="82"/>
    <x v="91"/>
    <x v="1"/>
    <x v="3"/>
    <x v="3"/>
    <x v="304"/>
    <x v="379"/>
    <s v="Rallo, Joseph C."/>
    <n v="228250"/>
    <s v="0.00"/>
    <n v="228250"/>
    <n v="0"/>
    <n v="0"/>
    <n v="0"/>
    <n v="24000"/>
    <n v="0"/>
    <n v="24000"/>
    <n v="204250"/>
  </r>
  <r>
    <x v="0"/>
    <x v="41"/>
    <x v="47"/>
    <x v="1"/>
    <x v="3"/>
    <x v="3"/>
    <x v="305"/>
    <x v="380"/>
    <s v="Eoff, Shirley M."/>
    <n v="90000"/>
    <s v="0.00"/>
    <n v="90000"/>
    <n v="0"/>
    <n v="0"/>
    <n v="0"/>
    <n v="90000"/>
    <n v="0"/>
    <n v="90000"/>
    <n v="0"/>
  </r>
  <r>
    <x v="1"/>
    <x v="41"/>
    <x v="47"/>
    <x v="1"/>
    <x v="3"/>
    <x v="3"/>
    <x v="305"/>
    <x v="380"/>
    <s v="Eoff, Shirley M."/>
    <n v="74700"/>
    <s v="0.00"/>
    <n v="74700"/>
    <n v="0"/>
    <n v="0"/>
    <n v="0"/>
    <n v="74700"/>
    <n v="0"/>
    <n v="74700"/>
    <n v="0"/>
  </r>
  <r>
    <x v="0"/>
    <x v="1"/>
    <x v="1"/>
    <x v="1"/>
    <x v="3"/>
    <x v="3"/>
    <x v="306"/>
    <x v="381"/>
    <s v="May, Brian J."/>
    <n v="0"/>
    <s v="0.00"/>
    <n v="0"/>
    <n v="0"/>
    <n v="0"/>
    <n v="0"/>
    <n v="5014.41"/>
    <n v="0"/>
    <n v="5014.41"/>
    <n v="0"/>
  </r>
  <r>
    <x v="0"/>
    <x v="52"/>
    <x v="58"/>
    <x v="5"/>
    <x v="3"/>
    <x v="3"/>
    <x v="307"/>
    <x v="382"/>
    <s v="Halbert, Jay S."/>
    <n v="166639.43"/>
    <n v="4476.43"/>
    <n v="162163"/>
    <n v="0"/>
    <n v="6752.97"/>
    <n v="0"/>
    <n v="83817.7"/>
    <n v="7521.93"/>
    <n v="98092.6"/>
    <n v="57766.07"/>
  </r>
  <r>
    <x v="1"/>
    <x v="52"/>
    <x v="58"/>
    <x v="5"/>
    <x v="3"/>
    <x v="3"/>
    <x v="307"/>
    <x v="382"/>
    <s v="Halbert, Jay S."/>
    <n v="144056.93"/>
    <n v="7521.93"/>
    <n v="136535"/>
    <n v="0"/>
    <n v="0"/>
    <n v="0"/>
    <n v="61794.44"/>
    <n v="14083.27"/>
    <n v="75877.710000000006"/>
    <n v="62179.22"/>
  </r>
  <r>
    <x v="0"/>
    <x v="42"/>
    <x v="73"/>
    <x v="2"/>
    <x v="3"/>
    <x v="3"/>
    <x v="308"/>
    <x v="383"/>
    <s v="Wright, Angelina W."/>
    <n v="1653381"/>
    <s v="0.00"/>
    <n v="1653381"/>
    <n v="0"/>
    <n v="0"/>
    <n v="0"/>
    <n v="2013683.5"/>
    <n v="0"/>
    <n v="2013683.5"/>
    <n v="102269.95"/>
  </r>
  <r>
    <x v="1"/>
    <x v="42"/>
    <x v="73"/>
    <x v="2"/>
    <x v="3"/>
    <x v="3"/>
    <x v="308"/>
    <x v="383"/>
    <s v="Wright, Angelina W."/>
    <n v="1894660"/>
    <s v="0.00"/>
    <n v="1894660"/>
    <n v="0"/>
    <n v="0"/>
    <n v="0"/>
    <n v="1917660"/>
    <n v="0"/>
    <n v="1917660"/>
    <n v="37110"/>
  </r>
  <r>
    <x v="0"/>
    <x v="42"/>
    <x v="73"/>
    <x v="2"/>
    <x v="3"/>
    <x v="3"/>
    <x v="309"/>
    <x v="384"/>
    <s v="Wright, Angelina W."/>
    <n v="0"/>
    <s v="0.00"/>
    <n v="0"/>
    <n v="0"/>
    <n v="0"/>
    <n v="0"/>
    <n v="70261.59"/>
    <n v="0"/>
    <n v="70261.59"/>
    <n v="0"/>
  </r>
  <r>
    <x v="1"/>
    <x v="42"/>
    <x v="73"/>
    <x v="2"/>
    <x v="3"/>
    <x v="3"/>
    <x v="70"/>
    <x v="385"/>
    <s v="Wright, Angelina W."/>
    <n v="131340"/>
    <s v="0.00"/>
    <n v="131340"/>
    <n v="0"/>
    <n v="0"/>
    <n v="0"/>
    <n v="0"/>
    <n v="0"/>
    <n v="0"/>
    <n v="27828.42"/>
  </r>
  <r>
    <x v="0"/>
    <x v="9"/>
    <x v="9"/>
    <x v="2"/>
    <x v="3"/>
    <x v="3"/>
    <x v="310"/>
    <x v="386"/>
    <s v="Reid, Michael L."/>
    <n v="86682"/>
    <s v="0.00"/>
    <n v="86682"/>
    <n v="0"/>
    <n v="0"/>
    <n v="0"/>
    <n v="86485.37"/>
    <n v="0"/>
    <n v="86485.37"/>
    <n v="196.63"/>
  </r>
  <r>
    <x v="1"/>
    <x v="9"/>
    <x v="9"/>
    <x v="2"/>
    <x v="3"/>
    <x v="3"/>
    <x v="310"/>
    <x v="386"/>
    <s v="Reid, Michael L."/>
    <n v="75175"/>
    <s v="0.00"/>
    <n v="75175"/>
    <n v="0"/>
    <n v="0"/>
    <n v="0"/>
    <n v="36771.879999999997"/>
    <n v="0"/>
    <n v="36771.879999999997"/>
    <n v="38403.120000000003"/>
  </r>
  <r>
    <x v="0"/>
    <x v="9"/>
    <x v="9"/>
    <x v="2"/>
    <x v="3"/>
    <x v="3"/>
    <x v="311"/>
    <x v="387"/>
    <s v="Reid, Michael L."/>
    <n v="657511"/>
    <s v="0.00"/>
    <n v="657511"/>
    <n v="0"/>
    <n v="0"/>
    <n v="0"/>
    <n v="661384.38"/>
    <n v="0"/>
    <n v="661384.38"/>
    <n v="-1359.38"/>
  </r>
  <r>
    <x v="1"/>
    <x v="9"/>
    <x v="9"/>
    <x v="2"/>
    <x v="3"/>
    <x v="3"/>
    <x v="311"/>
    <x v="387"/>
    <s v="Reid, Michael L."/>
    <n v="645000"/>
    <s v="0.00"/>
    <n v="645000"/>
    <n v="0"/>
    <n v="0"/>
    <n v="0"/>
    <n v="646251.96"/>
    <n v="0"/>
    <n v="646251.96"/>
    <n v="-1251.96"/>
  </r>
  <r>
    <x v="0"/>
    <x v="9"/>
    <x v="9"/>
    <x v="2"/>
    <x v="3"/>
    <x v="3"/>
    <x v="312"/>
    <x v="388"/>
    <s v="Reid, Michael L."/>
    <n v="11643"/>
    <s v="0.00"/>
    <n v="11643"/>
    <n v="0"/>
    <n v="0"/>
    <n v="0"/>
    <n v="7279.89"/>
    <n v="0"/>
    <n v="7279.89"/>
    <n v="1849.11"/>
  </r>
  <r>
    <x v="1"/>
    <x v="9"/>
    <x v="9"/>
    <x v="2"/>
    <x v="3"/>
    <x v="3"/>
    <x v="312"/>
    <x v="388"/>
    <s v="Reid, Michael L."/>
    <n v="7280"/>
    <s v="0.00"/>
    <n v="7280"/>
    <n v="0"/>
    <n v="0"/>
    <n v="0"/>
    <n v="7218.63"/>
    <n v="0"/>
    <n v="7218.63"/>
    <n v="61.37"/>
  </r>
  <r>
    <x v="1"/>
    <x v="2"/>
    <x v="2"/>
    <x v="1"/>
    <x v="3"/>
    <x v="3"/>
    <x v="313"/>
    <x v="389"/>
    <s v="Ward, James W."/>
    <n v="0"/>
    <s v="0.00"/>
    <n v="0"/>
    <n v="0"/>
    <n v="0"/>
    <n v="0"/>
    <n v="-400"/>
    <n v="0"/>
    <n v="-400"/>
    <n v="400"/>
  </r>
  <r>
    <x v="1"/>
    <x v="17"/>
    <x v="17"/>
    <x v="2"/>
    <x v="4"/>
    <x v="4"/>
    <x v="17"/>
    <x v="17"/>
    <s v="Wright, Angelina W."/>
    <n v="285228"/>
    <s v="0.00"/>
    <n v="285228"/>
    <n v="0"/>
    <n v="0"/>
    <n v="72390.67"/>
    <n v="0"/>
    <n v="0"/>
    <n v="72390.67"/>
    <n v="210487.33"/>
  </r>
  <r>
    <x v="1"/>
    <x v="17"/>
    <x v="17"/>
    <x v="2"/>
    <x v="4"/>
    <x v="4"/>
    <x v="18"/>
    <x v="18"/>
    <s v="Wright, Angelina W."/>
    <n v="0"/>
    <s v="0.00"/>
    <n v="0"/>
    <n v="0"/>
    <n v="0"/>
    <n v="1070.9100000000001"/>
    <n v="0"/>
    <n v="0"/>
    <n v="1070.9100000000001"/>
    <n v="1129.0899999999999"/>
  </r>
  <r>
    <x v="1"/>
    <x v="17"/>
    <x v="17"/>
    <x v="2"/>
    <x v="4"/>
    <x v="4"/>
    <x v="19"/>
    <x v="19"/>
    <s v="Wright, Angelina W."/>
    <n v="0"/>
    <s v="0.00"/>
    <n v="0"/>
    <n v="0"/>
    <n v="0"/>
    <n v="71.39"/>
    <n v="0"/>
    <n v="0"/>
    <n v="71.39"/>
    <n v="78.61"/>
  </r>
  <r>
    <x v="1"/>
    <x v="17"/>
    <x v="17"/>
    <x v="2"/>
    <x v="4"/>
    <x v="4"/>
    <x v="21"/>
    <x v="21"/>
    <s v="Wright, Angelina W."/>
    <n v="74908"/>
    <s v="0.00"/>
    <n v="74908"/>
    <n v="0"/>
    <n v="0"/>
    <n v="36811.26"/>
    <n v="0"/>
    <n v="0"/>
    <n v="36811.26"/>
    <n v="38096.74"/>
  </r>
  <r>
    <x v="1"/>
    <x v="17"/>
    <x v="17"/>
    <x v="2"/>
    <x v="4"/>
    <x v="4"/>
    <x v="22"/>
    <x v="22"/>
    <s v="Wright, Angelina W."/>
    <n v="58752"/>
    <s v="0.00"/>
    <n v="58752"/>
    <n v="0"/>
    <n v="0"/>
    <n v="27537.19"/>
    <n v="0"/>
    <n v="0"/>
    <n v="27537.19"/>
    <n v="30498.81"/>
  </r>
  <r>
    <x v="1"/>
    <x v="17"/>
    <x v="17"/>
    <x v="2"/>
    <x v="4"/>
    <x v="4"/>
    <x v="24"/>
    <x v="24"/>
    <s v="Wright, Angelina W."/>
    <n v="0"/>
    <s v="0.00"/>
    <n v="0"/>
    <n v="0"/>
    <n v="0"/>
    <n v="715.98"/>
    <n v="0"/>
    <n v="0"/>
    <n v="715.98"/>
    <n v="0.02"/>
  </r>
  <r>
    <x v="1"/>
    <x v="5"/>
    <x v="5"/>
    <x v="2"/>
    <x v="4"/>
    <x v="4"/>
    <x v="5"/>
    <x v="206"/>
    <s v="Brodnax, Denise H."/>
    <n v="166986"/>
    <s v="0.00"/>
    <n v="166986"/>
    <n v="77072.070000000007"/>
    <n v="2069.2399999999998"/>
    <n v="0"/>
    <n v="0"/>
    <n v="0"/>
    <n v="79141.31"/>
    <n v="87844.69"/>
  </r>
  <r>
    <x v="1"/>
    <x v="12"/>
    <x v="12"/>
    <x v="3"/>
    <x v="4"/>
    <x v="4"/>
    <x v="12"/>
    <x v="235"/>
    <s v="Weeaks, Cynthia D."/>
    <n v="385528"/>
    <s v="0.00"/>
    <n v="385528"/>
    <n v="164394.48000000001"/>
    <n v="6471.86"/>
    <n v="0"/>
    <n v="12324.44"/>
    <n v="4163.3599999999997"/>
    <n v="187354.14"/>
    <n v="170763.86"/>
  </r>
  <r>
    <x v="1"/>
    <x v="11"/>
    <x v="11"/>
    <x v="3"/>
    <x v="4"/>
    <x v="4"/>
    <x v="215"/>
    <x v="236"/>
    <s v="Loehring, Michael E."/>
    <n v="500361"/>
    <s v="0.00"/>
    <n v="500361"/>
    <n v="193475.53"/>
    <n v="29356.55"/>
    <n v="0"/>
    <n v="76107.41"/>
    <n v="12660.02"/>
    <n v="311599.51"/>
    <n v="216171.49"/>
  </r>
  <r>
    <x v="1"/>
    <x v="11"/>
    <x v="11"/>
    <x v="3"/>
    <x v="4"/>
    <x v="4"/>
    <x v="220"/>
    <x v="243"/>
    <s v="Loehring, Michael E."/>
    <n v="115837"/>
    <s v="0.00"/>
    <n v="115837"/>
    <n v="56421.48"/>
    <n v="0"/>
    <n v="0"/>
    <n v="0"/>
    <n v="0"/>
    <n v="56421.48"/>
    <n v="59415.519999999997"/>
  </r>
  <r>
    <x v="1"/>
    <x v="56"/>
    <x v="62"/>
    <x v="6"/>
    <x v="4"/>
    <x v="4"/>
    <x v="106"/>
    <x v="376"/>
    <s v="Penry, Jason C."/>
    <n v="0"/>
    <s v="0.00"/>
    <n v="0"/>
    <n v="0"/>
    <n v="0"/>
    <n v="0"/>
    <n v="58668.44"/>
    <n v="0"/>
    <n v="58668.44"/>
    <n v="-58668.44"/>
  </r>
  <r>
    <x v="2"/>
    <x v="86"/>
    <x v="96"/>
    <x v="9"/>
    <x v="5"/>
    <x v="5"/>
    <x v="314"/>
    <x v="390"/>
    <m/>
    <m/>
    <m/>
    <n v="106505617"/>
    <n v="51407246.710000008"/>
    <m/>
    <m/>
    <n v="38578942.599999987"/>
    <m/>
    <n v="100758737.65999994"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  <r>
    <x v="2"/>
    <x v="86"/>
    <x v="96"/>
    <x v="9"/>
    <x v="5"/>
    <x v="5"/>
    <x v="314"/>
    <x v="390"/>
    <m/>
    <m/>
    <m/>
    <n v="104918017"/>
    <m/>
    <m/>
    <m/>
    <m/>
    <m/>
    <m/>
    <m/>
  </r>
  <r>
    <x v="2"/>
    <x v="86"/>
    <x v="96"/>
    <x v="9"/>
    <x v="5"/>
    <x v="5"/>
    <x v="314"/>
    <x v="390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5:B12" firstHeaderRow="1" firstDataRow="1" firstDataCol="1" rowPageCount="3" colPageCount="1"/>
  <pivotFields count="15">
    <pivotField showAll="0"/>
    <pivotField showAll="0"/>
    <pivotField showAll="0"/>
    <pivotField axis="axisPage" multipleItemSelectionAllowed="1" showAll="0">
      <items count="109">
        <item x="0"/>
        <item x="1"/>
        <item x="2"/>
        <item x="3"/>
        <item x="4"/>
        <item x="5"/>
        <item x="49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50"/>
        <item x="28"/>
        <item x="29"/>
        <item x="51"/>
        <item x="30"/>
        <item x="52"/>
        <item x="31"/>
        <item x="32"/>
        <item x="33"/>
        <item x="34"/>
        <item x="35"/>
        <item x="36"/>
        <item x="55"/>
        <item x="37"/>
        <item x="53"/>
        <item h="1" x="38"/>
        <item x="39"/>
        <item x="54"/>
        <item x="40"/>
        <item x="41"/>
        <item x="42"/>
        <item x="43"/>
        <item x="44"/>
        <item h="1" x="45"/>
        <item h="1" x="46"/>
        <item h="1" x="47"/>
        <item h="1" x="48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105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106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7"/>
        <item t="default"/>
      </items>
    </pivotField>
    <pivotField showAll="0"/>
    <pivotField axis="axisRow" showAll="0">
      <items count="7">
        <item x="0"/>
        <item x="2"/>
        <item x="1"/>
        <item x="3"/>
        <item x="4"/>
        <item x="5"/>
        <item t="default"/>
      </items>
    </pivotField>
    <pivotField showAll="0"/>
    <pivotField axis="axisPage" multipleItemSelectionAllowed="1" showAll="0">
      <items count="5">
        <item h="1" x="2"/>
        <item x="0"/>
        <item x="1"/>
        <item x="3"/>
        <item t="default"/>
      </items>
    </pivotField>
    <pivotField axis="axisPage" multipleItemSelectionAllowed="1" showAll="0">
      <items count="18">
        <item x="3"/>
        <item x="4"/>
        <item x="5"/>
        <item x="6"/>
        <item x="7"/>
        <item x="14"/>
        <item x="13"/>
        <item x="8"/>
        <item x="10"/>
        <item x="9"/>
        <item x="2"/>
        <item x="0"/>
        <item x="1"/>
        <item x="15"/>
        <item h="1" x="11"/>
        <item x="12"/>
        <item x="16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3">
    <pageField fld="7" hier="-1"/>
    <pageField fld="8" hier="-1"/>
    <pageField fld="3" hier="-1"/>
  </pageFields>
  <dataFields count="1">
    <dataField name="Sum of Distribution Budget" fld="13" baseField="5" baseItem="0" numFmtId="43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6:B29" firstHeaderRow="1" firstDataRow="1" firstDataCol="1" rowPageCount="4" colPageCount="1"/>
  <pivotFields count="19">
    <pivotField axis="axisPage" showAll="0">
      <items count="4">
        <item x="0"/>
        <item x="1"/>
        <item x="2"/>
        <item t="default"/>
      </items>
    </pivotField>
    <pivotField axis="axisRow" showAll="0">
      <items count="90">
        <item x="30"/>
        <item x="11"/>
        <item x="31"/>
        <item x="18"/>
        <item x="19"/>
        <item x="60"/>
        <item x="42"/>
        <item x="66"/>
        <item x="20"/>
        <item x="4"/>
        <item x="75"/>
        <item x="16"/>
        <item x="57"/>
        <item x="82"/>
        <item x="21"/>
        <item x="59"/>
        <item x="22"/>
        <item x="3"/>
        <item x="37"/>
        <item x="5"/>
        <item x="35"/>
        <item x="53"/>
        <item x="47"/>
        <item x="43"/>
        <item x="44"/>
        <item x="45"/>
        <item x="13"/>
        <item x="46"/>
        <item x="8"/>
        <item x="55"/>
        <item x="23"/>
        <item x="50"/>
        <item x="51"/>
        <item x="15"/>
        <item x="14"/>
        <item x="54"/>
        <item m="1" x="88"/>
        <item x="41"/>
        <item x="71"/>
        <item x="84"/>
        <item x="69"/>
        <item x="63"/>
        <item x="77"/>
        <item x="36"/>
        <item x="72"/>
        <item x="52"/>
        <item x="32"/>
        <item x="6"/>
        <item x="38"/>
        <item x="26"/>
        <item x="27"/>
        <item x="62"/>
        <item x="39"/>
        <item x="65"/>
        <item x="74"/>
        <item x="56"/>
        <item x="70"/>
        <item x="40"/>
        <item x="28"/>
        <item x="24"/>
        <item x="48"/>
        <item x="0"/>
        <item x="7"/>
        <item x="1"/>
        <item m="1" x="87"/>
        <item x="29"/>
        <item x="73"/>
        <item x="80"/>
        <item x="12"/>
        <item x="33"/>
        <item x="58"/>
        <item x="76"/>
        <item x="78"/>
        <item x="49"/>
        <item x="17"/>
        <item x="81"/>
        <item x="64"/>
        <item x="34"/>
        <item x="79"/>
        <item x="83"/>
        <item x="10"/>
        <item x="85"/>
        <item x="2"/>
        <item x="67"/>
        <item x="9"/>
        <item x="61"/>
        <item x="68"/>
        <item x="86"/>
        <item x="25"/>
        <item t="default"/>
      </items>
    </pivotField>
    <pivotField axis="axisPage" multipleItemSelectionAllowed="1" showAll="0">
      <items count="98">
        <item h="1" x="0"/>
        <item h="1" x="3"/>
        <item h="1" x="72"/>
        <item h="1" x="68"/>
        <item h="1" x="1"/>
        <item h="1" x="91"/>
        <item h="1" x="54"/>
        <item h="1" x="47"/>
        <item h="1" x="2"/>
        <item h="1" x="65"/>
        <item h="1" x="92"/>
        <item h="1" x="89"/>
        <item h="1" x="63"/>
        <item h="1" x="71"/>
        <item h="1" x="14"/>
        <item h="1" x="49"/>
        <item x="18"/>
        <item x="19"/>
        <item x="20"/>
        <item x="21"/>
        <item x="22"/>
        <item x="23"/>
        <item x="24"/>
        <item x="25"/>
        <item x="27"/>
        <item x="26"/>
        <item x="29"/>
        <item x="28"/>
        <item h="1" x="50"/>
        <item x="30"/>
        <item x="31"/>
        <item x="32"/>
        <item x="33"/>
        <item h="1" x="64"/>
        <item h="1" x="51"/>
        <item x="35"/>
        <item x="36"/>
        <item x="34"/>
        <item h="1" x="52"/>
        <item x="37"/>
        <item x="38"/>
        <item x="39"/>
        <item x="40"/>
        <item x="41"/>
        <item x="43"/>
        <item h="1" x="53"/>
        <item x="42"/>
        <item x="45"/>
        <item x="44"/>
        <item x="46"/>
        <item h="1" x="13"/>
        <item h="1" x="55"/>
        <item h="1" x="9"/>
        <item h="1" x="87"/>
        <item h="1" x="73"/>
        <item h="1" x="4"/>
        <item h="1" x="17"/>
        <item h="1" x="80"/>
        <item h="1" x="79"/>
        <item h="1" x="84"/>
        <item h="1" x="86"/>
        <item h="1" x="85"/>
        <item h="1" x="88"/>
        <item h="1" x="5"/>
        <item h="1" x="56"/>
        <item h="1" x="59"/>
        <item h="1" x="61"/>
        <item h="1" x="60"/>
        <item h="1" x="58"/>
        <item h="1" x="57"/>
        <item h="1" x="6"/>
        <item h="1" x="81"/>
        <item h="1" x="7"/>
        <item h="1" x="82"/>
        <item h="1" x="10"/>
        <item h="1" x="83"/>
        <item h="1" x="67"/>
        <item h="1" x="76"/>
        <item h="1" x="70"/>
        <item h="1" x="90"/>
        <item h="1" x="66"/>
        <item h="1" x="11"/>
        <item h="1" x="16"/>
        <item h="1" x="15"/>
        <item h="1" x="12"/>
        <item h="1" x="95"/>
        <item h="1" x="75"/>
        <item h="1" x="62"/>
        <item h="1" x="96"/>
        <item h="1" x="8"/>
        <item h="1" x="93"/>
        <item h="1" x="77"/>
        <item h="1" x="78"/>
        <item h="1" x="74"/>
        <item h="1" x="69"/>
        <item h="1" x="94"/>
        <item h="1" x="48"/>
        <item t="default"/>
      </items>
    </pivotField>
    <pivotField showAll="0" defaultSubtotal="0"/>
    <pivotField axis="axisPage" multipleItemSelectionAllowed="1" showAll="0">
      <items count="10">
        <item x="3"/>
        <item h="1" x="1"/>
        <item x="2"/>
        <item h="1" m="1" x="6"/>
        <item h="1" m="1" x="7"/>
        <item h="1" m="1" x="8"/>
        <item x="0"/>
        <item x="4"/>
        <item x="5"/>
        <item t="default"/>
      </items>
    </pivotField>
    <pivotField showAll="0"/>
    <pivotField showAll="0"/>
    <pivotField axis="axisPage" multipleItemSelectionAllowed="1" showAll="0">
      <items count="397">
        <item x="0"/>
        <item x="1"/>
        <item x="2"/>
        <item x="3"/>
        <item x="127"/>
        <item x="122"/>
        <item x="4"/>
        <item x="5"/>
        <item x="6"/>
        <item x="7"/>
        <item x="8"/>
        <item x="9"/>
        <item m="1" x="393"/>
        <item x="10"/>
        <item x="123"/>
        <item x="11"/>
        <item x="12"/>
        <item x="124"/>
        <item x="13"/>
        <item x="14"/>
        <item x="15"/>
        <item x="125"/>
        <item x="128"/>
        <item x="129"/>
        <item x="130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131"/>
        <item x="67"/>
        <item x="68"/>
        <item x="69"/>
        <item x="70"/>
        <item x="71"/>
        <item x="132"/>
        <item x="72"/>
        <item x="73"/>
        <item x="74"/>
        <item x="75"/>
        <item m="1" x="394"/>
        <item x="133"/>
        <item x="134"/>
        <item m="1" x="395"/>
        <item x="76"/>
        <item x="77"/>
        <item x="78"/>
        <item x="135"/>
        <item x="79"/>
        <item x="80"/>
        <item x="81"/>
        <item x="136"/>
        <item x="137"/>
        <item x="82"/>
        <item x="83"/>
        <item x="84"/>
        <item x="85"/>
        <item x="86"/>
        <item x="87"/>
        <item x="88"/>
        <item x="126"/>
        <item h="1" x="89"/>
        <item x="90"/>
        <item x="91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60"/>
        <item m="1" x="392"/>
        <item m="1" x="391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h="1" x="116"/>
        <item h="1" x="117"/>
        <item h="1" x="118"/>
        <item h="1" x="119"/>
        <item h="1" x="120"/>
        <item h="1" x="121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23">
    <i>
      <x/>
    </i>
    <i>
      <x v="2"/>
    </i>
    <i>
      <x v="3"/>
    </i>
    <i>
      <x v="4"/>
    </i>
    <i>
      <x v="8"/>
    </i>
    <i>
      <x v="14"/>
    </i>
    <i>
      <x v="16"/>
    </i>
    <i>
      <x v="18"/>
    </i>
    <i>
      <x v="20"/>
    </i>
    <i>
      <x v="30"/>
    </i>
    <i>
      <x v="43"/>
    </i>
    <i>
      <x v="46"/>
    </i>
    <i>
      <x v="48"/>
    </i>
    <i>
      <x v="49"/>
    </i>
    <i>
      <x v="50"/>
    </i>
    <i>
      <x v="52"/>
    </i>
    <i>
      <x v="57"/>
    </i>
    <i>
      <x v="58"/>
    </i>
    <i>
      <x v="59"/>
    </i>
    <i>
      <x v="65"/>
    </i>
    <i>
      <x v="77"/>
    </i>
    <i>
      <x v="88"/>
    </i>
    <i t="grand">
      <x/>
    </i>
  </rowItems>
  <colItems count="1">
    <i/>
  </colItems>
  <pageFields count="4">
    <pageField fld="0" item="0" hier="-1"/>
    <pageField fld="4" hier="-1"/>
    <pageField fld="2" hier="-1"/>
    <pageField fld="7" hier="-1"/>
  </pageFields>
  <dataFields count="1">
    <dataField name="Sum of TOTAL EXPENSE" fld="17" baseField="1" baseItem="0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4:B14" firstHeaderRow="1" firstDataRow="1" firstDataCol="1" rowPageCount="2" colPageCount="1"/>
  <pivotFields count="19">
    <pivotField axis="axisPage" showAll="0">
      <items count="4">
        <item x="0"/>
        <item x="1"/>
        <item x="2"/>
        <item t="default"/>
      </items>
    </pivotField>
    <pivotField showAll="0"/>
    <pivotField multipleItemSelectionAllowed="1" showAll="0"/>
    <pivotField axis="axisRow" showAll="0" defaultSubtotal="0">
      <items count="10">
        <item x="0"/>
        <item x="1"/>
        <item x="2"/>
        <item x="7"/>
        <item x="3"/>
        <item x="8"/>
        <item x="6"/>
        <item x="9"/>
        <item x="4"/>
        <item x="5"/>
      </items>
    </pivotField>
    <pivotField showAll="0"/>
    <pivotField showAll="0"/>
    <pivotField showAll="0"/>
    <pivotField axis="axisPage" multipleItemSelectionAllowed="1" showAll="0">
      <items count="397">
        <item x="0"/>
        <item x="1"/>
        <item x="2"/>
        <item x="3"/>
        <item x="127"/>
        <item x="122"/>
        <item x="4"/>
        <item x="5"/>
        <item x="6"/>
        <item x="7"/>
        <item x="8"/>
        <item x="9"/>
        <item m="1" x="393"/>
        <item x="10"/>
        <item x="123"/>
        <item x="11"/>
        <item x="12"/>
        <item x="124"/>
        <item x="13"/>
        <item x="14"/>
        <item x="15"/>
        <item x="125"/>
        <item x="128"/>
        <item x="129"/>
        <item x="130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131"/>
        <item x="67"/>
        <item x="68"/>
        <item x="69"/>
        <item x="70"/>
        <item x="71"/>
        <item x="132"/>
        <item x="72"/>
        <item x="73"/>
        <item x="74"/>
        <item x="75"/>
        <item m="1" x="394"/>
        <item x="133"/>
        <item x="134"/>
        <item m="1" x="395"/>
        <item x="76"/>
        <item x="77"/>
        <item x="78"/>
        <item x="135"/>
        <item x="79"/>
        <item x="80"/>
        <item x="81"/>
        <item x="136"/>
        <item x="137"/>
        <item x="82"/>
        <item x="83"/>
        <item x="84"/>
        <item x="85"/>
        <item x="86"/>
        <item x="87"/>
        <item x="88"/>
        <item x="126"/>
        <item x="89"/>
        <item x="90"/>
        <item x="91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60"/>
        <item m="1" x="392"/>
        <item m="1" x="391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16"/>
        <item x="117"/>
        <item x="118"/>
        <item x="119"/>
        <item x="120"/>
        <item x="121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 t="grand">
      <x/>
    </i>
  </rowItems>
  <colItems count="1">
    <i/>
  </colItems>
  <pageFields count="2">
    <pageField fld="0" item="0" hier="-1"/>
    <pageField fld="7" hier="-1"/>
  </pageFields>
  <dataFields count="1">
    <dataField name="Sum of TOTAL EXPENSE" fld="17" baseField="3" baseItem="0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7:B29" firstHeaderRow="1" firstDataRow="1" firstDataCol="1" rowPageCount="5" colPageCount="1"/>
  <pivotFields count="19">
    <pivotField axis="axisPage" showAll="0">
      <items count="4">
        <item x="0"/>
        <item x="1"/>
        <item x="2"/>
        <item t="default"/>
      </items>
    </pivotField>
    <pivotField axis="axisRow" showAll="0">
      <items count="90">
        <item x="30"/>
        <item x="11"/>
        <item x="31"/>
        <item x="18"/>
        <item x="19"/>
        <item x="60"/>
        <item x="42"/>
        <item x="66"/>
        <item x="20"/>
        <item x="4"/>
        <item x="75"/>
        <item x="16"/>
        <item x="57"/>
        <item x="82"/>
        <item x="21"/>
        <item x="59"/>
        <item x="22"/>
        <item x="3"/>
        <item x="37"/>
        <item x="5"/>
        <item x="35"/>
        <item x="53"/>
        <item x="47"/>
        <item x="43"/>
        <item x="44"/>
        <item x="45"/>
        <item x="13"/>
        <item x="46"/>
        <item x="8"/>
        <item x="55"/>
        <item x="23"/>
        <item x="50"/>
        <item x="51"/>
        <item x="15"/>
        <item x="14"/>
        <item x="54"/>
        <item m="1" x="88"/>
        <item x="41"/>
        <item x="71"/>
        <item x="84"/>
        <item x="69"/>
        <item x="63"/>
        <item x="77"/>
        <item x="36"/>
        <item x="72"/>
        <item x="52"/>
        <item x="32"/>
        <item x="6"/>
        <item x="38"/>
        <item x="26"/>
        <item x="27"/>
        <item x="62"/>
        <item x="39"/>
        <item x="65"/>
        <item x="74"/>
        <item x="56"/>
        <item x="70"/>
        <item x="40"/>
        <item x="28"/>
        <item x="24"/>
        <item x="48"/>
        <item x="0"/>
        <item x="7"/>
        <item x="1"/>
        <item m="1" x="87"/>
        <item x="29"/>
        <item x="73"/>
        <item x="80"/>
        <item x="12"/>
        <item x="33"/>
        <item x="58"/>
        <item x="76"/>
        <item x="78"/>
        <item x="49"/>
        <item x="17"/>
        <item x="81"/>
        <item x="64"/>
        <item x="34"/>
        <item x="79"/>
        <item x="83"/>
        <item x="10"/>
        <item x="85"/>
        <item x="2"/>
        <item x="67"/>
        <item x="9"/>
        <item x="61"/>
        <item x="68"/>
        <item x="86"/>
        <item x="25"/>
        <item t="default"/>
      </items>
    </pivotField>
    <pivotField axis="axisPage" multipleItemSelectionAllowed="1" showAll="0">
      <items count="98">
        <item h="1" x="0"/>
        <item h="1" x="3"/>
        <item h="1" x="72"/>
        <item h="1" x="68"/>
        <item h="1" x="1"/>
        <item h="1" x="91"/>
        <item h="1" x="54"/>
        <item h="1" x="47"/>
        <item h="1" x="2"/>
        <item h="1" x="65"/>
        <item h="1" x="92"/>
        <item h="1" x="89"/>
        <item h="1" x="63"/>
        <item h="1" x="71"/>
        <item h="1" x="14"/>
        <item h="1" x="49"/>
        <item x="18"/>
        <item x="19"/>
        <item x="20"/>
        <item x="21"/>
        <item x="22"/>
        <item x="23"/>
        <item x="24"/>
        <item x="25"/>
        <item x="27"/>
        <item x="26"/>
        <item x="29"/>
        <item x="28"/>
        <item h="1" x="50"/>
        <item x="30"/>
        <item x="31"/>
        <item x="32"/>
        <item x="33"/>
        <item h="1" x="64"/>
        <item h="1" x="51"/>
        <item x="35"/>
        <item x="36"/>
        <item x="34"/>
        <item h="1" x="52"/>
        <item x="37"/>
        <item x="38"/>
        <item x="39"/>
        <item x="40"/>
        <item x="41"/>
        <item x="43"/>
        <item h="1" x="53"/>
        <item x="42"/>
        <item x="45"/>
        <item x="44"/>
        <item x="46"/>
        <item h="1" x="13"/>
        <item h="1" x="55"/>
        <item h="1" x="9"/>
        <item h="1" x="87"/>
        <item h="1" x="73"/>
        <item h="1" x="4"/>
        <item h="1" x="17"/>
        <item h="1" x="80"/>
        <item h="1" x="79"/>
        <item h="1" x="84"/>
        <item h="1" x="86"/>
        <item h="1" x="85"/>
        <item h="1" x="88"/>
        <item h="1" x="5"/>
        <item h="1" x="56"/>
        <item h="1" x="59"/>
        <item h="1" x="61"/>
        <item h="1" x="60"/>
        <item h="1" x="58"/>
        <item h="1" x="57"/>
        <item h="1" x="6"/>
        <item h="1" x="81"/>
        <item h="1" x="7"/>
        <item h="1" x="82"/>
        <item h="1" x="10"/>
        <item h="1" x="83"/>
        <item h="1" x="67"/>
        <item h="1" x="76"/>
        <item h="1" x="70"/>
        <item h="1" x="90"/>
        <item h="1" x="66"/>
        <item h="1" x="11"/>
        <item h="1" x="16"/>
        <item h="1" x="15"/>
        <item h="1" x="12"/>
        <item h="1" x="95"/>
        <item h="1" x="75"/>
        <item h="1" x="62"/>
        <item h="1" x="96"/>
        <item h="1" x="8"/>
        <item h="1" x="93"/>
        <item h="1" x="77"/>
        <item h="1" x="78"/>
        <item h="1" x="74"/>
        <item h="1" x="69"/>
        <item h="1" x="94"/>
        <item h="1" x="48"/>
        <item t="default"/>
      </items>
    </pivotField>
    <pivotField showAll="0" defaultSubtotal="0"/>
    <pivotField axis="axisPage" multipleItemSelectionAllowed="1" showAll="0">
      <items count="10">
        <item x="3"/>
        <item h="1" x="1"/>
        <item x="2"/>
        <item h="1" m="1" x="6"/>
        <item h="1" m="1" x="7"/>
        <item h="1" m="1" x="8"/>
        <item x="0"/>
        <item x="4"/>
        <item x="5"/>
        <item t="default"/>
      </items>
    </pivotField>
    <pivotField axis="axisPage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Page" multipleItemSelectionAllowed="1" showAll="0">
      <items count="397">
        <item x="0"/>
        <item x="1"/>
        <item x="2"/>
        <item x="3"/>
        <item x="127"/>
        <item x="122"/>
        <item x="4"/>
        <item x="5"/>
        <item x="6"/>
        <item x="7"/>
        <item x="8"/>
        <item x="9"/>
        <item m="1" x="393"/>
        <item x="10"/>
        <item x="123"/>
        <item x="11"/>
        <item x="12"/>
        <item x="124"/>
        <item x="13"/>
        <item x="14"/>
        <item x="15"/>
        <item x="125"/>
        <item x="128"/>
        <item x="129"/>
        <item x="130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131"/>
        <item x="67"/>
        <item x="68"/>
        <item x="69"/>
        <item x="70"/>
        <item x="71"/>
        <item x="132"/>
        <item x="72"/>
        <item x="73"/>
        <item x="74"/>
        <item x="75"/>
        <item m="1" x="394"/>
        <item x="133"/>
        <item x="134"/>
        <item m="1" x="395"/>
        <item x="76"/>
        <item x="77"/>
        <item x="78"/>
        <item x="135"/>
        <item h="1" x="79"/>
        <item x="80"/>
        <item x="81"/>
        <item x="136"/>
        <item x="137"/>
        <item x="82"/>
        <item x="83"/>
        <item x="84"/>
        <item x="85"/>
        <item x="86"/>
        <item x="87"/>
        <item x="88"/>
        <item x="126"/>
        <item h="1" x="89"/>
        <item x="90"/>
        <item x="91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60"/>
        <item m="1" x="392"/>
        <item m="1" x="391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h="1" x="116"/>
        <item h="1" x="117"/>
        <item h="1" x="118"/>
        <item h="1" x="119"/>
        <item h="1" x="120"/>
        <item h="1" x="121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2">
    <i>
      <x/>
    </i>
    <i>
      <x v="2"/>
    </i>
    <i>
      <x v="3"/>
    </i>
    <i>
      <x v="4"/>
    </i>
    <i>
      <x v="8"/>
    </i>
    <i>
      <x v="14"/>
    </i>
    <i>
      <x v="16"/>
    </i>
    <i>
      <x v="20"/>
    </i>
    <i>
      <x v="30"/>
    </i>
    <i>
      <x v="43"/>
    </i>
    <i>
      <x v="46"/>
    </i>
    <i>
      <x v="49"/>
    </i>
    <i>
      <x v="50"/>
    </i>
    <i>
      <x v="52"/>
    </i>
    <i>
      <x v="57"/>
    </i>
    <i>
      <x v="58"/>
    </i>
    <i>
      <x v="59"/>
    </i>
    <i>
      <x v="65"/>
    </i>
    <i>
      <x v="69"/>
    </i>
    <i>
      <x v="77"/>
    </i>
    <i>
      <x v="88"/>
    </i>
    <i t="grand">
      <x/>
    </i>
  </rowItems>
  <colItems count="1">
    <i/>
  </colItems>
  <pageFields count="5">
    <pageField fld="0" item="1" hier="-1"/>
    <pageField fld="4" hier="-1"/>
    <pageField fld="5" hier="-1"/>
    <pageField fld="2" hier="-1"/>
    <pageField fld="7" hier="-1"/>
  </pageFields>
  <dataFields count="1">
    <dataField name="Sum of BEGINNING BUDGET" fld="11" baseField="3" baseItem="0" numFmtId="43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4:B14" firstHeaderRow="1" firstDataRow="1" firstDataCol="1" rowPageCount="2" colPageCount="1"/>
  <pivotFields count="19">
    <pivotField axis="axisPage" showAll="0">
      <items count="4">
        <item x="0"/>
        <item x="1"/>
        <item x="2"/>
        <item t="default"/>
      </items>
    </pivotField>
    <pivotField showAll="0"/>
    <pivotField multipleItemSelectionAllowed="1" showAll="0"/>
    <pivotField axis="axisRow" showAll="0" defaultSubtotal="0">
      <items count="10">
        <item sd="0" x="0"/>
        <item sd="0" x="1"/>
        <item sd="0" x="2"/>
        <item sd="0" x="7"/>
        <item sd="0" x="3"/>
        <item sd="0" x="8"/>
        <item sd="0" x="6"/>
        <item x="9"/>
        <item sd="0" x="4"/>
        <item sd="0" x="5"/>
      </items>
    </pivotField>
    <pivotField showAll="0"/>
    <pivotField showAll="0"/>
    <pivotField axis="axisRow" showAll="0">
      <items count="317">
        <item x="47"/>
        <item x="234"/>
        <item x="244"/>
        <item x="48"/>
        <item x="209"/>
        <item x="211"/>
        <item x="170"/>
        <item x="215"/>
        <item x="49"/>
        <item x="240"/>
        <item x="29"/>
        <item x="30"/>
        <item x="208"/>
        <item x="125"/>
        <item x="31"/>
        <item x="169"/>
        <item x="225"/>
        <item x="63"/>
        <item x="166"/>
        <item x="204"/>
        <item m="1" x="315"/>
        <item x="32"/>
        <item x="33"/>
        <item x="300"/>
        <item x="181"/>
        <item x="4"/>
        <item x="190"/>
        <item x="98"/>
        <item x="296"/>
        <item x="16"/>
        <item x="256"/>
        <item x="263"/>
        <item x="264"/>
        <item x="257"/>
        <item x="265"/>
        <item x="266"/>
        <item x="258"/>
        <item x="259"/>
        <item x="260"/>
        <item x="267"/>
        <item x="268"/>
        <item x="269"/>
        <item x="261"/>
        <item x="270"/>
        <item x="262"/>
        <item x="108"/>
        <item x="112"/>
        <item x="113"/>
        <item x="230"/>
        <item x="235"/>
        <item x="34"/>
        <item x="77"/>
        <item x="248"/>
        <item x="73"/>
        <item x="74"/>
        <item x="246"/>
        <item x="75"/>
        <item x="247"/>
        <item x="78"/>
        <item x="76"/>
        <item x="36"/>
        <item x="202"/>
        <item x="126"/>
        <item x="35"/>
        <item x="3"/>
        <item x="295"/>
        <item x="59"/>
        <item x="284"/>
        <item x="5"/>
        <item x="109"/>
        <item x="200"/>
        <item x="55"/>
        <item x="56"/>
        <item x="99"/>
        <item x="192"/>
        <item x="180"/>
        <item x="188"/>
        <item x="193"/>
        <item x="273"/>
        <item x="274"/>
        <item x="275"/>
        <item x="278"/>
        <item x="277"/>
        <item x="276"/>
        <item x="231"/>
        <item x="173"/>
        <item x="174"/>
        <item x="172"/>
        <item x="175"/>
        <item x="179"/>
        <item x="8"/>
        <item x="189"/>
        <item x="38"/>
        <item x="37"/>
        <item x="302"/>
        <item x="114"/>
        <item x="121"/>
        <item x="120"/>
        <item x="297"/>
        <item x="253"/>
        <item x="255"/>
        <item x="254"/>
        <item x="307"/>
        <item x="95"/>
        <item x="96"/>
        <item x="97"/>
        <item x="285"/>
        <item x="281"/>
        <item x="279"/>
        <item x="127"/>
        <item x="250"/>
        <item x="249"/>
        <item x="280"/>
        <item x="104"/>
        <item x="15"/>
        <item x="214"/>
        <item x="116"/>
        <item x="303"/>
        <item x="14"/>
        <item x="210"/>
        <item x="243"/>
        <item x="70"/>
        <item x="222"/>
        <item x="301"/>
        <item x="186"/>
        <item x="227"/>
        <item x="100"/>
        <item x="306"/>
        <item x="41"/>
        <item x="69"/>
        <item x="305"/>
        <item x="194"/>
        <item x="195"/>
        <item x="124"/>
        <item x="182"/>
        <item x="185"/>
        <item x="184"/>
        <item x="79"/>
        <item x="304"/>
        <item x="150"/>
        <item x="183"/>
        <item x="196"/>
        <item x="207"/>
        <item x="298"/>
        <item x="57"/>
        <item x="58"/>
        <item x="282"/>
        <item x="82"/>
        <item x="81"/>
        <item x="242"/>
        <item x="197"/>
        <item x="117"/>
        <item x="50"/>
        <item x="107"/>
        <item x="6"/>
        <item x="290"/>
        <item x="68"/>
        <item x="60"/>
        <item x="42"/>
        <item x="51"/>
        <item x="43"/>
        <item x="229"/>
        <item x="228"/>
        <item x="72"/>
        <item x="62"/>
        <item x="61"/>
        <item x="21"/>
        <item x="178"/>
        <item x="1"/>
        <item x="168"/>
        <item x="11"/>
        <item x="216"/>
        <item x="218"/>
        <item x="198"/>
        <item x="217"/>
        <item x="0"/>
        <item x="12"/>
        <item x="171"/>
        <item x="205"/>
        <item x="177"/>
        <item x="176"/>
        <item x="201"/>
        <item x="18"/>
        <item x="20"/>
        <item x="19"/>
        <item x="101"/>
        <item x="191"/>
        <item x="293"/>
        <item x="123"/>
        <item x="65"/>
        <item x="64"/>
        <item x="44"/>
        <item x="122"/>
        <item x="292"/>
        <item x="39"/>
        <item x="40"/>
        <item x="220"/>
        <item x="13"/>
        <item x="115"/>
        <item x="165"/>
        <item x="7"/>
        <item x="203"/>
        <item x="46"/>
        <item x="66"/>
        <item x="45"/>
        <item x="286"/>
        <item x="102"/>
        <item x="287"/>
        <item x="289"/>
        <item x="288"/>
        <item x="199"/>
        <item x="213"/>
        <item x="226"/>
        <item x="224"/>
        <item x="291"/>
        <item x="84"/>
        <item x="85"/>
        <item x="86"/>
        <item x="87"/>
        <item x="88"/>
        <item x="89"/>
        <item x="90"/>
        <item x="91"/>
        <item x="92"/>
        <item x="93"/>
        <item x="94"/>
        <item x="83"/>
        <item x="129"/>
        <item x="130"/>
        <item x="131"/>
        <item x="132"/>
        <item x="133"/>
        <item x="251"/>
        <item x="25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283"/>
        <item x="128"/>
        <item x="71"/>
        <item x="236"/>
        <item x="237"/>
        <item x="233"/>
        <item x="311"/>
        <item x="312"/>
        <item x="238"/>
        <item x="245"/>
        <item x="206"/>
        <item x="299"/>
        <item x="110"/>
        <item x="52"/>
        <item x="111"/>
        <item x="223"/>
        <item x="239"/>
        <item x="232"/>
        <item x="27"/>
        <item x="28"/>
        <item x="187"/>
        <item x="17"/>
        <item x="219"/>
        <item x="271"/>
        <item x="313"/>
        <item x="272"/>
        <item x="221"/>
        <item x="9"/>
        <item x="53"/>
        <item x="54"/>
        <item x="310"/>
        <item x="105"/>
        <item x="212"/>
        <item x="308"/>
        <item x="309"/>
        <item x="119"/>
        <item x="24"/>
        <item x="25"/>
        <item x="23"/>
        <item x="22"/>
        <item x="167"/>
        <item x="106"/>
        <item x="103"/>
        <item x="241"/>
        <item x="26"/>
        <item x="10"/>
        <item x="80"/>
        <item x="2"/>
        <item x="118"/>
        <item x="294"/>
        <item x="153"/>
        <item x="154"/>
        <item x="161"/>
        <item x="164"/>
        <item x="163"/>
        <item x="156"/>
        <item x="160"/>
        <item x="155"/>
        <item x="159"/>
        <item x="151"/>
        <item x="162"/>
        <item x="157"/>
        <item x="158"/>
        <item x="152"/>
        <item x="67"/>
        <item x="314"/>
        <item t="default"/>
      </items>
    </pivotField>
    <pivotField axis="axisPage" multipleItemSelectionAllowed="1" showAll="0">
      <items count="397">
        <item x="0"/>
        <item x="1"/>
        <item x="2"/>
        <item x="3"/>
        <item x="127"/>
        <item x="122"/>
        <item x="4"/>
        <item x="5"/>
        <item x="6"/>
        <item x="7"/>
        <item x="8"/>
        <item x="9"/>
        <item m="1" x="393"/>
        <item x="10"/>
        <item x="123"/>
        <item x="11"/>
        <item x="12"/>
        <item x="124"/>
        <item x="13"/>
        <item x="14"/>
        <item x="15"/>
        <item x="125"/>
        <item x="128"/>
        <item x="129"/>
        <item x="130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131"/>
        <item x="67"/>
        <item x="68"/>
        <item x="69"/>
        <item x="70"/>
        <item x="71"/>
        <item x="132"/>
        <item x="72"/>
        <item x="73"/>
        <item x="74"/>
        <item x="75"/>
        <item m="1" x="394"/>
        <item x="133"/>
        <item x="134"/>
        <item m="1" x="395"/>
        <item x="76"/>
        <item x="77"/>
        <item x="78"/>
        <item x="135"/>
        <item x="79"/>
        <item x="80"/>
        <item x="81"/>
        <item x="136"/>
        <item x="137"/>
        <item x="82"/>
        <item x="83"/>
        <item x="84"/>
        <item x="85"/>
        <item x="86"/>
        <item x="87"/>
        <item x="88"/>
        <item x="126"/>
        <item x="89"/>
        <item x="90"/>
        <item x="91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60"/>
        <item m="1" x="392"/>
        <item m="1" x="391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16"/>
        <item x="117"/>
        <item x="118"/>
        <item x="119"/>
        <item x="120"/>
        <item x="121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 t="grand">
      <x/>
    </i>
  </rowItems>
  <colItems count="1">
    <i/>
  </colItems>
  <pageFields count="2">
    <pageField fld="0" item="1" hier="-1"/>
    <pageField fld="7" hier="-1"/>
  </pageFields>
  <dataFields count="1">
    <dataField name="Sum of BEGINNING BUDGET" fld="11" baseField="3" baseItem="0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S31" totalsRowShown="0">
  <autoFilter ref="A1:S31"/>
  <tableColumns count="19">
    <tableColumn id="1" name="FSYR"/>
    <tableColumn id="2" name="DEPARTMENT"/>
    <tableColumn id="3" name="DEPT CODE"/>
    <tableColumn id="4" name="Division"/>
    <tableColumn id="5" name="FUND"/>
    <tableColumn id="6" name="FUND CODE"/>
    <tableColumn id="7" name="ORGANIZATION"/>
    <tableColumn id="8" name="ORGN CODE"/>
    <tableColumn id="9" name="MANAGER"/>
    <tableColumn id="10" name="ADOPTED BUDGET"/>
    <tableColumn id="11" name="PRIOR YR ENC"/>
    <tableColumn id="12" name="BEGINNING BUDGET"/>
    <tableColumn id="13" name="SALARY"/>
    <tableColumn id="14" name="SALARY STUDENTS"/>
    <tableColumn id="15" name="BENEFITS"/>
    <tableColumn id="16" name="OPERATING EXPENSE"/>
    <tableColumn id="17" name="COMMITMENTS"/>
    <tableColumn id="18" name="TOTAL EXPENSE"/>
    <tableColumn id="19" name="AVAILABLE BAL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3:I64"/>
  <sheetViews>
    <sheetView topLeftCell="A4" zoomScale="67" zoomScaleNormal="67" workbookViewId="0">
      <selection activeCell="C42" sqref="C42"/>
    </sheetView>
  </sheetViews>
  <sheetFormatPr defaultColWidth="28.85546875" defaultRowHeight="15"/>
  <cols>
    <col min="1" max="1" width="38.5703125" bestFit="1" customWidth="1"/>
    <col min="2" max="2" width="0.85546875" customWidth="1"/>
    <col min="3" max="3" width="19.7109375" bestFit="1" customWidth="1"/>
    <col min="4" max="4" width="18.140625" customWidth="1"/>
    <col min="5" max="5" width="20.85546875" bestFit="1" customWidth="1"/>
    <col min="6" max="6" width="19.85546875" bestFit="1" customWidth="1"/>
    <col min="7" max="7" width="19.7109375" bestFit="1" customWidth="1"/>
    <col min="8" max="8" width="18.42578125" customWidth="1"/>
    <col min="9" max="9" width="29.28515625" bestFit="1" customWidth="1"/>
  </cols>
  <sheetData>
    <row r="3" spans="1:9">
      <c r="A3" s="25"/>
      <c r="B3" t="s">
        <v>86</v>
      </c>
      <c r="C3" s="109" t="s">
        <v>309</v>
      </c>
      <c r="D3" s="30"/>
      <c r="E3" s="30"/>
      <c r="F3" s="32">
        <v>0.92307692307692313</v>
      </c>
      <c r="G3" s="30"/>
      <c r="H3" s="30"/>
    </row>
    <row r="4" spans="1:9">
      <c r="A4" s="26" t="s">
        <v>38</v>
      </c>
      <c r="B4" t="s">
        <v>87</v>
      </c>
      <c r="C4" s="45" t="s">
        <v>85</v>
      </c>
      <c r="D4" s="31" t="s">
        <v>46</v>
      </c>
      <c r="E4" s="31" t="s">
        <v>47</v>
      </c>
      <c r="F4" s="31" t="s">
        <v>104</v>
      </c>
      <c r="G4" s="34" t="s">
        <v>49</v>
      </c>
      <c r="H4" s="33" t="s">
        <v>50</v>
      </c>
    </row>
    <row r="5" spans="1:9">
      <c r="A5" s="25"/>
    </row>
    <row r="6" spans="1:9">
      <c r="A6" s="25" t="s">
        <v>39</v>
      </c>
      <c r="B6" s="77">
        <f>GETPIVOTDATA("BEGINNING BUDGET",'fy12 budget (2)'!$A$3,"Division","1")</f>
        <v>1715950</v>
      </c>
      <c r="C6" s="75">
        <f>Calculations!N8</f>
        <v>1015869</v>
      </c>
      <c r="D6" s="20">
        <f ca="1">INDIRECT(ADDRESS(MATCH(A6,Calculations!B:B,0),15,1,1,"Calculations"))</f>
        <v>0</v>
      </c>
      <c r="E6" s="20">
        <f ca="1">INDIRECT(ADDRESS(MATCH(A6,Calculations!B:B,0),16,1,1,"Calculations"))</f>
        <v>276744.39933764224</v>
      </c>
      <c r="F6" s="20">
        <f ca="1">INDIRECT(ADDRESS(MATCH(A6,Calculations!B:B,0),17,1,1,"Calculations"))</f>
        <v>1292613.3993376424</v>
      </c>
      <c r="G6" s="90">
        <f>GETPIVOTDATA("TOTAL EXPENSE",'FY11 expense (2)'!$A$4,"Division","1")</f>
        <v>1767758.31</v>
      </c>
      <c r="H6" s="15">
        <f ca="1">F6-B6</f>
        <v>-423336.60066235764</v>
      </c>
      <c r="I6" s="4"/>
    </row>
    <row r="7" spans="1:9">
      <c r="A7" s="28" t="s">
        <v>40</v>
      </c>
      <c r="B7" s="90">
        <f>GETPIVOTDATA("BEGINNING BUDGET",'fy12 budget (2)'!$A$3,"Division","2")-(SUM(B12:B33))</f>
        <v>4998016</v>
      </c>
      <c r="C7" s="75">
        <f>Calculations!N9</f>
        <v>3900785</v>
      </c>
      <c r="D7" s="83">
        <f ca="1">INDIRECT(ADDRESS(MATCH(A7,Calculations!B:B,0),15,1,1,"Calculations"))</f>
        <v>0</v>
      </c>
      <c r="E7" s="83">
        <f ca="1">INDIRECT(ADDRESS(MATCH(A7,Calculations!B:B,0),16,1,1,"Calculations"))</f>
        <v>1062657.0963089578</v>
      </c>
      <c r="F7" s="83">
        <f ca="1">INDIRECT(ADDRESS(MATCH(A7,Calculations!B:B,0),17,1,1,"Calculations"))</f>
        <v>4963442.0963089578</v>
      </c>
      <c r="G7" s="117">
        <f>GETPIVOTDATA("TOTAL EXPENSE",'FY11 expense (2)'!$A$4,"Division","2")-(SUM(G12:G33))</f>
        <v>6538746.94000002</v>
      </c>
      <c r="H7" s="82">
        <f t="shared" ref="H7:H34" ca="1" si="0">F7-B7</f>
        <v>-34573.903691042215</v>
      </c>
      <c r="I7" s="4"/>
    </row>
    <row r="8" spans="1:9">
      <c r="A8" s="27" t="s">
        <v>41</v>
      </c>
      <c r="B8" s="90">
        <f>GETPIVOTDATA("BEGINNING BUDGET",'fy12 budget (2)'!$A$3,"Division","3")</f>
        <v>11834075</v>
      </c>
      <c r="C8" s="75">
        <f>Calculations!N10</f>
        <v>3762774</v>
      </c>
      <c r="D8" s="83">
        <f ca="1">INDIRECT(ADDRESS(MATCH(A8,Calculations!B:B,0),15,1,1,"Calculations"))</f>
        <v>0</v>
      </c>
      <c r="E8" s="83">
        <f ca="1">INDIRECT(ADDRESS(MATCH(A8,Calculations!B:B,0),16,1,1,"Calculations"))</f>
        <v>1025059.9540622832</v>
      </c>
      <c r="F8" s="83">
        <f ca="1">INDIRECT(ADDRESS(MATCH(A8,Calculations!B:B,0),17,1,1,"Calculations"))</f>
        <v>4787833.954062283</v>
      </c>
      <c r="G8" s="117">
        <f>GETPIVOTDATA("TOTAL EXPENSE",'FY11 expense (2)'!$A$4,"Division","3")</f>
        <v>13064219.670000002</v>
      </c>
      <c r="H8" s="82">
        <f t="shared" ca="1" si="0"/>
        <v>-7046241.045937717</v>
      </c>
      <c r="I8" s="4"/>
    </row>
    <row r="9" spans="1:9">
      <c r="A9" s="29" t="s">
        <v>42</v>
      </c>
      <c r="B9" s="90">
        <f>GETPIVOTDATA("BEGINNING BUDGET",'fy12 budget (2)'!$A$3,"Division","4")</f>
        <v>272144</v>
      </c>
      <c r="C9" s="75">
        <f>Calculations!N11</f>
        <v>0</v>
      </c>
      <c r="D9" s="83">
        <f ca="1">INDIRECT(ADDRESS(MATCH(A9,Calculations!B:B,0),15,1,1,"Calculations"))</f>
        <v>0</v>
      </c>
      <c r="E9" s="83">
        <f ca="1">INDIRECT(ADDRESS(MATCH(A9,Calculations!B:B,0),16,1,1,"Calculations"))</f>
        <v>0</v>
      </c>
      <c r="F9" s="83">
        <f ca="1">INDIRECT(ADDRESS(MATCH(A9,Calculations!B:B,0),17,1,1,"Calculations"))</f>
        <v>0</v>
      </c>
      <c r="G9" s="117">
        <f>GETPIVOTDATA("TOTAL EXPENSE",'FY11 expense (2)'!$A$4,"Division","4")</f>
        <v>244753.55</v>
      </c>
      <c r="H9" s="82">
        <f t="shared" ca="1" si="0"/>
        <v>-272144</v>
      </c>
      <c r="I9" s="4"/>
    </row>
    <row r="10" spans="1:9">
      <c r="A10" s="29" t="s">
        <v>43</v>
      </c>
      <c r="B10" s="90">
        <f>GETPIVOTDATA("BEGINNING BUDGET",'fy12 budget (2)'!$A$3,"Division","5")</f>
        <v>2658064</v>
      </c>
      <c r="C10" s="75">
        <f>Calculations!N12</f>
        <v>1895281</v>
      </c>
      <c r="D10" s="83">
        <f ca="1">INDIRECT(ADDRESS(MATCH(A10,Calculations!B:B,0),15,1,1,"Calculations"))</f>
        <v>84925</v>
      </c>
      <c r="E10" s="71">
        <f ca="1">INDIRECT(ADDRESS(MATCH(A10,Calculations!B:B,0),16,1,1,"Calculations"))</f>
        <v>516314.99919876072</v>
      </c>
      <c r="F10" s="71">
        <f ca="1">INDIRECT(ADDRESS(MATCH(A10,Calculations!B:B,0),17,1,1,"Calculations"))</f>
        <v>2496520.9991987608</v>
      </c>
      <c r="G10" s="117">
        <f>GETPIVOTDATA("TOTAL EXPENSE",'FY11 expense (2)'!$A$4,"Division","5")</f>
        <v>2649386.4</v>
      </c>
      <c r="H10" s="82">
        <f t="shared" ca="1" si="0"/>
        <v>-161543.00080123916</v>
      </c>
      <c r="I10" s="4"/>
    </row>
    <row r="11" spans="1:9" ht="15.75" thickBot="1">
      <c r="A11" s="57" t="s">
        <v>44</v>
      </c>
      <c r="B11" s="89">
        <f>GETPIVOTDATA("BEGINNING BUDGET",'fy12 budget (2)'!$A$3,"Division","6")</f>
        <v>449832</v>
      </c>
      <c r="C11" s="87">
        <f>Calculations!N13</f>
        <v>427804</v>
      </c>
      <c r="D11" s="87">
        <f ca="1">INDIRECT(ADDRESS(MATCH(A11,Calculations!B:B,0),15,1,1,"Calculations"))</f>
        <v>0</v>
      </c>
      <c r="E11" s="87">
        <f ca="1">INDIRECT(ADDRESS(MATCH(A11,Calculations!B:B,0),16,1,1,"Calculations"))</f>
        <v>116542.94108220715</v>
      </c>
      <c r="F11" s="143">
        <f ca="1">INDIRECT(ADDRESS(MATCH(A11,Calculations!B:B,0),17,1,1,"Calculations"))-95000</f>
        <v>449346.94108220714</v>
      </c>
      <c r="G11" s="89">
        <f>GETPIVOTDATA("TOTAL EXPENSE",'FY11 expense (2)'!$A$4,"Division","6")</f>
        <v>279189.06999999995</v>
      </c>
      <c r="H11" s="82">
        <f t="shared" ca="1" si="0"/>
        <v>-485.05891779286321</v>
      </c>
      <c r="I11" s="4"/>
    </row>
    <row r="12" spans="1:9">
      <c r="A12" s="25" t="s">
        <v>0</v>
      </c>
      <c r="B12" s="68">
        <f>GETPIVOTDATA("BEGINNING BUDGET",'fy12 budget'!$A$6,"DEPARTMENT","Agriculture")</f>
        <v>591449</v>
      </c>
      <c r="C12" s="20">
        <f ca="1">INDIRECT(ADDRESS(MATCH(A12,Calculations!B:B,0),14,1,1,"Calculations"))</f>
        <v>520790.48135198129</v>
      </c>
      <c r="D12" s="83">
        <f ca="1">INDIRECT(ADDRESS(MATCH(A12,Calculations!B:B,0),15,1,1,"Calculations"))</f>
        <v>92923.575238095233</v>
      </c>
      <c r="E12" s="83">
        <f ca="1">INDIRECT(ADDRESS(MATCH(A12,Calculations!B:B,0),16,1,1,"Calculations"))</f>
        <v>59116.727272727272</v>
      </c>
      <c r="F12" s="83">
        <f ca="1">INDIRECT(ADDRESS(MATCH(A12,Calculations!B:B,0),17,1,1,"Calculations"))</f>
        <v>672830.78386280383</v>
      </c>
      <c r="G12" s="90">
        <f>GETPIVOTDATA("TOTAL EXPENSE",'FY11 expense'!$A$6,"DEPARTMENT","Agriculture")</f>
        <v>599585.42999999993</v>
      </c>
      <c r="H12" s="82">
        <f t="shared" ca="1" si="0"/>
        <v>81381.78386280383</v>
      </c>
      <c r="I12" s="4"/>
    </row>
    <row r="13" spans="1:9">
      <c r="A13" s="25" t="s">
        <v>1</v>
      </c>
      <c r="B13" s="90">
        <f>GETPIVOTDATA("BEGINNING BUDGET",'fy12 budget'!$A$6,"DEPARTMENT","Art and Music")</f>
        <v>1229055</v>
      </c>
      <c r="C13" s="83">
        <f ca="1">INDIRECT(ADDRESS(MATCH(A13,Calculations!B:B,0),14,1,1,"Calculations"))</f>
        <v>643983.85227272729</v>
      </c>
      <c r="D13" s="83">
        <f ca="1">INDIRECT(ADDRESS(MATCH(A13,Calculations!B:B,0),15,1,1,"Calculations"))</f>
        <v>97091.326000000001</v>
      </c>
      <c r="E13" s="83">
        <f ca="1">INDIRECT(ADDRESS(MATCH(A13,Calculations!B:B,0),16,1,1,"Calculations"))</f>
        <v>89920.186363636371</v>
      </c>
      <c r="F13" s="83">
        <f ca="1">INDIRECT(ADDRESS(MATCH(A13,Calculations!B:B,0),17,1,1,"Calculations"))</f>
        <v>830995.36463636369</v>
      </c>
      <c r="G13" s="90">
        <f>GETPIVOTDATA("TOTAL EXPENSE",'FY11 expense'!$A$6,"DEPARTMENT","Art and Music")</f>
        <v>1225927.7</v>
      </c>
      <c r="H13" s="82">
        <f t="shared" ca="1" si="0"/>
        <v>-398059.63536363631</v>
      </c>
      <c r="I13" s="4"/>
    </row>
    <row r="14" spans="1:9">
      <c r="A14" s="25" t="s">
        <v>2</v>
      </c>
      <c r="B14" s="90">
        <f>GETPIVOTDATA("BEGINNING BUDGET",'fy12 budget'!$A$6,"DEPARTMENT","Biology")</f>
        <v>1108636</v>
      </c>
      <c r="C14" s="83">
        <f ca="1">INDIRECT(ADDRESS(MATCH(A14,Calculations!B:B,0),14,1,1,"Calculations"))</f>
        <v>953090.97086247068</v>
      </c>
      <c r="D14" s="83">
        <f ca="1">INDIRECT(ADDRESS(MATCH(A14,Calculations!B:B,0),15,1,1,"Calculations"))</f>
        <v>101174.16038095238</v>
      </c>
      <c r="E14" s="83">
        <f ca="1">INDIRECT(ADDRESS(MATCH(A14,Calculations!B:B,0),16,1,1,"Calculations"))</f>
        <v>120096.03636363635</v>
      </c>
      <c r="F14" s="83">
        <f ca="1">INDIRECT(ADDRESS(MATCH(A14,Calculations!B:B,0),17,1,1,"Calculations"))</f>
        <v>1174361.1676070595</v>
      </c>
      <c r="G14" s="90">
        <f>GETPIVOTDATA("TOTAL EXPENSE",'FY11 expense'!$A$6,"DEPARTMENT","Biology")</f>
        <v>1165519.6400000001</v>
      </c>
      <c r="H14" s="82">
        <f t="shared" ca="1" si="0"/>
        <v>65725.167607059469</v>
      </c>
      <c r="I14" s="4"/>
    </row>
    <row r="15" spans="1:9">
      <c r="A15" s="25" t="s">
        <v>3</v>
      </c>
      <c r="B15" s="90">
        <f>GETPIVOTDATA("BEGINNING BUDGET",'fy12 budget'!$A$6,"DEPARTMENT","Chemistry and Biochemistry")</f>
        <v>531545</v>
      </c>
      <c r="C15" s="83">
        <f ca="1">INDIRECT(ADDRESS(MATCH(A15,Calculations!B:B,0),14,1,1,"Calculations"))</f>
        <v>419992.86334498832</v>
      </c>
      <c r="D15" s="83">
        <f ca="1">INDIRECT(ADDRESS(MATCH(A15,Calculations!B:B,0),15,1,1,"Calculations"))</f>
        <v>92831.810761904766</v>
      </c>
      <c r="E15" s="83">
        <f ca="1">INDIRECT(ADDRESS(MATCH(A15,Calculations!B:B,0),16,1,1,"Calculations"))</f>
        <v>58438.504545454547</v>
      </c>
      <c r="F15" s="83">
        <f ca="1">INDIRECT(ADDRESS(MATCH(A15,Calculations!B:B,0),17,1,1,"Calculations"))</f>
        <v>571263.17865234765</v>
      </c>
      <c r="G15" s="90">
        <f>GETPIVOTDATA("TOTAL EXPENSE",'FY11 expense'!$A$6,"DEPARTMENT","Chemistry and Biochemistry")</f>
        <v>595096.85</v>
      </c>
      <c r="H15" s="82">
        <f t="shared" ca="1" si="0"/>
        <v>39718.178652347648</v>
      </c>
      <c r="I15" s="4"/>
    </row>
    <row r="16" spans="1:9">
      <c r="A16" s="25" t="s">
        <v>4</v>
      </c>
      <c r="B16" s="90">
        <f>GETPIVOTDATA("BEGINNING BUDGET",'fy12 budget'!$A$6,"DEPARTMENT","Communication, Mass Media &amp; Theatre")</f>
        <v>989795</v>
      </c>
      <c r="C16" s="83">
        <f ca="1">INDIRECT(ADDRESS(MATCH(A16,Calculations!B:B,0),14,1,1,"Calculations"))</f>
        <v>892534.32721445221</v>
      </c>
      <c r="D16" s="83">
        <f ca="1">INDIRECT(ADDRESS(MATCH(A16,Calculations!B:B,0),15,1,1,"Calculations"))</f>
        <v>99937.394380952377</v>
      </c>
      <c r="E16" s="83">
        <f ca="1">INDIRECT(ADDRESS(MATCH(A16,Calculations!B:B,0),16,1,1,"Calculations"))</f>
        <v>110955.21363636365</v>
      </c>
      <c r="F16" s="83">
        <f ca="1">INDIRECT(ADDRESS(MATCH(A16,Calculations!B:B,0),17,1,1,"Calculations"))</f>
        <v>1103426.9352317683</v>
      </c>
      <c r="G16" s="90">
        <f>GETPIVOTDATA("TOTAL EXPENSE",'FY11 expense'!$A$6,"DEPARTMENT","Communication, Mass Media &amp; Theatre")</f>
        <v>1256290.9200000002</v>
      </c>
      <c r="H16" s="82">
        <f t="shared" ca="1" si="0"/>
        <v>113631.93523176829</v>
      </c>
      <c r="I16" s="4"/>
    </row>
    <row r="17" spans="1:9">
      <c r="A17" s="25" t="s">
        <v>5</v>
      </c>
      <c r="B17" s="90">
        <f>GETPIVOTDATA("BEGINNING BUDGET",'fy12 budget'!$A$6,"DEPARTMENT","English and Modern Languages")</f>
        <v>1663079</v>
      </c>
      <c r="C17" s="83">
        <f ca="1">INDIRECT(ADDRESS(MATCH(A17,Calculations!B:B,0),14,1,1,"Calculations"))</f>
        <v>1370462.8173076925</v>
      </c>
      <c r="D17" s="83">
        <f ca="1">INDIRECT(ADDRESS(MATCH(A17,Calculations!B:B,0),15,1,1,"Calculations"))</f>
        <v>109647.99342857143</v>
      </c>
      <c r="E17" s="83">
        <f ca="1">INDIRECT(ADDRESS(MATCH(A17,Calculations!B:B,0),16,1,1,"Calculations"))</f>
        <v>182725.35</v>
      </c>
      <c r="F17" s="83">
        <f ca="1">INDIRECT(ADDRESS(MATCH(A17,Calculations!B:B,0),17,1,1,"Calculations"))</f>
        <v>1662836.160736264</v>
      </c>
      <c r="G17" s="90">
        <f>GETPIVOTDATA("TOTAL EXPENSE",'FY11 expense'!$A$6,"DEPARTMENT","English and Modern languages")</f>
        <v>1561489.33</v>
      </c>
      <c r="H17" s="82">
        <f t="shared" ca="1" si="0"/>
        <v>-242.83926373603754</v>
      </c>
      <c r="I17" s="4"/>
    </row>
    <row r="18" spans="1:9">
      <c r="A18" s="96" t="s">
        <v>140</v>
      </c>
      <c r="B18" s="90">
        <f>GETPIVOTDATA("BEGINNING BUDGET",'fy12 budget'!$A$6,"DEPARTMENT","Political Science")</f>
        <v>462519</v>
      </c>
      <c r="C18" s="83">
        <f ca="1">INDIRECT(ADDRESS(MATCH(A18,Calculations!B:B,0),14,1,1,"Calculations"))</f>
        <v>329746.23251748248</v>
      </c>
      <c r="D18" s="83">
        <f ca="1">INDIRECT(ADDRESS(MATCH(A18,Calculations!B:B,0),15,1,1,"Calculations"))</f>
        <v>91112.938857142857</v>
      </c>
      <c r="E18" s="83">
        <f ca="1">INDIRECT(ADDRESS(MATCH(A18,Calculations!B:B,0),16,1,1,"Calculations"))</f>
        <v>45734.481818181812</v>
      </c>
      <c r="F18" s="83">
        <f ca="1">INDIRECT(ADDRESS(MATCH(A18,Calculations!B:B,0),17,1,1,"Calculations"))</f>
        <v>466593.65319280716</v>
      </c>
      <c r="G18" s="90">
        <f>GETPIVOTDATA("TOTAL EXPENSE",'FY11 expense'!$A$6,"DEPARTMENT","Political Science")</f>
        <v>813960.94000000006</v>
      </c>
      <c r="H18" s="82">
        <f t="shared" ca="1" si="0"/>
        <v>4074.6531928071636</v>
      </c>
      <c r="I18" s="4"/>
    </row>
    <row r="19" spans="1:9">
      <c r="A19" s="96" t="s">
        <v>141</v>
      </c>
      <c r="B19" s="90">
        <f>GETPIVOTDATA("BEGINNING BUDGET",'fy12 budget'!$A$6,"DEPARTMENT","History")</f>
        <v>762149</v>
      </c>
      <c r="C19" s="83">
        <f ca="1">INDIRECT(ADDRESS(MATCH(A19,Calculations!B:B,0),14,1,1,"Calculations"))</f>
        <v>990543.62937062944</v>
      </c>
      <c r="D19" s="83">
        <f ca="1">INDIRECT(ADDRESS(MATCH(A19,Calculations!B:B,0),15,1,1,"Calculations"))</f>
        <v>103151.8902857143</v>
      </c>
      <c r="E19" s="83">
        <f ca="1">INDIRECT(ADDRESS(MATCH(A19,Calculations!B:B,0),16,1,1,"Calculations"))</f>
        <v>134713.25454545455</v>
      </c>
      <c r="F19" s="83">
        <f ca="1">INDIRECT(ADDRESS(MATCH(A19,Calculations!B:B,0),17,1,1,"Calculations"))</f>
        <v>1228408.7742017985</v>
      </c>
      <c r="G19" s="90">
        <f>GETPIVOTDATA("TOTAL EXPENSE",'FY11 expense'!$A$6,"DEPARTMENT","History")</f>
        <v>747361.14999999991</v>
      </c>
      <c r="H19" s="82">
        <f t="shared" ca="1" si="0"/>
        <v>466259.77420179849</v>
      </c>
      <c r="I19" s="4"/>
    </row>
    <row r="20" spans="1:9">
      <c r="A20" s="29" t="s">
        <v>6</v>
      </c>
      <c r="B20" s="90">
        <f>GETPIVOTDATA("BEGINNING BUDGET",'fy12 budget'!$A$6,"DEPARTMENT","Mathematics and Computer Science")</f>
        <v>1259999</v>
      </c>
      <c r="C20" s="83">
        <f ca="1">INDIRECT(ADDRESS(MATCH(A20,Calculations!B:B,0),14,1,1,"Calculations"))</f>
        <v>1061559.7010962262</v>
      </c>
      <c r="D20" s="83">
        <f ca="1">INDIRECT(ADDRESS(MATCH(A20,Calculations!B:B,0),15,1,1,"Calculations"))</f>
        <v>104980.28763868698</v>
      </c>
      <c r="E20" s="83">
        <f ca="1">INDIRECT(ADDRESS(MATCH(A20,Calculations!B:B,0),16,1,1,"Calculations"))</f>
        <v>148226.76969588562</v>
      </c>
      <c r="F20" s="83">
        <f ca="1">INDIRECT(ADDRESS(MATCH(A20,Calculations!B:B,0),17,1,1,"Calculations"))</f>
        <v>1314766.758430799</v>
      </c>
      <c r="G20" s="90">
        <f>GETPIVOTDATA("TOTAL EXPENSE",'FY11 expense'!$A$6,"DEPARTMENT","Mathematics and Computer Science")</f>
        <v>34069.770000000004</v>
      </c>
      <c r="H20" s="82">
        <f t="shared" ca="1" si="0"/>
        <v>54767.758430799004</v>
      </c>
      <c r="I20" s="4"/>
    </row>
    <row r="21" spans="1:9">
      <c r="A21" s="29" t="s">
        <v>7</v>
      </c>
      <c r="B21" s="90">
        <f>GETPIVOTDATA("BEGINNING BUDGET",'fy12 budget'!$A$6,"DEPARTMENT","Physics")</f>
        <v>810053</v>
      </c>
      <c r="C21" s="83">
        <f ca="1">INDIRECT(ADDRESS(MATCH(A21,Calculations!B:B,0),14,1,1,"Calculations"))</f>
        <v>593961.46590909082</v>
      </c>
      <c r="D21" s="83">
        <f ca="1">INDIRECT(ADDRESS(MATCH(A21,Calculations!B:B,0),15,1,1,"Calculations"))</f>
        <v>96146.288857142863</v>
      </c>
      <c r="E21" s="83">
        <f ca="1">INDIRECT(ADDRESS(MATCH(A21,Calculations!B:B,0),16,1,1,"Calculations"))</f>
        <v>82935.504545454547</v>
      </c>
      <c r="F21" s="83">
        <f ca="1">INDIRECT(ADDRESS(MATCH(A21,Calculations!B:B,0),17,1,1,"Calculations"))</f>
        <v>773043.25931168825</v>
      </c>
      <c r="G21" s="90">
        <f>GETPIVOTDATA("TOTAL EXPENSE",'FY11 expense'!$A$6,"DEPARTMENT","Physics")</f>
        <v>699416.54</v>
      </c>
      <c r="H21" s="82">
        <f t="shared" ca="1" si="0"/>
        <v>-37009.740688311751</v>
      </c>
      <c r="I21" s="4"/>
    </row>
    <row r="22" spans="1:9">
      <c r="A22" s="29" t="s">
        <v>8</v>
      </c>
      <c r="B22" s="90">
        <f>GETPIVOTDATA("BEGINNING BUDGET",'fy12 budget'!$A$6,"DEPARTMENT","Accounting, Economics, and Finance")</f>
        <v>1066854</v>
      </c>
      <c r="C22" s="83">
        <f ca="1">INDIRECT(ADDRESS(MATCH(A22,Calculations!B:B,0),14,1,1,"Calculations"))</f>
        <v>748618.19289044291</v>
      </c>
      <c r="D22" s="83">
        <f ca="1">INDIRECT(ADDRESS(MATCH(A22,Calculations!B:B,0),15,1,1,"Calculations"))</f>
        <v>96931.080571428567</v>
      </c>
      <c r="E22" s="83">
        <f ca="1">INDIRECT(ADDRESS(MATCH(A22,Calculations!B:B,0),16,1,1,"Calculations"))</f>
        <v>88735.827272727285</v>
      </c>
      <c r="F22" s="83">
        <f ca="1">INDIRECT(ADDRESS(MATCH(A22,Calculations!B:B,0),17,1,1,"Calculations"))</f>
        <v>934285.1007345987</v>
      </c>
      <c r="G22" s="90">
        <f>GETPIVOTDATA("TOTAL EXPENSE",'FY11 expense'!$A$6,"DEPARTMENT","Accounting, Economics, and Finance")</f>
        <v>1233545.0399999998</v>
      </c>
      <c r="H22" s="82">
        <f t="shared" ca="1" si="0"/>
        <v>-132568.8992654013</v>
      </c>
      <c r="I22" s="4"/>
    </row>
    <row r="23" spans="1:9">
      <c r="A23" s="29" t="s">
        <v>9</v>
      </c>
      <c r="B23" s="90">
        <f>GETPIVOTDATA("BEGINNING BUDGET",'fy12 budget'!$A$6,"DEPARTMENT","Aerospace Studies")</f>
        <v>44068</v>
      </c>
      <c r="C23" s="83">
        <f ca="1">INDIRECT(ADDRESS(MATCH(A23,Calculations!B:B,0),14,1,1,"Calculations"))</f>
        <v>40090.405303030297</v>
      </c>
      <c r="D23" s="83">
        <f ca="1">INDIRECT(ADDRESS(MATCH(A23,Calculations!B:B,0),15,1,1,"Calculations"))</f>
        <v>85682.399333333335</v>
      </c>
      <c r="E23" s="83">
        <f ca="1">INDIRECT(ADDRESS(MATCH(A23,Calculations!B:B,0),16,1,1,"Calculations"))</f>
        <v>5597.8681818181822</v>
      </c>
      <c r="F23" s="83">
        <f ca="1">INDIRECT(ADDRESS(MATCH(A23,Calculations!B:B,0),17,1,1,"Calculations"))</f>
        <v>131370.67281818183</v>
      </c>
      <c r="G23" s="90">
        <f>GETPIVOTDATA("TOTAL EXPENSE",'FY11 expense'!$A$6,"DEPARTMENT","Aerospace Studies")</f>
        <v>50559.72</v>
      </c>
      <c r="H23" s="82">
        <f t="shared" ca="1" si="0"/>
        <v>87302.672818181833</v>
      </c>
      <c r="I23" s="4"/>
    </row>
    <row r="24" spans="1:9">
      <c r="A24" s="29" t="s">
        <v>138</v>
      </c>
      <c r="B24" s="90">
        <f>GETPIVOTDATA("BEGINNING BUDGET",'fy12 budget'!$A$6,"DEPARTMENT","Management and Marketing")</f>
        <v>1102526</v>
      </c>
      <c r="C24" s="83">
        <f ca="1">INDIRECT(ADDRESS(MATCH(A24,Calculations!B:B,0),14,1,1,"Calculations"))</f>
        <v>757858.6716200466</v>
      </c>
      <c r="D24" s="83">
        <f ca="1">INDIRECT(ADDRESS(MATCH(A24,Calculations!B:B,0),15,1,1,"Calculations"))</f>
        <v>95617.6159047619</v>
      </c>
      <c r="E24" s="83">
        <f ca="1">INDIRECT(ADDRESS(MATCH(A24,Calculations!B:B,0),16,1,1,"Calculations"))</f>
        <v>79028.131818181806</v>
      </c>
      <c r="F24" s="83">
        <f ca="1">INDIRECT(ADDRESS(MATCH(A24,Calculations!B:B,0),17,1,1,"Calculations"))</f>
        <v>932504.41934299038</v>
      </c>
      <c r="G24" s="90">
        <f>GETPIVOTDATA("TOTAL EXPENSE",'FY11 expense'!$A$6,"DEPARTMENT","Management and Marketing")</f>
        <v>1356228.3</v>
      </c>
      <c r="H24" s="82">
        <f t="shared" ca="1" si="0"/>
        <v>-170021.58065700962</v>
      </c>
      <c r="I24" s="4"/>
    </row>
    <row r="25" spans="1:9">
      <c r="A25" s="29" t="s">
        <v>11</v>
      </c>
      <c r="B25" s="90">
        <f>GETPIVOTDATA("BEGINNING BUDGET",'fy12 budget'!$A$6,"DEPARTMENT","Security Studies Criminal Justice")</f>
        <v>193510</v>
      </c>
      <c r="C25" s="83">
        <f ca="1">INDIRECT(ADDRESS(MATCH(A25,Calculations!B:B,0),14,1,1,"Calculations"))</f>
        <v>0</v>
      </c>
      <c r="D25" s="83">
        <f ca="1">INDIRECT(ADDRESS(MATCH(A25,Calculations!B:B,0),15,1,1,"Calculations"))</f>
        <v>84925</v>
      </c>
      <c r="E25" s="83">
        <f ca="1">INDIRECT(ADDRESS(MATCH(A25,Calculations!B:B,0),16,1,1,"Calculations"))</f>
        <v>0</v>
      </c>
      <c r="F25" s="83">
        <f ca="1">INDIRECT(ADDRESS(MATCH(A25,Calculations!B:B,0),17,1,1,"Calculations"))</f>
        <v>84925</v>
      </c>
      <c r="G25" s="90"/>
      <c r="H25" s="82">
        <f t="shared" ca="1" si="0"/>
        <v>-108585</v>
      </c>
      <c r="I25" s="4"/>
    </row>
    <row r="26" spans="1:9">
      <c r="A26" s="29" t="s">
        <v>12</v>
      </c>
      <c r="B26" s="90">
        <f>GETPIVOTDATA("BEGINNING BUDGET",'fy12 budget'!$A$6,"DEPARTMENT","Teacher Education")</f>
        <v>763138</v>
      </c>
      <c r="C26" s="83">
        <f ca="1">INDIRECT(ADDRESS(MATCH(A26,Calculations!B:B,0),14,1,1,"Calculations"))</f>
        <v>714215.95192307688</v>
      </c>
      <c r="D26" s="83">
        <f ca="1">INDIRECT(ADDRESS(MATCH(A26,Calculations!B:B,0),15,1,1,"Calculations"))</f>
        <v>94913.631714285715</v>
      </c>
      <c r="E26" s="83">
        <f ca="1">INDIRECT(ADDRESS(MATCH(A26,Calculations!B:B,0),16,1,1,"Calculations"))</f>
        <v>73825.05</v>
      </c>
      <c r="F26" s="83">
        <f ca="1">INDIRECT(ADDRESS(MATCH(A26,Calculations!B:B,0),17,1,1,"Calculations"))</f>
        <v>882954.63363736263</v>
      </c>
      <c r="G26" s="90">
        <f>GETPIVOTDATA("TOTAL EXPENSE",'FY11 expense'!$A$6,"DEPARTMENT","Teacher Education")</f>
        <v>869748.16000000015</v>
      </c>
      <c r="H26" s="82">
        <f t="shared" ca="1" si="0"/>
        <v>119816.63363736263</v>
      </c>
      <c r="I26" s="4"/>
    </row>
    <row r="27" spans="1:9">
      <c r="A27" s="25" t="s">
        <v>13</v>
      </c>
      <c r="B27" s="90">
        <f>GETPIVOTDATA("BEGINNING BUDGET",'fy12 budget'!$A$6,"DEPARTMENT","Curriculum and Instruction")</f>
        <v>459814</v>
      </c>
      <c r="C27" s="83">
        <f ca="1">INDIRECT(ADDRESS(MATCH(A27,Calculations!B:B,0),14,1,1,"Calculations"))</f>
        <v>1598591.666958042</v>
      </c>
      <c r="D27" s="83">
        <f ca="1">INDIRECT(ADDRESS(MATCH(A27,Calculations!B:B,0),15,1,1,"Calculations"))</f>
        <v>87131.456285714288</v>
      </c>
      <c r="E27" s="83">
        <f ca="1">INDIRECT(ADDRESS(MATCH(A27,Calculations!B:B,0),16,1,1,"Calculations"))</f>
        <v>16307.713636363636</v>
      </c>
      <c r="F27" s="83">
        <f ca="1">INDIRECT(ADDRESS(MATCH(A27,Calculations!B:B,0),17,1,1,"Calculations"))</f>
        <v>1702030.8368801198</v>
      </c>
      <c r="G27" s="90">
        <f>GETPIVOTDATA("TOTAL EXPENSE",'FY11 expense'!$A$6,"DEPARTMENT","Curriculum and Instruction")</f>
        <v>927480.14</v>
      </c>
      <c r="H27" s="82">
        <f t="shared" ca="1" si="0"/>
        <v>1242216.8368801198</v>
      </c>
      <c r="I27" s="4"/>
    </row>
    <row r="28" spans="1:9">
      <c r="A28" s="25" t="s">
        <v>14</v>
      </c>
      <c r="B28" s="90">
        <f>GETPIVOTDATA("BEGINNING BUDGET",'fy12 budget'!$A$6,"DEPARTMENT","Kinesiology")</f>
        <v>538599</v>
      </c>
      <c r="C28" s="83">
        <f ca="1">INDIRECT(ADDRESS(MATCH(A28,Calculations!B:B,0),14,1,1,"Calculations"))</f>
        <v>580605.43298368296</v>
      </c>
      <c r="D28" s="83">
        <f ca="1">INDIRECT(ADDRESS(MATCH(A28,Calculations!B:B,0),15,1,1,"Calculations"))</f>
        <v>92931.792952380958</v>
      </c>
      <c r="E28" s="83">
        <f ca="1">INDIRECT(ADDRESS(MATCH(A28,Calculations!B:B,0),16,1,1,"Calculations"))</f>
        <v>59177.463636363638</v>
      </c>
      <c r="F28" s="83">
        <f ca="1">INDIRECT(ADDRESS(MATCH(A28,Calculations!B:B,0),17,1,1,"Calculations"))</f>
        <v>732714.68957242754</v>
      </c>
      <c r="G28" s="90">
        <f>GETPIVOTDATA("TOTAL EXPENSE",'FY11 expense'!$A$6,"DEPARTMENT","Kinesiology")</f>
        <v>835180.02</v>
      </c>
      <c r="H28" s="82">
        <f t="shared" ca="1" si="0"/>
        <v>194115.68957242754</v>
      </c>
      <c r="I28" s="4"/>
    </row>
    <row r="29" spans="1:9">
      <c r="A29" s="25" t="s">
        <v>15</v>
      </c>
      <c r="B29" s="90">
        <f>GETPIVOTDATA("BEGINNING BUDGET",'fy12 budget'!$A$6,"DEPARTMENT","Nursing and Rehabilitation Sciences")</f>
        <v>1951761</v>
      </c>
      <c r="C29" s="83">
        <f ca="1">INDIRECT(ADDRESS(MATCH(A29,Calculations!B:B,0),14,1,1,"Calculations"))</f>
        <v>1636512.7625291375</v>
      </c>
      <c r="D29" s="83">
        <f ca="1">INDIRECT(ADDRESS(MATCH(A29,Calculations!B:B,0),15,1,1,"Calculations"))</f>
        <v>101249.48942857143</v>
      </c>
      <c r="E29" s="83">
        <f ca="1">INDIRECT(ADDRESS(MATCH(A29,Calculations!B:B,0),16,1,1,"Calculations"))</f>
        <v>120652.78636363638</v>
      </c>
      <c r="F29" s="83">
        <f ca="1">INDIRECT(ADDRESS(MATCH(A29,Calculations!B:B,0),17,1,1,"Calculations"))</f>
        <v>1858415.0383213453</v>
      </c>
      <c r="G29" s="90">
        <f>GETPIVOTDATA("TOTAL EXPENSE",'FY11 expense'!$A$6,"DEPARTMENT","Nursing and Rehabilitation Sciences")</f>
        <v>2186809.77</v>
      </c>
      <c r="H29" s="82">
        <f t="shared" ca="1" si="0"/>
        <v>-93345.961678654654</v>
      </c>
      <c r="I29" s="4"/>
    </row>
    <row r="30" spans="1:9">
      <c r="A30" s="25" t="s">
        <v>16</v>
      </c>
      <c r="B30" s="90">
        <v>0</v>
      </c>
      <c r="C30" s="83">
        <f ca="1">INDIRECT(ADDRESS(MATCH(A30,Calculations!B:B,0),14,1,1,"Calculations"))</f>
        <v>0</v>
      </c>
      <c r="D30" s="83">
        <f ca="1">INDIRECT(ADDRESS(MATCH(A30,Calculations!B:B,0),15,1,1,"Calculations"))</f>
        <v>84925</v>
      </c>
      <c r="E30" s="83">
        <f ca="1">INDIRECT(ADDRESS(MATCH(A30,Calculations!B:B,0),16,1,1,"Calculations"))</f>
        <v>0</v>
      </c>
      <c r="F30" s="83">
        <f ca="1">INDIRECT(ADDRESS(MATCH(A30,Calculations!B:B,0),17,1,1,"Calculations"))</f>
        <v>84925</v>
      </c>
      <c r="G30" s="90">
        <v>0</v>
      </c>
      <c r="H30" s="82">
        <f t="shared" ca="1" si="0"/>
        <v>84925</v>
      </c>
      <c r="I30" s="4"/>
    </row>
    <row r="31" spans="1:9">
      <c r="A31" s="25" t="s">
        <v>17</v>
      </c>
      <c r="B31" s="90">
        <f>GETPIVOTDATA("BEGINNING BUDGET",'fy12 budget'!$A$6,"DEPARTMENT","Physical Therapy")</f>
        <v>980425</v>
      </c>
      <c r="C31" s="71">
        <f ca="1">INDIRECT(ADDRESS(MATCH(A31,Calculations!B:B,0),14,1,1,"Calculations"))</f>
        <v>143787.87179487181</v>
      </c>
      <c r="D31" s="71">
        <f ca="1">INDIRECT(ADDRESS(MATCH(A31,Calculations!B:B,0),15,1,1,"Calculations"))</f>
        <v>84925</v>
      </c>
      <c r="E31" s="71">
        <f ca="1">INDIRECT(ADDRESS(MATCH(A31,Calculations!B:B,0),16,1,1,"Calculations"))</f>
        <v>39170.885431005088</v>
      </c>
      <c r="F31" s="71">
        <f ca="1">INDIRECT(ADDRESS(MATCH(A31,Calculations!B:B,0),17,1,1,"Calculations"))</f>
        <v>267883.75722587691</v>
      </c>
      <c r="G31" s="90">
        <f>GETPIVOTDATA("TOTAL EXPENSE",'FY11 expense'!$A$6,"DEPARTMENT","Physical Therapy")</f>
        <v>1025417.8899999999</v>
      </c>
      <c r="H31" s="82">
        <f t="shared" ca="1" si="0"/>
        <v>-712541.24277412309</v>
      </c>
      <c r="I31" s="4"/>
    </row>
    <row r="32" spans="1:9">
      <c r="A32" s="25" t="s">
        <v>18</v>
      </c>
      <c r="B32" s="90">
        <f>GETPIVOTDATA("BEGINNING BUDGET",'fy12 budget'!$A$6,"DEPARTMENT","Psychology, Sociology, Social Work")</f>
        <v>1064457</v>
      </c>
      <c r="C32" s="71">
        <f ca="1">INDIRECT(ADDRESS(MATCH(A32,Calculations!B:B,0),14,1,1,"Calculations"))</f>
        <v>1355266.4959207461</v>
      </c>
      <c r="D32" s="71">
        <f ca="1">INDIRECT(ADDRESS(MATCH(A32,Calculations!B:B,0),15,1,1,"Calculations"))</f>
        <v>103269.67752380953</v>
      </c>
      <c r="E32" s="71">
        <f ca="1">INDIRECT(ADDRESS(MATCH(A32,Calculations!B:B,0),16,1,1,"Calculations"))</f>
        <v>135583.80909090911</v>
      </c>
      <c r="F32" s="71">
        <f ca="1">INDIRECT(ADDRESS(MATCH(A32,Calculations!B:B,0),17,1,1,"Calculations"))</f>
        <v>1594119.9825354647</v>
      </c>
      <c r="G32" s="90">
        <f>GETPIVOTDATA("TOTAL EXPENSE",'FY11 expense'!$A$6,"DEPARTMENT","Psychology, Sociology, Social Work")</f>
        <v>1228952.76</v>
      </c>
      <c r="H32" s="82">
        <f t="shared" ca="1" si="0"/>
        <v>529662.98253546469</v>
      </c>
      <c r="I32" s="4"/>
    </row>
    <row r="33" spans="1:9" ht="15.75" thickBot="1">
      <c r="A33" s="55" t="s">
        <v>19</v>
      </c>
      <c r="B33" s="67">
        <v>1653792</v>
      </c>
      <c r="C33" s="87">
        <f ca="1">INDIRECT(ADDRESS(MATCH(A33,Calculations!B:B,0),14,1,1,"Calculations"))</f>
        <v>120198.7196969697</v>
      </c>
      <c r="D33" s="87">
        <f ca="1">INDIRECT(ADDRESS(MATCH(A33,Calculations!B:B,0),15,1,1,"Calculations"))</f>
        <v>87195.828380952385</v>
      </c>
      <c r="E33" s="87">
        <f ca="1">INDIRECT(ADDRESS(MATCH(A33,Calculations!B:B,0),16,1,1,"Calculations"))</f>
        <v>16783.481818181819</v>
      </c>
      <c r="F33" s="87">
        <f ca="1">INDIRECT(ADDRESS(MATCH(A33,Calculations!B:B,0),17,1,1,"Calculations"))</f>
        <v>224178.02989610389</v>
      </c>
      <c r="G33" s="89"/>
      <c r="H33" s="82">
        <f t="shared" ca="1" si="0"/>
        <v>-1429613.9701038962</v>
      </c>
      <c r="I33" s="157">
        <f ca="1">SUM(H12:H33)</f>
        <v>1610.1968281711452</v>
      </c>
    </row>
    <row r="34" spans="1:9">
      <c r="A34" s="25" t="s">
        <v>45</v>
      </c>
      <c r="B34" s="83">
        <f>GETPIVOTDATA("BEGINNING BUDGET",'fy12 budget (2)'!$A$4,"Division","F")</f>
        <v>5531857</v>
      </c>
      <c r="C34" s="20">
        <f ca="1">INDIRECT(ADDRESS(MATCH(A34,Calculations!B:B,0),10,1,1,"Calculations"))</f>
        <v>0</v>
      </c>
      <c r="D34" s="83">
        <f ca="1">INDIRECT(ADDRESS(MATCH(A34,Calculations!B:B,0),15,1,1,"Calculations"))</f>
        <v>0</v>
      </c>
      <c r="E34" s="83">
        <f ca="1">INDIRECT(ADDRESS(MATCH(A34,Calculations!B:B,0),16,1,1,"Calculations"))</f>
        <v>0</v>
      </c>
      <c r="F34" s="83">
        <f>B62*B61</f>
        <v>2832527.25</v>
      </c>
      <c r="G34" s="60">
        <f>GETPIVOTDATA("TOTAL EXPENSE",'FY11 expense (2)'!$A$4,"Division","F")</f>
        <v>5883187.3399999999</v>
      </c>
      <c r="H34" s="82">
        <f t="shared" si="0"/>
        <v>-2699329.75</v>
      </c>
      <c r="I34" s="4"/>
    </row>
    <row r="35" spans="1:9">
      <c r="G35" s="94"/>
      <c r="I35" s="91"/>
    </row>
    <row r="36" spans="1:9" s="111" customFormat="1">
      <c r="A36" s="74" t="s">
        <v>1960</v>
      </c>
      <c r="B36" s="131">
        <f t="shared" ref="B36:E36" si="1">SUM(B6:B35)</f>
        <v>46687161</v>
      </c>
      <c r="C36" s="131">
        <f t="shared" ca="1" si="1"/>
        <v>26474925.512867782</v>
      </c>
      <c r="D36" s="131">
        <f t="shared" ca="1" si="1"/>
        <v>2173620.6379244016</v>
      </c>
      <c r="E36" s="131">
        <f t="shared" ca="1" si="1"/>
        <v>4665044.4360258318</v>
      </c>
      <c r="F36" s="131">
        <f ca="1">SUM(F6:F35)</f>
        <v>36051117.836818017</v>
      </c>
      <c r="G36" s="131">
        <f>SUM(G6:G35)</f>
        <v>48839881.350000024</v>
      </c>
    </row>
    <row r="38" spans="1:9">
      <c r="E38" s="142" t="s">
        <v>2056</v>
      </c>
      <c r="F38" s="90">
        <f>'University Cost'!D73</f>
        <v>10398250.987451</v>
      </c>
    </row>
    <row r="39" spans="1:9" s="79" customFormat="1">
      <c r="E39" s="142" t="s">
        <v>2057</v>
      </c>
      <c r="F39" s="90">
        <f ca="1">+F36+F38</f>
        <v>46449368.824269019</v>
      </c>
    </row>
    <row r="40" spans="1:9" s="79" customFormat="1">
      <c r="E40" s="142" t="s">
        <v>2058</v>
      </c>
      <c r="F40" s="90">
        <f>Revenue!J62</f>
        <v>47056603</v>
      </c>
    </row>
    <row r="41" spans="1:9" s="79" customFormat="1">
      <c r="E41" s="142" t="s">
        <v>2059</v>
      </c>
      <c r="F41" s="90">
        <f ca="1">+F40-F39</f>
        <v>607234.17573098093</v>
      </c>
    </row>
    <row r="42" spans="1:9" s="79" customFormat="1"/>
    <row r="43" spans="1:9">
      <c r="A43" s="51" t="s">
        <v>57</v>
      </c>
    </row>
    <row r="44" spans="1:9">
      <c r="A44" s="50" t="s">
        <v>58</v>
      </c>
      <c r="B44" s="4">
        <v>0.85</v>
      </c>
    </row>
    <row r="45" spans="1:9">
      <c r="A45" s="50" t="s">
        <v>59</v>
      </c>
      <c r="B45" s="4">
        <v>0.15</v>
      </c>
    </row>
    <row r="46" spans="1:9">
      <c r="A46" s="53" t="s">
        <v>60</v>
      </c>
      <c r="B46" s="20">
        <v>6750</v>
      </c>
    </row>
    <row r="47" spans="1:9">
      <c r="A47" s="53" t="s">
        <v>96</v>
      </c>
      <c r="B47">
        <v>33</v>
      </c>
    </row>
    <row r="48" spans="1:9">
      <c r="A48" s="53" t="s">
        <v>95</v>
      </c>
      <c r="B48">
        <v>13</v>
      </c>
    </row>
    <row r="49" spans="1:3">
      <c r="A49" s="53" t="s">
        <v>99</v>
      </c>
      <c r="B49">
        <v>24</v>
      </c>
    </row>
    <row r="50" spans="1:3">
      <c r="A50" s="53" t="s">
        <v>100</v>
      </c>
      <c r="B50">
        <v>18</v>
      </c>
    </row>
    <row r="51" spans="1:3" s="79" customFormat="1">
      <c r="A51" s="85" t="s">
        <v>112</v>
      </c>
      <c r="B51" s="79">
        <v>20</v>
      </c>
    </row>
    <row r="52" spans="1:3" s="79" customFormat="1">
      <c r="A52" s="85" t="s">
        <v>113</v>
      </c>
      <c r="B52" s="79">
        <v>11</v>
      </c>
    </row>
    <row r="53" spans="1:3">
      <c r="A53" s="53" t="s">
        <v>61</v>
      </c>
      <c r="B53">
        <v>700</v>
      </c>
    </row>
    <row r="54" spans="1:3">
      <c r="A54" s="53" t="s">
        <v>62</v>
      </c>
      <c r="B54" s="20">
        <v>15300</v>
      </c>
    </row>
    <row r="55" spans="1:3">
      <c r="A55" s="53" t="s">
        <v>63</v>
      </c>
      <c r="B55">
        <v>300</v>
      </c>
    </row>
    <row r="56" spans="1:3">
      <c r="A56" s="52" t="s">
        <v>64</v>
      </c>
      <c r="B56" s="58">
        <v>40676</v>
      </c>
    </row>
    <row r="57" spans="1:3">
      <c r="A57" s="52" t="s">
        <v>65</v>
      </c>
      <c r="B57" s="58">
        <v>62355</v>
      </c>
      <c r="C57" s="15"/>
    </row>
    <row r="58" spans="1:3">
      <c r="A58" s="52" t="s">
        <v>66</v>
      </c>
      <c r="B58" s="58">
        <v>29435</v>
      </c>
    </row>
    <row r="59" spans="1:3">
      <c r="A59" s="52" t="s">
        <v>67</v>
      </c>
      <c r="B59" s="58">
        <v>56163</v>
      </c>
    </row>
    <row r="60" spans="1:3">
      <c r="A60" s="52" t="s">
        <v>68</v>
      </c>
      <c r="B60" s="58">
        <v>28762</v>
      </c>
    </row>
    <row r="61" spans="1:3">
      <c r="A61" s="50" t="s">
        <v>69</v>
      </c>
      <c r="B61" s="58">
        <v>5.25</v>
      </c>
    </row>
    <row r="62" spans="1:3">
      <c r="A62" s="50" t="s">
        <v>70</v>
      </c>
      <c r="B62" s="95">
        <v>539529</v>
      </c>
      <c r="C62" s="82"/>
    </row>
    <row r="63" spans="1:3">
      <c r="A63" s="50" t="s">
        <v>71</v>
      </c>
      <c r="B63" s="58">
        <v>7000</v>
      </c>
    </row>
    <row r="64" spans="1:3">
      <c r="A64" s="50" t="s">
        <v>72</v>
      </c>
      <c r="B64" s="20">
        <v>800</v>
      </c>
    </row>
  </sheetData>
  <pageMargins left="0.7" right="0.7" top="0.75" bottom="0.75" header="0.3" footer="0.3"/>
  <pageSetup scale="65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5:S39"/>
  <sheetViews>
    <sheetView topLeftCell="I1" workbookViewId="0">
      <selection activeCell="D38" sqref="D38"/>
    </sheetView>
  </sheetViews>
  <sheetFormatPr defaultRowHeight="15"/>
  <cols>
    <col min="2" max="2" width="43.28515625" customWidth="1"/>
    <col min="3" max="4" width="15.5703125" customWidth="1"/>
    <col min="5" max="6" width="15.5703125" style="79" customWidth="1"/>
    <col min="7" max="7" width="14.28515625" customWidth="1"/>
    <col min="8" max="8" width="13" customWidth="1"/>
    <col min="9" max="10" width="13" style="79" customWidth="1"/>
    <col min="12" max="13" width="14.7109375" bestFit="1" customWidth="1"/>
    <col min="14" max="14" width="22" bestFit="1" customWidth="1"/>
    <col min="15" max="15" width="19.5703125" bestFit="1" customWidth="1"/>
    <col min="16" max="16" width="19" customWidth="1"/>
    <col min="17" max="17" width="19" bestFit="1" customWidth="1"/>
    <col min="18" max="18" width="17" bestFit="1" customWidth="1"/>
    <col min="19" max="19" width="12.7109375" bestFit="1" customWidth="1"/>
  </cols>
  <sheetData>
    <row r="5" spans="2:19">
      <c r="B5" s="35"/>
      <c r="C5" s="41">
        <v>2012</v>
      </c>
      <c r="D5" s="41">
        <v>2012</v>
      </c>
      <c r="E5" s="84"/>
      <c r="F5" s="84"/>
      <c r="G5" s="40" t="s">
        <v>51</v>
      </c>
      <c r="H5" s="51" t="s">
        <v>51</v>
      </c>
      <c r="I5" s="81" t="s">
        <v>114</v>
      </c>
      <c r="J5" s="81" t="s">
        <v>51</v>
      </c>
      <c r="K5" t="s">
        <v>106</v>
      </c>
      <c r="L5" t="s">
        <v>101</v>
      </c>
      <c r="M5" t="s">
        <v>102</v>
      </c>
      <c r="N5" s="47" t="s">
        <v>52</v>
      </c>
      <c r="O5" s="45" t="s">
        <v>53</v>
      </c>
      <c r="P5" s="48" t="s">
        <v>54</v>
      </c>
      <c r="Q5" s="42"/>
      <c r="R5" s="46"/>
      <c r="S5" s="42"/>
    </row>
    <row r="6" spans="2:19">
      <c r="B6" s="36" t="s">
        <v>38</v>
      </c>
      <c r="C6" s="41" t="s">
        <v>93</v>
      </c>
      <c r="D6" s="41" t="s">
        <v>94</v>
      </c>
      <c r="E6" s="84" t="s">
        <v>117</v>
      </c>
      <c r="F6" s="84" t="s">
        <v>118</v>
      </c>
      <c r="G6" s="40" t="s">
        <v>98</v>
      </c>
      <c r="H6" s="51" t="s">
        <v>97</v>
      </c>
      <c r="I6" s="81" t="s">
        <v>115</v>
      </c>
      <c r="J6" s="81" t="s">
        <v>116</v>
      </c>
      <c r="K6" s="74" t="s">
        <v>107</v>
      </c>
      <c r="L6" t="s">
        <v>103</v>
      </c>
      <c r="M6" t="s">
        <v>103</v>
      </c>
      <c r="N6" s="47" t="s">
        <v>85</v>
      </c>
      <c r="O6" s="44" t="s">
        <v>46</v>
      </c>
      <c r="P6" s="45" t="s">
        <v>47</v>
      </c>
      <c r="Q6" s="43" t="s">
        <v>48</v>
      </c>
      <c r="R6" s="43" t="s">
        <v>55</v>
      </c>
      <c r="S6" s="49" t="s">
        <v>56</v>
      </c>
    </row>
    <row r="7" spans="2:19">
      <c r="B7" s="35"/>
    </row>
    <row r="8" spans="2:19">
      <c r="B8" s="35" t="s">
        <v>39</v>
      </c>
      <c r="N8" s="78">
        <f>GETPIVOTDATA("Distribution Budget",'position by div'!$A$3,"Div","1")</f>
        <v>1015869</v>
      </c>
      <c r="P8" s="20">
        <f>IF(ISERROR(IF(K8&gt;0,(K8*Summary!$B$46)+((Calculations!C8+D8)/500*Summary!$B$64),Calculations!N8/Summary!$B$59*Summary!$B$54)),"",IF(G8&gt;0,(G8*Summary!$B$46)+(Calculations!C8/500*Summary!$B$64),Calculations!N8/Summary!$B$59*Summary!$B$54))</f>
        <v>276744.39933764224</v>
      </c>
      <c r="Q8" s="15">
        <f>SUM(N8:P8)</f>
        <v>1292613.3993376424</v>
      </c>
    </row>
    <row r="9" spans="2:19">
      <c r="B9" s="38" t="s">
        <v>40</v>
      </c>
      <c r="N9" s="78">
        <f>GETPIVOTDATA("Distribution Budget",'position by div'!$A$3,"Div","2")</f>
        <v>3900785</v>
      </c>
      <c r="P9" s="78">
        <f>IF(ISERROR(IF(K9&gt;0,(K9*Summary!$B$46)+((Calculations!C9+D9)/500*Summary!$B$64),Calculations!N9/Summary!$B$59*Summary!$B$54)),"",IF(G9&gt;0,(G9*Summary!$B$46)+(Calculations!C9/500*Summary!$B$64),Calculations!N9/Summary!$B$59*Summary!$B$54))</f>
        <v>1062657.0963089578</v>
      </c>
      <c r="Q9" s="15">
        <f t="shared" ref="Q9:Q35" si="0">SUM(N9:P9)</f>
        <v>4963442.0963089578</v>
      </c>
    </row>
    <row r="10" spans="2:19">
      <c r="B10" s="37" t="s">
        <v>41</v>
      </c>
      <c r="N10" s="83">
        <f>GETPIVOTDATA("Distribution Budget",'position by div'!$A$3,"Div","3")</f>
        <v>3762774</v>
      </c>
      <c r="P10" s="78">
        <f>IF(ISERROR(IF(K10&gt;0,(K10*Summary!$B$46)+((Calculations!C10+D10)/500*Summary!$B$64),Calculations!N10/Summary!$B$59*Summary!$B$54)),"",IF(G10&gt;0,(G10*Summary!$B$46)+(Calculations!C10/500*Summary!$B$64),Calculations!N10/Summary!$B$59*Summary!$B$54))</f>
        <v>1025059.9540622832</v>
      </c>
      <c r="Q10" s="15">
        <f t="shared" si="0"/>
        <v>4787833.954062283</v>
      </c>
    </row>
    <row r="11" spans="2:19">
      <c r="B11" s="39" t="s">
        <v>42</v>
      </c>
      <c r="N11" s="83"/>
      <c r="P11" s="78">
        <f>IF(ISERROR(IF(K11&gt;0,(K11*Summary!$B$46)+((Calculations!C11+D11)/500*Summary!$B$64),Calculations!N11/Summary!$B$59*Summary!$B$54)),"",IF(G11&gt;0,(G11*Summary!$B$46)+(Calculations!C11/500*Summary!$B$64),Calculations!N11/Summary!$B$59*Summary!$B$54))</f>
        <v>0</v>
      </c>
      <c r="Q11" s="15">
        <f t="shared" si="0"/>
        <v>0</v>
      </c>
      <c r="R11" s="15"/>
    </row>
    <row r="12" spans="2:19">
      <c r="B12" s="39" t="s">
        <v>43</v>
      </c>
      <c r="N12" s="83">
        <f>GETPIVOTDATA("Distribution Budget",'position by div'!$A$3,"Div","5")</f>
        <v>1895281</v>
      </c>
      <c r="O12" s="82">
        <f>IF(ISERROR(Summary!$B$59+Summary!$B$60+((Calculations!C12/30)/Summary!$B$53*Summary!$B$60)),"",Summary!$B$59+Summary!$B$60+((Calculations!C12/30)/Summary!$B$53*Summary!$B$60))</f>
        <v>84925</v>
      </c>
      <c r="P12" s="78">
        <f>IF(ISERROR(IF(K12&gt;0,(K12*Summary!$B$46)+((Calculations!C12+D12)/500*Summary!$B$64),Calculations!N12/Summary!$B$59*Summary!$B$54)),"",IF(G12&gt;0,(G12*Summary!$B$46)+(Calculations!C12/500*Summary!$B$64),Calculations!N12/Summary!$B$59*Summary!$B$54))</f>
        <v>516314.99919876072</v>
      </c>
      <c r="Q12" s="15">
        <f t="shared" si="0"/>
        <v>2496520.9991987608</v>
      </c>
    </row>
    <row r="13" spans="2:19" ht="15.75" thickBot="1">
      <c r="B13" s="57" t="s">
        <v>44</v>
      </c>
      <c r="C13" s="56"/>
      <c r="D13" s="56"/>
      <c r="E13" s="88"/>
      <c r="F13" s="88"/>
      <c r="G13" s="56"/>
      <c r="H13" s="56"/>
      <c r="I13" s="88"/>
      <c r="J13" s="88"/>
      <c r="K13" s="56"/>
      <c r="L13" s="56"/>
      <c r="M13" s="56"/>
      <c r="N13" s="87">
        <f>GETPIVOTDATA("Distribution Budget",'position by div'!$A$3,"Div","6")</f>
        <v>427804</v>
      </c>
      <c r="O13" s="56"/>
      <c r="P13" s="87">
        <f>IF(ISERROR(IF(K13&gt;0,(K13*Summary!$B$46)+((Calculations!C13+D13)/500*Summary!$B$64),Calculations!N13/Summary!$B$59*Summary!$B$54)),"",IF(G13&gt;0,(G13*Summary!$B$46)+(Calculations!C13/500*Summary!$B$64),Calculations!N13/Summary!$B$59*Summary!$B$54))</f>
        <v>116542.94108220715</v>
      </c>
      <c r="Q13" s="62">
        <f t="shared" ref="Q13" si="1">SUM(N13:P13)</f>
        <v>544346.94108220714</v>
      </c>
      <c r="R13" s="56"/>
      <c r="S13" s="56"/>
    </row>
    <row r="14" spans="2:19">
      <c r="B14" s="35" t="s">
        <v>0</v>
      </c>
      <c r="C14" s="54">
        <f ca="1">IF(ISERROR(INDIRECT(ADDRESS(MATCH(B14,Data!B:B,0),5,1,1,"Data"))*INDIRECT(ADDRESS(MATCH(B14,'Cost Factor'!B:B,0),21,1,1,"Cost Factor"))),"",INDIRECT(ADDRESS(MATCH(B14,Data!B:B,0),5,1,1,"Data"))*INDIRECT(ADDRESS(MATCH(B14,'Cost Factor'!B:B,0),21,1,1,"Cost Factor")))</f>
        <v>5840</v>
      </c>
      <c r="D14" s="54">
        <f ca="1">IF(ISERROR(INDIRECT(ADDRESS(MATCH(B14,Data!B:B,0),6,1,1,"Data"))*INDIRECT(ADDRESS(MATCH(B14,'Cost Factor'!B:B,0),21,1,1,"Cost Factor"))),"",INDIRECT(ADDRESS(MATCH(B14,Data!B:B,0),6,1,1,"Data"))*INDIRECT(ADDRESS(MATCH(B14,'Cost Factor'!B:B,0),21,1,1,"Cost Factor")))</f>
        <v>397</v>
      </c>
      <c r="E14" s="86">
        <f ca="1">IF(ISERROR(INDIRECT(ADDRESS(MATCH(B14,Data!B:B,0),8,1,1,"Data"))*INDIRECT(ADDRESS(MATCH(B14,'Cost Factor'!B:B,0),21,1,1,"Cost Factor"))),"",INDIRECT(ADDRESS(MATCH(B14,Data!B:B,0),8,1,1,"Data"))*INDIRECT(ADDRESS(MATCH(B14,'Cost Factor'!B:B,0),21,1,1,"Cost Factor")))</f>
        <v>0</v>
      </c>
      <c r="F14" s="86">
        <f ca="1">IF(ISERROR(INDIRECT(ADDRESS(MATCH(B14,Data!B:B,0),9,1,1,"Data"))*INDIRECT(ADDRESS(MATCH(B14,'Cost Factor'!B:B,0),21,1,1,"Cost Factor"))),"",INDIRECT(ADDRESS(MATCH(B14,Data!B:B,0),9,1,1,"Data"))*INDIRECT(ADDRESS(MATCH(B14,'Cost Factor'!B:B,0),21,1,1,"Cost Factor")))</f>
        <v>0</v>
      </c>
      <c r="G14" s="54">
        <f ca="1">IF(ISERROR(C14/(Summary!$B$47*Summary!$B$49)),"",C14/(Summary!$B$47*Summary!$B$49))</f>
        <v>7.3737373737373737</v>
      </c>
      <c r="H14" s="54">
        <f ca="1">IF(ISERROR(D14/(Summary!$B$48*Summary!$B$50)),"",D14/(Summary!$B$48*Summary!$B$50))</f>
        <v>1.6965811965811965</v>
      </c>
      <c r="I14" s="73">
        <f ca="1">E14/(Summary!$B$51*Summary!$B$49*0.67)</f>
        <v>0</v>
      </c>
      <c r="J14" s="73">
        <f ca="1">F14/(Summary!$B$50*Summary!$B$52*0.67)</f>
        <v>0</v>
      </c>
      <c r="K14" s="76">
        <f ca="1">H14+G14+I14+J14</f>
        <v>9.0703185703185696</v>
      </c>
      <c r="L14" s="20">
        <f ca="1">IF(ISERROR(((G14+I14)*Summary!$B$44*Summary!$B$57)+((Calculations!G14+I14)*Summary!$B$45*Summary!$B$58)),"",((G14+I14)*Summary!$B$44*Summary!$B$57)+((Calculations!G14+I14)*Summary!$B$45*Summary!$B$58))</f>
        <v>423377.87878787873</v>
      </c>
      <c r="M14" s="20">
        <f ca="1">IF(ISERROR(((H14+J14)*Summary!$B$44*Summary!$B$57)+((H14+J14)*Summary!$B$45*Summary!$B$58)),"",((H14+J14)*Summary!$B$44*Summary!$B$57)+((H14+J14)*Summary!$B$45*Summary!$B$58))</f>
        <v>97412.602564102563</v>
      </c>
      <c r="N14" s="15">
        <f ca="1">L14+M14</f>
        <v>520790.48135198129</v>
      </c>
      <c r="O14" s="15">
        <f ca="1">IF(ISERROR(Summary!$B$59+Summary!$B$60+((Calculations!C14/30)/Summary!$B$53*Summary!$B$60)),"",Summary!$B$59+Summary!$B$60+((Calculations!C14/30)/Summary!$B$53*Summary!$B$60))</f>
        <v>92923.575238095233</v>
      </c>
      <c r="P14" s="78">
        <f ca="1">IF(ISERROR(IF(K14&gt;0,(K14*Summary!$B$46)+((Calculations!C14+D14)/500*Summary!$B$64),Calculations!N14/Summary!$B$59*Summary!$B$54)),"",IF(G14&gt;0,(G14*Summary!$B$46)+(Calculations!C14/500*Summary!$B$64),Calculations!N14/Summary!$B$59*Summary!$B$54))</f>
        <v>59116.727272727272</v>
      </c>
      <c r="Q14" s="15">
        <f t="shared" ca="1" si="0"/>
        <v>672830.78386280383</v>
      </c>
    </row>
    <row r="15" spans="2:19">
      <c r="B15" s="35" t="s">
        <v>1</v>
      </c>
      <c r="C15" s="54">
        <f ca="1">IF(ISERROR(INDIRECT(ADDRESS(MATCH(B15,Data!B:B,0),5,1,1,"Data"))*INDIRECT(ADDRESS(MATCH(B15,'Cost Factor'!B:B,0),21,1,1,"Cost Factor"))),"",INDIRECT(ADDRESS(MATCH(B15,Data!B:B,0),5,1,1,"Data"))*INDIRECT(ADDRESS(MATCH(B15,'Cost Factor'!B:B,0),21,1,1,"Cost Factor")))</f>
        <v>8883</v>
      </c>
      <c r="D15" s="54">
        <f ca="1">IF(ISERROR(INDIRECT(ADDRESS(MATCH(B15,Data!B:B,0),6,1,1,"Data"))*INDIRECT(ADDRESS(MATCH(B15,'Cost Factor'!B:B,0),21,1,1,"Cost Factor"))),"",INDIRECT(ADDRESS(MATCH(B15,Data!B:B,0),6,1,1,"Data"))*INDIRECT(ADDRESS(MATCH(B15,'Cost Factor'!B:B,0),21,1,1,"Cost Factor")))</f>
        <v>0</v>
      </c>
      <c r="E15" s="86">
        <f ca="1">IF(ISERROR(INDIRECT(ADDRESS(MATCH(B15,Data!B:B,0),8,1,1,"Data"))*INDIRECT(ADDRESS(MATCH(B15,'Cost Factor'!B:B,0),21,1,1,"Cost Factor"))),"",INDIRECT(ADDRESS(MATCH(B15,Data!B:B,0),8,1,1,"Data"))*INDIRECT(ADDRESS(MATCH(B15,'Cost Factor'!B:B,0),21,1,1,"Cost Factor")))</f>
        <v>0</v>
      </c>
      <c r="F15" s="86">
        <f ca="1">IF(ISERROR(INDIRECT(ADDRESS(MATCH(B15,Data!B:B,0),9,1,1,"Data"))*INDIRECT(ADDRESS(MATCH(B15,'Cost Factor'!B:B,0),21,1,1,"Cost Factor"))),"",INDIRECT(ADDRESS(MATCH(B15,Data!B:B,0),9,1,1,"Data"))*INDIRECT(ADDRESS(MATCH(B15,'Cost Factor'!B:B,0),21,1,1,"Cost Factor")))</f>
        <v>0</v>
      </c>
      <c r="G15" s="54">
        <f ca="1">IF(ISERROR(C15/(Summary!$B$47*Summary!$B$49)),"",C15/(Summary!$B$47*Summary!$B$49))</f>
        <v>11.215909090909092</v>
      </c>
      <c r="H15" s="54">
        <f ca="1">IF(ISERROR(D15/(Summary!$B$48*Summary!$B$50)),"",D15/(Summary!$B$48*Summary!$B$50))</f>
        <v>0</v>
      </c>
      <c r="I15" s="73">
        <f ca="1">E15/(Summary!$B$51*Summary!$B$49*0.67)</f>
        <v>0</v>
      </c>
      <c r="J15" s="73">
        <f ca="1">F15/(Summary!$B$50*Summary!$B$52*0.67)</f>
        <v>0</v>
      </c>
      <c r="K15" s="86">
        <f t="shared" ref="K15:K35" ca="1" si="2">H15+G15+I15+J15</f>
        <v>11.215909090909092</v>
      </c>
      <c r="L15" s="83">
        <f ca="1">IF(ISERROR(((G15+I15)*Summary!$B$44*Summary!$B$57)+((Calculations!G15+I15)*Summary!$B$45*Summary!$B$58)),"",((G15+I15)*Summary!$B$44*Summary!$B$57)+((Calculations!G15+I15)*Summary!$B$45*Summary!$B$58))</f>
        <v>643983.85227272729</v>
      </c>
      <c r="M15" s="83">
        <f ca="1">IF(ISERROR(((H15+J15)*Summary!$B$44*Summary!$B$57)+((H15+J15)*Summary!$B$45*Summary!$B$58)),"",((H15+J15)*Summary!$B$44*Summary!$B$57)+((H15+J15)*Summary!$B$45*Summary!$B$58))</f>
        <v>0</v>
      </c>
      <c r="N15" s="15">
        <f t="shared" ref="N15:N35" ca="1" si="3">L15+M15</f>
        <v>643983.85227272729</v>
      </c>
      <c r="O15" s="15">
        <f ca="1">IF(ISERROR(Summary!$B$59+Summary!$B$60+((Calculations!C15/30)/Summary!$B$53*Summary!$B$60)),"",Summary!$B$59+Summary!$B$60+((Calculations!C15/30)/Summary!$B$53*Summary!$B$60))</f>
        <v>97091.326000000001</v>
      </c>
      <c r="P15" s="78">
        <f ca="1">IF(ISERROR(IF(K15&gt;0,(K15*Summary!$B$46)+((Calculations!C15+D15)/500*Summary!$B$64),Calculations!N15/Summary!$B$59*Summary!$B$54)),"",IF(G15&gt;0,(G15*Summary!$B$46)+(Calculations!C15/500*Summary!$B$64),Calculations!N15/Summary!$B$59*Summary!$B$54))</f>
        <v>89920.186363636371</v>
      </c>
      <c r="Q15" s="15">
        <f t="shared" ca="1" si="0"/>
        <v>830995.36463636369</v>
      </c>
    </row>
    <row r="16" spans="2:19">
      <c r="B16" s="35" t="s">
        <v>2</v>
      </c>
      <c r="C16" s="54">
        <f ca="1">IF(ISERROR(INDIRECT(ADDRESS(MATCH(B16,Data!B:B,0),5,1,1,"Data"))*INDIRECT(ADDRESS(MATCH(B16,'Cost Factor'!B:B,0),21,1,1,"Cost Factor"))),"",INDIRECT(ADDRESS(MATCH(B16,Data!B:B,0),5,1,1,"Data"))*INDIRECT(ADDRESS(MATCH(B16,'Cost Factor'!B:B,0),21,1,1,"Cost Factor")))</f>
        <v>11864</v>
      </c>
      <c r="D16" s="54">
        <f ca="1">IF(ISERROR(INDIRECT(ADDRESS(MATCH(B16,Data!B:B,0),6,1,1,"Data"))*INDIRECT(ADDRESS(MATCH(B16,'Cost Factor'!B:B,0),21,1,1,"Cost Factor"))),"",INDIRECT(ADDRESS(MATCH(B16,Data!B:B,0),6,1,1,"Data"))*INDIRECT(ADDRESS(MATCH(B16,'Cost Factor'!B:B,0),21,1,1,"Cost Factor")))</f>
        <v>379</v>
      </c>
      <c r="E16" s="86">
        <f ca="1">IF(ISERROR(INDIRECT(ADDRESS(MATCH(B16,Data!B:B,0),8,1,1,"Data"))*INDIRECT(ADDRESS(MATCH(B16,'Cost Factor'!B:B,0),21,1,1,"Cost Factor"))),"",INDIRECT(ADDRESS(MATCH(B16,Data!B:B,0),8,1,1,"Data"))*INDIRECT(ADDRESS(MATCH(B16,'Cost Factor'!B:B,0),21,1,1,"Cost Factor")))</f>
        <v>0</v>
      </c>
      <c r="F16" s="86">
        <f ca="1">IF(ISERROR(INDIRECT(ADDRESS(MATCH(B16,Data!B:B,0),9,1,1,"Data"))*INDIRECT(ADDRESS(MATCH(B16,'Cost Factor'!B:B,0),21,1,1,"Cost Factor"))),"",INDIRECT(ADDRESS(MATCH(B16,Data!B:B,0),9,1,1,"Data"))*INDIRECT(ADDRESS(MATCH(B16,'Cost Factor'!B:B,0),21,1,1,"Cost Factor")))</f>
        <v>0</v>
      </c>
      <c r="G16" s="54">
        <f ca="1">IF(ISERROR(C16/(Summary!$B$47*Summary!$B$49)),"",C16/(Summary!$B$47*Summary!$B$49))</f>
        <v>14.979797979797979</v>
      </c>
      <c r="H16" s="54">
        <f ca="1">IF(ISERROR(D16/(Summary!$B$48*Summary!$B$50)),"",D16/(Summary!$B$48*Summary!$B$50))</f>
        <v>1.6196581196581197</v>
      </c>
      <c r="I16" s="73">
        <f ca="1">E16/(Summary!$B$51*Summary!$B$49*0.67)</f>
        <v>0</v>
      </c>
      <c r="J16" s="73">
        <f ca="1">F16/(Summary!$B$50*Summary!$B$52*0.67)</f>
        <v>0</v>
      </c>
      <c r="K16" s="86">
        <f t="shared" ca="1" si="2"/>
        <v>16.599456099456098</v>
      </c>
      <c r="L16" s="83">
        <f ca="1">IF(ISERROR(((G16+I16)*Summary!$B$44*Summary!$B$57)+((Calculations!G16+I16)*Summary!$B$45*Summary!$B$58)),"",((G16+I16)*Summary!$B$44*Summary!$B$57)+((Calculations!G16+I16)*Summary!$B$45*Summary!$B$58))</f>
        <v>860095.06060606043</v>
      </c>
      <c r="M16" s="83">
        <f ca="1">IF(ISERROR(((H16+J16)*Summary!$B$44*Summary!$B$57)+((H16+J16)*Summary!$B$45*Summary!$B$58)),"",((H16+J16)*Summary!$B$44*Summary!$B$57)+((H16+J16)*Summary!$B$45*Summary!$B$58))</f>
        <v>92995.910256410265</v>
      </c>
      <c r="N16" s="15">
        <f t="shared" ca="1" si="3"/>
        <v>953090.97086247068</v>
      </c>
      <c r="O16" s="15">
        <f ca="1">IF(ISERROR(Summary!$B$59+Summary!$B$60+((Calculations!C16/30)/Summary!$B$53*Summary!$B$60)),"",Summary!$B$59+Summary!$B$60+((Calculations!C16/30)/Summary!$B$53*Summary!$B$60))</f>
        <v>101174.16038095238</v>
      </c>
      <c r="P16" s="78">
        <f ca="1">IF(ISERROR(IF(K16&gt;0,(K16*Summary!$B$46)+((Calculations!C16+D16)/500*Summary!$B$64),Calculations!N16/Summary!$B$59*Summary!$B$54)),"",IF(G16&gt;0,(G16*Summary!$B$46)+(Calculations!C16/500*Summary!$B$64),Calculations!N16/Summary!$B$59*Summary!$B$54))</f>
        <v>120096.03636363635</v>
      </c>
      <c r="Q16" s="15">
        <f t="shared" ca="1" si="0"/>
        <v>1174361.1676070595</v>
      </c>
    </row>
    <row r="17" spans="2:17">
      <c r="B17" s="35" t="s">
        <v>3</v>
      </c>
      <c r="C17" s="54">
        <f ca="1">IF(ISERROR(INDIRECT(ADDRESS(MATCH(B17,Data!B:B,0),5,1,1,"Data"))*INDIRECT(ADDRESS(MATCH(B17,'Cost Factor'!B:B,0),21,1,1,"Cost Factor"))),"",INDIRECT(ADDRESS(MATCH(B17,Data!B:B,0),5,1,1,"Data"))*INDIRECT(ADDRESS(MATCH(B17,'Cost Factor'!B:B,0),21,1,1,"Cost Factor")))</f>
        <v>5773</v>
      </c>
      <c r="D17" s="54">
        <f ca="1">IF(ISERROR(INDIRECT(ADDRESS(MATCH(B17,Data!B:B,0),6,1,1,"Data"))*INDIRECT(ADDRESS(MATCH(B17,'Cost Factor'!B:B,0),21,1,1,"Cost Factor"))),"",INDIRECT(ADDRESS(MATCH(B17,Data!B:B,0),6,1,1,"Data"))*INDIRECT(ADDRESS(MATCH(B17,'Cost Factor'!B:B,0),21,1,1,"Cost Factor")))</f>
        <v>6</v>
      </c>
      <c r="E17" s="86">
        <f ca="1">IF(ISERROR(INDIRECT(ADDRESS(MATCH(B17,Data!B:B,0),8,1,1,"Data"))*INDIRECT(ADDRESS(MATCH(B17,'Cost Factor'!B:B,0),21,1,1,"Cost Factor"))),"",INDIRECT(ADDRESS(MATCH(B17,Data!B:B,0),8,1,1,"Data"))*INDIRECT(ADDRESS(MATCH(B17,'Cost Factor'!B:B,0),21,1,1,"Cost Factor")))</f>
        <v>0</v>
      </c>
      <c r="F17" s="86">
        <f ca="1">IF(ISERROR(INDIRECT(ADDRESS(MATCH(B17,Data!B:B,0),9,1,1,"Data"))*INDIRECT(ADDRESS(MATCH(B17,'Cost Factor'!B:B,0),21,1,1,"Cost Factor"))),"",INDIRECT(ADDRESS(MATCH(B17,Data!B:B,0),9,1,1,"Data"))*INDIRECT(ADDRESS(MATCH(B17,'Cost Factor'!B:B,0),21,1,1,"Cost Factor")))</f>
        <v>0</v>
      </c>
      <c r="G17" s="54">
        <f ca="1">IF(ISERROR(C17/(Summary!$B$47*Summary!$B$49)),"",C17/(Summary!$B$47*Summary!$B$49))</f>
        <v>7.2891414141414144</v>
      </c>
      <c r="H17" s="54">
        <f ca="1">IF(ISERROR(D17/(Summary!$B$48*Summary!$B$50)),"",D17/(Summary!$B$48*Summary!$B$50))</f>
        <v>2.564102564102564E-2</v>
      </c>
      <c r="I17" s="73">
        <f ca="1">E17/(Summary!$B$51*Summary!$B$49*0.67)</f>
        <v>0</v>
      </c>
      <c r="J17" s="73">
        <f ca="1">F17/(Summary!$B$50*Summary!$B$52*0.67)</f>
        <v>0</v>
      </c>
      <c r="K17" s="86">
        <f t="shared" ca="1" si="2"/>
        <v>7.3147824397824399</v>
      </c>
      <c r="L17" s="83">
        <f ca="1">IF(ISERROR(((G17+I17)*Summary!$B$44*Summary!$B$57)+((Calculations!G17+I17)*Summary!$B$45*Summary!$B$58)),"",((G17+I17)*Summary!$B$44*Summary!$B$57)+((Calculations!G17+I17)*Summary!$B$45*Summary!$B$58))</f>
        <v>418520.63257575757</v>
      </c>
      <c r="M17" s="83">
        <f ca="1">IF(ISERROR(((H17+J17)*Summary!$B$44*Summary!$B$57)+((H17+J17)*Summary!$B$45*Summary!$B$58)),"",((H17+J17)*Summary!$B$44*Summary!$B$57)+((H17+J17)*Summary!$B$45*Summary!$B$58))</f>
        <v>1472.2307692307691</v>
      </c>
      <c r="N17" s="15">
        <f t="shared" ca="1" si="3"/>
        <v>419992.86334498832</v>
      </c>
      <c r="O17" s="15">
        <f ca="1">IF(ISERROR(Summary!$B$59+Summary!$B$60+((Calculations!C17/30)/Summary!$B$53*Summary!$B$60)),"",Summary!$B$59+Summary!$B$60+((Calculations!C17/30)/Summary!$B$53*Summary!$B$60))</f>
        <v>92831.810761904766</v>
      </c>
      <c r="P17" s="78">
        <f ca="1">IF(ISERROR(IF(K17&gt;0,(K17*Summary!$B$46)+((Calculations!C17+D17)/500*Summary!$B$64),Calculations!N17/Summary!$B$59*Summary!$B$54)),"",IF(G17&gt;0,(G17*Summary!$B$46)+(Calculations!C17/500*Summary!$B$64),Calculations!N17/Summary!$B$59*Summary!$B$54))</f>
        <v>58438.504545454547</v>
      </c>
      <c r="Q17" s="15">
        <f t="shared" ca="1" si="0"/>
        <v>571263.17865234765</v>
      </c>
    </row>
    <row r="18" spans="2:17">
      <c r="B18" s="35" t="s">
        <v>4</v>
      </c>
      <c r="C18" s="54">
        <f ca="1">IF(ISERROR(INDIRECT(ADDRESS(MATCH(B18,Data!B:B,0),5,1,1,"Data"))*INDIRECT(ADDRESS(MATCH(B18,'Cost Factor'!B:B,0),21,1,1,"Cost Factor"))),"",INDIRECT(ADDRESS(MATCH(B18,Data!B:B,0),5,1,1,"Data"))*INDIRECT(ADDRESS(MATCH(B18,'Cost Factor'!B:B,0),21,1,1,"Cost Factor")))</f>
        <v>10961</v>
      </c>
      <c r="D18" s="54">
        <f ca="1">IF(ISERROR(INDIRECT(ADDRESS(MATCH(B18,Data!B:B,0),6,1,1,"Data"))*INDIRECT(ADDRESS(MATCH(B18,'Cost Factor'!B:B,0),21,1,1,"Cost Factor"))),"",INDIRECT(ADDRESS(MATCH(B18,Data!B:B,0),6,1,1,"Data"))*INDIRECT(ADDRESS(MATCH(B18,'Cost Factor'!B:B,0),21,1,1,"Cost Factor")))</f>
        <v>399</v>
      </c>
      <c r="E18" s="86">
        <f ca="1">IF(ISERROR(INDIRECT(ADDRESS(MATCH(B18,Data!B:B,0),8,1,1,"Data"))*INDIRECT(ADDRESS(MATCH(B18,'Cost Factor'!B:B,0),21,1,1,"Cost Factor"))),"",INDIRECT(ADDRESS(MATCH(B18,Data!B:B,0),8,1,1,"Data"))*INDIRECT(ADDRESS(MATCH(B18,'Cost Factor'!B:B,0),21,1,1,"Cost Factor")))</f>
        <v>0</v>
      </c>
      <c r="F18" s="86">
        <f ca="1">IF(ISERROR(INDIRECT(ADDRESS(MATCH(B18,Data!B:B,0),9,1,1,"Data"))*INDIRECT(ADDRESS(MATCH(B18,'Cost Factor'!B:B,0),21,1,1,"Cost Factor"))),"",INDIRECT(ADDRESS(MATCH(B18,Data!B:B,0),9,1,1,"Data"))*INDIRECT(ADDRESS(MATCH(B18,'Cost Factor'!B:B,0),21,1,1,"Cost Factor")))</f>
        <v>0</v>
      </c>
      <c r="G18" s="54">
        <f ca="1">IF(ISERROR(C18/(Summary!$B$47*Summary!$B$49)),"",C18/(Summary!$B$47*Summary!$B$49))</f>
        <v>13.839646464646465</v>
      </c>
      <c r="H18" s="54">
        <f ca="1">IF(ISERROR(D18/(Summary!$B$48*Summary!$B$50)),"",D18/(Summary!$B$48*Summary!$B$50))</f>
        <v>1.7051282051282051</v>
      </c>
      <c r="I18" s="73">
        <f ca="1">E18/(Summary!$B$51*Summary!$B$49*0.67)</f>
        <v>0</v>
      </c>
      <c r="J18" s="73">
        <f ca="1">F18/(Summary!$B$50*Summary!$B$52*0.67)</f>
        <v>0</v>
      </c>
      <c r="K18" s="86">
        <f t="shared" ca="1" si="2"/>
        <v>15.54477466977467</v>
      </c>
      <c r="L18" s="83">
        <f ca="1">IF(ISERROR(((G18+I18)*Summary!$B$44*Summary!$B$57)+((Calculations!G18+I18)*Summary!$B$45*Summary!$B$58)),"",((G18+I18)*Summary!$B$44*Summary!$B$57)+((Calculations!G18+I18)*Summary!$B$45*Summary!$B$58))</f>
        <v>794630.98106060608</v>
      </c>
      <c r="M18" s="83">
        <f ca="1">IF(ISERROR(((H18+J18)*Summary!$B$44*Summary!$B$57)+((H18+J18)*Summary!$B$45*Summary!$B$58)),"",((H18+J18)*Summary!$B$44*Summary!$B$57)+((H18+J18)*Summary!$B$45*Summary!$B$58))</f>
        <v>97903.346153846156</v>
      </c>
      <c r="N18" s="15">
        <f t="shared" ca="1" si="3"/>
        <v>892534.32721445221</v>
      </c>
      <c r="O18" s="15">
        <f ca="1">IF(ISERROR(Summary!$B$59+Summary!$B$60+((Calculations!C18/30)/Summary!$B$53*Summary!$B$60)),"",Summary!$B$59+Summary!$B$60+((Calculations!C18/30)/Summary!$B$53*Summary!$B$60))</f>
        <v>99937.394380952377</v>
      </c>
      <c r="P18" s="78">
        <f ca="1">IF(ISERROR(IF(K18&gt;0,(K18*Summary!$B$46)+((Calculations!C18+D18)/500*Summary!$B$64),Calculations!N18/Summary!$B$59*Summary!$B$54)),"",IF(G18&gt;0,(G18*Summary!$B$46)+(Calculations!C18/500*Summary!$B$64),Calculations!N18/Summary!$B$59*Summary!$B$54))</f>
        <v>110955.21363636365</v>
      </c>
      <c r="Q18" s="15">
        <f t="shared" ca="1" si="0"/>
        <v>1103426.9352317683</v>
      </c>
    </row>
    <row r="19" spans="2:17">
      <c r="B19" s="35" t="s">
        <v>5</v>
      </c>
      <c r="C19" s="54">
        <f ca="1">IF(ISERROR(INDIRECT(ADDRESS(MATCH(B19,Data!B:B,0),5,1,1,"Data"))*INDIRECT(ADDRESS(MATCH(B19,'Cost Factor'!B:B,0),21,1,1,"Cost Factor"))),"",INDIRECT(ADDRESS(MATCH(B19,Data!B:B,0),5,1,1,"Data"))*INDIRECT(ADDRESS(MATCH(B19,'Cost Factor'!B:B,0),21,1,1,"Cost Factor")))</f>
        <v>18051</v>
      </c>
      <c r="D19" s="54">
        <f ca="1">IF(ISERROR(INDIRECT(ADDRESS(MATCH(B19,Data!B:B,0),6,1,1,"Data"))*INDIRECT(ADDRESS(MATCH(B19,'Cost Factor'!B:B,0),21,1,1,"Cost Factor"))),"",INDIRECT(ADDRESS(MATCH(B19,Data!B:B,0),6,1,1,"Data"))*INDIRECT(ADDRESS(MATCH(B19,'Cost Factor'!B:B,0),21,1,1,"Cost Factor")))</f>
        <v>252</v>
      </c>
      <c r="E19" s="86">
        <f ca="1">IF(ISERROR(INDIRECT(ADDRESS(MATCH(B19,Data!B:B,0),8,1,1,"Data"))*INDIRECT(ADDRESS(MATCH(B19,'Cost Factor'!B:B,0),21,1,1,"Cost Factor"))),"",INDIRECT(ADDRESS(MATCH(B19,Data!B:B,0),8,1,1,"Data"))*INDIRECT(ADDRESS(MATCH(B19,'Cost Factor'!B:B,0),21,1,1,"Cost Factor")))</f>
        <v>0</v>
      </c>
      <c r="F19" s="86">
        <f ca="1">IF(ISERROR(INDIRECT(ADDRESS(MATCH(B19,Data!B:B,0),9,1,1,"Data"))*INDIRECT(ADDRESS(MATCH(B19,'Cost Factor'!B:B,0),21,1,1,"Cost Factor"))),"",INDIRECT(ADDRESS(MATCH(B19,Data!B:B,0),9,1,1,"Data"))*INDIRECT(ADDRESS(MATCH(B19,'Cost Factor'!B:B,0),21,1,1,"Cost Factor")))</f>
        <v>0</v>
      </c>
      <c r="G19" s="54">
        <f ca="1">IF(ISERROR(C19/(Summary!$B$47*Summary!$B$49)),"",C19/(Summary!$B$47*Summary!$B$49))</f>
        <v>22.791666666666668</v>
      </c>
      <c r="H19" s="54">
        <f ca="1">IF(ISERROR(D19/(Summary!$B$48*Summary!$B$50)),"",D19/(Summary!$B$48*Summary!$B$50))</f>
        <v>1.0769230769230769</v>
      </c>
      <c r="I19" s="73">
        <f ca="1">E19/(Summary!$B$51*Summary!$B$49*0.67)</f>
        <v>0</v>
      </c>
      <c r="J19" s="73">
        <f ca="1">F19/(Summary!$B$50*Summary!$B$52*0.67)</f>
        <v>0</v>
      </c>
      <c r="K19" s="86">
        <f t="shared" ca="1" si="2"/>
        <v>23.868589743589745</v>
      </c>
      <c r="L19" s="83">
        <f ca="1">IF(ISERROR(((G19+I19)*Summary!$B$44*Summary!$B$57)+((Calculations!G19+I19)*Summary!$B$45*Summary!$B$58)),"",((G19+I19)*Summary!$B$44*Summary!$B$57)+((Calculations!G19+I19)*Summary!$B$45*Summary!$B$58))</f>
        <v>1308629.1250000002</v>
      </c>
      <c r="M19" s="83">
        <f ca="1">IF(ISERROR(((H19+J19)*Summary!$B$44*Summary!$B$57)+((H19+J19)*Summary!$B$45*Summary!$B$58)),"",((H19+J19)*Summary!$B$44*Summary!$B$57)+((H19+J19)*Summary!$B$45*Summary!$B$58))</f>
        <v>61833.692307692305</v>
      </c>
      <c r="N19" s="15">
        <f t="shared" ca="1" si="3"/>
        <v>1370462.8173076925</v>
      </c>
      <c r="O19" s="15">
        <f ca="1">IF(ISERROR(Summary!$B$59+Summary!$B$60+((Calculations!C19/30)/Summary!$B$53*Summary!$B$60)),"",Summary!$B$59+Summary!$B$60+((Calculations!C19/30)/Summary!$B$53*Summary!$B$60))</f>
        <v>109647.99342857143</v>
      </c>
      <c r="P19" s="78">
        <f ca="1">IF(ISERROR(IF(K19&gt;0,(K19*Summary!$B$46)+((Calculations!C19+D19)/500*Summary!$B$64),Calculations!N19/Summary!$B$59*Summary!$B$54)),"",IF(G19&gt;0,(G19*Summary!$B$46)+(Calculations!C19/500*Summary!$B$64),Calculations!N19/Summary!$B$59*Summary!$B$54))</f>
        <v>182725.35</v>
      </c>
      <c r="Q19" s="15">
        <f t="shared" ca="1" si="0"/>
        <v>1662836.160736264</v>
      </c>
    </row>
    <row r="20" spans="2:17">
      <c r="B20" s="96" t="s">
        <v>140</v>
      </c>
      <c r="C20" s="54">
        <f ca="1">IF(ISERROR(INDIRECT(ADDRESS(MATCH(B20,Data!B:B,0),5,1,1,"Data"))*INDIRECT(ADDRESS(MATCH(B20,'Cost Factor'!B:B,0),21,1,1,"Cost Factor"))),"",INDIRECT(ADDRESS(MATCH(B20,Data!B:B,0),5,1,1,"Data"))*INDIRECT(ADDRESS(MATCH(B20,'Cost Factor'!B:B,0),21,1,1,"Cost Factor")))</f>
        <v>4518</v>
      </c>
      <c r="D20" s="54">
        <f ca="1">IF(ISERROR(INDIRECT(ADDRESS(MATCH(B20,Data!B:B,0),6,1,1,"Data"))*INDIRECT(ADDRESS(MATCH(B20,'Cost Factor'!B:B,0),21,1,1,"Cost Factor"))),"",INDIRECT(ADDRESS(MATCH(B20,Data!B:B,0),6,1,1,"Data"))*INDIRECT(ADDRESS(MATCH(B20,'Cost Factor'!B:B,0),21,1,1,"Cost Factor")))</f>
        <v>9</v>
      </c>
      <c r="E20" s="86">
        <f ca="1">IF(ISERROR(INDIRECT(ADDRESS(MATCH(B20,Data!B:B,0),8,1,1,"Data"))*INDIRECT(ADDRESS(MATCH(B20,'Cost Factor'!B:B,0),21,1,1,"Cost Factor"))),"",INDIRECT(ADDRESS(MATCH(B20,Data!B:B,0),8,1,1,"Data"))*INDIRECT(ADDRESS(MATCH(B20,'Cost Factor'!B:B,0),21,1,1,"Cost Factor")))</f>
        <v>0</v>
      </c>
      <c r="F20" s="86">
        <f ca="1">IF(ISERROR(INDIRECT(ADDRESS(MATCH(B20,Data!B:B,0),9,1,1,"Data"))*INDIRECT(ADDRESS(MATCH(B20,'Cost Factor'!B:B,0),21,1,1,"Cost Factor"))),"",INDIRECT(ADDRESS(MATCH(B20,Data!B:B,0),9,1,1,"Data"))*INDIRECT(ADDRESS(MATCH(B20,'Cost Factor'!B:B,0),21,1,1,"Cost Factor")))</f>
        <v>0</v>
      </c>
      <c r="G20" s="54">
        <f ca="1">IF(ISERROR(C20/(Summary!$B$47*Summary!$B$49)),"",C20/(Summary!$B$47*Summary!$B$49))</f>
        <v>5.7045454545454541</v>
      </c>
      <c r="H20" s="54">
        <f ca="1">IF(ISERROR(D20/(Summary!$B$48*Summary!$B$50)),"",D20/(Summary!$B$48*Summary!$B$50))</f>
        <v>3.8461538461538464E-2</v>
      </c>
      <c r="I20" s="73">
        <f ca="1">E20/(Summary!$B$51*Summary!$B$49*0.67)</f>
        <v>0</v>
      </c>
      <c r="J20" s="73">
        <f ca="1">F20/(Summary!$B$50*Summary!$B$52*0.67)</f>
        <v>0</v>
      </c>
      <c r="K20" s="86">
        <f t="shared" ca="1" si="2"/>
        <v>5.7430069930069925</v>
      </c>
      <c r="L20" s="83">
        <f ca="1">IF(ISERROR(((G20+I20)*Summary!$B$44*Summary!$B$57)+((Calculations!G20+I20)*Summary!$B$45*Summary!$B$58)),"",((G20+I20)*Summary!$B$44*Summary!$B$57)+((Calculations!G20+I20)*Summary!$B$45*Summary!$B$58))</f>
        <v>327537.88636363635</v>
      </c>
      <c r="M20" s="83">
        <f ca="1">IF(ISERROR(((H20+J20)*Summary!$B$44*Summary!$B$57)+((H20+J20)*Summary!$B$45*Summary!$B$58)),"",((H20+J20)*Summary!$B$44*Summary!$B$57)+((H20+J20)*Summary!$B$45*Summary!$B$58))</f>
        <v>2208.3461538461538</v>
      </c>
      <c r="N20" s="15">
        <f t="shared" ca="1" si="3"/>
        <v>329746.23251748248</v>
      </c>
      <c r="O20" s="15">
        <f ca="1">IF(ISERROR(Summary!$B$59+Summary!$B$60+((Calculations!C20/30)/Summary!$B$53*Summary!$B$60)),"",Summary!$B$59+Summary!$B$60+((Calculations!C20/30)/Summary!$B$53*Summary!$B$60))</f>
        <v>91112.938857142857</v>
      </c>
      <c r="P20" s="78">
        <f ca="1">IF(ISERROR(IF(K20&gt;0,(K20*Summary!$B$46)+((Calculations!C20+D20)/500*Summary!$B$64),Calculations!N20/Summary!$B$59*Summary!$B$54)),"",IF(G20&gt;0,(G20*Summary!$B$46)+(Calculations!C20/500*Summary!$B$64),Calculations!N20/Summary!$B$59*Summary!$B$54))</f>
        <v>45734.481818181812</v>
      </c>
      <c r="Q20" s="15">
        <f t="shared" ca="1" si="0"/>
        <v>466593.65319280716</v>
      </c>
    </row>
    <row r="21" spans="2:17">
      <c r="B21" s="96" t="s">
        <v>141</v>
      </c>
      <c r="C21" s="54">
        <f ca="1">IF(ISERROR(INDIRECT(ADDRESS(MATCH(B21,Data!B:B,0),5,1,1,"Data"))*INDIRECT(ADDRESS(MATCH(B21,'Cost Factor'!B:B,0),21,1,1,"Cost Factor"))),"",INDIRECT(ADDRESS(MATCH(B21,Data!B:B,0),5,1,1,"Data"))*INDIRECT(ADDRESS(MATCH(B21,'Cost Factor'!B:B,0),21,1,1,"Cost Factor")))</f>
        <v>13308</v>
      </c>
      <c r="D21" s="54">
        <f ca="1">IF(ISERROR(INDIRECT(ADDRESS(MATCH(B21,Data!B:B,0),6,1,1,"Data"))*INDIRECT(ADDRESS(MATCH(B21,'Cost Factor'!B:B,0),21,1,1,"Cost Factor"))),"",INDIRECT(ADDRESS(MATCH(B21,Data!B:B,0),6,1,1,"Data"))*INDIRECT(ADDRESS(MATCH(B21,'Cost Factor'!B:B,0),21,1,1,"Cost Factor")))</f>
        <v>105</v>
      </c>
      <c r="E21" s="86">
        <f ca="1">IF(ISERROR(INDIRECT(ADDRESS(MATCH(B21,Data!B:B,0),8,1,1,"Data"))*INDIRECT(ADDRESS(MATCH(B21,'Cost Factor'!B:B,0),21,1,1,"Cost Factor"))),"",INDIRECT(ADDRESS(MATCH(B21,Data!B:B,0),8,1,1,"Data"))*INDIRECT(ADDRESS(MATCH(B21,'Cost Factor'!B:B,0),21,1,1,"Cost Factor")))</f>
        <v>0</v>
      </c>
      <c r="F21" s="86">
        <f ca="1">IF(ISERROR(INDIRECT(ADDRESS(MATCH(B21,Data!B:B,0),9,1,1,"Data"))*INDIRECT(ADDRESS(MATCH(B21,'Cost Factor'!B:B,0),21,1,1,"Cost Factor"))),"",INDIRECT(ADDRESS(MATCH(B21,Data!B:B,0),9,1,1,"Data"))*INDIRECT(ADDRESS(MATCH(B21,'Cost Factor'!B:B,0),21,1,1,"Cost Factor")))</f>
        <v>0</v>
      </c>
      <c r="G21" s="54">
        <f ca="1">IF(ISERROR(C21/(Summary!$B$47*Summary!$B$49)),"",C21/(Summary!$B$47*Summary!$B$49))</f>
        <v>16.803030303030305</v>
      </c>
      <c r="H21" s="54">
        <f ca="1">IF(ISERROR(D21/(Summary!$B$48*Summary!$B$50)),"",D21/(Summary!$B$48*Summary!$B$50))</f>
        <v>0.44871794871794873</v>
      </c>
      <c r="I21" s="73">
        <f ca="1">E21/(Summary!$B$51*Summary!$B$49*0.67)</f>
        <v>0</v>
      </c>
      <c r="J21" s="73">
        <f ca="1">F21/(Summary!$B$50*Summary!$B$52*0.67)</f>
        <v>0</v>
      </c>
      <c r="K21" s="86">
        <f t="shared" ca="1" si="2"/>
        <v>17.251748251748253</v>
      </c>
      <c r="L21" s="83">
        <f ca="1">IF(ISERROR(((G21+I21)*Summary!$B$44*Summary!$B$57)+((Calculations!G21+I21)*Summary!$B$45*Summary!$B$58)),"",((G21+I21)*Summary!$B$44*Summary!$B$57)+((Calculations!G21+I21)*Summary!$B$45*Summary!$B$58))</f>
        <v>964779.59090909094</v>
      </c>
      <c r="M21" s="83">
        <f ca="1">IF(ISERROR(((H21+J21)*Summary!$B$44*Summary!$B$57)+((H21+J21)*Summary!$B$45*Summary!$B$58)),"",((H21+J21)*Summary!$B$44*Summary!$B$57)+((H21+J21)*Summary!$B$45*Summary!$B$58))</f>
        <v>25764.038461538457</v>
      </c>
      <c r="N21" s="15">
        <f t="shared" ca="1" si="3"/>
        <v>990543.62937062944</v>
      </c>
      <c r="O21" s="15">
        <f ca="1">IF(ISERROR(Summary!$B$59+Summary!$B$60+((Calculations!C21/30)/Summary!$B$53*Summary!$B$60)),"",Summary!$B$59+Summary!$B$60+((Calculations!C21/30)/Summary!$B$53*Summary!$B$60))</f>
        <v>103151.8902857143</v>
      </c>
      <c r="P21" s="78">
        <f ca="1">IF(ISERROR(IF(K21&gt;0,(K21*Summary!$B$46)+((Calculations!C21+D21)/500*Summary!$B$64),Calculations!N21/Summary!$B$59*Summary!$B$54)),"",IF(G21&gt;0,(G21*Summary!$B$46)+(Calculations!C21/500*Summary!$B$64),Calculations!N21/Summary!$B$59*Summary!$B$54))</f>
        <v>134713.25454545455</v>
      </c>
      <c r="Q21" s="15">
        <f t="shared" ca="1" si="0"/>
        <v>1228408.7742017985</v>
      </c>
    </row>
    <row r="22" spans="2:17">
      <c r="B22" s="39" t="s">
        <v>6</v>
      </c>
      <c r="C22" s="54">
        <f ca="1">IF(ISERROR(INDIRECT(ADDRESS(MATCH(B22,Data!B:B,0),5,1,1,"Data"))*INDIRECT(ADDRESS(MATCH(B22,'Cost Factor'!B:B,0),21,1,1,"Cost Factor"))),"",INDIRECT(ADDRESS(MATCH(B22,Data!B:B,0),5,1,1,"Data"))*INDIRECT(ADDRESS(MATCH(B22,'Cost Factor'!B:B,0),21,1,1,"Cost Factor")))</f>
        <v>14642.967819081652</v>
      </c>
      <c r="D22" s="54">
        <f ca="1">IF(ISERROR(INDIRECT(ADDRESS(MATCH(B22,Data!B:B,0),6,1,1,"Data"))*INDIRECT(ADDRESS(MATCH(B22,'Cost Factor'!B:B,0),21,1,1,"Cost Factor"))),"",INDIRECT(ADDRESS(MATCH(B22,Data!B:B,0),6,1,1,"Data"))*INDIRECT(ADDRESS(MATCH(B22,'Cost Factor'!B:B,0),21,1,1,"Cost Factor")))</f>
        <v>0</v>
      </c>
      <c r="E22" s="86">
        <f ca="1">IF(ISERROR(INDIRECT(ADDRESS(MATCH(B22,Data!B:B,0),8,1,1,"Data"))*INDIRECT(ADDRESS(MATCH(B22,'Cost Factor'!B:B,0),21,1,1,"Cost Factor"))),"",INDIRECT(ADDRESS(MATCH(B22,Data!B:B,0),8,1,1,"Data"))*INDIRECT(ADDRESS(MATCH(B22,'Cost Factor'!B:B,0),21,1,1,"Cost Factor")))</f>
        <v>0</v>
      </c>
      <c r="F22" s="86">
        <f ca="1">IF(ISERROR(INDIRECT(ADDRESS(MATCH(B22,Data!B:B,0),9,1,1,"Data"))*INDIRECT(ADDRESS(MATCH(B22,'Cost Factor'!B:B,0),21,1,1,"Cost Factor"))),"",INDIRECT(ADDRESS(MATCH(B22,Data!B:B,0),9,1,1,"Data"))*INDIRECT(ADDRESS(MATCH(B22,'Cost Factor'!B:B,0),21,1,1,"Cost Factor")))</f>
        <v>0</v>
      </c>
      <c r="G22" s="54">
        <f ca="1">IF(ISERROR(C22/(Summary!$B$47*Summary!$B$49)),"",C22/(Summary!$B$47*Summary!$B$49))</f>
        <v>18.488595731163702</v>
      </c>
      <c r="H22" s="54">
        <f ca="1">IF(ISERROR(D22/(Summary!$B$48*Summary!$B$50)),"",D22/(Summary!$B$48*Summary!$B$50))</f>
        <v>0</v>
      </c>
      <c r="I22" s="73">
        <f ca="1">E22/(Summary!$B$51*Summary!$B$49*0.67)</f>
        <v>0</v>
      </c>
      <c r="J22" s="73">
        <f ca="1">F22/(Summary!$B$50*Summary!$B$52*0.67)</f>
        <v>0</v>
      </c>
      <c r="K22" s="86">
        <f t="shared" ca="1" si="2"/>
        <v>18.488595731163702</v>
      </c>
      <c r="L22" s="83">
        <f ca="1">IF(ISERROR(((G22+I22)*Summary!$B$44*Summary!$B$57)+((Calculations!G22+I22)*Summary!$B$45*Summary!$B$58)),"",((G22+I22)*Summary!$B$44*Summary!$B$57)+((Calculations!G22+I22)*Summary!$B$45*Summary!$B$58))</f>
        <v>1061559.7010962262</v>
      </c>
      <c r="M22" s="83">
        <f ca="1">IF(ISERROR(((H22+J22)*Summary!$B$44*Summary!$B$57)+((H22+J22)*Summary!$B$45*Summary!$B$58)),"",((H22+J22)*Summary!$B$44*Summary!$B$57)+((H22+J22)*Summary!$B$45*Summary!$B$58))</f>
        <v>0</v>
      </c>
      <c r="N22" s="15">
        <f t="shared" ca="1" si="3"/>
        <v>1061559.7010962262</v>
      </c>
      <c r="O22" s="15">
        <f ca="1">IF(ISERROR(Summary!$B$59+Summary!$B$60+((Calculations!C22/30)/Summary!$B$53*Summary!$B$60)),"",Summary!$B$59+Summary!$B$60+((Calculations!C22/30)/Summary!$B$53*Summary!$B$60))</f>
        <v>104980.28763868698</v>
      </c>
      <c r="P22" s="78">
        <f ca="1">IF(ISERROR(IF(K22&gt;0,(K22*Summary!$B$46)+((Calculations!C22+D22)/500*Summary!$B$64),Calculations!N22/Summary!$B$59*Summary!$B$54)),"",IF(G22&gt;0,(G22*Summary!$B$46)+(Calculations!C22/500*Summary!$B$64),Calculations!N22/Summary!$B$59*Summary!$B$54))</f>
        <v>148226.76969588562</v>
      </c>
      <c r="Q22" s="15">
        <f t="shared" ca="1" si="0"/>
        <v>1314766.758430799</v>
      </c>
    </row>
    <row r="23" spans="2:17">
      <c r="B23" s="39" t="s">
        <v>7</v>
      </c>
      <c r="C23" s="54">
        <f ca="1">IF(ISERROR(INDIRECT(ADDRESS(MATCH(B23,Data!B:B,0),5,1,1,"Data"))*INDIRECT(ADDRESS(MATCH(B23,'Cost Factor'!B:B,0),21,1,1,"Cost Factor"))),"",INDIRECT(ADDRESS(MATCH(B23,Data!B:B,0),5,1,1,"Data"))*INDIRECT(ADDRESS(MATCH(B23,'Cost Factor'!B:B,0),21,1,1,"Cost Factor")))</f>
        <v>8193</v>
      </c>
      <c r="D23" s="54">
        <f ca="1">IF(ISERROR(INDIRECT(ADDRESS(MATCH(B23,Data!B:B,0),6,1,1,"Data"))*INDIRECT(ADDRESS(MATCH(B23,'Cost Factor'!B:B,0),21,1,1,"Cost Factor"))),"",INDIRECT(ADDRESS(MATCH(B23,Data!B:B,0),6,1,1,"Data"))*INDIRECT(ADDRESS(MATCH(B23,'Cost Factor'!B:B,0),21,1,1,"Cost Factor")))</f>
        <v>0</v>
      </c>
      <c r="E23" s="86">
        <f ca="1">IF(ISERROR(INDIRECT(ADDRESS(MATCH(B23,Data!B:B,0),8,1,1,"Data"))*INDIRECT(ADDRESS(MATCH(B23,'Cost Factor'!B:B,0),21,1,1,"Cost Factor"))),"",INDIRECT(ADDRESS(MATCH(B23,Data!B:B,0),8,1,1,"Data"))*INDIRECT(ADDRESS(MATCH(B23,'Cost Factor'!B:B,0),21,1,1,"Cost Factor")))</f>
        <v>0</v>
      </c>
      <c r="F23" s="86">
        <f ca="1">IF(ISERROR(INDIRECT(ADDRESS(MATCH(B23,Data!B:B,0),9,1,1,"Data"))*INDIRECT(ADDRESS(MATCH(B23,'Cost Factor'!B:B,0),21,1,1,"Cost Factor"))),"",INDIRECT(ADDRESS(MATCH(B23,Data!B:B,0),9,1,1,"Data"))*INDIRECT(ADDRESS(MATCH(B23,'Cost Factor'!B:B,0),21,1,1,"Cost Factor")))</f>
        <v>0</v>
      </c>
      <c r="G23" s="54">
        <f ca="1">IF(ISERROR(C23/(Summary!$B$47*Summary!$B$49)),"",C23/(Summary!$B$47*Summary!$B$49))</f>
        <v>10.344696969696969</v>
      </c>
      <c r="H23" s="54">
        <f ca="1">IF(ISERROR(D23/(Summary!$B$48*Summary!$B$50)),"",D23/(Summary!$B$48*Summary!$B$50))</f>
        <v>0</v>
      </c>
      <c r="I23" s="73">
        <f ca="1">E23/(Summary!$B$51*Summary!$B$49*0.67)</f>
        <v>0</v>
      </c>
      <c r="J23" s="73">
        <f ca="1">F23/(Summary!$B$50*Summary!$B$52*0.67)</f>
        <v>0</v>
      </c>
      <c r="K23" s="86">
        <f t="shared" ca="1" si="2"/>
        <v>10.344696969696969</v>
      </c>
      <c r="L23" s="83">
        <f ca="1">IF(ISERROR(((G23+I23)*Summary!$B$44*Summary!$B$57)+((Calculations!G23+I23)*Summary!$B$45*Summary!$B$58)),"",((G23+I23)*Summary!$B$44*Summary!$B$57)+((Calculations!G23+I23)*Summary!$B$45*Summary!$B$58))</f>
        <v>593961.46590909082</v>
      </c>
      <c r="M23" s="83">
        <f ca="1">IF(ISERROR(((H23+J23)*Summary!$B$44*Summary!$B$57)+((H23+J23)*Summary!$B$45*Summary!$B$58)),"",((H23+J23)*Summary!$B$44*Summary!$B$57)+((H23+J23)*Summary!$B$45*Summary!$B$58))</f>
        <v>0</v>
      </c>
      <c r="N23" s="15">
        <f t="shared" ca="1" si="3"/>
        <v>593961.46590909082</v>
      </c>
      <c r="O23" s="15">
        <f ca="1">IF(ISERROR(Summary!$B$59+Summary!$B$60+((Calculations!C23/30)/Summary!$B$53*Summary!$B$60)),"",Summary!$B$59+Summary!$B$60+((Calculations!C23/30)/Summary!$B$53*Summary!$B$60))</f>
        <v>96146.288857142863</v>
      </c>
      <c r="P23" s="78">
        <f ca="1">IF(ISERROR(IF(K23&gt;0,(K23*Summary!$B$46)+((Calculations!C23+D23)/500*Summary!$B$64),Calculations!N23/Summary!$B$59*Summary!$B$54)),"",IF(G23&gt;0,(G23*Summary!$B$46)+(Calculations!C23/500*Summary!$B$64),Calculations!N23/Summary!$B$59*Summary!$B$54))</f>
        <v>82935.504545454547</v>
      </c>
      <c r="Q23" s="15">
        <f t="shared" ca="1" si="0"/>
        <v>773043.25931168825</v>
      </c>
    </row>
    <row r="24" spans="2:17">
      <c r="B24" s="39" t="s">
        <v>8</v>
      </c>
      <c r="C24" s="54">
        <f ca="1">IF(ISERROR(INDIRECT(ADDRESS(MATCH(B24,Data!B:B,0),5,1,1,"Data"))*INDIRECT(ADDRESS(MATCH(B24,'Cost Factor'!B:B,0),21,1,1,"Cost Factor"))),"",INDIRECT(ADDRESS(MATCH(B24,Data!B:B,0),5,1,1,"Data"))*INDIRECT(ADDRESS(MATCH(B24,'Cost Factor'!B:B,0),21,1,1,"Cost Factor")))</f>
        <v>8766</v>
      </c>
      <c r="D24" s="54">
        <f ca="1">IF(ISERROR(INDIRECT(ADDRESS(MATCH(B24,Data!B:B,0),6,1,1,"Data"))*INDIRECT(ADDRESS(MATCH(B24,'Cost Factor'!B:B,0),21,1,1,"Cost Factor"))),"",INDIRECT(ADDRESS(MATCH(B24,Data!B:B,0),6,1,1,"Data"))*INDIRECT(ADDRESS(MATCH(B24,'Cost Factor'!B:B,0),21,1,1,"Cost Factor")))</f>
        <v>461</v>
      </c>
      <c r="E24" s="86">
        <f ca="1">IF(ISERROR(INDIRECT(ADDRESS(MATCH(B24,Data!B:B,0),8,1,1,"Data"))*INDIRECT(ADDRESS(MATCH(B24,'Cost Factor'!B:B,0),21,1,1,"Cost Factor"))),"",INDIRECT(ADDRESS(MATCH(B24,Data!B:B,0),8,1,1,"Data"))*INDIRECT(ADDRESS(MATCH(B24,'Cost Factor'!B:B,0),21,1,1,"Cost Factor")))</f>
        <v>0</v>
      </c>
      <c r="F24" s="86">
        <f ca="1">IF(ISERROR(INDIRECT(ADDRESS(MATCH(B24,Data!B:B,0),9,1,1,"Data"))*INDIRECT(ADDRESS(MATCH(B24,'Cost Factor'!B:B,0),21,1,1,"Cost Factor"))),"",INDIRECT(ADDRESS(MATCH(B24,Data!B:B,0),9,1,1,"Data"))*INDIRECT(ADDRESS(MATCH(B24,'Cost Factor'!B:B,0),21,1,1,"Cost Factor")))</f>
        <v>0</v>
      </c>
      <c r="G24" s="54">
        <f ca="1">IF(ISERROR(C24/(Summary!$B$47*Summary!$B$49)),"",C24/(Summary!$B$47*Summary!$B$49))</f>
        <v>11.068181818181818</v>
      </c>
      <c r="H24" s="54">
        <f ca="1">IF(ISERROR(D24/(Summary!$B$48*Summary!$B$50)),"",D24/(Summary!$B$48*Summary!$B$50))</f>
        <v>1.9700854700854702</v>
      </c>
      <c r="I24" s="73">
        <f ca="1">E24/(Summary!$B$51*Summary!$B$49*0.67)</f>
        <v>0</v>
      </c>
      <c r="J24" s="73">
        <f ca="1">F24/(Summary!$B$50*Summary!$B$52*0.67)</f>
        <v>0</v>
      </c>
      <c r="K24" s="86">
        <f t="shared" ca="1" si="2"/>
        <v>13.038267288267289</v>
      </c>
      <c r="L24" s="83">
        <f ca="1">IF(ISERROR(((G24+I24)*Summary!$B$44*Summary!$B$57)+((Calculations!G24+I24)*Summary!$B$45*Summary!$B$58)),"",((G24+I24)*Summary!$B$44*Summary!$B$57)+((Calculations!G24+I24)*Summary!$B$45*Summary!$B$58))</f>
        <v>635501.79545454553</v>
      </c>
      <c r="M24" s="83">
        <f ca="1">IF(ISERROR(((H24+J24)*Summary!$B$44*Summary!$B$57)+((H24+J24)*Summary!$B$45*Summary!$B$58)),"",((H24+J24)*Summary!$B$44*Summary!$B$57)+((H24+J24)*Summary!$B$45*Summary!$B$58))</f>
        <v>113116.39743589744</v>
      </c>
      <c r="N24" s="15">
        <f t="shared" ca="1" si="3"/>
        <v>748618.19289044291</v>
      </c>
      <c r="O24" s="15">
        <f ca="1">IF(ISERROR(Summary!$B$59+Summary!$B$60+((Calculations!C24/30)/Summary!$B$53*Summary!$B$60)),"",Summary!$B$59+Summary!$B$60+((Calculations!C24/30)/Summary!$B$53*Summary!$B$60))</f>
        <v>96931.080571428567</v>
      </c>
      <c r="P24" s="78">
        <f ca="1">IF(ISERROR(IF(K24&gt;0,(K24*Summary!$B$46)+((Calculations!C24+D24)/500*Summary!$B$64),Calculations!N24/Summary!$B$59*Summary!$B$54)),"",IF(G24&gt;0,(G24*Summary!$B$46)+(Calculations!C24/500*Summary!$B$64),Calculations!N24/Summary!$B$59*Summary!$B$54))</f>
        <v>88735.827272727285</v>
      </c>
      <c r="Q24" s="15">
        <f t="shared" ca="1" si="0"/>
        <v>934285.1007345987</v>
      </c>
    </row>
    <row r="25" spans="2:17">
      <c r="B25" s="39" t="s">
        <v>9</v>
      </c>
      <c r="C25" s="54">
        <f ca="1">IF(ISERROR(INDIRECT(ADDRESS(MATCH(B25,Data!B:B,0),5,1,1,"Data"))*INDIRECT(ADDRESS(MATCH(B25,'Cost Factor'!B:B,0),21,1,1,"Cost Factor"))),"",INDIRECT(ADDRESS(MATCH(B25,Data!B:B,0),5,1,1,"Data"))*INDIRECT(ADDRESS(MATCH(B25,'Cost Factor'!B:B,0),21,1,1,"Cost Factor")))</f>
        <v>553</v>
      </c>
      <c r="D25" s="54">
        <f ca="1">IF(ISERROR(INDIRECT(ADDRESS(MATCH(B25,Data!B:B,0),6,1,1,"Data"))*INDIRECT(ADDRESS(MATCH(B25,'Cost Factor'!B:B,0),21,1,1,"Cost Factor"))),"",INDIRECT(ADDRESS(MATCH(B25,Data!B:B,0),6,1,1,"Data"))*INDIRECT(ADDRESS(MATCH(B25,'Cost Factor'!B:B,0),21,1,1,"Cost Factor")))</f>
        <v>0</v>
      </c>
      <c r="E25" s="86">
        <f ca="1">IF(ISERROR(INDIRECT(ADDRESS(MATCH(B25,Data!B:B,0),8,1,1,"Data"))*INDIRECT(ADDRESS(MATCH(B25,'Cost Factor'!B:B,0),21,1,1,"Cost Factor"))),"",INDIRECT(ADDRESS(MATCH(B25,Data!B:B,0),8,1,1,"Data"))*INDIRECT(ADDRESS(MATCH(B25,'Cost Factor'!B:B,0),21,1,1,"Cost Factor")))</f>
        <v>0</v>
      </c>
      <c r="F25" s="86">
        <f ca="1">IF(ISERROR(INDIRECT(ADDRESS(MATCH(B25,Data!B:B,0),9,1,1,"Data"))*INDIRECT(ADDRESS(MATCH(B25,'Cost Factor'!B:B,0),21,1,1,"Cost Factor"))),"",INDIRECT(ADDRESS(MATCH(B25,Data!B:B,0),9,1,1,"Data"))*INDIRECT(ADDRESS(MATCH(B25,'Cost Factor'!B:B,0),21,1,1,"Cost Factor")))</f>
        <v>0</v>
      </c>
      <c r="G25" s="54">
        <f ca="1">IF(ISERROR(C25/(Summary!$B$47*Summary!$B$49)),"",C25/(Summary!$B$47*Summary!$B$49))</f>
        <v>0.6982323232323232</v>
      </c>
      <c r="H25" s="54">
        <f ca="1">IF(ISERROR(D25/(Summary!$B$48*Summary!$B$50)),"",D25/(Summary!$B$48*Summary!$B$50))</f>
        <v>0</v>
      </c>
      <c r="I25" s="73">
        <f ca="1">E25/(Summary!$B$51*Summary!$B$49*0.67)</f>
        <v>0</v>
      </c>
      <c r="J25" s="73">
        <f ca="1">F25/(Summary!$B$50*Summary!$B$52*0.67)</f>
        <v>0</v>
      </c>
      <c r="K25" s="86">
        <f t="shared" ca="1" si="2"/>
        <v>0.6982323232323232</v>
      </c>
      <c r="L25" s="83">
        <f ca="1">IF(ISERROR(((G25+I25)*Summary!$B$44*Summary!$B$57)+((Calculations!G25+I25)*Summary!$B$45*Summary!$B$58)),"",((G25+I25)*Summary!$B$44*Summary!$B$57)+((Calculations!G25+I25)*Summary!$B$45*Summary!$B$58))</f>
        <v>40090.405303030297</v>
      </c>
      <c r="M25" s="83">
        <f ca="1">IF(ISERROR(((H25+J25)*Summary!$B$44*Summary!$B$57)+((H25+J25)*Summary!$B$45*Summary!$B$58)),"",((H25+J25)*Summary!$B$44*Summary!$B$57)+((H25+J25)*Summary!$B$45*Summary!$B$58))</f>
        <v>0</v>
      </c>
      <c r="N25" s="15">
        <f t="shared" ca="1" si="3"/>
        <v>40090.405303030297</v>
      </c>
      <c r="O25" s="15">
        <f ca="1">IF(ISERROR(Summary!$B$59+Summary!$B$60+((Calculations!C25/30)/Summary!$B$53*Summary!$B$60)),"",Summary!$B$59+Summary!$B$60+((Calculations!C25/30)/Summary!$B$53*Summary!$B$60))</f>
        <v>85682.399333333335</v>
      </c>
      <c r="P25" s="78">
        <f ca="1">IF(ISERROR(IF(K25&gt;0,(K25*Summary!$B$46)+((Calculations!C25+D25)/500*Summary!$B$64),Calculations!N25/Summary!$B$59*Summary!$B$54)),"",IF(G25&gt;0,(G25*Summary!$B$46)+(Calculations!C25/500*Summary!$B$64),Calculations!N25/Summary!$B$59*Summary!$B$54))</f>
        <v>5597.8681818181822</v>
      </c>
      <c r="Q25" s="15">
        <f t="shared" ca="1" si="0"/>
        <v>131370.67281818183</v>
      </c>
    </row>
    <row r="26" spans="2:17">
      <c r="B26" s="39" t="s">
        <v>10</v>
      </c>
      <c r="C26" s="54">
        <f ca="1">IF(ISERROR(INDIRECT(ADDRESS(MATCH(B26,Data!B:B,0),5,1,1,"Data"))*INDIRECT(ADDRESS(MATCH(B26,'Cost Factor'!B:B,0),21,1,1,"Cost Factor"))),"",INDIRECT(ADDRESS(MATCH(B26,Data!B:B,0),5,1,1,"Data"))*INDIRECT(ADDRESS(MATCH(B26,'Cost Factor'!B:B,0),21,1,1,"Cost Factor")))</f>
        <v>7807</v>
      </c>
      <c r="D26" s="54">
        <f ca="1">IF(ISERROR(INDIRECT(ADDRESS(MATCH(B26,Data!B:B,0),6,1,1,"Data"))*INDIRECT(ADDRESS(MATCH(B26,'Cost Factor'!B:B,0),21,1,1,"Cost Factor"))),"",INDIRECT(ADDRESS(MATCH(B26,Data!B:B,0),6,1,1,"Data"))*INDIRECT(ADDRESS(MATCH(B26,'Cost Factor'!B:B,0),21,1,1,"Cost Factor")))</f>
        <v>782</v>
      </c>
      <c r="E26" s="86">
        <f ca="1">IF(ISERROR(INDIRECT(ADDRESS(MATCH(B26,Data!B:B,0),8,1,1,"Data"))*INDIRECT(ADDRESS(MATCH(B26,'Cost Factor'!B:B,0),21,1,1,"Cost Factor"))),"",INDIRECT(ADDRESS(MATCH(B26,Data!B:B,0),8,1,1,"Data"))*INDIRECT(ADDRESS(MATCH(B26,'Cost Factor'!B:B,0),21,1,1,"Cost Factor")))</f>
        <v>0</v>
      </c>
      <c r="F26" s="86">
        <f ca="1">IF(ISERROR(INDIRECT(ADDRESS(MATCH(B26,Data!B:B,0),9,1,1,"Data"))*INDIRECT(ADDRESS(MATCH(B26,'Cost Factor'!B:B,0),21,1,1,"Cost Factor"))),"",INDIRECT(ADDRESS(MATCH(B26,Data!B:B,0),9,1,1,"Data"))*INDIRECT(ADDRESS(MATCH(B26,'Cost Factor'!B:B,0),21,1,1,"Cost Factor")))</f>
        <v>0</v>
      </c>
      <c r="G26" s="54">
        <f ca="1">IF(ISERROR(C26/(Summary!$B$47*Summary!$B$49)),"",C26/(Summary!$B$47*Summary!$B$49))</f>
        <v>9.8573232323232318</v>
      </c>
      <c r="H26" s="54">
        <f ca="1">IF(ISERROR(D26/(Summary!$B$48*Summary!$B$50)),"",D26/(Summary!$B$48*Summary!$B$50))</f>
        <v>3.341880341880342</v>
      </c>
      <c r="I26" s="73">
        <f ca="1">E26/(Summary!$B$51*Summary!$B$49*0.67)</f>
        <v>0</v>
      </c>
      <c r="J26" s="73">
        <f ca="1">F26/(Summary!$B$50*Summary!$B$52*0.67)</f>
        <v>0</v>
      </c>
      <c r="K26" s="86">
        <f t="shared" ca="1" si="2"/>
        <v>13.199203574203574</v>
      </c>
      <c r="L26" s="83">
        <f ca="1">IF(ISERROR(((G26+I26)*Summary!$B$44*Summary!$B$57)+((Calculations!G26+I26)*Summary!$B$45*Summary!$B$58)),"",((G26+I26)*Summary!$B$44*Summary!$B$57)+((Calculations!G26+I26)*Summary!$B$45*Summary!$B$58))</f>
        <v>565977.92803030298</v>
      </c>
      <c r="M26" s="83">
        <f ca="1">IF(ISERROR(((H26+J26)*Summary!$B$44*Summary!$B$57)+((H26+J26)*Summary!$B$45*Summary!$B$58)),"",((H26+J26)*Summary!$B$44*Summary!$B$57)+((H26+J26)*Summary!$B$45*Summary!$B$58))</f>
        <v>191880.74358974359</v>
      </c>
      <c r="N26" s="15">
        <f t="shared" ca="1" si="3"/>
        <v>757858.6716200466</v>
      </c>
      <c r="O26" s="15">
        <f ca="1">IF(ISERROR(Summary!$B$59+Summary!$B$60+((Calculations!C26/30)/Summary!$B$53*Summary!$B$60)),"",Summary!$B$59+Summary!$B$60+((Calculations!C26/30)/Summary!$B$53*Summary!$B$60))</f>
        <v>95617.6159047619</v>
      </c>
      <c r="P26" s="78">
        <f ca="1">IF(ISERROR(IF(K26&gt;0,(K26*Summary!$B$46)+((Calculations!C26+D26)/500*Summary!$B$64),Calculations!N26/Summary!$B$59*Summary!$B$54)),"",IF(G26&gt;0,(G26*Summary!$B$46)+(Calculations!C26/500*Summary!$B$64),Calculations!N26/Summary!$B$59*Summary!$B$54))</f>
        <v>79028.131818181806</v>
      </c>
      <c r="Q26" s="15">
        <f t="shared" ca="1" si="0"/>
        <v>932504.41934299038</v>
      </c>
    </row>
    <row r="27" spans="2:17">
      <c r="B27" s="39" t="s">
        <v>11</v>
      </c>
      <c r="C27" s="54">
        <f ca="1">IF(ISERROR(INDIRECT(ADDRESS(MATCH(B27,Data!B:B,0),5,1,1,"Data"))*INDIRECT(ADDRESS(MATCH(B27,'Cost Factor'!B:B,0),21,1,1,"Cost Factor"))),"",INDIRECT(ADDRESS(MATCH(B27,Data!B:B,0),5,1,1,"Data"))*INDIRECT(ADDRESS(MATCH(B27,'Cost Factor'!B:B,0),21,1,1,"Cost Factor")))</f>
        <v>0</v>
      </c>
      <c r="D27" s="54">
        <f ca="1">IF(ISERROR(INDIRECT(ADDRESS(MATCH(B27,Data!B:B,0),6,1,1,"Data"))*INDIRECT(ADDRESS(MATCH(B27,'Cost Factor'!B:B,0),21,1,1,"Cost Factor"))),"",INDIRECT(ADDRESS(MATCH(B27,Data!B:B,0),6,1,1,"Data"))*INDIRECT(ADDRESS(MATCH(B27,'Cost Factor'!B:B,0),21,1,1,"Cost Factor")))</f>
        <v>0</v>
      </c>
      <c r="E27" s="86">
        <f ca="1">IF(ISERROR(INDIRECT(ADDRESS(MATCH(B27,Data!B:B,0),8,1,1,"Data"))*INDIRECT(ADDRESS(MATCH(B27,'Cost Factor'!B:B,0),21,1,1,"Cost Factor"))),"",INDIRECT(ADDRESS(MATCH(B27,Data!B:B,0),8,1,1,"Data"))*INDIRECT(ADDRESS(MATCH(B27,'Cost Factor'!B:B,0),21,1,1,"Cost Factor")))</f>
        <v>0</v>
      </c>
      <c r="F27" s="86">
        <f ca="1">IF(ISERROR(INDIRECT(ADDRESS(MATCH(B27,Data!B:B,0),9,1,1,"Data"))*INDIRECT(ADDRESS(MATCH(B27,'Cost Factor'!B:B,0),21,1,1,"Cost Factor"))),"",INDIRECT(ADDRESS(MATCH(B27,Data!B:B,0),9,1,1,"Data"))*INDIRECT(ADDRESS(MATCH(B27,'Cost Factor'!B:B,0),21,1,1,"Cost Factor")))</f>
        <v>0</v>
      </c>
      <c r="G27" s="54">
        <f ca="1">IF(ISERROR(C27/(Summary!$B$47*Summary!$B$49)),"",C27/(Summary!$B$47*Summary!$B$49))</f>
        <v>0</v>
      </c>
      <c r="H27" s="54">
        <f ca="1">IF(ISERROR(D27/(Summary!$B$48*Summary!$B$50)),"",D27/(Summary!$B$48*Summary!$B$50))</f>
        <v>0</v>
      </c>
      <c r="I27" s="73">
        <f ca="1">E27/(Summary!$B$51*Summary!$B$49*0.67)</f>
        <v>0</v>
      </c>
      <c r="J27" s="73">
        <f ca="1">F27/(Summary!$B$50*Summary!$B$52*0.67)</f>
        <v>0</v>
      </c>
      <c r="K27" s="86">
        <f t="shared" ca="1" si="2"/>
        <v>0</v>
      </c>
      <c r="L27" s="83">
        <f ca="1">IF(ISERROR(((G27+I27)*Summary!$B$44*Summary!$B$57)+((Calculations!G27+I27)*Summary!$B$45*Summary!$B$58)),"",((G27+I27)*Summary!$B$44*Summary!$B$57)+((Calculations!G27+I27)*Summary!$B$45*Summary!$B$58))</f>
        <v>0</v>
      </c>
      <c r="M27" s="83">
        <f ca="1">IF(ISERROR(((H27+J27)*Summary!$B$44*Summary!$B$57)+((H27+J27)*Summary!$B$45*Summary!$B$58)),"",((H27+J27)*Summary!$B$44*Summary!$B$57)+((H27+J27)*Summary!$B$45*Summary!$B$58))</f>
        <v>0</v>
      </c>
      <c r="N27" s="15">
        <f t="shared" ca="1" si="3"/>
        <v>0</v>
      </c>
      <c r="O27" s="15">
        <f ca="1">IF(ISERROR(Summary!$B$59+Summary!$B$60+((Calculations!C27/30)/Summary!$B$53*Summary!$B$60)),"",Summary!$B$59+Summary!$B$60+((Calculations!C27/30)/Summary!$B$53*Summary!$B$60))</f>
        <v>84925</v>
      </c>
      <c r="P27" s="78">
        <f ca="1">IF(ISERROR(IF(K27&gt;0,(K27*Summary!$B$46)+((Calculations!C27+D27)/500*Summary!$B$64),Calculations!N27/Summary!$B$59*Summary!$B$54)),"",IF(G27&gt;0,(G27*Summary!$B$46)+(Calculations!C27/500*Summary!$B$64),Calculations!N27/Summary!$B$59*Summary!$B$54))</f>
        <v>0</v>
      </c>
      <c r="Q27" s="15">
        <f t="shared" ca="1" si="0"/>
        <v>84925</v>
      </c>
    </row>
    <row r="28" spans="2:17">
      <c r="B28" s="39" t="s">
        <v>12</v>
      </c>
      <c r="C28" s="54">
        <f ca="1">IF(ISERROR(INDIRECT(ADDRESS(MATCH(B28,Data!B:B,0),5,1,1,"Data"))*INDIRECT(ADDRESS(MATCH(B28,'Cost Factor'!B:B,0),21,1,1,"Cost Factor"))),"",INDIRECT(ADDRESS(MATCH(B28,Data!B:B,0),5,1,1,"Data"))*INDIRECT(ADDRESS(MATCH(B28,'Cost Factor'!B:B,0),21,1,1,"Cost Factor")))</f>
        <v>7293</v>
      </c>
      <c r="D28" s="54">
        <f ca="1">IF(ISERROR(INDIRECT(ADDRESS(MATCH(B28,Data!B:B,0),6,1,1,"Data"))*INDIRECT(ADDRESS(MATCH(B28,'Cost Factor'!B:B,0),21,1,1,"Cost Factor"))),"",INDIRECT(ADDRESS(MATCH(B28,Data!B:B,0),6,1,1,"Data"))*INDIRECT(ADDRESS(MATCH(B28,'Cost Factor'!B:B,0),21,1,1,"Cost Factor")))</f>
        <v>756</v>
      </c>
      <c r="E28" s="86">
        <f ca="1">IF(ISERROR(INDIRECT(ADDRESS(MATCH(B28,Data!B:B,0),8,1,1,"Data"))*INDIRECT(ADDRESS(MATCH(B28,'Cost Factor'!B:B,0),21,1,1,"Cost Factor"))),"",INDIRECT(ADDRESS(MATCH(B28,Data!B:B,0),8,1,1,"Data"))*INDIRECT(ADDRESS(MATCH(B28,'Cost Factor'!B:B,0),21,1,1,"Cost Factor")))</f>
        <v>0</v>
      </c>
      <c r="F28" s="86">
        <f ca="1">IF(ISERROR(INDIRECT(ADDRESS(MATCH(B28,Data!B:B,0),9,1,1,"Data"))*INDIRECT(ADDRESS(MATCH(B28,'Cost Factor'!B:B,0),21,1,1,"Cost Factor"))),"",INDIRECT(ADDRESS(MATCH(B28,Data!B:B,0),9,1,1,"Data"))*INDIRECT(ADDRESS(MATCH(B28,'Cost Factor'!B:B,0),21,1,1,"Cost Factor")))</f>
        <v>0</v>
      </c>
      <c r="G28" s="54">
        <f ca="1">IF(ISERROR(C28/(Summary!$B$47*Summary!$B$49)),"",C28/(Summary!$B$47*Summary!$B$49))</f>
        <v>9.2083333333333339</v>
      </c>
      <c r="H28" s="54">
        <f ca="1">IF(ISERROR(D28/(Summary!$B$48*Summary!$B$50)),"",D28/(Summary!$B$48*Summary!$B$50))</f>
        <v>3.2307692307692308</v>
      </c>
      <c r="I28" s="73">
        <f ca="1">E28/(Summary!$B$51*Summary!$B$49*0.67)</f>
        <v>0</v>
      </c>
      <c r="J28" s="73">
        <f ca="1">F28/(Summary!$B$50*Summary!$B$52*0.67)</f>
        <v>0</v>
      </c>
      <c r="K28" s="86">
        <f t="shared" ca="1" si="2"/>
        <v>12.439102564102566</v>
      </c>
      <c r="L28" s="83">
        <f ca="1">IF(ISERROR(((G28+I28)*Summary!$B$44*Summary!$B$57)+((Calculations!G28+I28)*Summary!$B$45*Summary!$B$58)),"",((G28+I28)*Summary!$B$44*Summary!$B$57)+((Calculations!G28+I28)*Summary!$B$45*Summary!$B$58))</f>
        <v>528714.875</v>
      </c>
      <c r="M28" s="83">
        <f ca="1">IF(ISERROR(((H28+J28)*Summary!$B$44*Summary!$B$57)+((H28+J28)*Summary!$B$45*Summary!$B$58)),"",((H28+J28)*Summary!$B$44*Summary!$B$57)+((H28+J28)*Summary!$B$45*Summary!$B$58))</f>
        <v>185501.07692307691</v>
      </c>
      <c r="N28" s="15">
        <f t="shared" ca="1" si="3"/>
        <v>714215.95192307688</v>
      </c>
      <c r="O28" s="15">
        <f ca="1">IF(ISERROR(Summary!$B$59+Summary!$B$60+((Calculations!C28/30)/Summary!$B$53*Summary!$B$60)),"",Summary!$B$59+Summary!$B$60+((Calculations!C28/30)/Summary!$B$53*Summary!$B$60))</f>
        <v>94913.631714285715</v>
      </c>
      <c r="P28" s="78">
        <f ca="1">IF(ISERROR(IF(K28&gt;0,(K28*Summary!$B$46)+((Calculations!C28+D28)/500*Summary!$B$64),Calculations!N28/Summary!$B$59*Summary!$B$54)),"",IF(G28&gt;0,(G28*Summary!$B$46)+(Calculations!C28/500*Summary!$B$64),Calculations!N28/Summary!$B$59*Summary!$B$54))</f>
        <v>73825.05</v>
      </c>
      <c r="Q28" s="15">
        <f t="shared" ca="1" si="0"/>
        <v>882954.63363736263</v>
      </c>
    </row>
    <row r="29" spans="2:17">
      <c r="B29" s="35" t="s">
        <v>13</v>
      </c>
      <c r="C29" s="54">
        <f ca="1">IF(ISERROR(INDIRECT(ADDRESS(MATCH(B29,Data!B:B,0),5,1,1,"Data"))*INDIRECT(ADDRESS(MATCH(B29,'Cost Factor'!B:B,0),21,1,1,"Cost Factor"))),"",INDIRECT(ADDRESS(MATCH(B29,Data!B:B,0),5,1,1,"Data"))*INDIRECT(ADDRESS(MATCH(B29,'Cost Factor'!B:B,0),21,1,1,"Cost Factor")))</f>
        <v>1611</v>
      </c>
      <c r="D29" s="54">
        <f ca="1">IF(ISERROR(INDIRECT(ADDRESS(MATCH(B29,Data!B:B,0),6,1,1,"Data"))*INDIRECT(ADDRESS(MATCH(B29,'Cost Factor'!B:B,0),21,1,1,"Cost Factor"))),"",INDIRECT(ADDRESS(MATCH(B29,Data!B:B,0),6,1,1,"Data"))*INDIRECT(ADDRESS(MATCH(B29,'Cost Factor'!B:B,0),21,1,1,"Cost Factor")))</f>
        <v>6039</v>
      </c>
      <c r="E29" s="86">
        <f ca="1">IF(ISERROR(INDIRECT(ADDRESS(MATCH(B29,Data!B:B,0),8,1,1,"Data"))*INDIRECT(ADDRESS(MATCH(B29,'Cost Factor'!B:B,0),21,1,1,"Cost Factor"))),"",INDIRECT(ADDRESS(MATCH(B29,Data!B:B,0),8,1,1,"Data"))*INDIRECT(ADDRESS(MATCH(B29,'Cost Factor'!B:B,0),21,1,1,"Cost Factor")))</f>
        <v>0</v>
      </c>
      <c r="F29" s="86">
        <f ca="1">IF(ISERROR(INDIRECT(ADDRESS(MATCH(B29,Data!B:B,0),9,1,1,"Data"))*INDIRECT(ADDRESS(MATCH(B29,'Cost Factor'!B:B,0),21,1,1,"Cost Factor"))),"",INDIRECT(ADDRESS(MATCH(B29,Data!B:B,0),9,1,1,"Data"))*INDIRECT(ADDRESS(MATCH(B29,'Cost Factor'!B:B,0),21,1,1,"Cost Factor")))</f>
        <v>0</v>
      </c>
      <c r="G29" s="54">
        <f ca="1">IF(ISERROR(C29/(Summary!$B$47*Summary!$B$49)),"",C29/(Summary!$B$47*Summary!$B$49))</f>
        <v>2.0340909090909092</v>
      </c>
      <c r="H29" s="54">
        <f ca="1">IF(ISERROR(D29/(Summary!$B$48*Summary!$B$50)),"",D29/(Summary!$B$48*Summary!$B$50))</f>
        <v>25.807692307692307</v>
      </c>
      <c r="I29" s="73">
        <f ca="1">E29/(Summary!$B$51*Summary!$B$49*0.67)</f>
        <v>0</v>
      </c>
      <c r="J29" s="73">
        <f ca="1">F29/(Summary!$B$50*Summary!$B$52*0.67)</f>
        <v>0</v>
      </c>
      <c r="K29" s="86">
        <f t="shared" ca="1" si="2"/>
        <v>27.841783216783217</v>
      </c>
      <c r="L29" s="83">
        <f ca="1">IF(ISERROR(((G29+I29)*Summary!$B$44*Summary!$B$57)+((Calculations!G29+I29)*Summary!$B$45*Summary!$B$58)),"",((G29+I29)*Summary!$B$44*Summary!$B$57)+((Calculations!G29+I29)*Summary!$B$45*Summary!$B$58))</f>
        <v>116791.39772727272</v>
      </c>
      <c r="M29" s="83">
        <f ca="1">IF(ISERROR(((H29+J29)*Summary!$B$44*Summary!$B$57)+((H29+J29)*Summary!$B$45*Summary!$B$58)),"",((H29+J29)*Summary!$B$44*Summary!$B$57)+((H29+J29)*Summary!$B$45*Summary!$B$58))</f>
        <v>1481800.2692307692</v>
      </c>
      <c r="N29" s="15">
        <f t="shared" ca="1" si="3"/>
        <v>1598591.666958042</v>
      </c>
      <c r="O29" s="15">
        <f ca="1">IF(ISERROR(Summary!$B$59+Summary!$B$60+((Calculations!C29/30)/Summary!$B$53*Summary!$B$60)),"",Summary!$B$59+Summary!$B$60+((Calculations!C29/30)/Summary!$B$53*Summary!$B$60))</f>
        <v>87131.456285714288</v>
      </c>
      <c r="P29" s="78">
        <f ca="1">IF(ISERROR(IF(K29&gt;0,(K29*Summary!$B$46)+((Calculations!C29+D29)/500*Summary!$B$64),Calculations!N29/Summary!$B$59*Summary!$B$54)),"",IF(G29&gt;0,(G29*Summary!$B$46)+(Calculations!C29/500*Summary!$B$64),Calculations!N29/Summary!$B$59*Summary!$B$54))</f>
        <v>16307.713636363636</v>
      </c>
      <c r="Q29" s="15">
        <f t="shared" ca="1" si="0"/>
        <v>1702030.8368801198</v>
      </c>
    </row>
    <row r="30" spans="2:17">
      <c r="B30" s="35" t="s">
        <v>14</v>
      </c>
      <c r="C30" s="54">
        <f ca="1">IF(ISERROR(INDIRECT(ADDRESS(MATCH(B30,Data!B:B,0),5,1,1,"Data"))*INDIRECT(ADDRESS(MATCH(B30,'Cost Factor'!B:B,0),21,1,1,"Cost Factor"))),"",INDIRECT(ADDRESS(MATCH(B30,Data!B:B,0),5,1,1,"Data"))*INDIRECT(ADDRESS(MATCH(B30,'Cost Factor'!B:B,0),21,1,1,"Cost Factor")))</f>
        <v>5846</v>
      </c>
      <c r="D30" s="54">
        <f ca="1">IF(ISERROR(INDIRECT(ADDRESS(MATCH(B30,Data!B:B,0),6,1,1,"Data"))*INDIRECT(ADDRESS(MATCH(B30,'Cost Factor'!B:B,0),21,1,1,"Cost Factor"))),"",INDIRECT(ADDRESS(MATCH(B30,Data!B:B,0),6,1,1,"Data"))*INDIRECT(ADDRESS(MATCH(B30,'Cost Factor'!B:B,0),21,1,1,"Cost Factor")))</f>
        <v>639</v>
      </c>
      <c r="E30" s="86">
        <f ca="1">IF(ISERROR(INDIRECT(ADDRESS(MATCH(B30,Data!B:B,0),8,1,1,"Data"))*INDIRECT(ADDRESS(MATCH(B30,'Cost Factor'!B:B,0),21,1,1,"Cost Factor"))),"",INDIRECT(ADDRESS(MATCH(B30,Data!B:B,0),8,1,1,"Data"))*INDIRECT(ADDRESS(MATCH(B30,'Cost Factor'!B:B,0),21,1,1,"Cost Factor")))</f>
        <v>0</v>
      </c>
      <c r="F30" s="86">
        <f ca="1">IF(ISERROR(INDIRECT(ADDRESS(MATCH(B30,Data!B:B,0),9,1,1,"Data"))*INDIRECT(ADDRESS(MATCH(B30,'Cost Factor'!B:B,0),21,1,1,"Cost Factor"))),"",INDIRECT(ADDRESS(MATCH(B30,Data!B:B,0),9,1,1,"Data"))*INDIRECT(ADDRESS(MATCH(B30,'Cost Factor'!B:B,0),21,1,1,"Cost Factor")))</f>
        <v>0</v>
      </c>
      <c r="G30" s="54">
        <f ca="1">IF(ISERROR(C30/(Summary!$B$47*Summary!$B$49)),"",C30/(Summary!$B$47*Summary!$B$49))</f>
        <v>7.3813131313131315</v>
      </c>
      <c r="H30" s="54">
        <f ca="1">IF(ISERROR(D30/(Summary!$B$48*Summary!$B$50)),"",D30/(Summary!$B$48*Summary!$B$50))</f>
        <v>2.7307692307692308</v>
      </c>
      <c r="I30" s="73">
        <f ca="1">E30/(Summary!$B$51*Summary!$B$49*0.67)</f>
        <v>0</v>
      </c>
      <c r="J30" s="73">
        <f ca="1">F30/(Summary!$B$50*Summary!$B$52*0.67)</f>
        <v>0</v>
      </c>
      <c r="K30" s="86">
        <f t="shared" ca="1" si="2"/>
        <v>10.112082362082361</v>
      </c>
      <c r="L30" s="83">
        <f ca="1">IF(ISERROR(((G30+I30)*Summary!$B$44*Summary!$B$57)+((Calculations!G30+I30)*Summary!$B$45*Summary!$B$58)),"",((G30+I30)*Summary!$B$44*Summary!$B$57)+((Calculations!G30+I30)*Summary!$B$45*Summary!$B$58))</f>
        <v>423812.85606060608</v>
      </c>
      <c r="M30" s="83">
        <f ca="1">IF(ISERROR(((H30+J30)*Summary!$B$44*Summary!$B$57)+((H30+J30)*Summary!$B$45*Summary!$B$58)),"",((H30+J30)*Summary!$B$44*Summary!$B$57)+((H30+J30)*Summary!$B$45*Summary!$B$58))</f>
        <v>156792.57692307694</v>
      </c>
      <c r="N30" s="15">
        <f t="shared" ca="1" si="3"/>
        <v>580605.43298368296</v>
      </c>
      <c r="O30" s="15">
        <f ca="1">IF(ISERROR(Summary!$B$59+Summary!$B$60+((Calculations!C30/30)/Summary!$B$53*Summary!$B$60)),"",Summary!$B$59+Summary!$B$60+((Calculations!C30/30)/Summary!$B$53*Summary!$B$60))</f>
        <v>92931.792952380958</v>
      </c>
      <c r="P30" s="78">
        <f ca="1">IF(ISERROR(IF(K30&gt;0,(K30*Summary!$B$46)+((Calculations!C30+D30)/500*Summary!$B$64),Calculations!N30/Summary!$B$59*Summary!$B$54)),"",IF(G30&gt;0,(G30*Summary!$B$46)+(Calculations!C30/500*Summary!$B$64),Calculations!N30/Summary!$B$59*Summary!$B$54))</f>
        <v>59177.463636363638</v>
      </c>
      <c r="Q30" s="15">
        <f t="shared" ca="1" si="0"/>
        <v>732714.68957242754</v>
      </c>
    </row>
    <row r="31" spans="2:17">
      <c r="B31" s="35" t="s">
        <v>15</v>
      </c>
      <c r="C31" s="54">
        <f ca="1">IF(ISERROR(INDIRECT(ADDRESS(MATCH(B31,Data!B:B,0),5,1,1,"Data"))*INDIRECT(ADDRESS(MATCH(B31,'Cost Factor'!B:B,0),21,1,1,"Cost Factor"))),"",INDIRECT(ADDRESS(MATCH(B31,Data!B:B,0),5,1,1,"Data"))*INDIRECT(ADDRESS(MATCH(B31,'Cost Factor'!B:B,0),21,1,1,"Cost Factor")))</f>
        <v>11919</v>
      </c>
      <c r="D31" s="54">
        <f ca="1">IF(ISERROR(INDIRECT(ADDRESS(MATCH(B31,Data!B:B,0),6,1,1,"Data"))*INDIRECT(ADDRESS(MATCH(B31,'Cost Factor'!B:B,0),21,1,1,"Cost Factor"))),"",INDIRECT(ADDRESS(MATCH(B31,Data!B:B,0),6,1,1,"Data"))*INDIRECT(ADDRESS(MATCH(B31,'Cost Factor'!B:B,0),21,1,1,"Cost Factor")))</f>
        <v>3148</v>
      </c>
      <c r="E31" s="86">
        <f ca="1">IF(ISERROR(INDIRECT(ADDRESS(MATCH(B31,Data!B:B,0),8,1,1,"Data"))*INDIRECT(ADDRESS(MATCH(B31,'Cost Factor'!B:B,0),21,1,1,"Cost Factor"))),"",INDIRECT(ADDRESS(MATCH(B31,Data!B:B,0),8,1,1,"Data"))*INDIRECT(ADDRESS(MATCH(B31,'Cost Factor'!B:B,0),21,1,1,"Cost Factor")))</f>
        <v>0</v>
      </c>
      <c r="F31" s="86">
        <f ca="1">IF(ISERROR(INDIRECT(ADDRESS(MATCH(B31,Data!B:B,0),9,1,1,"Data"))*INDIRECT(ADDRESS(MATCH(B31,'Cost Factor'!B:B,0),21,1,1,"Cost Factor"))),"",INDIRECT(ADDRESS(MATCH(B31,Data!B:B,0),9,1,1,"Data"))*INDIRECT(ADDRESS(MATCH(B31,'Cost Factor'!B:B,0),21,1,1,"Cost Factor")))</f>
        <v>0</v>
      </c>
      <c r="G31" s="54">
        <f ca="1">IF(ISERROR(C31/(Summary!$B$47*Summary!$B$49)),"",C31/(Summary!$B$47*Summary!$B$49))</f>
        <v>15.049242424242424</v>
      </c>
      <c r="H31" s="54">
        <f ca="1">IF(ISERROR(D31/(Summary!$B$48*Summary!$B$50)),"",D31/(Summary!$B$48*Summary!$B$50))</f>
        <v>13.452991452991453</v>
      </c>
      <c r="I31" s="73">
        <f ca="1">E31/(Summary!$B$51*Summary!$B$49*0.67)</f>
        <v>0</v>
      </c>
      <c r="J31" s="73">
        <f ca="1">F31/(Summary!$B$50*Summary!$B$52*0.67)</f>
        <v>0</v>
      </c>
      <c r="K31" s="86">
        <f t="shared" ca="1" si="2"/>
        <v>28.502233877233877</v>
      </c>
      <c r="L31" s="83">
        <f ca="1">IF(ISERROR(((G31+I31)*Summary!$B$44*Summary!$B$57)+((Calculations!G31+I31)*Summary!$B$45*Summary!$B$58)),"",((G31+I31)*Summary!$B$44*Summary!$B$57)+((Calculations!G31+I31)*Summary!$B$45*Summary!$B$58))</f>
        <v>864082.35227272718</v>
      </c>
      <c r="M31" s="83">
        <f ca="1">IF(ISERROR(((H31+J31)*Summary!$B$44*Summary!$B$57)+((H31+J31)*Summary!$B$45*Summary!$B$58)),"",((H31+J31)*Summary!$B$44*Summary!$B$57)+((H31+J31)*Summary!$B$45*Summary!$B$58))</f>
        <v>772430.41025641025</v>
      </c>
      <c r="N31" s="15">
        <f t="shared" ca="1" si="3"/>
        <v>1636512.7625291375</v>
      </c>
      <c r="O31" s="15">
        <f ca="1">IF(ISERROR(Summary!$B$59+Summary!$B$60+((Calculations!C31/30)/Summary!$B$53*Summary!$B$60)),"",Summary!$B$59+Summary!$B$60+((Calculations!C31/30)/Summary!$B$53*Summary!$B$60))</f>
        <v>101249.48942857143</v>
      </c>
      <c r="P31" s="78">
        <f ca="1">IF(ISERROR(IF(K31&gt;0,(K31*Summary!$B$46)+((Calculations!C31+D31)/500*Summary!$B$64),Calculations!N31/Summary!$B$59*Summary!$B$54)),"",IF(G31&gt;0,(G31*Summary!$B$46)+(Calculations!C31/500*Summary!$B$64),Calculations!N31/Summary!$B$59*Summary!$B$54))</f>
        <v>120652.78636363638</v>
      </c>
      <c r="Q31" s="15">
        <f t="shared" ca="1" si="0"/>
        <v>1858415.0383213453</v>
      </c>
    </row>
    <row r="32" spans="2:17">
      <c r="B32" s="35" t="s">
        <v>16</v>
      </c>
      <c r="C32" s="54">
        <f ca="1">IF(ISERROR(INDIRECT(ADDRESS(MATCH(B32,Data!B:B,0),5,1,1,"Data"))*INDIRECT(ADDRESS(MATCH(B32,'Cost Factor'!B:B,0),21,1,1,"Cost Factor"))),"",INDIRECT(ADDRESS(MATCH(B32,Data!B:B,0),5,1,1,"Data"))*INDIRECT(ADDRESS(MATCH(B32,'Cost Factor'!B:B,0),21,1,1,"Cost Factor")))</f>
        <v>0</v>
      </c>
      <c r="D32" s="54">
        <f ca="1">IF(ISERROR(INDIRECT(ADDRESS(MATCH(B32,Data!B:B,0),6,1,1,"Data"))*INDIRECT(ADDRESS(MATCH(B32,'Cost Factor'!B:B,0),21,1,1,"Cost Factor"))),"",INDIRECT(ADDRESS(MATCH(B32,Data!B:B,0),6,1,1,"Data"))*INDIRECT(ADDRESS(MATCH(B32,'Cost Factor'!B:B,0),21,1,1,"Cost Factor")))</f>
        <v>0</v>
      </c>
      <c r="E32" s="86">
        <f ca="1">IF(ISERROR(INDIRECT(ADDRESS(MATCH(B32,Data!B:B,0),8,1,1,"Data"))*INDIRECT(ADDRESS(MATCH(B32,'Cost Factor'!B:B,0),21,1,1,"Cost Factor"))),"",INDIRECT(ADDRESS(MATCH(B32,Data!B:B,0),8,1,1,"Data"))*INDIRECT(ADDRESS(MATCH(B32,'Cost Factor'!B:B,0),21,1,1,"Cost Factor")))</f>
        <v>0</v>
      </c>
      <c r="F32" s="86">
        <f ca="1">IF(ISERROR(INDIRECT(ADDRESS(MATCH(B32,Data!B:B,0),9,1,1,"Data"))*INDIRECT(ADDRESS(MATCH(B32,'Cost Factor'!B:B,0),21,1,1,"Cost Factor"))),"",INDIRECT(ADDRESS(MATCH(B32,Data!B:B,0),9,1,1,"Data"))*INDIRECT(ADDRESS(MATCH(B32,'Cost Factor'!B:B,0),21,1,1,"Cost Factor")))</f>
        <v>0</v>
      </c>
      <c r="G32" s="54">
        <f ca="1">IF(ISERROR(C32/(Summary!$B$47*Summary!$B$49)),"",C32/(Summary!$B$47*Summary!$B$49))</f>
        <v>0</v>
      </c>
      <c r="H32" s="54">
        <f ca="1">IF(ISERROR(D32/(Summary!$B$48*Summary!$B$50)),"",D32/(Summary!$B$48*Summary!$B$50))</f>
        <v>0</v>
      </c>
      <c r="I32" s="73">
        <f ca="1">E32/(Summary!$B$51*Summary!$B$49*0.67)</f>
        <v>0</v>
      </c>
      <c r="J32" s="73">
        <f ca="1">F32/(Summary!$B$50*Summary!$B$52*0.67)</f>
        <v>0</v>
      </c>
      <c r="K32" s="86">
        <f t="shared" ca="1" si="2"/>
        <v>0</v>
      </c>
      <c r="L32" s="83">
        <f ca="1">IF(ISERROR(((G32+I32)*Summary!$B$44*Summary!$B$57)+((Calculations!G32+I32)*Summary!$B$45*Summary!$B$58)),"",((G32+I32)*Summary!$B$44*Summary!$B$57)+((Calculations!G32+I32)*Summary!$B$45*Summary!$B$58))</f>
        <v>0</v>
      </c>
      <c r="M32" s="83">
        <f ca="1">IF(ISERROR(((H32+J32)*Summary!$B$44*Summary!$B$57)+((H32+J32)*Summary!$B$45*Summary!$B$58)),"",((H32+J32)*Summary!$B$44*Summary!$B$57)+((H32+J32)*Summary!$B$45*Summary!$B$58))</f>
        <v>0</v>
      </c>
      <c r="N32" s="15">
        <f t="shared" ca="1" si="3"/>
        <v>0</v>
      </c>
      <c r="O32" s="15">
        <f ca="1">IF(ISERROR(Summary!$B$59+Summary!$B$60+((Calculations!C32/30)/Summary!$B$53*Summary!$B$60)),"",Summary!$B$59+Summary!$B$60+((Calculations!C32/30)/Summary!$B$53*Summary!$B$60))</f>
        <v>84925</v>
      </c>
      <c r="P32" s="78">
        <f ca="1">IF(ISERROR(IF(K32&gt;0,(K32*Summary!$B$46)+((Calculations!C32+D32)/500*Summary!$B$64),Calculations!N32/Summary!$B$59*Summary!$B$54)),"",IF(G32&gt;0,(G32*Summary!$B$46)+(Calculations!C32/500*Summary!$B$64),Calculations!N32/Summary!$B$59*Summary!$B$54))</f>
        <v>0</v>
      </c>
      <c r="Q32" s="15">
        <f t="shared" ca="1" si="0"/>
        <v>84925</v>
      </c>
    </row>
    <row r="33" spans="2:19">
      <c r="B33" s="35" t="s">
        <v>17</v>
      </c>
      <c r="C33" s="54">
        <f ca="1">IF(ISERROR(INDIRECT(ADDRESS(MATCH(B33,Data!B:B,0),5,1,1,"Data"))*INDIRECT(ADDRESS(MATCH(B33,'Cost Factor'!B:B,0),21,1,1,"Cost Factor"))),"",INDIRECT(ADDRESS(MATCH(B33,Data!B:B,0),5,1,1,"Data"))*INDIRECT(ADDRESS(MATCH(B33,'Cost Factor'!B:B,0),21,1,1,"Cost Factor")))</f>
        <v>0</v>
      </c>
      <c r="D33" s="54">
        <f ca="1">IF(ISERROR(INDIRECT(ADDRESS(MATCH(B33,Data!B:B,0),6,1,1,"Data"))*INDIRECT(ADDRESS(MATCH(B33,'Cost Factor'!B:B,0),21,1,1,"Cost Factor"))),"",INDIRECT(ADDRESS(MATCH(B33,Data!B:B,0),6,1,1,"Data"))*INDIRECT(ADDRESS(MATCH(B33,'Cost Factor'!B:B,0),21,1,1,"Cost Factor")))</f>
        <v>586</v>
      </c>
      <c r="E33" s="86">
        <f ca="1">IF(ISERROR(INDIRECT(ADDRESS(MATCH(B33,Data!B:B,0),8,1,1,"Data"))*INDIRECT(ADDRESS(MATCH(B33,'Cost Factor'!B:B,0),21,1,1,"Cost Factor"))),"",INDIRECT(ADDRESS(MATCH(B33,Data!B:B,0),8,1,1,"Data"))*INDIRECT(ADDRESS(MATCH(B33,'Cost Factor'!B:B,0),21,1,1,"Cost Factor")))</f>
        <v>0</v>
      </c>
      <c r="F33" s="86">
        <f ca="1">IF(ISERROR(INDIRECT(ADDRESS(MATCH(B33,Data!B:B,0),9,1,1,"Data"))*INDIRECT(ADDRESS(MATCH(B33,'Cost Factor'!B:B,0),21,1,1,"Cost Factor"))),"",INDIRECT(ADDRESS(MATCH(B33,Data!B:B,0),9,1,1,"Data"))*INDIRECT(ADDRESS(MATCH(B33,'Cost Factor'!B:B,0),21,1,1,"Cost Factor")))</f>
        <v>0</v>
      </c>
      <c r="G33" s="54">
        <f ca="1">IF(ISERROR(C33/(Summary!$B$47*Summary!$B$49)),"",C33/(Summary!$B$47*Summary!$B$49))</f>
        <v>0</v>
      </c>
      <c r="H33" s="54">
        <f ca="1">IF(ISERROR(D33/(Summary!$B$48*Summary!$B$50)),"",D33/(Summary!$B$48*Summary!$B$50))</f>
        <v>2.5042735042735043</v>
      </c>
      <c r="I33" s="73">
        <f ca="1">E33/(Summary!$B$51*Summary!$B$49*0.67)</f>
        <v>0</v>
      </c>
      <c r="J33" s="73">
        <f ca="1">F33/(Summary!$B$50*Summary!$B$52*0.67)</f>
        <v>0</v>
      </c>
      <c r="K33" s="86">
        <f t="shared" ca="1" si="2"/>
        <v>2.5042735042735043</v>
      </c>
      <c r="L33" s="83">
        <f ca="1">IF(ISERROR(((G33+I33)*Summary!$B$44*Summary!$B$57)+((Calculations!G33+I33)*Summary!$B$45*Summary!$B$58)),"",((G33+I33)*Summary!$B$44*Summary!$B$57)+((Calculations!G33+I33)*Summary!$B$45*Summary!$B$58))</f>
        <v>0</v>
      </c>
      <c r="M33" s="83">
        <f ca="1">IF(ISERROR(((H33+J33)*Summary!$B$44*Summary!$B$57)+((H33+J33)*Summary!$B$45*Summary!$B$58)),"",((H33+J33)*Summary!$B$44*Summary!$B$57)+((H33+J33)*Summary!$B$45*Summary!$B$58))</f>
        <v>143787.87179487181</v>
      </c>
      <c r="N33" s="15">
        <f t="shared" ca="1" si="3"/>
        <v>143787.87179487181</v>
      </c>
      <c r="O33" s="15">
        <f ca="1">IF(ISERROR(Summary!$B$59+Summary!$B$60+((Calculations!C33/30)/Summary!$B$53*Summary!$B$60)),"",Summary!$B$59+Summary!$B$60+((Calculations!C33/30)/Summary!$B$53*Summary!$B$60))</f>
        <v>84925</v>
      </c>
      <c r="P33" s="78">
        <f ca="1">IF(ISERROR(IF(K33&gt;0,(K33*Summary!$B$46)+((Calculations!C33+D33)/500*Summary!$B$64),Calculations!N33/Summary!$B$59*Summary!$B$54)),"",IF(G33&gt;0,(G33*Summary!$B$46)+(Calculations!C33/500*Summary!$B$64),Calculations!N33/Summary!$B$59*Summary!$B$54))</f>
        <v>39170.885431005088</v>
      </c>
      <c r="Q33" s="15">
        <f t="shared" ca="1" si="0"/>
        <v>267883.75722587691</v>
      </c>
    </row>
    <row r="34" spans="2:19">
      <c r="B34" s="35" t="s">
        <v>18</v>
      </c>
      <c r="C34" s="54">
        <f ca="1">IF(ISERROR(INDIRECT(ADDRESS(MATCH(B34,Data!B:B,0),5,1,1,"Data"))*INDIRECT(ADDRESS(MATCH(B34,'Cost Factor'!B:B,0),21,1,1,"Cost Factor"))),"",INDIRECT(ADDRESS(MATCH(B34,Data!B:B,0),5,1,1,"Data"))*INDIRECT(ADDRESS(MATCH(B34,'Cost Factor'!B:B,0),21,1,1,"Cost Factor")))</f>
        <v>13394</v>
      </c>
      <c r="D34" s="54">
        <f ca="1">IF(ISERROR(INDIRECT(ADDRESS(MATCH(B34,Data!B:B,0),6,1,1,"Data"))*INDIRECT(ADDRESS(MATCH(B34,'Cost Factor'!B:B,0),21,1,1,"Cost Factor"))),"",INDIRECT(ADDRESS(MATCH(B34,Data!B:B,0),6,1,1,"Data"))*INDIRECT(ADDRESS(MATCH(B34,'Cost Factor'!B:B,0),21,1,1,"Cost Factor")))</f>
        <v>1566</v>
      </c>
      <c r="E34" s="86">
        <f ca="1">IF(ISERROR(INDIRECT(ADDRESS(MATCH(B34,Data!B:B,0),8,1,1,"Data"))*INDIRECT(ADDRESS(MATCH(B34,'Cost Factor'!B:B,0),21,1,1,"Cost Factor"))),"",INDIRECT(ADDRESS(MATCH(B34,Data!B:B,0),8,1,1,"Data"))*INDIRECT(ADDRESS(MATCH(B34,'Cost Factor'!B:B,0),21,1,1,"Cost Factor")))</f>
        <v>0</v>
      </c>
      <c r="F34" s="86">
        <f ca="1">IF(ISERROR(INDIRECT(ADDRESS(MATCH(B34,Data!B:B,0),9,1,1,"Data"))*INDIRECT(ADDRESS(MATCH(B34,'Cost Factor'!B:B,0),21,1,1,"Cost Factor"))),"",INDIRECT(ADDRESS(MATCH(B34,Data!B:B,0),9,1,1,"Data"))*INDIRECT(ADDRESS(MATCH(B34,'Cost Factor'!B:B,0),21,1,1,"Cost Factor")))</f>
        <v>0</v>
      </c>
      <c r="G34" s="54">
        <f ca="1">IF(ISERROR(C34/(Summary!$B$47*Summary!$B$49)),"",C34/(Summary!$B$47*Summary!$B$49))</f>
        <v>16.911616161616163</v>
      </c>
      <c r="H34" s="54">
        <f ca="1">IF(ISERROR(D34/(Summary!$B$48*Summary!$B$50)),"",D34/(Summary!$B$48*Summary!$B$50))</f>
        <v>6.6923076923076925</v>
      </c>
      <c r="I34" s="73">
        <f ca="1">E34/(Summary!$B$51*Summary!$B$49*0.67)</f>
        <v>0</v>
      </c>
      <c r="J34" s="73">
        <f ca="1">F34/(Summary!$B$50*Summary!$B$52*0.67)</f>
        <v>0</v>
      </c>
      <c r="K34" s="86">
        <f t="shared" ca="1" si="2"/>
        <v>23.603923853923856</v>
      </c>
      <c r="L34" s="83">
        <f ca="1">IF(ISERROR(((G34+I34)*Summary!$B$44*Summary!$B$57)+((Calculations!G34+I34)*Summary!$B$45*Summary!$B$58)),"",((G34+I34)*Summary!$B$44*Summary!$B$57)+((Calculations!G34+I34)*Summary!$B$45*Summary!$B$58))</f>
        <v>971014.26515151525</v>
      </c>
      <c r="M34" s="83">
        <f ca="1">IF(ISERROR(((H34+J34)*Summary!$B$44*Summary!$B$57)+((H34+J34)*Summary!$B$45*Summary!$B$58)),"",((H34+J34)*Summary!$B$44*Summary!$B$57)+((H34+J34)*Summary!$B$45*Summary!$B$58))</f>
        <v>384252.23076923081</v>
      </c>
      <c r="N34" s="15">
        <f t="shared" ca="1" si="3"/>
        <v>1355266.4959207461</v>
      </c>
      <c r="O34" s="15">
        <f ca="1">IF(ISERROR(Summary!$B$59+Summary!$B$60+((Calculations!C34/30)/Summary!$B$53*Summary!$B$60)),"",Summary!$B$59+Summary!$B$60+((Calculations!C34/30)/Summary!$B$53*Summary!$B$60))</f>
        <v>103269.67752380953</v>
      </c>
      <c r="P34" s="78">
        <f ca="1">IF(ISERROR(IF(K34&gt;0,(K34*Summary!$B$46)+((Calculations!C34+D34)/500*Summary!$B$64),Calculations!N34/Summary!$B$59*Summary!$B$54)),"",IF(G34&gt;0,(G34*Summary!$B$46)+(Calculations!C34/500*Summary!$B$64),Calculations!N34/Summary!$B$59*Summary!$B$54))</f>
        <v>135583.80909090911</v>
      </c>
      <c r="Q34" s="15">
        <f t="shared" ca="1" si="0"/>
        <v>1594119.9825354647</v>
      </c>
    </row>
    <row r="35" spans="2:19" ht="15.75" thickBot="1">
      <c r="B35" s="55" t="s">
        <v>19</v>
      </c>
      <c r="C35" s="92">
        <f ca="1">IF(ISERROR(INDIRECT(ADDRESS(MATCH(B35,Data!B:B,0),5,1,1,"Data"))*INDIRECT(ADDRESS(MATCH(B35,'Cost Factor'!B:B,0),21,1,1,"Cost Factor"))),"",INDIRECT(ADDRESS(MATCH(B35,Data!B:B,0),5,1,1,"Data"))*INDIRECT(ADDRESS(MATCH(B35,'Cost Factor'!B:B,0),21,1,1,"Cost Factor")))</f>
        <v>1658</v>
      </c>
      <c r="D35" s="92">
        <f ca="1">IF(ISERROR(INDIRECT(ADDRESS(MATCH(B35,Data!B:B,0),6,1,1,"Data"))*INDIRECT(ADDRESS(MATCH(B35,'Cost Factor'!B:B,0),21,1,1,"Cost Factor"))),"",INDIRECT(ADDRESS(MATCH(B35,Data!B:B,0),6,1,1,"Data"))*INDIRECT(ADDRESS(MATCH(B35,'Cost Factor'!B:B,0),21,1,1,"Cost Factor")))</f>
        <v>0</v>
      </c>
      <c r="E35" s="92">
        <f ca="1">IF(ISERROR(INDIRECT(ADDRESS(MATCH(B35,Data!B:B,0),8,1,1,"Data"))*INDIRECT(ADDRESS(MATCH(B35,'Cost Factor'!B:B,0),21,1,1,"Cost Factor"))),"",INDIRECT(ADDRESS(MATCH(B35,Data!B:B,0),8,1,1,"Data"))*INDIRECT(ADDRESS(MATCH(B35,'Cost Factor'!B:B,0),21,1,1,"Cost Factor")))</f>
        <v>0</v>
      </c>
      <c r="F35" s="92">
        <f ca="1">IF(ISERROR(INDIRECT(ADDRESS(MATCH(B35,Data!B:B,0),9,1,1,"Data"))*INDIRECT(ADDRESS(MATCH(B35,'Cost Factor'!B:B,0),21,1,1,"Cost Factor"))),"",INDIRECT(ADDRESS(MATCH(B35,Data!B:B,0),9,1,1,"Data"))*INDIRECT(ADDRESS(MATCH(B35,'Cost Factor'!B:B,0),21,1,1,"Cost Factor")))</f>
        <v>0</v>
      </c>
      <c r="G35" s="92">
        <f ca="1">IF(ISERROR(C35/(Summary!$B$47*Summary!$B$49)),"",C35/(Summary!$B$47*Summary!$B$49))</f>
        <v>2.0934343434343434</v>
      </c>
      <c r="H35" s="92">
        <f ca="1">IF(ISERROR(D35/(Summary!$B$48*Summary!$B$50)),"",D35/(Summary!$B$48*Summary!$B$50))</f>
        <v>0</v>
      </c>
      <c r="I35" s="93">
        <f ca="1">E35/(Summary!$B$51*Summary!$B$49*0.67)</f>
        <v>0</v>
      </c>
      <c r="J35" s="93">
        <f ca="1">F35/(Summary!$B$50*Summary!$B$52*0.67)</f>
        <v>0</v>
      </c>
      <c r="K35" s="92">
        <f t="shared" ca="1" si="2"/>
        <v>2.0934343434343434</v>
      </c>
      <c r="L35" s="87">
        <f ca="1">IF(ISERROR(((G35+I35)*Summary!$B$44*Summary!$B$57)+((Calculations!G35+I35)*Summary!$B$45*Summary!$B$58)),"",((G35+I35)*Summary!$B$44*Summary!$B$57)+((Calculations!G35+I35)*Summary!$B$45*Summary!$B$58))</f>
        <v>120198.7196969697</v>
      </c>
      <c r="M35" s="87">
        <f ca="1">IF(ISERROR(((H35+J35)*Summary!$B$44*Summary!$B$57)+((H35+J35)*Summary!$B$45*Summary!$B$58)),"",((H35+J35)*Summary!$B$44*Summary!$B$57)+((H35+J35)*Summary!$B$45*Summary!$B$58))</f>
        <v>0</v>
      </c>
      <c r="N35" s="62">
        <f t="shared" ca="1" si="3"/>
        <v>120198.7196969697</v>
      </c>
      <c r="O35" s="62">
        <f ca="1">IF(ISERROR(Summary!$B$59+Summary!$B$60+((Calculations!C35/30)/Summary!$B$53*Summary!$B$60)),"",Summary!$B$59+Summary!$B$60+((Calculations!C35/30)/Summary!$B$53*Summary!$B$60))</f>
        <v>87195.828380952385</v>
      </c>
      <c r="P35" s="87">
        <f ca="1">IF(ISERROR(IF(K35&gt;0,(K35*Summary!$B$46)+((Calculations!C35+D35)/500*Summary!$B$64),Calculations!N35/Summary!$B$59*Summary!$B$54)),"",IF(G35&gt;0,(G35*Summary!$B$46)+(Calculations!C35/500*Summary!$B$64),Calculations!N35/Summary!$B$59*Summary!$B$54))</f>
        <v>16783.481818181819</v>
      </c>
      <c r="Q35" s="62">
        <f t="shared" ca="1" si="0"/>
        <v>224178.02989610389</v>
      </c>
      <c r="R35" s="88"/>
      <c r="S35" s="88"/>
    </row>
    <row r="36" spans="2:19">
      <c r="B36" s="50" t="s">
        <v>45</v>
      </c>
    </row>
    <row r="38" spans="2:19">
      <c r="C38" s="72"/>
      <c r="D38" s="72"/>
      <c r="E38" s="72"/>
      <c r="F38" s="72"/>
      <c r="G38" s="72"/>
    </row>
    <row r="39" spans="2:19">
      <c r="C39" s="72"/>
      <c r="D39" s="72"/>
      <c r="E39" s="72"/>
      <c r="F39" s="72"/>
      <c r="G39" s="72"/>
    </row>
  </sheetData>
  <pageMargins left="0.7" right="0.7" top="0.75" bottom="0.75" header="0.3" footer="0.3"/>
  <pageSetup scale="6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U33"/>
  <sheetViews>
    <sheetView topLeftCell="A7" workbookViewId="0">
      <pane xSplit="2" topLeftCell="D1" activePane="topRight" state="frozenSplit"/>
      <selection pane="topRight" activeCell="E10" sqref="E10:E31"/>
    </sheetView>
  </sheetViews>
  <sheetFormatPr defaultRowHeight="15"/>
  <cols>
    <col min="2" max="2" width="40.28515625" customWidth="1"/>
    <col min="3" max="3" width="19.42578125" customWidth="1"/>
    <col min="4" max="4" width="16" customWidth="1"/>
    <col min="5" max="5" width="9" customWidth="1"/>
    <col min="6" max="6" width="14.42578125" customWidth="1"/>
    <col min="7" max="7" width="14" customWidth="1"/>
    <col min="8" max="8" width="14.28515625" customWidth="1"/>
    <col min="9" max="9" width="14.85546875" customWidth="1"/>
    <col min="10" max="11" width="12.5703125" customWidth="1"/>
    <col min="12" max="12" width="11.85546875" customWidth="1"/>
    <col min="13" max="13" width="12" customWidth="1"/>
    <col min="14" max="14" width="11.85546875" customWidth="1"/>
    <col min="15" max="16" width="13.28515625" customWidth="1"/>
    <col min="17" max="17" width="12.7109375" customWidth="1"/>
    <col min="18" max="18" width="13.42578125" customWidth="1"/>
    <col min="19" max="19" width="12.85546875" customWidth="1"/>
  </cols>
  <sheetData>
    <row r="1" spans="2:21">
      <c r="C1" s="24" t="s">
        <v>35</v>
      </c>
    </row>
    <row r="2" spans="2:21">
      <c r="B2" s="21" t="s">
        <v>30</v>
      </c>
      <c r="C2" s="65">
        <f>Revenue!J62</f>
        <v>47056603</v>
      </c>
    </row>
    <row r="3" spans="2:21">
      <c r="B3" s="21" t="s">
        <v>31</v>
      </c>
      <c r="C3" s="66"/>
    </row>
    <row r="4" spans="2:21">
      <c r="B4" s="21" t="s">
        <v>32</v>
      </c>
      <c r="C4" s="66">
        <v>4206660</v>
      </c>
    </row>
    <row r="5" spans="2:21">
      <c r="B5" s="21" t="s">
        <v>33</v>
      </c>
      <c r="C5" s="23">
        <f ca="1">C33</f>
        <v>18412640.07</v>
      </c>
    </row>
    <row r="6" spans="2:21">
      <c r="B6" s="21" t="s">
        <v>34</v>
      </c>
      <c r="C6" s="22">
        <f ca="1">(C2-C4-C5)/C5</f>
        <v>1.3272025541745138</v>
      </c>
    </row>
    <row r="7" spans="2:21">
      <c r="I7" t="s">
        <v>37</v>
      </c>
    </row>
    <row r="9" spans="2:21" ht="39">
      <c r="C9" s="9" t="s">
        <v>20</v>
      </c>
      <c r="D9" s="110" t="s">
        <v>21</v>
      </c>
      <c r="E9" s="10" t="s">
        <v>139</v>
      </c>
      <c r="F9" s="8" t="s">
        <v>22</v>
      </c>
      <c r="G9" s="7" t="s">
        <v>23</v>
      </c>
      <c r="H9" s="7" t="s">
        <v>24</v>
      </c>
      <c r="I9" s="7" t="s">
        <v>25</v>
      </c>
      <c r="J9" s="59" t="s">
        <v>73</v>
      </c>
      <c r="K9" s="63" t="s">
        <v>76</v>
      </c>
      <c r="L9" s="59" t="s">
        <v>74</v>
      </c>
      <c r="M9" s="59" t="s">
        <v>75</v>
      </c>
      <c r="N9" s="59" t="s">
        <v>77</v>
      </c>
      <c r="O9" s="59" t="s">
        <v>78</v>
      </c>
      <c r="P9" s="59" t="s">
        <v>79</v>
      </c>
      <c r="Q9" s="61" t="s">
        <v>80</v>
      </c>
      <c r="R9" s="61" t="s">
        <v>81</v>
      </c>
      <c r="S9" s="61" t="s">
        <v>82</v>
      </c>
      <c r="T9" s="61" t="s">
        <v>83</v>
      </c>
      <c r="U9" s="61" t="s">
        <v>84</v>
      </c>
    </row>
    <row r="10" spans="2:21">
      <c r="B10" s="1" t="s">
        <v>0</v>
      </c>
      <c r="C10" s="18">
        <f ca="1">INDIRECT(ADDRESS(MATCH(B10,Summary!A:A,0),7,1,1,"Summary"))</f>
        <v>599585.42999999993</v>
      </c>
      <c r="D10" s="18">
        <v>404624.43</v>
      </c>
      <c r="E10">
        <f ca="1">INDIRECT(ADDRESS(MATCH(B10,Data!B:B,0),7,1,1,"Data"))</f>
        <v>6237</v>
      </c>
      <c r="F10" s="20">
        <f ca="1">IF(ISERROR(D10/E10),"",D10/E10)</f>
        <v>64.874848484848485</v>
      </c>
      <c r="G10" s="20">
        <f ca="1">IF(ISERROR((C10)/E10),"",(C10)/E10)</f>
        <v>96.133626743626735</v>
      </c>
      <c r="H10" s="20">
        <f ca="1">IF(ISERROR(G10*(1+$C$6)),"",G10*(1+$C$6))</f>
        <v>223.72242169982752</v>
      </c>
      <c r="I10" s="4">
        <f ca="1">IF(ISERROR((G10/F10)-1),"",(G10/F10)-1)</f>
        <v>0.48183200406362015</v>
      </c>
      <c r="J10" s="54">
        <f ca="1">INDIRECT(ADDRESS(MATCH(B10,Calculations!B:B,0),11,1,1,"Calculations"))</f>
        <v>9.0703185703185696</v>
      </c>
      <c r="K10" s="64">
        <v>8.9672953564383509</v>
      </c>
      <c r="L10" s="54">
        <f>IF(ISERROR(K10*Summary!$B$49),"",K10*Summary!$B$49)</f>
        <v>215.21508855452043</v>
      </c>
      <c r="M10" s="15">
        <f t="shared" ref="M10:M22" si="0">IF(ISERROR(D10/L10),"",D10/L10)</f>
        <v>1880.0932254222337</v>
      </c>
      <c r="N10" s="20">
        <f t="shared" ref="N10:N22" ca="1" si="1">IF(ISERROR((C10+D10)/L10),"",(C10+D10)/L10)</f>
        <v>4666.0755374760975</v>
      </c>
      <c r="O10" s="20">
        <f ca="1">IF(ISERROR(N10*(1+$C$6)),"",N10*(1+$C$6))</f>
        <v>10858.902908785592</v>
      </c>
      <c r="P10" s="20">
        <f>((2425.05+135)/15)+64.99</f>
        <v>235.66000000000003</v>
      </c>
      <c r="Q10" s="54">
        <f>IF(ISERROR(M10/P10),"",M10/P10)</f>
        <v>7.9779904329212998</v>
      </c>
      <c r="R10" s="54">
        <f ca="1">IF(ISERROR(N10/P10),"",N10/P10)</f>
        <v>19.800031984537455</v>
      </c>
      <c r="S10" s="54">
        <f ca="1">IF(ISERROR(O10/P10),"",O10/P10)</f>
        <v>46.078685007152643</v>
      </c>
      <c r="U10">
        <f ca="1">IF(T10&gt;0,Summary!$B$47/T10,IF(S10&lt;Summary!$B$47,'Cost Factor'!S10/Summary!$B$47,1))</f>
        <v>1</v>
      </c>
    </row>
    <row r="11" spans="2:21">
      <c r="B11" s="1" t="s">
        <v>1</v>
      </c>
      <c r="C11" s="18">
        <f ca="1">INDIRECT(ADDRESS(MATCH(B11,Summary!A:A,0),7,1,1,"Summary"))</f>
        <v>1225927.7</v>
      </c>
      <c r="D11" s="18">
        <v>1124676.93</v>
      </c>
      <c r="E11" s="79">
        <f ca="1">INDIRECT(ADDRESS(MATCH(B11,Data!B:B,0),7,1,1,"Data"))</f>
        <v>8883</v>
      </c>
      <c r="F11" s="20">
        <f t="shared" ref="F11:F31" ca="1" si="2">IF(ISERROR(D11/E11),"",D11/E11)</f>
        <v>126.61003377237419</v>
      </c>
      <c r="G11" s="20">
        <f t="shared" ref="G11:G31" ca="1" si="3">IF(ISERROR((C11)/E11),"",(C11)/E11)</f>
        <v>138.00829674659462</v>
      </c>
      <c r="H11" s="20">
        <f t="shared" ref="H11:H31" ca="1" si="4">IF(ISERROR(G11*(1+$C$6)),"",G11*(1+$C$6))</f>
        <v>321.17326068594929</v>
      </c>
      <c r="I11" s="4">
        <f t="shared" ref="I11:I31" ca="1" si="5">IF(ISERROR((G11/F11)-1),"",(G11/F11)-1)</f>
        <v>9.00265376653544E-2</v>
      </c>
      <c r="J11" s="86">
        <f ca="1">INDIRECT(ADDRESS(MATCH(B11,Calculations!B:B,0),11,1,1,"Calculations"))</f>
        <v>11.215909090909092</v>
      </c>
      <c r="K11" s="64">
        <v>12.757079704118702</v>
      </c>
      <c r="L11" s="54">
        <f>IF(ISERROR(K11*Summary!$B$49),"",K11*Summary!$B$49)</f>
        <v>306.16991289884885</v>
      </c>
      <c r="M11" s="15">
        <f t="shared" si="0"/>
        <v>3673.3750855903536</v>
      </c>
      <c r="N11" s="20">
        <f t="shared" ca="1" si="1"/>
        <v>7677.4514116825803</v>
      </c>
      <c r="O11" s="20">
        <f t="shared" ref="O11:O31" ca="1" si="6">IF(ISERROR(N11*(1+$C$6)),"",N11*(1+$C$6))</f>
        <v>17866.984534818428</v>
      </c>
      <c r="P11" s="20">
        <f t="shared" ref="P11:P31" si="7">((2425.05+135)/15)+64.99</f>
        <v>235.66000000000003</v>
      </c>
      <c r="Q11" s="54">
        <f t="shared" ref="Q11:Q31" si="8">IF(ISERROR(M11/P11),"",M11/P11)</f>
        <v>15.587605387381622</v>
      </c>
      <c r="R11" s="54">
        <f t="shared" ref="R11:R31" ca="1" si="9">IF(ISERROR(N11/P11),"",N11/P11)</f>
        <v>32.578508918283035</v>
      </c>
      <c r="S11" s="54">
        <f t="shared" ref="S11:S31" ca="1" si="10">IF(ISERROR(O11/P11),"",O11/P11)</f>
        <v>75.816789165825455</v>
      </c>
      <c r="U11">
        <f ca="1">IF(T11&gt;0,Summary!$B$47/T11,IF(S11&lt;Summary!$B$47,'Cost Factor'!S11/Summary!$B$47,1))</f>
        <v>1</v>
      </c>
    </row>
    <row r="12" spans="2:21">
      <c r="B12" s="1" t="s">
        <v>2</v>
      </c>
      <c r="C12" s="18">
        <f ca="1">INDIRECT(ADDRESS(MATCH(B12,Summary!A:A,0),7,1,1,"Summary"))</f>
        <v>1165519.6400000001</v>
      </c>
      <c r="D12" s="18">
        <v>996802.07</v>
      </c>
      <c r="E12" s="79">
        <f ca="1">INDIRECT(ADDRESS(MATCH(B12,Data!B:B,0),7,1,1,"Data"))</f>
        <v>12243</v>
      </c>
      <c r="F12" s="20">
        <f t="shared" ca="1" si="2"/>
        <v>81.418122192273131</v>
      </c>
      <c r="G12" s="20">
        <f t="shared" ca="1" si="3"/>
        <v>95.19885975659561</v>
      </c>
      <c r="H12" s="20">
        <f t="shared" ca="1" si="4"/>
        <v>221.54702958005066</v>
      </c>
      <c r="I12" s="4">
        <f t="shared" ca="1" si="5"/>
        <v>0.16925884794761714</v>
      </c>
      <c r="J12" s="86">
        <f ca="1">INDIRECT(ADDRESS(MATCH(B12,Calculations!B:B,0),11,1,1,"Calculations"))</f>
        <v>16.599456099456098</v>
      </c>
      <c r="K12" s="64">
        <v>15.933371061079294</v>
      </c>
      <c r="L12" s="54">
        <f>IF(ISERROR(K12*Summary!$B$49),"",K12*Summary!$B$49)</f>
        <v>382.40090546590307</v>
      </c>
      <c r="M12" s="15">
        <f t="shared" si="0"/>
        <v>2606.6938015890241</v>
      </c>
      <c r="N12" s="20">
        <f t="shared" ca="1" si="1"/>
        <v>5654.5935929872012</v>
      </c>
      <c r="O12" s="20">
        <f t="shared" ca="1" si="6"/>
        <v>13159.384652418657</v>
      </c>
      <c r="P12" s="20">
        <f t="shared" si="7"/>
        <v>235.66000000000003</v>
      </c>
      <c r="Q12" s="54">
        <f t="shared" si="8"/>
        <v>11.061248415467301</v>
      </c>
      <c r="R12" s="54">
        <f t="shared" ca="1" si="9"/>
        <v>23.994710994599</v>
      </c>
      <c r="S12" s="54">
        <f t="shared" ca="1" si="10"/>
        <v>55.840552713310089</v>
      </c>
      <c r="U12">
        <f ca="1">IF(T12&gt;0,Summary!$B$47/T12,IF(S12&lt;Summary!$B$47,'Cost Factor'!S12/Summary!$B$47,1))</f>
        <v>1</v>
      </c>
    </row>
    <row r="13" spans="2:21">
      <c r="B13" s="1" t="s">
        <v>3</v>
      </c>
      <c r="C13" s="18">
        <f ca="1">INDIRECT(ADDRESS(MATCH(B13,Summary!A:A,0),7,1,1,"Summary"))</f>
        <v>595096.85</v>
      </c>
      <c r="D13" s="18">
        <v>514254.34</v>
      </c>
      <c r="E13" s="79">
        <f ca="1">INDIRECT(ADDRESS(MATCH(B13,Data!B:B,0),7,1,1,"Data"))</f>
        <v>5779</v>
      </c>
      <c r="F13" s="20">
        <f t="shared" ca="1" si="2"/>
        <v>88.986734729191909</v>
      </c>
      <c r="G13" s="20">
        <f t="shared" ca="1" si="3"/>
        <v>102.97574839937705</v>
      </c>
      <c r="H13" s="20">
        <f t="shared" ca="1" si="4"/>
        <v>239.64542469306241</v>
      </c>
      <c r="I13" s="4">
        <f t="shared" ca="1" si="5"/>
        <v>0.15720335972273936</v>
      </c>
      <c r="J13" s="86">
        <f ca="1">INDIRECT(ADDRESS(MATCH(B13,Calculations!B:B,0),11,1,1,"Calculations"))</f>
        <v>7.3147824397824399</v>
      </c>
      <c r="K13" s="64">
        <v>7.9846400189443036</v>
      </c>
      <c r="L13" s="54">
        <f>IF(ISERROR(K13*Summary!$B$49),"",K13*Summary!$B$49)</f>
        <v>191.63136045466328</v>
      </c>
      <c r="M13" s="15">
        <f t="shared" si="0"/>
        <v>2683.5604505436045</v>
      </c>
      <c r="N13" s="20">
        <f t="shared" ca="1" si="1"/>
        <v>5788.985619931731</v>
      </c>
      <c r="O13" s="20">
        <f t="shared" ca="1" si="6"/>
        <v>13472.142120784656</v>
      </c>
      <c r="P13" s="20">
        <f t="shared" si="7"/>
        <v>235.66000000000003</v>
      </c>
      <c r="Q13" s="54">
        <f t="shared" si="8"/>
        <v>11.387424469759841</v>
      </c>
      <c r="R13" s="54">
        <f t="shared" ca="1" si="9"/>
        <v>24.564990324754859</v>
      </c>
      <c r="S13" s="54">
        <f t="shared" ca="1" si="10"/>
        <v>57.167708227041736</v>
      </c>
      <c r="U13">
        <f ca="1">IF(T13&gt;0,Summary!$B$47/T13,IF(S13&lt;Summary!$B$47,'Cost Factor'!S13/Summary!$B$47,1))</f>
        <v>1</v>
      </c>
    </row>
    <row r="14" spans="2:21">
      <c r="B14" s="1" t="s">
        <v>4</v>
      </c>
      <c r="C14" s="18">
        <f ca="1">INDIRECT(ADDRESS(MATCH(B14,Summary!A:A,0),7,1,1,"Summary"))</f>
        <v>1256290.9200000002</v>
      </c>
      <c r="D14" s="18">
        <v>981628.61</v>
      </c>
      <c r="E14" s="79">
        <f ca="1">INDIRECT(ADDRESS(MATCH(B14,Data!B:B,0),7,1,1,"Data"))</f>
        <v>11360</v>
      </c>
      <c r="F14" s="20">
        <f t="shared" ca="1" si="2"/>
        <v>86.410969190140847</v>
      </c>
      <c r="G14" s="20">
        <f t="shared" ca="1" si="3"/>
        <v>110.58898943661973</v>
      </c>
      <c r="H14" s="20">
        <f t="shared" ca="1" si="4"/>
        <v>257.36297868047978</v>
      </c>
      <c r="I14" s="4">
        <f t="shared" ca="1" si="5"/>
        <v>0.27980267404797843</v>
      </c>
      <c r="J14" s="86">
        <f ca="1">INDIRECT(ADDRESS(MATCH(B14,Calculations!B:B,0),11,1,1,"Calculations"))</f>
        <v>15.54477466977467</v>
      </c>
      <c r="K14" s="64">
        <v>14.181244830438379</v>
      </c>
      <c r="L14" s="54">
        <f>IF(ISERROR(K14*Summary!$B$49),"",K14*Summary!$B$49)</f>
        <v>340.34987593052108</v>
      </c>
      <c r="M14" s="15">
        <f t="shared" si="0"/>
        <v>2884.1750193568141</v>
      </c>
      <c r="N14" s="20">
        <f t="shared" ca="1" si="1"/>
        <v>6575.349921552046</v>
      </c>
      <c r="O14" s="20">
        <f t="shared" ca="1" si="6"/>
        <v>15302.171132027112</v>
      </c>
      <c r="P14" s="20">
        <f t="shared" si="7"/>
        <v>235.66000000000003</v>
      </c>
      <c r="Q14" s="54">
        <f t="shared" si="8"/>
        <v>12.238712634120402</v>
      </c>
      <c r="R14" s="54">
        <f t="shared" ca="1" si="9"/>
        <v>27.901849790172474</v>
      </c>
      <c r="S14" s="54">
        <f t="shared" ca="1" si="10"/>
        <v>64.933256097883003</v>
      </c>
      <c r="U14">
        <f ca="1">IF(T14&gt;0,Summary!$B$47/T14,IF(S14&lt;Summary!$B$47,'Cost Factor'!S14/Summary!$B$47,1))</f>
        <v>1</v>
      </c>
    </row>
    <row r="15" spans="2:21">
      <c r="B15" s="1" t="s">
        <v>5</v>
      </c>
      <c r="C15" s="18">
        <f ca="1">INDIRECT(ADDRESS(MATCH(B15,Summary!A:A,0),7,1,1,"Summary"))</f>
        <v>1561489.33</v>
      </c>
      <c r="D15" s="18">
        <v>1878453.29</v>
      </c>
      <c r="E15" s="79">
        <f ca="1">INDIRECT(ADDRESS(MATCH(B15,Data!B:B,0),7,1,1,"Data"))</f>
        <v>18303</v>
      </c>
      <c r="F15" s="20">
        <f t="shared" ca="1" si="2"/>
        <v>102.63089602797356</v>
      </c>
      <c r="G15" s="20">
        <f t="shared" ca="1" si="3"/>
        <v>85.313300005463589</v>
      </c>
      <c r="H15" s="20">
        <f t="shared" ca="1" si="4"/>
        <v>198.54132967777144</v>
      </c>
      <c r="I15" s="4">
        <f t="shared" ca="1" si="5"/>
        <v>-0.16873667377696677</v>
      </c>
      <c r="J15" s="86">
        <f ca="1">INDIRECT(ADDRESS(MATCH(B15,Calculations!B:B,0),11,1,1,"Calculations"))</f>
        <v>23.868589743589745</v>
      </c>
      <c r="K15" s="64">
        <v>23.102357320099255</v>
      </c>
      <c r="L15" s="54">
        <f>IF(ISERROR(K15*Summary!$B$49),"",K15*Summary!$B$49)</f>
        <v>554.45657568238209</v>
      </c>
      <c r="M15" s="15">
        <f t="shared" si="0"/>
        <v>3387.9177782103957</v>
      </c>
      <c r="N15" s="20">
        <f t="shared" ca="1" si="1"/>
        <v>6204.1695794957177</v>
      </c>
      <c r="O15" s="20">
        <f t="shared" ca="1" si="6"/>
        <v>14438.359291934255</v>
      </c>
      <c r="P15" s="20">
        <f t="shared" si="7"/>
        <v>235.66000000000003</v>
      </c>
      <c r="Q15" s="54">
        <f t="shared" si="8"/>
        <v>14.37629541801916</v>
      </c>
      <c r="R15" s="54">
        <f t="shared" ca="1" si="9"/>
        <v>26.32678256596672</v>
      </c>
      <c r="S15" s="54">
        <f t="shared" ca="1" si="10"/>
        <v>61.267755630714817</v>
      </c>
      <c r="U15">
        <f ca="1">IF(T15&gt;0,Summary!$B$47/T15,IF(S15&lt;Summary!$B$47,'Cost Factor'!S15/Summary!$B$47,1))</f>
        <v>1</v>
      </c>
    </row>
    <row r="16" spans="2:21">
      <c r="B16" s="96" t="s">
        <v>140</v>
      </c>
      <c r="C16" s="18">
        <f ca="1">INDIRECT(ADDRESS(MATCH(B16,Summary!A:A,0),7,1,1,"Summary"))</f>
        <v>813960.94000000006</v>
      </c>
      <c r="D16" s="18">
        <v>762164.38</v>
      </c>
      <c r="E16" s="79">
        <f ca="1">INDIRECT(ADDRESS(MATCH(B16,Data!B:B,0),7,1,1,"Data"))</f>
        <v>4527</v>
      </c>
      <c r="F16" s="20">
        <f t="shared" ca="1" si="2"/>
        <v>168.35970399823282</v>
      </c>
      <c r="G16" s="20">
        <f t="shared" ca="1" si="3"/>
        <v>179.80140048597306</v>
      </c>
      <c r="H16" s="20">
        <f t="shared" ca="1" si="4"/>
        <v>418.43427845511121</v>
      </c>
      <c r="I16" s="4">
        <f t="shared" ca="1" si="5"/>
        <v>6.7959827773635961E-2</v>
      </c>
      <c r="J16" s="86">
        <f ca="1">INDIRECT(ADDRESS(MATCH(B16,Calculations!B:B,0),11,1,1,"Calculations"))</f>
        <v>5.7430069930069925</v>
      </c>
      <c r="K16" s="64">
        <v>4.625</v>
      </c>
      <c r="L16" s="54">
        <f>IF(ISERROR(K16*Summary!$B$49),"",K16*Summary!$B$49)</f>
        <v>111</v>
      </c>
      <c r="M16" s="15">
        <f t="shared" si="0"/>
        <v>6866.3457657657655</v>
      </c>
      <c r="N16" s="20">
        <f t="shared" ca="1" si="1"/>
        <v>14199.327207207209</v>
      </c>
      <c r="O16" s="20">
        <f t="shared" ca="1" si="6"/>
        <v>33044.710544172289</v>
      </c>
      <c r="P16" s="20">
        <f t="shared" si="7"/>
        <v>235.66000000000003</v>
      </c>
      <c r="Q16" s="54">
        <f t="shared" si="8"/>
        <v>29.136661995102116</v>
      </c>
      <c r="R16" s="54">
        <f t="shared" ca="1" si="9"/>
        <v>60.253446521290023</v>
      </c>
      <c r="S16" s="54">
        <f t="shared" ca="1" si="10"/>
        <v>140.22197464216364</v>
      </c>
      <c r="U16">
        <f ca="1">IF(T16&gt;0,Summary!$B$47/T16,IF(S16&lt;Summary!$B$47,'Cost Factor'!S16/Summary!$B$47,1))</f>
        <v>1</v>
      </c>
    </row>
    <row r="17" spans="2:21">
      <c r="B17" s="96" t="s">
        <v>141</v>
      </c>
      <c r="C17" s="18">
        <f ca="1">INDIRECT(ADDRESS(MATCH(B17,Summary!A:A,0),7,1,1,"Summary"))</f>
        <v>747361.14999999991</v>
      </c>
      <c r="D17" s="18">
        <v>692558.3</v>
      </c>
      <c r="E17" s="79">
        <f ca="1">INDIRECT(ADDRESS(MATCH(B17,Data!B:B,0),7,1,1,"Data"))</f>
        <v>13413</v>
      </c>
      <c r="F17" s="20">
        <f t="shared" ca="1" si="2"/>
        <v>51.633363155147997</v>
      </c>
      <c r="G17" s="20">
        <f t="shared" ca="1" si="3"/>
        <v>55.719164243644222</v>
      </c>
      <c r="H17" s="20">
        <f t="shared" ca="1" si="4"/>
        <v>129.66978134427808</v>
      </c>
      <c r="I17" s="4">
        <f t="shared" ca="1" si="5"/>
        <v>7.9131027669439247E-2</v>
      </c>
      <c r="J17" s="86">
        <f ca="1">INDIRECT(ADDRESS(MATCH(B17,Calculations!B:B,0),11,1,1,"Calculations"))</f>
        <v>17.251748251748253</v>
      </c>
      <c r="K17" s="64">
        <v>17.311414392059554</v>
      </c>
      <c r="L17" s="54">
        <f>IF(ISERROR(K17*Summary!$B$49),"",K17*Summary!$B$49)</f>
        <v>415.47394540942929</v>
      </c>
      <c r="M17" s="15">
        <f t="shared" si="0"/>
        <v>1666.9115058888174</v>
      </c>
      <c r="N17" s="20">
        <f t="shared" ca="1" si="1"/>
        <v>3465.7274322726294</v>
      </c>
      <c r="O17" s="20">
        <f t="shared" ca="1" si="6"/>
        <v>8065.4497324575432</v>
      </c>
      <c r="P17" s="20">
        <f t="shared" si="7"/>
        <v>235.66000000000003</v>
      </c>
      <c r="Q17" s="54">
        <f t="shared" si="8"/>
        <v>7.0733748022100364</v>
      </c>
      <c r="R17" s="54">
        <f t="shared" ca="1" si="9"/>
        <v>14.706473021610069</v>
      </c>
      <c r="S17" s="54">
        <f t="shared" ca="1" si="10"/>
        <v>34.22494157878954</v>
      </c>
      <c r="U17">
        <f ca="1">IF(T17&gt;0,Summary!$B$47/T17,IF(S17&lt;Summary!$B$47,'Cost Factor'!S17/Summary!$B$47,1))</f>
        <v>1</v>
      </c>
    </row>
    <row r="18" spans="2:21">
      <c r="B18" s="3" t="s">
        <v>6</v>
      </c>
      <c r="C18" s="18">
        <f ca="1">INDIRECT(ADDRESS(MATCH(B18,Summary!A:A,0),7,1,1,"Summary"))</f>
        <v>34069.770000000004</v>
      </c>
      <c r="D18" s="18">
        <v>1448850.49</v>
      </c>
      <c r="E18" s="79">
        <f ca="1">INDIRECT(ADDRESS(MATCH(B18,Data!B:B,0),7,1,1,"Data"))</f>
        <v>17794</v>
      </c>
      <c r="F18" s="20">
        <f t="shared" ca="1" si="2"/>
        <v>81.423541081263352</v>
      </c>
      <c r="G18" s="20">
        <f t="shared" ca="1" si="3"/>
        <v>1.914677419354839</v>
      </c>
      <c r="H18" s="20">
        <f t="shared" ca="1" si="4"/>
        <v>4.4558421807428488</v>
      </c>
      <c r="I18" s="4">
        <f t="shared" ca="1" si="5"/>
        <v>-0.97648496498765724</v>
      </c>
      <c r="J18" s="86">
        <f ca="1">INDIRECT(ADDRESS(MATCH(B18,Calculations!B:B,0),11,1,1,"Calculations"))</f>
        <v>18.488595731163702</v>
      </c>
      <c r="K18" s="64">
        <v>22.469086021505376</v>
      </c>
      <c r="L18" s="54">
        <f>IF(ISERROR(K18*Summary!$B$49),"",K18*Summary!$B$49)</f>
        <v>539.25806451612902</v>
      </c>
      <c r="M18" s="15">
        <f t="shared" si="0"/>
        <v>2686.7479326434168</v>
      </c>
      <c r="N18" s="20">
        <f t="shared" ca="1" si="1"/>
        <v>2749.9269043488666</v>
      </c>
      <c r="O18" s="20">
        <f t="shared" ca="1" si="6"/>
        <v>6399.6369155938974</v>
      </c>
      <c r="P18" s="20">
        <f t="shared" si="7"/>
        <v>235.66000000000003</v>
      </c>
      <c r="Q18" s="54">
        <f t="shared" si="8"/>
        <v>11.400950236117358</v>
      </c>
      <c r="R18" s="54">
        <f t="shared" ca="1" si="9"/>
        <v>11.669043980093637</v>
      </c>
      <c r="S18" s="54">
        <f t="shared" ca="1" si="10"/>
        <v>27.15622895524865</v>
      </c>
      <c r="U18">
        <f ca="1">IF(T18&gt;0,Summary!$B$47/T18,IF(S18&lt;Summary!$B$47,'Cost Factor'!S18/Summary!$B$47,1))</f>
        <v>0.82291602894692883</v>
      </c>
    </row>
    <row r="19" spans="2:21">
      <c r="B19" s="3" t="s">
        <v>7</v>
      </c>
      <c r="C19" s="18">
        <f ca="1">INDIRECT(ADDRESS(MATCH(B19,Summary!A:A,0),7,1,1,"Summary"))</f>
        <v>699416.54</v>
      </c>
      <c r="D19" s="18">
        <v>604948.09</v>
      </c>
      <c r="E19" s="79">
        <f ca="1">INDIRECT(ADDRESS(MATCH(B19,Data!B:B,0),7,1,1,"Data"))</f>
        <v>8193</v>
      </c>
      <c r="F19" s="20">
        <f t="shared" ca="1" si="2"/>
        <v>73.837189063834984</v>
      </c>
      <c r="G19" s="20">
        <f t="shared" ca="1" si="3"/>
        <v>85.367574758940563</v>
      </c>
      <c r="H19" s="20">
        <f t="shared" ca="1" si="4"/>
        <v>198.66763802269026</v>
      </c>
      <c r="I19" s="4">
        <f t="shared" ca="1" si="5"/>
        <v>0.15615959709865357</v>
      </c>
      <c r="J19" s="86">
        <f ca="1">INDIRECT(ADDRESS(MATCH(B19,Calculations!B:B,0),11,1,1,"Calculations"))</f>
        <v>10.344696969696969</v>
      </c>
      <c r="K19" s="64">
        <v>10.876759895536978</v>
      </c>
      <c r="L19" s="54">
        <f>IF(ISERROR(K19*Summary!$B$49),"",K19*Summary!$B$49)</f>
        <v>261.04223749288747</v>
      </c>
      <c r="M19" s="15">
        <f t="shared" si="0"/>
        <v>2317.433744860859</v>
      </c>
      <c r="N19" s="20">
        <f t="shared" ca="1" si="1"/>
        <v>4996.7570096220134</v>
      </c>
      <c r="O19" s="20">
        <f t="shared" ca="1" si="6"/>
        <v>11628.465675381756</v>
      </c>
      <c r="P19" s="20">
        <f t="shared" si="7"/>
        <v>235.66000000000003</v>
      </c>
      <c r="Q19" s="54">
        <f t="shared" si="8"/>
        <v>9.833801853776027</v>
      </c>
      <c r="R19" s="54">
        <f t="shared" ca="1" si="9"/>
        <v>21.203246242985713</v>
      </c>
      <c r="S19" s="54">
        <f t="shared" ca="1" si="10"/>
        <v>49.344248813467516</v>
      </c>
      <c r="U19">
        <f ca="1">IF(T19&gt;0,Summary!$B$47/T19,IF(S19&lt;Summary!$B$47,'Cost Factor'!S19/Summary!$B$47,1))</f>
        <v>1</v>
      </c>
    </row>
    <row r="20" spans="2:21">
      <c r="B20" s="3" t="s">
        <v>8</v>
      </c>
      <c r="C20" s="18">
        <f ca="1">INDIRECT(ADDRESS(MATCH(B20,Summary!A:A,0),7,1,1,"Summary"))</f>
        <v>1233545.0399999998</v>
      </c>
      <c r="D20" s="18">
        <v>1169666.8600000001</v>
      </c>
      <c r="E20" s="79">
        <f ca="1">INDIRECT(ADDRESS(MATCH(B20,Data!B:B,0),7,1,1,"Data"))</f>
        <v>9227</v>
      </c>
      <c r="F20" s="20">
        <f t="shared" ca="1" si="2"/>
        <v>126.76567248293054</v>
      </c>
      <c r="G20" s="20">
        <f t="shared" ca="1" si="3"/>
        <v>133.68863552617316</v>
      </c>
      <c r="H20" s="20">
        <f t="shared" ca="1" si="4"/>
        <v>311.12053406061585</v>
      </c>
      <c r="I20" s="4">
        <f t="shared" ca="1" si="5"/>
        <v>5.461228507405913E-2</v>
      </c>
      <c r="J20" s="86">
        <f ca="1">INDIRECT(ADDRESS(MATCH(B20,Calculations!B:B,0),11,1,1,"Calculations"))</f>
        <v>13.038267288267289</v>
      </c>
      <c r="K20" s="64">
        <v>12.222704714640198</v>
      </c>
      <c r="L20" s="54">
        <f>IF(ISERROR(K20*Summary!$B$49),"",K20*Summary!$B$49)</f>
        <v>293.34491315136472</v>
      </c>
      <c r="M20" s="15">
        <f t="shared" si="0"/>
        <v>3987.3432521274267</v>
      </c>
      <c r="N20" s="20">
        <f t="shared" ca="1" si="1"/>
        <v>8192.4444306281621</v>
      </c>
      <c r="O20" s="20">
        <f t="shared" ca="1" si="6"/>
        <v>19065.477603890631</v>
      </c>
      <c r="P20" s="20">
        <f t="shared" si="7"/>
        <v>235.66000000000003</v>
      </c>
      <c r="Q20" s="54">
        <f t="shared" si="8"/>
        <v>16.919898379561342</v>
      </c>
      <c r="R20" s="54">
        <f t="shared" ca="1" si="9"/>
        <v>34.763831072851403</v>
      </c>
      <c r="S20" s="54">
        <f t="shared" ca="1" si="10"/>
        <v>80.902476465631111</v>
      </c>
      <c r="U20">
        <f ca="1">IF(T20&gt;0,Summary!$B$47/T20,IF(S20&lt;Summary!$B$47,'Cost Factor'!S20/Summary!$B$47,1))</f>
        <v>1</v>
      </c>
    </row>
    <row r="21" spans="2:21">
      <c r="B21" s="3" t="s">
        <v>9</v>
      </c>
      <c r="C21" s="18">
        <f ca="1">INDIRECT(ADDRESS(MATCH(B21,Summary!A:A,0),7,1,1,"Summary"))</f>
        <v>50559.72</v>
      </c>
      <c r="D21" s="18"/>
      <c r="E21" s="79">
        <f ca="1">INDIRECT(ADDRESS(MATCH(B21,Data!B:B,0),7,1,1,"Data"))</f>
        <v>553</v>
      </c>
      <c r="F21" s="20">
        <f t="shared" ca="1" si="2"/>
        <v>0</v>
      </c>
      <c r="G21" s="20">
        <f t="shared" ca="1" si="3"/>
        <v>91.428065099457513</v>
      </c>
      <c r="H21" s="20">
        <f t="shared" ca="1" si="4"/>
        <v>212.77162662269126</v>
      </c>
      <c r="I21" s="4" t="str">
        <f t="shared" ca="1" si="5"/>
        <v/>
      </c>
      <c r="J21" s="86">
        <f ca="1">INDIRECT(ADDRESS(MATCH(B21,Calculations!B:B,0),11,1,1,"Calculations"))</f>
        <v>0.6982323232323232</v>
      </c>
      <c r="K21" s="64">
        <v>0.37096774193548387</v>
      </c>
      <c r="L21" s="54">
        <f>IF(ISERROR(K21*Summary!$B$49),"",K21*Summary!$B$49)</f>
        <v>8.9032258064516121</v>
      </c>
      <c r="M21" s="15">
        <f t="shared" si="0"/>
        <v>0</v>
      </c>
      <c r="N21" s="20">
        <f t="shared" ca="1" si="1"/>
        <v>5678.8091304347836</v>
      </c>
      <c r="O21" s="20">
        <f t="shared" ca="1" si="6"/>
        <v>13215.73911301738</v>
      </c>
      <c r="P21" s="20">
        <f t="shared" si="7"/>
        <v>235.66000000000003</v>
      </c>
      <c r="Q21" s="54">
        <f t="shared" si="8"/>
        <v>0</v>
      </c>
      <c r="R21" s="54">
        <f t="shared" ca="1" si="9"/>
        <v>24.097467242785296</v>
      </c>
      <c r="S21" s="54">
        <f t="shared" ca="1" si="10"/>
        <v>56.079687316546632</v>
      </c>
      <c r="U21">
        <f ca="1">IF(T21&gt;0,Summary!$B$47/T21,IF(S21&lt;Summary!$B$47,'Cost Factor'!S21/Summary!$B$47,1))</f>
        <v>1</v>
      </c>
    </row>
    <row r="22" spans="2:21">
      <c r="B22" s="3" t="s">
        <v>10</v>
      </c>
      <c r="C22" s="18">
        <f ca="1">INDIRECT(ADDRESS(MATCH(B22,Summary!A:A,0),7,1,1,"Summary"))</f>
        <v>1356228.3</v>
      </c>
      <c r="D22" s="18">
        <v>1279505.8899999999</v>
      </c>
      <c r="E22" s="79">
        <f ca="1">INDIRECT(ADDRESS(MATCH(B22,Data!B:B,0),7,1,1,"Data"))</f>
        <v>8589</v>
      </c>
      <c r="F22" s="20">
        <f t="shared" ca="1" si="2"/>
        <v>148.97029805565256</v>
      </c>
      <c r="G22" s="20">
        <f t="shared" ca="1" si="3"/>
        <v>157.90293398533007</v>
      </c>
      <c r="H22" s="20">
        <f t="shared" ca="1" si="4"/>
        <v>367.47211128230981</v>
      </c>
      <c r="I22" s="4">
        <f t="shared" ca="1" si="5"/>
        <v>5.9962529754357119E-2</v>
      </c>
      <c r="J22" s="86">
        <f ca="1">INDIRECT(ADDRESS(MATCH(B22,Calculations!B:B,0),11,1,1,"Calculations"))</f>
        <v>13.199203574203574</v>
      </c>
      <c r="K22" s="64">
        <v>10.480459057071959</v>
      </c>
      <c r="L22" s="54">
        <f>IF(ISERROR(K22*Summary!$B$49),"",K22*Summary!$B$49)</f>
        <v>251.53101736972701</v>
      </c>
      <c r="M22" s="15">
        <f t="shared" si="0"/>
        <v>5086.8712072962608</v>
      </c>
      <c r="N22" s="20">
        <f t="shared" ca="1" si="1"/>
        <v>10478.764080716604</v>
      </c>
      <c r="O22" s="20">
        <f t="shared" ca="1" si="6"/>
        <v>24386.206533235836</v>
      </c>
      <c r="P22" s="20">
        <f t="shared" si="7"/>
        <v>235.66000000000003</v>
      </c>
      <c r="Q22" s="54">
        <f t="shared" si="8"/>
        <v>21.585636965527712</v>
      </c>
      <c r="R22" s="54">
        <f t="shared" ca="1" si="9"/>
        <v>44.465603329867619</v>
      </c>
      <c r="S22" s="54">
        <f t="shared" ca="1" si="10"/>
        <v>103.4804656421787</v>
      </c>
      <c r="U22">
        <f ca="1">IF(T22&gt;0,Summary!$B$47/T22,IF(S22&lt;Summary!$B$47,'Cost Factor'!S22/Summary!$B$47,1))</f>
        <v>1</v>
      </c>
    </row>
    <row r="23" spans="2:21">
      <c r="B23" s="3" t="s">
        <v>11</v>
      </c>
      <c r="C23" s="18">
        <f ca="1">INDIRECT(ADDRESS(MATCH(B23,Summary!A:A,0),7,1,1,"Summary"))</f>
        <v>0</v>
      </c>
      <c r="D23" s="18"/>
      <c r="E23" s="79">
        <f ca="1">INDIRECT(ADDRESS(MATCH(B23,Data!B:B,0),7,1,1,"Data"))</f>
        <v>4319</v>
      </c>
      <c r="F23" s="20">
        <f t="shared" ca="1" si="2"/>
        <v>0</v>
      </c>
      <c r="G23" s="20">
        <f t="shared" ca="1" si="3"/>
        <v>0</v>
      </c>
      <c r="H23" s="20">
        <f t="shared" ca="1" si="4"/>
        <v>0</v>
      </c>
      <c r="I23" s="4" t="str">
        <f t="shared" ca="1" si="5"/>
        <v/>
      </c>
      <c r="J23" s="86">
        <f ca="1">INDIRECT(ADDRESS(MATCH(B23,Calculations!B:B,0),11,1,1,"Calculations"))</f>
        <v>0</v>
      </c>
      <c r="K23" s="64">
        <v>6.7570306038047976</v>
      </c>
      <c r="L23" s="54">
        <f>IF(ISERROR(K23*Summary!$B$49),"",K23*Summary!$B$49)</f>
        <v>162.16873449131515</v>
      </c>
      <c r="M23" s="15">
        <f t="shared" ref="M23:M31" si="11">IF(ISERROR(D23/L23),"",D23/L23)</f>
        <v>0</v>
      </c>
      <c r="N23" s="20">
        <f t="shared" ref="N23:N31" ca="1" si="12">IF(ISERROR((C23+D23)/L23),"",(C23+D23)/L23)</f>
        <v>0</v>
      </c>
      <c r="O23" s="20">
        <f t="shared" ca="1" si="6"/>
        <v>0</v>
      </c>
      <c r="P23" s="20">
        <f t="shared" si="7"/>
        <v>235.66000000000003</v>
      </c>
      <c r="Q23" s="54">
        <f t="shared" si="8"/>
        <v>0</v>
      </c>
      <c r="R23" s="54">
        <f t="shared" ca="1" si="9"/>
        <v>0</v>
      </c>
      <c r="S23" s="54">
        <f t="shared" ca="1" si="10"/>
        <v>0</v>
      </c>
      <c r="U23">
        <f ca="1">IF(T23&gt;0,Summary!$B$47/T23,IF(S23&lt;Summary!$B$47,'Cost Factor'!S23/Summary!$B$47,1))</f>
        <v>0</v>
      </c>
    </row>
    <row r="24" spans="2:21">
      <c r="B24" s="3" t="s">
        <v>12</v>
      </c>
      <c r="C24" s="18">
        <f ca="1">INDIRECT(ADDRESS(MATCH(B24,Summary!A:A,0),7,1,1,"Summary"))</f>
        <v>869748.16000000015</v>
      </c>
      <c r="D24" s="18">
        <v>750714.67</v>
      </c>
      <c r="E24" s="79">
        <f ca="1">INDIRECT(ADDRESS(MATCH(B24,Data!B:B,0),7,1,1,"Data"))</f>
        <v>8049</v>
      </c>
      <c r="F24" s="20">
        <f t="shared" ca="1" si="2"/>
        <v>93.268066840601321</v>
      </c>
      <c r="G24" s="20">
        <f t="shared" ca="1" si="3"/>
        <v>108.05667287861849</v>
      </c>
      <c r="H24" s="20">
        <f t="shared" ca="1" si="4"/>
        <v>251.46976511872089</v>
      </c>
      <c r="I24" s="4">
        <f t="shared" ca="1" si="5"/>
        <v>0.15856022901484024</v>
      </c>
      <c r="J24" s="86">
        <f ca="1">INDIRECT(ADDRESS(MATCH(B24,Calculations!B:B,0),11,1,1,"Calculations"))</f>
        <v>12.439102564102566</v>
      </c>
      <c r="K24" s="64">
        <v>5.528225806451613</v>
      </c>
      <c r="L24" s="54">
        <f>IF(ISERROR(K24*Summary!$B$49),"",K24*Summary!$B$49)</f>
        <v>132.67741935483872</v>
      </c>
      <c r="M24" s="15">
        <f t="shared" si="11"/>
        <v>5658.1946924386093</v>
      </c>
      <c r="N24" s="20">
        <f t="shared" ca="1" si="12"/>
        <v>12213.554031120837</v>
      </c>
      <c r="O24" s="20">
        <f t="shared" ca="1" si="6"/>
        <v>28423.414136772844</v>
      </c>
      <c r="P24" s="20">
        <f t="shared" si="7"/>
        <v>235.66000000000003</v>
      </c>
      <c r="Q24" s="54">
        <f t="shared" si="8"/>
        <v>24.009991905451109</v>
      </c>
      <c r="R24" s="54">
        <f t="shared" ca="1" si="9"/>
        <v>51.827013626075008</v>
      </c>
      <c r="S24" s="54">
        <f t="shared" ca="1" si="10"/>
        <v>120.6119584858391</v>
      </c>
      <c r="U24">
        <f ca="1">IF(T24&gt;0,Summary!$B$47/T24,IF(S24&lt;Summary!$B$47,'Cost Factor'!S24/Summary!$B$47,1))</f>
        <v>1</v>
      </c>
    </row>
    <row r="25" spans="2:21">
      <c r="B25" s="1" t="s">
        <v>13</v>
      </c>
      <c r="C25" s="18">
        <f ca="1">INDIRECT(ADDRESS(MATCH(B25,Summary!A:A,0),7,1,1,"Summary"))</f>
        <v>927480.14</v>
      </c>
      <c r="D25" s="18">
        <v>766315.62</v>
      </c>
      <c r="E25" s="79">
        <f ca="1">INDIRECT(ADDRESS(MATCH(B25,Data!B:B,0),7,1,1,"Data"))</f>
        <v>7650</v>
      </c>
      <c r="F25" s="20">
        <f t="shared" ca="1" si="2"/>
        <v>100.17197647058823</v>
      </c>
      <c r="G25" s="20">
        <f t="shared" ca="1" si="3"/>
        <v>121.23923398692811</v>
      </c>
      <c r="H25" s="20">
        <f t="shared" ca="1" si="4"/>
        <v>282.14825500054064</v>
      </c>
      <c r="I25" s="4">
        <f t="shared" ca="1" si="5"/>
        <v>0.21031088991765579</v>
      </c>
      <c r="J25" s="86">
        <f ca="1">INDIRECT(ADDRESS(MATCH(B25,Calculations!B:B,0),11,1,1,"Calculations"))</f>
        <v>27.841783216783217</v>
      </c>
      <c r="K25" s="64">
        <v>17.017990074441688</v>
      </c>
      <c r="L25" s="54">
        <f>IF(ISERROR(K25*Summary!$B$49),"",K25*Summary!$B$49)</f>
        <v>408.43176178660053</v>
      </c>
      <c r="M25" s="15">
        <f t="shared" si="11"/>
        <v>1876.2390482265882</v>
      </c>
      <c r="N25" s="20">
        <f t="shared" ca="1" si="12"/>
        <v>4147.0716003839652</v>
      </c>
      <c r="O25" s="20">
        <f t="shared" ca="1" si="6"/>
        <v>9651.0756207581544</v>
      </c>
      <c r="P25" s="20">
        <f t="shared" si="7"/>
        <v>235.66000000000003</v>
      </c>
      <c r="Q25" s="54">
        <f t="shared" si="8"/>
        <v>7.9616356115869813</v>
      </c>
      <c r="R25" s="54">
        <f t="shared" ca="1" si="9"/>
        <v>17.597689893846919</v>
      </c>
      <c r="S25" s="54">
        <f t="shared" ca="1" si="10"/>
        <v>40.953388868531583</v>
      </c>
      <c r="U25">
        <f ca="1">IF(T25&gt;0,Summary!$B$47/T25,IF(S25&lt;Summary!$B$47,'Cost Factor'!S25/Summary!$B$47,1))</f>
        <v>1</v>
      </c>
    </row>
    <row r="26" spans="2:21">
      <c r="B26" s="1" t="s">
        <v>14</v>
      </c>
      <c r="C26" s="18">
        <f ca="1">INDIRECT(ADDRESS(MATCH(B26,Summary!A:A,0),7,1,1,"Summary"))</f>
        <v>835180.02</v>
      </c>
      <c r="D26" s="18">
        <v>759352.23</v>
      </c>
      <c r="E26" s="79">
        <f ca="1">INDIRECT(ADDRESS(MATCH(B26,Data!B:B,0),7,1,1,"Data"))</f>
        <v>6485</v>
      </c>
      <c r="F26" s="20">
        <f t="shared" ca="1" si="2"/>
        <v>117.09363608326908</v>
      </c>
      <c r="G26" s="20">
        <f t="shared" ca="1" si="3"/>
        <v>128.78643330763299</v>
      </c>
      <c r="H26" s="20">
        <f t="shared" ca="1" si="4"/>
        <v>299.71211653654922</v>
      </c>
      <c r="I26" s="4">
        <f t="shared" ca="1" si="5"/>
        <v>9.9858520202146472E-2</v>
      </c>
      <c r="J26" s="86">
        <f ca="1">INDIRECT(ADDRESS(MATCH(B26,Calculations!B:B,0),11,1,1,"Calculations"))</f>
        <v>10.112082362082361</v>
      </c>
      <c r="K26" s="64">
        <v>7.7224979321753517</v>
      </c>
      <c r="L26" s="54">
        <f>IF(ISERROR(K26*Summary!$B$49),"",K26*Summary!$B$49)</f>
        <v>185.33995037220845</v>
      </c>
      <c r="M26" s="15">
        <f t="shared" si="11"/>
        <v>4097.0779827826273</v>
      </c>
      <c r="N26" s="20">
        <f t="shared" ca="1" si="12"/>
        <v>8603.2841100787227</v>
      </c>
      <c r="O26" s="20">
        <f t="shared" ca="1" si="6"/>
        <v>20021.584755264215</v>
      </c>
      <c r="P26" s="20">
        <f t="shared" si="7"/>
        <v>235.66000000000003</v>
      </c>
      <c r="Q26" s="54">
        <f t="shared" si="8"/>
        <v>17.385546901394495</v>
      </c>
      <c r="R26" s="54">
        <f t="shared" ca="1" si="9"/>
        <v>36.507188789267261</v>
      </c>
      <c r="S26" s="54">
        <f t="shared" ca="1" si="10"/>
        <v>84.95962299611395</v>
      </c>
      <c r="U26">
        <f ca="1">IF(T26&gt;0,Summary!$B$47/T26,IF(S26&lt;Summary!$B$47,'Cost Factor'!S26/Summary!$B$47,1))</f>
        <v>1</v>
      </c>
    </row>
    <row r="27" spans="2:21">
      <c r="B27" s="1" t="s">
        <v>15</v>
      </c>
      <c r="C27" s="18">
        <f ca="1">INDIRECT(ADDRESS(MATCH(B27,Summary!A:A,0),7,1,1,"Summary"))</f>
        <v>2186809.77</v>
      </c>
      <c r="D27" s="18">
        <v>2006062.14</v>
      </c>
      <c r="E27" s="79">
        <f ca="1">INDIRECT(ADDRESS(MATCH(B27,Data!B:B,0),7,1,1,"Data"))</f>
        <v>15067</v>
      </c>
      <c r="F27" s="20">
        <f t="shared" ca="1" si="2"/>
        <v>133.14277162009688</v>
      </c>
      <c r="G27" s="20">
        <f t="shared" ca="1" si="3"/>
        <v>145.13903033118737</v>
      </c>
      <c r="H27" s="20">
        <f t="shared" ca="1" si="4"/>
        <v>337.76792209715154</v>
      </c>
      <c r="I27" s="4">
        <f t="shared" ca="1" si="5"/>
        <v>9.0100713430542267E-2</v>
      </c>
      <c r="J27" s="86">
        <f ca="1">INDIRECT(ADDRESS(MATCH(B27,Calculations!B:B,0),11,1,1,"Calculations"))</f>
        <v>28.502233877233877</v>
      </c>
      <c r="K27" s="64">
        <v>22.692019683894987</v>
      </c>
      <c r="L27" s="54">
        <f>IF(ISERROR(K27*Summary!$B$49),"",K27*Summary!$B$49)</f>
        <v>544.60847241347972</v>
      </c>
      <c r="M27" s="15">
        <f t="shared" si="11"/>
        <v>3683.4941827290372</v>
      </c>
      <c r="N27" s="20">
        <f t="shared" ca="1" si="12"/>
        <v>7698.8738192392129</v>
      </c>
      <c r="O27" s="20">
        <f t="shared" ca="1" si="6"/>
        <v>17916.838816400792</v>
      </c>
      <c r="P27" s="20">
        <f t="shared" si="7"/>
        <v>235.66000000000003</v>
      </c>
      <c r="Q27" s="54">
        <f t="shared" si="8"/>
        <v>15.630544779466337</v>
      </c>
      <c r="R27" s="54">
        <f t="shared" ca="1" si="9"/>
        <v>32.669412794870631</v>
      </c>
      <c r="S27" s="54">
        <f t="shared" ca="1" si="10"/>
        <v>76.028340899604473</v>
      </c>
      <c r="U27">
        <f ca="1">IF(T27&gt;0,Summary!$B$47/T27,IF(S27&lt;Summary!$B$47,'Cost Factor'!S27/Summary!$B$47,1))</f>
        <v>1</v>
      </c>
    </row>
    <row r="28" spans="2:21">
      <c r="B28" s="1" t="s">
        <v>16</v>
      </c>
      <c r="C28" s="18">
        <f ca="1">INDIRECT(ADDRESS(MATCH(B28,Summary!A:A,0),7,1,1,"Summary"))</f>
        <v>0</v>
      </c>
      <c r="D28" s="18"/>
      <c r="E28" s="79">
        <f ca="1">INDIRECT(ADDRESS(MATCH(B28,Data!B:B,0),7,1,1,"Data"))</f>
        <v>0</v>
      </c>
      <c r="F28" s="20" t="str">
        <f t="shared" ca="1" si="2"/>
        <v/>
      </c>
      <c r="G28" s="20" t="str">
        <f t="shared" ca="1" si="3"/>
        <v/>
      </c>
      <c r="H28" s="20" t="str">
        <f t="shared" ca="1" si="4"/>
        <v/>
      </c>
      <c r="I28" s="4" t="str">
        <f t="shared" ca="1" si="5"/>
        <v/>
      </c>
      <c r="J28" s="86">
        <f ca="1">INDIRECT(ADDRESS(MATCH(B28,Calculations!B:B,0),11,1,1,"Calculations"))</f>
        <v>0</v>
      </c>
      <c r="K28" s="64">
        <v>0</v>
      </c>
      <c r="L28" s="54">
        <f>IF(ISERROR(K28*Summary!$B$49),"",K28*Summary!$B$49)</f>
        <v>0</v>
      </c>
      <c r="M28" s="15" t="str">
        <f t="shared" si="11"/>
        <v/>
      </c>
      <c r="N28" s="20" t="str">
        <f t="shared" ca="1" si="12"/>
        <v/>
      </c>
      <c r="O28" s="20" t="str">
        <f t="shared" ca="1" si="6"/>
        <v/>
      </c>
      <c r="P28" s="20">
        <f t="shared" si="7"/>
        <v>235.66000000000003</v>
      </c>
      <c r="Q28" s="54" t="str">
        <f t="shared" si="8"/>
        <v/>
      </c>
      <c r="R28" s="54" t="str">
        <f t="shared" ca="1" si="9"/>
        <v/>
      </c>
      <c r="S28" s="54" t="str">
        <f t="shared" ca="1" si="10"/>
        <v/>
      </c>
      <c r="U28">
        <f ca="1">IF(T28&gt;0,Summary!$B$47/T28,IF(S28&lt;Summary!$B$47,'Cost Factor'!S28/Summary!$B$47,1))</f>
        <v>1</v>
      </c>
    </row>
    <row r="29" spans="2:21">
      <c r="B29" s="1" t="s">
        <v>17</v>
      </c>
      <c r="C29" s="18">
        <f ca="1">INDIRECT(ADDRESS(MATCH(B29,Summary!A:A,0),7,1,1,"Summary"))</f>
        <v>1025417.8899999999</v>
      </c>
      <c r="D29" s="18">
        <v>805494.07</v>
      </c>
      <c r="E29" s="79">
        <f ca="1">INDIRECT(ADDRESS(MATCH(B29,Data!B:B,0),7,1,1,"Data"))</f>
        <v>586</v>
      </c>
      <c r="F29" s="20">
        <f t="shared" ca="1" si="2"/>
        <v>1374.5632593856653</v>
      </c>
      <c r="G29" s="20">
        <f t="shared" ca="1" si="3"/>
        <v>1749.8598805460749</v>
      </c>
      <c r="H29" s="20">
        <f t="shared" ca="1" si="4"/>
        <v>4072.2783834543357</v>
      </c>
      <c r="I29" s="4">
        <f t="shared" ca="1" si="5"/>
        <v>0.27302971951115684</v>
      </c>
      <c r="J29" s="86">
        <f ca="1">INDIRECT(ADDRESS(MATCH(B29,Calculations!B:B,0),11,1,1,"Calculations"))</f>
        <v>2.5042735042735043</v>
      </c>
      <c r="K29" s="64">
        <v>0</v>
      </c>
      <c r="L29" s="54">
        <f>IF(ISERROR(K29*Summary!$B$49),"",K29*Summary!$B$49)</f>
        <v>0</v>
      </c>
      <c r="M29" s="15" t="str">
        <f t="shared" si="11"/>
        <v/>
      </c>
      <c r="N29" s="20" t="str">
        <f t="shared" ca="1" si="12"/>
        <v/>
      </c>
      <c r="O29" s="20" t="str">
        <f t="shared" ca="1" si="6"/>
        <v/>
      </c>
      <c r="P29" s="20">
        <f t="shared" si="7"/>
        <v>235.66000000000003</v>
      </c>
      <c r="Q29" s="54" t="str">
        <f t="shared" si="8"/>
        <v/>
      </c>
      <c r="R29" s="54" t="str">
        <f t="shared" ca="1" si="9"/>
        <v/>
      </c>
      <c r="S29" s="54" t="str">
        <f t="shared" ca="1" si="10"/>
        <v/>
      </c>
      <c r="U29">
        <f ca="1">IF(T29&gt;0,Summary!$B$47/T29,IF(S29&lt;Summary!$B$47,'Cost Factor'!S29/Summary!$B$47,1))</f>
        <v>1</v>
      </c>
    </row>
    <row r="30" spans="2:21">
      <c r="B30" s="1" t="s">
        <v>18</v>
      </c>
      <c r="C30" s="18">
        <f ca="1">INDIRECT(ADDRESS(MATCH(B30,Summary!A:A,0),7,1,1,"Summary"))</f>
        <v>1228952.76</v>
      </c>
      <c r="D30" s="18">
        <v>1074004.8899999999</v>
      </c>
      <c r="E30" s="79">
        <f ca="1">INDIRECT(ADDRESS(MATCH(B30,Data!B:B,0),7,1,1,"Data"))</f>
        <v>14960</v>
      </c>
      <c r="F30" s="20">
        <f t="shared" ca="1" si="2"/>
        <v>71.791770721925133</v>
      </c>
      <c r="G30" s="20">
        <f t="shared" ca="1" si="3"/>
        <v>82.149248663101602</v>
      </c>
      <c r="H30" s="20">
        <f t="shared" ca="1" si="4"/>
        <v>191.17794131228734</v>
      </c>
      <c r="I30" s="4">
        <f t="shared" ca="1" si="5"/>
        <v>0.144271102899727</v>
      </c>
      <c r="J30" s="86">
        <f ca="1">INDIRECT(ADDRESS(MATCH(B30,Calculations!B:B,0),11,1,1,"Calculations"))</f>
        <v>23.603923853923856</v>
      </c>
      <c r="K30" s="64">
        <v>21.251964433416045</v>
      </c>
      <c r="L30" s="54">
        <f>IF(ISERROR(K30*Summary!$B$49),"",K30*Summary!$B$49)</f>
        <v>510.04714640198506</v>
      </c>
      <c r="M30" s="15">
        <f t="shared" si="11"/>
        <v>2105.6972822538664</v>
      </c>
      <c r="N30" s="20">
        <f t="shared" ca="1" si="12"/>
        <v>4515.1858337914564</v>
      </c>
      <c r="O30" s="20">
        <f t="shared" ca="1" si="6"/>
        <v>10507.752004972061</v>
      </c>
      <c r="P30" s="20">
        <f t="shared" si="7"/>
        <v>235.66000000000003</v>
      </c>
      <c r="Q30" s="54">
        <f t="shared" si="8"/>
        <v>8.93531902848963</v>
      </c>
      <c r="R30" s="54">
        <f t="shared" ca="1" si="9"/>
        <v>19.159746387980377</v>
      </c>
      <c r="S30" s="54">
        <f t="shared" ca="1" si="10"/>
        <v>44.588610731443858</v>
      </c>
      <c r="U30">
        <f ca="1">IF(T30&gt;0,Summary!$B$47/T30,IF(S30&lt;Summary!$B$47,'Cost Factor'!S30/Summary!$B$47,1))</f>
        <v>1</v>
      </c>
    </row>
    <row r="31" spans="2:21">
      <c r="B31" s="2" t="s">
        <v>19</v>
      </c>
      <c r="C31" s="18">
        <f ca="1">INDIRECT(ADDRESS(MATCH(B31,Summary!A:A,0),7,1,1,"Summary"))</f>
        <v>0</v>
      </c>
      <c r="D31" s="18">
        <v>60525</v>
      </c>
      <c r="E31" s="79">
        <f ca="1">INDIRECT(ADDRESS(MATCH(B31,Data!B:B,0),7,1,1,"Data"))</f>
        <v>1658</v>
      </c>
      <c r="F31" s="20">
        <f t="shared" ca="1" si="2"/>
        <v>36.504825090470447</v>
      </c>
      <c r="G31" s="20">
        <f t="shared" ca="1" si="3"/>
        <v>0</v>
      </c>
      <c r="H31" s="20">
        <f t="shared" ca="1" si="4"/>
        <v>0</v>
      </c>
      <c r="I31" s="4">
        <f t="shared" ca="1" si="5"/>
        <v>-1</v>
      </c>
      <c r="J31" s="86">
        <f ca="1">INDIRECT(ADDRESS(MATCH(B31,Calculations!B:B,0),11,1,1,"Calculations"))</f>
        <v>2.0934343434343434</v>
      </c>
      <c r="K31" s="64">
        <v>2.6129032258064515</v>
      </c>
      <c r="L31" s="54">
        <f>IF(ISERROR(K31*Summary!$B$49),"",K31*Summary!$B$49)</f>
        <v>62.709677419354833</v>
      </c>
      <c r="M31" s="15">
        <f t="shared" si="11"/>
        <v>965.16203703703718</v>
      </c>
      <c r="N31" s="20">
        <f t="shared" ca="1" si="12"/>
        <v>965.16203703703718</v>
      </c>
      <c r="O31" s="20">
        <f t="shared" ca="1" si="6"/>
        <v>2246.1275577848701</v>
      </c>
      <c r="P31" s="20">
        <f t="shared" si="7"/>
        <v>235.66000000000003</v>
      </c>
      <c r="Q31" s="54">
        <f t="shared" si="8"/>
        <v>4.0955700459858999</v>
      </c>
      <c r="R31" s="54">
        <f t="shared" ca="1" si="9"/>
        <v>4.0955700459858999</v>
      </c>
      <c r="S31" s="54">
        <f t="shared" ca="1" si="10"/>
        <v>9.5312210718190187</v>
      </c>
      <c r="U31" s="70">
        <v>1</v>
      </c>
    </row>
    <row r="33" spans="2:4">
      <c r="B33" s="6" t="s">
        <v>36</v>
      </c>
      <c r="C33" s="15">
        <f ca="1">SUM(C10:C32)</f>
        <v>18412640.07</v>
      </c>
      <c r="D33" s="15">
        <f>SUM(D10:D32)</f>
        <v>18080602.300000001</v>
      </c>
    </row>
  </sheetData>
  <pageMargins left="0.7" right="0.7" top="0.75" bottom="0.75" header="0.3" footer="0.3"/>
  <pageSetup scale="3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31"/>
  <sheetViews>
    <sheetView topLeftCell="A4" workbookViewId="0">
      <selection activeCell="F19" sqref="F19"/>
    </sheetView>
  </sheetViews>
  <sheetFormatPr defaultRowHeight="15"/>
  <cols>
    <col min="2" max="2" width="37.7109375" customWidth="1"/>
    <col min="4" max="4" width="10" bestFit="1" customWidth="1"/>
    <col min="5" max="5" width="11.7109375" customWidth="1"/>
    <col min="7" max="7" width="9.140625" customWidth="1"/>
    <col min="10" max="10" width="9.140625" customWidth="1"/>
  </cols>
  <sheetData>
    <row r="3" spans="1:13">
      <c r="E3" t="s">
        <v>108</v>
      </c>
      <c r="H3" t="s">
        <v>109</v>
      </c>
    </row>
    <row r="4" spans="1:13">
      <c r="E4" t="s">
        <v>90</v>
      </c>
      <c r="F4" t="s">
        <v>91</v>
      </c>
      <c r="H4" s="79" t="s">
        <v>90</v>
      </c>
      <c r="I4" s="79" t="s">
        <v>91</v>
      </c>
      <c r="M4" t="s">
        <v>88</v>
      </c>
    </row>
    <row r="5" spans="1:13" ht="30">
      <c r="B5" s="11" t="s">
        <v>26</v>
      </c>
      <c r="C5" s="13" t="s">
        <v>27</v>
      </c>
      <c r="D5" s="154" t="s">
        <v>28</v>
      </c>
      <c r="E5" s="69" t="s">
        <v>92</v>
      </c>
      <c r="F5" s="69" t="s">
        <v>92</v>
      </c>
      <c r="G5" t="s">
        <v>111</v>
      </c>
      <c r="H5" s="69" t="s">
        <v>110</v>
      </c>
      <c r="I5" s="69" t="s">
        <v>110</v>
      </c>
      <c r="J5" s="69"/>
      <c r="K5" s="69" t="s">
        <v>36</v>
      </c>
      <c r="M5" t="s">
        <v>89</v>
      </c>
    </row>
    <row r="6" spans="1:13">
      <c r="A6" t="s">
        <v>105</v>
      </c>
      <c r="B6" s="16" t="s">
        <v>0</v>
      </c>
      <c r="C6" s="12"/>
      <c r="D6" s="155">
        <v>4578</v>
      </c>
      <c r="E6" s="38">
        <f>3689+2082+36+33</f>
        <v>5840</v>
      </c>
      <c r="F6" s="38">
        <f>370+27</f>
        <v>397</v>
      </c>
      <c r="G6">
        <f>E6+F6</f>
        <v>6237</v>
      </c>
      <c r="J6">
        <f>H6+I6</f>
        <v>0</v>
      </c>
      <c r="K6">
        <f>J6+G6</f>
        <v>6237</v>
      </c>
    </row>
    <row r="7" spans="1:13">
      <c r="A7" t="s">
        <v>119</v>
      </c>
      <c r="B7" s="16" t="s">
        <v>1</v>
      </c>
      <c r="C7" s="12"/>
      <c r="D7" s="155">
        <v>7193</v>
      </c>
      <c r="E7" s="38">
        <f>1314+7125+45+399</f>
        <v>8883</v>
      </c>
      <c r="F7" s="38"/>
      <c r="G7" s="79">
        <f t="shared" ref="G7:G27" si="0">E7+F7</f>
        <v>8883</v>
      </c>
      <c r="J7" s="79">
        <f t="shared" ref="J7:J27" si="1">H7+I7</f>
        <v>0</v>
      </c>
      <c r="K7" s="79">
        <f t="shared" ref="K7:K27" si="2">J7+G7</f>
        <v>8883</v>
      </c>
    </row>
    <row r="8" spans="1:13">
      <c r="A8" t="s">
        <v>120</v>
      </c>
      <c r="B8" s="16" t="s">
        <v>2</v>
      </c>
      <c r="C8" s="12"/>
      <c r="D8" s="155">
        <v>10665</v>
      </c>
      <c r="E8" s="38">
        <f>2303+8708+149+704</f>
        <v>11864</v>
      </c>
      <c r="F8" s="38">
        <f>346+33</f>
        <v>379</v>
      </c>
      <c r="G8" s="79">
        <f t="shared" si="0"/>
        <v>12243</v>
      </c>
      <c r="I8" s="80"/>
      <c r="J8" s="79">
        <f t="shared" si="1"/>
        <v>0</v>
      </c>
      <c r="K8" s="79">
        <f t="shared" si="2"/>
        <v>12243</v>
      </c>
    </row>
    <row r="9" spans="1:13">
      <c r="A9" t="s">
        <v>121</v>
      </c>
      <c r="B9" s="16" t="s">
        <v>3</v>
      </c>
      <c r="C9" s="12"/>
      <c r="D9" s="155">
        <v>4606</v>
      </c>
      <c r="E9">
        <f>1284+4237+4+248</f>
        <v>5773</v>
      </c>
      <c r="F9" s="39">
        <v>6</v>
      </c>
      <c r="G9" s="79">
        <f t="shared" si="0"/>
        <v>5779</v>
      </c>
      <c r="J9" s="79">
        <f t="shared" si="1"/>
        <v>0</v>
      </c>
      <c r="K9" s="79">
        <f t="shared" si="2"/>
        <v>5779</v>
      </c>
    </row>
    <row r="10" spans="1:13">
      <c r="A10" t="s">
        <v>122</v>
      </c>
      <c r="B10" s="16" t="s">
        <v>4</v>
      </c>
      <c r="C10" s="12"/>
      <c r="D10" s="155">
        <v>9749</v>
      </c>
      <c r="E10" s="38">
        <f>2952+6914+802+293</f>
        <v>10961</v>
      </c>
      <c r="F10" s="38">
        <f>90+309</f>
        <v>399</v>
      </c>
      <c r="G10" s="79">
        <f t="shared" si="0"/>
        <v>11360</v>
      </c>
      <c r="I10" s="80"/>
      <c r="J10" s="79">
        <f t="shared" si="1"/>
        <v>0</v>
      </c>
      <c r="K10" s="79">
        <f t="shared" si="2"/>
        <v>11360</v>
      </c>
    </row>
    <row r="11" spans="1:13">
      <c r="A11" t="s">
        <v>123</v>
      </c>
      <c r="B11" s="16" t="s">
        <v>5</v>
      </c>
      <c r="C11" s="12"/>
      <c r="D11" s="155">
        <f>1050+12645+3579</f>
        <v>17274</v>
      </c>
      <c r="E11" s="38">
        <f>3000+13473+279+717+108+474</f>
        <v>18051</v>
      </c>
      <c r="F11" s="38">
        <f>219+33</f>
        <v>252</v>
      </c>
      <c r="G11" s="79">
        <f t="shared" si="0"/>
        <v>18303</v>
      </c>
      <c r="J11" s="79">
        <f t="shared" si="1"/>
        <v>0</v>
      </c>
      <c r="K11" s="79">
        <f t="shared" si="2"/>
        <v>18303</v>
      </c>
    </row>
    <row r="12" spans="1:13">
      <c r="A12" t="s">
        <v>124</v>
      </c>
      <c r="B12" s="96" t="s">
        <v>140</v>
      </c>
      <c r="C12" s="14"/>
      <c r="D12" s="155">
        <v>10161</v>
      </c>
      <c r="E12" s="39">
        <f>507+2925+348+738</f>
        <v>4518</v>
      </c>
      <c r="F12" s="39">
        <f>3+6</f>
        <v>9</v>
      </c>
      <c r="G12" s="79">
        <f t="shared" si="0"/>
        <v>4527</v>
      </c>
      <c r="I12" s="80"/>
      <c r="J12" s="79">
        <f t="shared" si="1"/>
        <v>0</v>
      </c>
      <c r="K12" s="79">
        <f t="shared" si="2"/>
        <v>4527</v>
      </c>
    </row>
    <row r="13" spans="1:13">
      <c r="A13" t="s">
        <v>137</v>
      </c>
      <c r="B13" s="96" t="s">
        <v>141</v>
      </c>
      <c r="C13" s="14"/>
      <c r="D13" s="155">
        <v>9732</v>
      </c>
      <c r="E13" s="39">
        <f>834+3798+1356+6705+147+468</f>
        <v>13308</v>
      </c>
      <c r="F13" s="96">
        <f>54+51</f>
        <v>105</v>
      </c>
      <c r="G13" s="79">
        <f t="shared" si="0"/>
        <v>13413</v>
      </c>
      <c r="I13" s="80"/>
      <c r="J13" s="79">
        <f t="shared" si="1"/>
        <v>0</v>
      </c>
      <c r="K13" s="79">
        <f t="shared" si="2"/>
        <v>13413</v>
      </c>
    </row>
    <row r="14" spans="1:13">
      <c r="A14" t="s">
        <v>127</v>
      </c>
      <c r="B14" s="19" t="s">
        <v>6</v>
      </c>
      <c r="C14" s="14"/>
      <c r="D14" s="155">
        <f>2733+14459</f>
        <v>17192</v>
      </c>
      <c r="E14" s="39">
        <f>58+123+2285+14399+66+863</f>
        <v>17794</v>
      </c>
      <c r="F14" s="39"/>
      <c r="G14" s="79">
        <f t="shared" si="0"/>
        <v>17794</v>
      </c>
      <c r="I14" s="80"/>
      <c r="J14" s="79">
        <f t="shared" si="1"/>
        <v>0</v>
      </c>
      <c r="K14" s="79">
        <f t="shared" si="2"/>
        <v>17794</v>
      </c>
    </row>
    <row r="15" spans="1:13">
      <c r="A15" t="s">
        <v>125</v>
      </c>
      <c r="B15" s="19" t="s">
        <v>7</v>
      </c>
      <c r="C15" s="14"/>
      <c r="D15" s="155">
        <f>260+7352</f>
        <v>7612</v>
      </c>
      <c r="E15" s="39">
        <f>1693+5737+255+176+332</f>
        <v>8193</v>
      </c>
      <c r="F15" s="39"/>
      <c r="G15" s="79">
        <f t="shared" si="0"/>
        <v>8193</v>
      </c>
      <c r="J15" s="79">
        <f t="shared" si="1"/>
        <v>0</v>
      </c>
      <c r="K15" s="79">
        <f t="shared" si="2"/>
        <v>8193</v>
      </c>
    </row>
    <row r="16" spans="1:13">
      <c r="A16" t="s">
        <v>128</v>
      </c>
      <c r="B16" s="19" t="s">
        <v>8</v>
      </c>
      <c r="C16" s="14"/>
      <c r="D16" s="155">
        <v>8826</v>
      </c>
      <c r="E16" s="39">
        <f>2778+5022+339+627</f>
        <v>8766</v>
      </c>
      <c r="F16" s="39">
        <f>428+33</f>
        <v>461</v>
      </c>
      <c r="G16" s="79">
        <f t="shared" si="0"/>
        <v>9227</v>
      </c>
      <c r="I16" s="80"/>
      <c r="J16" s="79">
        <f t="shared" si="1"/>
        <v>0</v>
      </c>
      <c r="K16" s="79">
        <f t="shared" si="2"/>
        <v>9227</v>
      </c>
    </row>
    <row r="17" spans="1:13">
      <c r="A17" t="s">
        <v>129</v>
      </c>
      <c r="B17" s="19" t="s">
        <v>9</v>
      </c>
      <c r="C17" s="14"/>
      <c r="D17" s="155">
        <v>514</v>
      </c>
      <c r="E17" s="39">
        <f>199+354</f>
        <v>553</v>
      </c>
      <c r="F17" s="39"/>
      <c r="G17" s="79">
        <f t="shared" si="0"/>
        <v>553</v>
      </c>
      <c r="I17" s="80"/>
      <c r="J17" s="79">
        <f t="shared" si="1"/>
        <v>0</v>
      </c>
      <c r="K17" s="79">
        <f t="shared" si="2"/>
        <v>553</v>
      </c>
    </row>
    <row r="18" spans="1:13">
      <c r="A18" t="s">
        <v>130</v>
      </c>
      <c r="B18" s="19" t="s">
        <v>10</v>
      </c>
      <c r="C18" s="14"/>
      <c r="D18" s="155">
        <v>7130</v>
      </c>
      <c r="E18" s="39">
        <f>4806+1497+1396+108</f>
        <v>7807</v>
      </c>
      <c r="F18" s="39">
        <f>273+509</f>
        <v>782</v>
      </c>
      <c r="G18" s="79">
        <f t="shared" si="0"/>
        <v>8589</v>
      </c>
      <c r="I18" s="80"/>
      <c r="J18" s="79">
        <f t="shared" si="1"/>
        <v>0</v>
      </c>
      <c r="K18" s="79">
        <f t="shared" si="2"/>
        <v>8589</v>
      </c>
    </row>
    <row r="19" spans="1:13">
      <c r="A19" t="s">
        <v>131</v>
      </c>
      <c r="B19" s="19" t="s">
        <v>11</v>
      </c>
      <c r="C19" s="14"/>
      <c r="D19" s="155"/>
      <c r="E19" s="39">
        <f>2369+1491</f>
        <v>3860</v>
      </c>
      <c r="F19" s="39">
        <v>459</v>
      </c>
      <c r="G19" s="79">
        <f t="shared" si="0"/>
        <v>4319</v>
      </c>
      <c r="I19" s="80"/>
      <c r="J19" s="79">
        <f t="shared" si="1"/>
        <v>0</v>
      </c>
      <c r="K19" s="79">
        <f t="shared" si="2"/>
        <v>4319</v>
      </c>
    </row>
    <row r="20" spans="1:13">
      <c r="A20" t="s">
        <v>133</v>
      </c>
      <c r="B20" s="19" t="s">
        <v>12</v>
      </c>
      <c r="C20" s="14"/>
      <c r="D20" s="155">
        <v>7017</v>
      </c>
      <c r="E20" s="39">
        <f>5388+1488+354+63</f>
        <v>7293</v>
      </c>
      <c r="F20" s="39">
        <f>372+384</f>
        <v>756</v>
      </c>
      <c r="G20" s="79">
        <f t="shared" si="0"/>
        <v>8049</v>
      </c>
      <c r="I20" s="80"/>
      <c r="J20" s="79">
        <f t="shared" si="1"/>
        <v>0</v>
      </c>
      <c r="K20" s="79">
        <f t="shared" si="2"/>
        <v>8049</v>
      </c>
    </row>
    <row r="21" spans="1:13">
      <c r="A21" t="s">
        <v>132</v>
      </c>
      <c r="B21" s="16" t="s">
        <v>13</v>
      </c>
      <c r="C21" s="12"/>
      <c r="D21" s="155">
        <v>5412</v>
      </c>
      <c r="E21" s="38">
        <f>1050+501+60</f>
        <v>1611</v>
      </c>
      <c r="F21" s="38">
        <f>4017+2022</f>
        <v>6039</v>
      </c>
      <c r="G21" s="79">
        <f t="shared" si="0"/>
        <v>7650</v>
      </c>
      <c r="I21" s="80"/>
      <c r="J21" s="79">
        <f t="shared" si="1"/>
        <v>0</v>
      </c>
      <c r="K21" s="79">
        <f t="shared" si="2"/>
        <v>7650</v>
      </c>
    </row>
    <row r="22" spans="1:13">
      <c r="A22" t="s">
        <v>134</v>
      </c>
      <c r="B22" s="16" t="s">
        <v>14</v>
      </c>
      <c r="C22" s="12"/>
      <c r="D22" s="155">
        <v>6400</v>
      </c>
      <c r="E22" s="38">
        <f>2745+2642+384+75</f>
        <v>5846</v>
      </c>
      <c r="F22" s="38">
        <f>465+174</f>
        <v>639</v>
      </c>
      <c r="G22" s="79">
        <f t="shared" si="0"/>
        <v>6485</v>
      </c>
      <c r="I22" s="80"/>
      <c r="J22" s="79">
        <f t="shared" si="1"/>
        <v>0</v>
      </c>
      <c r="K22" s="79">
        <f t="shared" si="2"/>
        <v>6485</v>
      </c>
    </row>
    <row r="23" spans="1:13">
      <c r="A23" t="s">
        <v>126</v>
      </c>
      <c r="B23" s="16" t="s">
        <v>15</v>
      </c>
      <c r="C23" s="12"/>
      <c r="D23" s="155">
        <v>10078</v>
      </c>
      <c r="E23" s="38">
        <f>3745+6410+662+1102</f>
        <v>11919</v>
      </c>
      <c r="F23" s="38">
        <f>1245+1590+313</f>
        <v>3148</v>
      </c>
      <c r="G23" s="79">
        <f t="shared" si="0"/>
        <v>15067</v>
      </c>
      <c r="J23" s="79">
        <f t="shared" si="1"/>
        <v>0</v>
      </c>
      <c r="K23" s="79">
        <f t="shared" si="2"/>
        <v>15067</v>
      </c>
    </row>
    <row r="24" spans="1:13">
      <c r="B24" s="16" t="s">
        <v>16</v>
      </c>
      <c r="C24" s="12"/>
      <c r="D24" s="155"/>
      <c r="E24" s="38"/>
      <c r="F24" s="38"/>
      <c r="G24" s="79">
        <f t="shared" si="0"/>
        <v>0</v>
      </c>
      <c r="J24" s="79">
        <f t="shared" si="1"/>
        <v>0</v>
      </c>
      <c r="K24" s="79">
        <f t="shared" si="2"/>
        <v>0</v>
      </c>
    </row>
    <row r="25" spans="1:13">
      <c r="B25" s="16" t="s">
        <v>17</v>
      </c>
      <c r="C25" s="12"/>
      <c r="D25" s="155">
        <v>1101</v>
      </c>
      <c r="E25" s="38"/>
      <c r="F25" s="38">
        <v>586</v>
      </c>
      <c r="G25" s="79">
        <f t="shared" si="0"/>
        <v>586</v>
      </c>
      <c r="J25" s="79">
        <f t="shared" si="1"/>
        <v>0</v>
      </c>
      <c r="K25" s="79">
        <f t="shared" si="2"/>
        <v>586</v>
      </c>
    </row>
    <row r="26" spans="1:13">
      <c r="A26" t="s">
        <v>135</v>
      </c>
      <c r="B26" s="16" t="s">
        <v>18</v>
      </c>
      <c r="C26" s="12"/>
      <c r="D26" s="155">
        <v>13689</v>
      </c>
      <c r="E26" s="38">
        <f>6074+6147+831+342</f>
        <v>13394</v>
      </c>
      <c r="F26" s="38">
        <f>1407+159</f>
        <v>1566</v>
      </c>
      <c r="G26" s="79">
        <f t="shared" si="0"/>
        <v>14960</v>
      </c>
      <c r="I26" s="80"/>
      <c r="J26" s="79">
        <f t="shared" si="1"/>
        <v>0</v>
      </c>
      <c r="K26" s="79">
        <f t="shared" si="2"/>
        <v>14960</v>
      </c>
    </row>
    <row r="27" spans="1:13">
      <c r="A27" t="s">
        <v>136</v>
      </c>
      <c r="B27" s="17" t="s">
        <v>19</v>
      </c>
      <c r="C27" s="12"/>
      <c r="D27" s="155">
        <f>270+1152</f>
        <v>1422</v>
      </c>
      <c r="E27" s="38">
        <f>155+213+25+57+1208</f>
        <v>1658</v>
      </c>
      <c r="F27" s="38"/>
      <c r="G27" s="79">
        <f t="shared" si="0"/>
        <v>1658</v>
      </c>
      <c r="J27" s="79">
        <f t="shared" si="1"/>
        <v>0</v>
      </c>
      <c r="K27" s="79">
        <f t="shared" si="2"/>
        <v>1658</v>
      </c>
    </row>
    <row r="28" spans="1:13">
      <c r="D28" s="156"/>
    </row>
    <row r="29" spans="1:13">
      <c r="B29" s="5" t="s">
        <v>29</v>
      </c>
      <c r="C29">
        <f>SUM(C6:C27)</f>
        <v>0</v>
      </c>
      <c r="D29" s="156">
        <f>SUM(D6:D27)</f>
        <v>160351</v>
      </c>
      <c r="F29">
        <f>SUM(F6:F28)</f>
        <v>15983</v>
      </c>
      <c r="G29">
        <f>SUM(G6:G28)</f>
        <v>183875</v>
      </c>
      <c r="H29" s="79">
        <f>SUM(H6:H28)</f>
        <v>0</v>
      </c>
      <c r="K29">
        <f>SUM(K6:K28)</f>
        <v>183875</v>
      </c>
      <c r="M29">
        <f>155274+18366</f>
        <v>173640</v>
      </c>
    </row>
    <row r="31" spans="1:13">
      <c r="E31" s="72"/>
      <c r="F31" s="72"/>
      <c r="G31" s="72"/>
      <c r="H31" s="72"/>
      <c r="I31" s="7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17" sqref="B17"/>
    </sheetView>
  </sheetViews>
  <sheetFormatPr defaultRowHeight="15"/>
  <cols>
    <col min="1" max="1" width="3" style="98" customWidth="1"/>
    <col min="2" max="2" width="51.5703125" style="98" customWidth="1"/>
    <col min="3" max="3" width="50.7109375" style="98" customWidth="1"/>
    <col min="4" max="16384" width="9.140625" style="97"/>
  </cols>
  <sheetData>
    <row r="1" spans="1:3">
      <c r="B1" s="98" t="s">
        <v>142</v>
      </c>
      <c r="C1" s="98" t="s">
        <v>153</v>
      </c>
    </row>
    <row r="2" spans="1:3" ht="75">
      <c r="A2" s="98">
        <v>1</v>
      </c>
      <c r="B2" s="98" t="s">
        <v>143</v>
      </c>
      <c r="C2" s="98" t="s">
        <v>2064</v>
      </c>
    </row>
    <row r="3" spans="1:3" ht="45">
      <c r="A3" s="98">
        <v>2</v>
      </c>
      <c r="B3" s="98" t="s">
        <v>144</v>
      </c>
      <c r="C3" s="98" t="s">
        <v>145</v>
      </c>
    </row>
    <row r="4" spans="1:3" ht="30">
      <c r="A4" s="98">
        <v>3</v>
      </c>
      <c r="B4" s="98" t="s">
        <v>146</v>
      </c>
      <c r="C4" s="98" t="s">
        <v>147</v>
      </c>
    </row>
    <row r="5" spans="1:3" ht="30">
      <c r="A5" s="98">
        <v>4</v>
      </c>
      <c r="B5" s="98" t="s">
        <v>148</v>
      </c>
      <c r="C5" s="98" t="s">
        <v>149</v>
      </c>
    </row>
    <row r="6" spans="1:3" ht="30">
      <c r="A6" s="98">
        <v>5</v>
      </c>
      <c r="B6" s="98" t="s">
        <v>150</v>
      </c>
      <c r="C6" s="98" t="s">
        <v>151</v>
      </c>
    </row>
    <row r="7" spans="1:3">
      <c r="A7" s="98">
        <v>6</v>
      </c>
      <c r="B7" s="98" t="s">
        <v>152</v>
      </c>
      <c r="C7" s="98" t="s">
        <v>154</v>
      </c>
    </row>
    <row r="8" spans="1:3" ht="30">
      <c r="A8" s="98">
        <v>7</v>
      </c>
      <c r="B8" s="98" t="s">
        <v>155</v>
      </c>
      <c r="C8" s="98" t="s">
        <v>156</v>
      </c>
    </row>
    <row r="9" spans="1:3">
      <c r="A9" s="98">
        <v>8</v>
      </c>
      <c r="B9" s="98" t="s">
        <v>310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6"/>
  <sheetViews>
    <sheetView topLeftCell="A44" workbookViewId="0">
      <selection activeCell="K62" sqref="K62"/>
    </sheetView>
  </sheetViews>
  <sheetFormatPr defaultRowHeight="15"/>
  <cols>
    <col min="1" max="1" width="3.140625" style="99" customWidth="1"/>
    <col min="2" max="2" width="5.42578125" style="99" customWidth="1"/>
    <col min="3" max="3" width="33.85546875" style="99" hidden="1" customWidth="1"/>
    <col min="4" max="4" width="6.5703125" style="99" customWidth="1"/>
    <col min="5" max="5" width="34.5703125" style="99" hidden="1" customWidth="1"/>
    <col min="6" max="6" width="8" style="99" customWidth="1"/>
    <col min="7" max="7" width="39.28515625" style="99" bestFit="1" customWidth="1"/>
    <col min="8" max="8" width="22" style="90" customWidth="1"/>
    <col min="9" max="9" width="18" style="90" customWidth="1"/>
    <col min="10" max="10" width="22" style="90" customWidth="1"/>
    <col min="11" max="11" width="13.28515625" style="90" bestFit="1" customWidth="1"/>
    <col min="12" max="19" width="9.140625" style="90"/>
    <col min="20" max="16384" width="9.140625" style="79"/>
  </cols>
  <sheetData>
    <row r="1" spans="1:19">
      <c r="A1" s="99" t="s">
        <v>157</v>
      </c>
      <c r="B1" s="99" t="s">
        <v>158</v>
      </c>
      <c r="C1" s="99" t="s">
        <v>159</v>
      </c>
      <c r="D1" s="99" t="s">
        <v>160</v>
      </c>
      <c r="E1" s="99" t="s">
        <v>161</v>
      </c>
      <c r="F1" s="99" t="s">
        <v>162</v>
      </c>
      <c r="G1" s="99" t="s">
        <v>163</v>
      </c>
      <c r="H1" s="90" t="s">
        <v>307</v>
      </c>
      <c r="I1" s="90" t="s">
        <v>306</v>
      </c>
      <c r="J1" s="90" t="s">
        <v>308</v>
      </c>
      <c r="K1" s="79"/>
      <c r="L1" s="79"/>
      <c r="M1" s="79"/>
      <c r="N1" s="79"/>
      <c r="O1" s="79"/>
      <c r="P1" s="79"/>
      <c r="Q1" s="79"/>
      <c r="R1" s="79"/>
      <c r="S1" s="79"/>
    </row>
    <row r="2" spans="1:19">
      <c r="A2" s="99" t="s">
        <v>164</v>
      </c>
      <c r="B2" s="99" t="s">
        <v>165</v>
      </c>
      <c r="C2" s="99" t="s">
        <v>166</v>
      </c>
      <c r="D2" s="99" t="s">
        <v>167</v>
      </c>
      <c r="E2" s="99" t="s">
        <v>168</v>
      </c>
      <c r="F2" s="99" t="s">
        <v>169</v>
      </c>
      <c r="G2" s="99" t="s">
        <v>170</v>
      </c>
      <c r="H2" s="90">
        <f>22470551.85-4388426.85</f>
        <v>18082125</v>
      </c>
      <c r="I2" s="146">
        <f>22921535-3900393-1000000</f>
        <v>18021142</v>
      </c>
      <c r="J2" s="90">
        <f>22939802-3900392-1000000</f>
        <v>18039410</v>
      </c>
      <c r="K2" s="101">
        <f>+J2-I2</f>
        <v>18268</v>
      </c>
      <c r="L2" s="79"/>
      <c r="M2" s="79"/>
      <c r="N2" s="79"/>
      <c r="O2" s="79"/>
      <c r="P2" s="79"/>
      <c r="Q2" s="79"/>
      <c r="R2" s="79"/>
      <c r="S2" s="79"/>
    </row>
    <row r="3" spans="1:19">
      <c r="A3" s="99" t="s">
        <v>164</v>
      </c>
      <c r="B3" s="99" t="s">
        <v>165</v>
      </c>
      <c r="C3" s="99" t="s">
        <v>166</v>
      </c>
      <c r="D3" s="99" t="s">
        <v>167</v>
      </c>
      <c r="E3" s="99" t="s">
        <v>168</v>
      </c>
      <c r="F3" s="99" t="s">
        <v>171</v>
      </c>
      <c r="G3" s="99" t="s">
        <v>172</v>
      </c>
      <c r="H3" s="90">
        <v>6000</v>
      </c>
      <c r="I3" s="90">
        <v>0</v>
      </c>
      <c r="K3" s="79"/>
      <c r="L3" s="79"/>
      <c r="M3" s="79"/>
      <c r="N3" s="79"/>
      <c r="O3" s="79"/>
      <c r="P3" s="79"/>
      <c r="Q3" s="79"/>
      <c r="R3" s="79"/>
      <c r="S3" s="79"/>
    </row>
    <row r="4" spans="1:19">
      <c r="A4" s="99" t="s">
        <v>164</v>
      </c>
      <c r="B4" s="99" t="s">
        <v>165</v>
      </c>
      <c r="C4" s="99" t="s">
        <v>166</v>
      </c>
      <c r="D4" s="99" t="s">
        <v>167</v>
      </c>
      <c r="E4" s="99" t="s">
        <v>168</v>
      </c>
      <c r="F4" s="99" t="s">
        <v>173</v>
      </c>
      <c r="G4" s="99" t="s">
        <v>174</v>
      </c>
      <c r="H4" s="90">
        <v>4218937.9400000004</v>
      </c>
      <c r="I4" s="107">
        <v>4253625</v>
      </c>
      <c r="J4" s="105">
        <v>4285356</v>
      </c>
      <c r="K4" s="101">
        <f t="shared" ref="K4:K21" si="0">+J4-I4</f>
        <v>31731</v>
      </c>
      <c r="L4" s="79"/>
      <c r="M4" s="79"/>
      <c r="N4" s="79"/>
      <c r="O4" s="79"/>
      <c r="P4" s="79"/>
      <c r="Q4" s="79"/>
      <c r="R4" s="79"/>
      <c r="S4" s="79"/>
    </row>
    <row r="5" spans="1:19">
      <c r="A5" s="99" t="s">
        <v>164</v>
      </c>
      <c r="B5" s="99" t="s">
        <v>165</v>
      </c>
      <c r="C5" s="99" t="s">
        <v>166</v>
      </c>
      <c r="D5" s="99" t="s">
        <v>167</v>
      </c>
      <c r="E5" s="99" t="s">
        <v>168</v>
      </c>
      <c r="F5" s="99" t="s">
        <v>175</v>
      </c>
      <c r="G5" s="99" t="s">
        <v>176</v>
      </c>
      <c r="H5" s="90">
        <v>3762017.35</v>
      </c>
      <c r="I5" s="107">
        <v>3835725</v>
      </c>
      <c r="J5" s="105">
        <v>3820089</v>
      </c>
      <c r="K5" s="101">
        <f t="shared" si="0"/>
        <v>-15636</v>
      </c>
      <c r="L5" s="79"/>
      <c r="M5" s="79"/>
      <c r="N5" s="79"/>
      <c r="O5" s="79"/>
      <c r="P5" s="79"/>
      <c r="Q5" s="79"/>
      <c r="R5" s="79"/>
      <c r="S5" s="79"/>
    </row>
    <row r="6" spans="1:19">
      <c r="A6" s="99" t="s">
        <v>164</v>
      </c>
      <c r="B6" s="99" t="s">
        <v>165</v>
      </c>
      <c r="C6" s="99" t="s">
        <v>166</v>
      </c>
      <c r="D6" s="99" t="s">
        <v>167</v>
      </c>
      <c r="E6" s="99" t="s">
        <v>168</v>
      </c>
      <c r="F6" s="99" t="s">
        <v>300</v>
      </c>
      <c r="G6" s="99" t="s">
        <v>301</v>
      </c>
      <c r="H6" s="90">
        <v>539685</v>
      </c>
      <c r="I6" s="107">
        <v>487550</v>
      </c>
      <c r="J6" s="90">
        <v>514243</v>
      </c>
    </row>
    <row r="7" spans="1:19">
      <c r="A7" s="99" t="s">
        <v>164</v>
      </c>
      <c r="B7" s="99" t="s">
        <v>165</v>
      </c>
      <c r="C7" s="99" t="s">
        <v>166</v>
      </c>
      <c r="D7" s="99" t="s">
        <v>167</v>
      </c>
      <c r="E7" s="99" t="s">
        <v>168</v>
      </c>
      <c r="F7" s="99" t="s">
        <v>302</v>
      </c>
      <c r="G7" s="99" t="s">
        <v>303</v>
      </c>
      <c r="H7" s="90">
        <v>381680</v>
      </c>
      <c r="I7" s="107">
        <v>378100</v>
      </c>
      <c r="J7" s="90">
        <v>367316</v>
      </c>
    </row>
    <row r="8" spans="1:19">
      <c r="A8" s="99" t="s">
        <v>164</v>
      </c>
      <c r="B8" s="99" t="s">
        <v>165</v>
      </c>
      <c r="C8" s="99" t="s">
        <v>166</v>
      </c>
      <c r="D8" s="99" t="s">
        <v>167</v>
      </c>
      <c r="E8" s="99" t="s">
        <v>168</v>
      </c>
      <c r="F8" s="99" t="s">
        <v>177</v>
      </c>
      <c r="G8" s="99" t="s">
        <v>178</v>
      </c>
      <c r="H8" s="90">
        <v>-10000</v>
      </c>
      <c r="I8" s="107">
        <v>-15000</v>
      </c>
      <c r="J8" s="90">
        <v>-15000</v>
      </c>
      <c r="K8" s="101">
        <f t="shared" si="0"/>
        <v>0</v>
      </c>
      <c r="L8" s="79"/>
      <c r="M8" s="79"/>
      <c r="N8" s="79"/>
      <c r="O8" s="79"/>
      <c r="P8" s="79"/>
      <c r="Q8" s="79"/>
      <c r="R8" s="79"/>
      <c r="S8" s="79"/>
    </row>
    <row r="9" spans="1:19">
      <c r="A9" s="99" t="s">
        <v>164</v>
      </c>
      <c r="B9" s="99" t="s">
        <v>165</v>
      </c>
      <c r="C9" s="99" t="s">
        <v>166</v>
      </c>
      <c r="D9" s="99" t="s">
        <v>167</v>
      </c>
      <c r="E9" s="99" t="s">
        <v>168</v>
      </c>
      <c r="F9" s="99" t="s">
        <v>179</v>
      </c>
      <c r="G9" s="99" t="s">
        <v>180</v>
      </c>
      <c r="H9" s="90">
        <v>-1296198.5</v>
      </c>
      <c r="I9" s="107">
        <f>-1253700-8955</f>
        <v>-1262655</v>
      </c>
      <c r="J9" s="90">
        <v>-1293028</v>
      </c>
      <c r="K9" s="101">
        <f t="shared" si="0"/>
        <v>-30373</v>
      </c>
      <c r="L9" s="79"/>
      <c r="M9" s="79"/>
      <c r="N9" s="79"/>
      <c r="O9" s="79"/>
      <c r="P9" s="79"/>
      <c r="Q9" s="79"/>
      <c r="R9" s="79"/>
      <c r="S9" s="79"/>
    </row>
    <row r="10" spans="1:19">
      <c r="A10" s="99" t="s">
        <v>164</v>
      </c>
      <c r="B10" s="99" t="s">
        <v>165</v>
      </c>
      <c r="C10" s="99" t="s">
        <v>166</v>
      </c>
      <c r="D10" s="99" t="s">
        <v>167</v>
      </c>
      <c r="E10" s="99" t="s">
        <v>168</v>
      </c>
      <c r="F10" s="99" t="s">
        <v>181</v>
      </c>
      <c r="G10" s="99" t="s">
        <v>182</v>
      </c>
      <c r="H10" s="90">
        <v>189477</v>
      </c>
      <c r="I10" s="107">
        <v>192533</v>
      </c>
      <c r="J10" s="90">
        <v>232830</v>
      </c>
      <c r="K10" s="101">
        <f t="shared" si="0"/>
        <v>40297</v>
      </c>
      <c r="L10" s="79"/>
      <c r="M10" s="79"/>
      <c r="N10" s="79"/>
      <c r="O10" s="79"/>
      <c r="P10" s="79"/>
      <c r="Q10" s="79"/>
      <c r="R10" s="79"/>
      <c r="S10" s="79"/>
    </row>
    <row r="11" spans="1:19">
      <c r="A11" s="99" t="s">
        <v>164</v>
      </c>
      <c r="B11" s="99" t="s">
        <v>165</v>
      </c>
      <c r="C11" s="99" t="s">
        <v>166</v>
      </c>
      <c r="D11" s="99" t="s">
        <v>167</v>
      </c>
      <c r="E11" s="99" t="s">
        <v>168</v>
      </c>
      <c r="F11" s="99" t="s">
        <v>183</v>
      </c>
      <c r="G11" s="99" t="s">
        <v>184</v>
      </c>
      <c r="H11" s="90">
        <v>194431.5</v>
      </c>
      <c r="I11" s="107">
        <v>170145</v>
      </c>
      <c r="J11" s="90">
        <v>176414</v>
      </c>
      <c r="K11" s="101">
        <f t="shared" si="0"/>
        <v>6269</v>
      </c>
      <c r="L11" s="79"/>
      <c r="M11" s="79"/>
      <c r="N11" s="79"/>
      <c r="O11" s="79"/>
      <c r="P11" s="79"/>
      <c r="Q11" s="79"/>
      <c r="R11" s="79"/>
      <c r="S11" s="79"/>
    </row>
    <row r="12" spans="1:19">
      <c r="A12" s="99" t="s">
        <v>164</v>
      </c>
      <c r="B12" s="99" t="s">
        <v>165</v>
      </c>
      <c r="C12" s="99" t="s">
        <v>166</v>
      </c>
      <c r="D12" s="99" t="s">
        <v>167</v>
      </c>
      <c r="E12" s="99" t="s">
        <v>168</v>
      </c>
      <c r="F12" s="99" t="s">
        <v>185</v>
      </c>
      <c r="G12" s="99" t="s">
        <v>186</v>
      </c>
      <c r="H12" s="90">
        <v>87363</v>
      </c>
      <c r="I12" s="107">
        <v>107460</v>
      </c>
      <c r="J12" s="90">
        <v>85073</v>
      </c>
      <c r="K12" s="79"/>
      <c r="L12" s="79"/>
      <c r="M12" s="79"/>
      <c r="N12" s="79"/>
      <c r="O12" s="79"/>
      <c r="P12" s="79"/>
      <c r="Q12" s="79"/>
      <c r="R12" s="79"/>
      <c r="S12" s="79"/>
    </row>
    <row r="13" spans="1:19">
      <c r="A13" s="99" t="s">
        <v>164</v>
      </c>
      <c r="B13" s="99" t="s">
        <v>165</v>
      </c>
      <c r="C13" s="99" t="s">
        <v>166</v>
      </c>
      <c r="D13" s="99" t="s">
        <v>167</v>
      </c>
      <c r="E13" s="99" t="s">
        <v>168</v>
      </c>
      <c r="F13" s="99" t="s">
        <v>187</v>
      </c>
      <c r="G13" s="99" t="s">
        <v>188</v>
      </c>
      <c r="H13" s="90">
        <v>69876</v>
      </c>
      <c r="I13" s="107">
        <v>62685</v>
      </c>
      <c r="J13" s="90">
        <v>67163</v>
      </c>
      <c r="K13" s="79"/>
      <c r="L13" s="79"/>
      <c r="M13" s="79"/>
      <c r="N13" s="79"/>
      <c r="O13" s="79"/>
      <c r="P13" s="79"/>
      <c r="Q13" s="79"/>
      <c r="R13" s="79"/>
      <c r="S13" s="79"/>
    </row>
    <row r="14" spans="1:19">
      <c r="A14" s="99" t="s">
        <v>164</v>
      </c>
      <c r="B14" s="99" t="s">
        <v>165</v>
      </c>
      <c r="C14" s="99" t="s">
        <v>166</v>
      </c>
      <c r="D14" s="99" t="s">
        <v>167</v>
      </c>
      <c r="E14" s="99" t="s">
        <v>168</v>
      </c>
      <c r="F14" s="99" t="s">
        <v>189</v>
      </c>
      <c r="G14" s="99" t="s">
        <v>190</v>
      </c>
      <c r="H14" s="90">
        <v>22950</v>
      </c>
      <c r="I14" s="107">
        <v>22000</v>
      </c>
      <c r="J14" s="90">
        <v>39800</v>
      </c>
      <c r="K14" s="101">
        <f t="shared" si="0"/>
        <v>17800</v>
      </c>
      <c r="L14" s="79"/>
      <c r="M14" s="79"/>
      <c r="N14" s="79"/>
      <c r="O14" s="79"/>
      <c r="P14" s="79"/>
      <c r="Q14" s="79"/>
      <c r="R14" s="79"/>
      <c r="S14" s="79"/>
    </row>
    <row r="15" spans="1:19">
      <c r="A15" s="99" t="s">
        <v>164</v>
      </c>
      <c r="B15" s="99" t="s">
        <v>165</v>
      </c>
      <c r="C15" s="99" t="s">
        <v>166</v>
      </c>
      <c r="D15" s="99" t="s">
        <v>167</v>
      </c>
      <c r="E15" s="99" t="s">
        <v>168</v>
      </c>
      <c r="F15" s="99" t="s">
        <v>191</v>
      </c>
      <c r="G15" s="99" t="s">
        <v>192</v>
      </c>
      <c r="H15" s="90">
        <v>24900</v>
      </c>
      <c r="I15" s="107">
        <v>24000</v>
      </c>
      <c r="J15" s="90">
        <v>37810</v>
      </c>
      <c r="K15" s="101">
        <f t="shared" si="0"/>
        <v>13810</v>
      </c>
      <c r="L15" s="79"/>
      <c r="M15" s="79"/>
      <c r="N15" s="79"/>
      <c r="O15" s="79"/>
      <c r="P15" s="79"/>
      <c r="Q15" s="79"/>
      <c r="R15" s="79"/>
      <c r="S15" s="79"/>
    </row>
    <row r="16" spans="1:19">
      <c r="A16" s="99" t="s">
        <v>164</v>
      </c>
      <c r="B16" s="99" t="s">
        <v>165</v>
      </c>
      <c r="C16" s="99" t="s">
        <v>166</v>
      </c>
      <c r="D16" s="99" t="s">
        <v>167</v>
      </c>
      <c r="E16" s="99" t="s">
        <v>168</v>
      </c>
      <c r="F16" s="99" t="s">
        <v>193</v>
      </c>
      <c r="G16" s="99" t="s">
        <v>194</v>
      </c>
      <c r="H16" s="90">
        <v>29300</v>
      </c>
      <c r="I16" s="107">
        <v>19700</v>
      </c>
      <c r="J16" s="90">
        <v>29850</v>
      </c>
      <c r="K16" s="79"/>
      <c r="L16" s="79"/>
      <c r="M16" s="79"/>
      <c r="N16" s="79"/>
      <c r="O16" s="79"/>
      <c r="P16" s="79"/>
      <c r="Q16" s="79"/>
      <c r="R16" s="79"/>
      <c r="S16" s="79"/>
    </row>
    <row r="17" spans="1:19">
      <c r="A17" s="99" t="s">
        <v>164</v>
      </c>
      <c r="B17" s="99" t="s">
        <v>165</v>
      </c>
      <c r="C17" s="99" t="s">
        <v>166</v>
      </c>
      <c r="D17" s="99" t="s">
        <v>167</v>
      </c>
      <c r="E17" s="99" t="s">
        <v>168</v>
      </c>
      <c r="F17" s="99" t="s">
        <v>195</v>
      </c>
      <c r="G17" s="99" t="s">
        <v>196</v>
      </c>
      <c r="H17" s="90">
        <v>0</v>
      </c>
      <c r="I17" s="107">
        <v>19700</v>
      </c>
      <c r="J17" s="90">
        <v>0</v>
      </c>
      <c r="K17" s="101">
        <f t="shared" si="0"/>
        <v>-19700</v>
      </c>
      <c r="L17" s="79"/>
      <c r="M17" s="79"/>
      <c r="N17" s="79"/>
      <c r="O17" s="79"/>
      <c r="P17" s="79"/>
      <c r="Q17" s="79"/>
      <c r="R17" s="79"/>
      <c r="S17" s="79"/>
    </row>
    <row r="18" spans="1:19" s="102" customFormat="1">
      <c r="A18" s="100" t="s">
        <v>164</v>
      </c>
      <c r="B18" s="100" t="s">
        <v>165</v>
      </c>
      <c r="C18" s="100" t="s">
        <v>166</v>
      </c>
      <c r="D18" s="100" t="s">
        <v>167</v>
      </c>
      <c r="E18" s="100" t="s">
        <v>168</v>
      </c>
      <c r="F18" s="100" t="s">
        <v>197</v>
      </c>
      <c r="G18" s="100" t="s">
        <v>198</v>
      </c>
      <c r="H18" s="101">
        <v>41727.620000000003</v>
      </c>
      <c r="I18" s="105">
        <v>50000</v>
      </c>
      <c r="J18" s="101">
        <v>30000</v>
      </c>
      <c r="K18" s="101">
        <f t="shared" si="0"/>
        <v>-20000</v>
      </c>
      <c r="L18" s="101"/>
      <c r="M18" s="101"/>
      <c r="N18" s="101"/>
      <c r="O18" s="101"/>
      <c r="P18" s="101"/>
      <c r="Q18" s="101"/>
      <c r="R18" s="101"/>
      <c r="S18" s="101"/>
    </row>
    <row r="19" spans="1:19" s="102" customFormat="1">
      <c r="A19" s="100" t="s">
        <v>164</v>
      </c>
      <c r="B19" s="100" t="s">
        <v>165</v>
      </c>
      <c r="C19" s="100" t="s">
        <v>166</v>
      </c>
      <c r="D19" s="100" t="s">
        <v>167</v>
      </c>
      <c r="E19" s="100" t="s">
        <v>168</v>
      </c>
      <c r="F19" s="100" t="s">
        <v>199</v>
      </c>
      <c r="G19" s="100" t="s">
        <v>200</v>
      </c>
      <c r="H19" s="101">
        <v>474.64</v>
      </c>
      <c r="I19" s="105">
        <v>1000</v>
      </c>
      <c r="J19" s="101">
        <v>1000</v>
      </c>
      <c r="K19" s="101">
        <f t="shared" si="0"/>
        <v>0</v>
      </c>
      <c r="L19" s="101"/>
      <c r="M19" s="101"/>
      <c r="N19" s="101"/>
      <c r="O19" s="101"/>
      <c r="P19" s="101"/>
      <c r="Q19" s="101"/>
      <c r="R19" s="101"/>
      <c r="S19" s="101"/>
    </row>
    <row r="20" spans="1:19" s="102" customFormat="1">
      <c r="A20" s="100" t="s">
        <v>164</v>
      </c>
      <c r="B20" s="100" t="s">
        <v>201</v>
      </c>
      <c r="C20" s="100" t="s">
        <v>202</v>
      </c>
      <c r="D20" s="100" t="s">
        <v>203</v>
      </c>
      <c r="E20" s="100" t="s">
        <v>204</v>
      </c>
      <c r="F20" s="100" t="s">
        <v>169</v>
      </c>
      <c r="G20" s="100" t="s">
        <v>170</v>
      </c>
      <c r="H20" s="101">
        <v>5514319</v>
      </c>
      <c r="I20" s="146">
        <v>3900393</v>
      </c>
      <c r="J20" s="101">
        <v>3900392</v>
      </c>
      <c r="K20" s="101">
        <f t="shared" si="0"/>
        <v>-1</v>
      </c>
      <c r="L20" s="101"/>
      <c r="M20" s="101"/>
      <c r="N20" s="101"/>
      <c r="O20" s="101"/>
      <c r="P20" s="101"/>
      <c r="Q20" s="101"/>
      <c r="R20" s="101"/>
      <c r="S20" s="101"/>
    </row>
    <row r="21" spans="1:19" s="102" customFormat="1">
      <c r="A21" s="100" t="s">
        <v>164</v>
      </c>
      <c r="B21" s="100" t="s">
        <v>961</v>
      </c>
      <c r="C21" s="100" t="s">
        <v>202</v>
      </c>
      <c r="D21" s="100" t="s">
        <v>2073</v>
      </c>
      <c r="E21" s="100" t="s">
        <v>204</v>
      </c>
      <c r="F21" s="100" t="s">
        <v>169</v>
      </c>
      <c r="G21" s="100" t="s">
        <v>170</v>
      </c>
      <c r="H21" s="101"/>
      <c r="I21" s="146">
        <v>1000000</v>
      </c>
      <c r="J21" s="101">
        <v>1000000</v>
      </c>
      <c r="K21" s="101">
        <f t="shared" si="0"/>
        <v>0</v>
      </c>
      <c r="L21" s="101"/>
      <c r="M21" s="101"/>
      <c r="N21" s="101"/>
      <c r="O21" s="101"/>
      <c r="P21" s="101"/>
      <c r="Q21" s="101"/>
      <c r="R21" s="101"/>
      <c r="S21" s="101"/>
    </row>
    <row r="22" spans="1:19" s="102" customFormat="1">
      <c r="A22" s="100" t="s">
        <v>164</v>
      </c>
      <c r="B22" s="100" t="s">
        <v>205</v>
      </c>
      <c r="C22" s="100" t="s">
        <v>206</v>
      </c>
      <c r="D22" s="100" t="s">
        <v>207</v>
      </c>
      <c r="E22" s="100" t="s">
        <v>208</v>
      </c>
      <c r="F22" s="100" t="s">
        <v>209</v>
      </c>
      <c r="G22" s="100" t="s">
        <v>210</v>
      </c>
      <c r="H22" s="101">
        <v>8347920.9900000002</v>
      </c>
      <c r="I22" s="108">
        <v>9500046</v>
      </c>
      <c r="J22" s="101">
        <v>9784320</v>
      </c>
      <c r="K22" s="101">
        <f>+J22-I22</f>
        <v>284274</v>
      </c>
      <c r="L22" s="101"/>
      <c r="M22" s="101"/>
      <c r="N22" s="101"/>
      <c r="O22" s="101"/>
      <c r="P22" s="101"/>
      <c r="Q22" s="101"/>
      <c r="R22" s="101"/>
      <c r="S22" s="101"/>
    </row>
    <row r="23" spans="1:19" s="102" customFormat="1">
      <c r="A23" s="100" t="s">
        <v>164</v>
      </c>
      <c r="B23" s="100" t="s">
        <v>205</v>
      </c>
      <c r="C23" s="100" t="s">
        <v>206</v>
      </c>
      <c r="D23" s="100" t="s">
        <v>207</v>
      </c>
      <c r="E23" s="100" t="s">
        <v>208</v>
      </c>
      <c r="F23" s="100" t="s">
        <v>211</v>
      </c>
      <c r="G23" s="100" t="s">
        <v>212</v>
      </c>
      <c r="H23" s="101">
        <v>7448742.6799999997</v>
      </c>
      <c r="I23" s="108">
        <v>8566708</v>
      </c>
      <c r="J23" s="101">
        <v>8722022</v>
      </c>
      <c r="K23" s="101">
        <f t="shared" ref="K23:K57" si="1">+J23-I23</f>
        <v>155314</v>
      </c>
      <c r="L23" s="101"/>
      <c r="M23" s="101"/>
      <c r="N23" s="101"/>
      <c r="O23" s="101"/>
      <c r="P23" s="101"/>
      <c r="Q23" s="101"/>
      <c r="R23" s="101"/>
      <c r="S23" s="101"/>
    </row>
    <row r="24" spans="1:19" s="102" customFormat="1">
      <c r="A24" s="100" t="s">
        <v>164</v>
      </c>
      <c r="B24" s="100" t="s">
        <v>205</v>
      </c>
      <c r="C24" s="100"/>
      <c r="D24" s="100" t="s">
        <v>207</v>
      </c>
      <c r="E24" s="100"/>
      <c r="F24" s="100" t="s">
        <v>304</v>
      </c>
      <c r="G24" s="100" t="s">
        <v>2062</v>
      </c>
      <c r="H24" s="101">
        <f>1057376.04*0.4</f>
        <v>422950.41600000003</v>
      </c>
      <c r="I24" s="108">
        <f>1088894</f>
        <v>1088894</v>
      </c>
      <c r="J24" s="101">
        <f>1174118</f>
        <v>1174118</v>
      </c>
      <c r="K24" s="101">
        <f t="shared" si="1"/>
        <v>85224</v>
      </c>
      <c r="L24" s="101"/>
      <c r="M24" s="101"/>
      <c r="N24" s="101"/>
      <c r="O24" s="101"/>
      <c r="P24" s="101"/>
      <c r="Q24" s="101"/>
      <c r="R24" s="101"/>
      <c r="S24" s="101"/>
    </row>
    <row r="25" spans="1:19" s="102" customFormat="1">
      <c r="A25" s="100" t="s">
        <v>164</v>
      </c>
      <c r="B25" s="100" t="s">
        <v>205</v>
      </c>
      <c r="C25" s="100"/>
      <c r="D25" s="100" t="s">
        <v>207</v>
      </c>
      <c r="E25" s="100"/>
      <c r="F25" s="100" t="s">
        <v>305</v>
      </c>
      <c r="G25" s="100" t="s">
        <v>2063</v>
      </c>
      <c r="H25" s="101">
        <f>745865.26*0.4</f>
        <v>298346.10399999999</v>
      </c>
      <c r="I25" s="108">
        <f>844449</f>
        <v>844449</v>
      </c>
      <c r="J25" s="101">
        <f>838656</f>
        <v>838656</v>
      </c>
      <c r="K25" s="101">
        <f t="shared" si="1"/>
        <v>-5793</v>
      </c>
      <c r="L25" s="101"/>
      <c r="M25" s="101"/>
      <c r="N25" s="101"/>
      <c r="O25" s="101"/>
      <c r="P25" s="101"/>
      <c r="Q25" s="101"/>
      <c r="R25" s="101"/>
      <c r="S25" s="101"/>
    </row>
    <row r="26" spans="1:19" s="102" customFormat="1">
      <c r="A26" s="100" t="s">
        <v>164</v>
      </c>
      <c r="B26" s="100" t="s">
        <v>205</v>
      </c>
      <c r="C26" s="100" t="s">
        <v>206</v>
      </c>
      <c r="D26" s="100" t="s">
        <v>207</v>
      </c>
      <c r="E26" s="100" t="s">
        <v>208</v>
      </c>
      <c r="F26" s="100" t="s">
        <v>213</v>
      </c>
      <c r="G26" s="100" t="s">
        <v>214</v>
      </c>
      <c r="H26" s="101">
        <v>-443903.94</v>
      </c>
      <c r="I26" s="108">
        <v>-551956</v>
      </c>
      <c r="J26" s="101">
        <v>-594851</v>
      </c>
      <c r="K26" s="101">
        <f t="shared" si="1"/>
        <v>-42895</v>
      </c>
      <c r="L26" s="101"/>
      <c r="M26" s="101"/>
      <c r="N26" s="101"/>
      <c r="O26" s="101"/>
      <c r="P26" s="101"/>
      <c r="Q26" s="101"/>
      <c r="R26" s="101"/>
      <c r="S26" s="101"/>
    </row>
    <row r="27" spans="1:19" s="102" customFormat="1">
      <c r="A27" s="100" t="s">
        <v>164</v>
      </c>
      <c r="B27" s="100" t="s">
        <v>205</v>
      </c>
      <c r="C27" s="100" t="s">
        <v>206</v>
      </c>
      <c r="D27" s="100" t="s">
        <v>207</v>
      </c>
      <c r="E27" s="100" t="s">
        <v>208</v>
      </c>
      <c r="F27" s="100" t="s">
        <v>215</v>
      </c>
      <c r="G27" s="100" t="s">
        <v>216</v>
      </c>
      <c r="H27" s="101">
        <v>-1443881.45</v>
      </c>
      <c r="I27" s="108">
        <v>-1773090</v>
      </c>
      <c r="J27" s="101">
        <v>-1939962</v>
      </c>
      <c r="K27" s="101">
        <f t="shared" si="1"/>
        <v>-166872</v>
      </c>
      <c r="L27" s="101"/>
      <c r="M27" s="101"/>
      <c r="N27" s="101"/>
      <c r="O27" s="101"/>
      <c r="P27" s="101"/>
      <c r="Q27" s="101"/>
      <c r="R27" s="101"/>
      <c r="S27" s="101"/>
    </row>
    <row r="28" spans="1:19">
      <c r="A28" s="99" t="s">
        <v>164</v>
      </c>
      <c r="B28" s="99" t="s">
        <v>205</v>
      </c>
      <c r="C28" s="99" t="s">
        <v>206</v>
      </c>
      <c r="D28" s="99" t="s">
        <v>207</v>
      </c>
      <c r="E28" s="99" t="s">
        <v>208</v>
      </c>
      <c r="F28" s="99" t="s">
        <v>217</v>
      </c>
      <c r="G28" s="99" t="s">
        <v>218</v>
      </c>
      <c r="H28" s="90">
        <v>97046.05</v>
      </c>
      <c r="I28" s="108">
        <v>96400</v>
      </c>
      <c r="J28" s="90">
        <v>96400</v>
      </c>
      <c r="K28" s="101">
        <f t="shared" si="1"/>
        <v>0</v>
      </c>
    </row>
    <row r="29" spans="1:19">
      <c r="A29" s="99" t="s">
        <v>164</v>
      </c>
      <c r="B29" s="99" t="s">
        <v>205</v>
      </c>
      <c r="C29" s="99" t="s">
        <v>206</v>
      </c>
      <c r="D29" s="99" t="s">
        <v>207</v>
      </c>
      <c r="E29" s="99" t="s">
        <v>208</v>
      </c>
      <c r="F29" s="99" t="s">
        <v>221</v>
      </c>
      <c r="G29" s="99" t="s">
        <v>222</v>
      </c>
      <c r="H29" s="90">
        <v>729.4</v>
      </c>
      <c r="I29" s="108">
        <v>500</v>
      </c>
      <c r="J29" s="90">
        <v>500</v>
      </c>
      <c r="K29" s="101">
        <f t="shared" si="1"/>
        <v>0</v>
      </c>
    </row>
    <row r="30" spans="1:19">
      <c r="A30" s="99" t="s">
        <v>164</v>
      </c>
      <c r="B30" s="99" t="s">
        <v>205</v>
      </c>
      <c r="C30" s="99" t="s">
        <v>206</v>
      </c>
      <c r="D30" s="99" t="s">
        <v>207</v>
      </c>
      <c r="E30" s="99" t="s">
        <v>208</v>
      </c>
      <c r="F30" s="99" t="s">
        <v>223</v>
      </c>
      <c r="G30" s="99" t="s">
        <v>224</v>
      </c>
      <c r="H30" s="90">
        <v>648.62</v>
      </c>
      <c r="I30" s="108">
        <v>500</v>
      </c>
      <c r="J30" s="90">
        <v>500</v>
      </c>
      <c r="K30" s="101">
        <f t="shared" si="1"/>
        <v>0</v>
      </c>
    </row>
    <row r="31" spans="1:19">
      <c r="A31" s="99" t="s">
        <v>164</v>
      </c>
      <c r="B31" s="99" t="s">
        <v>205</v>
      </c>
      <c r="C31" s="99" t="s">
        <v>206</v>
      </c>
      <c r="D31" s="99" t="s">
        <v>207</v>
      </c>
      <c r="E31" s="99" t="s">
        <v>208</v>
      </c>
      <c r="F31" s="99" t="s">
        <v>225</v>
      </c>
      <c r="G31" s="99" t="s">
        <v>226</v>
      </c>
      <c r="H31" s="90">
        <v>13752.06</v>
      </c>
      <c r="I31" s="108">
        <v>10000</v>
      </c>
      <c r="J31" s="90">
        <v>10000</v>
      </c>
      <c r="K31" s="101">
        <f t="shared" si="1"/>
        <v>0</v>
      </c>
    </row>
    <row r="32" spans="1:19">
      <c r="A32" s="99" t="s">
        <v>164</v>
      </c>
      <c r="B32" s="99" t="s">
        <v>205</v>
      </c>
      <c r="C32" s="99" t="s">
        <v>206</v>
      </c>
      <c r="D32" s="99" t="s">
        <v>207</v>
      </c>
      <c r="E32" s="99" t="s">
        <v>208</v>
      </c>
      <c r="F32" s="99" t="s">
        <v>227</v>
      </c>
      <c r="G32" s="99" t="s">
        <v>228</v>
      </c>
      <c r="H32" s="90">
        <v>27433.5</v>
      </c>
      <c r="I32" s="108">
        <v>28000</v>
      </c>
      <c r="J32" s="90">
        <v>28000</v>
      </c>
      <c r="K32" s="101">
        <f t="shared" si="1"/>
        <v>0</v>
      </c>
    </row>
    <row r="33" spans="1:19">
      <c r="A33" s="99" t="s">
        <v>164</v>
      </c>
      <c r="B33" s="99" t="s">
        <v>205</v>
      </c>
      <c r="C33" s="99" t="s">
        <v>206</v>
      </c>
      <c r="D33" s="99" t="s">
        <v>207</v>
      </c>
      <c r="E33" s="99" t="s">
        <v>208</v>
      </c>
      <c r="F33" s="99" t="s">
        <v>229</v>
      </c>
      <c r="G33" s="99" t="s">
        <v>230</v>
      </c>
      <c r="H33" s="90">
        <v>20279.91</v>
      </c>
      <c r="I33" s="108">
        <v>10000</v>
      </c>
      <c r="J33" s="90">
        <v>10000</v>
      </c>
      <c r="K33" s="101">
        <f t="shared" si="1"/>
        <v>0</v>
      </c>
    </row>
    <row r="34" spans="1:19">
      <c r="A34" s="99" t="s">
        <v>164</v>
      </c>
      <c r="B34" s="99" t="s">
        <v>205</v>
      </c>
      <c r="C34" s="99" t="s">
        <v>206</v>
      </c>
      <c r="D34" s="99" t="s">
        <v>207</v>
      </c>
      <c r="E34" s="99" t="s">
        <v>208</v>
      </c>
      <c r="F34" s="99" t="s">
        <v>231</v>
      </c>
      <c r="G34" s="99" t="s">
        <v>232</v>
      </c>
      <c r="H34" s="90">
        <v>72650.100000000006</v>
      </c>
      <c r="I34" s="108">
        <v>40000</v>
      </c>
      <c r="J34" s="90">
        <v>40000</v>
      </c>
      <c r="K34" s="101">
        <f t="shared" si="1"/>
        <v>0</v>
      </c>
    </row>
    <row r="35" spans="1:19">
      <c r="A35" s="99" t="s">
        <v>164</v>
      </c>
      <c r="B35" s="99" t="s">
        <v>205</v>
      </c>
      <c r="C35" s="99" t="s">
        <v>206</v>
      </c>
      <c r="D35" s="99" t="s">
        <v>207</v>
      </c>
      <c r="E35" s="99" t="s">
        <v>208</v>
      </c>
      <c r="F35" s="99" t="s">
        <v>233</v>
      </c>
      <c r="G35" s="99" t="s">
        <v>234</v>
      </c>
      <c r="H35" s="90">
        <v>13607.46</v>
      </c>
      <c r="I35" s="108">
        <v>10000</v>
      </c>
      <c r="J35" s="90">
        <v>12000</v>
      </c>
      <c r="K35" s="101">
        <f t="shared" si="1"/>
        <v>2000</v>
      </c>
    </row>
    <row r="36" spans="1:19">
      <c r="A36" s="99" t="s">
        <v>164</v>
      </c>
      <c r="B36" s="99" t="s">
        <v>205</v>
      </c>
      <c r="C36" s="99" t="s">
        <v>206</v>
      </c>
      <c r="D36" s="99" t="s">
        <v>207</v>
      </c>
      <c r="E36" s="99" t="s">
        <v>208</v>
      </c>
      <c r="F36" s="99" t="s">
        <v>235</v>
      </c>
      <c r="G36" s="99" t="s">
        <v>236</v>
      </c>
      <c r="H36" s="90">
        <v>8505</v>
      </c>
      <c r="I36" s="108">
        <v>11850</v>
      </c>
      <c r="J36" s="90">
        <v>8500</v>
      </c>
      <c r="K36" s="101">
        <f t="shared" si="1"/>
        <v>-3350</v>
      </c>
      <c r="L36" s="79"/>
      <c r="M36" s="79"/>
      <c r="N36" s="79"/>
      <c r="O36" s="79"/>
      <c r="P36" s="79"/>
      <c r="Q36" s="79"/>
      <c r="R36" s="79"/>
      <c r="S36" s="79"/>
    </row>
    <row r="37" spans="1:19">
      <c r="A37" s="99" t="s">
        <v>164</v>
      </c>
      <c r="B37" s="99" t="s">
        <v>205</v>
      </c>
      <c r="C37" s="99" t="s">
        <v>206</v>
      </c>
      <c r="D37" s="99" t="s">
        <v>207</v>
      </c>
      <c r="E37" s="99" t="s">
        <v>208</v>
      </c>
      <c r="F37" s="99" t="s">
        <v>237</v>
      </c>
      <c r="G37" s="99" t="s">
        <v>238</v>
      </c>
      <c r="H37" s="90">
        <v>30904.12</v>
      </c>
      <c r="I37" s="108">
        <v>35000</v>
      </c>
      <c r="J37" s="90">
        <v>35000</v>
      </c>
      <c r="K37" s="101">
        <f t="shared" si="1"/>
        <v>0</v>
      </c>
      <c r="L37" s="79"/>
      <c r="M37" s="79"/>
      <c r="N37" s="79"/>
      <c r="O37" s="79"/>
      <c r="P37" s="79"/>
      <c r="Q37" s="79"/>
      <c r="R37" s="79"/>
      <c r="S37" s="79"/>
    </row>
    <row r="38" spans="1:19">
      <c r="A38" s="99" t="s">
        <v>164</v>
      </c>
      <c r="B38" s="99" t="s">
        <v>205</v>
      </c>
      <c r="C38" s="99" t="s">
        <v>206</v>
      </c>
      <c r="D38" s="99" t="s">
        <v>207</v>
      </c>
      <c r="E38" s="99" t="s">
        <v>208</v>
      </c>
      <c r="F38" s="99" t="s">
        <v>239</v>
      </c>
      <c r="G38" s="99" t="s">
        <v>240</v>
      </c>
      <c r="H38" s="90">
        <v>6278.11</v>
      </c>
      <c r="I38" s="108">
        <v>10000</v>
      </c>
      <c r="J38" s="90">
        <v>0</v>
      </c>
      <c r="K38" s="101">
        <f t="shared" si="1"/>
        <v>-10000</v>
      </c>
      <c r="L38" s="79"/>
      <c r="M38" s="79"/>
      <c r="N38" s="79"/>
      <c r="O38" s="79"/>
      <c r="P38" s="79"/>
      <c r="Q38" s="79"/>
      <c r="R38" s="79"/>
      <c r="S38" s="79"/>
    </row>
    <row r="39" spans="1:19">
      <c r="A39" s="99" t="s">
        <v>164</v>
      </c>
      <c r="B39" s="99" t="s">
        <v>205</v>
      </c>
      <c r="C39" s="99" t="s">
        <v>206</v>
      </c>
      <c r="D39" s="99" t="s">
        <v>207</v>
      </c>
      <c r="E39" s="99" t="s">
        <v>208</v>
      </c>
      <c r="F39" s="99" t="s">
        <v>241</v>
      </c>
      <c r="G39" s="99" t="s">
        <v>242</v>
      </c>
      <c r="H39" s="90">
        <v>63565</v>
      </c>
      <c r="I39" s="108">
        <v>60000</v>
      </c>
      <c r="J39" s="90">
        <v>60000</v>
      </c>
      <c r="K39" s="101">
        <f t="shared" si="1"/>
        <v>0</v>
      </c>
      <c r="L39" s="79"/>
      <c r="M39" s="79"/>
      <c r="N39" s="79"/>
      <c r="O39" s="79"/>
      <c r="P39" s="79"/>
      <c r="Q39" s="79"/>
      <c r="R39" s="79"/>
      <c r="S39" s="79"/>
    </row>
    <row r="40" spans="1:19">
      <c r="A40" s="99" t="s">
        <v>164</v>
      </c>
      <c r="B40" s="99" t="s">
        <v>205</v>
      </c>
      <c r="C40" s="99" t="s">
        <v>206</v>
      </c>
      <c r="D40" s="99" t="s">
        <v>207</v>
      </c>
      <c r="E40" s="99" t="s">
        <v>208</v>
      </c>
      <c r="F40" s="99" t="s">
        <v>243</v>
      </c>
      <c r="G40" s="99" t="s">
        <v>244</v>
      </c>
      <c r="H40" s="90">
        <v>2850.28</v>
      </c>
      <c r="I40" s="108">
        <v>5000</v>
      </c>
      <c r="J40" s="90">
        <v>1000</v>
      </c>
      <c r="K40" s="101">
        <f t="shared" si="1"/>
        <v>-4000</v>
      </c>
      <c r="L40" s="79"/>
      <c r="M40" s="79"/>
      <c r="N40" s="79"/>
      <c r="O40" s="79"/>
      <c r="P40" s="79"/>
      <c r="Q40" s="79"/>
      <c r="R40" s="79"/>
      <c r="S40" s="79"/>
    </row>
    <row r="41" spans="1:19">
      <c r="A41" s="99" t="s">
        <v>164</v>
      </c>
      <c r="B41" s="99" t="s">
        <v>205</v>
      </c>
      <c r="C41" s="99" t="s">
        <v>206</v>
      </c>
      <c r="D41" s="99" t="s">
        <v>207</v>
      </c>
      <c r="E41" s="99" t="s">
        <v>208</v>
      </c>
      <c r="F41" s="99" t="s">
        <v>245</v>
      </c>
      <c r="G41" s="99" t="s">
        <v>246</v>
      </c>
      <c r="H41" s="90">
        <v>1256978</v>
      </c>
      <c r="I41" s="108">
        <f>1247285+175000</f>
        <v>1422285</v>
      </c>
      <c r="J41" s="105">
        <v>1422285</v>
      </c>
      <c r="K41" s="101">
        <f t="shared" si="1"/>
        <v>0</v>
      </c>
      <c r="L41" s="79"/>
      <c r="M41" s="79"/>
      <c r="N41" s="79"/>
      <c r="O41" s="79"/>
      <c r="P41" s="79"/>
      <c r="Q41" s="79"/>
      <c r="R41" s="79"/>
      <c r="S41" s="79"/>
    </row>
    <row r="42" spans="1:19">
      <c r="A42" s="99" t="s">
        <v>164</v>
      </c>
      <c r="B42" s="99" t="s">
        <v>205</v>
      </c>
      <c r="C42" s="99" t="s">
        <v>206</v>
      </c>
      <c r="D42" s="99" t="s">
        <v>207</v>
      </c>
      <c r="E42" s="99" t="s">
        <v>208</v>
      </c>
      <c r="F42" s="99" t="s">
        <v>247</v>
      </c>
      <c r="G42" s="99" t="s">
        <v>248</v>
      </c>
      <c r="H42" s="90">
        <v>11201.63</v>
      </c>
      <c r="I42" s="108">
        <v>10000</v>
      </c>
      <c r="J42" s="90">
        <v>10000</v>
      </c>
      <c r="K42" s="101">
        <f t="shared" si="1"/>
        <v>0</v>
      </c>
      <c r="L42" s="79"/>
      <c r="M42" s="79"/>
      <c r="N42" s="79"/>
      <c r="O42" s="79"/>
      <c r="P42" s="79"/>
      <c r="Q42" s="79"/>
      <c r="R42" s="79"/>
      <c r="S42" s="79"/>
    </row>
    <row r="43" spans="1:19">
      <c r="A43" s="99" t="s">
        <v>164</v>
      </c>
      <c r="B43" s="99" t="s">
        <v>205</v>
      </c>
      <c r="C43" s="99" t="s">
        <v>206</v>
      </c>
      <c r="D43" s="99" t="s">
        <v>207</v>
      </c>
      <c r="E43" s="99" t="s">
        <v>208</v>
      </c>
      <c r="F43" s="99" t="s">
        <v>249</v>
      </c>
      <c r="G43" s="99" t="s">
        <v>250</v>
      </c>
      <c r="H43" s="90">
        <v>16728.63</v>
      </c>
      <c r="I43" s="108">
        <v>15000</v>
      </c>
      <c r="J43" s="90">
        <v>15000</v>
      </c>
      <c r="K43" s="101">
        <f t="shared" si="1"/>
        <v>0</v>
      </c>
      <c r="L43" s="79"/>
      <c r="M43" s="79"/>
      <c r="N43" s="79"/>
      <c r="O43" s="79"/>
      <c r="P43" s="79"/>
      <c r="Q43" s="79"/>
      <c r="R43" s="79"/>
      <c r="S43" s="79"/>
    </row>
    <row r="44" spans="1:19">
      <c r="A44" s="99" t="s">
        <v>164</v>
      </c>
      <c r="B44" s="99" t="s">
        <v>205</v>
      </c>
      <c r="C44" s="99" t="s">
        <v>206</v>
      </c>
      <c r="D44" s="99" t="s">
        <v>207</v>
      </c>
      <c r="E44" s="99" t="s">
        <v>208</v>
      </c>
      <c r="F44" s="99" t="s">
        <v>251</v>
      </c>
      <c r="G44" s="99" t="s">
        <v>252</v>
      </c>
      <c r="H44" s="90">
        <v>102480.25</v>
      </c>
      <c r="I44" s="108">
        <v>100000</v>
      </c>
      <c r="J44" s="90">
        <v>100000</v>
      </c>
      <c r="K44" s="101">
        <f t="shared" si="1"/>
        <v>0</v>
      </c>
      <c r="L44" s="79"/>
      <c r="M44" s="79"/>
      <c r="N44" s="79"/>
      <c r="O44" s="79"/>
      <c r="P44" s="79"/>
      <c r="Q44" s="79"/>
      <c r="R44" s="79"/>
      <c r="S44" s="79"/>
    </row>
    <row r="45" spans="1:19">
      <c r="A45" s="99" t="s">
        <v>164</v>
      </c>
      <c r="B45" s="99" t="s">
        <v>205</v>
      </c>
      <c r="C45" s="99" t="s">
        <v>206</v>
      </c>
      <c r="D45" s="99" t="s">
        <v>207</v>
      </c>
      <c r="E45" s="99" t="s">
        <v>208</v>
      </c>
      <c r="F45" s="99" t="s">
        <v>253</v>
      </c>
      <c r="G45" s="99" t="s">
        <v>254</v>
      </c>
      <c r="H45" s="90">
        <v>39600</v>
      </c>
      <c r="I45" s="108">
        <v>50000</v>
      </c>
      <c r="J45" s="90">
        <v>40000</v>
      </c>
      <c r="K45" s="101">
        <f t="shared" si="1"/>
        <v>-10000</v>
      </c>
      <c r="L45" s="79"/>
      <c r="M45" s="79"/>
      <c r="N45" s="79"/>
      <c r="O45" s="79"/>
      <c r="P45" s="79"/>
      <c r="Q45" s="79"/>
      <c r="R45" s="79"/>
      <c r="S45" s="79"/>
    </row>
    <row r="46" spans="1:19">
      <c r="A46" s="99" t="s">
        <v>164</v>
      </c>
      <c r="B46" s="99" t="s">
        <v>205</v>
      </c>
      <c r="C46" s="99" t="s">
        <v>206</v>
      </c>
      <c r="D46" s="99" t="s">
        <v>207</v>
      </c>
      <c r="E46" s="99" t="s">
        <v>208</v>
      </c>
      <c r="F46" s="99" t="s">
        <v>199</v>
      </c>
      <c r="G46" s="99" t="s">
        <v>200</v>
      </c>
      <c r="H46" s="90">
        <v>12995.51</v>
      </c>
      <c r="I46" s="108">
        <v>0</v>
      </c>
      <c r="J46" s="90">
        <v>1000</v>
      </c>
      <c r="K46" s="101">
        <f t="shared" si="1"/>
        <v>1000</v>
      </c>
      <c r="L46" s="79"/>
      <c r="M46" s="79"/>
      <c r="N46" s="79"/>
      <c r="O46" s="79"/>
      <c r="P46" s="79"/>
      <c r="Q46" s="79"/>
      <c r="R46" s="79"/>
      <c r="S46" s="79"/>
    </row>
    <row r="47" spans="1:19">
      <c r="A47" s="99" t="s">
        <v>164</v>
      </c>
      <c r="B47" s="99" t="s">
        <v>205</v>
      </c>
      <c r="C47" s="99" t="s">
        <v>206</v>
      </c>
      <c r="D47" s="99" t="s">
        <v>207</v>
      </c>
      <c r="E47" s="99" t="s">
        <v>208</v>
      </c>
      <c r="F47" s="99" t="s">
        <v>255</v>
      </c>
      <c r="G47" s="99" t="s">
        <v>256</v>
      </c>
      <c r="H47" s="90">
        <v>9145.16</v>
      </c>
      <c r="I47" s="108">
        <v>10000</v>
      </c>
      <c r="J47" s="90">
        <v>5000</v>
      </c>
      <c r="K47" s="101">
        <f t="shared" si="1"/>
        <v>-5000</v>
      </c>
      <c r="L47" s="79"/>
      <c r="M47" s="79"/>
      <c r="N47" s="79"/>
      <c r="O47" s="79"/>
      <c r="P47" s="79"/>
      <c r="Q47" s="79"/>
      <c r="R47" s="79"/>
      <c r="S47" s="79"/>
    </row>
    <row r="48" spans="1:19">
      <c r="A48" s="99" t="s">
        <v>164</v>
      </c>
      <c r="B48" s="99" t="s">
        <v>205</v>
      </c>
      <c r="C48" s="99" t="s">
        <v>206</v>
      </c>
      <c r="D48" s="99" t="s">
        <v>207</v>
      </c>
      <c r="E48" s="99" t="s">
        <v>208</v>
      </c>
      <c r="F48" s="99" t="s">
        <v>257</v>
      </c>
      <c r="G48" s="99" t="s">
        <v>258</v>
      </c>
      <c r="H48" s="90">
        <v>211630.94</v>
      </c>
      <c r="I48" s="108">
        <v>2500</v>
      </c>
      <c r="J48" s="90">
        <v>2500</v>
      </c>
      <c r="K48" s="101">
        <f t="shared" si="1"/>
        <v>0</v>
      </c>
      <c r="L48" s="79"/>
      <c r="M48" s="79"/>
      <c r="N48" s="79"/>
      <c r="O48" s="79"/>
      <c r="P48" s="79"/>
      <c r="Q48" s="79"/>
      <c r="R48" s="79"/>
      <c r="S48" s="79"/>
    </row>
    <row r="49" spans="1:19">
      <c r="A49" s="99" t="s">
        <v>259</v>
      </c>
      <c r="K49" s="79"/>
      <c r="L49" s="79"/>
      <c r="M49" s="79"/>
      <c r="N49" s="79"/>
      <c r="O49" s="79"/>
      <c r="P49" s="79"/>
      <c r="Q49" s="79"/>
      <c r="R49" s="79"/>
      <c r="S49" s="79"/>
    </row>
    <row r="50" spans="1:19" s="149" customFormat="1">
      <c r="A50" s="147" t="s">
        <v>164</v>
      </c>
      <c r="B50" s="147" t="s">
        <v>165</v>
      </c>
      <c r="C50" s="147"/>
      <c r="D50" s="147" t="s">
        <v>167</v>
      </c>
      <c r="E50" s="147"/>
      <c r="F50" s="147" t="s">
        <v>169</v>
      </c>
      <c r="G50" s="147" t="s">
        <v>260</v>
      </c>
      <c r="H50" s="148">
        <v>-4129564</v>
      </c>
      <c r="I50" s="148">
        <v>-4003574</v>
      </c>
      <c r="J50" s="148">
        <v>-3962489</v>
      </c>
      <c r="K50" s="148">
        <f t="shared" si="1"/>
        <v>41085</v>
      </c>
    </row>
    <row r="51" spans="1:19" s="149" customFormat="1">
      <c r="A51" s="147" t="s">
        <v>164</v>
      </c>
      <c r="B51" s="147" t="s">
        <v>165</v>
      </c>
      <c r="C51" s="147"/>
      <c r="D51" s="147"/>
      <c r="E51" s="147"/>
      <c r="F51" s="147"/>
      <c r="G51" s="147" t="s">
        <v>261</v>
      </c>
      <c r="H51" s="148">
        <v>-46550</v>
      </c>
      <c r="I51" s="148">
        <v>-34912</v>
      </c>
      <c r="J51" s="148">
        <v>-34912</v>
      </c>
      <c r="K51" s="148">
        <f t="shared" si="1"/>
        <v>0</v>
      </c>
    </row>
    <row r="52" spans="1:19" s="149" customFormat="1">
      <c r="A52" s="147"/>
      <c r="B52" s="147"/>
      <c r="C52" s="147"/>
      <c r="D52" s="147"/>
      <c r="E52" s="147"/>
      <c r="F52" s="147"/>
      <c r="G52" s="147" t="s">
        <v>262</v>
      </c>
      <c r="H52" s="148">
        <v>-415626</v>
      </c>
      <c r="I52" s="148">
        <v>-311720</v>
      </c>
      <c r="J52" s="148">
        <v>-311720</v>
      </c>
      <c r="K52" s="148">
        <f t="shared" si="1"/>
        <v>0</v>
      </c>
    </row>
    <row r="53" spans="1:19" s="149" customFormat="1">
      <c r="A53" s="147"/>
      <c r="B53" s="147"/>
      <c r="C53" s="147"/>
      <c r="D53" s="147"/>
      <c r="E53" s="147"/>
      <c r="F53" s="147"/>
      <c r="G53" s="147" t="s">
        <v>263</v>
      </c>
      <c r="H53" s="148">
        <v>-134270</v>
      </c>
      <c r="I53" s="148">
        <v>-134270</v>
      </c>
      <c r="J53" s="148">
        <v>-134270</v>
      </c>
      <c r="K53" s="148">
        <f t="shared" si="1"/>
        <v>0</v>
      </c>
    </row>
    <row r="54" spans="1:19" s="149" customFormat="1">
      <c r="A54" s="147"/>
      <c r="B54" s="147"/>
      <c r="C54" s="147"/>
      <c r="D54" s="147"/>
      <c r="E54" s="147"/>
      <c r="F54" s="147"/>
      <c r="G54" s="147" t="s">
        <v>264</v>
      </c>
      <c r="H54" s="148">
        <v>-53426</v>
      </c>
      <c r="I54" s="148">
        <v>-40070</v>
      </c>
      <c r="J54" s="148">
        <v>-40070</v>
      </c>
      <c r="K54" s="148">
        <f t="shared" si="1"/>
        <v>0</v>
      </c>
    </row>
    <row r="55" spans="1:19" s="149" customFormat="1">
      <c r="A55" s="147"/>
      <c r="B55" s="147"/>
      <c r="C55" s="147"/>
      <c r="D55" s="147"/>
      <c r="E55" s="147"/>
      <c r="F55" s="147"/>
      <c r="G55" s="147" t="s">
        <v>265</v>
      </c>
      <c r="H55" s="148">
        <v>-245992</v>
      </c>
      <c r="I55" s="148">
        <v>-184494</v>
      </c>
      <c r="J55" s="148">
        <v>-184494</v>
      </c>
      <c r="K55" s="148">
        <f t="shared" si="1"/>
        <v>0</v>
      </c>
    </row>
    <row r="56" spans="1:19" s="149" customFormat="1">
      <c r="A56" s="147"/>
      <c r="B56" s="147"/>
      <c r="C56" s="147"/>
      <c r="D56" s="147"/>
      <c r="E56" s="147"/>
      <c r="F56" s="147"/>
      <c r="G56" s="147" t="s">
        <v>2065</v>
      </c>
      <c r="H56" s="148"/>
      <c r="I56" s="148">
        <v>-1000000</v>
      </c>
      <c r="J56" s="148">
        <v>-1000000</v>
      </c>
      <c r="K56" s="148">
        <f t="shared" si="1"/>
        <v>0</v>
      </c>
    </row>
    <row r="57" spans="1:19" s="149" customFormat="1">
      <c r="A57" s="147"/>
      <c r="B57" s="147"/>
      <c r="C57" s="147"/>
      <c r="D57" s="147"/>
      <c r="E57" s="147"/>
      <c r="F57" s="147"/>
      <c r="G57" s="147" t="s">
        <v>2072</v>
      </c>
      <c r="H57" s="148"/>
      <c r="I57" s="148">
        <v>-61588</v>
      </c>
      <c r="J57" s="148">
        <v>-61588</v>
      </c>
      <c r="K57" s="148">
        <f t="shared" si="1"/>
        <v>0</v>
      </c>
    </row>
    <row r="58" spans="1:19">
      <c r="A58" s="99" t="s">
        <v>164</v>
      </c>
      <c r="B58" s="99" t="s">
        <v>1215</v>
      </c>
      <c r="D58" s="99" t="s">
        <v>2067</v>
      </c>
      <c r="F58" s="99" t="s">
        <v>2068</v>
      </c>
      <c r="H58" s="90">
        <v>0</v>
      </c>
      <c r="I58" s="90">
        <v>754110</v>
      </c>
      <c r="J58" s="90">
        <v>756000</v>
      </c>
      <c r="K58" s="101">
        <f t="shared" ref="K58:K61" si="2">+J58-I58</f>
        <v>1890</v>
      </c>
      <c r="L58" s="79"/>
      <c r="M58" s="79"/>
      <c r="N58" s="79"/>
      <c r="O58" s="79"/>
      <c r="P58" s="79"/>
      <c r="Q58" s="79"/>
      <c r="R58" s="79"/>
      <c r="S58" s="79"/>
    </row>
    <row r="59" spans="1:19">
      <c r="A59" s="99" t="s">
        <v>164</v>
      </c>
      <c r="B59" s="99" t="s">
        <v>1215</v>
      </c>
      <c r="D59" s="99" t="s">
        <v>2067</v>
      </c>
      <c r="F59" s="99" t="s">
        <v>2069</v>
      </c>
      <c r="H59" s="90">
        <v>0</v>
      </c>
      <c r="I59" s="90">
        <v>680022</v>
      </c>
      <c r="J59" s="90">
        <v>673920</v>
      </c>
      <c r="K59" s="101">
        <f t="shared" si="2"/>
        <v>-6102</v>
      </c>
      <c r="L59" s="79"/>
      <c r="M59" s="79"/>
      <c r="N59" s="79"/>
      <c r="O59" s="79"/>
      <c r="P59" s="79"/>
      <c r="Q59" s="79"/>
      <c r="R59" s="79"/>
      <c r="S59" s="79"/>
    </row>
    <row r="60" spans="1:19">
      <c r="A60" s="99" t="s">
        <v>164</v>
      </c>
      <c r="B60" s="99" t="s">
        <v>1215</v>
      </c>
      <c r="D60" s="99" t="s">
        <v>2067</v>
      </c>
      <c r="F60" s="99" t="s">
        <v>2070</v>
      </c>
      <c r="H60" s="90">
        <v>0</v>
      </c>
      <c r="I60" s="90">
        <v>86436</v>
      </c>
      <c r="J60" s="90">
        <v>90720</v>
      </c>
      <c r="K60" s="101">
        <f t="shared" si="2"/>
        <v>4284</v>
      </c>
      <c r="L60" s="79"/>
      <c r="M60" s="79"/>
      <c r="N60" s="79"/>
      <c r="O60" s="79"/>
      <c r="P60" s="79"/>
      <c r="Q60" s="79"/>
      <c r="R60" s="79"/>
      <c r="S60" s="79"/>
    </row>
    <row r="61" spans="1:19">
      <c r="A61" s="99" t="s">
        <v>164</v>
      </c>
      <c r="B61" s="99" t="s">
        <v>1215</v>
      </c>
      <c r="D61" s="99" t="s">
        <v>2067</v>
      </c>
      <c r="F61" s="99" t="s">
        <v>2071</v>
      </c>
      <c r="H61" s="90">
        <v>0</v>
      </c>
      <c r="I61" s="90">
        <v>67032</v>
      </c>
      <c r="J61" s="90">
        <v>64800</v>
      </c>
      <c r="K61" s="101">
        <f t="shared" si="2"/>
        <v>-2232</v>
      </c>
      <c r="L61" s="79"/>
      <c r="M61" s="79"/>
      <c r="N61" s="79"/>
      <c r="O61" s="79"/>
      <c r="P61" s="79"/>
      <c r="Q61" s="79"/>
      <c r="R61" s="79"/>
      <c r="S61" s="79"/>
    </row>
    <row r="62" spans="1:19">
      <c r="H62" s="103">
        <f>SUM(H1:H61)</f>
        <v>43482822.079999998</v>
      </c>
      <c r="I62" s="103">
        <f>SUM(I1:I61)</f>
        <v>46687161</v>
      </c>
      <c r="J62" s="103">
        <f>SUM(J2:J61)</f>
        <v>47056603</v>
      </c>
      <c r="K62" s="94">
        <f>+J62-I62</f>
        <v>369442</v>
      </c>
      <c r="L62" s="79"/>
      <c r="M62" s="79"/>
      <c r="N62" s="79"/>
      <c r="O62" s="79"/>
      <c r="P62" s="79"/>
      <c r="Q62" s="79"/>
      <c r="R62" s="79"/>
      <c r="S62" s="79"/>
    </row>
    <row r="63" spans="1:19">
      <c r="A63" s="104" t="s">
        <v>164</v>
      </c>
      <c r="B63" s="104" t="s">
        <v>165</v>
      </c>
      <c r="C63" s="104" t="s">
        <v>166</v>
      </c>
      <c r="D63" s="104" t="s">
        <v>167</v>
      </c>
      <c r="E63" s="104" t="s">
        <v>168</v>
      </c>
      <c r="F63" s="104" t="s">
        <v>266</v>
      </c>
      <c r="G63" s="104" t="s">
        <v>267</v>
      </c>
      <c r="H63" s="105">
        <v>1417591.49</v>
      </c>
      <c r="I63" s="105">
        <v>2145716</v>
      </c>
      <c r="J63" s="90">
        <v>2073155</v>
      </c>
      <c r="K63" s="79"/>
      <c r="L63" s="79"/>
      <c r="M63" s="79"/>
      <c r="N63" s="79"/>
      <c r="O63" s="79"/>
      <c r="P63" s="79"/>
      <c r="Q63" s="79"/>
      <c r="R63" s="79"/>
      <c r="S63" s="79"/>
    </row>
    <row r="64" spans="1:19">
      <c r="A64" s="104" t="s">
        <v>164</v>
      </c>
      <c r="B64" s="104" t="s">
        <v>165</v>
      </c>
      <c r="C64" s="104" t="s">
        <v>166</v>
      </c>
      <c r="D64" s="104" t="s">
        <v>167</v>
      </c>
      <c r="E64" s="104" t="s">
        <v>168</v>
      </c>
      <c r="F64" s="104" t="s">
        <v>268</v>
      </c>
      <c r="G64" s="104" t="s">
        <v>269</v>
      </c>
      <c r="H64" s="105">
        <v>767624.38</v>
      </c>
      <c r="I64" s="105">
        <v>1706595</v>
      </c>
      <c r="J64" s="90">
        <v>1729873</v>
      </c>
      <c r="K64" s="79"/>
      <c r="L64" s="79"/>
      <c r="M64" s="79"/>
      <c r="N64" s="79"/>
      <c r="O64" s="79"/>
      <c r="P64" s="79"/>
      <c r="Q64" s="79"/>
      <c r="R64" s="79"/>
      <c r="S64" s="79"/>
    </row>
    <row r="65" spans="1:19">
      <c r="A65" s="104" t="s">
        <v>164</v>
      </c>
      <c r="B65" s="104" t="s">
        <v>165</v>
      </c>
      <c r="C65" s="104" t="s">
        <v>166</v>
      </c>
      <c r="D65" s="104" t="s">
        <v>167</v>
      </c>
      <c r="E65" s="104" t="s">
        <v>168</v>
      </c>
      <c r="F65" s="104" t="s">
        <v>270</v>
      </c>
      <c r="G65" s="104" t="s">
        <v>271</v>
      </c>
      <c r="H65" s="105">
        <v>4076314.5</v>
      </c>
      <c r="I65" s="105">
        <v>0</v>
      </c>
      <c r="K65" s="79"/>
      <c r="L65" s="79"/>
      <c r="M65" s="79"/>
      <c r="N65" s="79"/>
      <c r="O65" s="79"/>
      <c r="P65" s="79"/>
      <c r="Q65" s="79"/>
      <c r="R65" s="79"/>
      <c r="S65" s="79"/>
    </row>
    <row r="66" spans="1:19">
      <c r="A66" s="106" t="s">
        <v>164</v>
      </c>
      <c r="B66" s="106" t="s">
        <v>165</v>
      </c>
      <c r="C66" s="106" t="s">
        <v>166</v>
      </c>
      <c r="D66" s="106" t="s">
        <v>167</v>
      </c>
      <c r="E66" s="106" t="s">
        <v>168</v>
      </c>
      <c r="F66" s="106" t="s">
        <v>272</v>
      </c>
      <c r="G66" s="106" t="s">
        <v>273</v>
      </c>
      <c r="H66" s="107">
        <v>30350</v>
      </c>
      <c r="I66" s="107"/>
      <c r="J66" s="90">
        <v>39000</v>
      </c>
      <c r="K66" s="79"/>
      <c r="L66" s="79"/>
      <c r="M66" s="79"/>
      <c r="N66" s="79"/>
      <c r="O66" s="79"/>
      <c r="P66" s="79"/>
      <c r="Q66" s="79"/>
      <c r="R66" s="79"/>
      <c r="S66" s="79"/>
    </row>
    <row r="67" spans="1:19">
      <c r="A67" s="106" t="s">
        <v>164</v>
      </c>
      <c r="B67" s="106" t="s">
        <v>165</v>
      </c>
      <c r="C67" s="106" t="s">
        <v>166</v>
      </c>
      <c r="D67" s="106" t="s">
        <v>167</v>
      </c>
      <c r="E67" s="106" t="s">
        <v>168</v>
      </c>
      <c r="F67" s="106" t="s">
        <v>274</v>
      </c>
      <c r="G67" s="106" t="s">
        <v>275</v>
      </c>
      <c r="H67" s="107">
        <v>172.56</v>
      </c>
      <c r="I67" s="107"/>
      <c r="J67" s="90">
        <v>100</v>
      </c>
      <c r="K67" s="79"/>
      <c r="L67" s="79"/>
      <c r="M67" s="79"/>
      <c r="N67" s="79"/>
      <c r="O67" s="79"/>
      <c r="P67" s="79"/>
      <c r="Q67" s="79"/>
      <c r="R67" s="79"/>
      <c r="S67" s="79"/>
    </row>
    <row r="68" spans="1:19">
      <c r="A68" s="106" t="s">
        <v>164</v>
      </c>
      <c r="B68" s="106" t="s">
        <v>165</v>
      </c>
      <c r="C68" s="106" t="s">
        <v>166</v>
      </c>
      <c r="D68" s="106" t="s">
        <v>167</v>
      </c>
      <c r="E68" s="106" t="s">
        <v>168</v>
      </c>
      <c r="F68" s="106" t="s">
        <v>276</v>
      </c>
      <c r="G68" s="106" t="s">
        <v>277</v>
      </c>
      <c r="H68" s="107">
        <v>191053.15</v>
      </c>
      <c r="I68" s="107"/>
      <c r="J68" s="90">
        <v>125000</v>
      </c>
      <c r="K68" s="79"/>
      <c r="L68" s="79"/>
      <c r="M68" s="79"/>
      <c r="N68" s="79"/>
      <c r="O68" s="79"/>
      <c r="P68" s="79"/>
      <c r="Q68" s="79"/>
      <c r="R68" s="79"/>
      <c r="S68" s="79"/>
    </row>
    <row r="69" spans="1:19">
      <c r="A69" s="106" t="s">
        <v>164</v>
      </c>
      <c r="B69" s="106" t="s">
        <v>165</v>
      </c>
      <c r="C69" s="106" t="s">
        <v>166</v>
      </c>
      <c r="D69" s="106" t="s">
        <v>167</v>
      </c>
      <c r="E69" s="106" t="s">
        <v>168</v>
      </c>
      <c r="F69" s="106" t="s">
        <v>278</v>
      </c>
      <c r="G69" s="106" t="s">
        <v>279</v>
      </c>
      <c r="H69" s="107">
        <v>54050</v>
      </c>
      <c r="I69" s="107"/>
      <c r="J69" s="90">
        <v>40000</v>
      </c>
      <c r="K69" s="79"/>
      <c r="L69" s="79"/>
      <c r="M69" s="79"/>
      <c r="N69" s="79"/>
      <c r="O69" s="79"/>
      <c r="P69" s="79"/>
      <c r="Q69" s="79"/>
      <c r="R69" s="79"/>
      <c r="S69" s="79"/>
    </row>
    <row r="70" spans="1:19">
      <c r="A70" s="106" t="s">
        <v>164</v>
      </c>
      <c r="B70" s="106" t="s">
        <v>165</v>
      </c>
      <c r="C70" s="106" t="s">
        <v>166</v>
      </c>
      <c r="D70" s="106" t="s">
        <v>167</v>
      </c>
      <c r="E70" s="106" t="s">
        <v>168</v>
      </c>
      <c r="F70" s="106" t="s">
        <v>280</v>
      </c>
      <c r="G70" s="106" t="s">
        <v>281</v>
      </c>
      <c r="H70" s="107">
        <v>15385</v>
      </c>
      <c r="I70" s="107"/>
      <c r="J70" s="90">
        <v>14000</v>
      </c>
      <c r="K70" s="79"/>
      <c r="L70" s="79"/>
      <c r="M70" s="79"/>
      <c r="N70" s="79"/>
      <c r="O70" s="79"/>
      <c r="P70" s="79"/>
      <c r="Q70" s="79"/>
      <c r="R70" s="79"/>
      <c r="S70" s="79"/>
    </row>
    <row r="71" spans="1:19">
      <c r="A71" s="106" t="s">
        <v>164</v>
      </c>
      <c r="B71" s="106" t="s">
        <v>165</v>
      </c>
      <c r="C71" s="106" t="s">
        <v>166</v>
      </c>
      <c r="D71" s="106" t="s">
        <v>167</v>
      </c>
      <c r="E71" s="106" t="s">
        <v>168</v>
      </c>
      <c r="F71" s="106" t="s">
        <v>282</v>
      </c>
      <c r="G71" s="106" t="s">
        <v>283</v>
      </c>
      <c r="H71" s="107">
        <v>3162.5</v>
      </c>
      <c r="I71" s="107"/>
      <c r="J71" s="90">
        <v>3000</v>
      </c>
      <c r="K71" s="79"/>
      <c r="L71" s="79"/>
      <c r="M71" s="79"/>
      <c r="N71" s="79"/>
      <c r="O71" s="79"/>
      <c r="P71" s="79"/>
      <c r="Q71" s="79"/>
      <c r="R71" s="79"/>
      <c r="S71" s="79"/>
    </row>
    <row r="72" spans="1:19">
      <c r="A72" s="106" t="s">
        <v>164</v>
      </c>
      <c r="B72" s="106" t="s">
        <v>165</v>
      </c>
      <c r="C72" s="106" t="s">
        <v>166</v>
      </c>
      <c r="D72" s="106" t="s">
        <v>167</v>
      </c>
      <c r="E72" s="106" t="s">
        <v>168</v>
      </c>
      <c r="F72" s="106" t="s">
        <v>284</v>
      </c>
      <c r="G72" s="106" t="s">
        <v>285</v>
      </c>
      <c r="H72" s="107">
        <v>1250</v>
      </c>
      <c r="I72" s="107"/>
      <c r="J72" s="90">
        <v>2400</v>
      </c>
      <c r="K72" s="79"/>
      <c r="L72" s="79"/>
      <c r="M72" s="79"/>
      <c r="N72" s="79"/>
      <c r="O72" s="79"/>
      <c r="P72" s="79"/>
      <c r="Q72" s="79"/>
      <c r="R72" s="79"/>
      <c r="S72" s="79"/>
    </row>
    <row r="73" spans="1:19">
      <c r="A73" s="106" t="s">
        <v>164</v>
      </c>
      <c r="B73" s="106" t="s">
        <v>165</v>
      </c>
      <c r="C73" s="106" t="s">
        <v>166</v>
      </c>
      <c r="D73" s="106" t="s">
        <v>167</v>
      </c>
      <c r="E73" s="106" t="s">
        <v>168</v>
      </c>
      <c r="F73" s="106" t="s">
        <v>286</v>
      </c>
      <c r="G73" s="106" t="s">
        <v>287</v>
      </c>
      <c r="H73" s="107">
        <v>3450</v>
      </c>
      <c r="I73" s="107"/>
      <c r="J73" s="90">
        <v>3000</v>
      </c>
      <c r="K73" s="79"/>
      <c r="L73" s="79"/>
      <c r="M73" s="79"/>
      <c r="N73" s="79"/>
      <c r="O73" s="79"/>
      <c r="P73" s="79"/>
      <c r="Q73" s="79"/>
      <c r="R73" s="79"/>
      <c r="S73" s="79"/>
    </row>
    <row r="74" spans="1:19">
      <c r="A74" s="106" t="s">
        <v>164</v>
      </c>
      <c r="B74" s="106" t="s">
        <v>165</v>
      </c>
      <c r="C74" s="106" t="s">
        <v>166</v>
      </c>
      <c r="D74" s="106" t="s">
        <v>167</v>
      </c>
      <c r="E74" s="106" t="s">
        <v>168</v>
      </c>
      <c r="F74" s="106" t="s">
        <v>288</v>
      </c>
      <c r="G74" s="106" t="s">
        <v>289</v>
      </c>
      <c r="H74" s="107">
        <v>7550</v>
      </c>
      <c r="I74" s="107"/>
      <c r="J74" s="90">
        <v>3000</v>
      </c>
      <c r="K74" s="94">
        <f>SUM(J66:J74)</f>
        <v>229500</v>
      </c>
      <c r="L74" s="79"/>
      <c r="M74" s="79"/>
      <c r="N74" s="79"/>
      <c r="O74" s="79"/>
      <c r="P74" s="79"/>
      <c r="Q74" s="79"/>
      <c r="R74" s="79"/>
      <c r="S74" s="79"/>
    </row>
    <row r="75" spans="1:19">
      <c r="A75" s="104" t="s">
        <v>164</v>
      </c>
      <c r="B75" s="104" t="s">
        <v>165</v>
      </c>
      <c r="C75" s="104" t="s">
        <v>166</v>
      </c>
      <c r="D75" s="104" t="s">
        <v>167</v>
      </c>
      <c r="E75" s="104" t="s">
        <v>168</v>
      </c>
      <c r="F75" s="104" t="s">
        <v>219</v>
      </c>
      <c r="G75" s="104" t="s">
        <v>220</v>
      </c>
      <c r="H75" s="105">
        <v>190966.3</v>
      </c>
      <c r="I75" s="105">
        <v>120000</v>
      </c>
      <c r="J75" s="90">
        <v>120000</v>
      </c>
      <c r="K75" s="79"/>
      <c r="L75" s="79"/>
      <c r="M75" s="79"/>
      <c r="N75" s="79"/>
      <c r="O75" s="79"/>
      <c r="P75" s="79"/>
      <c r="Q75" s="79"/>
      <c r="R75" s="79"/>
      <c r="S75" s="79"/>
    </row>
    <row r="76" spans="1:19">
      <c r="A76" s="104" t="s">
        <v>164</v>
      </c>
      <c r="B76" s="104" t="s">
        <v>290</v>
      </c>
      <c r="C76" s="104" t="s">
        <v>291</v>
      </c>
      <c r="D76" s="104" t="s">
        <v>292</v>
      </c>
      <c r="E76" s="104" t="s">
        <v>293</v>
      </c>
      <c r="F76" s="104" t="s">
        <v>294</v>
      </c>
      <c r="G76" s="104" t="s">
        <v>295</v>
      </c>
      <c r="H76" s="105">
        <v>294435.8</v>
      </c>
      <c r="I76" s="105">
        <v>0</v>
      </c>
      <c r="J76" s="90">
        <v>0</v>
      </c>
      <c r="K76" s="79"/>
      <c r="L76" s="79"/>
      <c r="M76" s="79"/>
      <c r="N76" s="79"/>
      <c r="O76" s="79"/>
      <c r="P76" s="79"/>
      <c r="Q76" s="79"/>
      <c r="R76" s="79"/>
      <c r="S76" s="79"/>
    </row>
    <row r="77" spans="1:19">
      <c r="A77" s="104" t="s">
        <v>164</v>
      </c>
      <c r="B77" s="104" t="s">
        <v>296</v>
      </c>
      <c r="C77" s="104" t="s">
        <v>297</v>
      </c>
      <c r="D77" s="104" t="s">
        <v>298</v>
      </c>
      <c r="E77" s="104" t="s">
        <v>299</v>
      </c>
      <c r="F77" s="104" t="s">
        <v>171</v>
      </c>
      <c r="G77" s="104" t="s">
        <v>172</v>
      </c>
      <c r="H77" s="105">
        <v>1000000</v>
      </c>
      <c r="I77" s="105"/>
      <c r="K77" s="79"/>
      <c r="L77" s="79"/>
      <c r="M77" s="79"/>
      <c r="N77" s="79"/>
      <c r="O77" s="79"/>
      <c r="P77" s="79"/>
      <c r="Q77" s="79"/>
      <c r="R77" s="79"/>
      <c r="S77" s="79"/>
    </row>
    <row r="78" spans="1:19">
      <c r="A78" s="104" t="s">
        <v>164</v>
      </c>
      <c r="B78" s="104" t="s">
        <v>296</v>
      </c>
      <c r="C78" s="104" t="s">
        <v>297</v>
      </c>
      <c r="D78" s="104" t="s">
        <v>298</v>
      </c>
      <c r="E78" s="104" t="s">
        <v>299</v>
      </c>
      <c r="F78" s="104" t="s">
        <v>294</v>
      </c>
      <c r="G78" s="104" t="s">
        <v>295</v>
      </c>
      <c r="H78" s="105">
        <v>1257288.1100000001</v>
      </c>
      <c r="I78" s="105">
        <v>0</v>
      </c>
      <c r="J78" s="90">
        <v>0</v>
      </c>
      <c r="K78" s="79"/>
      <c r="L78" s="79"/>
      <c r="M78" s="79"/>
      <c r="N78" s="79"/>
      <c r="O78" s="79"/>
      <c r="P78" s="79"/>
      <c r="Q78" s="79"/>
      <c r="R78" s="79"/>
      <c r="S78" s="79"/>
    </row>
    <row r="79" spans="1:19">
      <c r="H79" s="90">
        <f>SUM(H63:H78)</f>
        <v>9310643.7899999991</v>
      </c>
      <c r="I79" s="90">
        <f>SUM(I63:I78)</f>
        <v>3972311</v>
      </c>
      <c r="J79" s="90">
        <f>SUM(J63:J78)</f>
        <v>4152528</v>
      </c>
    </row>
    <row r="80" spans="1:19" s="149" customFormat="1">
      <c r="A80" s="147" t="s">
        <v>164</v>
      </c>
      <c r="B80" s="147" t="s">
        <v>165</v>
      </c>
      <c r="C80" s="147"/>
      <c r="D80" s="147" t="s">
        <v>167</v>
      </c>
      <c r="E80" s="147"/>
      <c r="F80" s="147" t="s">
        <v>169</v>
      </c>
      <c r="G80" s="147" t="s">
        <v>260</v>
      </c>
      <c r="H80" s="148">
        <f>-H50</f>
        <v>4129564</v>
      </c>
      <c r="I80" s="148">
        <f>-I50</f>
        <v>4003574</v>
      </c>
      <c r="J80" s="148">
        <f>-J50</f>
        <v>3962489</v>
      </c>
    </row>
    <row r="81" spans="1:10" s="149" customFormat="1">
      <c r="A81" s="147" t="s">
        <v>164</v>
      </c>
      <c r="B81" s="147" t="s">
        <v>165</v>
      </c>
      <c r="C81" s="147"/>
      <c r="D81" s="147"/>
      <c r="E81" s="147"/>
      <c r="F81" s="147"/>
      <c r="G81" s="147" t="s">
        <v>261</v>
      </c>
      <c r="H81" s="148">
        <f t="shared" ref="H81" si="3">-H51</f>
        <v>46550</v>
      </c>
      <c r="I81" s="148">
        <f t="shared" ref="I81:I87" si="4">-I51</f>
        <v>34912</v>
      </c>
      <c r="J81" s="148">
        <f t="shared" ref="J81" si="5">-J51</f>
        <v>34912</v>
      </c>
    </row>
    <row r="82" spans="1:10" s="149" customFormat="1">
      <c r="A82" s="147"/>
      <c r="B82" s="147"/>
      <c r="C82" s="147"/>
      <c r="D82" s="147"/>
      <c r="E82" s="147"/>
      <c r="F82" s="147"/>
      <c r="G82" s="147" t="s">
        <v>262</v>
      </c>
      <c r="H82" s="148">
        <f t="shared" ref="H82" si="6">-H52</f>
        <v>415626</v>
      </c>
      <c r="I82" s="148">
        <f t="shared" si="4"/>
        <v>311720</v>
      </c>
      <c r="J82" s="148">
        <f t="shared" ref="J82" si="7">-J52</f>
        <v>311720</v>
      </c>
    </row>
    <row r="83" spans="1:10" s="149" customFormat="1">
      <c r="A83" s="147"/>
      <c r="B83" s="147"/>
      <c r="C83" s="147"/>
      <c r="D83" s="147"/>
      <c r="E83" s="147"/>
      <c r="F83" s="147"/>
      <c r="G83" s="147" t="s">
        <v>263</v>
      </c>
      <c r="H83" s="148">
        <f t="shared" ref="H83" si="8">-H53</f>
        <v>134270</v>
      </c>
      <c r="I83" s="148">
        <f t="shared" si="4"/>
        <v>134270</v>
      </c>
      <c r="J83" s="148">
        <f t="shared" ref="J83" si="9">-J53</f>
        <v>134270</v>
      </c>
    </row>
    <row r="84" spans="1:10" s="149" customFormat="1">
      <c r="A84" s="147"/>
      <c r="B84" s="147"/>
      <c r="C84" s="147"/>
      <c r="D84" s="147"/>
      <c r="E84" s="147"/>
      <c r="F84" s="147"/>
      <c r="G84" s="147" t="s">
        <v>264</v>
      </c>
      <c r="H84" s="148">
        <f t="shared" ref="H84" si="10">-H54</f>
        <v>53426</v>
      </c>
      <c r="I84" s="148">
        <f t="shared" si="4"/>
        <v>40070</v>
      </c>
      <c r="J84" s="148">
        <f t="shared" ref="J84" si="11">-J54</f>
        <v>40070</v>
      </c>
    </row>
    <row r="85" spans="1:10" s="149" customFormat="1">
      <c r="A85" s="147"/>
      <c r="B85" s="147"/>
      <c r="C85" s="147"/>
      <c r="D85" s="147"/>
      <c r="E85" s="147"/>
      <c r="F85" s="147"/>
      <c r="G85" s="147" t="s">
        <v>265</v>
      </c>
      <c r="H85" s="148">
        <f t="shared" ref="H85" si="12">-H55</f>
        <v>245992</v>
      </c>
      <c r="I85" s="148">
        <f t="shared" si="4"/>
        <v>184494</v>
      </c>
      <c r="J85" s="148">
        <f t="shared" ref="J85" si="13">-J55</f>
        <v>184494</v>
      </c>
    </row>
    <row r="86" spans="1:10" s="149" customFormat="1">
      <c r="A86" s="147"/>
      <c r="B86" s="147"/>
      <c r="C86" s="147"/>
      <c r="D86" s="147"/>
      <c r="E86" s="147"/>
      <c r="F86" s="147"/>
      <c r="G86" s="147" t="s">
        <v>2065</v>
      </c>
      <c r="H86" s="148">
        <f t="shared" ref="H86" si="14">-H56</f>
        <v>0</v>
      </c>
      <c r="I86" s="148">
        <f t="shared" si="4"/>
        <v>1000000</v>
      </c>
      <c r="J86" s="148">
        <f t="shared" ref="J86" si="15">-J56</f>
        <v>1000000</v>
      </c>
    </row>
    <row r="87" spans="1:10" s="149" customFormat="1">
      <c r="A87" s="147"/>
      <c r="B87" s="147"/>
      <c r="C87" s="147"/>
      <c r="D87" s="147"/>
      <c r="E87" s="147"/>
      <c r="F87" s="147"/>
      <c r="G87" s="147" t="s">
        <v>2072</v>
      </c>
      <c r="H87" s="148">
        <f t="shared" ref="H87" si="16">-H57</f>
        <v>0</v>
      </c>
      <c r="I87" s="148">
        <f t="shared" si="4"/>
        <v>61588</v>
      </c>
      <c r="J87" s="148">
        <f t="shared" ref="J87" si="17">-J57</f>
        <v>61588</v>
      </c>
    </row>
    <row r="88" spans="1:10" s="149" customFormat="1">
      <c r="A88" s="147"/>
      <c r="B88" s="147"/>
      <c r="C88" s="147"/>
      <c r="D88" s="147"/>
      <c r="E88" s="147"/>
      <c r="F88" s="147"/>
      <c r="G88" s="147" t="s">
        <v>2074</v>
      </c>
      <c r="H88" s="150">
        <f>SUM(H80:H87)</f>
        <v>5025428</v>
      </c>
      <c r="I88" s="150">
        <f>SUM(I80:I87)</f>
        <v>5770628</v>
      </c>
      <c r="J88" s="150">
        <f>SUM(J80:J87)</f>
        <v>5729543</v>
      </c>
    </row>
    <row r="89" spans="1:10">
      <c r="G89" s="99" t="s">
        <v>2075</v>
      </c>
      <c r="H89" s="90">
        <f>+H62+H79+H88</f>
        <v>57818893.869999997</v>
      </c>
      <c r="I89" s="90">
        <f>+I62+I79+I88</f>
        <v>56430100</v>
      </c>
      <c r="J89" s="90">
        <f>+J62+J79+J88</f>
        <v>56938674</v>
      </c>
    </row>
    <row r="91" spans="1:10">
      <c r="I91" s="90">
        <v>35240414</v>
      </c>
    </row>
    <row r="92" spans="1:10">
      <c r="I92" s="90">
        <v>19602086</v>
      </c>
    </row>
    <row r="93" spans="1:10">
      <c r="I93" s="90">
        <v>1587600</v>
      </c>
    </row>
    <row r="94" spans="1:10" ht="15.75" thickBot="1">
      <c r="H94" s="145">
        <f>SUM(H91:H93)</f>
        <v>0</v>
      </c>
      <c r="I94" s="145">
        <f>SUM(I91:I93)</f>
        <v>56430100</v>
      </c>
      <c r="J94" s="145">
        <f>SUM(J91:J93)</f>
        <v>0</v>
      </c>
    </row>
    <row r="96" spans="1:10">
      <c r="H96" s="90">
        <f>+H94-H89</f>
        <v>-57818893.869999997</v>
      </c>
      <c r="I96" s="90">
        <f>+I94-I89</f>
        <v>0</v>
      </c>
      <c r="J96" s="90">
        <f>+J94-J89</f>
        <v>-56938674</v>
      </c>
    </row>
  </sheetData>
  <pageMargins left="0.7" right="0.7" top="0.75" bottom="0.75" header="0.3" footer="0.3"/>
  <pageSetup scale="4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9" sqref="B9"/>
    </sheetView>
  </sheetViews>
  <sheetFormatPr defaultRowHeight="15"/>
  <cols>
    <col min="1" max="1" width="13.140625" customWidth="1"/>
    <col min="2" max="2" width="25.28515625" customWidth="1"/>
  </cols>
  <sheetData>
    <row r="1" spans="1:2">
      <c r="A1" s="119" t="s">
        <v>316</v>
      </c>
      <c r="B1" s="79" t="s">
        <v>1255</v>
      </c>
    </row>
    <row r="2" spans="1:2">
      <c r="A2" s="119" t="s">
        <v>317</v>
      </c>
      <c r="B2" s="79" t="s">
        <v>1255</v>
      </c>
    </row>
    <row r="3" spans="1:2">
      <c r="A3" s="119" t="s">
        <v>313</v>
      </c>
      <c r="B3" s="79" t="s">
        <v>1255</v>
      </c>
    </row>
    <row r="5" spans="1:2">
      <c r="A5" s="119" t="s">
        <v>1246</v>
      </c>
      <c r="B5" t="s">
        <v>1254</v>
      </c>
    </row>
    <row r="6" spans="1:2">
      <c r="A6" s="120" t="s">
        <v>1249</v>
      </c>
      <c r="B6" s="94">
        <v>1015869</v>
      </c>
    </row>
    <row r="7" spans="1:2">
      <c r="A7" s="120" t="s">
        <v>1250</v>
      </c>
      <c r="B7" s="94">
        <v>3900785</v>
      </c>
    </row>
    <row r="8" spans="1:2">
      <c r="A8" s="120" t="s">
        <v>1251</v>
      </c>
      <c r="B8" s="94">
        <v>3762774</v>
      </c>
    </row>
    <row r="9" spans="1:2">
      <c r="A9" s="120" t="s">
        <v>1252</v>
      </c>
      <c r="B9" s="94">
        <v>1895281</v>
      </c>
    </row>
    <row r="10" spans="1:2">
      <c r="A10" s="120" t="s">
        <v>1253</v>
      </c>
      <c r="B10" s="94">
        <v>427804</v>
      </c>
    </row>
    <row r="11" spans="1:2">
      <c r="A11" s="120" t="s">
        <v>1247</v>
      </c>
      <c r="B11" s="94"/>
    </row>
    <row r="12" spans="1:2">
      <c r="A12" s="120" t="s">
        <v>1248</v>
      </c>
      <c r="B12" s="94">
        <v>11002513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5"/>
  <sheetViews>
    <sheetView tabSelected="1" topLeftCell="A46" workbookViewId="0">
      <selection activeCell="F8" sqref="F8"/>
    </sheetView>
  </sheetViews>
  <sheetFormatPr defaultRowHeight="15"/>
  <cols>
    <col min="1" max="1" width="16.140625" style="79" bestFit="1" customWidth="1"/>
    <col min="2" max="2" width="6" style="79" bestFit="1" customWidth="1"/>
    <col min="3" max="3" width="6.28515625" style="79" bestFit="1" customWidth="1"/>
    <col min="4" max="4" width="5.42578125" style="102" bestFit="1" customWidth="1"/>
    <col min="5" max="5" width="5.42578125" style="102" customWidth="1"/>
    <col min="6" max="6" width="36.42578125" style="79" bestFit="1" customWidth="1"/>
    <col min="7" max="8" width="6" style="79" bestFit="1" customWidth="1"/>
    <col min="9" max="9" width="33" style="79" hidden="1" customWidth="1"/>
    <col min="10" max="10" width="7" style="79" bestFit="1" customWidth="1"/>
    <col min="11" max="11" width="34" style="79" hidden="1" customWidth="1"/>
    <col min="12" max="12" width="14.28515625" style="116" bestFit="1" customWidth="1"/>
    <col min="13" max="13" width="18.5703125" style="116" bestFit="1" customWidth="1"/>
    <col min="14" max="14" width="19.140625" style="117" bestFit="1" customWidth="1"/>
    <col min="15" max="16384" width="9.140625" style="79"/>
  </cols>
  <sheetData>
    <row r="1" spans="1:14" s="111" customFormat="1">
      <c r="A1" s="111" t="s">
        <v>311</v>
      </c>
      <c r="B1" s="111" t="s">
        <v>312</v>
      </c>
      <c r="C1" s="111" t="s">
        <v>313</v>
      </c>
      <c r="D1" s="112" t="s">
        <v>314</v>
      </c>
      <c r="E1" s="112" t="s">
        <v>1245</v>
      </c>
      <c r="F1" s="111" t="s">
        <v>315</v>
      </c>
      <c r="G1" s="111" t="s">
        <v>316</v>
      </c>
      <c r="H1" s="111" t="s">
        <v>317</v>
      </c>
      <c r="I1" s="111" t="s">
        <v>318</v>
      </c>
      <c r="J1" s="111" t="s">
        <v>319</v>
      </c>
      <c r="K1" s="111" t="s">
        <v>320</v>
      </c>
      <c r="L1" s="113" t="s">
        <v>321</v>
      </c>
      <c r="M1" s="113" t="s">
        <v>322</v>
      </c>
      <c r="N1" s="114" t="s">
        <v>323</v>
      </c>
    </row>
    <row r="2" spans="1:14">
      <c r="A2" s="79" t="s">
        <v>324</v>
      </c>
      <c r="B2" s="79" t="s">
        <v>165</v>
      </c>
      <c r="C2" s="79" t="s">
        <v>325</v>
      </c>
      <c r="D2" s="115" t="s">
        <v>326</v>
      </c>
      <c r="E2" s="115" t="str">
        <f>LEFT(D2,1)</f>
        <v>1</v>
      </c>
      <c r="F2" s="79" t="s">
        <v>327</v>
      </c>
      <c r="G2" s="79" t="s">
        <v>328</v>
      </c>
      <c r="H2" s="79" t="s">
        <v>329</v>
      </c>
      <c r="I2" s="79" t="s">
        <v>330</v>
      </c>
      <c r="J2" s="79" t="s">
        <v>331</v>
      </c>
      <c r="K2" s="79" t="s">
        <v>332</v>
      </c>
      <c r="L2" s="116">
        <v>242046</v>
      </c>
      <c r="M2" s="116">
        <v>65945</v>
      </c>
      <c r="N2" s="117">
        <v>27.24</v>
      </c>
    </row>
    <row r="3" spans="1:14">
      <c r="A3" s="79" t="s">
        <v>333</v>
      </c>
      <c r="B3" s="79" t="s">
        <v>165</v>
      </c>
      <c r="C3" s="79" t="s">
        <v>334</v>
      </c>
      <c r="D3" s="115" t="s">
        <v>335</v>
      </c>
      <c r="E3" s="115" t="str">
        <f t="shared" ref="E3:E66" si="0">LEFT(D3,1)</f>
        <v>1</v>
      </c>
      <c r="F3" s="79" t="s">
        <v>336</v>
      </c>
      <c r="G3" s="79" t="s">
        <v>328</v>
      </c>
      <c r="H3" s="79" t="s">
        <v>337</v>
      </c>
      <c r="I3" s="79" t="s">
        <v>338</v>
      </c>
      <c r="J3" s="79" t="s">
        <v>331</v>
      </c>
      <c r="K3" s="79" t="s">
        <v>332</v>
      </c>
      <c r="L3" s="116">
        <v>45000</v>
      </c>
      <c r="M3" s="116">
        <v>3127</v>
      </c>
      <c r="N3" s="117">
        <v>6.95</v>
      </c>
    </row>
    <row r="4" spans="1:14">
      <c r="A4" s="79" t="s">
        <v>339</v>
      </c>
      <c r="B4" s="79" t="s">
        <v>165</v>
      </c>
      <c r="C4" s="79" t="s">
        <v>334</v>
      </c>
      <c r="D4" s="115" t="s">
        <v>335</v>
      </c>
      <c r="E4" s="115" t="str">
        <f t="shared" si="0"/>
        <v>1</v>
      </c>
      <c r="F4" s="79" t="s">
        <v>336</v>
      </c>
      <c r="G4" s="79" t="s">
        <v>328</v>
      </c>
      <c r="H4" s="79" t="s">
        <v>337</v>
      </c>
      <c r="I4" s="79" t="s">
        <v>338</v>
      </c>
      <c r="J4" s="79" t="s">
        <v>331</v>
      </c>
      <c r="K4" s="79" t="s">
        <v>332</v>
      </c>
      <c r="L4" s="116">
        <v>43649</v>
      </c>
      <c r="M4" s="116">
        <v>12155</v>
      </c>
      <c r="N4" s="117">
        <v>27.85</v>
      </c>
    </row>
    <row r="5" spans="1:14">
      <c r="A5" s="79" t="s">
        <v>340</v>
      </c>
      <c r="B5" s="79" t="s">
        <v>165</v>
      </c>
      <c r="C5" s="79" t="s">
        <v>334</v>
      </c>
      <c r="D5" s="115" t="s">
        <v>335</v>
      </c>
      <c r="E5" s="115" t="str">
        <f t="shared" si="0"/>
        <v>1</v>
      </c>
      <c r="F5" s="79" t="s">
        <v>336</v>
      </c>
      <c r="G5" s="79" t="s">
        <v>341</v>
      </c>
      <c r="H5" s="79" t="s">
        <v>337</v>
      </c>
      <c r="I5" s="79" t="s">
        <v>338</v>
      </c>
      <c r="J5" s="79" t="s">
        <v>331</v>
      </c>
      <c r="K5" s="79" t="s">
        <v>332</v>
      </c>
      <c r="L5" s="116">
        <v>29117</v>
      </c>
      <c r="M5" s="116">
        <v>29117</v>
      </c>
      <c r="N5" s="117">
        <v>100</v>
      </c>
    </row>
    <row r="6" spans="1:14">
      <c r="A6" s="79" t="s">
        <v>342</v>
      </c>
      <c r="B6" s="79" t="s">
        <v>165</v>
      </c>
      <c r="C6" s="79" t="s">
        <v>334</v>
      </c>
      <c r="D6" s="115" t="s">
        <v>335</v>
      </c>
      <c r="E6" s="115" t="str">
        <f t="shared" si="0"/>
        <v>1</v>
      </c>
      <c r="F6" s="79" t="s">
        <v>336</v>
      </c>
      <c r="G6" s="79" t="s">
        <v>328</v>
      </c>
      <c r="H6" s="79" t="s">
        <v>337</v>
      </c>
      <c r="I6" s="79" t="s">
        <v>338</v>
      </c>
      <c r="J6" s="79" t="s">
        <v>331</v>
      </c>
      <c r="K6" s="79" t="s">
        <v>332</v>
      </c>
      <c r="L6" s="116">
        <v>39500</v>
      </c>
      <c r="M6" s="116">
        <v>39500</v>
      </c>
      <c r="N6" s="117">
        <v>100</v>
      </c>
    </row>
    <row r="7" spans="1:14">
      <c r="A7" s="79" t="s">
        <v>343</v>
      </c>
      <c r="B7" s="79" t="s">
        <v>165</v>
      </c>
      <c r="C7" s="79" t="s">
        <v>334</v>
      </c>
      <c r="D7" s="115" t="s">
        <v>335</v>
      </c>
      <c r="E7" s="115" t="str">
        <f t="shared" si="0"/>
        <v>1</v>
      </c>
      <c r="F7" s="79" t="s">
        <v>336</v>
      </c>
      <c r="G7" s="79" t="s">
        <v>328</v>
      </c>
      <c r="H7" s="79" t="s">
        <v>337</v>
      </c>
      <c r="I7" s="79" t="s">
        <v>338</v>
      </c>
      <c r="J7" s="79" t="s">
        <v>331</v>
      </c>
      <c r="K7" s="79" t="s">
        <v>332</v>
      </c>
      <c r="L7" s="116">
        <v>39780</v>
      </c>
      <c r="M7" s="116">
        <v>39780</v>
      </c>
      <c r="N7" s="117">
        <v>100</v>
      </c>
    </row>
    <row r="8" spans="1:14">
      <c r="A8" s="79" t="s">
        <v>344</v>
      </c>
      <c r="B8" s="79" t="s">
        <v>165</v>
      </c>
      <c r="C8" s="79" t="s">
        <v>334</v>
      </c>
      <c r="D8" s="115" t="s">
        <v>335</v>
      </c>
      <c r="E8" s="115" t="str">
        <f t="shared" si="0"/>
        <v>1</v>
      </c>
      <c r="F8" s="79" t="s">
        <v>336</v>
      </c>
      <c r="G8" s="79" t="s">
        <v>328</v>
      </c>
      <c r="H8" s="79" t="s">
        <v>337</v>
      </c>
      <c r="I8" s="79" t="s">
        <v>338</v>
      </c>
      <c r="J8" s="79" t="s">
        <v>331</v>
      </c>
      <c r="K8" s="79" t="s">
        <v>332</v>
      </c>
      <c r="L8" s="116">
        <v>42799</v>
      </c>
      <c r="M8" s="116">
        <v>42799</v>
      </c>
      <c r="N8" s="117">
        <v>100</v>
      </c>
    </row>
    <row r="9" spans="1:14">
      <c r="A9" s="79" t="s">
        <v>345</v>
      </c>
      <c r="B9" s="79" t="s">
        <v>165</v>
      </c>
      <c r="C9" s="79" t="s">
        <v>346</v>
      </c>
      <c r="D9" s="115" t="s">
        <v>347</v>
      </c>
      <c r="E9" s="115" t="str">
        <f t="shared" si="0"/>
        <v>3</v>
      </c>
      <c r="F9" s="79" t="s">
        <v>348</v>
      </c>
      <c r="G9" s="79" t="s">
        <v>341</v>
      </c>
      <c r="H9" s="79" t="s">
        <v>337</v>
      </c>
      <c r="I9" s="79" t="s">
        <v>338</v>
      </c>
      <c r="J9" s="79" t="s">
        <v>331</v>
      </c>
      <c r="K9" s="79" t="s">
        <v>332</v>
      </c>
      <c r="L9" s="116">
        <v>26000</v>
      </c>
      <c r="M9" s="116">
        <v>26000</v>
      </c>
      <c r="N9" s="117">
        <v>100</v>
      </c>
    </row>
    <row r="10" spans="1:14">
      <c r="A10" s="79" t="s">
        <v>349</v>
      </c>
      <c r="B10" s="79" t="s">
        <v>165</v>
      </c>
      <c r="C10" s="79" t="s">
        <v>346</v>
      </c>
      <c r="D10" s="115" t="s">
        <v>347</v>
      </c>
      <c r="E10" s="115" t="str">
        <f t="shared" si="0"/>
        <v>3</v>
      </c>
      <c r="F10" s="79" t="s">
        <v>348</v>
      </c>
      <c r="G10" s="79" t="s">
        <v>341</v>
      </c>
      <c r="H10" s="79" t="s">
        <v>337</v>
      </c>
      <c r="I10" s="79" t="s">
        <v>338</v>
      </c>
      <c r="J10" s="79" t="s">
        <v>331</v>
      </c>
      <c r="K10" s="79" t="s">
        <v>332</v>
      </c>
      <c r="L10" s="116">
        <v>28000</v>
      </c>
      <c r="M10" s="116">
        <v>28000</v>
      </c>
      <c r="N10" s="117">
        <v>100</v>
      </c>
    </row>
    <row r="11" spans="1:14">
      <c r="A11" s="79" t="s">
        <v>350</v>
      </c>
      <c r="B11" s="79" t="s">
        <v>165</v>
      </c>
      <c r="C11" s="79" t="s">
        <v>346</v>
      </c>
      <c r="D11" s="115" t="s">
        <v>347</v>
      </c>
      <c r="E11" s="115" t="str">
        <f t="shared" si="0"/>
        <v>3</v>
      </c>
      <c r="F11" s="79" t="s">
        <v>348</v>
      </c>
      <c r="G11" s="79" t="s">
        <v>328</v>
      </c>
      <c r="H11" s="79" t="s">
        <v>337</v>
      </c>
      <c r="I11" s="79" t="s">
        <v>338</v>
      </c>
      <c r="J11" s="79" t="s">
        <v>331</v>
      </c>
      <c r="K11" s="79" t="s">
        <v>332</v>
      </c>
      <c r="L11" s="116">
        <v>39776</v>
      </c>
      <c r="M11" s="116">
        <v>39776</v>
      </c>
      <c r="N11" s="117">
        <v>100</v>
      </c>
    </row>
    <row r="12" spans="1:14">
      <c r="A12" s="79" t="s">
        <v>351</v>
      </c>
      <c r="B12" s="79" t="s">
        <v>165</v>
      </c>
      <c r="C12" s="79" t="s">
        <v>346</v>
      </c>
      <c r="D12" s="115" t="s">
        <v>347</v>
      </c>
      <c r="E12" s="115" t="str">
        <f t="shared" si="0"/>
        <v>3</v>
      </c>
      <c r="F12" s="79" t="s">
        <v>348</v>
      </c>
      <c r="G12" s="79" t="s">
        <v>328</v>
      </c>
      <c r="H12" s="79" t="s">
        <v>337</v>
      </c>
      <c r="I12" s="79" t="s">
        <v>338</v>
      </c>
      <c r="J12" s="79" t="s">
        <v>331</v>
      </c>
      <c r="K12" s="79" t="s">
        <v>332</v>
      </c>
      <c r="L12" s="116">
        <v>40000</v>
      </c>
      <c r="M12" s="116">
        <v>40000</v>
      </c>
      <c r="N12" s="117">
        <v>100</v>
      </c>
    </row>
    <row r="13" spans="1:14">
      <c r="A13" s="79" t="s">
        <v>352</v>
      </c>
      <c r="B13" s="79" t="s">
        <v>165</v>
      </c>
      <c r="C13" s="79" t="s">
        <v>353</v>
      </c>
      <c r="D13" s="115" t="s">
        <v>354</v>
      </c>
      <c r="E13" s="115" t="str">
        <f t="shared" si="0"/>
        <v>3</v>
      </c>
      <c r="F13" s="79" t="s">
        <v>355</v>
      </c>
      <c r="G13" s="79" t="s">
        <v>341</v>
      </c>
      <c r="H13" s="79" t="s">
        <v>337</v>
      </c>
      <c r="I13" s="79" t="s">
        <v>338</v>
      </c>
      <c r="J13" s="79" t="s">
        <v>331</v>
      </c>
      <c r="K13" s="79" t="s">
        <v>332</v>
      </c>
      <c r="L13" s="116">
        <v>20680</v>
      </c>
      <c r="M13" s="116">
        <v>20680</v>
      </c>
      <c r="N13" s="117">
        <v>100</v>
      </c>
    </row>
    <row r="14" spans="1:14">
      <c r="A14" s="79" t="s">
        <v>356</v>
      </c>
      <c r="B14" s="79" t="s">
        <v>165</v>
      </c>
      <c r="C14" s="79" t="s">
        <v>353</v>
      </c>
      <c r="D14" s="115" t="s">
        <v>354</v>
      </c>
      <c r="E14" s="115" t="str">
        <f t="shared" si="0"/>
        <v>3</v>
      </c>
      <c r="F14" s="79" t="s">
        <v>355</v>
      </c>
      <c r="G14" s="79" t="s">
        <v>341</v>
      </c>
      <c r="H14" s="79" t="s">
        <v>337</v>
      </c>
      <c r="I14" s="79" t="s">
        <v>338</v>
      </c>
      <c r="J14" s="79" t="s">
        <v>331</v>
      </c>
      <c r="K14" s="79" t="s">
        <v>332</v>
      </c>
      <c r="L14" s="116">
        <v>20680</v>
      </c>
      <c r="M14" s="116">
        <v>20680</v>
      </c>
      <c r="N14" s="117">
        <v>100</v>
      </c>
    </row>
    <row r="15" spans="1:14">
      <c r="A15" s="79" t="s">
        <v>357</v>
      </c>
      <c r="B15" s="79" t="s">
        <v>165</v>
      </c>
      <c r="C15" s="79" t="s">
        <v>353</v>
      </c>
      <c r="D15" s="115" t="s">
        <v>354</v>
      </c>
      <c r="E15" s="115" t="str">
        <f t="shared" si="0"/>
        <v>3</v>
      </c>
      <c r="F15" s="79" t="s">
        <v>355</v>
      </c>
      <c r="G15" s="79" t="s">
        <v>328</v>
      </c>
      <c r="H15" s="79" t="s">
        <v>337</v>
      </c>
      <c r="I15" s="79" t="s">
        <v>338</v>
      </c>
      <c r="J15" s="79" t="s">
        <v>331</v>
      </c>
      <c r="K15" s="79" t="s">
        <v>332</v>
      </c>
      <c r="L15" s="116">
        <v>43285</v>
      </c>
      <c r="M15" s="116">
        <v>21642</v>
      </c>
      <c r="N15" s="117">
        <v>50</v>
      </c>
    </row>
    <row r="16" spans="1:14">
      <c r="A16" s="79" t="s">
        <v>358</v>
      </c>
      <c r="B16" s="79" t="s">
        <v>165</v>
      </c>
      <c r="C16" s="79" t="s">
        <v>353</v>
      </c>
      <c r="D16" s="115" t="s">
        <v>354</v>
      </c>
      <c r="E16" s="115" t="str">
        <f t="shared" si="0"/>
        <v>3</v>
      </c>
      <c r="F16" s="79" t="s">
        <v>355</v>
      </c>
      <c r="G16" s="79" t="s">
        <v>341</v>
      </c>
      <c r="H16" s="79" t="s">
        <v>337</v>
      </c>
      <c r="I16" s="79" t="s">
        <v>338</v>
      </c>
      <c r="J16" s="79" t="s">
        <v>331</v>
      </c>
      <c r="K16" s="79" t="s">
        <v>332</v>
      </c>
      <c r="L16" s="116">
        <v>22778</v>
      </c>
      <c r="M16" s="116">
        <v>22778</v>
      </c>
      <c r="N16" s="117">
        <v>100</v>
      </c>
    </row>
    <row r="17" spans="1:14">
      <c r="A17" s="79" t="s">
        <v>359</v>
      </c>
      <c r="B17" s="79" t="s">
        <v>165</v>
      </c>
      <c r="C17" s="79" t="s">
        <v>353</v>
      </c>
      <c r="D17" s="115" t="s">
        <v>354</v>
      </c>
      <c r="E17" s="115" t="str">
        <f t="shared" si="0"/>
        <v>3</v>
      </c>
      <c r="F17" s="79" t="s">
        <v>355</v>
      </c>
      <c r="G17" s="79" t="s">
        <v>341</v>
      </c>
      <c r="H17" s="79" t="s">
        <v>337</v>
      </c>
      <c r="I17" s="79" t="s">
        <v>338</v>
      </c>
      <c r="J17" s="79" t="s">
        <v>331</v>
      </c>
      <c r="K17" s="79" t="s">
        <v>332</v>
      </c>
      <c r="L17" s="116">
        <v>26000</v>
      </c>
      <c r="M17" s="116">
        <v>26000</v>
      </c>
      <c r="N17" s="117">
        <v>100</v>
      </c>
    </row>
    <row r="18" spans="1:14">
      <c r="A18" s="79" t="s">
        <v>360</v>
      </c>
      <c r="B18" s="79" t="s">
        <v>165</v>
      </c>
      <c r="C18" s="79" t="s">
        <v>353</v>
      </c>
      <c r="D18" s="115" t="s">
        <v>354</v>
      </c>
      <c r="E18" s="115" t="str">
        <f t="shared" si="0"/>
        <v>3</v>
      </c>
      <c r="F18" s="79" t="s">
        <v>355</v>
      </c>
      <c r="G18" s="79" t="s">
        <v>341</v>
      </c>
      <c r="H18" s="79" t="s">
        <v>337</v>
      </c>
      <c r="I18" s="79" t="s">
        <v>338</v>
      </c>
      <c r="J18" s="79" t="s">
        <v>331</v>
      </c>
      <c r="K18" s="79" t="s">
        <v>332</v>
      </c>
      <c r="L18" s="116">
        <v>28938</v>
      </c>
      <c r="M18" s="116">
        <v>28938</v>
      </c>
      <c r="N18" s="117">
        <v>100</v>
      </c>
    </row>
    <row r="19" spans="1:14">
      <c r="A19" s="79" t="s">
        <v>361</v>
      </c>
      <c r="B19" s="79" t="s">
        <v>165</v>
      </c>
      <c r="C19" s="79" t="s">
        <v>353</v>
      </c>
      <c r="D19" s="115" t="s">
        <v>354</v>
      </c>
      <c r="E19" s="115" t="str">
        <f t="shared" si="0"/>
        <v>3</v>
      </c>
      <c r="F19" s="79" t="s">
        <v>355</v>
      </c>
      <c r="G19" s="79" t="s">
        <v>328</v>
      </c>
      <c r="H19" s="79" t="s">
        <v>337</v>
      </c>
      <c r="I19" s="79" t="s">
        <v>338</v>
      </c>
      <c r="J19" s="79" t="s">
        <v>331</v>
      </c>
      <c r="K19" s="79" t="s">
        <v>332</v>
      </c>
      <c r="L19" s="116">
        <v>36031</v>
      </c>
      <c r="M19" s="116">
        <v>36031</v>
      </c>
      <c r="N19" s="117">
        <v>100</v>
      </c>
    </row>
    <row r="20" spans="1:14">
      <c r="A20" s="79" t="s">
        <v>362</v>
      </c>
      <c r="B20" s="79" t="s">
        <v>165</v>
      </c>
      <c r="C20" s="79" t="s">
        <v>353</v>
      </c>
      <c r="D20" s="115" t="s">
        <v>354</v>
      </c>
      <c r="E20" s="115" t="str">
        <f t="shared" si="0"/>
        <v>3</v>
      </c>
      <c r="F20" s="79" t="s">
        <v>355</v>
      </c>
      <c r="G20" s="79" t="s">
        <v>328</v>
      </c>
      <c r="H20" s="79" t="s">
        <v>337</v>
      </c>
      <c r="I20" s="79" t="s">
        <v>338</v>
      </c>
      <c r="J20" s="79" t="s">
        <v>331</v>
      </c>
      <c r="K20" s="79" t="s">
        <v>332</v>
      </c>
      <c r="L20" s="116">
        <v>40000</v>
      </c>
      <c r="M20" s="116">
        <v>40000</v>
      </c>
      <c r="N20" s="117">
        <v>100</v>
      </c>
    </row>
    <row r="21" spans="1:14">
      <c r="A21" s="79" t="s">
        <v>363</v>
      </c>
      <c r="B21" s="79" t="s">
        <v>165</v>
      </c>
      <c r="C21" s="79" t="s">
        <v>353</v>
      </c>
      <c r="D21" s="115" t="s">
        <v>354</v>
      </c>
      <c r="E21" s="115" t="str">
        <f t="shared" si="0"/>
        <v>3</v>
      </c>
      <c r="F21" s="79" t="s">
        <v>355</v>
      </c>
      <c r="G21" s="79" t="s">
        <v>328</v>
      </c>
      <c r="H21" s="79" t="s">
        <v>337</v>
      </c>
      <c r="I21" s="79" t="s">
        <v>338</v>
      </c>
      <c r="J21" s="79" t="s">
        <v>331</v>
      </c>
      <c r="K21" s="79" t="s">
        <v>332</v>
      </c>
      <c r="L21" s="116">
        <v>57749</v>
      </c>
      <c r="M21" s="116">
        <v>57749</v>
      </c>
      <c r="N21" s="117">
        <v>100</v>
      </c>
    </row>
    <row r="22" spans="1:14">
      <c r="A22" s="79" t="s">
        <v>364</v>
      </c>
      <c r="B22" s="79" t="s">
        <v>165</v>
      </c>
      <c r="C22" s="79" t="s">
        <v>353</v>
      </c>
      <c r="D22" s="115" t="s">
        <v>354</v>
      </c>
      <c r="E22" s="115" t="str">
        <f t="shared" si="0"/>
        <v>3</v>
      </c>
      <c r="F22" s="79" t="s">
        <v>355</v>
      </c>
      <c r="G22" s="79" t="s">
        <v>328</v>
      </c>
      <c r="H22" s="79" t="s">
        <v>337</v>
      </c>
      <c r="I22" s="79" t="s">
        <v>338</v>
      </c>
      <c r="J22" s="79" t="s">
        <v>331</v>
      </c>
      <c r="K22" s="79" t="s">
        <v>332</v>
      </c>
      <c r="L22" s="116">
        <v>67892</v>
      </c>
      <c r="M22" s="116">
        <v>67892</v>
      </c>
      <c r="N22" s="117">
        <v>100</v>
      </c>
    </row>
    <row r="23" spans="1:14">
      <c r="A23" s="79" t="s">
        <v>365</v>
      </c>
      <c r="B23" s="79" t="s">
        <v>165</v>
      </c>
      <c r="C23" s="79" t="s">
        <v>353</v>
      </c>
      <c r="D23" s="115" t="s">
        <v>354</v>
      </c>
      <c r="E23" s="115" t="str">
        <f t="shared" si="0"/>
        <v>3</v>
      </c>
      <c r="F23" s="79" t="s">
        <v>355</v>
      </c>
      <c r="G23" s="79" t="s">
        <v>328</v>
      </c>
      <c r="H23" s="79" t="s">
        <v>337</v>
      </c>
      <c r="I23" s="79" t="s">
        <v>338</v>
      </c>
      <c r="J23" s="79" t="s">
        <v>331</v>
      </c>
      <c r="K23" s="79" t="s">
        <v>332</v>
      </c>
      <c r="L23" s="116">
        <v>88398</v>
      </c>
      <c r="M23" s="116">
        <v>88398</v>
      </c>
      <c r="N23" s="117">
        <v>100</v>
      </c>
    </row>
    <row r="24" spans="1:14">
      <c r="A24" s="79" t="s">
        <v>366</v>
      </c>
      <c r="B24" s="79" t="s">
        <v>165</v>
      </c>
      <c r="C24" s="79" t="s">
        <v>367</v>
      </c>
      <c r="D24" s="115" t="s">
        <v>368</v>
      </c>
      <c r="E24" s="115" t="str">
        <f t="shared" si="0"/>
        <v>3</v>
      </c>
      <c r="F24" s="79" t="s">
        <v>369</v>
      </c>
      <c r="G24" s="79" t="s">
        <v>341</v>
      </c>
      <c r="H24" s="79" t="s">
        <v>337</v>
      </c>
      <c r="I24" s="79" t="s">
        <v>338</v>
      </c>
      <c r="J24" s="79" t="s">
        <v>331</v>
      </c>
      <c r="K24" s="79" t="s">
        <v>332</v>
      </c>
      <c r="L24" s="116">
        <v>10993</v>
      </c>
      <c r="M24" s="116">
        <v>10993</v>
      </c>
      <c r="N24" s="117">
        <v>100</v>
      </c>
    </row>
    <row r="25" spans="1:14">
      <c r="A25" s="79" t="s">
        <v>370</v>
      </c>
      <c r="B25" s="79" t="s">
        <v>165</v>
      </c>
      <c r="C25" s="79" t="s">
        <v>367</v>
      </c>
      <c r="D25" s="115" t="s">
        <v>368</v>
      </c>
      <c r="E25" s="115" t="str">
        <f t="shared" si="0"/>
        <v>3</v>
      </c>
      <c r="F25" s="79" t="s">
        <v>369</v>
      </c>
      <c r="G25" s="79" t="s">
        <v>341</v>
      </c>
      <c r="H25" s="79" t="s">
        <v>337</v>
      </c>
      <c r="I25" s="79" t="s">
        <v>338</v>
      </c>
      <c r="J25" s="79" t="s">
        <v>331</v>
      </c>
      <c r="K25" s="79" t="s">
        <v>332</v>
      </c>
      <c r="L25" s="116">
        <v>23000</v>
      </c>
      <c r="M25" s="116">
        <v>23000</v>
      </c>
      <c r="N25" s="117">
        <v>100</v>
      </c>
    </row>
    <row r="26" spans="1:14">
      <c r="A26" s="79" t="s">
        <v>371</v>
      </c>
      <c r="B26" s="79" t="s">
        <v>165</v>
      </c>
      <c r="C26" s="79" t="s">
        <v>367</v>
      </c>
      <c r="D26" s="115" t="s">
        <v>368</v>
      </c>
      <c r="E26" s="115" t="str">
        <f t="shared" si="0"/>
        <v>3</v>
      </c>
      <c r="F26" s="79" t="s">
        <v>369</v>
      </c>
      <c r="G26" s="79" t="s">
        <v>341</v>
      </c>
      <c r="H26" s="79" t="s">
        <v>337</v>
      </c>
      <c r="I26" s="79" t="s">
        <v>338</v>
      </c>
      <c r="J26" s="79" t="s">
        <v>331</v>
      </c>
      <c r="K26" s="79" t="s">
        <v>332</v>
      </c>
      <c r="L26" s="116">
        <v>26769</v>
      </c>
      <c r="M26" s="116">
        <v>26769</v>
      </c>
      <c r="N26" s="117">
        <v>100</v>
      </c>
    </row>
    <row r="27" spans="1:14">
      <c r="A27" s="79" t="s">
        <v>372</v>
      </c>
      <c r="B27" s="79" t="s">
        <v>165</v>
      </c>
      <c r="C27" s="79" t="s">
        <v>367</v>
      </c>
      <c r="D27" s="115" t="s">
        <v>368</v>
      </c>
      <c r="E27" s="115" t="str">
        <f t="shared" si="0"/>
        <v>3</v>
      </c>
      <c r="F27" s="79" t="s">
        <v>369</v>
      </c>
      <c r="G27" s="79" t="s">
        <v>341</v>
      </c>
      <c r="H27" s="79" t="s">
        <v>337</v>
      </c>
      <c r="I27" s="79" t="s">
        <v>338</v>
      </c>
      <c r="J27" s="79" t="s">
        <v>331</v>
      </c>
      <c r="K27" s="79" t="s">
        <v>332</v>
      </c>
      <c r="L27" s="116">
        <v>28231</v>
      </c>
      <c r="M27" s="116">
        <v>28231</v>
      </c>
      <c r="N27" s="117">
        <v>100</v>
      </c>
    </row>
    <row r="28" spans="1:14">
      <c r="A28" s="79" t="s">
        <v>373</v>
      </c>
      <c r="B28" s="79" t="s">
        <v>165</v>
      </c>
      <c r="C28" s="79" t="s">
        <v>367</v>
      </c>
      <c r="D28" s="115" t="s">
        <v>368</v>
      </c>
      <c r="E28" s="115" t="str">
        <f t="shared" si="0"/>
        <v>3</v>
      </c>
      <c r="F28" s="79" t="s">
        <v>369</v>
      </c>
      <c r="G28" s="79" t="s">
        <v>341</v>
      </c>
      <c r="H28" s="79" t="s">
        <v>337</v>
      </c>
      <c r="I28" s="79" t="s">
        <v>338</v>
      </c>
      <c r="J28" s="79" t="s">
        <v>331</v>
      </c>
      <c r="K28" s="79" t="s">
        <v>332</v>
      </c>
      <c r="L28" s="116">
        <v>28254</v>
      </c>
      <c r="M28" s="116">
        <v>28254</v>
      </c>
      <c r="N28" s="117">
        <v>100</v>
      </c>
    </row>
    <row r="29" spans="1:14">
      <c r="A29" s="79" t="s">
        <v>374</v>
      </c>
      <c r="B29" s="79" t="s">
        <v>165</v>
      </c>
      <c r="C29" s="79" t="s">
        <v>367</v>
      </c>
      <c r="D29" s="115" t="s">
        <v>368</v>
      </c>
      <c r="E29" s="115" t="str">
        <f t="shared" si="0"/>
        <v>3</v>
      </c>
      <c r="F29" s="79" t="s">
        <v>369</v>
      </c>
      <c r="G29" s="79" t="s">
        <v>341</v>
      </c>
      <c r="H29" s="79" t="s">
        <v>337</v>
      </c>
      <c r="I29" s="79" t="s">
        <v>338</v>
      </c>
      <c r="J29" s="79" t="s">
        <v>331</v>
      </c>
      <c r="K29" s="79" t="s">
        <v>332</v>
      </c>
      <c r="L29" s="116">
        <v>33531</v>
      </c>
      <c r="M29" s="116">
        <v>33531</v>
      </c>
      <c r="N29" s="117">
        <v>100</v>
      </c>
    </row>
    <row r="30" spans="1:14">
      <c r="A30" s="79" t="s">
        <v>375</v>
      </c>
      <c r="B30" s="79" t="s">
        <v>165</v>
      </c>
      <c r="C30" s="79" t="s">
        <v>367</v>
      </c>
      <c r="D30" s="115" t="s">
        <v>368</v>
      </c>
      <c r="E30" s="115" t="str">
        <f t="shared" si="0"/>
        <v>3</v>
      </c>
      <c r="F30" s="79" t="s">
        <v>369</v>
      </c>
      <c r="G30" s="79" t="s">
        <v>328</v>
      </c>
      <c r="H30" s="79" t="s">
        <v>337</v>
      </c>
      <c r="I30" s="79" t="s">
        <v>338</v>
      </c>
      <c r="J30" s="79" t="s">
        <v>331</v>
      </c>
      <c r="K30" s="79" t="s">
        <v>332</v>
      </c>
      <c r="L30" s="116">
        <v>35000</v>
      </c>
      <c r="M30" s="116">
        <v>35000</v>
      </c>
      <c r="N30" s="117">
        <v>100</v>
      </c>
    </row>
    <row r="31" spans="1:14">
      <c r="A31" s="79" t="s">
        <v>376</v>
      </c>
      <c r="B31" s="79" t="s">
        <v>165</v>
      </c>
      <c r="C31" s="79" t="s">
        <v>367</v>
      </c>
      <c r="D31" s="115" t="s">
        <v>368</v>
      </c>
      <c r="E31" s="115" t="str">
        <f t="shared" si="0"/>
        <v>3</v>
      </c>
      <c r="F31" s="79" t="s">
        <v>369</v>
      </c>
      <c r="G31" s="79" t="s">
        <v>341</v>
      </c>
      <c r="H31" s="79" t="s">
        <v>337</v>
      </c>
      <c r="I31" s="79" t="s">
        <v>338</v>
      </c>
      <c r="J31" s="79" t="s">
        <v>331</v>
      </c>
      <c r="K31" s="79" t="s">
        <v>332</v>
      </c>
      <c r="L31" s="116">
        <v>42050</v>
      </c>
      <c r="M31" s="116">
        <v>42050</v>
      </c>
      <c r="N31" s="117">
        <v>100</v>
      </c>
    </row>
    <row r="32" spans="1:14">
      <c r="A32" s="79" t="s">
        <v>377</v>
      </c>
      <c r="B32" s="79" t="s">
        <v>165</v>
      </c>
      <c r="C32" s="79" t="s">
        <v>367</v>
      </c>
      <c r="D32" s="115" t="s">
        <v>368</v>
      </c>
      <c r="E32" s="115" t="str">
        <f t="shared" si="0"/>
        <v>3</v>
      </c>
      <c r="F32" s="79" t="s">
        <v>369</v>
      </c>
      <c r="G32" s="79" t="s">
        <v>328</v>
      </c>
      <c r="H32" s="79" t="s">
        <v>337</v>
      </c>
      <c r="I32" s="79" t="s">
        <v>338</v>
      </c>
      <c r="J32" s="79" t="s">
        <v>331</v>
      </c>
      <c r="K32" s="79" t="s">
        <v>332</v>
      </c>
      <c r="L32" s="116">
        <v>55000</v>
      </c>
      <c r="M32" s="116">
        <v>55000</v>
      </c>
      <c r="N32" s="117">
        <v>100</v>
      </c>
    </row>
    <row r="33" spans="1:14">
      <c r="A33" s="79" t="s">
        <v>378</v>
      </c>
      <c r="B33" s="79" t="s">
        <v>165</v>
      </c>
      <c r="C33" s="79" t="s">
        <v>379</v>
      </c>
      <c r="D33" s="115" t="s">
        <v>380</v>
      </c>
      <c r="E33" s="115" t="str">
        <f t="shared" si="0"/>
        <v>3</v>
      </c>
      <c r="F33" s="79" t="s">
        <v>381</v>
      </c>
      <c r="G33" s="79" t="s">
        <v>341</v>
      </c>
      <c r="H33" s="79" t="s">
        <v>337</v>
      </c>
      <c r="I33" s="79" t="s">
        <v>338</v>
      </c>
      <c r="J33" s="79" t="s">
        <v>331</v>
      </c>
      <c r="K33" s="79" t="s">
        <v>332</v>
      </c>
      <c r="L33" s="116">
        <v>32380</v>
      </c>
      <c r="M33" s="116">
        <v>32380</v>
      </c>
      <c r="N33" s="117">
        <v>100</v>
      </c>
    </row>
    <row r="34" spans="1:14">
      <c r="A34" s="79" t="s">
        <v>382</v>
      </c>
      <c r="B34" s="79" t="s">
        <v>165</v>
      </c>
      <c r="C34" s="79" t="s">
        <v>379</v>
      </c>
      <c r="D34" s="115" t="s">
        <v>380</v>
      </c>
      <c r="E34" s="115" t="str">
        <f t="shared" si="0"/>
        <v>3</v>
      </c>
      <c r="F34" s="79" t="s">
        <v>381</v>
      </c>
      <c r="G34" s="79" t="s">
        <v>328</v>
      </c>
      <c r="H34" s="79" t="s">
        <v>337</v>
      </c>
      <c r="I34" s="79" t="s">
        <v>338</v>
      </c>
      <c r="J34" s="79" t="s">
        <v>331</v>
      </c>
      <c r="K34" s="79" t="s">
        <v>332</v>
      </c>
      <c r="L34" s="116">
        <v>48308</v>
      </c>
      <c r="M34" s="116">
        <v>48308</v>
      </c>
      <c r="N34" s="117">
        <v>100</v>
      </c>
    </row>
    <row r="35" spans="1:14">
      <c r="A35" s="79" t="s">
        <v>383</v>
      </c>
      <c r="B35" s="79" t="s">
        <v>165</v>
      </c>
      <c r="C35" s="79" t="s">
        <v>384</v>
      </c>
      <c r="D35" s="115" t="s">
        <v>385</v>
      </c>
      <c r="E35" s="115" t="str">
        <f t="shared" si="0"/>
        <v>2</v>
      </c>
      <c r="F35" s="79" t="s">
        <v>386</v>
      </c>
      <c r="G35" s="79" t="s">
        <v>387</v>
      </c>
      <c r="H35" s="79" t="s">
        <v>169</v>
      </c>
      <c r="I35" s="79" t="s">
        <v>388</v>
      </c>
      <c r="J35" s="79" t="s">
        <v>331</v>
      </c>
      <c r="K35" s="79" t="s">
        <v>332</v>
      </c>
      <c r="L35" s="116">
        <v>5000</v>
      </c>
      <c r="M35" s="116">
        <v>5000</v>
      </c>
      <c r="N35" s="117">
        <v>100</v>
      </c>
    </row>
    <row r="36" spans="1:14">
      <c r="A36" s="79" t="s">
        <v>389</v>
      </c>
      <c r="B36" s="79" t="s">
        <v>165</v>
      </c>
      <c r="C36" s="79" t="s">
        <v>390</v>
      </c>
      <c r="D36" s="115" t="s">
        <v>391</v>
      </c>
      <c r="E36" s="115" t="str">
        <f t="shared" si="0"/>
        <v>5</v>
      </c>
      <c r="F36" s="79" t="s">
        <v>392</v>
      </c>
      <c r="G36" s="79" t="s">
        <v>328</v>
      </c>
      <c r="H36" s="79" t="s">
        <v>169</v>
      </c>
      <c r="I36" s="79" t="s">
        <v>388</v>
      </c>
      <c r="J36" s="79" t="s">
        <v>331</v>
      </c>
      <c r="K36" s="79" t="s">
        <v>332</v>
      </c>
      <c r="L36" s="116">
        <v>55808</v>
      </c>
      <c r="M36" s="116">
        <v>13952</v>
      </c>
      <c r="N36" s="117">
        <v>25</v>
      </c>
    </row>
    <row r="37" spans="1:14">
      <c r="A37" s="79" t="s">
        <v>393</v>
      </c>
      <c r="B37" s="79" t="s">
        <v>165</v>
      </c>
      <c r="C37" s="79" t="s">
        <v>390</v>
      </c>
      <c r="D37" s="115" t="s">
        <v>391</v>
      </c>
      <c r="E37" s="115" t="str">
        <f t="shared" si="0"/>
        <v>5</v>
      </c>
      <c r="F37" s="79" t="s">
        <v>392</v>
      </c>
      <c r="G37" s="79" t="s">
        <v>341</v>
      </c>
      <c r="H37" s="79" t="s">
        <v>169</v>
      </c>
      <c r="I37" s="79" t="s">
        <v>388</v>
      </c>
      <c r="J37" s="79" t="s">
        <v>331</v>
      </c>
      <c r="K37" s="79" t="s">
        <v>332</v>
      </c>
      <c r="L37" s="116">
        <v>23500</v>
      </c>
      <c r="M37" s="116">
        <v>23500</v>
      </c>
      <c r="N37" s="117">
        <v>100</v>
      </c>
    </row>
    <row r="38" spans="1:14">
      <c r="A38" s="79" t="s">
        <v>394</v>
      </c>
      <c r="B38" s="79" t="s">
        <v>165</v>
      </c>
      <c r="C38" s="79" t="s">
        <v>390</v>
      </c>
      <c r="D38" s="115" t="s">
        <v>391</v>
      </c>
      <c r="E38" s="115" t="str">
        <f t="shared" si="0"/>
        <v>5</v>
      </c>
      <c r="F38" s="79" t="s">
        <v>392</v>
      </c>
      <c r="G38" s="79" t="s">
        <v>341</v>
      </c>
      <c r="H38" s="79" t="s">
        <v>169</v>
      </c>
      <c r="I38" s="79" t="s">
        <v>388</v>
      </c>
      <c r="J38" s="79" t="s">
        <v>331</v>
      </c>
      <c r="K38" s="79" t="s">
        <v>332</v>
      </c>
      <c r="L38" s="116">
        <v>24000</v>
      </c>
      <c r="M38" s="116">
        <v>24000</v>
      </c>
      <c r="N38" s="117">
        <v>100</v>
      </c>
    </row>
    <row r="39" spans="1:14">
      <c r="A39" s="79" t="s">
        <v>395</v>
      </c>
      <c r="B39" s="79" t="s">
        <v>165</v>
      </c>
      <c r="C39" s="79" t="s">
        <v>390</v>
      </c>
      <c r="D39" s="115" t="s">
        <v>391</v>
      </c>
      <c r="E39" s="115" t="str">
        <f t="shared" si="0"/>
        <v>5</v>
      </c>
      <c r="F39" s="79" t="s">
        <v>392</v>
      </c>
      <c r="G39" s="79" t="s">
        <v>341</v>
      </c>
      <c r="H39" s="79" t="s">
        <v>169</v>
      </c>
      <c r="I39" s="79" t="s">
        <v>388</v>
      </c>
      <c r="J39" s="79" t="s">
        <v>331</v>
      </c>
      <c r="K39" s="79" t="s">
        <v>332</v>
      </c>
      <c r="L39" s="116">
        <v>24186</v>
      </c>
      <c r="M39" s="116">
        <v>24186</v>
      </c>
      <c r="N39" s="117">
        <v>100</v>
      </c>
    </row>
    <row r="40" spans="1:14">
      <c r="A40" s="79" t="s">
        <v>396</v>
      </c>
      <c r="B40" s="79" t="s">
        <v>165</v>
      </c>
      <c r="C40" s="79" t="s">
        <v>390</v>
      </c>
      <c r="D40" s="115" t="s">
        <v>391</v>
      </c>
      <c r="E40" s="115" t="str">
        <f t="shared" si="0"/>
        <v>5</v>
      </c>
      <c r="F40" s="79" t="s">
        <v>392</v>
      </c>
      <c r="G40" s="79" t="s">
        <v>341</v>
      </c>
      <c r="H40" s="79" t="s">
        <v>169</v>
      </c>
      <c r="I40" s="79" t="s">
        <v>388</v>
      </c>
      <c r="J40" s="79" t="s">
        <v>331</v>
      </c>
      <c r="K40" s="79" t="s">
        <v>332</v>
      </c>
      <c r="L40" s="116">
        <v>27524</v>
      </c>
      <c r="M40" s="116">
        <v>27524</v>
      </c>
      <c r="N40" s="117">
        <v>100</v>
      </c>
    </row>
    <row r="41" spans="1:14">
      <c r="A41" s="79" t="s">
        <v>397</v>
      </c>
      <c r="B41" s="79" t="s">
        <v>165</v>
      </c>
      <c r="C41" s="79" t="s">
        <v>390</v>
      </c>
      <c r="D41" s="115" t="s">
        <v>391</v>
      </c>
      <c r="E41" s="115" t="str">
        <f t="shared" si="0"/>
        <v>5</v>
      </c>
      <c r="F41" s="79" t="s">
        <v>392</v>
      </c>
      <c r="G41" s="79" t="s">
        <v>328</v>
      </c>
      <c r="H41" s="79" t="s">
        <v>169</v>
      </c>
      <c r="I41" s="79" t="s">
        <v>388</v>
      </c>
      <c r="J41" s="79" t="s">
        <v>331</v>
      </c>
      <c r="K41" s="79" t="s">
        <v>332</v>
      </c>
      <c r="L41" s="116">
        <v>49316</v>
      </c>
      <c r="M41" s="116">
        <v>34521</v>
      </c>
      <c r="N41" s="117">
        <v>70</v>
      </c>
    </row>
    <row r="42" spans="1:14">
      <c r="A42" s="79" t="s">
        <v>398</v>
      </c>
      <c r="B42" s="79" t="s">
        <v>165</v>
      </c>
      <c r="C42" s="79" t="s">
        <v>390</v>
      </c>
      <c r="D42" s="115" t="s">
        <v>391</v>
      </c>
      <c r="E42" s="115" t="str">
        <f t="shared" si="0"/>
        <v>5</v>
      </c>
      <c r="F42" s="79" t="s">
        <v>392</v>
      </c>
      <c r="G42" s="79" t="s">
        <v>328</v>
      </c>
      <c r="H42" s="79" t="s">
        <v>169</v>
      </c>
      <c r="I42" s="79" t="s">
        <v>388</v>
      </c>
      <c r="J42" s="79" t="s">
        <v>331</v>
      </c>
      <c r="K42" s="79" t="s">
        <v>332</v>
      </c>
      <c r="L42" s="116">
        <v>38700</v>
      </c>
      <c r="M42" s="116">
        <v>38700</v>
      </c>
      <c r="N42" s="117">
        <v>100</v>
      </c>
    </row>
    <row r="43" spans="1:14">
      <c r="A43" s="79" t="s">
        <v>399</v>
      </c>
      <c r="B43" s="79" t="s">
        <v>165</v>
      </c>
      <c r="C43" s="79" t="s">
        <v>390</v>
      </c>
      <c r="D43" s="115" t="s">
        <v>391</v>
      </c>
      <c r="E43" s="115" t="str">
        <f t="shared" si="0"/>
        <v>5</v>
      </c>
      <c r="F43" s="79" t="s">
        <v>392</v>
      </c>
      <c r="G43" s="79" t="s">
        <v>328</v>
      </c>
      <c r="H43" s="79" t="s">
        <v>169</v>
      </c>
      <c r="I43" s="79" t="s">
        <v>388</v>
      </c>
      <c r="J43" s="79" t="s">
        <v>331</v>
      </c>
      <c r="K43" s="79" t="s">
        <v>332</v>
      </c>
      <c r="L43" s="116">
        <v>39880</v>
      </c>
      <c r="M43" s="116">
        <v>39880</v>
      </c>
      <c r="N43" s="117">
        <v>100</v>
      </c>
    </row>
    <row r="44" spans="1:14">
      <c r="A44" s="79" t="s">
        <v>400</v>
      </c>
      <c r="B44" s="79" t="s">
        <v>165</v>
      </c>
      <c r="C44" s="79" t="s">
        <v>401</v>
      </c>
      <c r="D44" s="115" t="s">
        <v>402</v>
      </c>
      <c r="E44" s="115" t="str">
        <f t="shared" si="0"/>
        <v>5</v>
      </c>
      <c r="F44" s="79" t="s">
        <v>403</v>
      </c>
      <c r="G44" s="79" t="s">
        <v>341</v>
      </c>
      <c r="H44" s="79" t="s">
        <v>169</v>
      </c>
      <c r="I44" s="79" t="s">
        <v>388</v>
      </c>
      <c r="J44" s="79" t="s">
        <v>331</v>
      </c>
      <c r="K44" s="79" t="s">
        <v>332</v>
      </c>
      <c r="L44" s="116">
        <v>27496</v>
      </c>
      <c r="M44" s="116">
        <v>13724</v>
      </c>
      <c r="N44" s="117">
        <v>49.91</v>
      </c>
    </row>
    <row r="45" spans="1:14">
      <c r="A45" s="79" t="s">
        <v>404</v>
      </c>
      <c r="B45" s="79" t="s">
        <v>165</v>
      </c>
      <c r="C45" s="79" t="s">
        <v>405</v>
      </c>
      <c r="D45" s="115" t="s">
        <v>406</v>
      </c>
      <c r="E45" s="115" t="str">
        <f t="shared" si="0"/>
        <v>2</v>
      </c>
      <c r="F45" s="79" t="s">
        <v>0</v>
      </c>
      <c r="G45" s="79" t="s">
        <v>341</v>
      </c>
      <c r="H45" s="79" t="s">
        <v>407</v>
      </c>
      <c r="I45" s="79" t="s">
        <v>408</v>
      </c>
      <c r="J45" s="79" t="s">
        <v>331</v>
      </c>
      <c r="K45" s="79" t="s">
        <v>332</v>
      </c>
      <c r="L45" s="116">
        <v>29217</v>
      </c>
      <c r="M45" s="116">
        <v>29217</v>
      </c>
      <c r="N45" s="117">
        <v>100</v>
      </c>
    </row>
    <row r="46" spans="1:14">
      <c r="A46" s="79" t="s">
        <v>409</v>
      </c>
      <c r="B46" s="79" t="s">
        <v>165</v>
      </c>
      <c r="C46" s="79" t="s">
        <v>405</v>
      </c>
      <c r="D46" s="115" t="s">
        <v>406</v>
      </c>
      <c r="E46" s="115" t="str">
        <f t="shared" si="0"/>
        <v>2</v>
      </c>
      <c r="F46" s="79" t="s">
        <v>0</v>
      </c>
      <c r="G46" s="79" t="s">
        <v>387</v>
      </c>
      <c r="H46" s="79" t="s">
        <v>407</v>
      </c>
      <c r="I46" s="79" t="s">
        <v>408</v>
      </c>
      <c r="J46" s="79" t="s">
        <v>331</v>
      </c>
      <c r="K46" s="79" t="s">
        <v>332</v>
      </c>
      <c r="L46" s="116">
        <v>44039</v>
      </c>
      <c r="M46" s="116">
        <v>33029</v>
      </c>
      <c r="N46" s="117">
        <v>75</v>
      </c>
    </row>
    <row r="47" spans="1:14">
      <c r="A47" s="79" t="s">
        <v>410</v>
      </c>
      <c r="B47" s="79" t="s">
        <v>165</v>
      </c>
      <c r="C47" s="79" t="s">
        <v>405</v>
      </c>
      <c r="D47" s="115" t="s">
        <v>406</v>
      </c>
      <c r="E47" s="115" t="str">
        <f t="shared" si="0"/>
        <v>2</v>
      </c>
      <c r="F47" s="79" t="s">
        <v>0</v>
      </c>
      <c r="G47" s="79" t="s">
        <v>387</v>
      </c>
      <c r="H47" s="79" t="s">
        <v>407</v>
      </c>
      <c r="I47" s="79" t="s">
        <v>408</v>
      </c>
      <c r="J47" s="79" t="s">
        <v>331</v>
      </c>
      <c r="K47" s="79" t="s">
        <v>332</v>
      </c>
      <c r="L47" s="116">
        <v>69689</v>
      </c>
      <c r="M47" s="116">
        <v>34845</v>
      </c>
      <c r="N47" s="117">
        <v>50</v>
      </c>
    </row>
    <row r="48" spans="1:14">
      <c r="A48" s="79" t="s">
        <v>411</v>
      </c>
      <c r="B48" s="79" t="s">
        <v>165</v>
      </c>
      <c r="C48" s="79" t="s">
        <v>405</v>
      </c>
      <c r="D48" s="115" t="s">
        <v>406</v>
      </c>
      <c r="E48" s="115" t="str">
        <f t="shared" si="0"/>
        <v>2</v>
      </c>
      <c r="F48" s="79" t="s">
        <v>0</v>
      </c>
      <c r="G48" s="79" t="s">
        <v>387</v>
      </c>
      <c r="H48" s="79" t="s">
        <v>407</v>
      </c>
      <c r="I48" s="79" t="s">
        <v>408</v>
      </c>
      <c r="J48" s="79" t="s">
        <v>331</v>
      </c>
      <c r="K48" s="79" t="s">
        <v>332</v>
      </c>
      <c r="L48" s="116">
        <v>69689</v>
      </c>
      <c r="M48" s="116">
        <v>34845</v>
      </c>
      <c r="N48" s="117">
        <v>50</v>
      </c>
    </row>
    <row r="49" spans="1:14">
      <c r="A49" s="79" t="s">
        <v>412</v>
      </c>
      <c r="B49" s="79" t="s">
        <v>165</v>
      </c>
      <c r="C49" s="79" t="s">
        <v>405</v>
      </c>
      <c r="D49" s="115" t="s">
        <v>406</v>
      </c>
      <c r="E49" s="115" t="str">
        <f t="shared" si="0"/>
        <v>2</v>
      </c>
      <c r="F49" s="79" t="s">
        <v>0</v>
      </c>
      <c r="G49" s="79" t="s">
        <v>328</v>
      </c>
      <c r="H49" s="79" t="s">
        <v>407</v>
      </c>
      <c r="I49" s="79" t="s">
        <v>408</v>
      </c>
      <c r="J49" s="79" t="s">
        <v>331</v>
      </c>
      <c r="K49" s="79" t="s">
        <v>332</v>
      </c>
      <c r="L49" s="116">
        <v>42196</v>
      </c>
      <c r="M49" s="116">
        <v>42196</v>
      </c>
      <c r="N49" s="117">
        <v>100</v>
      </c>
    </row>
    <row r="50" spans="1:14">
      <c r="A50" s="79" t="s">
        <v>413</v>
      </c>
      <c r="B50" s="79" t="s">
        <v>165</v>
      </c>
      <c r="C50" s="79" t="s">
        <v>405</v>
      </c>
      <c r="D50" s="115" t="s">
        <v>406</v>
      </c>
      <c r="E50" s="115" t="str">
        <f t="shared" si="0"/>
        <v>2</v>
      </c>
      <c r="F50" s="79" t="s">
        <v>0</v>
      </c>
      <c r="G50" s="79" t="s">
        <v>387</v>
      </c>
      <c r="H50" s="79" t="s">
        <v>407</v>
      </c>
      <c r="I50" s="79" t="s">
        <v>408</v>
      </c>
      <c r="J50" s="79" t="s">
        <v>331</v>
      </c>
      <c r="K50" s="79" t="s">
        <v>332</v>
      </c>
      <c r="L50" s="116">
        <v>84498</v>
      </c>
      <c r="M50" s="116">
        <v>42249</v>
      </c>
      <c r="N50" s="117">
        <v>50</v>
      </c>
    </row>
    <row r="51" spans="1:14">
      <c r="A51" s="79" t="s">
        <v>414</v>
      </c>
      <c r="B51" s="79" t="s">
        <v>165</v>
      </c>
      <c r="C51" s="79" t="s">
        <v>405</v>
      </c>
      <c r="D51" s="115" t="s">
        <v>406</v>
      </c>
      <c r="E51" s="115" t="str">
        <f t="shared" si="0"/>
        <v>2</v>
      </c>
      <c r="F51" s="79" t="s">
        <v>0</v>
      </c>
      <c r="G51" s="79" t="s">
        <v>387</v>
      </c>
      <c r="H51" s="79" t="s">
        <v>407</v>
      </c>
      <c r="I51" s="79" t="s">
        <v>408</v>
      </c>
      <c r="J51" s="79" t="s">
        <v>331</v>
      </c>
      <c r="K51" s="79" t="s">
        <v>332</v>
      </c>
      <c r="L51" s="116">
        <v>89459</v>
      </c>
      <c r="M51" s="116">
        <v>44730</v>
      </c>
      <c r="N51" s="117">
        <v>50</v>
      </c>
    </row>
    <row r="52" spans="1:14">
      <c r="A52" s="79" t="s">
        <v>415</v>
      </c>
      <c r="B52" s="79" t="s">
        <v>165</v>
      </c>
      <c r="C52" s="79" t="s">
        <v>405</v>
      </c>
      <c r="D52" s="115" t="s">
        <v>406</v>
      </c>
      <c r="E52" s="115" t="str">
        <f t="shared" si="0"/>
        <v>2</v>
      </c>
      <c r="F52" s="79" t="s">
        <v>0</v>
      </c>
      <c r="G52" s="79" t="s">
        <v>387</v>
      </c>
      <c r="H52" s="79" t="s">
        <v>407</v>
      </c>
      <c r="I52" s="79" t="s">
        <v>408</v>
      </c>
      <c r="J52" s="79" t="s">
        <v>331</v>
      </c>
      <c r="K52" s="79" t="s">
        <v>332</v>
      </c>
      <c r="L52" s="116">
        <v>46053</v>
      </c>
      <c r="M52" s="116">
        <v>46053</v>
      </c>
      <c r="N52" s="117">
        <v>100</v>
      </c>
    </row>
    <row r="53" spans="1:14">
      <c r="A53" s="79" t="s">
        <v>416</v>
      </c>
      <c r="B53" s="79" t="s">
        <v>165</v>
      </c>
      <c r="C53" s="79" t="s">
        <v>405</v>
      </c>
      <c r="D53" s="115" t="s">
        <v>406</v>
      </c>
      <c r="E53" s="115" t="str">
        <f t="shared" si="0"/>
        <v>2</v>
      </c>
      <c r="F53" s="79" t="s">
        <v>0</v>
      </c>
      <c r="G53" s="79" t="s">
        <v>387</v>
      </c>
      <c r="H53" s="79" t="s">
        <v>407</v>
      </c>
      <c r="I53" s="79" t="s">
        <v>408</v>
      </c>
      <c r="J53" s="79" t="s">
        <v>331</v>
      </c>
      <c r="K53" s="79" t="s">
        <v>332</v>
      </c>
      <c r="L53" s="116">
        <v>51817</v>
      </c>
      <c r="M53" s="116">
        <v>51817</v>
      </c>
      <c r="N53" s="117">
        <v>100</v>
      </c>
    </row>
    <row r="54" spans="1:14">
      <c r="A54" s="79" t="s">
        <v>417</v>
      </c>
      <c r="B54" s="79" t="s">
        <v>165</v>
      </c>
      <c r="C54" s="79" t="s">
        <v>405</v>
      </c>
      <c r="D54" s="115" t="s">
        <v>406</v>
      </c>
      <c r="E54" s="115" t="str">
        <f t="shared" si="0"/>
        <v>2</v>
      </c>
      <c r="F54" s="79" t="s">
        <v>0</v>
      </c>
      <c r="G54" s="79" t="s">
        <v>387</v>
      </c>
      <c r="H54" s="79" t="s">
        <v>407</v>
      </c>
      <c r="I54" s="79" t="s">
        <v>408</v>
      </c>
      <c r="J54" s="79" t="s">
        <v>331</v>
      </c>
      <c r="K54" s="79" t="s">
        <v>332</v>
      </c>
      <c r="L54" s="116">
        <v>71624</v>
      </c>
      <c r="M54" s="116">
        <v>53718</v>
      </c>
      <c r="N54" s="117">
        <v>75</v>
      </c>
    </row>
    <row r="55" spans="1:14">
      <c r="A55" s="79" t="s">
        <v>418</v>
      </c>
      <c r="B55" s="79" t="s">
        <v>165</v>
      </c>
      <c r="C55" s="79" t="s">
        <v>405</v>
      </c>
      <c r="D55" s="115" t="s">
        <v>406</v>
      </c>
      <c r="E55" s="115" t="str">
        <f t="shared" si="0"/>
        <v>2</v>
      </c>
      <c r="F55" s="79" t="s">
        <v>0</v>
      </c>
      <c r="G55" s="79" t="s">
        <v>387</v>
      </c>
      <c r="H55" s="79" t="s">
        <v>407</v>
      </c>
      <c r="I55" s="79" t="s">
        <v>408</v>
      </c>
      <c r="J55" s="79" t="s">
        <v>331</v>
      </c>
      <c r="K55" s="79" t="s">
        <v>332</v>
      </c>
      <c r="L55" s="116">
        <v>114547</v>
      </c>
      <c r="M55" s="116">
        <v>57274</v>
      </c>
      <c r="N55" s="117">
        <v>50</v>
      </c>
    </row>
    <row r="56" spans="1:14">
      <c r="A56" s="79" t="s">
        <v>419</v>
      </c>
      <c r="B56" s="79" t="s">
        <v>165</v>
      </c>
      <c r="C56" s="79" t="s">
        <v>420</v>
      </c>
      <c r="D56" s="115" t="s">
        <v>421</v>
      </c>
      <c r="E56" s="115" t="str">
        <f t="shared" si="0"/>
        <v>2</v>
      </c>
      <c r="F56" s="79" t="s">
        <v>422</v>
      </c>
      <c r="G56" s="79" t="s">
        <v>341</v>
      </c>
      <c r="H56" s="79" t="s">
        <v>407</v>
      </c>
      <c r="I56" s="79" t="s">
        <v>408</v>
      </c>
      <c r="J56" s="79" t="s">
        <v>331</v>
      </c>
      <c r="K56" s="79" t="s">
        <v>332</v>
      </c>
      <c r="L56" s="116">
        <v>28025</v>
      </c>
      <c r="M56" s="116">
        <v>28025</v>
      </c>
      <c r="N56" s="117">
        <v>100</v>
      </c>
    </row>
    <row r="57" spans="1:14">
      <c r="A57" s="79" t="s">
        <v>423</v>
      </c>
      <c r="B57" s="79" t="s">
        <v>165</v>
      </c>
      <c r="C57" s="79" t="s">
        <v>420</v>
      </c>
      <c r="D57" s="115" t="s">
        <v>421</v>
      </c>
      <c r="E57" s="115" t="str">
        <f t="shared" si="0"/>
        <v>2</v>
      </c>
      <c r="F57" s="79" t="s">
        <v>422</v>
      </c>
      <c r="G57" s="79" t="s">
        <v>387</v>
      </c>
      <c r="H57" s="79" t="s">
        <v>407</v>
      </c>
      <c r="I57" s="79" t="s">
        <v>408</v>
      </c>
      <c r="J57" s="79" t="s">
        <v>331</v>
      </c>
      <c r="K57" s="79" t="s">
        <v>332</v>
      </c>
      <c r="L57" s="116">
        <v>51817</v>
      </c>
      <c r="M57" s="116">
        <v>51817</v>
      </c>
      <c r="N57" s="117">
        <v>100</v>
      </c>
    </row>
    <row r="58" spans="1:14">
      <c r="A58" s="79" t="s">
        <v>424</v>
      </c>
      <c r="B58" s="79" t="s">
        <v>165</v>
      </c>
      <c r="C58" s="79" t="s">
        <v>420</v>
      </c>
      <c r="D58" s="115" t="s">
        <v>421</v>
      </c>
      <c r="E58" s="115" t="str">
        <f t="shared" si="0"/>
        <v>2</v>
      </c>
      <c r="F58" s="79" t="s">
        <v>422</v>
      </c>
      <c r="G58" s="79" t="s">
        <v>387</v>
      </c>
      <c r="H58" s="79" t="s">
        <v>407</v>
      </c>
      <c r="I58" s="79" t="s">
        <v>408</v>
      </c>
      <c r="J58" s="79" t="s">
        <v>331</v>
      </c>
      <c r="K58" s="79" t="s">
        <v>332</v>
      </c>
      <c r="L58" s="116">
        <v>52417</v>
      </c>
      <c r="M58" s="116">
        <v>52417</v>
      </c>
      <c r="N58" s="117">
        <v>100</v>
      </c>
    </row>
    <row r="59" spans="1:14">
      <c r="A59" s="79" t="s">
        <v>425</v>
      </c>
      <c r="B59" s="79" t="s">
        <v>165</v>
      </c>
      <c r="C59" s="79" t="s">
        <v>420</v>
      </c>
      <c r="D59" s="115" t="s">
        <v>421</v>
      </c>
      <c r="E59" s="115" t="str">
        <f t="shared" si="0"/>
        <v>2</v>
      </c>
      <c r="F59" s="79" t="s">
        <v>422</v>
      </c>
      <c r="G59" s="79" t="s">
        <v>387</v>
      </c>
      <c r="H59" s="79" t="s">
        <v>407</v>
      </c>
      <c r="I59" s="79" t="s">
        <v>408</v>
      </c>
      <c r="J59" s="79" t="s">
        <v>331</v>
      </c>
      <c r="K59" s="79" t="s">
        <v>332</v>
      </c>
      <c r="L59" s="116">
        <v>52417</v>
      </c>
      <c r="M59" s="116">
        <v>52417</v>
      </c>
      <c r="N59" s="117">
        <v>100</v>
      </c>
    </row>
    <row r="60" spans="1:14">
      <c r="A60" s="79" t="s">
        <v>426</v>
      </c>
      <c r="B60" s="79" t="s">
        <v>165</v>
      </c>
      <c r="C60" s="79" t="s">
        <v>420</v>
      </c>
      <c r="D60" s="115" t="s">
        <v>421</v>
      </c>
      <c r="E60" s="115" t="str">
        <f t="shared" si="0"/>
        <v>2</v>
      </c>
      <c r="F60" s="79" t="s">
        <v>422</v>
      </c>
      <c r="G60" s="79" t="s">
        <v>387</v>
      </c>
      <c r="H60" s="79" t="s">
        <v>407</v>
      </c>
      <c r="I60" s="79" t="s">
        <v>408</v>
      </c>
      <c r="J60" s="79" t="s">
        <v>331</v>
      </c>
      <c r="K60" s="79" t="s">
        <v>332</v>
      </c>
      <c r="L60" s="116">
        <v>52417</v>
      </c>
      <c r="M60" s="116">
        <v>52417</v>
      </c>
      <c r="N60" s="117">
        <v>100</v>
      </c>
    </row>
    <row r="61" spans="1:14">
      <c r="A61" s="79" t="s">
        <v>427</v>
      </c>
      <c r="B61" s="79" t="s">
        <v>165</v>
      </c>
      <c r="C61" s="79" t="s">
        <v>420</v>
      </c>
      <c r="D61" s="115" t="s">
        <v>421</v>
      </c>
      <c r="E61" s="115" t="str">
        <f t="shared" si="0"/>
        <v>2</v>
      </c>
      <c r="F61" s="79" t="s">
        <v>422</v>
      </c>
      <c r="G61" s="79" t="s">
        <v>387</v>
      </c>
      <c r="H61" s="79" t="s">
        <v>407</v>
      </c>
      <c r="I61" s="79" t="s">
        <v>408</v>
      </c>
      <c r="J61" s="79" t="s">
        <v>331</v>
      </c>
      <c r="K61" s="79" t="s">
        <v>332</v>
      </c>
      <c r="L61" s="116">
        <v>53868</v>
      </c>
      <c r="M61" s="116">
        <v>53868</v>
      </c>
      <c r="N61" s="117">
        <v>100</v>
      </c>
    </row>
    <row r="62" spans="1:14">
      <c r="A62" s="79" t="s">
        <v>428</v>
      </c>
      <c r="B62" s="79" t="s">
        <v>165</v>
      </c>
      <c r="C62" s="79" t="s">
        <v>420</v>
      </c>
      <c r="D62" s="115" t="s">
        <v>421</v>
      </c>
      <c r="E62" s="115" t="str">
        <f t="shared" si="0"/>
        <v>2</v>
      </c>
      <c r="F62" s="79" t="s">
        <v>422</v>
      </c>
      <c r="G62" s="79" t="s">
        <v>387</v>
      </c>
      <c r="H62" s="79" t="s">
        <v>407</v>
      </c>
      <c r="I62" s="79" t="s">
        <v>408</v>
      </c>
      <c r="J62" s="79" t="s">
        <v>331</v>
      </c>
      <c r="K62" s="79" t="s">
        <v>332</v>
      </c>
      <c r="L62" s="116">
        <v>55600</v>
      </c>
      <c r="M62" s="116">
        <v>55600</v>
      </c>
      <c r="N62" s="117">
        <v>100</v>
      </c>
    </row>
    <row r="63" spans="1:14">
      <c r="A63" s="79" t="s">
        <v>429</v>
      </c>
      <c r="B63" s="79" t="s">
        <v>165</v>
      </c>
      <c r="C63" s="79" t="s">
        <v>420</v>
      </c>
      <c r="D63" s="115" t="s">
        <v>421</v>
      </c>
      <c r="E63" s="115" t="str">
        <f t="shared" si="0"/>
        <v>2</v>
      </c>
      <c r="F63" s="79" t="s">
        <v>422</v>
      </c>
      <c r="G63" s="79" t="s">
        <v>387</v>
      </c>
      <c r="H63" s="79" t="s">
        <v>407</v>
      </c>
      <c r="I63" s="79" t="s">
        <v>408</v>
      </c>
      <c r="J63" s="79" t="s">
        <v>331</v>
      </c>
      <c r="K63" s="79" t="s">
        <v>332</v>
      </c>
      <c r="L63" s="116">
        <v>55600</v>
      </c>
      <c r="M63" s="116">
        <v>55600</v>
      </c>
      <c r="N63" s="117">
        <v>100</v>
      </c>
    </row>
    <row r="64" spans="1:14">
      <c r="A64" s="79" t="s">
        <v>430</v>
      </c>
      <c r="B64" s="79" t="s">
        <v>165</v>
      </c>
      <c r="C64" s="79" t="s">
        <v>420</v>
      </c>
      <c r="D64" s="115" t="s">
        <v>421</v>
      </c>
      <c r="E64" s="115" t="str">
        <f t="shared" si="0"/>
        <v>2</v>
      </c>
      <c r="F64" s="79" t="s">
        <v>422</v>
      </c>
      <c r="G64" s="79" t="s">
        <v>387</v>
      </c>
      <c r="H64" s="79" t="s">
        <v>407</v>
      </c>
      <c r="I64" s="79" t="s">
        <v>408</v>
      </c>
      <c r="J64" s="79" t="s">
        <v>331</v>
      </c>
      <c r="K64" s="79" t="s">
        <v>332</v>
      </c>
      <c r="L64" s="116">
        <v>56868</v>
      </c>
      <c r="M64" s="116">
        <v>56868</v>
      </c>
      <c r="N64" s="117">
        <v>100</v>
      </c>
    </row>
    <row r="65" spans="1:14">
      <c r="A65" s="79" t="s">
        <v>431</v>
      </c>
      <c r="B65" s="79" t="s">
        <v>165</v>
      </c>
      <c r="C65" s="79" t="s">
        <v>420</v>
      </c>
      <c r="D65" s="115" t="s">
        <v>421</v>
      </c>
      <c r="E65" s="115" t="str">
        <f t="shared" si="0"/>
        <v>2</v>
      </c>
      <c r="F65" s="79" t="s">
        <v>422</v>
      </c>
      <c r="G65" s="79" t="s">
        <v>387</v>
      </c>
      <c r="H65" s="79" t="s">
        <v>407</v>
      </c>
      <c r="I65" s="79" t="s">
        <v>408</v>
      </c>
      <c r="J65" s="79" t="s">
        <v>331</v>
      </c>
      <c r="K65" s="79" t="s">
        <v>332</v>
      </c>
      <c r="L65" s="116">
        <v>58451</v>
      </c>
      <c r="M65" s="116">
        <v>58451</v>
      </c>
      <c r="N65" s="117">
        <v>100</v>
      </c>
    </row>
    <row r="66" spans="1:14">
      <c r="A66" s="79" t="s">
        <v>432</v>
      </c>
      <c r="B66" s="79" t="s">
        <v>165</v>
      </c>
      <c r="C66" s="79" t="s">
        <v>420</v>
      </c>
      <c r="D66" s="115" t="s">
        <v>421</v>
      </c>
      <c r="E66" s="115" t="str">
        <f t="shared" si="0"/>
        <v>2</v>
      </c>
      <c r="F66" s="79" t="s">
        <v>422</v>
      </c>
      <c r="G66" s="79" t="s">
        <v>387</v>
      </c>
      <c r="H66" s="79" t="s">
        <v>407</v>
      </c>
      <c r="I66" s="79" t="s">
        <v>408</v>
      </c>
      <c r="J66" s="79" t="s">
        <v>331</v>
      </c>
      <c r="K66" s="79" t="s">
        <v>332</v>
      </c>
      <c r="L66" s="116">
        <v>59560</v>
      </c>
      <c r="M66" s="116">
        <v>59560</v>
      </c>
      <c r="N66" s="117">
        <v>100</v>
      </c>
    </row>
    <row r="67" spans="1:14">
      <c r="A67" s="79" t="s">
        <v>433</v>
      </c>
      <c r="B67" s="79" t="s">
        <v>165</v>
      </c>
      <c r="C67" s="79" t="s">
        <v>420</v>
      </c>
      <c r="D67" s="115" t="s">
        <v>421</v>
      </c>
      <c r="E67" s="115" t="str">
        <f t="shared" ref="E67:E130" si="1">LEFT(D67,1)</f>
        <v>2</v>
      </c>
      <c r="F67" s="79" t="s">
        <v>422</v>
      </c>
      <c r="G67" s="79" t="s">
        <v>387</v>
      </c>
      <c r="H67" s="79" t="s">
        <v>407</v>
      </c>
      <c r="I67" s="79" t="s">
        <v>408</v>
      </c>
      <c r="J67" s="79" t="s">
        <v>331</v>
      </c>
      <c r="K67" s="79" t="s">
        <v>332</v>
      </c>
      <c r="L67" s="116">
        <v>81245</v>
      </c>
      <c r="M67" s="116">
        <v>81245</v>
      </c>
      <c r="N67" s="117">
        <v>100</v>
      </c>
    </row>
    <row r="68" spans="1:14">
      <c r="A68" s="79" t="s">
        <v>434</v>
      </c>
      <c r="B68" s="79" t="s">
        <v>165</v>
      </c>
      <c r="C68" s="79" t="s">
        <v>435</v>
      </c>
      <c r="D68" s="115" t="s">
        <v>436</v>
      </c>
      <c r="E68" s="115" t="str">
        <f t="shared" si="1"/>
        <v>2</v>
      </c>
      <c r="F68" s="79" t="s">
        <v>2</v>
      </c>
      <c r="G68" s="79" t="s">
        <v>341</v>
      </c>
      <c r="H68" s="79" t="s">
        <v>407</v>
      </c>
      <c r="I68" s="79" t="s">
        <v>408</v>
      </c>
      <c r="J68" s="79" t="s">
        <v>331</v>
      </c>
      <c r="K68" s="79" t="s">
        <v>332</v>
      </c>
      <c r="L68" s="116">
        <v>32332</v>
      </c>
      <c r="M68" s="116">
        <v>32332</v>
      </c>
      <c r="N68" s="117">
        <v>100</v>
      </c>
    </row>
    <row r="69" spans="1:14">
      <c r="A69" s="79" t="s">
        <v>437</v>
      </c>
      <c r="B69" s="79" t="s">
        <v>165</v>
      </c>
      <c r="C69" s="79" t="s">
        <v>435</v>
      </c>
      <c r="D69" s="115" t="s">
        <v>436</v>
      </c>
      <c r="E69" s="115" t="str">
        <f t="shared" si="1"/>
        <v>2</v>
      </c>
      <c r="F69" s="79" t="s">
        <v>2</v>
      </c>
      <c r="G69" s="79" t="s">
        <v>387</v>
      </c>
      <c r="H69" s="79" t="s">
        <v>407</v>
      </c>
      <c r="I69" s="79" t="s">
        <v>408</v>
      </c>
      <c r="J69" s="79" t="s">
        <v>331</v>
      </c>
      <c r="K69" s="79" t="s">
        <v>332</v>
      </c>
      <c r="L69" s="116">
        <v>34540</v>
      </c>
      <c r="M69" s="116">
        <v>34540</v>
      </c>
      <c r="N69" s="117">
        <v>100</v>
      </c>
    </row>
    <row r="70" spans="1:14">
      <c r="A70" s="79" t="s">
        <v>438</v>
      </c>
      <c r="B70" s="79" t="s">
        <v>165</v>
      </c>
      <c r="C70" s="79" t="s">
        <v>435</v>
      </c>
      <c r="D70" s="115" t="s">
        <v>436</v>
      </c>
      <c r="E70" s="115" t="str">
        <f t="shared" si="1"/>
        <v>2</v>
      </c>
      <c r="F70" s="79" t="s">
        <v>2</v>
      </c>
      <c r="G70" s="79" t="s">
        <v>387</v>
      </c>
      <c r="H70" s="79" t="s">
        <v>407</v>
      </c>
      <c r="I70" s="79" t="s">
        <v>408</v>
      </c>
      <c r="J70" s="79" t="s">
        <v>331</v>
      </c>
      <c r="K70" s="79" t="s">
        <v>332</v>
      </c>
      <c r="L70" s="116">
        <v>34540</v>
      </c>
      <c r="M70" s="116">
        <v>34540</v>
      </c>
      <c r="N70" s="117">
        <v>100</v>
      </c>
    </row>
    <row r="71" spans="1:14">
      <c r="A71" s="79" t="s">
        <v>439</v>
      </c>
      <c r="B71" s="79" t="s">
        <v>165</v>
      </c>
      <c r="C71" s="79" t="s">
        <v>435</v>
      </c>
      <c r="D71" s="115" t="s">
        <v>436</v>
      </c>
      <c r="E71" s="115" t="str">
        <f t="shared" si="1"/>
        <v>2</v>
      </c>
      <c r="F71" s="79" t="s">
        <v>2</v>
      </c>
      <c r="G71" s="79" t="s">
        <v>387</v>
      </c>
      <c r="H71" s="79" t="s">
        <v>407</v>
      </c>
      <c r="I71" s="79" t="s">
        <v>408</v>
      </c>
      <c r="J71" s="79" t="s">
        <v>331</v>
      </c>
      <c r="K71" s="79" t="s">
        <v>332</v>
      </c>
      <c r="L71" s="116">
        <v>38832</v>
      </c>
      <c r="M71" s="116">
        <v>38832</v>
      </c>
      <c r="N71" s="117">
        <v>100</v>
      </c>
    </row>
    <row r="72" spans="1:14">
      <c r="A72" s="79" t="s">
        <v>440</v>
      </c>
      <c r="B72" s="79" t="s">
        <v>165</v>
      </c>
      <c r="C72" s="79" t="s">
        <v>435</v>
      </c>
      <c r="D72" s="115" t="s">
        <v>436</v>
      </c>
      <c r="E72" s="115" t="str">
        <f t="shared" si="1"/>
        <v>2</v>
      </c>
      <c r="F72" s="79" t="s">
        <v>2</v>
      </c>
      <c r="G72" s="79" t="s">
        <v>387</v>
      </c>
      <c r="H72" s="79" t="s">
        <v>407</v>
      </c>
      <c r="I72" s="79" t="s">
        <v>408</v>
      </c>
      <c r="J72" s="79" t="s">
        <v>331</v>
      </c>
      <c r="K72" s="79" t="s">
        <v>332</v>
      </c>
      <c r="L72" s="116">
        <v>43170</v>
      </c>
      <c r="M72" s="116">
        <v>43170</v>
      </c>
      <c r="N72" s="117">
        <v>100</v>
      </c>
    </row>
    <row r="73" spans="1:14">
      <c r="A73" s="79" t="s">
        <v>441</v>
      </c>
      <c r="B73" s="79" t="s">
        <v>165</v>
      </c>
      <c r="C73" s="79" t="s">
        <v>435</v>
      </c>
      <c r="D73" s="115" t="s">
        <v>436</v>
      </c>
      <c r="E73" s="115" t="str">
        <f t="shared" si="1"/>
        <v>2</v>
      </c>
      <c r="F73" s="79" t="s">
        <v>2</v>
      </c>
      <c r="G73" s="79" t="s">
        <v>387</v>
      </c>
      <c r="H73" s="79" t="s">
        <v>407</v>
      </c>
      <c r="I73" s="79" t="s">
        <v>408</v>
      </c>
      <c r="J73" s="79" t="s">
        <v>331</v>
      </c>
      <c r="K73" s="79" t="s">
        <v>332</v>
      </c>
      <c r="L73" s="116">
        <v>51817</v>
      </c>
      <c r="M73" s="116">
        <v>51817</v>
      </c>
      <c r="N73" s="117">
        <v>100</v>
      </c>
    </row>
    <row r="74" spans="1:14">
      <c r="A74" s="79" t="s">
        <v>442</v>
      </c>
      <c r="B74" s="79" t="s">
        <v>165</v>
      </c>
      <c r="C74" s="79" t="s">
        <v>435</v>
      </c>
      <c r="D74" s="115" t="s">
        <v>436</v>
      </c>
      <c r="E74" s="115" t="str">
        <f t="shared" si="1"/>
        <v>2</v>
      </c>
      <c r="F74" s="79" t="s">
        <v>2</v>
      </c>
      <c r="G74" s="79" t="s">
        <v>387</v>
      </c>
      <c r="H74" s="79" t="s">
        <v>407</v>
      </c>
      <c r="I74" s="79" t="s">
        <v>408</v>
      </c>
      <c r="J74" s="79" t="s">
        <v>331</v>
      </c>
      <c r="K74" s="79" t="s">
        <v>332</v>
      </c>
      <c r="L74" s="116">
        <v>52417</v>
      </c>
      <c r="M74" s="116">
        <v>52417</v>
      </c>
      <c r="N74" s="117">
        <v>100</v>
      </c>
    </row>
    <row r="75" spans="1:14">
      <c r="A75" s="79" t="s">
        <v>443</v>
      </c>
      <c r="B75" s="79" t="s">
        <v>165</v>
      </c>
      <c r="C75" s="79" t="s">
        <v>435</v>
      </c>
      <c r="D75" s="115" t="s">
        <v>436</v>
      </c>
      <c r="E75" s="115" t="str">
        <f t="shared" si="1"/>
        <v>2</v>
      </c>
      <c r="F75" s="79" t="s">
        <v>2</v>
      </c>
      <c r="G75" s="79" t="s">
        <v>387</v>
      </c>
      <c r="H75" s="79" t="s">
        <v>407</v>
      </c>
      <c r="I75" s="79" t="s">
        <v>408</v>
      </c>
      <c r="J75" s="79" t="s">
        <v>331</v>
      </c>
      <c r="K75" s="79" t="s">
        <v>332</v>
      </c>
      <c r="L75" s="116">
        <v>52417</v>
      </c>
      <c r="M75" s="116">
        <v>52417</v>
      </c>
      <c r="N75" s="117">
        <v>100</v>
      </c>
    </row>
    <row r="76" spans="1:14">
      <c r="A76" s="79" t="s">
        <v>444</v>
      </c>
      <c r="B76" s="79" t="s">
        <v>165</v>
      </c>
      <c r="C76" s="79" t="s">
        <v>435</v>
      </c>
      <c r="D76" s="115" t="s">
        <v>436</v>
      </c>
      <c r="E76" s="115" t="str">
        <f t="shared" si="1"/>
        <v>2</v>
      </c>
      <c r="F76" s="79" t="s">
        <v>2</v>
      </c>
      <c r="G76" s="79" t="s">
        <v>387</v>
      </c>
      <c r="H76" s="79" t="s">
        <v>407</v>
      </c>
      <c r="I76" s="79" t="s">
        <v>408</v>
      </c>
      <c r="J76" s="79" t="s">
        <v>331</v>
      </c>
      <c r="K76" s="79" t="s">
        <v>332</v>
      </c>
      <c r="L76" s="116">
        <v>57395</v>
      </c>
      <c r="M76" s="116">
        <v>57395</v>
      </c>
      <c r="N76" s="117">
        <v>100</v>
      </c>
    </row>
    <row r="77" spans="1:14">
      <c r="A77" s="79" t="s">
        <v>445</v>
      </c>
      <c r="B77" s="79" t="s">
        <v>165</v>
      </c>
      <c r="C77" s="79" t="s">
        <v>435</v>
      </c>
      <c r="D77" s="115" t="s">
        <v>436</v>
      </c>
      <c r="E77" s="115" t="str">
        <f t="shared" si="1"/>
        <v>2</v>
      </c>
      <c r="F77" s="79" t="s">
        <v>2</v>
      </c>
      <c r="G77" s="79" t="s">
        <v>387</v>
      </c>
      <c r="H77" s="79" t="s">
        <v>407</v>
      </c>
      <c r="I77" s="79" t="s">
        <v>408</v>
      </c>
      <c r="J77" s="79" t="s">
        <v>331</v>
      </c>
      <c r="K77" s="79" t="s">
        <v>332</v>
      </c>
      <c r="L77" s="116">
        <v>68716</v>
      </c>
      <c r="M77" s="116">
        <v>68716</v>
      </c>
      <c r="N77" s="117">
        <v>100</v>
      </c>
    </row>
    <row r="78" spans="1:14">
      <c r="A78" s="79" t="s">
        <v>446</v>
      </c>
      <c r="B78" s="79" t="s">
        <v>165</v>
      </c>
      <c r="C78" s="79" t="s">
        <v>435</v>
      </c>
      <c r="D78" s="115" t="s">
        <v>436</v>
      </c>
      <c r="E78" s="115" t="str">
        <f t="shared" si="1"/>
        <v>2</v>
      </c>
      <c r="F78" s="79" t="s">
        <v>2</v>
      </c>
      <c r="G78" s="79" t="s">
        <v>387</v>
      </c>
      <c r="H78" s="79" t="s">
        <v>407</v>
      </c>
      <c r="I78" s="79" t="s">
        <v>408</v>
      </c>
      <c r="J78" s="79" t="s">
        <v>331</v>
      </c>
      <c r="K78" s="79" t="s">
        <v>332</v>
      </c>
      <c r="L78" s="116">
        <v>71069</v>
      </c>
      <c r="M78" s="116">
        <v>71069</v>
      </c>
      <c r="N78" s="117">
        <v>100</v>
      </c>
    </row>
    <row r="79" spans="1:14">
      <c r="A79" s="79" t="s">
        <v>447</v>
      </c>
      <c r="B79" s="79" t="s">
        <v>165</v>
      </c>
      <c r="C79" s="79" t="s">
        <v>435</v>
      </c>
      <c r="D79" s="115" t="s">
        <v>436</v>
      </c>
      <c r="E79" s="115" t="str">
        <f t="shared" si="1"/>
        <v>2</v>
      </c>
      <c r="F79" s="79" t="s">
        <v>2</v>
      </c>
      <c r="G79" s="79" t="s">
        <v>387</v>
      </c>
      <c r="H79" s="79" t="s">
        <v>407</v>
      </c>
      <c r="I79" s="79" t="s">
        <v>408</v>
      </c>
      <c r="J79" s="79" t="s">
        <v>331</v>
      </c>
      <c r="K79" s="79" t="s">
        <v>332</v>
      </c>
      <c r="L79" s="116">
        <v>71119</v>
      </c>
      <c r="M79" s="116">
        <v>71119</v>
      </c>
      <c r="N79" s="117">
        <v>100</v>
      </c>
    </row>
    <row r="80" spans="1:14">
      <c r="A80" s="79" t="s">
        <v>448</v>
      </c>
      <c r="B80" s="79" t="s">
        <v>165</v>
      </c>
      <c r="C80" s="79" t="s">
        <v>435</v>
      </c>
      <c r="D80" s="115" t="s">
        <v>436</v>
      </c>
      <c r="E80" s="115" t="str">
        <f t="shared" si="1"/>
        <v>2</v>
      </c>
      <c r="F80" s="79" t="s">
        <v>2</v>
      </c>
      <c r="G80" s="79" t="s">
        <v>387</v>
      </c>
      <c r="H80" s="79" t="s">
        <v>407</v>
      </c>
      <c r="I80" s="79" t="s">
        <v>408</v>
      </c>
      <c r="J80" s="79" t="s">
        <v>331</v>
      </c>
      <c r="K80" s="79" t="s">
        <v>332</v>
      </c>
      <c r="L80" s="116">
        <v>71408</v>
      </c>
      <c r="M80" s="116">
        <v>71408</v>
      </c>
      <c r="N80" s="117">
        <v>100</v>
      </c>
    </row>
    <row r="81" spans="1:14">
      <c r="A81" s="79" t="s">
        <v>449</v>
      </c>
      <c r="B81" s="79" t="s">
        <v>165</v>
      </c>
      <c r="C81" s="79" t="s">
        <v>435</v>
      </c>
      <c r="D81" s="115" t="s">
        <v>436</v>
      </c>
      <c r="E81" s="115" t="str">
        <f t="shared" si="1"/>
        <v>2</v>
      </c>
      <c r="F81" s="79" t="s">
        <v>2</v>
      </c>
      <c r="G81" s="79" t="s">
        <v>387</v>
      </c>
      <c r="H81" s="79" t="s">
        <v>407</v>
      </c>
      <c r="I81" s="79" t="s">
        <v>408</v>
      </c>
      <c r="J81" s="79" t="s">
        <v>331</v>
      </c>
      <c r="K81" s="79" t="s">
        <v>332</v>
      </c>
      <c r="L81" s="116">
        <v>76751</v>
      </c>
      <c r="M81" s="116">
        <v>76751</v>
      </c>
      <c r="N81" s="117">
        <v>100</v>
      </c>
    </row>
    <row r="82" spans="1:14">
      <c r="A82" s="79" t="s">
        <v>450</v>
      </c>
      <c r="B82" s="79" t="s">
        <v>165</v>
      </c>
      <c r="C82" s="79" t="s">
        <v>435</v>
      </c>
      <c r="D82" s="115" t="s">
        <v>436</v>
      </c>
      <c r="E82" s="115" t="str">
        <f t="shared" si="1"/>
        <v>2</v>
      </c>
      <c r="F82" s="79" t="s">
        <v>2</v>
      </c>
      <c r="G82" s="79" t="s">
        <v>387</v>
      </c>
      <c r="H82" s="79" t="s">
        <v>407</v>
      </c>
      <c r="I82" s="79" t="s">
        <v>408</v>
      </c>
      <c r="J82" s="79" t="s">
        <v>331</v>
      </c>
      <c r="K82" s="79" t="s">
        <v>332</v>
      </c>
      <c r="L82" s="116">
        <v>77256</v>
      </c>
      <c r="M82" s="116">
        <v>77256</v>
      </c>
      <c r="N82" s="117">
        <v>100</v>
      </c>
    </row>
    <row r="83" spans="1:14">
      <c r="A83" s="79" t="s">
        <v>451</v>
      </c>
      <c r="B83" s="79" t="s">
        <v>165</v>
      </c>
      <c r="C83" s="79" t="s">
        <v>435</v>
      </c>
      <c r="D83" s="115" t="s">
        <v>436</v>
      </c>
      <c r="E83" s="115" t="str">
        <f t="shared" si="1"/>
        <v>2</v>
      </c>
      <c r="F83" s="79" t="s">
        <v>2</v>
      </c>
      <c r="G83" s="79" t="s">
        <v>387</v>
      </c>
      <c r="H83" s="79" t="s">
        <v>407</v>
      </c>
      <c r="I83" s="79" t="s">
        <v>408</v>
      </c>
      <c r="J83" s="79" t="s">
        <v>331</v>
      </c>
      <c r="K83" s="79" t="s">
        <v>332</v>
      </c>
      <c r="L83" s="116">
        <v>77516</v>
      </c>
      <c r="M83" s="116">
        <v>77516</v>
      </c>
      <c r="N83" s="117">
        <v>100</v>
      </c>
    </row>
    <row r="84" spans="1:14">
      <c r="A84" s="79" t="s">
        <v>452</v>
      </c>
      <c r="B84" s="79" t="s">
        <v>165</v>
      </c>
      <c r="C84" s="79" t="s">
        <v>453</v>
      </c>
      <c r="D84" s="115" t="s">
        <v>454</v>
      </c>
      <c r="E84" s="115" t="str">
        <f t="shared" si="1"/>
        <v>2</v>
      </c>
      <c r="F84" s="79" t="s">
        <v>455</v>
      </c>
      <c r="G84" s="79" t="s">
        <v>341</v>
      </c>
      <c r="H84" s="79" t="s">
        <v>407</v>
      </c>
      <c r="I84" s="79" t="s">
        <v>408</v>
      </c>
      <c r="J84" s="79" t="s">
        <v>331</v>
      </c>
      <c r="K84" s="79" t="s">
        <v>332</v>
      </c>
      <c r="L84" s="116">
        <v>30801</v>
      </c>
      <c r="M84" s="116">
        <v>30801</v>
      </c>
      <c r="N84" s="117">
        <v>100</v>
      </c>
    </row>
    <row r="85" spans="1:14">
      <c r="A85" s="79" t="s">
        <v>456</v>
      </c>
      <c r="B85" s="79" t="s">
        <v>165</v>
      </c>
      <c r="C85" s="79" t="s">
        <v>453</v>
      </c>
      <c r="D85" s="115" t="s">
        <v>454</v>
      </c>
      <c r="E85" s="115" t="str">
        <f t="shared" si="1"/>
        <v>2</v>
      </c>
      <c r="F85" s="79" t="s">
        <v>455</v>
      </c>
      <c r="G85" s="79" t="s">
        <v>387</v>
      </c>
      <c r="H85" s="79" t="s">
        <v>407</v>
      </c>
      <c r="I85" s="79" t="s">
        <v>408</v>
      </c>
      <c r="J85" s="79" t="s">
        <v>331</v>
      </c>
      <c r="K85" s="79" t="s">
        <v>332</v>
      </c>
      <c r="L85" s="116">
        <v>39253</v>
      </c>
      <c r="M85" s="116">
        <v>39253</v>
      </c>
      <c r="N85" s="117">
        <v>100</v>
      </c>
    </row>
    <row r="86" spans="1:14">
      <c r="A86" s="79" t="s">
        <v>457</v>
      </c>
      <c r="B86" s="79" t="s">
        <v>165</v>
      </c>
      <c r="C86" s="79" t="s">
        <v>453</v>
      </c>
      <c r="D86" s="115" t="s">
        <v>454</v>
      </c>
      <c r="E86" s="115" t="str">
        <f t="shared" si="1"/>
        <v>2</v>
      </c>
      <c r="F86" s="79" t="s">
        <v>455</v>
      </c>
      <c r="G86" s="79" t="s">
        <v>387</v>
      </c>
      <c r="H86" s="79" t="s">
        <v>407</v>
      </c>
      <c r="I86" s="79" t="s">
        <v>408</v>
      </c>
      <c r="J86" s="79" t="s">
        <v>331</v>
      </c>
      <c r="K86" s="79" t="s">
        <v>332</v>
      </c>
      <c r="L86" s="116">
        <v>51817</v>
      </c>
      <c r="M86" s="116">
        <v>51817</v>
      </c>
      <c r="N86" s="117">
        <v>100</v>
      </c>
    </row>
    <row r="87" spans="1:14">
      <c r="A87" s="79" t="s">
        <v>458</v>
      </c>
      <c r="B87" s="79" t="s">
        <v>165</v>
      </c>
      <c r="C87" s="79" t="s">
        <v>453</v>
      </c>
      <c r="D87" s="115" t="s">
        <v>454</v>
      </c>
      <c r="E87" s="115" t="str">
        <f t="shared" si="1"/>
        <v>2</v>
      </c>
      <c r="F87" s="79" t="s">
        <v>455</v>
      </c>
      <c r="G87" s="79" t="s">
        <v>387</v>
      </c>
      <c r="H87" s="79" t="s">
        <v>407</v>
      </c>
      <c r="I87" s="79" t="s">
        <v>408</v>
      </c>
      <c r="J87" s="79" t="s">
        <v>331</v>
      </c>
      <c r="K87" s="79" t="s">
        <v>332</v>
      </c>
      <c r="L87" s="116">
        <v>52417</v>
      </c>
      <c r="M87" s="116">
        <v>52417</v>
      </c>
      <c r="N87" s="117">
        <v>100</v>
      </c>
    </row>
    <row r="88" spans="1:14">
      <c r="A88" s="79" t="s">
        <v>459</v>
      </c>
      <c r="B88" s="79" t="s">
        <v>165</v>
      </c>
      <c r="C88" s="79" t="s">
        <v>453</v>
      </c>
      <c r="D88" s="115" t="s">
        <v>454</v>
      </c>
      <c r="E88" s="115" t="str">
        <f t="shared" si="1"/>
        <v>2</v>
      </c>
      <c r="F88" s="79" t="s">
        <v>455</v>
      </c>
      <c r="G88" s="79" t="s">
        <v>387</v>
      </c>
      <c r="H88" s="79" t="s">
        <v>407</v>
      </c>
      <c r="I88" s="79" t="s">
        <v>408</v>
      </c>
      <c r="J88" s="79" t="s">
        <v>331</v>
      </c>
      <c r="K88" s="79" t="s">
        <v>332</v>
      </c>
      <c r="L88" s="116">
        <v>53868</v>
      </c>
      <c r="M88" s="116">
        <v>53868</v>
      </c>
      <c r="N88" s="117">
        <v>100</v>
      </c>
    </row>
    <row r="89" spans="1:14">
      <c r="A89" s="79" t="s">
        <v>460</v>
      </c>
      <c r="B89" s="79" t="s">
        <v>165</v>
      </c>
      <c r="C89" s="79" t="s">
        <v>453</v>
      </c>
      <c r="D89" s="115" t="s">
        <v>454</v>
      </c>
      <c r="E89" s="115" t="str">
        <f t="shared" si="1"/>
        <v>2</v>
      </c>
      <c r="F89" s="79" t="s">
        <v>455</v>
      </c>
      <c r="G89" s="79" t="s">
        <v>387</v>
      </c>
      <c r="H89" s="79" t="s">
        <v>407</v>
      </c>
      <c r="I89" s="79" t="s">
        <v>408</v>
      </c>
      <c r="J89" s="79" t="s">
        <v>331</v>
      </c>
      <c r="K89" s="79" t="s">
        <v>332</v>
      </c>
      <c r="L89" s="116">
        <v>56126</v>
      </c>
      <c r="M89" s="116">
        <v>56126</v>
      </c>
      <c r="N89" s="117">
        <v>100</v>
      </c>
    </row>
    <row r="90" spans="1:14">
      <c r="A90" s="79" t="s">
        <v>461</v>
      </c>
      <c r="B90" s="79" t="s">
        <v>165</v>
      </c>
      <c r="C90" s="79" t="s">
        <v>453</v>
      </c>
      <c r="D90" s="115" t="s">
        <v>454</v>
      </c>
      <c r="E90" s="115" t="str">
        <f t="shared" si="1"/>
        <v>2</v>
      </c>
      <c r="F90" s="79" t="s">
        <v>455</v>
      </c>
      <c r="G90" s="79" t="s">
        <v>387</v>
      </c>
      <c r="H90" s="79" t="s">
        <v>407</v>
      </c>
      <c r="I90" s="79" t="s">
        <v>408</v>
      </c>
      <c r="J90" s="79" t="s">
        <v>331</v>
      </c>
      <c r="K90" s="79" t="s">
        <v>332</v>
      </c>
      <c r="L90" s="116">
        <v>56500</v>
      </c>
      <c r="M90" s="116">
        <v>56500</v>
      </c>
      <c r="N90" s="117">
        <v>100</v>
      </c>
    </row>
    <row r="91" spans="1:14">
      <c r="A91" s="79" t="s">
        <v>462</v>
      </c>
      <c r="B91" s="79" t="s">
        <v>165</v>
      </c>
      <c r="C91" s="79" t="s">
        <v>453</v>
      </c>
      <c r="D91" s="115" t="s">
        <v>454</v>
      </c>
      <c r="E91" s="115" t="str">
        <f t="shared" si="1"/>
        <v>2</v>
      </c>
      <c r="F91" s="79" t="s">
        <v>455</v>
      </c>
      <c r="G91" s="79" t="s">
        <v>387</v>
      </c>
      <c r="H91" s="79" t="s">
        <v>407</v>
      </c>
      <c r="I91" s="79" t="s">
        <v>408</v>
      </c>
      <c r="J91" s="79" t="s">
        <v>331</v>
      </c>
      <c r="K91" s="79" t="s">
        <v>332</v>
      </c>
      <c r="L91" s="116">
        <v>71122</v>
      </c>
      <c r="M91" s="116">
        <v>71122</v>
      </c>
      <c r="N91" s="117">
        <v>100</v>
      </c>
    </row>
    <row r="92" spans="1:14">
      <c r="A92" s="79" t="s">
        <v>463</v>
      </c>
      <c r="B92" s="79" t="s">
        <v>165</v>
      </c>
      <c r="C92" s="79" t="s">
        <v>453</v>
      </c>
      <c r="D92" s="115" t="s">
        <v>454</v>
      </c>
      <c r="E92" s="115" t="str">
        <f t="shared" si="1"/>
        <v>2</v>
      </c>
      <c r="F92" s="79" t="s">
        <v>455</v>
      </c>
      <c r="G92" s="79" t="s">
        <v>387</v>
      </c>
      <c r="H92" s="79" t="s">
        <v>407</v>
      </c>
      <c r="I92" s="79" t="s">
        <v>408</v>
      </c>
      <c r="J92" s="79" t="s">
        <v>331</v>
      </c>
      <c r="K92" s="79" t="s">
        <v>332</v>
      </c>
      <c r="L92" s="116">
        <v>72446</v>
      </c>
      <c r="M92" s="116">
        <v>72446</v>
      </c>
      <c r="N92" s="117">
        <v>100</v>
      </c>
    </row>
    <row r="93" spans="1:14">
      <c r="A93" s="79" t="s">
        <v>464</v>
      </c>
      <c r="B93" s="79" t="s">
        <v>165</v>
      </c>
      <c r="C93" s="79" t="s">
        <v>465</v>
      </c>
      <c r="D93" s="115" t="s">
        <v>466</v>
      </c>
      <c r="E93" s="115" t="str">
        <f t="shared" si="1"/>
        <v>2</v>
      </c>
      <c r="F93" s="79" t="s">
        <v>467</v>
      </c>
      <c r="G93" s="79" t="s">
        <v>341</v>
      </c>
      <c r="H93" s="79" t="s">
        <v>407</v>
      </c>
      <c r="I93" s="79" t="s">
        <v>408</v>
      </c>
      <c r="J93" s="79" t="s">
        <v>331</v>
      </c>
      <c r="K93" s="79" t="s">
        <v>332</v>
      </c>
      <c r="L93" s="116">
        <v>30286</v>
      </c>
      <c r="M93" s="116">
        <v>9669</v>
      </c>
      <c r="N93" s="117">
        <v>31.93</v>
      </c>
    </row>
    <row r="94" spans="1:14">
      <c r="A94" s="79" t="s">
        <v>468</v>
      </c>
      <c r="B94" s="79" t="s">
        <v>165</v>
      </c>
      <c r="C94" s="79" t="s">
        <v>465</v>
      </c>
      <c r="D94" s="115" t="s">
        <v>466</v>
      </c>
      <c r="E94" s="115" t="str">
        <f t="shared" si="1"/>
        <v>2</v>
      </c>
      <c r="F94" s="79" t="s">
        <v>467</v>
      </c>
      <c r="G94" s="79" t="s">
        <v>341</v>
      </c>
      <c r="H94" s="79" t="s">
        <v>407</v>
      </c>
      <c r="I94" s="79" t="s">
        <v>408</v>
      </c>
      <c r="J94" s="79" t="s">
        <v>331</v>
      </c>
      <c r="K94" s="79" t="s">
        <v>332</v>
      </c>
      <c r="L94" s="116">
        <v>13917</v>
      </c>
      <c r="M94" s="116">
        <v>13917</v>
      </c>
      <c r="N94" s="117">
        <v>100</v>
      </c>
    </row>
    <row r="95" spans="1:14">
      <c r="A95" s="79" t="s">
        <v>469</v>
      </c>
      <c r="B95" s="79" t="s">
        <v>165</v>
      </c>
      <c r="C95" s="79" t="s">
        <v>465</v>
      </c>
      <c r="D95" s="115" t="s">
        <v>466</v>
      </c>
      <c r="E95" s="115" t="str">
        <f t="shared" si="1"/>
        <v>2</v>
      </c>
      <c r="F95" s="79" t="s">
        <v>467</v>
      </c>
      <c r="G95" s="79" t="s">
        <v>387</v>
      </c>
      <c r="H95" s="79" t="s">
        <v>407</v>
      </c>
      <c r="I95" s="79" t="s">
        <v>408</v>
      </c>
      <c r="J95" s="79" t="s">
        <v>331</v>
      </c>
      <c r="K95" s="79" t="s">
        <v>332</v>
      </c>
      <c r="L95" s="116">
        <v>22190</v>
      </c>
      <c r="M95" s="116">
        <v>22190</v>
      </c>
      <c r="N95" s="117">
        <v>100</v>
      </c>
    </row>
    <row r="96" spans="1:14">
      <c r="A96" s="79" t="s">
        <v>470</v>
      </c>
      <c r="B96" s="79" t="s">
        <v>165</v>
      </c>
      <c r="C96" s="79" t="s">
        <v>465</v>
      </c>
      <c r="D96" s="115" t="s">
        <v>466</v>
      </c>
      <c r="E96" s="115" t="str">
        <f t="shared" si="1"/>
        <v>2</v>
      </c>
      <c r="F96" s="79" t="s">
        <v>467</v>
      </c>
      <c r="G96" s="79" t="s">
        <v>341</v>
      </c>
      <c r="H96" s="79" t="s">
        <v>407</v>
      </c>
      <c r="I96" s="79" t="s">
        <v>408</v>
      </c>
      <c r="J96" s="79" t="s">
        <v>331</v>
      </c>
      <c r="K96" s="79" t="s">
        <v>332</v>
      </c>
      <c r="L96" s="116">
        <v>25518</v>
      </c>
      <c r="M96" s="116">
        <v>25518</v>
      </c>
      <c r="N96" s="117">
        <v>100</v>
      </c>
    </row>
    <row r="97" spans="1:14">
      <c r="A97" s="79" t="s">
        <v>471</v>
      </c>
      <c r="B97" s="79" t="s">
        <v>165</v>
      </c>
      <c r="C97" s="79" t="s">
        <v>465</v>
      </c>
      <c r="D97" s="115" t="s">
        <v>466</v>
      </c>
      <c r="E97" s="115" t="str">
        <f t="shared" si="1"/>
        <v>2</v>
      </c>
      <c r="F97" s="79" t="s">
        <v>467</v>
      </c>
      <c r="G97" s="79" t="s">
        <v>341</v>
      </c>
      <c r="H97" s="79" t="s">
        <v>407</v>
      </c>
      <c r="I97" s="79" t="s">
        <v>408</v>
      </c>
      <c r="J97" s="79" t="s">
        <v>331</v>
      </c>
      <c r="K97" s="79" t="s">
        <v>332</v>
      </c>
      <c r="L97" s="116">
        <v>28946</v>
      </c>
      <c r="M97" s="116">
        <v>28946</v>
      </c>
      <c r="N97" s="117">
        <v>100</v>
      </c>
    </row>
    <row r="98" spans="1:14">
      <c r="A98" s="79" t="s">
        <v>339</v>
      </c>
      <c r="B98" s="79" t="s">
        <v>165</v>
      </c>
      <c r="C98" s="79" t="s">
        <v>465</v>
      </c>
      <c r="D98" s="115" t="s">
        <v>466</v>
      </c>
      <c r="E98" s="115" t="str">
        <f t="shared" si="1"/>
        <v>2</v>
      </c>
      <c r="F98" s="79" t="s">
        <v>467</v>
      </c>
      <c r="G98" s="79" t="s">
        <v>387</v>
      </c>
      <c r="H98" s="79" t="s">
        <v>407</v>
      </c>
      <c r="I98" s="79" t="s">
        <v>408</v>
      </c>
      <c r="J98" s="79" t="s">
        <v>331</v>
      </c>
      <c r="K98" s="79" t="s">
        <v>332</v>
      </c>
      <c r="L98" s="116">
        <v>43649</v>
      </c>
      <c r="M98" s="116">
        <v>31494</v>
      </c>
      <c r="N98" s="117">
        <v>72.150000000000006</v>
      </c>
    </row>
    <row r="99" spans="1:14">
      <c r="A99" s="79" t="s">
        <v>472</v>
      </c>
      <c r="B99" s="79" t="s">
        <v>165</v>
      </c>
      <c r="C99" s="79" t="s">
        <v>465</v>
      </c>
      <c r="D99" s="115" t="s">
        <v>466</v>
      </c>
      <c r="E99" s="115" t="str">
        <f t="shared" si="1"/>
        <v>2</v>
      </c>
      <c r="F99" s="79" t="s">
        <v>467</v>
      </c>
      <c r="G99" s="79" t="s">
        <v>387</v>
      </c>
      <c r="H99" s="79" t="s">
        <v>407</v>
      </c>
      <c r="I99" s="79" t="s">
        <v>408</v>
      </c>
      <c r="J99" s="79" t="s">
        <v>331</v>
      </c>
      <c r="K99" s="79" t="s">
        <v>332</v>
      </c>
      <c r="L99" s="116">
        <v>51817</v>
      </c>
      <c r="M99" s="116">
        <v>51817</v>
      </c>
      <c r="N99" s="117">
        <v>100</v>
      </c>
    </row>
    <row r="100" spans="1:14">
      <c r="A100" s="79" t="s">
        <v>473</v>
      </c>
      <c r="B100" s="79" t="s">
        <v>165</v>
      </c>
      <c r="C100" s="79" t="s">
        <v>465</v>
      </c>
      <c r="D100" s="115" t="s">
        <v>466</v>
      </c>
      <c r="E100" s="115" t="str">
        <f t="shared" si="1"/>
        <v>2</v>
      </c>
      <c r="F100" s="79" t="s">
        <v>467</v>
      </c>
      <c r="G100" s="79" t="s">
        <v>387</v>
      </c>
      <c r="H100" s="79" t="s">
        <v>407</v>
      </c>
      <c r="I100" s="79" t="s">
        <v>408</v>
      </c>
      <c r="J100" s="79" t="s">
        <v>331</v>
      </c>
      <c r="K100" s="79" t="s">
        <v>332</v>
      </c>
      <c r="L100" s="116">
        <v>51817</v>
      </c>
      <c r="M100" s="116">
        <v>51817</v>
      </c>
      <c r="N100" s="117">
        <v>100</v>
      </c>
    </row>
    <row r="101" spans="1:14">
      <c r="A101" s="79" t="s">
        <v>474</v>
      </c>
      <c r="B101" s="79" t="s">
        <v>165</v>
      </c>
      <c r="C101" s="79" t="s">
        <v>465</v>
      </c>
      <c r="D101" s="115" t="s">
        <v>466</v>
      </c>
      <c r="E101" s="115" t="str">
        <f t="shared" si="1"/>
        <v>2</v>
      </c>
      <c r="F101" s="79" t="s">
        <v>467</v>
      </c>
      <c r="G101" s="79" t="s">
        <v>387</v>
      </c>
      <c r="H101" s="79" t="s">
        <v>407</v>
      </c>
      <c r="I101" s="79" t="s">
        <v>408</v>
      </c>
      <c r="J101" s="79" t="s">
        <v>331</v>
      </c>
      <c r="K101" s="79" t="s">
        <v>332</v>
      </c>
      <c r="L101" s="116">
        <v>51817</v>
      </c>
      <c r="M101" s="116">
        <v>51817</v>
      </c>
      <c r="N101" s="117">
        <v>100</v>
      </c>
    </row>
    <row r="102" spans="1:14">
      <c r="A102" s="79" t="s">
        <v>475</v>
      </c>
      <c r="B102" s="79" t="s">
        <v>165</v>
      </c>
      <c r="C102" s="79" t="s">
        <v>465</v>
      </c>
      <c r="D102" s="115" t="s">
        <v>466</v>
      </c>
      <c r="E102" s="115" t="str">
        <f t="shared" si="1"/>
        <v>2</v>
      </c>
      <c r="F102" s="79" t="s">
        <v>467</v>
      </c>
      <c r="G102" s="79" t="s">
        <v>387</v>
      </c>
      <c r="H102" s="79" t="s">
        <v>407</v>
      </c>
      <c r="I102" s="79" t="s">
        <v>408</v>
      </c>
      <c r="J102" s="79" t="s">
        <v>331</v>
      </c>
      <c r="K102" s="79" t="s">
        <v>332</v>
      </c>
      <c r="L102" s="116">
        <v>51817</v>
      </c>
      <c r="M102" s="116">
        <v>51817</v>
      </c>
      <c r="N102" s="117">
        <v>100</v>
      </c>
    </row>
    <row r="103" spans="1:14">
      <c r="A103" s="79" t="s">
        <v>476</v>
      </c>
      <c r="B103" s="79" t="s">
        <v>165</v>
      </c>
      <c r="C103" s="79" t="s">
        <v>465</v>
      </c>
      <c r="D103" s="115" t="s">
        <v>466</v>
      </c>
      <c r="E103" s="115" t="str">
        <f t="shared" si="1"/>
        <v>2</v>
      </c>
      <c r="F103" s="79" t="s">
        <v>467</v>
      </c>
      <c r="G103" s="79" t="s">
        <v>387</v>
      </c>
      <c r="H103" s="79" t="s">
        <v>407</v>
      </c>
      <c r="I103" s="79" t="s">
        <v>408</v>
      </c>
      <c r="J103" s="79" t="s">
        <v>331</v>
      </c>
      <c r="K103" s="79" t="s">
        <v>332</v>
      </c>
      <c r="L103" s="116">
        <v>52417</v>
      </c>
      <c r="M103" s="116">
        <v>52417</v>
      </c>
      <c r="N103" s="117">
        <v>100</v>
      </c>
    </row>
    <row r="104" spans="1:14">
      <c r="A104" s="79" t="s">
        <v>477</v>
      </c>
      <c r="B104" s="79" t="s">
        <v>165</v>
      </c>
      <c r="C104" s="79" t="s">
        <v>465</v>
      </c>
      <c r="D104" s="115" t="s">
        <v>466</v>
      </c>
      <c r="E104" s="115" t="str">
        <f t="shared" si="1"/>
        <v>2</v>
      </c>
      <c r="F104" s="79" t="s">
        <v>467</v>
      </c>
      <c r="G104" s="79" t="s">
        <v>387</v>
      </c>
      <c r="H104" s="79" t="s">
        <v>407</v>
      </c>
      <c r="I104" s="79" t="s">
        <v>408</v>
      </c>
      <c r="J104" s="79" t="s">
        <v>331</v>
      </c>
      <c r="K104" s="79" t="s">
        <v>332</v>
      </c>
      <c r="L104" s="116">
        <v>53817</v>
      </c>
      <c r="M104" s="116">
        <v>53817</v>
      </c>
      <c r="N104" s="117">
        <v>100</v>
      </c>
    </row>
    <row r="105" spans="1:14">
      <c r="A105" s="79" t="s">
        <v>478</v>
      </c>
      <c r="B105" s="79" t="s">
        <v>165</v>
      </c>
      <c r="C105" s="79" t="s">
        <v>465</v>
      </c>
      <c r="D105" s="115" t="s">
        <v>466</v>
      </c>
      <c r="E105" s="115" t="str">
        <f t="shared" si="1"/>
        <v>2</v>
      </c>
      <c r="F105" s="79" t="s">
        <v>467</v>
      </c>
      <c r="G105" s="79" t="s">
        <v>387</v>
      </c>
      <c r="H105" s="79" t="s">
        <v>407</v>
      </c>
      <c r="I105" s="79" t="s">
        <v>408</v>
      </c>
      <c r="J105" s="79" t="s">
        <v>331</v>
      </c>
      <c r="K105" s="79" t="s">
        <v>332</v>
      </c>
      <c r="L105" s="116">
        <v>56500</v>
      </c>
      <c r="M105" s="116">
        <v>56500</v>
      </c>
      <c r="N105" s="117">
        <v>100</v>
      </c>
    </row>
    <row r="106" spans="1:14">
      <c r="A106" s="79" t="s">
        <v>479</v>
      </c>
      <c r="B106" s="79" t="s">
        <v>165</v>
      </c>
      <c r="C106" s="79" t="s">
        <v>465</v>
      </c>
      <c r="D106" s="115" t="s">
        <v>466</v>
      </c>
      <c r="E106" s="115" t="str">
        <f t="shared" si="1"/>
        <v>2</v>
      </c>
      <c r="F106" s="79" t="s">
        <v>467</v>
      </c>
      <c r="G106" s="79" t="s">
        <v>387</v>
      </c>
      <c r="H106" s="79" t="s">
        <v>407</v>
      </c>
      <c r="I106" s="79" t="s">
        <v>408</v>
      </c>
      <c r="J106" s="79" t="s">
        <v>331</v>
      </c>
      <c r="K106" s="79" t="s">
        <v>332</v>
      </c>
      <c r="L106" s="116">
        <v>56868</v>
      </c>
      <c r="M106" s="116">
        <v>56868</v>
      </c>
      <c r="N106" s="117">
        <v>100</v>
      </c>
    </row>
    <row r="107" spans="1:14">
      <c r="A107" s="79" t="s">
        <v>480</v>
      </c>
      <c r="B107" s="79" t="s">
        <v>165</v>
      </c>
      <c r="C107" s="79" t="s">
        <v>465</v>
      </c>
      <c r="D107" s="115" t="s">
        <v>466</v>
      </c>
      <c r="E107" s="115" t="str">
        <f t="shared" si="1"/>
        <v>2</v>
      </c>
      <c r="F107" s="79" t="s">
        <v>467</v>
      </c>
      <c r="G107" s="79" t="s">
        <v>387</v>
      </c>
      <c r="H107" s="79" t="s">
        <v>407</v>
      </c>
      <c r="I107" s="79" t="s">
        <v>408</v>
      </c>
      <c r="J107" s="79" t="s">
        <v>331</v>
      </c>
      <c r="K107" s="79" t="s">
        <v>332</v>
      </c>
      <c r="L107" s="116">
        <v>57792</v>
      </c>
      <c r="M107" s="116">
        <v>57792</v>
      </c>
      <c r="N107" s="117">
        <v>100</v>
      </c>
    </row>
    <row r="108" spans="1:14">
      <c r="A108" s="79" t="s">
        <v>481</v>
      </c>
      <c r="B108" s="79" t="s">
        <v>165</v>
      </c>
      <c r="C108" s="79" t="s">
        <v>465</v>
      </c>
      <c r="D108" s="115" t="s">
        <v>466</v>
      </c>
      <c r="E108" s="115" t="str">
        <f t="shared" si="1"/>
        <v>2</v>
      </c>
      <c r="F108" s="79" t="s">
        <v>467</v>
      </c>
      <c r="G108" s="79" t="s">
        <v>387</v>
      </c>
      <c r="H108" s="79" t="s">
        <v>407</v>
      </c>
      <c r="I108" s="79" t="s">
        <v>408</v>
      </c>
      <c r="J108" s="79" t="s">
        <v>331</v>
      </c>
      <c r="K108" s="79" t="s">
        <v>332</v>
      </c>
      <c r="L108" s="116">
        <v>63067</v>
      </c>
      <c r="M108" s="116">
        <v>63067</v>
      </c>
      <c r="N108" s="117">
        <v>100</v>
      </c>
    </row>
    <row r="109" spans="1:14">
      <c r="A109" s="79" t="s">
        <v>482</v>
      </c>
      <c r="B109" s="79" t="s">
        <v>165</v>
      </c>
      <c r="C109" s="79" t="s">
        <v>465</v>
      </c>
      <c r="D109" s="115" t="s">
        <v>466</v>
      </c>
      <c r="E109" s="115" t="str">
        <f t="shared" si="1"/>
        <v>2</v>
      </c>
      <c r="F109" s="79" t="s">
        <v>467</v>
      </c>
      <c r="G109" s="79" t="s">
        <v>387</v>
      </c>
      <c r="H109" s="79" t="s">
        <v>407</v>
      </c>
      <c r="I109" s="79" t="s">
        <v>408</v>
      </c>
      <c r="J109" s="79" t="s">
        <v>331</v>
      </c>
      <c r="K109" s="79" t="s">
        <v>332</v>
      </c>
      <c r="L109" s="116">
        <v>68874</v>
      </c>
      <c r="M109" s="116">
        <v>68874</v>
      </c>
      <c r="N109" s="117">
        <v>100</v>
      </c>
    </row>
    <row r="110" spans="1:14">
      <c r="A110" s="79" t="s">
        <v>483</v>
      </c>
      <c r="B110" s="79" t="s">
        <v>165</v>
      </c>
      <c r="C110" s="79" t="s">
        <v>465</v>
      </c>
      <c r="D110" s="115" t="s">
        <v>466</v>
      </c>
      <c r="E110" s="115" t="str">
        <f t="shared" si="1"/>
        <v>2</v>
      </c>
      <c r="F110" s="79" t="s">
        <v>467</v>
      </c>
      <c r="G110" s="79" t="s">
        <v>387</v>
      </c>
      <c r="H110" s="79" t="s">
        <v>407</v>
      </c>
      <c r="I110" s="79" t="s">
        <v>408</v>
      </c>
      <c r="J110" s="79" t="s">
        <v>331</v>
      </c>
      <c r="K110" s="79" t="s">
        <v>332</v>
      </c>
      <c r="L110" s="116">
        <v>70562</v>
      </c>
      <c r="M110" s="116">
        <v>70562</v>
      </c>
      <c r="N110" s="117">
        <v>100</v>
      </c>
    </row>
    <row r="111" spans="1:14">
      <c r="A111" s="79" t="s">
        <v>484</v>
      </c>
      <c r="B111" s="79" t="s">
        <v>165</v>
      </c>
      <c r="C111" s="79" t="s">
        <v>485</v>
      </c>
      <c r="D111" s="115" t="s">
        <v>486</v>
      </c>
      <c r="E111" s="115" t="str">
        <f t="shared" si="1"/>
        <v>2</v>
      </c>
      <c r="F111" s="79" t="s">
        <v>487</v>
      </c>
      <c r="G111" s="79" t="s">
        <v>387</v>
      </c>
      <c r="H111" s="79" t="s">
        <v>407</v>
      </c>
      <c r="I111" s="79" t="s">
        <v>408</v>
      </c>
      <c r="J111" s="79" t="s">
        <v>331</v>
      </c>
      <c r="K111" s="79" t="s">
        <v>332</v>
      </c>
      <c r="L111" s="116">
        <v>41134</v>
      </c>
      <c r="M111" s="116">
        <v>41134</v>
      </c>
      <c r="N111" s="117">
        <v>100</v>
      </c>
    </row>
    <row r="112" spans="1:14">
      <c r="A112" s="79" t="s">
        <v>488</v>
      </c>
      <c r="B112" s="79" t="s">
        <v>165</v>
      </c>
      <c r="C112" s="79" t="s">
        <v>485</v>
      </c>
      <c r="D112" s="115" t="s">
        <v>486</v>
      </c>
      <c r="E112" s="115" t="str">
        <f t="shared" si="1"/>
        <v>2</v>
      </c>
      <c r="F112" s="79" t="s">
        <v>487</v>
      </c>
      <c r="G112" s="79" t="s">
        <v>387</v>
      </c>
      <c r="H112" s="79" t="s">
        <v>407</v>
      </c>
      <c r="I112" s="79" t="s">
        <v>408</v>
      </c>
      <c r="J112" s="79" t="s">
        <v>331</v>
      </c>
      <c r="K112" s="79" t="s">
        <v>332</v>
      </c>
      <c r="L112" s="116">
        <v>50000</v>
      </c>
      <c r="M112" s="116">
        <v>50000</v>
      </c>
      <c r="N112" s="117">
        <v>100</v>
      </c>
    </row>
    <row r="113" spans="1:14">
      <c r="A113" s="79" t="s">
        <v>489</v>
      </c>
      <c r="B113" s="79" t="s">
        <v>165</v>
      </c>
      <c r="C113" s="79" t="s">
        <v>485</v>
      </c>
      <c r="D113" s="115" t="s">
        <v>486</v>
      </c>
      <c r="E113" s="115" t="str">
        <f t="shared" si="1"/>
        <v>2</v>
      </c>
      <c r="F113" s="79" t="s">
        <v>487</v>
      </c>
      <c r="G113" s="79" t="s">
        <v>387</v>
      </c>
      <c r="H113" s="79" t="s">
        <v>407</v>
      </c>
      <c r="I113" s="79" t="s">
        <v>408</v>
      </c>
      <c r="J113" s="79" t="s">
        <v>331</v>
      </c>
      <c r="K113" s="79" t="s">
        <v>332</v>
      </c>
      <c r="L113" s="116">
        <v>50975</v>
      </c>
      <c r="M113" s="116">
        <v>50975</v>
      </c>
      <c r="N113" s="117">
        <v>100</v>
      </c>
    </row>
    <row r="114" spans="1:14">
      <c r="A114" s="79" t="s">
        <v>490</v>
      </c>
      <c r="B114" s="79" t="s">
        <v>165</v>
      </c>
      <c r="C114" s="79" t="s">
        <v>485</v>
      </c>
      <c r="D114" s="115" t="s">
        <v>486</v>
      </c>
      <c r="E114" s="115" t="str">
        <f t="shared" si="1"/>
        <v>2</v>
      </c>
      <c r="F114" s="79" t="s">
        <v>487</v>
      </c>
      <c r="G114" s="79" t="s">
        <v>387</v>
      </c>
      <c r="H114" s="79" t="s">
        <v>407</v>
      </c>
      <c r="I114" s="79" t="s">
        <v>408</v>
      </c>
      <c r="J114" s="79" t="s">
        <v>331</v>
      </c>
      <c r="K114" s="79" t="s">
        <v>332</v>
      </c>
      <c r="L114" s="116">
        <v>51817</v>
      </c>
      <c r="M114" s="116">
        <v>51817</v>
      </c>
      <c r="N114" s="117">
        <v>100</v>
      </c>
    </row>
    <row r="115" spans="1:14">
      <c r="A115" s="79" t="s">
        <v>491</v>
      </c>
      <c r="B115" s="79" t="s">
        <v>165</v>
      </c>
      <c r="C115" s="79" t="s">
        <v>485</v>
      </c>
      <c r="D115" s="115" t="s">
        <v>486</v>
      </c>
      <c r="E115" s="115" t="str">
        <f t="shared" si="1"/>
        <v>2</v>
      </c>
      <c r="F115" s="79" t="s">
        <v>487</v>
      </c>
      <c r="G115" s="79" t="s">
        <v>387</v>
      </c>
      <c r="H115" s="79" t="s">
        <v>407</v>
      </c>
      <c r="I115" s="79" t="s">
        <v>408</v>
      </c>
      <c r="J115" s="79" t="s">
        <v>331</v>
      </c>
      <c r="K115" s="79" t="s">
        <v>332</v>
      </c>
      <c r="L115" s="116">
        <v>51817</v>
      </c>
      <c r="M115" s="116">
        <v>51817</v>
      </c>
      <c r="N115" s="117">
        <v>100</v>
      </c>
    </row>
    <row r="116" spans="1:14">
      <c r="A116" s="79" t="s">
        <v>492</v>
      </c>
      <c r="B116" s="79" t="s">
        <v>165</v>
      </c>
      <c r="C116" s="79" t="s">
        <v>485</v>
      </c>
      <c r="D116" s="115" t="s">
        <v>486</v>
      </c>
      <c r="E116" s="115" t="str">
        <f t="shared" si="1"/>
        <v>2</v>
      </c>
      <c r="F116" s="79" t="s">
        <v>487</v>
      </c>
      <c r="G116" s="79" t="s">
        <v>387</v>
      </c>
      <c r="H116" s="79" t="s">
        <v>407</v>
      </c>
      <c r="I116" s="79" t="s">
        <v>408</v>
      </c>
      <c r="J116" s="79" t="s">
        <v>331</v>
      </c>
      <c r="K116" s="79" t="s">
        <v>332</v>
      </c>
      <c r="L116" s="116">
        <v>51817</v>
      </c>
      <c r="M116" s="116">
        <v>51817</v>
      </c>
      <c r="N116" s="117">
        <v>100</v>
      </c>
    </row>
    <row r="117" spans="1:14">
      <c r="A117" s="79" t="s">
        <v>493</v>
      </c>
      <c r="B117" s="79" t="s">
        <v>165</v>
      </c>
      <c r="C117" s="79" t="s">
        <v>485</v>
      </c>
      <c r="D117" s="115" t="s">
        <v>486</v>
      </c>
      <c r="E117" s="115" t="str">
        <f t="shared" si="1"/>
        <v>2</v>
      </c>
      <c r="F117" s="79" t="s">
        <v>487</v>
      </c>
      <c r="G117" s="79" t="s">
        <v>387</v>
      </c>
      <c r="H117" s="79" t="s">
        <v>407</v>
      </c>
      <c r="I117" s="79" t="s">
        <v>408</v>
      </c>
      <c r="J117" s="79" t="s">
        <v>331</v>
      </c>
      <c r="K117" s="79" t="s">
        <v>332</v>
      </c>
      <c r="L117" s="116">
        <v>51817</v>
      </c>
      <c r="M117" s="116">
        <v>51817</v>
      </c>
      <c r="N117" s="117">
        <v>100</v>
      </c>
    </row>
    <row r="118" spans="1:14">
      <c r="A118" s="79" t="s">
        <v>494</v>
      </c>
      <c r="B118" s="79" t="s">
        <v>165</v>
      </c>
      <c r="C118" s="79" t="s">
        <v>485</v>
      </c>
      <c r="D118" s="115" t="s">
        <v>486</v>
      </c>
      <c r="E118" s="115" t="str">
        <f t="shared" si="1"/>
        <v>2</v>
      </c>
      <c r="F118" s="79" t="s">
        <v>487</v>
      </c>
      <c r="G118" s="79" t="s">
        <v>387</v>
      </c>
      <c r="H118" s="79" t="s">
        <v>407</v>
      </c>
      <c r="I118" s="79" t="s">
        <v>408</v>
      </c>
      <c r="J118" s="79" t="s">
        <v>331</v>
      </c>
      <c r="K118" s="79" t="s">
        <v>332</v>
      </c>
      <c r="L118" s="116">
        <v>51817</v>
      </c>
      <c r="M118" s="116">
        <v>51817</v>
      </c>
      <c r="N118" s="117">
        <v>100</v>
      </c>
    </row>
    <row r="119" spans="1:14">
      <c r="A119" s="79" t="s">
        <v>495</v>
      </c>
      <c r="B119" s="79" t="s">
        <v>165</v>
      </c>
      <c r="C119" s="79" t="s">
        <v>485</v>
      </c>
      <c r="D119" s="115" t="s">
        <v>486</v>
      </c>
      <c r="E119" s="115" t="str">
        <f t="shared" si="1"/>
        <v>2</v>
      </c>
      <c r="F119" s="79" t="s">
        <v>487</v>
      </c>
      <c r="G119" s="79" t="s">
        <v>387</v>
      </c>
      <c r="H119" s="79" t="s">
        <v>407</v>
      </c>
      <c r="I119" s="79" t="s">
        <v>408</v>
      </c>
      <c r="J119" s="79" t="s">
        <v>331</v>
      </c>
      <c r="K119" s="79" t="s">
        <v>332</v>
      </c>
      <c r="L119" s="116">
        <v>51817</v>
      </c>
      <c r="M119" s="116">
        <v>51817</v>
      </c>
      <c r="N119" s="117">
        <v>100</v>
      </c>
    </row>
    <row r="120" spans="1:14">
      <c r="A120" s="79" t="s">
        <v>496</v>
      </c>
      <c r="B120" s="79" t="s">
        <v>165</v>
      </c>
      <c r="C120" s="79" t="s">
        <v>485</v>
      </c>
      <c r="D120" s="115" t="s">
        <v>486</v>
      </c>
      <c r="E120" s="115" t="str">
        <f t="shared" si="1"/>
        <v>2</v>
      </c>
      <c r="F120" s="79" t="s">
        <v>487</v>
      </c>
      <c r="G120" s="79" t="s">
        <v>387</v>
      </c>
      <c r="H120" s="79" t="s">
        <v>407</v>
      </c>
      <c r="I120" s="79" t="s">
        <v>408</v>
      </c>
      <c r="J120" s="79" t="s">
        <v>331</v>
      </c>
      <c r="K120" s="79" t="s">
        <v>332</v>
      </c>
      <c r="L120" s="116">
        <v>51817</v>
      </c>
      <c r="M120" s="116">
        <v>51817</v>
      </c>
      <c r="N120" s="117">
        <v>100</v>
      </c>
    </row>
    <row r="121" spans="1:14">
      <c r="A121" s="79" t="s">
        <v>497</v>
      </c>
      <c r="B121" s="79" t="s">
        <v>165</v>
      </c>
      <c r="C121" s="79" t="s">
        <v>485</v>
      </c>
      <c r="D121" s="115" t="s">
        <v>486</v>
      </c>
      <c r="E121" s="115" t="str">
        <f t="shared" si="1"/>
        <v>2</v>
      </c>
      <c r="F121" s="79" t="s">
        <v>487</v>
      </c>
      <c r="G121" s="79" t="s">
        <v>387</v>
      </c>
      <c r="H121" s="79" t="s">
        <v>407</v>
      </c>
      <c r="I121" s="79" t="s">
        <v>408</v>
      </c>
      <c r="J121" s="79" t="s">
        <v>331</v>
      </c>
      <c r="K121" s="79" t="s">
        <v>332</v>
      </c>
      <c r="L121" s="116">
        <v>51817</v>
      </c>
      <c r="M121" s="116">
        <v>51817</v>
      </c>
      <c r="N121" s="117">
        <v>100</v>
      </c>
    </row>
    <row r="122" spans="1:14">
      <c r="A122" s="79" t="s">
        <v>498</v>
      </c>
      <c r="B122" s="79" t="s">
        <v>165</v>
      </c>
      <c r="C122" s="79" t="s">
        <v>485</v>
      </c>
      <c r="D122" s="115" t="s">
        <v>486</v>
      </c>
      <c r="E122" s="115" t="str">
        <f t="shared" si="1"/>
        <v>2</v>
      </c>
      <c r="F122" s="79" t="s">
        <v>487</v>
      </c>
      <c r="G122" s="79" t="s">
        <v>387</v>
      </c>
      <c r="H122" s="79" t="s">
        <v>407</v>
      </c>
      <c r="I122" s="79" t="s">
        <v>408</v>
      </c>
      <c r="J122" s="79" t="s">
        <v>331</v>
      </c>
      <c r="K122" s="79" t="s">
        <v>332</v>
      </c>
      <c r="L122" s="116">
        <v>51817</v>
      </c>
      <c r="M122" s="116">
        <v>51817</v>
      </c>
      <c r="N122" s="117">
        <v>100</v>
      </c>
    </row>
    <row r="123" spans="1:14">
      <c r="A123" s="79" t="s">
        <v>499</v>
      </c>
      <c r="B123" s="79" t="s">
        <v>165</v>
      </c>
      <c r="C123" s="79" t="s">
        <v>485</v>
      </c>
      <c r="D123" s="115" t="s">
        <v>486</v>
      </c>
      <c r="E123" s="115" t="str">
        <f t="shared" si="1"/>
        <v>2</v>
      </c>
      <c r="F123" s="79" t="s">
        <v>487</v>
      </c>
      <c r="G123" s="79" t="s">
        <v>387</v>
      </c>
      <c r="H123" s="79" t="s">
        <v>407</v>
      </c>
      <c r="I123" s="79" t="s">
        <v>408</v>
      </c>
      <c r="J123" s="79" t="s">
        <v>331</v>
      </c>
      <c r="K123" s="79" t="s">
        <v>332</v>
      </c>
      <c r="L123" s="116">
        <v>52417</v>
      </c>
      <c r="M123" s="116">
        <v>52417</v>
      </c>
      <c r="N123" s="117">
        <v>100</v>
      </c>
    </row>
    <row r="124" spans="1:14">
      <c r="A124" s="79" t="s">
        <v>500</v>
      </c>
      <c r="B124" s="79" t="s">
        <v>165</v>
      </c>
      <c r="C124" s="79" t="s">
        <v>485</v>
      </c>
      <c r="D124" s="115" t="s">
        <v>486</v>
      </c>
      <c r="E124" s="115" t="str">
        <f t="shared" si="1"/>
        <v>2</v>
      </c>
      <c r="F124" s="79" t="s">
        <v>487</v>
      </c>
      <c r="G124" s="79" t="s">
        <v>387</v>
      </c>
      <c r="H124" s="79" t="s">
        <v>407</v>
      </c>
      <c r="I124" s="79" t="s">
        <v>408</v>
      </c>
      <c r="J124" s="79" t="s">
        <v>331</v>
      </c>
      <c r="K124" s="79" t="s">
        <v>332</v>
      </c>
      <c r="L124" s="116">
        <v>52417</v>
      </c>
      <c r="M124" s="116">
        <v>52417</v>
      </c>
      <c r="N124" s="117">
        <v>100</v>
      </c>
    </row>
    <row r="125" spans="1:14">
      <c r="A125" s="79" t="s">
        <v>501</v>
      </c>
      <c r="B125" s="79" t="s">
        <v>165</v>
      </c>
      <c r="C125" s="79" t="s">
        <v>485</v>
      </c>
      <c r="D125" s="115" t="s">
        <v>486</v>
      </c>
      <c r="E125" s="115" t="str">
        <f t="shared" si="1"/>
        <v>2</v>
      </c>
      <c r="F125" s="79" t="s">
        <v>487</v>
      </c>
      <c r="G125" s="79" t="s">
        <v>387</v>
      </c>
      <c r="H125" s="79" t="s">
        <v>407</v>
      </c>
      <c r="I125" s="79" t="s">
        <v>408</v>
      </c>
      <c r="J125" s="79" t="s">
        <v>331</v>
      </c>
      <c r="K125" s="79" t="s">
        <v>332</v>
      </c>
      <c r="L125" s="116">
        <v>55475</v>
      </c>
      <c r="M125" s="116">
        <v>55475</v>
      </c>
      <c r="N125" s="117">
        <v>100</v>
      </c>
    </row>
    <row r="126" spans="1:14">
      <c r="A126" s="79" t="s">
        <v>502</v>
      </c>
      <c r="B126" s="79" t="s">
        <v>165</v>
      </c>
      <c r="C126" s="79" t="s">
        <v>485</v>
      </c>
      <c r="D126" s="115" t="s">
        <v>486</v>
      </c>
      <c r="E126" s="115" t="str">
        <f t="shared" si="1"/>
        <v>2</v>
      </c>
      <c r="F126" s="79" t="s">
        <v>487</v>
      </c>
      <c r="G126" s="79" t="s">
        <v>387</v>
      </c>
      <c r="H126" s="79" t="s">
        <v>407</v>
      </c>
      <c r="I126" s="79" t="s">
        <v>408</v>
      </c>
      <c r="J126" s="79" t="s">
        <v>331</v>
      </c>
      <c r="K126" s="79" t="s">
        <v>332</v>
      </c>
      <c r="L126" s="116">
        <v>56500</v>
      </c>
      <c r="M126" s="116">
        <v>56500</v>
      </c>
      <c r="N126" s="117">
        <v>100</v>
      </c>
    </row>
    <row r="127" spans="1:14">
      <c r="A127" s="79" t="s">
        <v>503</v>
      </c>
      <c r="B127" s="79" t="s">
        <v>165</v>
      </c>
      <c r="C127" s="79" t="s">
        <v>485</v>
      </c>
      <c r="D127" s="115" t="s">
        <v>486</v>
      </c>
      <c r="E127" s="115" t="str">
        <f t="shared" si="1"/>
        <v>2</v>
      </c>
      <c r="F127" s="79" t="s">
        <v>487</v>
      </c>
      <c r="G127" s="79" t="s">
        <v>387</v>
      </c>
      <c r="H127" s="79" t="s">
        <v>407</v>
      </c>
      <c r="I127" s="79" t="s">
        <v>408</v>
      </c>
      <c r="J127" s="79" t="s">
        <v>331</v>
      </c>
      <c r="K127" s="79" t="s">
        <v>332</v>
      </c>
      <c r="L127" s="116">
        <v>56500</v>
      </c>
      <c r="M127" s="116">
        <v>56500</v>
      </c>
      <c r="N127" s="117">
        <v>100</v>
      </c>
    </row>
    <row r="128" spans="1:14">
      <c r="A128" s="79" t="s">
        <v>504</v>
      </c>
      <c r="B128" s="79" t="s">
        <v>165</v>
      </c>
      <c r="C128" s="79" t="s">
        <v>485</v>
      </c>
      <c r="D128" s="115" t="s">
        <v>486</v>
      </c>
      <c r="E128" s="115" t="str">
        <f t="shared" si="1"/>
        <v>2</v>
      </c>
      <c r="F128" s="79" t="s">
        <v>487</v>
      </c>
      <c r="G128" s="79" t="s">
        <v>387</v>
      </c>
      <c r="H128" s="79" t="s">
        <v>407</v>
      </c>
      <c r="I128" s="79" t="s">
        <v>408</v>
      </c>
      <c r="J128" s="79" t="s">
        <v>331</v>
      </c>
      <c r="K128" s="79" t="s">
        <v>332</v>
      </c>
      <c r="L128" s="116">
        <v>65340</v>
      </c>
      <c r="M128" s="116">
        <v>65340</v>
      </c>
      <c r="N128" s="117">
        <v>100</v>
      </c>
    </row>
    <row r="129" spans="1:14">
      <c r="A129" s="79" t="s">
        <v>505</v>
      </c>
      <c r="B129" s="79" t="s">
        <v>165</v>
      </c>
      <c r="C129" s="79" t="s">
        <v>485</v>
      </c>
      <c r="D129" s="115" t="s">
        <v>486</v>
      </c>
      <c r="E129" s="115" t="str">
        <f t="shared" si="1"/>
        <v>2</v>
      </c>
      <c r="F129" s="79" t="s">
        <v>487</v>
      </c>
      <c r="G129" s="79" t="s">
        <v>387</v>
      </c>
      <c r="H129" s="79" t="s">
        <v>407</v>
      </c>
      <c r="I129" s="79" t="s">
        <v>408</v>
      </c>
      <c r="J129" s="79" t="s">
        <v>331</v>
      </c>
      <c r="K129" s="79" t="s">
        <v>332</v>
      </c>
      <c r="L129" s="116">
        <v>65576</v>
      </c>
      <c r="M129" s="116">
        <v>65576</v>
      </c>
      <c r="N129" s="117">
        <v>100</v>
      </c>
    </row>
    <row r="130" spans="1:14">
      <c r="A130" s="79" t="s">
        <v>506</v>
      </c>
      <c r="B130" s="79" t="s">
        <v>165</v>
      </c>
      <c r="C130" s="79" t="s">
        <v>485</v>
      </c>
      <c r="D130" s="115" t="s">
        <v>486</v>
      </c>
      <c r="E130" s="115" t="str">
        <f t="shared" si="1"/>
        <v>2</v>
      </c>
      <c r="F130" s="79" t="s">
        <v>487</v>
      </c>
      <c r="G130" s="79" t="s">
        <v>387</v>
      </c>
      <c r="H130" s="79" t="s">
        <v>407</v>
      </c>
      <c r="I130" s="79" t="s">
        <v>408</v>
      </c>
      <c r="J130" s="79" t="s">
        <v>331</v>
      </c>
      <c r="K130" s="79" t="s">
        <v>332</v>
      </c>
      <c r="L130" s="116">
        <v>67608</v>
      </c>
      <c r="M130" s="116">
        <v>67608</v>
      </c>
      <c r="N130" s="117">
        <v>100</v>
      </c>
    </row>
    <row r="131" spans="1:14">
      <c r="A131" s="79" t="s">
        <v>507</v>
      </c>
      <c r="B131" s="79" t="s">
        <v>165</v>
      </c>
      <c r="C131" s="79" t="s">
        <v>485</v>
      </c>
      <c r="D131" s="115" t="s">
        <v>486</v>
      </c>
      <c r="E131" s="115" t="str">
        <f t="shared" ref="E131:E194" si="2">LEFT(D131,1)</f>
        <v>2</v>
      </c>
      <c r="F131" s="79" t="s">
        <v>487</v>
      </c>
      <c r="G131" s="79" t="s">
        <v>387</v>
      </c>
      <c r="H131" s="79" t="s">
        <v>407</v>
      </c>
      <c r="I131" s="79" t="s">
        <v>408</v>
      </c>
      <c r="J131" s="79" t="s">
        <v>331</v>
      </c>
      <c r="K131" s="79" t="s">
        <v>332</v>
      </c>
      <c r="L131" s="116">
        <v>70029</v>
      </c>
      <c r="M131" s="116">
        <v>70029</v>
      </c>
      <c r="N131" s="117">
        <v>100</v>
      </c>
    </row>
    <row r="132" spans="1:14">
      <c r="A132" s="79" t="s">
        <v>508</v>
      </c>
      <c r="B132" s="79" t="s">
        <v>165</v>
      </c>
      <c r="C132" s="79" t="s">
        <v>509</v>
      </c>
      <c r="D132" s="115" t="s">
        <v>510</v>
      </c>
      <c r="E132" s="115" t="str">
        <f t="shared" si="2"/>
        <v>2</v>
      </c>
      <c r="F132" s="79" t="s">
        <v>511</v>
      </c>
      <c r="G132" s="79" t="s">
        <v>387</v>
      </c>
      <c r="H132" s="79" t="s">
        <v>407</v>
      </c>
      <c r="I132" s="79" t="s">
        <v>408</v>
      </c>
      <c r="J132" s="79" t="s">
        <v>331</v>
      </c>
      <c r="K132" s="79" t="s">
        <v>332</v>
      </c>
      <c r="L132" s="116">
        <v>46635</v>
      </c>
      <c r="M132" s="116">
        <v>46635</v>
      </c>
      <c r="N132" s="117">
        <v>100</v>
      </c>
    </row>
    <row r="133" spans="1:14">
      <c r="A133" s="79" t="s">
        <v>512</v>
      </c>
      <c r="B133" s="79" t="s">
        <v>165</v>
      </c>
      <c r="C133" s="79" t="s">
        <v>509</v>
      </c>
      <c r="D133" s="115" t="s">
        <v>510</v>
      </c>
      <c r="E133" s="115" t="str">
        <f t="shared" si="2"/>
        <v>2</v>
      </c>
      <c r="F133" s="79" t="s">
        <v>511</v>
      </c>
      <c r="G133" s="79" t="s">
        <v>387</v>
      </c>
      <c r="H133" s="79" t="s">
        <v>407</v>
      </c>
      <c r="I133" s="79" t="s">
        <v>408</v>
      </c>
      <c r="J133" s="79" t="s">
        <v>331</v>
      </c>
      <c r="K133" s="79" t="s">
        <v>332</v>
      </c>
      <c r="L133" s="116">
        <v>56500</v>
      </c>
      <c r="M133" s="116">
        <v>56500</v>
      </c>
      <c r="N133" s="117">
        <v>100</v>
      </c>
    </row>
    <row r="134" spans="1:14">
      <c r="A134" s="79" t="s">
        <v>513</v>
      </c>
      <c r="B134" s="79" t="s">
        <v>165</v>
      </c>
      <c r="C134" s="79" t="s">
        <v>509</v>
      </c>
      <c r="D134" s="115" t="s">
        <v>510</v>
      </c>
      <c r="E134" s="115" t="str">
        <f t="shared" si="2"/>
        <v>2</v>
      </c>
      <c r="F134" s="79" t="s">
        <v>511</v>
      </c>
      <c r="G134" s="79" t="s">
        <v>387</v>
      </c>
      <c r="H134" s="79" t="s">
        <v>407</v>
      </c>
      <c r="I134" s="79" t="s">
        <v>408</v>
      </c>
      <c r="J134" s="79" t="s">
        <v>331</v>
      </c>
      <c r="K134" s="79" t="s">
        <v>332</v>
      </c>
      <c r="L134" s="116">
        <v>57051</v>
      </c>
      <c r="M134" s="116">
        <v>57051</v>
      </c>
      <c r="N134" s="117">
        <v>100</v>
      </c>
    </row>
    <row r="135" spans="1:14">
      <c r="A135" s="79" t="s">
        <v>514</v>
      </c>
      <c r="B135" s="79" t="s">
        <v>165</v>
      </c>
      <c r="C135" s="79" t="s">
        <v>515</v>
      </c>
      <c r="D135" s="115" t="s">
        <v>516</v>
      </c>
      <c r="E135" s="115" t="str">
        <f t="shared" si="2"/>
        <v>2</v>
      </c>
      <c r="F135" s="79" t="s">
        <v>141</v>
      </c>
      <c r="G135" s="79" t="s">
        <v>387</v>
      </c>
      <c r="H135" s="79" t="s">
        <v>407</v>
      </c>
      <c r="I135" s="79" t="s">
        <v>408</v>
      </c>
      <c r="J135" s="79" t="s">
        <v>331</v>
      </c>
      <c r="K135" s="79" t="s">
        <v>332</v>
      </c>
      <c r="L135" s="116">
        <v>52417</v>
      </c>
      <c r="M135" s="116">
        <v>39313</v>
      </c>
      <c r="N135" s="117">
        <v>75</v>
      </c>
    </row>
    <row r="136" spans="1:14">
      <c r="A136" s="79" t="s">
        <v>517</v>
      </c>
      <c r="B136" s="79" t="s">
        <v>165</v>
      </c>
      <c r="C136" s="79" t="s">
        <v>515</v>
      </c>
      <c r="D136" s="115" t="s">
        <v>516</v>
      </c>
      <c r="E136" s="115" t="str">
        <f t="shared" si="2"/>
        <v>2</v>
      </c>
      <c r="F136" s="79" t="s">
        <v>141</v>
      </c>
      <c r="G136" s="79" t="s">
        <v>387</v>
      </c>
      <c r="H136" s="79" t="s">
        <v>407</v>
      </c>
      <c r="I136" s="79" t="s">
        <v>408</v>
      </c>
      <c r="J136" s="79" t="s">
        <v>331</v>
      </c>
      <c r="K136" s="79" t="s">
        <v>332</v>
      </c>
      <c r="L136" s="116">
        <v>51817</v>
      </c>
      <c r="M136" s="116">
        <v>51817</v>
      </c>
      <c r="N136" s="117">
        <v>100</v>
      </c>
    </row>
    <row r="137" spans="1:14">
      <c r="A137" s="79" t="s">
        <v>518</v>
      </c>
      <c r="B137" s="79" t="s">
        <v>165</v>
      </c>
      <c r="C137" s="79" t="s">
        <v>515</v>
      </c>
      <c r="D137" s="115" t="s">
        <v>516</v>
      </c>
      <c r="E137" s="115" t="str">
        <f t="shared" si="2"/>
        <v>2</v>
      </c>
      <c r="F137" s="79" t="s">
        <v>141</v>
      </c>
      <c r="G137" s="79" t="s">
        <v>387</v>
      </c>
      <c r="H137" s="79" t="s">
        <v>407</v>
      </c>
      <c r="I137" s="79" t="s">
        <v>408</v>
      </c>
      <c r="J137" s="79" t="s">
        <v>331</v>
      </c>
      <c r="K137" s="79" t="s">
        <v>332</v>
      </c>
      <c r="L137" s="116">
        <v>51817</v>
      </c>
      <c r="M137" s="116">
        <v>51817</v>
      </c>
      <c r="N137" s="117">
        <v>100</v>
      </c>
    </row>
    <row r="138" spans="1:14">
      <c r="A138" s="79" t="s">
        <v>519</v>
      </c>
      <c r="B138" s="79" t="s">
        <v>165</v>
      </c>
      <c r="C138" s="79" t="s">
        <v>515</v>
      </c>
      <c r="D138" s="115" t="s">
        <v>516</v>
      </c>
      <c r="E138" s="115" t="str">
        <f t="shared" si="2"/>
        <v>2</v>
      </c>
      <c r="F138" s="79" t="s">
        <v>141</v>
      </c>
      <c r="G138" s="79" t="s">
        <v>387</v>
      </c>
      <c r="H138" s="79" t="s">
        <v>407</v>
      </c>
      <c r="I138" s="79" t="s">
        <v>408</v>
      </c>
      <c r="J138" s="79" t="s">
        <v>331</v>
      </c>
      <c r="K138" s="79" t="s">
        <v>332</v>
      </c>
      <c r="L138" s="116">
        <v>52417</v>
      </c>
      <c r="M138" s="116">
        <v>52417</v>
      </c>
      <c r="N138" s="117">
        <v>100</v>
      </c>
    </row>
    <row r="139" spans="1:14">
      <c r="A139" s="79" t="s">
        <v>520</v>
      </c>
      <c r="B139" s="79" t="s">
        <v>165</v>
      </c>
      <c r="C139" s="79" t="s">
        <v>515</v>
      </c>
      <c r="D139" s="115" t="s">
        <v>516</v>
      </c>
      <c r="E139" s="115" t="str">
        <f t="shared" si="2"/>
        <v>2</v>
      </c>
      <c r="F139" s="79" t="s">
        <v>141</v>
      </c>
      <c r="G139" s="79" t="s">
        <v>387</v>
      </c>
      <c r="H139" s="79" t="s">
        <v>407</v>
      </c>
      <c r="I139" s="79" t="s">
        <v>408</v>
      </c>
      <c r="J139" s="79" t="s">
        <v>331</v>
      </c>
      <c r="K139" s="79" t="s">
        <v>332</v>
      </c>
      <c r="L139" s="116">
        <v>55600</v>
      </c>
      <c r="M139" s="116">
        <v>55600</v>
      </c>
      <c r="N139" s="117">
        <v>100</v>
      </c>
    </row>
    <row r="140" spans="1:14">
      <c r="A140" s="79" t="s">
        <v>521</v>
      </c>
      <c r="B140" s="79" t="s">
        <v>165</v>
      </c>
      <c r="C140" s="79" t="s">
        <v>515</v>
      </c>
      <c r="D140" s="115" t="s">
        <v>516</v>
      </c>
      <c r="E140" s="115" t="str">
        <f t="shared" si="2"/>
        <v>2</v>
      </c>
      <c r="F140" s="79" t="s">
        <v>141</v>
      </c>
      <c r="G140" s="79" t="s">
        <v>387</v>
      </c>
      <c r="H140" s="79" t="s">
        <v>407</v>
      </c>
      <c r="I140" s="79" t="s">
        <v>408</v>
      </c>
      <c r="J140" s="79" t="s">
        <v>331</v>
      </c>
      <c r="K140" s="79" t="s">
        <v>332</v>
      </c>
      <c r="L140" s="116">
        <v>65339</v>
      </c>
      <c r="M140" s="116">
        <v>65339</v>
      </c>
      <c r="N140" s="117">
        <v>100</v>
      </c>
    </row>
    <row r="141" spans="1:14">
      <c r="A141" s="79" t="s">
        <v>522</v>
      </c>
      <c r="B141" s="79" t="s">
        <v>165</v>
      </c>
      <c r="C141" s="79" t="s">
        <v>515</v>
      </c>
      <c r="D141" s="115" t="s">
        <v>516</v>
      </c>
      <c r="E141" s="115" t="str">
        <f t="shared" si="2"/>
        <v>2</v>
      </c>
      <c r="F141" s="79" t="s">
        <v>141</v>
      </c>
      <c r="G141" s="79" t="s">
        <v>387</v>
      </c>
      <c r="H141" s="79" t="s">
        <v>407</v>
      </c>
      <c r="I141" s="79" t="s">
        <v>408</v>
      </c>
      <c r="J141" s="79" t="s">
        <v>331</v>
      </c>
      <c r="K141" s="79" t="s">
        <v>332</v>
      </c>
      <c r="L141" s="116">
        <v>69010</v>
      </c>
      <c r="M141" s="116">
        <v>69010</v>
      </c>
      <c r="N141" s="117">
        <v>100</v>
      </c>
    </row>
    <row r="142" spans="1:14">
      <c r="A142" s="79" t="s">
        <v>523</v>
      </c>
      <c r="B142" s="79" t="s">
        <v>165</v>
      </c>
      <c r="C142" s="79" t="s">
        <v>524</v>
      </c>
      <c r="D142" s="115" t="s">
        <v>525</v>
      </c>
      <c r="E142" s="115" t="str">
        <f t="shared" si="2"/>
        <v>2</v>
      </c>
      <c r="F142" s="79" t="s">
        <v>526</v>
      </c>
      <c r="G142" s="79" t="s">
        <v>387</v>
      </c>
      <c r="H142" s="79" t="s">
        <v>407</v>
      </c>
      <c r="I142" s="79" t="s">
        <v>408</v>
      </c>
      <c r="J142" s="79" t="s">
        <v>331</v>
      </c>
      <c r="K142" s="79" t="s">
        <v>332</v>
      </c>
      <c r="L142" s="116">
        <v>43170</v>
      </c>
      <c r="M142" s="116">
        <v>37774</v>
      </c>
      <c r="N142" s="117">
        <v>87.5</v>
      </c>
    </row>
    <row r="143" spans="1:14">
      <c r="A143" s="79" t="s">
        <v>527</v>
      </c>
      <c r="B143" s="79" t="s">
        <v>165</v>
      </c>
      <c r="C143" s="79" t="s">
        <v>524</v>
      </c>
      <c r="D143" s="115" t="s">
        <v>525</v>
      </c>
      <c r="E143" s="115" t="str">
        <f t="shared" si="2"/>
        <v>2</v>
      </c>
      <c r="F143" s="79" t="s">
        <v>526</v>
      </c>
      <c r="G143" s="79" t="s">
        <v>387</v>
      </c>
      <c r="H143" s="79" t="s">
        <v>407</v>
      </c>
      <c r="I143" s="79" t="s">
        <v>408</v>
      </c>
      <c r="J143" s="79" t="s">
        <v>331</v>
      </c>
      <c r="K143" s="79" t="s">
        <v>332</v>
      </c>
      <c r="L143" s="116">
        <v>39396</v>
      </c>
      <c r="M143" s="116">
        <v>39396</v>
      </c>
      <c r="N143" s="117">
        <v>100</v>
      </c>
    </row>
    <row r="144" spans="1:14">
      <c r="A144" s="79" t="s">
        <v>528</v>
      </c>
      <c r="B144" s="79" t="s">
        <v>165</v>
      </c>
      <c r="C144" s="79" t="s">
        <v>524</v>
      </c>
      <c r="D144" s="115" t="s">
        <v>525</v>
      </c>
      <c r="E144" s="115" t="str">
        <f t="shared" si="2"/>
        <v>2</v>
      </c>
      <c r="F144" s="79" t="s">
        <v>526</v>
      </c>
      <c r="G144" s="79" t="s">
        <v>387</v>
      </c>
      <c r="H144" s="79" t="s">
        <v>407</v>
      </c>
      <c r="I144" s="79" t="s">
        <v>408</v>
      </c>
      <c r="J144" s="79" t="s">
        <v>331</v>
      </c>
      <c r="K144" s="79" t="s">
        <v>332</v>
      </c>
      <c r="L144" s="116">
        <v>41507</v>
      </c>
      <c r="M144" s="116">
        <v>41507</v>
      </c>
      <c r="N144" s="117">
        <v>100</v>
      </c>
    </row>
    <row r="145" spans="1:14">
      <c r="A145" s="79" t="s">
        <v>529</v>
      </c>
      <c r="B145" s="79" t="s">
        <v>165</v>
      </c>
      <c r="C145" s="79" t="s">
        <v>524</v>
      </c>
      <c r="D145" s="115" t="s">
        <v>525</v>
      </c>
      <c r="E145" s="115" t="str">
        <f t="shared" si="2"/>
        <v>2</v>
      </c>
      <c r="F145" s="79" t="s">
        <v>526</v>
      </c>
      <c r="G145" s="79" t="s">
        <v>387</v>
      </c>
      <c r="H145" s="79" t="s">
        <v>407</v>
      </c>
      <c r="I145" s="79" t="s">
        <v>408</v>
      </c>
      <c r="J145" s="79" t="s">
        <v>331</v>
      </c>
      <c r="K145" s="79" t="s">
        <v>332</v>
      </c>
      <c r="L145" s="116">
        <v>43851</v>
      </c>
      <c r="M145" s="116">
        <v>43851</v>
      </c>
      <c r="N145" s="117">
        <v>100</v>
      </c>
    </row>
    <row r="146" spans="1:14">
      <c r="A146" s="79" t="s">
        <v>530</v>
      </c>
      <c r="B146" s="79" t="s">
        <v>165</v>
      </c>
      <c r="C146" s="79" t="s">
        <v>524</v>
      </c>
      <c r="D146" s="115" t="s">
        <v>525</v>
      </c>
      <c r="E146" s="115" t="str">
        <f t="shared" si="2"/>
        <v>2</v>
      </c>
      <c r="F146" s="79" t="s">
        <v>526</v>
      </c>
      <c r="G146" s="79" t="s">
        <v>387</v>
      </c>
      <c r="H146" s="79" t="s">
        <v>407</v>
      </c>
      <c r="I146" s="79" t="s">
        <v>408</v>
      </c>
      <c r="J146" s="79" t="s">
        <v>331</v>
      </c>
      <c r="K146" s="79" t="s">
        <v>332</v>
      </c>
      <c r="L146" s="116">
        <v>44089</v>
      </c>
      <c r="M146" s="116">
        <v>44089</v>
      </c>
      <c r="N146" s="117">
        <v>100</v>
      </c>
    </row>
    <row r="147" spans="1:14">
      <c r="A147" s="79" t="s">
        <v>531</v>
      </c>
      <c r="B147" s="79" t="s">
        <v>165</v>
      </c>
      <c r="C147" s="79" t="s">
        <v>524</v>
      </c>
      <c r="D147" s="115" t="s">
        <v>525</v>
      </c>
      <c r="E147" s="115" t="str">
        <f t="shared" si="2"/>
        <v>2</v>
      </c>
      <c r="F147" s="79" t="s">
        <v>526</v>
      </c>
      <c r="G147" s="79" t="s">
        <v>387</v>
      </c>
      <c r="H147" s="79" t="s">
        <v>407</v>
      </c>
      <c r="I147" s="79" t="s">
        <v>408</v>
      </c>
      <c r="J147" s="79" t="s">
        <v>331</v>
      </c>
      <c r="K147" s="79" t="s">
        <v>332</v>
      </c>
      <c r="L147" s="116">
        <v>50000</v>
      </c>
      <c r="M147" s="116">
        <v>50000</v>
      </c>
      <c r="N147" s="117">
        <v>100</v>
      </c>
    </row>
    <row r="148" spans="1:14">
      <c r="A148" s="79" t="s">
        <v>532</v>
      </c>
      <c r="B148" s="79" t="s">
        <v>165</v>
      </c>
      <c r="C148" s="79" t="s">
        <v>524</v>
      </c>
      <c r="D148" s="115" t="s">
        <v>525</v>
      </c>
      <c r="E148" s="115" t="str">
        <f t="shared" si="2"/>
        <v>2</v>
      </c>
      <c r="F148" s="79" t="s">
        <v>526</v>
      </c>
      <c r="G148" s="79" t="s">
        <v>387</v>
      </c>
      <c r="H148" s="79" t="s">
        <v>407</v>
      </c>
      <c r="I148" s="79" t="s">
        <v>408</v>
      </c>
      <c r="J148" s="79" t="s">
        <v>331</v>
      </c>
      <c r="K148" s="79" t="s">
        <v>332</v>
      </c>
      <c r="L148" s="116">
        <v>53868</v>
      </c>
      <c r="M148" s="116">
        <v>53868</v>
      </c>
      <c r="N148" s="117">
        <v>100</v>
      </c>
    </row>
    <row r="149" spans="1:14">
      <c r="A149" s="79" t="s">
        <v>533</v>
      </c>
      <c r="B149" s="79" t="s">
        <v>165</v>
      </c>
      <c r="C149" s="79" t="s">
        <v>524</v>
      </c>
      <c r="D149" s="115" t="s">
        <v>525</v>
      </c>
      <c r="E149" s="115" t="str">
        <f t="shared" si="2"/>
        <v>2</v>
      </c>
      <c r="F149" s="79" t="s">
        <v>526</v>
      </c>
      <c r="G149" s="79" t="s">
        <v>387</v>
      </c>
      <c r="H149" s="79" t="s">
        <v>407</v>
      </c>
      <c r="I149" s="79" t="s">
        <v>408</v>
      </c>
      <c r="J149" s="79" t="s">
        <v>331</v>
      </c>
      <c r="K149" s="79" t="s">
        <v>332</v>
      </c>
      <c r="L149" s="116">
        <v>56451</v>
      </c>
      <c r="M149" s="116">
        <v>56451</v>
      </c>
      <c r="N149" s="117">
        <v>100</v>
      </c>
    </row>
    <row r="150" spans="1:14">
      <c r="A150" s="79" t="s">
        <v>534</v>
      </c>
      <c r="B150" s="79" t="s">
        <v>165</v>
      </c>
      <c r="C150" s="79" t="s">
        <v>524</v>
      </c>
      <c r="D150" s="115" t="s">
        <v>525</v>
      </c>
      <c r="E150" s="115" t="str">
        <f t="shared" si="2"/>
        <v>2</v>
      </c>
      <c r="F150" s="79" t="s">
        <v>526</v>
      </c>
      <c r="G150" s="79" t="s">
        <v>387</v>
      </c>
      <c r="H150" s="79" t="s">
        <v>407</v>
      </c>
      <c r="I150" s="79" t="s">
        <v>408</v>
      </c>
      <c r="J150" s="79" t="s">
        <v>331</v>
      </c>
      <c r="K150" s="79" t="s">
        <v>332</v>
      </c>
      <c r="L150" s="116">
        <v>56868</v>
      </c>
      <c r="M150" s="116">
        <v>56868</v>
      </c>
      <c r="N150" s="117">
        <v>100</v>
      </c>
    </row>
    <row r="151" spans="1:14">
      <c r="A151" s="79" t="s">
        <v>535</v>
      </c>
      <c r="B151" s="79" t="s">
        <v>165</v>
      </c>
      <c r="C151" s="79" t="s">
        <v>524</v>
      </c>
      <c r="D151" s="115" t="s">
        <v>525</v>
      </c>
      <c r="E151" s="115" t="str">
        <f t="shared" si="2"/>
        <v>2</v>
      </c>
      <c r="F151" s="79" t="s">
        <v>526</v>
      </c>
      <c r="G151" s="79" t="s">
        <v>387</v>
      </c>
      <c r="H151" s="79" t="s">
        <v>407</v>
      </c>
      <c r="I151" s="79" t="s">
        <v>408</v>
      </c>
      <c r="J151" s="79" t="s">
        <v>331</v>
      </c>
      <c r="K151" s="79" t="s">
        <v>332</v>
      </c>
      <c r="L151" s="116">
        <v>57485</v>
      </c>
      <c r="M151" s="116">
        <v>57485</v>
      </c>
      <c r="N151" s="117">
        <v>100</v>
      </c>
    </row>
    <row r="152" spans="1:14">
      <c r="A152" s="79" t="s">
        <v>536</v>
      </c>
      <c r="B152" s="79" t="s">
        <v>165</v>
      </c>
      <c r="C152" s="79" t="s">
        <v>524</v>
      </c>
      <c r="D152" s="115" t="s">
        <v>525</v>
      </c>
      <c r="E152" s="115" t="str">
        <f t="shared" si="2"/>
        <v>2</v>
      </c>
      <c r="F152" s="79" t="s">
        <v>526</v>
      </c>
      <c r="G152" s="79" t="s">
        <v>387</v>
      </c>
      <c r="H152" s="79" t="s">
        <v>407</v>
      </c>
      <c r="I152" s="79" t="s">
        <v>408</v>
      </c>
      <c r="J152" s="79" t="s">
        <v>331</v>
      </c>
      <c r="K152" s="79" t="s">
        <v>332</v>
      </c>
      <c r="L152" s="116">
        <v>59249</v>
      </c>
      <c r="M152" s="116">
        <v>59249</v>
      </c>
      <c r="N152" s="117">
        <v>100</v>
      </c>
    </row>
    <row r="153" spans="1:14">
      <c r="A153" s="79" t="s">
        <v>537</v>
      </c>
      <c r="B153" s="79" t="s">
        <v>165</v>
      </c>
      <c r="C153" s="79" t="s">
        <v>524</v>
      </c>
      <c r="D153" s="115" t="s">
        <v>525</v>
      </c>
      <c r="E153" s="115" t="str">
        <f t="shared" si="2"/>
        <v>2</v>
      </c>
      <c r="F153" s="79" t="s">
        <v>526</v>
      </c>
      <c r="G153" s="79" t="s">
        <v>387</v>
      </c>
      <c r="H153" s="79" t="s">
        <v>407</v>
      </c>
      <c r="I153" s="79" t="s">
        <v>408</v>
      </c>
      <c r="J153" s="79" t="s">
        <v>331</v>
      </c>
      <c r="K153" s="79" t="s">
        <v>332</v>
      </c>
      <c r="L153" s="116">
        <v>59275</v>
      </c>
      <c r="M153" s="116">
        <v>59275</v>
      </c>
      <c r="N153" s="117">
        <v>100</v>
      </c>
    </row>
    <row r="154" spans="1:14">
      <c r="A154" s="79" t="s">
        <v>538</v>
      </c>
      <c r="B154" s="79" t="s">
        <v>165</v>
      </c>
      <c r="C154" s="79" t="s">
        <v>524</v>
      </c>
      <c r="D154" s="115" t="s">
        <v>525</v>
      </c>
      <c r="E154" s="115" t="str">
        <f t="shared" si="2"/>
        <v>2</v>
      </c>
      <c r="F154" s="79" t="s">
        <v>526</v>
      </c>
      <c r="G154" s="79" t="s">
        <v>387</v>
      </c>
      <c r="H154" s="79" t="s">
        <v>407</v>
      </c>
      <c r="I154" s="79" t="s">
        <v>408</v>
      </c>
      <c r="J154" s="79" t="s">
        <v>331</v>
      </c>
      <c r="K154" s="79" t="s">
        <v>332</v>
      </c>
      <c r="L154" s="116">
        <v>70379</v>
      </c>
      <c r="M154" s="116">
        <v>70379</v>
      </c>
      <c r="N154" s="117">
        <v>100</v>
      </c>
    </row>
    <row r="155" spans="1:14">
      <c r="A155" s="79" t="s">
        <v>539</v>
      </c>
      <c r="B155" s="79" t="s">
        <v>165</v>
      </c>
      <c r="C155" s="79" t="s">
        <v>524</v>
      </c>
      <c r="D155" s="115" t="s">
        <v>525</v>
      </c>
      <c r="E155" s="115" t="str">
        <f t="shared" si="2"/>
        <v>2</v>
      </c>
      <c r="F155" s="79" t="s">
        <v>526</v>
      </c>
      <c r="G155" s="79" t="s">
        <v>387</v>
      </c>
      <c r="H155" s="79" t="s">
        <v>407</v>
      </c>
      <c r="I155" s="79" t="s">
        <v>408</v>
      </c>
      <c r="J155" s="79" t="s">
        <v>331</v>
      </c>
      <c r="K155" s="79" t="s">
        <v>332</v>
      </c>
      <c r="L155" s="116">
        <v>75000</v>
      </c>
      <c r="M155" s="116">
        <v>75000</v>
      </c>
      <c r="N155" s="117">
        <v>100</v>
      </c>
    </row>
    <row r="156" spans="1:14">
      <c r="A156" s="79" t="s">
        <v>540</v>
      </c>
      <c r="B156" s="79" t="s">
        <v>165</v>
      </c>
      <c r="C156" s="79" t="s">
        <v>524</v>
      </c>
      <c r="D156" s="115" t="s">
        <v>525</v>
      </c>
      <c r="E156" s="115" t="str">
        <f t="shared" si="2"/>
        <v>2</v>
      </c>
      <c r="F156" s="79" t="s">
        <v>526</v>
      </c>
      <c r="G156" s="79" t="s">
        <v>387</v>
      </c>
      <c r="H156" s="79" t="s">
        <v>407</v>
      </c>
      <c r="I156" s="79" t="s">
        <v>408</v>
      </c>
      <c r="J156" s="79" t="s">
        <v>331</v>
      </c>
      <c r="K156" s="79" t="s">
        <v>332</v>
      </c>
      <c r="L156" s="116">
        <v>84446</v>
      </c>
      <c r="M156" s="116">
        <v>84446</v>
      </c>
      <c r="N156" s="117">
        <v>100</v>
      </c>
    </row>
    <row r="157" spans="1:14">
      <c r="A157" s="79" t="s">
        <v>541</v>
      </c>
      <c r="B157" s="79" t="s">
        <v>165</v>
      </c>
      <c r="C157" s="79" t="s">
        <v>524</v>
      </c>
      <c r="D157" s="115" t="s">
        <v>525</v>
      </c>
      <c r="E157" s="115" t="str">
        <f t="shared" si="2"/>
        <v>2</v>
      </c>
      <c r="F157" s="79" t="s">
        <v>526</v>
      </c>
      <c r="G157" s="79" t="s">
        <v>387</v>
      </c>
      <c r="H157" s="79" t="s">
        <v>407</v>
      </c>
      <c r="I157" s="79" t="s">
        <v>408</v>
      </c>
      <c r="J157" s="79" t="s">
        <v>331</v>
      </c>
      <c r="K157" s="79" t="s">
        <v>332</v>
      </c>
      <c r="L157" s="116">
        <v>85853</v>
      </c>
      <c r="M157" s="116">
        <v>85853</v>
      </c>
      <c r="N157" s="117">
        <v>100</v>
      </c>
    </row>
    <row r="158" spans="1:14">
      <c r="A158" s="79" t="s">
        <v>542</v>
      </c>
      <c r="B158" s="79" t="s">
        <v>165</v>
      </c>
      <c r="C158" s="79" t="s">
        <v>524</v>
      </c>
      <c r="D158" s="115" t="s">
        <v>525</v>
      </c>
      <c r="E158" s="115" t="str">
        <f t="shared" si="2"/>
        <v>2</v>
      </c>
      <c r="F158" s="79" t="s">
        <v>526</v>
      </c>
      <c r="G158" s="79" t="s">
        <v>387</v>
      </c>
      <c r="H158" s="79" t="s">
        <v>407</v>
      </c>
      <c r="I158" s="79" t="s">
        <v>408</v>
      </c>
      <c r="J158" s="79" t="s">
        <v>331</v>
      </c>
      <c r="K158" s="79" t="s">
        <v>332</v>
      </c>
      <c r="L158" s="116">
        <v>94101</v>
      </c>
      <c r="M158" s="116">
        <v>94101</v>
      </c>
      <c r="N158" s="117">
        <v>100</v>
      </c>
    </row>
    <row r="159" spans="1:14">
      <c r="A159" s="79" t="s">
        <v>543</v>
      </c>
      <c r="B159" s="79" t="s">
        <v>165</v>
      </c>
      <c r="C159" s="79" t="s">
        <v>544</v>
      </c>
      <c r="D159" s="115" t="s">
        <v>545</v>
      </c>
      <c r="E159" s="115" t="str">
        <f t="shared" si="2"/>
        <v>2</v>
      </c>
      <c r="F159" s="79" t="s">
        <v>7</v>
      </c>
      <c r="G159" s="79" t="s">
        <v>341</v>
      </c>
      <c r="H159" s="79" t="s">
        <v>407</v>
      </c>
      <c r="I159" s="79" t="s">
        <v>408</v>
      </c>
      <c r="J159" s="79" t="s">
        <v>331</v>
      </c>
      <c r="K159" s="79" t="s">
        <v>332</v>
      </c>
      <c r="L159" s="116">
        <v>26605</v>
      </c>
      <c r="M159" s="116">
        <v>26605</v>
      </c>
      <c r="N159" s="117">
        <v>100</v>
      </c>
    </row>
    <row r="160" spans="1:14">
      <c r="A160" s="79" t="s">
        <v>546</v>
      </c>
      <c r="B160" s="79" t="s">
        <v>165</v>
      </c>
      <c r="C160" s="79" t="s">
        <v>544</v>
      </c>
      <c r="D160" s="115" t="s">
        <v>545</v>
      </c>
      <c r="E160" s="115" t="str">
        <f t="shared" si="2"/>
        <v>2</v>
      </c>
      <c r="F160" s="79" t="s">
        <v>7</v>
      </c>
      <c r="G160" s="79" t="s">
        <v>387</v>
      </c>
      <c r="H160" s="79" t="s">
        <v>407</v>
      </c>
      <c r="I160" s="79" t="s">
        <v>408</v>
      </c>
      <c r="J160" s="79" t="s">
        <v>331</v>
      </c>
      <c r="K160" s="79" t="s">
        <v>332</v>
      </c>
      <c r="L160" s="116">
        <v>112218</v>
      </c>
      <c r="M160" s="116">
        <v>33014</v>
      </c>
      <c r="N160" s="117">
        <v>29.42</v>
      </c>
    </row>
    <row r="161" spans="1:14">
      <c r="A161" s="79" t="s">
        <v>547</v>
      </c>
      <c r="B161" s="79" t="s">
        <v>165</v>
      </c>
      <c r="C161" s="79" t="s">
        <v>544</v>
      </c>
      <c r="D161" s="115" t="s">
        <v>545</v>
      </c>
      <c r="E161" s="115" t="str">
        <f t="shared" si="2"/>
        <v>2</v>
      </c>
      <c r="F161" s="79" t="s">
        <v>7</v>
      </c>
      <c r="G161" s="79" t="s">
        <v>387</v>
      </c>
      <c r="H161" s="79" t="s">
        <v>407</v>
      </c>
      <c r="I161" s="79" t="s">
        <v>408</v>
      </c>
      <c r="J161" s="79" t="s">
        <v>331</v>
      </c>
      <c r="K161" s="79" t="s">
        <v>332</v>
      </c>
      <c r="L161" s="116">
        <v>50000</v>
      </c>
      <c r="M161" s="116">
        <v>50000</v>
      </c>
      <c r="N161" s="117">
        <v>100</v>
      </c>
    </row>
    <row r="162" spans="1:14">
      <c r="A162" s="79" t="s">
        <v>548</v>
      </c>
      <c r="B162" s="79" t="s">
        <v>165</v>
      </c>
      <c r="C162" s="79" t="s">
        <v>544</v>
      </c>
      <c r="D162" s="115" t="s">
        <v>545</v>
      </c>
      <c r="E162" s="115" t="str">
        <f t="shared" si="2"/>
        <v>2</v>
      </c>
      <c r="F162" s="79" t="s">
        <v>7</v>
      </c>
      <c r="G162" s="79" t="s">
        <v>387</v>
      </c>
      <c r="H162" s="79" t="s">
        <v>407</v>
      </c>
      <c r="I162" s="79" t="s">
        <v>408</v>
      </c>
      <c r="J162" s="79" t="s">
        <v>331</v>
      </c>
      <c r="K162" s="79" t="s">
        <v>332</v>
      </c>
      <c r="L162" s="116">
        <v>51817</v>
      </c>
      <c r="M162" s="116">
        <v>51817</v>
      </c>
      <c r="N162" s="117">
        <v>100</v>
      </c>
    </row>
    <row r="163" spans="1:14">
      <c r="A163" s="79" t="s">
        <v>549</v>
      </c>
      <c r="B163" s="79" t="s">
        <v>165</v>
      </c>
      <c r="C163" s="79" t="s">
        <v>544</v>
      </c>
      <c r="D163" s="115" t="s">
        <v>545</v>
      </c>
      <c r="E163" s="115" t="str">
        <f t="shared" si="2"/>
        <v>2</v>
      </c>
      <c r="F163" s="79" t="s">
        <v>7</v>
      </c>
      <c r="G163" s="79" t="s">
        <v>387</v>
      </c>
      <c r="H163" s="79" t="s">
        <v>407</v>
      </c>
      <c r="I163" s="79" t="s">
        <v>408</v>
      </c>
      <c r="J163" s="79" t="s">
        <v>331</v>
      </c>
      <c r="K163" s="79" t="s">
        <v>332</v>
      </c>
      <c r="L163" s="116">
        <v>51817</v>
      </c>
      <c r="M163" s="116">
        <v>51817</v>
      </c>
      <c r="N163" s="117">
        <v>100</v>
      </c>
    </row>
    <row r="164" spans="1:14">
      <c r="A164" s="79" t="s">
        <v>550</v>
      </c>
      <c r="B164" s="79" t="s">
        <v>165</v>
      </c>
      <c r="C164" s="79" t="s">
        <v>544</v>
      </c>
      <c r="D164" s="115" t="s">
        <v>545</v>
      </c>
      <c r="E164" s="115" t="str">
        <f t="shared" si="2"/>
        <v>2</v>
      </c>
      <c r="F164" s="79" t="s">
        <v>7</v>
      </c>
      <c r="G164" s="79" t="s">
        <v>387</v>
      </c>
      <c r="H164" s="79" t="s">
        <v>407</v>
      </c>
      <c r="I164" s="79" t="s">
        <v>408</v>
      </c>
      <c r="J164" s="79" t="s">
        <v>331</v>
      </c>
      <c r="K164" s="79" t="s">
        <v>332</v>
      </c>
      <c r="L164" s="116">
        <v>52417</v>
      </c>
      <c r="M164" s="116">
        <v>52417</v>
      </c>
      <c r="N164" s="117">
        <v>100</v>
      </c>
    </row>
    <row r="165" spans="1:14">
      <c r="A165" s="79" t="s">
        <v>551</v>
      </c>
      <c r="B165" s="79" t="s">
        <v>165</v>
      </c>
      <c r="C165" s="79" t="s">
        <v>544</v>
      </c>
      <c r="D165" s="115" t="s">
        <v>545</v>
      </c>
      <c r="E165" s="115" t="str">
        <f t="shared" si="2"/>
        <v>2</v>
      </c>
      <c r="F165" s="79" t="s">
        <v>7</v>
      </c>
      <c r="G165" s="79" t="s">
        <v>387</v>
      </c>
      <c r="H165" s="79" t="s">
        <v>407</v>
      </c>
      <c r="I165" s="79" t="s">
        <v>408</v>
      </c>
      <c r="J165" s="79" t="s">
        <v>331</v>
      </c>
      <c r="K165" s="79" t="s">
        <v>332</v>
      </c>
      <c r="L165" s="116">
        <v>74783</v>
      </c>
      <c r="M165" s="116">
        <v>56087</v>
      </c>
      <c r="N165" s="117">
        <v>75</v>
      </c>
    </row>
    <row r="166" spans="1:14">
      <c r="A166" s="79" t="s">
        <v>552</v>
      </c>
      <c r="B166" s="79" t="s">
        <v>165</v>
      </c>
      <c r="C166" s="79" t="s">
        <v>544</v>
      </c>
      <c r="D166" s="115" t="s">
        <v>545</v>
      </c>
      <c r="E166" s="115" t="str">
        <f t="shared" si="2"/>
        <v>2</v>
      </c>
      <c r="F166" s="79" t="s">
        <v>7</v>
      </c>
      <c r="G166" s="79" t="s">
        <v>387</v>
      </c>
      <c r="H166" s="79" t="s">
        <v>407</v>
      </c>
      <c r="I166" s="79" t="s">
        <v>408</v>
      </c>
      <c r="J166" s="79" t="s">
        <v>331</v>
      </c>
      <c r="K166" s="79" t="s">
        <v>332</v>
      </c>
      <c r="L166" s="116">
        <v>56451</v>
      </c>
      <c r="M166" s="116">
        <v>56451</v>
      </c>
      <c r="N166" s="117">
        <v>100</v>
      </c>
    </row>
    <row r="167" spans="1:14">
      <c r="A167" s="79" t="s">
        <v>553</v>
      </c>
      <c r="B167" s="79" t="s">
        <v>165</v>
      </c>
      <c r="C167" s="79" t="s">
        <v>544</v>
      </c>
      <c r="D167" s="115" t="s">
        <v>545</v>
      </c>
      <c r="E167" s="115" t="str">
        <f t="shared" si="2"/>
        <v>2</v>
      </c>
      <c r="F167" s="79" t="s">
        <v>7</v>
      </c>
      <c r="G167" s="79" t="s">
        <v>387</v>
      </c>
      <c r="H167" s="79" t="s">
        <v>407</v>
      </c>
      <c r="I167" s="79" t="s">
        <v>408</v>
      </c>
      <c r="J167" s="79" t="s">
        <v>331</v>
      </c>
      <c r="K167" s="79" t="s">
        <v>332</v>
      </c>
      <c r="L167" s="116">
        <v>56500</v>
      </c>
      <c r="M167" s="116">
        <v>56500</v>
      </c>
      <c r="N167" s="117">
        <v>100</v>
      </c>
    </row>
    <row r="168" spans="1:14">
      <c r="A168" s="79" t="s">
        <v>554</v>
      </c>
      <c r="B168" s="79" t="s">
        <v>165</v>
      </c>
      <c r="C168" s="79" t="s">
        <v>544</v>
      </c>
      <c r="D168" s="115" t="s">
        <v>545</v>
      </c>
      <c r="E168" s="115" t="str">
        <f t="shared" si="2"/>
        <v>2</v>
      </c>
      <c r="F168" s="79" t="s">
        <v>7</v>
      </c>
      <c r="G168" s="79" t="s">
        <v>387</v>
      </c>
      <c r="H168" s="79" t="s">
        <v>407</v>
      </c>
      <c r="I168" s="79" t="s">
        <v>408</v>
      </c>
      <c r="J168" s="79" t="s">
        <v>331</v>
      </c>
      <c r="K168" s="79" t="s">
        <v>332</v>
      </c>
      <c r="L168" s="116">
        <v>65340</v>
      </c>
      <c r="M168" s="116">
        <v>65340</v>
      </c>
      <c r="N168" s="117">
        <v>100</v>
      </c>
    </row>
    <row r="169" spans="1:14">
      <c r="A169" s="79" t="s">
        <v>555</v>
      </c>
      <c r="B169" s="79" t="s">
        <v>165</v>
      </c>
      <c r="C169" s="79" t="s">
        <v>544</v>
      </c>
      <c r="D169" s="115" t="s">
        <v>545</v>
      </c>
      <c r="E169" s="115" t="str">
        <f t="shared" si="2"/>
        <v>2</v>
      </c>
      <c r="F169" s="79" t="s">
        <v>7</v>
      </c>
      <c r="G169" s="79" t="s">
        <v>387</v>
      </c>
      <c r="H169" s="79" t="s">
        <v>407</v>
      </c>
      <c r="I169" s="79" t="s">
        <v>408</v>
      </c>
      <c r="J169" s="79" t="s">
        <v>331</v>
      </c>
      <c r="K169" s="79" t="s">
        <v>332</v>
      </c>
      <c r="L169" s="116">
        <v>76662</v>
      </c>
      <c r="M169" s="116">
        <v>76662</v>
      </c>
      <c r="N169" s="117">
        <v>100</v>
      </c>
    </row>
    <row r="170" spans="1:14">
      <c r="A170" s="79" t="s">
        <v>556</v>
      </c>
      <c r="B170" s="79" t="s">
        <v>165</v>
      </c>
      <c r="C170" s="79" t="s">
        <v>544</v>
      </c>
      <c r="D170" s="115" t="s">
        <v>545</v>
      </c>
      <c r="E170" s="115" t="str">
        <f t="shared" si="2"/>
        <v>2</v>
      </c>
      <c r="F170" s="79" t="s">
        <v>7</v>
      </c>
      <c r="G170" s="79" t="s">
        <v>387</v>
      </c>
      <c r="H170" s="79" t="s">
        <v>407</v>
      </c>
      <c r="I170" s="79" t="s">
        <v>408</v>
      </c>
      <c r="J170" s="79" t="s">
        <v>331</v>
      </c>
      <c r="K170" s="79" t="s">
        <v>332</v>
      </c>
      <c r="L170" s="116">
        <v>105000</v>
      </c>
      <c r="M170" s="116">
        <v>105000</v>
      </c>
      <c r="N170" s="117">
        <v>100</v>
      </c>
    </row>
    <row r="171" spans="1:14">
      <c r="A171" s="79" t="s">
        <v>557</v>
      </c>
      <c r="B171" s="79" t="s">
        <v>165</v>
      </c>
      <c r="C171" s="79" t="s">
        <v>558</v>
      </c>
      <c r="D171" s="115" t="s">
        <v>559</v>
      </c>
      <c r="E171" s="115" t="str">
        <f t="shared" si="2"/>
        <v>2</v>
      </c>
      <c r="F171" s="79" t="s">
        <v>8</v>
      </c>
      <c r="G171" s="79" t="s">
        <v>341</v>
      </c>
      <c r="H171" s="79" t="s">
        <v>560</v>
      </c>
      <c r="I171" s="79" t="s">
        <v>561</v>
      </c>
      <c r="J171" s="79" t="s">
        <v>331</v>
      </c>
      <c r="K171" s="79" t="s">
        <v>332</v>
      </c>
      <c r="L171" s="116">
        <v>30146</v>
      </c>
      <c r="M171" s="116">
        <v>30146</v>
      </c>
      <c r="N171" s="117">
        <v>100</v>
      </c>
    </row>
    <row r="172" spans="1:14">
      <c r="A172" s="79" t="s">
        <v>562</v>
      </c>
      <c r="B172" s="79" t="s">
        <v>165</v>
      </c>
      <c r="C172" s="79" t="s">
        <v>558</v>
      </c>
      <c r="D172" s="115" t="s">
        <v>559</v>
      </c>
      <c r="E172" s="115" t="str">
        <f t="shared" si="2"/>
        <v>2</v>
      </c>
      <c r="F172" s="79" t="s">
        <v>8</v>
      </c>
      <c r="G172" s="79" t="s">
        <v>387</v>
      </c>
      <c r="H172" s="79" t="s">
        <v>560</v>
      </c>
      <c r="I172" s="79" t="s">
        <v>561</v>
      </c>
      <c r="J172" s="79" t="s">
        <v>331</v>
      </c>
      <c r="K172" s="79" t="s">
        <v>332</v>
      </c>
      <c r="L172" s="116">
        <v>40287</v>
      </c>
      <c r="M172" s="116">
        <v>40287</v>
      </c>
      <c r="N172" s="117">
        <v>100</v>
      </c>
    </row>
    <row r="173" spans="1:14">
      <c r="A173" s="79" t="s">
        <v>563</v>
      </c>
      <c r="B173" s="79" t="s">
        <v>165</v>
      </c>
      <c r="C173" s="79" t="s">
        <v>558</v>
      </c>
      <c r="D173" s="115" t="s">
        <v>559</v>
      </c>
      <c r="E173" s="115" t="str">
        <f t="shared" si="2"/>
        <v>2</v>
      </c>
      <c r="F173" s="79" t="s">
        <v>8</v>
      </c>
      <c r="G173" s="79" t="s">
        <v>387</v>
      </c>
      <c r="H173" s="79" t="s">
        <v>560</v>
      </c>
      <c r="I173" s="79" t="s">
        <v>561</v>
      </c>
      <c r="J173" s="79" t="s">
        <v>331</v>
      </c>
      <c r="K173" s="79" t="s">
        <v>332</v>
      </c>
      <c r="L173" s="116">
        <v>47302</v>
      </c>
      <c r="M173" s="116">
        <v>47302</v>
      </c>
      <c r="N173" s="117">
        <v>100</v>
      </c>
    </row>
    <row r="174" spans="1:14">
      <c r="A174" s="79" t="s">
        <v>564</v>
      </c>
      <c r="B174" s="79" t="s">
        <v>165</v>
      </c>
      <c r="C174" s="79" t="s">
        <v>558</v>
      </c>
      <c r="D174" s="115" t="s">
        <v>559</v>
      </c>
      <c r="E174" s="115" t="str">
        <f t="shared" si="2"/>
        <v>2</v>
      </c>
      <c r="F174" s="79" t="s">
        <v>8</v>
      </c>
      <c r="G174" s="79" t="s">
        <v>387</v>
      </c>
      <c r="H174" s="79" t="s">
        <v>560</v>
      </c>
      <c r="I174" s="79" t="s">
        <v>561</v>
      </c>
      <c r="J174" s="79" t="s">
        <v>331</v>
      </c>
      <c r="K174" s="79" t="s">
        <v>332</v>
      </c>
      <c r="L174" s="116">
        <v>60600</v>
      </c>
      <c r="M174" s="116">
        <v>60600</v>
      </c>
      <c r="N174" s="117">
        <v>100</v>
      </c>
    </row>
    <row r="175" spans="1:14">
      <c r="A175" s="79" t="s">
        <v>565</v>
      </c>
      <c r="B175" s="79" t="s">
        <v>165</v>
      </c>
      <c r="C175" s="79" t="s">
        <v>558</v>
      </c>
      <c r="D175" s="115" t="s">
        <v>559</v>
      </c>
      <c r="E175" s="115" t="str">
        <f t="shared" si="2"/>
        <v>2</v>
      </c>
      <c r="F175" s="79" t="s">
        <v>8</v>
      </c>
      <c r="G175" s="79" t="s">
        <v>387</v>
      </c>
      <c r="H175" s="79" t="s">
        <v>560</v>
      </c>
      <c r="I175" s="79" t="s">
        <v>561</v>
      </c>
      <c r="J175" s="79" t="s">
        <v>331</v>
      </c>
      <c r="K175" s="79" t="s">
        <v>332</v>
      </c>
      <c r="L175" s="116">
        <v>66794</v>
      </c>
      <c r="M175" s="116">
        <v>66794</v>
      </c>
      <c r="N175" s="117">
        <v>100</v>
      </c>
    </row>
    <row r="176" spans="1:14">
      <c r="A176" s="79" t="s">
        <v>566</v>
      </c>
      <c r="B176" s="79" t="s">
        <v>165</v>
      </c>
      <c r="C176" s="79" t="s">
        <v>558</v>
      </c>
      <c r="D176" s="115" t="s">
        <v>559</v>
      </c>
      <c r="E176" s="115" t="str">
        <f t="shared" si="2"/>
        <v>2</v>
      </c>
      <c r="F176" s="79" t="s">
        <v>8</v>
      </c>
      <c r="G176" s="79" t="s">
        <v>387</v>
      </c>
      <c r="H176" s="79" t="s">
        <v>560</v>
      </c>
      <c r="I176" s="79" t="s">
        <v>561</v>
      </c>
      <c r="J176" s="79" t="s">
        <v>331</v>
      </c>
      <c r="K176" s="79" t="s">
        <v>332</v>
      </c>
      <c r="L176" s="116">
        <v>75760</v>
      </c>
      <c r="M176" s="116">
        <v>75760</v>
      </c>
      <c r="N176" s="117">
        <v>100</v>
      </c>
    </row>
    <row r="177" spans="1:14">
      <c r="A177" s="79" t="s">
        <v>567</v>
      </c>
      <c r="B177" s="79" t="s">
        <v>165</v>
      </c>
      <c r="C177" s="79" t="s">
        <v>558</v>
      </c>
      <c r="D177" s="115" t="s">
        <v>559</v>
      </c>
      <c r="E177" s="115" t="str">
        <f t="shared" si="2"/>
        <v>2</v>
      </c>
      <c r="F177" s="79" t="s">
        <v>8</v>
      </c>
      <c r="G177" s="79" t="s">
        <v>387</v>
      </c>
      <c r="H177" s="79" t="s">
        <v>560</v>
      </c>
      <c r="I177" s="79" t="s">
        <v>561</v>
      </c>
      <c r="J177" s="79" t="s">
        <v>331</v>
      </c>
      <c r="K177" s="79" t="s">
        <v>332</v>
      </c>
      <c r="L177" s="116">
        <v>76941</v>
      </c>
      <c r="M177" s="116">
        <v>76941</v>
      </c>
      <c r="N177" s="117">
        <v>100</v>
      </c>
    </row>
    <row r="178" spans="1:14">
      <c r="A178" s="79" t="s">
        <v>568</v>
      </c>
      <c r="B178" s="79" t="s">
        <v>165</v>
      </c>
      <c r="C178" s="79" t="s">
        <v>558</v>
      </c>
      <c r="D178" s="115" t="s">
        <v>559</v>
      </c>
      <c r="E178" s="115" t="str">
        <f t="shared" si="2"/>
        <v>2</v>
      </c>
      <c r="F178" s="79" t="s">
        <v>8</v>
      </c>
      <c r="G178" s="79" t="s">
        <v>387</v>
      </c>
      <c r="H178" s="79" t="s">
        <v>560</v>
      </c>
      <c r="I178" s="79" t="s">
        <v>561</v>
      </c>
      <c r="J178" s="79" t="s">
        <v>331</v>
      </c>
      <c r="K178" s="79" t="s">
        <v>332</v>
      </c>
      <c r="L178" s="116">
        <v>77377</v>
      </c>
      <c r="M178" s="116">
        <v>77377</v>
      </c>
      <c r="N178" s="117">
        <v>100</v>
      </c>
    </row>
    <row r="179" spans="1:14">
      <c r="A179" s="79" t="s">
        <v>569</v>
      </c>
      <c r="B179" s="79" t="s">
        <v>165</v>
      </c>
      <c r="C179" s="79" t="s">
        <v>558</v>
      </c>
      <c r="D179" s="115" t="s">
        <v>559</v>
      </c>
      <c r="E179" s="115" t="str">
        <f t="shared" si="2"/>
        <v>2</v>
      </c>
      <c r="F179" s="79" t="s">
        <v>8</v>
      </c>
      <c r="G179" s="79" t="s">
        <v>387</v>
      </c>
      <c r="H179" s="79" t="s">
        <v>560</v>
      </c>
      <c r="I179" s="79" t="s">
        <v>561</v>
      </c>
      <c r="J179" s="79" t="s">
        <v>331</v>
      </c>
      <c r="K179" s="79" t="s">
        <v>332</v>
      </c>
      <c r="L179" s="116">
        <v>82874</v>
      </c>
      <c r="M179" s="116">
        <v>82874</v>
      </c>
      <c r="N179" s="117">
        <v>100</v>
      </c>
    </row>
    <row r="180" spans="1:14">
      <c r="A180" s="79" t="s">
        <v>570</v>
      </c>
      <c r="B180" s="79" t="s">
        <v>165</v>
      </c>
      <c r="C180" s="79" t="s">
        <v>558</v>
      </c>
      <c r="D180" s="115" t="s">
        <v>559</v>
      </c>
      <c r="E180" s="115" t="str">
        <f t="shared" si="2"/>
        <v>2</v>
      </c>
      <c r="F180" s="79" t="s">
        <v>8</v>
      </c>
      <c r="G180" s="79" t="s">
        <v>387</v>
      </c>
      <c r="H180" s="79" t="s">
        <v>560</v>
      </c>
      <c r="I180" s="79" t="s">
        <v>561</v>
      </c>
      <c r="J180" s="79" t="s">
        <v>331</v>
      </c>
      <c r="K180" s="79" t="s">
        <v>332</v>
      </c>
      <c r="L180" s="116">
        <v>84925</v>
      </c>
      <c r="M180" s="116">
        <v>84925</v>
      </c>
      <c r="N180" s="117">
        <v>100</v>
      </c>
    </row>
    <row r="181" spans="1:14">
      <c r="A181" s="79" t="s">
        <v>571</v>
      </c>
      <c r="B181" s="79" t="s">
        <v>165</v>
      </c>
      <c r="C181" s="79" t="s">
        <v>558</v>
      </c>
      <c r="D181" s="115" t="s">
        <v>559</v>
      </c>
      <c r="E181" s="115" t="str">
        <f t="shared" si="2"/>
        <v>2</v>
      </c>
      <c r="F181" s="79" t="s">
        <v>8</v>
      </c>
      <c r="G181" s="79" t="s">
        <v>387</v>
      </c>
      <c r="H181" s="79" t="s">
        <v>560</v>
      </c>
      <c r="I181" s="79" t="s">
        <v>561</v>
      </c>
      <c r="J181" s="79" t="s">
        <v>331</v>
      </c>
      <c r="K181" s="79" t="s">
        <v>332</v>
      </c>
      <c r="L181" s="116">
        <v>100000</v>
      </c>
      <c r="M181" s="116">
        <v>100000</v>
      </c>
      <c r="N181" s="117">
        <v>100</v>
      </c>
    </row>
    <row r="182" spans="1:14">
      <c r="A182" s="79" t="s">
        <v>572</v>
      </c>
      <c r="B182" s="79" t="s">
        <v>165</v>
      </c>
      <c r="C182" s="79" t="s">
        <v>558</v>
      </c>
      <c r="D182" s="115" t="s">
        <v>559</v>
      </c>
      <c r="E182" s="115" t="str">
        <f t="shared" si="2"/>
        <v>2</v>
      </c>
      <c r="F182" s="79" t="s">
        <v>8</v>
      </c>
      <c r="G182" s="79" t="s">
        <v>387</v>
      </c>
      <c r="H182" s="79" t="s">
        <v>560</v>
      </c>
      <c r="I182" s="79" t="s">
        <v>561</v>
      </c>
      <c r="J182" s="79" t="s">
        <v>331</v>
      </c>
      <c r="K182" s="79" t="s">
        <v>332</v>
      </c>
      <c r="L182" s="116">
        <v>105000</v>
      </c>
      <c r="M182" s="116">
        <v>105000</v>
      </c>
      <c r="N182" s="117">
        <v>100</v>
      </c>
    </row>
    <row r="183" spans="1:14">
      <c r="A183" s="79" t="s">
        <v>573</v>
      </c>
      <c r="B183" s="79" t="s">
        <v>165</v>
      </c>
      <c r="C183" s="79" t="s">
        <v>558</v>
      </c>
      <c r="D183" s="115" t="s">
        <v>559</v>
      </c>
      <c r="E183" s="115" t="str">
        <f t="shared" si="2"/>
        <v>2</v>
      </c>
      <c r="F183" s="79" t="s">
        <v>8</v>
      </c>
      <c r="G183" s="79" t="s">
        <v>387</v>
      </c>
      <c r="H183" s="79" t="s">
        <v>560</v>
      </c>
      <c r="I183" s="79" t="s">
        <v>561</v>
      </c>
      <c r="J183" s="79" t="s">
        <v>331</v>
      </c>
      <c r="K183" s="79" t="s">
        <v>332</v>
      </c>
      <c r="L183" s="116">
        <v>110000</v>
      </c>
      <c r="M183" s="116">
        <v>110000</v>
      </c>
      <c r="N183" s="117">
        <v>100</v>
      </c>
    </row>
    <row r="184" spans="1:14">
      <c r="A184" s="79" t="s">
        <v>574</v>
      </c>
      <c r="B184" s="79" t="s">
        <v>165</v>
      </c>
      <c r="C184" s="79" t="s">
        <v>575</v>
      </c>
      <c r="D184" s="115" t="s">
        <v>576</v>
      </c>
      <c r="E184" s="115" t="str">
        <f t="shared" si="2"/>
        <v>2</v>
      </c>
      <c r="F184" s="79" t="s">
        <v>9</v>
      </c>
      <c r="G184" s="79" t="s">
        <v>341</v>
      </c>
      <c r="H184" s="79" t="s">
        <v>560</v>
      </c>
      <c r="I184" s="79" t="s">
        <v>561</v>
      </c>
      <c r="J184" s="79" t="s">
        <v>331</v>
      </c>
      <c r="K184" s="79" t="s">
        <v>332</v>
      </c>
      <c r="L184" s="116">
        <v>31063</v>
      </c>
      <c r="M184" s="116">
        <v>31063</v>
      </c>
      <c r="N184" s="117">
        <v>100</v>
      </c>
    </row>
    <row r="185" spans="1:14">
      <c r="A185" s="79" t="s">
        <v>577</v>
      </c>
      <c r="B185" s="79" t="s">
        <v>165</v>
      </c>
      <c r="C185" s="79" t="s">
        <v>578</v>
      </c>
      <c r="D185" s="115" t="s">
        <v>579</v>
      </c>
      <c r="E185" s="115" t="str">
        <f t="shared" si="2"/>
        <v>2</v>
      </c>
      <c r="F185" s="79" t="s">
        <v>580</v>
      </c>
      <c r="G185" s="79" t="s">
        <v>341</v>
      </c>
      <c r="H185" s="79" t="s">
        <v>560</v>
      </c>
      <c r="I185" s="79" t="s">
        <v>561</v>
      </c>
      <c r="J185" s="79" t="s">
        <v>331</v>
      </c>
      <c r="K185" s="79" t="s">
        <v>332</v>
      </c>
      <c r="L185" s="116">
        <v>28946</v>
      </c>
      <c r="M185" s="116">
        <v>28946</v>
      </c>
      <c r="N185" s="117">
        <v>100</v>
      </c>
    </row>
    <row r="186" spans="1:14">
      <c r="A186" s="79" t="s">
        <v>581</v>
      </c>
      <c r="B186" s="79" t="s">
        <v>165</v>
      </c>
      <c r="C186" s="79" t="s">
        <v>578</v>
      </c>
      <c r="D186" s="115" t="s">
        <v>579</v>
      </c>
      <c r="E186" s="115" t="str">
        <f t="shared" si="2"/>
        <v>2</v>
      </c>
      <c r="F186" s="79" t="s">
        <v>580</v>
      </c>
      <c r="G186" s="79" t="s">
        <v>387</v>
      </c>
      <c r="H186" s="79" t="s">
        <v>560</v>
      </c>
      <c r="I186" s="79" t="s">
        <v>561</v>
      </c>
      <c r="J186" s="79" t="s">
        <v>331</v>
      </c>
      <c r="K186" s="79" t="s">
        <v>332</v>
      </c>
      <c r="L186" s="116">
        <v>70150</v>
      </c>
      <c r="M186" s="116">
        <v>70150</v>
      </c>
      <c r="N186" s="117">
        <v>100</v>
      </c>
    </row>
    <row r="187" spans="1:14">
      <c r="A187" s="79" t="s">
        <v>582</v>
      </c>
      <c r="B187" s="79" t="s">
        <v>165</v>
      </c>
      <c r="C187" s="79" t="s">
        <v>578</v>
      </c>
      <c r="D187" s="115" t="s">
        <v>579</v>
      </c>
      <c r="E187" s="115" t="str">
        <f t="shared" si="2"/>
        <v>2</v>
      </c>
      <c r="F187" s="79" t="s">
        <v>580</v>
      </c>
      <c r="G187" s="79" t="s">
        <v>387</v>
      </c>
      <c r="H187" s="79" t="s">
        <v>560</v>
      </c>
      <c r="I187" s="79" t="s">
        <v>561</v>
      </c>
      <c r="J187" s="79" t="s">
        <v>331</v>
      </c>
      <c r="K187" s="79" t="s">
        <v>332</v>
      </c>
      <c r="L187" s="116">
        <v>75881</v>
      </c>
      <c r="M187" s="116">
        <v>75881</v>
      </c>
      <c r="N187" s="117">
        <v>100</v>
      </c>
    </row>
    <row r="188" spans="1:14">
      <c r="A188" s="79" t="s">
        <v>583</v>
      </c>
      <c r="B188" s="79" t="s">
        <v>165</v>
      </c>
      <c r="C188" s="79" t="s">
        <v>578</v>
      </c>
      <c r="D188" s="115" t="s">
        <v>579</v>
      </c>
      <c r="E188" s="115" t="str">
        <f t="shared" si="2"/>
        <v>2</v>
      </c>
      <c r="F188" s="79" t="s">
        <v>580</v>
      </c>
      <c r="G188" s="79" t="s">
        <v>387</v>
      </c>
      <c r="H188" s="79" t="s">
        <v>560</v>
      </c>
      <c r="I188" s="79" t="s">
        <v>561</v>
      </c>
      <c r="J188" s="79" t="s">
        <v>331</v>
      </c>
      <c r="K188" s="79" t="s">
        <v>332</v>
      </c>
      <c r="L188" s="116">
        <v>82725</v>
      </c>
      <c r="M188" s="116">
        <v>82725</v>
      </c>
      <c r="N188" s="117">
        <v>100</v>
      </c>
    </row>
    <row r="189" spans="1:14">
      <c r="A189" s="79" t="s">
        <v>584</v>
      </c>
      <c r="B189" s="79" t="s">
        <v>165</v>
      </c>
      <c r="C189" s="79" t="s">
        <v>578</v>
      </c>
      <c r="D189" s="115" t="s">
        <v>579</v>
      </c>
      <c r="E189" s="115" t="str">
        <f t="shared" si="2"/>
        <v>2</v>
      </c>
      <c r="F189" s="79" t="s">
        <v>580</v>
      </c>
      <c r="G189" s="79" t="s">
        <v>387</v>
      </c>
      <c r="H189" s="79" t="s">
        <v>560</v>
      </c>
      <c r="I189" s="79" t="s">
        <v>561</v>
      </c>
      <c r="J189" s="79" t="s">
        <v>331</v>
      </c>
      <c r="K189" s="79" t="s">
        <v>332</v>
      </c>
      <c r="L189" s="116">
        <v>83000</v>
      </c>
      <c r="M189" s="116">
        <v>83000</v>
      </c>
      <c r="N189" s="117">
        <v>100</v>
      </c>
    </row>
    <row r="190" spans="1:14">
      <c r="A190" s="79" t="s">
        <v>585</v>
      </c>
      <c r="B190" s="79" t="s">
        <v>165</v>
      </c>
      <c r="C190" s="79" t="s">
        <v>578</v>
      </c>
      <c r="D190" s="115" t="s">
        <v>579</v>
      </c>
      <c r="E190" s="115" t="str">
        <f t="shared" si="2"/>
        <v>2</v>
      </c>
      <c r="F190" s="79" t="s">
        <v>580</v>
      </c>
      <c r="G190" s="79" t="s">
        <v>387</v>
      </c>
      <c r="H190" s="79" t="s">
        <v>560</v>
      </c>
      <c r="I190" s="79" t="s">
        <v>561</v>
      </c>
      <c r="J190" s="79" t="s">
        <v>331</v>
      </c>
      <c r="K190" s="79" t="s">
        <v>332</v>
      </c>
      <c r="L190" s="116">
        <v>83000</v>
      </c>
      <c r="M190" s="116">
        <v>83000</v>
      </c>
      <c r="N190" s="117">
        <v>100</v>
      </c>
    </row>
    <row r="191" spans="1:14">
      <c r="A191" s="79" t="s">
        <v>586</v>
      </c>
      <c r="B191" s="79" t="s">
        <v>165</v>
      </c>
      <c r="C191" s="79" t="s">
        <v>578</v>
      </c>
      <c r="D191" s="115" t="s">
        <v>579</v>
      </c>
      <c r="E191" s="115" t="str">
        <f t="shared" si="2"/>
        <v>2</v>
      </c>
      <c r="F191" s="79" t="s">
        <v>580</v>
      </c>
      <c r="G191" s="79" t="s">
        <v>387</v>
      </c>
      <c r="H191" s="79" t="s">
        <v>560</v>
      </c>
      <c r="I191" s="79" t="s">
        <v>561</v>
      </c>
      <c r="J191" s="79" t="s">
        <v>331</v>
      </c>
      <c r="K191" s="79" t="s">
        <v>332</v>
      </c>
      <c r="L191" s="116">
        <v>83288</v>
      </c>
      <c r="M191" s="116">
        <v>83288</v>
      </c>
      <c r="N191" s="117">
        <v>100</v>
      </c>
    </row>
    <row r="192" spans="1:14">
      <c r="A192" s="79" t="s">
        <v>587</v>
      </c>
      <c r="B192" s="79" t="s">
        <v>165</v>
      </c>
      <c r="C192" s="79" t="s">
        <v>578</v>
      </c>
      <c r="D192" s="115" t="s">
        <v>579</v>
      </c>
      <c r="E192" s="115" t="str">
        <f t="shared" si="2"/>
        <v>2</v>
      </c>
      <c r="F192" s="79" t="s">
        <v>580</v>
      </c>
      <c r="G192" s="79" t="s">
        <v>387</v>
      </c>
      <c r="H192" s="79" t="s">
        <v>560</v>
      </c>
      <c r="I192" s="79" t="s">
        <v>561</v>
      </c>
      <c r="J192" s="79" t="s">
        <v>331</v>
      </c>
      <c r="K192" s="79" t="s">
        <v>332</v>
      </c>
      <c r="L192" s="116">
        <v>84700</v>
      </c>
      <c r="M192" s="116">
        <v>84700</v>
      </c>
      <c r="N192" s="117">
        <v>100</v>
      </c>
    </row>
    <row r="193" spans="1:14">
      <c r="A193" s="79" t="s">
        <v>588</v>
      </c>
      <c r="B193" s="79" t="s">
        <v>165</v>
      </c>
      <c r="C193" s="79" t="s">
        <v>578</v>
      </c>
      <c r="D193" s="115" t="s">
        <v>579</v>
      </c>
      <c r="E193" s="115" t="str">
        <f t="shared" si="2"/>
        <v>2</v>
      </c>
      <c r="F193" s="79" t="s">
        <v>580</v>
      </c>
      <c r="G193" s="79" t="s">
        <v>387</v>
      </c>
      <c r="H193" s="79" t="s">
        <v>560</v>
      </c>
      <c r="I193" s="79" t="s">
        <v>561</v>
      </c>
      <c r="J193" s="79" t="s">
        <v>331</v>
      </c>
      <c r="K193" s="79" t="s">
        <v>332</v>
      </c>
      <c r="L193" s="116">
        <v>85000</v>
      </c>
      <c r="M193" s="116">
        <v>85000</v>
      </c>
      <c r="N193" s="117">
        <v>100</v>
      </c>
    </row>
    <row r="194" spans="1:14">
      <c r="A194" s="79" t="s">
        <v>589</v>
      </c>
      <c r="B194" s="79" t="s">
        <v>165</v>
      </c>
      <c r="C194" s="79" t="s">
        <v>578</v>
      </c>
      <c r="D194" s="115" t="s">
        <v>579</v>
      </c>
      <c r="E194" s="115" t="str">
        <f t="shared" si="2"/>
        <v>2</v>
      </c>
      <c r="F194" s="79" t="s">
        <v>580</v>
      </c>
      <c r="G194" s="79" t="s">
        <v>387</v>
      </c>
      <c r="H194" s="79" t="s">
        <v>560</v>
      </c>
      <c r="I194" s="79" t="s">
        <v>561</v>
      </c>
      <c r="J194" s="79" t="s">
        <v>331</v>
      </c>
      <c r="K194" s="79" t="s">
        <v>332</v>
      </c>
      <c r="L194" s="116">
        <v>90680</v>
      </c>
      <c r="M194" s="116">
        <v>90680</v>
      </c>
      <c r="N194" s="117">
        <v>100</v>
      </c>
    </row>
    <row r="195" spans="1:14">
      <c r="A195" s="79" t="s">
        <v>590</v>
      </c>
      <c r="B195" s="79" t="s">
        <v>165</v>
      </c>
      <c r="C195" s="79" t="s">
        <v>578</v>
      </c>
      <c r="D195" s="115" t="s">
        <v>579</v>
      </c>
      <c r="E195" s="115" t="str">
        <f t="shared" ref="E195:E257" si="3">LEFT(D195,1)</f>
        <v>2</v>
      </c>
      <c r="F195" s="79" t="s">
        <v>580</v>
      </c>
      <c r="G195" s="79" t="s">
        <v>387</v>
      </c>
      <c r="H195" s="79" t="s">
        <v>560</v>
      </c>
      <c r="I195" s="79" t="s">
        <v>561</v>
      </c>
      <c r="J195" s="79" t="s">
        <v>331</v>
      </c>
      <c r="K195" s="79" t="s">
        <v>332</v>
      </c>
      <c r="L195" s="116">
        <v>91406</v>
      </c>
      <c r="M195" s="116">
        <v>91406</v>
      </c>
      <c r="N195" s="117">
        <v>100</v>
      </c>
    </row>
    <row r="196" spans="1:14">
      <c r="A196" s="79" t="s">
        <v>591</v>
      </c>
      <c r="B196" s="79" t="s">
        <v>165</v>
      </c>
      <c r="C196" s="79" t="s">
        <v>578</v>
      </c>
      <c r="D196" s="115" t="s">
        <v>579</v>
      </c>
      <c r="E196" s="115" t="str">
        <f t="shared" si="3"/>
        <v>2</v>
      </c>
      <c r="F196" s="79" t="s">
        <v>580</v>
      </c>
      <c r="G196" s="79" t="s">
        <v>387</v>
      </c>
      <c r="H196" s="79" t="s">
        <v>560</v>
      </c>
      <c r="I196" s="79" t="s">
        <v>561</v>
      </c>
      <c r="J196" s="79" t="s">
        <v>331</v>
      </c>
      <c r="K196" s="79" t="s">
        <v>332</v>
      </c>
      <c r="L196" s="116">
        <v>92707</v>
      </c>
      <c r="M196" s="116">
        <v>92707</v>
      </c>
      <c r="N196" s="117">
        <v>100</v>
      </c>
    </row>
    <row r="197" spans="1:14">
      <c r="A197" s="79" t="s">
        <v>592</v>
      </c>
      <c r="B197" s="79" t="s">
        <v>165</v>
      </c>
      <c r="C197" s="79" t="s">
        <v>578</v>
      </c>
      <c r="D197" s="115" t="s">
        <v>579</v>
      </c>
      <c r="E197" s="115" t="str">
        <f t="shared" si="3"/>
        <v>2</v>
      </c>
      <c r="F197" s="79" t="s">
        <v>580</v>
      </c>
      <c r="G197" s="79" t="s">
        <v>387</v>
      </c>
      <c r="H197" s="79" t="s">
        <v>560</v>
      </c>
      <c r="I197" s="79" t="s">
        <v>561</v>
      </c>
      <c r="J197" s="79" t="s">
        <v>331</v>
      </c>
      <c r="K197" s="79" t="s">
        <v>332</v>
      </c>
      <c r="L197" s="116">
        <v>125000</v>
      </c>
      <c r="M197" s="116">
        <v>125000</v>
      </c>
      <c r="N197" s="117">
        <v>100</v>
      </c>
    </row>
    <row r="198" spans="1:14">
      <c r="A198" s="79" t="s">
        <v>593</v>
      </c>
      <c r="B198" s="79" t="s">
        <v>165</v>
      </c>
      <c r="C198" s="79" t="s">
        <v>594</v>
      </c>
      <c r="D198" s="115" t="s">
        <v>595</v>
      </c>
      <c r="E198" s="115" t="str">
        <f t="shared" si="3"/>
        <v>2</v>
      </c>
      <c r="F198" s="79" t="s">
        <v>596</v>
      </c>
      <c r="G198" s="79" t="s">
        <v>387</v>
      </c>
      <c r="H198" s="79" t="s">
        <v>560</v>
      </c>
      <c r="I198" s="79" t="s">
        <v>561</v>
      </c>
      <c r="J198" s="79" t="s">
        <v>331</v>
      </c>
      <c r="K198" s="79" t="s">
        <v>332</v>
      </c>
      <c r="L198" s="116">
        <v>70000</v>
      </c>
      <c r="M198" s="116">
        <v>1400</v>
      </c>
      <c r="N198" s="117">
        <v>2</v>
      </c>
    </row>
    <row r="199" spans="1:14">
      <c r="A199" s="79" t="s">
        <v>597</v>
      </c>
      <c r="B199" s="79" t="s">
        <v>165</v>
      </c>
      <c r="C199" s="79" t="s">
        <v>594</v>
      </c>
      <c r="D199" s="115" t="s">
        <v>595</v>
      </c>
      <c r="E199" s="115" t="str">
        <f t="shared" si="3"/>
        <v>2</v>
      </c>
      <c r="F199" s="79" t="s">
        <v>596</v>
      </c>
      <c r="G199" s="79" t="s">
        <v>387</v>
      </c>
      <c r="H199" s="79" t="s">
        <v>560</v>
      </c>
      <c r="I199" s="79" t="s">
        <v>561</v>
      </c>
      <c r="J199" s="79" t="s">
        <v>331</v>
      </c>
      <c r="K199" s="79" t="s">
        <v>332</v>
      </c>
      <c r="L199" s="116">
        <v>70000</v>
      </c>
      <c r="M199" s="116">
        <v>1400</v>
      </c>
      <c r="N199" s="117">
        <v>2</v>
      </c>
    </row>
    <row r="200" spans="1:14">
      <c r="A200" s="79" t="s">
        <v>598</v>
      </c>
      <c r="B200" s="79" t="s">
        <v>165</v>
      </c>
      <c r="C200" s="79" t="s">
        <v>594</v>
      </c>
      <c r="D200" s="115" t="s">
        <v>595</v>
      </c>
      <c r="E200" s="115" t="str">
        <f t="shared" si="3"/>
        <v>2</v>
      </c>
      <c r="F200" s="79" t="s">
        <v>596</v>
      </c>
      <c r="G200" s="79" t="s">
        <v>387</v>
      </c>
      <c r="H200" s="79" t="s">
        <v>560</v>
      </c>
      <c r="I200" s="79" t="s">
        <v>561</v>
      </c>
      <c r="J200" s="79" t="s">
        <v>331</v>
      </c>
      <c r="K200" s="79" t="s">
        <v>332</v>
      </c>
      <c r="L200" s="116">
        <v>71000</v>
      </c>
      <c r="M200" s="116">
        <v>1420</v>
      </c>
      <c r="N200" s="117">
        <v>2</v>
      </c>
    </row>
    <row r="201" spans="1:14">
      <c r="A201" s="79" t="s">
        <v>599</v>
      </c>
      <c r="B201" s="79" t="s">
        <v>165</v>
      </c>
      <c r="C201" s="79" t="s">
        <v>594</v>
      </c>
      <c r="D201" s="115" t="s">
        <v>595</v>
      </c>
      <c r="E201" s="115" t="str">
        <f t="shared" si="3"/>
        <v>2</v>
      </c>
      <c r="F201" s="79" t="s">
        <v>596</v>
      </c>
      <c r="G201" s="79" t="s">
        <v>387</v>
      </c>
      <c r="H201" s="79" t="s">
        <v>560</v>
      </c>
      <c r="I201" s="79" t="s">
        <v>561</v>
      </c>
      <c r="J201" s="79" t="s">
        <v>331</v>
      </c>
      <c r="K201" s="79" t="s">
        <v>332</v>
      </c>
      <c r="L201" s="116">
        <v>71000</v>
      </c>
      <c r="M201" s="116">
        <v>1420</v>
      </c>
      <c r="N201" s="117">
        <v>2</v>
      </c>
    </row>
    <row r="202" spans="1:14">
      <c r="A202" s="79" t="s">
        <v>600</v>
      </c>
      <c r="B202" s="79" t="s">
        <v>165</v>
      </c>
      <c r="C202" s="79" t="s">
        <v>594</v>
      </c>
      <c r="D202" s="115" t="s">
        <v>595</v>
      </c>
      <c r="E202" s="115" t="str">
        <f t="shared" si="3"/>
        <v>2</v>
      </c>
      <c r="F202" s="79" t="s">
        <v>596</v>
      </c>
      <c r="G202" s="79" t="s">
        <v>387</v>
      </c>
      <c r="H202" s="79" t="s">
        <v>560</v>
      </c>
      <c r="I202" s="79" t="s">
        <v>561</v>
      </c>
      <c r="J202" s="79" t="s">
        <v>331</v>
      </c>
      <c r="K202" s="79" t="s">
        <v>332</v>
      </c>
      <c r="L202" s="116">
        <v>71000</v>
      </c>
      <c r="M202" s="116">
        <v>1420</v>
      </c>
      <c r="N202" s="117">
        <v>2</v>
      </c>
    </row>
    <row r="203" spans="1:14">
      <c r="A203" s="79" t="s">
        <v>601</v>
      </c>
      <c r="B203" s="79" t="s">
        <v>165</v>
      </c>
      <c r="C203" s="79" t="s">
        <v>594</v>
      </c>
      <c r="D203" s="115" t="s">
        <v>595</v>
      </c>
      <c r="E203" s="115" t="str">
        <f t="shared" si="3"/>
        <v>2</v>
      </c>
      <c r="F203" s="79" t="s">
        <v>596</v>
      </c>
      <c r="G203" s="79" t="s">
        <v>387</v>
      </c>
      <c r="H203" s="79" t="s">
        <v>560</v>
      </c>
      <c r="I203" s="79" t="s">
        <v>561</v>
      </c>
      <c r="J203" s="79" t="s">
        <v>331</v>
      </c>
      <c r="K203" s="79" t="s">
        <v>332</v>
      </c>
      <c r="L203" s="116">
        <v>71000</v>
      </c>
      <c r="M203" s="116">
        <v>1420</v>
      </c>
      <c r="N203" s="117">
        <v>2</v>
      </c>
    </row>
    <row r="204" spans="1:14">
      <c r="A204" s="79" t="s">
        <v>602</v>
      </c>
      <c r="B204" s="79" t="s">
        <v>165</v>
      </c>
      <c r="C204" s="79" t="s">
        <v>594</v>
      </c>
      <c r="D204" s="115" t="s">
        <v>595</v>
      </c>
      <c r="E204" s="115" t="str">
        <f t="shared" si="3"/>
        <v>2</v>
      </c>
      <c r="F204" s="79" t="s">
        <v>596</v>
      </c>
      <c r="G204" s="79" t="s">
        <v>387</v>
      </c>
      <c r="H204" s="79" t="s">
        <v>560</v>
      </c>
      <c r="I204" s="79" t="s">
        <v>561</v>
      </c>
      <c r="J204" s="79" t="s">
        <v>331</v>
      </c>
      <c r="K204" s="79" t="s">
        <v>332</v>
      </c>
      <c r="L204" s="116">
        <v>71000</v>
      </c>
      <c r="M204" s="116">
        <v>1420</v>
      </c>
      <c r="N204" s="117">
        <v>2</v>
      </c>
    </row>
    <row r="205" spans="1:14">
      <c r="A205" s="79" t="s">
        <v>603</v>
      </c>
      <c r="B205" s="79" t="s">
        <v>165</v>
      </c>
      <c r="C205" s="79" t="s">
        <v>594</v>
      </c>
      <c r="D205" s="115" t="s">
        <v>595</v>
      </c>
      <c r="E205" s="115" t="str">
        <f t="shared" si="3"/>
        <v>2</v>
      </c>
      <c r="F205" s="79" t="s">
        <v>596</v>
      </c>
      <c r="G205" s="79" t="s">
        <v>387</v>
      </c>
      <c r="H205" s="79" t="s">
        <v>560</v>
      </c>
      <c r="I205" s="79" t="s">
        <v>561</v>
      </c>
      <c r="J205" s="79" t="s">
        <v>331</v>
      </c>
      <c r="K205" s="79" t="s">
        <v>332</v>
      </c>
      <c r="L205" s="116">
        <v>91000</v>
      </c>
      <c r="M205" s="116">
        <v>1820</v>
      </c>
      <c r="N205" s="117">
        <v>2</v>
      </c>
    </row>
    <row r="206" spans="1:14">
      <c r="A206" s="79" t="s">
        <v>604</v>
      </c>
      <c r="B206" s="79" t="s">
        <v>165</v>
      </c>
      <c r="C206" s="79" t="s">
        <v>594</v>
      </c>
      <c r="D206" s="115" t="s">
        <v>595</v>
      </c>
      <c r="E206" s="115" t="str">
        <f t="shared" si="3"/>
        <v>2</v>
      </c>
      <c r="F206" s="79" t="s">
        <v>596</v>
      </c>
      <c r="G206" s="79" t="s">
        <v>387</v>
      </c>
      <c r="H206" s="79" t="s">
        <v>560</v>
      </c>
      <c r="I206" s="79" t="s">
        <v>561</v>
      </c>
      <c r="J206" s="79" t="s">
        <v>331</v>
      </c>
      <c r="K206" s="79" t="s">
        <v>332</v>
      </c>
      <c r="L206" s="116">
        <v>91000</v>
      </c>
      <c r="M206" s="116">
        <v>1820</v>
      </c>
      <c r="N206" s="117">
        <v>2</v>
      </c>
    </row>
    <row r="207" spans="1:14">
      <c r="A207" s="79" t="s">
        <v>605</v>
      </c>
      <c r="B207" s="79" t="s">
        <v>165</v>
      </c>
      <c r="C207" s="79" t="s">
        <v>594</v>
      </c>
      <c r="D207" s="115" t="s">
        <v>595</v>
      </c>
      <c r="E207" s="115" t="str">
        <f t="shared" si="3"/>
        <v>2</v>
      </c>
      <c r="F207" s="79" t="s">
        <v>596</v>
      </c>
      <c r="G207" s="79" t="s">
        <v>387</v>
      </c>
      <c r="H207" s="79" t="s">
        <v>560</v>
      </c>
      <c r="I207" s="79" t="s">
        <v>561</v>
      </c>
      <c r="J207" s="79" t="s">
        <v>331</v>
      </c>
      <c r="K207" s="79" t="s">
        <v>332</v>
      </c>
      <c r="L207" s="116">
        <v>120000</v>
      </c>
      <c r="M207" s="116">
        <v>6000</v>
      </c>
      <c r="N207" s="117">
        <v>5</v>
      </c>
    </row>
    <row r="208" spans="1:14">
      <c r="A208" s="79" t="s">
        <v>606</v>
      </c>
      <c r="B208" s="79" t="s">
        <v>165</v>
      </c>
      <c r="C208" s="79" t="s">
        <v>594</v>
      </c>
      <c r="D208" s="115" t="s">
        <v>595</v>
      </c>
      <c r="E208" s="115" t="str">
        <f t="shared" si="3"/>
        <v>2</v>
      </c>
      <c r="F208" s="79" t="s">
        <v>596</v>
      </c>
      <c r="G208" s="79" t="s">
        <v>387</v>
      </c>
      <c r="H208" s="79" t="s">
        <v>560</v>
      </c>
      <c r="I208" s="79" t="s">
        <v>561</v>
      </c>
      <c r="J208" s="79" t="s">
        <v>331</v>
      </c>
      <c r="K208" s="79" t="s">
        <v>332</v>
      </c>
      <c r="L208" s="116">
        <v>60498</v>
      </c>
      <c r="M208" s="116">
        <v>60498</v>
      </c>
      <c r="N208" s="117">
        <v>100</v>
      </c>
    </row>
    <row r="209" spans="1:14">
      <c r="A209" s="79" t="s">
        <v>607</v>
      </c>
      <c r="B209" s="79" t="s">
        <v>165</v>
      </c>
      <c r="C209" s="79" t="s">
        <v>594</v>
      </c>
      <c r="D209" s="115" t="s">
        <v>595</v>
      </c>
      <c r="E209" s="115" t="str">
        <f t="shared" si="3"/>
        <v>2</v>
      </c>
      <c r="F209" s="79" t="s">
        <v>596</v>
      </c>
      <c r="G209" s="79" t="s">
        <v>387</v>
      </c>
      <c r="H209" s="79" t="s">
        <v>560</v>
      </c>
      <c r="I209" s="79" t="s">
        <v>561</v>
      </c>
      <c r="J209" s="79" t="s">
        <v>331</v>
      </c>
      <c r="K209" s="79" t="s">
        <v>332</v>
      </c>
      <c r="L209" s="116">
        <v>63594</v>
      </c>
      <c r="M209" s="116">
        <v>63594</v>
      </c>
      <c r="N209" s="117">
        <v>100</v>
      </c>
    </row>
    <row r="210" spans="1:14">
      <c r="A210" s="79" t="s">
        <v>608</v>
      </c>
      <c r="B210" s="79" t="s">
        <v>165</v>
      </c>
      <c r="C210" s="79" t="s">
        <v>594</v>
      </c>
      <c r="D210" s="115" t="s">
        <v>595</v>
      </c>
      <c r="E210" s="115" t="str">
        <f t="shared" si="3"/>
        <v>2</v>
      </c>
      <c r="F210" s="79" t="s">
        <v>596</v>
      </c>
      <c r="G210" s="79" t="s">
        <v>387</v>
      </c>
      <c r="H210" s="79" t="s">
        <v>560</v>
      </c>
      <c r="I210" s="79" t="s">
        <v>561</v>
      </c>
      <c r="J210" s="79" t="s">
        <v>331</v>
      </c>
      <c r="K210" s="79" t="s">
        <v>332</v>
      </c>
      <c r="L210" s="116">
        <v>64785</v>
      </c>
      <c r="M210" s="116">
        <v>64785</v>
      </c>
      <c r="N210" s="117">
        <v>100</v>
      </c>
    </row>
    <row r="211" spans="1:14">
      <c r="A211" s="79" t="s">
        <v>609</v>
      </c>
      <c r="B211" s="79" t="s">
        <v>165</v>
      </c>
      <c r="C211" s="79" t="s">
        <v>610</v>
      </c>
      <c r="D211" s="115" t="s">
        <v>611</v>
      </c>
      <c r="E211" s="115" t="str">
        <f t="shared" si="3"/>
        <v>2</v>
      </c>
      <c r="F211" s="79" t="s">
        <v>12</v>
      </c>
      <c r="G211" s="79" t="s">
        <v>341</v>
      </c>
      <c r="H211" s="79" t="s">
        <v>612</v>
      </c>
      <c r="I211" s="79" t="s">
        <v>613</v>
      </c>
      <c r="J211" s="79" t="s">
        <v>331</v>
      </c>
      <c r="K211" s="79" t="s">
        <v>332</v>
      </c>
      <c r="L211" s="116">
        <v>26605</v>
      </c>
      <c r="M211" s="116">
        <v>26605</v>
      </c>
      <c r="N211" s="117">
        <v>100</v>
      </c>
    </row>
    <row r="212" spans="1:14">
      <c r="A212" s="79" t="s">
        <v>614</v>
      </c>
      <c r="B212" s="79" t="s">
        <v>165</v>
      </c>
      <c r="C212" s="79" t="s">
        <v>610</v>
      </c>
      <c r="D212" s="115" t="s">
        <v>611</v>
      </c>
      <c r="E212" s="115" t="str">
        <f t="shared" si="3"/>
        <v>2</v>
      </c>
      <c r="F212" s="79" t="s">
        <v>12</v>
      </c>
      <c r="G212" s="79" t="s">
        <v>387</v>
      </c>
      <c r="H212" s="79" t="s">
        <v>612</v>
      </c>
      <c r="I212" s="79" t="s">
        <v>613</v>
      </c>
      <c r="J212" s="79" t="s">
        <v>331</v>
      </c>
      <c r="K212" s="79" t="s">
        <v>332</v>
      </c>
      <c r="L212" s="116">
        <v>51817</v>
      </c>
      <c r="M212" s="116">
        <v>51817</v>
      </c>
      <c r="N212" s="117">
        <v>100</v>
      </c>
    </row>
    <row r="213" spans="1:14">
      <c r="A213" s="79" t="s">
        <v>615</v>
      </c>
      <c r="B213" s="79" t="s">
        <v>165</v>
      </c>
      <c r="C213" s="79" t="s">
        <v>610</v>
      </c>
      <c r="D213" s="115" t="s">
        <v>611</v>
      </c>
      <c r="E213" s="115" t="str">
        <f t="shared" si="3"/>
        <v>2</v>
      </c>
      <c r="F213" s="79" t="s">
        <v>12</v>
      </c>
      <c r="G213" s="79" t="s">
        <v>387</v>
      </c>
      <c r="H213" s="79" t="s">
        <v>612</v>
      </c>
      <c r="I213" s="79" t="s">
        <v>613</v>
      </c>
      <c r="J213" s="79" t="s">
        <v>331</v>
      </c>
      <c r="K213" s="79" t="s">
        <v>332</v>
      </c>
      <c r="L213" s="116">
        <v>51817</v>
      </c>
      <c r="M213" s="116">
        <v>51817</v>
      </c>
      <c r="N213" s="117">
        <v>100</v>
      </c>
    </row>
    <row r="214" spans="1:14">
      <c r="A214" s="79" t="s">
        <v>616</v>
      </c>
      <c r="B214" s="79" t="s">
        <v>165</v>
      </c>
      <c r="C214" s="79" t="s">
        <v>610</v>
      </c>
      <c r="D214" s="115" t="s">
        <v>611</v>
      </c>
      <c r="E214" s="115" t="str">
        <f t="shared" si="3"/>
        <v>2</v>
      </c>
      <c r="F214" s="79" t="s">
        <v>12</v>
      </c>
      <c r="G214" s="79" t="s">
        <v>387</v>
      </c>
      <c r="H214" s="79" t="s">
        <v>612</v>
      </c>
      <c r="I214" s="79" t="s">
        <v>613</v>
      </c>
      <c r="J214" s="79" t="s">
        <v>331</v>
      </c>
      <c r="K214" s="79" t="s">
        <v>332</v>
      </c>
      <c r="L214" s="116">
        <v>51817</v>
      </c>
      <c r="M214" s="116">
        <v>51817</v>
      </c>
      <c r="N214" s="117">
        <v>100</v>
      </c>
    </row>
    <row r="215" spans="1:14">
      <c r="A215" s="79" t="s">
        <v>617</v>
      </c>
      <c r="B215" s="79" t="s">
        <v>165</v>
      </c>
      <c r="C215" s="79" t="s">
        <v>610</v>
      </c>
      <c r="D215" s="115" t="s">
        <v>611</v>
      </c>
      <c r="E215" s="115" t="str">
        <f t="shared" si="3"/>
        <v>2</v>
      </c>
      <c r="F215" s="79" t="s">
        <v>12</v>
      </c>
      <c r="G215" s="79" t="s">
        <v>387</v>
      </c>
      <c r="H215" s="79" t="s">
        <v>612</v>
      </c>
      <c r="I215" s="79" t="s">
        <v>613</v>
      </c>
      <c r="J215" s="79" t="s">
        <v>331</v>
      </c>
      <c r="K215" s="79" t="s">
        <v>332</v>
      </c>
      <c r="L215" s="116">
        <v>53817</v>
      </c>
      <c r="M215" s="116">
        <v>53817</v>
      </c>
      <c r="N215" s="117">
        <v>100</v>
      </c>
    </row>
    <row r="216" spans="1:14">
      <c r="A216" s="79" t="s">
        <v>618</v>
      </c>
      <c r="B216" s="79" t="s">
        <v>165</v>
      </c>
      <c r="C216" s="79" t="s">
        <v>610</v>
      </c>
      <c r="D216" s="115" t="s">
        <v>611</v>
      </c>
      <c r="E216" s="115" t="str">
        <f t="shared" si="3"/>
        <v>2</v>
      </c>
      <c r="F216" s="79" t="s">
        <v>12</v>
      </c>
      <c r="G216" s="79" t="s">
        <v>387</v>
      </c>
      <c r="H216" s="79" t="s">
        <v>612</v>
      </c>
      <c r="I216" s="79" t="s">
        <v>613</v>
      </c>
      <c r="J216" s="79" t="s">
        <v>331</v>
      </c>
      <c r="K216" s="79" t="s">
        <v>332</v>
      </c>
      <c r="L216" s="116">
        <v>56500</v>
      </c>
      <c r="M216" s="116">
        <v>56500</v>
      </c>
      <c r="N216" s="117">
        <v>100</v>
      </c>
    </row>
    <row r="217" spans="1:14">
      <c r="A217" s="79" t="s">
        <v>619</v>
      </c>
      <c r="B217" s="79" t="s">
        <v>165</v>
      </c>
      <c r="C217" s="79" t="s">
        <v>610</v>
      </c>
      <c r="D217" s="115" t="s">
        <v>611</v>
      </c>
      <c r="E217" s="115" t="str">
        <f t="shared" si="3"/>
        <v>2</v>
      </c>
      <c r="F217" s="79" t="s">
        <v>12</v>
      </c>
      <c r="G217" s="79" t="s">
        <v>387</v>
      </c>
      <c r="H217" s="79" t="s">
        <v>612</v>
      </c>
      <c r="I217" s="79" t="s">
        <v>613</v>
      </c>
      <c r="J217" s="79" t="s">
        <v>331</v>
      </c>
      <c r="K217" s="79" t="s">
        <v>332</v>
      </c>
      <c r="L217" s="116">
        <v>57051</v>
      </c>
      <c r="M217" s="116">
        <v>57051</v>
      </c>
      <c r="N217" s="117">
        <v>100</v>
      </c>
    </row>
    <row r="218" spans="1:14">
      <c r="A218" s="79" t="s">
        <v>620</v>
      </c>
      <c r="B218" s="79" t="s">
        <v>165</v>
      </c>
      <c r="C218" s="79" t="s">
        <v>610</v>
      </c>
      <c r="D218" s="115" t="s">
        <v>611</v>
      </c>
      <c r="E218" s="115" t="str">
        <f t="shared" si="3"/>
        <v>2</v>
      </c>
      <c r="F218" s="79" t="s">
        <v>12</v>
      </c>
      <c r="G218" s="79" t="s">
        <v>387</v>
      </c>
      <c r="H218" s="79" t="s">
        <v>612</v>
      </c>
      <c r="I218" s="79" t="s">
        <v>613</v>
      </c>
      <c r="J218" s="79" t="s">
        <v>331</v>
      </c>
      <c r="K218" s="79" t="s">
        <v>332</v>
      </c>
      <c r="L218" s="116">
        <v>65340</v>
      </c>
      <c r="M218" s="116">
        <v>65340</v>
      </c>
      <c r="N218" s="117">
        <v>100</v>
      </c>
    </row>
    <row r="219" spans="1:14">
      <c r="A219" s="79" t="s">
        <v>621</v>
      </c>
      <c r="B219" s="79" t="s">
        <v>165</v>
      </c>
      <c r="C219" s="79" t="s">
        <v>610</v>
      </c>
      <c r="D219" s="115" t="s">
        <v>611</v>
      </c>
      <c r="E219" s="115" t="str">
        <f t="shared" si="3"/>
        <v>2</v>
      </c>
      <c r="F219" s="79" t="s">
        <v>12</v>
      </c>
      <c r="G219" s="79" t="s">
        <v>387</v>
      </c>
      <c r="H219" s="79" t="s">
        <v>612</v>
      </c>
      <c r="I219" s="79" t="s">
        <v>613</v>
      </c>
      <c r="J219" s="79" t="s">
        <v>331</v>
      </c>
      <c r="K219" s="79" t="s">
        <v>332</v>
      </c>
      <c r="L219" s="116">
        <v>72746</v>
      </c>
      <c r="M219" s="116">
        <v>72746</v>
      </c>
      <c r="N219" s="117">
        <v>100</v>
      </c>
    </row>
    <row r="220" spans="1:14">
      <c r="A220" s="79" t="s">
        <v>622</v>
      </c>
      <c r="B220" s="79" t="s">
        <v>165</v>
      </c>
      <c r="C220" s="79" t="s">
        <v>623</v>
      </c>
      <c r="D220" s="115" t="s">
        <v>624</v>
      </c>
      <c r="E220" s="115" t="str">
        <f t="shared" si="3"/>
        <v>2</v>
      </c>
      <c r="F220" s="79" t="s">
        <v>625</v>
      </c>
      <c r="G220" s="79" t="s">
        <v>341</v>
      </c>
      <c r="H220" s="79" t="s">
        <v>612</v>
      </c>
      <c r="I220" s="79" t="s">
        <v>613</v>
      </c>
      <c r="J220" s="79" t="s">
        <v>331</v>
      </c>
      <c r="K220" s="79" t="s">
        <v>332</v>
      </c>
      <c r="L220" s="116">
        <v>26605</v>
      </c>
      <c r="M220" s="116">
        <v>26605</v>
      </c>
      <c r="N220" s="117">
        <v>100</v>
      </c>
    </row>
    <row r="221" spans="1:14">
      <c r="A221" s="79" t="s">
        <v>626</v>
      </c>
      <c r="B221" s="79" t="s">
        <v>165</v>
      </c>
      <c r="C221" s="79" t="s">
        <v>623</v>
      </c>
      <c r="D221" s="115" t="s">
        <v>624</v>
      </c>
      <c r="E221" s="115" t="str">
        <f t="shared" si="3"/>
        <v>2</v>
      </c>
      <c r="F221" s="79" t="s">
        <v>625</v>
      </c>
      <c r="G221" s="79" t="s">
        <v>387</v>
      </c>
      <c r="H221" s="79" t="s">
        <v>612</v>
      </c>
      <c r="I221" s="79" t="s">
        <v>613</v>
      </c>
      <c r="J221" s="79" t="s">
        <v>331</v>
      </c>
      <c r="K221" s="79" t="s">
        <v>332</v>
      </c>
      <c r="L221" s="116">
        <v>50000</v>
      </c>
      <c r="M221" s="116">
        <v>50000</v>
      </c>
      <c r="N221" s="117">
        <v>100</v>
      </c>
    </row>
    <row r="222" spans="1:14">
      <c r="A222" s="79" t="s">
        <v>627</v>
      </c>
      <c r="B222" s="79" t="s">
        <v>165</v>
      </c>
      <c r="C222" s="79" t="s">
        <v>623</v>
      </c>
      <c r="D222" s="115" t="s">
        <v>624</v>
      </c>
      <c r="E222" s="115" t="str">
        <f t="shared" si="3"/>
        <v>2</v>
      </c>
      <c r="F222" s="79" t="s">
        <v>625</v>
      </c>
      <c r="G222" s="79" t="s">
        <v>387</v>
      </c>
      <c r="H222" s="79" t="s">
        <v>612</v>
      </c>
      <c r="I222" s="79" t="s">
        <v>613</v>
      </c>
      <c r="J222" s="79" t="s">
        <v>331</v>
      </c>
      <c r="K222" s="79" t="s">
        <v>332</v>
      </c>
      <c r="L222" s="116">
        <v>51817</v>
      </c>
      <c r="M222" s="116">
        <v>51817</v>
      </c>
      <c r="N222" s="117">
        <v>100</v>
      </c>
    </row>
    <row r="223" spans="1:14">
      <c r="A223" s="79" t="s">
        <v>628</v>
      </c>
      <c r="B223" s="79" t="s">
        <v>165</v>
      </c>
      <c r="C223" s="79" t="s">
        <v>623</v>
      </c>
      <c r="D223" s="115" t="s">
        <v>624</v>
      </c>
      <c r="E223" s="115" t="str">
        <f t="shared" si="3"/>
        <v>2</v>
      </c>
      <c r="F223" s="79" t="s">
        <v>625</v>
      </c>
      <c r="G223" s="79" t="s">
        <v>387</v>
      </c>
      <c r="H223" s="79" t="s">
        <v>612</v>
      </c>
      <c r="I223" s="79" t="s">
        <v>613</v>
      </c>
      <c r="J223" s="79" t="s">
        <v>331</v>
      </c>
      <c r="K223" s="79" t="s">
        <v>332</v>
      </c>
      <c r="L223" s="116">
        <v>52417</v>
      </c>
      <c r="M223" s="116">
        <v>52417</v>
      </c>
      <c r="N223" s="117">
        <v>100</v>
      </c>
    </row>
    <row r="224" spans="1:14">
      <c r="A224" s="79" t="s">
        <v>629</v>
      </c>
      <c r="B224" s="79" t="s">
        <v>165</v>
      </c>
      <c r="C224" s="79" t="s">
        <v>623</v>
      </c>
      <c r="D224" s="115" t="s">
        <v>624</v>
      </c>
      <c r="E224" s="115" t="str">
        <f t="shared" si="3"/>
        <v>2</v>
      </c>
      <c r="F224" s="79" t="s">
        <v>625</v>
      </c>
      <c r="G224" s="79" t="s">
        <v>387</v>
      </c>
      <c r="H224" s="79" t="s">
        <v>612</v>
      </c>
      <c r="I224" s="79" t="s">
        <v>613</v>
      </c>
      <c r="J224" s="79" t="s">
        <v>331</v>
      </c>
      <c r="K224" s="79" t="s">
        <v>332</v>
      </c>
      <c r="L224" s="116">
        <v>52417</v>
      </c>
      <c r="M224" s="116">
        <v>52417</v>
      </c>
      <c r="N224" s="117">
        <v>100</v>
      </c>
    </row>
    <row r="225" spans="1:14">
      <c r="A225" s="79" t="s">
        <v>630</v>
      </c>
      <c r="B225" s="79" t="s">
        <v>165</v>
      </c>
      <c r="C225" s="79" t="s">
        <v>623</v>
      </c>
      <c r="D225" s="115" t="s">
        <v>624</v>
      </c>
      <c r="E225" s="115" t="str">
        <f t="shared" si="3"/>
        <v>2</v>
      </c>
      <c r="F225" s="79" t="s">
        <v>625</v>
      </c>
      <c r="G225" s="79" t="s">
        <v>387</v>
      </c>
      <c r="H225" s="79" t="s">
        <v>612</v>
      </c>
      <c r="I225" s="79" t="s">
        <v>613</v>
      </c>
      <c r="J225" s="79" t="s">
        <v>331</v>
      </c>
      <c r="K225" s="79" t="s">
        <v>332</v>
      </c>
      <c r="L225" s="116">
        <v>52417</v>
      </c>
      <c r="M225" s="116">
        <v>52417</v>
      </c>
      <c r="N225" s="117">
        <v>100</v>
      </c>
    </row>
    <row r="226" spans="1:14">
      <c r="A226" s="79" t="s">
        <v>631</v>
      </c>
      <c r="B226" s="79" t="s">
        <v>165</v>
      </c>
      <c r="C226" s="79" t="s">
        <v>623</v>
      </c>
      <c r="D226" s="115" t="s">
        <v>624</v>
      </c>
      <c r="E226" s="115" t="str">
        <f t="shared" si="3"/>
        <v>2</v>
      </c>
      <c r="F226" s="79" t="s">
        <v>625</v>
      </c>
      <c r="G226" s="79" t="s">
        <v>387</v>
      </c>
      <c r="H226" s="79" t="s">
        <v>612</v>
      </c>
      <c r="I226" s="79" t="s">
        <v>613</v>
      </c>
      <c r="J226" s="79" t="s">
        <v>331</v>
      </c>
      <c r="K226" s="79" t="s">
        <v>332</v>
      </c>
      <c r="L226" s="116">
        <v>62565</v>
      </c>
      <c r="M226" s="116">
        <v>62565</v>
      </c>
      <c r="N226" s="117">
        <v>100</v>
      </c>
    </row>
    <row r="227" spans="1:14">
      <c r="A227" s="79" t="s">
        <v>632</v>
      </c>
      <c r="B227" s="79" t="s">
        <v>165</v>
      </c>
      <c r="C227" s="79" t="s">
        <v>623</v>
      </c>
      <c r="D227" s="115" t="s">
        <v>624</v>
      </c>
      <c r="E227" s="115" t="str">
        <f t="shared" si="3"/>
        <v>2</v>
      </c>
      <c r="F227" s="79" t="s">
        <v>625</v>
      </c>
      <c r="G227" s="79" t="s">
        <v>387</v>
      </c>
      <c r="H227" s="79" t="s">
        <v>612</v>
      </c>
      <c r="I227" s="79" t="s">
        <v>613</v>
      </c>
      <c r="J227" s="79" t="s">
        <v>331</v>
      </c>
      <c r="K227" s="79" t="s">
        <v>332</v>
      </c>
      <c r="L227" s="116">
        <v>67082</v>
      </c>
      <c r="M227" s="116">
        <v>67082</v>
      </c>
      <c r="N227" s="117">
        <v>100</v>
      </c>
    </row>
    <row r="228" spans="1:14">
      <c r="A228" s="79" t="s">
        <v>633</v>
      </c>
      <c r="B228" s="79" t="s">
        <v>165</v>
      </c>
      <c r="C228" s="79" t="s">
        <v>634</v>
      </c>
      <c r="D228" s="115" t="s">
        <v>635</v>
      </c>
      <c r="E228" s="115" t="str">
        <f t="shared" si="3"/>
        <v>2</v>
      </c>
      <c r="F228" s="79" t="s">
        <v>14</v>
      </c>
      <c r="G228" s="79" t="s">
        <v>387</v>
      </c>
      <c r="H228" s="79" t="s">
        <v>636</v>
      </c>
      <c r="I228" s="79" t="s">
        <v>637</v>
      </c>
      <c r="J228" s="79" t="s">
        <v>331</v>
      </c>
      <c r="K228" s="79" t="s">
        <v>332</v>
      </c>
      <c r="L228" s="116">
        <v>35556</v>
      </c>
      <c r="M228" s="116">
        <v>8000</v>
      </c>
      <c r="N228" s="117">
        <v>22.5</v>
      </c>
    </row>
    <row r="229" spans="1:14">
      <c r="A229" s="79" t="s">
        <v>638</v>
      </c>
      <c r="B229" s="79" t="s">
        <v>165</v>
      </c>
      <c r="C229" s="79" t="s">
        <v>634</v>
      </c>
      <c r="D229" s="115" t="s">
        <v>635</v>
      </c>
      <c r="E229" s="115" t="str">
        <f t="shared" si="3"/>
        <v>2</v>
      </c>
      <c r="F229" s="79" t="s">
        <v>14</v>
      </c>
      <c r="G229" s="79" t="s">
        <v>341</v>
      </c>
      <c r="H229" s="79" t="s">
        <v>636</v>
      </c>
      <c r="I229" s="79" t="s">
        <v>637</v>
      </c>
      <c r="J229" s="79" t="s">
        <v>331</v>
      </c>
      <c r="K229" s="79" t="s">
        <v>332</v>
      </c>
      <c r="L229" s="116">
        <v>27956</v>
      </c>
      <c r="M229" s="116">
        <v>27956</v>
      </c>
      <c r="N229" s="117">
        <v>100</v>
      </c>
    </row>
    <row r="230" spans="1:14">
      <c r="A230" s="79" t="s">
        <v>639</v>
      </c>
      <c r="B230" s="79" t="s">
        <v>165</v>
      </c>
      <c r="C230" s="79" t="s">
        <v>634</v>
      </c>
      <c r="D230" s="115" t="s">
        <v>635</v>
      </c>
      <c r="E230" s="115" t="str">
        <f t="shared" si="3"/>
        <v>2</v>
      </c>
      <c r="F230" s="79" t="s">
        <v>14</v>
      </c>
      <c r="G230" s="79" t="s">
        <v>387</v>
      </c>
      <c r="H230" s="79" t="s">
        <v>636</v>
      </c>
      <c r="I230" s="79" t="s">
        <v>637</v>
      </c>
      <c r="J230" s="79" t="s">
        <v>331</v>
      </c>
      <c r="K230" s="79" t="s">
        <v>332</v>
      </c>
      <c r="L230" s="116">
        <v>33285</v>
      </c>
      <c r="M230" s="116">
        <v>33285</v>
      </c>
      <c r="N230" s="117">
        <v>100</v>
      </c>
    </row>
    <row r="231" spans="1:14">
      <c r="A231" s="79" t="s">
        <v>640</v>
      </c>
      <c r="B231" s="79" t="s">
        <v>165</v>
      </c>
      <c r="C231" s="79" t="s">
        <v>634</v>
      </c>
      <c r="D231" s="115" t="s">
        <v>635</v>
      </c>
      <c r="E231" s="115" t="str">
        <f t="shared" si="3"/>
        <v>2</v>
      </c>
      <c r="F231" s="79" t="s">
        <v>14</v>
      </c>
      <c r="G231" s="79" t="s">
        <v>387</v>
      </c>
      <c r="H231" s="79" t="s">
        <v>636</v>
      </c>
      <c r="I231" s="79" t="s">
        <v>637</v>
      </c>
      <c r="J231" s="79" t="s">
        <v>331</v>
      </c>
      <c r="K231" s="79" t="s">
        <v>332</v>
      </c>
      <c r="L231" s="116">
        <v>97529</v>
      </c>
      <c r="M231" s="116">
        <v>42023</v>
      </c>
      <c r="N231" s="117">
        <v>43.09</v>
      </c>
    </row>
    <row r="232" spans="1:14">
      <c r="A232" s="79" t="s">
        <v>641</v>
      </c>
      <c r="B232" s="79" t="s">
        <v>165</v>
      </c>
      <c r="C232" s="79" t="s">
        <v>634</v>
      </c>
      <c r="D232" s="115" t="s">
        <v>635</v>
      </c>
      <c r="E232" s="115" t="str">
        <f t="shared" si="3"/>
        <v>2</v>
      </c>
      <c r="F232" s="79" t="s">
        <v>14</v>
      </c>
      <c r="G232" s="79" t="s">
        <v>387</v>
      </c>
      <c r="H232" s="79" t="s">
        <v>636</v>
      </c>
      <c r="I232" s="79" t="s">
        <v>637</v>
      </c>
      <c r="J232" s="79" t="s">
        <v>331</v>
      </c>
      <c r="K232" s="79" t="s">
        <v>332</v>
      </c>
      <c r="L232" s="116">
        <v>51000</v>
      </c>
      <c r="M232" s="116">
        <v>51000</v>
      </c>
      <c r="N232" s="117">
        <v>100</v>
      </c>
    </row>
    <row r="233" spans="1:14">
      <c r="A233" s="79" t="s">
        <v>642</v>
      </c>
      <c r="B233" s="79" t="s">
        <v>165</v>
      </c>
      <c r="C233" s="79" t="s">
        <v>634</v>
      </c>
      <c r="D233" s="115" t="s">
        <v>635</v>
      </c>
      <c r="E233" s="115" t="str">
        <f t="shared" si="3"/>
        <v>2</v>
      </c>
      <c r="F233" s="79" t="s">
        <v>14</v>
      </c>
      <c r="G233" s="79" t="s">
        <v>387</v>
      </c>
      <c r="H233" s="79" t="s">
        <v>636</v>
      </c>
      <c r="I233" s="79" t="s">
        <v>637</v>
      </c>
      <c r="J233" s="79" t="s">
        <v>331</v>
      </c>
      <c r="K233" s="79" t="s">
        <v>332</v>
      </c>
      <c r="L233" s="116">
        <v>51817</v>
      </c>
      <c r="M233" s="116">
        <v>51817</v>
      </c>
      <c r="N233" s="117">
        <v>100</v>
      </c>
    </row>
    <row r="234" spans="1:14">
      <c r="A234" s="79" t="s">
        <v>643</v>
      </c>
      <c r="B234" s="79" t="s">
        <v>165</v>
      </c>
      <c r="C234" s="79" t="s">
        <v>634</v>
      </c>
      <c r="D234" s="115" t="s">
        <v>635</v>
      </c>
      <c r="E234" s="115" t="str">
        <f t="shared" si="3"/>
        <v>2</v>
      </c>
      <c r="F234" s="79" t="s">
        <v>14</v>
      </c>
      <c r="G234" s="79" t="s">
        <v>387</v>
      </c>
      <c r="H234" s="79" t="s">
        <v>636</v>
      </c>
      <c r="I234" s="79" t="s">
        <v>637</v>
      </c>
      <c r="J234" s="79" t="s">
        <v>331</v>
      </c>
      <c r="K234" s="79" t="s">
        <v>332</v>
      </c>
      <c r="L234" s="116">
        <v>59275</v>
      </c>
      <c r="M234" s="116">
        <v>59275</v>
      </c>
      <c r="N234" s="117">
        <v>100</v>
      </c>
    </row>
    <row r="235" spans="1:14">
      <c r="A235" s="79" t="s">
        <v>644</v>
      </c>
      <c r="B235" s="79" t="s">
        <v>165</v>
      </c>
      <c r="C235" s="79" t="s">
        <v>634</v>
      </c>
      <c r="D235" s="115" t="s">
        <v>635</v>
      </c>
      <c r="E235" s="115" t="str">
        <f t="shared" si="3"/>
        <v>2</v>
      </c>
      <c r="F235" s="79" t="s">
        <v>14</v>
      </c>
      <c r="G235" s="79" t="s">
        <v>387</v>
      </c>
      <c r="H235" s="79" t="s">
        <v>636</v>
      </c>
      <c r="I235" s="79" t="s">
        <v>637</v>
      </c>
      <c r="J235" s="79" t="s">
        <v>331</v>
      </c>
      <c r="K235" s="79" t="s">
        <v>332</v>
      </c>
      <c r="L235" s="116">
        <v>64309</v>
      </c>
      <c r="M235" s="116">
        <v>64309</v>
      </c>
      <c r="N235" s="117">
        <v>100</v>
      </c>
    </row>
    <row r="236" spans="1:14">
      <c r="A236" s="79" t="s">
        <v>645</v>
      </c>
      <c r="B236" s="79" t="s">
        <v>165</v>
      </c>
      <c r="C236" s="79" t="s">
        <v>634</v>
      </c>
      <c r="D236" s="115" t="s">
        <v>635</v>
      </c>
      <c r="E236" s="115" t="str">
        <f t="shared" si="3"/>
        <v>2</v>
      </c>
      <c r="F236" s="79" t="s">
        <v>14</v>
      </c>
      <c r="G236" s="79" t="s">
        <v>387</v>
      </c>
      <c r="H236" s="79" t="s">
        <v>636</v>
      </c>
      <c r="I236" s="79" t="s">
        <v>637</v>
      </c>
      <c r="J236" s="79" t="s">
        <v>331</v>
      </c>
      <c r="K236" s="79" t="s">
        <v>332</v>
      </c>
      <c r="L236" s="116">
        <v>65340</v>
      </c>
      <c r="M236" s="116">
        <v>65340</v>
      </c>
      <c r="N236" s="117">
        <v>100</v>
      </c>
    </row>
    <row r="237" spans="1:14">
      <c r="A237" s="79" t="s">
        <v>646</v>
      </c>
      <c r="B237" s="79" t="s">
        <v>165</v>
      </c>
      <c r="C237" s="79" t="s">
        <v>634</v>
      </c>
      <c r="D237" s="115" t="s">
        <v>635</v>
      </c>
      <c r="E237" s="115" t="str">
        <f t="shared" si="3"/>
        <v>2</v>
      </c>
      <c r="F237" s="79" t="s">
        <v>14</v>
      </c>
      <c r="G237" s="79" t="s">
        <v>387</v>
      </c>
      <c r="H237" s="79" t="s">
        <v>636</v>
      </c>
      <c r="I237" s="79" t="s">
        <v>637</v>
      </c>
      <c r="J237" s="79" t="s">
        <v>331</v>
      </c>
      <c r="K237" s="79" t="s">
        <v>332</v>
      </c>
      <c r="L237" s="116">
        <v>67961</v>
      </c>
      <c r="M237" s="116">
        <v>67961</v>
      </c>
      <c r="N237" s="117">
        <v>100</v>
      </c>
    </row>
    <row r="238" spans="1:14">
      <c r="A238" s="79" t="s">
        <v>647</v>
      </c>
      <c r="B238" s="79" t="s">
        <v>165</v>
      </c>
      <c r="C238" s="79" t="s">
        <v>634</v>
      </c>
      <c r="D238" s="115" t="s">
        <v>635</v>
      </c>
      <c r="E238" s="115" t="str">
        <f t="shared" si="3"/>
        <v>2</v>
      </c>
      <c r="F238" s="79" t="s">
        <v>14</v>
      </c>
      <c r="G238" s="79" t="s">
        <v>387</v>
      </c>
      <c r="H238" s="79" t="s">
        <v>636</v>
      </c>
      <c r="I238" s="79" t="s">
        <v>637</v>
      </c>
      <c r="J238" s="79" t="s">
        <v>331</v>
      </c>
      <c r="K238" s="79" t="s">
        <v>332</v>
      </c>
      <c r="L238" s="116">
        <v>68376</v>
      </c>
      <c r="M238" s="116">
        <v>68376</v>
      </c>
      <c r="N238" s="117">
        <v>100</v>
      </c>
    </row>
    <row r="239" spans="1:14">
      <c r="A239" s="79" t="s">
        <v>648</v>
      </c>
      <c r="B239" s="79" t="s">
        <v>165</v>
      </c>
      <c r="C239" s="79" t="s">
        <v>649</v>
      </c>
      <c r="D239" s="115" t="s">
        <v>650</v>
      </c>
      <c r="E239" s="115" t="str">
        <f t="shared" si="3"/>
        <v>2</v>
      </c>
      <c r="F239" s="79" t="s">
        <v>15</v>
      </c>
      <c r="G239" s="79" t="s">
        <v>341</v>
      </c>
      <c r="H239" s="79" t="s">
        <v>636</v>
      </c>
      <c r="I239" s="79" t="s">
        <v>637</v>
      </c>
      <c r="J239" s="79" t="s">
        <v>331</v>
      </c>
      <c r="K239" s="79" t="s">
        <v>332</v>
      </c>
      <c r="L239" s="116">
        <v>24986</v>
      </c>
      <c r="M239" s="116">
        <v>24986</v>
      </c>
      <c r="N239" s="117">
        <v>100</v>
      </c>
    </row>
    <row r="240" spans="1:14">
      <c r="A240" s="79" t="s">
        <v>651</v>
      </c>
      <c r="B240" s="79" t="s">
        <v>165</v>
      </c>
      <c r="C240" s="79" t="s">
        <v>649</v>
      </c>
      <c r="D240" s="115" t="s">
        <v>650</v>
      </c>
      <c r="E240" s="115" t="str">
        <f t="shared" si="3"/>
        <v>2</v>
      </c>
      <c r="F240" s="79" t="s">
        <v>15</v>
      </c>
      <c r="G240" s="79" t="s">
        <v>341</v>
      </c>
      <c r="H240" s="79" t="s">
        <v>636</v>
      </c>
      <c r="I240" s="79" t="s">
        <v>637</v>
      </c>
      <c r="J240" s="79" t="s">
        <v>331</v>
      </c>
      <c r="K240" s="79" t="s">
        <v>332</v>
      </c>
      <c r="L240" s="116">
        <v>27750</v>
      </c>
      <c r="M240" s="116">
        <v>27750</v>
      </c>
      <c r="N240" s="117">
        <v>100</v>
      </c>
    </row>
    <row r="241" spans="1:14">
      <c r="A241" s="79" t="s">
        <v>652</v>
      </c>
      <c r="B241" s="79" t="s">
        <v>165</v>
      </c>
      <c r="C241" s="79" t="s">
        <v>649</v>
      </c>
      <c r="D241" s="115" t="s">
        <v>650</v>
      </c>
      <c r="E241" s="115" t="str">
        <f t="shared" si="3"/>
        <v>2</v>
      </c>
      <c r="F241" s="79" t="s">
        <v>15</v>
      </c>
      <c r="G241" s="79" t="s">
        <v>328</v>
      </c>
      <c r="H241" s="79" t="s">
        <v>636</v>
      </c>
      <c r="I241" s="79" t="s">
        <v>637</v>
      </c>
      <c r="J241" s="79" t="s">
        <v>331</v>
      </c>
      <c r="K241" s="79" t="s">
        <v>332</v>
      </c>
      <c r="L241" s="116">
        <v>41849</v>
      </c>
      <c r="M241" s="116">
        <v>41849</v>
      </c>
      <c r="N241" s="117">
        <v>100</v>
      </c>
    </row>
    <row r="242" spans="1:14">
      <c r="A242" s="79" t="s">
        <v>653</v>
      </c>
      <c r="B242" s="79" t="s">
        <v>165</v>
      </c>
      <c r="C242" s="79" t="s">
        <v>649</v>
      </c>
      <c r="D242" s="115" t="s">
        <v>650</v>
      </c>
      <c r="E242" s="115" t="str">
        <f t="shared" si="3"/>
        <v>2</v>
      </c>
      <c r="F242" s="79" t="s">
        <v>15</v>
      </c>
      <c r="G242" s="79" t="s">
        <v>387</v>
      </c>
      <c r="H242" s="79" t="s">
        <v>636</v>
      </c>
      <c r="I242" s="79" t="s">
        <v>637</v>
      </c>
      <c r="J242" s="79" t="s">
        <v>331</v>
      </c>
      <c r="K242" s="79" t="s">
        <v>332</v>
      </c>
      <c r="L242" s="116">
        <v>44880</v>
      </c>
      <c r="M242" s="116">
        <v>44880</v>
      </c>
      <c r="N242" s="117">
        <v>100</v>
      </c>
    </row>
    <row r="243" spans="1:14">
      <c r="A243" s="79" t="s">
        <v>654</v>
      </c>
      <c r="B243" s="79" t="s">
        <v>165</v>
      </c>
      <c r="C243" s="79" t="s">
        <v>649</v>
      </c>
      <c r="D243" s="115" t="s">
        <v>650</v>
      </c>
      <c r="E243" s="115" t="str">
        <f t="shared" si="3"/>
        <v>2</v>
      </c>
      <c r="F243" s="79" t="s">
        <v>15</v>
      </c>
      <c r="G243" s="79" t="s">
        <v>387</v>
      </c>
      <c r="H243" s="79" t="s">
        <v>636</v>
      </c>
      <c r="I243" s="79" t="s">
        <v>637</v>
      </c>
      <c r="J243" s="79" t="s">
        <v>331</v>
      </c>
      <c r="K243" s="79" t="s">
        <v>332</v>
      </c>
      <c r="L243" s="116">
        <v>44880</v>
      </c>
      <c r="M243" s="116">
        <v>44880</v>
      </c>
      <c r="N243" s="117">
        <v>100</v>
      </c>
    </row>
    <row r="244" spans="1:14">
      <c r="A244" s="79" t="s">
        <v>655</v>
      </c>
      <c r="B244" s="79" t="s">
        <v>165</v>
      </c>
      <c r="C244" s="79" t="s">
        <v>649</v>
      </c>
      <c r="D244" s="115" t="s">
        <v>650</v>
      </c>
      <c r="E244" s="115" t="str">
        <f t="shared" si="3"/>
        <v>2</v>
      </c>
      <c r="F244" s="79" t="s">
        <v>15</v>
      </c>
      <c r="G244" s="79" t="s">
        <v>387</v>
      </c>
      <c r="H244" s="79" t="s">
        <v>636</v>
      </c>
      <c r="I244" s="79" t="s">
        <v>637</v>
      </c>
      <c r="J244" s="79" t="s">
        <v>331</v>
      </c>
      <c r="K244" s="79" t="s">
        <v>332</v>
      </c>
      <c r="L244" s="116">
        <v>44880</v>
      </c>
      <c r="M244" s="116">
        <v>44880</v>
      </c>
      <c r="N244" s="117">
        <v>100</v>
      </c>
    </row>
    <row r="245" spans="1:14">
      <c r="A245" s="79" t="s">
        <v>656</v>
      </c>
      <c r="B245" s="79" t="s">
        <v>165</v>
      </c>
      <c r="C245" s="79" t="s">
        <v>649</v>
      </c>
      <c r="D245" s="115" t="s">
        <v>650</v>
      </c>
      <c r="E245" s="115" t="str">
        <f t="shared" si="3"/>
        <v>2</v>
      </c>
      <c r="F245" s="79" t="s">
        <v>15</v>
      </c>
      <c r="G245" s="79" t="s">
        <v>387</v>
      </c>
      <c r="H245" s="79" t="s">
        <v>636</v>
      </c>
      <c r="I245" s="79" t="s">
        <v>637</v>
      </c>
      <c r="J245" s="79" t="s">
        <v>331</v>
      </c>
      <c r="K245" s="79" t="s">
        <v>332</v>
      </c>
      <c r="L245" s="116">
        <v>44880</v>
      </c>
      <c r="M245" s="116">
        <v>44880</v>
      </c>
      <c r="N245" s="117">
        <v>100</v>
      </c>
    </row>
    <row r="246" spans="1:14">
      <c r="A246" s="79" t="s">
        <v>657</v>
      </c>
      <c r="B246" s="79" t="s">
        <v>165</v>
      </c>
      <c r="C246" s="79" t="s">
        <v>649</v>
      </c>
      <c r="D246" s="115" t="s">
        <v>650</v>
      </c>
      <c r="E246" s="115" t="str">
        <f t="shared" si="3"/>
        <v>2</v>
      </c>
      <c r="F246" s="79" t="s">
        <v>15</v>
      </c>
      <c r="G246" s="79" t="s">
        <v>387</v>
      </c>
      <c r="H246" s="79" t="s">
        <v>636</v>
      </c>
      <c r="I246" s="79" t="s">
        <v>637</v>
      </c>
      <c r="J246" s="79" t="s">
        <v>331</v>
      </c>
      <c r="K246" s="79" t="s">
        <v>332</v>
      </c>
      <c r="L246" s="116">
        <v>44880</v>
      </c>
      <c r="M246" s="116">
        <v>44880</v>
      </c>
      <c r="N246" s="117">
        <v>100</v>
      </c>
    </row>
    <row r="247" spans="1:14">
      <c r="A247" s="79" t="s">
        <v>658</v>
      </c>
      <c r="B247" s="79" t="s">
        <v>165</v>
      </c>
      <c r="C247" s="79" t="s">
        <v>649</v>
      </c>
      <c r="D247" s="115" t="s">
        <v>650</v>
      </c>
      <c r="E247" s="115" t="str">
        <f t="shared" si="3"/>
        <v>2</v>
      </c>
      <c r="F247" s="79" t="s">
        <v>15</v>
      </c>
      <c r="G247" s="79" t="s">
        <v>387</v>
      </c>
      <c r="H247" s="79" t="s">
        <v>636</v>
      </c>
      <c r="I247" s="79" t="s">
        <v>637</v>
      </c>
      <c r="J247" s="79" t="s">
        <v>331</v>
      </c>
      <c r="K247" s="79" t="s">
        <v>332</v>
      </c>
      <c r="L247" s="116">
        <v>45911</v>
      </c>
      <c r="M247" s="116">
        <v>45911</v>
      </c>
      <c r="N247" s="117">
        <v>100</v>
      </c>
    </row>
    <row r="248" spans="1:14">
      <c r="A248" s="79" t="s">
        <v>659</v>
      </c>
      <c r="B248" s="79" t="s">
        <v>165</v>
      </c>
      <c r="C248" s="79" t="s">
        <v>649</v>
      </c>
      <c r="D248" s="115" t="s">
        <v>650</v>
      </c>
      <c r="E248" s="115" t="str">
        <f t="shared" si="3"/>
        <v>2</v>
      </c>
      <c r="F248" s="79" t="s">
        <v>15</v>
      </c>
      <c r="G248" s="79" t="s">
        <v>387</v>
      </c>
      <c r="H248" s="79" t="s">
        <v>636</v>
      </c>
      <c r="I248" s="79" t="s">
        <v>637</v>
      </c>
      <c r="J248" s="79" t="s">
        <v>331</v>
      </c>
      <c r="K248" s="79" t="s">
        <v>332</v>
      </c>
      <c r="L248" s="116">
        <v>48353</v>
      </c>
      <c r="M248" s="116">
        <v>48353</v>
      </c>
      <c r="N248" s="117">
        <v>100</v>
      </c>
    </row>
    <row r="249" spans="1:14">
      <c r="A249" s="79" t="s">
        <v>660</v>
      </c>
      <c r="B249" s="79" t="s">
        <v>165</v>
      </c>
      <c r="C249" s="79" t="s">
        <v>649</v>
      </c>
      <c r="D249" s="115" t="s">
        <v>650</v>
      </c>
      <c r="E249" s="115" t="str">
        <f t="shared" si="3"/>
        <v>2</v>
      </c>
      <c r="F249" s="79" t="s">
        <v>15</v>
      </c>
      <c r="G249" s="79" t="s">
        <v>387</v>
      </c>
      <c r="H249" s="79" t="s">
        <v>636</v>
      </c>
      <c r="I249" s="79" t="s">
        <v>637</v>
      </c>
      <c r="J249" s="79" t="s">
        <v>331</v>
      </c>
      <c r="K249" s="79" t="s">
        <v>332</v>
      </c>
      <c r="L249" s="116">
        <v>48353</v>
      </c>
      <c r="M249" s="116">
        <v>48353</v>
      </c>
      <c r="N249" s="117">
        <v>100</v>
      </c>
    </row>
    <row r="250" spans="1:14">
      <c r="A250" s="79" t="s">
        <v>661</v>
      </c>
      <c r="B250" s="79" t="s">
        <v>165</v>
      </c>
      <c r="C250" s="79" t="s">
        <v>649</v>
      </c>
      <c r="D250" s="115" t="s">
        <v>650</v>
      </c>
      <c r="E250" s="115" t="str">
        <f t="shared" si="3"/>
        <v>2</v>
      </c>
      <c r="F250" s="79" t="s">
        <v>15</v>
      </c>
      <c r="G250" s="79" t="s">
        <v>387</v>
      </c>
      <c r="H250" s="79" t="s">
        <v>636</v>
      </c>
      <c r="I250" s="79" t="s">
        <v>637</v>
      </c>
      <c r="J250" s="79" t="s">
        <v>331</v>
      </c>
      <c r="K250" s="79" t="s">
        <v>332</v>
      </c>
      <c r="L250" s="116">
        <v>48363</v>
      </c>
      <c r="M250" s="116">
        <v>48363</v>
      </c>
      <c r="N250" s="117">
        <v>100</v>
      </c>
    </row>
    <row r="251" spans="1:14">
      <c r="A251" s="79" t="s">
        <v>662</v>
      </c>
      <c r="B251" s="79" t="s">
        <v>165</v>
      </c>
      <c r="C251" s="79" t="s">
        <v>649</v>
      </c>
      <c r="D251" s="115" t="s">
        <v>650</v>
      </c>
      <c r="E251" s="115" t="str">
        <f t="shared" si="3"/>
        <v>2</v>
      </c>
      <c r="F251" s="79" t="s">
        <v>15</v>
      </c>
      <c r="G251" s="79" t="s">
        <v>387</v>
      </c>
      <c r="H251" s="79" t="s">
        <v>636</v>
      </c>
      <c r="I251" s="79" t="s">
        <v>637</v>
      </c>
      <c r="J251" s="79" t="s">
        <v>331</v>
      </c>
      <c r="K251" s="79" t="s">
        <v>332</v>
      </c>
      <c r="L251" s="116">
        <v>49405</v>
      </c>
      <c r="M251" s="116">
        <v>49405</v>
      </c>
      <c r="N251" s="117">
        <v>100</v>
      </c>
    </row>
    <row r="252" spans="1:14">
      <c r="A252" s="79" t="s">
        <v>663</v>
      </c>
      <c r="B252" s="79" t="s">
        <v>165</v>
      </c>
      <c r="C252" s="79" t="s">
        <v>649</v>
      </c>
      <c r="D252" s="115" t="s">
        <v>650</v>
      </c>
      <c r="E252" s="115" t="str">
        <f t="shared" si="3"/>
        <v>2</v>
      </c>
      <c r="F252" s="79" t="s">
        <v>15</v>
      </c>
      <c r="G252" s="79" t="s">
        <v>387</v>
      </c>
      <c r="H252" s="79" t="s">
        <v>636</v>
      </c>
      <c r="I252" s="79" t="s">
        <v>637</v>
      </c>
      <c r="J252" s="79" t="s">
        <v>331</v>
      </c>
      <c r="K252" s="79" t="s">
        <v>332</v>
      </c>
      <c r="L252" s="116">
        <v>49784</v>
      </c>
      <c r="M252" s="116">
        <v>49784</v>
      </c>
      <c r="N252" s="117">
        <v>100</v>
      </c>
    </row>
    <row r="253" spans="1:14">
      <c r="A253" s="79" t="s">
        <v>664</v>
      </c>
      <c r="B253" s="79" t="s">
        <v>165</v>
      </c>
      <c r="C253" s="79" t="s">
        <v>649</v>
      </c>
      <c r="D253" s="115" t="s">
        <v>650</v>
      </c>
      <c r="E253" s="115" t="str">
        <f t="shared" si="3"/>
        <v>2</v>
      </c>
      <c r="F253" s="79" t="s">
        <v>15</v>
      </c>
      <c r="G253" s="79" t="s">
        <v>387</v>
      </c>
      <c r="H253" s="79" t="s">
        <v>636</v>
      </c>
      <c r="I253" s="79" t="s">
        <v>637</v>
      </c>
      <c r="J253" s="79" t="s">
        <v>331</v>
      </c>
      <c r="K253" s="79" t="s">
        <v>332</v>
      </c>
      <c r="L253" s="116">
        <v>50000</v>
      </c>
      <c r="M253" s="116">
        <v>50000</v>
      </c>
      <c r="N253" s="117">
        <v>100</v>
      </c>
    </row>
    <row r="254" spans="1:14">
      <c r="A254" s="79" t="s">
        <v>665</v>
      </c>
      <c r="B254" s="79" t="s">
        <v>165</v>
      </c>
      <c r="C254" s="79" t="s">
        <v>649</v>
      </c>
      <c r="D254" s="115" t="s">
        <v>650</v>
      </c>
      <c r="E254" s="115" t="str">
        <f t="shared" si="3"/>
        <v>2</v>
      </c>
      <c r="F254" s="79" t="s">
        <v>15</v>
      </c>
      <c r="G254" s="79" t="s">
        <v>387</v>
      </c>
      <c r="H254" s="79" t="s">
        <v>636</v>
      </c>
      <c r="I254" s="79" t="s">
        <v>637</v>
      </c>
      <c r="J254" s="79" t="s">
        <v>331</v>
      </c>
      <c r="K254" s="79" t="s">
        <v>332</v>
      </c>
      <c r="L254" s="116">
        <v>50334</v>
      </c>
      <c r="M254" s="116">
        <v>50334</v>
      </c>
      <c r="N254" s="117">
        <v>100</v>
      </c>
    </row>
    <row r="255" spans="1:14">
      <c r="A255" s="79" t="s">
        <v>666</v>
      </c>
      <c r="B255" s="79" t="s">
        <v>165</v>
      </c>
      <c r="C255" s="79" t="s">
        <v>649</v>
      </c>
      <c r="D255" s="115" t="s">
        <v>650</v>
      </c>
      <c r="E255" s="115" t="str">
        <f t="shared" si="3"/>
        <v>2</v>
      </c>
      <c r="F255" s="79" t="s">
        <v>15</v>
      </c>
      <c r="G255" s="79" t="s">
        <v>387</v>
      </c>
      <c r="H255" s="79" t="s">
        <v>636</v>
      </c>
      <c r="I255" s="79" t="s">
        <v>637</v>
      </c>
      <c r="J255" s="79" t="s">
        <v>331</v>
      </c>
      <c r="K255" s="79" t="s">
        <v>332</v>
      </c>
      <c r="L255" s="116">
        <v>51907</v>
      </c>
      <c r="M255" s="116">
        <v>51907</v>
      </c>
      <c r="N255" s="117">
        <v>100</v>
      </c>
    </row>
    <row r="256" spans="1:14">
      <c r="A256" s="79" t="s">
        <v>667</v>
      </c>
      <c r="B256" s="79" t="s">
        <v>165</v>
      </c>
      <c r="C256" s="79" t="s">
        <v>649</v>
      </c>
      <c r="D256" s="115" t="s">
        <v>650</v>
      </c>
      <c r="E256" s="115" t="str">
        <f t="shared" si="3"/>
        <v>2</v>
      </c>
      <c r="F256" s="79" t="s">
        <v>15</v>
      </c>
      <c r="G256" s="79" t="s">
        <v>387</v>
      </c>
      <c r="H256" s="79" t="s">
        <v>636</v>
      </c>
      <c r="I256" s="79" t="s">
        <v>637</v>
      </c>
      <c r="J256" s="79" t="s">
        <v>331</v>
      </c>
      <c r="K256" s="79" t="s">
        <v>332</v>
      </c>
      <c r="L256" s="116">
        <v>51907</v>
      </c>
      <c r="M256" s="116">
        <v>51907</v>
      </c>
      <c r="N256" s="117">
        <v>100</v>
      </c>
    </row>
    <row r="257" spans="1:14">
      <c r="A257" s="79" t="s">
        <v>668</v>
      </c>
      <c r="B257" s="79" t="s">
        <v>165</v>
      </c>
      <c r="C257" s="79" t="s">
        <v>649</v>
      </c>
      <c r="D257" s="115" t="s">
        <v>650</v>
      </c>
      <c r="E257" s="115" t="str">
        <f t="shared" si="3"/>
        <v>2</v>
      </c>
      <c r="F257" s="79" t="s">
        <v>15</v>
      </c>
      <c r="G257" s="79" t="s">
        <v>387</v>
      </c>
      <c r="H257" s="79" t="s">
        <v>636</v>
      </c>
      <c r="I257" s="79" t="s">
        <v>637</v>
      </c>
      <c r="J257" s="79" t="s">
        <v>331</v>
      </c>
      <c r="K257" s="79" t="s">
        <v>332</v>
      </c>
      <c r="L257" s="116">
        <v>51907</v>
      </c>
      <c r="M257" s="116">
        <v>51907</v>
      </c>
      <c r="N257" s="117">
        <v>100</v>
      </c>
    </row>
    <row r="258" spans="1:14">
      <c r="A258" s="79" t="s">
        <v>669</v>
      </c>
      <c r="B258" s="79" t="s">
        <v>165</v>
      </c>
      <c r="C258" s="79" t="s">
        <v>649</v>
      </c>
      <c r="D258" s="115" t="s">
        <v>650</v>
      </c>
      <c r="E258" s="115" t="str">
        <f t="shared" ref="E258:E321" si="4">LEFT(D258,1)</f>
        <v>2</v>
      </c>
      <c r="F258" s="79" t="s">
        <v>15</v>
      </c>
      <c r="G258" s="79" t="s">
        <v>387</v>
      </c>
      <c r="H258" s="79" t="s">
        <v>636</v>
      </c>
      <c r="I258" s="79" t="s">
        <v>637</v>
      </c>
      <c r="J258" s="79" t="s">
        <v>331</v>
      </c>
      <c r="K258" s="79" t="s">
        <v>332</v>
      </c>
      <c r="L258" s="116">
        <v>52637</v>
      </c>
      <c r="M258" s="116">
        <v>52637</v>
      </c>
      <c r="N258" s="117">
        <v>100</v>
      </c>
    </row>
    <row r="259" spans="1:14">
      <c r="A259" s="79" t="s">
        <v>670</v>
      </c>
      <c r="B259" s="79" t="s">
        <v>165</v>
      </c>
      <c r="C259" s="79" t="s">
        <v>649</v>
      </c>
      <c r="D259" s="115" t="s">
        <v>650</v>
      </c>
      <c r="E259" s="115" t="str">
        <f t="shared" si="4"/>
        <v>2</v>
      </c>
      <c r="F259" s="79" t="s">
        <v>15</v>
      </c>
      <c r="G259" s="79" t="s">
        <v>387</v>
      </c>
      <c r="H259" s="79" t="s">
        <v>636</v>
      </c>
      <c r="I259" s="79" t="s">
        <v>637</v>
      </c>
      <c r="J259" s="79" t="s">
        <v>331</v>
      </c>
      <c r="K259" s="79" t="s">
        <v>332</v>
      </c>
      <c r="L259" s="116">
        <v>53862</v>
      </c>
      <c r="M259" s="116">
        <v>53862</v>
      </c>
      <c r="N259" s="117">
        <v>100</v>
      </c>
    </row>
    <row r="260" spans="1:14">
      <c r="A260" s="79" t="s">
        <v>671</v>
      </c>
      <c r="B260" s="79" t="s">
        <v>165</v>
      </c>
      <c r="C260" s="79" t="s">
        <v>649</v>
      </c>
      <c r="D260" s="115" t="s">
        <v>650</v>
      </c>
      <c r="E260" s="115" t="str">
        <f t="shared" si="4"/>
        <v>2</v>
      </c>
      <c r="F260" s="79" t="s">
        <v>15</v>
      </c>
      <c r="G260" s="79" t="s">
        <v>387</v>
      </c>
      <c r="H260" s="79" t="s">
        <v>636</v>
      </c>
      <c r="I260" s="79" t="s">
        <v>637</v>
      </c>
      <c r="J260" s="79" t="s">
        <v>331</v>
      </c>
      <c r="K260" s="79" t="s">
        <v>332</v>
      </c>
      <c r="L260" s="116">
        <v>56250</v>
      </c>
      <c r="M260" s="116">
        <v>56250</v>
      </c>
      <c r="N260" s="117">
        <v>100</v>
      </c>
    </row>
    <row r="261" spans="1:14">
      <c r="A261" s="79" t="s">
        <v>672</v>
      </c>
      <c r="B261" s="79" t="s">
        <v>165</v>
      </c>
      <c r="C261" s="79" t="s">
        <v>649</v>
      </c>
      <c r="D261" s="115" t="s">
        <v>650</v>
      </c>
      <c r="E261" s="115" t="str">
        <f t="shared" si="4"/>
        <v>2</v>
      </c>
      <c r="F261" s="79" t="s">
        <v>15</v>
      </c>
      <c r="G261" s="79" t="s">
        <v>387</v>
      </c>
      <c r="H261" s="79" t="s">
        <v>636</v>
      </c>
      <c r="I261" s="79" t="s">
        <v>637</v>
      </c>
      <c r="J261" s="79" t="s">
        <v>331</v>
      </c>
      <c r="K261" s="79" t="s">
        <v>332</v>
      </c>
      <c r="L261" s="116">
        <v>57694</v>
      </c>
      <c r="M261" s="116">
        <v>57694</v>
      </c>
      <c r="N261" s="117">
        <v>100</v>
      </c>
    </row>
    <row r="262" spans="1:14">
      <c r="A262" s="79" t="s">
        <v>673</v>
      </c>
      <c r="B262" s="79" t="s">
        <v>165</v>
      </c>
      <c r="C262" s="79" t="s">
        <v>649</v>
      </c>
      <c r="D262" s="115" t="s">
        <v>650</v>
      </c>
      <c r="E262" s="115" t="str">
        <f t="shared" si="4"/>
        <v>2</v>
      </c>
      <c r="F262" s="79" t="s">
        <v>15</v>
      </c>
      <c r="G262" s="79" t="s">
        <v>387</v>
      </c>
      <c r="H262" s="79" t="s">
        <v>636</v>
      </c>
      <c r="I262" s="79" t="s">
        <v>637</v>
      </c>
      <c r="J262" s="79" t="s">
        <v>331</v>
      </c>
      <c r="K262" s="79" t="s">
        <v>332</v>
      </c>
      <c r="L262" s="116">
        <v>61507</v>
      </c>
      <c r="M262" s="116">
        <v>61507</v>
      </c>
      <c r="N262" s="117">
        <v>100</v>
      </c>
    </row>
    <row r="263" spans="1:14">
      <c r="A263" s="79" t="s">
        <v>674</v>
      </c>
      <c r="B263" s="79" t="s">
        <v>165</v>
      </c>
      <c r="C263" s="79" t="s">
        <v>649</v>
      </c>
      <c r="D263" s="115" t="s">
        <v>650</v>
      </c>
      <c r="E263" s="115" t="str">
        <f t="shared" si="4"/>
        <v>2</v>
      </c>
      <c r="F263" s="79" t="s">
        <v>15</v>
      </c>
      <c r="G263" s="79" t="s">
        <v>387</v>
      </c>
      <c r="H263" s="79" t="s">
        <v>636</v>
      </c>
      <c r="I263" s="79" t="s">
        <v>637</v>
      </c>
      <c r="J263" s="79" t="s">
        <v>331</v>
      </c>
      <c r="K263" s="79" t="s">
        <v>332</v>
      </c>
      <c r="L263" s="116">
        <v>66388</v>
      </c>
      <c r="M263" s="116">
        <v>66388</v>
      </c>
      <c r="N263" s="117">
        <v>100</v>
      </c>
    </row>
    <row r="264" spans="1:14">
      <c r="A264" s="79" t="s">
        <v>675</v>
      </c>
      <c r="B264" s="79" t="s">
        <v>165</v>
      </c>
      <c r="C264" s="79" t="s">
        <v>649</v>
      </c>
      <c r="D264" s="115" t="s">
        <v>650</v>
      </c>
      <c r="E264" s="115" t="str">
        <f t="shared" si="4"/>
        <v>2</v>
      </c>
      <c r="F264" s="79" t="s">
        <v>15</v>
      </c>
      <c r="G264" s="79" t="s">
        <v>387</v>
      </c>
      <c r="H264" s="79" t="s">
        <v>636</v>
      </c>
      <c r="I264" s="79" t="s">
        <v>637</v>
      </c>
      <c r="J264" s="79" t="s">
        <v>331</v>
      </c>
      <c r="K264" s="79" t="s">
        <v>332</v>
      </c>
      <c r="L264" s="116">
        <v>67510</v>
      </c>
      <c r="M264" s="116">
        <v>67510</v>
      </c>
      <c r="N264" s="117">
        <v>100</v>
      </c>
    </row>
    <row r="265" spans="1:14">
      <c r="A265" s="79" t="s">
        <v>676</v>
      </c>
      <c r="B265" s="79" t="s">
        <v>165</v>
      </c>
      <c r="C265" s="79" t="s">
        <v>649</v>
      </c>
      <c r="D265" s="115" t="s">
        <v>650</v>
      </c>
      <c r="E265" s="115" t="str">
        <f t="shared" si="4"/>
        <v>2</v>
      </c>
      <c r="F265" s="79" t="s">
        <v>15</v>
      </c>
      <c r="G265" s="79" t="s">
        <v>387</v>
      </c>
      <c r="H265" s="79" t="s">
        <v>636</v>
      </c>
      <c r="I265" s="79" t="s">
        <v>637</v>
      </c>
      <c r="J265" s="79" t="s">
        <v>331</v>
      </c>
      <c r="K265" s="79" t="s">
        <v>332</v>
      </c>
      <c r="L265" s="116">
        <v>68569</v>
      </c>
      <c r="M265" s="116">
        <v>68569</v>
      </c>
      <c r="N265" s="117">
        <v>100</v>
      </c>
    </row>
    <row r="266" spans="1:14">
      <c r="A266" s="79" t="s">
        <v>677</v>
      </c>
      <c r="B266" s="79" t="s">
        <v>165</v>
      </c>
      <c r="C266" s="79" t="s">
        <v>649</v>
      </c>
      <c r="D266" s="115" t="s">
        <v>650</v>
      </c>
      <c r="E266" s="115" t="str">
        <f t="shared" si="4"/>
        <v>2</v>
      </c>
      <c r="F266" s="79" t="s">
        <v>15</v>
      </c>
      <c r="G266" s="79" t="s">
        <v>387</v>
      </c>
      <c r="H266" s="79" t="s">
        <v>636</v>
      </c>
      <c r="I266" s="79" t="s">
        <v>637</v>
      </c>
      <c r="J266" s="79" t="s">
        <v>331</v>
      </c>
      <c r="K266" s="79" t="s">
        <v>332</v>
      </c>
      <c r="L266" s="116">
        <v>69215</v>
      </c>
      <c r="M266" s="116">
        <v>69215</v>
      </c>
      <c r="N266" s="117">
        <v>100</v>
      </c>
    </row>
    <row r="267" spans="1:14">
      <c r="A267" s="79" t="s">
        <v>678</v>
      </c>
      <c r="B267" s="79" t="s">
        <v>165</v>
      </c>
      <c r="C267" s="79" t="s">
        <v>649</v>
      </c>
      <c r="D267" s="115" t="s">
        <v>650</v>
      </c>
      <c r="E267" s="115" t="str">
        <f t="shared" si="4"/>
        <v>2</v>
      </c>
      <c r="F267" s="79" t="s">
        <v>15</v>
      </c>
      <c r="G267" s="79" t="s">
        <v>387</v>
      </c>
      <c r="H267" s="79" t="s">
        <v>636</v>
      </c>
      <c r="I267" s="79" t="s">
        <v>637</v>
      </c>
      <c r="J267" s="79" t="s">
        <v>331</v>
      </c>
      <c r="K267" s="79" t="s">
        <v>332</v>
      </c>
      <c r="L267" s="116">
        <v>71705</v>
      </c>
      <c r="M267" s="116">
        <v>71705</v>
      </c>
      <c r="N267" s="117">
        <v>100</v>
      </c>
    </row>
    <row r="268" spans="1:14">
      <c r="A268" s="79" t="s">
        <v>679</v>
      </c>
      <c r="B268" s="79" t="s">
        <v>165</v>
      </c>
      <c r="C268" s="79" t="s">
        <v>649</v>
      </c>
      <c r="D268" s="115" t="s">
        <v>650</v>
      </c>
      <c r="E268" s="115" t="str">
        <f t="shared" si="4"/>
        <v>2</v>
      </c>
      <c r="F268" s="79" t="s">
        <v>15</v>
      </c>
      <c r="G268" s="79" t="s">
        <v>387</v>
      </c>
      <c r="H268" s="79" t="s">
        <v>636</v>
      </c>
      <c r="I268" s="79" t="s">
        <v>637</v>
      </c>
      <c r="J268" s="79" t="s">
        <v>331</v>
      </c>
      <c r="K268" s="79" t="s">
        <v>332</v>
      </c>
      <c r="L268" s="116">
        <v>72801</v>
      </c>
      <c r="M268" s="116">
        <v>72801</v>
      </c>
      <c r="N268" s="117">
        <v>100</v>
      </c>
    </row>
    <row r="269" spans="1:14">
      <c r="A269" s="79" t="s">
        <v>680</v>
      </c>
      <c r="B269" s="79" t="s">
        <v>165</v>
      </c>
      <c r="C269" s="79" t="s">
        <v>649</v>
      </c>
      <c r="D269" s="115" t="s">
        <v>650</v>
      </c>
      <c r="E269" s="115" t="str">
        <f t="shared" si="4"/>
        <v>2</v>
      </c>
      <c r="F269" s="79" t="s">
        <v>15</v>
      </c>
      <c r="G269" s="79" t="s">
        <v>387</v>
      </c>
      <c r="H269" s="79" t="s">
        <v>636</v>
      </c>
      <c r="I269" s="79" t="s">
        <v>637</v>
      </c>
      <c r="J269" s="79" t="s">
        <v>331</v>
      </c>
      <c r="K269" s="79" t="s">
        <v>332</v>
      </c>
      <c r="L269" s="116">
        <v>76842</v>
      </c>
      <c r="M269" s="116">
        <v>76842</v>
      </c>
      <c r="N269" s="117">
        <v>100</v>
      </c>
    </row>
    <row r="270" spans="1:14">
      <c r="A270" s="79" t="s">
        <v>681</v>
      </c>
      <c r="B270" s="79" t="s">
        <v>165</v>
      </c>
      <c r="C270" s="79" t="s">
        <v>649</v>
      </c>
      <c r="D270" s="115" t="s">
        <v>650</v>
      </c>
      <c r="E270" s="115" t="str">
        <f t="shared" si="4"/>
        <v>2</v>
      </c>
      <c r="F270" s="79" t="s">
        <v>15</v>
      </c>
      <c r="G270" s="79" t="s">
        <v>387</v>
      </c>
      <c r="H270" s="79" t="s">
        <v>636</v>
      </c>
      <c r="I270" s="79" t="s">
        <v>637</v>
      </c>
      <c r="J270" s="79" t="s">
        <v>331</v>
      </c>
      <c r="K270" s="79" t="s">
        <v>332</v>
      </c>
      <c r="L270" s="116">
        <v>85000</v>
      </c>
      <c r="M270" s="116">
        <v>85000</v>
      </c>
      <c r="N270" s="117">
        <v>100</v>
      </c>
    </row>
    <row r="271" spans="1:14">
      <c r="A271" s="79" t="s">
        <v>682</v>
      </c>
      <c r="B271" s="79" t="s">
        <v>165</v>
      </c>
      <c r="C271" s="79" t="s">
        <v>649</v>
      </c>
      <c r="D271" s="115" t="s">
        <v>650</v>
      </c>
      <c r="E271" s="115" t="str">
        <f t="shared" si="4"/>
        <v>2</v>
      </c>
      <c r="F271" s="79" t="s">
        <v>15</v>
      </c>
      <c r="G271" s="79" t="s">
        <v>387</v>
      </c>
      <c r="H271" s="79" t="s">
        <v>636</v>
      </c>
      <c r="I271" s="79" t="s">
        <v>637</v>
      </c>
      <c r="J271" s="79" t="s">
        <v>331</v>
      </c>
      <c r="K271" s="79" t="s">
        <v>332</v>
      </c>
      <c r="L271" s="116">
        <v>106221</v>
      </c>
      <c r="M271" s="116">
        <v>92559</v>
      </c>
      <c r="N271" s="117">
        <v>87.14</v>
      </c>
    </row>
    <row r="272" spans="1:14">
      <c r="A272" s="79" t="s">
        <v>683</v>
      </c>
      <c r="B272" s="79" t="s">
        <v>165</v>
      </c>
      <c r="C272" s="79" t="s">
        <v>684</v>
      </c>
      <c r="D272" s="115" t="s">
        <v>650</v>
      </c>
      <c r="E272" s="115" t="str">
        <f t="shared" si="4"/>
        <v>2</v>
      </c>
      <c r="F272" s="79" t="s">
        <v>16</v>
      </c>
      <c r="G272" s="79" t="s">
        <v>387</v>
      </c>
      <c r="H272" s="79" t="s">
        <v>636</v>
      </c>
      <c r="I272" s="79" t="s">
        <v>637</v>
      </c>
      <c r="J272" s="79" t="s">
        <v>331</v>
      </c>
      <c r="K272" s="79" t="s">
        <v>332</v>
      </c>
      <c r="L272" s="116">
        <v>40703</v>
      </c>
      <c r="M272" s="116">
        <v>40703</v>
      </c>
      <c r="N272" s="117">
        <v>100</v>
      </c>
    </row>
    <row r="273" spans="1:14">
      <c r="A273" s="79" t="s">
        <v>685</v>
      </c>
      <c r="B273" s="79" t="s">
        <v>165</v>
      </c>
      <c r="C273" s="79" t="s">
        <v>684</v>
      </c>
      <c r="D273" s="115" t="s">
        <v>650</v>
      </c>
      <c r="E273" s="115" t="str">
        <f t="shared" si="4"/>
        <v>2</v>
      </c>
      <c r="F273" s="79" t="s">
        <v>16</v>
      </c>
      <c r="G273" s="79" t="s">
        <v>387</v>
      </c>
      <c r="H273" s="79" t="s">
        <v>636</v>
      </c>
      <c r="I273" s="79" t="s">
        <v>637</v>
      </c>
      <c r="J273" s="79" t="s">
        <v>331</v>
      </c>
      <c r="K273" s="79" t="s">
        <v>332</v>
      </c>
      <c r="L273" s="116">
        <v>59500</v>
      </c>
      <c r="M273" s="116">
        <v>59500</v>
      </c>
      <c r="N273" s="117">
        <v>100</v>
      </c>
    </row>
    <row r="274" spans="1:14">
      <c r="A274" s="79" t="s">
        <v>686</v>
      </c>
      <c r="B274" s="79" t="s">
        <v>165</v>
      </c>
      <c r="C274" s="79" t="s">
        <v>687</v>
      </c>
      <c r="D274" s="115" t="s">
        <v>688</v>
      </c>
      <c r="E274" s="115" t="str">
        <f t="shared" si="4"/>
        <v>2</v>
      </c>
      <c r="F274" s="79" t="s">
        <v>689</v>
      </c>
      <c r="G274" s="79" t="s">
        <v>341</v>
      </c>
      <c r="H274" s="79" t="s">
        <v>636</v>
      </c>
      <c r="I274" s="79" t="s">
        <v>637</v>
      </c>
      <c r="J274" s="79" t="s">
        <v>331</v>
      </c>
      <c r="K274" s="79" t="s">
        <v>332</v>
      </c>
      <c r="L274" s="116">
        <v>10920</v>
      </c>
      <c r="M274" s="116">
        <v>2730</v>
      </c>
      <c r="N274" s="117">
        <v>25</v>
      </c>
    </row>
    <row r="275" spans="1:14">
      <c r="A275" s="79" t="s">
        <v>690</v>
      </c>
      <c r="B275" s="79" t="s">
        <v>165</v>
      </c>
      <c r="C275" s="79" t="s">
        <v>691</v>
      </c>
      <c r="D275" s="115" t="s">
        <v>692</v>
      </c>
      <c r="E275" s="115" t="str">
        <f t="shared" si="4"/>
        <v>2</v>
      </c>
      <c r="F275" s="79" t="s">
        <v>18</v>
      </c>
      <c r="G275" s="79" t="s">
        <v>341</v>
      </c>
      <c r="H275" s="79" t="s">
        <v>636</v>
      </c>
      <c r="I275" s="79" t="s">
        <v>637</v>
      </c>
      <c r="J275" s="79" t="s">
        <v>331</v>
      </c>
      <c r="K275" s="79" t="s">
        <v>332</v>
      </c>
      <c r="L275" s="116">
        <v>28025</v>
      </c>
      <c r="M275" s="116">
        <v>28025</v>
      </c>
      <c r="N275" s="117">
        <v>100</v>
      </c>
    </row>
    <row r="276" spans="1:14">
      <c r="A276" s="79" t="s">
        <v>693</v>
      </c>
      <c r="B276" s="79" t="s">
        <v>165</v>
      </c>
      <c r="C276" s="79" t="s">
        <v>691</v>
      </c>
      <c r="D276" s="115" t="s">
        <v>692</v>
      </c>
      <c r="E276" s="115" t="str">
        <f t="shared" si="4"/>
        <v>2</v>
      </c>
      <c r="F276" s="79" t="s">
        <v>18</v>
      </c>
      <c r="G276" s="79" t="s">
        <v>387</v>
      </c>
      <c r="H276" s="79" t="s">
        <v>636</v>
      </c>
      <c r="I276" s="79" t="s">
        <v>637</v>
      </c>
      <c r="J276" s="79" t="s">
        <v>331</v>
      </c>
      <c r="K276" s="79" t="s">
        <v>332</v>
      </c>
      <c r="L276" s="116">
        <v>33285</v>
      </c>
      <c r="M276" s="116">
        <v>33285</v>
      </c>
      <c r="N276" s="117">
        <v>100</v>
      </c>
    </row>
    <row r="277" spans="1:14">
      <c r="A277" s="79" t="s">
        <v>694</v>
      </c>
      <c r="B277" s="79" t="s">
        <v>165</v>
      </c>
      <c r="C277" s="79" t="s">
        <v>691</v>
      </c>
      <c r="D277" s="115" t="s">
        <v>692</v>
      </c>
      <c r="E277" s="115" t="str">
        <f t="shared" si="4"/>
        <v>2</v>
      </c>
      <c r="F277" s="79" t="s">
        <v>18</v>
      </c>
      <c r="G277" s="79" t="s">
        <v>387</v>
      </c>
      <c r="H277" s="79" t="s">
        <v>636</v>
      </c>
      <c r="I277" s="79" t="s">
        <v>637</v>
      </c>
      <c r="J277" s="79" t="s">
        <v>331</v>
      </c>
      <c r="K277" s="79" t="s">
        <v>332</v>
      </c>
      <c r="L277" s="116">
        <v>51817</v>
      </c>
      <c r="M277" s="116">
        <v>51817</v>
      </c>
      <c r="N277" s="117">
        <v>100</v>
      </c>
    </row>
    <row r="278" spans="1:14">
      <c r="A278" s="79" t="s">
        <v>695</v>
      </c>
      <c r="B278" s="79" t="s">
        <v>165</v>
      </c>
      <c r="C278" s="79" t="s">
        <v>691</v>
      </c>
      <c r="D278" s="115" t="s">
        <v>692</v>
      </c>
      <c r="E278" s="115" t="str">
        <f t="shared" si="4"/>
        <v>2</v>
      </c>
      <c r="F278" s="79" t="s">
        <v>18</v>
      </c>
      <c r="G278" s="79" t="s">
        <v>387</v>
      </c>
      <c r="H278" s="79" t="s">
        <v>636</v>
      </c>
      <c r="I278" s="79" t="s">
        <v>637</v>
      </c>
      <c r="J278" s="79" t="s">
        <v>331</v>
      </c>
      <c r="K278" s="79" t="s">
        <v>332</v>
      </c>
      <c r="L278" s="116">
        <v>56817</v>
      </c>
      <c r="M278" s="116">
        <v>51817</v>
      </c>
      <c r="N278" s="117">
        <v>91.2</v>
      </c>
    </row>
    <row r="279" spans="1:14">
      <c r="A279" s="79" t="s">
        <v>696</v>
      </c>
      <c r="B279" s="79" t="s">
        <v>165</v>
      </c>
      <c r="C279" s="79" t="s">
        <v>691</v>
      </c>
      <c r="D279" s="115" t="s">
        <v>692</v>
      </c>
      <c r="E279" s="115" t="str">
        <f t="shared" si="4"/>
        <v>2</v>
      </c>
      <c r="F279" s="79" t="s">
        <v>18</v>
      </c>
      <c r="G279" s="79" t="s">
        <v>387</v>
      </c>
      <c r="H279" s="79" t="s">
        <v>636</v>
      </c>
      <c r="I279" s="79" t="s">
        <v>637</v>
      </c>
      <c r="J279" s="79" t="s">
        <v>331</v>
      </c>
      <c r="K279" s="79" t="s">
        <v>332</v>
      </c>
      <c r="L279" s="116">
        <v>51817</v>
      </c>
      <c r="M279" s="116">
        <v>51817</v>
      </c>
      <c r="N279" s="117">
        <v>100</v>
      </c>
    </row>
    <row r="280" spans="1:14">
      <c r="A280" s="79" t="s">
        <v>697</v>
      </c>
      <c r="B280" s="79" t="s">
        <v>165</v>
      </c>
      <c r="C280" s="79" t="s">
        <v>691</v>
      </c>
      <c r="D280" s="115" t="s">
        <v>692</v>
      </c>
      <c r="E280" s="115" t="str">
        <f t="shared" si="4"/>
        <v>2</v>
      </c>
      <c r="F280" s="79" t="s">
        <v>18</v>
      </c>
      <c r="G280" s="79" t="s">
        <v>387</v>
      </c>
      <c r="H280" s="79" t="s">
        <v>636</v>
      </c>
      <c r="I280" s="79" t="s">
        <v>637</v>
      </c>
      <c r="J280" s="79" t="s">
        <v>331</v>
      </c>
      <c r="K280" s="79" t="s">
        <v>332</v>
      </c>
      <c r="L280" s="116">
        <v>51817</v>
      </c>
      <c r="M280" s="116">
        <v>51817</v>
      </c>
      <c r="N280" s="117">
        <v>100</v>
      </c>
    </row>
    <row r="281" spans="1:14">
      <c r="A281" s="79" t="s">
        <v>698</v>
      </c>
      <c r="B281" s="79" t="s">
        <v>165</v>
      </c>
      <c r="C281" s="79" t="s">
        <v>691</v>
      </c>
      <c r="D281" s="115" t="s">
        <v>692</v>
      </c>
      <c r="E281" s="115" t="str">
        <f t="shared" si="4"/>
        <v>2</v>
      </c>
      <c r="F281" s="79" t="s">
        <v>18</v>
      </c>
      <c r="G281" s="79" t="s">
        <v>387</v>
      </c>
      <c r="H281" s="79" t="s">
        <v>636</v>
      </c>
      <c r="I281" s="79" t="s">
        <v>637</v>
      </c>
      <c r="J281" s="79" t="s">
        <v>331</v>
      </c>
      <c r="K281" s="79" t="s">
        <v>332</v>
      </c>
      <c r="L281" s="116">
        <v>51817</v>
      </c>
      <c r="M281" s="116">
        <v>51817</v>
      </c>
      <c r="N281" s="117">
        <v>100</v>
      </c>
    </row>
    <row r="282" spans="1:14">
      <c r="A282" s="79" t="s">
        <v>699</v>
      </c>
      <c r="B282" s="79" t="s">
        <v>165</v>
      </c>
      <c r="C282" s="79" t="s">
        <v>691</v>
      </c>
      <c r="D282" s="115" t="s">
        <v>692</v>
      </c>
      <c r="E282" s="115" t="str">
        <f t="shared" si="4"/>
        <v>2</v>
      </c>
      <c r="F282" s="79" t="s">
        <v>18</v>
      </c>
      <c r="G282" s="79" t="s">
        <v>387</v>
      </c>
      <c r="H282" s="79" t="s">
        <v>636</v>
      </c>
      <c r="I282" s="79" t="s">
        <v>637</v>
      </c>
      <c r="J282" s="79" t="s">
        <v>331</v>
      </c>
      <c r="K282" s="79" t="s">
        <v>332</v>
      </c>
      <c r="L282" s="116">
        <v>51817</v>
      </c>
      <c r="M282" s="116">
        <v>51817</v>
      </c>
      <c r="N282" s="117">
        <v>100</v>
      </c>
    </row>
    <row r="283" spans="1:14">
      <c r="A283" s="79" t="s">
        <v>700</v>
      </c>
      <c r="B283" s="79" t="s">
        <v>165</v>
      </c>
      <c r="C283" s="79" t="s">
        <v>691</v>
      </c>
      <c r="D283" s="115" t="s">
        <v>692</v>
      </c>
      <c r="E283" s="115" t="str">
        <f t="shared" si="4"/>
        <v>2</v>
      </c>
      <c r="F283" s="79" t="s">
        <v>18</v>
      </c>
      <c r="G283" s="79" t="s">
        <v>387</v>
      </c>
      <c r="H283" s="79" t="s">
        <v>636</v>
      </c>
      <c r="I283" s="79" t="s">
        <v>637</v>
      </c>
      <c r="J283" s="79" t="s">
        <v>331</v>
      </c>
      <c r="K283" s="79" t="s">
        <v>332</v>
      </c>
      <c r="L283" s="116">
        <v>51817</v>
      </c>
      <c r="M283" s="116">
        <v>51817</v>
      </c>
      <c r="N283" s="117">
        <v>100</v>
      </c>
    </row>
    <row r="284" spans="1:14">
      <c r="A284" s="79" t="s">
        <v>701</v>
      </c>
      <c r="B284" s="79" t="s">
        <v>165</v>
      </c>
      <c r="C284" s="79" t="s">
        <v>691</v>
      </c>
      <c r="D284" s="115" t="s">
        <v>692</v>
      </c>
      <c r="E284" s="115" t="str">
        <f t="shared" si="4"/>
        <v>2</v>
      </c>
      <c r="F284" s="79" t="s">
        <v>18</v>
      </c>
      <c r="G284" s="79" t="s">
        <v>387</v>
      </c>
      <c r="H284" s="79" t="s">
        <v>636</v>
      </c>
      <c r="I284" s="79" t="s">
        <v>637</v>
      </c>
      <c r="J284" s="79" t="s">
        <v>331</v>
      </c>
      <c r="K284" s="79" t="s">
        <v>332</v>
      </c>
      <c r="L284" s="116">
        <v>52417</v>
      </c>
      <c r="M284" s="116">
        <v>52417</v>
      </c>
      <c r="N284" s="117">
        <v>100</v>
      </c>
    </row>
    <row r="285" spans="1:14">
      <c r="A285" s="79" t="s">
        <v>702</v>
      </c>
      <c r="B285" s="79" t="s">
        <v>165</v>
      </c>
      <c r="C285" s="79" t="s">
        <v>691</v>
      </c>
      <c r="D285" s="115" t="s">
        <v>692</v>
      </c>
      <c r="E285" s="115" t="str">
        <f t="shared" si="4"/>
        <v>2</v>
      </c>
      <c r="F285" s="79" t="s">
        <v>18</v>
      </c>
      <c r="G285" s="79" t="s">
        <v>387</v>
      </c>
      <c r="H285" s="79" t="s">
        <v>636</v>
      </c>
      <c r="I285" s="79" t="s">
        <v>637</v>
      </c>
      <c r="J285" s="79" t="s">
        <v>331</v>
      </c>
      <c r="K285" s="79" t="s">
        <v>332</v>
      </c>
      <c r="L285" s="116">
        <v>56500</v>
      </c>
      <c r="M285" s="116">
        <v>56500</v>
      </c>
      <c r="N285" s="117">
        <v>100</v>
      </c>
    </row>
    <row r="286" spans="1:14">
      <c r="A286" s="79" t="s">
        <v>703</v>
      </c>
      <c r="B286" s="79" t="s">
        <v>165</v>
      </c>
      <c r="C286" s="79" t="s">
        <v>691</v>
      </c>
      <c r="D286" s="115" t="s">
        <v>692</v>
      </c>
      <c r="E286" s="115" t="str">
        <f t="shared" si="4"/>
        <v>2</v>
      </c>
      <c r="F286" s="79" t="s">
        <v>18</v>
      </c>
      <c r="G286" s="79" t="s">
        <v>387</v>
      </c>
      <c r="H286" s="79" t="s">
        <v>636</v>
      </c>
      <c r="I286" s="79" t="s">
        <v>637</v>
      </c>
      <c r="J286" s="79" t="s">
        <v>331</v>
      </c>
      <c r="K286" s="79" t="s">
        <v>332</v>
      </c>
      <c r="L286" s="116">
        <v>67885</v>
      </c>
      <c r="M286" s="116">
        <v>67885</v>
      </c>
      <c r="N286" s="117">
        <v>100</v>
      </c>
    </row>
    <row r="287" spans="1:14">
      <c r="A287" s="79" t="s">
        <v>704</v>
      </c>
      <c r="B287" s="79" t="s">
        <v>165</v>
      </c>
      <c r="C287" s="79" t="s">
        <v>691</v>
      </c>
      <c r="D287" s="115" t="s">
        <v>692</v>
      </c>
      <c r="E287" s="115" t="str">
        <f t="shared" si="4"/>
        <v>2</v>
      </c>
      <c r="F287" s="79" t="s">
        <v>18</v>
      </c>
      <c r="G287" s="79" t="s">
        <v>387</v>
      </c>
      <c r="H287" s="79" t="s">
        <v>636</v>
      </c>
      <c r="I287" s="79" t="s">
        <v>637</v>
      </c>
      <c r="J287" s="79" t="s">
        <v>331</v>
      </c>
      <c r="K287" s="79" t="s">
        <v>332</v>
      </c>
      <c r="L287" s="116">
        <v>68459</v>
      </c>
      <c r="M287" s="116">
        <v>68459</v>
      </c>
      <c r="N287" s="117">
        <v>100</v>
      </c>
    </row>
    <row r="288" spans="1:14">
      <c r="A288" s="79" t="s">
        <v>705</v>
      </c>
      <c r="B288" s="79" t="s">
        <v>165</v>
      </c>
      <c r="C288" s="79" t="s">
        <v>691</v>
      </c>
      <c r="D288" s="115" t="s">
        <v>692</v>
      </c>
      <c r="E288" s="115" t="str">
        <f t="shared" si="4"/>
        <v>2</v>
      </c>
      <c r="F288" s="79" t="s">
        <v>18</v>
      </c>
      <c r="G288" s="79" t="s">
        <v>387</v>
      </c>
      <c r="H288" s="79" t="s">
        <v>636</v>
      </c>
      <c r="I288" s="79" t="s">
        <v>637</v>
      </c>
      <c r="J288" s="79" t="s">
        <v>331</v>
      </c>
      <c r="K288" s="79" t="s">
        <v>332</v>
      </c>
      <c r="L288" s="116">
        <v>76683</v>
      </c>
      <c r="M288" s="116">
        <v>76683</v>
      </c>
      <c r="N288" s="117">
        <v>100</v>
      </c>
    </row>
    <row r="289" spans="1:14">
      <c r="A289" s="79" t="s">
        <v>706</v>
      </c>
      <c r="B289" s="79" t="s">
        <v>165</v>
      </c>
      <c r="C289" s="79" t="s">
        <v>691</v>
      </c>
      <c r="D289" s="115" t="s">
        <v>692</v>
      </c>
      <c r="E289" s="115" t="str">
        <f t="shared" si="4"/>
        <v>2</v>
      </c>
      <c r="F289" s="79" t="s">
        <v>18</v>
      </c>
      <c r="G289" s="79" t="s">
        <v>387</v>
      </c>
      <c r="H289" s="79" t="s">
        <v>636</v>
      </c>
      <c r="I289" s="79" t="s">
        <v>637</v>
      </c>
      <c r="J289" s="79" t="s">
        <v>331</v>
      </c>
      <c r="K289" s="79" t="s">
        <v>332</v>
      </c>
      <c r="L289" s="116">
        <v>77256</v>
      </c>
      <c r="M289" s="116">
        <v>77256</v>
      </c>
      <c r="N289" s="117">
        <v>100</v>
      </c>
    </row>
    <row r="290" spans="1:14">
      <c r="A290" s="79" t="s">
        <v>707</v>
      </c>
      <c r="B290" s="79" t="s">
        <v>165</v>
      </c>
      <c r="C290" s="79" t="s">
        <v>708</v>
      </c>
      <c r="D290" s="115" t="s">
        <v>709</v>
      </c>
      <c r="E290" s="115" t="str">
        <f t="shared" si="4"/>
        <v>2</v>
      </c>
      <c r="F290" s="79" t="s">
        <v>710</v>
      </c>
      <c r="G290" s="79" t="s">
        <v>328</v>
      </c>
      <c r="H290" s="79" t="s">
        <v>711</v>
      </c>
      <c r="I290" s="79" t="s">
        <v>712</v>
      </c>
      <c r="J290" s="79" t="s">
        <v>331</v>
      </c>
      <c r="K290" s="79" t="s">
        <v>332</v>
      </c>
      <c r="L290" s="116">
        <v>97738</v>
      </c>
      <c r="M290" s="116">
        <v>74946</v>
      </c>
      <c r="N290" s="117">
        <v>76.680000000000007</v>
      </c>
    </row>
    <row r="291" spans="1:14">
      <c r="A291" s="79" t="s">
        <v>713</v>
      </c>
      <c r="B291" s="79" t="s">
        <v>165</v>
      </c>
      <c r="C291" s="79" t="s">
        <v>714</v>
      </c>
      <c r="D291" s="115" t="s">
        <v>715</v>
      </c>
      <c r="E291" s="115" t="str">
        <f t="shared" si="4"/>
        <v>3</v>
      </c>
      <c r="F291" s="79" t="s">
        <v>716</v>
      </c>
      <c r="G291" s="79" t="s">
        <v>387</v>
      </c>
      <c r="H291" s="79" t="s">
        <v>711</v>
      </c>
      <c r="I291" s="79" t="s">
        <v>712</v>
      </c>
      <c r="J291" s="79" t="s">
        <v>331</v>
      </c>
      <c r="K291" s="79" t="s">
        <v>332</v>
      </c>
      <c r="L291" s="116">
        <v>1653792</v>
      </c>
      <c r="M291" s="116">
        <v>1653792</v>
      </c>
      <c r="N291" s="117">
        <v>100</v>
      </c>
    </row>
    <row r="292" spans="1:14">
      <c r="A292" s="79" t="s">
        <v>717</v>
      </c>
      <c r="B292" s="79" t="s">
        <v>165</v>
      </c>
      <c r="C292" s="79" t="s">
        <v>718</v>
      </c>
      <c r="D292" s="115" t="s">
        <v>719</v>
      </c>
      <c r="E292" s="115" t="str">
        <f t="shared" si="4"/>
        <v>2</v>
      </c>
      <c r="F292" s="79" t="s">
        <v>720</v>
      </c>
      <c r="G292" s="79" t="s">
        <v>387</v>
      </c>
      <c r="H292" s="79" t="s">
        <v>711</v>
      </c>
      <c r="I292" s="79" t="s">
        <v>712</v>
      </c>
      <c r="J292" s="79" t="s">
        <v>331</v>
      </c>
      <c r="K292" s="79" t="s">
        <v>332</v>
      </c>
      <c r="L292" s="116">
        <v>936610</v>
      </c>
      <c r="M292" s="116">
        <v>936610</v>
      </c>
      <c r="N292" s="117">
        <v>100</v>
      </c>
    </row>
    <row r="293" spans="1:14">
      <c r="A293" s="79" t="s">
        <v>707</v>
      </c>
      <c r="B293" s="79" t="s">
        <v>165</v>
      </c>
      <c r="C293" s="79" t="s">
        <v>721</v>
      </c>
      <c r="D293" s="115" t="s">
        <v>722</v>
      </c>
      <c r="E293" s="115" t="str">
        <f t="shared" si="4"/>
        <v>2</v>
      </c>
      <c r="F293" s="79" t="s">
        <v>723</v>
      </c>
      <c r="G293" s="79" t="s">
        <v>328</v>
      </c>
      <c r="H293" s="79" t="s">
        <v>724</v>
      </c>
      <c r="I293" s="79" t="s">
        <v>725</v>
      </c>
      <c r="J293" s="79" t="s">
        <v>331</v>
      </c>
      <c r="K293" s="79" t="s">
        <v>332</v>
      </c>
      <c r="L293" s="116">
        <v>97738</v>
      </c>
      <c r="M293" s="116">
        <v>2795</v>
      </c>
      <c r="N293" s="117">
        <v>2.86</v>
      </c>
    </row>
    <row r="294" spans="1:14">
      <c r="A294" s="79" t="s">
        <v>726</v>
      </c>
      <c r="B294" s="79" t="s">
        <v>165</v>
      </c>
      <c r="C294" s="79" t="s">
        <v>721</v>
      </c>
      <c r="D294" s="115" t="s">
        <v>722</v>
      </c>
      <c r="E294" s="115" t="str">
        <f t="shared" si="4"/>
        <v>2</v>
      </c>
      <c r="F294" s="79" t="s">
        <v>723</v>
      </c>
      <c r="G294" s="79" t="s">
        <v>341</v>
      </c>
      <c r="H294" s="79" t="s">
        <v>724</v>
      </c>
      <c r="I294" s="79" t="s">
        <v>725</v>
      </c>
      <c r="J294" s="79" t="s">
        <v>331</v>
      </c>
      <c r="K294" s="79" t="s">
        <v>332</v>
      </c>
      <c r="L294" s="116">
        <v>13302</v>
      </c>
      <c r="M294" s="116">
        <v>13302</v>
      </c>
      <c r="N294" s="117">
        <v>100</v>
      </c>
    </row>
    <row r="295" spans="1:14">
      <c r="A295" s="79" t="s">
        <v>727</v>
      </c>
      <c r="B295" s="79" t="s">
        <v>165</v>
      </c>
      <c r="C295" s="79" t="s">
        <v>721</v>
      </c>
      <c r="D295" s="115" t="s">
        <v>722</v>
      </c>
      <c r="E295" s="115" t="str">
        <f t="shared" si="4"/>
        <v>2</v>
      </c>
      <c r="F295" s="79" t="s">
        <v>723</v>
      </c>
      <c r="G295" s="79" t="s">
        <v>341</v>
      </c>
      <c r="H295" s="79" t="s">
        <v>724</v>
      </c>
      <c r="I295" s="79" t="s">
        <v>725</v>
      </c>
      <c r="J295" s="79" t="s">
        <v>331</v>
      </c>
      <c r="K295" s="79" t="s">
        <v>332</v>
      </c>
      <c r="L295" s="116">
        <v>19955</v>
      </c>
      <c r="M295" s="116">
        <v>19955</v>
      </c>
      <c r="N295" s="117">
        <v>100</v>
      </c>
    </row>
    <row r="296" spans="1:14">
      <c r="A296" s="79" t="s">
        <v>728</v>
      </c>
      <c r="B296" s="79" t="s">
        <v>165</v>
      </c>
      <c r="C296" s="79" t="s">
        <v>721</v>
      </c>
      <c r="D296" s="115" t="s">
        <v>722</v>
      </c>
      <c r="E296" s="115" t="str">
        <f t="shared" si="4"/>
        <v>2</v>
      </c>
      <c r="F296" s="79" t="s">
        <v>723</v>
      </c>
      <c r="G296" s="79" t="s">
        <v>341</v>
      </c>
      <c r="H296" s="79" t="s">
        <v>724</v>
      </c>
      <c r="I296" s="79" t="s">
        <v>725</v>
      </c>
      <c r="J296" s="79" t="s">
        <v>331</v>
      </c>
      <c r="K296" s="79" t="s">
        <v>332</v>
      </c>
      <c r="L296" s="116">
        <v>38000</v>
      </c>
      <c r="M296" s="116">
        <v>38000</v>
      </c>
      <c r="N296" s="117">
        <v>100</v>
      </c>
    </row>
    <row r="297" spans="1:14">
      <c r="A297" s="79" t="s">
        <v>729</v>
      </c>
      <c r="B297" s="79" t="s">
        <v>165</v>
      </c>
      <c r="C297" s="79" t="s">
        <v>721</v>
      </c>
      <c r="D297" s="115" t="s">
        <v>722</v>
      </c>
      <c r="E297" s="115" t="str">
        <f t="shared" si="4"/>
        <v>2</v>
      </c>
      <c r="F297" s="79" t="s">
        <v>723</v>
      </c>
      <c r="G297" s="79" t="s">
        <v>328</v>
      </c>
      <c r="H297" s="79" t="s">
        <v>724</v>
      </c>
      <c r="I297" s="79" t="s">
        <v>725</v>
      </c>
      <c r="J297" s="79" t="s">
        <v>331</v>
      </c>
      <c r="K297" s="79" t="s">
        <v>332</v>
      </c>
      <c r="L297" s="116">
        <v>115448</v>
      </c>
      <c r="M297" s="116">
        <v>115448</v>
      </c>
      <c r="N297" s="117">
        <v>100</v>
      </c>
    </row>
    <row r="298" spans="1:14">
      <c r="A298" s="79" t="s">
        <v>730</v>
      </c>
      <c r="B298" s="79" t="s">
        <v>165</v>
      </c>
      <c r="C298" s="79" t="s">
        <v>721</v>
      </c>
      <c r="D298" s="115" t="s">
        <v>722</v>
      </c>
      <c r="E298" s="115" t="str">
        <f t="shared" si="4"/>
        <v>2</v>
      </c>
      <c r="F298" s="79" t="s">
        <v>723</v>
      </c>
      <c r="G298" s="79" t="s">
        <v>328</v>
      </c>
      <c r="H298" s="79" t="s">
        <v>724</v>
      </c>
      <c r="I298" s="79" t="s">
        <v>725</v>
      </c>
      <c r="J298" s="79" t="s">
        <v>331</v>
      </c>
      <c r="K298" s="79" t="s">
        <v>332</v>
      </c>
      <c r="L298" s="116">
        <v>123992</v>
      </c>
      <c r="M298" s="116">
        <v>123992</v>
      </c>
      <c r="N298" s="117">
        <v>100</v>
      </c>
    </row>
    <row r="299" spans="1:14">
      <c r="A299" s="79" t="s">
        <v>731</v>
      </c>
      <c r="B299" s="79" t="s">
        <v>165</v>
      </c>
      <c r="C299" s="79" t="s">
        <v>732</v>
      </c>
      <c r="D299" s="115" t="s">
        <v>733</v>
      </c>
      <c r="E299" s="115" t="str">
        <f t="shared" si="4"/>
        <v>2</v>
      </c>
      <c r="F299" s="79" t="s">
        <v>734</v>
      </c>
      <c r="G299" s="79" t="s">
        <v>341</v>
      </c>
      <c r="H299" s="79" t="s">
        <v>724</v>
      </c>
      <c r="I299" s="79" t="s">
        <v>725</v>
      </c>
      <c r="J299" s="79" t="s">
        <v>331</v>
      </c>
      <c r="K299" s="79" t="s">
        <v>332</v>
      </c>
      <c r="L299" s="116">
        <v>34309</v>
      </c>
      <c r="M299" s="116">
        <v>34309</v>
      </c>
      <c r="N299" s="117">
        <v>100</v>
      </c>
    </row>
    <row r="300" spans="1:14">
      <c r="A300" s="79" t="s">
        <v>735</v>
      </c>
      <c r="B300" s="79" t="s">
        <v>165</v>
      </c>
      <c r="C300" s="79" t="s">
        <v>732</v>
      </c>
      <c r="D300" s="115" t="s">
        <v>733</v>
      </c>
      <c r="E300" s="115" t="str">
        <f t="shared" si="4"/>
        <v>2</v>
      </c>
      <c r="F300" s="79" t="s">
        <v>734</v>
      </c>
      <c r="G300" s="79" t="s">
        <v>328</v>
      </c>
      <c r="H300" s="79" t="s">
        <v>724</v>
      </c>
      <c r="I300" s="79" t="s">
        <v>725</v>
      </c>
      <c r="J300" s="79" t="s">
        <v>331</v>
      </c>
      <c r="K300" s="79" t="s">
        <v>332</v>
      </c>
      <c r="L300" s="116">
        <v>142865</v>
      </c>
      <c r="M300" s="116">
        <v>142865</v>
      </c>
      <c r="N300" s="117">
        <v>100</v>
      </c>
    </row>
    <row r="301" spans="1:14">
      <c r="A301" s="79" t="s">
        <v>736</v>
      </c>
      <c r="B301" s="79" t="s">
        <v>165</v>
      </c>
      <c r="C301" s="79" t="s">
        <v>737</v>
      </c>
      <c r="D301" s="115" t="s">
        <v>738</v>
      </c>
      <c r="E301" s="115" t="str">
        <f t="shared" si="4"/>
        <v>2</v>
      </c>
      <c r="F301" s="79" t="s">
        <v>739</v>
      </c>
      <c r="G301" s="79" t="s">
        <v>341</v>
      </c>
      <c r="H301" s="79" t="s">
        <v>724</v>
      </c>
      <c r="I301" s="79" t="s">
        <v>725</v>
      </c>
      <c r="J301" s="79" t="s">
        <v>331</v>
      </c>
      <c r="K301" s="79" t="s">
        <v>332</v>
      </c>
      <c r="L301" s="116">
        <v>19988</v>
      </c>
      <c r="M301" s="116">
        <v>19988</v>
      </c>
      <c r="N301" s="117">
        <v>100</v>
      </c>
    </row>
    <row r="302" spans="1:14">
      <c r="A302" s="79" t="s">
        <v>740</v>
      </c>
      <c r="B302" s="79" t="s">
        <v>165</v>
      </c>
      <c r="C302" s="79" t="s">
        <v>737</v>
      </c>
      <c r="D302" s="115" t="s">
        <v>738</v>
      </c>
      <c r="E302" s="115" t="str">
        <f t="shared" si="4"/>
        <v>2</v>
      </c>
      <c r="F302" s="79" t="s">
        <v>739</v>
      </c>
      <c r="G302" s="79" t="s">
        <v>341</v>
      </c>
      <c r="H302" s="79" t="s">
        <v>724</v>
      </c>
      <c r="I302" s="79" t="s">
        <v>725</v>
      </c>
      <c r="J302" s="79" t="s">
        <v>331</v>
      </c>
      <c r="K302" s="79" t="s">
        <v>332</v>
      </c>
      <c r="L302" s="116">
        <v>35422</v>
      </c>
      <c r="M302" s="116">
        <v>35422</v>
      </c>
      <c r="N302" s="117">
        <v>100</v>
      </c>
    </row>
    <row r="303" spans="1:14">
      <c r="A303" s="79" t="s">
        <v>741</v>
      </c>
      <c r="B303" s="79" t="s">
        <v>165</v>
      </c>
      <c r="C303" s="79" t="s">
        <v>737</v>
      </c>
      <c r="D303" s="115" t="s">
        <v>738</v>
      </c>
      <c r="E303" s="115" t="str">
        <f t="shared" si="4"/>
        <v>2</v>
      </c>
      <c r="F303" s="79" t="s">
        <v>739</v>
      </c>
      <c r="G303" s="79" t="s">
        <v>328</v>
      </c>
      <c r="H303" s="79" t="s">
        <v>724</v>
      </c>
      <c r="I303" s="79" t="s">
        <v>725</v>
      </c>
      <c r="J303" s="79" t="s">
        <v>331</v>
      </c>
      <c r="K303" s="79" t="s">
        <v>332</v>
      </c>
      <c r="L303" s="116">
        <v>40000</v>
      </c>
      <c r="M303" s="116">
        <v>40000</v>
      </c>
      <c r="N303" s="117">
        <v>100</v>
      </c>
    </row>
    <row r="304" spans="1:14">
      <c r="A304" s="79" t="s">
        <v>742</v>
      </c>
      <c r="B304" s="79" t="s">
        <v>165</v>
      </c>
      <c r="C304" s="79" t="s">
        <v>737</v>
      </c>
      <c r="D304" s="115" t="s">
        <v>738</v>
      </c>
      <c r="E304" s="115" t="str">
        <f t="shared" si="4"/>
        <v>2</v>
      </c>
      <c r="F304" s="79" t="s">
        <v>739</v>
      </c>
      <c r="G304" s="79" t="s">
        <v>328</v>
      </c>
      <c r="H304" s="79" t="s">
        <v>724</v>
      </c>
      <c r="I304" s="79" t="s">
        <v>725</v>
      </c>
      <c r="J304" s="79" t="s">
        <v>331</v>
      </c>
      <c r="K304" s="79" t="s">
        <v>332</v>
      </c>
      <c r="L304" s="116">
        <v>55000</v>
      </c>
      <c r="M304" s="116">
        <v>48125</v>
      </c>
      <c r="N304" s="117">
        <v>87.5</v>
      </c>
    </row>
    <row r="305" spans="1:14">
      <c r="A305" s="79" t="s">
        <v>743</v>
      </c>
      <c r="B305" s="79" t="s">
        <v>165</v>
      </c>
      <c r="C305" s="79" t="s">
        <v>737</v>
      </c>
      <c r="D305" s="115" t="s">
        <v>738</v>
      </c>
      <c r="E305" s="115" t="str">
        <f t="shared" si="4"/>
        <v>2</v>
      </c>
      <c r="F305" s="79" t="s">
        <v>739</v>
      </c>
      <c r="G305" s="79" t="s">
        <v>328</v>
      </c>
      <c r="H305" s="79" t="s">
        <v>724</v>
      </c>
      <c r="I305" s="79" t="s">
        <v>725</v>
      </c>
      <c r="J305" s="79" t="s">
        <v>331</v>
      </c>
      <c r="K305" s="79" t="s">
        <v>332</v>
      </c>
      <c r="L305" s="116">
        <v>127591</v>
      </c>
      <c r="M305" s="116">
        <v>127591</v>
      </c>
      <c r="N305" s="117">
        <v>100</v>
      </c>
    </row>
    <row r="306" spans="1:14">
      <c r="A306" s="79" t="s">
        <v>744</v>
      </c>
      <c r="B306" s="79" t="s">
        <v>165</v>
      </c>
      <c r="C306" s="79" t="s">
        <v>745</v>
      </c>
      <c r="D306" s="115" t="s">
        <v>746</v>
      </c>
      <c r="E306" s="115" t="str">
        <f t="shared" si="4"/>
        <v>2</v>
      </c>
      <c r="F306" s="79" t="s">
        <v>747</v>
      </c>
      <c r="G306" s="79" t="s">
        <v>328</v>
      </c>
      <c r="H306" s="79" t="s">
        <v>724</v>
      </c>
      <c r="I306" s="79" t="s">
        <v>725</v>
      </c>
      <c r="J306" s="79" t="s">
        <v>331</v>
      </c>
      <c r="K306" s="79" t="s">
        <v>332</v>
      </c>
      <c r="L306" s="116">
        <v>50000</v>
      </c>
      <c r="M306" s="116">
        <v>50000</v>
      </c>
      <c r="N306" s="117">
        <v>100</v>
      </c>
    </row>
    <row r="307" spans="1:14">
      <c r="A307" s="79" t="s">
        <v>748</v>
      </c>
      <c r="B307" s="79" t="s">
        <v>165</v>
      </c>
      <c r="C307" s="79" t="s">
        <v>749</v>
      </c>
      <c r="D307" s="115" t="s">
        <v>750</v>
      </c>
      <c r="E307" s="115" t="str">
        <f t="shared" si="4"/>
        <v>2</v>
      </c>
      <c r="F307" s="79" t="s">
        <v>751</v>
      </c>
      <c r="G307" s="79" t="s">
        <v>328</v>
      </c>
      <c r="H307" s="79" t="s">
        <v>724</v>
      </c>
      <c r="I307" s="79" t="s">
        <v>725</v>
      </c>
      <c r="J307" s="79" t="s">
        <v>331</v>
      </c>
      <c r="K307" s="79" t="s">
        <v>332</v>
      </c>
      <c r="L307" s="116">
        <v>29265</v>
      </c>
      <c r="M307" s="116">
        <v>14632</v>
      </c>
      <c r="N307" s="117">
        <v>50</v>
      </c>
    </row>
    <row r="308" spans="1:14">
      <c r="A308" s="79" t="s">
        <v>752</v>
      </c>
      <c r="B308" s="79" t="s">
        <v>165</v>
      </c>
      <c r="C308" s="79" t="s">
        <v>749</v>
      </c>
      <c r="D308" s="115" t="s">
        <v>750</v>
      </c>
      <c r="E308" s="115" t="str">
        <f t="shared" si="4"/>
        <v>2</v>
      </c>
      <c r="F308" s="79" t="s">
        <v>751</v>
      </c>
      <c r="G308" s="79" t="s">
        <v>341</v>
      </c>
      <c r="H308" s="79" t="s">
        <v>724</v>
      </c>
      <c r="I308" s="79" t="s">
        <v>725</v>
      </c>
      <c r="J308" s="79" t="s">
        <v>331</v>
      </c>
      <c r="K308" s="79" t="s">
        <v>332</v>
      </c>
      <c r="L308" s="116">
        <v>40000</v>
      </c>
      <c r="M308" s="116">
        <v>34490</v>
      </c>
      <c r="N308" s="117">
        <v>86.23</v>
      </c>
    </row>
    <row r="309" spans="1:14">
      <c r="A309" s="79" t="s">
        <v>753</v>
      </c>
      <c r="B309" s="79" t="s">
        <v>165</v>
      </c>
      <c r="C309" s="79" t="s">
        <v>754</v>
      </c>
      <c r="D309" s="115" t="s">
        <v>406</v>
      </c>
      <c r="E309" s="115" t="str">
        <f t="shared" si="4"/>
        <v>2</v>
      </c>
      <c r="F309" s="79" t="s">
        <v>755</v>
      </c>
      <c r="G309" s="79" t="s">
        <v>328</v>
      </c>
      <c r="H309" s="79" t="s">
        <v>756</v>
      </c>
      <c r="I309" s="79" t="s">
        <v>757</v>
      </c>
      <c r="J309" s="79" t="s">
        <v>758</v>
      </c>
      <c r="K309" s="79" t="s">
        <v>759</v>
      </c>
      <c r="L309" s="116">
        <v>38952</v>
      </c>
      <c r="M309" s="116">
        <v>19476</v>
      </c>
      <c r="N309" s="117">
        <v>50</v>
      </c>
    </row>
    <row r="310" spans="1:14">
      <c r="A310" s="79" t="s">
        <v>760</v>
      </c>
      <c r="B310" s="79" t="s">
        <v>165</v>
      </c>
      <c r="C310" s="79" t="s">
        <v>754</v>
      </c>
      <c r="D310" s="115" t="s">
        <v>406</v>
      </c>
      <c r="E310" s="115" t="str">
        <f t="shared" si="4"/>
        <v>2</v>
      </c>
      <c r="F310" s="79" t="s">
        <v>755</v>
      </c>
      <c r="G310" s="79" t="s">
        <v>328</v>
      </c>
      <c r="H310" s="79" t="s">
        <v>756</v>
      </c>
      <c r="I310" s="79" t="s">
        <v>757</v>
      </c>
      <c r="J310" s="79" t="s">
        <v>758</v>
      </c>
      <c r="K310" s="79" t="s">
        <v>759</v>
      </c>
      <c r="L310" s="116">
        <v>36661</v>
      </c>
      <c r="M310" s="116">
        <v>26396</v>
      </c>
      <c r="N310" s="117">
        <v>72</v>
      </c>
    </row>
    <row r="311" spans="1:14">
      <c r="A311" s="79" t="s">
        <v>761</v>
      </c>
      <c r="B311" s="79" t="s">
        <v>165</v>
      </c>
      <c r="C311" s="79" t="s">
        <v>762</v>
      </c>
      <c r="D311" s="115" t="s">
        <v>763</v>
      </c>
      <c r="E311" s="115" t="str">
        <f t="shared" si="4"/>
        <v>2</v>
      </c>
      <c r="F311" s="79" t="s">
        <v>764</v>
      </c>
      <c r="G311" s="79" t="s">
        <v>341</v>
      </c>
      <c r="H311" s="79" t="s">
        <v>765</v>
      </c>
      <c r="I311" s="79" t="s">
        <v>766</v>
      </c>
      <c r="J311" s="79" t="s">
        <v>331</v>
      </c>
      <c r="K311" s="79" t="s">
        <v>332</v>
      </c>
      <c r="L311" s="116">
        <v>21987</v>
      </c>
      <c r="M311" s="116">
        <v>21987</v>
      </c>
      <c r="N311" s="117">
        <v>100</v>
      </c>
    </row>
    <row r="312" spans="1:14">
      <c r="A312" s="79" t="s">
        <v>767</v>
      </c>
      <c r="B312" s="79" t="s">
        <v>165</v>
      </c>
      <c r="C312" s="79" t="s">
        <v>762</v>
      </c>
      <c r="D312" s="115" t="s">
        <v>763</v>
      </c>
      <c r="E312" s="115" t="str">
        <f t="shared" si="4"/>
        <v>2</v>
      </c>
      <c r="F312" s="79" t="s">
        <v>764</v>
      </c>
      <c r="G312" s="79" t="s">
        <v>341</v>
      </c>
      <c r="H312" s="79" t="s">
        <v>765</v>
      </c>
      <c r="I312" s="79" t="s">
        <v>766</v>
      </c>
      <c r="J312" s="79" t="s">
        <v>331</v>
      </c>
      <c r="K312" s="79" t="s">
        <v>332</v>
      </c>
      <c r="L312" s="116">
        <v>23250</v>
      </c>
      <c r="M312" s="116">
        <v>23250</v>
      </c>
      <c r="N312" s="117">
        <v>100</v>
      </c>
    </row>
    <row r="313" spans="1:14">
      <c r="A313" s="79" t="s">
        <v>768</v>
      </c>
      <c r="B313" s="79" t="s">
        <v>165</v>
      </c>
      <c r="C313" s="79" t="s">
        <v>762</v>
      </c>
      <c r="D313" s="115" t="s">
        <v>763</v>
      </c>
      <c r="E313" s="115" t="str">
        <f t="shared" si="4"/>
        <v>2</v>
      </c>
      <c r="F313" s="79" t="s">
        <v>764</v>
      </c>
      <c r="G313" s="79" t="s">
        <v>341</v>
      </c>
      <c r="H313" s="79" t="s">
        <v>765</v>
      </c>
      <c r="I313" s="79" t="s">
        <v>766</v>
      </c>
      <c r="J313" s="79" t="s">
        <v>331</v>
      </c>
      <c r="K313" s="79" t="s">
        <v>332</v>
      </c>
      <c r="L313" s="116">
        <v>23345</v>
      </c>
      <c r="M313" s="116">
        <v>23345</v>
      </c>
      <c r="N313" s="117">
        <v>100</v>
      </c>
    </row>
    <row r="314" spans="1:14">
      <c r="A314" s="79" t="s">
        <v>769</v>
      </c>
      <c r="B314" s="79" t="s">
        <v>165</v>
      </c>
      <c r="C314" s="79" t="s">
        <v>762</v>
      </c>
      <c r="D314" s="115" t="s">
        <v>763</v>
      </c>
      <c r="E314" s="115" t="str">
        <f t="shared" si="4"/>
        <v>2</v>
      </c>
      <c r="F314" s="79" t="s">
        <v>764</v>
      </c>
      <c r="G314" s="79" t="s">
        <v>341</v>
      </c>
      <c r="H314" s="79" t="s">
        <v>765</v>
      </c>
      <c r="I314" s="79" t="s">
        <v>766</v>
      </c>
      <c r="J314" s="79" t="s">
        <v>331</v>
      </c>
      <c r="K314" s="79" t="s">
        <v>332</v>
      </c>
      <c r="L314" s="116">
        <v>23513</v>
      </c>
      <c r="M314" s="116">
        <v>23513</v>
      </c>
      <c r="N314" s="117">
        <v>100</v>
      </c>
    </row>
    <row r="315" spans="1:14">
      <c r="A315" s="79" t="s">
        <v>770</v>
      </c>
      <c r="B315" s="79" t="s">
        <v>165</v>
      </c>
      <c r="C315" s="79" t="s">
        <v>762</v>
      </c>
      <c r="D315" s="115" t="s">
        <v>763</v>
      </c>
      <c r="E315" s="115" t="str">
        <f t="shared" si="4"/>
        <v>2</v>
      </c>
      <c r="F315" s="79" t="s">
        <v>764</v>
      </c>
      <c r="G315" s="79" t="s">
        <v>341</v>
      </c>
      <c r="H315" s="79" t="s">
        <v>765</v>
      </c>
      <c r="I315" s="79" t="s">
        <v>766</v>
      </c>
      <c r="J315" s="79" t="s">
        <v>331</v>
      </c>
      <c r="K315" s="79" t="s">
        <v>332</v>
      </c>
      <c r="L315" s="116">
        <v>24000</v>
      </c>
      <c r="M315" s="116">
        <v>24000</v>
      </c>
      <c r="N315" s="117">
        <v>100</v>
      </c>
    </row>
    <row r="316" spans="1:14">
      <c r="A316" s="79" t="s">
        <v>771</v>
      </c>
      <c r="B316" s="79" t="s">
        <v>165</v>
      </c>
      <c r="C316" s="79" t="s">
        <v>762</v>
      </c>
      <c r="D316" s="115" t="s">
        <v>763</v>
      </c>
      <c r="E316" s="115" t="str">
        <f t="shared" si="4"/>
        <v>2</v>
      </c>
      <c r="F316" s="79" t="s">
        <v>764</v>
      </c>
      <c r="G316" s="79" t="s">
        <v>341</v>
      </c>
      <c r="H316" s="79" t="s">
        <v>765</v>
      </c>
      <c r="I316" s="79" t="s">
        <v>766</v>
      </c>
      <c r="J316" s="79" t="s">
        <v>331</v>
      </c>
      <c r="K316" s="79" t="s">
        <v>332</v>
      </c>
      <c r="L316" s="116">
        <v>24000</v>
      </c>
      <c r="M316" s="116">
        <v>24000</v>
      </c>
      <c r="N316" s="117">
        <v>100</v>
      </c>
    </row>
    <row r="317" spans="1:14">
      <c r="A317" s="79" t="s">
        <v>772</v>
      </c>
      <c r="B317" s="79" t="s">
        <v>165</v>
      </c>
      <c r="C317" s="79" t="s">
        <v>762</v>
      </c>
      <c r="D317" s="115" t="s">
        <v>763</v>
      </c>
      <c r="E317" s="115" t="str">
        <f t="shared" si="4"/>
        <v>2</v>
      </c>
      <c r="F317" s="79" t="s">
        <v>764</v>
      </c>
      <c r="G317" s="79" t="s">
        <v>341</v>
      </c>
      <c r="H317" s="79" t="s">
        <v>765</v>
      </c>
      <c r="I317" s="79" t="s">
        <v>766</v>
      </c>
      <c r="J317" s="79" t="s">
        <v>331</v>
      </c>
      <c r="K317" s="79" t="s">
        <v>332</v>
      </c>
      <c r="L317" s="116">
        <v>24379</v>
      </c>
      <c r="M317" s="116">
        <v>24379</v>
      </c>
      <c r="N317" s="117">
        <v>100</v>
      </c>
    </row>
    <row r="318" spans="1:14">
      <c r="A318" s="79" t="s">
        <v>773</v>
      </c>
      <c r="B318" s="79" t="s">
        <v>165</v>
      </c>
      <c r="C318" s="79" t="s">
        <v>762</v>
      </c>
      <c r="D318" s="115" t="s">
        <v>763</v>
      </c>
      <c r="E318" s="115" t="str">
        <f t="shared" si="4"/>
        <v>2</v>
      </c>
      <c r="F318" s="79" t="s">
        <v>764</v>
      </c>
      <c r="G318" s="79" t="s">
        <v>341</v>
      </c>
      <c r="H318" s="79" t="s">
        <v>765</v>
      </c>
      <c r="I318" s="79" t="s">
        <v>766</v>
      </c>
      <c r="J318" s="79" t="s">
        <v>331</v>
      </c>
      <c r="K318" s="79" t="s">
        <v>332</v>
      </c>
      <c r="L318" s="116">
        <v>24379</v>
      </c>
      <c r="M318" s="116">
        <v>24379</v>
      </c>
      <c r="N318" s="117">
        <v>100</v>
      </c>
    </row>
    <row r="319" spans="1:14">
      <c r="A319" s="79" t="s">
        <v>774</v>
      </c>
      <c r="B319" s="79" t="s">
        <v>165</v>
      </c>
      <c r="C319" s="79" t="s">
        <v>762</v>
      </c>
      <c r="D319" s="115" t="s">
        <v>763</v>
      </c>
      <c r="E319" s="115" t="str">
        <f t="shared" si="4"/>
        <v>2</v>
      </c>
      <c r="F319" s="79" t="s">
        <v>764</v>
      </c>
      <c r="G319" s="79" t="s">
        <v>341</v>
      </c>
      <c r="H319" s="79" t="s">
        <v>765</v>
      </c>
      <c r="I319" s="79" t="s">
        <v>766</v>
      </c>
      <c r="J319" s="79" t="s">
        <v>331</v>
      </c>
      <c r="K319" s="79" t="s">
        <v>332</v>
      </c>
      <c r="L319" s="116">
        <v>28500</v>
      </c>
      <c r="M319" s="116">
        <v>28500</v>
      </c>
      <c r="N319" s="117">
        <v>100</v>
      </c>
    </row>
    <row r="320" spans="1:14">
      <c r="A320" s="79" t="s">
        <v>775</v>
      </c>
      <c r="B320" s="79" t="s">
        <v>165</v>
      </c>
      <c r="C320" s="79" t="s">
        <v>762</v>
      </c>
      <c r="D320" s="115" t="s">
        <v>763</v>
      </c>
      <c r="E320" s="115" t="str">
        <f t="shared" si="4"/>
        <v>2</v>
      </c>
      <c r="F320" s="79" t="s">
        <v>764</v>
      </c>
      <c r="G320" s="79" t="s">
        <v>341</v>
      </c>
      <c r="H320" s="79" t="s">
        <v>765</v>
      </c>
      <c r="I320" s="79" t="s">
        <v>766</v>
      </c>
      <c r="J320" s="79" t="s">
        <v>331</v>
      </c>
      <c r="K320" s="79" t="s">
        <v>332</v>
      </c>
      <c r="L320" s="116">
        <v>28558</v>
      </c>
      <c r="M320" s="116">
        <v>28558</v>
      </c>
      <c r="N320" s="117">
        <v>100</v>
      </c>
    </row>
    <row r="321" spans="1:14">
      <c r="A321" s="79" t="s">
        <v>776</v>
      </c>
      <c r="B321" s="79" t="s">
        <v>165</v>
      </c>
      <c r="C321" s="79" t="s">
        <v>762</v>
      </c>
      <c r="D321" s="115" t="s">
        <v>763</v>
      </c>
      <c r="E321" s="115" t="str">
        <f t="shared" si="4"/>
        <v>2</v>
      </c>
      <c r="F321" s="79" t="s">
        <v>764</v>
      </c>
      <c r="G321" s="79" t="s">
        <v>328</v>
      </c>
      <c r="H321" s="79" t="s">
        <v>765</v>
      </c>
      <c r="I321" s="79" t="s">
        <v>766</v>
      </c>
      <c r="J321" s="79" t="s">
        <v>331</v>
      </c>
      <c r="K321" s="79" t="s">
        <v>332</v>
      </c>
      <c r="L321" s="116">
        <v>29838</v>
      </c>
      <c r="M321" s="116">
        <v>29838</v>
      </c>
      <c r="N321" s="117">
        <v>100</v>
      </c>
    </row>
    <row r="322" spans="1:14">
      <c r="A322" s="79" t="s">
        <v>777</v>
      </c>
      <c r="B322" s="79" t="s">
        <v>165</v>
      </c>
      <c r="C322" s="79" t="s">
        <v>762</v>
      </c>
      <c r="D322" s="115" t="s">
        <v>763</v>
      </c>
      <c r="E322" s="115" t="str">
        <f t="shared" ref="E322:E385" si="5">LEFT(D322,1)</f>
        <v>2</v>
      </c>
      <c r="F322" s="79" t="s">
        <v>764</v>
      </c>
      <c r="G322" s="79" t="s">
        <v>328</v>
      </c>
      <c r="H322" s="79" t="s">
        <v>765</v>
      </c>
      <c r="I322" s="79" t="s">
        <v>766</v>
      </c>
      <c r="J322" s="79" t="s">
        <v>331</v>
      </c>
      <c r="K322" s="79" t="s">
        <v>332</v>
      </c>
      <c r="L322" s="116">
        <v>33061</v>
      </c>
      <c r="M322" s="116">
        <v>33061</v>
      </c>
      <c r="N322" s="117">
        <v>100</v>
      </c>
    </row>
    <row r="323" spans="1:14">
      <c r="A323" s="79" t="s">
        <v>778</v>
      </c>
      <c r="B323" s="79" t="s">
        <v>165</v>
      </c>
      <c r="C323" s="79" t="s">
        <v>762</v>
      </c>
      <c r="D323" s="115" t="s">
        <v>763</v>
      </c>
      <c r="E323" s="115" t="str">
        <f t="shared" si="5"/>
        <v>2</v>
      </c>
      <c r="F323" s="79" t="s">
        <v>764</v>
      </c>
      <c r="G323" s="79" t="s">
        <v>328</v>
      </c>
      <c r="H323" s="79" t="s">
        <v>765</v>
      </c>
      <c r="I323" s="79" t="s">
        <v>766</v>
      </c>
      <c r="J323" s="79" t="s">
        <v>331</v>
      </c>
      <c r="K323" s="79" t="s">
        <v>332</v>
      </c>
      <c r="L323" s="116">
        <v>57061</v>
      </c>
      <c r="M323" s="116">
        <v>38212</v>
      </c>
      <c r="N323" s="117">
        <v>66.97</v>
      </c>
    </row>
    <row r="324" spans="1:14">
      <c r="A324" s="79" t="s">
        <v>779</v>
      </c>
      <c r="B324" s="79" t="s">
        <v>165</v>
      </c>
      <c r="C324" s="79" t="s">
        <v>780</v>
      </c>
      <c r="D324" s="115" t="s">
        <v>781</v>
      </c>
      <c r="E324" s="115" t="str">
        <f t="shared" si="5"/>
        <v>3</v>
      </c>
      <c r="F324" s="79" t="s">
        <v>782</v>
      </c>
      <c r="G324" s="79" t="s">
        <v>341</v>
      </c>
      <c r="H324" s="79" t="s">
        <v>328</v>
      </c>
      <c r="I324" s="79" t="s">
        <v>783</v>
      </c>
      <c r="J324" s="79" t="s">
        <v>784</v>
      </c>
      <c r="K324" s="79" t="s">
        <v>785</v>
      </c>
      <c r="L324" s="116">
        <v>38361</v>
      </c>
      <c r="M324" s="116">
        <v>3500</v>
      </c>
      <c r="N324" s="117">
        <v>9.1199999999999992</v>
      </c>
    </row>
    <row r="325" spans="1:14">
      <c r="A325" s="79" t="s">
        <v>786</v>
      </c>
      <c r="B325" s="79" t="s">
        <v>165</v>
      </c>
      <c r="C325" s="79" t="s">
        <v>780</v>
      </c>
      <c r="D325" s="115" t="s">
        <v>781</v>
      </c>
      <c r="E325" s="115" t="str">
        <f t="shared" si="5"/>
        <v>3</v>
      </c>
      <c r="F325" s="79" t="s">
        <v>782</v>
      </c>
      <c r="G325" s="79" t="s">
        <v>341</v>
      </c>
      <c r="H325" s="79" t="s">
        <v>328</v>
      </c>
      <c r="I325" s="79" t="s">
        <v>783</v>
      </c>
      <c r="J325" s="79" t="s">
        <v>784</v>
      </c>
      <c r="K325" s="79" t="s">
        <v>785</v>
      </c>
      <c r="L325" s="116">
        <v>10965</v>
      </c>
      <c r="M325" s="116">
        <v>10965</v>
      </c>
      <c r="N325" s="117">
        <v>100</v>
      </c>
    </row>
    <row r="326" spans="1:14">
      <c r="A326" s="79" t="s">
        <v>787</v>
      </c>
      <c r="B326" s="79" t="s">
        <v>165</v>
      </c>
      <c r="C326" s="79" t="s">
        <v>780</v>
      </c>
      <c r="D326" s="115" t="s">
        <v>781</v>
      </c>
      <c r="E326" s="115" t="str">
        <f t="shared" si="5"/>
        <v>3</v>
      </c>
      <c r="F326" s="79" t="s">
        <v>782</v>
      </c>
      <c r="G326" s="79" t="s">
        <v>341</v>
      </c>
      <c r="H326" s="79" t="s">
        <v>328</v>
      </c>
      <c r="I326" s="79" t="s">
        <v>783</v>
      </c>
      <c r="J326" s="79" t="s">
        <v>784</v>
      </c>
      <c r="K326" s="79" t="s">
        <v>785</v>
      </c>
      <c r="L326" s="116">
        <v>22500</v>
      </c>
      <c r="M326" s="116">
        <v>22500</v>
      </c>
      <c r="N326" s="117">
        <v>100</v>
      </c>
    </row>
    <row r="327" spans="1:14">
      <c r="A327" s="79" t="s">
        <v>788</v>
      </c>
      <c r="B327" s="79" t="s">
        <v>165</v>
      </c>
      <c r="C327" s="79" t="s">
        <v>780</v>
      </c>
      <c r="D327" s="115" t="s">
        <v>781</v>
      </c>
      <c r="E327" s="115" t="str">
        <f t="shared" si="5"/>
        <v>3</v>
      </c>
      <c r="F327" s="79" t="s">
        <v>782</v>
      </c>
      <c r="G327" s="79" t="s">
        <v>341</v>
      </c>
      <c r="H327" s="79" t="s">
        <v>328</v>
      </c>
      <c r="I327" s="79" t="s">
        <v>783</v>
      </c>
      <c r="J327" s="79" t="s">
        <v>784</v>
      </c>
      <c r="K327" s="79" t="s">
        <v>785</v>
      </c>
      <c r="L327" s="116">
        <v>22500</v>
      </c>
      <c r="M327" s="116">
        <v>22500</v>
      </c>
      <c r="N327" s="117">
        <v>100</v>
      </c>
    </row>
    <row r="328" spans="1:14">
      <c r="A328" s="79" t="s">
        <v>789</v>
      </c>
      <c r="B328" s="79" t="s">
        <v>165</v>
      </c>
      <c r="C328" s="79" t="s">
        <v>780</v>
      </c>
      <c r="D328" s="115" t="s">
        <v>781</v>
      </c>
      <c r="E328" s="115" t="str">
        <f t="shared" si="5"/>
        <v>3</v>
      </c>
      <c r="F328" s="79" t="s">
        <v>782</v>
      </c>
      <c r="G328" s="79" t="s">
        <v>341</v>
      </c>
      <c r="H328" s="79" t="s">
        <v>328</v>
      </c>
      <c r="I328" s="79" t="s">
        <v>783</v>
      </c>
      <c r="J328" s="79" t="s">
        <v>784</v>
      </c>
      <c r="K328" s="79" t="s">
        <v>785</v>
      </c>
      <c r="L328" s="116">
        <v>28082</v>
      </c>
      <c r="M328" s="116">
        <v>28082</v>
      </c>
      <c r="N328" s="117">
        <v>100</v>
      </c>
    </row>
    <row r="329" spans="1:14">
      <c r="A329" s="79" t="s">
        <v>790</v>
      </c>
      <c r="B329" s="79" t="s">
        <v>165</v>
      </c>
      <c r="C329" s="79" t="s">
        <v>780</v>
      </c>
      <c r="D329" s="115" t="s">
        <v>781</v>
      </c>
      <c r="E329" s="115" t="str">
        <f t="shared" si="5"/>
        <v>3</v>
      </c>
      <c r="F329" s="79" t="s">
        <v>782</v>
      </c>
      <c r="G329" s="79" t="s">
        <v>341</v>
      </c>
      <c r="H329" s="79" t="s">
        <v>328</v>
      </c>
      <c r="I329" s="79" t="s">
        <v>783</v>
      </c>
      <c r="J329" s="79" t="s">
        <v>784</v>
      </c>
      <c r="K329" s="79" t="s">
        <v>785</v>
      </c>
      <c r="L329" s="116">
        <v>29000</v>
      </c>
      <c r="M329" s="116">
        <v>29000</v>
      </c>
      <c r="N329" s="117">
        <v>100</v>
      </c>
    </row>
    <row r="330" spans="1:14">
      <c r="A330" s="79" t="s">
        <v>791</v>
      </c>
      <c r="B330" s="79" t="s">
        <v>165</v>
      </c>
      <c r="C330" s="79" t="s">
        <v>780</v>
      </c>
      <c r="D330" s="115" t="s">
        <v>781</v>
      </c>
      <c r="E330" s="115" t="str">
        <f t="shared" si="5"/>
        <v>3</v>
      </c>
      <c r="F330" s="79" t="s">
        <v>782</v>
      </c>
      <c r="G330" s="79" t="s">
        <v>328</v>
      </c>
      <c r="H330" s="79" t="s">
        <v>328</v>
      </c>
      <c r="I330" s="79" t="s">
        <v>783</v>
      </c>
      <c r="J330" s="79" t="s">
        <v>784</v>
      </c>
      <c r="K330" s="79" t="s">
        <v>785</v>
      </c>
      <c r="L330" s="116">
        <v>85911</v>
      </c>
      <c r="M330" s="116">
        <v>42956</v>
      </c>
      <c r="N330" s="117">
        <v>50</v>
      </c>
    </row>
    <row r="331" spans="1:14">
      <c r="A331" s="79" t="s">
        <v>792</v>
      </c>
      <c r="B331" s="79" t="s">
        <v>165</v>
      </c>
      <c r="C331" s="79" t="s">
        <v>793</v>
      </c>
      <c r="D331" s="115" t="s">
        <v>794</v>
      </c>
      <c r="E331" s="115" t="str">
        <f t="shared" si="5"/>
        <v>3</v>
      </c>
      <c r="F331" s="79" t="s">
        <v>795</v>
      </c>
      <c r="G331" s="79" t="s">
        <v>341</v>
      </c>
      <c r="H331" s="79" t="s">
        <v>328</v>
      </c>
      <c r="I331" s="79" t="s">
        <v>783</v>
      </c>
      <c r="J331" s="79" t="s">
        <v>784</v>
      </c>
      <c r="K331" s="79" t="s">
        <v>785</v>
      </c>
      <c r="L331" s="116">
        <v>43693</v>
      </c>
      <c r="M331" s="116">
        <v>3972</v>
      </c>
      <c r="N331" s="117">
        <v>9.09</v>
      </c>
    </row>
    <row r="332" spans="1:14">
      <c r="A332" s="79" t="s">
        <v>796</v>
      </c>
      <c r="B332" s="79" t="s">
        <v>165</v>
      </c>
      <c r="C332" s="79" t="s">
        <v>793</v>
      </c>
      <c r="D332" s="115" t="s">
        <v>794</v>
      </c>
      <c r="E332" s="115" t="str">
        <f t="shared" si="5"/>
        <v>3</v>
      </c>
      <c r="F332" s="79" t="s">
        <v>795</v>
      </c>
      <c r="G332" s="79" t="s">
        <v>328</v>
      </c>
      <c r="H332" s="79" t="s">
        <v>328</v>
      </c>
      <c r="I332" s="79" t="s">
        <v>783</v>
      </c>
      <c r="J332" s="79" t="s">
        <v>784</v>
      </c>
      <c r="K332" s="79" t="s">
        <v>785</v>
      </c>
      <c r="L332" s="116">
        <v>52846</v>
      </c>
      <c r="M332" s="116">
        <v>26423</v>
      </c>
      <c r="N332" s="117">
        <v>50</v>
      </c>
    </row>
    <row r="333" spans="1:14">
      <c r="A333" s="79" t="s">
        <v>797</v>
      </c>
      <c r="B333" s="79" t="s">
        <v>165</v>
      </c>
      <c r="C333" s="79" t="s">
        <v>793</v>
      </c>
      <c r="D333" s="115" t="s">
        <v>794</v>
      </c>
      <c r="E333" s="115" t="str">
        <f t="shared" si="5"/>
        <v>3</v>
      </c>
      <c r="F333" s="79" t="s">
        <v>795</v>
      </c>
      <c r="G333" s="79" t="s">
        <v>341</v>
      </c>
      <c r="H333" s="79" t="s">
        <v>328</v>
      </c>
      <c r="I333" s="79" t="s">
        <v>783</v>
      </c>
      <c r="J333" s="79" t="s">
        <v>784</v>
      </c>
      <c r="K333" s="79" t="s">
        <v>785</v>
      </c>
      <c r="L333" s="116">
        <v>30856</v>
      </c>
      <c r="M333" s="116">
        <v>30856</v>
      </c>
      <c r="N333" s="117">
        <v>100</v>
      </c>
    </row>
    <row r="334" spans="1:14">
      <c r="A334" s="79" t="s">
        <v>798</v>
      </c>
      <c r="B334" s="79" t="s">
        <v>165</v>
      </c>
      <c r="C334" s="79" t="s">
        <v>793</v>
      </c>
      <c r="D334" s="115" t="s">
        <v>794</v>
      </c>
      <c r="E334" s="115" t="str">
        <f t="shared" si="5"/>
        <v>3</v>
      </c>
      <c r="F334" s="79" t="s">
        <v>795</v>
      </c>
      <c r="G334" s="79" t="s">
        <v>341</v>
      </c>
      <c r="H334" s="79" t="s">
        <v>328</v>
      </c>
      <c r="I334" s="79" t="s">
        <v>783</v>
      </c>
      <c r="J334" s="79" t="s">
        <v>784</v>
      </c>
      <c r="K334" s="79" t="s">
        <v>785</v>
      </c>
      <c r="L334" s="116">
        <v>30973</v>
      </c>
      <c r="M334" s="116">
        <v>30973</v>
      </c>
      <c r="N334" s="117">
        <v>100</v>
      </c>
    </row>
    <row r="335" spans="1:14">
      <c r="A335" s="79" t="s">
        <v>799</v>
      </c>
      <c r="B335" s="79" t="s">
        <v>165</v>
      </c>
      <c r="C335" s="79" t="s">
        <v>793</v>
      </c>
      <c r="D335" s="115" t="s">
        <v>794</v>
      </c>
      <c r="E335" s="115" t="str">
        <f t="shared" si="5"/>
        <v>3</v>
      </c>
      <c r="F335" s="79" t="s">
        <v>795</v>
      </c>
      <c r="G335" s="79" t="s">
        <v>341</v>
      </c>
      <c r="H335" s="79" t="s">
        <v>328</v>
      </c>
      <c r="I335" s="79" t="s">
        <v>783</v>
      </c>
      <c r="J335" s="79" t="s">
        <v>784</v>
      </c>
      <c r="K335" s="79" t="s">
        <v>785</v>
      </c>
      <c r="L335" s="116">
        <v>31279</v>
      </c>
      <c r="M335" s="116">
        <v>31279</v>
      </c>
      <c r="N335" s="117">
        <v>100</v>
      </c>
    </row>
    <row r="336" spans="1:14">
      <c r="A336" s="79" t="s">
        <v>800</v>
      </c>
      <c r="B336" s="79" t="s">
        <v>165</v>
      </c>
      <c r="C336" s="79" t="s">
        <v>793</v>
      </c>
      <c r="D336" s="115" t="s">
        <v>794</v>
      </c>
      <c r="E336" s="115" t="str">
        <f t="shared" si="5"/>
        <v>3</v>
      </c>
      <c r="F336" s="79" t="s">
        <v>795</v>
      </c>
      <c r="G336" s="79" t="s">
        <v>328</v>
      </c>
      <c r="H336" s="79" t="s">
        <v>328</v>
      </c>
      <c r="I336" s="79" t="s">
        <v>783</v>
      </c>
      <c r="J336" s="79" t="s">
        <v>784</v>
      </c>
      <c r="K336" s="79" t="s">
        <v>785</v>
      </c>
      <c r="L336" s="116">
        <v>32192</v>
      </c>
      <c r="M336" s="116">
        <v>32192</v>
      </c>
      <c r="N336" s="117">
        <v>100</v>
      </c>
    </row>
    <row r="337" spans="1:14">
      <c r="A337" s="79" t="s">
        <v>801</v>
      </c>
      <c r="B337" s="79" t="s">
        <v>165</v>
      </c>
      <c r="C337" s="79" t="s">
        <v>793</v>
      </c>
      <c r="D337" s="115" t="s">
        <v>794</v>
      </c>
      <c r="E337" s="115" t="str">
        <f t="shared" si="5"/>
        <v>3</v>
      </c>
      <c r="F337" s="79" t="s">
        <v>795</v>
      </c>
      <c r="G337" s="79" t="s">
        <v>341</v>
      </c>
      <c r="H337" s="79" t="s">
        <v>328</v>
      </c>
      <c r="I337" s="79" t="s">
        <v>783</v>
      </c>
      <c r="J337" s="79" t="s">
        <v>784</v>
      </c>
      <c r="K337" s="79" t="s">
        <v>785</v>
      </c>
      <c r="L337" s="116">
        <v>32192</v>
      </c>
      <c r="M337" s="116">
        <v>32192</v>
      </c>
      <c r="N337" s="117">
        <v>100</v>
      </c>
    </row>
    <row r="338" spans="1:14">
      <c r="A338" s="79" t="s">
        <v>802</v>
      </c>
      <c r="B338" s="79" t="s">
        <v>165</v>
      </c>
      <c r="C338" s="79" t="s">
        <v>793</v>
      </c>
      <c r="D338" s="115" t="s">
        <v>794</v>
      </c>
      <c r="E338" s="115" t="str">
        <f t="shared" si="5"/>
        <v>3</v>
      </c>
      <c r="F338" s="79" t="s">
        <v>795</v>
      </c>
      <c r="G338" s="79" t="s">
        <v>341</v>
      </c>
      <c r="H338" s="79" t="s">
        <v>328</v>
      </c>
      <c r="I338" s="79" t="s">
        <v>783</v>
      </c>
      <c r="J338" s="79" t="s">
        <v>784</v>
      </c>
      <c r="K338" s="79" t="s">
        <v>785</v>
      </c>
      <c r="L338" s="116">
        <v>32779</v>
      </c>
      <c r="M338" s="116">
        <v>32779</v>
      </c>
      <c r="N338" s="117">
        <v>100</v>
      </c>
    </row>
    <row r="339" spans="1:14">
      <c r="A339" s="79" t="s">
        <v>803</v>
      </c>
      <c r="B339" s="79" t="s">
        <v>165</v>
      </c>
      <c r="C339" s="79" t="s">
        <v>793</v>
      </c>
      <c r="D339" s="115" t="s">
        <v>794</v>
      </c>
      <c r="E339" s="115" t="str">
        <f t="shared" si="5"/>
        <v>3</v>
      </c>
      <c r="F339" s="79" t="s">
        <v>795</v>
      </c>
      <c r="G339" s="79" t="s">
        <v>341</v>
      </c>
      <c r="H339" s="79" t="s">
        <v>328</v>
      </c>
      <c r="I339" s="79" t="s">
        <v>783</v>
      </c>
      <c r="J339" s="79" t="s">
        <v>784</v>
      </c>
      <c r="K339" s="79" t="s">
        <v>785</v>
      </c>
      <c r="L339" s="116">
        <v>32952</v>
      </c>
      <c r="M339" s="116">
        <v>32952</v>
      </c>
      <c r="N339" s="117">
        <v>100</v>
      </c>
    </row>
    <row r="340" spans="1:14">
      <c r="A340" s="79" t="s">
        <v>804</v>
      </c>
      <c r="B340" s="79" t="s">
        <v>165</v>
      </c>
      <c r="C340" s="79" t="s">
        <v>793</v>
      </c>
      <c r="D340" s="115" t="s">
        <v>794</v>
      </c>
      <c r="E340" s="115" t="str">
        <f t="shared" si="5"/>
        <v>3</v>
      </c>
      <c r="F340" s="79" t="s">
        <v>795</v>
      </c>
      <c r="G340" s="79" t="s">
        <v>341</v>
      </c>
      <c r="H340" s="79" t="s">
        <v>328</v>
      </c>
      <c r="I340" s="79" t="s">
        <v>783</v>
      </c>
      <c r="J340" s="79" t="s">
        <v>784</v>
      </c>
      <c r="K340" s="79" t="s">
        <v>785</v>
      </c>
      <c r="L340" s="116">
        <v>34719</v>
      </c>
      <c r="M340" s="116">
        <v>34719</v>
      </c>
      <c r="N340" s="117">
        <v>100</v>
      </c>
    </row>
    <row r="341" spans="1:14">
      <c r="A341" s="79" t="s">
        <v>805</v>
      </c>
      <c r="B341" s="79" t="s">
        <v>165</v>
      </c>
      <c r="C341" s="79" t="s">
        <v>793</v>
      </c>
      <c r="D341" s="115" t="s">
        <v>794</v>
      </c>
      <c r="E341" s="115" t="str">
        <f t="shared" si="5"/>
        <v>3</v>
      </c>
      <c r="F341" s="79" t="s">
        <v>795</v>
      </c>
      <c r="G341" s="79" t="s">
        <v>341</v>
      </c>
      <c r="H341" s="79" t="s">
        <v>328</v>
      </c>
      <c r="I341" s="79" t="s">
        <v>783</v>
      </c>
      <c r="J341" s="79" t="s">
        <v>784</v>
      </c>
      <c r="K341" s="79" t="s">
        <v>785</v>
      </c>
      <c r="L341" s="116">
        <v>35128</v>
      </c>
      <c r="M341" s="116">
        <v>35128</v>
      </c>
      <c r="N341" s="117">
        <v>100</v>
      </c>
    </row>
    <row r="342" spans="1:14">
      <c r="A342" s="79" t="s">
        <v>806</v>
      </c>
      <c r="B342" s="79" t="s">
        <v>165</v>
      </c>
      <c r="C342" s="79" t="s">
        <v>793</v>
      </c>
      <c r="D342" s="115" t="s">
        <v>794</v>
      </c>
      <c r="E342" s="115" t="str">
        <f t="shared" si="5"/>
        <v>3</v>
      </c>
      <c r="F342" s="79" t="s">
        <v>795</v>
      </c>
      <c r="G342" s="79" t="s">
        <v>341</v>
      </c>
      <c r="H342" s="79" t="s">
        <v>328</v>
      </c>
      <c r="I342" s="79" t="s">
        <v>783</v>
      </c>
      <c r="J342" s="79" t="s">
        <v>784</v>
      </c>
      <c r="K342" s="79" t="s">
        <v>785</v>
      </c>
      <c r="L342" s="116">
        <v>35411</v>
      </c>
      <c r="M342" s="116">
        <v>35411</v>
      </c>
      <c r="N342" s="117">
        <v>100</v>
      </c>
    </row>
    <row r="343" spans="1:14">
      <c r="A343" s="79" t="s">
        <v>807</v>
      </c>
      <c r="B343" s="79" t="s">
        <v>165</v>
      </c>
      <c r="C343" s="79" t="s">
        <v>793</v>
      </c>
      <c r="D343" s="115" t="s">
        <v>794</v>
      </c>
      <c r="E343" s="115" t="str">
        <f t="shared" si="5"/>
        <v>3</v>
      </c>
      <c r="F343" s="79" t="s">
        <v>795</v>
      </c>
      <c r="G343" s="79" t="s">
        <v>341</v>
      </c>
      <c r="H343" s="79" t="s">
        <v>328</v>
      </c>
      <c r="I343" s="79" t="s">
        <v>783</v>
      </c>
      <c r="J343" s="79" t="s">
        <v>784</v>
      </c>
      <c r="K343" s="79" t="s">
        <v>785</v>
      </c>
      <c r="L343" s="116">
        <v>37033</v>
      </c>
      <c r="M343" s="116">
        <v>37033</v>
      </c>
      <c r="N343" s="117">
        <v>100</v>
      </c>
    </row>
    <row r="344" spans="1:14">
      <c r="A344" s="79" t="s">
        <v>808</v>
      </c>
      <c r="B344" s="79" t="s">
        <v>165</v>
      </c>
      <c r="C344" s="79" t="s">
        <v>793</v>
      </c>
      <c r="D344" s="115" t="s">
        <v>794</v>
      </c>
      <c r="E344" s="115" t="str">
        <f t="shared" si="5"/>
        <v>3</v>
      </c>
      <c r="F344" s="79" t="s">
        <v>795</v>
      </c>
      <c r="G344" s="79" t="s">
        <v>341</v>
      </c>
      <c r="H344" s="79" t="s">
        <v>328</v>
      </c>
      <c r="I344" s="79" t="s">
        <v>783</v>
      </c>
      <c r="J344" s="79" t="s">
        <v>784</v>
      </c>
      <c r="K344" s="79" t="s">
        <v>785</v>
      </c>
      <c r="L344" s="116">
        <v>37816</v>
      </c>
      <c r="M344" s="116">
        <v>37816</v>
      </c>
      <c r="N344" s="117">
        <v>100</v>
      </c>
    </row>
    <row r="345" spans="1:14">
      <c r="A345" s="79" t="s">
        <v>809</v>
      </c>
      <c r="B345" s="79" t="s">
        <v>165</v>
      </c>
      <c r="C345" s="79" t="s">
        <v>793</v>
      </c>
      <c r="D345" s="115" t="s">
        <v>794</v>
      </c>
      <c r="E345" s="115" t="str">
        <f t="shared" si="5"/>
        <v>3</v>
      </c>
      <c r="F345" s="79" t="s">
        <v>795</v>
      </c>
      <c r="G345" s="79" t="s">
        <v>341</v>
      </c>
      <c r="H345" s="79" t="s">
        <v>328</v>
      </c>
      <c r="I345" s="79" t="s">
        <v>783</v>
      </c>
      <c r="J345" s="79" t="s">
        <v>784</v>
      </c>
      <c r="K345" s="79" t="s">
        <v>785</v>
      </c>
      <c r="L345" s="116">
        <v>38438</v>
      </c>
      <c r="M345" s="116">
        <v>38438</v>
      </c>
      <c r="N345" s="117">
        <v>100</v>
      </c>
    </row>
    <row r="346" spans="1:14">
      <c r="A346" s="79" t="s">
        <v>810</v>
      </c>
      <c r="B346" s="79" t="s">
        <v>165</v>
      </c>
      <c r="C346" s="79" t="s">
        <v>793</v>
      </c>
      <c r="D346" s="115" t="s">
        <v>794</v>
      </c>
      <c r="E346" s="115" t="str">
        <f t="shared" si="5"/>
        <v>3</v>
      </c>
      <c r="F346" s="79" t="s">
        <v>795</v>
      </c>
      <c r="G346" s="79" t="s">
        <v>341</v>
      </c>
      <c r="H346" s="79" t="s">
        <v>328</v>
      </c>
      <c r="I346" s="79" t="s">
        <v>783</v>
      </c>
      <c r="J346" s="79" t="s">
        <v>784</v>
      </c>
      <c r="K346" s="79" t="s">
        <v>785</v>
      </c>
      <c r="L346" s="116">
        <v>39843</v>
      </c>
      <c r="M346" s="116">
        <v>39843</v>
      </c>
      <c r="N346" s="117">
        <v>100</v>
      </c>
    </row>
    <row r="347" spans="1:14">
      <c r="A347" s="79" t="s">
        <v>811</v>
      </c>
      <c r="B347" s="79" t="s">
        <v>165</v>
      </c>
      <c r="C347" s="79" t="s">
        <v>812</v>
      </c>
      <c r="D347" s="115" t="s">
        <v>813</v>
      </c>
      <c r="E347" s="115" t="str">
        <f t="shared" si="5"/>
        <v>3</v>
      </c>
      <c r="F347" s="79" t="s">
        <v>814</v>
      </c>
      <c r="G347" s="79" t="s">
        <v>328</v>
      </c>
      <c r="H347" s="79" t="s">
        <v>328</v>
      </c>
      <c r="I347" s="79" t="s">
        <v>783</v>
      </c>
      <c r="J347" s="79" t="s">
        <v>784</v>
      </c>
      <c r="K347" s="79" t="s">
        <v>785</v>
      </c>
      <c r="L347" s="116">
        <v>58256</v>
      </c>
      <c r="M347" s="116">
        <v>6991</v>
      </c>
      <c r="N347" s="117">
        <v>12</v>
      </c>
    </row>
    <row r="348" spans="1:14">
      <c r="A348" s="79" t="s">
        <v>815</v>
      </c>
      <c r="B348" s="79" t="s">
        <v>165</v>
      </c>
      <c r="C348" s="79" t="s">
        <v>812</v>
      </c>
      <c r="D348" s="115" t="s">
        <v>813</v>
      </c>
      <c r="E348" s="115" t="str">
        <f t="shared" si="5"/>
        <v>3</v>
      </c>
      <c r="F348" s="79" t="s">
        <v>814</v>
      </c>
      <c r="G348" s="79" t="s">
        <v>341</v>
      </c>
      <c r="H348" s="79" t="s">
        <v>328</v>
      </c>
      <c r="I348" s="79" t="s">
        <v>783</v>
      </c>
      <c r="J348" s="79" t="s">
        <v>784</v>
      </c>
      <c r="K348" s="79" t="s">
        <v>785</v>
      </c>
      <c r="L348" s="116">
        <v>30466</v>
      </c>
      <c r="M348" s="116">
        <v>30466</v>
      </c>
      <c r="N348" s="117">
        <v>100</v>
      </c>
    </row>
    <row r="349" spans="1:14">
      <c r="A349" s="79" t="s">
        <v>816</v>
      </c>
      <c r="B349" s="79" t="s">
        <v>165</v>
      </c>
      <c r="C349" s="79" t="s">
        <v>817</v>
      </c>
      <c r="D349" s="115" t="s">
        <v>818</v>
      </c>
      <c r="E349" s="115" t="str">
        <f t="shared" si="5"/>
        <v>3</v>
      </c>
      <c r="F349" s="79" t="s">
        <v>819</v>
      </c>
      <c r="G349" s="79" t="s">
        <v>341</v>
      </c>
      <c r="H349" s="79" t="s">
        <v>328</v>
      </c>
      <c r="I349" s="79" t="s">
        <v>783</v>
      </c>
      <c r="J349" s="79" t="s">
        <v>784</v>
      </c>
      <c r="K349" s="79" t="s">
        <v>785</v>
      </c>
      <c r="L349" s="116">
        <v>19988</v>
      </c>
      <c r="M349" s="116">
        <v>19988</v>
      </c>
      <c r="N349" s="117">
        <v>100</v>
      </c>
    </row>
    <row r="350" spans="1:14">
      <c r="A350" s="79" t="s">
        <v>820</v>
      </c>
      <c r="B350" s="79" t="s">
        <v>165</v>
      </c>
      <c r="C350" s="79" t="s">
        <v>817</v>
      </c>
      <c r="D350" s="115" t="s">
        <v>818</v>
      </c>
      <c r="E350" s="115" t="str">
        <f t="shared" si="5"/>
        <v>3</v>
      </c>
      <c r="F350" s="79" t="s">
        <v>819</v>
      </c>
      <c r="G350" s="79" t="s">
        <v>341</v>
      </c>
      <c r="H350" s="79" t="s">
        <v>328</v>
      </c>
      <c r="I350" s="79" t="s">
        <v>783</v>
      </c>
      <c r="J350" s="79" t="s">
        <v>784</v>
      </c>
      <c r="K350" s="79" t="s">
        <v>785</v>
      </c>
      <c r="L350" s="116">
        <v>19988</v>
      </c>
      <c r="M350" s="116">
        <v>19988</v>
      </c>
      <c r="N350" s="117">
        <v>100</v>
      </c>
    </row>
    <row r="351" spans="1:14">
      <c r="A351" s="79" t="s">
        <v>821</v>
      </c>
      <c r="B351" s="79" t="s">
        <v>165</v>
      </c>
      <c r="C351" s="79" t="s">
        <v>817</v>
      </c>
      <c r="D351" s="115" t="s">
        <v>818</v>
      </c>
      <c r="E351" s="115" t="str">
        <f t="shared" si="5"/>
        <v>3</v>
      </c>
      <c r="F351" s="79" t="s">
        <v>819</v>
      </c>
      <c r="G351" s="79" t="s">
        <v>341</v>
      </c>
      <c r="H351" s="79" t="s">
        <v>328</v>
      </c>
      <c r="I351" s="79" t="s">
        <v>783</v>
      </c>
      <c r="J351" s="79" t="s">
        <v>784</v>
      </c>
      <c r="K351" s="79" t="s">
        <v>785</v>
      </c>
      <c r="L351" s="116">
        <v>19988</v>
      </c>
      <c r="M351" s="116">
        <v>19988</v>
      </c>
      <c r="N351" s="117">
        <v>100</v>
      </c>
    </row>
    <row r="352" spans="1:14">
      <c r="A352" s="79" t="s">
        <v>822</v>
      </c>
      <c r="B352" s="79" t="s">
        <v>165</v>
      </c>
      <c r="C352" s="79" t="s">
        <v>817</v>
      </c>
      <c r="D352" s="115" t="s">
        <v>818</v>
      </c>
      <c r="E352" s="115" t="str">
        <f t="shared" si="5"/>
        <v>3</v>
      </c>
      <c r="F352" s="79" t="s">
        <v>819</v>
      </c>
      <c r="G352" s="79" t="s">
        <v>341</v>
      </c>
      <c r="H352" s="79" t="s">
        <v>328</v>
      </c>
      <c r="I352" s="79" t="s">
        <v>783</v>
      </c>
      <c r="J352" s="79" t="s">
        <v>784</v>
      </c>
      <c r="K352" s="79" t="s">
        <v>785</v>
      </c>
      <c r="L352" s="116">
        <v>19988</v>
      </c>
      <c r="M352" s="116">
        <v>19988</v>
      </c>
      <c r="N352" s="117">
        <v>100</v>
      </c>
    </row>
    <row r="353" spans="1:14">
      <c r="A353" s="79" t="s">
        <v>823</v>
      </c>
      <c r="B353" s="79" t="s">
        <v>165</v>
      </c>
      <c r="C353" s="79" t="s">
        <v>817</v>
      </c>
      <c r="D353" s="115" t="s">
        <v>818</v>
      </c>
      <c r="E353" s="115" t="str">
        <f t="shared" si="5"/>
        <v>3</v>
      </c>
      <c r="F353" s="79" t="s">
        <v>819</v>
      </c>
      <c r="G353" s="79" t="s">
        <v>341</v>
      </c>
      <c r="H353" s="79" t="s">
        <v>328</v>
      </c>
      <c r="I353" s="79" t="s">
        <v>783</v>
      </c>
      <c r="J353" s="79" t="s">
        <v>784</v>
      </c>
      <c r="K353" s="79" t="s">
        <v>785</v>
      </c>
      <c r="L353" s="116">
        <v>19988</v>
      </c>
      <c r="M353" s="116">
        <v>19988</v>
      </c>
      <c r="N353" s="117">
        <v>100</v>
      </c>
    </row>
    <row r="354" spans="1:14">
      <c r="A354" s="79" t="s">
        <v>824</v>
      </c>
      <c r="B354" s="79" t="s">
        <v>165</v>
      </c>
      <c r="C354" s="79" t="s">
        <v>817</v>
      </c>
      <c r="D354" s="115" t="s">
        <v>818</v>
      </c>
      <c r="E354" s="115" t="str">
        <f t="shared" si="5"/>
        <v>3</v>
      </c>
      <c r="F354" s="79" t="s">
        <v>819</v>
      </c>
      <c r="G354" s="79" t="s">
        <v>341</v>
      </c>
      <c r="H354" s="79" t="s">
        <v>328</v>
      </c>
      <c r="I354" s="79" t="s">
        <v>783</v>
      </c>
      <c r="J354" s="79" t="s">
        <v>784</v>
      </c>
      <c r="K354" s="79" t="s">
        <v>785</v>
      </c>
      <c r="L354" s="116">
        <v>19988</v>
      </c>
      <c r="M354" s="116">
        <v>19988</v>
      </c>
      <c r="N354" s="117">
        <v>100</v>
      </c>
    </row>
    <row r="355" spans="1:14">
      <c r="A355" s="79" t="s">
        <v>825</v>
      </c>
      <c r="B355" s="79" t="s">
        <v>165</v>
      </c>
      <c r="C355" s="79" t="s">
        <v>817</v>
      </c>
      <c r="D355" s="115" t="s">
        <v>818</v>
      </c>
      <c r="E355" s="115" t="str">
        <f t="shared" si="5"/>
        <v>3</v>
      </c>
      <c r="F355" s="79" t="s">
        <v>819</v>
      </c>
      <c r="G355" s="79" t="s">
        <v>341</v>
      </c>
      <c r="H355" s="79" t="s">
        <v>328</v>
      </c>
      <c r="I355" s="79" t="s">
        <v>783</v>
      </c>
      <c r="J355" s="79" t="s">
        <v>784</v>
      </c>
      <c r="K355" s="79" t="s">
        <v>785</v>
      </c>
      <c r="L355" s="116">
        <v>19989</v>
      </c>
      <c r="M355" s="116">
        <v>19989</v>
      </c>
      <c r="N355" s="117">
        <v>100</v>
      </c>
    </row>
    <row r="356" spans="1:14">
      <c r="A356" s="79" t="s">
        <v>826</v>
      </c>
      <c r="B356" s="79" t="s">
        <v>165</v>
      </c>
      <c r="C356" s="79" t="s">
        <v>817</v>
      </c>
      <c r="D356" s="115" t="s">
        <v>818</v>
      </c>
      <c r="E356" s="115" t="str">
        <f t="shared" si="5"/>
        <v>3</v>
      </c>
      <c r="F356" s="79" t="s">
        <v>819</v>
      </c>
      <c r="G356" s="79" t="s">
        <v>341</v>
      </c>
      <c r="H356" s="79" t="s">
        <v>328</v>
      </c>
      <c r="I356" s="79" t="s">
        <v>783</v>
      </c>
      <c r="J356" s="79" t="s">
        <v>784</v>
      </c>
      <c r="K356" s="79" t="s">
        <v>785</v>
      </c>
      <c r="L356" s="116">
        <v>21500</v>
      </c>
      <c r="M356" s="116">
        <v>21500</v>
      </c>
      <c r="N356" s="117">
        <v>100</v>
      </c>
    </row>
    <row r="357" spans="1:14">
      <c r="A357" s="79" t="s">
        <v>827</v>
      </c>
      <c r="B357" s="79" t="s">
        <v>165</v>
      </c>
      <c r="C357" s="79" t="s">
        <v>817</v>
      </c>
      <c r="D357" s="115" t="s">
        <v>818</v>
      </c>
      <c r="E357" s="115" t="str">
        <f t="shared" si="5"/>
        <v>3</v>
      </c>
      <c r="F357" s="79" t="s">
        <v>819</v>
      </c>
      <c r="G357" s="79" t="s">
        <v>341</v>
      </c>
      <c r="H357" s="79" t="s">
        <v>328</v>
      </c>
      <c r="I357" s="79" t="s">
        <v>783</v>
      </c>
      <c r="J357" s="79" t="s">
        <v>784</v>
      </c>
      <c r="K357" s="79" t="s">
        <v>785</v>
      </c>
      <c r="L357" s="116">
        <v>21950</v>
      </c>
      <c r="M357" s="116">
        <v>21950</v>
      </c>
      <c r="N357" s="117">
        <v>100</v>
      </c>
    </row>
    <row r="358" spans="1:14">
      <c r="A358" s="79" t="s">
        <v>828</v>
      </c>
      <c r="B358" s="79" t="s">
        <v>165</v>
      </c>
      <c r="C358" s="79" t="s">
        <v>817</v>
      </c>
      <c r="D358" s="115" t="s">
        <v>818</v>
      </c>
      <c r="E358" s="115" t="str">
        <f t="shared" si="5"/>
        <v>3</v>
      </c>
      <c r="F358" s="79" t="s">
        <v>819</v>
      </c>
      <c r="G358" s="79" t="s">
        <v>341</v>
      </c>
      <c r="H358" s="79" t="s">
        <v>328</v>
      </c>
      <c r="I358" s="79" t="s">
        <v>783</v>
      </c>
      <c r="J358" s="79" t="s">
        <v>784</v>
      </c>
      <c r="K358" s="79" t="s">
        <v>785</v>
      </c>
      <c r="L358" s="116">
        <v>24500</v>
      </c>
      <c r="M358" s="116">
        <v>24500</v>
      </c>
      <c r="N358" s="117">
        <v>100</v>
      </c>
    </row>
    <row r="359" spans="1:14">
      <c r="A359" s="79" t="s">
        <v>829</v>
      </c>
      <c r="B359" s="79" t="s">
        <v>165</v>
      </c>
      <c r="C359" s="79" t="s">
        <v>817</v>
      </c>
      <c r="D359" s="115" t="s">
        <v>818</v>
      </c>
      <c r="E359" s="115" t="str">
        <f t="shared" si="5"/>
        <v>3</v>
      </c>
      <c r="F359" s="79" t="s">
        <v>819</v>
      </c>
      <c r="G359" s="79" t="s">
        <v>341</v>
      </c>
      <c r="H359" s="79" t="s">
        <v>328</v>
      </c>
      <c r="I359" s="79" t="s">
        <v>783</v>
      </c>
      <c r="J359" s="79" t="s">
        <v>784</v>
      </c>
      <c r="K359" s="79" t="s">
        <v>785</v>
      </c>
      <c r="L359" s="116">
        <v>25842</v>
      </c>
      <c r="M359" s="116">
        <v>25842</v>
      </c>
      <c r="N359" s="117">
        <v>100</v>
      </c>
    </row>
    <row r="360" spans="1:14">
      <c r="A360" s="79" t="s">
        <v>830</v>
      </c>
      <c r="B360" s="79" t="s">
        <v>165</v>
      </c>
      <c r="C360" s="79" t="s">
        <v>817</v>
      </c>
      <c r="D360" s="115" t="s">
        <v>818</v>
      </c>
      <c r="E360" s="115" t="str">
        <f t="shared" si="5"/>
        <v>3</v>
      </c>
      <c r="F360" s="79" t="s">
        <v>819</v>
      </c>
      <c r="G360" s="79" t="s">
        <v>341</v>
      </c>
      <c r="H360" s="79" t="s">
        <v>328</v>
      </c>
      <c r="I360" s="79" t="s">
        <v>783</v>
      </c>
      <c r="J360" s="79" t="s">
        <v>784</v>
      </c>
      <c r="K360" s="79" t="s">
        <v>785</v>
      </c>
      <c r="L360" s="116">
        <v>30080</v>
      </c>
      <c r="M360" s="116">
        <v>30080</v>
      </c>
      <c r="N360" s="117">
        <v>100</v>
      </c>
    </row>
    <row r="361" spans="1:14">
      <c r="A361" s="79" t="s">
        <v>831</v>
      </c>
      <c r="B361" s="79" t="s">
        <v>165</v>
      </c>
      <c r="C361" s="79" t="s">
        <v>817</v>
      </c>
      <c r="D361" s="115" t="s">
        <v>818</v>
      </c>
      <c r="E361" s="115" t="str">
        <f t="shared" si="5"/>
        <v>3</v>
      </c>
      <c r="F361" s="79" t="s">
        <v>819</v>
      </c>
      <c r="G361" s="79" t="s">
        <v>341</v>
      </c>
      <c r="H361" s="79" t="s">
        <v>328</v>
      </c>
      <c r="I361" s="79" t="s">
        <v>783</v>
      </c>
      <c r="J361" s="79" t="s">
        <v>784</v>
      </c>
      <c r="K361" s="79" t="s">
        <v>785</v>
      </c>
      <c r="L361" s="116">
        <v>36194</v>
      </c>
      <c r="M361" s="116">
        <v>36194</v>
      </c>
      <c r="N361" s="117">
        <v>100</v>
      </c>
    </row>
    <row r="362" spans="1:14">
      <c r="A362" s="79" t="s">
        <v>811</v>
      </c>
      <c r="B362" s="79" t="s">
        <v>165</v>
      </c>
      <c r="C362" s="79" t="s">
        <v>817</v>
      </c>
      <c r="D362" s="115" t="s">
        <v>818</v>
      </c>
      <c r="E362" s="115" t="str">
        <f t="shared" si="5"/>
        <v>3</v>
      </c>
      <c r="F362" s="79" t="s">
        <v>819</v>
      </c>
      <c r="G362" s="79" t="s">
        <v>328</v>
      </c>
      <c r="H362" s="79" t="s">
        <v>328</v>
      </c>
      <c r="I362" s="79" t="s">
        <v>783</v>
      </c>
      <c r="J362" s="79" t="s">
        <v>784</v>
      </c>
      <c r="K362" s="79" t="s">
        <v>785</v>
      </c>
      <c r="L362" s="116">
        <v>58256</v>
      </c>
      <c r="M362" s="116">
        <v>51265</v>
      </c>
      <c r="N362" s="117">
        <v>88</v>
      </c>
    </row>
    <row r="363" spans="1:14">
      <c r="A363" s="79" t="s">
        <v>796</v>
      </c>
      <c r="B363" s="79" t="s">
        <v>165</v>
      </c>
      <c r="C363" s="79" t="s">
        <v>832</v>
      </c>
      <c r="D363" s="115" t="s">
        <v>833</v>
      </c>
      <c r="E363" s="115" t="str">
        <f t="shared" si="5"/>
        <v>3</v>
      </c>
      <c r="F363" s="79" t="s">
        <v>834</v>
      </c>
      <c r="G363" s="79" t="s">
        <v>328</v>
      </c>
      <c r="H363" s="79" t="s">
        <v>328</v>
      </c>
      <c r="I363" s="79" t="s">
        <v>783</v>
      </c>
      <c r="J363" s="79" t="s">
        <v>784</v>
      </c>
      <c r="K363" s="79" t="s">
        <v>785</v>
      </c>
      <c r="L363" s="116">
        <v>52846</v>
      </c>
      <c r="M363" s="116">
        <v>26423</v>
      </c>
      <c r="N363" s="117">
        <v>50</v>
      </c>
    </row>
    <row r="364" spans="1:14">
      <c r="A364" s="79" t="s">
        <v>835</v>
      </c>
      <c r="B364" s="79" t="s">
        <v>165</v>
      </c>
      <c r="C364" s="79" t="s">
        <v>832</v>
      </c>
      <c r="D364" s="115" t="s">
        <v>833</v>
      </c>
      <c r="E364" s="115" t="str">
        <f t="shared" si="5"/>
        <v>3</v>
      </c>
      <c r="F364" s="79" t="s">
        <v>834</v>
      </c>
      <c r="G364" s="79" t="s">
        <v>341</v>
      </c>
      <c r="H364" s="79" t="s">
        <v>328</v>
      </c>
      <c r="I364" s="79" t="s">
        <v>783</v>
      </c>
      <c r="J364" s="79" t="s">
        <v>784</v>
      </c>
      <c r="K364" s="79" t="s">
        <v>785</v>
      </c>
      <c r="L364" s="116">
        <v>36649</v>
      </c>
      <c r="M364" s="116">
        <v>36649</v>
      </c>
      <c r="N364" s="117">
        <v>100</v>
      </c>
    </row>
    <row r="365" spans="1:14">
      <c r="A365" s="79" t="s">
        <v>836</v>
      </c>
      <c r="B365" s="79" t="s">
        <v>165</v>
      </c>
      <c r="C365" s="79" t="s">
        <v>832</v>
      </c>
      <c r="D365" s="115" t="s">
        <v>833</v>
      </c>
      <c r="E365" s="115" t="str">
        <f t="shared" si="5"/>
        <v>3</v>
      </c>
      <c r="F365" s="79" t="s">
        <v>834</v>
      </c>
      <c r="G365" s="79" t="s">
        <v>341</v>
      </c>
      <c r="H365" s="79" t="s">
        <v>328</v>
      </c>
      <c r="I365" s="79" t="s">
        <v>783</v>
      </c>
      <c r="J365" s="79" t="s">
        <v>784</v>
      </c>
      <c r="K365" s="79" t="s">
        <v>785</v>
      </c>
      <c r="L365" s="116">
        <v>39718</v>
      </c>
      <c r="M365" s="116">
        <v>39718</v>
      </c>
      <c r="N365" s="117">
        <v>100</v>
      </c>
    </row>
    <row r="366" spans="1:14">
      <c r="A366" s="79" t="s">
        <v>792</v>
      </c>
      <c r="B366" s="79" t="s">
        <v>165</v>
      </c>
      <c r="C366" s="79" t="s">
        <v>832</v>
      </c>
      <c r="D366" s="115" t="s">
        <v>833</v>
      </c>
      <c r="E366" s="115" t="str">
        <f t="shared" si="5"/>
        <v>3</v>
      </c>
      <c r="F366" s="79" t="s">
        <v>834</v>
      </c>
      <c r="G366" s="79" t="s">
        <v>341</v>
      </c>
      <c r="H366" s="79" t="s">
        <v>328</v>
      </c>
      <c r="I366" s="79" t="s">
        <v>783</v>
      </c>
      <c r="J366" s="79" t="s">
        <v>784</v>
      </c>
      <c r="K366" s="79" t="s">
        <v>785</v>
      </c>
      <c r="L366" s="116">
        <v>43693</v>
      </c>
      <c r="M366" s="116">
        <v>39721</v>
      </c>
      <c r="N366" s="117">
        <v>90.91</v>
      </c>
    </row>
    <row r="367" spans="1:14">
      <c r="A367" s="79" t="s">
        <v>837</v>
      </c>
      <c r="B367" s="79" t="s">
        <v>165</v>
      </c>
      <c r="C367" s="79" t="s">
        <v>832</v>
      </c>
      <c r="D367" s="115" t="s">
        <v>833</v>
      </c>
      <c r="E367" s="115" t="str">
        <f t="shared" si="5"/>
        <v>3</v>
      </c>
      <c r="F367" s="79" t="s">
        <v>834</v>
      </c>
      <c r="G367" s="79" t="s">
        <v>341</v>
      </c>
      <c r="H367" s="79" t="s">
        <v>328</v>
      </c>
      <c r="I367" s="79" t="s">
        <v>783</v>
      </c>
      <c r="J367" s="79" t="s">
        <v>784</v>
      </c>
      <c r="K367" s="79" t="s">
        <v>785</v>
      </c>
      <c r="L367" s="116">
        <v>41210</v>
      </c>
      <c r="M367" s="116">
        <v>41210</v>
      </c>
      <c r="N367" s="117">
        <v>100</v>
      </c>
    </row>
    <row r="368" spans="1:14">
      <c r="A368" s="79" t="s">
        <v>760</v>
      </c>
      <c r="B368" s="79" t="s">
        <v>165</v>
      </c>
      <c r="C368" s="79" t="s">
        <v>838</v>
      </c>
      <c r="D368" s="115" t="s">
        <v>406</v>
      </c>
      <c r="E368" s="115" t="str">
        <f t="shared" si="5"/>
        <v>2</v>
      </c>
      <c r="F368" s="79" t="s">
        <v>839</v>
      </c>
      <c r="G368" s="79" t="s">
        <v>328</v>
      </c>
      <c r="H368" s="79" t="s">
        <v>840</v>
      </c>
      <c r="I368" s="79" t="s">
        <v>841</v>
      </c>
      <c r="J368" s="79" t="s">
        <v>842</v>
      </c>
      <c r="K368" s="79" t="s">
        <v>843</v>
      </c>
      <c r="L368" s="116">
        <v>36661</v>
      </c>
      <c r="M368" s="116">
        <v>10265</v>
      </c>
      <c r="N368" s="117">
        <v>28</v>
      </c>
    </row>
    <row r="369" spans="1:14">
      <c r="A369" s="79" t="s">
        <v>409</v>
      </c>
      <c r="B369" s="79" t="s">
        <v>165</v>
      </c>
      <c r="C369" s="79" t="s">
        <v>838</v>
      </c>
      <c r="D369" s="115" t="s">
        <v>406</v>
      </c>
      <c r="E369" s="115" t="str">
        <f t="shared" si="5"/>
        <v>2</v>
      </c>
      <c r="F369" s="79" t="s">
        <v>839</v>
      </c>
      <c r="G369" s="79" t="s">
        <v>328</v>
      </c>
      <c r="H369" s="79" t="s">
        <v>840</v>
      </c>
      <c r="I369" s="79" t="s">
        <v>841</v>
      </c>
      <c r="J369" s="79" t="s">
        <v>842</v>
      </c>
      <c r="K369" s="79" t="s">
        <v>843</v>
      </c>
      <c r="L369" s="116">
        <v>44039</v>
      </c>
      <c r="M369" s="116">
        <v>11010</v>
      </c>
      <c r="N369" s="117">
        <v>25</v>
      </c>
    </row>
    <row r="370" spans="1:14">
      <c r="A370" s="79" t="s">
        <v>417</v>
      </c>
      <c r="B370" s="79" t="s">
        <v>165</v>
      </c>
      <c r="C370" s="79" t="s">
        <v>838</v>
      </c>
      <c r="D370" s="115" t="s">
        <v>406</v>
      </c>
      <c r="E370" s="115" t="str">
        <f t="shared" si="5"/>
        <v>2</v>
      </c>
      <c r="F370" s="79" t="s">
        <v>839</v>
      </c>
      <c r="G370" s="79" t="s">
        <v>328</v>
      </c>
      <c r="H370" s="79" t="s">
        <v>840</v>
      </c>
      <c r="I370" s="79" t="s">
        <v>841</v>
      </c>
      <c r="J370" s="79" t="s">
        <v>842</v>
      </c>
      <c r="K370" s="79" t="s">
        <v>843</v>
      </c>
      <c r="L370" s="116">
        <v>71624</v>
      </c>
      <c r="M370" s="116">
        <v>17906</v>
      </c>
      <c r="N370" s="117">
        <v>25</v>
      </c>
    </row>
    <row r="371" spans="1:14">
      <c r="A371" s="79" t="s">
        <v>753</v>
      </c>
      <c r="B371" s="79" t="s">
        <v>165</v>
      </c>
      <c r="C371" s="79" t="s">
        <v>838</v>
      </c>
      <c r="D371" s="115" t="s">
        <v>406</v>
      </c>
      <c r="E371" s="115" t="str">
        <f t="shared" si="5"/>
        <v>2</v>
      </c>
      <c r="F371" s="79" t="s">
        <v>839</v>
      </c>
      <c r="G371" s="79" t="s">
        <v>328</v>
      </c>
      <c r="H371" s="79" t="s">
        <v>840</v>
      </c>
      <c r="I371" s="79" t="s">
        <v>841</v>
      </c>
      <c r="J371" s="79" t="s">
        <v>842</v>
      </c>
      <c r="K371" s="79" t="s">
        <v>843</v>
      </c>
      <c r="L371" s="116">
        <v>38952</v>
      </c>
      <c r="M371" s="116">
        <v>19476</v>
      </c>
      <c r="N371" s="117">
        <v>50</v>
      </c>
    </row>
    <row r="372" spans="1:14">
      <c r="A372" s="79" t="s">
        <v>410</v>
      </c>
      <c r="B372" s="79" t="s">
        <v>165</v>
      </c>
      <c r="C372" s="79" t="s">
        <v>838</v>
      </c>
      <c r="D372" s="115" t="s">
        <v>406</v>
      </c>
      <c r="E372" s="115" t="str">
        <f t="shared" si="5"/>
        <v>2</v>
      </c>
      <c r="F372" s="79" t="s">
        <v>839</v>
      </c>
      <c r="G372" s="79" t="s">
        <v>328</v>
      </c>
      <c r="H372" s="79" t="s">
        <v>840</v>
      </c>
      <c r="I372" s="79" t="s">
        <v>841</v>
      </c>
      <c r="J372" s="79" t="s">
        <v>842</v>
      </c>
      <c r="K372" s="79" t="s">
        <v>843</v>
      </c>
      <c r="L372" s="116">
        <v>69689</v>
      </c>
      <c r="M372" s="116">
        <v>34844</v>
      </c>
      <c r="N372" s="117">
        <v>50</v>
      </c>
    </row>
    <row r="373" spans="1:14">
      <c r="A373" s="79" t="s">
        <v>411</v>
      </c>
      <c r="B373" s="79" t="s">
        <v>165</v>
      </c>
      <c r="C373" s="79" t="s">
        <v>838</v>
      </c>
      <c r="D373" s="115" t="s">
        <v>406</v>
      </c>
      <c r="E373" s="115" t="str">
        <f t="shared" si="5"/>
        <v>2</v>
      </c>
      <c r="F373" s="79" t="s">
        <v>839</v>
      </c>
      <c r="G373" s="79" t="s">
        <v>328</v>
      </c>
      <c r="H373" s="79" t="s">
        <v>840</v>
      </c>
      <c r="I373" s="79" t="s">
        <v>841</v>
      </c>
      <c r="J373" s="79" t="s">
        <v>842</v>
      </c>
      <c r="K373" s="79" t="s">
        <v>843</v>
      </c>
      <c r="L373" s="116">
        <v>69689</v>
      </c>
      <c r="M373" s="116">
        <v>34844</v>
      </c>
      <c r="N373" s="117">
        <v>50</v>
      </c>
    </row>
    <row r="374" spans="1:14">
      <c r="A374" s="79" t="s">
        <v>413</v>
      </c>
      <c r="B374" s="79" t="s">
        <v>165</v>
      </c>
      <c r="C374" s="79" t="s">
        <v>838</v>
      </c>
      <c r="D374" s="115" t="s">
        <v>406</v>
      </c>
      <c r="E374" s="115" t="str">
        <f t="shared" si="5"/>
        <v>2</v>
      </c>
      <c r="F374" s="79" t="s">
        <v>839</v>
      </c>
      <c r="G374" s="79" t="s">
        <v>328</v>
      </c>
      <c r="H374" s="79" t="s">
        <v>840</v>
      </c>
      <c r="I374" s="79" t="s">
        <v>841</v>
      </c>
      <c r="J374" s="79" t="s">
        <v>842</v>
      </c>
      <c r="K374" s="79" t="s">
        <v>843</v>
      </c>
      <c r="L374" s="116">
        <v>84498</v>
      </c>
      <c r="M374" s="116">
        <v>42249</v>
      </c>
      <c r="N374" s="117">
        <v>50</v>
      </c>
    </row>
    <row r="375" spans="1:14">
      <c r="A375" s="79" t="s">
        <v>414</v>
      </c>
      <c r="B375" s="79" t="s">
        <v>165</v>
      </c>
      <c r="C375" s="79" t="s">
        <v>838</v>
      </c>
      <c r="D375" s="115" t="s">
        <v>406</v>
      </c>
      <c r="E375" s="115" t="str">
        <f t="shared" si="5"/>
        <v>2</v>
      </c>
      <c r="F375" s="79" t="s">
        <v>839</v>
      </c>
      <c r="G375" s="79" t="s">
        <v>328</v>
      </c>
      <c r="H375" s="79" t="s">
        <v>840</v>
      </c>
      <c r="I375" s="79" t="s">
        <v>841</v>
      </c>
      <c r="J375" s="79" t="s">
        <v>842</v>
      </c>
      <c r="K375" s="79" t="s">
        <v>843</v>
      </c>
      <c r="L375" s="116">
        <v>89459</v>
      </c>
      <c r="M375" s="116">
        <v>44729</v>
      </c>
      <c r="N375" s="117">
        <v>50</v>
      </c>
    </row>
    <row r="376" spans="1:14">
      <c r="A376" s="79" t="s">
        <v>418</v>
      </c>
      <c r="B376" s="79" t="s">
        <v>165</v>
      </c>
      <c r="C376" s="79" t="s">
        <v>838</v>
      </c>
      <c r="D376" s="115" t="s">
        <v>406</v>
      </c>
      <c r="E376" s="115" t="str">
        <f t="shared" si="5"/>
        <v>2</v>
      </c>
      <c r="F376" s="79" t="s">
        <v>839</v>
      </c>
      <c r="G376" s="79" t="s">
        <v>328</v>
      </c>
      <c r="H376" s="79" t="s">
        <v>840</v>
      </c>
      <c r="I376" s="79" t="s">
        <v>841</v>
      </c>
      <c r="J376" s="79" t="s">
        <v>842</v>
      </c>
      <c r="K376" s="79" t="s">
        <v>843</v>
      </c>
      <c r="L376" s="116">
        <v>114547</v>
      </c>
      <c r="M376" s="116">
        <v>57273</v>
      </c>
      <c r="N376" s="117">
        <v>50</v>
      </c>
    </row>
    <row r="377" spans="1:14">
      <c r="A377" s="79" t="s">
        <v>844</v>
      </c>
      <c r="B377" s="79" t="s">
        <v>165</v>
      </c>
      <c r="C377" s="79" t="s">
        <v>845</v>
      </c>
      <c r="D377" s="115" t="s">
        <v>846</v>
      </c>
      <c r="E377" s="115" t="str">
        <f t="shared" si="5"/>
        <v>2</v>
      </c>
      <c r="F377" s="79" t="s">
        <v>262</v>
      </c>
      <c r="G377" s="79" t="s">
        <v>341</v>
      </c>
      <c r="H377" s="79" t="s">
        <v>840</v>
      </c>
      <c r="I377" s="79" t="s">
        <v>841</v>
      </c>
      <c r="J377" s="79" t="s">
        <v>847</v>
      </c>
      <c r="K377" s="79" t="s">
        <v>848</v>
      </c>
      <c r="L377" s="116">
        <v>30000</v>
      </c>
      <c r="M377" s="116">
        <v>1500</v>
      </c>
      <c r="N377" s="117">
        <v>5</v>
      </c>
    </row>
    <row r="378" spans="1:14">
      <c r="A378" s="79" t="s">
        <v>849</v>
      </c>
      <c r="B378" s="79" t="s">
        <v>165</v>
      </c>
      <c r="C378" s="79" t="s">
        <v>845</v>
      </c>
      <c r="D378" s="115" t="s">
        <v>846</v>
      </c>
      <c r="E378" s="115" t="str">
        <f t="shared" si="5"/>
        <v>2</v>
      </c>
      <c r="F378" s="79" t="s">
        <v>262</v>
      </c>
      <c r="G378" s="79" t="s">
        <v>341</v>
      </c>
      <c r="H378" s="79" t="s">
        <v>840</v>
      </c>
      <c r="I378" s="79" t="s">
        <v>841</v>
      </c>
      <c r="J378" s="79" t="s">
        <v>847</v>
      </c>
      <c r="K378" s="79" t="s">
        <v>848</v>
      </c>
      <c r="L378" s="116">
        <v>12328</v>
      </c>
      <c r="M378" s="116">
        <v>12328</v>
      </c>
      <c r="N378" s="117">
        <v>100</v>
      </c>
    </row>
    <row r="379" spans="1:14">
      <c r="A379" s="79" t="s">
        <v>850</v>
      </c>
      <c r="B379" s="79" t="s">
        <v>165</v>
      </c>
      <c r="C379" s="79" t="s">
        <v>845</v>
      </c>
      <c r="D379" s="115" t="s">
        <v>846</v>
      </c>
      <c r="E379" s="115" t="str">
        <f t="shared" si="5"/>
        <v>2</v>
      </c>
      <c r="F379" s="79" t="s">
        <v>262</v>
      </c>
      <c r="G379" s="79" t="s">
        <v>328</v>
      </c>
      <c r="H379" s="79" t="s">
        <v>840</v>
      </c>
      <c r="I379" s="79" t="s">
        <v>841</v>
      </c>
      <c r="J379" s="79" t="s">
        <v>847</v>
      </c>
      <c r="K379" s="79" t="s">
        <v>848</v>
      </c>
      <c r="L379" s="116">
        <v>32192</v>
      </c>
      <c r="M379" s="116">
        <v>16096</v>
      </c>
      <c r="N379" s="117">
        <v>50</v>
      </c>
    </row>
    <row r="380" spans="1:14">
      <c r="A380" s="79" t="s">
        <v>851</v>
      </c>
      <c r="B380" s="79" t="s">
        <v>165</v>
      </c>
      <c r="C380" s="79" t="s">
        <v>845</v>
      </c>
      <c r="D380" s="115" t="s">
        <v>846</v>
      </c>
      <c r="E380" s="115" t="str">
        <f t="shared" si="5"/>
        <v>2</v>
      </c>
      <c r="F380" s="79" t="s">
        <v>262</v>
      </c>
      <c r="G380" s="79" t="s">
        <v>328</v>
      </c>
      <c r="H380" s="79" t="s">
        <v>840</v>
      </c>
      <c r="I380" s="79" t="s">
        <v>841</v>
      </c>
      <c r="J380" s="79" t="s">
        <v>847</v>
      </c>
      <c r="K380" s="79" t="s">
        <v>848</v>
      </c>
      <c r="L380" s="116">
        <v>32000</v>
      </c>
      <c r="M380" s="116">
        <v>16640</v>
      </c>
      <c r="N380" s="117">
        <v>52</v>
      </c>
    </row>
    <row r="381" spans="1:14">
      <c r="A381" s="79" t="s">
        <v>852</v>
      </c>
      <c r="B381" s="79" t="s">
        <v>165</v>
      </c>
      <c r="C381" s="79" t="s">
        <v>845</v>
      </c>
      <c r="D381" s="115" t="s">
        <v>846</v>
      </c>
      <c r="E381" s="115" t="str">
        <f t="shared" si="5"/>
        <v>2</v>
      </c>
      <c r="F381" s="79" t="s">
        <v>262</v>
      </c>
      <c r="G381" s="79" t="s">
        <v>328</v>
      </c>
      <c r="H381" s="79" t="s">
        <v>840</v>
      </c>
      <c r="I381" s="79" t="s">
        <v>841</v>
      </c>
      <c r="J381" s="79" t="s">
        <v>847</v>
      </c>
      <c r="K381" s="79" t="s">
        <v>848</v>
      </c>
      <c r="L381" s="116">
        <v>41250</v>
      </c>
      <c r="M381" s="116">
        <v>18546</v>
      </c>
      <c r="N381" s="117">
        <v>44.96</v>
      </c>
    </row>
    <row r="382" spans="1:14">
      <c r="A382" s="79" t="s">
        <v>707</v>
      </c>
      <c r="B382" s="79" t="s">
        <v>165</v>
      </c>
      <c r="C382" s="79" t="s">
        <v>845</v>
      </c>
      <c r="D382" s="115" t="s">
        <v>846</v>
      </c>
      <c r="E382" s="115" t="str">
        <f t="shared" si="5"/>
        <v>2</v>
      </c>
      <c r="F382" s="79" t="s">
        <v>262</v>
      </c>
      <c r="G382" s="79" t="s">
        <v>328</v>
      </c>
      <c r="H382" s="79" t="s">
        <v>840</v>
      </c>
      <c r="I382" s="79" t="s">
        <v>841</v>
      </c>
      <c r="J382" s="79" t="s">
        <v>847</v>
      </c>
      <c r="K382" s="79" t="s">
        <v>848</v>
      </c>
      <c r="L382" s="116">
        <v>97738</v>
      </c>
      <c r="M382" s="116">
        <v>19997</v>
      </c>
      <c r="N382" s="117">
        <v>20.46</v>
      </c>
    </row>
    <row r="383" spans="1:14">
      <c r="A383" s="79" t="s">
        <v>853</v>
      </c>
      <c r="B383" s="79" t="s">
        <v>165</v>
      </c>
      <c r="C383" s="79" t="s">
        <v>845</v>
      </c>
      <c r="D383" s="115" t="s">
        <v>846</v>
      </c>
      <c r="E383" s="115" t="str">
        <f t="shared" si="5"/>
        <v>2</v>
      </c>
      <c r="F383" s="79" t="s">
        <v>262</v>
      </c>
      <c r="G383" s="79" t="s">
        <v>341</v>
      </c>
      <c r="H383" s="79" t="s">
        <v>840</v>
      </c>
      <c r="I383" s="79" t="s">
        <v>841</v>
      </c>
      <c r="J383" s="79" t="s">
        <v>847</v>
      </c>
      <c r="K383" s="79" t="s">
        <v>848</v>
      </c>
      <c r="L383" s="116">
        <v>24986</v>
      </c>
      <c r="M383" s="116">
        <v>24986</v>
      </c>
      <c r="N383" s="117">
        <v>100</v>
      </c>
    </row>
    <row r="384" spans="1:14">
      <c r="A384" s="79" t="s">
        <v>854</v>
      </c>
      <c r="B384" s="79" t="s">
        <v>165</v>
      </c>
      <c r="C384" s="79" t="s">
        <v>845</v>
      </c>
      <c r="D384" s="115" t="s">
        <v>846</v>
      </c>
      <c r="E384" s="115" t="str">
        <f t="shared" si="5"/>
        <v>2</v>
      </c>
      <c r="F384" s="79" t="s">
        <v>262</v>
      </c>
      <c r="G384" s="79" t="s">
        <v>328</v>
      </c>
      <c r="H384" s="79" t="s">
        <v>840</v>
      </c>
      <c r="I384" s="79" t="s">
        <v>841</v>
      </c>
      <c r="J384" s="79" t="s">
        <v>847</v>
      </c>
      <c r="K384" s="79" t="s">
        <v>848</v>
      </c>
      <c r="L384" s="116">
        <v>32192</v>
      </c>
      <c r="M384" s="116">
        <v>27726</v>
      </c>
      <c r="N384" s="117">
        <v>86.13</v>
      </c>
    </row>
    <row r="385" spans="1:14">
      <c r="A385" s="79" t="s">
        <v>855</v>
      </c>
      <c r="B385" s="79" t="s">
        <v>165</v>
      </c>
      <c r="C385" s="79" t="s">
        <v>845</v>
      </c>
      <c r="D385" s="115" t="s">
        <v>846</v>
      </c>
      <c r="E385" s="115" t="str">
        <f t="shared" si="5"/>
        <v>2</v>
      </c>
      <c r="F385" s="79" t="s">
        <v>262</v>
      </c>
      <c r="G385" s="79" t="s">
        <v>341</v>
      </c>
      <c r="H385" s="79" t="s">
        <v>840</v>
      </c>
      <c r="I385" s="79" t="s">
        <v>841</v>
      </c>
      <c r="J385" s="79" t="s">
        <v>847</v>
      </c>
      <c r="K385" s="79" t="s">
        <v>848</v>
      </c>
      <c r="L385" s="116">
        <v>30000</v>
      </c>
      <c r="M385" s="116">
        <v>30000</v>
      </c>
      <c r="N385" s="117">
        <v>100</v>
      </c>
    </row>
    <row r="386" spans="1:14">
      <c r="A386" s="79" t="s">
        <v>856</v>
      </c>
      <c r="B386" s="79" t="s">
        <v>165</v>
      </c>
      <c r="C386" s="79" t="s">
        <v>845</v>
      </c>
      <c r="D386" s="115" t="s">
        <v>846</v>
      </c>
      <c r="E386" s="115" t="str">
        <f t="shared" ref="E386:E445" si="6">LEFT(D386,1)</f>
        <v>2</v>
      </c>
      <c r="F386" s="79" t="s">
        <v>262</v>
      </c>
      <c r="G386" s="79" t="s">
        <v>328</v>
      </c>
      <c r="H386" s="79" t="s">
        <v>840</v>
      </c>
      <c r="I386" s="79" t="s">
        <v>841</v>
      </c>
      <c r="J386" s="79" t="s">
        <v>847</v>
      </c>
      <c r="K386" s="79" t="s">
        <v>848</v>
      </c>
      <c r="L386" s="116">
        <v>30265</v>
      </c>
      <c r="M386" s="116">
        <v>30265</v>
      </c>
      <c r="N386" s="117">
        <v>100</v>
      </c>
    </row>
    <row r="387" spans="1:14">
      <c r="A387" s="79" t="s">
        <v>857</v>
      </c>
      <c r="B387" s="79" t="s">
        <v>165</v>
      </c>
      <c r="C387" s="79" t="s">
        <v>845</v>
      </c>
      <c r="D387" s="115" t="s">
        <v>846</v>
      </c>
      <c r="E387" s="115" t="str">
        <f t="shared" si="6"/>
        <v>2</v>
      </c>
      <c r="F387" s="79" t="s">
        <v>262</v>
      </c>
      <c r="G387" s="79" t="s">
        <v>328</v>
      </c>
      <c r="H387" s="79" t="s">
        <v>840</v>
      </c>
      <c r="I387" s="79" t="s">
        <v>841</v>
      </c>
      <c r="J387" s="79" t="s">
        <v>847</v>
      </c>
      <c r="K387" s="79" t="s">
        <v>848</v>
      </c>
      <c r="L387" s="116">
        <v>36581</v>
      </c>
      <c r="M387" s="116">
        <v>36581</v>
      </c>
      <c r="N387" s="117">
        <v>100</v>
      </c>
    </row>
    <row r="388" spans="1:14">
      <c r="A388" s="79" t="s">
        <v>858</v>
      </c>
      <c r="B388" s="79" t="s">
        <v>165</v>
      </c>
      <c r="C388" s="79" t="s">
        <v>845</v>
      </c>
      <c r="D388" s="115" t="s">
        <v>846</v>
      </c>
      <c r="E388" s="115" t="str">
        <f t="shared" si="6"/>
        <v>2</v>
      </c>
      <c r="F388" s="79" t="s">
        <v>262</v>
      </c>
      <c r="G388" s="79" t="s">
        <v>328</v>
      </c>
      <c r="H388" s="79" t="s">
        <v>840</v>
      </c>
      <c r="I388" s="79" t="s">
        <v>841</v>
      </c>
      <c r="J388" s="79" t="s">
        <v>847</v>
      </c>
      <c r="K388" s="79" t="s">
        <v>848</v>
      </c>
      <c r="L388" s="116">
        <v>50000</v>
      </c>
      <c r="M388" s="116">
        <v>50000</v>
      </c>
      <c r="N388" s="117">
        <v>100</v>
      </c>
    </row>
    <row r="389" spans="1:14">
      <c r="A389" s="79" t="s">
        <v>859</v>
      </c>
      <c r="B389" s="79" t="s">
        <v>165</v>
      </c>
      <c r="C389" s="79" t="s">
        <v>845</v>
      </c>
      <c r="D389" s="115" t="s">
        <v>846</v>
      </c>
      <c r="E389" s="115" t="str">
        <f t="shared" si="6"/>
        <v>2</v>
      </c>
      <c r="F389" s="79" t="s">
        <v>262</v>
      </c>
      <c r="G389" s="79" t="s">
        <v>328</v>
      </c>
      <c r="H389" s="79" t="s">
        <v>840</v>
      </c>
      <c r="I389" s="79" t="s">
        <v>841</v>
      </c>
      <c r="J389" s="79" t="s">
        <v>847</v>
      </c>
      <c r="K389" s="79" t="s">
        <v>848</v>
      </c>
      <c r="L389" s="116">
        <v>126674</v>
      </c>
      <c r="M389" s="116">
        <v>50670</v>
      </c>
      <c r="N389" s="117">
        <v>40</v>
      </c>
    </row>
    <row r="390" spans="1:14">
      <c r="A390" s="79" t="s">
        <v>860</v>
      </c>
      <c r="B390" s="79" t="s">
        <v>165</v>
      </c>
      <c r="C390" s="79" t="s">
        <v>845</v>
      </c>
      <c r="D390" s="115" t="s">
        <v>846</v>
      </c>
      <c r="E390" s="115" t="str">
        <f t="shared" si="6"/>
        <v>2</v>
      </c>
      <c r="F390" s="79" t="s">
        <v>262</v>
      </c>
      <c r="G390" s="79" t="s">
        <v>328</v>
      </c>
      <c r="H390" s="79" t="s">
        <v>840</v>
      </c>
      <c r="I390" s="79" t="s">
        <v>841</v>
      </c>
      <c r="J390" s="79" t="s">
        <v>847</v>
      </c>
      <c r="K390" s="79" t="s">
        <v>848</v>
      </c>
      <c r="L390" s="116">
        <v>61271</v>
      </c>
      <c r="M390" s="116">
        <v>61271</v>
      </c>
      <c r="N390" s="117">
        <v>100</v>
      </c>
    </row>
    <row r="391" spans="1:14">
      <c r="A391" s="79" t="s">
        <v>861</v>
      </c>
      <c r="B391" s="79" t="s">
        <v>165</v>
      </c>
      <c r="C391" s="79" t="s">
        <v>862</v>
      </c>
      <c r="D391" s="115" t="s">
        <v>650</v>
      </c>
      <c r="E391" s="115" t="str">
        <f t="shared" si="6"/>
        <v>2</v>
      </c>
      <c r="F391" s="79" t="s">
        <v>863</v>
      </c>
      <c r="G391" s="79" t="s">
        <v>328</v>
      </c>
      <c r="H391" s="79" t="s">
        <v>840</v>
      </c>
      <c r="I391" s="79" t="s">
        <v>841</v>
      </c>
      <c r="J391" s="79" t="s">
        <v>864</v>
      </c>
      <c r="K391" s="79" t="s">
        <v>865</v>
      </c>
      <c r="L391" s="116">
        <v>40000</v>
      </c>
      <c r="M391" s="116">
        <v>32000</v>
      </c>
      <c r="N391" s="117">
        <v>80</v>
      </c>
    </row>
    <row r="392" spans="1:14">
      <c r="A392" s="79" t="s">
        <v>866</v>
      </c>
      <c r="B392" s="79" t="s">
        <v>165</v>
      </c>
      <c r="C392" s="79" t="s">
        <v>867</v>
      </c>
      <c r="D392" s="115" t="s">
        <v>868</v>
      </c>
      <c r="E392" s="115" t="str">
        <f t="shared" si="6"/>
        <v>2</v>
      </c>
      <c r="F392" s="79" t="s">
        <v>869</v>
      </c>
      <c r="G392" s="79" t="s">
        <v>328</v>
      </c>
      <c r="H392" s="79" t="s">
        <v>870</v>
      </c>
      <c r="I392" s="79" t="s">
        <v>871</v>
      </c>
      <c r="J392" s="79" t="s">
        <v>872</v>
      </c>
      <c r="K392" s="79" t="s">
        <v>873</v>
      </c>
      <c r="L392" s="116">
        <v>38000</v>
      </c>
      <c r="M392" s="116">
        <v>19000</v>
      </c>
      <c r="N392" s="117">
        <v>50</v>
      </c>
    </row>
    <row r="393" spans="1:14">
      <c r="A393" s="79" t="s">
        <v>874</v>
      </c>
      <c r="B393" s="79" t="s">
        <v>165</v>
      </c>
      <c r="C393" s="79" t="s">
        <v>867</v>
      </c>
      <c r="D393" s="115" t="s">
        <v>868</v>
      </c>
      <c r="E393" s="115" t="str">
        <f t="shared" si="6"/>
        <v>2</v>
      </c>
      <c r="F393" s="79" t="s">
        <v>869</v>
      </c>
      <c r="G393" s="79" t="s">
        <v>328</v>
      </c>
      <c r="H393" s="79" t="s">
        <v>870</v>
      </c>
      <c r="I393" s="79" t="s">
        <v>871</v>
      </c>
      <c r="J393" s="79" t="s">
        <v>872</v>
      </c>
      <c r="K393" s="79" t="s">
        <v>873</v>
      </c>
      <c r="L393" s="116">
        <v>43800</v>
      </c>
      <c r="M393" s="116">
        <v>21900</v>
      </c>
      <c r="N393" s="117">
        <v>50</v>
      </c>
    </row>
    <row r="394" spans="1:14">
      <c r="A394" s="79" t="s">
        <v>875</v>
      </c>
      <c r="B394" s="79" t="s">
        <v>165</v>
      </c>
      <c r="C394" s="79" t="s">
        <v>867</v>
      </c>
      <c r="D394" s="115" t="s">
        <v>868</v>
      </c>
      <c r="E394" s="115" t="str">
        <f t="shared" si="6"/>
        <v>2</v>
      </c>
      <c r="F394" s="79" t="s">
        <v>869</v>
      </c>
      <c r="G394" s="79" t="s">
        <v>328</v>
      </c>
      <c r="H394" s="79" t="s">
        <v>870</v>
      </c>
      <c r="I394" s="79" t="s">
        <v>871</v>
      </c>
      <c r="J394" s="79" t="s">
        <v>872</v>
      </c>
      <c r="K394" s="79" t="s">
        <v>873</v>
      </c>
      <c r="L394" s="116">
        <v>42451</v>
      </c>
      <c r="M394" s="116">
        <v>23348</v>
      </c>
      <c r="N394" s="117">
        <v>55</v>
      </c>
    </row>
    <row r="395" spans="1:14">
      <c r="A395" s="79" t="s">
        <v>876</v>
      </c>
      <c r="B395" s="79" t="s">
        <v>165</v>
      </c>
      <c r="C395" s="79" t="s">
        <v>867</v>
      </c>
      <c r="D395" s="115" t="s">
        <v>868</v>
      </c>
      <c r="E395" s="115" t="str">
        <f t="shared" si="6"/>
        <v>2</v>
      </c>
      <c r="F395" s="79" t="s">
        <v>869</v>
      </c>
      <c r="G395" s="79" t="s">
        <v>341</v>
      </c>
      <c r="H395" s="79" t="s">
        <v>870</v>
      </c>
      <c r="I395" s="79" t="s">
        <v>871</v>
      </c>
      <c r="J395" s="79" t="s">
        <v>872</v>
      </c>
      <c r="K395" s="79" t="s">
        <v>873</v>
      </c>
      <c r="L395" s="116">
        <v>29955</v>
      </c>
      <c r="M395" s="116">
        <v>23664</v>
      </c>
      <c r="N395" s="117">
        <v>79</v>
      </c>
    </row>
    <row r="396" spans="1:14">
      <c r="A396" s="79" t="s">
        <v>877</v>
      </c>
      <c r="B396" s="79" t="s">
        <v>165</v>
      </c>
      <c r="C396" s="79" t="s">
        <v>867</v>
      </c>
      <c r="D396" s="115" t="s">
        <v>868</v>
      </c>
      <c r="E396" s="115" t="str">
        <f t="shared" si="6"/>
        <v>2</v>
      </c>
      <c r="F396" s="79" t="s">
        <v>869</v>
      </c>
      <c r="G396" s="79" t="s">
        <v>328</v>
      </c>
      <c r="H396" s="79" t="s">
        <v>870</v>
      </c>
      <c r="I396" s="79" t="s">
        <v>871</v>
      </c>
      <c r="J396" s="79" t="s">
        <v>872</v>
      </c>
      <c r="K396" s="79" t="s">
        <v>873</v>
      </c>
      <c r="L396" s="116">
        <v>61638</v>
      </c>
      <c r="M396" s="116">
        <v>44218</v>
      </c>
      <c r="N396" s="117">
        <v>71.739999999999995</v>
      </c>
    </row>
    <row r="397" spans="1:14">
      <c r="A397" s="79" t="s">
        <v>880</v>
      </c>
      <c r="B397" s="79" t="s">
        <v>201</v>
      </c>
      <c r="C397" s="79" t="s">
        <v>881</v>
      </c>
      <c r="D397" s="115" t="s">
        <v>750</v>
      </c>
      <c r="E397" s="115" t="str">
        <f t="shared" si="6"/>
        <v>2</v>
      </c>
      <c r="F397" s="79" t="s">
        <v>882</v>
      </c>
      <c r="G397" s="79" t="s">
        <v>328</v>
      </c>
      <c r="H397" s="79" t="s">
        <v>169</v>
      </c>
      <c r="I397" s="79" t="s">
        <v>388</v>
      </c>
      <c r="J397" s="79" t="s">
        <v>883</v>
      </c>
      <c r="K397" s="79" t="s">
        <v>884</v>
      </c>
      <c r="L397" s="116">
        <v>43419</v>
      </c>
      <c r="M397" s="116">
        <v>20558</v>
      </c>
      <c r="N397" s="117">
        <v>47.35</v>
      </c>
    </row>
    <row r="398" spans="1:14">
      <c r="A398" s="79" t="s">
        <v>885</v>
      </c>
      <c r="B398" s="79" t="s">
        <v>201</v>
      </c>
      <c r="C398" s="79" t="s">
        <v>420</v>
      </c>
      <c r="D398" s="115" t="s">
        <v>421</v>
      </c>
      <c r="E398" s="115" t="str">
        <f t="shared" si="6"/>
        <v>2</v>
      </c>
      <c r="F398" s="79" t="s">
        <v>422</v>
      </c>
      <c r="G398" s="79" t="s">
        <v>387</v>
      </c>
      <c r="H398" s="79" t="s">
        <v>407</v>
      </c>
      <c r="I398" s="79" t="s">
        <v>408</v>
      </c>
      <c r="J398" s="79" t="s">
        <v>883</v>
      </c>
      <c r="K398" s="79" t="s">
        <v>884</v>
      </c>
      <c r="L398" s="116">
        <v>51817</v>
      </c>
      <c r="M398" s="116">
        <v>51817</v>
      </c>
      <c r="N398" s="117">
        <v>100</v>
      </c>
    </row>
    <row r="399" spans="1:14">
      <c r="A399" s="79" t="s">
        <v>886</v>
      </c>
      <c r="B399" s="79" t="s">
        <v>201</v>
      </c>
      <c r="C399" s="79" t="s">
        <v>420</v>
      </c>
      <c r="D399" s="115" t="s">
        <v>421</v>
      </c>
      <c r="E399" s="115" t="str">
        <f t="shared" si="6"/>
        <v>2</v>
      </c>
      <c r="F399" s="79" t="s">
        <v>422</v>
      </c>
      <c r="G399" s="79" t="s">
        <v>387</v>
      </c>
      <c r="H399" s="79" t="s">
        <v>407</v>
      </c>
      <c r="I399" s="79" t="s">
        <v>408</v>
      </c>
      <c r="J399" s="79" t="s">
        <v>883</v>
      </c>
      <c r="K399" s="79" t="s">
        <v>884</v>
      </c>
      <c r="L399" s="116">
        <v>56500</v>
      </c>
      <c r="M399" s="116">
        <v>56500</v>
      </c>
      <c r="N399" s="117">
        <v>100</v>
      </c>
    </row>
    <row r="400" spans="1:14">
      <c r="A400" s="79" t="s">
        <v>887</v>
      </c>
      <c r="B400" s="79" t="s">
        <v>201</v>
      </c>
      <c r="C400" s="79" t="s">
        <v>420</v>
      </c>
      <c r="D400" s="115" t="s">
        <v>421</v>
      </c>
      <c r="E400" s="115" t="str">
        <f t="shared" si="6"/>
        <v>2</v>
      </c>
      <c r="F400" s="79" t="s">
        <v>422</v>
      </c>
      <c r="G400" s="79" t="s">
        <v>387</v>
      </c>
      <c r="H400" s="79" t="s">
        <v>407</v>
      </c>
      <c r="I400" s="79" t="s">
        <v>408</v>
      </c>
      <c r="J400" s="79" t="s">
        <v>883</v>
      </c>
      <c r="K400" s="79" t="s">
        <v>884</v>
      </c>
      <c r="L400" s="116">
        <v>61112</v>
      </c>
      <c r="M400" s="116">
        <v>61112</v>
      </c>
      <c r="N400" s="117">
        <v>100</v>
      </c>
    </row>
    <row r="401" spans="1:14">
      <c r="A401" s="79" t="s">
        <v>888</v>
      </c>
      <c r="B401" s="79" t="s">
        <v>201</v>
      </c>
      <c r="C401" s="79" t="s">
        <v>420</v>
      </c>
      <c r="D401" s="115" t="s">
        <v>421</v>
      </c>
      <c r="E401" s="115" t="str">
        <f t="shared" si="6"/>
        <v>2</v>
      </c>
      <c r="F401" s="79" t="s">
        <v>422</v>
      </c>
      <c r="G401" s="79" t="s">
        <v>387</v>
      </c>
      <c r="H401" s="79" t="s">
        <v>407</v>
      </c>
      <c r="I401" s="79" t="s">
        <v>408</v>
      </c>
      <c r="J401" s="79" t="s">
        <v>883</v>
      </c>
      <c r="K401" s="79" t="s">
        <v>884</v>
      </c>
      <c r="L401" s="116">
        <v>62565</v>
      </c>
      <c r="M401" s="116">
        <v>62565</v>
      </c>
      <c r="N401" s="117">
        <v>100</v>
      </c>
    </row>
    <row r="402" spans="1:14">
      <c r="A402" s="79" t="s">
        <v>889</v>
      </c>
      <c r="B402" s="79" t="s">
        <v>201</v>
      </c>
      <c r="C402" s="79" t="s">
        <v>420</v>
      </c>
      <c r="D402" s="115" t="s">
        <v>421</v>
      </c>
      <c r="E402" s="115" t="str">
        <f t="shared" si="6"/>
        <v>2</v>
      </c>
      <c r="F402" s="79" t="s">
        <v>422</v>
      </c>
      <c r="G402" s="79" t="s">
        <v>387</v>
      </c>
      <c r="H402" s="79" t="s">
        <v>407</v>
      </c>
      <c r="I402" s="79" t="s">
        <v>408</v>
      </c>
      <c r="J402" s="79" t="s">
        <v>883</v>
      </c>
      <c r="K402" s="79" t="s">
        <v>884</v>
      </c>
      <c r="L402" s="116">
        <v>67176</v>
      </c>
      <c r="M402" s="116">
        <v>67176</v>
      </c>
      <c r="N402" s="117">
        <v>100</v>
      </c>
    </row>
    <row r="403" spans="1:14">
      <c r="A403" s="79" t="s">
        <v>890</v>
      </c>
      <c r="B403" s="79" t="s">
        <v>201</v>
      </c>
      <c r="C403" s="79" t="s">
        <v>420</v>
      </c>
      <c r="D403" s="115" t="s">
        <v>421</v>
      </c>
      <c r="E403" s="115" t="str">
        <f t="shared" si="6"/>
        <v>2</v>
      </c>
      <c r="F403" s="79" t="s">
        <v>422</v>
      </c>
      <c r="G403" s="79" t="s">
        <v>387</v>
      </c>
      <c r="H403" s="79" t="s">
        <v>407</v>
      </c>
      <c r="I403" s="79" t="s">
        <v>408</v>
      </c>
      <c r="J403" s="79" t="s">
        <v>883</v>
      </c>
      <c r="K403" s="79" t="s">
        <v>884</v>
      </c>
      <c r="L403" s="116">
        <v>67823</v>
      </c>
      <c r="M403" s="116">
        <v>67823</v>
      </c>
      <c r="N403" s="117">
        <v>100</v>
      </c>
    </row>
    <row r="404" spans="1:14">
      <c r="A404" s="79" t="s">
        <v>891</v>
      </c>
      <c r="B404" s="79" t="s">
        <v>201</v>
      </c>
      <c r="C404" s="79" t="s">
        <v>420</v>
      </c>
      <c r="D404" s="115" t="s">
        <v>421</v>
      </c>
      <c r="E404" s="115" t="str">
        <f t="shared" si="6"/>
        <v>2</v>
      </c>
      <c r="F404" s="79" t="s">
        <v>422</v>
      </c>
      <c r="G404" s="79" t="s">
        <v>387</v>
      </c>
      <c r="H404" s="79" t="s">
        <v>407</v>
      </c>
      <c r="I404" s="79" t="s">
        <v>408</v>
      </c>
      <c r="J404" s="79" t="s">
        <v>883</v>
      </c>
      <c r="K404" s="79" t="s">
        <v>884</v>
      </c>
      <c r="L404" s="116">
        <v>68389</v>
      </c>
      <c r="M404" s="116">
        <v>68389</v>
      </c>
      <c r="N404" s="117">
        <v>100</v>
      </c>
    </row>
    <row r="405" spans="1:14">
      <c r="A405" s="79" t="s">
        <v>892</v>
      </c>
      <c r="B405" s="79" t="s">
        <v>201</v>
      </c>
      <c r="C405" s="79" t="s">
        <v>420</v>
      </c>
      <c r="D405" s="115" t="s">
        <v>421</v>
      </c>
      <c r="E405" s="115" t="str">
        <f t="shared" si="6"/>
        <v>2</v>
      </c>
      <c r="F405" s="79" t="s">
        <v>422</v>
      </c>
      <c r="G405" s="79" t="s">
        <v>387</v>
      </c>
      <c r="H405" s="79" t="s">
        <v>407</v>
      </c>
      <c r="I405" s="79" t="s">
        <v>408</v>
      </c>
      <c r="J405" s="79" t="s">
        <v>883</v>
      </c>
      <c r="K405" s="79" t="s">
        <v>884</v>
      </c>
      <c r="L405" s="116">
        <v>72412</v>
      </c>
      <c r="M405" s="116">
        <v>72412</v>
      </c>
      <c r="N405" s="117">
        <v>100</v>
      </c>
    </row>
    <row r="406" spans="1:14">
      <c r="A406" s="79" t="s">
        <v>893</v>
      </c>
      <c r="B406" s="79" t="s">
        <v>201</v>
      </c>
      <c r="C406" s="79" t="s">
        <v>435</v>
      </c>
      <c r="D406" s="115" t="s">
        <v>436</v>
      </c>
      <c r="E406" s="115" t="str">
        <f t="shared" si="6"/>
        <v>2</v>
      </c>
      <c r="F406" s="79" t="s">
        <v>2</v>
      </c>
      <c r="G406" s="79" t="s">
        <v>387</v>
      </c>
      <c r="H406" s="79" t="s">
        <v>407</v>
      </c>
      <c r="I406" s="79" t="s">
        <v>408</v>
      </c>
      <c r="J406" s="79" t="s">
        <v>883</v>
      </c>
      <c r="K406" s="79" t="s">
        <v>884</v>
      </c>
      <c r="L406" s="116">
        <v>65340</v>
      </c>
      <c r="M406" s="116">
        <v>65340</v>
      </c>
      <c r="N406" s="117">
        <v>100</v>
      </c>
    </row>
    <row r="407" spans="1:14">
      <c r="A407" s="79" t="s">
        <v>894</v>
      </c>
      <c r="B407" s="79" t="s">
        <v>201</v>
      </c>
      <c r="C407" s="79" t="s">
        <v>485</v>
      </c>
      <c r="D407" s="115" t="s">
        <v>486</v>
      </c>
      <c r="E407" s="115" t="str">
        <f t="shared" si="6"/>
        <v>2</v>
      </c>
      <c r="F407" s="79" t="s">
        <v>487</v>
      </c>
      <c r="G407" s="79" t="s">
        <v>387</v>
      </c>
      <c r="H407" s="79" t="s">
        <v>407</v>
      </c>
      <c r="I407" s="79" t="s">
        <v>408</v>
      </c>
      <c r="J407" s="79" t="s">
        <v>883</v>
      </c>
      <c r="K407" s="79" t="s">
        <v>884</v>
      </c>
      <c r="L407" s="116">
        <v>61968</v>
      </c>
      <c r="M407" s="116">
        <v>61968</v>
      </c>
      <c r="N407" s="117">
        <v>100</v>
      </c>
    </row>
    <row r="408" spans="1:14">
      <c r="A408" s="79" t="s">
        <v>895</v>
      </c>
      <c r="B408" s="79" t="s">
        <v>201</v>
      </c>
      <c r="C408" s="79" t="s">
        <v>485</v>
      </c>
      <c r="D408" s="115" t="s">
        <v>486</v>
      </c>
      <c r="E408" s="115" t="str">
        <f t="shared" si="6"/>
        <v>2</v>
      </c>
      <c r="F408" s="79" t="s">
        <v>487</v>
      </c>
      <c r="G408" s="79" t="s">
        <v>387</v>
      </c>
      <c r="H408" s="79" t="s">
        <v>407</v>
      </c>
      <c r="I408" s="79" t="s">
        <v>408</v>
      </c>
      <c r="J408" s="79" t="s">
        <v>883</v>
      </c>
      <c r="K408" s="79" t="s">
        <v>884</v>
      </c>
      <c r="L408" s="116">
        <v>68295</v>
      </c>
      <c r="M408" s="116">
        <v>68295</v>
      </c>
      <c r="N408" s="117">
        <v>100</v>
      </c>
    </row>
    <row r="409" spans="1:14">
      <c r="A409" s="79" t="s">
        <v>896</v>
      </c>
      <c r="B409" s="79" t="s">
        <v>201</v>
      </c>
      <c r="C409" s="79" t="s">
        <v>485</v>
      </c>
      <c r="D409" s="115" t="s">
        <v>486</v>
      </c>
      <c r="E409" s="115" t="str">
        <f t="shared" si="6"/>
        <v>2</v>
      </c>
      <c r="F409" s="79" t="s">
        <v>487</v>
      </c>
      <c r="G409" s="79" t="s">
        <v>387</v>
      </c>
      <c r="H409" s="79" t="s">
        <v>407</v>
      </c>
      <c r="I409" s="79" t="s">
        <v>408</v>
      </c>
      <c r="J409" s="79" t="s">
        <v>883</v>
      </c>
      <c r="K409" s="79" t="s">
        <v>884</v>
      </c>
      <c r="L409" s="116">
        <v>68874</v>
      </c>
      <c r="M409" s="116">
        <v>68874</v>
      </c>
      <c r="N409" s="117">
        <v>100</v>
      </c>
    </row>
    <row r="410" spans="1:14">
      <c r="A410" s="79" t="s">
        <v>897</v>
      </c>
      <c r="B410" s="79" t="s">
        <v>201</v>
      </c>
      <c r="C410" s="79" t="s">
        <v>485</v>
      </c>
      <c r="D410" s="115" t="s">
        <v>486</v>
      </c>
      <c r="E410" s="115" t="str">
        <f t="shared" si="6"/>
        <v>2</v>
      </c>
      <c r="F410" s="79" t="s">
        <v>487</v>
      </c>
      <c r="G410" s="79" t="s">
        <v>387</v>
      </c>
      <c r="H410" s="79" t="s">
        <v>407</v>
      </c>
      <c r="I410" s="79" t="s">
        <v>408</v>
      </c>
      <c r="J410" s="79" t="s">
        <v>883</v>
      </c>
      <c r="K410" s="79" t="s">
        <v>884</v>
      </c>
      <c r="L410" s="116">
        <v>74881</v>
      </c>
      <c r="M410" s="116">
        <v>74881</v>
      </c>
      <c r="N410" s="117">
        <v>100</v>
      </c>
    </row>
    <row r="411" spans="1:14">
      <c r="A411" s="79" t="s">
        <v>898</v>
      </c>
      <c r="B411" s="79" t="s">
        <v>201</v>
      </c>
      <c r="C411" s="79" t="s">
        <v>485</v>
      </c>
      <c r="D411" s="115" t="s">
        <v>486</v>
      </c>
      <c r="E411" s="115" t="str">
        <f t="shared" si="6"/>
        <v>2</v>
      </c>
      <c r="F411" s="79" t="s">
        <v>487</v>
      </c>
      <c r="G411" s="79" t="s">
        <v>387</v>
      </c>
      <c r="H411" s="79" t="s">
        <v>407</v>
      </c>
      <c r="I411" s="79" t="s">
        <v>408</v>
      </c>
      <c r="J411" s="79" t="s">
        <v>883</v>
      </c>
      <c r="K411" s="79" t="s">
        <v>884</v>
      </c>
      <c r="L411" s="116">
        <v>76638</v>
      </c>
      <c r="M411" s="116">
        <v>76638</v>
      </c>
      <c r="N411" s="117">
        <v>100</v>
      </c>
    </row>
    <row r="412" spans="1:14">
      <c r="A412" s="79" t="s">
        <v>899</v>
      </c>
      <c r="B412" s="79" t="s">
        <v>201</v>
      </c>
      <c r="C412" s="79" t="s">
        <v>509</v>
      </c>
      <c r="D412" s="115" t="s">
        <v>510</v>
      </c>
      <c r="E412" s="115" t="str">
        <f t="shared" si="6"/>
        <v>2</v>
      </c>
      <c r="F412" s="79" t="s">
        <v>511</v>
      </c>
      <c r="G412" s="79" t="s">
        <v>387</v>
      </c>
      <c r="H412" s="79" t="s">
        <v>407</v>
      </c>
      <c r="I412" s="79" t="s">
        <v>408</v>
      </c>
      <c r="J412" s="79" t="s">
        <v>883</v>
      </c>
      <c r="K412" s="79" t="s">
        <v>884</v>
      </c>
      <c r="L412" s="116">
        <v>51817</v>
      </c>
      <c r="M412" s="116">
        <v>51817</v>
      </c>
      <c r="N412" s="117">
        <v>100</v>
      </c>
    </row>
    <row r="413" spans="1:14">
      <c r="A413" s="79" t="s">
        <v>900</v>
      </c>
      <c r="B413" s="79" t="s">
        <v>201</v>
      </c>
      <c r="C413" s="79" t="s">
        <v>509</v>
      </c>
      <c r="D413" s="115" t="s">
        <v>510</v>
      </c>
      <c r="E413" s="115" t="str">
        <f t="shared" si="6"/>
        <v>2</v>
      </c>
      <c r="F413" s="79" t="s">
        <v>511</v>
      </c>
      <c r="G413" s="79" t="s">
        <v>387</v>
      </c>
      <c r="H413" s="79" t="s">
        <v>407</v>
      </c>
      <c r="I413" s="79" t="s">
        <v>408</v>
      </c>
      <c r="J413" s="79" t="s">
        <v>883</v>
      </c>
      <c r="K413" s="79" t="s">
        <v>884</v>
      </c>
      <c r="L413" s="116">
        <v>68640</v>
      </c>
      <c r="M413" s="116">
        <v>68640</v>
      </c>
      <c r="N413" s="117">
        <v>100</v>
      </c>
    </row>
    <row r="414" spans="1:14">
      <c r="A414" s="79" t="s">
        <v>901</v>
      </c>
      <c r="B414" s="79" t="s">
        <v>201</v>
      </c>
      <c r="C414" s="79" t="s">
        <v>509</v>
      </c>
      <c r="D414" s="115" t="s">
        <v>510</v>
      </c>
      <c r="E414" s="115" t="str">
        <f t="shared" si="6"/>
        <v>2</v>
      </c>
      <c r="F414" s="79" t="s">
        <v>511</v>
      </c>
      <c r="G414" s="79" t="s">
        <v>387</v>
      </c>
      <c r="H414" s="79" t="s">
        <v>407</v>
      </c>
      <c r="I414" s="79" t="s">
        <v>408</v>
      </c>
      <c r="J414" s="79" t="s">
        <v>883</v>
      </c>
      <c r="K414" s="79" t="s">
        <v>884</v>
      </c>
      <c r="L414" s="116">
        <v>70707</v>
      </c>
      <c r="M414" s="116">
        <v>70707</v>
      </c>
      <c r="N414" s="117">
        <v>100</v>
      </c>
    </row>
    <row r="415" spans="1:14">
      <c r="A415" s="79" t="s">
        <v>902</v>
      </c>
      <c r="B415" s="79" t="s">
        <v>201</v>
      </c>
      <c r="C415" s="79" t="s">
        <v>509</v>
      </c>
      <c r="D415" s="115" t="s">
        <v>510</v>
      </c>
      <c r="E415" s="115" t="str">
        <f t="shared" si="6"/>
        <v>2</v>
      </c>
      <c r="F415" s="79" t="s">
        <v>511</v>
      </c>
      <c r="G415" s="79" t="s">
        <v>387</v>
      </c>
      <c r="H415" s="79" t="s">
        <v>407</v>
      </c>
      <c r="I415" s="79" t="s">
        <v>408</v>
      </c>
      <c r="J415" s="79" t="s">
        <v>883</v>
      </c>
      <c r="K415" s="79" t="s">
        <v>884</v>
      </c>
      <c r="L415" s="116">
        <v>73427</v>
      </c>
      <c r="M415" s="116">
        <v>73427</v>
      </c>
      <c r="N415" s="117">
        <v>100</v>
      </c>
    </row>
    <row r="416" spans="1:14">
      <c r="A416" s="79" t="s">
        <v>903</v>
      </c>
      <c r="B416" s="79" t="s">
        <v>201</v>
      </c>
      <c r="C416" s="79" t="s">
        <v>515</v>
      </c>
      <c r="D416" s="115" t="s">
        <v>516</v>
      </c>
      <c r="E416" s="115" t="str">
        <f t="shared" si="6"/>
        <v>2</v>
      </c>
      <c r="F416" s="79" t="s">
        <v>141</v>
      </c>
      <c r="G416" s="79" t="s">
        <v>387</v>
      </c>
      <c r="H416" s="79" t="s">
        <v>407</v>
      </c>
      <c r="I416" s="79" t="s">
        <v>408</v>
      </c>
      <c r="J416" s="79" t="s">
        <v>883</v>
      </c>
      <c r="K416" s="79" t="s">
        <v>884</v>
      </c>
      <c r="L416" s="116">
        <v>68874</v>
      </c>
      <c r="M416" s="116">
        <v>68874</v>
      </c>
      <c r="N416" s="117">
        <v>100</v>
      </c>
    </row>
    <row r="417" spans="1:14">
      <c r="A417" s="79" t="s">
        <v>904</v>
      </c>
      <c r="B417" s="79" t="s">
        <v>201</v>
      </c>
      <c r="C417" s="79" t="s">
        <v>515</v>
      </c>
      <c r="D417" s="115" t="s">
        <v>516</v>
      </c>
      <c r="E417" s="115" t="str">
        <f t="shared" si="6"/>
        <v>2</v>
      </c>
      <c r="F417" s="79" t="s">
        <v>141</v>
      </c>
      <c r="G417" s="79" t="s">
        <v>387</v>
      </c>
      <c r="H417" s="79" t="s">
        <v>407</v>
      </c>
      <c r="I417" s="79" t="s">
        <v>408</v>
      </c>
      <c r="J417" s="79" t="s">
        <v>883</v>
      </c>
      <c r="K417" s="79" t="s">
        <v>884</v>
      </c>
      <c r="L417" s="116">
        <v>76489</v>
      </c>
      <c r="M417" s="116">
        <v>76489</v>
      </c>
      <c r="N417" s="117">
        <v>100</v>
      </c>
    </row>
    <row r="418" spans="1:14">
      <c r="A418" s="79" t="s">
        <v>905</v>
      </c>
      <c r="B418" s="79" t="s">
        <v>201</v>
      </c>
      <c r="C418" s="79" t="s">
        <v>515</v>
      </c>
      <c r="D418" s="115" t="s">
        <v>516</v>
      </c>
      <c r="E418" s="115" t="str">
        <f t="shared" si="6"/>
        <v>2</v>
      </c>
      <c r="F418" s="79" t="s">
        <v>141</v>
      </c>
      <c r="G418" s="79" t="s">
        <v>387</v>
      </c>
      <c r="H418" s="79" t="s">
        <v>407</v>
      </c>
      <c r="I418" s="79" t="s">
        <v>408</v>
      </c>
      <c r="J418" s="79" t="s">
        <v>883</v>
      </c>
      <c r="K418" s="79" t="s">
        <v>884</v>
      </c>
      <c r="L418" s="116">
        <v>77117</v>
      </c>
      <c r="M418" s="116">
        <v>77117</v>
      </c>
      <c r="N418" s="117">
        <v>100</v>
      </c>
    </row>
    <row r="419" spans="1:14">
      <c r="A419" s="79" t="s">
        <v>906</v>
      </c>
      <c r="B419" s="79" t="s">
        <v>201</v>
      </c>
      <c r="C419" s="79" t="s">
        <v>515</v>
      </c>
      <c r="D419" s="115" t="s">
        <v>516</v>
      </c>
      <c r="E419" s="115" t="str">
        <f t="shared" si="6"/>
        <v>2</v>
      </c>
      <c r="F419" s="79" t="s">
        <v>141</v>
      </c>
      <c r="G419" s="79" t="s">
        <v>387</v>
      </c>
      <c r="H419" s="79" t="s">
        <v>407</v>
      </c>
      <c r="I419" s="79" t="s">
        <v>408</v>
      </c>
      <c r="J419" s="79" t="s">
        <v>883</v>
      </c>
      <c r="K419" s="79" t="s">
        <v>884</v>
      </c>
      <c r="L419" s="116">
        <v>77756</v>
      </c>
      <c r="M419" s="116">
        <v>77756</v>
      </c>
      <c r="N419" s="117">
        <v>100</v>
      </c>
    </row>
    <row r="420" spans="1:14">
      <c r="A420" s="79" t="s">
        <v>907</v>
      </c>
      <c r="B420" s="79" t="s">
        <v>201</v>
      </c>
      <c r="C420" s="79" t="s">
        <v>515</v>
      </c>
      <c r="D420" s="115" t="s">
        <v>516</v>
      </c>
      <c r="E420" s="115" t="str">
        <f t="shared" si="6"/>
        <v>2</v>
      </c>
      <c r="F420" s="79" t="s">
        <v>141</v>
      </c>
      <c r="G420" s="79" t="s">
        <v>387</v>
      </c>
      <c r="H420" s="79" t="s">
        <v>407</v>
      </c>
      <c r="I420" s="79" t="s">
        <v>408</v>
      </c>
      <c r="J420" s="79" t="s">
        <v>883</v>
      </c>
      <c r="K420" s="79" t="s">
        <v>884</v>
      </c>
      <c r="L420" s="116">
        <v>90834</v>
      </c>
      <c r="M420" s="116">
        <v>90834</v>
      </c>
      <c r="N420" s="117">
        <v>100</v>
      </c>
    </row>
    <row r="421" spans="1:14">
      <c r="A421" s="79" t="s">
        <v>908</v>
      </c>
      <c r="B421" s="79" t="s">
        <v>201</v>
      </c>
      <c r="C421" s="79" t="s">
        <v>524</v>
      </c>
      <c r="D421" s="115" t="s">
        <v>525</v>
      </c>
      <c r="E421" s="115" t="str">
        <f t="shared" si="6"/>
        <v>2</v>
      </c>
      <c r="F421" s="79" t="s">
        <v>526</v>
      </c>
      <c r="G421" s="79" t="s">
        <v>387</v>
      </c>
      <c r="H421" s="79" t="s">
        <v>407</v>
      </c>
      <c r="I421" s="79" t="s">
        <v>408</v>
      </c>
      <c r="J421" s="79" t="s">
        <v>883</v>
      </c>
      <c r="K421" s="79" t="s">
        <v>884</v>
      </c>
      <c r="L421" s="116">
        <v>43175</v>
      </c>
      <c r="M421" s="116">
        <v>37778</v>
      </c>
      <c r="N421" s="117">
        <v>87.5</v>
      </c>
    </row>
    <row r="422" spans="1:14">
      <c r="A422" s="79" t="s">
        <v>909</v>
      </c>
      <c r="B422" s="79" t="s">
        <v>201</v>
      </c>
      <c r="C422" s="79" t="s">
        <v>524</v>
      </c>
      <c r="D422" s="115" t="s">
        <v>525</v>
      </c>
      <c r="E422" s="115" t="str">
        <f t="shared" si="6"/>
        <v>2</v>
      </c>
      <c r="F422" s="79" t="s">
        <v>526</v>
      </c>
      <c r="G422" s="79" t="s">
        <v>387</v>
      </c>
      <c r="H422" s="79" t="s">
        <v>407</v>
      </c>
      <c r="I422" s="79" t="s">
        <v>408</v>
      </c>
      <c r="J422" s="79" t="s">
        <v>883</v>
      </c>
      <c r="K422" s="79" t="s">
        <v>884</v>
      </c>
      <c r="L422" s="116">
        <v>55319</v>
      </c>
      <c r="M422" s="116">
        <v>55319</v>
      </c>
      <c r="N422" s="117">
        <v>100</v>
      </c>
    </row>
    <row r="423" spans="1:14">
      <c r="A423" s="79" t="s">
        <v>910</v>
      </c>
      <c r="B423" s="79" t="s">
        <v>201</v>
      </c>
      <c r="C423" s="79" t="s">
        <v>524</v>
      </c>
      <c r="D423" s="115" t="s">
        <v>525</v>
      </c>
      <c r="E423" s="115" t="str">
        <f t="shared" si="6"/>
        <v>2</v>
      </c>
      <c r="F423" s="79" t="s">
        <v>526</v>
      </c>
      <c r="G423" s="79" t="s">
        <v>387</v>
      </c>
      <c r="H423" s="79" t="s">
        <v>407</v>
      </c>
      <c r="I423" s="79" t="s">
        <v>408</v>
      </c>
      <c r="J423" s="79" t="s">
        <v>883</v>
      </c>
      <c r="K423" s="79" t="s">
        <v>884</v>
      </c>
      <c r="L423" s="116">
        <v>76637</v>
      </c>
      <c r="M423" s="116">
        <v>76637</v>
      </c>
      <c r="N423" s="117">
        <v>100</v>
      </c>
    </row>
    <row r="424" spans="1:14">
      <c r="A424" s="79" t="s">
        <v>911</v>
      </c>
      <c r="B424" s="79" t="s">
        <v>201</v>
      </c>
      <c r="C424" s="79" t="s">
        <v>558</v>
      </c>
      <c r="D424" s="115" t="s">
        <v>559</v>
      </c>
      <c r="E424" s="115" t="str">
        <f t="shared" si="6"/>
        <v>2</v>
      </c>
      <c r="F424" s="79" t="s">
        <v>8</v>
      </c>
      <c r="G424" s="79" t="s">
        <v>387</v>
      </c>
      <c r="H424" s="79" t="s">
        <v>560</v>
      </c>
      <c r="I424" s="79" t="s">
        <v>561</v>
      </c>
      <c r="J424" s="79" t="s">
        <v>883</v>
      </c>
      <c r="K424" s="79" t="s">
        <v>884</v>
      </c>
      <c r="L424" s="116">
        <v>88770</v>
      </c>
      <c r="M424" s="116">
        <v>88770</v>
      </c>
      <c r="N424" s="117">
        <v>100</v>
      </c>
    </row>
    <row r="425" spans="1:14">
      <c r="A425" s="79" t="s">
        <v>912</v>
      </c>
      <c r="B425" s="79" t="s">
        <v>201</v>
      </c>
      <c r="C425" s="79" t="s">
        <v>610</v>
      </c>
      <c r="D425" s="115" t="s">
        <v>611</v>
      </c>
      <c r="E425" s="115" t="str">
        <f t="shared" si="6"/>
        <v>2</v>
      </c>
      <c r="F425" s="79" t="s">
        <v>12</v>
      </c>
      <c r="G425" s="79" t="s">
        <v>387</v>
      </c>
      <c r="H425" s="79" t="s">
        <v>612</v>
      </c>
      <c r="I425" s="79" t="s">
        <v>613</v>
      </c>
      <c r="J425" s="79" t="s">
        <v>883</v>
      </c>
      <c r="K425" s="79" t="s">
        <v>884</v>
      </c>
      <c r="L425" s="116">
        <v>34072</v>
      </c>
      <c r="M425" s="116">
        <v>34072</v>
      </c>
      <c r="N425" s="117">
        <v>100</v>
      </c>
    </row>
    <row r="426" spans="1:14">
      <c r="A426" s="79" t="s">
        <v>913</v>
      </c>
      <c r="B426" s="79" t="s">
        <v>201</v>
      </c>
      <c r="C426" s="79" t="s">
        <v>610</v>
      </c>
      <c r="D426" s="115" t="s">
        <v>611</v>
      </c>
      <c r="E426" s="115" t="str">
        <f t="shared" si="6"/>
        <v>2</v>
      </c>
      <c r="F426" s="79" t="s">
        <v>12</v>
      </c>
      <c r="G426" s="79" t="s">
        <v>387</v>
      </c>
      <c r="H426" s="79" t="s">
        <v>612</v>
      </c>
      <c r="I426" s="79" t="s">
        <v>613</v>
      </c>
      <c r="J426" s="79" t="s">
        <v>883</v>
      </c>
      <c r="K426" s="79" t="s">
        <v>884</v>
      </c>
      <c r="L426" s="116">
        <v>51817</v>
      </c>
      <c r="M426" s="116">
        <v>51817</v>
      </c>
      <c r="N426" s="117">
        <v>100</v>
      </c>
    </row>
    <row r="427" spans="1:14">
      <c r="A427" s="79" t="s">
        <v>914</v>
      </c>
      <c r="B427" s="79" t="s">
        <v>201</v>
      </c>
      <c r="C427" s="79" t="s">
        <v>610</v>
      </c>
      <c r="D427" s="115" t="s">
        <v>611</v>
      </c>
      <c r="E427" s="115" t="str">
        <f t="shared" si="6"/>
        <v>2</v>
      </c>
      <c r="F427" s="79" t="s">
        <v>12</v>
      </c>
      <c r="G427" s="79" t="s">
        <v>387</v>
      </c>
      <c r="H427" s="79" t="s">
        <v>612</v>
      </c>
      <c r="I427" s="79" t="s">
        <v>613</v>
      </c>
      <c r="J427" s="79" t="s">
        <v>883</v>
      </c>
      <c r="K427" s="79" t="s">
        <v>884</v>
      </c>
      <c r="L427" s="116">
        <v>59275</v>
      </c>
      <c r="M427" s="116">
        <v>59275</v>
      </c>
      <c r="N427" s="117">
        <v>100</v>
      </c>
    </row>
    <row r="428" spans="1:14">
      <c r="A428" s="79" t="s">
        <v>915</v>
      </c>
      <c r="B428" s="79" t="s">
        <v>201</v>
      </c>
      <c r="C428" s="79" t="s">
        <v>610</v>
      </c>
      <c r="D428" s="115" t="s">
        <v>611</v>
      </c>
      <c r="E428" s="115" t="str">
        <f t="shared" si="6"/>
        <v>2</v>
      </c>
      <c r="F428" s="79" t="s">
        <v>12</v>
      </c>
      <c r="G428" s="79" t="s">
        <v>387</v>
      </c>
      <c r="H428" s="79" t="s">
        <v>612</v>
      </c>
      <c r="I428" s="79" t="s">
        <v>613</v>
      </c>
      <c r="J428" s="79" t="s">
        <v>883</v>
      </c>
      <c r="K428" s="79" t="s">
        <v>884</v>
      </c>
      <c r="L428" s="116">
        <v>70488</v>
      </c>
      <c r="M428" s="116">
        <v>70488</v>
      </c>
      <c r="N428" s="117">
        <v>100</v>
      </c>
    </row>
    <row r="429" spans="1:14">
      <c r="A429" s="79" t="s">
        <v>686</v>
      </c>
      <c r="B429" s="79" t="s">
        <v>201</v>
      </c>
      <c r="C429" s="79" t="s">
        <v>916</v>
      </c>
      <c r="D429" s="115" t="s">
        <v>688</v>
      </c>
      <c r="E429" s="115" t="str">
        <f t="shared" si="6"/>
        <v>2</v>
      </c>
      <c r="F429" s="79" t="s">
        <v>17</v>
      </c>
      <c r="G429" s="79" t="s">
        <v>341</v>
      </c>
      <c r="H429" s="79" t="s">
        <v>636</v>
      </c>
      <c r="I429" s="79" t="s">
        <v>637</v>
      </c>
      <c r="J429" s="79" t="s">
        <v>883</v>
      </c>
      <c r="K429" s="79" t="s">
        <v>884</v>
      </c>
      <c r="L429" s="116">
        <v>10920</v>
      </c>
      <c r="M429" s="116">
        <v>8190</v>
      </c>
      <c r="N429" s="117">
        <v>75</v>
      </c>
    </row>
    <row r="430" spans="1:14">
      <c r="A430" s="79" t="s">
        <v>917</v>
      </c>
      <c r="B430" s="79" t="s">
        <v>201</v>
      </c>
      <c r="C430" s="79" t="s">
        <v>916</v>
      </c>
      <c r="D430" s="115" t="s">
        <v>688</v>
      </c>
      <c r="E430" s="115" t="str">
        <f t="shared" si="6"/>
        <v>2</v>
      </c>
      <c r="F430" s="79" t="s">
        <v>17</v>
      </c>
      <c r="G430" s="79" t="s">
        <v>341</v>
      </c>
      <c r="H430" s="79" t="s">
        <v>636</v>
      </c>
      <c r="I430" s="79" t="s">
        <v>637</v>
      </c>
      <c r="J430" s="79" t="s">
        <v>883</v>
      </c>
      <c r="K430" s="79" t="s">
        <v>884</v>
      </c>
      <c r="L430" s="116">
        <v>28012</v>
      </c>
      <c r="M430" s="116">
        <v>28012</v>
      </c>
      <c r="N430" s="117">
        <v>100</v>
      </c>
    </row>
    <row r="431" spans="1:14">
      <c r="A431" s="79" t="s">
        <v>918</v>
      </c>
      <c r="B431" s="79" t="s">
        <v>201</v>
      </c>
      <c r="C431" s="79" t="s">
        <v>916</v>
      </c>
      <c r="D431" s="115" t="s">
        <v>688</v>
      </c>
      <c r="E431" s="115" t="str">
        <f t="shared" si="6"/>
        <v>2</v>
      </c>
      <c r="F431" s="79" t="s">
        <v>17</v>
      </c>
      <c r="G431" s="79" t="s">
        <v>387</v>
      </c>
      <c r="H431" s="79" t="s">
        <v>636</v>
      </c>
      <c r="I431" s="79" t="s">
        <v>637</v>
      </c>
      <c r="J431" s="79" t="s">
        <v>883</v>
      </c>
      <c r="K431" s="79" t="s">
        <v>884</v>
      </c>
      <c r="L431" s="116">
        <v>56250</v>
      </c>
      <c r="M431" s="116">
        <v>56250</v>
      </c>
      <c r="N431" s="117">
        <v>100</v>
      </c>
    </row>
    <row r="432" spans="1:14">
      <c r="A432" s="79" t="s">
        <v>919</v>
      </c>
      <c r="B432" s="79" t="s">
        <v>201</v>
      </c>
      <c r="C432" s="79" t="s">
        <v>916</v>
      </c>
      <c r="D432" s="115" t="s">
        <v>688</v>
      </c>
      <c r="E432" s="115" t="str">
        <f t="shared" si="6"/>
        <v>2</v>
      </c>
      <c r="F432" s="79" t="s">
        <v>17</v>
      </c>
      <c r="G432" s="79" t="s">
        <v>387</v>
      </c>
      <c r="H432" s="79" t="s">
        <v>636</v>
      </c>
      <c r="I432" s="79" t="s">
        <v>637</v>
      </c>
      <c r="J432" s="79" t="s">
        <v>883</v>
      </c>
      <c r="K432" s="79" t="s">
        <v>884</v>
      </c>
      <c r="L432" s="116">
        <v>76351</v>
      </c>
      <c r="M432" s="116">
        <v>76351</v>
      </c>
      <c r="N432" s="117">
        <v>100</v>
      </c>
    </row>
    <row r="433" spans="1:14">
      <c r="A433" s="79" t="s">
        <v>920</v>
      </c>
      <c r="B433" s="79" t="s">
        <v>201</v>
      </c>
      <c r="C433" s="79" t="s">
        <v>916</v>
      </c>
      <c r="D433" s="115" t="s">
        <v>688</v>
      </c>
      <c r="E433" s="115" t="str">
        <f t="shared" si="6"/>
        <v>2</v>
      </c>
      <c r="F433" s="79" t="s">
        <v>17</v>
      </c>
      <c r="G433" s="79" t="s">
        <v>387</v>
      </c>
      <c r="H433" s="79" t="s">
        <v>636</v>
      </c>
      <c r="I433" s="79" t="s">
        <v>637</v>
      </c>
      <c r="J433" s="79" t="s">
        <v>883</v>
      </c>
      <c r="K433" s="79" t="s">
        <v>884</v>
      </c>
      <c r="L433" s="116">
        <v>77000</v>
      </c>
      <c r="M433" s="116">
        <v>77000</v>
      </c>
      <c r="N433" s="117">
        <v>100</v>
      </c>
    </row>
    <row r="434" spans="1:14">
      <c r="A434" s="79" t="s">
        <v>921</v>
      </c>
      <c r="B434" s="79" t="s">
        <v>201</v>
      </c>
      <c r="C434" s="79" t="s">
        <v>916</v>
      </c>
      <c r="D434" s="115" t="s">
        <v>688</v>
      </c>
      <c r="E434" s="115" t="str">
        <f t="shared" si="6"/>
        <v>2</v>
      </c>
      <c r="F434" s="79" t="s">
        <v>17</v>
      </c>
      <c r="G434" s="79" t="s">
        <v>387</v>
      </c>
      <c r="H434" s="79" t="s">
        <v>636</v>
      </c>
      <c r="I434" s="79" t="s">
        <v>637</v>
      </c>
      <c r="J434" s="79" t="s">
        <v>883</v>
      </c>
      <c r="K434" s="79" t="s">
        <v>884</v>
      </c>
      <c r="L434" s="116">
        <v>77600</v>
      </c>
      <c r="M434" s="116">
        <v>77600</v>
      </c>
      <c r="N434" s="117">
        <v>100</v>
      </c>
    </row>
    <row r="435" spans="1:14">
      <c r="A435" s="79" t="s">
        <v>922</v>
      </c>
      <c r="B435" s="79" t="s">
        <v>201</v>
      </c>
      <c r="C435" s="79" t="s">
        <v>916</v>
      </c>
      <c r="D435" s="115" t="s">
        <v>688</v>
      </c>
      <c r="E435" s="115" t="str">
        <f t="shared" si="6"/>
        <v>2</v>
      </c>
      <c r="F435" s="79" t="s">
        <v>17</v>
      </c>
      <c r="G435" s="79" t="s">
        <v>387</v>
      </c>
      <c r="H435" s="79" t="s">
        <v>636</v>
      </c>
      <c r="I435" s="79" t="s">
        <v>637</v>
      </c>
      <c r="J435" s="79" t="s">
        <v>883</v>
      </c>
      <c r="K435" s="79" t="s">
        <v>884</v>
      </c>
      <c r="L435" s="116">
        <v>80375</v>
      </c>
      <c r="M435" s="116">
        <v>80375</v>
      </c>
      <c r="N435" s="117">
        <v>100</v>
      </c>
    </row>
    <row r="436" spans="1:14">
      <c r="A436" s="79" t="s">
        <v>923</v>
      </c>
      <c r="B436" s="79" t="s">
        <v>201</v>
      </c>
      <c r="C436" s="79" t="s">
        <v>916</v>
      </c>
      <c r="D436" s="115" t="s">
        <v>688</v>
      </c>
      <c r="E436" s="115" t="str">
        <f t="shared" si="6"/>
        <v>2</v>
      </c>
      <c r="F436" s="79" t="s">
        <v>17</v>
      </c>
      <c r="G436" s="79" t="s">
        <v>387</v>
      </c>
      <c r="H436" s="79" t="s">
        <v>636</v>
      </c>
      <c r="I436" s="79" t="s">
        <v>637</v>
      </c>
      <c r="J436" s="79" t="s">
        <v>883</v>
      </c>
      <c r="K436" s="79" t="s">
        <v>884</v>
      </c>
      <c r="L436" s="116">
        <v>81000</v>
      </c>
      <c r="M436" s="116">
        <v>81000</v>
      </c>
      <c r="N436" s="117">
        <v>100</v>
      </c>
    </row>
    <row r="437" spans="1:14">
      <c r="A437" s="79" t="s">
        <v>924</v>
      </c>
      <c r="B437" s="79" t="s">
        <v>201</v>
      </c>
      <c r="C437" s="79" t="s">
        <v>916</v>
      </c>
      <c r="D437" s="115" t="s">
        <v>688</v>
      </c>
      <c r="E437" s="115" t="str">
        <f t="shared" si="6"/>
        <v>2</v>
      </c>
      <c r="F437" s="79" t="s">
        <v>17</v>
      </c>
      <c r="G437" s="79" t="s">
        <v>387</v>
      </c>
      <c r="H437" s="79" t="s">
        <v>636</v>
      </c>
      <c r="I437" s="79" t="s">
        <v>637</v>
      </c>
      <c r="J437" s="79" t="s">
        <v>883</v>
      </c>
      <c r="K437" s="79" t="s">
        <v>884</v>
      </c>
      <c r="L437" s="116">
        <v>81648</v>
      </c>
      <c r="M437" s="116">
        <v>81648</v>
      </c>
      <c r="N437" s="117">
        <v>100</v>
      </c>
    </row>
    <row r="438" spans="1:14">
      <c r="A438" s="79" t="s">
        <v>925</v>
      </c>
      <c r="B438" s="79" t="s">
        <v>201</v>
      </c>
      <c r="C438" s="79" t="s">
        <v>916</v>
      </c>
      <c r="D438" s="115" t="s">
        <v>688</v>
      </c>
      <c r="E438" s="115" t="str">
        <f t="shared" si="6"/>
        <v>2</v>
      </c>
      <c r="F438" s="79" t="s">
        <v>17</v>
      </c>
      <c r="G438" s="79" t="s">
        <v>387</v>
      </c>
      <c r="H438" s="79" t="s">
        <v>636</v>
      </c>
      <c r="I438" s="79" t="s">
        <v>637</v>
      </c>
      <c r="J438" s="79" t="s">
        <v>883</v>
      </c>
      <c r="K438" s="79" t="s">
        <v>884</v>
      </c>
      <c r="L438" s="116">
        <v>84000</v>
      </c>
      <c r="M438" s="116">
        <v>84000</v>
      </c>
      <c r="N438" s="117">
        <v>100</v>
      </c>
    </row>
    <row r="439" spans="1:14">
      <c r="A439" s="79" t="s">
        <v>926</v>
      </c>
      <c r="B439" s="79" t="s">
        <v>201</v>
      </c>
      <c r="C439" s="79" t="s">
        <v>916</v>
      </c>
      <c r="D439" s="115" t="s">
        <v>688</v>
      </c>
      <c r="E439" s="115" t="str">
        <f t="shared" si="6"/>
        <v>2</v>
      </c>
      <c r="F439" s="79" t="s">
        <v>17</v>
      </c>
      <c r="G439" s="79" t="s">
        <v>387</v>
      </c>
      <c r="H439" s="79" t="s">
        <v>636</v>
      </c>
      <c r="I439" s="79" t="s">
        <v>637</v>
      </c>
      <c r="J439" s="79" t="s">
        <v>883</v>
      </c>
      <c r="K439" s="79" t="s">
        <v>884</v>
      </c>
      <c r="L439" s="116">
        <v>85536</v>
      </c>
      <c r="M439" s="116">
        <v>85536</v>
      </c>
      <c r="N439" s="117">
        <v>100</v>
      </c>
    </row>
    <row r="440" spans="1:14">
      <c r="A440" s="79" t="s">
        <v>927</v>
      </c>
      <c r="B440" s="79" t="s">
        <v>201</v>
      </c>
      <c r="C440" s="79" t="s">
        <v>916</v>
      </c>
      <c r="D440" s="115" t="s">
        <v>688</v>
      </c>
      <c r="E440" s="115" t="str">
        <f t="shared" si="6"/>
        <v>2</v>
      </c>
      <c r="F440" s="79" t="s">
        <v>17</v>
      </c>
      <c r="G440" s="79" t="s">
        <v>387</v>
      </c>
      <c r="H440" s="79" t="s">
        <v>636</v>
      </c>
      <c r="I440" s="79" t="s">
        <v>637</v>
      </c>
      <c r="J440" s="79" t="s">
        <v>883</v>
      </c>
      <c r="K440" s="79" t="s">
        <v>884</v>
      </c>
      <c r="L440" s="116">
        <v>101673</v>
      </c>
      <c r="M440" s="116">
        <v>88011</v>
      </c>
      <c r="N440" s="117">
        <v>86.56</v>
      </c>
    </row>
    <row r="441" spans="1:14">
      <c r="A441" s="79" t="s">
        <v>928</v>
      </c>
      <c r="B441" s="79" t="s">
        <v>201</v>
      </c>
      <c r="C441" s="79" t="s">
        <v>916</v>
      </c>
      <c r="D441" s="115" t="s">
        <v>688</v>
      </c>
      <c r="E441" s="115" t="str">
        <f t="shared" si="6"/>
        <v>2</v>
      </c>
      <c r="F441" s="79" t="s">
        <v>17</v>
      </c>
      <c r="G441" s="79" t="s">
        <v>387</v>
      </c>
      <c r="H441" s="79" t="s">
        <v>636</v>
      </c>
      <c r="I441" s="79" t="s">
        <v>637</v>
      </c>
      <c r="J441" s="79" t="s">
        <v>883</v>
      </c>
      <c r="K441" s="79" t="s">
        <v>884</v>
      </c>
      <c r="L441" s="116">
        <v>98000</v>
      </c>
      <c r="M441" s="116">
        <v>98000</v>
      </c>
      <c r="N441" s="117">
        <v>100</v>
      </c>
    </row>
    <row r="442" spans="1:14">
      <c r="A442" s="79" t="s">
        <v>929</v>
      </c>
      <c r="B442" s="79" t="s">
        <v>201</v>
      </c>
      <c r="C442" s="79" t="s">
        <v>691</v>
      </c>
      <c r="D442" s="115" t="s">
        <v>692</v>
      </c>
      <c r="E442" s="115" t="str">
        <f t="shared" si="6"/>
        <v>2</v>
      </c>
      <c r="F442" s="79" t="s">
        <v>18</v>
      </c>
      <c r="G442" s="79" t="s">
        <v>341</v>
      </c>
      <c r="H442" s="79" t="s">
        <v>636</v>
      </c>
      <c r="I442" s="79" t="s">
        <v>637</v>
      </c>
      <c r="J442" s="79" t="s">
        <v>883</v>
      </c>
      <c r="K442" s="79" t="s">
        <v>884</v>
      </c>
      <c r="L442" s="116">
        <v>12493</v>
      </c>
      <c r="M442" s="116">
        <v>12493</v>
      </c>
      <c r="N442" s="117">
        <v>100</v>
      </c>
    </row>
    <row r="443" spans="1:14">
      <c r="A443" s="79" t="s">
        <v>930</v>
      </c>
      <c r="B443" s="79" t="s">
        <v>201</v>
      </c>
      <c r="C443" s="79" t="s">
        <v>691</v>
      </c>
      <c r="D443" s="115" t="s">
        <v>692</v>
      </c>
      <c r="E443" s="115" t="str">
        <f t="shared" si="6"/>
        <v>2</v>
      </c>
      <c r="F443" s="79" t="s">
        <v>18</v>
      </c>
      <c r="G443" s="79" t="s">
        <v>387</v>
      </c>
      <c r="H443" s="79" t="s">
        <v>636</v>
      </c>
      <c r="I443" s="79" t="s">
        <v>637</v>
      </c>
      <c r="J443" s="79" t="s">
        <v>883</v>
      </c>
      <c r="K443" s="79" t="s">
        <v>884</v>
      </c>
      <c r="L443" s="116">
        <v>52417</v>
      </c>
      <c r="M443" s="116">
        <v>52417</v>
      </c>
      <c r="N443" s="117">
        <v>100</v>
      </c>
    </row>
    <row r="444" spans="1:14">
      <c r="A444" s="79" t="s">
        <v>931</v>
      </c>
      <c r="B444" s="79" t="s">
        <v>201</v>
      </c>
      <c r="C444" s="79" t="s">
        <v>691</v>
      </c>
      <c r="D444" s="115" t="s">
        <v>692</v>
      </c>
      <c r="E444" s="115" t="str">
        <f t="shared" si="6"/>
        <v>2</v>
      </c>
      <c r="F444" s="79" t="s">
        <v>18</v>
      </c>
      <c r="G444" s="79" t="s">
        <v>387</v>
      </c>
      <c r="H444" s="79" t="s">
        <v>636</v>
      </c>
      <c r="I444" s="79" t="s">
        <v>637</v>
      </c>
      <c r="J444" s="79" t="s">
        <v>883</v>
      </c>
      <c r="K444" s="79" t="s">
        <v>884</v>
      </c>
      <c r="L444" s="116">
        <v>85565</v>
      </c>
      <c r="M444" s="116">
        <v>85565</v>
      </c>
      <c r="N444" s="117">
        <v>100</v>
      </c>
    </row>
    <row r="445" spans="1:14">
      <c r="A445" s="79" t="s">
        <v>932</v>
      </c>
      <c r="B445" s="79" t="s">
        <v>201</v>
      </c>
      <c r="C445" s="79" t="s">
        <v>933</v>
      </c>
      <c r="D445" s="118">
        <v>3810</v>
      </c>
      <c r="E445" s="115" t="str">
        <f t="shared" si="6"/>
        <v>3</v>
      </c>
      <c r="F445" s="79" t="s">
        <v>934</v>
      </c>
      <c r="G445" s="79" t="s">
        <v>328</v>
      </c>
      <c r="H445" s="79" t="s">
        <v>711</v>
      </c>
      <c r="I445" s="79" t="s">
        <v>712</v>
      </c>
      <c r="J445" s="79" t="s">
        <v>883</v>
      </c>
      <c r="K445" s="79" t="s">
        <v>884</v>
      </c>
      <c r="L445" s="116">
        <v>39132</v>
      </c>
      <c r="M445" s="116">
        <v>3287</v>
      </c>
      <c r="N445" s="117">
        <v>8.4</v>
      </c>
    </row>
    <row r="446" spans="1:14">
      <c r="A446" s="79" t="s">
        <v>935</v>
      </c>
      <c r="B446" s="79" t="s">
        <v>201</v>
      </c>
      <c r="C446" s="79" t="s">
        <v>933</v>
      </c>
      <c r="D446" s="118">
        <v>3810</v>
      </c>
      <c r="E446" s="115" t="str">
        <f t="shared" ref="E446:E507" si="7">LEFT(D446,1)</f>
        <v>3</v>
      </c>
      <c r="F446" s="79" t="s">
        <v>934</v>
      </c>
      <c r="G446" s="79" t="s">
        <v>328</v>
      </c>
      <c r="H446" s="79" t="s">
        <v>711</v>
      </c>
      <c r="I446" s="79" t="s">
        <v>712</v>
      </c>
      <c r="J446" s="79" t="s">
        <v>883</v>
      </c>
      <c r="K446" s="79" t="s">
        <v>884</v>
      </c>
      <c r="L446" s="116">
        <v>46000</v>
      </c>
      <c r="M446" s="116">
        <v>13928</v>
      </c>
      <c r="N446" s="117">
        <v>30.28</v>
      </c>
    </row>
    <row r="447" spans="1:14">
      <c r="A447" s="79" t="s">
        <v>936</v>
      </c>
      <c r="B447" s="79" t="s">
        <v>201</v>
      </c>
      <c r="C447" s="79" t="s">
        <v>933</v>
      </c>
      <c r="D447" s="118">
        <v>3810</v>
      </c>
      <c r="E447" s="115" t="str">
        <f t="shared" si="7"/>
        <v>3</v>
      </c>
      <c r="F447" s="79" t="s">
        <v>934</v>
      </c>
      <c r="G447" s="79" t="s">
        <v>328</v>
      </c>
      <c r="H447" s="79" t="s">
        <v>711</v>
      </c>
      <c r="I447" s="79" t="s">
        <v>712</v>
      </c>
      <c r="J447" s="79" t="s">
        <v>883</v>
      </c>
      <c r="K447" s="79" t="s">
        <v>884</v>
      </c>
      <c r="L447" s="116">
        <v>99554</v>
      </c>
      <c r="M447" s="116">
        <v>22529</v>
      </c>
      <c r="N447" s="117">
        <v>22.63</v>
      </c>
    </row>
    <row r="448" spans="1:14">
      <c r="A448" s="79" t="s">
        <v>937</v>
      </c>
      <c r="B448" s="79" t="s">
        <v>201</v>
      </c>
      <c r="C448" s="79" t="s">
        <v>933</v>
      </c>
      <c r="D448" s="118">
        <v>3810</v>
      </c>
      <c r="E448" s="115" t="str">
        <f t="shared" si="7"/>
        <v>3</v>
      </c>
      <c r="F448" s="79" t="s">
        <v>934</v>
      </c>
      <c r="G448" s="79" t="s">
        <v>328</v>
      </c>
      <c r="H448" s="79" t="s">
        <v>711</v>
      </c>
      <c r="I448" s="79" t="s">
        <v>712</v>
      </c>
      <c r="J448" s="79" t="s">
        <v>883</v>
      </c>
      <c r="K448" s="79" t="s">
        <v>884</v>
      </c>
      <c r="L448" s="116">
        <v>52000</v>
      </c>
      <c r="M448" s="116">
        <v>24782</v>
      </c>
      <c r="N448" s="117">
        <v>47.66</v>
      </c>
    </row>
    <row r="449" spans="1:14">
      <c r="A449" s="79" t="s">
        <v>938</v>
      </c>
      <c r="B449" s="79" t="s">
        <v>201</v>
      </c>
      <c r="C449" s="79" t="s">
        <v>933</v>
      </c>
      <c r="D449" s="118">
        <v>3810</v>
      </c>
      <c r="E449" s="115" t="str">
        <f t="shared" si="7"/>
        <v>3</v>
      </c>
      <c r="F449" s="79" t="s">
        <v>934</v>
      </c>
      <c r="G449" s="79" t="s">
        <v>328</v>
      </c>
      <c r="H449" s="79" t="s">
        <v>711</v>
      </c>
      <c r="I449" s="79" t="s">
        <v>712</v>
      </c>
      <c r="J449" s="79" t="s">
        <v>883</v>
      </c>
      <c r="K449" s="79" t="s">
        <v>884</v>
      </c>
      <c r="L449" s="116">
        <v>66763</v>
      </c>
      <c r="M449" s="116">
        <v>27173</v>
      </c>
      <c r="N449" s="117">
        <v>40.700000000000003</v>
      </c>
    </row>
    <row r="450" spans="1:14">
      <c r="A450" s="79" t="s">
        <v>939</v>
      </c>
      <c r="B450" s="79" t="s">
        <v>201</v>
      </c>
      <c r="C450" s="79" t="s">
        <v>933</v>
      </c>
      <c r="D450" s="118">
        <v>3810</v>
      </c>
      <c r="E450" s="115" t="str">
        <f t="shared" si="7"/>
        <v>3</v>
      </c>
      <c r="F450" s="79" t="s">
        <v>934</v>
      </c>
      <c r="G450" s="79" t="s">
        <v>328</v>
      </c>
      <c r="H450" s="79" t="s">
        <v>711</v>
      </c>
      <c r="I450" s="79" t="s">
        <v>712</v>
      </c>
      <c r="J450" s="79" t="s">
        <v>883</v>
      </c>
      <c r="K450" s="79" t="s">
        <v>884</v>
      </c>
      <c r="L450" s="116">
        <v>43099</v>
      </c>
      <c r="M450" s="116">
        <v>34479</v>
      </c>
      <c r="N450" s="117">
        <v>80</v>
      </c>
    </row>
    <row r="451" spans="1:14">
      <c r="A451" s="79" t="s">
        <v>940</v>
      </c>
      <c r="B451" s="79" t="s">
        <v>201</v>
      </c>
      <c r="C451" s="79" t="s">
        <v>933</v>
      </c>
      <c r="D451" s="118">
        <v>3810</v>
      </c>
      <c r="E451" s="115" t="str">
        <f t="shared" si="7"/>
        <v>3</v>
      </c>
      <c r="F451" s="79" t="s">
        <v>934</v>
      </c>
      <c r="G451" s="79" t="s">
        <v>328</v>
      </c>
      <c r="H451" s="79" t="s">
        <v>711</v>
      </c>
      <c r="I451" s="79" t="s">
        <v>712</v>
      </c>
      <c r="J451" s="79" t="s">
        <v>883</v>
      </c>
      <c r="K451" s="79" t="s">
        <v>884</v>
      </c>
      <c r="L451" s="116">
        <v>47390</v>
      </c>
      <c r="M451" s="116">
        <v>39334</v>
      </c>
      <c r="N451" s="117">
        <v>83</v>
      </c>
    </row>
    <row r="452" spans="1:14">
      <c r="A452" s="79" t="s">
        <v>941</v>
      </c>
      <c r="B452" s="79" t="s">
        <v>201</v>
      </c>
      <c r="C452" s="79" t="s">
        <v>933</v>
      </c>
      <c r="D452" s="118">
        <v>3810</v>
      </c>
      <c r="E452" s="115" t="str">
        <f t="shared" si="7"/>
        <v>3</v>
      </c>
      <c r="F452" s="79" t="s">
        <v>934</v>
      </c>
      <c r="G452" s="79" t="s">
        <v>328</v>
      </c>
      <c r="H452" s="79" t="s">
        <v>711</v>
      </c>
      <c r="I452" s="79" t="s">
        <v>712</v>
      </c>
      <c r="J452" s="79" t="s">
        <v>883</v>
      </c>
      <c r="K452" s="79" t="s">
        <v>884</v>
      </c>
      <c r="L452" s="116">
        <v>40000</v>
      </c>
      <c r="M452" s="116">
        <v>40000</v>
      </c>
      <c r="N452" s="117">
        <v>100</v>
      </c>
    </row>
    <row r="453" spans="1:14">
      <c r="A453" s="79" t="s">
        <v>942</v>
      </c>
      <c r="B453" s="79" t="s">
        <v>201</v>
      </c>
      <c r="C453" s="79" t="s">
        <v>933</v>
      </c>
      <c r="D453" s="118">
        <v>3810</v>
      </c>
      <c r="E453" s="115" t="str">
        <f t="shared" si="7"/>
        <v>3</v>
      </c>
      <c r="F453" s="79" t="s">
        <v>934</v>
      </c>
      <c r="G453" s="79" t="s">
        <v>328</v>
      </c>
      <c r="H453" s="79" t="s">
        <v>711</v>
      </c>
      <c r="I453" s="79" t="s">
        <v>712</v>
      </c>
      <c r="J453" s="79" t="s">
        <v>883</v>
      </c>
      <c r="K453" s="79" t="s">
        <v>884</v>
      </c>
      <c r="L453" s="116">
        <v>74000</v>
      </c>
      <c r="M453" s="116">
        <v>41581</v>
      </c>
      <c r="N453" s="117">
        <v>56.19</v>
      </c>
    </row>
    <row r="454" spans="1:14">
      <c r="A454" s="79" t="s">
        <v>943</v>
      </c>
      <c r="B454" s="79" t="s">
        <v>201</v>
      </c>
      <c r="C454" s="79" t="s">
        <v>933</v>
      </c>
      <c r="D454" s="118">
        <v>3810</v>
      </c>
      <c r="E454" s="115" t="str">
        <f t="shared" si="7"/>
        <v>3</v>
      </c>
      <c r="F454" s="79" t="s">
        <v>934</v>
      </c>
      <c r="G454" s="79" t="s">
        <v>328</v>
      </c>
      <c r="H454" s="79" t="s">
        <v>711</v>
      </c>
      <c r="I454" s="79" t="s">
        <v>712</v>
      </c>
      <c r="J454" s="79" t="s">
        <v>883</v>
      </c>
      <c r="K454" s="79" t="s">
        <v>884</v>
      </c>
      <c r="L454" s="116">
        <v>47270</v>
      </c>
      <c r="M454" s="116">
        <v>43961</v>
      </c>
      <c r="N454" s="117">
        <v>93</v>
      </c>
    </row>
    <row r="455" spans="1:14">
      <c r="A455" s="79" t="s">
        <v>944</v>
      </c>
      <c r="B455" s="79" t="s">
        <v>201</v>
      </c>
      <c r="C455" s="79" t="s">
        <v>933</v>
      </c>
      <c r="D455" s="118">
        <v>3810</v>
      </c>
      <c r="E455" s="115" t="str">
        <f t="shared" si="7"/>
        <v>3</v>
      </c>
      <c r="F455" s="79" t="s">
        <v>934</v>
      </c>
      <c r="G455" s="79" t="s">
        <v>328</v>
      </c>
      <c r="H455" s="79" t="s">
        <v>711</v>
      </c>
      <c r="I455" s="79" t="s">
        <v>712</v>
      </c>
      <c r="J455" s="79" t="s">
        <v>883</v>
      </c>
      <c r="K455" s="79" t="s">
        <v>884</v>
      </c>
      <c r="L455" s="116">
        <v>74000</v>
      </c>
      <c r="M455" s="116">
        <v>51023</v>
      </c>
      <c r="N455" s="117">
        <v>68.95</v>
      </c>
    </row>
    <row r="456" spans="1:14">
      <c r="A456" s="79" t="s">
        <v>945</v>
      </c>
      <c r="B456" s="79" t="s">
        <v>201</v>
      </c>
      <c r="C456" s="79" t="s">
        <v>933</v>
      </c>
      <c r="D456" s="118">
        <v>3810</v>
      </c>
      <c r="E456" s="115" t="str">
        <f t="shared" si="7"/>
        <v>3</v>
      </c>
      <c r="F456" s="79" t="s">
        <v>934</v>
      </c>
      <c r="G456" s="79" t="s">
        <v>328</v>
      </c>
      <c r="H456" s="79" t="s">
        <v>711</v>
      </c>
      <c r="I456" s="79" t="s">
        <v>712</v>
      </c>
      <c r="J456" s="79" t="s">
        <v>883</v>
      </c>
      <c r="K456" s="79" t="s">
        <v>884</v>
      </c>
      <c r="L456" s="116">
        <v>56000</v>
      </c>
      <c r="M456" s="116">
        <v>51643</v>
      </c>
      <c r="N456" s="117">
        <v>92.22</v>
      </c>
    </row>
    <row r="457" spans="1:14">
      <c r="A457" s="79" t="s">
        <v>946</v>
      </c>
      <c r="B457" s="79" t="s">
        <v>201</v>
      </c>
      <c r="C457" s="79" t="s">
        <v>933</v>
      </c>
      <c r="D457" s="118">
        <v>3810</v>
      </c>
      <c r="E457" s="115" t="str">
        <f t="shared" si="7"/>
        <v>3</v>
      </c>
      <c r="F457" s="79" t="s">
        <v>934</v>
      </c>
      <c r="G457" s="79" t="s">
        <v>328</v>
      </c>
      <c r="H457" s="79" t="s">
        <v>711</v>
      </c>
      <c r="I457" s="79" t="s">
        <v>712</v>
      </c>
      <c r="J457" s="79" t="s">
        <v>883</v>
      </c>
      <c r="K457" s="79" t="s">
        <v>884</v>
      </c>
      <c r="L457" s="116">
        <v>58150</v>
      </c>
      <c r="M457" s="116">
        <v>58150</v>
      </c>
      <c r="N457" s="117">
        <v>100</v>
      </c>
    </row>
    <row r="458" spans="1:14">
      <c r="A458" s="79" t="s">
        <v>947</v>
      </c>
      <c r="B458" s="79" t="s">
        <v>201</v>
      </c>
      <c r="C458" s="79" t="s">
        <v>933</v>
      </c>
      <c r="D458" s="118">
        <v>3810</v>
      </c>
      <c r="E458" s="115" t="str">
        <f t="shared" si="7"/>
        <v>3</v>
      </c>
      <c r="F458" s="79" t="s">
        <v>934</v>
      </c>
      <c r="G458" s="79" t="s">
        <v>328</v>
      </c>
      <c r="H458" s="79" t="s">
        <v>711</v>
      </c>
      <c r="I458" s="79" t="s">
        <v>712</v>
      </c>
      <c r="J458" s="79" t="s">
        <v>883</v>
      </c>
      <c r="K458" s="79" t="s">
        <v>884</v>
      </c>
      <c r="L458" s="116">
        <v>74068</v>
      </c>
      <c r="M458" s="116">
        <v>70365</v>
      </c>
      <c r="N458" s="117">
        <v>95</v>
      </c>
    </row>
    <row r="459" spans="1:14">
      <c r="A459" s="79" t="s">
        <v>948</v>
      </c>
      <c r="B459" s="79" t="s">
        <v>201</v>
      </c>
      <c r="C459" s="79" t="s">
        <v>933</v>
      </c>
      <c r="D459" s="118">
        <v>3810</v>
      </c>
      <c r="E459" s="115" t="str">
        <f t="shared" si="7"/>
        <v>3</v>
      </c>
      <c r="F459" s="79" t="s">
        <v>934</v>
      </c>
      <c r="G459" s="79" t="s">
        <v>328</v>
      </c>
      <c r="H459" s="79" t="s">
        <v>711</v>
      </c>
      <c r="I459" s="79" t="s">
        <v>712</v>
      </c>
      <c r="J459" s="79" t="s">
        <v>883</v>
      </c>
      <c r="K459" s="79" t="s">
        <v>884</v>
      </c>
      <c r="L459" s="116">
        <v>73058</v>
      </c>
      <c r="M459" s="116">
        <v>73058</v>
      </c>
      <c r="N459" s="117">
        <v>100</v>
      </c>
    </row>
    <row r="460" spans="1:14">
      <c r="A460" s="79" t="s">
        <v>551</v>
      </c>
      <c r="B460" s="79" t="s">
        <v>201</v>
      </c>
      <c r="C460" s="79" t="s">
        <v>949</v>
      </c>
      <c r="D460" s="115" t="s">
        <v>545</v>
      </c>
      <c r="E460" s="115" t="str">
        <f t="shared" si="7"/>
        <v>2</v>
      </c>
      <c r="F460" s="79" t="s">
        <v>950</v>
      </c>
      <c r="G460" s="79" t="s">
        <v>328</v>
      </c>
      <c r="H460" s="79" t="s">
        <v>711</v>
      </c>
      <c r="I460" s="79" t="s">
        <v>712</v>
      </c>
      <c r="J460" s="79" t="s">
        <v>883</v>
      </c>
      <c r="K460" s="79" t="s">
        <v>884</v>
      </c>
      <c r="L460" s="116">
        <v>74783</v>
      </c>
      <c r="M460" s="116">
        <v>18696</v>
      </c>
      <c r="N460" s="117">
        <v>25</v>
      </c>
    </row>
    <row r="461" spans="1:14">
      <c r="A461" s="79" t="s">
        <v>951</v>
      </c>
      <c r="B461" s="79" t="s">
        <v>201</v>
      </c>
      <c r="C461" s="79" t="s">
        <v>952</v>
      </c>
      <c r="D461" s="115" t="s">
        <v>953</v>
      </c>
      <c r="E461" s="115" t="str">
        <f t="shared" si="7"/>
        <v>5</v>
      </c>
      <c r="F461" s="79" t="s">
        <v>954</v>
      </c>
      <c r="G461" s="79" t="s">
        <v>328</v>
      </c>
      <c r="H461" s="79" t="s">
        <v>724</v>
      </c>
      <c r="I461" s="79" t="s">
        <v>725</v>
      </c>
      <c r="J461" s="79" t="s">
        <v>883</v>
      </c>
      <c r="K461" s="79" t="s">
        <v>884</v>
      </c>
      <c r="L461" s="116">
        <v>35411</v>
      </c>
      <c r="M461" s="116">
        <v>35411</v>
      </c>
      <c r="N461" s="117">
        <v>100</v>
      </c>
    </row>
    <row r="462" spans="1:14">
      <c r="A462" s="79" t="s">
        <v>955</v>
      </c>
      <c r="B462" s="79" t="s">
        <v>201</v>
      </c>
      <c r="C462" s="79" t="s">
        <v>956</v>
      </c>
      <c r="D462" s="115" t="s">
        <v>957</v>
      </c>
      <c r="E462" s="115" t="str">
        <f t="shared" si="7"/>
        <v>2</v>
      </c>
      <c r="F462" s="79" t="s">
        <v>958</v>
      </c>
      <c r="G462" s="79" t="s">
        <v>328</v>
      </c>
      <c r="H462" s="79" t="s">
        <v>959</v>
      </c>
      <c r="I462" s="79" t="s">
        <v>960</v>
      </c>
      <c r="J462" s="79" t="s">
        <v>883</v>
      </c>
      <c r="K462" s="79" t="s">
        <v>884</v>
      </c>
      <c r="L462" s="116">
        <v>90917</v>
      </c>
      <c r="M462" s="116">
        <v>90917</v>
      </c>
      <c r="N462" s="117">
        <v>100</v>
      </c>
    </row>
    <row r="463" spans="1:14">
      <c r="A463" s="79" t="s">
        <v>682</v>
      </c>
      <c r="B463" s="79" t="s">
        <v>961</v>
      </c>
      <c r="C463" s="79" t="s">
        <v>649</v>
      </c>
      <c r="D463" s="115" t="s">
        <v>650</v>
      </c>
      <c r="E463" s="115" t="str">
        <f t="shared" si="7"/>
        <v>2</v>
      </c>
      <c r="F463" s="79" t="s">
        <v>15</v>
      </c>
      <c r="G463" s="79" t="s">
        <v>387</v>
      </c>
      <c r="H463" s="79" t="s">
        <v>636</v>
      </c>
      <c r="I463" s="79" t="s">
        <v>637</v>
      </c>
      <c r="J463" s="79" t="s">
        <v>962</v>
      </c>
      <c r="K463" s="79" t="s">
        <v>963</v>
      </c>
      <c r="L463" s="116">
        <v>106221</v>
      </c>
      <c r="M463" s="116">
        <v>13662</v>
      </c>
      <c r="N463" s="117">
        <v>12.86</v>
      </c>
    </row>
    <row r="464" spans="1:14">
      <c r="A464" s="79" t="s">
        <v>964</v>
      </c>
      <c r="B464" s="79" t="s">
        <v>961</v>
      </c>
      <c r="C464" s="79" t="s">
        <v>649</v>
      </c>
      <c r="D464" s="115" t="s">
        <v>650</v>
      </c>
      <c r="E464" s="115" t="str">
        <f t="shared" si="7"/>
        <v>2</v>
      </c>
      <c r="F464" s="79" t="s">
        <v>15</v>
      </c>
      <c r="G464" s="79" t="s">
        <v>328</v>
      </c>
      <c r="H464" s="79" t="s">
        <v>636</v>
      </c>
      <c r="I464" s="79" t="s">
        <v>637</v>
      </c>
      <c r="J464" s="79" t="s">
        <v>962</v>
      </c>
      <c r="K464" s="79" t="s">
        <v>963</v>
      </c>
      <c r="L464" s="116">
        <v>32428</v>
      </c>
      <c r="M464" s="116">
        <v>32428</v>
      </c>
      <c r="N464" s="117">
        <v>100</v>
      </c>
    </row>
    <row r="465" spans="1:14">
      <c r="A465" s="79" t="s">
        <v>965</v>
      </c>
      <c r="B465" s="79" t="s">
        <v>961</v>
      </c>
      <c r="C465" s="79" t="s">
        <v>649</v>
      </c>
      <c r="D465" s="115" t="s">
        <v>650</v>
      </c>
      <c r="E465" s="115" t="str">
        <f t="shared" si="7"/>
        <v>2</v>
      </c>
      <c r="F465" s="79" t="s">
        <v>15</v>
      </c>
      <c r="G465" s="79" t="s">
        <v>387</v>
      </c>
      <c r="H465" s="79" t="s">
        <v>636</v>
      </c>
      <c r="I465" s="79" t="s">
        <v>637</v>
      </c>
      <c r="J465" s="79" t="s">
        <v>962</v>
      </c>
      <c r="K465" s="79" t="s">
        <v>963</v>
      </c>
      <c r="L465" s="116">
        <v>39068</v>
      </c>
      <c r="M465" s="116">
        <v>39068</v>
      </c>
      <c r="N465" s="117">
        <v>100</v>
      </c>
    </row>
    <row r="466" spans="1:14">
      <c r="A466" s="79" t="s">
        <v>966</v>
      </c>
      <c r="B466" s="79" t="s">
        <v>961</v>
      </c>
      <c r="C466" s="79" t="s">
        <v>649</v>
      </c>
      <c r="D466" s="115" t="s">
        <v>650</v>
      </c>
      <c r="E466" s="115" t="str">
        <f t="shared" si="7"/>
        <v>2</v>
      </c>
      <c r="F466" s="79" t="s">
        <v>15</v>
      </c>
      <c r="G466" s="79" t="s">
        <v>387</v>
      </c>
      <c r="H466" s="79" t="s">
        <v>636</v>
      </c>
      <c r="I466" s="79" t="s">
        <v>637</v>
      </c>
      <c r="J466" s="79" t="s">
        <v>962</v>
      </c>
      <c r="K466" s="79" t="s">
        <v>963</v>
      </c>
      <c r="L466" s="116">
        <v>48953</v>
      </c>
      <c r="M466" s="116">
        <v>48953</v>
      </c>
      <c r="N466" s="117">
        <v>100</v>
      </c>
    </row>
    <row r="467" spans="1:14">
      <c r="A467" s="79" t="s">
        <v>967</v>
      </c>
      <c r="B467" s="79" t="s">
        <v>961</v>
      </c>
      <c r="C467" s="79" t="s">
        <v>649</v>
      </c>
      <c r="D467" s="115" t="s">
        <v>650</v>
      </c>
      <c r="E467" s="115" t="str">
        <f t="shared" si="7"/>
        <v>2</v>
      </c>
      <c r="F467" s="79" t="s">
        <v>15</v>
      </c>
      <c r="G467" s="79" t="s">
        <v>387</v>
      </c>
      <c r="H467" s="79" t="s">
        <v>636</v>
      </c>
      <c r="I467" s="79" t="s">
        <v>637</v>
      </c>
      <c r="J467" s="79" t="s">
        <v>962</v>
      </c>
      <c r="K467" s="79" t="s">
        <v>963</v>
      </c>
      <c r="L467" s="116">
        <v>51817</v>
      </c>
      <c r="M467" s="116">
        <v>51817</v>
      </c>
      <c r="N467" s="117">
        <v>100</v>
      </c>
    </row>
    <row r="468" spans="1:14">
      <c r="A468" s="79" t="s">
        <v>927</v>
      </c>
      <c r="B468" s="79" t="s">
        <v>961</v>
      </c>
      <c r="C468" s="79" t="s">
        <v>916</v>
      </c>
      <c r="D468" s="115" t="s">
        <v>688</v>
      </c>
      <c r="E468" s="115" t="str">
        <f t="shared" si="7"/>
        <v>2</v>
      </c>
      <c r="F468" s="79" t="s">
        <v>17</v>
      </c>
      <c r="G468" s="79" t="s">
        <v>387</v>
      </c>
      <c r="H468" s="79" t="s">
        <v>636</v>
      </c>
      <c r="I468" s="79" t="s">
        <v>637</v>
      </c>
      <c r="J468" s="79" t="s">
        <v>962</v>
      </c>
      <c r="K468" s="79" t="s">
        <v>963</v>
      </c>
      <c r="L468" s="116">
        <v>101673</v>
      </c>
      <c r="M468" s="116">
        <v>13662</v>
      </c>
      <c r="N468" s="117">
        <v>13.44</v>
      </c>
    </row>
    <row r="469" spans="1:14">
      <c r="A469" s="79" t="s">
        <v>695</v>
      </c>
      <c r="B469" s="79" t="s">
        <v>961</v>
      </c>
      <c r="C469" s="79" t="s">
        <v>691</v>
      </c>
      <c r="D469" s="115" t="s">
        <v>692</v>
      </c>
      <c r="E469" s="115" t="str">
        <f t="shared" si="7"/>
        <v>2</v>
      </c>
      <c r="F469" s="79" t="s">
        <v>18</v>
      </c>
      <c r="G469" s="79" t="s">
        <v>387</v>
      </c>
      <c r="H469" s="79" t="s">
        <v>636</v>
      </c>
      <c r="I469" s="79" t="s">
        <v>637</v>
      </c>
      <c r="J469" s="79" t="s">
        <v>962</v>
      </c>
      <c r="K469" s="79" t="s">
        <v>963</v>
      </c>
      <c r="L469" s="116">
        <v>56817</v>
      </c>
      <c r="M469" s="116">
        <v>5000</v>
      </c>
      <c r="N469" s="117">
        <v>8.8000000000000007</v>
      </c>
    </row>
    <row r="470" spans="1:14">
      <c r="A470" s="79" t="s">
        <v>968</v>
      </c>
      <c r="B470" s="79" t="s">
        <v>961</v>
      </c>
      <c r="C470" s="79" t="s">
        <v>878</v>
      </c>
      <c r="D470" s="115" t="s">
        <v>969</v>
      </c>
      <c r="E470" s="115" t="str">
        <f t="shared" si="7"/>
        <v>2</v>
      </c>
      <c r="F470" s="79" t="s">
        <v>879</v>
      </c>
      <c r="G470" s="79" t="s">
        <v>341</v>
      </c>
      <c r="H470" s="79" t="s">
        <v>724</v>
      </c>
      <c r="I470" s="79" t="s">
        <v>725</v>
      </c>
      <c r="J470" s="79" t="s">
        <v>962</v>
      </c>
      <c r="K470" s="79" t="s">
        <v>963</v>
      </c>
      <c r="L470" s="116">
        <v>23086</v>
      </c>
      <c r="M470" s="116">
        <v>1099</v>
      </c>
      <c r="N470" s="117">
        <v>4.76</v>
      </c>
    </row>
    <row r="471" spans="1:14">
      <c r="A471" s="79" t="s">
        <v>970</v>
      </c>
      <c r="B471" s="79" t="s">
        <v>961</v>
      </c>
      <c r="C471" s="79" t="s">
        <v>878</v>
      </c>
      <c r="D471" s="115" t="s">
        <v>969</v>
      </c>
      <c r="E471" s="115" t="str">
        <f t="shared" si="7"/>
        <v>2</v>
      </c>
      <c r="F471" s="79" t="s">
        <v>879</v>
      </c>
      <c r="G471" s="79" t="s">
        <v>341</v>
      </c>
      <c r="H471" s="79" t="s">
        <v>724</v>
      </c>
      <c r="I471" s="79" t="s">
        <v>725</v>
      </c>
      <c r="J471" s="79" t="s">
        <v>962</v>
      </c>
      <c r="K471" s="79" t="s">
        <v>963</v>
      </c>
      <c r="L471" s="116">
        <v>23086</v>
      </c>
      <c r="M471" s="116">
        <v>1099</v>
      </c>
      <c r="N471" s="117">
        <v>4.76</v>
      </c>
    </row>
    <row r="472" spans="1:14">
      <c r="A472" s="79" t="s">
        <v>971</v>
      </c>
      <c r="B472" s="79" t="s">
        <v>961</v>
      </c>
      <c r="C472" s="79" t="s">
        <v>878</v>
      </c>
      <c r="D472" s="115" t="s">
        <v>969</v>
      </c>
      <c r="E472" s="115" t="str">
        <f t="shared" si="7"/>
        <v>2</v>
      </c>
      <c r="F472" s="79" t="s">
        <v>879</v>
      </c>
      <c r="G472" s="79" t="s">
        <v>341</v>
      </c>
      <c r="H472" s="79" t="s">
        <v>724</v>
      </c>
      <c r="I472" s="79" t="s">
        <v>725</v>
      </c>
      <c r="J472" s="79" t="s">
        <v>962</v>
      </c>
      <c r="K472" s="79" t="s">
        <v>963</v>
      </c>
      <c r="L472" s="116">
        <v>23086</v>
      </c>
      <c r="M472" s="116">
        <v>1099</v>
      </c>
      <c r="N472" s="117">
        <v>4.76</v>
      </c>
    </row>
    <row r="473" spans="1:14">
      <c r="A473" s="79" t="s">
        <v>972</v>
      </c>
      <c r="B473" s="79" t="s">
        <v>961</v>
      </c>
      <c r="C473" s="79" t="s">
        <v>878</v>
      </c>
      <c r="D473" s="115" t="s">
        <v>969</v>
      </c>
      <c r="E473" s="115" t="str">
        <f t="shared" si="7"/>
        <v>2</v>
      </c>
      <c r="F473" s="79" t="s">
        <v>879</v>
      </c>
      <c r="G473" s="79" t="s">
        <v>328</v>
      </c>
      <c r="H473" s="79" t="s">
        <v>724</v>
      </c>
      <c r="I473" s="79" t="s">
        <v>725</v>
      </c>
      <c r="J473" s="79" t="s">
        <v>962</v>
      </c>
      <c r="K473" s="79" t="s">
        <v>963</v>
      </c>
      <c r="L473" s="116">
        <v>44695</v>
      </c>
      <c r="M473" s="116">
        <v>2128</v>
      </c>
      <c r="N473" s="117">
        <v>4.76</v>
      </c>
    </row>
    <row r="474" spans="1:14">
      <c r="A474" s="79" t="s">
        <v>973</v>
      </c>
      <c r="B474" s="79" t="s">
        <v>961</v>
      </c>
      <c r="C474" s="79" t="s">
        <v>878</v>
      </c>
      <c r="D474" s="115" t="s">
        <v>969</v>
      </c>
      <c r="E474" s="115" t="str">
        <f t="shared" si="7"/>
        <v>2</v>
      </c>
      <c r="F474" s="79" t="s">
        <v>879</v>
      </c>
      <c r="G474" s="79" t="s">
        <v>328</v>
      </c>
      <c r="H474" s="79" t="s">
        <v>724</v>
      </c>
      <c r="I474" s="79" t="s">
        <v>725</v>
      </c>
      <c r="J474" s="79" t="s">
        <v>962</v>
      </c>
      <c r="K474" s="79" t="s">
        <v>963</v>
      </c>
      <c r="L474" s="116">
        <v>43849</v>
      </c>
      <c r="M474" s="116">
        <v>21925</v>
      </c>
      <c r="N474" s="117">
        <v>50</v>
      </c>
    </row>
    <row r="475" spans="1:14">
      <c r="A475" s="79" t="s">
        <v>974</v>
      </c>
      <c r="B475" s="79" t="s">
        <v>961</v>
      </c>
      <c r="C475" s="79" t="s">
        <v>878</v>
      </c>
      <c r="D475" s="115" t="s">
        <v>969</v>
      </c>
      <c r="E475" s="115" t="str">
        <f t="shared" si="7"/>
        <v>2</v>
      </c>
      <c r="F475" s="79" t="s">
        <v>879</v>
      </c>
      <c r="G475" s="79" t="s">
        <v>328</v>
      </c>
      <c r="H475" s="79" t="s">
        <v>724</v>
      </c>
      <c r="I475" s="79" t="s">
        <v>725</v>
      </c>
      <c r="J475" s="79" t="s">
        <v>962</v>
      </c>
      <c r="K475" s="79" t="s">
        <v>963</v>
      </c>
      <c r="L475" s="116">
        <v>31000</v>
      </c>
      <c r="M475" s="116">
        <v>31000</v>
      </c>
      <c r="N475" s="117">
        <v>100</v>
      </c>
    </row>
    <row r="476" spans="1:14">
      <c r="A476" s="79" t="s">
        <v>975</v>
      </c>
      <c r="B476" s="79" t="s">
        <v>961</v>
      </c>
      <c r="C476" s="79" t="s">
        <v>878</v>
      </c>
      <c r="D476" s="115" t="s">
        <v>969</v>
      </c>
      <c r="E476" s="115" t="str">
        <f t="shared" si="7"/>
        <v>2</v>
      </c>
      <c r="F476" s="79" t="s">
        <v>879</v>
      </c>
      <c r="G476" s="79" t="s">
        <v>328</v>
      </c>
      <c r="H476" s="79" t="s">
        <v>724</v>
      </c>
      <c r="I476" s="79" t="s">
        <v>725</v>
      </c>
      <c r="J476" s="79" t="s">
        <v>962</v>
      </c>
      <c r="K476" s="79" t="s">
        <v>963</v>
      </c>
      <c r="L476" s="116">
        <v>32000</v>
      </c>
      <c r="M476" s="116">
        <v>32000</v>
      </c>
      <c r="N476" s="117">
        <v>100</v>
      </c>
    </row>
    <row r="477" spans="1:14">
      <c r="A477" s="79" t="s">
        <v>976</v>
      </c>
      <c r="B477" s="79" t="s">
        <v>961</v>
      </c>
      <c r="C477" s="79" t="s">
        <v>878</v>
      </c>
      <c r="D477" s="115" t="s">
        <v>969</v>
      </c>
      <c r="E477" s="115" t="str">
        <f t="shared" si="7"/>
        <v>2</v>
      </c>
      <c r="F477" s="79" t="s">
        <v>879</v>
      </c>
      <c r="G477" s="79" t="s">
        <v>341</v>
      </c>
      <c r="H477" s="79" t="s">
        <v>724</v>
      </c>
      <c r="I477" s="79" t="s">
        <v>725</v>
      </c>
      <c r="J477" s="79" t="s">
        <v>962</v>
      </c>
      <c r="K477" s="79" t="s">
        <v>963</v>
      </c>
      <c r="L477" s="116">
        <v>40000</v>
      </c>
      <c r="M477" s="116">
        <v>40000</v>
      </c>
      <c r="N477" s="117">
        <v>100</v>
      </c>
    </row>
    <row r="478" spans="1:14">
      <c r="A478" s="79" t="s">
        <v>977</v>
      </c>
      <c r="B478" s="79" t="s">
        <v>961</v>
      </c>
      <c r="C478" s="79" t="s">
        <v>878</v>
      </c>
      <c r="D478" s="115" t="s">
        <v>969</v>
      </c>
      <c r="E478" s="115" t="str">
        <f t="shared" si="7"/>
        <v>2</v>
      </c>
      <c r="F478" s="79" t="s">
        <v>879</v>
      </c>
      <c r="G478" s="79" t="s">
        <v>387</v>
      </c>
      <c r="H478" s="79" t="s">
        <v>724</v>
      </c>
      <c r="I478" s="79" t="s">
        <v>725</v>
      </c>
      <c r="J478" s="79" t="s">
        <v>962</v>
      </c>
      <c r="K478" s="79" t="s">
        <v>963</v>
      </c>
      <c r="L478" s="116">
        <v>50000</v>
      </c>
      <c r="M478" s="116">
        <v>50000</v>
      </c>
      <c r="N478" s="117">
        <v>100</v>
      </c>
    </row>
    <row r="479" spans="1:14">
      <c r="A479" s="79" t="s">
        <v>978</v>
      </c>
      <c r="B479" s="79" t="s">
        <v>961</v>
      </c>
      <c r="C479" s="79" t="s">
        <v>878</v>
      </c>
      <c r="D479" s="115" t="s">
        <v>969</v>
      </c>
      <c r="E479" s="115" t="str">
        <f t="shared" si="7"/>
        <v>2</v>
      </c>
      <c r="F479" s="79" t="s">
        <v>879</v>
      </c>
      <c r="G479" s="79" t="s">
        <v>328</v>
      </c>
      <c r="H479" s="79" t="s">
        <v>724</v>
      </c>
      <c r="I479" s="79" t="s">
        <v>725</v>
      </c>
      <c r="J479" s="79" t="s">
        <v>962</v>
      </c>
      <c r="K479" s="79" t="s">
        <v>963</v>
      </c>
      <c r="L479" s="116">
        <v>60000</v>
      </c>
      <c r="M479" s="116">
        <v>60000</v>
      </c>
      <c r="N479" s="117">
        <v>100</v>
      </c>
    </row>
    <row r="480" spans="1:14">
      <c r="A480" s="79" t="s">
        <v>979</v>
      </c>
      <c r="B480" s="79" t="s">
        <v>961</v>
      </c>
      <c r="C480" s="79" t="s">
        <v>878</v>
      </c>
      <c r="D480" s="115" t="s">
        <v>969</v>
      </c>
      <c r="E480" s="115" t="str">
        <f t="shared" si="7"/>
        <v>2</v>
      </c>
      <c r="F480" s="79" t="s">
        <v>879</v>
      </c>
      <c r="G480" s="79" t="s">
        <v>328</v>
      </c>
      <c r="H480" s="79" t="s">
        <v>724</v>
      </c>
      <c r="I480" s="79" t="s">
        <v>725</v>
      </c>
      <c r="J480" s="79" t="s">
        <v>962</v>
      </c>
      <c r="K480" s="79" t="s">
        <v>963</v>
      </c>
      <c r="L480" s="116">
        <v>80000</v>
      </c>
      <c r="M480" s="116">
        <v>80000</v>
      </c>
      <c r="N480" s="117">
        <v>100</v>
      </c>
    </row>
    <row r="481" spans="1:14">
      <c r="A481" s="79" t="s">
        <v>980</v>
      </c>
      <c r="B481" s="79" t="s">
        <v>961</v>
      </c>
      <c r="C481" s="79" t="s">
        <v>878</v>
      </c>
      <c r="D481" s="115" t="s">
        <v>969</v>
      </c>
      <c r="E481" s="115" t="str">
        <f t="shared" si="7"/>
        <v>2</v>
      </c>
      <c r="F481" s="79" t="s">
        <v>879</v>
      </c>
      <c r="G481" s="79" t="s">
        <v>328</v>
      </c>
      <c r="H481" s="79" t="s">
        <v>724</v>
      </c>
      <c r="I481" s="79" t="s">
        <v>725</v>
      </c>
      <c r="J481" s="79" t="s">
        <v>962</v>
      </c>
      <c r="K481" s="79" t="s">
        <v>963</v>
      </c>
      <c r="L481" s="116">
        <v>146034</v>
      </c>
      <c r="M481" s="116">
        <v>146034</v>
      </c>
      <c r="N481" s="117">
        <v>100</v>
      </c>
    </row>
    <row r="482" spans="1:14">
      <c r="A482" s="79" t="s">
        <v>861</v>
      </c>
      <c r="B482" s="79" t="s">
        <v>961</v>
      </c>
      <c r="C482" s="79" t="s">
        <v>862</v>
      </c>
      <c r="D482" s="115" t="s">
        <v>650</v>
      </c>
      <c r="E482" s="115" t="str">
        <f t="shared" si="7"/>
        <v>2</v>
      </c>
      <c r="F482" s="79" t="s">
        <v>863</v>
      </c>
      <c r="G482" s="79" t="s">
        <v>328</v>
      </c>
      <c r="H482" s="79" t="s">
        <v>840</v>
      </c>
      <c r="I482" s="79" t="s">
        <v>841</v>
      </c>
      <c r="J482" s="79" t="s">
        <v>962</v>
      </c>
      <c r="K482" s="79" t="s">
        <v>963</v>
      </c>
      <c r="L482" s="116">
        <v>40000</v>
      </c>
      <c r="M482" s="116">
        <v>8000</v>
      </c>
      <c r="N482" s="117">
        <v>20</v>
      </c>
    </row>
    <row r="483" spans="1:14">
      <c r="A483" s="79" t="s">
        <v>981</v>
      </c>
      <c r="B483" s="79" t="s">
        <v>961</v>
      </c>
      <c r="C483" s="79" t="s">
        <v>862</v>
      </c>
      <c r="D483" s="115" t="s">
        <v>650</v>
      </c>
      <c r="E483" s="115" t="str">
        <f t="shared" si="7"/>
        <v>2</v>
      </c>
      <c r="F483" s="79" t="s">
        <v>863</v>
      </c>
      <c r="G483" s="79" t="s">
        <v>328</v>
      </c>
      <c r="H483" s="79" t="s">
        <v>840</v>
      </c>
      <c r="I483" s="79" t="s">
        <v>841</v>
      </c>
      <c r="J483" s="79" t="s">
        <v>962</v>
      </c>
      <c r="K483" s="79" t="s">
        <v>963</v>
      </c>
      <c r="L483" s="116">
        <v>80000</v>
      </c>
      <c r="M483" s="116">
        <v>80000</v>
      </c>
      <c r="N483" s="117">
        <v>100</v>
      </c>
    </row>
    <row r="484" spans="1:14">
      <c r="A484" s="79" t="s">
        <v>982</v>
      </c>
      <c r="B484" s="79" t="s">
        <v>205</v>
      </c>
      <c r="C484" s="79" t="s">
        <v>983</v>
      </c>
      <c r="D484" s="115" t="s">
        <v>326</v>
      </c>
      <c r="E484" s="115" t="str">
        <f t="shared" si="7"/>
        <v>1</v>
      </c>
      <c r="F484" s="79" t="s">
        <v>984</v>
      </c>
      <c r="G484" s="79" t="s">
        <v>341</v>
      </c>
      <c r="H484" s="79" t="s">
        <v>329</v>
      </c>
      <c r="I484" s="79" t="s">
        <v>330</v>
      </c>
      <c r="J484" s="79" t="s">
        <v>985</v>
      </c>
      <c r="K484" s="79" t="s">
        <v>986</v>
      </c>
      <c r="L484" s="116">
        <v>36000</v>
      </c>
      <c r="M484" s="116">
        <v>36000</v>
      </c>
      <c r="N484" s="117">
        <v>100</v>
      </c>
    </row>
    <row r="485" spans="1:14">
      <c r="A485" s="79" t="s">
        <v>987</v>
      </c>
      <c r="B485" s="79" t="s">
        <v>205</v>
      </c>
      <c r="C485" s="79" t="s">
        <v>983</v>
      </c>
      <c r="D485" s="115" t="s">
        <v>326</v>
      </c>
      <c r="E485" s="115" t="str">
        <f t="shared" si="7"/>
        <v>1</v>
      </c>
      <c r="F485" s="79" t="s">
        <v>984</v>
      </c>
      <c r="G485" s="79" t="s">
        <v>328</v>
      </c>
      <c r="H485" s="79" t="s">
        <v>329</v>
      </c>
      <c r="I485" s="79" t="s">
        <v>330</v>
      </c>
      <c r="J485" s="79" t="s">
        <v>985</v>
      </c>
      <c r="K485" s="79" t="s">
        <v>986</v>
      </c>
      <c r="L485" s="116">
        <v>68305</v>
      </c>
      <c r="M485" s="116">
        <v>68305</v>
      </c>
      <c r="N485" s="117">
        <v>100</v>
      </c>
    </row>
    <row r="486" spans="1:14">
      <c r="A486" s="79" t="s">
        <v>988</v>
      </c>
      <c r="B486" s="79" t="s">
        <v>205</v>
      </c>
      <c r="C486" s="79" t="s">
        <v>983</v>
      </c>
      <c r="D486" s="115" t="s">
        <v>326</v>
      </c>
      <c r="E486" s="115" t="str">
        <f t="shared" si="7"/>
        <v>1</v>
      </c>
      <c r="F486" s="79" t="s">
        <v>984</v>
      </c>
      <c r="G486" s="79" t="s">
        <v>328</v>
      </c>
      <c r="H486" s="79" t="s">
        <v>329</v>
      </c>
      <c r="I486" s="79" t="s">
        <v>330</v>
      </c>
      <c r="J486" s="79" t="s">
        <v>985</v>
      </c>
      <c r="K486" s="79" t="s">
        <v>986</v>
      </c>
      <c r="L486" s="116">
        <v>91394</v>
      </c>
      <c r="M486" s="116">
        <v>91394</v>
      </c>
      <c r="N486" s="117">
        <v>100</v>
      </c>
    </row>
    <row r="487" spans="1:14">
      <c r="A487" s="79" t="s">
        <v>324</v>
      </c>
      <c r="B487" s="79" t="s">
        <v>205</v>
      </c>
      <c r="C487" s="79" t="s">
        <v>983</v>
      </c>
      <c r="D487" s="115" t="s">
        <v>326</v>
      </c>
      <c r="E487" s="115" t="str">
        <f t="shared" si="7"/>
        <v>1</v>
      </c>
      <c r="F487" s="79" t="s">
        <v>984</v>
      </c>
      <c r="G487" s="79" t="s">
        <v>328</v>
      </c>
      <c r="H487" s="79" t="s">
        <v>329</v>
      </c>
      <c r="I487" s="79" t="s">
        <v>330</v>
      </c>
      <c r="J487" s="79" t="s">
        <v>985</v>
      </c>
      <c r="K487" s="79" t="s">
        <v>986</v>
      </c>
      <c r="L487" s="116">
        <v>242046</v>
      </c>
      <c r="M487" s="116">
        <v>158491</v>
      </c>
      <c r="N487" s="117">
        <v>65.48</v>
      </c>
    </row>
    <row r="488" spans="1:14">
      <c r="A488" s="79" t="s">
        <v>989</v>
      </c>
      <c r="B488" s="79" t="s">
        <v>205</v>
      </c>
      <c r="C488" s="79" t="s">
        <v>990</v>
      </c>
      <c r="D488" s="115" t="s">
        <v>326</v>
      </c>
      <c r="E488" s="115" t="str">
        <f t="shared" si="7"/>
        <v>1</v>
      </c>
      <c r="F488" s="79" t="s">
        <v>991</v>
      </c>
      <c r="G488" s="79" t="s">
        <v>328</v>
      </c>
      <c r="H488" s="79" t="s">
        <v>329</v>
      </c>
      <c r="I488" s="79" t="s">
        <v>330</v>
      </c>
      <c r="J488" s="79" t="s">
        <v>985</v>
      </c>
      <c r="K488" s="79" t="s">
        <v>986</v>
      </c>
      <c r="L488" s="116">
        <v>68556</v>
      </c>
      <c r="M488" s="116">
        <v>34278</v>
      </c>
      <c r="N488" s="117">
        <v>50</v>
      </c>
    </row>
    <row r="489" spans="1:14">
      <c r="A489" s="79" t="s">
        <v>992</v>
      </c>
      <c r="B489" s="79" t="s">
        <v>205</v>
      </c>
      <c r="C489" s="79" t="s">
        <v>993</v>
      </c>
      <c r="D489" s="115" t="s">
        <v>994</v>
      </c>
      <c r="E489" s="115" t="str">
        <f t="shared" si="7"/>
        <v>3</v>
      </c>
      <c r="F489" s="79" t="s">
        <v>995</v>
      </c>
      <c r="G489" s="79" t="s">
        <v>341</v>
      </c>
      <c r="H489" s="79" t="s">
        <v>329</v>
      </c>
      <c r="I489" s="79" t="s">
        <v>330</v>
      </c>
      <c r="J489" s="79" t="s">
        <v>985</v>
      </c>
      <c r="K489" s="79" t="s">
        <v>986</v>
      </c>
      <c r="L489" s="116">
        <v>27000</v>
      </c>
      <c r="M489" s="116">
        <v>27000</v>
      </c>
      <c r="N489" s="117">
        <v>100</v>
      </c>
    </row>
    <row r="490" spans="1:14">
      <c r="A490" s="79" t="s">
        <v>996</v>
      </c>
      <c r="B490" s="79" t="s">
        <v>205</v>
      </c>
      <c r="C490" s="79" t="s">
        <v>993</v>
      </c>
      <c r="D490" s="115" t="s">
        <v>994</v>
      </c>
      <c r="E490" s="115" t="str">
        <f t="shared" si="7"/>
        <v>3</v>
      </c>
      <c r="F490" s="79" t="s">
        <v>995</v>
      </c>
      <c r="G490" s="79" t="s">
        <v>328</v>
      </c>
      <c r="H490" s="79" t="s">
        <v>329</v>
      </c>
      <c r="I490" s="79" t="s">
        <v>330</v>
      </c>
      <c r="J490" s="79" t="s">
        <v>985</v>
      </c>
      <c r="K490" s="79" t="s">
        <v>986</v>
      </c>
      <c r="L490" s="116">
        <v>100000</v>
      </c>
      <c r="M490" s="116">
        <v>100000</v>
      </c>
      <c r="N490" s="117">
        <v>100</v>
      </c>
    </row>
    <row r="491" spans="1:14">
      <c r="A491" s="79" t="s">
        <v>997</v>
      </c>
      <c r="B491" s="79" t="s">
        <v>205</v>
      </c>
      <c r="C491" s="79" t="s">
        <v>993</v>
      </c>
      <c r="D491" s="115" t="s">
        <v>994</v>
      </c>
      <c r="E491" s="115" t="str">
        <f t="shared" si="7"/>
        <v>3</v>
      </c>
      <c r="F491" s="79" t="s">
        <v>995</v>
      </c>
      <c r="G491" s="79" t="s">
        <v>328</v>
      </c>
      <c r="H491" s="79" t="s">
        <v>329</v>
      </c>
      <c r="I491" s="79" t="s">
        <v>330</v>
      </c>
      <c r="J491" s="79" t="s">
        <v>985</v>
      </c>
      <c r="K491" s="79" t="s">
        <v>986</v>
      </c>
      <c r="L491" s="116">
        <v>172000</v>
      </c>
      <c r="M491" s="116">
        <v>172000</v>
      </c>
      <c r="N491" s="117">
        <v>100</v>
      </c>
    </row>
    <row r="492" spans="1:14">
      <c r="A492" s="79" t="s">
        <v>998</v>
      </c>
      <c r="B492" s="79" t="s">
        <v>205</v>
      </c>
      <c r="C492" s="79" t="s">
        <v>999</v>
      </c>
      <c r="D492" s="115" t="s">
        <v>715</v>
      </c>
      <c r="E492" s="115" t="str">
        <f t="shared" si="7"/>
        <v>3</v>
      </c>
      <c r="F492" s="79" t="s">
        <v>1000</v>
      </c>
      <c r="G492" s="79" t="s">
        <v>328</v>
      </c>
      <c r="H492" s="79" t="s">
        <v>329</v>
      </c>
      <c r="I492" s="79" t="s">
        <v>330</v>
      </c>
      <c r="J492" s="79" t="s">
        <v>985</v>
      </c>
      <c r="K492" s="79" t="s">
        <v>986</v>
      </c>
      <c r="L492" s="116">
        <v>120000</v>
      </c>
      <c r="M492" s="116">
        <v>120000</v>
      </c>
      <c r="N492" s="117">
        <v>100</v>
      </c>
    </row>
    <row r="493" spans="1:14">
      <c r="A493" s="79" t="s">
        <v>1001</v>
      </c>
      <c r="B493" s="79" t="s">
        <v>205</v>
      </c>
      <c r="C493" s="79" t="s">
        <v>1002</v>
      </c>
      <c r="D493" s="115" t="s">
        <v>719</v>
      </c>
      <c r="E493" s="115" t="str">
        <f t="shared" si="7"/>
        <v>2</v>
      </c>
      <c r="F493" s="79" t="s">
        <v>1003</v>
      </c>
      <c r="G493" s="79" t="s">
        <v>328</v>
      </c>
      <c r="H493" s="79" t="s">
        <v>329</v>
      </c>
      <c r="I493" s="79" t="s">
        <v>330</v>
      </c>
      <c r="J493" s="79" t="s">
        <v>985</v>
      </c>
      <c r="K493" s="79" t="s">
        <v>986</v>
      </c>
      <c r="L493" s="116">
        <v>52000</v>
      </c>
      <c r="M493" s="116">
        <v>26000</v>
      </c>
      <c r="N493" s="117">
        <v>50</v>
      </c>
    </row>
    <row r="494" spans="1:14">
      <c r="A494" s="79" t="s">
        <v>1004</v>
      </c>
      <c r="B494" s="79" t="s">
        <v>205</v>
      </c>
      <c r="C494" s="79" t="s">
        <v>1002</v>
      </c>
      <c r="D494" s="115" t="s">
        <v>719</v>
      </c>
      <c r="E494" s="115" t="str">
        <f t="shared" si="7"/>
        <v>2</v>
      </c>
      <c r="F494" s="79" t="s">
        <v>1003</v>
      </c>
      <c r="G494" s="79" t="s">
        <v>341</v>
      </c>
      <c r="H494" s="79" t="s">
        <v>329</v>
      </c>
      <c r="I494" s="79" t="s">
        <v>330</v>
      </c>
      <c r="J494" s="79" t="s">
        <v>985</v>
      </c>
      <c r="K494" s="79" t="s">
        <v>986</v>
      </c>
      <c r="L494" s="116">
        <v>29456</v>
      </c>
      <c r="M494" s="116">
        <v>29456</v>
      </c>
      <c r="N494" s="117">
        <v>100</v>
      </c>
    </row>
    <row r="495" spans="1:14">
      <c r="A495" s="79" t="s">
        <v>859</v>
      </c>
      <c r="B495" s="79" t="s">
        <v>205</v>
      </c>
      <c r="C495" s="79" t="s">
        <v>1002</v>
      </c>
      <c r="D495" s="115" t="s">
        <v>719</v>
      </c>
      <c r="E495" s="115" t="str">
        <f t="shared" si="7"/>
        <v>2</v>
      </c>
      <c r="F495" s="79" t="s">
        <v>1003</v>
      </c>
      <c r="G495" s="79" t="s">
        <v>328</v>
      </c>
      <c r="H495" s="79" t="s">
        <v>329</v>
      </c>
      <c r="I495" s="79" t="s">
        <v>330</v>
      </c>
      <c r="J495" s="79" t="s">
        <v>985</v>
      </c>
      <c r="K495" s="79" t="s">
        <v>986</v>
      </c>
      <c r="L495" s="116">
        <v>126674</v>
      </c>
      <c r="M495" s="116">
        <v>76004</v>
      </c>
      <c r="N495" s="117">
        <v>60</v>
      </c>
    </row>
    <row r="496" spans="1:14">
      <c r="A496" s="79" t="s">
        <v>1005</v>
      </c>
      <c r="B496" s="79" t="s">
        <v>205</v>
      </c>
      <c r="C496" s="79" t="s">
        <v>1002</v>
      </c>
      <c r="D496" s="115" t="s">
        <v>719</v>
      </c>
      <c r="E496" s="115" t="str">
        <f t="shared" si="7"/>
        <v>2</v>
      </c>
      <c r="F496" s="79" t="s">
        <v>1003</v>
      </c>
      <c r="G496" s="79" t="s">
        <v>328</v>
      </c>
      <c r="H496" s="79" t="s">
        <v>329</v>
      </c>
      <c r="I496" s="79" t="s">
        <v>330</v>
      </c>
      <c r="J496" s="79" t="s">
        <v>985</v>
      </c>
      <c r="K496" s="79" t="s">
        <v>986</v>
      </c>
      <c r="L496" s="116">
        <v>143875</v>
      </c>
      <c r="M496" s="116">
        <v>143875</v>
      </c>
      <c r="N496" s="117">
        <v>100</v>
      </c>
    </row>
    <row r="497" spans="1:14">
      <c r="A497" s="79" t="s">
        <v>1006</v>
      </c>
      <c r="B497" s="79" t="s">
        <v>205</v>
      </c>
      <c r="C497" s="79" t="s">
        <v>1007</v>
      </c>
      <c r="D497" s="118" t="s">
        <v>1008</v>
      </c>
      <c r="E497" s="115" t="str">
        <f t="shared" si="7"/>
        <v>6</v>
      </c>
      <c r="F497" s="79" t="s">
        <v>1009</v>
      </c>
      <c r="G497" s="79" t="s">
        <v>341</v>
      </c>
      <c r="H497" s="79" t="s">
        <v>329</v>
      </c>
      <c r="I497" s="79" t="s">
        <v>330</v>
      </c>
      <c r="J497" s="79" t="s">
        <v>985</v>
      </c>
      <c r="K497" s="79" t="s">
        <v>986</v>
      </c>
      <c r="L497" s="116">
        <v>26500</v>
      </c>
      <c r="M497" s="116">
        <v>26500</v>
      </c>
      <c r="N497" s="117">
        <v>100</v>
      </c>
    </row>
    <row r="498" spans="1:14">
      <c r="A498" s="79" t="s">
        <v>1010</v>
      </c>
      <c r="B498" s="79" t="s">
        <v>205</v>
      </c>
      <c r="C498" s="79" t="s">
        <v>1007</v>
      </c>
      <c r="D498" s="118" t="s">
        <v>1008</v>
      </c>
      <c r="E498" s="115" t="str">
        <f t="shared" si="7"/>
        <v>6</v>
      </c>
      <c r="F498" s="79" t="s">
        <v>1009</v>
      </c>
      <c r="G498" s="79" t="s">
        <v>328</v>
      </c>
      <c r="H498" s="79" t="s">
        <v>329</v>
      </c>
      <c r="I498" s="79" t="s">
        <v>330</v>
      </c>
      <c r="J498" s="79" t="s">
        <v>985</v>
      </c>
      <c r="K498" s="79" t="s">
        <v>986</v>
      </c>
      <c r="L498" s="116">
        <v>32192</v>
      </c>
      <c r="M498" s="116">
        <v>32192</v>
      </c>
      <c r="N498" s="117">
        <v>100</v>
      </c>
    </row>
    <row r="499" spans="1:14">
      <c r="A499" s="79" t="s">
        <v>1011</v>
      </c>
      <c r="B499" s="79" t="s">
        <v>205</v>
      </c>
      <c r="C499" s="79" t="s">
        <v>1007</v>
      </c>
      <c r="D499" s="118" t="s">
        <v>1008</v>
      </c>
      <c r="E499" s="115" t="str">
        <f t="shared" si="7"/>
        <v>6</v>
      </c>
      <c r="F499" s="79" t="s">
        <v>1009</v>
      </c>
      <c r="G499" s="79" t="s">
        <v>341</v>
      </c>
      <c r="H499" s="79" t="s">
        <v>329</v>
      </c>
      <c r="I499" s="79" t="s">
        <v>330</v>
      </c>
      <c r="J499" s="79" t="s">
        <v>985</v>
      </c>
      <c r="K499" s="79" t="s">
        <v>986</v>
      </c>
      <c r="L499" s="116">
        <v>33612</v>
      </c>
      <c r="M499" s="116">
        <v>33612</v>
      </c>
      <c r="N499" s="117">
        <v>100</v>
      </c>
    </row>
    <row r="500" spans="1:14">
      <c r="A500" s="79" t="s">
        <v>1012</v>
      </c>
      <c r="B500" s="79" t="s">
        <v>205</v>
      </c>
      <c r="C500" s="79" t="s">
        <v>1007</v>
      </c>
      <c r="D500" s="118" t="s">
        <v>1008</v>
      </c>
      <c r="E500" s="115" t="str">
        <f t="shared" si="7"/>
        <v>6</v>
      </c>
      <c r="F500" s="79" t="s">
        <v>1009</v>
      </c>
      <c r="G500" s="79" t="s">
        <v>328</v>
      </c>
      <c r="H500" s="79" t="s">
        <v>329</v>
      </c>
      <c r="I500" s="79" t="s">
        <v>330</v>
      </c>
      <c r="J500" s="79" t="s">
        <v>985</v>
      </c>
      <c r="K500" s="79" t="s">
        <v>986</v>
      </c>
      <c r="L500" s="116">
        <v>38000</v>
      </c>
      <c r="M500" s="116">
        <v>38000</v>
      </c>
      <c r="N500" s="117">
        <v>100</v>
      </c>
    </row>
    <row r="501" spans="1:14">
      <c r="A501" s="79" t="s">
        <v>1013</v>
      </c>
      <c r="B501" s="79" t="s">
        <v>205</v>
      </c>
      <c r="C501" s="79" t="s">
        <v>1007</v>
      </c>
      <c r="D501" s="118">
        <v>6200</v>
      </c>
      <c r="E501" s="115" t="str">
        <f t="shared" si="7"/>
        <v>6</v>
      </c>
      <c r="F501" s="79" t="s">
        <v>1009</v>
      </c>
      <c r="G501" s="79" t="s">
        <v>328</v>
      </c>
      <c r="H501" s="79" t="s">
        <v>329</v>
      </c>
      <c r="I501" s="79" t="s">
        <v>330</v>
      </c>
      <c r="J501" s="79" t="s">
        <v>985</v>
      </c>
      <c r="K501" s="79" t="s">
        <v>986</v>
      </c>
      <c r="L501" s="116">
        <v>52500</v>
      </c>
      <c r="M501" s="116">
        <v>52500</v>
      </c>
      <c r="N501" s="117">
        <v>100</v>
      </c>
    </row>
    <row r="502" spans="1:14">
      <c r="A502" s="79" t="s">
        <v>1014</v>
      </c>
      <c r="B502" s="79" t="s">
        <v>205</v>
      </c>
      <c r="C502" s="79" t="s">
        <v>1007</v>
      </c>
      <c r="D502" s="118" t="s">
        <v>1008</v>
      </c>
      <c r="E502" s="115" t="str">
        <f t="shared" si="7"/>
        <v>6</v>
      </c>
      <c r="F502" s="79" t="s">
        <v>1009</v>
      </c>
      <c r="G502" s="79" t="s">
        <v>328</v>
      </c>
      <c r="H502" s="79" t="s">
        <v>329</v>
      </c>
      <c r="I502" s="79" t="s">
        <v>330</v>
      </c>
      <c r="J502" s="79" t="s">
        <v>985</v>
      </c>
      <c r="K502" s="79" t="s">
        <v>986</v>
      </c>
      <c r="L502" s="116">
        <v>60000</v>
      </c>
      <c r="M502" s="116">
        <v>60000</v>
      </c>
      <c r="N502" s="117">
        <v>100</v>
      </c>
    </row>
    <row r="503" spans="1:14">
      <c r="A503" s="79" t="s">
        <v>1015</v>
      </c>
      <c r="B503" s="79" t="s">
        <v>205</v>
      </c>
      <c r="C503" s="79" t="s">
        <v>1007</v>
      </c>
      <c r="D503" s="118" t="s">
        <v>1008</v>
      </c>
      <c r="E503" s="115" t="str">
        <f t="shared" si="7"/>
        <v>6</v>
      </c>
      <c r="F503" s="79" t="s">
        <v>1009</v>
      </c>
      <c r="G503" s="79" t="s">
        <v>328</v>
      </c>
      <c r="H503" s="79" t="s">
        <v>329</v>
      </c>
      <c r="I503" s="79" t="s">
        <v>330</v>
      </c>
      <c r="J503" s="79" t="s">
        <v>985</v>
      </c>
      <c r="K503" s="79" t="s">
        <v>986</v>
      </c>
      <c r="L503" s="116">
        <v>120000</v>
      </c>
      <c r="M503" s="116">
        <v>120000</v>
      </c>
      <c r="N503" s="117">
        <v>100</v>
      </c>
    </row>
    <row r="504" spans="1:14">
      <c r="A504" s="79" t="s">
        <v>1016</v>
      </c>
      <c r="B504" s="79" t="s">
        <v>205</v>
      </c>
      <c r="C504" s="79" t="s">
        <v>1017</v>
      </c>
      <c r="D504" s="115" t="s">
        <v>173</v>
      </c>
      <c r="E504" s="115" t="str">
        <f t="shared" si="7"/>
        <v>5</v>
      </c>
      <c r="F504" s="79" t="s">
        <v>1018</v>
      </c>
      <c r="G504" s="79" t="s">
        <v>341</v>
      </c>
      <c r="H504" s="79" t="s">
        <v>329</v>
      </c>
      <c r="I504" s="79" t="s">
        <v>330</v>
      </c>
      <c r="J504" s="79" t="s">
        <v>985</v>
      </c>
      <c r="K504" s="79" t="s">
        <v>986</v>
      </c>
      <c r="L504" s="116">
        <v>37000</v>
      </c>
      <c r="M504" s="116">
        <v>37000</v>
      </c>
      <c r="N504" s="117">
        <v>100</v>
      </c>
    </row>
    <row r="505" spans="1:14">
      <c r="A505" s="79" t="s">
        <v>1019</v>
      </c>
      <c r="B505" s="79" t="s">
        <v>205</v>
      </c>
      <c r="C505" s="79" t="s">
        <v>1017</v>
      </c>
      <c r="D505" s="115" t="s">
        <v>173</v>
      </c>
      <c r="E505" s="115" t="str">
        <f t="shared" si="7"/>
        <v>5</v>
      </c>
      <c r="F505" s="79" t="s">
        <v>1018</v>
      </c>
      <c r="G505" s="79" t="s">
        <v>328</v>
      </c>
      <c r="H505" s="79" t="s">
        <v>329</v>
      </c>
      <c r="I505" s="79" t="s">
        <v>330</v>
      </c>
      <c r="J505" s="79" t="s">
        <v>985</v>
      </c>
      <c r="K505" s="79" t="s">
        <v>986</v>
      </c>
      <c r="L505" s="116">
        <v>64000</v>
      </c>
      <c r="M505" s="116">
        <v>48000</v>
      </c>
      <c r="N505" s="117">
        <v>75</v>
      </c>
    </row>
    <row r="506" spans="1:14">
      <c r="A506" s="79" t="s">
        <v>1020</v>
      </c>
      <c r="B506" s="79" t="s">
        <v>205</v>
      </c>
      <c r="C506" s="79" t="s">
        <v>1017</v>
      </c>
      <c r="D506" s="115" t="s">
        <v>173</v>
      </c>
      <c r="E506" s="115" t="str">
        <f t="shared" si="7"/>
        <v>5</v>
      </c>
      <c r="F506" s="79" t="s">
        <v>1018</v>
      </c>
      <c r="G506" s="79" t="s">
        <v>328</v>
      </c>
      <c r="H506" s="79" t="s">
        <v>329</v>
      </c>
      <c r="I506" s="79" t="s">
        <v>330</v>
      </c>
      <c r="J506" s="79" t="s">
        <v>985</v>
      </c>
      <c r="K506" s="79" t="s">
        <v>986</v>
      </c>
      <c r="L506" s="116">
        <v>160000</v>
      </c>
      <c r="M506" s="116">
        <v>160000</v>
      </c>
      <c r="N506" s="117">
        <v>100</v>
      </c>
    </row>
    <row r="507" spans="1:14">
      <c r="A507" s="79" t="s">
        <v>1021</v>
      </c>
      <c r="B507" s="79" t="s">
        <v>205</v>
      </c>
      <c r="C507" s="79" t="s">
        <v>1022</v>
      </c>
      <c r="D507" s="115" t="s">
        <v>335</v>
      </c>
      <c r="E507" s="115" t="str">
        <f t="shared" si="7"/>
        <v>1</v>
      </c>
      <c r="F507" s="79" t="s">
        <v>1023</v>
      </c>
      <c r="G507" s="79" t="s">
        <v>328</v>
      </c>
      <c r="H507" s="79" t="s">
        <v>337</v>
      </c>
      <c r="I507" s="79" t="s">
        <v>338</v>
      </c>
      <c r="J507" s="79" t="s">
        <v>985</v>
      </c>
      <c r="K507" s="79" t="s">
        <v>986</v>
      </c>
      <c r="L507" s="116">
        <v>32192</v>
      </c>
      <c r="M507" s="116">
        <v>6438</v>
      </c>
      <c r="N507" s="117">
        <v>20</v>
      </c>
    </row>
    <row r="508" spans="1:14">
      <c r="A508" s="79" t="s">
        <v>1024</v>
      </c>
      <c r="B508" s="79" t="s">
        <v>205</v>
      </c>
      <c r="C508" s="79" t="s">
        <v>1025</v>
      </c>
      <c r="D508" s="115" t="s">
        <v>335</v>
      </c>
      <c r="E508" s="115" t="str">
        <f t="shared" ref="E508:E571" si="8">LEFT(D508,1)</f>
        <v>1</v>
      </c>
      <c r="F508" s="79" t="s">
        <v>336</v>
      </c>
      <c r="G508" s="79" t="s">
        <v>328</v>
      </c>
      <c r="H508" s="79" t="s">
        <v>337</v>
      </c>
      <c r="I508" s="79" t="s">
        <v>338</v>
      </c>
      <c r="J508" s="79" t="s">
        <v>985</v>
      </c>
      <c r="K508" s="79" t="s">
        <v>986</v>
      </c>
      <c r="L508" s="116">
        <v>39500</v>
      </c>
      <c r="M508" s="116">
        <v>39500</v>
      </c>
      <c r="N508" s="117">
        <v>100</v>
      </c>
    </row>
    <row r="509" spans="1:14">
      <c r="A509" s="79" t="s">
        <v>1026</v>
      </c>
      <c r="B509" s="79" t="s">
        <v>205</v>
      </c>
      <c r="C509" s="79" t="s">
        <v>1025</v>
      </c>
      <c r="D509" s="115" t="s">
        <v>335</v>
      </c>
      <c r="E509" s="115" t="str">
        <f t="shared" si="8"/>
        <v>1</v>
      </c>
      <c r="F509" s="79" t="s">
        <v>336</v>
      </c>
      <c r="G509" s="79" t="s">
        <v>328</v>
      </c>
      <c r="H509" s="79" t="s">
        <v>337</v>
      </c>
      <c r="I509" s="79" t="s">
        <v>338</v>
      </c>
      <c r="J509" s="79" t="s">
        <v>985</v>
      </c>
      <c r="K509" s="79" t="s">
        <v>986</v>
      </c>
      <c r="L509" s="116">
        <v>39500</v>
      </c>
      <c r="M509" s="116">
        <v>39500</v>
      </c>
      <c r="N509" s="117">
        <v>100</v>
      </c>
    </row>
    <row r="510" spans="1:14">
      <c r="A510" s="79" t="s">
        <v>1027</v>
      </c>
      <c r="B510" s="79" t="s">
        <v>205</v>
      </c>
      <c r="C510" s="79" t="s">
        <v>1025</v>
      </c>
      <c r="D510" s="115" t="s">
        <v>335</v>
      </c>
      <c r="E510" s="115" t="str">
        <f t="shared" si="8"/>
        <v>1</v>
      </c>
      <c r="F510" s="79" t="s">
        <v>336</v>
      </c>
      <c r="G510" s="79" t="s">
        <v>328</v>
      </c>
      <c r="H510" s="79" t="s">
        <v>337</v>
      </c>
      <c r="I510" s="79" t="s">
        <v>338</v>
      </c>
      <c r="J510" s="79" t="s">
        <v>985</v>
      </c>
      <c r="K510" s="79" t="s">
        <v>986</v>
      </c>
      <c r="L510" s="116">
        <v>59500</v>
      </c>
      <c r="M510" s="116">
        <v>59500</v>
      </c>
      <c r="N510" s="117">
        <v>100</v>
      </c>
    </row>
    <row r="511" spans="1:14">
      <c r="A511" s="79" t="s">
        <v>1028</v>
      </c>
      <c r="B511" s="79" t="s">
        <v>205</v>
      </c>
      <c r="C511" s="79" t="s">
        <v>1025</v>
      </c>
      <c r="D511" s="115" t="s">
        <v>335</v>
      </c>
      <c r="E511" s="115" t="str">
        <f t="shared" si="8"/>
        <v>1</v>
      </c>
      <c r="F511" s="79" t="s">
        <v>336</v>
      </c>
      <c r="G511" s="79" t="s">
        <v>328</v>
      </c>
      <c r="H511" s="79" t="s">
        <v>337</v>
      </c>
      <c r="I511" s="79" t="s">
        <v>338</v>
      </c>
      <c r="J511" s="79" t="s">
        <v>985</v>
      </c>
      <c r="K511" s="79" t="s">
        <v>986</v>
      </c>
      <c r="L511" s="116">
        <v>67836</v>
      </c>
      <c r="M511" s="116">
        <v>61032</v>
      </c>
      <c r="N511" s="117">
        <v>89.97</v>
      </c>
    </row>
    <row r="512" spans="1:14">
      <c r="A512" s="79" t="s">
        <v>1029</v>
      </c>
      <c r="B512" s="79" t="s">
        <v>205</v>
      </c>
      <c r="C512" s="79" t="s">
        <v>1025</v>
      </c>
      <c r="D512" s="115" t="s">
        <v>335</v>
      </c>
      <c r="E512" s="115" t="str">
        <f t="shared" si="8"/>
        <v>1</v>
      </c>
      <c r="F512" s="79" t="s">
        <v>336</v>
      </c>
      <c r="G512" s="79" t="s">
        <v>328</v>
      </c>
      <c r="H512" s="79" t="s">
        <v>337</v>
      </c>
      <c r="I512" s="79" t="s">
        <v>338</v>
      </c>
      <c r="J512" s="79" t="s">
        <v>985</v>
      </c>
      <c r="K512" s="79" t="s">
        <v>986</v>
      </c>
      <c r="L512" s="116">
        <v>64364</v>
      </c>
      <c r="M512" s="116">
        <v>64364</v>
      </c>
      <c r="N512" s="117">
        <v>100</v>
      </c>
    </row>
    <row r="513" spans="1:14">
      <c r="A513" s="79" t="s">
        <v>1030</v>
      </c>
      <c r="B513" s="79" t="s">
        <v>205</v>
      </c>
      <c r="C513" s="79" t="s">
        <v>1031</v>
      </c>
      <c r="D513" s="118">
        <v>2080</v>
      </c>
      <c r="E513" s="115" t="str">
        <f t="shared" si="8"/>
        <v>2</v>
      </c>
      <c r="F513" s="79" t="s">
        <v>1032</v>
      </c>
      <c r="G513" s="79" t="s">
        <v>341</v>
      </c>
      <c r="H513" s="79" t="s">
        <v>337</v>
      </c>
      <c r="I513" s="79" t="s">
        <v>338</v>
      </c>
      <c r="J513" s="79" t="s">
        <v>985</v>
      </c>
      <c r="K513" s="79" t="s">
        <v>986</v>
      </c>
      <c r="L513" s="116">
        <v>31000</v>
      </c>
      <c r="M513" s="116">
        <v>31000</v>
      </c>
      <c r="N513" s="117">
        <v>100</v>
      </c>
    </row>
    <row r="514" spans="1:14">
      <c r="A514" s="79" t="s">
        <v>1033</v>
      </c>
      <c r="B514" s="79" t="s">
        <v>205</v>
      </c>
      <c r="C514" s="79" t="s">
        <v>1031</v>
      </c>
      <c r="D514" s="118">
        <v>2080</v>
      </c>
      <c r="E514" s="115" t="str">
        <f t="shared" si="8"/>
        <v>2</v>
      </c>
      <c r="F514" s="79" t="s">
        <v>1032</v>
      </c>
      <c r="G514" s="79" t="s">
        <v>341</v>
      </c>
      <c r="H514" s="79" t="s">
        <v>337</v>
      </c>
      <c r="I514" s="79" t="s">
        <v>338</v>
      </c>
      <c r="J514" s="79" t="s">
        <v>985</v>
      </c>
      <c r="K514" s="79" t="s">
        <v>986</v>
      </c>
      <c r="L514" s="116">
        <v>33667</v>
      </c>
      <c r="M514" s="116">
        <v>33667</v>
      </c>
      <c r="N514" s="117">
        <v>100</v>
      </c>
    </row>
    <row r="515" spans="1:14">
      <c r="A515" s="79" t="s">
        <v>1034</v>
      </c>
      <c r="B515" s="79" t="s">
        <v>205</v>
      </c>
      <c r="C515" s="79" t="s">
        <v>1031</v>
      </c>
      <c r="D515" s="118">
        <v>2080</v>
      </c>
      <c r="E515" s="115" t="str">
        <f t="shared" si="8"/>
        <v>2</v>
      </c>
      <c r="F515" s="79" t="s">
        <v>1032</v>
      </c>
      <c r="G515" s="79" t="s">
        <v>328</v>
      </c>
      <c r="H515" s="79" t="s">
        <v>337</v>
      </c>
      <c r="I515" s="79" t="s">
        <v>338</v>
      </c>
      <c r="J515" s="79" t="s">
        <v>985</v>
      </c>
      <c r="K515" s="79" t="s">
        <v>986</v>
      </c>
      <c r="L515" s="116">
        <v>43192</v>
      </c>
      <c r="M515" s="116">
        <v>43192</v>
      </c>
      <c r="N515" s="117">
        <v>100</v>
      </c>
    </row>
    <row r="516" spans="1:14">
      <c r="A516" s="79" t="s">
        <v>1035</v>
      </c>
      <c r="B516" s="79" t="s">
        <v>205</v>
      </c>
      <c r="C516" s="79" t="s">
        <v>1031</v>
      </c>
      <c r="D516" s="118">
        <v>2080</v>
      </c>
      <c r="E516" s="115" t="str">
        <f t="shared" si="8"/>
        <v>2</v>
      </c>
      <c r="F516" s="79" t="s">
        <v>1032</v>
      </c>
      <c r="G516" s="79" t="s">
        <v>328</v>
      </c>
      <c r="H516" s="79" t="s">
        <v>337</v>
      </c>
      <c r="I516" s="79" t="s">
        <v>338</v>
      </c>
      <c r="J516" s="79" t="s">
        <v>985</v>
      </c>
      <c r="K516" s="79" t="s">
        <v>986</v>
      </c>
      <c r="L516" s="116">
        <v>100000</v>
      </c>
      <c r="M516" s="116">
        <v>100000</v>
      </c>
      <c r="N516" s="117">
        <v>100</v>
      </c>
    </row>
    <row r="517" spans="1:14">
      <c r="A517" s="79" t="s">
        <v>1036</v>
      </c>
      <c r="B517" s="79" t="s">
        <v>205</v>
      </c>
      <c r="C517" s="79" t="s">
        <v>1037</v>
      </c>
      <c r="D517" s="118">
        <v>3810</v>
      </c>
      <c r="E517" s="115" t="str">
        <f t="shared" si="8"/>
        <v>3</v>
      </c>
      <c r="F517" s="79" t="s">
        <v>1038</v>
      </c>
      <c r="G517" s="79" t="s">
        <v>328</v>
      </c>
      <c r="H517" s="79" t="s">
        <v>337</v>
      </c>
      <c r="I517" s="79" t="s">
        <v>338</v>
      </c>
      <c r="J517" s="79" t="s">
        <v>985</v>
      </c>
      <c r="K517" s="79" t="s">
        <v>986</v>
      </c>
      <c r="L517" s="116">
        <v>74000</v>
      </c>
      <c r="M517" s="116">
        <v>3596</v>
      </c>
      <c r="N517" s="117">
        <v>4.8600000000000003</v>
      </c>
    </row>
    <row r="518" spans="1:14">
      <c r="A518" s="79" t="s">
        <v>1039</v>
      </c>
      <c r="B518" s="79" t="s">
        <v>205</v>
      </c>
      <c r="C518" s="79" t="s">
        <v>1037</v>
      </c>
      <c r="D518" s="118">
        <v>3810</v>
      </c>
      <c r="E518" s="115" t="str">
        <f t="shared" si="8"/>
        <v>3</v>
      </c>
      <c r="F518" s="79" t="s">
        <v>1038</v>
      </c>
      <c r="G518" s="79" t="s">
        <v>328</v>
      </c>
      <c r="H518" s="79" t="s">
        <v>337</v>
      </c>
      <c r="I518" s="79" t="s">
        <v>338</v>
      </c>
      <c r="J518" s="79" t="s">
        <v>985</v>
      </c>
      <c r="K518" s="79" t="s">
        <v>986</v>
      </c>
      <c r="L518" s="116">
        <v>64000</v>
      </c>
      <c r="M518" s="116">
        <v>30976</v>
      </c>
      <c r="N518" s="117">
        <v>48.4</v>
      </c>
    </row>
    <row r="519" spans="1:14">
      <c r="A519" s="79" t="s">
        <v>938</v>
      </c>
      <c r="B519" s="79" t="s">
        <v>205</v>
      </c>
      <c r="C519" s="79" t="s">
        <v>1037</v>
      </c>
      <c r="D519" s="118">
        <v>3810</v>
      </c>
      <c r="E519" s="115" t="str">
        <f t="shared" si="8"/>
        <v>3</v>
      </c>
      <c r="F519" s="79" t="s">
        <v>1038</v>
      </c>
      <c r="G519" s="79" t="s">
        <v>328</v>
      </c>
      <c r="H519" s="79" t="s">
        <v>337</v>
      </c>
      <c r="I519" s="79" t="s">
        <v>338</v>
      </c>
      <c r="J519" s="79" t="s">
        <v>985</v>
      </c>
      <c r="K519" s="79" t="s">
        <v>986</v>
      </c>
      <c r="L519" s="116">
        <v>66763</v>
      </c>
      <c r="M519" s="116">
        <v>34589</v>
      </c>
      <c r="N519" s="117">
        <v>51.81</v>
      </c>
    </row>
    <row r="520" spans="1:14">
      <c r="A520" s="79" t="s">
        <v>1040</v>
      </c>
      <c r="B520" s="79" t="s">
        <v>205</v>
      </c>
      <c r="C520" s="79" t="s">
        <v>1037</v>
      </c>
      <c r="D520" s="118">
        <v>3810</v>
      </c>
      <c r="E520" s="115" t="str">
        <f t="shared" si="8"/>
        <v>3</v>
      </c>
      <c r="F520" s="79" t="s">
        <v>1038</v>
      </c>
      <c r="G520" s="79" t="s">
        <v>328</v>
      </c>
      <c r="H520" s="79" t="s">
        <v>337</v>
      </c>
      <c r="I520" s="79" t="s">
        <v>338</v>
      </c>
      <c r="J520" s="79" t="s">
        <v>985</v>
      </c>
      <c r="K520" s="79" t="s">
        <v>986</v>
      </c>
      <c r="L520" s="116">
        <v>48000</v>
      </c>
      <c r="M520" s="116">
        <v>45000</v>
      </c>
      <c r="N520" s="117">
        <v>93.75</v>
      </c>
    </row>
    <row r="521" spans="1:14">
      <c r="A521" s="79" t="s">
        <v>1041</v>
      </c>
      <c r="B521" s="79" t="s">
        <v>205</v>
      </c>
      <c r="C521" s="79" t="s">
        <v>1037</v>
      </c>
      <c r="D521" s="118">
        <v>3810</v>
      </c>
      <c r="E521" s="115" t="str">
        <f t="shared" si="8"/>
        <v>3</v>
      </c>
      <c r="F521" s="79" t="s">
        <v>1038</v>
      </c>
      <c r="G521" s="79" t="s">
        <v>328</v>
      </c>
      <c r="H521" s="79" t="s">
        <v>337</v>
      </c>
      <c r="I521" s="79" t="s">
        <v>338</v>
      </c>
      <c r="J521" s="79" t="s">
        <v>985</v>
      </c>
      <c r="K521" s="79" t="s">
        <v>986</v>
      </c>
      <c r="L521" s="116">
        <v>63500</v>
      </c>
      <c r="M521" s="116">
        <v>51873</v>
      </c>
      <c r="N521" s="117">
        <v>81.69</v>
      </c>
    </row>
    <row r="522" spans="1:14">
      <c r="A522" s="79" t="s">
        <v>1042</v>
      </c>
      <c r="B522" s="79" t="s">
        <v>205</v>
      </c>
      <c r="C522" s="79" t="s">
        <v>1043</v>
      </c>
      <c r="D522" s="115">
        <v>2057</v>
      </c>
      <c r="E522" s="115" t="str">
        <f t="shared" si="8"/>
        <v>2</v>
      </c>
      <c r="F522" s="79" t="s">
        <v>1044</v>
      </c>
      <c r="G522" s="79" t="s">
        <v>328</v>
      </c>
      <c r="H522" s="79" t="s">
        <v>337</v>
      </c>
      <c r="I522" s="79" t="s">
        <v>338</v>
      </c>
      <c r="J522" s="79" t="s">
        <v>985</v>
      </c>
      <c r="K522" s="79" t="s">
        <v>986</v>
      </c>
      <c r="L522" s="116">
        <v>60000</v>
      </c>
      <c r="M522" s="116">
        <v>60000</v>
      </c>
      <c r="N522" s="117">
        <v>100</v>
      </c>
    </row>
    <row r="523" spans="1:14">
      <c r="A523" s="79" t="s">
        <v>1045</v>
      </c>
      <c r="B523" s="79" t="s">
        <v>205</v>
      </c>
      <c r="C523" s="79" t="s">
        <v>1046</v>
      </c>
      <c r="D523" s="115" t="s">
        <v>1047</v>
      </c>
      <c r="E523" s="115" t="str">
        <f t="shared" si="8"/>
        <v>2</v>
      </c>
      <c r="F523" s="79" t="s">
        <v>1048</v>
      </c>
      <c r="G523" s="79" t="s">
        <v>341</v>
      </c>
      <c r="H523" s="79" t="s">
        <v>337</v>
      </c>
      <c r="I523" s="79" t="s">
        <v>338</v>
      </c>
      <c r="J523" s="79" t="s">
        <v>985</v>
      </c>
      <c r="K523" s="79" t="s">
        <v>986</v>
      </c>
      <c r="L523" s="116">
        <v>24186</v>
      </c>
      <c r="M523" s="116">
        <v>24186</v>
      </c>
      <c r="N523" s="117">
        <v>100</v>
      </c>
    </row>
    <row r="524" spans="1:14">
      <c r="A524" s="79" t="s">
        <v>1049</v>
      </c>
      <c r="B524" s="79" t="s">
        <v>205</v>
      </c>
      <c r="C524" s="79" t="s">
        <v>1046</v>
      </c>
      <c r="D524" s="115" t="s">
        <v>1047</v>
      </c>
      <c r="E524" s="115" t="str">
        <f t="shared" si="8"/>
        <v>2</v>
      </c>
      <c r="F524" s="79" t="s">
        <v>1048</v>
      </c>
      <c r="G524" s="79" t="s">
        <v>328</v>
      </c>
      <c r="H524" s="79" t="s">
        <v>337</v>
      </c>
      <c r="I524" s="79" t="s">
        <v>338</v>
      </c>
      <c r="J524" s="79" t="s">
        <v>985</v>
      </c>
      <c r="K524" s="79" t="s">
        <v>986</v>
      </c>
      <c r="L524" s="116">
        <v>50000</v>
      </c>
      <c r="M524" s="116">
        <v>50000</v>
      </c>
      <c r="N524" s="117">
        <v>100</v>
      </c>
    </row>
    <row r="525" spans="1:14">
      <c r="A525" s="79" t="s">
        <v>1050</v>
      </c>
      <c r="B525" s="79" t="s">
        <v>205</v>
      </c>
      <c r="C525" s="79" t="s">
        <v>1051</v>
      </c>
      <c r="D525" s="115" t="s">
        <v>957</v>
      </c>
      <c r="E525" s="115" t="str">
        <f t="shared" si="8"/>
        <v>2</v>
      </c>
      <c r="F525" s="79" t="s">
        <v>1052</v>
      </c>
      <c r="G525" s="79" t="s">
        <v>328</v>
      </c>
      <c r="H525" s="79" t="s">
        <v>337</v>
      </c>
      <c r="I525" s="79" t="s">
        <v>338</v>
      </c>
      <c r="J525" s="79" t="s">
        <v>985</v>
      </c>
      <c r="K525" s="79" t="s">
        <v>986</v>
      </c>
      <c r="L525" s="116">
        <v>54000</v>
      </c>
      <c r="M525" s="116">
        <v>27000</v>
      </c>
      <c r="N525" s="117">
        <v>50</v>
      </c>
    </row>
    <row r="526" spans="1:14">
      <c r="A526" s="79" t="s">
        <v>1053</v>
      </c>
      <c r="B526" s="79" t="s">
        <v>205</v>
      </c>
      <c r="C526" s="79" t="s">
        <v>1054</v>
      </c>
      <c r="D526" s="115" t="s">
        <v>347</v>
      </c>
      <c r="E526" s="115" t="str">
        <f t="shared" si="8"/>
        <v>3</v>
      </c>
      <c r="F526" s="79" t="s">
        <v>1055</v>
      </c>
      <c r="G526" s="79" t="s">
        <v>341</v>
      </c>
      <c r="H526" s="79" t="s">
        <v>337</v>
      </c>
      <c r="I526" s="79" t="s">
        <v>338</v>
      </c>
      <c r="J526" s="79" t="s">
        <v>985</v>
      </c>
      <c r="K526" s="79" t="s">
        <v>986</v>
      </c>
      <c r="L526" s="116">
        <v>37547</v>
      </c>
      <c r="M526" s="116">
        <v>37547</v>
      </c>
      <c r="N526" s="117">
        <v>100</v>
      </c>
    </row>
    <row r="527" spans="1:14">
      <c r="A527" s="79" t="s">
        <v>1056</v>
      </c>
      <c r="B527" s="79" t="s">
        <v>205</v>
      </c>
      <c r="C527" s="79" t="s">
        <v>1054</v>
      </c>
      <c r="D527" s="115" t="s">
        <v>347</v>
      </c>
      <c r="E527" s="115" t="str">
        <f t="shared" si="8"/>
        <v>3</v>
      </c>
      <c r="F527" s="79" t="s">
        <v>1055</v>
      </c>
      <c r="G527" s="79" t="s">
        <v>328</v>
      </c>
      <c r="H527" s="79" t="s">
        <v>337</v>
      </c>
      <c r="I527" s="79" t="s">
        <v>338</v>
      </c>
      <c r="J527" s="79" t="s">
        <v>985</v>
      </c>
      <c r="K527" s="79" t="s">
        <v>986</v>
      </c>
      <c r="L527" s="116">
        <v>41000</v>
      </c>
      <c r="M527" s="116">
        <v>41000</v>
      </c>
      <c r="N527" s="117">
        <v>100</v>
      </c>
    </row>
    <row r="528" spans="1:14">
      <c r="A528" s="79" t="s">
        <v>1057</v>
      </c>
      <c r="B528" s="79" t="s">
        <v>205</v>
      </c>
      <c r="C528" s="79" t="s">
        <v>1054</v>
      </c>
      <c r="D528" s="115" t="s">
        <v>347</v>
      </c>
      <c r="E528" s="115" t="str">
        <f t="shared" si="8"/>
        <v>3</v>
      </c>
      <c r="F528" s="79" t="s">
        <v>1055</v>
      </c>
      <c r="G528" s="79" t="s">
        <v>328</v>
      </c>
      <c r="H528" s="79" t="s">
        <v>337</v>
      </c>
      <c r="I528" s="79" t="s">
        <v>338</v>
      </c>
      <c r="J528" s="79" t="s">
        <v>985</v>
      </c>
      <c r="K528" s="79" t="s">
        <v>986</v>
      </c>
      <c r="L528" s="116">
        <v>41000</v>
      </c>
      <c r="M528" s="116">
        <v>41000</v>
      </c>
      <c r="N528" s="117">
        <v>100</v>
      </c>
    </row>
    <row r="529" spans="1:14">
      <c r="A529" s="79" t="s">
        <v>1058</v>
      </c>
      <c r="B529" s="79" t="s">
        <v>205</v>
      </c>
      <c r="C529" s="79" t="s">
        <v>1059</v>
      </c>
      <c r="D529" s="115" t="s">
        <v>1060</v>
      </c>
      <c r="E529" s="115" t="str">
        <f t="shared" si="8"/>
        <v>3</v>
      </c>
      <c r="F529" s="79" t="s">
        <v>1061</v>
      </c>
      <c r="G529" s="79" t="s">
        <v>341</v>
      </c>
      <c r="H529" s="79" t="s">
        <v>337</v>
      </c>
      <c r="I529" s="79" t="s">
        <v>338</v>
      </c>
      <c r="J529" s="79" t="s">
        <v>985</v>
      </c>
      <c r="K529" s="79" t="s">
        <v>986</v>
      </c>
      <c r="L529" s="116">
        <v>25131</v>
      </c>
      <c r="M529" s="116">
        <v>25131</v>
      </c>
      <c r="N529" s="117">
        <v>100</v>
      </c>
    </row>
    <row r="530" spans="1:14">
      <c r="A530" s="79" t="s">
        <v>1062</v>
      </c>
      <c r="B530" s="79" t="s">
        <v>205</v>
      </c>
      <c r="C530" s="79" t="s">
        <v>1059</v>
      </c>
      <c r="D530" s="115" t="s">
        <v>1060</v>
      </c>
      <c r="E530" s="115" t="str">
        <f t="shared" si="8"/>
        <v>3</v>
      </c>
      <c r="F530" s="79" t="s">
        <v>1061</v>
      </c>
      <c r="G530" s="79" t="s">
        <v>341</v>
      </c>
      <c r="H530" s="79" t="s">
        <v>337</v>
      </c>
      <c r="I530" s="79" t="s">
        <v>338</v>
      </c>
      <c r="J530" s="79" t="s">
        <v>985</v>
      </c>
      <c r="K530" s="79" t="s">
        <v>986</v>
      </c>
      <c r="L530" s="116">
        <v>29265</v>
      </c>
      <c r="M530" s="116">
        <v>29265</v>
      </c>
      <c r="N530" s="117">
        <v>100</v>
      </c>
    </row>
    <row r="531" spans="1:14">
      <c r="A531" s="79" t="s">
        <v>1063</v>
      </c>
      <c r="B531" s="79" t="s">
        <v>205</v>
      </c>
      <c r="C531" s="79" t="s">
        <v>1059</v>
      </c>
      <c r="D531" s="115" t="s">
        <v>1060</v>
      </c>
      <c r="E531" s="115" t="str">
        <f t="shared" si="8"/>
        <v>3</v>
      </c>
      <c r="F531" s="79" t="s">
        <v>1061</v>
      </c>
      <c r="G531" s="79" t="s">
        <v>328</v>
      </c>
      <c r="H531" s="79" t="s">
        <v>337</v>
      </c>
      <c r="I531" s="79" t="s">
        <v>338</v>
      </c>
      <c r="J531" s="79" t="s">
        <v>985</v>
      </c>
      <c r="K531" s="79" t="s">
        <v>986</v>
      </c>
      <c r="L531" s="116">
        <v>32192</v>
      </c>
      <c r="M531" s="116">
        <v>32192</v>
      </c>
      <c r="N531" s="117">
        <v>100</v>
      </c>
    </row>
    <row r="532" spans="1:14">
      <c r="A532" s="79" t="s">
        <v>1064</v>
      </c>
      <c r="B532" s="79" t="s">
        <v>205</v>
      </c>
      <c r="C532" s="79" t="s">
        <v>1059</v>
      </c>
      <c r="D532" s="115" t="s">
        <v>1060</v>
      </c>
      <c r="E532" s="115" t="str">
        <f t="shared" si="8"/>
        <v>3</v>
      </c>
      <c r="F532" s="79" t="s">
        <v>1061</v>
      </c>
      <c r="G532" s="79" t="s">
        <v>328</v>
      </c>
      <c r="H532" s="79" t="s">
        <v>337</v>
      </c>
      <c r="I532" s="79" t="s">
        <v>338</v>
      </c>
      <c r="J532" s="79" t="s">
        <v>985</v>
      </c>
      <c r="K532" s="79" t="s">
        <v>986</v>
      </c>
      <c r="L532" s="116">
        <v>32192</v>
      </c>
      <c r="M532" s="116">
        <v>32192</v>
      </c>
      <c r="N532" s="117">
        <v>100</v>
      </c>
    </row>
    <row r="533" spans="1:14">
      <c r="A533" s="79" t="s">
        <v>1065</v>
      </c>
      <c r="B533" s="79" t="s">
        <v>205</v>
      </c>
      <c r="C533" s="79" t="s">
        <v>1059</v>
      </c>
      <c r="D533" s="115" t="s">
        <v>1060</v>
      </c>
      <c r="E533" s="115" t="str">
        <f t="shared" si="8"/>
        <v>3</v>
      </c>
      <c r="F533" s="79" t="s">
        <v>1061</v>
      </c>
      <c r="G533" s="79" t="s">
        <v>328</v>
      </c>
      <c r="H533" s="79" t="s">
        <v>337</v>
      </c>
      <c r="I533" s="79" t="s">
        <v>338</v>
      </c>
      <c r="J533" s="79" t="s">
        <v>985</v>
      </c>
      <c r="K533" s="79" t="s">
        <v>986</v>
      </c>
      <c r="L533" s="116">
        <v>40000</v>
      </c>
      <c r="M533" s="116">
        <v>40000</v>
      </c>
      <c r="N533" s="117">
        <v>100</v>
      </c>
    </row>
    <row r="534" spans="1:14">
      <c r="A534" s="79" t="s">
        <v>1066</v>
      </c>
      <c r="B534" s="79" t="s">
        <v>205</v>
      </c>
      <c r="C534" s="79" t="s">
        <v>1059</v>
      </c>
      <c r="D534" s="115" t="s">
        <v>1060</v>
      </c>
      <c r="E534" s="115" t="str">
        <f t="shared" si="8"/>
        <v>3</v>
      </c>
      <c r="F534" s="79" t="s">
        <v>1061</v>
      </c>
      <c r="G534" s="79" t="s">
        <v>328</v>
      </c>
      <c r="H534" s="79" t="s">
        <v>337</v>
      </c>
      <c r="I534" s="79" t="s">
        <v>338</v>
      </c>
      <c r="J534" s="79" t="s">
        <v>985</v>
      </c>
      <c r="K534" s="79" t="s">
        <v>986</v>
      </c>
      <c r="L534" s="116">
        <v>40000</v>
      </c>
      <c r="M534" s="116">
        <v>40000</v>
      </c>
      <c r="N534" s="117">
        <v>100</v>
      </c>
    </row>
    <row r="535" spans="1:14">
      <c r="A535" s="79" t="s">
        <v>1067</v>
      </c>
      <c r="B535" s="79" t="s">
        <v>205</v>
      </c>
      <c r="C535" s="79" t="s">
        <v>1059</v>
      </c>
      <c r="D535" s="115" t="s">
        <v>1060</v>
      </c>
      <c r="E535" s="115" t="str">
        <f t="shared" si="8"/>
        <v>3</v>
      </c>
      <c r="F535" s="79" t="s">
        <v>1061</v>
      </c>
      <c r="G535" s="79" t="s">
        <v>328</v>
      </c>
      <c r="H535" s="79" t="s">
        <v>337</v>
      </c>
      <c r="I535" s="79" t="s">
        <v>338</v>
      </c>
      <c r="J535" s="79" t="s">
        <v>985</v>
      </c>
      <c r="K535" s="79" t="s">
        <v>986</v>
      </c>
      <c r="L535" s="116">
        <v>80000</v>
      </c>
      <c r="M535" s="116">
        <v>80000</v>
      </c>
      <c r="N535" s="117">
        <v>100</v>
      </c>
    </row>
    <row r="536" spans="1:14">
      <c r="A536" s="79" t="s">
        <v>1068</v>
      </c>
      <c r="B536" s="79" t="s">
        <v>205</v>
      </c>
      <c r="C536" s="79" t="s">
        <v>1069</v>
      </c>
      <c r="D536" s="115" t="s">
        <v>1070</v>
      </c>
      <c r="E536" s="115" t="str">
        <f t="shared" si="8"/>
        <v>3</v>
      </c>
      <c r="F536" s="79" t="s">
        <v>252</v>
      </c>
      <c r="G536" s="79" t="s">
        <v>341</v>
      </c>
      <c r="H536" s="79" t="s">
        <v>337</v>
      </c>
      <c r="I536" s="79" t="s">
        <v>338</v>
      </c>
      <c r="J536" s="79" t="s">
        <v>985</v>
      </c>
      <c r="K536" s="79" t="s">
        <v>986</v>
      </c>
      <c r="L536" s="116">
        <v>10400</v>
      </c>
      <c r="M536" s="116">
        <v>10400</v>
      </c>
      <c r="N536" s="117">
        <v>100</v>
      </c>
    </row>
    <row r="537" spans="1:14">
      <c r="A537" s="79" t="s">
        <v>1071</v>
      </c>
      <c r="B537" s="79" t="s">
        <v>205</v>
      </c>
      <c r="C537" s="79" t="s">
        <v>1069</v>
      </c>
      <c r="D537" s="115" t="s">
        <v>1070</v>
      </c>
      <c r="E537" s="115" t="str">
        <f t="shared" si="8"/>
        <v>3</v>
      </c>
      <c r="F537" s="79" t="s">
        <v>252</v>
      </c>
      <c r="G537" s="79" t="s">
        <v>341</v>
      </c>
      <c r="H537" s="79" t="s">
        <v>337</v>
      </c>
      <c r="I537" s="79" t="s">
        <v>338</v>
      </c>
      <c r="J537" s="79" t="s">
        <v>985</v>
      </c>
      <c r="K537" s="79" t="s">
        <v>986</v>
      </c>
      <c r="L537" s="116">
        <v>25834</v>
      </c>
      <c r="M537" s="116">
        <v>25834</v>
      </c>
      <c r="N537" s="117">
        <v>100</v>
      </c>
    </row>
    <row r="538" spans="1:14">
      <c r="A538" s="79" t="s">
        <v>1072</v>
      </c>
      <c r="B538" s="79" t="s">
        <v>205</v>
      </c>
      <c r="C538" s="79" t="s">
        <v>1069</v>
      </c>
      <c r="D538" s="115" t="s">
        <v>1070</v>
      </c>
      <c r="E538" s="115" t="str">
        <f t="shared" si="8"/>
        <v>3</v>
      </c>
      <c r="F538" s="79" t="s">
        <v>252</v>
      </c>
      <c r="G538" s="79" t="s">
        <v>341</v>
      </c>
      <c r="H538" s="79" t="s">
        <v>337</v>
      </c>
      <c r="I538" s="79" t="s">
        <v>338</v>
      </c>
      <c r="J538" s="79" t="s">
        <v>985</v>
      </c>
      <c r="K538" s="79" t="s">
        <v>986</v>
      </c>
      <c r="L538" s="116">
        <v>34568</v>
      </c>
      <c r="M538" s="116">
        <v>34568</v>
      </c>
      <c r="N538" s="117">
        <v>100</v>
      </c>
    </row>
    <row r="539" spans="1:14">
      <c r="A539" s="79" t="s">
        <v>1073</v>
      </c>
      <c r="B539" s="79" t="s">
        <v>205</v>
      </c>
      <c r="C539" s="79" t="s">
        <v>1074</v>
      </c>
      <c r="D539" s="115" t="s">
        <v>368</v>
      </c>
      <c r="E539" s="115" t="str">
        <f t="shared" si="8"/>
        <v>3</v>
      </c>
      <c r="F539" s="79" t="s">
        <v>1075</v>
      </c>
      <c r="G539" s="79" t="s">
        <v>328</v>
      </c>
      <c r="H539" s="79" t="s">
        <v>337</v>
      </c>
      <c r="I539" s="79" t="s">
        <v>338</v>
      </c>
      <c r="J539" s="79" t="s">
        <v>985</v>
      </c>
      <c r="K539" s="79" t="s">
        <v>986</v>
      </c>
      <c r="L539" s="116">
        <v>33000</v>
      </c>
      <c r="M539" s="116">
        <v>33000</v>
      </c>
      <c r="N539" s="117">
        <v>100</v>
      </c>
    </row>
    <row r="540" spans="1:14">
      <c r="A540" s="79" t="s">
        <v>1076</v>
      </c>
      <c r="B540" s="79" t="s">
        <v>205</v>
      </c>
      <c r="C540" s="79" t="s">
        <v>1074</v>
      </c>
      <c r="D540" s="115" t="s">
        <v>368</v>
      </c>
      <c r="E540" s="115" t="str">
        <f t="shared" si="8"/>
        <v>3</v>
      </c>
      <c r="F540" s="79" t="s">
        <v>1075</v>
      </c>
      <c r="G540" s="79" t="s">
        <v>328</v>
      </c>
      <c r="H540" s="79" t="s">
        <v>337</v>
      </c>
      <c r="I540" s="79" t="s">
        <v>338</v>
      </c>
      <c r="J540" s="79" t="s">
        <v>985</v>
      </c>
      <c r="K540" s="79" t="s">
        <v>986</v>
      </c>
      <c r="L540" s="116">
        <v>82500</v>
      </c>
      <c r="M540" s="116">
        <v>82500</v>
      </c>
      <c r="N540" s="117">
        <v>100</v>
      </c>
    </row>
    <row r="541" spans="1:14">
      <c r="A541" s="79" t="s">
        <v>1077</v>
      </c>
      <c r="B541" s="79" t="s">
        <v>205</v>
      </c>
      <c r="C541" s="79" t="s">
        <v>1078</v>
      </c>
      <c r="D541" s="115" t="s">
        <v>1079</v>
      </c>
      <c r="E541" s="115" t="str">
        <f t="shared" si="8"/>
        <v>3</v>
      </c>
      <c r="F541" s="79" t="s">
        <v>1080</v>
      </c>
      <c r="G541" s="79" t="s">
        <v>341</v>
      </c>
      <c r="H541" s="79" t="s">
        <v>337</v>
      </c>
      <c r="I541" s="79" t="s">
        <v>338</v>
      </c>
      <c r="J541" s="79" t="s">
        <v>985</v>
      </c>
      <c r="K541" s="79" t="s">
        <v>986</v>
      </c>
      <c r="L541" s="116">
        <v>25586</v>
      </c>
      <c r="M541" s="116">
        <v>25586</v>
      </c>
      <c r="N541" s="117">
        <v>100</v>
      </c>
    </row>
    <row r="542" spans="1:14">
      <c r="A542" s="79" t="s">
        <v>1081</v>
      </c>
      <c r="B542" s="79" t="s">
        <v>205</v>
      </c>
      <c r="C542" s="79" t="s">
        <v>1078</v>
      </c>
      <c r="D542" s="115" t="s">
        <v>1079</v>
      </c>
      <c r="E542" s="115" t="str">
        <f t="shared" si="8"/>
        <v>3</v>
      </c>
      <c r="F542" s="79" t="s">
        <v>1080</v>
      </c>
      <c r="G542" s="79" t="s">
        <v>341</v>
      </c>
      <c r="H542" s="79" t="s">
        <v>337</v>
      </c>
      <c r="I542" s="79" t="s">
        <v>338</v>
      </c>
      <c r="J542" s="79" t="s">
        <v>985</v>
      </c>
      <c r="K542" s="79" t="s">
        <v>986</v>
      </c>
      <c r="L542" s="116">
        <v>29496</v>
      </c>
      <c r="M542" s="116">
        <v>29496</v>
      </c>
      <c r="N542" s="117">
        <v>100</v>
      </c>
    </row>
    <row r="543" spans="1:14">
      <c r="A543" s="79" t="s">
        <v>1082</v>
      </c>
      <c r="B543" s="79" t="s">
        <v>205</v>
      </c>
      <c r="C543" s="79" t="s">
        <v>1078</v>
      </c>
      <c r="D543" s="115" t="s">
        <v>1079</v>
      </c>
      <c r="E543" s="115" t="str">
        <f t="shared" si="8"/>
        <v>3</v>
      </c>
      <c r="F543" s="79" t="s">
        <v>1080</v>
      </c>
      <c r="G543" s="79" t="s">
        <v>341</v>
      </c>
      <c r="H543" s="79" t="s">
        <v>337</v>
      </c>
      <c r="I543" s="79" t="s">
        <v>338</v>
      </c>
      <c r="J543" s="79" t="s">
        <v>985</v>
      </c>
      <c r="K543" s="79" t="s">
        <v>986</v>
      </c>
      <c r="L543" s="116">
        <v>30000</v>
      </c>
      <c r="M543" s="116">
        <v>30000</v>
      </c>
      <c r="N543" s="117">
        <v>100</v>
      </c>
    </row>
    <row r="544" spans="1:14">
      <c r="A544" s="79" t="s">
        <v>1083</v>
      </c>
      <c r="B544" s="79" t="s">
        <v>205</v>
      </c>
      <c r="C544" s="79" t="s">
        <v>1078</v>
      </c>
      <c r="D544" s="115" t="s">
        <v>1079</v>
      </c>
      <c r="E544" s="115" t="str">
        <f t="shared" si="8"/>
        <v>3</v>
      </c>
      <c r="F544" s="79" t="s">
        <v>1080</v>
      </c>
      <c r="G544" s="79" t="s">
        <v>341</v>
      </c>
      <c r="H544" s="79" t="s">
        <v>337</v>
      </c>
      <c r="I544" s="79" t="s">
        <v>338</v>
      </c>
      <c r="J544" s="79" t="s">
        <v>985</v>
      </c>
      <c r="K544" s="79" t="s">
        <v>986</v>
      </c>
      <c r="L544" s="116">
        <v>30000</v>
      </c>
      <c r="M544" s="116">
        <v>30000</v>
      </c>
      <c r="N544" s="117">
        <v>100</v>
      </c>
    </row>
    <row r="545" spans="1:14">
      <c r="A545" s="79" t="s">
        <v>1084</v>
      </c>
      <c r="B545" s="79" t="s">
        <v>205</v>
      </c>
      <c r="C545" s="79" t="s">
        <v>1078</v>
      </c>
      <c r="D545" s="115" t="s">
        <v>1079</v>
      </c>
      <c r="E545" s="115" t="str">
        <f t="shared" si="8"/>
        <v>3</v>
      </c>
      <c r="F545" s="79" t="s">
        <v>1080</v>
      </c>
      <c r="G545" s="79" t="s">
        <v>341</v>
      </c>
      <c r="H545" s="79" t="s">
        <v>337</v>
      </c>
      <c r="I545" s="79" t="s">
        <v>338</v>
      </c>
      <c r="J545" s="79" t="s">
        <v>985</v>
      </c>
      <c r="K545" s="79" t="s">
        <v>986</v>
      </c>
      <c r="L545" s="116">
        <v>30003</v>
      </c>
      <c r="M545" s="116">
        <v>30003</v>
      </c>
      <c r="N545" s="117">
        <v>100</v>
      </c>
    </row>
    <row r="546" spans="1:14">
      <c r="A546" s="79" t="s">
        <v>1085</v>
      </c>
      <c r="B546" s="79" t="s">
        <v>205</v>
      </c>
      <c r="C546" s="79" t="s">
        <v>1078</v>
      </c>
      <c r="D546" s="115" t="s">
        <v>1079</v>
      </c>
      <c r="E546" s="115" t="str">
        <f t="shared" si="8"/>
        <v>3</v>
      </c>
      <c r="F546" s="79" t="s">
        <v>1080</v>
      </c>
      <c r="G546" s="79" t="s">
        <v>328</v>
      </c>
      <c r="H546" s="79" t="s">
        <v>337</v>
      </c>
      <c r="I546" s="79" t="s">
        <v>338</v>
      </c>
      <c r="J546" s="79" t="s">
        <v>985</v>
      </c>
      <c r="K546" s="79" t="s">
        <v>986</v>
      </c>
      <c r="L546" s="116">
        <v>62844</v>
      </c>
      <c r="M546" s="116">
        <v>62844</v>
      </c>
      <c r="N546" s="117">
        <v>100</v>
      </c>
    </row>
    <row r="547" spans="1:14">
      <c r="A547" s="79" t="s">
        <v>1086</v>
      </c>
      <c r="B547" s="79" t="s">
        <v>205</v>
      </c>
      <c r="C547" s="79" t="s">
        <v>1087</v>
      </c>
      <c r="D547" s="115" t="s">
        <v>1088</v>
      </c>
      <c r="E547" s="115" t="str">
        <f t="shared" si="8"/>
        <v>3</v>
      </c>
      <c r="F547" s="79" t="s">
        <v>1089</v>
      </c>
      <c r="G547" s="79" t="s">
        <v>341</v>
      </c>
      <c r="H547" s="79" t="s">
        <v>337</v>
      </c>
      <c r="I547" s="79" t="s">
        <v>338</v>
      </c>
      <c r="J547" s="79" t="s">
        <v>985</v>
      </c>
      <c r="K547" s="79" t="s">
        <v>986</v>
      </c>
      <c r="L547" s="116">
        <v>24579</v>
      </c>
      <c r="M547" s="116">
        <v>24579</v>
      </c>
      <c r="N547" s="117">
        <v>100</v>
      </c>
    </row>
    <row r="548" spans="1:14">
      <c r="A548" s="79" t="s">
        <v>1090</v>
      </c>
      <c r="B548" s="79" t="s">
        <v>205</v>
      </c>
      <c r="C548" s="79" t="s">
        <v>1087</v>
      </c>
      <c r="D548" s="115" t="s">
        <v>1088</v>
      </c>
      <c r="E548" s="115" t="str">
        <f t="shared" si="8"/>
        <v>3</v>
      </c>
      <c r="F548" s="79" t="s">
        <v>1089</v>
      </c>
      <c r="G548" s="79" t="s">
        <v>328</v>
      </c>
      <c r="H548" s="79" t="s">
        <v>337</v>
      </c>
      <c r="I548" s="79" t="s">
        <v>338</v>
      </c>
      <c r="J548" s="79" t="s">
        <v>985</v>
      </c>
      <c r="K548" s="79" t="s">
        <v>986</v>
      </c>
      <c r="L548" s="116">
        <v>57412</v>
      </c>
      <c r="M548" s="116">
        <v>57412</v>
      </c>
      <c r="N548" s="117">
        <v>100</v>
      </c>
    </row>
    <row r="549" spans="1:14">
      <c r="A549" s="79" t="s">
        <v>1091</v>
      </c>
      <c r="B549" s="79" t="s">
        <v>205</v>
      </c>
      <c r="C549" s="79" t="s">
        <v>1092</v>
      </c>
      <c r="D549" s="118">
        <v>3181</v>
      </c>
      <c r="E549" s="115" t="str">
        <f t="shared" si="8"/>
        <v>3</v>
      </c>
      <c r="F549" s="79" t="s">
        <v>1093</v>
      </c>
      <c r="G549" s="79" t="s">
        <v>328</v>
      </c>
      <c r="H549" s="79" t="s">
        <v>337</v>
      </c>
      <c r="I549" s="79" t="s">
        <v>338</v>
      </c>
      <c r="J549" s="79" t="s">
        <v>985</v>
      </c>
      <c r="K549" s="79" t="s">
        <v>986</v>
      </c>
      <c r="L549" s="116">
        <v>61000</v>
      </c>
      <c r="M549" s="116">
        <v>61000</v>
      </c>
      <c r="N549" s="117">
        <v>100</v>
      </c>
    </row>
    <row r="550" spans="1:14">
      <c r="A550" s="79" t="s">
        <v>1094</v>
      </c>
      <c r="B550" s="79" t="s">
        <v>205</v>
      </c>
      <c r="C550" s="79" t="s">
        <v>1095</v>
      </c>
      <c r="D550" s="115" t="s">
        <v>1096</v>
      </c>
      <c r="E550" s="115" t="str">
        <f t="shared" si="8"/>
        <v>3</v>
      </c>
      <c r="F550" s="79" t="s">
        <v>1097</v>
      </c>
      <c r="G550" s="79" t="s">
        <v>341</v>
      </c>
      <c r="H550" s="79" t="s">
        <v>1098</v>
      </c>
      <c r="I550" s="79" t="s">
        <v>1099</v>
      </c>
      <c r="J550" s="79" t="s">
        <v>985</v>
      </c>
      <c r="K550" s="79" t="s">
        <v>986</v>
      </c>
      <c r="L550" s="116">
        <v>22388</v>
      </c>
      <c r="M550" s="116">
        <v>22388</v>
      </c>
      <c r="N550" s="117">
        <v>100</v>
      </c>
    </row>
    <row r="551" spans="1:14">
      <c r="A551" s="79" t="s">
        <v>1100</v>
      </c>
      <c r="B551" s="79" t="s">
        <v>205</v>
      </c>
      <c r="C551" s="79" t="s">
        <v>1095</v>
      </c>
      <c r="D551" s="115" t="s">
        <v>1096</v>
      </c>
      <c r="E551" s="115" t="str">
        <f t="shared" si="8"/>
        <v>3</v>
      </c>
      <c r="F551" s="79" t="s">
        <v>1097</v>
      </c>
      <c r="G551" s="79" t="s">
        <v>341</v>
      </c>
      <c r="H551" s="79" t="s">
        <v>1098</v>
      </c>
      <c r="I551" s="79" t="s">
        <v>1099</v>
      </c>
      <c r="J551" s="79" t="s">
        <v>985</v>
      </c>
      <c r="K551" s="79" t="s">
        <v>986</v>
      </c>
      <c r="L551" s="116">
        <v>22500</v>
      </c>
      <c r="M551" s="116">
        <v>22500</v>
      </c>
      <c r="N551" s="117">
        <v>100</v>
      </c>
    </row>
    <row r="552" spans="1:14">
      <c r="A552" s="79" t="s">
        <v>1101</v>
      </c>
      <c r="B552" s="79" t="s">
        <v>205</v>
      </c>
      <c r="C552" s="79" t="s">
        <v>1095</v>
      </c>
      <c r="D552" s="115" t="s">
        <v>1096</v>
      </c>
      <c r="E552" s="115" t="str">
        <f t="shared" si="8"/>
        <v>3</v>
      </c>
      <c r="F552" s="79" t="s">
        <v>1097</v>
      </c>
      <c r="G552" s="79" t="s">
        <v>341</v>
      </c>
      <c r="H552" s="79" t="s">
        <v>1098</v>
      </c>
      <c r="I552" s="79" t="s">
        <v>1099</v>
      </c>
      <c r="J552" s="79" t="s">
        <v>985</v>
      </c>
      <c r="K552" s="79" t="s">
        <v>986</v>
      </c>
      <c r="L552" s="116">
        <v>35411</v>
      </c>
      <c r="M552" s="116">
        <v>35411</v>
      </c>
      <c r="N552" s="117">
        <v>100</v>
      </c>
    </row>
    <row r="553" spans="1:14">
      <c r="A553" s="79" t="s">
        <v>1102</v>
      </c>
      <c r="B553" s="79" t="s">
        <v>205</v>
      </c>
      <c r="C553" s="79" t="s">
        <v>1095</v>
      </c>
      <c r="D553" s="115" t="s">
        <v>1096</v>
      </c>
      <c r="E553" s="115" t="str">
        <f t="shared" si="8"/>
        <v>3</v>
      </c>
      <c r="F553" s="79" t="s">
        <v>1097</v>
      </c>
      <c r="G553" s="79" t="s">
        <v>341</v>
      </c>
      <c r="H553" s="79" t="s">
        <v>1098</v>
      </c>
      <c r="I553" s="79" t="s">
        <v>1099</v>
      </c>
      <c r="J553" s="79" t="s">
        <v>985</v>
      </c>
      <c r="K553" s="79" t="s">
        <v>986</v>
      </c>
      <c r="L553" s="116">
        <v>35411</v>
      </c>
      <c r="M553" s="116">
        <v>35411</v>
      </c>
      <c r="N553" s="117">
        <v>100</v>
      </c>
    </row>
    <row r="554" spans="1:14">
      <c r="A554" s="79" t="s">
        <v>1103</v>
      </c>
      <c r="B554" s="79" t="s">
        <v>205</v>
      </c>
      <c r="C554" s="79" t="s">
        <v>1095</v>
      </c>
      <c r="D554" s="115" t="s">
        <v>1096</v>
      </c>
      <c r="E554" s="115" t="str">
        <f t="shared" si="8"/>
        <v>3</v>
      </c>
      <c r="F554" s="79" t="s">
        <v>1097</v>
      </c>
      <c r="G554" s="79" t="s">
        <v>341</v>
      </c>
      <c r="H554" s="79" t="s">
        <v>1098</v>
      </c>
      <c r="I554" s="79" t="s">
        <v>1099</v>
      </c>
      <c r="J554" s="79" t="s">
        <v>985</v>
      </c>
      <c r="K554" s="79" t="s">
        <v>986</v>
      </c>
      <c r="L554" s="116">
        <v>35411</v>
      </c>
      <c r="M554" s="116">
        <v>35411</v>
      </c>
      <c r="N554" s="117">
        <v>100</v>
      </c>
    </row>
    <row r="555" spans="1:14">
      <c r="A555" s="79" t="s">
        <v>1104</v>
      </c>
      <c r="B555" s="79" t="s">
        <v>205</v>
      </c>
      <c r="C555" s="79" t="s">
        <v>1095</v>
      </c>
      <c r="D555" s="115" t="s">
        <v>1096</v>
      </c>
      <c r="E555" s="115" t="str">
        <f t="shared" si="8"/>
        <v>3</v>
      </c>
      <c r="F555" s="79" t="s">
        <v>1097</v>
      </c>
      <c r="G555" s="79" t="s">
        <v>341</v>
      </c>
      <c r="H555" s="79" t="s">
        <v>1098</v>
      </c>
      <c r="I555" s="79" t="s">
        <v>1099</v>
      </c>
      <c r="J555" s="79" t="s">
        <v>985</v>
      </c>
      <c r="K555" s="79" t="s">
        <v>986</v>
      </c>
      <c r="L555" s="116">
        <v>35411</v>
      </c>
      <c r="M555" s="116">
        <v>35411</v>
      </c>
      <c r="N555" s="117">
        <v>100</v>
      </c>
    </row>
    <row r="556" spans="1:14">
      <c r="A556" s="79" t="s">
        <v>1105</v>
      </c>
      <c r="B556" s="79" t="s">
        <v>205</v>
      </c>
      <c r="C556" s="79" t="s">
        <v>1095</v>
      </c>
      <c r="D556" s="115" t="s">
        <v>1096</v>
      </c>
      <c r="E556" s="115" t="str">
        <f t="shared" si="8"/>
        <v>3</v>
      </c>
      <c r="F556" s="79" t="s">
        <v>1097</v>
      </c>
      <c r="G556" s="79" t="s">
        <v>341</v>
      </c>
      <c r="H556" s="79" t="s">
        <v>1098</v>
      </c>
      <c r="I556" s="79" t="s">
        <v>1099</v>
      </c>
      <c r="J556" s="79" t="s">
        <v>985</v>
      </c>
      <c r="K556" s="79" t="s">
        <v>986</v>
      </c>
      <c r="L556" s="116">
        <v>42847</v>
      </c>
      <c r="M556" s="116">
        <v>42847</v>
      </c>
      <c r="N556" s="117">
        <v>100</v>
      </c>
    </row>
    <row r="557" spans="1:14">
      <c r="A557" s="79" t="s">
        <v>1106</v>
      </c>
      <c r="B557" s="79" t="s">
        <v>205</v>
      </c>
      <c r="C557" s="79" t="s">
        <v>1095</v>
      </c>
      <c r="D557" s="115" t="s">
        <v>1096</v>
      </c>
      <c r="E557" s="115" t="str">
        <f t="shared" si="8"/>
        <v>3</v>
      </c>
      <c r="F557" s="79" t="s">
        <v>1097</v>
      </c>
      <c r="G557" s="79" t="s">
        <v>341</v>
      </c>
      <c r="H557" s="79" t="s">
        <v>1098</v>
      </c>
      <c r="I557" s="79" t="s">
        <v>1099</v>
      </c>
      <c r="J557" s="79" t="s">
        <v>985</v>
      </c>
      <c r="K557" s="79" t="s">
        <v>986</v>
      </c>
      <c r="L557" s="116">
        <v>42847</v>
      </c>
      <c r="M557" s="116">
        <v>42847</v>
      </c>
      <c r="N557" s="117">
        <v>100</v>
      </c>
    </row>
    <row r="558" spans="1:14">
      <c r="A558" s="79" t="s">
        <v>1107</v>
      </c>
      <c r="B558" s="79" t="s">
        <v>205</v>
      </c>
      <c r="C558" s="79" t="s">
        <v>1095</v>
      </c>
      <c r="D558" s="115" t="s">
        <v>1096</v>
      </c>
      <c r="E558" s="115" t="str">
        <f t="shared" si="8"/>
        <v>3</v>
      </c>
      <c r="F558" s="79" t="s">
        <v>1097</v>
      </c>
      <c r="G558" s="79" t="s">
        <v>328</v>
      </c>
      <c r="H558" s="79" t="s">
        <v>1098</v>
      </c>
      <c r="I558" s="79" t="s">
        <v>1099</v>
      </c>
      <c r="J558" s="79" t="s">
        <v>985</v>
      </c>
      <c r="K558" s="79" t="s">
        <v>986</v>
      </c>
      <c r="L558" s="116">
        <v>51845</v>
      </c>
      <c r="M558" s="116">
        <v>51845</v>
      </c>
      <c r="N558" s="117">
        <v>100</v>
      </c>
    </row>
    <row r="559" spans="1:14">
      <c r="A559" s="79" t="s">
        <v>1108</v>
      </c>
      <c r="B559" s="79" t="s">
        <v>205</v>
      </c>
      <c r="C559" s="79" t="s">
        <v>1095</v>
      </c>
      <c r="D559" s="115" t="s">
        <v>1096</v>
      </c>
      <c r="E559" s="115" t="str">
        <f t="shared" si="8"/>
        <v>3</v>
      </c>
      <c r="F559" s="79" t="s">
        <v>1097</v>
      </c>
      <c r="G559" s="79" t="s">
        <v>328</v>
      </c>
      <c r="H559" s="79" t="s">
        <v>1098</v>
      </c>
      <c r="I559" s="79" t="s">
        <v>1099</v>
      </c>
      <c r="J559" s="79" t="s">
        <v>985</v>
      </c>
      <c r="K559" s="79" t="s">
        <v>986</v>
      </c>
      <c r="L559" s="116">
        <v>77517</v>
      </c>
      <c r="M559" s="116">
        <v>77517</v>
      </c>
      <c r="N559" s="117">
        <v>100</v>
      </c>
    </row>
    <row r="560" spans="1:14">
      <c r="A560" s="79" t="s">
        <v>1109</v>
      </c>
      <c r="B560" s="79" t="s">
        <v>205</v>
      </c>
      <c r="C560" s="79" t="s">
        <v>1110</v>
      </c>
      <c r="D560" s="115" t="s">
        <v>1111</v>
      </c>
      <c r="E560" s="115" t="str">
        <f t="shared" si="8"/>
        <v>3</v>
      </c>
      <c r="F560" s="79" t="s">
        <v>232</v>
      </c>
      <c r="G560" s="79" t="s">
        <v>328</v>
      </c>
      <c r="H560" s="79" t="s">
        <v>337</v>
      </c>
      <c r="I560" s="79" t="s">
        <v>338</v>
      </c>
      <c r="J560" s="79" t="s">
        <v>985</v>
      </c>
      <c r="K560" s="79" t="s">
        <v>986</v>
      </c>
      <c r="L560" s="116">
        <v>49048</v>
      </c>
      <c r="M560" s="116">
        <v>6867</v>
      </c>
      <c r="N560" s="117">
        <v>14</v>
      </c>
    </row>
    <row r="561" spans="1:14">
      <c r="A561" s="79" t="s">
        <v>1112</v>
      </c>
      <c r="B561" s="79" t="s">
        <v>205</v>
      </c>
      <c r="C561" s="79" t="s">
        <v>1110</v>
      </c>
      <c r="D561" s="115" t="s">
        <v>1111</v>
      </c>
      <c r="E561" s="115" t="str">
        <f t="shared" si="8"/>
        <v>3</v>
      </c>
      <c r="F561" s="79" t="s">
        <v>232</v>
      </c>
      <c r="G561" s="79" t="s">
        <v>341</v>
      </c>
      <c r="H561" s="79" t="s">
        <v>337</v>
      </c>
      <c r="I561" s="79" t="s">
        <v>338</v>
      </c>
      <c r="J561" s="79" t="s">
        <v>985</v>
      </c>
      <c r="K561" s="79" t="s">
        <v>986</v>
      </c>
      <c r="L561" s="116">
        <v>31564</v>
      </c>
      <c r="M561" s="116">
        <v>7891</v>
      </c>
      <c r="N561" s="117">
        <v>25</v>
      </c>
    </row>
    <row r="562" spans="1:14">
      <c r="A562" s="79" t="s">
        <v>1113</v>
      </c>
      <c r="B562" s="79" t="s">
        <v>205</v>
      </c>
      <c r="C562" s="79" t="s">
        <v>1110</v>
      </c>
      <c r="D562" s="115" t="s">
        <v>1111</v>
      </c>
      <c r="E562" s="115" t="str">
        <f t="shared" si="8"/>
        <v>3</v>
      </c>
      <c r="F562" s="79" t="s">
        <v>232</v>
      </c>
      <c r="G562" s="79" t="s">
        <v>328</v>
      </c>
      <c r="H562" s="79" t="s">
        <v>337</v>
      </c>
      <c r="I562" s="79" t="s">
        <v>338</v>
      </c>
      <c r="J562" s="79" t="s">
        <v>985</v>
      </c>
      <c r="K562" s="79" t="s">
        <v>986</v>
      </c>
      <c r="L562" s="116">
        <v>98857</v>
      </c>
      <c r="M562" s="116">
        <v>20335</v>
      </c>
      <c r="N562" s="117">
        <v>20.57</v>
      </c>
    </row>
    <row r="563" spans="1:14">
      <c r="A563" s="79" t="s">
        <v>1114</v>
      </c>
      <c r="B563" s="79" t="s">
        <v>205</v>
      </c>
      <c r="C563" s="79" t="s">
        <v>1110</v>
      </c>
      <c r="D563" s="115" t="s">
        <v>1111</v>
      </c>
      <c r="E563" s="115" t="str">
        <f t="shared" si="8"/>
        <v>3</v>
      </c>
      <c r="F563" s="79" t="s">
        <v>232</v>
      </c>
      <c r="G563" s="79" t="s">
        <v>328</v>
      </c>
      <c r="H563" s="79" t="s">
        <v>337</v>
      </c>
      <c r="I563" s="79" t="s">
        <v>338</v>
      </c>
      <c r="J563" s="79" t="s">
        <v>985</v>
      </c>
      <c r="K563" s="79" t="s">
        <v>986</v>
      </c>
      <c r="L563" s="116">
        <v>32192</v>
      </c>
      <c r="M563" s="116">
        <v>24144</v>
      </c>
      <c r="N563" s="117">
        <v>75</v>
      </c>
    </row>
    <row r="564" spans="1:14">
      <c r="A564" s="79" t="s">
        <v>1115</v>
      </c>
      <c r="B564" s="79" t="s">
        <v>205</v>
      </c>
      <c r="C564" s="79" t="s">
        <v>1116</v>
      </c>
      <c r="D564" s="118">
        <v>6300</v>
      </c>
      <c r="E564" s="115" t="str">
        <f t="shared" si="8"/>
        <v>6</v>
      </c>
      <c r="F564" s="79" t="s">
        <v>1117</v>
      </c>
      <c r="G564" s="79" t="s">
        <v>341</v>
      </c>
      <c r="H564" s="79" t="s">
        <v>337</v>
      </c>
      <c r="I564" s="79" t="s">
        <v>338</v>
      </c>
      <c r="J564" s="79" t="s">
        <v>985</v>
      </c>
      <c r="K564" s="79" t="s">
        <v>986</v>
      </c>
      <c r="L564" s="116">
        <v>31000</v>
      </c>
      <c r="M564" s="116">
        <v>31000</v>
      </c>
      <c r="N564" s="117">
        <v>100</v>
      </c>
    </row>
    <row r="565" spans="1:14">
      <c r="A565" s="79" t="s">
        <v>1118</v>
      </c>
      <c r="B565" s="79" t="s">
        <v>205</v>
      </c>
      <c r="C565" s="79" t="s">
        <v>1116</v>
      </c>
      <c r="D565" s="118">
        <v>6300</v>
      </c>
      <c r="E565" s="115" t="str">
        <f t="shared" si="8"/>
        <v>6</v>
      </c>
      <c r="F565" s="79" t="s">
        <v>1117</v>
      </c>
      <c r="G565" s="79" t="s">
        <v>328</v>
      </c>
      <c r="H565" s="79" t="s">
        <v>337</v>
      </c>
      <c r="I565" s="79" t="s">
        <v>338</v>
      </c>
      <c r="J565" s="79" t="s">
        <v>985</v>
      </c>
      <c r="K565" s="79" t="s">
        <v>986</v>
      </c>
      <c r="L565" s="116">
        <v>34000</v>
      </c>
      <c r="M565" s="116">
        <v>34000</v>
      </c>
      <c r="N565" s="117">
        <v>100</v>
      </c>
    </row>
    <row r="566" spans="1:14">
      <c r="A566" s="79" t="s">
        <v>1119</v>
      </c>
      <c r="B566" s="79" t="s">
        <v>205</v>
      </c>
      <c r="C566" s="79" t="s">
        <v>1120</v>
      </c>
      <c r="D566" s="115" t="s">
        <v>1121</v>
      </c>
      <c r="E566" s="115" t="str">
        <f t="shared" si="8"/>
        <v>3</v>
      </c>
      <c r="F566" s="79" t="s">
        <v>1122</v>
      </c>
      <c r="G566" s="79" t="s">
        <v>341</v>
      </c>
      <c r="H566" s="79" t="s">
        <v>337</v>
      </c>
      <c r="I566" s="79" t="s">
        <v>338</v>
      </c>
      <c r="J566" s="79" t="s">
        <v>985</v>
      </c>
      <c r="K566" s="79" t="s">
        <v>986</v>
      </c>
      <c r="L566" s="116">
        <v>18750</v>
      </c>
      <c r="M566" s="116">
        <v>18750</v>
      </c>
      <c r="N566" s="117">
        <v>100</v>
      </c>
    </row>
    <row r="567" spans="1:14">
      <c r="A567" s="79" t="s">
        <v>1123</v>
      </c>
      <c r="B567" s="79" t="s">
        <v>205</v>
      </c>
      <c r="C567" s="79" t="s">
        <v>1120</v>
      </c>
      <c r="D567" s="115" t="s">
        <v>1121</v>
      </c>
      <c r="E567" s="115" t="str">
        <f t="shared" si="8"/>
        <v>3</v>
      </c>
      <c r="F567" s="79" t="s">
        <v>1122</v>
      </c>
      <c r="G567" s="79" t="s">
        <v>328</v>
      </c>
      <c r="H567" s="79" t="s">
        <v>337</v>
      </c>
      <c r="I567" s="79" t="s">
        <v>338</v>
      </c>
      <c r="J567" s="79" t="s">
        <v>985</v>
      </c>
      <c r="K567" s="79" t="s">
        <v>986</v>
      </c>
      <c r="L567" s="116">
        <v>69838</v>
      </c>
      <c r="M567" s="116">
        <v>69838</v>
      </c>
      <c r="N567" s="117">
        <v>100</v>
      </c>
    </row>
    <row r="568" spans="1:14">
      <c r="A568" s="79" t="s">
        <v>1124</v>
      </c>
      <c r="B568" s="79" t="s">
        <v>205</v>
      </c>
      <c r="C568" s="79" t="s">
        <v>1125</v>
      </c>
      <c r="D568" s="115" t="s">
        <v>1126</v>
      </c>
      <c r="E568" s="115" t="str">
        <f t="shared" si="8"/>
        <v>3</v>
      </c>
      <c r="F568" s="79" t="s">
        <v>1127</v>
      </c>
      <c r="G568" s="79" t="s">
        <v>328</v>
      </c>
      <c r="H568" s="79" t="s">
        <v>337</v>
      </c>
      <c r="I568" s="79" t="s">
        <v>338</v>
      </c>
      <c r="J568" s="79" t="s">
        <v>985</v>
      </c>
      <c r="K568" s="79" t="s">
        <v>986</v>
      </c>
      <c r="L568" s="116">
        <v>37000</v>
      </c>
      <c r="M568" s="116">
        <v>37000</v>
      </c>
      <c r="N568" s="117">
        <v>100</v>
      </c>
    </row>
    <row r="569" spans="1:14">
      <c r="A569" s="79" t="s">
        <v>1128</v>
      </c>
      <c r="B569" s="79" t="s">
        <v>205</v>
      </c>
      <c r="C569" s="79" t="s">
        <v>1129</v>
      </c>
      <c r="D569" s="115" t="s">
        <v>1130</v>
      </c>
      <c r="E569" s="115" t="str">
        <f t="shared" si="8"/>
        <v>2</v>
      </c>
      <c r="F569" s="79" t="s">
        <v>1131</v>
      </c>
      <c r="G569" s="79" t="s">
        <v>341</v>
      </c>
      <c r="H569" s="79" t="s">
        <v>337</v>
      </c>
      <c r="I569" s="79" t="s">
        <v>338</v>
      </c>
      <c r="J569" s="79" t="s">
        <v>985</v>
      </c>
      <c r="K569" s="79" t="s">
        <v>986</v>
      </c>
      <c r="L569" s="116">
        <v>37519</v>
      </c>
      <c r="M569" s="116">
        <v>34519</v>
      </c>
      <c r="N569" s="117">
        <v>92</v>
      </c>
    </row>
    <row r="570" spans="1:14">
      <c r="A570" s="79" t="s">
        <v>640</v>
      </c>
      <c r="B570" s="79" t="s">
        <v>205</v>
      </c>
      <c r="C570" s="79" t="s">
        <v>1129</v>
      </c>
      <c r="D570" s="115" t="s">
        <v>1130</v>
      </c>
      <c r="E570" s="115" t="str">
        <f t="shared" si="8"/>
        <v>2</v>
      </c>
      <c r="F570" s="79" t="s">
        <v>1131</v>
      </c>
      <c r="G570" s="79" t="s">
        <v>328</v>
      </c>
      <c r="H570" s="79" t="s">
        <v>337</v>
      </c>
      <c r="I570" s="79" t="s">
        <v>338</v>
      </c>
      <c r="J570" s="79" t="s">
        <v>985</v>
      </c>
      <c r="K570" s="79" t="s">
        <v>986</v>
      </c>
      <c r="L570" s="116">
        <v>97529</v>
      </c>
      <c r="M570" s="116">
        <v>55506</v>
      </c>
      <c r="N570" s="117">
        <v>56.91</v>
      </c>
    </row>
    <row r="571" spans="1:14">
      <c r="A571" s="79" t="s">
        <v>1132</v>
      </c>
      <c r="B571" s="79" t="s">
        <v>205</v>
      </c>
      <c r="C571" s="79" t="s">
        <v>1133</v>
      </c>
      <c r="D571" s="115" t="s">
        <v>1134</v>
      </c>
      <c r="E571" s="115" t="str">
        <f t="shared" si="8"/>
        <v>5</v>
      </c>
      <c r="F571" s="79" t="s">
        <v>1135</v>
      </c>
      <c r="G571" s="79" t="s">
        <v>328</v>
      </c>
      <c r="H571" s="79" t="s">
        <v>169</v>
      </c>
      <c r="I571" s="79" t="s">
        <v>388</v>
      </c>
      <c r="J571" s="79" t="s">
        <v>985</v>
      </c>
      <c r="K571" s="79" t="s">
        <v>986</v>
      </c>
      <c r="L571" s="116">
        <v>120000</v>
      </c>
      <c r="M571" s="116">
        <v>120000</v>
      </c>
      <c r="N571" s="117">
        <v>100</v>
      </c>
    </row>
    <row r="572" spans="1:14">
      <c r="A572" s="79" t="s">
        <v>1136</v>
      </c>
      <c r="B572" s="79" t="s">
        <v>205</v>
      </c>
      <c r="C572" s="79" t="s">
        <v>1137</v>
      </c>
      <c r="D572" s="115" t="s">
        <v>391</v>
      </c>
      <c r="E572" s="115" t="str">
        <f t="shared" ref="E572:E635" si="9">LEFT(D572,1)</f>
        <v>5</v>
      </c>
      <c r="F572" s="79" t="s">
        <v>1138</v>
      </c>
      <c r="G572" s="79" t="s">
        <v>328</v>
      </c>
      <c r="H572" s="79" t="s">
        <v>169</v>
      </c>
      <c r="I572" s="79" t="s">
        <v>388</v>
      </c>
      <c r="J572" s="79" t="s">
        <v>985</v>
      </c>
      <c r="K572" s="79" t="s">
        <v>986</v>
      </c>
      <c r="L572" s="116">
        <v>50292</v>
      </c>
      <c r="M572" s="116">
        <v>50292</v>
      </c>
      <c r="N572" s="117">
        <v>100</v>
      </c>
    </row>
    <row r="573" spans="1:14">
      <c r="A573" s="79" t="s">
        <v>1139</v>
      </c>
      <c r="B573" s="79" t="s">
        <v>205</v>
      </c>
      <c r="C573" s="79" t="s">
        <v>1137</v>
      </c>
      <c r="D573" s="115" t="s">
        <v>391</v>
      </c>
      <c r="E573" s="115" t="str">
        <f t="shared" si="9"/>
        <v>5</v>
      </c>
      <c r="F573" s="79" t="s">
        <v>1138</v>
      </c>
      <c r="G573" s="79" t="s">
        <v>328</v>
      </c>
      <c r="H573" s="79" t="s">
        <v>169</v>
      </c>
      <c r="I573" s="79" t="s">
        <v>388</v>
      </c>
      <c r="J573" s="79" t="s">
        <v>985</v>
      </c>
      <c r="K573" s="79" t="s">
        <v>986</v>
      </c>
      <c r="L573" s="116">
        <v>50292</v>
      </c>
      <c r="M573" s="116">
        <v>50292</v>
      </c>
      <c r="N573" s="117">
        <v>100</v>
      </c>
    </row>
    <row r="574" spans="1:14">
      <c r="A574" s="79" t="s">
        <v>1140</v>
      </c>
      <c r="B574" s="79" t="s">
        <v>205</v>
      </c>
      <c r="C574" s="79" t="s">
        <v>1137</v>
      </c>
      <c r="D574" s="115" t="s">
        <v>391</v>
      </c>
      <c r="E574" s="115" t="str">
        <f t="shared" si="9"/>
        <v>5</v>
      </c>
      <c r="F574" s="79" t="s">
        <v>1138</v>
      </c>
      <c r="G574" s="79" t="s">
        <v>328</v>
      </c>
      <c r="H574" s="79" t="s">
        <v>169</v>
      </c>
      <c r="I574" s="79" t="s">
        <v>388</v>
      </c>
      <c r="J574" s="79" t="s">
        <v>985</v>
      </c>
      <c r="K574" s="79" t="s">
        <v>986</v>
      </c>
      <c r="L574" s="116">
        <v>62732</v>
      </c>
      <c r="M574" s="116">
        <v>62732</v>
      </c>
      <c r="N574" s="117">
        <v>100</v>
      </c>
    </row>
    <row r="575" spans="1:14">
      <c r="A575" s="79" t="s">
        <v>1141</v>
      </c>
      <c r="B575" s="79" t="s">
        <v>205</v>
      </c>
      <c r="C575" s="79" t="s">
        <v>1142</v>
      </c>
      <c r="D575" s="115" t="s">
        <v>953</v>
      </c>
      <c r="E575" s="115" t="str">
        <f t="shared" si="9"/>
        <v>5</v>
      </c>
      <c r="F575" s="79" t="s">
        <v>1143</v>
      </c>
      <c r="G575" s="79" t="s">
        <v>328</v>
      </c>
      <c r="H575" s="79" t="s">
        <v>169</v>
      </c>
      <c r="I575" s="79" t="s">
        <v>388</v>
      </c>
      <c r="J575" s="79" t="s">
        <v>985</v>
      </c>
      <c r="K575" s="79" t="s">
        <v>986</v>
      </c>
      <c r="L575" s="116">
        <v>50000</v>
      </c>
      <c r="M575" s="116">
        <v>2500</v>
      </c>
      <c r="N575" s="117">
        <v>5</v>
      </c>
    </row>
    <row r="576" spans="1:14">
      <c r="A576" s="79" t="s">
        <v>1144</v>
      </c>
      <c r="B576" s="79" t="s">
        <v>205</v>
      </c>
      <c r="C576" s="79" t="s">
        <v>1142</v>
      </c>
      <c r="D576" s="115" t="s">
        <v>953</v>
      </c>
      <c r="E576" s="115" t="str">
        <f t="shared" si="9"/>
        <v>5</v>
      </c>
      <c r="F576" s="79" t="s">
        <v>1143</v>
      </c>
      <c r="G576" s="79" t="s">
        <v>328</v>
      </c>
      <c r="H576" s="79" t="s">
        <v>169</v>
      </c>
      <c r="I576" s="79" t="s">
        <v>388</v>
      </c>
      <c r="J576" s="79" t="s">
        <v>985</v>
      </c>
      <c r="K576" s="79" t="s">
        <v>986</v>
      </c>
      <c r="L576" s="116">
        <v>67398</v>
      </c>
      <c r="M576" s="116">
        <v>67398</v>
      </c>
      <c r="N576" s="117">
        <v>100</v>
      </c>
    </row>
    <row r="577" spans="1:14">
      <c r="A577" s="79" t="s">
        <v>854</v>
      </c>
      <c r="B577" s="79" t="s">
        <v>205</v>
      </c>
      <c r="C577" s="79" t="s">
        <v>1145</v>
      </c>
      <c r="D577" s="115" t="s">
        <v>402</v>
      </c>
      <c r="E577" s="115" t="str">
        <f t="shared" si="9"/>
        <v>5</v>
      </c>
      <c r="F577" s="79" t="s">
        <v>403</v>
      </c>
      <c r="G577" s="79" t="s">
        <v>328</v>
      </c>
      <c r="H577" s="79" t="s">
        <v>169</v>
      </c>
      <c r="I577" s="79" t="s">
        <v>388</v>
      </c>
      <c r="J577" s="79" t="s">
        <v>985</v>
      </c>
      <c r="K577" s="79" t="s">
        <v>986</v>
      </c>
      <c r="L577" s="116">
        <v>32192</v>
      </c>
      <c r="M577" s="116">
        <v>4466</v>
      </c>
      <c r="N577" s="117">
        <v>13.87</v>
      </c>
    </row>
    <row r="578" spans="1:14">
      <c r="A578" s="79" t="s">
        <v>1146</v>
      </c>
      <c r="B578" s="79" t="s">
        <v>205</v>
      </c>
      <c r="C578" s="79" t="s">
        <v>1145</v>
      </c>
      <c r="D578" s="115" t="s">
        <v>402</v>
      </c>
      <c r="E578" s="115" t="str">
        <f t="shared" si="9"/>
        <v>5</v>
      </c>
      <c r="F578" s="79" t="s">
        <v>403</v>
      </c>
      <c r="G578" s="79" t="s">
        <v>328</v>
      </c>
      <c r="H578" s="79" t="s">
        <v>169</v>
      </c>
      <c r="I578" s="79" t="s">
        <v>388</v>
      </c>
      <c r="J578" s="79" t="s">
        <v>985</v>
      </c>
      <c r="K578" s="79" t="s">
        <v>986</v>
      </c>
      <c r="L578" s="116">
        <v>56965</v>
      </c>
      <c r="M578" s="116">
        <v>53542</v>
      </c>
      <c r="N578" s="117">
        <v>93.99</v>
      </c>
    </row>
    <row r="579" spans="1:14">
      <c r="A579" s="79" t="s">
        <v>1147</v>
      </c>
      <c r="B579" s="79" t="s">
        <v>205</v>
      </c>
      <c r="C579" s="79" t="s">
        <v>1148</v>
      </c>
      <c r="D579" s="115" t="s">
        <v>1149</v>
      </c>
      <c r="E579" s="115" t="str">
        <f t="shared" si="9"/>
        <v>5</v>
      </c>
      <c r="F579" s="79" t="s">
        <v>1150</v>
      </c>
      <c r="G579" s="79" t="s">
        <v>328</v>
      </c>
      <c r="H579" s="79" t="s">
        <v>169</v>
      </c>
      <c r="I579" s="79" t="s">
        <v>388</v>
      </c>
      <c r="J579" s="79" t="s">
        <v>985</v>
      </c>
      <c r="K579" s="79" t="s">
        <v>986</v>
      </c>
      <c r="L579" s="116">
        <v>32192</v>
      </c>
      <c r="M579" s="116">
        <v>13521</v>
      </c>
      <c r="N579" s="117">
        <v>42</v>
      </c>
    </row>
    <row r="580" spans="1:14">
      <c r="A580" s="79" t="s">
        <v>1151</v>
      </c>
      <c r="B580" s="79" t="s">
        <v>205</v>
      </c>
      <c r="C580" s="79" t="s">
        <v>1148</v>
      </c>
      <c r="D580" s="115" t="s">
        <v>1149</v>
      </c>
      <c r="E580" s="115" t="str">
        <f t="shared" si="9"/>
        <v>5</v>
      </c>
      <c r="F580" s="79" t="s">
        <v>1150</v>
      </c>
      <c r="G580" s="79" t="s">
        <v>341</v>
      </c>
      <c r="H580" s="79" t="s">
        <v>169</v>
      </c>
      <c r="I580" s="79" t="s">
        <v>388</v>
      </c>
      <c r="J580" s="79" t="s">
        <v>985</v>
      </c>
      <c r="K580" s="79" t="s">
        <v>986</v>
      </c>
      <c r="L580" s="116">
        <v>28500</v>
      </c>
      <c r="M580" s="116">
        <v>28500</v>
      </c>
      <c r="N580" s="117">
        <v>100</v>
      </c>
    </row>
    <row r="581" spans="1:14">
      <c r="A581" s="79" t="s">
        <v>1152</v>
      </c>
      <c r="B581" s="79" t="s">
        <v>205</v>
      </c>
      <c r="C581" s="79" t="s">
        <v>1148</v>
      </c>
      <c r="D581" s="115" t="s">
        <v>1149</v>
      </c>
      <c r="E581" s="115" t="str">
        <f t="shared" si="9"/>
        <v>5</v>
      </c>
      <c r="F581" s="79" t="s">
        <v>1150</v>
      </c>
      <c r="G581" s="79" t="s">
        <v>328</v>
      </c>
      <c r="H581" s="79" t="s">
        <v>169</v>
      </c>
      <c r="I581" s="79" t="s">
        <v>388</v>
      </c>
      <c r="J581" s="79" t="s">
        <v>985</v>
      </c>
      <c r="K581" s="79" t="s">
        <v>986</v>
      </c>
      <c r="L581" s="116">
        <v>73390</v>
      </c>
      <c r="M581" s="116">
        <v>73390</v>
      </c>
      <c r="N581" s="117">
        <v>100</v>
      </c>
    </row>
    <row r="582" spans="1:14">
      <c r="A582" s="79" t="s">
        <v>851</v>
      </c>
      <c r="B582" s="79" t="s">
        <v>205</v>
      </c>
      <c r="C582" s="79" t="s">
        <v>1153</v>
      </c>
      <c r="D582" s="115" t="s">
        <v>385</v>
      </c>
      <c r="E582" s="115" t="str">
        <f t="shared" si="9"/>
        <v>2</v>
      </c>
      <c r="F582" s="79" t="s">
        <v>386</v>
      </c>
      <c r="G582" s="79" t="s">
        <v>328</v>
      </c>
      <c r="H582" s="79" t="s">
        <v>169</v>
      </c>
      <c r="I582" s="79" t="s">
        <v>388</v>
      </c>
      <c r="J582" s="79" t="s">
        <v>985</v>
      </c>
      <c r="K582" s="79" t="s">
        <v>986</v>
      </c>
      <c r="L582" s="116">
        <v>32000</v>
      </c>
      <c r="M582" s="116">
        <v>15360</v>
      </c>
      <c r="N582" s="117">
        <v>48</v>
      </c>
    </row>
    <row r="583" spans="1:14">
      <c r="A583" s="79" t="s">
        <v>1154</v>
      </c>
      <c r="B583" s="79" t="s">
        <v>205</v>
      </c>
      <c r="C583" s="79" t="s">
        <v>1155</v>
      </c>
      <c r="D583" s="115" t="s">
        <v>1156</v>
      </c>
      <c r="E583" s="115" t="str">
        <f t="shared" si="9"/>
        <v>5</v>
      </c>
      <c r="F583" s="79" t="s">
        <v>1157</v>
      </c>
      <c r="G583" s="79" t="s">
        <v>328</v>
      </c>
      <c r="H583" s="79" t="s">
        <v>169</v>
      </c>
      <c r="I583" s="79" t="s">
        <v>388</v>
      </c>
      <c r="J583" s="79" t="s">
        <v>985</v>
      </c>
      <c r="K583" s="79" t="s">
        <v>986</v>
      </c>
      <c r="L583" s="116">
        <v>33000</v>
      </c>
      <c r="M583" s="116">
        <v>33000</v>
      </c>
      <c r="N583" s="117">
        <v>100</v>
      </c>
    </row>
    <row r="584" spans="1:14">
      <c r="A584" s="79" t="s">
        <v>1158</v>
      </c>
      <c r="B584" s="79" t="s">
        <v>205</v>
      </c>
      <c r="C584" s="79" t="s">
        <v>1159</v>
      </c>
      <c r="D584" s="115" t="s">
        <v>953</v>
      </c>
      <c r="E584" s="115" t="str">
        <f t="shared" si="9"/>
        <v>5</v>
      </c>
      <c r="F584" s="79" t="s">
        <v>1160</v>
      </c>
      <c r="G584" s="79" t="s">
        <v>328</v>
      </c>
      <c r="H584" s="79" t="s">
        <v>169</v>
      </c>
      <c r="I584" s="79" t="s">
        <v>388</v>
      </c>
      <c r="J584" s="79" t="s">
        <v>985</v>
      </c>
      <c r="K584" s="79" t="s">
        <v>986</v>
      </c>
      <c r="L584" s="116">
        <v>35411</v>
      </c>
      <c r="M584" s="116">
        <v>31870</v>
      </c>
      <c r="N584" s="117">
        <v>90</v>
      </c>
    </row>
    <row r="585" spans="1:14">
      <c r="A585" s="79" t="s">
        <v>1161</v>
      </c>
      <c r="B585" s="79" t="s">
        <v>205</v>
      </c>
      <c r="C585" s="79" t="s">
        <v>1162</v>
      </c>
      <c r="D585" s="115" t="s">
        <v>1163</v>
      </c>
      <c r="E585" s="115" t="str">
        <f t="shared" si="9"/>
        <v>1</v>
      </c>
      <c r="F585" s="79" t="s">
        <v>1164</v>
      </c>
      <c r="G585" s="79" t="s">
        <v>328</v>
      </c>
      <c r="H585" s="79" t="s">
        <v>169</v>
      </c>
      <c r="I585" s="79" t="s">
        <v>388</v>
      </c>
      <c r="J585" s="79" t="s">
        <v>985</v>
      </c>
      <c r="K585" s="79" t="s">
        <v>986</v>
      </c>
      <c r="L585" s="116">
        <v>33000</v>
      </c>
      <c r="M585" s="116">
        <v>11748</v>
      </c>
      <c r="N585" s="117">
        <v>35.6</v>
      </c>
    </row>
    <row r="586" spans="1:14">
      <c r="A586" s="79" t="s">
        <v>852</v>
      </c>
      <c r="B586" s="79" t="s">
        <v>205</v>
      </c>
      <c r="C586" s="79" t="s">
        <v>1162</v>
      </c>
      <c r="D586" s="115" t="s">
        <v>1163</v>
      </c>
      <c r="E586" s="115" t="str">
        <f t="shared" si="9"/>
        <v>1</v>
      </c>
      <c r="F586" s="79" t="s">
        <v>1164</v>
      </c>
      <c r="G586" s="79" t="s">
        <v>328</v>
      </c>
      <c r="H586" s="79" t="s">
        <v>169</v>
      </c>
      <c r="I586" s="79" t="s">
        <v>388</v>
      </c>
      <c r="J586" s="79" t="s">
        <v>985</v>
      </c>
      <c r="K586" s="79" t="s">
        <v>986</v>
      </c>
      <c r="L586" s="116">
        <v>41250</v>
      </c>
      <c r="M586" s="116">
        <v>22704</v>
      </c>
      <c r="N586" s="117">
        <v>55.04</v>
      </c>
    </row>
    <row r="587" spans="1:14">
      <c r="A587" s="79" t="s">
        <v>1165</v>
      </c>
      <c r="B587" s="79" t="s">
        <v>205</v>
      </c>
      <c r="C587" s="79" t="s">
        <v>1162</v>
      </c>
      <c r="D587" s="115" t="s">
        <v>1163</v>
      </c>
      <c r="E587" s="115" t="str">
        <f t="shared" si="9"/>
        <v>1</v>
      </c>
      <c r="F587" s="79" t="s">
        <v>1164</v>
      </c>
      <c r="G587" s="79" t="s">
        <v>341</v>
      </c>
      <c r="H587" s="79" t="s">
        <v>169</v>
      </c>
      <c r="I587" s="79" t="s">
        <v>388</v>
      </c>
      <c r="J587" s="79" t="s">
        <v>985</v>
      </c>
      <c r="K587" s="79" t="s">
        <v>986</v>
      </c>
      <c r="L587" s="116">
        <v>25000</v>
      </c>
      <c r="M587" s="116">
        <v>25000</v>
      </c>
      <c r="N587" s="117">
        <v>100</v>
      </c>
    </row>
    <row r="588" spans="1:14">
      <c r="A588" s="79" t="s">
        <v>1166</v>
      </c>
      <c r="B588" s="79" t="s">
        <v>205</v>
      </c>
      <c r="C588" s="79" t="s">
        <v>1162</v>
      </c>
      <c r="D588" s="115" t="s">
        <v>1163</v>
      </c>
      <c r="E588" s="115" t="str">
        <f t="shared" si="9"/>
        <v>1</v>
      </c>
      <c r="F588" s="79" t="s">
        <v>1164</v>
      </c>
      <c r="G588" s="79" t="s">
        <v>328</v>
      </c>
      <c r="H588" s="79" t="s">
        <v>169</v>
      </c>
      <c r="I588" s="79" t="s">
        <v>388</v>
      </c>
      <c r="J588" s="79" t="s">
        <v>985</v>
      </c>
      <c r="K588" s="79" t="s">
        <v>986</v>
      </c>
      <c r="L588" s="116">
        <v>33530</v>
      </c>
      <c r="M588" s="116">
        <v>33000</v>
      </c>
      <c r="N588" s="117">
        <v>98.42</v>
      </c>
    </row>
    <row r="589" spans="1:14">
      <c r="A589" s="79" t="s">
        <v>1167</v>
      </c>
      <c r="B589" s="79" t="s">
        <v>205</v>
      </c>
      <c r="C589" s="79" t="s">
        <v>1168</v>
      </c>
      <c r="D589" s="115" t="s">
        <v>1163</v>
      </c>
      <c r="E589" s="115" t="str">
        <f t="shared" si="9"/>
        <v>1</v>
      </c>
      <c r="F589" s="79" t="s">
        <v>1169</v>
      </c>
      <c r="G589" s="79" t="s">
        <v>328</v>
      </c>
      <c r="H589" s="79" t="s">
        <v>169</v>
      </c>
      <c r="I589" s="79" t="s">
        <v>388</v>
      </c>
      <c r="J589" s="79" t="s">
        <v>985</v>
      </c>
      <c r="K589" s="79" t="s">
        <v>986</v>
      </c>
      <c r="L589" s="116">
        <v>32192</v>
      </c>
      <c r="M589" s="116">
        <v>32192</v>
      </c>
      <c r="N589" s="117">
        <v>100</v>
      </c>
    </row>
    <row r="590" spans="1:14">
      <c r="A590" s="79" t="s">
        <v>1170</v>
      </c>
      <c r="B590" s="79" t="s">
        <v>205</v>
      </c>
      <c r="C590" s="79" t="s">
        <v>1171</v>
      </c>
      <c r="D590" s="115" t="s">
        <v>1172</v>
      </c>
      <c r="E590" s="115" t="str">
        <f t="shared" si="9"/>
        <v>2</v>
      </c>
      <c r="F590" s="79" t="s">
        <v>1173</v>
      </c>
      <c r="G590" s="79" t="s">
        <v>341</v>
      </c>
      <c r="H590" s="79" t="s">
        <v>169</v>
      </c>
      <c r="I590" s="79" t="s">
        <v>388</v>
      </c>
      <c r="J590" s="79" t="s">
        <v>985</v>
      </c>
      <c r="K590" s="79" t="s">
        <v>986</v>
      </c>
      <c r="L590" s="116">
        <v>24000</v>
      </c>
      <c r="M590" s="116">
        <v>18000</v>
      </c>
      <c r="N590" s="117">
        <v>75</v>
      </c>
    </row>
    <row r="591" spans="1:14">
      <c r="A591" s="79" t="s">
        <v>1174</v>
      </c>
      <c r="B591" s="79" t="s">
        <v>205</v>
      </c>
      <c r="C591" s="79" t="s">
        <v>1171</v>
      </c>
      <c r="D591" s="115" t="s">
        <v>1172</v>
      </c>
      <c r="E591" s="115" t="str">
        <f t="shared" si="9"/>
        <v>2</v>
      </c>
      <c r="F591" s="79" t="s">
        <v>1173</v>
      </c>
      <c r="G591" s="79" t="s">
        <v>341</v>
      </c>
      <c r="H591" s="79" t="s">
        <v>169</v>
      </c>
      <c r="I591" s="79" t="s">
        <v>388</v>
      </c>
      <c r="J591" s="79" t="s">
        <v>985</v>
      </c>
      <c r="K591" s="79" t="s">
        <v>986</v>
      </c>
      <c r="L591" s="116">
        <v>36043</v>
      </c>
      <c r="M591" s="116">
        <v>18022</v>
      </c>
      <c r="N591" s="117">
        <v>50</v>
      </c>
    </row>
    <row r="592" spans="1:14">
      <c r="A592" s="79" t="s">
        <v>1175</v>
      </c>
      <c r="B592" s="79" t="s">
        <v>205</v>
      </c>
      <c r="C592" s="79" t="s">
        <v>1171</v>
      </c>
      <c r="D592" s="115" t="s">
        <v>1172</v>
      </c>
      <c r="E592" s="115" t="str">
        <f t="shared" si="9"/>
        <v>2</v>
      </c>
      <c r="F592" s="79" t="s">
        <v>1173</v>
      </c>
      <c r="G592" s="79" t="s">
        <v>328</v>
      </c>
      <c r="H592" s="79" t="s">
        <v>169</v>
      </c>
      <c r="I592" s="79" t="s">
        <v>388</v>
      </c>
      <c r="J592" s="79" t="s">
        <v>985</v>
      </c>
      <c r="K592" s="79" t="s">
        <v>986</v>
      </c>
      <c r="L592" s="116">
        <v>40000</v>
      </c>
      <c r="M592" s="116">
        <v>30000</v>
      </c>
      <c r="N592" s="117">
        <v>75</v>
      </c>
    </row>
    <row r="593" spans="1:14">
      <c r="A593" s="79" t="s">
        <v>1176</v>
      </c>
      <c r="B593" s="79" t="s">
        <v>205</v>
      </c>
      <c r="C593" s="79" t="s">
        <v>1171</v>
      </c>
      <c r="D593" s="115" t="s">
        <v>1172</v>
      </c>
      <c r="E593" s="115" t="str">
        <f t="shared" si="9"/>
        <v>2</v>
      </c>
      <c r="F593" s="79" t="s">
        <v>1173</v>
      </c>
      <c r="G593" s="79" t="s">
        <v>328</v>
      </c>
      <c r="H593" s="79" t="s">
        <v>169</v>
      </c>
      <c r="I593" s="79" t="s">
        <v>388</v>
      </c>
      <c r="J593" s="79" t="s">
        <v>985</v>
      </c>
      <c r="K593" s="79" t="s">
        <v>986</v>
      </c>
      <c r="L593" s="116">
        <v>45000</v>
      </c>
      <c r="M593" s="116">
        <v>45000</v>
      </c>
      <c r="N593" s="117">
        <v>100</v>
      </c>
    </row>
    <row r="594" spans="1:14">
      <c r="A594" s="79" t="s">
        <v>1177</v>
      </c>
      <c r="B594" s="79" t="s">
        <v>205</v>
      </c>
      <c r="C594" s="79" t="s">
        <v>1178</v>
      </c>
      <c r="D594" s="115" t="s">
        <v>486</v>
      </c>
      <c r="E594" s="115" t="str">
        <f t="shared" si="9"/>
        <v>2</v>
      </c>
      <c r="F594" s="79" t="s">
        <v>487</v>
      </c>
      <c r="G594" s="79" t="s">
        <v>341</v>
      </c>
      <c r="H594" s="79" t="s">
        <v>407</v>
      </c>
      <c r="I594" s="79" t="s">
        <v>408</v>
      </c>
      <c r="J594" s="79" t="s">
        <v>985</v>
      </c>
      <c r="K594" s="79" t="s">
        <v>986</v>
      </c>
      <c r="L594" s="116">
        <v>28000</v>
      </c>
      <c r="M594" s="116">
        <v>28000</v>
      </c>
      <c r="N594" s="117">
        <v>100</v>
      </c>
    </row>
    <row r="595" spans="1:14">
      <c r="A595" s="79" t="s">
        <v>1179</v>
      </c>
      <c r="B595" s="79" t="s">
        <v>205</v>
      </c>
      <c r="C595" s="79" t="s">
        <v>1180</v>
      </c>
      <c r="D595" s="115" t="s">
        <v>510</v>
      </c>
      <c r="E595" s="115" t="str">
        <f t="shared" si="9"/>
        <v>2</v>
      </c>
      <c r="F595" s="79" t="s">
        <v>511</v>
      </c>
      <c r="G595" s="79" t="s">
        <v>341</v>
      </c>
      <c r="H595" s="79" t="s">
        <v>407</v>
      </c>
      <c r="I595" s="79" t="s">
        <v>408</v>
      </c>
      <c r="J595" s="79" t="s">
        <v>985</v>
      </c>
      <c r="K595" s="79" t="s">
        <v>986</v>
      </c>
      <c r="L595" s="116">
        <v>28770</v>
      </c>
      <c r="M595" s="116">
        <v>28770</v>
      </c>
      <c r="N595" s="117">
        <v>100</v>
      </c>
    </row>
    <row r="596" spans="1:14">
      <c r="A596" s="79" t="s">
        <v>1181</v>
      </c>
      <c r="B596" s="79" t="s">
        <v>205</v>
      </c>
      <c r="C596" s="79" t="s">
        <v>1182</v>
      </c>
      <c r="D596" s="115" t="s">
        <v>516</v>
      </c>
      <c r="E596" s="115" t="str">
        <f t="shared" si="9"/>
        <v>2</v>
      </c>
      <c r="F596" s="79" t="s">
        <v>141</v>
      </c>
      <c r="G596" s="79" t="s">
        <v>341</v>
      </c>
      <c r="H596" s="79" t="s">
        <v>407</v>
      </c>
      <c r="I596" s="79" t="s">
        <v>408</v>
      </c>
      <c r="J596" s="79" t="s">
        <v>985</v>
      </c>
      <c r="K596" s="79" t="s">
        <v>986</v>
      </c>
      <c r="L596" s="116">
        <v>30000</v>
      </c>
      <c r="M596" s="116">
        <v>30000</v>
      </c>
      <c r="N596" s="117">
        <v>100</v>
      </c>
    </row>
    <row r="597" spans="1:14">
      <c r="A597" s="79" t="s">
        <v>1183</v>
      </c>
      <c r="B597" s="79" t="s">
        <v>205</v>
      </c>
      <c r="C597" s="79" t="s">
        <v>1184</v>
      </c>
      <c r="D597" s="115" t="s">
        <v>525</v>
      </c>
      <c r="E597" s="115" t="str">
        <f t="shared" si="9"/>
        <v>2</v>
      </c>
      <c r="F597" s="79" t="s">
        <v>526</v>
      </c>
      <c r="G597" s="79" t="s">
        <v>341</v>
      </c>
      <c r="H597" s="79" t="s">
        <v>407</v>
      </c>
      <c r="I597" s="79" t="s">
        <v>408</v>
      </c>
      <c r="J597" s="79" t="s">
        <v>985</v>
      </c>
      <c r="K597" s="79" t="s">
        <v>986</v>
      </c>
      <c r="L597" s="116">
        <v>30000</v>
      </c>
      <c r="M597" s="116">
        <v>30000</v>
      </c>
      <c r="N597" s="117">
        <v>100</v>
      </c>
    </row>
    <row r="598" spans="1:14">
      <c r="A598" s="79" t="s">
        <v>1185</v>
      </c>
      <c r="B598" s="79" t="s">
        <v>205</v>
      </c>
      <c r="C598" s="79" t="s">
        <v>1186</v>
      </c>
      <c r="D598" s="115" t="s">
        <v>486</v>
      </c>
      <c r="E598" s="115" t="str">
        <f t="shared" si="9"/>
        <v>2</v>
      </c>
      <c r="F598" s="79" t="s">
        <v>1187</v>
      </c>
      <c r="G598" s="79" t="s">
        <v>328</v>
      </c>
      <c r="H598" s="79" t="s">
        <v>711</v>
      </c>
      <c r="I598" s="79" t="s">
        <v>712</v>
      </c>
      <c r="J598" s="79" t="s">
        <v>985</v>
      </c>
      <c r="K598" s="79" t="s">
        <v>986</v>
      </c>
      <c r="L598" s="116">
        <v>14633</v>
      </c>
      <c r="M598" s="116">
        <v>14633</v>
      </c>
      <c r="N598" s="117">
        <v>100</v>
      </c>
    </row>
    <row r="599" spans="1:14">
      <c r="A599" s="79" t="s">
        <v>1128</v>
      </c>
      <c r="B599" s="79" t="s">
        <v>205</v>
      </c>
      <c r="C599" s="79" t="s">
        <v>1188</v>
      </c>
      <c r="D599" s="118">
        <v>2056</v>
      </c>
      <c r="E599" s="115" t="str">
        <f t="shared" si="9"/>
        <v>2</v>
      </c>
      <c r="F599" s="79" t="s">
        <v>1189</v>
      </c>
      <c r="G599" s="79" t="s">
        <v>341</v>
      </c>
      <c r="H599" s="79" t="s">
        <v>711</v>
      </c>
      <c r="I599" s="79" t="s">
        <v>712</v>
      </c>
      <c r="J599" s="79" t="s">
        <v>985</v>
      </c>
      <c r="K599" s="79" t="s">
        <v>986</v>
      </c>
      <c r="L599" s="116">
        <v>37519</v>
      </c>
      <c r="M599" s="116">
        <v>3000</v>
      </c>
      <c r="N599" s="117">
        <v>8</v>
      </c>
    </row>
    <row r="600" spans="1:14">
      <c r="A600" s="79" t="s">
        <v>1001</v>
      </c>
      <c r="B600" s="79" t="s">
        <v>205</v>
      </c>
      <c r="C600" s="79" t="s">
        <v>1190</v>
      </c>
      <c r="D600" s="115" t="s">
        <v>719</v>
      </c>
      <c r="E600" s="115" t="str">
        <f t="shared" si="9"/>
        <v>2</v>
      </c>
      <c r="F600" s="79" t="s">
        <v>1191</v>
      </c>
      <c r="G600" s="79" t="s">
        <v>328</v>
      </c>
      <c r="H600" s="79" t="s">
        <v>724</v>
      </c>
      <c r="I600" s="79" t="s">
        <v>725</v>
      </c>
      <c r="J600" s="79" t="s">
        <v>985</v>
      </c>
      <c r="K600" s="79" t="s">
        <v>986</v>
      </c>
      <c r="L600" s="116">
        <v>52000</v>
      </c>
      <c r="M600" s="116">
        <v>26000</v>
      </c>
      <c r="N600" s="117">
        <v>50</v>
      </c>
    </row>
    <row r="601" spans="1:14">
      <c r="A601" s="79" t="s">
        <v>1192</v>
      </c>
      <c r="B601" s="79" t="s">
        <v>205</v>
      </c>
      <c r="C601" s="79" t="s">
        <v>1193</v>
      </c>
      <c r="D601" s="115" t="s">
        <v>763</v>
      </c>
      <c r="E601" s="115" t="str">
        <f t="shared" si="9"/>
        <v>2</v>
      </c>
      <c r="F601" s="79" t="s">
        <v>766</v>
      </c>
      <c r="G601" s="79" t="s">
        <v>328</v>
      </c>
      <c r="H601" s="79" t="s">
        <v>765</v>
      </c>
      <c r="I601" s="79" t="s">
        <v>766</v>
      </c>
      <c r="J601" s="79" t="s">
        <v>985</v>
      </c>
      <c r="K601" s="79" t="s">
        <v>986</v>
      </c>
      <c r="L601" s="116">
        <v>41000</v>
      </c>
      <c r="M601" s="116">
        <v>41000</v>
      </c>
      <c r="N601" s="117">
        <v>100</v>
      </c>
    </row>
    <row r="602" spans="1:14">
      <c r="A602" s="79" t="s">
        <v>1194</v>
      </c>
      <c r="B602" s="79" t="s">
        <v>205</v>
      </c>
      <c r="C602" s="79" t="s">
        <v>1193</v>
      </c>
      <c r="D602" s="115" t="s">
        <v>763</v>
      </c>
      <c r="E602" s="115" t="str">
        <f t="shared" si="9"/>
        <v>2</v>
      </c>
      <c r="F602" s="79" t="s">
        <v>766</v>
      </c>
      <c r="G602" s="79" t="s">
        <v>328</v>
      </c>
      <c r="H602" s="79" t="s">
        <v>765</v>
      </c>
      <c r="I602" s="79" t="s">
        <v>766</v>
      </c>
      <c r="J602" s="79" t="s">
        <v>985</v>
      </c>
      <c r="K602" s="79" t="s">
        <v>986</v>
      </c>
      <c r="L602" s="116">
        <v>44647</v>
      </c>
      <c r="M602" s="116">
        <v>44647</v>
      </c>
      <c r="N602" s="117">
        <v>100</v>
      </c>
    </row>
    <row r="603" spans="1:14">
      <c r="A603" s="79" t="s">
        <v>1195</v>
      </c>
      <c r="B603" s="79" t="s">
        <v>205</v>
      </c>
      <c r="C603" s="79" t="s">
        <v>1193</v>
      </c>
      <c r="D603" s="115" t="s">
        <v>763</v>
      </c>
      <c r="E603" s="115" t="str">
        <f t="shared" si="9"/>
        <v>2</v>
      </c>
      <c r="F603" s="79" t="s">
        <v>766</v>
      </c>
      <c r="G603" s="79" t="s">
        <v>328</v>
      </c>
      <c r="H603" s="79" t="s">
        <v>765</v>
      </c>
      <c r="I603" s="79" t="s">
        <v>766</v>
      </c>
      <c r="J603" s="79" t="s">
        <v>985</v>
      </c>
      <c r="K603" s="79" t="s">
        <v>986</v>
      </c>
      <c r="L603" s="116">
        <v>49000</v>
      </c>
      <c r="M603" s="116">
        <v>49000</v>
      </c>
      <c r="N603" s="117">
        <v>100</v>
      </c>
    </row>
    <row r="604" spans="1:14">
      <c r="A604" s="79" t="s">
        <v>1196</v>
      </c>
      <c r="B604" s="79" t="s">
        <v>205</v>
      </c>
      <c r="C604" s="79" t="s">
        <v>1193</v>
      </c>
      <c r="D604" s="115" t="s">
        <v>763</v>
      </c>
      <c r="E604" s="115" t="str">
        <f t="shared" si="9"/>
        <v>2</v>
      </c>
      <c r="F604" s="79" t="s">
        <v>766</v>
      </c>
      <c r="G604" s="79" t="s">
        <v>328</v>
      </c>
      <c r="H604" s="79" t="s">
        <v>765</v>
      </c>
      <c r="I604" s="79" t="s">
        <v>766</v>
      </c>
      <c r="J604" s="79" t="s">
        <v>985</v>
      </c>
      <c r="K604" s="79" t="s">
        <v>986</v>
      </c>
      <c r="L604" s="116">
        <v>52576</v>
      </c>
      <c r="M604" s="116">
        <v>52576</v>
      </c>
      <c r="N604" s="117">
        <v>100</v>
      </c>
    </row>
    <row r="605" spans="1:14">
      <c r="A605" s="79" t="s">
        <v>1197</v>
      </c>
      <c r="B605" s="79" t="s">
        <v>205</v>
      </c>
      <c r="C605" s="79" t="s">
        <v>1193</v>
      </c>
      <c r="D605" s="115" t="s">
        <v>763</v>
      </c>
      <c r="E605" s="115" t="str">
        <f t="shared" si="9"/>
        <v>2</v>
      </c>
      <c r="F605" s="79" t="s">
        <v>766</v>
      </c>
      <c r="G605" s="79" t="s">
        <v>328</v>
      </c>
      <c r="H605" s="79" t="s">
        <v>765</v>
      </c>
      <c r="I605" s="79" t="s">
        <v>766</v>
      </c>
      <c r="J605" s="79" t="s">
        <v>985</v>
      </c>
      <c r="K605" s="79" t="s">
        <v>986</v>
      </c>
      <c r="L605" s="116">
        <v>53747</v>
      </c>
      <c r="M605" s="116">
        <v>53747</v>
      </c>
      <c r="N605" s="117">
        <v>100</v>
      </c>
    </row>
    <row r="606" spans="1:14">
      <c r="A606" s="79" t="s">
        <v>1198</v>
      </c>
      <c r="B606" s="79" t="s">
        <v>205</v>
      </c>
      <c r="C606" s="79" t="s">
        <v>1193</v>
      </c>
      <c r="D606" s="115" t="s">
        <v>763</v>
      </c>
      <c r="E606" s="115" t="str">
        <f t="shared" si="9"/>
        <v>2</v>
      </c>
      <c r="F606" s="79" t="s">
        <v>766</v>
      </c>
      <c r="G606" s="79" t="s">
        <v>328</v>
      </c>
      <c r="H606" s="79" t="s">
        <v>765</v>
      </c>
      <c r="I606" s="79" t="s">
        <v>766</v>
      </c>
      <c r="J606" s="79" t="s">
        <v>985</v>
      </c>
      <c r="K606" s="79" t="s">
        <v>986</v>
      </c>
      <c r="L606" s="116">
        <v>59034</v>
      </c>
      <c r="M606" s="116">
        <v>59034</v>
      </c>
      <c r="N606" s="117">
        <v>100</v>
      </c>
    </row>
    <row r="607" spans="1:14">
      <c r="A607" s="79" t="s">
        <v>1199</v>
      </c>
      <c r="B607" s="79" t="s">
        <v>205</v>
      </c>
      <c r="C607" s="79" t="s">
        <v>1193</v>
      </c>
      <c r="D607" s="115" t="s">
        <v>763</v>
      </c>
      <c r="E607" s="115" t="str">
        <f t="shared" si="9"/>
        <v>2</v>
      </c>
      <c r="F607" s="79" t="s">
        <v>766</v>
      </c>
      <c r="G607" s="79" t="s">
        <v>328</v>
      </c>
      <c r="H607" s="79" t="s">
        <v>765</v>
      </c>
      <c r="I607" s="79" t="s">
        <v>766</v>
      </c>
      <c r="J607" s="79" t="s">
        <v>985</v>
      </c>
      <c r="K607" s="79" t="s">
        <v>986</v>
      </c>
      <c r="L607" s="116">
        <v>105144</v>
      </c>
      <c r="M607" s="116">
        <v>105144</v>
      </c>
      <c r="N607" s="117">
        <v>100</v>
      </c>
    </row>
    <row r="608" spans="1:14">
      <c r="A608" s="79" t="s">
        <v>1200</v>
      </c>
      <c r="B608" s="79" t="s">
        <v>205</v>
      </c>
      <c r="C608" s="79" t="s">
        <v>1201</v>
      </c>
      <c r="D608" s="115" t="s">
        <v>781</v>
      </c>
      <c r="E608" s="115" t="str">
        <f t="shared" si="9"/>
        <v>3</v>
      </c>
      <c r="F608" s="79" t="s">
        <v>1202</v>
      </c>
      <c r="G608" s="79" t="s">
        <v>328</v>
      </c>
      <c r="H608" s="79" t="s">
        <v>328</v>
      </c>
      <c r="I608" s="79" t="s">
        <v>783</v>
      </c>
      <c r="J608" s="79" t="s">
        <v>985</v>
      </c>
      <c r="K608" s="79" t="s">
        <v>986</v>
      </c>
      <c r="L608" s="116">
        <v>35411</v>
      </c>
      <c r="M608" s="116">
        <v>35411</v>
      </c>
      <c r="N608" s="117">
        <v>100</v>
      </c>
    </row>
    <row r="609" spans="1:14">
      <c r="A609" s="79" t="s">
        <v>1203</v>
      </c>
      <c r="B609" s="79" t="s">
        <v>205</v>
      </c>
      <c r="C609" s="79" t="s">
        <v>1204</v>
      </c>
      <c r="D609" s="115" t="s">
        <v>794</v>
      </c>
      <c r="E609" s="115" t="str">
        <f t="shared" si="9"/>
        <v>3</v>
      </c>
      <c r="F609" s="79" t="s">
        <v>795</v>
      </c>
      <c r="G609" s="79" t="s">
        <v>341</v>
      </c>
      <c r="H609" s="79" t="s">
        <v>328</v>
      </c>
      <c r="I609" s="79" t="s">
        <v>783</v>
      </c>
      <c r="J609" s="79" t="s">
        <v>985</v>
      </c>
      <c r="K609" s="79" t="s">
        <v>986</v>
      </c>
      <c r="L609" s="116">
        <v>26605</v>
      </c>
      <c r="M609" s="116">
        <v>26605</v>
      </c>
      <c r="N609" s="117">
        <v>100</v>
      </c>
    </row>
    <row r="610" spans="1:14">
      <c r="A610" s="79" t="s">
        <v>1205</v>
      </c>
      <c r="B610" s="79" t="s">
        <v>205</v>
      </c>
      <c r="C610" s="79" t="s">
        <v>1204</v>
      </c>
      <c r="D610" s="115" t="s">
        <v>794</v>
      </c>
      <c r="E610" s="115" t="str">
        <f t="shared" si="9"/>
        <v>3</v>
      </c>
      <c r="F610" s="79" t="s">
        <v>795</v>
      </c>
      <c r="G610" s="79" t="s">
        <v>341</v>
      </c>
      <c r="H610" s="79" t="s">
        <v>328</v>
      </c>
      <c r="I610" s="79" t="s">
        <v>783</v>
      </c>
      <c r="J610" s="79" t="s">
        <v>985</v>
      </c>
      <c r="K610" s="79" t="s">
        <v>986</v>
      </c>
      <c r="L610" s="116">
        <v>29265</v>
      </c>
      <c r="M610" s="116">
        <v>29265</v>
      </c>
      <c r="N610" s="117">
        <v>100</v>
      </c>
    </row>
    <row r="611" spans="1:14">
      <c r="A611" s="79" t="s">
        <v>1206</v>
      </c>
      <c r="B611" s="79" t="s">
        <v>205</v>
      </c>
      <c r="C611" s="79" t="s">
        <v>1204</v>
      </c>
      <c r="D611" s="115" t="s">
        <v>794</v>
      </c>
      <c r="E611" s="115" t="str">
        <f t="shared" si="9"/>
        <v>3</v>
      </c>
      <c r="F611" s="79" t="s">
        <v>795</v>
      </c>
      <c r="G611" s="79" t="s">
        <v>341</v>
      </c>
      <c r="H611" s="79" t="s">
        <v>328</v>
      </c>
      <c r="I611" s="79" t="s">
        <v>783</v>
      </c>
      <c r="J611" s="79" t="s">
        <v>985</v>
      </c>
      <c r="K611" s="79" t="s">
        <v>986</v>
      </c>
      <c r="L611" s="116">
        <v>36612</v>
      </c>
      <c r="M611" s="116">
        <v>36612</v>
      </c>
      <c r="N611" s="117">
        <v>100</v>
      </c>
    </row>
    <row r="612" spans="1:14">
      <c r="A612" s="79" t="s">
        <v>1207</v>
      </c>
      <c r="B612" s="79" t="s">
        <v>205</v>
      </c>
      <c r="C612" s="79" t="s">
        <v>1204</v>
      </c>
      <c r="D612" s="115" t="s">
        <v>794</v>
      </c>
      <c r="E612" s="115" t="str">
        <f t="shared" si="9"/>
        <v>3</v>
      </c>
      <c r="F612" s="79" t="s">
        <v>795</v>
      </c>
      <c r="G612" s="79" t="s">
        <v>341</v>
      </c>
      <c r="H612" s="79" t="s">
        <v>328</v>
      </c>
      <c r="I612" s="79" t="s">
        <v>783</v>
      </c>
      <c r="J612" s="79" t="s">
        <v>985</v>
      </c>
      <c r="K612" s="79" t="s">
        <v>986</v>
      </c>
      <c r="L612" s="116">
        <v>39664</v>
      </c>
      <c r="M612" s="116">
        <v>39664</v>
      </c>
      <c r="N612" s="117">
        <v>100</v>
      </c>
    </row>
    <row r="613" spans="1:14">
      <c r="A613" s="79" t="s">
        <v>1208</v>
      </c>
      <c r="B613" s="79" t="s">
        <v>205</v>
      </c>
      <c r="C613" s="79" t="s">
        <v>1204</v>
      </c>
      <c r="D613" s="115" t="s">
        <v>794</v>
      </c>
      <c r="E613" s="115" t="str">
        <f t="shared" si="9"/>
        <v>3</v>
      </c>
      <c r="F613" s="79" t="s">
        <v>795</v>
      </c>
      <c r="G613" s="79" t="s">
        <v>341</v>
      </c>
      <c r="H613" s="79" t="s">
        <v>328</v>
      </c>
      <c r="I613" s="79" t="s">
        <v>783</v>
      </c>
      <c r="J613" s="79" t="s">
        <v>985</v>
      </c>
      <c r="K613" s="79" t="s">
        <v>986</v>
      </c>
      <c r="L613" s="116">
        <v>41750</v>
      </c>
      <c r="M613" s="116">
        <v>41750</v>
      </c>
      <c r="N613" s="117">
        <v>100</v>
      </c>
    </row>
    <row r="614" spans="1:14">
      <c r="A614" s="79" t="s">
        <v>1209</v>
      </c>
      <c r="B614" s="79" t="s">
        <v>205</v>
      </c>
      <c r="C614" s="79" t="s">
        <v>1204</v>
      </c>
      <c r="D614" s="115" t="s">
        <v>794</v>
      </c>
      <c r="E614" s="115" t="str">
        <f t="shared" si="9"/>
        <v>3</v>
      </c>
      <c r="F614" s="79" t="s">
        <v>795</v>
      </c>
      <c r="G614" s="79" t="s">
        <v>341</v>
      </c>
      <c r="H614" s="79" t="s">
        <v>328</v>
      </c>
      <c r="I614" s="79" t="s">
        <v>783</v>
      </c>
      <c r="J614" s="79" t="s">
        <v>985</v>
      </c>
      <c r="K614" s="79" t="s">
        <v>986</v>
      </c>
      <c r="L614" s="116">
        <v>42000</v>
      </c>
      <c r="M614" s="116">
        <v>42000</v>
      </c>
      <c r="N614" s="117">
        <v>100</v>
      </c>
    </row>
    <row r="615" spans="1:14">
      <c r="A615" s="79" t="s">
        <v>791</v>
      </c>
      <c r="B615" s="79" t="s">
        <v>205</v>
      </c>
      <c r="C615" s="79" t="s">
        <v>1204</v>
      </c>
      <c r="D615" s="115" t="s">
        <v>794</v>
      </c>
      <c r="E615" s="115" t="str">
        <f t="shared" si="9"/>
        <v>3</v>
      </c>
      <c r="F615" s="79" t="s">
        <v>795</v>
      </c>
      <c r="G615" s="79" t="s">
        <v>328</v>
      </c>
      <c r="H615" s="79" t="s">
        <v>328</v>
      </c>
      <c r="I615" s="79" t="s">
        <v>783</v>
      </c>
      <c r="J615" s="79" t="s">
        <v>985</v>
      </c>
      <c r="K615" s="79" t="s">
        <v>986</v>
      </c>
      <c r="L615" s="116">
        <v>85911</v>
      </c>
      <c r="M615" s="116">
        <v>42955</v>
      </c>
      <c r="N615" s="117">
        <v>50</v>
      </c>
    </row>
    <row r="616" spans="1:14">
      <c r="A616" s="79" t="s">
        <v>1210</v>
      </c>
      <c r="B616" s="79" t="s">
        <v>205</v>
      </c>
      <c r="C616" s="79" t="s">
        <v>1204</v>
      </c>
      <c r="D616" s="115" t="s">
        <v>794</v>
      </c>
      <c r="E616" s="115" t="str">
        <f t="shared" si="9"/>
        <v>3</v>
      </c>
      <c r="F616" s="79" t="s">
        <v>795</v>
      </c>
      <c r="G616" s="79" t="s">
        <v>341</v>
      </c>
      <c r="H616" s="79" t="s">
        <v>328</v>
      </c>
      <c r="I616" s="79" t="s">
        <v>783</v>
      </c>
      <c r="J616" s="79" t="s">
        <v>985</v>
      </c>
      <c r="K616" s="79" t="s">
        <v>986</v>
      </c>
      <c r="L616" s="116">
        <v>43031</v>
      </c>
      <c r="M616" s="116">
        <v>43031</v>
      </c>
      <c r="N616" s="117">
        <v>100</v>
      </c>
    </row>
    <row r="617" spans="1:14">
      <c r="A617" s="79" t="s">
        <v>1211</v>
      </c>
      <c r="B617" s="79" t="s">
        <v>205</v>
      </c>
      <c r="C617" s="79" t="s">
        <v>1204</v>
      </c>
      <c r="D617" s="115" t="s">
        <v>794</v>
      </c>
      <c r="E617" s="115" t="str">
        <f t="shared" si="9"/>
        <v>3</v>
      </c>
      <c r="F617" s="79" t="s">
        <v>795</v>
      </c>
      <c r="G617" s="79" t="s">
        <v>328</v>
      </c>
      <c r="H617" s="79" t="s">
        <v>328</v>
      </c>
      <c r="I617" s="79" t="s">
        <v>783</v>
      </c>
      <c r="J617" s="79" t="s">
        <v>985</v>
      </c>
      <c r="K617" s="79" t="s">
        <v>986</v>
      </c>
      <c r="L617" s="116">
        <v>52846</v>
      </c>
      <c r="M617" s="116">
        <v>52846</v>
      </c>
      <c r="N617" s="117">
        <v>100</v>
      </c>
    </row>
    <row r="618" spans="1:14">
      <c r="A618" s="79" t="s">
        <v>779</v>
      </c>
      <c r="B618" s="79" t="s">
        <v>205</v>
      </c>
      <c r="C618" s="79" t="s">
        <v>1212</v>
      </c>
      <c r="D618" s="115" t="s">
        <v>794</v>
      </c>
      <c r="E618" s="115" t="str">
        <f t="shared" si="9"/>
        <v>3</v>
      </c>
      <c r="F618" s="79" t="s">
        <v>1213</v>
      </c>
      <c r="G618" s="79" t="s">
        <v>341</v>
      </c>
      <c r="H618" s="79" t="s">
        <v>328</v>
      </c>
      <c r="I618" s="79" t="s">
        <v>783</v>
      </c>
      <c r="J618" s="79" t="s">
        <v>985</v>
      </c>
      <c r="K618" s="79" t="s">
        <v>986</v>
      </c>
      <c r="L618" s="116">
        <v>38361</v>
      </c>
      <c r="M618" s="116">
        <v>34861</v>
      </c>
      <c r="N618" s="117">
        <v>90.88</v>
      </c>
    </row>
    <row r="619" spans="1:14">
      <c r="A619" s="79" t="s">
        <v>1214</v>
      </c>
      <c r="B619" s="79" t="s">
        <v>1215</v>
      </c>
      <c r="C619" s="79" t="s">
        <v>1216</v>
      </c>
      <c r="D619" s="115" t="s">
        <v>354</v>
      </c>
      <c r="E619" s="115" t="str">
        <f t="shared" si="9"/>
        <v>3</v>
      </c>
      <c r="F619" s="79" t="s">
        <v>355</v>
      </c>
      <c r="G619" s="79" t="s">
        <v>328</v>
      </c>
      <c r="H619" s="79" t="s">
        <v>337</v>
      </c>
      <c r="I619" s="79" t="s">
        <v>338</v>
      </c>
      <c r="J619" s="79" t="s">
        <v>985</v>
      </c>
      <c r="K619" s="79" t="s">
        <v>986</v>
      </c>
      <c r="L619" s="116">
        <v>38000</v>
      </c>
      <c r="M619" s="116">
        <v>19000</v>
      </c>
      <c r="N619" s="117">
        <v>50</v>
      </c>
    </row>
    <row r="620" spans="1:14">
      <c r="A620" s="79" t="s">
        <v>1217</v>
      </c>
      <c r="B620" s="79" t="s">
        <v>1215</v>
      </c>
      <c r="C620" s="79" t="s">
        <v>1216</v>
      </c>
      <c r="D620" s="115" t="s">
        <v>354</v>
      </c>
      <c r="E620" s="115" t="str">
        <f t="shared" si="9"/>
        <v>3</v>
      </c>
      <c r="F620" s="79" t="s">
        <v>355</v>
      </c>
      <c r="G620" s="79" t="s">
        <v>341</v>
      </c>
      <c r="H620" s="79" t="s">
        <v>337</v>
      </c>
      <c r="I620" s="79" t="s">
        <v>338</v>
      </c>
      <c r="J620" s="79" t="s">
        <v>985</v>
      </c>
      <c r="K620" s="79" t="s">
        <v>986</v>
      </c>
      <c r="L620" s="116">
        <v>22000</v>
      </c>
      <c r="M620" s="116">
        <v>22000</v>
      </c>
      <c r="N620" s="117">
        <v>100</v>
      </c>
    </row>
    <row r="621" spans="1:14">
      <c r="A621" s="79" t="s">
        <v>1218</v>
      </c>
      <c r="B621" s="79" t="s">
        <v>1215</v>
      </c>
      <c r="C621" s="79" t="s">
        <v>1216</v>
      </c>
      <c r="D621" s="115" t="s">
        <v>354</v>
      </c>
      <c r="E621" s="115" t="str">
        <f t="shared" si="9"/>
        <v>3</v>
      </c>
      <c r="F621" s="79" t="s">
        <v>355</v>
      </c>
      <c r="G621" s="79" t="s">
        <v>341</v>
      </c>
      <c r="H621" s="79" t="s">
        <v>337</v>
      </c>
      <c r="I621" s="79" t="s">
        <v>338</v>
      </c>
      <c r="J621" s="79" t="s">
        <v>985</v>
      </c>
      <c r="K621" s="79" t="s">
        <v>986</v>
      </c>
      <c r="L621" s="116">
        <v>23138</v>
      </c>
      <c r="M621" s="116">
        <v>23138</v>
      </c>
      <c r="N621" s="117">
        <v>100</v>
      </c>
    </row>
    <row r="622" spans="1:14">
      <c r="A622" s="79" t="s">
        <v>1219</v>
      </c>
      <c r="B622" s="79" t="s">
        <v>1215</v>
      </c>
      <c r="C622" s="79" t="s">
        <v>1216</v>
      </c>
      <c r="D622" s="115" t="s">
        <v>354</v>
      </c>
      <c r="E622" s="115" t="str">
        <f t="shared" si="9"/>
        <v>3</v>
      </c>
      <c r="F622" s="79" t="s">
        <v>355</v>
      </c>
      <c r="G622" s="79" t="s">
        <v>341</v>
      </c>
      <c r="H622" s="79" t="s">
        <v>337</v>
      </c>
      <c r="I622" s="79" t="s">
        <v>338</v>
      </c>
      <c r="J622" s="79" t="s">
        <v>985</v>
      </c>
      <c r="K622" s="79" t="s">
        <v>986</v>
      </c>
      <c r="L622" s="116">
        <v>23542</v>
      </c>
      <c r="M622" s="116">
        <v>23542</v>
      </c>
      <c r="N622" s="117">
        <v>100</v>
      </c>
    </row>
    <row r="623" spans="1:14">
      <c r="A623" s="79" t="s">
        <v>1220</v>
      </c>
      <c r="B623" s="79" t="s">
        <v>1215</v>
      </c>
      <c r="C623" s="79" t="s">
        <v>1216</v>
      </c>
      <c r="D623" s="115" t="s">
        <v>354</v>
      </c>
      <c r="E623" s="115" t="str">
        <f t="shared" si="9"/>
        <v>3</v>
      </c>
      <c r="F623" s="79" t="s">
        <v>355</v>
      </c>
      <c r="G623" s="79" t="s">
        <v>328</v>
      </c>
      <c r="H623" s="79" t="s">
        <v>337</v>
      </c>
      <c r="I623" s="79" t="s">
        <v>338</v>
      </c>
      <c r="J623" s="79" t="s">
        <v>985</v>
      </c>
      <c r="K623" s="79" t="s">
        <v>986</v>
      </c>
      <c r="L623" s="116">
        <v>44725</v>
      </c>
      <c r="M623" s="116">
        <v>44725</v>
      </c>
      <c r="N623" s="117">
        <v>100</v>
      </c>
    </row>
    <row r="624" spans="1:14">
      <c r="A624" s="79" t="s">
        <v>1221</v>
      </c>
      <c r="B624" s="79" t="s">
        <v>1215</v>
      </c>
      <c r="C624" s="79" t="s">
        <v>1222</v>
      </c>
      <c r="D624" s="115" t="s">
        <v>1223</v>
      </c>
      <c r="E624" s="115" t="str">
        <f t="shared" si="9"/>
        <v>5</v>
      </c>
      <c r="F624" s="79" t="s">
        <v>1224</v>
      </c>
      <c r="G624" s="79" t="s">
        <v>328</v>
      </c>
      <c r="H624" s="79" t="s">
        <v>169</v>
      </c>
      <c r="I624" s="79" t="s">
        <v>388</v>
      </c>
      <c r="J624" s="79" t="s">
        <v>985</v>
      </c>
      <c r="K624" s="79" t="s">
        <v>986</v>
      </c>
      <c r="L624" s="116">
        <v>56000</v>
      </c>
      <c r="M624" s="116">
        <v>13726</v>
      </c>
      <c r="N624" s="117">
        <v>24.51</v>
      </c>
    </row>
    <row r="625" spans="1:14">
      <c r="A625" s="79" t="s">
        <v>1225</v>
      </c>
      <c r="B625" s="79" t="s">
        <v>1215</v>
      </c>
      <c r="C625" s="79" t="s">
        <v>1222</v>
      </c>
      <c r="D625" s="115" t="s">
        <v>1223</v>
      </c>
      <c r="E625" s="115" t="str">
        <f t="shared" si="9"/>
        <v>5</v>
      </c>
      <c r="F625" s="79" t="s">
        <v>1224</v>
      </c>
      <c r="G625" s="79" t="s">
        <v>341</v>
      </c>
      <c r="H625" s="79" t="s">
        <v>169</v>
      </c>
      <c r="I625" s="79" t="s">
        <v>388</v>
      </c>
      <c r="J625" s="79" t="s">
        <v>985</v>
      </c>
      <c r="K625" s="79" t="s">
        <v>986</v>
      </c>
      <c r="L625" s="116">
        <v>21987</v>
      </c>
      <c r="M625" s="116">
        <v>21987</v>
      </c>
      <c r="N625" s="117">
        <v>100</v>
      </c>
    </row>
    <row r="626" spans="1:14">
      <c r="A626" s="79" t="s">
        <v>1226</v>
      </c>
      <c r="B626" s="79" t="s">
        <v>1215</v>
      </c>
      <c r="C626" s="79" t="s">
        <v>1222</v>
      </c>
      <c r="D626" s="115" t="s">
        <v>1223</v>
      </c>
      <c r="E626" s="115" t="str">
        <f t="shared" si="9"/>
        <v>5</v>
      </c>
      <c r="F626" s="79" t="s">
        <v>1224</v>
      </c>
      <c r="G626" s="79" t="s">
        <v>341</v>
      </c>
      <c r="H626" s="79" t="s">
        <v>169</v>
      </c>
      <c r="I626" s="79" t="s">
        <v>388</v>
      </c>
      <c r="J626" s="79" t="s">
        <v>985</v>
      </c>
      <c r="K626" s="79" t="s">
        <v>986</v>
      </c>
      <c r="L626" s="116">
        <v>21987</v>
      </c>
      <c r="M626" s="116">
        <v>21987</v>
      </c>
      <c r="N626" s="117">
        <v>100</v>
      </c>
    </row>
    <row r="627" spans="1:14">
      <c r="A627" s="79" t="s">
        <v>1227</v>
      </c>
      <c r="B627" s="79" t="s">
        <v>1215</v>
      </c>
      <c r="C627" s="79" t="s">
        <v>1222</v>
      </c>
      <c r="D627" s="115" t="s">
        <v>1223</v>
      </c>
      <c r="E627" s="115" t="str">
        <f t="shared" si="9"/>
        <v>5</v>
      </c>
      <c r="F627" s="79" t="s">
        <v>1224</v>
      </c>
      <c r="G627" s="79" t="s">
        <v>341</v>
      </c>
      <c r="H627" s="79" t="s">
        <v>169</v>
      </c>
      <c r="I627" s="79" t="s">
        <v>388</v>
      </c>
      <c r="J627" s="79" t="s">
        <v>985</v>
      </c>
      <c r="K627" s="79" t="s">
        <v>986</v>
      </c>
      <c r="L627" s="116">
        <v>21987</v>
      </c>
      <c r="M627" s="116">
        <v>21987</v>
      </c>
      <c r="N627" s="117">
        <v>100</v>
      </c>
    </row>
    <row r="628" spans="1:14">
      <c r="A628" s="79" t="s">
        <v>1228</v>
      </c>
      <c r="B628" s="79" t="s">
        <v>1215</v>
      </c>
      <c r="C628" s="79" t="s">
        <v>1222</v>
      </c>
      <c r="D628" s="115" t="s">
        <v>1223</v>
      </c>
      <c r="E628" s="115" t="str">
        <f t="shared" si="9"/>
        <v>5</v>
      </c>
      <c r="F628" s="79" t="s">
        <v>1224</v>
      </c>
      <c r="G628" s="79" t="s">
        <v>341</v>
      </c>
      <c r="H628" s="79" t="s">
        <v>169</v>
      </c>
      <c r="I628" s="79" t="s">
        <v>388</v>
      </c>
      <c r="J628" s="79" t="s">
        <v>985</v>
      </c>
      <c r="K628" s="79" t="s">
        <v>986</v>
      </c>
      <c r="L628" s="116">
        <v>27186</v>
      </c>
      <c r="M628" s="116">
        <v>27186</v>
      </c>
      <c r="N628" s="117">
        <v>100</v>
      </c>
    </row>
    <row r="629" spans="1:14">
      <c r="A629" s="79" t="s">
        <v>1229</v>
      </c>
      <c r="B629" s="79" t="s">
        <v>1215</v>
      </c>
      <c r="C629" s="79" t="s">
        <v>1222</v>
      </c>
      <c r="D629" s="115" t="s">
        <v>1223</v>
      </c>
      <c r="E629" s="115" t="str">
        <f t="shared" si="9"/>
        <v>5</v>
      </c>
      <c r="F629" s="79" t="s">
        <v>1224</v>
      </c>
      <c r="G629" s="79" t="s">
        <v>328</v>
      </c>
      <c r="H629" s="79" t="s">
        <v>169</v>
      </c>
      <c r="I629" s="79" t="s">
        <v>388</v>
      </c>
      <c r="J629" s="79" t="s">
        <v>985</v>
      </c>
      <c r="K629" s="79" t="s">
        <v>986</v>
      </c>
      <c r="L629" s="116">
        <v>32192</v>
      </c>
      <c r="M629" s="116">
        <v>32192</v>
      </c>
      <c r="N629" s="117">
        <v>100</v>
      </c>
    </row>
    <row r="630" spans="1:14">
      <c r="A630" s="79" t="s">
        <v>1230</v>
      </c>
      <c r="B630" s="79" t="s">
        <v>1215</v>
      </c>
      <c r="C630" s="79" t="s">
        <v>1222</v>
      </c>
      <c r="D630" s="115" t="s">
        <v>1223</v>
      </c>
      <c r="E630" s="115" t="str">
        <f t="shared" si="9"/>
        <v>5</v>
      </c>
      <c r="F630" s="79" t="s">
        <v>1224</v>
      </c>
      <c r="G630" s="79" t="s">
        <v>328</v>
      </c>
      <c r="H630" s="79" t="s">
        <v>169</v>
      </c>
      <c r="I630" s="79" t="s">
        <v>388</v>
      </c>
      <c r="J630" s="79" t="s">
        <v>985</v>
      </c>
      <c r="K630" s="79" t="s">
        <v>986</v>
      </c>
      <c r="L630" s="116">
        <v>40723</v>
      </c>
      <c r="M630" s="116">
        <v>40723</v>
      </c>
      <c r="N630" s="117">
        <v>100</v>
      </c>
    </row>
    <row r="631" spans="1:14">
      <c r="A631" s="79" t="s">
        <v>1231</v>
      </c>
      <c r="B631" s="79" t="s">
        <v>1215</v>
      </c>
      <c r="C631" s="79" t="s">
        <v>1222</v>
      </c>
      <c r="D631" s="115" t="s">
        <v>1223</v>
      </c>
      <c r="E631" s="115" t="str">
        <f t="shared" si="9"/>
        <v>5</v>
      </c>
      <c r="F631" s="79" t="s">
        <v>1224</v>
      </c>
      <c r="G631" s="79" t="s">
        <v>328</v>
      </c>
      <c r="H631" s="79" t="s">
        <v>169</v>
      </c>
      <c r="I631" s="79" t="s">
        <v>388</v>
      </c>
      <c r="J631" s="79" t="s">
        <v>985</v>
      </c>
      <c r="K631" s="79" t="s">
        <v>986</v>
      </c>
      <c r="L631" s="116">
        <v>47132</v>
      </c>
      <c r="M631" s="116">
        <v>47132</v>
      </c>
      <c r="N631" s="117">
        <v>100</v>
      </c>
    </row>
    <row r="632" spans="1:14">
      <c r="A632" s="79" t="s">
        <v>1232</v>
      </c>
      <c r="B632" s="79" t="s">
        <v>1215</v>
      </c>
      <c r="C632" s="79" t="s">
        <v>1222</v>
      </c>
      <c r="D632" s="115" t="s">
        <v>1223</v>
      </c>
      <c r="E632" s="115" t="str">
        <f t="shared" si="9"/>
        <v>5</v>
      </c>
      <c r="F632" s="79" t="s">
        <v>1224</v>
      </c>
      <c r="G632" s="79" t="s">
        <v>328</v>
      </c>
      <c r="H632" s="79" t="s">
        <v>169</v>
      </c>
      <c r="I632" s="79" t="s">
        <v>388</v>
      </c>
      <c r="J632" s="79" t="s">
        <v>985</v>
      </c>
      <c r="K632" s="79" t="s">
        <v>986</v>
      </c>
      <c r="L632" s="116">
        <v>76500</v>
      </c>
      <c r="M632" s="116">
        <v>76500</v>
      </c>
      <c r="N632" s="117">
        <v>100</v>
      </c>
    </row>
    <row r="633" spans="1:14">
      <c r="A633" s="79" t="s">
        <v>1233</v>
      </c>
      <c r="B633" s="79" t="s">
        <v>1215</v>
      </c>
      <c r="C633" s="79" t="s">
        <v>1142</v>
      </c>
      <c r="D633" s="115" t="s">
        <v>953</v>
      </c>
      <c r="E633" s="115" t="str">
        <f t="shared" si="9"/>
        <v>5</v>
      </c>
      <c r="F633" s="79" t="s">
        <v>1143</v>
      </c>
      <c r="G633" s="79" t="s">
        <v>341</v>
      </c>
      <c r="H633" s="79" t="s">
        <v>169</v>
      </c>
      <c r="I633" s="79" t="s">
        <v>388</v>
      </c>
      <c r="J633" s="79" t="s">
        <v>985</v>
      </c>
      <c r="K633" s="79" t="s">
        <v>986</v>
      </c>
      <c r="L633" s="116">
        <v>24986</v>
      </c>
      <c r="M633" s="116">
        <v>11382</v>
      </c>
      <c r="N633" s="117">
        <v>45.55</v>
      </c>
    </row>
    <row r="634" spans="1:14">
      <c r="A634" s="79" t="s">
        <v>1234</v>
      </c>
      <c r="B634" s="79" t="s">
        <v>1215</v>
      </c>
      <c r="C634" s="79" t="s">
        <v>1142</v>
      </c>
      <c r="D634" s="115" t="s">
        <v>953</v>
      </c>
      <c r="E634" s="115" t="str">
        <f t="shared" si="9"/>
        <v>5</v>
      </c>
      <c r="F634" s="79" t="s">
        <v>1143</v>
      </c>
      <c r="G634" s="79" t="s">
        <v>341</v>
      </c>
      <c r="H634" s="79" t="s">
        <v>169</v>
      </c>
      <c r="I634" s="79" t="s">
        <v>388</v>
      </c>
      <c r="J634" s="79" t="s">
        <v>985</v>
      </c>
      <c r="K634" s="79" t="s">
        <v>986</v>
      </c>
      <c r="L634" s="116">
        <v>22500</v>
      </c>
      <c r="M634" s="116">
        <v>22500</v>
      </c>
      <c r="N634" s="117">
        <v>100</v>
      </c>
    </row>
    <row r="635" spans="1:14">
      <c r="A635" s="79" t="s">
        <v>1235</v>
      </c>
      <c r="B635" s="79" t="s">
        <v>1215</v>
      </c>
      <c r="C635" s="79" t="s">
        <v>1142</v>
      </c>
      <c r="D635" s="115" t="s">
        <v>953</v>
      </c>
      <c r="E635" s="115" t="str">
        <f t="shared" si="9"/>
        <v>5</v>
      </c>
      <c r="F635" s="79" t="s">
        <v>1143</v>
      </c>
      <c r="G635" s="79" t="s">
        <v>341</v>
      </c>
      <c r="H635" s="79" t="s">
        <v>169</v>
      </c>
      <c r="I635" s="79" t="s">
        <v>388</v>
      </c>
      <c r="J635" s="79" t="s">
        <v>985</v>
      </c>
      <c r="K635" s="79" t="s">
        <v>986</v>
      </c>
      <c r="L635" s="116">
        <v>23000</v>
      </c>
      <c r="M635" s="116">
        <v>23000</v>
      </c>
      <c r="N635" s="117">
        <v>100</v>
      </c>
    </row>
    <row r="636" spans="1:14">
      <c r="A636" s="79" t="s">
        <v>1236</v>
      </c>
      <c r="B636" s="79" t="s">
        <v>1215</v>
      </c>
      <c r="C636" s="79" t="s">
        <v>1142</v>
      </c>
      <c r="D636" s="115" t="s">
        <v>953</v>
      </c>
      <c r="E636" s="115" t="str">
        <f t="shared" ref="E636:E645" si="10">LEFT(D636,1)</f>
        <v>5</v>
      </c>
      <c r="F636" s="79" t="s">
        <v>1143</v>
      </c>
      <c r="G636" s="79" t="s">
        <v>328</v>
      </c>
      <c r="H636" s="79" t="s">
        <v>169</v>
      </c>
      <c r="I636" s="79" t="s">
        <v>388</v>
      </c>
      <c r="J636" s="79" t="s">
        <v>985</v>
      </c>
      <c r="K636" s="79" t="s">
        <v>986</v>
      </c>
      <c r="L636" s="116">
        <v>32192</v>
      </c>
      <c r="M636" s="116">
        <v>32192</v>
      </c>
      <c r="N636" s="117">
        <v>100</v>
      </c>
    </row>
    <row r="637" spans="1:14">
      <c r="A637" s="79" t="s">
        <v>1237</v>
      </c>
      <c r="B637" s="79" t="s">
        <v>1215</v>
      </c>
      <c r="C637" s="79" t="s">
        <v>1142</v>
      </c>
      <c r="D637" s="115" t="s">
        <v>953</v>
      </c>
      <c r="E637" s="115" t="str">
        <f t="shared" si="10"/>
        <v>5</v>
      </c>
      <c r="F637" s="79" t="s">
        <v>1143</v>
      </c>
      <c r="G637" s="79" t="s">
        <v>328</v>
      </c>
      <c r="H637" s="79" t="s">
        <v>169</v>
      </c>
      <c r="I637" s="79" t="s">
        <v>388</v>
      </c>
      <c r="J637" s="79" t="s">
        <v>985</v>
      </c>
      <c r="K637" s="79" t="s">
        <v>986</v>
      </c>
      <c r="L637" s="116">
        <v>32192</v>
      </c>
      <c r="M637" s="116">
        <v>32192</v>
      </c>
      <c r="N637" s="117">
        <v>100</v>
      </c>
    </row>
    <row r="638" spans="1:14">
      <c r="A638" s="79" t="s">
        <v>1238</v>
      </c>
      <c r="B638" s="79" t="s">
        <v>1215</v>
      </c>
      <c r="C638" s="79" t="s">
        <v>1142</v>
      </c>
      <c r="D638" s="115" t="s">
        <v>953</v>
      </c>
      <c r="E638" s="115" t="str">
        <f t="shared" si="10"/>
        <v>5</v>
      </c>
      <c r="F638" s="79" t="s">
        <v>1143</v>
      </c>
      <c r="G638" s="79" t="s">
        <v>328</v>
      </c>
      <c r="H638" s="79" t="s">
        <v>169</v>
      </c>
      <c r="I638" s="79" t="s">
        <v>388</v>
      </c>
      <c r="J638" s="79" t="s">
        <v>985</v>
      </c>
      <c r="K638" s="79" t="s">
        <v>986</v>
      </c>
      <c r="L638" s="116">
        <v>32192</v>
      </c>
      <c r="M638" s="116">
        <v>32192</v>
      </c>
      <c r="N638" s="117">
        <v>100</v>
      </c>
    </row>
    <row r="639" spans="1:14">
      <c r="A639" s="79" t="s">
        <v>1239</v>
      </c>
      <c r="B639" s="79" t="s">
        <v>1215</v>
      </c>
      <c r="C639" s="79" t="s">
        <v>1142</v>
      </c>
      <c r="D639" s="115" t="s">
        <v>953</v>
      </c>
      <c r="E639" s="115" t="str">
        <f t="shared" si="10"/>
        <v>5</v>
      </c>
      <c r="F639" s="79" t="s">
        <v>1143</v>
      </c>
      <c r="G639" s="79" t="s">
        <v>341</v>
      </c>
      <c r="H639" s="79" t="s">
        <v>169</v>
      </c>
      <c r="I639" s="79" t="s">
        <v>388</v>
      </c>
      <c r="J639" s="79" t="s">
        <v>985</v>
      </c>
      <c r="K639" s="79" t="s">
        <v>986</v>
      </c>
      <c r="L639" s="116">
        <v>39706</v>
      </c>
      <c r="M639" s="116">
        <v>39706</v>
      </c>
      <c r="N639" s="117">
        <v>100</v>
      </c>
    </row>
    <row r="640" spans="1:14">
      <c r="A640" s="79" t="s">
        <v>1240</v>
      </c>
      <c r="B640" s="79" t="s">
        <v>1215</v>
      </c>
      <c r="C640" s="79" t="s">
        <v>1142</v>
      </c>
      <c r="D640" s="115" t="s">
        <v>953</v>
      </c>
      <c r="E640" s="115" t="str">
        <f t="shared" si="10"/>
        <v>5</v>
      </c>
      <c r="F640" s="79" t="s">
        <v>1143</v>
      </c>
      <c r="G640" s="79" t="s">
        <v>328</v>
      </c>
      <c r="H640" s="79" t="s">
        <v>169</v>
      </c>
      <c r="I640" s="79" t="s">
        <v>388</v>
      </c>
      <c r="J640" s="79" t="s">
        <v>985</v>
      </c>
      <c r="K640" s="79" t="s">
        <v>986</v>
      </c>
      <c r="L640" s="116">
        <v>51000</v>
      </c>
      <c r="M640" s="116">
        <v>51000</v>
      </c>
      <c r="N640" s="117">
        <v>100</v>
      </c>
    </row>
    <row r="641" spans="1:14">
      <c r="A641" s="79" t="s">
        <v>1241</v>
      </c>
      <c r="B641" s="79" t="s">
        <v>1215</v>
      </c>
      <c r="C641" s="79" t="s">
        <v>1142</v>
      </c>
      <c r="D641" s="115" t="s">
        <v>953</v>
      </c>
      <c r="E641" s="115" t="str">
        <f t="shared" si="10"/>
        <v>5</v>
      </c>
      <c r="F641" s="79" t="s">
        <v>1143</v>
      </c>
      <c r="G641" s="79" t="s">
        <v>328</v>
      </c>
      <c r="H641" s="79" t="s">
        <v>169</v>
      </c>
      <c r="I641" s="79" t="s">
        <v>388</v>
      </c>
      <c r="J641" s="79" t="s">
        <v>985</v>
      </c>
      <c r="K641" s="79" t="s">
        <v>986</v>
      </c>
      <c r="L641" s="116">
        <v>64000</v>
      </c>
      <c r="M641" s="116">
        <v>64000</v>
      </c>
      <c r="N641" s="117">
        <v>100</v>
      </c>
    </row>
    <row r="642" spans="1:14">
      <c r="A642" s="79" t="s">
        <v>1242</v>
      </c>
      <c r="B642" s="79" t="s">
        <v>1215</v>
      </c>
      <c r="C642" s="79" t="s">
        <v>1142</v>
      </c>
      <c r="D642" s="115" t="s">
        <v>953</v>
      </c>
      <c r="E642" s="115" t="str">
        <f t="shared" si="10"/>
        <v>5</v>
      </c>
      <c r="F642" s="79" t="s">
        <v>1143</v>
      </c>
      <c r="G642" s="79" t="s">
        <v>328</v>
      </c>
      <c r="H642" s="79" t="s">
        <v>169</v>
      </c>
      <c r="I642" s="79" t="s">
        <v>388</v>
      </c>
      <c r="J642" s="79" t="s">
        <v>985</v>
      </c>
      <c r="K642" s="79" t="s">
        <v>986</v>
      </c>
      <c r="L642" s="116">
        <v>76000</v>
      </c>
      <c r="M642" s="116">
        <v>76000</v>
      </c>
      <c r="N642" s="117">
        <v>100</v>
      </c>
    </row>
    <row r="643" spans="1:14">
      <c r="A643" s="79" t="s">
        <v>1233</v>
      </c>
      <c r="B643" s="79" t="s">
        <v>1215</v>
      </c>
      <c r="C643" s="79" t="s">
        <v>1159</v>
      </c>
      <c r="D643" s="115" t="s">
        <v>953</v>
      </c>
      <c r="E643" s="115" t="str">
        <f t="shared" si="10"/>
        <v>5</v>
      </c>
      <c r="F643" s="79" t="s">
        <v>1160</v>
      </c>
      <c r="G643" s="79" t="s">
        <v>341</v>
      </c>
      <c r="H643" s="79" t="s">
        <v>169</v>
      </c>
      <c r="I643" s="79" t="s">
        <v>388</v>
      </c>
      <c r="J643" s="79" t="s">
        <v>985</v>
      </c>
      <c r="K643" s="79" t="s">
        <v>986</v>
      </c>
      <c r="L643" s="116">
        <v>24986</v>
      </c>
      <c r="M643" s="116">
        <v>13604</v>
      </c>
      <c r="N643" s="117">
        <v>54.45</v>
      </c>
    </row>
    <row r="644" spans="1:14">
      <c r="A644" s="79" t="s">
        <v>1243</v>
      </c>
      <c r="B644" s="79" t="s">
        <v>1215</v>
      </c>
      <c r="C644" s="79" t="s">
        <v>1159</v>
      </c>
      <c r="D644" s="115" t="s">
        <v>953</v>
      </c>
      <c r="E644" s="115" t="str">
        <f t="shared" si="10"/>
        <v>5</v>
      </c>
      <c r="F644" s="79" t="s">
        <v>1160</v>
      </c>
      <c r="G644" s="79" t="s">
        <v>328</v>
      </c>
      <c r="H644" s="79" t="s">
        <v>169</v>
      </c>
      <c r="I644" s="79" t="s">
        <v>388</v>
      </c>
      <c r="J644" s="79" t="s">
        <v>985</v>
      </c>
      <c r="K644" s="79" t="s">
        <v>986</v>
      </c>
      <c r="L644" s="116">
        <v>32192</v>
      </c>
      <c r="M644" s="116">
        <v>32192</v>
      </c>
      <c r="N644" s="117">
        <v>100</v>
      </c>
    </row>
    <row r="645" spans="1:14">
      <c r="A645" s="79" t="s">
        <v>1244</v>
      </c>
      <c r="B645" s="79" t="s">
        <v>1215</v>
      </c>
      <c r="C645" s="79" t="s">
        <v>1159</v>
      </c>
      <c r="D645" s="115" t="s">
        <v>953</v>
      </c>
      <c r="E645" s="115" t="str">
        <f t="shared" si="10"/>
        <v>5</v>
      </c>
      <c r="F645" s="79" t="s">
        <v>1160</v>
      </c>
      <c r="G645" s="79" t="s">
        <v>328</v>
      </c>
      <c r="H645" s="79" t="s">
        <v>169</v>
      </c>
      <c r="I645" s="79" t="s">
        <v>388</v>
      </c>
      <c r="J645" s="79" t="s">
        <v>985</v>
      </c>
      <c r="K645" s="79" t="s">
        <v>986</v>
      </c>
      <c r="L645" s="116">
        <v>50000</v>
      </c>
      <c r="M645" s="116">
        <v>50000</v>
      </c>
      <c r="N645" s="117">
        <v>100</v>
      </c>
    </row>
  </sheetData>
  <autoFilter ref="A1:V64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0"/>
  <sheetViews>
    <sheetView workbookViewId="0">
      <selection activeCell="C18" sqref="C18"/>
    </sheetView>
  </sheetViews>
  <sheetFormatPr defaultRowHeight="15"/>
  <cols>
    <col min="1" max="1" width="36.42578125" style="79" customWidth="1"/>
    <col min="2" max="2" width="23.140625" style="90" customWidth="1"/>
    <col min="3" max="5" width="26.7109375" style="90" customWidth="1"/>
    <col min="6" max="16384" width="9.140625" style="79"/>
  </cols>
  <sheetData>
    <row r="1" spans="1:5">
      <c r="A1" s="119" t="s">
        <v>1256</v>
      </c>
      <c r="B1" s="79" t="s">
        <v>1273</v>
      </c>
      <c r="C1" s="79"/>
      <c r="D1" s="79"/>
      <c r="E1" s="79"/>
    </row>
    <row r="2" spans="1:5">
      <c r="A2" s="119" t="s">
        <v>312</v>
      </c>
      <c r="B2" s="79" t="s">
        <v>1255</v>
      </c>
      <c r="C2" s="79"/>
      <c r="D2" s="79"/>
      <c r="E2" s="79"/>
    </row>
    <row r="3" spans="1:5">
      <c r="A3" s="119" t="s">
        <v>1258</v>
      </c>
      <c r="B3" s="79" t="s">
        <v>1255</v>
      </c>
      <c r="C3" s="79"/>
      <c r="D3" s="79"/>
      <c r="E3" s="79"/>
    </row>
    <row r="4" spans="1:5">
      <c r="A4" s="119" t="s">
        <v>1261</v>
      </c>
      <c r="B4" s="79" t="s">
        <v>1255</v>
      </c>
      <c r="C4" s="79"/>
      <c r="D4" s="79"/>
      <c r="E4" s="79"/>
    </row>
    <row r="5" spans="1:5">
      <c r="C5" s="79"/>
      <c r="D5" s="79"/>
      <c r="E5" s="79"/>
    </row>
    <row r="6" spans="1:5">
      <c r="A6" s="119" t="s">
        <v>1246</v>
      </c>
      <c r="B6" s="94" t="s">
        <v>1959</v>
      </c>
      <c r="C6"/>
      <c r="D6" s="79"/>
      <c r="E6" s="79"/>
    </row>
    <row r="7" spans="1:5">
      <c r="A7" s="120" t="s">
        <v>1432</v>
      </c>
      <c r="B7" s="94">
        <v>1233545.0399999998</v>
      </c>
      <c r="C7"/>
      <c r="D7" s="79"/>
      <c r="E7" s="79"/>
    </row>
    <row r="8" spans="1:5">
      <c r="A8" s="120" t="s">
        <v>9</v>
      </c>
      <c r="B8" s="94">
        <v>50559.72</v>
      </c>
      <c r="C8"/>
      <c r="D8" s="79"/>
      <c r="E8" s="79"/>
    </row>
    <row r="9" spans="1:5">
      <c r="A9" s="120" t="s">
        <v>0</v>
      </c>
      <c r="B9" s="94">
        <v>599585.42999999993</v>
      </c>
      <c r="C9"/>
      <c r="D9" s="79"/>
      <c r="E9" s="79"/>
    </row>
    <row r="10" spans="1:5">
      <c r="A10" s="120" t="s">
        <v>422</v>
      </c>
      <c r="B10" s="94">
        <v>1225927.7</v>
      </c>
      <c r="C10"/>
      <c r="D10" s="79"/>
      <c r="E10" s="79"/>
    </row>
    <row r="11" spans="1:5">
      <c r="A11" s="120" t="s">
        <v>2</v>
      </c>
      <c r="B11" s="94">
        <v>1165519.6400000001</v>
      </c>
      <c r="C11"/>
      <c r="D11" s="79"/>
      <c r="E11" s="79"/>
    </row>
    <row r="12" spans="1:5">
      <c r="A12" s="120" t="s">
        <v>455</v>
      </c>
      <c r="B12" s="94">
        <v>595096.85</v>
      </c>
      <c r="C12"/>
      <c r="D12" s="79"/>
      <c r="E12" s="79"/>
    </row>
    <row r="13" spans="1:5">
      <c r="A13" s="120" t="s">
        <v>467</v>
      </c>
      <c r="B13" s="94">
        <v>1256290.9200000002</v>
      </c>
      <c r="C13"/>
      <c r="D13" s="79"/>
      <c r="E13" s="79"/>
    </row>
    <row r="14" spans="1:5">
      <c r="A14" s="120" t="s">
        <v>1409</v>
      </c>
      <c r="B14" s="94">
        <v>513564.52</v>
      </c>
      <c r="C14"/>
      <c r="D14" s="79"/>
      <c r="E14" s="79"/>
    </row>
    <row r="15" spans="1:5">
      <c r="A15" s="120" t="s">
        <v>625</v>
      </c>
      <c r="B15" s="94">
        <v>927480.14</v>
      </c>
      <c r="C15"/>
      <c r="D15" s="79"/>
      <c r="E15" s="79"/>
    </row>
    <row r="16" spans="1:5">
      <c r="A16" s="120" t="s">
        <v>487</v>
      </c>
      <c r="B16" s="94">
        <v>1561489.33</v>
      </c>
      <c r="C16"/>
      <c r="D16" s="79"/>
      <c r="E16" s="79"/>
    </row>
    <row r="17" spans="1:5">
      <c r="A17" s="120" t="s">
        <v>14</v>
      </c>
      <c r="B17" s="94">
        <v>835180.02</v>
      </c>
      <c r="C17"/>
      <c r="D17" s="79"/>
      <c r="E17" s="79"/>
    </row>
    <row r="18" spans="1:5">
      <c r="A18" s="120" t="s">
        <v>580</v>
      </c>
      <c r="B18" s="94">
        <v>1356228.3</v>
      </c>
      <c r="C18"/>
      <c r="D18" s="79"/>
      <c r="E18" s="79"/>
    </row>
    <row r="19" spans="1:5">
      <c r="A19" s="120" t="s">
        <v>1499</v>
      </c>
      <c r="B19" s="94">
        <v>1127139.17</v>
      </c>
      <c r="C19"/>
      <c r="D19" s="79"/>
      <c r="E19" s="79"/>
    </row>
    <row r="20" spans="1:5">
      <c r="A20" s="120" t="s">
        <v>526</v>
      </c>
      <c r="B20" s="94">
        <v>34069.770000000004</v>
      </c>
      <c r="C20"/>
      <c r="D20" s="79"/>
      <c r="E20" s="79"/>
    </row>
    <row r="21" spans="1:5">
      <c r="A21" s="120" t="s">
        <v>1397</v>
      </c>
      <c r="B21" s="94">
        <v>564915.46</v>
      </c>
      <c r="C21"/>
      <c r="D21" s="79"/>
      <c r="E21" s="79"/>
    </row>
    <row r="22" spans="1:5">
      <c r="A22" s="120" t="s">
        <v>1514</v>
      </c>
      <c r="B22" s="94">
        <v>2186809.77</v>
      </c>
      <c r="C22"/>
      <c r="D22" s="79"/>
      <c r="E22" s="79"/>
    </row>
    <row r="23" spans="1:5">
      <c r="A23" s="120" t="s">
        <v>17</v>
      </c>
      <c r="B23" s="94">
        <v>1025417.8899999999</v>
      </c>
      <c r="C23"/>
      <c r="D23" s="79"/>
      <c r="E23" s="79"/>
    </row>
    <row r="24" spans="1:5">
      <c r="A24" s="120" t="s">
        <v>7</v>
      </c>
      <c r="B24" s="94">
        <v>699416.54</v>
      </c>
      <c r="C24"/>
      <c r="D24" s="79"/>
      <c r="E24" s="79"/>
    </row>
    <row r="25" spans="1:5">
      <c r="A25" s="120" t="s">
        <v>511</v>
      </c>
      <c r="B25" s="94">
        <v>813960.94000000006</v>
      </c>
      <c r="C25"/>
      <c r="D25" s="79"/>
      <c r="E25" s="79"/>
    </row>
    <row r="26" spans="1:5">
      <c r="A26" s="120" t="s">
        <v>1523</v>
      </c>
      <c r="B26" s="94">
        <v>1228952.76</v>
      </c>
      <c r="C26"/>
      <c r="D26" s="79"/>
      <c r="E26" s="79"/>
    </row>
    <row r="27" spans="1:5">
      <c r="A27" s="120" t="s">
        <v>12</v>
      </c>
      <c r="B27" s="94">
        <v>869748.16000000015</v>
      </c>
      <c r="C27"/>
      <c r="D27" s="79"/>
      <c r="E27" s="79"/>
    </row>
    <row r="28" spans="1:5">
      <c r="A28" s="120" t="s">
        <v>141</v>
      </c>
      <c r="B28" s="94">
        <v>747361.14999999991</v>
      </c>
      <c r="C28"/>
      <c r="D28" s="79"/>
      <c r="E28" s="79"/>
    </row>
    <row r="29" spans="1:5">
      <c r="A29" s="120" t="s">
        <v>1248</v>
      </c>
      <c r="B29" s="94">
        <v>20618259.219999999</v>
      </c>
      <c r="C29"/>
      <c r="D29" s="79"/>
      <c r="E29" s="79"/>
    </row>
    <row r="30" spans="1:5">
      <c r="A30"/>
      <c r="B30"/>
      <c r="C30"/>
      <c r="D30" s="79"/>
      <c r="E30" s="79"/>
    </row>
    <row r="31" spans="1:5">
      <c r="A31"/>
      <c r="B31"/>
      <c r="C31" s="79"/>
      <c r="D31" s="79"/>
      <c r="E31" s="79"/>
    </row>
    <row r="32" spans="1:5">
      <c r="A32"/>
      <c r="B32"/>
      <c r="C32" s="79"/>
      <c r="D32" s="79"/>
      <c r="E32" s="79"/>
    </row>
    <row r="33" spans="1:5">
      <c r="A33"/>
      <c r="B33"/>
      <c r="C33" s="79"/>
      <c r="D33" s="79"/>
      <c r="E33" s="79"/>
    </row>
    <row r="34" spans="1:5">
      <c r="A34"/>
      <c r="B34"/>
      <c r="C34" s="79"/>
      <c r="D34" s="79"/>
      <c r="E34" s="79"/>
    </row>
    <row r="35" spans="1:5">
      <c r="A35"/>
      <c r="B35"/>
      <c r="C35" s="79"/>
      <c r="D35" s="79"/>
      <c r="E35" s="79"/>
    </row>
    <row r="36" spans="1:5">
      <c r="A36"/>
      <c r="B36"/>
      <c r="C36" s="79"/>
      <c r="D36" s="79"/>
      <c r="E36" s="79"/>
    </row>
    <row r="37" spans="1:5">
      <c r="A37"/>
      <c r="B37"/>
      <c r="C37" s="79"/>
      <c r="D37" s="79"/>
      <c r="E37" s="79"/>
    </row>
    <row r="38" spans="1:5">
      <c r="A38"/>
      <c r="B38"/>
      <c r="C38" s="79"/>
      <c r="D38" s="79"/>
      <c r="E38" s="79"/>
    </row>
    <row r="39" spans="1:5">
      <c r="A39"/>
      <c r="B39"/>
      <c r="C39" s="79"/>
      <c r="D39" s="79"/>
      <c r="E39" s="79"/>
    </row>
    <row r="40" spans="1:5">
      <c r="A40"/>
      <c r="B40"/>
      <c r="C40" s="79"/>
      <c r="D40" s="79"/>
      <c r="E40" s="79"/>
    </row>
    <row r="41" spans="1:5">
      <c r="A41"/>
      <c r="B41"/>
      <c r="C41" s="79"/>
      <c r="D41" s="79"/>
      <c r="E41" s="79"/>
    </row>
    <row r="42" spans="1:5">
      <c r="A42"/>
      <c r="B42"/>
      <c r="C42" s="79"/>
      <c r="D42" s="79"/>
      <c r="E42" s="79"/>
    </row>
    <row r="43" spans="1:5">
      <c r="A43"/>
      <c r="B43"/>
      <c r="C43" s="79"/>
      <c r="D43" s="79"/>
      <c r="E43" s="79"/>
    </row>
    <row r="44" spans="1:5">
      <c r="A44"/>
      <c r="B44"/>
      <c r="C44" s="79"/>
      <c r="D44" s="79"/>
      <c r="E44" s="79"/>
    </row>
    <row r="45" spans="1:5">
      <c r="A45"/>
      <c r="B45"/>
      <c r="C45" s="79"/>
      <c r="D45" s="79"/>
      <c r="E45" s="79"/>
    </row>
    <row r="46" spans="1:5">
      <c r="A46"/>
      <c r="B46"/>
      <c r="C46" s="79"/>
      <c r="D46" s="79"/>
      <c r="E46" s="79"/>
    </row>
    <row r="47" spans="1:5">
      <c r="A47"/>
      <c r="B47"/>
      <c r="C47" s="79"/>
      <c r="D47" s="79"/>
      <c r="E47" s="79"/>
    </row>
    <row r="48" spans="1:5">
      <c r="A48"/>
      <c r="B48"/>
      <c r="C48" s="79"/>
      <c r="D48" s="79"/>
      <c r="E48" s="79"/>
    </row>
    <row r="49" spans="1:5">
      <c r="A49"/>
      <c r="B49"/>
      <c r="C49" s="79"/>
      <c r="D49" s="79"/>
      <c r="E49" s="79"/>
    </row>
    <row r="50" spans="1:5">
      <c r="A50"/>
      <c r="B50"/>
      <c r="C50" s="79"/>
      <c r="D50" s="79"/>
      <c r="E50" s="79"/>
    </row>
    <row r="51" spans="1:5">
      <c r="A51"/>
      <c r="B51"/>
      <c r="C51" s="79"/>
      <c r="D51" s="79"/>
      <c r="E51" s="79"/>
    </row>
    <row r="52" spans="1:5">
      <c r="A52"/>
      <c r="B52"/>
      <c r="C52" s="79"/>
      <c r="D52" s="79"/>
      <c r="E52" s="79"/>
    </row>
    <row r="53" spans="1:5">
      <c r="A53"/>
      <c r="B53"/>
      <c r="C53" s="79"/>
      <c r="D53" s="79"/>
      <c r="E53" s="79"/>
    </row>
    <row r="54" spans="1:5">
      <c r="A54"/>
      <c r="B54"/>
      <c r="C54" s="79"/>
      <c r="D54" s="79"/>
      <c r="E54" s="79"/>
    </row>
    <row r="55" spans="1:5">
      <c r="A55"/>
      <c r="B55"/>
      <c r="C55" s="79"/>
      <c r="D55" s="79"/>
      <c r="E55" s="79"/>
    </row>
    <row r="56" spans="1:5">
      <c r="A56"/>
      <c r="B56"/>
      <c r="C56" s="79"/>
      <c r="D56" s="79"/>
      <c r="E56" s="79"/>
    </row>
    <row r="57" spans="1:5">
      <c r="A57"/>
      <c r="B57"/>
      <c r="C57" s="79"/>
      <c r="D57" s="79"/>
      <c r="E57" s="79"/>
    </row>
    <row r="58" spans="1:5">
      <c r="A58"/>
      <c r="B58"/>
      <c r="C58" s="79"/>
      <c r="D58" s="79"/>
      <c r="E58" s="79"/>
    </row>
    <row r="59" spans="1:5">
      <c r="A59"/>
      <c r="B59"/>
      <c r="C59" s="79"/>
      <c r="D59" s="79"/>
      <c r="E59" s="79"/>
    </row>
    <row r="60" spans="1:5">
      <c r="A60"/>
      <c r="B60"/>
      <c r="C60" s="79"/>
      <c r="D60" s="79"/>
      <c r="E60" s="79"/>
    </row>
    <row r="61" spans="1:5">
      <c r="A61"/>
      <c r="B61"/>
      <c r="C61" s="79"/>
      <c r="D61" s="79"/>
      <c r="E61" s="79"/>
    </row>
    <row r="62" spans="1:5">
      <c r="A62"/>
      <c r="B62"/>
      <c r="C62" s="79"/>
      <c r="D62" s="79"/>
      <c r="E62" s="79"/>
    </row>
    <row r="63" spans="1:5">
      <c r="A63"/>
      <c r="B63"/>
      <c r="C63" s="79"/>
      <c r="D63" s="79"/>
      <c r="E63" s="79"/>
    </row>
    <row r="64" spans="1:5">
      <c r="A64"/>
      <c r="B64"/>
      <c r="C64" s="79"/>
      <c r="D64" s="79"/>
      <c r="E64" s="79"/>
    </row>
    <row r="65" spans="1:5">
      <c r="A65"/>
      <c r="B65"/>
      <c r="C65" s="79"/>
      <c r="D65" s="79"/>
      <c r="E65" s="79"/>
    </row>
    <row r="66" spans="1:5">
      <c r="A66"/>
      <c r="B66"/>
      <c r="C66" s="79"/>
      <c r="D66" s="79"/>
      <c r="E66" s="79"/>
    </row>
    <row r="67" spans="1:5">
      <c r="A67"/>
      <c r="B67"/>
      <c r="C67" s="79"/>
      <c r="D67" s="79"/>
      <c r="E67" s="79"/>
    </row>
    <row r="68" spans="1:5">
      <c r="A68"/>
      <c r="B68"/>
      <c r="C68" s="79"/>
      <c r="D68" s="79"/>
      <c r="E68" s="79"/>
    </row>
    <row r="69" spans="1:5">
      <c r="A69"/>
      <c r="B69"/>
      <c r="C69" s="79"/>
      <c r="D69" s="79"/>
      <c r="E69" s="79"/>
    </row>
    <row r="70" spans="1:5">
      <c r="A70"/>
      <c r="B70"/>
      <c r="C70" s="79"/>
      <c r="D70" s="79"/>
      <c r="E70" s="79"/>
    </row>
    <row r="71" spans="1:5">
      <c r="A71"/>
      <c r="B71"/>
      <c r="C71" s="79"/>
      <c r="D71" s="79"/>
      <c r="E71" s="79"/>
    </row>
    <row r="72" spans="1:5">
      <c r="A72"/>
      <c r="B72"/>
      <c r="C72" s="79"/>
      <c r="D72" s="79"/>
      <c r="E72" s="79"/>
    </row>
    <row r="73" spans="1:5">
      <c r="A73"/>
      <c r="B73"/>
      <c r="C73" s="79"/>
      <c r="D73" s="79"/>
      <c r="E73" s="79"/>
    </row>
    <row r="74" spans="1:5">
      <c r="A74"/>
      <c r="B74"/>
      <c r="C74" s="79"/>
      <c r="D74" s="79"/>
      <c r="E74" s="79"/>
    </row>
    <row r="75" spans="1:5">
      <c r="A75"/>
      <c r="B75"/>
      <c r="C75" s="79"/>
      <c r="D75" s="79"/>
      <c r="E75" s="79"/>
    </row>
    <row r="76" spans="1:5">
      <c r="A76"/>
      <c r="B76"/>
      <c r="C76" s="79"/>
      <c r="D76" s="79"/>
      <c r="E76" s="79"/>
    </row>
    <row r="77" spans="1:5">
      <c r="A77"/>
      <c r="B77"/>
      <c r="C77" s="79"/>
      <c r="D77" s="79"/>
      <c r="E77" s="79"/>
    </row>
    <row r="78" spans="1:5">
      <c r="A78"/>
      <c r="B78"/>
      <c r="C78" s="79"/>
      <c r="D78" s="79"/>
      <c r="E78" s="79"/>
    </row>
    <row r="79" spans="1:5">
      <c r="A79"/>
      <c r="B79"/>
      <c r="C79" s="79"/>
      <c r="D79" s="79"/>
      <c r="E79" s="79"/>
    </row>
    <row r="80" spans="1:5">
      <c r="A80"/>
      <c r="B80"/>
      <c r="C80" s="79"/>
      <c r="D80" s="79"/>
      <c r="E80" s="79"/>
    </row>
    <row r="81" spans="1:5">
      <c r="A81"/>
      <c r="B81"/>
      <c r="C81" s="79"/>
      <c r="D81" s="79"/>
      <c r="E81" s="79"/>
    </row>
    <row r="82" spans="1:5">
      <c r="A82"/>
      <c r="B82"/>
      <c r="C82" s="79"/>
      <c r="D82" s="79"/>
      <c r="E82" s="79"/>
    </row>
    <row r="83" spans="1:5">
      <c r="A83"/>
      <c r="B83"/>
      <c r="C83" s="79"/>
      <c r="D83" s="79"/>
      <c r="E83" s="79"/>
    </row>
    <row r="84" spans="1:5">
      <c r="A84"/>
      <c r="B84"/>
      <c r="C84" s="79"/>
      <c r="D84" s="79"/>
      <c r="E84" s="79"/>
    </row>
    <row r="85" spans="1:5">
      <c r="A85"/>
      <c r="B85"/>
      <c r="C85" s="79"/>
      <c r="D85" s="79"/>
      <c r="E85" s="79"/>
    </row>
    <row r="86" spans="1:5">
      <c r="A86"/>
      <c r="B86"/>
      <c r="C86" s="79"/>
      <c r="D86" s="79"/>
      <c r="E86" s="79"/>
    </row>
    <row r="87" spans="1:5">
      <c r="A87"/>
      <c r="B87"/>
      <c r="C87" s="79"/>
      <c r="D87" s="79"/>
      <c r="E87" s="79"/>
    </row>
    <row r="88" spans="1:5">
      <c r="A88"/>
      <c r="B88"/>
      <c r="C88" s="79"/>
      <c r="D88" s="79"/>
      <c r="E88" s="79"/>
    </row>
    <row r="89" spans="1:5">
      <c r="A89"/>
      <c r="B89"/>
      <c r="C89" s="79"/>
      <c r="D89" s="79"/>
      <c r="E89" s="79"/>
    </row>
    <row r="90" spans="1:5">
      <c r="A90"/>
      <c r="B90"/>
      <c r="C90" s="79"/>
      <c r="D90" s="79"/>
      <c r="E90" s="79"/>
    </row>
    <row r="91" spans="1:5">
      <c r="A91"/>
      <c r="B91"/>
      <c r="C91" s="79"/>
      <c r="D91" s="79"/>
      <c r="E91" s="79"/>
    </row>
    <row r="92" spans="1:5">
      <c r="A92"/>
      <c r="B92"/>
      <c r="C92" s="79"/>
      <c r="D92" s="79"/>
      <c r="E92" s="79"/>
    </row>
    <row r="93" spans="1:5">
      <c r="A93"/>
      <c r="B93"/>
      <c r="C93" s="79"/>
      <c r="D93" s="79"/>
      <c r="E93" s="79"/>
    </row>
    <row r="94" spans="1:5">
      <c r="A94"/>
      <c r="B94"/>
      <c r="C94" s="79"/>
      <c r="D94" s="79"/>
      <c r="E94" s="79"/>
    </row>
    <row r="95" spans="1:5">
      <c r="A95"/>
      <c r="B95"/>
      <c r="C95" s="79"/>
      <c r="D95" s="79"/>
      <c r="E95" s="79"/>
    </row>
    <row r="96" spans="1:5">
      <c r="A96"/>
      <c r="B96"/>
      <c r="C96" s="79"/>
      <c r="D96" s="79"/>
      <c r="E96" s="79"/>
    </row>
    <row r="97" spans="1:5">
      <c r="A97"/>
      <c r="B97"/>
      <c r="C97" s="79"/>
      <c r="D97" s="79"/>
      <c r="E97" s="79"/>
    </row>
    <row r="98" spans="1:5">
      <c r="A98"/>
      <c r="B98"/>
      <c r="C98" s="79"/>
      <c r="D98" s="79"/>
      <c r="E98" s="79"/>
    </row>
    <row r="99" spans="1:5">
      <c r="A99"/>
      <c r="B99"/>
      <c r="C99" s="79"/>
      <c r="D99" s="79"/>
      <c r="E99" s="79"/>
    </row>
    <row r="100" spans="1:5">
      <c r="A100"/>
      <c r="B100"/>
      <c r="C100" s="79"/>
      <c r="D100" s="79"/>
      <c r="E100" s="79"/>
    </row>
    <row r="101" spans="1:5">
      <c r="A101"/>
      <c r="B101"/>
      <c r="C101" s="79"/>
      <c r="D101" s="79"/>
      <c r="E101" s="79"/>
    </row>
    <row r="102" spans="1:5">
      <c r="A102"/>
      <c r="B102"/>
      <c r="C102" s="79"/>
      <c r="D102" s="79"/>
      <c r="E102" s="79"/>
    </row>
    <row r="103" spans="1:5">
      <c r="A103"/>
      <c r="B103"/>
      <c r="C103" s="79"/>
      <c r="D103" s="79"/>
      <c r="E103" s="79"/>
    </row>
    <row r="104" spans="1:5">
      <c r="A104"/>
      <c r="B104"/>
      <c r="C104" s="79"/>
      <c r="D104" s="79"/>
      <c r="E104" s="79"/>
    </row>
    <row r="105" spans="1:5">
      <c r="A105"/>
      <c r="B105"/>
      <c r="C105" s="79"/>
      <c r="D105" s="79"/>
      <c r="E105" s="79"/>
    </row>
    <row r="106" spans="1:5">
      <c r="A106"/>
      <c r="B106"/>
      <c r="C106" s="79"/>
      <c r="D106" s="79"/>
      <c r="E106" s="79"/>
    </row>
    <row r="107" spans="1:5">
      <c r="A107"/>
      <c r="B107"/>
      <c r="C107" s="79"/>
      <c r="D107" s="79"/>
      <c r="E107" s="79"/>
    </row>
    <row r="108" spans="1:5">
      <c r="A108"/>
      <c r="B108"/>
      <c r="C108" s="79"/>
      <c r="D108" s="79"/>
      <c r="E108" s="79"/>
    </row>
    <row r="109" spans="1:5">
      <c r="A109"/>
      <c r="B109"/>
      <c r="C109" s="79"/>
      <c r="D109" s="79"/>
      <c r="E109" s="79"/>
    </row>
    <row r="110" spans="1:5">
      <c r="A110"/>
      <c r="B110"/>
      <c r="C110" s="79"/>
      <c r="D110" s="79"/>
      <c r="E110" s="79"/>
    </row>
    <row r="111" spans="1:5">
      <c r="A111"/>
      <c r="B111"/>
      <c r="C111" s="79"/>
      <c r="D111" s="79"/>
      <c r="E111" s="79"/>
    </row>
    <row r="112" spans="1:5">
      <c r="A112"/>
      <c r="B112"/>
      <c r="C112" s="79"/>
      <c r="D112" s="79"/>
      <c r="E112" s="79"/>
    </row>
    <row r="113" spans="1:5">
      <c r="A113"/>
      <c r="B113"/>
      <c r="C113" s="79"/>
      <c r="D113" s="79"/>
      <c r="E113" s="79"/>
    </row>
    <row r="114" spans="1:5">
      <c r="A114"/>
      <c r="B114"/>
      <c r="C114" s="79"/>
      <c r="D114" s="79"/>
      <c r="E114" s="79"/>
    </row>
    <row r="115" spans="1:5">
      <c r="A115"/>
      <c r="B115"/>
      <c r="C115" s="79"/>
      <c r="D115" s="79"/>
      <c r="E115" s="79"/>
    </row>
    <row r="116" spans="1:5">
      <c r="A116"/>
      <c r="B116"/>
      <c r="C116" s="79"/>
      <c r="D116" s="79"/>
      <c r="E116" s="79"/>
    </row>
    <row r="117" spans="1:5">
      <c r="A117"/>
      <c r="B117"/>
      <c r="C117" s="79"/>
      <c r="D117" s="79"/>
      <c r="E117" s="79"/>
    </row>
    <row r="118" spans="1:5">
      <c r="A118"/>
      <c r="B118"/>
      <c r="C118" s="79"/>
      <c r="D118" s="79"/>
      <c r="E118" s="79"/>
    </row>
    <row r="119" spans="1:5">
      <c r="A119"/>
      <c r="B119"/>
      <c r="C119" s="79"/>
      <c r="D119" s="79"/>
      <c r="E119" s="79"/>
    </row>
    <row r="120" spans="1:5">
      <c r="A120"/>
      <c r="B120"/>
      <c r="C120" s="79"/>
      <c r="D120" s="79"/>
      <c r="E120" s="79"/>
    </row>
    <row r="121" spans="1:5">
      <c r="A121"/>
      <c r="B121"/>
      <c r="C121" s="79"/>
      <c r="D121" s="79"/>
      <c r="E121" s="79"/>
    </row>
    <row r="122" spans="1:5">
      <c r="A122"/>
      <c r="B122"/>
      <c r="C122" s="79"/>
      <c r="D122" s="79"/>
      <c r="E122" s="79"/>
    </row>
    <row r="123" spans="1:5">
      <c r="A123"/>
      <c r="B123"/>
      <c r="C123" s="79"/>
      <c r="D123" s="79"/>
      <c r="E123" s="79"/>
    </row>
    <row r="124" spans="1:5">
      <c r="A124"/>
      <c r="B124"/>
      <c r="C124" s="79"/>
      <c r="D124" s="79"/>
      <c r="E124" s="79"/>
    </row>
    <row r="125" spans="1:5">
      <c r="A125"/>
      <c r="B125"/>
      <c r="C125" s="79"/>
      <c r="D125" s="79"/>
      <c r="E125" s="79"/>
    </row>
    <row r="126" spans="1:5">
      <c r="A126"/>
      <c r="B126"/>
      <c r="C126" s="79"/>
      <c r="D126" s="79"/>
      <c r="E126" s="79"/>
    </row>
    <row r="127" spans="1:5">
      <c r="A127"/>
      <c r="B127"/>
      <c r="C127" s="79"/>
      <c r="D127" s="79"/>
      <c r="E127" s="79"/>
    </row>
    <row r="128" spans="1:5">
      <c r="B128" s="79"/>
      <c r="C128" s="79"/>
      <c r="D128" s="79"/>
      <c r="E128" s="79"/>
    </row>
    <row r="129" spans="2:5">
      <c r="B129" s="79"/>
      <c r="C129" s="79"/>
      <c r="D129" s="79"/>
      <c r="E129" s="79"/>
    </row>
    <row r="130" spans="2:5">
      <c r="B130" s="79"/>
      <c r="C130" s="79"/>
      <c r="D130" s="79"/>
      <c r="E130" s="79"/>
    </row>
    <row r="131" spans="2:5">
      <c r="B131" s="79"/>
      <c r="C131" s="79"/>
      <c r="D131" s="79"/>
      <c r="E131" s="79"/>
    </row>
    <row r="132" spans="2:5">
      <c r="B132" s="79"/>
      <c r="C132" s="79"/>
      <c r="D132" s="79"/>
      <c r="E132" s="79"/>
    </row>
    <row r="133" spans="2:5">
      <c r="B133" s="79"/>
      <c r="C133" s="79"/>
      <c r="D133" s="79"/>
      <c r="E133" s="79"/>
    </row>
    <row r="134" spans="2:5">
      <c r="B134" s="79"/>
      <c r="C134" s="79"/>
      <c r="D134" s="79"/>
      <c r="E134" s="79"/>
    </row>
    <row r="135" spans="2:5">
      <c r="B135" s="79"/>
      <c r="C135" s="79"/>
      <c r="D135" s="79"/>
      <c r="E135" s="79"/>
    </row>
    <row r="136" spans="2:5">
      <c r="B136" s="79"/>
      <c r="C136" s="79"/>
      <c r="D136" s="79"/>
      <c r="E136" s="79"/>
    </row>
    <row r="137" spans="2:5">
      <c r="B137" s="79"/>
      <c r="C137" s="79"/>
      <c r="D137" s="79"/>
      <c r="E137" s="79"/>
    </row>
    <row r="138" spans="2:5">
      <c r="B138" s="79"/>
      <c r="C138" s="79"/>
      <c r="D138" s="79"/>
      <c r="E138" s="79"/>
    </row>
    <row r="139" spans="2:5">
      <c r="B139" s="79"/>
      <c r="C139" s="79"/>
      <c r="D139" s="79"/>
      <c r="E139" s="79"/>
    </row>
    <row r="140" spans="2:5">
      <c r="B140" s="79"/>
      <c r="C140" s="79"/>
      <c r="D140" s="79"/>
      <c r="E140" s="79"/>
    </row>
    <row r="141" spans="2:5">
      <c r="B141" s="79"/>
      <c r="C141" s="79"/>
      <c r="D141" s="79"/>
      <c r="E141" s="79"/>
    </row>
    <row r="142" spans="2:5">
      <c r="B142" s="79"/>
      <c r="C142" s="79"/>
      <c r="D142" s="79"/>
      <c r="E142" s="79"/>
    </row>
    <row r="143" spans="2:5">
      <c r="B143" s="79"/>
      <c r="C143" s="79"/>
      <c r="D143" s="79"/>
      <c r="E143" s="79"/>
    </row>
    <row r="144" spans="2:5">
      <c r="B144" s="79"/>
      <c r="C144" s="79"/>
      <c r="D144" s="79"/>
      <c r="E144" s="79"/>
    </row>
    <row r="145" spans="2:5">
      <c r="B145" s="79"/>
      <c r="C145" s="79"/>
      <c r="D145" s="79"/>
      <c r="E145" s="79"/>
    </row>
    <row r="146" spans="2:5">
      <c r="B146" s="79"/>
      <c r="C146" s="79"/>
      <c r="D146" s="79"/>
      <c r="E146" s="79"/>
    </row>
    <row r="147" spans="2:5">
      <c r="B147" s="79"/>
      <c r="C147" s="79"/>
      <c r="D147" s="79"/>
      <c r="E147" s="79"/>
    </row>
    <row r="148" spans="2:5">
      <c r="B148" s="79"/>
      <c r="C148" s="79"/>
      <c r="D148" s="79"/>
      <c r="E148" s="79"/>
    </row>
    <row r="149" spans="2:5">
      <c r="B149" s="79"/>
      <c r="C149" s="79"/>
      <c r="D149" s="79"/>
      <c r="E149" s="79"/>
    </row>
    <row r="150" spans="2:5">
      <c r="B150" s="79"/>
      <c r="C150" s="79"/>
      <c r="D150" s="79"/>
      <c r="E150" s="79"/>
    </row>
    <row r="151" spans="2:5">
      <c r="B151" s="79"/>
      <c r="C151" s="79"/>
      <c r="D151" s="79"/>
      <c r="E151" s="79"/>
    </row>
    <row r="152" spans="2:5">
      <c r="B152" s="79"/>
      <c r="C152" s="79"/>
      <c r="D152" s="79"/>
      <c r="E152" s="79"/>
    </row>
    <row r="153" spans="2:5">
      <c r="B153" s="79"/>
      <c r="C153" s="79"/>
      <c r="D153" s="79"/>
      <c r="E153" s="79"/>
    </row>
    <row r="154" spans="2:5">
      <c r="B154" s="79"/>
      <c r="C154" s="79"/>
      <c r="D154" s="79"/>
      <c r="E154" s="79"/>
    </row>
    <row r="155" spans="2:5">
      <c r="B155" s="79"/>
      <c r="C155" s="79"/>
      <c r="D155" s="79"/>
      <c r="E155" s="79"/>
    </row>
    <row r="156" spans="2:5">
      <c r="B156" s="79"/>
      <c r="C156" s="79"/>
      <c r="D156" s="79"/>
      <c r="E156" s="79"/>
    </row>
    <row r="157" spans="2:5">
      <c r="B157" s="79"/>
      <c r="C157" s="79"/>
      <c r="D157" s="79"/>
      <c r="E157" s="79"/>
    </row>
    <row r="158" spans="2:5">
      <c r="B158" s="79"/>
      <c r="C158" s="79"/>
      <c r="D158" s="79"/>
      <c r="E158" s="79"/>
    </row>
    <row r="159" spans="2:5">
      <c r="B159" s="79"/>
      <c r="C159" s="79"/>
      <c r="D159" s="79"/>
      <c r="E159" s="79"/>
    </row>
    <row r="160" spans="2:5">
      <c r="B160" s="79"/>
      <c r="C160" s="79"/>
      <c r="D160" s="79"/>
      <c r="E160" s="79"/>
    </row>
    <row r="161" spans="2:5">
      <c r="B161" s="79"/>
      <c r="C161" s="79"/>
      <c r="D161" s="79"/>
      <c r="E161" s="79"/>
    </row>
    <row r="162" spans="2:5">
      <c r="B162" s="79"/>
      <c r="C162" s="79"/>
      <c r="D162" s="79"/>
      <c r="E162" s="79"/>
    </row>
    <row r="163" spans="2:5">
      <c r="B163" s="79"/>
      <c r="C163" s="79"/>
      <c r="D163" s="79"/>
      <c r="E163" s="79"/>
    </row>
    <row r="164" spans="2:5">
      <c r="B164" s="79"/>
      <c r="C164" s="79"/>
      <c r="D164" s="79"/>
      <c r="E164" s="79"/>
    </row>
    <row r="165" spans="2:5">
      <c r="B165" s="79"/>
      <c r="C165" s="79"/>
      <c r="D165" s="79"/>
      <c r="E165" s="79"/>
    </row>
    <row r="166" spans="2:5">
      <c r="B166" s="79"/>
      <c r="C166" s="79"/>
      <c r="D166" s="79"/>
      <c r="E166" s="79"/>
    </row>
    <row r="167" spans="2:5">
      <c r="B167" s="79"/>
      <c r="C167" s="79"/>
      <c r="D167" s="79"/>
      <c r="E167" s="79"/>
    </row>
    <row r="168" spans="2:5">
      <c r="B168" s="79"/>
      <c r="C168" s="79"/>
      <c r="D168" s="79"/>
      <c r="E168" s="79"/>
    </row>
    <row r="169" spans="2:5">
      <c r="B169" s="79"/>
      <c r="C169" s="79"/>
      <c r="D169" s="79"/>
      <c r="E169" s="79"/>
    </row>
    <row r="170" spans="2:5">
      <c r="B170" s="79"/>
      <c r="C170" s="79"/>
      <c r="D170" s="79"/>
      <c r="E170" s="79"/>
    </row>
    <row r="171" spans="2:5">
      <c r="B171" s="79"/>
      <c r="C171" s="79"/>
      <c r="D171" s="79"/>
      <c r="E171" s="79"/>
    </row>
    <row r="172" spans="2:5">
      <c r="B172" s="79"/>
      <c r="C172" s="79"/>
      <c r="D172" s="79"/>
      <c r="E172" s="79"/>
    </row>
    <row r="173" spans="2:5">
      <c r="B173" s="79"/>
      <c r="C173" s="79"/>
      <c r="D173" s="79"/>
      <c r="E173" s="79"/>
    </row>
    <row r="174" spans="2:5">
      <c r="B174" s="79"/>
      <c r="C174" s="79"/>
      <c r="D174" s="79"/>
      <c r="E174" s="79"/>
    </row>
    <row r="175" spans="2:5">
      <c r="B175" s="79"/>
      <c r="C175" s="79"/>
      <c r="D175" s="79"/>
      <c r="E175" s="79"/>
    </row>
    <row r="176" spans="2:5">
      <c r="B176" s="79"/>
      <c r="C176" s="79"/>
      <c r="D176" s="79"/>
      <c r="E176" s="79"/>
    </row>
    <row r="177" spans="2:5">
      <c r="B177" s="79"/>
      <c r="C177" s="79"/>
      <c r="D177" s="79"/>
      <c r="E177" s="79"/>
    </row>
    <row r="178" spans="2:5">
      <c r="B178" s="79"/>
      <c r="C178" s="79"/>
      <c r="D178" s="79"/>
      <c r="E178" s="79"/>
    </row>
    <row r="179" spans="2:5">
      <c r="B179" s="79"/>
      <c r="C179" s="79"/>
      <c r="D179" s="79"/>
      <c r="E179" s="79"/>
    </row>
    <row r="180" spans="2:5">
      <c r="B180" s="79"/>
      <c r="C180" s="79"/>
      <c r="D180" s="79"/>
      <c r="E180" s="79"/>
    </row>
    <row r="181" spans="2:5">
      <c r="B181" s="79"/>
      <c r="C181" s="79"/>
      <c r="D181" s="79"/>
      <c r="E181" s="79"/>
    </row>
    <row r="182" spans="2:5">
      <c r="B182" s="79"/>
      <c r="C182" s="79"/>
      <c r="D182" s="79"/>
      <c r="E182" s="79"/>
    </row>
    <row r="183" spans="2:5">
      <c r="B183" s="79"/>
      <c r="C183" s="79"/>
      <c r="D183" s="79"/>
      <c r="E183" s="79"/>
    </row>
    <row r="184" spans="2:5">
      <c r="B184" s="79"/>
      <c r="C184" s="79"/>
      <c r="D184" s="79"/>
      <c r="E184" s="79"/>
    </row>
    <row r="185" spans="2:5">
      <c r="B185" s="79"/>
      <c r="C185" s="79"/>
      <c r="D185" s="79"/>
      <c r="E185" s="79"/>
    </row>
    <row r="186" spans="2:5">
      <c r="B186" s="79"/>
      <c r="C186" s="79"/>
      <c r="D186" s="79"/>
      <c r="E186" s="79"/>
    </row>
    <row r="187" spans="2:5">
      <c r="B187" s="79"/>
      <c r="C187" s="79"/>
      <c r="D187" s="79"/>
      <c r="E187" s="79"/>
    </row>
    <row r="188" spans="2:5">
      <c r="B188" s="79"/>
      <c r="C188" s="79"/>
      <c r="D188" s="79"/>
      <c r="E188" s="79"/>
    </row>
    <row r="189" spans="2:5">
      <c r="B189" s="79"/>
      <c r="C189" s="79"/>
      <c r="D189" s="79"/>
      <c r="E189" s="79"/>
    </row>
    <row r="190" spans="2:5">
      <c r="B190" s="79"/>
      <c r="C190" s="79"/>
      <c r="D190" s="79"/>
      <c r="E190" s="79"/>
    </row>
    <row r="191" spans="2:5">
      <c r="B191" s="79"/>
      <c r="C191" s="79"/>
      <c r="D191" s="79"/>
      <c r="E191" s="79"/>
    </row>
    <row r="192" spans="2:5">
      <c r="B192" s="79"/>
      <c r="C192" s="79"/>
      <c r="D192" s="79"/>
      <c r="E192" s="79"/>
    </row>
    <row r="193" spans="2:5">
      <c r="B193" s="79"/>
      <c r="C193" s="79"/>
      <c r="D193" s="79"/>
      <c r="E193" s="79"/>
    </row>
    <row r="194" spans="2:5">
      <c r="B194" s="79"/>
      <c r="C194" s="79"/>
      <c r="D194" s="79"/>
      <c r="E194" s="79"/>
    </row>
    <row r="195" spans="2:5">
      <c r="B195" s="79"/>
      <c r="C195" s="79"/>
      <c r="D195" s="79"/>
      <c r="E195" s="79"/>
    </row>
    <row r="196" spans="2:5">
      <c r="B196" s="79"/>
      <c r="C196" s="79"/>
      <c r="D196" s="79"/>
      <c r="E196" s="79"/>
    </row>
    <row r="197" spans="2:5">
      <c r="B197" s="79"/>
      <c r="C197" s="79"/>
      <c r="D197" s="79"/>
      <c r="E197" s="79"/>
    </row>
    <row r="198" spans="2:5">
      <c r="B198" s="79"/>
      <c r="C198" s="79"/>
      <c r="D198" s="79"/>
      <c r="E198" s="79"/>
    </row>
    <row r="199" spans="2:5">
      <c r="B199" s="79"/>
      <c r="C199" s="79"/>
      <c r="D199" s="79"/>
      <c r="E199" s="79"/>
    </row>
    <row r="200" spans="2:5">
      <c r="B200" s="79"/>
      <c r="C200" s="79"/>
      <c r="D200" s="79"/>
      <c r="E200" s="79"/>
    </row>
    <row r="201" spans="2:5">
      <c r="B201" s="79"/>
      <c r="C201" s="79"/>
      <c r="D201" s="79"/>
      <c r="E201" s="79"/>
    </row>
    <row r="202" spans="2:5">
      <c r="B202" s="79"/>
      <c r="C202" s="79"/>
      <c r="D202" s="79"/>
      <c r="E202" s="79"/>
    </row>
    <row r="203" spans="2:5">
      <c r="B203" s="79"/>
      <c r="C203" s="79"/>
      <c r="D203" s="79"/>
      <c r="E203" s="79"/>
    </row>
    <row r="204" spans="2:5">
      <c r="B204" s="79"/>
      <c r="C204" s="79"/>
      <c r="D204" s="79"/>
      <c r="E204" s="79"/>
    </row>
    <row r="205" spans="2:5">
      <c r="B205" s="79"/>
      <c r="C205" s="79"/>
      <c r="D205" s="79"/>
      <c r="E205" s="79"/>
    </row>
    <row r="206" spans="2:5">
      <c r="B206" s="79"/>
      <c r="C206" s="79"/>
      <c r="D206" s="79"/>
      <c r="E206" s="79"/>
    </row>
    <row r="207" spans="2:5">
      <c r="B207" s="79"/>
      <c r="C207" s="79"/>
      <c r="D207" s="79"/>
      <c r="E207" s="79"/>
    </row>
    <row r="208" spans="2:5">
      <c r="B208" s="79"/>
      <c r="C208" s="79"/>
      <c r="D208" s="79"/>
      <c r="E208" s="79"/>
    </row>
    <row r="209" spans="2:5">
      <c r="B209" s="79"/>
      <c r="C209" s="79"/>
      <c r="D209" s="79"/>
      <c r="E209" s="79"/>
    </row>
    <row r="210" spans="2:5">
      <c r="B210" s="79"/>
      <c r="C210" s="79"/>
      <c r="D210" s="79"/>
      <c r="E210" s="79"/>
    </row>
    <row r="211" spans="2:5">
      <c r="B211" s="79"/>
      <c r="C211" s="79"/>
      <c r="D211" s="79"/>
      <c r="E211" s="79"/>
    </row>
    <row r="212" spans="2:5">
      <c r="B212" s="79"/>
      <c r="C212" s="79"/>
      <c r="D212" s="79"/>
      <c r="E212" s="79"/>
    </row>
    <row r="213" spans="2:5">
      <c r="B213" s="79"/>
      <c r="C213" s="79"/>
      <c r="D213" s="79"/>
      <c r="E213" s="79"/>
    </row>
    <row r="214" spans="2:5">
      <c r="B214" s="79"/>
      <c r="C214" s="79"/>
      <c r="D214" s="79"/>
      <c r="E214" s="79"/>
    </row>
    <row r="215" spans="2:5">
      <c r="B215" s="79"/>
      <c r="C215" s="79"/>
      <c r="D215" s="79"/>
      <c r="E215" s="79"/>
    </row>
    <row r="216" spans="2:5">
      <c r="B216" s="79"/>
      <c r="C216" s="79"/>
      <c r="D216" s="79"/>
      <c r="E216" s="79"/>
    </row>
    <row r="217" spans="2:5">
      <c r="B217" s="79"/>
      <c r="C217" s="79"/>
      <c r="D217" s="79"/>
      <c r="E217" s="79"/>
    </row>
    <row r="218" spans="2:5">
      <c r="B218" s="79"/>
      <c r="C218" s="79"/>
      <c r="D218" s="79"/>
      <c r="E218" s="79"/>
    </row>
    <row r="219" spans="2:5">
      <c r="B219" s="79"/>
      <c r="C219" s="79"/>
      <c r="D219" s="79"/>
      <c r="E219" s="79"/>
    </row>
    <row r="220" spans="2:5">
      <c r="B220" s="79"/>
      <c r="C220" s="79"/>
      <c r="D220" s="79"/>
      <c r="E220" s="79"/>
    </row>
    <row r="221" spans="2:5">
      <c r="B221" s="79"/>
      <c r="C221" s="79"/>
      <c r="D221" s="79"/>
      <c r="E221" s="79"/>
    </row>
    <row r="222" spans="2:5">
      <c r="B222" s="79"/>
      <c r="C222" s="79"/>
      <c r="D222" s="79"/>
      <c r="E222" s="79"/>
    </row>
    <row r="223" spans="2:5">
      <c r="B223" s="79"/>
      <c r="C223" s="79"/>
      <c r="D223" s="79"/>
      <c r="E223" s="79"/>
    </row>
    <row r="224" spans="2:5">
      <c r="B224" s="79"/>
      <c r="C224" s="79"/>
      <c r="D224" s="79"/>
      <c r="E224" s="79"/>
    </row>
    <row r="225" spans="2:5">
      <c r="B225" s="79"/>
      <c r="C225" s="79"/>
      <c r="D225" s="79"/>
      <c r="E225" s="79"/>
    </row>
    <row r="226" spans="2:5">
      <c r="B226" s="79"/>
      <c r="C226" s="79"/>
      <c r="D226" s="79"/>
      <c r="E226" s="79"/>
    </row>
    <row r="227" spans="2:5">
      <c r="B227" s="79"/>
      <c r="C227" s="79"/>
      <c r="D227" s="79"/>
      <c r="E227" s="79"/>
    </row>
    <row r="228" spans="2:5">
      <c r="B228" s="79"/>
      <c r="C228" s="79"/>
      <c r="D228" s="79"/>
      <c r="E228" s="79"/>
    </row>
    <row r="229" spans="2:5">
      <c r="B229" s="79"/>
      <c r="C229" s="79"/>
      <c r="D229" s="79"/>
      <c r="E229" s="79"/>
    </row>
    <row r="230" spans="2:5">
      <c r="B230" s="79"/>
      <c r="C230" s="79"/>
      <c r="D230" s="79"/>
      <c r="E230" s="79"/>
    </row>
    <row r="231" spans="2:5">
      <c r="B231" s="79"/>
      <c r="C231" s="79"/>
      <c r="D231" s="79"/>
      <c r="E231" s="79"/>
    </row>
    <row r="232" spans="2:5">
      <c r="B232" s="79"/>
      <c r="C232" s="79"/>
      <c r="D232" s="79"/>
      <c r="E232" s="79"/>
    </row>
    <row r="233" spans="2:5">
      <c r="B233" s="79"/>
      <c r="C233" s="79"/>
      <c r="D233" s="79"/>
      <c r="E233" s="79"/>
    </row>
    <row r="234" spans="2:5">
      <c r="B234" s="79"/>
      <c r="C234" s="79"/>
      <c r="D234" s="79"/>
      <c r="E234" s="79"/>
    </row>
    <row r="235" spans="2:5">
      <c r="B235" s="79"/>
      <c r="C235" s="79"/>
      <c r="D235" s="79"/>
      <c r="E235" s="79"/>
    </row>
    <row r="236" spans="2:5">
      <c r="B236" s="79"/>
      <c r="C236" s="79"/>
      <c r="D236" s="79"/>
      <c r="E236" s="79"/>
    </row>
    <row r="237" spans="2:5">
      <c r="B237" s="79"/>
      <c r="C237" s="79"/>
      <c r="D237" s="79"/>
      <c r="E237" s="79"/>
    </row>
    <row r="238" spans="2:5">
      <c r="B238" s="79"/>
      <c r="C238" s="79"/>
      <c r="D238" s="79"/>
      <c r="E238" s="79"/>
    </row>
    <row r="239" spans="2:5">
      <c r="B239" s="79"/>
      <c r="C239" s="79"/>
      <c r="D239" s="79"/>
      <c r="E239" s="79"/>
    </row>
    <row r="240" spans="2:5">
      <c r="B240" s="79"/>
      <c r="C240" s="79"/>
      <c r="D240" s="79"/>
      <c r="E240" s="79"/>
    </row>
    <row r="241" spans="3:5">
      <c r="C241" s="79"/>
      <c r="D241" s="79"/>
      <c r="E241" s="79"/>
    </row>
    <row r="242" spans="3:5">
      <c r="C242" s="79"/>
      <c r="D242" s="79"/>
      <c r="E242" s="79"/>
    </row>
    <row r="243" spans="3:5">
      <c r="C243" s="79"/>
      <c r="D243" s="79"/>
      <c r="E243" s="79"/>
    </row>
    <row r="244" spans="3:5">
      <c r="C244" s="79"/>
      <c r="D244" s="79"/>
      <c r="E244" s="79"/>
    </row>
    <row r="245" spans="3:5">
      <c r="C245" s="79"/>
      <c r="D245" s="79"/>
      <c r="E245" s="79"/>
    </row>
    <row r="246" spans="3:5">
      <c r="C246" s="79"/>
      <c r="D246" s="79"/>
      <c r="E246" s="79"/>
    </row>
    <row r="247" spans="3:5">
      <c r="C247" s="79"/>
      <c r="D247" s="79"/>
      <c r="E247" s="79"/>
    </row>
    <row r="248" spans="3:5">
      <c r="C248" s="79"/>
      <c r="D248" s="79"/>
      <c r="E248" s="79"/>
    </row>
    <row r="249" spans="3:5">
      <c r="C249" s="79"/>
      <c r="D249" s="79"/>
      <c r="E249" s="79"/>
    </row>
    <row r="250" spans="3:5">
      <c r="C250" s="79"/>
      <c r="D250" s="79"/>
      <c r="E250" s="79"/>
    </row>
    <row r="251" spans="3:5">
      <c r="C251" s="79"/>
      <c r="D251" s="79"/>
      <c r="E251" s="79"/>
    </row>
    <row r="252" spans="3:5">
      <c r="C252" s="79"/>
      <c r="D252" s="79"/>
      <c r="E252" s="79"/>
    </row>
    <row r="253" spans="3:5">
      <c r="C253" s="79"/>
      <c r="D253" s="79"/>
      <c r="E253" s="79"/>
    </row>
    <row r="254" spans="3:5">
      <c r="C254" s="79"/>
      <c r="D254" s="79"/>
      <c r="E254" s="79"/>
    </row>
    <row r="255" spans="3:5">
      <c r="C255" s="79"/>
      <c r="D255" s="79"/>
      <c r="E255" s="79"/>
    </row>
    <row r="256" spans="3:5">
      <c r="C256" s="79"/>
      <c r="D256" s="79"/>
      <c r="E256" s="79"/>
    </row>
    <row r="257" spans="3:5">
      <c r="C257" s="79"/>
      <c r="D257" s="79"/>
      <c r="E257" s="79"/>
    </row>
    <row r="258" spans="3:5">
      <c r="C258" s="79"/>
      <c r="D258" s="79"/>
      <c r="E258" s="79"/>
    </row>
    <row r="259" spans="3:5">
      <c r="C259" s="79"/>
      <c r="D259" s="79"/>
      <c r="E259" s="79"/>
    </row>
    <row r="260" spans="3:5">
      <c r="C260" s="79"/>
      <c r="D260" s="79"/>
      <c r="E260" s="79"/>
    </row>
    <row r="261" spans="3:5">
      <c r="C261" s="79"/>
      <c r="D261" s="79"/>
      <c r="E261" s="79"/>
    </row>
    <row r="262" spans="3:5">
      <c r="C262" s="79"/>
      <c r="D262" s="79"/>
      <c r="E262" s="79"/>
    </row>
    <row r="263" spans="3:5">
      <c r="C263" s="79"/>
      <c r="D263" s="79"/>
      <c r="E263" s="79"/>
    </row>
    <row r="264" spans="3:5">
      <c r="C264" s="79"/>
      <c r="D264" s="79"/>
      <c r="E264" s="79"/>
    </row>
    <row r="265" spans="3:5">
      <c r="C265" s="79"/>
      <c r="D265" s="79"/>
      <c r="E265" s="79"/>
    </row>
    <row r="266" spans="3:5">
      <c r="C266" s="79"/>
      <c r="D266" s="79"/>
      <c r="E266" s="79"/>
    </row>
    <row r="267" spans="3:5">
      <c r="C267" s="79"/>
      <c r="D267" s="79"/>
      <c r="E267" s="79"/>
    </row>
    <row r="268" spans="3:5">
      <c r="C268" s="79"/>
      <c r="D268" s="79"/>
      <c r="E268" s="79"/>
    </row>
    <row r="269" spans="3:5">
      <c r="C269" s="79"/>
      <c r="D269" s="79"/>
      <c r="E269" s="79"/>
    </row>
    <row r="270" spans="3:5">
      <c r="C270" s="79"/>
      <c r="D270" s="79"/>
      <c r="E270" s="79"/>
    </row>
    <row r="271" spans="3:5">
      <c r="C271" s="79"/>
      <c r="D271" s="79"/>
      <c r="E271" s="79"/>
    </row>
    <row r="272" spans="3:5">
      <c r="C272" s="79"/>
      <c r="D272" s="79"/>
      <c r="E272" s="79"/>
    </row>
    <row r="273" spans="3:5">
      <c r="C273" s="79"/>
      <c r="D273" s="79"/>
      <c r="E273" s="79"/>
    </row>
    <row r="274" spans="3:5">
      <c r="C274" s="79"/>
      <c r="D274" s="79"/>
      <c r="E274" s="79"/>
    </row>
    <row r="275" spans="3:5">
      <c r="C275" s="79"/>
      <c r="D275" s="79"/>
      <c r="E275" s="79"/>
    </row>
    <row r="276" spans="3:5">
      <c r="C276" s="79"/>
      <c r="D276" s="79"/>
      <c r="E276" s="79"/>
    </row>
    <row r="277" spans="3:5">
      <c r="C277" s="79"/>
      <c r="D277" s="79"/>
      <c r="E277" s="79"/>
    </row>
    <row r="278" spans="3:5">
      <c r="C278" s="79"/>
      <c r="D278" s="79"/>
      <c r="E278" s="79"/>
    </row>
    <row r="279" spans="3:5">
      <c r="C279" s="79"/>
      <c r="D279" s="79"/>
      <c r="E279" s="79"/>
    </row>
    <row r="280" spans="3:5">
      <c r="C280" s="79"/>
      <c r="D280" s="79"/>
      <c r="E280" s="79"/>
    </row>
    <row r="281" spans="3:5">
      <c r="C281" s="79"/>
      <c r="D281" s="79"/>
      <c r="E281" s="79"/>
    </row>
    <row r="282" spans="3:5">
      <c r="C282" s="79"/>
      <c r="D282" s="79"/>
      <c r="E282" s="79"/>
    </row>
    <row r="283" spans="3:5">
      <c r="C283" s="79"/>
      <c r="D283" s="79"/>
      <c r="E283" s="79"/>
    </row>
    <row r="284" spans="3:5">
      <c r="C284" s="79"/>
      <c r="D284" s="79"/>
      <c r="E284" s="79"/>
    </row>
    <row r="285" spans="3:5">
      <c r="C285" s="79"/>
      <c r="D285" s="79"/>
      <c r="E285" s="79"/>
    </row>
    <row r="286" spans="3:5">
      <c r="C286" s="79"/>
      <c r="D286" s="79"/>
      <c r="E286" s="79"/>
    </row>
    <row r="287" spans="3:5">
      <c r="C287" s="79"/>
      <c r="D287" s="79"/>
      <c r="E287" s="79"/>
    </row>
    <row r="288" spans="3:5">
      <c r="C288" s="79"/>
      <c r="D288" s="79"/>
      <c r="E288" s="79"/>
    </row>
    <row r="289" spans="3:5">
      <c r="C289" s="79"/>
      <c r="D289" s="79"/>
      <c r="E289" s="79"/>
    </row>
    <row r="290" spans="3:5">
      <c r="C290" s="79"/>
      <c r="D290" s="79"/>
      <c r="E290" s="79"/>
    </row>
    <row r="291" spans="3:5">
      <c r="C291" s="79"/>
      <c r="D291" s="79"/>
      <c r="E291" s="79"/>
    </row>
    <row r="292" spans="3:5">
      <c r="C292" s="79"/>
      <c r="D292" s="79"/>
      <c r="E292" s="79"/>
    </row>
    <row r="293" spans="3:5">
      <c r="C293" s="79"/>
      <c r="D293" s="79"/>
      <c r="E293" s="79"/>
    </row>
    <row r="294" spans="3:5">
      <c r="C294" s="79"/>
      <c r="D294" s="79"/>
      <c r="E294" s="79"/>
    </row>
    <row r="295" spans="3:5">
      <c r="C295" s="79"/>
      <c r="D295" s="79"/>
      <c r="E295" s="79"/>
    </row>
    <row r="296" spans="3:5">
      <c r="C296" s="79"/>
      <c r="D296" s="79"/>
      <c r="E296" s="79"/>
    </row>
    <row r="297" spans="3:5">
      <c r="C297" s="79"/>
      <c r="D297" s="79"/>
      <c r="E297" s="79"/>
    </row>
    <row r="298" spans="3:5">
      <c r="C298" s="79"/>
      <c r="D298" s="79"/>
      <c r="E298" s="79"/>
    </row>
    <row r="299" spans="3:5">
      <c r="C299" s="79"/>
      <c r="D299" s="79"/>
      <c r="E299" s="79"/>
    </row>
    <row r="300" spans="3:5">
      <c r="C300" s="79"/>
      <c r="D300" s="79"/>
      <c r="E300" s="79"/>
    </row>
    <row r="301" spans="3:5">
      <c r="C301" s="79"/>
      <c r="D301" s="79"/>
      <c r="E301" s="79"/>
    </row>
    <row r="302" spans="3:5">
      <c r="C302" s="79"/>
      <c r="D302" s="79"/>
      <c r="E302" s="79"/>
    </row>
    <row r="303" spans="3:5">
      <c r="C303" s="79"/>
      <c r="D303" s="79"/>
      <c r="E303" s="79"/>
    </row>
    <row r="304" spans="3:5">
      <c r="C304" s="79"/>
      <c r="D304" s="79"/>
      <c r="E304" s="79"/>
    </row>
    <row r="305" spans="3:5">
      <c r="C305" s="79"/>
      <c r="D305" s="79"/>
      <c r="E305" s="79"/>
    </row>
    <row r="306" spans="3:5">
      <c r="C306" s="79"/>
      <c r="D306" s="79"/>
      <c r="E306" s="79"/>
    </row>
    <row r="307" spans="3:5">
      <c r="C307" s="79"/>
      <c r="D307" s="79"/>
      <c r="E307" s="79"/>
    </row>
    <row r="308" spans="3:5">
      <c r="C308" s="79"/>
      <c r="D308" s="79"/>
      <c r="E308" s="79"/>
    </row>
    <row r="309" spans="3:5">
      <c r="C309" s="79"/>
      <c r="D309" s="79"/>
      <c r="E309" s="79"/>
    </row>
    <row r="310" spans="3:5">
      <c r="C310" s="79"/>
      <c r="D310" s="79"/>
      <c r="E310" s="79"/>
    </row>
    <row r="311" spans="3:5">
      <c r="C311" s="79"/>
      <c r="D311" s="79"/>
      <c r="E311" s="79"/>
    </row>
    <row r="312" spans="3:5">
      <c r="C312" s="79"/>
      <c r="D312" s="79"/>
      <c r="E312" s="79"/>
    </row>
    <row r="313" spans="3:5">
      <c r="C313" s="79"/>
      <c r="D313" s="79"/>
      <c r="E313" s="79"/>
    </row>
    <row r="314" spans="3:5">
      <c r="C314" s="79"/>
      <c r="D314" s="79"/>
      <c r="E314" s="79"/>
    </row>
    <row r="315" spans="3:5">
      <c r="C315" s="79"/>
      <c r="D315" s="79"/>
      <c r="E315" s="79"/>
    </row>
    <row r="316" spans="3:5">
      <c r="C316" s="79"/>
      <c r="D316" s="79"/>
      <c r="E316" s="79"/>
    </row>
    <row r="317" spans="3:5">
      <c r="C317" s="79"/>
      <c r="D317" s="79"/>
      <c r="E317" s="79"/>
    </row>
    <row r="318" spans="3:5">
      <c r="C318" s="79"/>
      <c r="D318" s="79"/>
      <c r="E318" s="79"/>
    </row>
    <row r="319" spans="3:5">
      <c r="C319" s="79"/>
      <c r="D319" s="79"/>
      <c r="E319" s="79"/>
    </row>
    <row r="320" spans="3:5">
      <c r="C320" s="79"/>
      <c r="D320" s="79"/>
      <c r="E320" s="79"/>
    </row>
    <row r="321" spans="3:5">
      <c r="C321" s="79"/>
      <c r="D321" s="79"/>
      <c r="E321" s="79"/>
    </row>
    <row r="322" spans="3:5">
      <c r="C322" s="79"/>
      <c r="D322" s="79"/>
      <c r="E322" s="79"/>
    </row>
    <row r="323" spans="3:5">
      <c r="C323" s="79"/>
      <c r="D323" s="79"/>
      <c r="E323" s="79"/>
    </row>
    <row r="324" spans="3:5">
      <c r="C324" s="79"/>
      <c r="D324" s="79"/>
      <c r="E324" s="79"/>
    </row>
    <row r="325" spans="3:5">
      <c r="C325" s="79"/>
      <c r="D325" s="79"/>
      <c r="E325" s="79"/>
    </row>
    <row r="326" spans="3:5">
      <c r="C326" s="79"/>
      <c r="D326" s="79"/>
      <c r="E326" s="79"/>
    </row>
    <row r="327" spans="3:5">
      <c r="C327" s="79"/>
      <c r="D327" s="79"/>
      <c r="E327" s="79"/>
    </row>
    <row r="328" spans="3:5">
      <c r="C328" s="79"/>
      <c r="D328" s="79"/>
      <c r="E328" s="79"/>
    </row>
    <row r="329" spans="3:5">
      <c r="C329" s="79"/>
      <c r="D329" s="79"/>
      <c r="E329" s="79"/>
    </row>
    <row r="330" spans="3:5">
      <c r="C330" s="79"/>
      <c r="D330" s="79"/>
      <c r="E330" s="79"/>
    </row>
    <row r="331" spans="3:5">
      <c r="C331" s="79"/>
      <c r="D331" s="79"/>
      <c r="E331" s="79"/>
    </row>
    <row r="332" spans="3:5">
      <c r="C332" s="79"/>
      <c r="D332" s="79"/>
      <c r="E332" s="79"/>
    </row>
    <row r="333" spans="3:5">
      <c r="C333" s="79"/>
      <c r="D333" s="79"/>
      <c r="E333" s="79"/>
    </row>
    <row r="334" spans="3:5">
      <c r="C334" s="79"/>
      <c r="D334" s="79"/>
      <c r="E334" s="79"/>
    </row>
    <row r="335" spans="3:5">
      <c r="C335" s="79"/>
      <c r="D335" s="79"/>
      <c r="E335" s="79"/>
    </row>
    <row r="336" spans="3:5">
      <c r="C336" s="79"/>
      <c r="D336" s="79"/>
      <c r="E336" s="79"/>
    </row>
    <row r="337" spans="3:5">
      <c r="C337" s="79"/>
      <c r="D337" s="79"/>
      <c r="E337" s="79"/>
    </row>
    <row r="338" spans="3:5">
      <c r="C338" s="79"/>
      <c r="D338" s="79"/>
      <c r="E338" s="79"/>
    </row>
    <row r="339" spans="3:5">
      <c r="C339" s="79"/>
      <c r="D339" s="79"/>
      <c r="E339" s="79"/>
    </row>
    <row r="340" spans="3:5">
      <c r="C340" s="79"/>
      <c r="D340" s="79"/>
      <c r="E340" s="79"/>
    </row>
    <row r="341" spans="3:5">
      <c r="C341" s="79"/>
      <c r="D341" s="79"/>
      <c r="E341" s="79"/>
    </row>
    <row r="342" spans="3:5">
      <c r="C342" s="79"/>
      <c r="D342" s="79"/>
      <c r="E342" s="79"/>
    </row>
    <row r="343" spans="3:5">
      <c r="C343" s="79"/>
      <c r="D343" s="79"/>
      <c r="E343" s="79"/>
    </row>
    <row r="344" spans="3:5">
      <c r="C344" s="79"/>
      <c r="D344" s="79"/>
      <c r="E344" s="79"/>
    </row>
    <row r="345" spans="3:5">
      <c r="C345" s="79"/>
      <c r="D345" s="79"/>
      <c r="E345" s="79"/>
    </row>
    <row r="346" spans="3:5">
      <c r="C346" s="79"/>
      <c r="D346" s="79"/>
      <c r="E346" s="79"/>
    </row>
    <row r="347" spans="3:5">
      <c r="C347" s="79"/>
      <c r="D347" s="79"/>
      <c r="E347" s="79"/>
    </row>
    <row r="348" spans="3:5">
      <c r="C348" s="79"/>
      <c r="D348" s="79"/>
      <c r="E348" s="79"/>
    </row>
    <row r="349" spans="3:5">
      <c r="C349" s="79"/>
      <c r="D349" s="79"/>
      <c r="E349" s="79"/>
    </row>
    <row r="350" spans="3:5">
      <c r="C350" s="79"/>
      <c r="D350" s="79"/>
      <c r="E350" s="79"/>
    </row>
    <row r="351" spans="3:5">
      <c r="C351" s="79"/>
      <c r="D351" s="79"/>
      <c r="E351" s="79"/>
    </row>
    <row r="352" spans="3:5">
      <c r="C352" s="79"/>
      <c r="D352" s="79"/>
      <c r="E352" s="79"/>
    </row>
    <row r="353" spans="3:5">
      <c r="C353" s="79"/>
      <c r="D353" s="79"/>
      <c r="E353" s="79"/>
    </row>
    <row r="354" spans="3:5">
      <c r="C354" s="79"/>
      <c r="D354" s="79"/>
      <c r="E354" s="79"/>
    </row>
    <row r="355" spans="3:5">
      <c r="C355" s="79"/>
      <c r="D355" s="79"/>
      <c r="E355" s="79"/>
    </row>
    <row r="356" spans="3:5">
      <c r="C356" s="79"/>
      <c r="D356" s="79"/>
      <c r="E356" s="79"/>
    </row>
    <row r="357" spans="3:5">
      <c r="C357" s="79"/>
      <c r="D357" s="79"/>
      <c r="E357" s="79"/>
    </row>
    <row r="358" spans="3:5">
      <c r="C358" s="79"/>
      <c r="D358" s="79"/>
      <c r="E358" s="79"/>
    </row>
    <row r="359" spans="3:5">
      <c r="C359" s="79"/>
      <c r="D359" s="79"/>
      <c r="E359" s="79"/>
    </row>
    <row r="360" spans="3:5">
      <c r="C360" s="79"/>
      <c r="D360" s="79"/>
      <c r="E360" s="7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opLeftCell="A2" workbookViewId="0">
      <selection sqref="A1:S31"/>
    </sheetView>
  </sheetViews>
  <sheetFormatPr defaultRowHeight="15"/>
  <cols>
    <col min="2" max="2" width="15.28515625" customWidth="1"/>
    <col min="3" max="3" width="12.85546875" customWidth="1"/>
    <col min="4" max="4" width="10.28515625" customWidth="1"/>
    <col min="6" max="6" width="13.5703125" customWidth="1"/>
    <col min="7" max="7" width="17.140625" customWidth="1"/>
    <col min="8" max="8" width="13.85546875" customWidth="1"/>
    <col min="9" max="9" width="12.5703125" customWidth="1"/>
    <col min="10" max="10" width="19.28515625" customWidth="1"/>
    <col min="11" max="11" width="15.28515625" customWidth="1"/>
    <col min="12" max="12" width="21.28515625" customWidth="1"/>
    <col min="13" max="13" width="9.85546875" customWidth="1"/>
    <col min="14" max="14" width="19.42578125" customWidth="1"/>
    <col min="15" max="15" width="11.28515625" customWidth="1"/>
    <col min="16" max="16" width="21.7109375" customWidth="1"/>
    <col min="17" max="17" width="17.28515625" customWidth="1"/>
    <col min="18" max="18" width="16.85546875" customWidth="1"/>
    <col min="19" max="19" width="21.28515625" customWidth="1"/>
  </cols>
  <sheetData>
    <row r="1" spans="1:19">
      <c r="A1" t="s">
        <v>1256</v>
      </c>
      <c r="B1" t="s">
        <v>1257</v>
      </c>
      <c r="C1" t="s">
        <v>1258</v>
      </c>
      <c r="D1" t="s">
        <v>1956</v>
      </c>
      <c r="E1" t="s">
        <v>312</v>
      </c>
      <c r="F1" t="s">
        <v>1259</v>
      </c>
      <c r="G1" t="s">
        <v>1260</v>
      </c>
      <c r="H1" t="s">
        <v>1261</v>
      </c>
      <c r="I1" t="s">
        <v>1262</v>
      </c>
      <c r="J1" t="s">
        <v>1263</v>
      </c>
      <c r="K1" t="s">
        <v>1264</v>
      </c>
      <c r="L1" t="s">
        <v>1265</v>
      </c>
      <c r="M1" t="s">
        <v>1266</v>
      </c>
      <c r="N1" t="s">
        <v>1267</v>
      </c>
      <c r="O1" t="s">
        <v>1268</v>
      </c>
      <c r="P1" t="s">
        <v>1269</v>
      </c>
      <c r="Q1" t="s">
        <v>1270</v>
      </c>
      <c r="R1" t="s">
        <v>1271</v>
      </c>
      <c r="S1" t="s">
        <v>1272</v>
      </c>
    </row>
    <row r="2" spans="1:19">
      <c r="A2" t="s">
        <v>1273</v>
      </c>
      <c r="B2" t="s">
        <v>1790</v>
      </c>
      <c r="C2" t="s">
        <v>794</v>
      </c>
      <c r="D2" t="s">
        <v>2077</v>
      </c>
      <c r="E2" t="s">
        <v>206</v>
      </c>
      <c r="F2" t="s">
        <v>205</v>
      </c>
      <c r="G2" t="s">
        <v>1791</v>
      </c>
      <c r="H2" t="s">
        <v>1792</v>
      </c>
      <c r="I2" t="s">
        <v>1768</v>
      </c>
      <c r="J2">
        <v>166639.43</v>
      </c>
      <c r="K2">
        <v>4476.43</v>
      </c>
      <c r="L2">
        <v>162163</v>
      </c>
      <c r="M2">
        <v>0</v>
      </c>
      <c r="N2">
        <v>6752.97</v>
      </c>
      <c r="O2">
        <v>0</v>
      </c>
      <c r="P2">
        <v>83817.7</v>
      </c>
      <c r="Q2">
        <v>7521.93</v>
      </c>
      <c r="R2">
        <v>98092.6</v>
      </c>
      <c r="S2">
        <v>57766.07</v>
      </c>
    </row>
    <row r="3" spans="1:19">
      <c r="A3" t="s">
        <v>1273</v>
      </c>
      <c r="B3" t="s">
        <v>1790</v>
      </c>
      <c r="C3" t="s">
        <v>794</v>
      </c>
      <c r="D3" t="s">
        <v>2077</v>
      </c>
      <c r="E3" t="s">
        <v>206</v>
      </c>
      <c r="F3" t="s">
        <v>205</v>
      </c>
      <c r="G3" t="s">
        <v>1213</v>
      </c>
      <c r="H3" t="s">
        <v>1212</v>
      </c>
      <c r="I3" t="s">
        <v>1768</v>
      </c>
      <c r="J3">
        <v>238417.25</v>
      </c>
      <c r="K3">
        <v>8774.25</v>
      </c>
      <c r="L3">
        <v>229643</v>
      </c>
      <c r="M3">
        <v>38297.71</v>
      </c>
      <c r="N3">
        <v>0</v>
      </c>
      <c r="O3">
        <v>0</v>
      </c>
      <c r="P3">
        <v>181759.72</v>
      </c>
      <c r="Q3">
        <v>9999.5400000000009</v>
      </c>
      <c r="R3">
        <v>230056.97</v>
      </c>
      <c r="S3">
        <v>5505.35</v>
      </c>
    </row>
    <row r="4" spans="1:19">
      <c r="A4" t="s">
        <v>1273</v>
      </c>
      <c r="B4" t="s">
        <v>1892</v>
      </c>
      <c r="C4" t="s">
        <v>219</v>
      </c>
      <c r="D4" t="s">
        <v>2077</v>
      </c>
      <c r="E4" t="s">
        <v>206</v>
      </c>
      <c r="F4" t="s">
        <v>205</v>
      </c>
      <c r="G4" t="s">
        <v>1893</v>
      </c>
      <c r="H4" t="s">
        <v>1894</v>
      </c>
      <c r="I4" t="s">
        <v>1895</v>
      </c>
      <c r="J4">
        <v>8500</v>
      </c>
      <c r="K4" t="s">
        <v>1275</v>
      </c>
      <c r="L4">
        <v>8500</v>
      </c>
      <c r="M4">
        <v>0</v>
      </c>
      <c r="N4">
        <v>0</v>
      </c>
      <c r="O4">
        <v>0</v>
      </c>
      <c r="P4">
        <v>7423.28</v>
      </c>
      <c r="Q4">
        <v>0</v>
      </c>
      <c r="R4">
        <v>7423.28</v>
      </c>
      <c r="S4">
        <v>481.72</v>
      </c>
    </row>
    <row r="5" spans="1:19">
      <c r="A5" t="s">
        <v>1273</v>
      </c>
      <c r="B5" t="s">
        <v>1767</v>
      </c>
      <c r="C5" t="s">
        <v>781</v>
      </c>
      <c r="D5" t="s">
        <v>2077</v>
      </c>
      <c r="E5" t="s">
        <v>206</v>
      </c>
      <c r="F5" t="s">
        <v>205</v>
      </c>
      <c r="G5" t="s">
        <v>1772</v>
      </c>
      <c r="H5" t="s">
        <v>1773</v>
      </c>
      <c r="I5" t="s">
        <v>1768</v>
      </c>
      <c r="J5">
        <v>63058</v>
      </c>
      <c r="K5" t="s">
        <v>1275</v>
      </c>
      <c r="L5">
        <v>63058</v>
      </c>
      <c r="M5">
        <v>2472.7600000000002</v>
      </c>
      <c r="N5">
        <v>0</v>
      </c>
      <c r="O5">
        <v>0</v>
      </c>
      <c r="P5">
        <v>14054.4</v>
      </c>
      <c r="Q5">
        <v>0</v>
      </c>
      <c r="R5">
        <v>16527.16</v>
      </c>
      <c r="S5">
        <v>42435.839999999997</v>
      </c>
    </row>
    <row r="6" spans="1:19">
      <c r="A6" t="s">
        <v>1273</v>
      </c>
      <c r="B6" t="s">
        <v>1836</v>
      </c>
      <c r="C6">
        <v>3850</v>
      </c>
      <c r="D6" t="s">
        <v>2077</v>
      </c>
      <c r="E6" t="s">
        <v>206</v>
      </c>
      <c r="F6" t="s">
        <v>205</v>
      </c>
      <c r="G6" t="s">
        <v>1837</v>
      </c>
      <c r="H6" t="s">
        <v>1838</v>
      </c>
      <c r="I6" t="s">
        <v>1833</v>
      </c>
      <c r="J6">
        <v>48000</v>
      </c>
      <c r="K6" t="s">
        <v>1275</v>
      </c>
      <c r="L6">
        <v>48000</v>
      </c>
      <c r="M6">
        <v>0</v>
      </c>
      <c r="N6">
        <v>0</v>
      </c>
      <c r="O6">
        <v>0</v>
      </c>
      <c r="P6">
        <v>45041.63</v>
      </c>
      <c r="Q6">
        <v>0</v>
      </c>
      <c r="R6">
        <v>45041.63</v>
      </c>
      <c r="S6">
        <v>0</v>
      </c>
    </row>
    <row r="7" spans="1:19">
      <c r="A7" t="s">
        <v>1273</v>
      </c>
      <c r="B7" t="s">
        <v>1093</v>
      </c>
      <c r="C7">
        <v>3181</v>
      </c>
      <c r="D7" t="s">
        <v>2077</v>
      </c>
      <c r="E7" t="s">
        <v>206</v>
      </c>
      <c r="F7" t="s">
        <v>205</v>
      </c>
      <c r="G7" t="s">
        <v>1765</v>
      </c>
      <c r="H7" t="s">
        <v>1766</v>
      </c>
      <c r="J7">
        <v>16000</v>
      </c>
      <c r="K7" t="s">
        <v>1275</v>
      </c>
      <c r="L7">
        <v>16000</v>
      </c>
      <c r="M7">
        <v>0</v>
      </c>
      <c r="N7">
        <v>0</v>
      </c>
      <c r="O7">
        <v>0</v>
      </c>
      <c r="P7">
        <v>14780.09</v>
      </c>
      <c r="Q7">
        <v>415</v>
      </c>
      <c r="R7">
        <v>15195.09</v>
      </c>
      <c r="S7">
        <v>-67.63</v>
      </c>
    </row>
    <row r="8" spans="1:19">
      <c r="A8" t="s">
        <v>1273</v>
      </c>
      <c r="B8" t="s">
        <v>1793</v>
      </c>
      <c r="C8" t="s">
        <v>1794</v>
      </c>
      <c r="D8" t="s">
        <v>2077</v>
      </c>
      <c r="E8" t="s">
        <v>206</v>
      </c>
      <c r="F8" t="s">
        <v>205</v>
      </c>
      <c r="G8" t="s">
        <v>1805</v>
      </c>
      <c r="H8" t="s">
        <v>1806</v>
      </c>
      <c r="I8" t="s">
        <v>1797</v>
      </c>
      <c r="J8">
        <v>799014</v>
      </c>
      <c r="K8" t="s">
        <v>1275</v>
      </c>
      <c r="L8">
        <v>799014</v>
      </c>
      <c r="M8">
        <v>0</v>
      </c>
      <c r="N8">
        <v>0</v>
      </c>
      <c r="O8">
        <v>0</v>
      </c>
      <c r="P8">
        <v>503485.84</v>
      </c>
      <c r="Q8">
        <v>0</v>
      </c>
      <c r="R8">
        <v>503485.84</v>
      </c>
      <c r="S8">
        <v>0.16</v>
      </c>
    </row>
    <row r="9" spans="1:19">
      <c r="A9" t="s">
        <v>1273</v>
      </c>
      <c r="B9" t="s">
        <v>1767</v>
      </c>
      <c r="C9" t="s">
        <v>781</v>
      </c>
      <c r="D9" t="s">
        <v>2077</v>
      </c>
      <c r="E9" t="s">
        <v>206</v>
      </c>
      <c r="F9" t="s">
        <v>205</v>
      </c>
      <c r="G9" t="s">
        <v>1770</v>
      </c>
      <c r="H9" t="s">
        <v>1771</v>
      </c>
      <c r="I9" t="s">
        <v>1768</v>
      </c>
      <c r="J9">
        <v>241079.65</v>
      </c>
      <c r="K9">
        <v>77401.649999999994</v>
      </c>
      <c r="L9">
        <v>163678</v>
      </c>
      <c r="M9">
        <v>0</v>
      </c>
      <c r="N9">
        <v>0</v>
      </c>
      <c r="O9">
        <v>0</v>
      </c>
      <c r="P9">
        <v>183334.39999999999</v>
      </c>
      <c r="Q9">
        <v>0</v>
      </c>
      <c r="R9">
        <v>183334.39999999999</v>
      </c>
      <c r="S9">
        <v>45387.79</v>
      </c>
    </row>
    <row r="10" spans="1:19">
      <c r="A10" t="s">
        <v>1273</v>
      </c>
      <c r="B10" t="s">
        <v>1793</v>
      </c>
      <c r="C10" t="s">
        <v>1794</v>
      </c>
      <c r="D10" t="s">
        <v>2077</v>
      </c>
      <c r="E10" t="s">
        <v>206</v>
      </c>
      <c r="F10" t="s">
        <v>205</v>
      </c>
      <c r="G10" t="s">
        <v>1803</v>
      </c>
      <c r="H10" t="s">
        <v>1804</v>
      </c>
      <c r="I10" t="s">
        <v>1797</v>
      </c>
      <c r="J10">
        <v>66000</v>
      </c>
      <c r="K10" t="s">
        <v>1275</v>
      </c>
      <c r="L10">
        <v>66000</v>
      </c>
      <c r="M10">
        <v>0</v>
      </c>
      <c r="N10">
        <v>0</v>
      </c>
      <c r="O10">
        <v>0</v>
      </c>
      <c r="P10">
        <v>66000</v>
      </c>
      <c r="Q10">
        <v>0</v>
      </c>
      <c r="R10">
        <v>66000</v>
      </c>
      <c r="S10">
        <v>0</v>
      </c>
    </row>
    <row r="11" spans="1:19">
      <c r="A11" t="s">
        <v>1273</v>
      </c>
      <c r="B11" t="s">
        <v>1807</v>
      </c>
      <c r="C11" t="s">
        <v>368</v>
      </c>
      <c r="D11" t="s">
        <v>2077</v>
      </c>
      <c r="E11" t="s">
        <v>206</v>
      </c>
      <c r="F11" t="s">
        <v>205</v>
      </c>
      <c r="G11" t="s">
        <v>1810</v>
      </c>
      <c r="H11" t="s">
        <v>1811</v>
      </c>
      <c r="I11" t="s">
        <v>1808</v>
      </c>
      <c r="J11">
        <v>138046.64000000001</v>
      </c>
      <c r="K11">
        <v>38046.639999999999</v>
      </c>
      <c r="L11">
        <v>100000</v>
      </c>
      <c r="M11">
        <v>0</v>
      </c>
      <c r="N11">
        <v>0</v>
      </c>
      <c r="O11">
        <v>0</v>
      </c>
      <c r="P11">
        <v>14535.24</v>
      </c>
      <c r="Q11">
        <v>39321</v>
      </c>
      <c r="R11">
        <v>53856.24</v>
      </c>
      <c r="S11">
        <v>77190.399999999994</v>
      </c>
    </row>
    <row r="12" spans="1:19">
      <c r="A12" t="s">
        <v>1273</v>
      </c>
      <c r="B12" t="s">
        <v>1776</v>
      </c>
      <c r="C12" t="s">
        <v>833</v>
      </c>
      <c r="D12" t="s">
        <v>2077</v>
      </c>
      <c r="E12" t="s">
        <v>206</v>
      </c>
      <c r="F12" t="s">
        <v>205</v>
      </c>
      <c r="G12" t="s">
        <v>1786</v>
      </c>
      <c r="H12" t="s">
        <v>1787</v>
      </c>
      <c r="I12" t="s">
        <v>1768</v>
      </c>
      <c r="J12">
        <v>47512.52</v>
      </c>
      <c r="K12">
        <v>1762.52</v>
      </c>
      <c r="L12">
        <v>45750</v>
      </c>
      <c r="M12">
        <v>0</v>
      </c>
      <c r="N12">
        <v>0</v>
      </c>
      <c r="O12">
        <v>0</v>
      </c>
      <c r="P12">
        <v>28531.66</v>
      </c>
      <c r="Q12">
        <v>0</v>
      </c>
      <c r="R12">
        <v>28531.66</v>
      </c>
      <c r="S12">
        <v>15778.36</v>
      </c>
    </row>
    <row r="13" spans="1:19">
      <c r="A13" t="s">
        <v>1273</v>
      </c>
      <c r="B13" t="s">
        <v>1776</v>
      </c>
      <c r="C13" t="s">
        <v>833</v>
      </c>
      <c r="D13" t="s">
        <v>2077</v>
      </c>
      <c r="E13" t="s">
        <v>206</v>
      </c>
      <c r="F13" t="s">
        <v>205</v>
      </c>
      <c r="G13" t="s">
        <v>1784</v>
      </c>
      <c r="H13" t="s">
        <v>1785</v>
      </c>
      <c r="I13" t="s">
        <v>1768</v>
      </c>
      <c r="J13">
        <v>101909.13</v>
      </c>
      <c r="K13">
        <v>9209.1299999999992</v>
      </c>
      <c r="L13">
        <v>92700</v>
      </c>
      <c r="M13">
        <v>0</v>
      </c>
      <c r="N13">
        <v>0</v>
      </c>
      <c r="O13">
        <v>0</v>
      </c>
      <c r="P13">
        <v>79384.19</v>
      </c>
      <c r="Q13">
        <v>0</v>
      </c>
      <c r="R13">
        <v>79384.19</v>
      </c>
      <c r="S13">
        <v>16035.94</v>
      </c>
    </row>
    <row r="14" spans="1:19">
      <c r="A14" t="s">
        <v>1273</v>
      </c>
      <c r="B14" t="s">
        <v>1776</v>
      </c>
      <c r="C14" t="s">
        <v>833</v>
      </c>
      <c r="D14" t="s">
        <v>2077</v>
      </c>
      <c r="E14" t="s">
        <v>206</v>
      </c>
      <c r="F14" t="s">
        <v>205</v>
      </c>
      <c r="G14" t="s">
        <v>1782</v>
      </c>
      <c r="H14" t="s">
        <v>1783</v>
      </c>
      <c r="I14" t="s">
        <v>1768</v>
      </c>
      <c r="J14">
        <v>242700</v>
      </c>
      <c r="K14">
        <v>2700</v>
      </c>
      <c r="L14">
        <v>240000</v>
      </c>
      <c r="M14">
        <v>0</v>
      </c>
      <c r="N14">
        <v>0</v>
      </c>
      <c r="O14">
        <v>0</v>
      </c>
      <c r="P14">
        <v>120671.57</v>
      </c>
      <c r="Q14">
        <v>0</v>
      </c>
      <c r="R14">
        <v>120671.57</v>
      </c>
      <c r="S14">
        <v>5228.43</v>
      </c>
    </row>
    <row r="15" spans="1:19">
      <c r="A15" t="s">
        <v>1273</v>
      </c>
      <c r="B15" t="s">
        <v>1776</v>
      </c>
      <c r="C15" t="s">
        <v>833</v>
      </c>
      <c r="D15" t="s">
        <v>2077</v>
      </c>
      <c r="E15" t="s">
        <v>206</v>
      </c>
      <c r="F15" t="s">
        <v>205</v>
      </c>
      <c r="G15" t="s">
        <v>1777</v>
      </c>
      <c r="H15" t="s">
        <v>1781</v>
      </c>
      <c r="I15" t="s">
        <v>1768</v>
      </c>
      <c r="J15">
        <v>357325.66</v>
      </c>
      <c r="K15">
        <v>48870.66</v>
      </c>
      <c r="L15">
        <v>308455</v>
      </c>
      <c r="M15">
        <v>0</v>
      </c>
      <c r="N15">
        <v>0</v>
      </c>
      <c r="O15">
        <v>0</v>
      </c>
      <c r="P15">
        <v>1032767.32</v>
      </c>
      <c r="Q15">
        <v>0</v>
      </c>
      <c r="R15">
        <v>1032767.32</v>
      </c>
      <c r="S15">
        <v>205785.47</v>
      </c>
    </row>
    <row r="16" spans="1:19">
      <c r="A16" t="s">
        <v>1273</v>
      </c>
      <c r="B16" t="s">
        <v>1776</v>
      </c>
      <c r="C16" t="s">
        <v>833</v>
      </c>
      <c r="D16" t="s">
        <v>2077</v>
      </c>
      <c r="E16" t="s">
        <v>206</v>
      </c>
      <c r="F16" t="s">
        <v>205</v>
      </c>
      <c r="G16" t="s">
        <v>1779</v>
      </c>
      <c r="H16" t="s">
        <v>1780</v>
      </c>
      <c r="I16" t="s">
        <v>1768</v>
      </c>
      <c r="J16">
        <v>273727.34000000003</v>
      </c>
      <c r="K16">
        <v>22727.34</v>
      </c>
      <c r="L16">
        <v>251000</v>
      </c>
      <c r="M16">
        <v>0</v>
      </c>
      <c r="N16">
        <v>0</v>
      </c>
      <c r="O16">
        <v>0</v>
      </c>
      <c r="P16">
        <v>164988.85999999999</v>
      </c>
      <c r="Q16">
        <v>0</v>
      </c>
      <c r="R16">
        <v>164988.85999999999</v>
      </c>
      <c r="S16">
        <v>91168.48</v>
      </c>
    </row>
    <row r="17" spans="1:19">
      <c r="A17" t="s">
        <v>1273</v>
      </c>
      <c r="B17" t="s">
        <v>1788</v>
      </c>
      <c r="C17" t="s">
        <v>818</v>
      </c>
      <c r="D17" t="s">
        <v>2077</v>
      </c>
      <c r="E17" t="s">
        <v>206</v>
      </c>
      <c r="F17" t="s">
        <v>205</v>
      </c>
      <c r="G17" t="s">
        <v>819</v>
      </c>
      <c r="H17" t="s">
        <v>1789</v>
      </c>
      <c r="I17" t="s">
        <v>1768</v>
      </c>
      <c r="J17">
        <v>117300.71</v>
      </c>
      <c r="K17">
        <v>5900.71</v>
      </c>
      <c r="L17">
        <v>111400</v>
      </c>
      <c r="M17">
        <v>15390</v>
      </c>
      <c r="N17">
        <v>0</v>
      </c>
      <c r="O17">
        <v>0</v>
      </c>
      <c r="P17">
        <v>105002.37</v>
      </c>
      <c r="Q17">
        <v>7424.4</v>
      </c>
      <c r="R17">
        <v>127816.77</v>
      </c>
      <c r="S17">
        <v>7075.94</v>
      </c>
    </row>
    <row r="18" spans="1:19">
      <c r="A18" t="s">
        <v>1273</v>
      </c>
      <c r="B18" t="s">
        <v>1774</v>
      </c>
      <c r="C18" t="s">
        <v>813</v>
      </c>
      <c r="D18" t="s">
        <v>2077</v>
      </c>
      <c r="E18" t="s">
        <v>206</v>
      </c>
      <c r="F18" t="s">
        <v>205</v>
      </c>
      <c r="G18" t="s">
        <v>814</v>
      </c>
      <c r="H18" t="s">
        <v>1775</v>
      </c>
      <c r="I18" t="s">
        <v>1768</v>
      </c>
      <c r="J18">
        <v>695552.03</v>
      </c>
      <c r="K18">
        <v>34088.03</v>
      </c>
      <c r="L18">
        <v>661464</v>
      </c>
      <c r="M18">
        <v>4860</v>
      </c>
      <c r="N18">
        <v>0</v>
      </c>
      <c r="O18">
        <v>0</v>
      </c>
      <c r="P18">
        <v>633937.4</v>
      </c>
      <c r="Q18">
        <v>46931.71</v>
      </c>
      <c r="R18">
        <v>685729.11</v>
      </c>
      <c r="S18">
        <v>882.12</v>
      </c>
    </row>
    <row r="19" spans="1:19">
      <c r="A19" t="s">
        <v>1273</v>
      </c>
      <c r="B19" t="s">
        <v>1790</v>
      </c>
      <c r="C19" t="s">
        <v>794</v>
      </c>
      <c r="D19" t="s">
        <v>2077</v>
      </c>
      <c r="E19" t="s">
        <v>206</v>
      </c>
      <c r="F19" t="s">
        <v>205</v>
      </c>
      <c r="G19" t="s">
        <v>795</v>
      </c>
      <c r="H19" t="s">
        <v>1204</v>
      </c>
      <c r="I19" t="s">
        <v>1768</v>
      </c>
      <c r="J19">
        <v>907815.03</v>
      </c>
      <c r="K19">
        <v>92246.03</v>
      </c>
      <c r="L19">
        <v>815569</v>
      </c>
      <c r="M19">
        <v>379957.29</v>
      </c>
      <c r="N19">
        <v>9356.99</v>
      </c>
      <c r="O19">
        <v>900</v>
      </c>
      <c r="P19">
        <v>387474.68</v>
      </c>
      <c r="Q19">
        <v>38257.08</v>
      </c>
      <c r="R19">
        <v>815946.04</v>
      </c>
      <c r="S19">
        <v>89775.22</v>
      </c>
    </row>
    <row r="20" spans="1:19">
      <c r="A20" t="s">
        <v>1273</v>
      </c>
      <c r="B20" t="s">
        <v>1767</v>
      </c>
      <c r="C20" t="s">
        <v>781</v>
      </c>
      <c r="D20" t="s">
        <v>2077</v>
      </c>
      <c r="E20" t="s">
        <v>206</v>
      </c>
      <c r="F20" t="s">
        <v>205</v>
      </c>
      <c r="G20" t="s">
        <v>1202</v>
      </c>
      <c r="H20" t="s">
        <v>1201</v>
      </c>
      <c r="I20" t="s">
        <v>1768</v>
      </c>
      <c r="J20">
        <v>98032.76</v>
      </c>
      <c r="K20">
        <v>12485.76</v>
      </c>
      <c r="L20">
        <v>85547</v>
      </c>
      <c r="M20">
        <v>12648.6</v>
      </c>
      <c r="N20">
        <v>0</v>
      </c>
      <c r="O20">
        <v>0</v>
      </c>
      <c r="P20">
        <v>38660.79</v>
      </c>
      <c r="Q20">
        <v>11695.73</v>
      </c>
      <c r="R20">
        <v>63005.120000000003</v>
      </c>
      <c r="S20">
        <v>41687.949999999997</v>
      </c>
    </row>
    <row r="21" spans="1:19">
      <c r="A21" t="s">
        <v>1273</v>
      </c>
      <c r="B21" t="s">
        <v>1793</v>
      </c>
      <c r="C21" t="s">
        <v>1794</v>
      </c>
      <c r="D21" t="s">
        <v>2077</v>
      </c>
      <c r="E21" t="s">
        <v>206</v>
      </c>
      <c r="F21" t="s">
        <v>205</v>
      </c>
      <c r="G21" t="s">
        <v>1801</v>
      </c>
      <c r="H21" t="s">
        <v>1802</v>
      </c>
      <c r="I21" t="s">
        <v>1797</v>
      </c>
      <c r="J21">
        <v>62196.01</v>
      </c>
      <c r="K21">
        <v>17196.009999999998</v>
      </c>
      <c r="L21">
        <v>45000</v>
      </c>
      <c r="M21">
        <v>0</v>
      </c>
      <c r="N21">
        <v>0</v>
      </c>
      <c r="O21">
        <v>0</v>
      </c>
      <c r="P21">
        <v>29274.83</v>
      </c>
      <c r="Q21">
        <v>10827.5</v>
      </c>
      <c r="R21">
        <v>40102.33</v>
      </c>
      <c r="S21">
        <v>18943.68</v>
      </c>
    </row>
    <row r="22" spans="1:19">
      <c r="A22" t="s">
        <v>1273</v>
      </c>
      <c r="B22" t="s">
        <v>1793</v>
      </c>
      <c r="C22" t="s">
        <v>1794</v>
      </c>
      <c r="D22" t="s">
        <v>2077</v>
      </c>
      <c r="E22" t="s">
        <v>206</v>
      </c>
      <c r="F22" t="s">
        <v>205</v>
      </c>
      <c r="G22" t="s">
        <v>1799</v>
      </c>
      <c r="H22" t="s">
        <v>1800</v>
      </c>
      <c r="I22" t="s">
        <v>1797</v>
      </c>
      <c r="J22">
        <v>0</v>
      </c>
      <c r="K22" t="s">
        <v>1275</v>
      </c>
      <c r="L22">
        <v>0</v>
      </c>
      <c r="M22">
        <v>0</v>
      </c>
      <c r="N22">
        <v>0</v>
      </c>
      <c r="O22">
        <v>0</v>
      </c>
      <c r="P22">
        <v>0</v>
      </c>
      <c r="Q22">
        <v>3006.33</v>
      </c>
      <c r="R22">
        <v>3006.33</v>
      </c>
      <c r="S22">
        <v>639.66999999999996</v>
      </c>
    </row>
    <row r="23" spans="1:19">
      <c r="A23" t="s">
        <v>1273</v>
      </c>
      <c r="B23" t="s">
        <v>1776</v>
      </c>
      <c r="C23" t="s">
        <v>833</v>
      </c>
      <c r="D23" t="s">
        <v>2077</v>
      </c>
      <c r="E23" t="s">
        <v>202</v>
      </c>
      <c r="F23" t="s">
        <v>201</v>
      </c>
      <c r="G23" t="s">
        <v>1777</v>
      </c>
      <c r="H23" t="s">
        <v>1778</v>
      </c>
      <c r="I23" t="s">
        <v>1768</v>
      </c>
      <c r="J23">
        <v>498383</v>
      </c>
      <c r="K23" t="s">
        <v>1275</v>
      </c>
      <c r="L23">
        <v>498383</v>
      </c>
      <c r="M23">
        <v>0</v>
      </c>
      <c r="N23">
        <v>0</v>
      </c>
      <c r="O23">
        <v>0</v>
      </c>
      <c r="P23">
        <v>116654.88</v>
      </c>
      <c r="Q23">
        <v>0</v>
      </c>
      <c r="R23">
        <v>116654.88</v>
      </c>
      <c r="S23">
        <v>-112725.16</v>
      </c>
    </row>
    <row r="24" spans="1:19">
      <c r="A24" t="s">
        <v>1273</v>
      </c>
      <c r="B24" t="s">
        <v>1776</v>
      </c>
      <c r="C24" t="s">
        <v>833</v>
      </c>
      <c r="D24" t="s">
        <v>2077</v>
      </c>
      <c r="E24" t="s">
        <v>166</v>
      </c>
      <c r="F24" t="s">
        <v>165</v>
      </c>
      <c r="G24" t="s">
        <v>1777</v>
      </c>
      <c r="H24" t="s">
        <v>1778</v>
      </c>
      <c r="I24" t="s">
        <v>1768</v>
      </c>
      <c r="J24">
        <v>404158.91</v>
      </c>
      <c r="K24">
        <v>211.91</v>
      </c>
      <c r="L24">
        <v>403947</v>
      </c>
      <c r="M24">
        <v>0</v>
      </c>
      <c r="N24">
        <v>0</v>
      </c>
      <c r="O24">
        <v>0</v>
      </c>
      <c r="P24">
        <v>-92.37</v>
      </c>
      <c r="Q24">
        <v>0</v>
      </c>
      <c r="R24">
        <v>-92.37</v>
      </c>
      <c r="S24">
        <v>304.27999999999997</v>
      </c>
    </row>
    <row r="25" spans="1:19">
      <c r="A25" t="s">
        <v>1273</v>
      </c>
      <c r="B25" t="s">
        <v>1776</v>
      </c>
      <c r="C25" t="s">
        <v>833</v>
      </c>
      <c r="D25" t="s">
        <v>2077</v>
      </c>
      <c r="E25" t="s">
        <v>166</v>
      </c>
      <c r="F25" t="s">
        <v>165</v>
      </c>
      <c r="G25" t="s">
        <v>834</v>
      </c>
      <c r="H25" t="s">
        <v>832</v>
      </c>
      <c r="I25" t="s">
        <v>1768</v>
      </c>
      <c r="J25">
        <v>224171</v>
      </c>
      <c r="K25" t="s">
        <v>1275</v>
      </c>
      <c r="L25">
        <v>224171</v>
      </c>
      <c r="M25">
        <v>190482.33</v>
      </c>
      <c r="N25">
        <v>0</v>
      </c>
      <c r="O25">
        <v>420</v>
      </c>
      <c r="P25">
        <v>17192.189999999999</v>
      </c>
      <c r="Q25">
        <v>0</v>
      </c>
      <c r="R25">
        <v>208094.52</v>
      </c>
      <c r="S25">
        <v>13096.48</v>
      </c>
    </row>
    <row r="26" spans="1:19">
      <c r="A26" t="s">
        <v>1273</v>
      </c>
      <c r="B26" t="s">
        <v>1788</v>
      </c>
      <c r="C26" t="s">
        <v>818</v>
      </c>
      <c r="D26" t="s">
        <v>2077</v>
      </c>
      <c r="E26" t="s">
        <v>166</v>
      </c>
      <c r="F26" t="s">
        <v>165</v>
      </c>
      <c r="G26" t="s">
        <v>819</v>
      </c>
      <c r="H26" t="s">
        <v>817</v>
      </c>
      <c r="I26" t="s">
        <v>1768</v>
      </c>
      <c r="J26">
        <v>394584</v>
      </c>
      <c r="K26" t="s">
        <v>1275</v>
      </c>
      <c r="L26">
        <v>394584</v>
      </c>
      <c r="M26">
        <v>367778.52</v>
      </c>
      <c r="N26">
        <v>12874.59</v>
      </c>
      <c r="O26">
        <v>0</v>
      </c>
      <c r="P26">
        <v>0</v>
      </c>
      <c r="Q26">
        <v>0</v>
      </c>
      <c r="R26">
        <v>380653.11</v>
      </c>
      <c r="S26">
        <v>1932.85</v>
      </c>
    </row>
    <row r="27" spans="1:19">
      <c r="A27" t="s">
        <v>1273</v>
      </c>
      <c r="B27" t="s">
        <v>1774</v>
      </c>
      <c r="C27" t="s">
        <v>813</v>
      </c>
      <c r="D27" t="s">
        <v>2077</v>
      </c>
      <c r="E27" t="s">
        <v>166</v>
      </c>
      <c r="F27" t="s">
        <v>165</v>
      </c>
      <c r="G27" t="s">
        <v>814</v>
      </c>
      <c r="H27" t="s">
        <v>812</v>
      </c>
      <c r="I27" t="s">
        <v>1768</v>
      </c>
      <c r="J27">
        <v>91037</v>
      </c>
      <c r="K27" t="s">
        <v>1275</v>
      </c>
      <c r="L27">
        <v>91037</v>
      </c>
      <c r="M27">
        <v>51055.5</v>
      </c>
      <c r="N27">
        <v>0</v>
      </c>
      <c r="O27">
        <v>900</v>
      </c>
      <c r="P27">
        <v>0</v>
      </c>
      <c r="Q27">
        <v>0</v>
      </c>
      <c r="R27">
        <v>51955.5</v>
      </c>
      <c r="S27">
        <v>3522.5</v>
      </c>
    </row>
    <row r="28" spans="1:19">
      <c r="A28" t="s">
        <v>1273</v>
      </c>
      <c r="B28" t="s">
        <v>1790</v>
      </c>
      <c r="C28" t="s">
        <v>794</v>
      </c>
      <c r="D28" t="s">
        <v>2077</v>
      </c>
      <c r="E28" t="s">
        <v>166</v>
      </c>
      <c r="F28" t="s">
        <v>165</v>
      </c>
      <c r="G28" t="s">
        <v>795</v>
      </c>
      <c r="H28" t="s">
        <v>793</v>
      </c>
      <c r="I28" t="s">
        <v>1768</v>
      </c>
      <c r="J28">
        <v>513680</v>
      </c>
      <c r="K28" t="s">
        <v>1275</v>
      </c>
      <c r="L28">
        <v>513680</v>
      </c>
      <c r="M28">
        <v>504117.58</v>
      </c>
      <c r="N28">
        <v>0</v>
      </c>
      <c r="O28">
        <v>1740</v>
      </c>
      <c r="P28">
        <v>0</v>
      </c>
      <c r="Q28">
        <v>0</v>
      </c>
      <c r="R28">
        <v>505857.58</v>
      </c>
      <c r="S28">
        <v>2430.42</v>
      </c>
    </row>
    <row r="29" spans="1:19">
      <c r="A29" t="s">
        <v>1273</v>
      </c>
      <c r="B29" t="s">
        <v>1793</v>
      </c>
      <c r="C29" t="s">
        <v>1794</v>
      </c>
      <c r="D29" t="s">
        <v>2077</v>
      </c>
      <c r="E29" t="s">
        <v>166</v>
      </c>
      <c r="F29" t="s">
        <v>165</v>
      </c>
      <c r="G29" t="s">
        <v>1795</v>
      </c>
      <c r="H29" t="s">
        <v>1796</v>
      </c>
      <c r="I29" t="s">
        <v>1797</v>
      </c>
      <c r="J29">
        <v>20100.7</v>
      </c>
      <c r="K29">
        <v>1000.7</v>
      </c>
      <c r="L29">
        <v>19100</v>
      </c>
      <c r="M29">
        <v>0</v>
      </c>
      <c r="N29">
        <v>0</v>
      </c>
      <c r="O29">
        <v>0</v>
      </c>
      <c r="P29">
        <v>14873.5</v>
      </c>
      <c r="Q29">
        <v>285.41000000000003</v>
      </c>
      <c r="R29">
        <v>15158.91</v>
      </c>
      <c r="S29">
        <v>3604.79</v>
      </c>
    </row>
    <row r="30" spans="1:19">
      <c r="A30" t="s">
        <v>1273</v>
      </c>
      <c r="B30" t="s">
        <v>1767</v>
      </c>
      <c r="C30" t="s">
        <v>781</v>
      </c>
      <c r="D30" t="s">
        <v>2077</v>
      </c>
      <c r="E30" t="s">
        <v>166</v>
      </c>
      <c r="F30" t="s">
        <v>165</v>
      </c>
      <c r="G30" t="s">
        <v>1202</v>
      </c>
      <c r="H30" t="s">
        <v>1769</v>
      </c>
      <c r="I30" t="s">
        <v>1768</v>
      </c>
      <c r="J30">
        <v>7460</v>
      </c>
      <c r="K30" t="s">
        <v>1275</v>
      </c>
      <c r="L30">
        <v>7460</v>
      </c>
      <c r="M30">
        <v>0</v>
      </c>
      <c r="N30">
        <v>7108.8</v>
      </c>
      <c r="O30">
        <v>0</v>
      </c>
      <c r="P30">
        <v>0</v>
      </c>
      <c r="Q30">
        <v>0</v>
      </c>
      <c r="R30">
        <v>7108.8</v>
      </c>
      <c r="S30">
        <v>202</v>
      </c>
    </row>
    <row r="31" spans="1:19">
      <c r="A31" t="s">
        <v>1273</v>
      </c>
      <c r="B31" t="s">
        <v>1767</v>
      </c>
      <c r="C31" t="s">
        <v>781</v>
      </c>
      <c r="D31" t="s">
        <v>2077</v>
      </c>
      <c r="E31" t="s">
        <v>166</v>
      </c>
      <c r="F31" t="s">
        <v>165</v>
      </c>
      <c r="G31" t="s">
        <v>782</v>
      </c>
      <c r="H31" t="s">
        <v>780</v>
      </c>
      <c r="I31" t="s">
        <v>1768</v>
      </c>
      <c r="J31">
        <v>231514</v>
      </c>
      <c r="K31">
        <v>15</v>
      </c>
      <c r="L31">
        <v>231499</v>
      </c>
      <c r="M31">
        <v>189310.55</v>
      </c>
      <c r="N31">
        <v>22506.86</v>
      </c>
      <c r="O31">
        <v>1320</v>
      </c>
      <c r="P31">
        <v>3696.49</v>
      </c>
      <c r="Q31">
        <v>0</v>
      </c>
      <c r="R31">
        <v>216833.9</v>
      </c>
      <c r="S31">
        <v>5120.79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355"/>
  <sheetViews>
    <sheetView workbookViewId="0">
      <selection activeCell="B13" sqref="B13"/>
    </sheetView>
  </sheetViews>
  <sheetFormatPr defaultRowHeight="15"/>
  <cols>
    <col min="1" max="1" width="13.140625" style="79" customWidth="1"/>
    <col min="2" max="2" width="23.140625" style="90" customWidth="1"/>
    <col min="3" max="3" width="28.140625" style="90" customWidth="1"/>
    <col min="4" max="4" width="17.5703125" style="90" customWidth="1"/>
    <col min="5" max="5" width="13.28515625" style="90" customWidth="1"/>
    <col min="6" max="6" width="13.28515625" style="79" bestFit="1" customWidth="1"/>
    <col min="7" max="7" width="32.140625" style="79" bestFit="1" customWidth="1"/>
    <col min="8" max="8" width="34.42578125" style="79" bestFit="1" customWidth="1"/>
    <col min="9" max="9" width="31.140625" style="79" bestFit="1" customWidth="1"/>
    <col min="10" max="10" width="13.28515625" style="79" bestFit="1" customWidth="1"/>
    <col min="11" max="11" width="13.7109375" style="79" bestFit="1" customWidth="1"/>
    <col min="12" max="12" width="16.5703125" style="79" bestFit="1" customWidth="1"/>
    <col min="13" max="13" width="19.7109375" style="79" bestFit="1" customWidth="1"/>
    <col min="14" max="14" width="29.42578125" style="79" bestFit="1" customWidth="1"/>
    <col min="15" max="15" width="29.7109375" style="79" bestFit="1" customWidth="1"/>
    <col min="16" max="16" width="26.28515625" style="79" bestFit="1" customWidth="1"/>
    <col min="17" max="17" width="32.140625" style="79" bestFit="1" customWidth="1"/>
    <col min="18" max="18" width="36.85546875" style="79" bestFit="1" customWidth="1"/>
    <col min="19" max="19" width="29.85546875" style="79" bestFit="1" customWidth="1"/>
    <col min="20" max="20" width="13.28515625" style="79" bestFit="1" customWidth="1"/>
    <col min="21" max="21" width="24.85546875" style="79" bestFit="1" customWidth="1"/>
    <col min="22" max="22" width="34.28515625" style="79" bestFit="1" customWidth="1"/>
    <col min="23" max="23" width="31.42578125" style="79" bestFit="1" customWidth="1"/>
    <col min="24" max="24" width="23.5703125" style="79" bestFit="1" customWidth="1"/>
    <col min="25" max="25" width="24.5703125" style="79" bestFit="1" customWidth="1"/>
    <col min="26" max="26" width="31.42578125" style="79" bestFit="1" customWidth="1"/>
    <col min="27" max="27" width="23.42578125" style="79" bestFit="1" customWidth="1"/>
    <col min="28" max="28" width="24.7109375" style="79" bestFit="1" customWidth="1"/>
    <col min="29" max="29" width="28.7109375" style="79" bestFit="1" customWidth="1"/>
    <col min="30" max="30" width="29.28515625" style="79" bestFit="1" customWidth="1"/>
    <col min="31" max="31" width="12.28515625" style="79" bestFit="1" customWidth="1"/>
    <col min="32" max="32" width="19.85546875" style="79" bestFit="1" customWidth="1"/>
    <col min="33" max="33" width="11.5703125" style="79" bestFit="1" customWidth="1"/>
    <col min="34" max="34" width="15.28515625" style="79" bestFit="1" customWidth="1"/>
    <col min="35" max="35" width="16.85546875" style="79" bestFit="1" customWidth="1"/>
    <col min="36" max="36" width="21.140625" style="79" bestFit="1" customWidth="1"/>
    <col min="37" max="37" width="29.28515625" style="79" bestFit="1" customWidth="1"/>
    <col min="38" max="38" width="16.7109375" style="79" bestFit="1" customWidth="1"/>
    <col min="39" max="39" width="28.140625" style="79" bestFit="1" customWidth="1"/>
    <col min="40" max="40" width="11.5703125" style="79" bestFit="1" customWidth="1"/>
    <col min="41" max="41" width="12.7109375" style="79" bestFit="1" customWidth="1"/>
    <col min="42" max="42" width="26.7109375" style="79" bestFit="1" customWidth="1"/>
    <col min="43" max="43" width="22.140625" style="79" bestFit="1" customWidth="1"/>
    <col min="44" max="44" width="33.42578125" style="79" bestFit="1" customWidth="1"/>
    <col min="45" max="45" width="18" style="79" bestFit="1" customWidth="1"/>
    <col min="46" max="46" width="22.28515625" style="79" bestFit="1" customWidth="1"/>
    <col min="47" max="47" width="33.28515625" style="79" bestFit="1" customWidth="1"/>
    <col min="48" max="48" width="22.140625" style="79" bestFit="1" customWidth="1"/>
    <col min="49" max="49" width="11.5703125" style="79" bestFit="1" customWidth="1"/>
    <col min="50" max="50" width="19.5703125" style="79" bestFit="1" customWidth="1"/>
    <col min="51" max="51" width="15" style="79" bestFit="1" customWidth="1"/>
    <col min="52" max="52" width="15.85546875" style="79" bestFit="1" customWidth="1"/>
    <col min="53" max="53" width="11.5703125" style="79" bestFit="1" customWidth="1"/>
    <col min="54" max="54" width="15.42578125" style="79" bestFit="1" customWidth="1"/>
    <col min="55" max="55" width="23.5703125" style="79" bestFit="1" customWidth="1"/>
    <col min="56" max="56" width="11.5703125" style="79" bestFit="1" customWidth="1"/>
    <col min="57" max="57" width="10.5703125" style="79" bestFit="1" customWidth="1"/>
    <col min="58" max="58" width="17" style="79" bestFit="1" customWidth="1"/>
    <col min="59" max="59" width="31.28515625" style="79" bestFit="1" customWidth="1"/>
    <col min="60" max="60" width="32.42578125" style="79" bestFit="1" customWidth="1"/>
    <col min="61" max="61" width="35.5703125" style="79" bestFit="1" customWidth="1"/>
    <col min="62" max="62" width="24.7109375" style="79" bestFit="1" customWidth="1"/>
    <col min="63" max="63" width="16.28515625" style="79" bestFit="1" customWidth="1"/>
    <col min="64" max="64" width="30.140625" style="79" bestFit="1" customWidth="1"/>
    <col min="65" max="65" width="33.85546875" style="79" bestFit="1" customWidth="1"/>
    <col min="66" max="66" width="30.28515625" style="79" bestFit="1" customWidth="1"/>
    <col min="67" max="67" width="15" style="79" bestFit="1" customWidth="1"/>
    <col min="68" max="68" width="18.28515625" style="79" bestFit="1" customWidth="1"/>
    <col min="69" max="69" width="20" style="79" bestFit="1" customWidth="1"/>
    <col min="70" max="70" width="31.28515625" style="79" bestFit="1" customWidth="1"/>
    <col min="71" max="71" width="17.42578125" style="79" bestFit="1" customWidth="1"/>
    <col min="72" max="72" width="12.140625" style="79" bestFit="1" customWidth="1"/>
    <col min="73" max="73" width="15" style="79" bestFit="1" customWidth="1"/>
    <col min="74" max="74" width="16.140625" style="79" bestFit="1" customWidth="1"/>
    <col min="75" max="75" width="31.42578125" style="79" bestFit="1" customWidth="1"/>
    <col min="76" max="76" width="31" style="79" bestFit="1" customWidth="1"/>
    <col min="77" max="77" width="16.140625" style="79" bestFit="1" customWidth="1"/>
    <col min="78" max="78" width="28.7109375" style="79" bestFit="1" customWidth="1"/>
    <col min="79" max="79" width="30.5703125" style="79" bestFit="1" customWidth="1"/>
    <col min="80" max="80" width="34" style="79" bestFit="1" customWidth="1"/>
    <col min="81" max="81" width="14.28515625" style="79" bestFit="1" customWidth="1"/>
    <col min="82" max="16384" width="9.140625" style="79"/>
  </cols>
  <sheetData>
    <row r="1" spans="1:5">
      <c r="A1" s="119" t="s">
        <v>1256</v>
      </c>
      <c r="B1" s="79" t="s">
        <v>1273</v>
      </c>
      <c r="C1" s="79"/>
      <c r="D1" s="79" t="s">
        <v>2078</v>
      </c>
      <c r="E1" s="79"/>
    </row>
    <row r="2" spans="1:5">
      <c r="A2" s="119" t="s">
        <v>1261</v>
      </c>
      <c r="B2" s="79" t="s">
        <v>2066</v>
      </c>
      <c r="C2" s="79"/>
      <c r="D2" s="79" t="s">
        <v>2079</v>
      </c>
      <c r="E2" s="79"/>
    </row>
    <row r="3" spans="1:5">
      <c r="C3" s="79"/>
      <c r="D3" s="79" t="s">
        <v>2080</v>
      </c>
      <c r="E3" s="79"/>
    </row>
    <row r="4" spans="1:5">
      <c r="A4" s="119" t="s">
        <v>1246</v>
      </c>
      <c r="B4" s="94" t="s">
        <v>1959</v>
      </c>
      <c r="C4"/>
      <c r="D4" s="79" t="s">
        <v>2081</v>
      </c>
      <c r="E4" s="79"/>
    </row>
    <row r="5" spans="1:5">
      <c r="A5" s="120" t="s">
        <v>1249</v>
      </c>
      <c r="B5" s="94">
        <v>1767758.31</v>
      </c>
      <c r="C5"/>
      <c r="D5" s="79" t="s">
        <v>2082</v>
      </c>
      <c r="E5" s="79"/>
    </row>
    <row r="6" spans="1:5">
      <c r="A6" s="120" t="s">
        <v>1250</v>
      </c>
      <c r="B6" s="94">
        <v>24951387.01000002</v>
      </c>
      <c r="C6"/>
      <c r="D6" s="79" t="s">
        <v>2083</v>
      </c>
      <c r="E6" s="79"/>
    </row>
    <row r="7" spans="1:5">
      <c r="A7" s="120" t="s">
        <v>1251</v>
      </c>
      <c r="B7" s="94">
        <v>13064219.670000002</v>
      </c>
      <c r="C7"/>
      <c r="D7" s="79" t="s">
        <v>2084</v>
      </c>
      <c r="E7" s="79"/>
    </row>
    <row r="8" spans="1:5">
      <c r="A8" s="120" t="s">
        <v>1957</v>
      </c>
      <c r="B8" s="94">
        <v>244753.55</v>
      </c>
      <c r="C8"/>
      <c r="D8" s="79" t="s">
        <v>2085</v>
      </c>
      <c r="E8" s="79"/>
    </row>
    <row r="9" spans="1:5">
      <c r="A9" s="120" t="s">
        <v>1252</v>
      </c>
      <c r="B9" s="94">
        <v>2649386.4</v>
      </c>
      <c r="C9"/>
      <c r="D9" s="79" t="s">
        <v>2086</v>
      </c>
      <c r="E9" s="79"/>
    </row>
    <row r="10" spans="1:5">
      <c r="A10" s="120" t="s">
        <v>1253</v>
      </c>
      <c r="B10" s="94">
        <v>279189.06999999995</v>
      </c>
      <c r="C10"/>
      <c r="D10" s="79"/>
      <c r="E10" s="79"/>
    </row>
    <row r="11" spans="1:5">
      <c r="A11" s="120" t="s">
        <v>1958</v>
      </c>
      <c r="B11" s="94">
        <v>931585.64999999991</v>
      </c>
      <c r="C11"/>
      <c r="D11" s="79"/>
      <c r="E11" s="79"/>
    </row>
    <row r="12" spans="1:5">
      <c r="A12" s="120" t="s">
        <v>2076</v>
      </c>
      <c r="B12" s="94">
        <v>9132907.9600000009</v>
      </c>
      <c r="C12"/>
      <c r="D12" s="79"/>
      <c r="E12" s="79"/>
    </row>
    <row r="13" spans="1:5">
      <c r="A13" s="120" t="s">
        <v>2077</v>
      </c>
      <c r="B13" s="94">
        <v>5883187.3399999999</v>
      </c>
      <c r="C13"/>
      <c r="D13" s="79"/>
      <c r="E13" s="79"/>
    </row>
    <row r="14" spans="1:5">
      <c r="A14" s="120" t="s">
        <v>1248</v>
      </c>
      <c r="B14" s="94">
        <v>58904374.960000023</v>
      </c>
      <c r="C14"/>
      <c r="D14" s="79"/>
      <c r="E14" s="79"/>
    </row>
    <row r="15" spans="1:5">
      <c r="A15"/>
      <c r="B15"/>
      <c r="C15"/>
      <c r="D15" s="79"/>
      <c r="E15" s="79"/>
    </row>
    <row r="16" spans="1:5">
      <c r="A16"/>
      <c r="B16"/>
      <c r="C16"/>
      <c r="D16" s="79"/>
      <c r="E16" s="79"/>
    </row>
    <row r="17" spans="1:5">
      <c r="A17"/>
      <c r="B17"/>
      <c r="C17"/>
      <c r="D17" s="79"/>
      <c r="E17" s="79"/>
    </row>
    <row r="18" spans="1:5">
      <c r="A18"/>
      <c r="B18"/>
      <c r="C18"/>
      <c r="D18" s="79"/>
      <c r="E18" s="79"/>
    </row>
    <row r="19" spans="1:5">
      <c r="A19"/>
      <c r="B19"/>
      <c r="C19"/>
      <c r="D19" s="79"/>
      <c r="E19" s="79"/>
    </row>
    <row r="20" spans="1:5">
      <c r="A20"/>
      <c r="B20"/>
      <c r="C20"/>
      <c r="D20" s="79"/>
      <c r="E20" s="79"/>
    </row>
    <row r="21" spans="1:5">
      <c r="A21"/>
      <c r="B21"/>
      <c r="C21"/>
      <c r="D21" s="79"/>
      <c r="E21" s="79"/>
    </row>
    <row r="22" spans="1:5">
      <c r="A22"/>
      <c r="B22"/>
      <c r="C22"/>
      <c r="D22" s="79"/>
      <c r="E22" s="79"/>
    </row>
    <row r="23" spans="1:5">
      <c r="A23"/>
      <c r="B23"/>
      <c r="C23"/>
      <c r="D23" s="79"/>
      <c r="E23" s="79"/>
    </row>
    <row r="24" spans="1:5">
      <c r="A24"/>
      <c r="B24"/>
      <c r="C24"/>
      <c r="D24" s="79"/>
      <c r="E24" s="79"/>
    </row>
    <row r="25" spans="1:5">
      <c r="A25"/>
      <c r="B25"/>
      <c r="C25"/>
      <c r="D25" s="79"/>
      <c r="E25" s="79"/>
    </row>
    <row r="26" spans="1:5">
      <c r="A26"/>
      <c r="B26"/>
      <c r="C26"/>
      <c r="D26" s="79"/>
      <c r="E26" s="79"/>
    </row>
    <row r="27" spans="1:5">
      <c r="A27"/>
      <c r="B27"/>
      <c r="C27"/>
      <c r="D27" s="79"/>
      <c r="E27" s="79"/>
    </row>
    <row r="28" spans="1:5">
      <c r="A28"/>
      <c r="B28"/>
      <c r="C28"/>
      <c r="D28" s="79"/>
      <c r="E28" s="79"/>
    </row>
    <row r="29" spans="1:5">
      <c r="A29"/>
      <c r="B29"/>
      <c r="C29"/>
      <c r="D29" s="79"/>
      <c r="E29" s="79"/>
    </row>
    <row r="30" spans="1:5">
      <c r="A30"/>
      <c r="B30"/>
      <c r="C30"/>
      <c r="D30" s="79"/>
      <c r="E30" s="79"/>
    </row>
    <row r="31" spans="1:5">
      <c r="A31"/>
      <c r="B31"/>
      <c r="C31"/>
      <c r="D31" s="79"/>
      <c r="E31" s="79"/>
    </row>
    <row r="32" spans="1:5">
      <c r="A32"/>
      <c r="B32"/>
      <c r="C32"/>
      <c r="D32" s="79"/>
      <c r="E32" s="79"/>
    </row>
    <row r="33" spans="1:5">
      <c r="A33"/>
      <c r="B33"/>
      <c r="C33"/>
      <c r="D33" s="79"/>
      <c r="E33" s="79"/>
    </row>
    <row r="34" spans="1:5">
      <c r="A34"/>
      <c r="B34"/>
      <c r="C34"/>
      <c r="D34" s="79"/>
      <c r="E34" s="79"/>
    </row>
    <row r="35" spans="1:5">
      <c r="A35"/>
      <c r="B35"/>
      <c r="C35"/>
      <c r="D35" s="79"/>
      <c r="E35" s="79"/>
    </row>
    <row r="36" spans="1:5">
      <c r="A36"/>
      <c r="B36"/>
      <c r="C36"/>
      <c r="D36" s="79"/>
      <c r="E36" s="79"/>
    </row>
    <row r="37" spans="1:5">
      <c r="A37"/>
      <c r="B37"/>
      <c r="C37"/>
      <c r="D37" s="79"/>
      <c r="E37" s="79"/>
    </row>
    <row r="38" spans="1:5">
      <c r="A38"/>
      <c r="B38"/>
      <c r="C38"/>
      <c r="D38" s="79"/>
      <c r="E38" s="79"/>
    </row>
    <row r="39" spans="1:5">
      <c r="A39"/>
      <c r="B39"/>
      <c r="C39"/>
      <c r="D39" s="79"/>
      <c r="E39" s="79"/>
    </row>
    <row r="40" spans="1:5">
      <c r="A40"/>
      <c r="B40"/>
      <c r="C40"/>
      <c r="D40" s="79"/>
      <c r="E40" s="79"/>
    </row>
    <row r="41" spans="1:5">
      <c r="A41"/>
      <c r="B41"/>
      <c r="C41"/>
      <c r="D41" s="79"/>
      <c r="E41" s="79"/>
    </row>
    <row r="42" spans="1:5">
      <c r="A42"/>
      <c r="B42"/>
      <c r="C42"/>
      <c r="D42" s="79"/>
      <c r="E42" s="79"/>
    </row>
    <row r="43" spans="1:5">
      <c r="A43"/>
      <c r="B43"/>
      <c r="C43"/>
      <c r="D43" s="79"/>
      <c r="E43" s="79"/>
    </row>
    <row r="44" spans="1:5">
      <c r="A44"/>
      <c r="B44"/>
      <c r="C44"/>
      <c r="D44" s="79"/>
      <c r="E44" s="79"/>
    </row>
    <row r="45" spans="1:5">
      <c r="A45"/>
      <c r="B45"/>
      <c r="C45"/>
      <c r="D45" s="79"/>
      <c r="E45" s="79"/>
    </row>
    <row r="46" spans="1:5">
      <c r="A46"/>
      <c r="B46"/>
      <c r="C46"/>
      <c r="D46" s="79"/>
      <c r="E46" s="79"/>
    </row>
    <row r="47" spans="1:5">
      <c r="A47"/>
      <c r="B47"/>
      <c r="C47"/>
      <c r="D47" s="79"/>
      <c r="E47" s="79"/>
    </row>
    <row r="48" spans="1:5">
      <c r="A48"/>
      <c r="B48"/>
      <c r="C48"/>
      <c r="D48" s="79"/>
      <c r="E48" s="79"/>
    </row>
    <row r="49" spans="1:5">
      <c r="A49"/>
      <c r="B49"/>
      <c r="C49"/>
      <c r="D49" s="79"/>
      <c r="E49" s="79"/>
    </row>
    <row r="50" spans="1:5">
      <c r="A50"/>
      <c r="B50"/>
      <c r="C50"/>
      <c r="D50" s="79"/>
      <c r="E50" s="79"/>
    </row>
    <row r="51" spans="1:5">
      <c r="A51"/>
      <c r="B51"/>
      <c r="C51"/>
      <c r="D51" s="79"/>
      <c r="E51" s="79"/>
    </row>
    <row r="52" spans="1:5">
      <c r="A52"/>
      <c r="B52"/>
      <c r="C52"/>
      <c r="D52" s="79"/>
      <c r="E52" s="79"/>
    </row>
    <row r="53" spans="1:5">
      <c r="A53"/>
      <c r="B53"/>
      <c r="C53"/>
      <c r="D53" s="79"/>
      <c r="E53" s="79"/>
    </row>
    <row r="54" spans="1:5">
      <c r="A54"/>
      <c r="B54"/>
      <c r="C54"/>
      <c r="D54" s="79"/>
      <c r="E54" s="79"/>
    </row>
    <row r="55" spans="1:5">
      <c r="A55"/>
      <c r="B55"/>
      <c r="C55"/>
      <c r="D55" s="79"/>
      <c r="E55" s="79"/>
    </row>
    <row r="56" spans="1:5">
      <c r="A56"/>
      <c r="B56"/>
      <c r="C56"/>
      <c r="D56" s="79"/>
      <c r="E56" s="79"/>
    </row>
    <row r="57" spans="1:5">
      <c r="A57"/>
      <c r="B57"/>
      <c r="C57"/>
      <c r="D57" s="79"/>
      <c r="E57" s="79"/>
    </row>
    <row r="58" spans="1:5">
      <c r="A58"/>
      <c r="B58"/>
      <c r="C58"/>
      <c r="D58" s="79"/>
      <c r="E58" s="79"/>
    </row>
    <row r="59" spans="1:5">
      <c r="A59"/>
      <c r="B59"/>
      <c r="C59"/>
      <c r="D59" s="79"/>
      <c r="E59" s="79"/>
    </row>
    <row r="60" spans="1:5">
      <c r="A60"/>
      <c r="B60"/>
      <c r="C60"/>
      <c r="D60" s="79"/>
      <c r="E60" s="79"/>
    </row>
    <row r="61" spans="1:5">
      <c r="A61"/>
      <c r="B61"/>
      <c r="C61"/>
      <c r="D61" s="79"/>
      <c r="E61" s="79"/>
    </row>
    <row r="62" spans="1:5">
      <c r="A62"/>
      <c r="B62"/>
      <c r="C62"/>
      <c r="D62" s="79"/>
      <c r="E62" s="79"/>
    </row>
    <row r="63" spans="1:5">
      <c r="A63"/>
      <c r="B63"/>
      <c r="C63"/>
      <c r="D63" s="79"/>
      <c r="E63" s="79"/>
    </row>
    <row r="64" spans="1:5">
      <c r="A64"/>
      <c r="B64"/>
      <c r="C64"/>
      <c r="D64" s="79"/>
      <c r="E64" s="79"/>
    </row>
    <row r="65" spans="1:5">
      <c r="A65"/>
      <c r="B65"/>
      <c r="C65"/>
      <c r="D65" s="79"/>
      <c r="E65" s="79"/>
    </row>
    <row r="66" spans="1:5">
      <c r="A66"/>
      <c r="B66"/>
      <c r="C66"/>
      <c r="D66" s="79"/>
      <c r="E66" s="79"/>
    </row>
    <row r="67" spans="1:5">
      <c r="A67"/>
      <c r="B67"/>
      <c r="C67"/>
      <c r="D67" s="79"/>
      <c r="E67" s="79"/>
    </row>
    <row r="68" spans="1:5">
      <c r="A68"/>
      <c r="B68"/>
      <c r="C68"/>
      <c r="D68" s="79"/>
      <c r="E68" s="79"/>
    </row>
    <row r="69" spans="1:5">
      <c r="A69"/>
      <c r="B69"/>
      <c r="C69" s="79"/>
      <c r="D69" s="79"/>
      <c r="E69" s="79"/>
    </row>
    <row r="70" spans="1:5">
      <c r="A70"/>
      <c r="B70"/>
      <c r="C70" s="79"/>
      <c r="D70" s="79"/>
      <c r="E70" s="79"/>
    </row>
    <row r="71" spans="1:5">
      <c r="A71"/>
      <c r="B71"/>
      <c r="C71" s="79"/>
      <c r="D71" s="79"/>
      <c r="E71" s="79"/>
    </row>
    <row r="72" spans="1:5">
      <c r="A72"/>
      <c r="B72"/>
      <c r="C72" s="79"/>
      <c r="D72" s="79"/>
      <c r="E72" s="79"/>
    </row>
    <row r="73" spans="1:5">
      <c r="A73"/>
      <c r="B73"/>
      <c r="C73" s="79"/>
      <c r="D73" s="79"/>
      <c r="E73" s="79"/>
    </row>
    <row r="74" spans="1:5">
      <c r="A74"/>
      <c r="B74"/>
      <c r="C74" s="79"/>
      <c r="D74" s="79"/>
      <c r="E74" s="79"/>
    </row>
    <row r="75" spans="1:5">
      <c r="A75"/>
      <c r="B75"/>
      <c r="C75" s="79"/>
      <c r="D75" s="79"/>
      <c r="E75" s="79"/>
    </row>
    <row r="76" spans="1:5">
      <c r="A76"/>
      <c r="B76"/>
      <c r="C76" s="79"/>
      <c r="D76" s="79"/>
      <c r="E76" s="79"/>
    </row>
    <row r="77" spans="1:5">
      <c r="A77"/>
      <c r="B77"/>
      <c r="C77" s="79"/>
      <c r="D77" s="79"/>
      <c r="E77" s="79"/>
    </row>
    <row r="78" spans="1:5">
      <c r="A78"/>
      <c r="B78"/>
      <c r="C78" s="79"/>
      <c r="D78" s="79"/>
      <c r="E78" s="79"/>
    </row>
    <row r="79" spans="1:5">
      <c r="A79"/>
      <c r="B79"/>
      <c r="C79" s="79"/>
      <c r="D79" s="79"/>
      <c r="E79" s="79"/>
    </row>
    <row r="80" spans="1:5">
      <c r="A80"/>
      <c r="B80"/>
      <c r="C80" s="79"/>
      <c r="D80" s="79"/>
      <c r="E80" s="79"/>
    </row>
    <row r="81" spans="1:5">
      <c r="A81"/>
      <c r="B81"/>
      <c r="C81" s="79"/>
      <c r="D81" s="79"/>
      <c r="E81" s="79"/>
    </row>
    <row r="82" spans="1:5">
      <c r="A82"/>
      <c r="B82"/>
      <c r="C82" s="79"/>
      <c r="D82" s="79"/>
      <c r="E82" s="79"/>
    </row>
    <row r="83" spans="1:5">
      <c r="A83"/>
      <c r="B83"/>
      <c r="C83" s="79"/>
      <c r="D83" s="79"/>
      <c r="E83" s="79"/>
    </row>
    <row r="84" spans="1:5">
      <c r="A84"/>
      <c r="B84"/>
      <c r="C84" s="79"/>
      <c r="D84" s="79"/>
      <c r="E84" s="79"/>
    </row>
    <row r="85" spans="1:5">
      <c r="A85"/>
      <c r="B85"/>
      <c r="C85" s="79"/>
      <c r="D85" s="79"/>
      <c r="E85" s="79"/>
    </row>
    <row r="86" spans="1:5">
      <c r="A86"/>
      <c r="B86"/>
      <c r="C86" s="79"/>
      <c r="D86" s="79"/>
      <c r="E86" s="79"/>
    </row>
    <row r="87" spans="1:5">
      <c r="A87"/>
      <c r="B87"/>
      <c r="C87" s="79"/>
      <c r="D87" s="79"/>
      <c r="E87" s="79"/>
    </row>
    <row r="88" spans="1:5">
      <c r="A88"/>
      <c r="B88"/>
      <c r="C88" s="79"/>
      <c r="D88" s="79"/>
      <c r="E88" s="79"/>
    </row>
    <row r="89" spans="1:5">
      <c r="A89"/>
      <c r="B89"/>
      <c r="C89" s="79"/>
      <c r="D89" s="79"/>
      <c r="E89" s="79"/>
    </row>
    <row r="90" spans="1:5">
      <c r="A90"/>
      <c r="B90"/>
      <c r="C90" s="79"/>
      <c r="D90" s="79"/>
      <c r="E90" s="79"/>
    </row>
    <row r="91" spans="1:5">
      <c r="A91"/>
      <c r="B91"/>
      <c r="C91" s="79"/>
      <c r="D91" s="79"/>
      <c r="E91" s="79"/>
    </row>
    <row r="92" spans="1:5">
      <c r="A92"/>
      <c r="B92"/>
      <c r="C92" s="79"/>
      <c r="D92" s="79"/>
      <c r="E92" s="79"/>
    </row>
    <row r="93" spans="1:5">
      <c r="A93"/>
      <c r="B93"/>
      <c r="C93" s="79"/>
      <c r="D93" s="79"/>
      <c r="E93" s="79"/>
    </row>
    <row r="94" spans="1:5">
      <c r="A94"/>
      <c r="B94"/>
      <c r="C94" s="79"/>
      <c r="D94" s="79"/>
      <c r="E94" s="79"/>
    </row>
    <row r="95" spans="1:5">
      <c r="A95"/>
      <c r="B95"/>
      <c r="C95" s="79"/>
      <c r="D95" s="79"/>
      <c r="E95" s="79"/>
    </row>
    <row r="96" spans="1:5">
      <c r="A96"/>
      <c r="B96"/>
      <c r="C96" s="79"/>
      <c r="D96" s="79"/>
      <c r="E96" s="79"/>
    </row>
    <row r="97" spans="1:5">
      <c r="A97"/>
      <c r="B97"/>
      <c r="C97" s="79"/>
      <c r="D97" s="79"/>
      <c r="E97" s="79"/>
    </row>
    <row r="98" spans="1:5">
      <c r="A98"/>
      <c r="B98"/>
      <c r="C98" s="79"/>
      <c r="D98" s="79"/>
      <c r="E98" s="79"/>
    </row>
    <row r="99" spans="1:5">
      <c r="A99"/>
      <c r="B99"/>
      <c r="C99" s="79"/>
      <c r="D99" s="79"/>
      <c r="E99" s="79"/>
    </row>
    <row r="100" spans="1:5">
      <c r="A100"/>
      <c r="B100"/>
      <c r="C100" s="79"/>
      <c r="D100" s="79"/>
      <c r="E100" s="79"/>
    </row>
    <row r="101" spans="1:5">
      <c r="A101"/>
      <c r="B101"/>
      <c r="C101" s="79"/>
      <c r="D101" s="79"/>
      <c r="E101" s="79"/>
    </row>
    <row r="102" spans="1:5">
      <c r="A102"/>
      <c r="B102"/>
      <c r="C102" s="79"/>
      <c r="D102" s="79"/>
      <c r="E102" s="79"/>
    </row>
    <row r="103" spans="1:5">
      <c r="A103"/>
      <c r="B103"/>
      <c r="C103" s="79"/>
      <c r="D103" s="79"/>
      <c r="E103" s="79"/>
    </row>
    <row r="104" spans="1:5">
      <c r="A104"/>
      <c r="B104"/>
      <c r="C104" s="79"/>
      <c r="D104" s="79"/>
      <c r="E104" s="79"/>
    </row>
    <row r="105" spans="1:5">
      <c r="A105"/>
      <c r="B105"/>
      <c r="C105" s="79"/>
      <c r="D105" s="79"/>
      <c r="E105" s="79"/>
    </row>
    <row r="106" spans="1:5">
      <c r="A106"/>
      <c r="B106"/>
      <c r="C106" s="79"/>
      <c r="D106" s="79"/>
      <c r="E106" s="79"/>
    </row>
    <row r="107" spans="1:5">
      <c r="A107"/>
      <c r="B107"/>
      <c r="C107" s="79"/>
      <c r="D107" s="79"/>
      <c r="E107" s="79"/>
    </row>
    <row r="108" spans="1:5">
      <c r="A108"/>
      <c r="B108"/>
      <c r="C108" s="79"/>
      <c r="D108" s="79"/>
      <c r="E108" s="79"/>
    </row>
    <row r="109" spans="1:5">
      <c r="A109"/>
      <c r="B109"/>
      <c r="C109" s="79"/>
      <c r="D109" s="79"/>
      <c r="E109" s="79"/>
    </row>
    <row r="110" spans="1:5">
      <c r="A110"/>
      <c r="B110"/>
      <c r="C110" s="79"/>
      <c r="D110" s="79"/>
      <c r="E110" s="79"/>
    </row>
    <row r="111" spans="1:5">
      <c r="A111"/>
      <c r="B111"/>
      <c r="C111" s="79"/>
      <c r="D111" s="79"/>
      <c r="E111" s="79"/>
    </row>
    <row r="112" spans="1:5">
      <c r="A112"/>
      <c r="B112"/>
      <c r="C112" s="79"/>
      <c r="D112" s="79"/>
      <c r="E112" s="79"/>
    </row>
    <row r="113" spans="1:5">
      <c r="A113"/>
      <c r="B113"/>
      <c r="C113" s="79"/>
      <c r="D113" s="79"/>
      <c r="E113" s="79"/>
    </row>
    <row r="114" spans="1:5">
      <c r="A114"/>
      <c r="B114"/>
      <c r="C114" s="79"/>
      <c r="D114" s="79"/>
      <c r="E114" s="79"/>
    </row>
    <row r="115" spans="1:5">
      <c r="A115"/>
      <c r="B115"/>
      <c r="C115" s="79"/>
      <c r="D115" s="79"/>
      <c r="E115" s="79"/>
    </row>
    <row r="116" spans="1:5">
      <c r="A116"/>
      <c r="B116"/>
      <c r="C116" s="79"/>
      <c r="D116" s="79"/>
      <c r="E116" s="79"/>
    </row>
    <row r="117" spans="1:5">
      <c r="A117"/>
      <c r="B117"/>
      <c r="C117" s="79"/>
      <c r="D117" s="79"/>
      <c r="E117" s="79"/>
    </row>
    <row r="118" spans="1:5">
      <c r="A118"/>
      <c r="B118"/>
      <c r="C118" s="79"/>
      <c r="D118" s="79"/>
      <c r="E118" s="79"/>
    </row>
    <row r="119" spans="1:5">
      <c r="A119"/>
      <c r="B119"/>
      <c r="C119" s="79"/>
      <c r="D119" s="79"/>
      <c r="E119" s="79"/>
    </row>
    <row r="120" spans="1:5">
      <c r="A120"/>
      <c r="B120"/>
      <c r="C120" s="79"/>
      <c r="D120" s="79"/>
      <c r="E120" s="79"/>
    </row>
    <row r="121" spans="1:5">
      <c r="A121"/>
      <c r="B121"/>
      <c r="C121" s="79"/>
      <c r="D121" s="79"/>
      <c r="E121" s="79"/>
    </row>
    <row r="122" spans="1:5">
      <c r="A122"/>
      <c r="B122"/>
      <c r="C122" s="79"/>
      <c r="D122" s="79"/>
      <c r="E122" s="79"/>
    </row>
    <row r="123" spans="1:5">
      <c r="A123"/>
      <c r="B123"/>
      <c r="C123" s="79"/>
      <c r="D123" s="79"/>
      <c r="E123" s="79"/>
    </row>
    <row r="124" spans="1:5">
      <c r="A124"/>
      <c r="B124"/>
      <c r="C124" s="79"/>
      <c r="D124" s="79"/>
      <c r="E124" s="79"/>
    </row>
    <row r="125" spans="1:5">
      <c r="A125"/>
      <c r="B125"/>
      <c r="C125" s="79"/>
      <c r="D125" s="79"/>
      <c r="E125" s="79"/>
    </row>
    <row r="126" spans="1:5">
      <c r="A126"/>
      <c r="B126"/>
      <c r="C126" s="79"/>
      <c r="D126" s="79"/>
      <c r="E126" s="79"/>
    </row>
    <row r="127" spans="1:5">
      <c r="A127"/>
      <c r="B127"/>
      <c r="C127" s="79"/>
      <c r="D127" s="79"/>
      <c r="E127" s="79"/>
    </row>
    <row r="128" spans="1:5">
      <c r="A128"/>
      <c r="B128"/>
      <c r="C128" s="79"/>
      <c r="D128" s="79"/>
      <c r="E128" s="79"/>
    </row>
    <row r="129" spans="1:5">
      <c r="A129"/>
      <c r="B129"/>
      <c r="C129" s="79"/>
      <c r="D129" s="79"/>
      <c r="E129" s="79"/>
    </row>
    <row r="130" spans="1:5">
      <c r="A130"/>
      <c r="B130"/>
      <c r="C130" s="79"/>
      <c r="D130" s="79"/>
      <c r="E130" s="79"/>
    </row>
    <row r="131" spans="1:5">
      <c r="A131"/>
      <c r="B131"/>
      <c r="C131" s="79"/>
      <c r="D131" s="79"/>
      <c r="E131" s="79"/>
    </row>
    <row r="132" spans="1:5">
      <c r="A132"/>
      <c r="B132"/>
      <c r="C132" s="79"/>
      <c r="D132" s="79"/>
      <c r="E132" s="79"/>
    </row>
    <row r="133" spans="1:5">
      <c r="A133"/>
      <c r="B133"/>
      <c r="C133" s="79"/>
      <c r="D133" s="79"/>
      <c r="E133" s="79"/>
    </row>
    <row r="134" spans="1:5">
      <c r="A134"/>
      <c r="B134"/>
      <c r="C134" s="79"/>
      <c r="D134" s="79"/>
      <c r="E134" s="79"/>
    </row>
    <row r="135" spans="1:5">
      <c r="A135"/>
      <c r="B135"/>
      <c r="C135" s="79"/>
      <c r="D135" s="79"/>
      <c r="E135" s="79"/>
    </row>
    <row r="136" spans="1:5">
      <c r="A136"/>
      <c r="B136"/>
      <c r="C136" s="79"/>
      <c r="D136" s="79"/>
      <c r="E136" s="79"/>
    </row>
    <row r="137" spans="1:5">
      <c r="A137"/>
      <c r="B137"/>
      <c r="C137" s="79"/>
      <c r="D137" s="79"/>
      <c r="E137" s="79"/>
    </row>
    <row r="138" spans="1:5">
      <c r="A138"/>
      <c r="B138"/>
      <c r="C138" s="79"/>
      <c r="D138" s="79"/>
      <c r="E138" s="79"/>
    </row>
    <row r="139" spans="1:5">
      <c r="A139"/>
      <c r="B139"/>
      <c r="C139" s="79"/>
      <c r="D139" s="79"/>
      <c r="E139" s="79"/>
    </row>
    <row r="140" spans="1:5">
      <c r="A140"/>
      <c r="B140"/>
      <c r="C140" s="79"/>
      <c r="D140" s="79"/>
      <c r="E140" s="79"/>
    </row>
    <row r="141" spans="1:5">
      <c r="A141"/>
      <c r="B141"/>
      <c r="C141" s="79"/>
      <c r="D141" s="79"/>
      <c r="E141" s="79"/>
    </row>
    <row r="142" spans="1:5">
      <c r="A142"/>
      <c r="B142"/>
      <c r="C142" s="79"/>
      <c r="D142" s="79"/>
      <c r="E142" s="79"/>
    </row>
    <row r="143" spans="1:5">
      <c r="A143"/>
      <c r="B143"/>
      <c r="C143" s="79"/>
      <c r="D143" s="79"/>
      <c r="E143" s="79"/>
    </row>
    <row r="144" spans="1:5">
      <c r="A144"/>
      <c r="B144"/>
      <c r="C144" s="79"/>
      <c r="D144" s="79"/>
      <c r="E144" s="79"/>
    </row>
    <row r="145" spans="1:5">
      <c r="A145"/>
      <c r="B145"/>
      <c r="C145" s="79"/>
      <c r="D145" s="79"/>
      <c r="E145" s="79"/>
    </row>
    <row r="146" spans="1:5">
      <c r="A146"/>
      <c r="B146"/>
      <c r="C146" s="79"/>
      <c r="D146" s="79"/>
      <c r="E146" s="79"/>
    </row>
    <row r="147" spans="1:5">
      <c r="A147"/>
      <c r="B147"/>
      <c r="C147" s="79"/>
      <c r="D147" s="79"/>
      <c r="E147" s="79"/>
    </row>
    <row r="148" spans="1:5">
      <c r="A148"/>
      <c r="B148"/>
      <c r="C148" s="79"/>
      <c r="D148" s="79"/>
      <c r="E148" s="79"/>
    </row>
    <row r="149" spans="1:5">
      <c r="A149"/>
      <c r="B149"/>
      <c r="C149" s="79"/>
      <c r="D149" s="79"/>
      <c r="E149" s="79"/>
    </row>
    <row r="150" spans="1:5">
      <c r="A150"/>
      <c r="B150"/>
      <c r="C150" s="79"/>
      <c r="D150" s="79"/>
      <c r="E150" s="79"/>
    </row>
    <row r="151" spans="1:5">
      <c r="A151"/>
      <c r="B151"/>
      <c r="C151" s="79"/>
      <c r="D151" s="79"/>
      <c r="E151" s="79"/>
    </row>
    <row r="152" spans="1:5">
      <c r="A152"/>
      <c r="B152"/>
      <c r="C152" s="79"/>
      <c r="D152" s="79"/>
      <c r="E152" s="79"/>
    </row>
    <row r="153" spans="1:5">
      <c r="A153"/>
      <c r="B153"/>
      <c r="C153" s="79"/>
      <c r="D153" s="79"/>
      <c r="E153" s="79"/>
    </row>
    <row r="154" spans="1:5">
      <c r="A154"/>
      <c r="B154"/>
      <c r="C154" s="79"/>
      <c r="D154" s="79"/>
      <c r="E154" s="79"/>
    </row>
    <row r="155" spans="1:5">
      <c r="A155"/>
      <c r="B155"/>
      <c r="C155" s="79"/>
      <c r="D155" s="79"/>
      <c r="E155" s="79"/>
    </row>
    <row r="156" spans="1:5">
      <c r="A156"/>
      <c r="B156"/>
      <c r="C156" s="79"/>
      <c r="D156" s="79"/>
      <c r="E156" s="79"/>
    </row>
    <row r="157" spans="1:5">
      <c r="A157"/>
      <c r="B157"/>
      <c r="C157" s="79"/>
      <c r="D157" s="79"/>
      <c r="E157" s="79"/>
    </row>
    <row r="158" spans="1:5">
      <c r="A158"/>
      <c r="B158"/>
      <c r="C158" s="79"/>
      <c r="D158" s="79"/>
      <c r="E158" s="79"/>
    </row>
    <row r="159" spans="1:5">
      <c r="A159"/>
      <c r="B159"/>
      <c r="C159" s="79"/>
      <c r="D159" s="79"/>
      <c r="E159" s="79"/>
    </row>
    <row r="160" spans="1:5">
      <c r="A160"/>
      <c r="B160"/>
      <c r="C160" s="79"/>
      <c r="D160" s="79"/>
      <c r="E160" s="79"/>
    </row>
    <row r="161" spans="1:5">
      <c r="A161"/>
      <c r="B161"/>
      <c r="C161" s="79"/>
      <c r="D161" s="79"/>
      <c r="E161" s="79"/>
    </row>
    <row r="162" spans="1:5">
      <c r="A162"/>
      <c r="B162"/>
      <c r="C162" s="79"/>
      <c r="D162" s="79"/>
      <c r="E162" s="79"/>
    </row>
    <row r="163" spans="1:5">
      <c r="A163"/>
      <c r="B163"/>
      <c r="C163" s="79"/>
      <c r="D163" s="79"/>
      <c r="E163" s="79"/>
    </row>
    <row r="164" spans="1:5">
      <c r="A164"/>
      <c r="B164"/>
      <c r="C164" s="79"/>
      <c r="D164" s="79"/>
      <c r="E164" s="79"/>
    </row>
    <row r="165" spans="1:5">
      <c r="A165"/>
      <c r="B165"/>
      <c r="C165" s="79"/>
      <c r="D165" s="79"/>
      <c r="E165" s="79"/>
    </row>
    <row r="166" spans="1:5">
      <c r="A166"/>
      <c r="B166"/>
      <c r="C166" s="79"/>
      <c r="D166" s="79"/>
      <c r="E166" s="79"/>
    </row>
    <row r="167" spans="1:5">
      <c r="A167"/>
      <c r="B167"/>
      <c r="C167" s="79"/>
      <c r="D167" s="79"/>
      <c r="E167" s="79"/>
    </row>
    <row r="168" spans="1:5">
      <c r="A168"/>
      <c r="B168"/>
      <c r="C168" s="79"/>
      <c r="D168" s="79"/>
      <c r="E168" s="79"/>
    </row>
    <row r="169" spans="1:5">
      <c r="A169"/>
      <c r="B169"/>
      <c r="C169" s="79"/>
      <c r="D169" s="79"/>
      <c r="E169" s="79"/>
    </row>
    <row r="170" spans="1:5">
      <c r="A170"/>
      <c r="B170"/>
      <c r="C170" s="79"/>
      <c r="D170" s="79"/>
      <c r="E170" s="79"/>
    </row>
    <row r="171" spans="1:5">
      <c r="A171"/>
      <c r="B171"/>
      <c r="C171" s="79"/>
      <c r="D171" s="79"/>
      <c r="E171" s="79"/>
    </row>
    <row r="172" spans="1:5">
      <c r="A172"/>
      <c r="B172"/>
      <c r="C172" s="79"/>
      <c r="D172" s="79"/>
      <c r="E172" s="79"/>
    </row>
    <row r="173" spans="1:5">
      <c r="A173"/>
      <c r="B173"/>
      <c r="C173" s="79"/>
      <c r="D173" s="79"/>
      <c r="E173" s="79"/>
    </row>
    <row r="174" spans="1:5">
      <c r="A174"/>
      <c r="B174"/>
      <c r="C174" s="79"/>
      <c r="D174" s="79"/>
      <c r="E174" s="79"/>
    </row>
    <row r="175" spans="1:5">
      <c r="A175"/>
      <c r="B175"/>
      <c r="C175" s="79"/>
      <c r="D175" s="79"/>
      <c r="E175" s="79"/>
    </row>
    <row r="176" spans="1:5">
      <c r="A176"/>
      <c r="B176"/>
      <c r="C176" s="79"/>
      <c r="D176" s="79"/>
      <c r="E176" s="79"/>
    </row>
    <row r="177" spans="1:5">
      <c r="A177"/>
      <c r="B177"/>
      <c r="C177" s="79"/>
      <c r="D177" s="79"/>
      <c r="E177" s="79"/>
    </row>
    <row r="178" spans="1:5">
      <c r="A178"/>
      <c r="B178"/>
      <c r="C178" s="79"/>
      <c r="D178" s="79"/>
      <c r="E178" s="79"/>
    </row>
    <row r="179" spans="1:5">
      <c r="A179"/>
      <c r="B179"/>
      <c r="C179" s="79"/>
      <c r="D179" s="79"/>
      <c r="E179" s="79"/>
    </row>
    <row r="180" spans="1:5">
      <c r="A180"/>
      <c r="B180"/>
      <c r="C180" s="79"/>
      <c r="D180" s="79"/>
      <c r="E180" s="79"/>
    </row>
    <row r="181" spans="1:5">
      <c r="A181"/>
      <c r="B181"/>
      <c r="C181" s="79"/>
      <c r="D181" s="79"/>
      <c r="E181" s="79"/>
    </row>
    <row r="182" spans="1:5">
      <c r="A182"/>
      <c r="B182"/>
      <c r="C182" s="79"/>
      <c r="D182" s="79"/>
      <c r="E182" s="79"/>
    </row>
    <row r="183" spans="1:5">
      <c r="A183"/>
      <c r="B183"/>
      <c r="C183" s="79"/>
      <c r="D183" s="79"/>
      <c r="E183" s="79"/>
    </row>
    <row r="184" spans="1:5">
      <c r="A184"/>
      <c r="B184"/>
      <c r="C184" s="79"/>
      <c r="D184" s="79"/>
      <c r="E184" s="79"/>
    </row>
    <row r="185" spans="1:5">
      <c r="A185"/>
      <c r="B185"/>
      <c r="C185" s="79"/>
      <c r="D185" s="79"/>
      <c r="E185" s="79"/>
    </row>
    <row r="186" spans="1:5">
      <c r="A186"/>
      <c r="B186"/>
      <c r="C186" s="79"/>
      <c r="D186" s="79"/>
      <c r="E186" s="79"/>
    </row>
    <row r="187" spans="1:5">
      <c r="A187"/>
      <c r="B187"/>
      <c r="C187" s="79"/>
      <c r="D187" s="79"/>
      <c r="E187" s="79"/>
    </row>
    <row r="188" spans="1:5">
      <c r="A188"/>
      <c r="B188"/>
      <c r="C188" s="79"/>
      <c r="D188" s="79"/>
      <c r="E188" s="79"/>
    </row>
    <row r="189" spans="1:5">
      <c r="A189"/>
      <c r="B189"/>
      <c r="C189" s="79"/>
      <c r="D189" s="79"/>
      <c r="E189" s="79"/>
    </row>
    <row r="190" spans="1:5">
      <c r="A190"/>
      <c r="B190"/>
      <c r="C190" s="79"/>
      <c r="D190" s="79"/>
      <c r="E190" s="79"/>
    </row>
    <row r="191" spans="1:5">
      <c r="A191"/>
      <c r="B191"/>
      <c r="C191" s="79"/>
      <c r="D191" s="79"/>
      <c r="E191" s="79"/>
    </row>
    <row r="192" spans="1:5">
      <c r="A192"/>
      <c r="B192"/>
      <c r="C192" s="79"/>
      <c r="D192" s="79"/>
      <c r="E192" s="79"/>
    </row>
    <row r="193" spans="1:5">
      <c r="A193"/>
      <c r="B193"/>
      <c r="C193" s="79"/>
      <c r="D193" s="79"/>
      <c r="E193" s="79"/>
    </row>
    <row r="194" spans="1:5">
      <c r="A194"/>
      <c r="B194"/>
      <c r="C194" s="79"/>
      <c r="D194" s="79"/>
      <c r="E194" s="79"/>
    </row>
    <row r="195" spans="1:5">
      <c r="A195"/>
      <c r="B195"/>
      <c r="C195" s="79"/>
      <c r="D195" s="79"/>
      <c r="E195" s="79"/>
    </row>
    <row r="196" spans="1:5">
      <c r="A196"/>
      <c r="B196"/>
      <c r="C196" s="79"/>
      <c r="D196" s="79"/>
      <c r="E196" s="79"/>
    </row>
    <row r="197" spans="1:5">
      <c r="A197"/>
      <c r="B197"/>
      <c r="C197" s="79"/>
      <c r="D197" s="79"/>
      <c r="E197" s="79"/>
    </row>
    <row r="198" spans="1:5">
      <c r="A198"/>
      <c r="B198"/>
      <c r="C198" s="79"/>
      <c r="D198" s="79"/>
      <c r="E198" s="79"/>
    </row>
    <row r="199" spans="1:5">
      <c r="A199"/>
      <c r="B199"/>
      <c r="C199" s="79"/>
      <c r="D199" s="79"/>
      <c r="E199" s="79"/>
    </row>
    <row r="200" spans="1:5">
      <c r="A200"/>
      <c r="B200"/>
      <c r="C200" s="79"/>
      <c r="D200" s="79"/>
      <c r="E200" s="79"/>
    </row>
    <row r="201" spans="1:5">
      <c r="A201"/>
      <c r="B201"/>
      <c r="C201" s="79"/>
      <c r="D201" s="79"/>
      <c r="E201" s="79"/>
    </row>
    <row r="202" spans="1:5">
      <c r="A202"/>
      <c r="B202"/>
      <c r="C202" s="79"/>
      <c r="D202" s="79"/>
      <c r="E202" s="79"/>
    </row>
    <row r="203" spans="1:5">
      <c r="A203"/>
      <c r="B203"/>
      <c r="C203" s="79"/>
      <c r="D203" s="79"/>
      <c r="E203" s="79"/>
    </row>
    <row r="204" spans="1:5">
      <c r="A204"/>
      <c r="B204"/>
      <c r="C204" s="79"/>
      <c r="D204" s="79"/>
      <c r="E204" s="79"/>
    </row>
    <row r="205" spans="1:5">
      <c r="A205"/>
      <c r="B205"/>
      <c r="C205" s="79"/>
      <c r="D205" s="79"/>
      <c r="E205" s="79"/>
    </row>
    <row r="206" spans="1:5">
      <c r="A206"/>
      <c r="B206"/>
      <c r="C206" s="79"/>
      <c r="D206" s="79"/>
      <c r="E206" s="79"/>
    </row>
    <row r="207" spans="1:5">
      <c r="A207"/>
      <c r="B207"/>
      <c r="C207" s="79"/>
      <c r="D207" s="79"/>
      <c r="E207" s="79"/>
    </row>
    <row r="208" spans="1:5">
      <c r="A208"/>
      <c r="B208"/>
      <c r="C208" s="79"/>
      <c r="D208" s="79"/>
      <c r="E208" s="79"/>
    </row>
    <row r="209" spans="1:5">
      <c r="A209"/>
      <c r="B209"/>
      <c r="C209" s="79"/>
      <c r="D209" s="79"/>
      <c r="E209" s="79"/>
    </row>
    <row r="210" spans="1:5">
      <c r="A210"/>
      <c r="B210"/>
      <c r="C210" s="79"/>
      <c r="D210" s="79"/>
      <c r="E210" s="79"/>
    </row>
    <row r="211" spans="1:5">
      <c r="A211"/>
      <c r="B211"/>
      <c r="C211" s="79"/>
      <c r="D211" s="79"/>
      <c r="E211" s="79"/>
    </row>
    <row r="212" spans="1:5">
      <c r="A212"/>
      <c r="B212"/>
      <c r="C212" s="79"/>
      <c r="D212" s="79"/>
      <c r="E212" s="79"/>
    </row>
    <row r="213" spans="1:5">
      <c r="A213"/>
      <c r="B213"/>
      <c r="C213" s="79"/>
      <c r="D213" s="79"/>
      <c r="E213" s="79"/>
    </row>
    <row r="214" spans="1:5">
      <c r="A214"/>
      <c r="B214"/>
      <c r="C214" s="79"/>
      <c r="D214" s="79"/>
      <c r="E214" s="79"/>
    </row>
    <row r="215" spans="1:5">
      <c r="A215"/>
      <c r="B215"/>
      <c r="C215" s="79"/>
      <c r="D215" s="79"/>
      <c r="E215" s="79"/>
    </row>
    <row r="216" spans="1:5">
      <c r="A216"/>
      <c r="B216"/>
      <c r="C216" s="79"/>
      <c r="D216" s="79"/>
      <c r="E216" s="79"/>
    </row>
    <row r="217" spans="1:5">
      <c r="A217"/>
      <c r="B217"/>
      <c r="C217" s="79"/>
      <c r="D217" s="79"/>
      <c r="E217" s="79"/>
    </row>
    <row r="218" spans="1:5">
      <c r="A218"/>
      <c r="B218"/>
      <c r="C218" s="79"/>
      <c r="D218" s="79"/>
      <c r="E218" s="79"/>
    </row>
    <row r="219" spans="1:5">
      <c r="A219"/>
      <c r="B219"/>
      <c r="C219" s="79"/>
      <c r="D219" s="79"/>
      <c r="E219" s="79"/>
    </row>
    <row r="220" spans="1:5">
      <c r="A220"/>
      <c r="B220"/>
      <c r="C220" s="79"/>
      <c r="D220" s="79"/>
      <c r="E220" s="79"/>
    </row>
    <row r="221" spans="1:5">
      <c r="A221"/>
      <c r="B221"/>
      <c r="C221" s="79"/>
      <c r="D221" s="79"/>
      <c r="E221" s="79"/>
    </row>
    <row r="222" spans="1:5">
      <c r="A222"/>
      <c r="B222"/>
      <c r="C222" s="79"/>
      <c r="D222" s="79"/>
      <c r="E222" s="79"/>
    </row>
    <row r="223" spans="1:5">
      <c r="A223"/>
      <c r="B223"/>
      <c r="C223" s="79"/>
      <c r="D223" s="79"/>
      <c r="E223" s="79"/>
    </row>
    <row r="224" spans="1:5">
      <c r="A224"/>
      <c r="B224"/>
      <c r="C224" s="79"/>
      <c r="D224" s="79"/>
      <c r="E224" s="79"/>
    </row>
    <row r="225" spans="1:5">
      <c r="A225"/>
      <c r="B225"/>
      <c r="C225" s="79"/>
      <c r="D225" s="79"/>
      <c r="E225" s="79"/>
    </row>
    <row r="226" spans="1:5">
      <c r="A226"/>
      <c r="B226"/>
      <c r="C226" s="79"/>
      <c r="D226" s="79"/>
      <c r="E226" s="79"/>
    </row>
    <row r="227" spans="1:5">
      <c r="A227"/>
      <c r="B227"/>
      <c r="C227" s="79"/>
      <c r="D227" s="79"/>
      <c r="E227" s="79"/>
    </row>
    <row r="228" spans="1:5">
      <c r="A228"/>
      <c r="B228"/>
      <c r="C228" s="79"/>
      <c r="D228" s="79"/>
      <c r="E228" s="79"/>
    </row>
    <row r="229" spans="1:5">
      <c r="A229"/>
      <c r="B229"/>
      <c r="C229" s="79"/>
      <c r="D229" s="79"/>
      <c r="E229" s="79"/>
    </row>
    <row r="230" spans="1:5">
      <c r="A230"/>
      <c r="B230"/>
      <c r="C230" s="79"/>
      <c r="D230" s="79"/>
      <c r="E230" s="79"/>
    </row>
    <row r="231" spans="1:5">
      <c r="A231"/>
      <c r="B231"/>
      <c r="C231" s="79"/>
      <c r="D231" s="79"/>
      <c r="E231" s="79"/>
    </row>
    <row r="232" spans="1:5">
      <c r="A232"/>
      <c r="B232"/>
      <c r="C232" s="79"/>
      <c r="D232" s="79"/>
      <c r="E232" s="79"/>
    </row>
    <row r="233" spans="1:5">
      <c r="A233"/>
      <c r="B233"/>
      <c r="C233" s="79"/>
      <c r="D233" s="79"/>
      <c r="E233" s="79"/>
    </row>
    <row r="234" spans="1:5">
      <c r="A234"/>
      <c r="B234"/>
      <c r="C234" s="79"/>
      <c r="D234" s="79"/>
      <c r="E234" s="79"/>
    </row>
    <row r="235" spans="1:5">
      <c r="A235"/>
      <c r="B235"/>
      <c r="C235" s="79"/>
      <c r="D235" s="79"/>
      <c r="E235" s="79"/>
    </row>
    <row r="236" spans="1:5">
      <c r="A236"/>
      <c r="B236"/>
      <c r="C236" s="79"/>
      <c r="D236" s="79"/>
      <c r="E236" s="79"/>
    </row>
    <row r="237" spans="1:5">
      <c r="A237"/>
      <c r="B237"/>
      <c r="C237" s="79"/>
      <c r="D237" s="79"/>
      <c r="E237" s="79"/>
    </row>
    <row r="238" spans="1:5">
      <c r="A238"/>
      <c r="B238"/>
      <c r="C238" s="79"/>
      <c r="D238" s="79"/>
      <c r="E238" s="79"/>
    </row>
    <row r="239" spans="1:5">
      <c r="A239"/>
      <c r="B239"/>
      <c r="C239" s="79"/>
      <c r="D239" s="79"/>
      <c r="E239" s="79"/>
    </row>
    <row r="240" spans="1:5">
      <c r="A240"/>
      <c r="B240"/>
      <c r="C240" s="79"/>
      <c r="D240" s="79"/>
      <c r="E240" s="79"/>
    </row>
    <row r="241" spans="1:5">
      <c r="A241"/>
      <c r="B241"/>
      <c r="C241" s="79"/>
      <c r="D241" s="79"/>
      <c r="E241" s="79"/>
    </row>
    <row r="242" spans="1:5">
      <c r="A242"/>
      <c r="B242"/>
      <c r="C242" s="79"/>
      <c r="D242" s="79"/>
      <c r="E242" s="79"/>
    </row>
    <row r="243" spans="1:5">
      <c r="A243"/>
      <c r="B243"/>
      <c r="C243" s="79"/>
      <c r="D243" s="79"/>
      <c r="E243" s="79"/>
    </row>
    <row r="244" spans="1:5">
      <c r="A244"/>
      <c r="B244"/>
      <c r="C244" s="79"/>
      <c r="D244" s="79"/>
      <c r="E244" s="79"/>
    </row>
    <row r="245" spans="1:5">
      <c r="A245"/>
      <c r="B245"/>
      <c r="C245" s="79"/>
      <c r="D245" s="79"/>
      <c r="E245" s="79"/>
    </row>
    <row r="246" spans="1:5">
      <c r="A246"/>
      <c r="B246"/>
      <c r="C246" s="79"/>
      <c r="D246" s="79"/>
      <c r="E246" s="79"/>
    </row>
    <row r="247" spans="1:5">
      <c r="A247"/>
      <c r="B247"/>
      <c r="C247" s="79"/>
      <c r="D247" s="79"/>
      <c r="E247" s="79"/>
    </row>
    <row r="248" spans="1:5">
      <c r="A248"/>
      <c r="B248"/>
      <c r="C248" s="79"/>
      <c r="D248" s="79"/>
      <c r="E248" s="79"/>
    </row>
    <row r="249" spans="1:5">
      <c r="A249"/>
      <c r="B249"/>
      <c r="C249" s="79"/>
      <c r="D249" s="79"/>
      <c r="E249" s="79"/>
    </row>
    <row r="250" spans="1:5">
      <c r="A250"/>
      <c r="B250"/>
      <c r="C250" s="79"/>
      <c r="D250" s="79"/>
      <c r="E250" s="79"/>
    </row>
    <row r="251" spans="1:5">
      <c r="A251"/>
      <c r="B251"/>
      <c r="C251" s="79"/>
      <c r="D251" s="79"/>
      <c r="E251" s="79"/>
    </row>
    <row r="252" spans="1:5">
      <c r="A252"/>
      <c r="B252"/>
      <c r="C252" s="79"/>
      <c r="D252" s="79"/>
      <c r="E252" s="79"/>
    </row>
    <row r="253" spans="1:5">
      <c r="A253"/>
      <c r="B253"/>
      <c r="C253" s="79"/>
      <c r="D253" s="79"/>
      <c r="E253" s="79"/>
    </row>
    <row r="254" spans="1:5">
      <c r="A254"/>
      <c r="B254"/>
      <c r="C254" s="79"/>
      <c r="D254" s="79"/>
      <c r="E254" s="79"/>
    </row>
    <row r="255" spans="1:5">
      <c r="A255"/>
      <c r="B255"/>
      <c r="C255" s="79"/>
      <c r="D255" s="79"/>
      <c r="E255" s="79"/>
    </row>
    <row r="256" spans="1:5">
      <c r="A256"/>
      <c r="B256"/>
      <c r="C256" s="79"/>
      <c r="D256" s="79"/>
      <c r="E256" s="79"/>
    </row>
    <row r="257" spans="1:5">
      <c r="A257"/>
      <c r="B257"/>
      <c r="C257" s="79"/>
      <c r="D257" s="79"/>
      <c r="E257" s="79"/>
    </row>
    <row r="258" spans="1:5">
      <c r="A258"/>
      <c r="B258"/>
      <c r="C258" s="79"/>
      <c r="D258" s="79"/>
      <c r="E258" s="79"/>
    </row>
    <row r="259" spans="1:5">
      <c r="A259"/>
      <c r="B259"/>
      <c r="C259" s="79"/>
      <c r="D259" s="79"/>
      <c r="E259" s="79"/>
    </row>
    <row r="260" spans="1:5">
      <c r="A260"/>
      <c r="B260"/>
      <c r="C260" s="79"/>
      <c r="D260" s="79"/>
      <c r="E260" s="79"/>
    </row>
    <row r="261" spans="1:5">
      <c r="A261"/>
      <c r="B261"/>
      <c r="C261" s="79"/>
      <c r="D261" s="79"/>
      <c r="E261" s="79"/>
    </row>
    <row r="262" spans="1:5">
      <c r="A262"/>
      <c r="B262"/>
      <c r="C262" s="79"/>
      <c r="D262" s="79"/>
      <c r="E262" s="79"/>
    </row>
    <row r="263" spans="1:5">
      <c r="A263"/>
      <c r="B263"/>
      <c r="C263" s="79"/>
      <c r="D263" s="79"/>
      <c r="E263" s="79"/>
    </row>
    <row r="264" spans="1:5">
      <c r="A264"/>
      <c r="B264"/>
      <c r="C264" s="79"/>
      <c r="D264" s="79"/>
      <c r="E264" s="79"/>
    </row>
    <row r="265" spans="1:5">
      <c r="A265"/>
      <c r="B265"/>
      <c r="C265" s="79"/>
      <c r="D265" s="79"/>
      <c r="E265" s="79"/>
    </row>
    <row r="266" spans="1:5">
      <c r="A266"/>
      <c r="B266"/>
      <c r="C266" s="79"/>
      <c r="D266" s="79"/>
      <c r="E266" s="79"/>
    </row>
    <row r="267" spans="1:5">
      <c r="A267"/>
      <c r="B267"/>
      <c r="C267" s="79"/>
      <c r="D267" s="79"/>
      <c r="E267" s="79"/>
    </row>
    <row r="268" spans="1:5">
      <c r="A268"/>
      <c r="B268"/>
      <c r="C268" s="79"/>
      <c r="D268" s="79"/>
      <c r="E268" s="79"/>
    </row>
    <row r="269" spans="1:5">
      <c r="A269"/>
      <c r="B269"/>
      <c r="C269" s="79"/>
      <c r="D269" s="79"/>
      <c r="E269" s="79"/>
    </row>
    <row r="270" spans="1:5">
      <c r="A270"/>
      <c r="B270"/>
      <c r="C270" s="79"/>
      <c r="D270" s="79"/>
      <c r="E270" s="79"/>
    </row>
    <row r="271" spans="1:5">
      <c r="A271"/>
      <c r="B271"/>
      <c r="C271" s="79"/>
      <c r="D271" s="79"/>
      <c r="E271" s="79"/>
    </row>
    <row r="272" spans="1:5">
      <c r="A272"/>
      <c r="B272"/>
      <c r="C272" s="79"/>
      <c r="D272" s="79"/>
      <c r="E272" s="79"/>
    </row>
    <row r="273" spans="1:5">
      <c r="A273"/>
      <c r="B273"/>
      <c r="C273" s="79"/>
      <c r="D273" s="79"/>
      <c r="E273" s="79"/>
    </row>
    <row r="274" spans="1:5">
      <c r="A274"/>
      <c r="B274"/>
      <c r="C274" s="79"/>
      <c r="D274" s="79"/>
      <c r="E274" s="79"/>
    </row>
    <row r="275" spans="1:5">
      <c r="A275"/>
      <c r="B275"/>
      <c r="C275" s="79"/>
      <c r="D275" s="79"/>
      <c r="E275" s="79"/>
    </row>
    <row r="276" spans="1:5">
      <c r="A276"/>
      <c r="B276"/>
      <c r="C276" s="79"/>
      <c r="D276" s="79"/>
      <c r="E276" s="79"/>
    </row>
    <row r="277" spans="1:5">
      <c r="A277"/>
      <c r="B277"/>
      <c r="C277" s="79"/>
      <c r="D277" s="79"/>
      <c r="E277" s="79"/>
    </row>
    <row r="278" spans="1:5">
      <c r="A278"/>
      <c r="B278"/>
      <c r="C278" s="79"/>
      <c r="D278" s="79"/>
      <c r="E278" s="79"/>
    </row>
    <row r="279" spans="1:5">
      <c r="A279"/>
      <c r="B279"/>
      <c r="C279" s="79"/>
      <c r="D279" s="79"/>
      <c r="E279" s="79"/>
    </row>
    <row r="280" spans="1:5">
      <c r="A280"/>
      <c r="B280"/>
      <c r="C280" s="79"/>
      <c r="D280" s="79"/>
      <c r="E280" s="79"/>
    </row>
    <row r="281" spans="1:5">
      <c r="A281"/>
      <c r="B281"/>
      <c r="C281" s="79"/>
      <c r="D281" s="79"/>
      <c r="E281" s="79"/>
    </row>
    <row r="282" spans="1:5">
      <c r="A282"/>
      <c r="B282"/>
      <c r="C282" s="79"/>
      <c r="D282" s="79"/>
      <c r="E282" s="79"/>
    </row>
    <row r="283" spans="1:5">
      <c r="A283"/>
      <c r="B283"/>
      <c r="C283" s="79"/>
      <c r="D283" s="79"/>
      <c r="E283" s="79"/>
    </row>
    <row r="284" spans="1:5">
      <c r="A284"/>
      <c r="B284"/>
      <c r="C284" s="79"/>
      <c r="D284" s="79"/>
      <c r="E284" s="79"/>
    </row>
    <row r="285" spans="1:5">
      <c r="A285"/>
      <c r="B285"/>
    </row>
    <row r="286" spans="1:5">
      <c r="A286"/>
      <c r="B286"/>
    </row>
    <row r="287" spans="1:5">
      <c r="A287"/>
      <c r="B287"/>
    </row>
    <row r="288" spans="1:5">
      <c r="A288"/>
      <c r="B288"/>
    </row>
    <row r="289" spans="1:2">
      <c r="A289"/>
      <c r="B289"/>
    </row>
    <row r="290" spans="1:2">
      <c r="A290"/>
      <c r="B290"/>
    </row>
    <row r="291" spans="1:2">
      <c r="A291"/>
      <c r="B291"/>
    </row>
    <row r="292" spans="1:2">
      <c r="A292"/>
      <c r="B292"/>
    </row>
    <row r="293" spans="1:2">
      <c r="A293"/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/>
      <c r="B297"/>
    </row>
    <row r="298" spans="1:2">
      <c r="A298"/>
      <c r="B298"/>
    </row>
    <row r="299" spans="1:2">
      <c r="A299"/>
      <c r="B299"/>
    </row>
    <row r="300" spans="1:2">
      <c r="A300"/>
      <c r="B300"/>
    </row>
    <row r="301" spans="1:2">
      <c r="A301"/>
      <c r="B301"/>
    </row>
    <row r="302" spans="1:2">
      <c r="A302"/>
      <c r="B302"/>
    </row>
    <row r="303" spans="1:2">
      <c r="A303"/>
      <c r="B303"/>
    </row>
    <row r="304" spans="1:2">
      <c r="A304"/>
      <c r="B304"/>
    </row>
    <row r="305" spans="1:2">
      <c r="A305"/>
      <c r="B305"/>
    </row>
    <row r="306" spans="1:2">
      <c r="A306"/>
      <c r="B306"/>
    </row>
    <row r="307" spans="1:2">
      <c r="A307"/>
      <c r="B307"/>
    </row>
    <row r="308" spans="1:2">
      <c r="A308"/>
      <c r="B308"/>
    </row>
    <row r="309" spans="1:2">
      <c r="A309"/>
      <c r="B309"/>
    </row>
    <row r="310" spans="1:2">
      <c r="A310"/>
      <c r="B310"/>
    </row>
    <row r="311" spans="1:2">
      <c r="A311"/>
      <c r="B311"/>
    </row>
    <row r="312" spans="1:2">
      <c r="A312"/>
      <c r="B312"/>
    </row>
    <row r="313" spans="1:2">
      <c r="A313"/>
      <c r="B313"/>
    </row>
    <row r="314" spans="1:2">
      <c r="A314"/>
      <c r="B314"/>
    </row>
    <row r="315" spans="1:2">
      <c r="A315"/>
      <c r="B315"/>
    </row>
    <row r="316" spans="1:2">
      <c r="A316"/>
      <c r="B316"/>
    </row>
    <row r="317" spans="1:2">
      <c r="A317"/>
      <c r="B317"/>
    </row>
    <row r="318" spans="1:2">
      <c r="A318"/>
      <c r="B318"/>
    </row>
    <row r="319" spans="1:2">
      <c r="A319"/>
      <c r="B319"/>
    </row>
    <row r="320" spans="1:2">
      <c r="A320"/>
      <c r="B320"/>
    </row>
    <row r="321" spans="1:2">
      <c r="A321"/>
      <c r="B321"/>
    </row>
    <row r="322" spans="1:2">
      <c r="A322"/>
      <c r="B322"/>
    </row>
    <row r="323" spans="1:2">
      <c r="A323"/>
      <c r="B323"/>
    </row>
    <row r="324" spans="1:2">
      <c r="A324"/>
      <c r="B324"/>
    </row>
    <row r="325" spans="1:2">
      <c r="A325"/>
      <c r="B325"/>
    </row>
    <row r="326" spans="1:2">
      <c r="A326"/>
      <c r="B326"/>
    </row>
    <row r="327" spans="1:2">
      <c r="A327"/>
      <c r="B327"/>
    </row>
    <row r="328" spans="1:2">
      <c r="A328"/>
      <c r="B328"/>
    </row>
    <row r="329" spans="1:2">
      <c r="A329"/>
      <c r="B329"/>
    </row>
    <row r="330" spans="1:2">
      <c r="A330"/>
      <c r="B330"/>
    </row>
    <row r="331" spans="1:2">
      <c r="A331"/>
      <c r="B331"/>
    </row>
    <row r="332" spans="1:2">
      <c r="A332"/>
      <c r="B332"/>
    </row>
    <row r="333" spans="1:2">
      <c r="A333"/>
      <c r="B333"/>
    </row>
    <row r="334" spans="1:2">
      <c r="A334"/>
      <c r="B334"/>
    </row>
    <row r="335" spans="1:2">
      <c r="A335"/>
      <c r="B335"/>
    </row>
    <row r="336" spans="1:2">
      <c r="A336"/>
      <c r="B336"/>
    </row>
    <row r="337" spans="1:81">
      <c r="A337"/>
      <c r="B337"/>
    </row>
    <row r="338" spans="1:81">
      <c r="A338"/>
      <c r="B338"/>
    </row>
    <row r="339" spans="1:81">
      <c r="A339"/>
      <c r="B339"/>
    </row>
    <row r="340" spans="1:81">
      <c r="A340"/>
      <c r="B340"/>
    </row>
    <row r="341" spans="1:81">
      <c r="A341"/>
      <c r="B341"/>
    </row>
    <row r="342" spans="1:81">
      <c r="A342"/>
      <c r="B342"/>
    </row>
    <row r="343" spans="1:81">
      <c r="A343"/>
      <c r="B343"/>
    </row>
    <row r="344" spans="1:81" s="90" customFormat="1">
      <c r="A344"/>
      <c r="B344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79"/>
      <c r="AK344" s="79"/>
      <c r="AL344" s="79"/>
      <c r="AM344" s="79"/>
      <c r="AN344" s="79"/>
      <c r="AO344" s="79"/>
      <c r="AP344" s="79"/>
      <c r="AQ344" s="79"/>
      <c r="AR344" s="79"/>
      <c r="AS344" s="79"/>
      <c r="AT344" s="79"/>
      <c r="AU344" s="79"/>
      <c r="AV344" s="79"/>
      <c r="AW344" s="79"/>
      <c r="AX344" s="79"/>
      <c r="AY344" s="79"/>
      <c r="AZ344" s="79"/>
      <c r="BA344" s="79"/>
      <c r="BB344" s="79"/>
      <c r="BC344" s="79"/>
      <c r="BD344" s="79"/>
      <c r="BE344" s="79"/>
      <c r="BF344" s="79"/>
      <c r="BG344" s="79"/>
      <c r="BH344" s="79"/>
      <c r="BI344" s="79"/>
      <c r="BJ344" s="79"/>
      <c r="BK344" s="79"/>
      <c r="BL344" s="79"/>
      <c r="BM344" s="79"/>
      <c r="BN344" s="79"/>
      <c r="BO344" s="79"/>
      <c r="BP344" s="79"/>
      <c r="BQ344" s="79"/>
      <c r="BR344" s="79"/>
      <c r="BS344" s="79"/>
      <c r="BT344" s="79"/>
      <c r="BU344" s="79"/>
      <c r="BV344" s="79"/>
      <c r="BW344" s="79"/>
      <c r="BX344" s="79"/>
      <c r="BY344" s="79"/>
      <c r="BZ344" s="79"/>
      <c r="CA344" s="79"/>
      <c r="CB344" s="79"/>
      <c r="CC344" s="79"/>
    </row>
    <row r="345" spans="1:81" s="90" customFormat="1">
      <c r="A345"/>
      <c r="B345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79"/>
      <c r="AJ345" s="79"/>
      <c r="AK345" s="79"/>
      <c r="AL345" s="79"/>
      <c r="AM345" s="79"/>
      <c r="AN345" s="79"/>
      <c r="AO345" s="79"/>
      <c r="AP345" s="79"/>
      <c r="AQ345" s="79"/>
      <c r="AR345" s="79"/>
      <c r="AS345" s="79"/>
      <c r="AT345" s="79"/>
      <c r="AU345" s="79"/>
      <c r="AV345" s="79"/>
      <c r="AW345" s="79"/>
      <c r="AX345" s="79"/>
      <c r="AY345" s="79"/>
      <c r="AZ345" s="79"/>
      <c r="BA345" s="79"/>
      <c r="BB345" s="79"/>
      <c r="BC345" s="79"/>
      <c r="BD345" s="79"/>
      <c r="BE345" s="79"/>
      <c r="BF345" s="79"/>
      <c r="BG345" s="79"/>
      <c r="BH345" s="79"/>
      <c r="BI345" s="79"/>
      <c r="BJ345" s="79"/>
      <c r="BK345" s="79"/>
      <c r="BL345" s="79"/>
      <c r="BM345" s="79"/>
      <c r="BN345" s="79"/>
      <c r="BO345" s="79"/>
      <c r="BP345" s="79"/>
      <c r="BQ345" s="79"/>
      <c r="BR345" s="79"/>
      <c r="BS345" s="79"/>
      <c r="BT345" s="79"/>
      <c r="BU345" s="79"/>
      <c r="BV345" s="79"/>
      <c r="BW345" s="79"/>
      <c r="BX345" s="79"/>
      <c r="BY345" s="79"/>
      <c r="BZ345" s="79"/>
      <c r="CA345" s="79"/>
      <c r="CB345" s="79"/>
      <c r="CC345" s="79"/>
    </row>
    <row r="346" spans="1:81" s="90" customFormat="1">
      <c r="A346"/>
      <c r="B346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79"/>
      <c r="AJ346" s="79"/>
      <c r="AK346" s="79"/>
      <c r="AL346" s="79"/>
      <c r="AM346" s="79"/>
      <c r="AN346" s="79"/>
      <c r="AO346" s="79"/>
      <c r="AP346" s="79"/>
      <c r="AQ346" s="79"/>
      <c r="AR346" s="79"/>
      <c r="AS346" s="79"/>
      <c r="AT346" s="79"/>
      <c r="AU346" s="79"/>
      <c r="AV346" s="79"/>
      <c r="AW346" s="79"/>
      <c r="AX346" s="79"/>
      <c r="AY346" s="79"/>
      <c r="AZ346" s="79"/>
      <c r="BA346" s="79"/>
      <c r="BB346" s="79"/>
      <c r="BC346" s="79"/>
      <c r="BD346" s="79"/>
      <c r="BE346" s="79"/>
      <c r="BF346" s="79"/>
      <c r="BG346" s="79"/>
      <c r="BH346" s="79"/>
      <c r="BI346" s="79"/>
      <c r="BJ346" s="79"/>
      <c r="BK346" s="79"/>
      <c r="BL346" s="79"/>
      <c r="BM346" s="79"/>
      <c r="BN346" s="79"/>
      <c r="BO346" s="79"/>
      <c r="BP346" s="79"/>
      <c r="BQ346" s="79"/>
      <c r="BR346" s="79"/>
      <c r="BS346" s="79"/>
      <c r="BT346" s="79"/>
      <c r="BU346" s="79"/>
      <c r="BV346" s="79"/>
      <c r="BW346" s="79"/>
      <c r="BX346" s="79"/>
      <c r="BY346" s="79"/>
      <c r="BZ346" s="79"/>
      <c r="CA346" s="79"/>
      <c r="CB346" s="79"/>
      <c r="CC346" s="79"/>
    </row>
    <row r="347" spans="1:81" s="90" customFormat="1">
      <c r="A347"/>
      <c r="B347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79"/>
      <c r="AK347" s="79"/>
      <c r="AL347" s="79"/>
      <c r="AM347" s="79"/>
      <c r="AN347" s="79"/>
      <c r="AO347" s="79"/>
      <c r="AP347" s="79"/>
      <c r="AQ347" s="79"/>
      <c r="AR347" s="79"/>
      <c r="AS347" s="79"/>
      <c r="AT347" s="79"/>
      <c r="AU347" s="79"/>
      <c r="AV347" s="79"/>
      <c r="AW347" s="79"/>
      <c r="AX347" s="79"/>
      <c r="AY347" s="79"/>
      <c r="AZ347" s="79"/>
      <c r="BA347" s="79"/>
      <c r="BB347" s="79"/>
      <c r="BC347" s="79"/>
      <c r="BD347" s="79"/>
      <c r="BE347" s="79"/>
      <c r="BF347" s="79"/>
      <c r="BG347" s="79"/>
      <c r="BH347" s="79"/>
      <c r="BI347" s="79"/>
      <c r="BJ347" s="79"/>
      <c r="BK347" s="79"/>
      <c r="BL347" s="79"/>
      <c r="BM347" s="79"/>
      <c r="BN347" s="79"/>
      <c r="BO347" s="79"/>
      <c r="BP347" s="79"/>
      <c r="BQ347" s="79"/>
      <c r="BR347" s="79"/>
      <c r="BS347" s="79"/>
      <c r="BT347" s="79"/>
      <c r="BU347" s="79"/>
      <c r="BV347" s="79"/>
      <c r="BW347" s="79"/>
      <c r="BX347" s="79"/>
      <c r="BY347" s="79"/>
      <c r="BZ347" s="79"/>
      <c r="CA347" s="79"/>
      <c r="CB347" s="79"/>
      <c r="CC347" s="79"/>
    </row>
    <row r="348" spans="1:81">
      <c r="A348"/>
      <c r="B348"/>
    </row>
    <row r="349" spans="1:81">
      <c r="A349"/>
      <c r="B349"/>
    </row>
    <row r="350" spans="1:81">
      <c r="A350"/>
      <c r="B350"/>
    </row>
    <row r="351" spans="1:81">
      <c r="A351"/>
      <c r="B351"/>
    </row>
    <row r="352" spans="1:81">
      <c r="A352"/>
      <c r="B352"/>
    </row>
    <row r="353" spans="1:2">
      <c r="A353"/>
      <c r="B353"/>
    </row>
    <row r="354" spans="1:2">
      <c r="A354"/>
      <c r="B354"/>
    </row>
    <row r="355" spans="1:2">
      <c r="A355"/>
      <c r="B35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0"/>
  <sheetViews>
    <sheetView workbookViewId="0">
      <selection activeCell="B24" sqref="B24"/>
    </sheetView>
  </sheetViews>
  <sheetFormatPr defaultRowHeight="15"/>
  <cols>
    <col min="1" max="1" width="36.42578125" customWidth="1"/>
    <col min="2" max="2" width="27.7109375" style="90" customWidth="1"/>
    <col min="3" max="5" width="26.7109375" style="90" customWidth="1"/>
  </cols>
  <sheetData>
    <row r="1" spans="1:5">
      <c r="A1" s="119" t="s">
        <v>1256</v>
      </c>
      <c r="B1" s="79" t="s">
        <v>1905</v>
      </c>
      <c r="C1"/>
      <c r="D1"/>
      <c r="E1"/>
    </row>
    <row r="2" spans="1:5">
      <c r="A2" s="119" t="s">
        <v>312</v>
      </c>
      <c r="B2" s="79" t="s">
        <v>1255</v>
      </c>
      <c r="C2"/>
      <c r="D2"/>
      <c r="E2"/>
    </row>
    <row r="3" spans="1:5">
      <c r="A3" s="119" t="s">
        <v>1259</v>
      </c>
      <c r="B3" s="79" t="s">
        <v>2066</v>
      </c>
      <c r="C3"/>
      <c r="D3"/>
      <c r="E3"/>
    </row>
    <row r="4" spans="1:5">
      <c r="A4" s="119" t="s">
        <v>1258</v>
      </c>
      <c r="B4" s="79" t="s">
        <v>1255</v>
      </c>
      <c r="C4"/>
      <c r="D4"/>
      <c r="E4"/>
    </row>
    <row r="5" spans="1:5">
      <c r="A5" s="119" t="s">
        <v>1261</v>
      </c>
      <c r="B5" s="79" t="s">
        <v>1255</v>
      </c>
      <c r="C5"/>
      <c r="D5"/>
      <c r="E5"/>
    </row>
    <row r="6" spans="1:5">
      <c r="B6"/>
      <c r="C6"/>
      <c r="D6"/>
      <c r="E6"/>
    </row>
    <row r="7" spans="1:5">
      <c r="A7" s="119" t="s">
        <v>1246</v>
      </c>
      <c r="B7" s="94" t="s">
        <v>1955</v>
      </c>
      <c r="C7"/>
      <c r="D7"/>
      <c r="E7"/>
    </row>
    <row r="8" spans="1:5">
      <c r="A8" s="120" t="s">
        <v>1432</v>
      </c>
      <c r="B8" s="94">
        <v>1066854</v>
      </c>
      <c r="C8"/>
      <c r="D8"/>
      <c r="E8"/>
    </row>
    <row r="9" spans="1:5">
      <c r="A9" s="120" t="s">
        <v>9</v>
      </c>
      <c r="B9" s="94">
        <v>44068</v>
      </c>
      <c r="C9"/>
      <c r="D9"/>
      <c r="E9"/>
    </row>
    <row r="10" spans="1:5">
      <c r="A10" s="120" t="s">
        <v>0</v>
      </c>
      <c r="B10" s="94">
        <v>591449</v>
      </c>
      <c r="C10"/>
      <c r="D10"/>
      <c r="E10"/>
    </row>
    <row r="11" spans="1:5">
      <c r="A11" s="120" t="s">
        <v>422</v>
      </c>
      <c r="B11" s="94">
        <v>1229055</v>
      </c>
      <c r="C11"/>
      <c r="D11"/>
      <c r="E11"/>
    </row>
    <row r="12" spans="1:5">
      <c r="A12" s="120" t="s">
        <v>2</v>
      </c>
      <c r="B12" s="94">
        <v>1108636</v>
      </c>
      <c r="C12"/>
      <c r="D12"/>
      <c r="E12"/>
    </row>
    <row r="13" spans="1:5">
      <c r="A13" s="120" t="s">
        <v>455</v>
      </c>
      <c r="B13" s="94">
        <v>531545</v>
      </c>
      <c r="C13"/>
      <c r="D13"/>
      <c r="E13"/>
    </row>
    <row r="14" spans="1:5">
      <c r="A14" s="120" t="s">
        <v>467</v>
      </c>
      <c r="B14" s="94">
        <v>989795</v>
      </c>
      <c r="C14"/>
      <c r="D14"/>
      <c r="E14"/>
    </row>
    <row r="15" spans="1:5">
      <c r="A15" s="120" t="s">
        <v>625</v>
      </c>
      <c r="B15" s="94">
        <v>459814</v>
      </c>
      <c r="C15"/>
      <c r="D15"/>
      <c r="E15"/>
    </row>
    <row r="16" spans="1:5">
      <c r="A16" s="120" t="s">
        <v>487</v>
      </c>
      <c r="B16" s="94">
        <v>1663079</v>
      </c>
      <c r="C16"/>
      <c r="D16"/>
      <c r="E16"/>
    </row>
    <row r="17" spans="1:5">
      <c r="A17" s="120" t="s">
        <v>14</v>
      </c>
      <c r="B17" s="94">
        <v>538599</v>
      </c>
      <c r="C17"/>
      <c r="D17"/>
      <c r="E17"/>
    </row>
    <row r="18" spans="1:5">
      <c r="A18" s="120" t="s">
        <v>580</v>
      </c>
      <c r="B18" s="94">
        <v>1102526</v>
      </c>
      <c r="C18"/>
      <c r="D18"/>
      <c r="E18"/>
    </row>
    <row r="19" spans="1:5">
      <c r="A19" s="120" t="s">
        <v>526</v>
      </c>
      <c r="B19" s="94">
        <v>1259999</v>
      </c>
      <c r="C19"/>
      <c r="D19"/>
      <c r="E19"/>
    </row>
    <row r="20" spans="1:5">
      <c r="A20" s="120" t="s">
        <v>1397</v>
      </c>
      <c r="B20" s="94">
        <v>0</v>
      </c>
      <c r="C20"/>
      <c r="D20"/>
      <c r="E20"/>
    </row>
    <row r="21" spans="1:5">
      <c r="A21" s="120" t="s">
        <v>1514</v>
      </c>
      <c r="B21" s="94">
        <v>1951761</v>
      </c>
      <c r="C21"/>
      <c r="D21"/>
      <c r="E21"/>
    </row>
    <row r="22" spans="1:5">
      <c r="A22" s="120" t="s">
        <v>17</v>
      </c>
      <c r="B22" s="94">
        <v>980425</v>
      </c>
      <c r="C22"/>
      <c r="D22"/>
      <c r="E22"/>
    </row>
    <row r="23" spans="1:5">
      <c r="A23" s="120" t="s">
        <v>7</v>
      </c>
      <c r="B23" s="94">
        <v>810053</v>
      </c>
      <c r="C23"/>
      <c r="D23"/>
      <c r="E23"/>
    </row>
    <row r="24" spans="1:5">
      <c r="A24" s="120" t="s">
        <v>511</v>
      </c>
      <c r="B24" s="94">
        <v>462519</v>
      </c>
      <c r="C24"/>
      <c r="D24"/>
      <c r="E24"/>
    </row>
    <row r="25" spans="1:5">
      <c r="A25" s="120" t="s">
        <v>1523</v>
      </c>
      <c r="B25" s="94">
        <v>1064457</v>
      </c>
      <c r="C25"/>
      <c r="D25"/>
      <c r="E25"/>
    </row>
    <row r="26" spans="1:5">
      <c r="A26" s="120" t="s">
        <v>596</v>
      </c>
      <c r="B26" s="94">
        <v>193510</v>
      </c>
      <c r="C26"/>
      <c r="D26"/>
      <c r="E26"/>
    </row>
    <row r="27" spans="1:5">
      <c r="A27" s="120" t="s">
        <v>12</v>
      </c>
      <c r="B27" s="94">
        <v>763138</v>
      </c>
      <c r="C27"/>
      <c r="D27"/>
      <c r="E27"/>
    </row>
    <row r="28" spans="1:5">
      <c r="A28" s="120" t="s">
        <v>141</v>
      </c>
      <c r="B28" s="94">
        <v>762149</v>
      </c>
      <c r="C28"/>
      <c r="D28"/>
      <c r="E28"/>
    </row>
    <row r="29" spans="1:5">
      <c r="A29" s="120" t="s">
        <v>1248</v>
      </c>
      <c r="B29" s="94">
        <v>17573431</v>
      </c>
      <c r="C29"/>
      <c r="D29"/>
      <c r="E29"/>
    </row>
    <row r="30" spans="1:5">
      <c r="B30"/>
      <c r="C30"/>
      <c r="D30"/>
      <c r="E30"/>
    </row>
    <row r="31" spans="1:5">
      <c r="B31"/>
      <c r="C31"/>
      <c r="D31"/>
      <c r="E31"/>
    </row>
    <row r="32" spans="1:5">
      <c r="B32"/>
      <c r="C32"/>
      <c r="D32"/>
      <c r="E32"/>
    </row>
    <row r="33" spans="2:5">
      <c r="B33"/>
      <c r="C33"/>
      <c r="D33"/>
      <c r="E33"/>
    </row>
    <row r="34" spans="2:5">
      <c r="B34"/>
      <c r="C34"/>
      <c r="D34"/>
      <c r="E34"/>
    </row>
    <row r="35" spans="2:5">
      <c r="B35"/>
      <c r="C35"/>
      <c r="D35"/>
      <c r="E35"/>
    </row>
    <row r="36" spans="2:5">
      <c r="B36"/>
      <c r="C36"/>
      <c r="D36"/>
      <c r="E36"/>
    </row>
    <row r="37" spans="2:5">
      <c r="B37"/>
      <c r="C37"/>
      <c r="D37"/>
      <c r="E37"/>
    </row>
    <row r="38" spans="2:5">
      <c r="B38"/>
      <c r="C38"/>
      <c r="D38"/>
      <c r="E38"/>
    </row>
    <row r="39" spans="2:5">
      <c r="B39"/>
      <c r="C39"/>
      <c r="D39"/>
      <c r="E39"/>
    </row>
    <row r="40" spans="2:5">
      <c r="B40"/>
      <c r="C40"/>
      <c r="D40"/>
      <c r="E40"/>
    </row>
    <row r="41" spans="2:5">
      <c r="B41"/>
      <c r="C41"/>
      <c r="D41"/>
      <c r="E41"/>
    </row>
    <row r="42" spans="2:5">
      <c r="B42"/>
      <c r="C42"/>
      <c r="D42"/>
      <c r="E42"/>
    </row>
    <row r="43" spans="2:5">
      <c r="B43"/>
      <c r="C43"/>
      <c r="D43"/>
      <c r="E43"/>
    </row>
    <row r="44" spans="2:5">
      <c r="B44"/>
      <c r="C44"/>
      <c r="D44"/>
      <c r="E44"/>
    </row>
    <row r="45" spans="2:5">
      <c r="B45"/>
      <c r="C45"/>
      <c r="D45"/>
      <c r="E45"/>
    </row>
    <row r="46" spans="2:5">
      <c r="B46"/>
      <c r="C46"/>
      <c r="D46"/>
      <c r="E46"/>
    </row>
    <row r="47" spans="2:5">
      <c r="B47"/>
      <c r="C47"/>
      <c r="D47"/>
      <c r="E47"/>
    </row>
    <row r="48" spans="2:5">
      <c r="B48"/>
      <c r="C48"/>
      <c r="D48"/>
      <c r="E48"/>
    </row>
    <row r="49" spans="2:5">
      <c r="B49"/>
      <c r="C49"/>
      <c r="D49"/>
      <c r="E49"/>
    </row>
    <row r="50" spans="2:5">
      <c r="B50"/>
      <c r="C50"/>
      <c r="D50"/>
      <c r="E50"/>
    </row>
    <row r="51" spans="2:5">
      <c r="B51"/>
      <c r="C51"/>
      <c r="D51"/>
      <c r="E51"/>
    </row>
    <row r="52" spans="2:5">
      <c r="B52"/>
      <c r="C52"/>
      <c r="D52"/>
      <c r="E52"/>
    </row>
    <row r="53" spans="2:5">
      <c r="B53"/>
      <c r="C53"/>
      <c r="D53"/>
      <c r="E53"/>
    </row>
    <row r="54" spans="2:5">
      <c r="B54"/>
      <c r="C54"/>
      <c r="D54"/>
      <c r="E54"/>
    </row>
    <row r="55" spans="2:5">
      <c r="B55"/>
      <c r="C55"/>
      <c r="D55"/>
      <c r="E55"/>
    </row>
    <row r="56" spans="2:5">
      <c r="B56"/>
      <c r="C56"/>
      <c r="D56"/>
      <c r="E56"/>
    </row>
    <row r="57" spans="2:5">
      <c r="B57"/>
      <c r="C57"/>
      <c r="D57"/>
      <c r="E57"/>
    </row>
    <row r="58" spans="2:5">
      <c r="B58"/>
      <c r="C58"/>
      <c r="D58"/>
      <c r="E58"/>
    </row>
    <row r="59" spans="2:5">
      <c r="B59"/>
      <c r="C59"/>
      <c r="D59"/>
      <c r="E59"/>
    </row>
    <row r="60" spans="2:5">
      <c r="B60"/>
      <c r="C60"/>
      <c r="D60"/>
      <c r="E60"/>
    </row>
    <row r="61" spans="2:5">
      <c r="B61"/>
      <c r="C61"/>
      <c r="D61"/>
      <c r="E61"/>
    </row>
    <row r="62" spans="2:5">
      <c r="B62"/>
      <c r="C62"/>
      <c r="D62"/>
      <c r="E62"/>
    </row>
    <row r="63" spans="2:5">
      <c r="B63"/>
      <c r="C63"/>
      <c r="D63"/>
      <c r="E63"/>
    </row>
    <row r="64" spans="2:5">
      <c r="B64"/>
      <c r="C64"/>
      <c r="D64"/>
      <c r="E64"/>
    </row>
    <row r="65" spans="2:5">
      <c r="B65"/>
      <c r="C65"/>
      <c r="D65"/>
      <c r="E65"/>
    </row>
    <row r="66" spans="2:5">
      <c r="B66"/>
      <c r="C66"/>
      <c r="D66"/>
      <c r="E66"/>
    </row>
    <row r="67" spans="2:5">
      <c r="B67"/>
      <c r="C67"/>
      <c r="D67"/>
      <c r="E67"/>
    </row>
    <row r="68" spans="2:5">
      <c r="B68"/>
      <c r="C68"/>
      <c r="D68"/>
      <c r="E68"/>
    </row>
    <row r="69" spans="2:5">
      <c r="B69"/>
      <c r="C69"/>
      <c r="D69"/>
      <c r="E69"/>
    </row>
    <row r="70" spans="2:5">
      <c r="B70"/>
      <c r="C70"/>
      <c r="D70"/>
      <c r="E70"/>
    </row>
    <row r="71" spans="2:5">
      <c r="B71"/>
      <c r="C71"/>
      <c r="D71"/>
      <c r="E71"/>
    </row>
    <row r="72" spans="2:5">
      <c r="B72"/>
      <c r="C72"/>
      <c r="D72"/>
      <c r="E72"/>
    </row>
    <row r="73" spans="2:5">
      <c r="B73"/>
      <c r="C73"/>
      <c r="D73"/>
      <c r="E73"/>
    </row>
    <row r="74" spans="2:5">
      <c r="B74"/>
      <c r="C74"/>
      <c r="D74"/>
      <c r="E74"/>
    </row>
    <row r="75" spans="2:5">
      <c r="B75"/>
      <c r="C75"/>
      <c r="D75"/>
      <c r="E75"/>
    </row>
    <row r="76" spans="2:5">
      <c r="B76"/>
      <c r="C76"/>
      <c r="D76"/>
      <c r="E76"/>
    </row>
    <row r="77" spans="2:5">
      <c r="B77"/>
      <c r="C77"/>
      <c r="D77"/>
      <c r="E77"/>
    </row>
    <row r="78" spans="2:5">
      <c r="B78"/>
      <c r="C78"/>
      <c r="D78"/>
      <c r="E78"/>
    </row>
    <row r="79" spans="2:5">
      <c r="B79"/>
      <c r="C79"/>
      <c r="D79"/>
      <c r="E79"/>
    </row>
    <row r="80" spans="2:5">
      <c r="B80"/>
      <c r="C80"/>
      <c r="D80"/>
      <c r="E80"/>
    </row>
    <row r="81" spans="2:5">
      <c r="B81"/>
      <c r="C81"/>
      <c r="D81"/>
      <c r="E81"/>
    </row>
    <row r="82" spans="2:5">
      <c r="B82"/>
      <c r="C82"/>
      <c r="D82"/>
      <c r="E82"/>
    </row>
    <row r="83" spans="2:5">
      <c r="B83"/>
      <c r="C83"/>
      <c r="D83"/>
      <c r="E83"/>
    </row>
    <row r="84" spans="2:5">
      <c r="B84"/>
      <c r="C84"/>
      <c r="D84"/>
      <c r="E84"/>
    </row>
    <row r="85" spans="2:5">
      <c r="B85"/>
      <c r="C85"/>
      <c r="D85"/>
      <c r="E85"/>
    </row>
    <row r="86" spans="2:5">
      <c r="B86"/>
      <c r="C86"/>
      <c r="D86"/>
      <c r="E86"/>
    </row>
    <row r="87" spans="2:5">
      <c r="B87"/>
      <c r="C87"/>
      <c r="D87"/>
      <c r="E87"/>
    </row>
    <row r="88" spans="2:5">
      <c r="B88"/>
      <c r="C88"/>
      <c r="D88"/>
      <c r="E88"/>
    </row>
    <row r="89" spans="2:5">
      <c r="B89"/>
      <c r="C89"/>
      <c r="D89"/>
      <c r="E89"/>
    </row>
    <row r="90" spans="2:5">
      <c r="B90"/>
      <c r="C90"/>
      <c r="D90"/>
      <c r="E90"/>
    </row>
    <row r="91" spans="2:5">
      <c r="B91"/>
      <c r="C91"/>
      <c r="D91"/>
      <c r="E91"/>
    </row>
    <row r="92" spans="2:5">
      <c r="B92"/>
      <c r="C92"/>
      <c r="D92"/>
      <c r="E92"/>
    </row>
    <row r="93" spans="2:5">
      <c r="B93"/>
      <c r="C93"/>
      <c r="D93"/>
      <c r="E93"/>
    </row>
    <row r="94" spans="2:5">
      <c r="B94"/>
      <c r="C94"/>
      <c r="D94"/>
      <c r="E94"/>
    </row>
    <row r="95" spans="2:5">
      <c r="B95"/>
      <c r="C95"/>
      <c r="D95"/>
      <c r="E95"/>
    </row>
    <row r="96" spans="2:5">
      <c r="B96"/>
      <c r="C96"/>
      <c r="D96"/>
      <c r="E96"/>
    </row>
    <row r="97" spans="2:5">
      <c r="B97"/>
      <c r="C97"/>
      <c r="D97"/>
      <c r="E97"/>
    </row>
    <row r="98" spans="2:5">
      <c r="B98"/>
      <c r="C98"/>
      <c r="D98"/>
      <c r="E98"/>
    </row>
    <row r="99" spans="2:5">
      <c r="B99"/>
      <c r="C99"/>
      <c r="D99"/>
      <c r="E99"/>
    </row>
    <row r="100" spans="2:5">
      <c r="B100"/>
      <c r="C100"/>
      <c r="D100"/>
      <c r="E100"/>
    </row>
    <row r="101" spans="2:5">
      <c r="B101"/>
      <c r="C101"/>
      <c r="D101"/>
      <c r="E101"/>
    </row>
    <row r="102" spans="2:5">
      <c r="B102"/>
      <c r="C102"/>
      <c r="D102"/>
      <c r="E102"/>
    </row>
    <row r="103" spans="2:5">
      <c r="B103"/>
      <c r="C103"/>
      <c r="D103"/>
      <c r="E103"/>
    </row>
    <row r="104" spans="2:5">
      <c r="B104"/>
      <c r="C104"/>
      <c r="D104"/>
      <c r="E104"/>
    </row>
    <row r="105" spans="2:5">
      <c r="B105"/>
      <c r="C105"/>
      <c r="D105"/>
      <c r="E105"/>
    </row>
    <row r="106" spans="2:5">
      <c r="B106"/>
      <c r="C106"/>
      <c r="D106"/>
      <c r="E106"/>
    </row>
    <row r="107" spans="2:5">
      <c r="B107"/>
      <c r="C107"/>
      <c r="D107"/>
      <c r="E107"/>
    </row>
    <row r="108" spans="2:5">
      <c r="B108"/>
      <c r="C108"/>
      <c r="D108"/>
      <c r="E108"/>
    </row>
    <row r="109" spans="2:5">
      <c r="B109"/>
      <c r="C109"/>
      <c r="D109"/>
      <c r="E109"/>
    </row>
    <row r="110" spans="2:5">
      <c r="B110"/>
      <c r="C110"/>
      <c r="D110"/>
      <c r="E110"/>
    </row>
    <row r="111" spans="2:5">
      <c r="B111"/>
      <c r="C111"/>
      <c r="D111"/>
      <c r="E111"/>
    </row>
    <row r="112" spans="2:5">
      <c r="B112"/>
      <c r="C112"/>
      <c r="D112"/>
      <c r="E112"/>
    </row>
    <row r="113" spans="2:5">
      <c r="B113"/>
      <c r="C113"/>
      <c r="D113"/>
      <c r="E113"/>
    </row>
    <row r="114" spans="2:5">
      <c r="B114"/>
      <c r="C114"/>
      <c r="D114"/>
      <c r="E114"/>
    </row>
    <row r="115" spans="2:5">
      <c r="B115"/>
      <c r="C115"/>
      <c r="D115"/>
      <c r="E115"/>
    </row>
    <row r="116" spans="2:5">
      <c r="B116"/>
      <c r="C116"/>
      <c r="D116"/>
      <c r="E116"/>
    </row>
    <row r="117" spans="2:5">
      <c r="B117"/>
      <c r="C117"/>
      <c r="D117"/>
      <c r="E117"/>
    </row>
    <row r="118" spans="2:5">
      <c r="B118"/>
      <c r="C118"/>
      <c r="D118"/>
      <c r="E118"/>
    </row>
    <row r="119" spans="2:5">
      <c r="B119"/>
      <c r="C119"/>
      <c r="D119"/>
      <c r="E119"/>
    </row>
    <row r="120" spans="2:5">
      <c r="B120"/>
      <c r="C120"/>
      <c r="D120"/>
      <c r="E120"/>
    </row>
    <row r="121" spans="2:5">
      <c r="B121"/>
      <c r="C121"/>
      <c r="D121"/>
      <c r="E121"/>
    </row>
    <row r="122" spans="2:5">
      <c r="B122"/>
      <c r="C122"/>
      <c r="D122"/>
      <c r="E122"/>
    </row>
    <row r="123" spans="2:5">
      <c r="B123"/>
      <c r="C123"/>
      <c r="D123"/>
      <c r="E123"/>
    </row>
    <row r="124" spans="2:5">
      <c r="B124"/>
      <c r="C124"/>
      <c r="D124"/>
      <c r="E124"/>
    </row>
    <row r="125" spans="2:5">
      <c r="B125"/>
      <c r="C125"/>
      <c r="D125"/>
      <c r="E125"/>
    </row>
    <row r="126" spans="2:5">
      <c r="B126"/>
      <c r="C126"/>
      <c r="D126"/>
      <c r="E126"/>
    </row>
    <row r="127" spans="2:5">
      <c r="B127"/>
      <c r="C127"/>
      <c r="D127"/>
      <c r="E127"/>
    </row>
    <row r="128" spans="2:5">
      <c r="B128"/>
      <c r="C128"/>
      <c r="D128"/>
      <c r="E128"/>
    </row>
    <row r="129" spans="2:5">
      <c r="B129"/>
      <c r="C129"/>
      <c r="D129"/>
      <c r="E129"/>
    </row>
    <row r="130" spans="2:5">
      <c r="B130"/>
      <c r="C130"/>
      <c r="D130"/>
      <c r="E130"/>
    </row>
    <row r="131" spans="2:5">
      <c r="B131"/>
      <c r="C131"/>
      <c r="D131"/>
      <c r="E131"/>
    </row>
    <row r="132" spans="2:5">
      <c r="B132"/>
      <c r="C132"/>
      <c r="D132"/>
      <c r="E132"/>
    </row>
    <row r="133" spans="2:5">
      <c r="B133"/>
      <c r="C133"/>
      <c r="D133"/>
      <c r="E133"/>
    </row>
    <row r="134" spans="2:5">
      <c r="B134"/>
      <c r="C134"/>
      <c r="D134"/>
      <c r="E134"/>
    </row>
    <row r="135" spans="2:5">
      <c r="B135"/>
      <c r="C135"/>
      <c r="D135"/>
      <c r="E135"/>
    </row>
    <row r="136" spans="2:5">
      <c r="B136"/>
      <c r="C136"/>
      <c r="D136"/>
      <c r="E136"/>
    </row>
    <row r="137" spans="2:5">
      <c r="B137"/>
      <c r="C137"/>
      <c r="D137"/>
      <c r="E137"/>
    </row>
    <row r="138" spans="2:5">
      <c r="B138"/>
      <c r="C138"/>
      <c r="D138"/>
      <c r="E138"/>
    </row>
    <row r="139" spans="2:5">
      <c r="B139"/>
      <c r="C139"/>
      <c r="D139"/>
      <c r="E139"/>
    </row>
    <row r="140" spans="2:5">
      <c r="B140"/>
      <c r="C140"/>
      <c r="D140"/>
      <c r="E140"/>
    </row>
    <row r="141" spans="2:5">
      <c r="B141"/>
      <c r="C141"/>
      <c r="D141"/>
      <c r="E141"/>
    </row>
    <row r="142" spans="2:5">
      <c r="B142"/>
      <c r="C142"/>
      <c r="D142"/>
      <c r="E142"/>
    </row>
    <row r="143" spans="2:5">
      <c r="B143"/>
      <c r="C143"/>
      <c r="D143"/>
      <c r="E143"/>
    </row>
    <row r="144" spans="2:5">
      <c r="B144"/>
      <c r="C144"/>
      <c r="D144"/>
      <c r="E144"/>
    </row>
    <row r="145" spans="2:5">
      <c r="B145"/>
      <c r="C145"/>
      <c r="D145"/>
      <c r="E145"/>
    </row>
    <row r="146" spans="2:5">
      <c r="B146"/>
      <c r="C146"/>
      <c r="D146"/>
      <c r="E146"/>
    </row>
    <row r="147" spans="2:5">
      <c r="B147"/>
      <c r="C147"/>
      <c r="D147"/>
      <c r="E147"/>
    </row>
    <row r="148" spans="2:5">
      <c r="B148"/>
      <c r="C148"/>
      <c r="D148"/>
      <c r="E148"/>
    </row>
    <row r="149" spans="2:5">
      <c r="B149"/>
      <c r="C149"/>
      <c r="D149"/>
      <c r="E149"/>
    </row>
    <row r="150" spans="2:5">
      <c r="B150"/>
      <c r="C150"/>
      <c r="D150"/>
      <c r="E150"/>
    </row>
    <row r="151" spans="2:5">
      <c r="B151"/>
      <c r="C151"/>
      <c r="D151"/>
      <c r="E151"/>
    </row>
    <row r="152" spans="2:5">
      <c r="B152"/>
      <c r="C152"/>
      <c r="D152"/>
      <c r="E152"/>
    </row>
    <row r="153" spans="2:5">
      <c r="B153"/>
      <c r="C153"/>
      <c r="D153"/>
      <c r="E153"/>
    </row>
    <row r="154" spans="2:5">
      <c r="B154"/>
      <c r="C154"/>
      <c r="D154"/>
      <c r="E154"/>
    </row>
    <row r="155" spans="2:5">
      <c r="B155"/>
      <c r="C155"/>
      <c r="D155"/>
      <c r="E155"/>
    </row>
    <row r="156" spans="2:5">
      <c r="B156"/>
      <c r="C156"/>
      <c r="D156"/>
      <c r="E156"/>
    </row>
    <row r="157" spans="2:5">
      <c r="B157"/>
      <c r="C157"/>
      <c r="D157"/>
      <c r="E157"/>
    </row>
    <row r="158" spans="2:5">
      <c r="B158"/>
      <c r="C158"/>
      <c r="D158"/>
      <c r="E158"/>
    </row>
    <row r="159" spans="2:5">
      <c r="B159"/>
      <c r="C159"/>
      <c r="D159"/>
      <c r="E159"/>
    </row>
    <row r="160" spans="2:5">
      <c r="B160"/>
      <c r="C160"/>
      <c r="D160"/>
      <c r="E160"/>
    </row>
    <row r="161" spans="2:5">
      <c r="B161"/>
      <c r="C161"/>
      <c r="D161"/>
      <c r="E161"/>
    </row>
    <row r="162" spans="2:5">
      <c r="B162"/>
      <c r="C162"/>
      <c r="D162"/>
      <c r="E162"/>
    </row>
    <row r="163" spans="2:5">
      <c r="B163"/>
      <c r="C163"/>
      <c r="D163"/>
      <c r="E163"/>
    </row>
    <row r="164" spans="2:5">
      <c r="B164"/>
      <c r="C164"/>
      <c r="D164"/>
      <c r="E164"/>
    </row>
    <row r="165" spans="2:5">
      <c r="B165"/>
      <c r="C165"/>
      <c r="D165"/>
      <c r="E165"/>
    </row>
    <row r="166" spans="2:5">
      <c r="B166"/>
      <c r="C166"/>
      <c r="D166"/>
      <c r="E166"/>
    </row>
    <row r="167" spans="2:5">
      <c r="B167"/>
      <c r="C167"/>
      <c r="D167"/>
      <c r="E167"/>
    </row>
    <row r="168" spans="2:5">
      <c r="B168"/>
      <c r="C168"/>
      <c r="D168"/>
      <c r="E168"/>
    </row>
    <row r="169" spans="2:5">
      <c r="B169"/>
      <c r="C169"/>
      <c r="D169"/>
      <c r="E169"/>
    </row>
    <row r="170" spans="2:5">
      <c r="B170"/>
      <c r="C170"/>
      <c r="D170"/>
      <c r="E170"/>
    </row>
    <row r="171" spans="2:5">
      <c r="B171"/>
      <c r="C171"/>
      <c r="D171"/>
      <c r="E171"/>
    </row>
    <row r="172" spans="2:5">
      <c r="B172"/>
      <c r="C172"/>
      <c r="D172"/>
      <c r="E172"/>
    </row>
    <row r="173" spans="2:5">
      <c r="B173"/>
      <c r="C173"/>
      <c r="D173"/>
      <c r="E173"/>
    </row>
    <row r="174" spans="2:5">
      <c r="B174"/>
      <c r="C174"/>
      <c r="D174"/>
      <c r="E174"/>
    </row>
    <row r="175" spans="2:5">
      <c r="B175"/>
      <c r="C175"/>
      <c r="D175"/>
      <c r="E175"/>
    </row>
    <row r="176" spans="2:5">
      <c r="B176"/>
      <c r="C176"/>
      <c r="D176"/>
      <c r="E176"/>
    </row>
    <row r="177" spans="2:5">
      <c r="B177"/>
      <c r="C177"/>
      <c r="D177"/>
      <c r="E177"/>
    </row>
    <row r="178" spans="2:5">
      <c r="B178"/>
      <c r="C178"/>
      <c r="D178"/>
      <c r="E178"/>
    </row>
    <row r="179" spans="2:5">
      <c r="B179"/>
      <c r="C179"/>
      <c r="D179"/>
      <c r="E179"/>
    </row>
    <row r="180" spans="2:5">
      <c r="B180"/>
      <c r="C180"/>
      <c r="D180"/>
      <c r="E180"/>
    </row>
    <row r="181" spans="2:5">
      <c r="B181"/>
      <c r="C181"/>
      <c r="D181"/>
      <c r="E181"/>
    </row>
    <row r="182" spans="2:5">
      <c r="B182"/>
      <c r="C182"/>
      <c r="D182"/>
      <c r="E182"/>
    </row>
    <row r="183" spans="2:5">
      <c r="B183"/>
      <c r="C183"/>
      <c r="D183"/>
      <c r="E183"/>
    </row>
    <row r="184" spans="2:5">
      <c r="B184"/>
      <c r="C184"/>
      <c r="D184"/>
      <c r="E184"/>
    </row>
    <row r="185" spans="2:5">
      <c r="B185"/>
      <c r="C185"/>
      <c r="D185"/>
      <c r="E185"/>
    </row>
    <row r="186" spans="2:5">
      <c r="B186"/>
      <c r="C186"/>
      <c r="D186"/>
      <c r="E186"/>
    </row>
    <row r="187" spans="2:5">
      <c r="B187"/>
      <c r="C187"/>
      <c r="D187"/>
      <c r="E187"/>
    </row>
    <row r="188" spans="2:5">
      <c r="B188"/>
      <c r="C188"/>
      <c r="D188"/>
      <c r="E188"/>
    </row>
    <row r="189" spans="2:5">
      <c r="B189"/>
      <c r="C189"/>
      <c r="D189"/>
      <c r="E189"/>
    </row>
    <row r="190" spans="2:5">
      <c r="B190"/>
      <c r="C190"/>
      <c r="D190"/>
      <c r="E190"/>
    </row>
    <row r="191" spans="2:5">
      <c r="B191"/>
      <c r="C191"/>
      <c r="D191"/>
      <c r="E191"/>
    </row>
    <row r="192" spans="2:5">
      <c r="B192"/>
      <c r="C192"/>
      <c r="D192"/>
      <c r="E192"/>
    </row>
    <row r="193" spans="2:5">
      <c r="B193"/>
      <c r="C193"/>
      <c r="D193"/>
      <c r="E193"/>
    </row>
    <row r="194" spans="2:5">
      <c r="B194"/>
      <c r="C194"/>
      <c r="D194"/>
      <c r="E194"/>
    </row>
    <row r="195" spans="2:5">
      <c r="B195"/>
      <c r="C195"/>
      <c r="D195"/>
      <c r="E195"/>
    </row>
    <row r="196" spans="2:5">
      <c r="B196"/>
      <c r="C196"/>
      <c r="D196"/>
      <c r="E196"/>
    </row>
    <row r="197" spans="2:5">
      <c r="B197"/>
      <c r="C197"/>
      <c r="D197"/>
      <c r="E197"/>
    </row>
    <row r="198" spans="2:5">
      <c r="B198"/>
      <c r="C198"/>
      <c r="D198"/>
      <c r="E198"/>
    </row>
    <row r="199" spans="2:5">
      <c r="B199"/>
      <c r="C199"/>
      <c r="D199"/>
      <c r="E199"/>
    </row>
    <row r="200" spans="2:5">
      <c r="B200"/>
      <c r="C200"/>
      <c r="D200"/>
      <c r="E200"/>
    </row>
    <row r="201" spans="2:5">
      <c r="B201"/>
      <c r="C201"/>
      <c r="D201"/>
      <c r="E201"/>
    </row>
    <row r="202" spans="2:5">
      <c r="B202"/>
      <c r="C202"/>
      <c r="D202"/>
      <c r="E202"/>
    </row>
    <row r="203" spans="2:5">
      <c r="B203"/>
      <c r="C203"/>
      <c r="D203"/>
      <c r="E203"/>
    </row>
    <row r="204" spans="2:5">
      <c r="B204"/>
      <c r="C204"/>
      <c r="D204"/>
      <c r="E204"/>
    </row>
    <row r="205" spans="2:5">
      <c r="B205"/>
      <c r="C205"/>
      <c r="D205"/>
      <c r="E205"/>
    </row>
    <row r="206" spans="2:5">
      <c r="B206"/>
      <c r="C206"/>
      <c r="D206"/>
      <c r="E206"/>
    </row>
    <row r="207" spans="2:5">
      <c r="B207"/>
      <c r="C207"/>
      <c r="D207"/>
      <c r="E207"/>
    </row>
    <row r="208" spans="2:5">
      <c r="B208"/>
      <c r="C208"/>
      <c r="D208"/>
      <c r="E208"/>
    </row>
    <row r="209" spans="2:5">
      <c r="B209"/>
      <c r="C209"/>
      <c r="D209"/>
      <c r="E209"/>
    </row>
    <row r="210" spans="2:5">
      <c r="B210"/>
      <c r="C210"/>
      <c r="D210"/>
      <c r="E210"/>
    </row>
    <row r="211" spans="2:5">
      <c r="B211"/>
      <c r="C211"/>
      <c r="D211"/>
      <c r="E211"/>
    </row>
    <row r="212" spans="2:5">
      <c r="B212"/>
      <c r="C212"/>
      <c r="D212"/>
      <c r="E212"/>
    </row>
    <row r="213" spans="2:5">
      <c r="B213"/>
      <c r="C213"/>
      <c r="D213"/>
      <c r="E213"/>
    </row>
    <row r="214" spans="2:5">
      <c r="B214"/>
      <c r="C214"/>
      <c r="D214"/>
      <c r="E214"/>
    </row>
    <row r="215" spans="2:5">
      <c r="B215"/>
      <c r="C215"/>
      <c r="D215"/>
      <c r="E215"/>
    </row>
    <row r="216" spans="2:5">
      <c r="B216"/>
      <c r="C216"/>
      <c r="D216"/>
      <c r="E216"/>
    </row>
    <row r="217" spans="2:5">
      <c r="B217"/>
      <c r="C217"/>
      <c r="D217"/>
      <c r="E217"/>
    </row>
    <row r="218" spans="2:5">
      <c r="B218"/>
      <c r="C218"/>
      <c r="D218"/>
      <c r="E218"/>
    </row>
    <row r="219" spans="2:5">
      <c r="B219"/>
      <c r="C219"/>
      <c r="D219"/>
      <c r="E219"/>
    </row>
    <row r="220" spans="2:5">
      <c r="B220"/>
      <c r="C220"/>
      <c r="D220"/>
      <c r="E220"/>
    </row>
    <row r="221" spans="2:5">
      <c r="B221"/>
      <c r="C221"/>
      <c r="D221"/>
      <c r="E221"/>
    </row>
    <row r="222" spans="2:5">
      <c r="B222"/>
      <c r="C222"/>
      <c r="D222"/>
      <c r="E222"/>
    </row>
    <row r="223" spans="2:5">
      <c r="B223"/>
      <c r="C223"/>
      <c r="D223"/>
      <c r="E223"/>
    </row>
    <row r="224" spans="2:5">
      <c r="B224"/>
      <c r="C224"/>
      <c r="D224"/>
      <c r="E224"/>
    </row>
    <row r="225" spans="2:5">
      <c r="B225"/>
      <c r="C225"/>
      <c r="D225"/>
      <c r="E225"/>
    </row>
    <row r="226" spans="2:5">
      <c r="B226"/>
      <c r="C226"/>
      <c r="D226"/>
      <c r="E226"/>
    </row>
    <row r="227" spans="2:5">
      <c r="B227"/>
      <c r="C227"/>
      <c r="D227"/>
      <c r="E227"/>
    </row>
    <row r="228" spans="2:5">
      <c r="B228"/>
      <c r="C228"/>
      <c r="D228"/>
      <c r="E228"/>
    </row>
    <row r="229" spans="2:5">
      <c r="B229"/>
      <c r="C229"/>
      <c r="D229"/>
      <c r="E229"/>
    </row>
    <row r="230" spans="2:5">
      <c r="B230"/>
      <c r="C230"/>
      <c r="D230"/>
      <c r="E230"/>
    </row>
    <row r="231" spans="2:5">
      <c r="B231"/>
      <c r="C231"/>
      <c r="D231"/>
      <c r="E231"/>
    </row>
    <row r="232" spans="2:5">
      <c r="B232"/>
      <c r="C232"/>
      <c r="D232"/>
      <c r="E232"/>
    </row>
    <row r="233" spans="2:5">
      <c r="B233"/>
      <c r="C233"/>
      <c r="D233"/>
      <c r="E233"/>
    </row>
    <row r="234" spans="2:5">
      <c r="B234"/>
      <c r="C234"/>
      <c r="D234"/>
      <c r="E234"/>
    </row>
    <row r="235" spans="2:5">
      <c r="B235"/>
      <c r="C235"/>
      <c r="D235"/>
      <c r="E235"/>
    </row>
    <row r="236" spans="2:5">
      <c r="B236"/>
      <c r="C236"/>
      <c r="D236"/>
      <c r="E236"/>
    </row>
    <row r="237" spans="2:5">
      <c r="B237"/>
      <c r="C237"/>
      <c r="D237"/>
      <c r="E237"/>
    </row>
    <row r="238" spans="2:5">
      <c r="B238"/>
      <c r="C238"/>
      <c r="D238"/>
      <c r="E238"/>
    </row>
    <row r="239" spans="2:5">
      <c r="B239"/>
      <c r="C239"/>
      <c r="D239"/>
      <c r="E239"/>
    </row>
    <row r="240" spans="2:5">
      <c r="B240"/>
      <c r="C240"/>
      <c r="D240"/>
      <c r="E240"/>
    </row>
    <row r="241" spans="3:5">
      <c r="C241"/>
      <c r="D241"/>
      <c r="E241"/>
    </row>
    <row r="242" spans="3:5">
      <c r="C242"/>
      <c r="D242"/>
      <c r="E242"/>
    </row>
    <row r="243" spans="3:5">
      <c r="C243"/>
      <c r="D243"/>
      <c r="E243"/>
    </row>
    <row r="244" spans="3:5">
      <c r="C244"/>
      <c r="D244"/>
      <c r="E244"/>
    </row>
    <row r="245" spans="3:5">
      <c r="C245"/>
      <c r="D245"/>
      <c r="E245"/>
    </row>
    <row r="246" spans="3:5">
      <c r="C246"/>
      <c r="D246"/>
      <c r="E246"/>
    </row>
    <row r="247" spans="3:5">
      <c r="C247"/>
      <c r="D247"/>
      <c r="E247"/>
    </row>
    <row r="248" spans="3:5">
      <c r="C248"/>
      <c r="D248"/>
      <c r="E248"/>
    </row>
    <row r="249" spans="3:5">
      <c r="C249"/>
      <c r="D249"/>
      <c r="E249"/>
    </row>
    <row r="250" spans="3:5">
      <c r="C250"/>
      <c r="D250"/>
      <c r="E250"/>
    </row>
    <row r="251" spans="3:5">
      <c r="C251"/>
      <c r="D251"/>
      <c r="E251"/>
    </row>
    <row r="252" spans="3:5">
      <c r="C252"/>
      <c r="D252"/>
      <c r="E252"/>
    </row>
    <row r="253" spans="3:5">
      <c r="C253"/>
      <c r="D253"/>
      <c r="E253"/>
    </row>
    <row r="254" spans="3:5">
      <c r="C254"/>
      <c r="D254"/>
      <c r="E254"/>
    </row>
    <row r="255" spans="3:5">
      <c r="C255"/>
      <c r="D255"/>
      <c r="E255"/>
    </row>
    <row r="256" spans="3:5">
      <c r="C256"/>
      <c r="D256"/>
      <c r="E256"/>
    </row>
    <row r="257" spans="3:5">
      <c r="C257"/>
      <c r="D257"/>
      <c r="E257"/>
    </row>
    <row r="258" spans="3:5">
      <c r="C258"/>
      <c r="D258"/>
      <c r="E258"/>
    </row>
    <row r="259" spans="3:5">
      <c r="C259"/>
      <c r="D259"/>
      <c r="E259"/>
    </row>
    <row r="260" spans="3:5">
      <c r="C260"/>
      <c r="D260"/>
      <c r="E260"/>
    </row>
    <row r="261" spans="3:5">
      <c r="C261"/>
      <c r="D261"/>
      <c r="E261"/>
    </row>
    <row r="262" spans="3:5">
      <c r="C262"/>
      <c r="D262"/>
      <c r="E262"/>
    </row>
    <row r="263" spans="3:5">
      <c r="C263"/>
      <c r="D263"/>
      <c r="E263"/>
    </row>
    <row r="264" spans="3:5">
      <c r="C264"/>
      <c r="D264"/>
      <c r="E264"/>
    </row>
    <row r="265" spans="3:5">
      <c r="C265"/>
      <c r="D265"/>
      <c r="E265"/>
    </row>
    <row r="266" spans="3:5">
      <c r="C266"/>
      <c r="D266"/>
      <c r="E266"/>
    </row>
    <row r="267" spans="3:5">
      <c r="C267"/>
      <c r="D267"/>
      <c r="E267"/>
    </row>
    <row r="268" spans="3:5">
      <c r="C268"/>
      <c r="D268"/>
      <c r="E268"/>
    </row>
    <row r="269" spans="3:5">
      <c r="C269"/>
      <c r="D269"/>
      <c r="E269"/>
    </row>
    <row r="270" spans="3:5">
      <c r="C270"/>
      <c r="D270"/>
      <c r="E270"/>
    </row>
    <row r="271" spans="3:5">
      <c r="C271"/>
      <c r="D271"/>
      <c r="E271"/>
    </row>
    <row r="272" spans="3:5">
      <c r="C272"/>
      <c r="D272"/>
      <c r="E272"/>
    </row>
    <row r="273" spans="3:5">
      <c r="C273"/>
      <c r="D273"/>
      <c r="E273"/>
    </row>
    <row r="274" spans="3:5">
      <c r="C274"/>
      <c r="D274"/>
      <c r="E274"/>
    </row>
    <row r="275" spans="3:5">
      <c r="C275"/>
      <c r="D275"/>
      <c r="E275"/>
    </row>
    <row r="276" spans="3:5">
      <c r="C276"/>
      <c r="D276"/>
      <c r="E276"/>
    </row>
    <row r="277" spans="3:5">
      <c r="C277"/>
      <c r="D277"/>
      <c r="E277"/>
    </row>
    <row r="278" spans="3:5">
      <c r="C278"/>
      <c r="D278"/>
      <c r="E278"/>
    </row>
    <row r="279" spans="3:5">
      <c r="C279"/>
      <c r="D279"/>
      <c r="E279"/>
    </row>
    <row r="280" spans="3:5">
      <c r="C280"/>
      <c r="D280"/>
      <c r="E280"/>
    </row>
    <row r="281" spans="3:5">
      <c r="C281"/>
      <c r="D281"/>
      <c r="E281"/>
    </row>
    <row r="282" spans="3:5">
      <c r="C282"/>
      <c r="D282"/>
      <c r="E282"/>
    </row>
    <row r="283" spans="3:5">
      <c r="C283"/>
      <c r="D283"/>
      <c r="E283"/>
    </row>
    <row r="284" spans="3:5">
      <c r="C284"/>
      <c r="D284"/>
      <c r="E284"/>
    </row>
    <row r="285" spans="3:5">
      <c r="C285"/>
      <c r="D285"/>
      <c r="E285"/>
    </row>
    <row r="286" spans="3:5">
      <c r="C286"/>
      <c r="D286"/>
      <c r="E286"/>
    </row>
    <row r="287" spans="3:5">
      <c r="C287"/>
      <c r="D287"/>
      <c r="E287"/>
    </row>
    <row r="288" spans="3:5">
      <c r="C288"/>
      <c r="D288"/>
      <c r="E288"/>
    </row>
    <row r="289" spans="3:5">
      <c r="C289"/>
      <c r="D289"/>
      <c r="E289"/>
    </row>
    <row r="290" spans="3:5">
      <c r="C290"/>
      <c r="D290"/>
      <c r="E290"/>
    </row>
    <row r="291" spans="3:5">
      <c r="C291"/>
      <c r="D291"/>
      <c r="E291"/>
    </row>
    <row r="292" spans="3:5">
      <c r="C292"/>
      <c r="D292"/>
      <c r="E292"/>
    </row>
    <row r="293" spans="3:5">
      <c r="C293"/>
      <c r="D293"/>
      <c r="E293"/>
    </row>
    <row r="294" spans="3:5">
      <c r="C294"/>
      <c r="D294"/>
      <c r="E294"/>
    </row>
    <row r="295" spans="3:5">
      <c r="C295"/>
      <c r="D295"/>
      <c r="E295"/>
    </row>
    <row r="296" spans="3:5">
      <c r="C296"/>
      <c r="D296"/>
      <c r="E296"/>
    </row>
    <row r="297" spans="3:5">
      <c r="C297"/>
      <c r="D297"/>
      <c r="E297"/>
    </row>
    <row r="298" spans="3:5">
      <c r="C298"/>
      <c r="D298"/>
      <c r="E298"/>
    </row>
    <row r="299" spans="3:5">
      <c r="C299"/>
      <c r="D299"/>
      <c r="E299"/>
    </row>
    <row r="300" spans="3:5">
      <c r="C300"/>
      <c r="D300"/>
      <c r="E300"/>
    </row>
    <row r="301" spans="3:5">
      <c r="C301"/>
      <c r="D301"/>
      <c r="E301"/>
    </row>
    <row r="302" spans="3:5">
      <c r="C302"/>
      <c r="D302"/>
      <c r="E302"/>
    </row>
    <row r="303" spans="3:5">
      <c r="C303"/>
      <c r="D303"/>
      <c r="E303"/>
    </row>
    <row r="304" spans="3:5">
      <c r="C304"/>
      <c r="D304"/>
      <c r="E304"/>
    </row>
    <row r="305" spans="3:5">
      <c r="C305"/>
      <c r="D305"/>
      <c r="E305"/>
    </row>
    <row r="306" spans="3:5">
      <c r="C306"/>
      <c r="D306"/>
      <c r="E306"/>
    </row>
    <row r="307" spans="3:5">
      <c r="C307"/>
      <c r="D307"/>
      <c r="E307"/>
    </row>
    <row r="308" spans="3:5">
      <c r="C308"/>
      <c r="D308"/>
      <c r="E308"/>
    </row>
    <row r="309" spans="3:5">
      <c r="C309"/>
      <c r="D309"/>
      <c r="E309"/>
    </row>
    <row r="310" spans="3:5">
      <c r="C310"/>
      <c r="D310"/>
      <c r="E310"/>
    </row>
    <row r="311" spans="3:5">
      <c r="C311"/>
      <c r="D311"/>
      <c r="E311"/>
    </row>
    <row r="312" spans="3:5">
      <c r="C312"/>
      <c r="D312"/>
      <c r="E312"/>
    </row>
    <row r="313" spans="3:5">
      <c r="C313"/>
      <c r="D313"/>
      <c r="E313"/>
    </row>
    <row r="314" spans="3:5">
      <c r="C314"/>
      <c r="D314"/>
      <c r="E314"/>
    </row>
    <row r="315" spans="3:5">
      <c r="C315"/>
      <c r="D315"/>
      <c r="E315"/>
    </row>
    <row r="316" spans="3:5">
      <c r="C316"/>
      <c r="D316"/>
      <c r="E316"/>
    </row>
    <row r="317" spans="3:5">
      <c r="C317"/>
      <c r="D317"/>
      <c r="E317"/>
    </row>
    <row r="318" spans="3:5">
      <c r="C318"/>
      <c r="D318"/>
      <c r="E318"/>
    </row>
    <row r="319" spans="3:5">
      <c r="C319"/>
      <c r="D319"/>
      <c r="E319"/>
    </row>
    <row r="320" spans="3:5">
      <c r="C320"/>
      <c r="D320"/>
      <c r="E320"/>
    </row>
    <row r="321" spans="3:5">
      <c r="C321"/>
      <c r="D321"/>
      <c r="E321"/>
    </row>
    <row r="322" spans="3:5">
      <c r="C322"/>
      <c r="D322"/>
      <c r="E322"/>
    </row>
    <row r="323" spans="3:5">
      <c r="C323"/>
      <c r="D323"/>
      <c r="E323"/>
    </row>
    <row r="324" spans="3:5">
      <c r="C324"/>
      <c r="D324"/>
      <c r="E324"/>
    </row>
    <row r="325" spans="3:5">
      <c r="C325"/>
      <c r="D325"/>
      <c r="E325"/>
    </row>
    <row r="326" spans="3:5">
      <c r="C326"/>
      <c r="D326"/>
      <c r="E326"/>
    </row>
    <row r="327" spans="3:5">
      <c r="C327"/>
      <c r="D327"/>
      <c r="E327"/>
    </row>
    <row r="328" spans="3:5">
      <c r="C328"/>
      <c r="D328"/>
      <c r="E328"/>
    </row>
    <row r="329" spans="3:5">
      <c r="C329"/>
      <c r="D329"/>
      <c r="E329"/>
    </row>
    <row r="330" spans="3:5">
      <c r="C330"/>
      <c r="D330"/>
      <c r="E330"/>
    </row>
    <row r="331" spans="3:5">
      <c r="C331"/>
      <c r="D331"/>
      <c r="E331"/>
    </row>
    <row r="332" spans="3:5">
      <c r="C332"/>
      <c r="D332"/>
      <c r="E332"/>
    </row>
    <row r="333" spans="3:5">
      <c r="C333"/>
      <c r="D333"/>
      <c r="E333"/>
    </row>
    <row r="334" spans="3:5">
      <c r="C334"/>
      <c r="D334"/>
      <c r="E334"/>
    </row>
    <row r="335" spans="3:5">
      <c r="C335"/>
      <c r="D335"/>
      <c r="E335"/>
    </row>
    <row r="336" spans="3:5">
      <c r="C336"/>
      <c r="D336"/>
      <c r="E336"/>
    </row>
    <row r="337" spans="3:5">
      <c r="C337"/>
      <c r="D337"/>
      <c r="E337"/>
    </row>
    <row r="338" spans="3:5">
      <c r="C338"/>
      <c r="D338"/>
      <c r="E338"/>
    </row>
    <row r="339" spans="3:5">
      <c r="C339"/>
      <c r="D339"/>
      <c r="E339"/>
    </row>
    <row r="340" spans="3:5">
      <c r="C340"/>
      <c r="D340"/>
      <c r="E340"/>
    </row>
    <row r="341" spans="3:5">
      <c r="C341"/>
      <c r="D341"/>
      <c r="E341"/>
    </row>
    <row r="342" spans="3:5">
      <c r="C342"/>
      <c r="D342"/>
      <c r="E342"/>
    </row>
    <row r="343" spans="3:5">
      <c r="C343"/>
      <c r="D343"/>
      <c r="E343"/>
    </row>
    <row r="344" spans="3:5">
      <c r="C344"/>
      <c r="D344"/>
      <c r="E344"/>
    </row>
    <row r="345" spans="3:5">
      <c r="C345"/>
      <c r="D345"/>
      <c r="E345"/>
    </row>
    <row r="346" spans="3:5">
      <c r="C346"/>
      <c r="D346"/>
      <c r="E346"/>
    </row>
    <row r="347" spans="3:5">
      <c r="C347"/>
      <c r="D347"/>
      <c r="E347"/>
    </row>
    <row r="348" spans="3:5">
      <c r="C348"/>
      <c r="D348"/>
      <c r="E348"/>
    </row>
    <row r="349" spans="3:5">
      <c r="C349"/>
      <c r="D349"/>
      <c r="E349"/>
    </row>
    <row r="350" spans="3:5">
      <c r="C350"/>
      <c r="D350"/>
      <c r="E350"/>
    </row>
    <row r="351" spans="3:5">
      <c r="C351"/>
      <c r="D351"/>
      <c r="E351"/>
    </row>
    <row r="352" spans="3:5">
      <c r="C352"/>
      <c r="D352"/>
      <c r="E352"/>
    </row>
    <row r="353" spans="3:5">
      <c r="C353"/>
      <c r="D353"/>
      <c r="E353"/>
    </row>
    <row r="354" spans="3:5">
      <c r="C354"/>
      <c r="D354"/>
      <c r="E354"/>
    </row>
    <row r="355" spans="3:5">
      <c r="C355"/>
      <c r="D355"/>
      <c r="E355"/>
    </row>
    <row r="356" spans="3:5">
      <c r="C356"/>
      <c r="D356"/>
      <c r="E356"/>
    </row>
    <row r="357" spans="3:5">
      <c r="C357"/>
      <c r="D357"/>
      <c r="E357"/>
    </row>
    <row r="358" spans="3:5">
      <c r="C358"/>
      <c r="D358"/>
      <c r="E358"/>
    </row>
    <row r="359" spans="3:5">
      <c r="C359"/>
      <c r="D359"/>
      <c r="E359"/>
    </row>
    <row r="360" spans="3:5">
      <c r="C360"/>
      <c r="D360"/>
      <c r="E36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7"/>
  <sheetViews>
    <sheetView workbookViewId="0">
      <selection activeCell="B13" sqref="B13"/>
    </sheetView>
  </sheetViews>
  <sheetFormatPr defaultRowHeight="15"/>
  <cols>
    <col min="1" max="1" width="13.140625" style="79" customWidth="1"/>
    <col min="2" max="2" width="27.7109375" style="90" customWidth="1"/>
    <col min="3" max="3" width="21.5703125" style="90" customWidth="1"/>
    <col min="4" max="4" width="17.5703125" style="90" customWidth="1"/>
    <col min="5" max="5" width="13.28515625" style="90" customWidth="1"/>
    <col min="6" max="6" width="13.28515625" style="79" bestFit="1" customWidth="1"/>
    <col min="7" max="7" width="32.140625" style="79" bestFit="1" customWidth="1"/>
    <col min="8" max="8" width="34.42578125" style="79" bestFit="1" customWidth="1"/>
    <col min="9" max="9" width="31.140625" style="79" bestFit="1" customWidth="1"/>
    <col min="10" max="10" width="13.28515625" style="79" bestFit="1" customWidth="1"/>
    <col min="11" max="11" width="13.7109375" style="79" bestFit="1" customWidth="1"/>
    <col min="12" max="12" width="16.5703125" style="79" bestFit="1" customWidth="1"/>
    <col min="13" max="13" width="19.7109375" style="79" bestFit="1" customWidth="1"/>
    <col min="14" max="14" width="29.42578125" style="79" bestFit="1" customWidth="1"/>
    <col min="15" max="15" width="29.7109375" style="79" bestFit="1" customWidth="1"/>
    <col min="16" max="16" width="26.28515625" style="79" bestFit="1" customWidth="1"/>
    <col min="17" max="17" width="32.140625" style="79" bestFit="1" customWidth="1"/>
    <col min="18" max="18" width="36.85546875" style="79" bestFit="1" customWidth="1"/>
    <col min="19" max="19" width="29.85546875" style="79" bestFit="1" customWidth="1"/>
    <col min="20" max="20" width="13.28515625" style="79" bestFit="1" customWidth="1"/>
    <col min="21" max="21" width="24.85546875" style="79" bestFit="1" customWidth="1"/>
    <col min="22" max="22" width="34.28515625" style="79" bestFit="1" customWidth="1"/>
    <col min="23" max="23" width="31.42578125" style="79" bestFit="1" customWidth="1"/>
    <col min="24" max="24" width="23.5703125" style="79" bestFit="1" customWidth="1"/>
    <col min="25" max="25" width="24.5703125" style="79" bestFit="1" customWidth="1"/>
    <col min="26" max="26" width="31.42578125" style="79" bestFit="1" customWidth="1"/>
    <col min="27" max="27" width="23.42578125" style="79" bestFit="1" customWidth="1"/>
    <col min="28" max="28" width="24.7109375" style="79" bestFit="1" customWidth="1"/>
    <col min="29" max="29" width="28.7109375" style="79" bestFit="1" customWidth="1"/>
    <col min="30" max="30" width="29.28515625" style="79" bestFit="1" customWidth="1"/>
    <col min="31" max="31" width="12.28515625" style="79" bestFit="1" customWidth="1"/>
    <col min="32" max="32" width="19.85546875" style="79" bestFit="1" customWidth="1"/>
    <col min="33" max="33" width="11.5703125" style="79" bestFit="1" customWidth="1"/>
    <col min="34" max="34" width="15.28515625" style="79" bestFit="1" customWidth="1"/>
    <col min="35" max="35" width="16.85546875" style="79" bestFit="1" customWidth="1"/>
    <col min="36" max="36" width="21.140625" style="79" bestFit="1" customWidth="1"/>
    <col min="37" max="37" width="29.28515625" style="79" bestFit="1" customWidth="1"/>
    <col min="38" max="38" width="16.7109375" style="79" bestFit="1" customWidth="1"/>
    <col min="39" max="39" width="28.140625" style="79" bestFit="1" customWidth="1"/>
    <col min="40" max="40" width="11.5703125" style="79" bestFit="1" customWidth="1"/>
    <col min="41" max="41" width="12.7109375" style="79" bestFit="1" customWidth="1"/>
    <col min="42" max="42" width="26.7109375" style="79" bestFit="1" customWidth="1"/>
    <col min="43" max="43" width="22.140625" style="79" bestFit="1" customWidth="1"/>
    <col min="44" max="44" width="33.42578125" style="79" bestFit="1" customWidth="1"/>
    <col min="45" max="45" width="18" style="79" bestFit="1" customWidth="1"/>
    <col min="46" max="46" width="22.28515625" style="79" bestFit="1" customWidth="1"/>
    <col min="47" max="47" width="33.28515625" style="79" bestFit="1" customWidth="1"/>
    <col min="48" max="48" width="22.140625" style="79" bestFit="1" customWidth="1"/>
    <col min="49" max="49" width="11.5703125" style="79" bestFit="1" customWidth="1"/>
    <col min="50" max="50" width="19.5703125" style="79" bestFit="1" customWidth="1"/>
    <col min="51" max="51" width="15" style="79" bestFit="1" customWidth="1"/>
    <col min="52" max="52" width="15.85546875" style="79" bestFit="1" customWidth="1"/>
    <col min="53" max="53" width="11.5703125" style="79" bestFit="1" customWidth="1"/>
    <col min="54" max="54" width="15.42578125" style="79" bestFit="1" customWidth="1"/>
    <col min="55" max="55" width="23.5703125" style="79" bestFit="1" customWidth="1"/>
    <col min="56" max="56" width="11.5703125" style="79" bestFit="1" customWidth="1"/>
    <col min="57" max="57" width="10.5703125" style="79" bestFit="1" customWidth="1"/>
    <col min="58" max="58" width="17" style="79" bestFit="1" customWidth="1"/>
    <col min="59" max="59" width="31.28515625" style="79" bestFit="1" customWidth="1"/>
    <col min="60" max="60" width="32.42578125" style="79" bestFit="1" customWidth="1"/>
    <col min="61" max="61" width="35.5703125" style="79" bestFit="1" customWidth="1"/>
    <col min="62" max="62" width="24.7109375" style="79" bestFit="1" customWidth="1"/>
    <col min="63" max="63" width="16.28515625" style="79" bestFit="1" customWidth="1"/>
    <col min="64" max="64" width="30.140625" style="79" bestFit="1" customWidth="1"/>
    <col min="65" max="65" width="33.85546875" style="79" bestFit="1" customWidth="1"/>
    <col min="66" max="66" width="30.28515625" style="79" bestFit="1" customWidth="1"/>
    <col min="67" max="67" width="15" style="79" bestFit="1" customWidth="1"/>
    <col min="68" max="68" width="18.28515625" style="79" bestFit="1" customWidth="1"/>
    <col min="69" max="69" width="20" style="79" bestFit="1" customWidth="1"/>
    <col min="70" max="70" width="31.28515625" style="79" bestFit="1" customWidth="1"/>
    <col min="71" max="71" width="17.42578125" style="79" bestFit="1" customWidth="1"/>
    <col min="72" max="72" width="12.140625" style="79" bestFit="1" customWidth="1"/>
    <col min="73" max="73" width="15" style="79" bestFit="1" customWidth="1"/>
    <col min="74" max="74" width="16.140625" style="79" bestFit="1" customWidth="1"/>
    <col min="75" max="75" width="31.42578125" style="79" bestFit="1" customWidth="1"/>
    <col min="76" max="76" width="31" style="79" bestFit="1" customWidth="1"/>
    <col min="77" max="77" width="16.140625" style="79" bestFit="1" customWidth="1"/>
    <col min="78" max="78" width="28.7109375" style="79" bestFit="1" customWidth="1"/>
    <col min="79" max="79" width="30.5703125" style="79" bestFit="1" customWidth="1"/>
    <col min="80" max="80" width="34" style="79" bestFit="1" customWidth="1"/>
    <col min="81" max="81" width="14.28515625" style="79" bestFit="1" customWidth="1"/>
    <col min="82" max="16384" width="9.140625" style="79"/>
  </cols>
  <sheetData>
    <row r="1" spans="1:5">
      <c r="A1" s="119" t="s">
        <v>1256</v>
      </c>
      <c r="B1" s="79" t="s">
        <v>1905</v>
      </c>
      <c r="D1" s="79" t="s">
        <v>2078</v>
      </c>
    </row>
    <row r="2" spans="1:5">
      <c r="A2" s="119" t="s">
        <v>1261</v>
      </c>
      <c r="B2" s="79" t="s">
        <v>2066</v>
      </c>
      <c r="D2" s="79" t="s">
        <v>2079</v>
      </c>
    </row>
    <row r="3" spans="1:5">
      <c r="A3"/>
      <c r="B3"/>
      <c r="C3" s="79"/>
      <c r="D3" s="79" t="s">
        <v>2080</v>
      </c>
      <c r="E3" s="79"/>
    </row>
    <row r="4" spans="1:5">
      <c r="A4" s="119" t="s">
        <v>1246</v>
      </c>
      <c r="B4" s="94" t="s">
        <v>1955</v>
      </c>
      <c r="C4" s="79"/>
      <c r="D4" s="79" t="s">
        <v>2081</v>
      </c>
      <c r="E4" s="79"/>
    </row>
    <row r="5" spans="1:5">
      <c r="A5" s="120" t="s">
        <v>1249</v>
      </c>
      <c r="B5" s="94">
        <v>1715950</v>
      </c>
      <c r="C5" s="79"/>
      <c r="D5" s="79" t="s">
        <v>2082</v>
      </c>
      <c r="E5" s="79"/>
    </row>
    <row r="6" spans="1:5">
      <c r="A6" s="120" t="s">
        <v>1250</v>
      </c>
      <c r="B6" s="94">
        <v>24225239</v>
      </c>
      <c r="C6" s="79"/>
      <c r="D6" s="79" t="s">
        <v>2083</v>
      </c>
      <c r="E6" s="79"/>
    </row>
    <row r="7" spans="1:5">
      <c r="A7" s="120" t="s">
        <v>1251</v>
      </c>
      <c r="B7" s="94">
        <v>11834075</v>
      </c>
      <c r="C7" s="79"/>
      <c r="D7" s="79" t="s">
        <v>2084</v>
      </c>
      <c r="E7" s="79"/>
    </row>
    <row r="8" spans="1:5">
      <c r="A8" s="120" t="s">
        <v>1957</v>
      </c>
      <c r="B8" s="94">
        <v>272144</v>
      </c>
      <c r="C8" s="79"/>
      <c r="D8" s="79" t="s">
        <v>2085</v>
      </c>
      <c r="E8" s="79"/>
    </row>
    <row r="9" spans="1:5">
      <c r="A9" s="120" t="s">
        <v>1252</v>
      </c>
      <c r="B9" s="94">
        <v>2658064</v>
      </c>
      <c r="C9" s="79"/>
      <c r="D9" s="79" t="s">
        <v>2086</v>
      </c>
      <c r="E9" s="79"/>
    </row>
    <row r="10" spans="1:5">
      <c r="A10" s="120" t="s">
        <v>1253</v>
      </c>
      <c r="B10" s="94">
        <v>449832</v>
      </c>
      <c r="C10" s="79"/>
      <c r="D10" s="79"/>
      <c r="E10" s="79"/>
    </row>
    <row r="11" spans="1:5">
      <c r="A11" s="120" t="s">
        <v>1958</v>
      </c>
      <c r="B11" s="94">
        <v>0</v>
      </c>
      <c r="C11" s="79"/>
      <c r="D11" s="79"/>
      <c r="E11" s="79"/>
    </row>
    <row r="12" spans="1:5">
      <c r="A12" s="120" t="s">
        <v>2076</v>
      </c>
      <c r="B12" s="94">
        <v>4890628</v>
      </c>
      <c r="C12" s="79"/>
      <c r="D12" s="79"/>
      <c r="E12" s="79"/>
    </row>
    <row r="13" spans="1:5">
      <c r="A13" s="120" t="s">
        <v>2077</v>
      </c>
      <c r="B13" s="94">
        <v>5531857</v>
      </c>
      <c r="C13" s="79"/>
      <c r="D13" s="79"/>
      <c r="E13" s="79"/>
    </row>
    <row r="14" spans="1:5">
      <c r="A14" s="120" t="s">
        <v>1248</v>
      </c>
      <c r="B14" s="94">
        <v>51577789</v>
      </c>
      <c r="C14" s="79"/>
      <c r="D14" s="79"/>
      <c r="E14" s="79"/>
    </row>
    <row r="15" spans="1:5">
      <c r="A15"/>
      <c r="B15"/>
      <c r="C15" s="79"/>
      <c r="D15" s="79"/>
      <c r="E15" s="79"/>
    </row>
    <row r="16" spans="1:5">
      <c r="A16"/>
      <c r="B16"/>
      <c r="C16" s="79"/>
      <c r="D16" s="79"/>
      <c r="E16" s="79"/>
    </row>
    <row r="17" spans="1:5">
      <c r="A17"/>
      <c r="B17"/>
      <c r="C17" s="79"/>
      <c r="D17" s="79"/>
      <c r="E17" s="79"/>
    </row>
    <row r="18" spans="1:5">
      <c r="A18"/>
      <c r="B18"/>
      <c r="C18" s="79"/>
      <c r="D18" s="79"/>
      <c r="E18" s="79"/>
    </row>
    <row r="19" spans="1:5">
      <c r="A19"/>
      <c r="B19"/>
      <c r="C19" s="79"/>
      <c r="D19" s="79"/>
      <c r="E19" s="79"/>
    </row>
    <row r="20" spans="1:5">
      <c r="A20"/>
      <c r="B20"/>
      <c r="C20" s="79"/>
      <c r="D20" s="79"/>
      <c r="E20" s="79"/>
    </row>
    <row r="21" spans="1:5">
      <c r="A21"/>
      <c r="B21"/>
      <c r="C21" s="79"/>
      <c r="D21" s="79"/>
      <c r="E21" s="79"/>
    </row>
    <row r="22" spans="1:5">
      <c r="A22"/>
      <c r="B22"/>
      <c r="C22" s="79"/>
      <c r="D22" s="79"/>
      <c r="E22" s="79"/>
    </row>
    <row r="23" spans="1:5">
      <c r="A23"/>
      <c r="B23"/>
      <c r="C23" s="79"/>
      <c r="D23" s="79"/>
      <c r="E23" s="79"/>
    </row>
    <row r="24" spans="1:5">
      <c r="A24"/>
      <c r="B24"/>
      <c r="C24" s="79"/>
      <c r="D24" s="79"/>
      <c r="E24" s="79"/>
    </row>
    <row r="25" spans="1:5">
      <c r="A25"/>
      <c r="B25"/>
      <c r="C25" s="79"/>
      <c r="D25" s="79"/>
      <c r="E25" s="79"/>
    </row>
    <row r="26" spans="1:5">
      <c r="A26"/>
      <c r="B26"/>
      <c r="C26" s="79"/>
      <c r="D26" s="79"/>
      <c r="E26" s="79"/>
    </row>
    <row r="27" spans="1:5">
      <c r="A27"/>
      <c r="B27"/>
      <c r="C27" s="79"/>
      <c r="D27" s="79"/>
      <c r="E27" s="79"/>
    </row>
    <row r="28" spans="1:5">
      <c r="A28"/>
      <c r="B28"/>
      <c r="C28" s="79"/>
      <c r="D28" s="79"/>
      <c r="E28" s="79"/>
    </row>
    <row r="29" spans="1:5">
      <c r="A29"/>
      <c r="B29"/>
      <c r="C29" s="79"/>
      <c r="D29" s="79"/>
      <c r="E29" s="79"/>
    </row>
    <row r="30" spans="1:5">
      <c r="A30"/>
      <c r="B30"/>
      <c r="C30" s="79"/>
      <c r="D30" s="79"/>
      <c r="E30" s="79"/>
    </row>
    <row r="31" spans="1:5">
      <c r="A31"/>
      <c r="B31"/>
      <c r="C31" s="79"/>
      <c r="D31" s="79"/>
      <c r="E31" s="79"/>
    </row>
    <row r="32" spans="1:5">
      <c r="A32"/>
      <c r="B32"/>
      <c r="C32" s="79"/>
      <c r="D32" s="79"/>
      <c r="E32" s="79"/>
    </row>
    <row r="33" spans="1:5">
      <c r="A33"/>
      <c r="B33"/>
      <c r="C33" s="79"/>
      <c r="D33" s="79"/>
      <c r="E33" s="79"/>
    </row>
    <row r="34" spans="1:5">
      <c r="A34"/>
      <c r="B34"/>
      <c r="C34" s="79"/>
      <c r="D34" s="79"/>
      <c r="E34" s="79"/>
    </row>
    <row r="35" spans="1:5">
      <c r="A35"/>
      <c r="B35"/>
      <c r="C35" s="79"/>
      <c r="D35" s="79"/>
      <c r="E35" s="79"/>
    </row>
    <row r="36" spans="1:5">
      <c r="A36"/>
      <c r="B36"/>
      <c r="C36" s="79"/>
      <c r="D36" s="79"/>
      <c r="E36" s="79"/>
    </row>
    <row r="37" spans="1:5">
      <c r="A37"/>
      <c r="B37"/>
      <c r="C37" s="79"/>
      <c r="D37" s="79"/>
      <c r="E37" s="79"/>
    </row>
    <row r="38" spans="1:5">
      <c r="A38"/>
      <c r="B38"/>
      <c r="C38" s="79"/>
      <c r="D38" s="79"/>
      <c r="E38" s="79"/>
    </row>
    <row r="39" spans="1:5">
      <c r="A39"/>
      <c r="B39"/>
      <c r="C39" s="79"/>
      <c r="D39" s="79"/>
      <c r="E39" s="79"/>
    </row>
    <row r="40" spans="1:5">
      <c r="A40"/>
      <c r="B40"/>
      <c r="C40" s="79"/>
      <c r="D40" s="79"/>
      <c r="E40" s="79"/>
    </row>
    <row r="41" spans="1:5">
      <c r="A41"/>
      <c r="B41"/>
      <c r="C41" s="79"/>
      <c r="D41" s="79"/>
      <c r="E41" s="79"/>
    </row>
    <row r="42" spans="1:5">
      <c r="A42"/>
      <c r="B42"/>
      <c r="C42" s="79"/>
      <c r="D42" s="79"/>
      <c r="E42" s="79"/>
    </row>
    <row r="43" spans="1:5">
      <c r="A43"/>
      <c r="B43"/>
      <c r="C43" s="79"/>
      <c r="D43" s="79"/>
      <c r="E43" s="79"/>
    </row>
    <row r="44" spans="1:5">
      <c r="A44"/>
      <c r="B44"/>
      <c r="C44" s="79"/>
      <c r="D44" s="79"/>
      <c r="E44" s="79"/>
    </row>
    <row r="45" spans="1:5">
      <c r="A45"/>
      <c r="B45"/>
      <c r="C45" s="79"/>
      <c r="D45" s="79"/>
      <c r="E45" s="79"/>
    </row>
    <row r="46" spans="1:5">
      <c r="A46"/>
      <c r="B46"/>
      <c r="C46" s="79"/>
      <c r="D46" s="79"/>
      <c r="E46" s="79"/>
    </row>
    <row r="47" spans="1:5">
      <c r="A47"/>
      <c r="B47"/>
      <c r="C47" s="79"/>
      <c r="D47" s="79"/>
      <c r="E47" s="79"/>
    </row>
    <row r="48" spans="1:5">
      <c r="A48"/>
      <c r="B48"/>
      <c r="C48" s="79"/>
      <c r="D48" s="79"/>
      <c r="E48" s="79"/>
    </row>
    <row r="49" spans="1:5">
      <c r="A49"/>
      <c r="B49"/>
      <c r="C49" s="79"/>
      <c r="D49" s="79"/>
      <c r="E49" s="79"/>
    </row>
    <row r="50" spans="1:5">
      <c r="A50"/>
      <c r="B50"/>
      <c r="C50" s="79"/>
      <c r="D50" s="79"/>
      <c r="E50" s="79"/>
    </row>
    <row r="51" spans="1:5">
      <c r="A51"/>
      <c r="B51"/>
      <c r="C51" s="79"/>
      <c r="D51" s="79"/>
      <c r="E51" s="79"/>
    </row>
    <row r="52" spans="1:5">
      <c r="A52"/>
      <c r="B52"/>
      <c r="C52" s="79"/>
      <c r="D52" s="79"/>
      <c r="E52" s="79"/>
    </row>
    <row r="53" spans="1:5">
      <c r="A53"/>
      <c r="B53"/>
      <c r="C53" s="79"/>
      <c r="D53" s="79"/>
      <c r="E53" s="79"/>
    </row>
    <row r="54" spans="1:5">
      <c r="A54"/>
      <c r="B54"/>
      <c r="C54" s="79"/>
      <c r="D54" s="79"/>
      <c r="E54" s="79"/>
    </row>
    <row r="55" spans="1:5">
      <c r="A55"/>
      <c r="B55"/>
      <c r="C55" s="79"/>
      <c r="D55" s="79"/>
      <c r="E55" s="79"/>
    </row>
    <row r="56" spans="1:5">
      <c r="A56"/>
      <c r="B56"/>
      <c r="C56" s="79"/>
      <c r="D56" s="79"/>
      <c r="E56" s="79"/>
    </row>
    <row r="57" spans="1:5">
      <c r="A57"/>
      <c r="B57"/>
      <c r="C57" s="79"/>
      <c r="D57" s="79"/>
      <c r="E57" s="79"/>
    </row>
    <row r="58" spans="1:5">
      <c r="A58"/>
      <c r="B58"/>
      <c r="C58" s="79"/>
      <c r="D58" s="79"/>
      <c r="E58" s="79"/>
    </row>
    <row r="59" spans="1:5">
      <c r="A59"/>
      <c r="B59"/>
      <c r="C59" s="79"/>
      <c r="D59" s="79"/>
      <c r="E59" s="79"/>
    </row>
    <row r="60" spans="1:5">
      <c r="A60"/>
      <c r="B60"/>
      <c r="C60" s="79"/>
      <c r="D60" s="79"/>
      <c r="E60" s="79"/>
    </row>
    <row r="61" spans="1:5">
      <c r="A61"/>
      <c r="B61"/>
      <c r="C61" s="79"/>
      <c r="D61" s="79"/>
      <c r="E61" s="79"/>
    </row>
    <row r="62" spans="1:5">
      <c r="A62"/>
      <c r="B62"/>
      <c r="C62" s="79"/>
      <c r="D62" s="79"/>
      <c r="E62" s="79"/>
    </row>
    <row r="63" spans="1:5">
      <c r="A63"/>
      <c r="B63"/>
      <c r="C63" s="79"/>
      <c r="D63" s="79"/>
      <c r="E63" s="79"/>
    </row>
    <row r="64" spans="1:5">
      <c r="A64"/>
      <c r="B64"/>
      <c r="C64" s="79"/>
      <c r="D64" s="79"/>
      <c r="E64" s="79"/>
    </row>
    <row r="65" spans="1:5">
      <c r="A65"/>
      <c r="B65"/>
      <c r="C65" s="79"/>
      <c r="D65" s="79"/>
      <c r="E65" s="79"/>
    </row>
    <row r="66" spans="1:5">
      <c r="A66"/>
      <c r="B66"/>
      <c r="C66" s="79"/>
      <c r="D66" s="79"/>
      <c r="E66" s="79"/>
    </row>
    <row r="67" spans="1:5">
      <c r="A67"/>
      <c r="B67"/>
      <c r="C67" s="79"/>
      <c r="D67" s="79"/>
      <c r="E67" s="79"/>
    </row>
    <row r="68" spans="1:5">
      <c r="A68"/>
      <c r="B68"/>
      <c r="C68" s="79"/>
      <c r="D68" s="79"/>
      <c r="E68" s="79"/>
    </row>
    <row r="69" spans="1:5">
      <c r="A69"/>
      <c r="B69"/>
      <c r="C69" s="79"/>
      <c r="D69" s="79"/>
      <c r="E69" s="79"/>
    </row>
    <row r="70" spans="1:5">
      <c r="A70"/>
      <c r="B70"/>
      <c r="C70" s="79"/>
      <c r="D70" s="79"/>
      <c r="E70" s="79"/>
    </row>
    <row r="71" spans="1:5">
      <c r="A71"/>
      <c r="B71"/>
      <c r="C71" s="79"/>
      <c r="D71" s="79"/>
      <c r="E71" s="79"/>
    </row>
    <row r="72" spans="1:5">
      <c r="A72"/>
      <c r="B72"/>
      <c r="C72" s="79"/>
      <c r="D72" s="79"/>
      <c r="E72" s="79"/>
    </row>
    <row r="73" spans="1:5">
      <c r="A73"/>
      <c r="B73"/>
      <c r="C73" s="79"/>
      <c r="D73" s="79"/>
      <c r="E73" s="79"/>
    </row>
    <row r="74" spans="1:5">
      <c r="A74"/>
      <c r="B74"/>
      <c r="C74" s="79"/>
      <c r="D74" s="79"/>
      <c r="E74" s="79"/>
    </row>
    <row r="75" spans="1:5">
      <c r="A75"/>
      <c r="B75"/>
      <c r="C75" s="79"/>
      <c r="D75" s="79"/>
      <c r="E75" s="79"/>
    </row>
    <row r="76" spans="1:5">
      <c r="A76"/>
      <c r="B76"/>
      <c r="C76" s="79"/>
      <c r="D76" s="79"/>
      <c r="E76" s="79"/>
    </row>
    <row r="77" spans="1:5">
      <c r="A77"/>
      <c r="B77"/>
      <c r="C77" s="79"/>
      <c r="D77" s="79"/>
      <c r="E77" s="79"/>
    </row>
    <row r="78" spans="1:5">
      <c r="A78"/>
      <c r="B78"/>
      <c r="C78" s="79"/>
      <c r="D78" s="79"/>
      <c r="E78" s="79"/>
    </row>
    <row r="79" spans="1:5">
      <c r="A79"/>
      <c r="B79"/>
      <c r="C79" s="79"/>
      <c r="D79" s="79"/>
      <c r="E79" s="79"/>
    </row>
    <row r="80" spans="1:5">
      <c r="A80"/>
      <c r="B80"/>
      <c r="C80" s="79"/>
      <c r="D80" s="79"/>
      <c r="E80" s="79"/>
    </row>
    <row r="81" spans="1:5">
      <c r="A81"/>
      <c r="B81"/>
      <c r="C81" s="79"/>
      <c r="D81" s="79"/>
      <c r="E81" s="79"/>
    </row>
    <row r="82" spans="1:5">
      <c r="A82"/>
      <c r="B82"/>
      <c r="C82" s="79"/>
      <c r="D82" s="79"/>
      <c r="E82" s="79"/>
    </row>
    <row r="83" spans="1:5">
      <c r="A83"/>
      <c r="B83"/>
      <c r="C83" s="79"/>
      <c r="D83" s="79"/>
      <c r="E83" s="79"/>
    </row>
    <row r="84" spans="1:5">
      <c r="A84"/>
      <c r="B84"/>
      <c r="C84" s="79"/>
      <c r="D84" s="79"/>
      <c r="E84" s="79"/>
    </row>
    <row r="85" spans="1:5">
      <c r="A85"/>
      <c r="B85"/>
      <c r="C85" s="79"/>
      <c r="D85" s="79"/>
      <c r="E85" s="79"/>
    </row>
    <row r="86" spans="1:5">
      <c r="A86"/>
      <c r="B86"/>
      <c r="C86" s="79"/>
      <c r="D86" s="79"/>
      <c r="E86" s="79"/>
    </row>
    <row r="87" spans="1:5">
      <c r="A87"/>
      <c r="B87"/>
      <c r="C87" s="79"/>
      <c r="D87" s="79"/>
      <c r="E87" s="79"/>
    </row>
    <row r="88" spans="1:5">
      <c r="A88"/>
      <c r="B88"/>
      <c r="C88" s="79"/>
      <c r="D88" s="79"/>
      <c r="E88" s="79"/>
    </row>
    <row r="89" spans="1:5">
      <c r="A89"/>
      <c r="B89"/>
      <c r="C89" s="79"/>
      <c r="D89" s="79"/>
      <c r="E89" s="79"/>
    </row>
    <row r="90" spans="1:5">
      <c r="A90"/>
      <c r="B90"/>
      <c r="C90" s="79"/>
      <c r="D90" s="79"/>
      <c r="E90" s="79"/>
    </row>
    <row r="91" spans="1:5">
      <c r="A91"/>
      <c r="B91"/>
      <c r="C91" s="79"/>
      <c r="D91" s="79"/>
      <c r="E91" s="79"/>
    </row>
    <row r="92" spans="1:5">
      <c r="A92"/>
      <c r="B92"/>
      <c r="C92" s="79"/>
      <c r="D92" s="79"/>
      <c r="E92" s="79"/>
    </row>
    <row r="93" spans="1:5">
      <c r="A93"/>
      <c r="B93"/>
      <c r="C93" s="79"/>
      <c r="D93" s="79"/>
      <c r="E93" s="79"/>
    </row>
    <row r="94" spans="1:5">
      <c r="A94"/>
      <c r="B94"/>
      <c r="C94" s="79"/>
      <c r="D94" s="79"/>
      <c r="E94" s="79"/>
    </row>
    <row r="95" spans="1:5">
      <c r="A95"/>
      <c r="B95"/>
      <c r="C95" s="79"/>
      <c r="D95" s="79"/>
      <c r="E95" s="79"/>
    </row>
    <row r="96" spans="1:5">
      <c r="A96"/>
      <c r="B96"/>
      <c r="C96" s="79"/>
      <c r="D96" s="79"/>
      <c r="E96" s="79"/>
    </row>
    <row r="97" spans="1:5">
      <c r="A97"/>
      <c r="B97"/>
      <c r="C97" s="79"/>
      <c r="D97" s="79"/>
      <c r="E97" s="79"/>
    </row>
    <row r="98" spans="1:5">
      <c r="A98"/>
      <c r="B98"/>
      <c r="C98" s="79"/>
      <c r="D98" s="79"/>
      <c r="E98" s="79"/>
    </row>
    <row r="99" spans="1:5">
      <c r="A99"/>
      <c r="B99"/>
      <c r="C99" s="79"/>
      <c r="D99" s="79"/>
      <c r="E99" s="79"/>
    </row>
    <row r="100" spans="1:5">
      <c r="A100"/>
      <c r="B100"/>
      <c r="C100" s="79"/>
      <c r="D100" s="79"/>
      <c r="E100" s="79"/>
    </row>
    <row r="101" spans="1:5">
      <c r="A101"/>
      <c r="B101"/>
      <c r="C101" s="79"/>
      <c r="D101" s="79"/>
      <c r="E101" s="79"/>
    </row>
    <row r="102" spans="1:5">
      <c r="A102"/>
      <c r="B102"/>
      <c r="C102" s="79"/>
      <c r="D102" s="79"/>
      <c r="E102" s="79"/>
    </row>
    <row r="103" spans="1:5">
      <c r="A103"/>
      <c r="B103"/>
      <c r="C103" s="79"/>
      <c r="D103" s="79"/>
      <c r="E103" s="79"/>
    </row>
    <row r="104" spans="1:5">
      <c r="A104"/>
      <c r="B104"/>
      <c r="C104" s="79"/>
      <c r="D104" s="79"/>
      <c r="E104" s="79"/>
    </row>
    <row r="105" spans="1:5">
      <c r="A105"/>
      <c r="B105"/>
      <c r="C105" s="79"/>
      <c r="D105" s="79"/>
      <c r="E105" s="79"/>
    </row>
    <row r="106" spans="1:5">
      <c r="A106"/>
      <c r="B106"/>
      <c r="C106" s="79"/>
      <c r="D106" s="79"/>
      <c r="E106" s="79"/>
    </row>
    <row r="107" spans="1:5">
      <c r="A107"/>
      <c r="B107"/>
      <c r="C107" s="79"/>
      <c r="D107" s="79"/>
      <c r="E107" s="79"/>
    </row>
    <row r="108" spans="1:5">
      <c r="A108"/>
      <c r="B108"/>
      <c r="C108" s="79"/>
      <c r="D108" s="79"/>
      <c r="E108" s="79"/>
    </row>
    <row r="109" spans="1:5">
      <c r="A109"/>
      <c r="B109"/>
      <c r="C109" s="79"/>
      <c r="D109" s="79"/>
      <c r="E109" s="79"/>
    </row>
    <row r="110" spans="1:5">
      <c r="A110"/>
      <c r="B110"/>
      <c r="C110" s="79"/>
      <c r="D110" s="79"/>
      <c r="E110" s="79"/>
    </row>
    <row r="111" spans="1:5">
      <c r="A111"/>
      <c r="B111"/>
      <c r="C111" s="79"/>
      <c r="D111" s="79"/>
      <c r="E111" s="79"/>
    </row>
    <row r="112" spans="1:5">
      <c r="A112"/>
      <c r="B112"/>
      <c r="C112" s="79"/>
      <c r="D112" s="79"/>
      <c r="E112" s="79"/>
    </row>
    <row r="113" spans="1:5">
      <c r="A113"/>
      <c r="B113"/>
      <c r="C113" s="79"/>
      <c r="D113" s="79"/>
      <c r="E113" s="79"/>
    </row>
    <row r="114" spans="1:5">
      <c r="A114"/>
      <c r="B114"/>
      <c r="C114" s="79"/>
      <c r="D114" s="79"/>
      <c r="E114" s="79"/>
    </row>
    <row r="115" spans="1:5">
      <c r="A115"/>
      <c r="B115"/>
      <c r="C115" s="79"/>
      <c r="D115" s="79"/>
      <c r="E115" s="79"/>
    </row>
    <row r="116" spans="1:5">
      <c r="A116"/>
      <c r="B116"/>
      <c r="C116" s="79"/>
      <c r="D116" s="79"/>
      <c r="E116" s="79"/>
    </row>
    <row r="117" spans="1:5">
      <c r="A117"/>
      <c r="B117"/>
      <c r="C117" s="79"/>
      <c r="D117" s="79"/>
      <c r="E117" s="79"/>
    </row>
    <row r="118" spans="1:5">
      <c r="A118"/>
      <c r="B118"/>
      <c r="C118" s="79"/>
      <c r="D118" s="79"/>
      <c r="E118" s="79"/>
    </row>
    <row r="119" spans="1:5">
      <c r="A119"/>
      <c r="B119"/>
      <c r="C119" s="79"/>
      <c r="D119" s="79"/>
      <c r="E119" s="79"/>
    </row>
    <row r="120" spans="1:5">
      <c r="A120"/>
      <c r="B120"/>
      <c r="C120" s="79"/>
      <c r="D120" s="79"/>
      <c r="E120" s="79"/>
    </row>
    <row r="121" spans="1:5">
      <c r="A121"/>
      <c r="B121"/>
      <c r="C121" s="79"/>
      <c r="D121" s="79"/>
      <c r="E121" s="79"/>
    </row>
    <row r="122" spans="1:5">
      <c r="A122"/>
      <c r="B122"/>
      <c r="C122" s="79"/>
      <c r="D122" s="79"/>
      <c r="E122" s="79"/>
    </row>
    <row r="123" spans="1:5">
      <c r="A123"/>
      <c r="B123"/>
      <c r="C123" s="79"/>
      <c r="D123" s="79"/>
      <c r="E123" s="79"/>
    </row>
    <row r="124" spans="1:5">
      <c r="A124"/>
      <c r="B124"/>
      <c r="C124" s="79"/>
      <c r="D124" s="79"/>
      <c r="E124" s="79"/>
    </row>
    <row r="125" spans="1:5">
      <c r="A125"/>
      <c r="B125"/>
      <c r="C125" s="79"/>
      <c r="D125" s="79"/>
      <c r="E125" s="79"/>
    </row>
    <row r="126" spans="1:5">
      <c r="A126"/>
      <c r="B126"/>
      <c r="C126" s="79"/>
      <c r="D126" s="79"/>
      <c r="E126" s="79"/>
    </row>
    <row r="127" spans="1:5">
      <c r="A127"/>
      <c r="B127"/>
      <c r="C127" s="79"/>
      <c r="D127" s="79"/>
      <c r="E127" s="79"/>
    </row>
    <row r="128" spans="1:5">
      <c r="A128"/>
      <c r="B128"/>
      <c r="C128" s="79"/>
      <c r="D128" s="79"/>
      <c r="E128" s="79"/>
    </row>
    <row r="129" spans="1:5">
      <c r="A129"/>
      <c r="B129"/>
      <c r="C129" s="79"/>
      <c r="D129" s="79"/>
      <c r="E129" s="79"/>
    </row>
    <row r="130" spans="1:5">
      <c r="A130"/>
      <c r="B130"/>
      <c r="C130" s="79"/>
      <c r="D130" s="79"/>
      <c r="E130" s="79"/>
    </row>
    <row r="131" spans="1:5">
      <c r="A131"/>
      <c r="B131"/>
      <c r="C131" s="79"/>
      <c r="D131" s="79"/>
      <c r="E131" s="79"/>
    </row>
    <row r="132" spans="1:5">
      <c r="A132"/>
      <c r="B132"/>
      <c r="C132" s="79"/>
      <c r="D132" s="79"/>
      <c r="E132" s="79"/>
    </row>
    <row r="133" spans="1:5">
      <c r="A133"/>
      <c r="B133"/>
      <c r="C133" s="79"/>
      <c r="D133" s="79"/>
      <c r="E133" s="79"/>
    </row>
    <row r="134" spans="1:5">
      <c r="A134"/>
      <c r="B134"/>
      <c r="C134" s="79"/>
      <c r="D134" s="79"/>
      <c r="E134" s="79"/>
    </row>
    <row r="135" spans="1:5">
      <c r="A135"/>
      <c r="B135"/>
      <c r="C135" s="79"/>
      <c r="D135" s="79"/>
      <c r="E135" s="79"/>
    </row>
    <row r="136" spans="1:5">
      <c r="A136"/>
      <c r="B136"/>
      <c r="C136" s="79"/>
      <c r="D136" s="79"/>
      <c r="E136" s="79"/>
    </row>
    <row r="137" spans="1:5">
      <c r="A137"/>
      <c r="B137"/>
      <c r="C137" s="79"/>
      <c r="D137" s="79"/>
      <c r="E137" s="79"/>
    </row>
    <row r="138" spans="1:5">
      <c r="A138"/>
      <c r="B138"/>
      <c r="C138" s="79"/>
      <c r="D138" s="79"/>
      <c r="E138" s="79"/>
    </row>
    <row r="139" spans="1:5">
      <c r="A139"/>
      <c r="B139"/>
      <c r="C139" s="79"/>
      <c r="D139" s="79"/>
      <c r="E139" s="79"/>
    </row>
    <row r="140" spans="1:5">
      <c r="A140"/>
      <c r="B140"/>
      <c r="C140" s="79"/>
      <c r="D140" s="79"/>
      <c r="E140" s="79"/>
    </row>
    <row r="141" spans="1:5">
      <c r="A141"/>
      <c r="B141"/>
      <c r="C141" s="79"/>
      <c r="D141" s="79"/>
      <c r="E141" s="79"/>
    </row>
    <row r="142" spans="1:5">
      <c r="A142"/>
      <c r="B142"/>
      <c r="C142" s="79"/>
      <c r="D142" s="79"/>
      <c r="E142" s="79"/>
    </row>
    <row r="143" spans="1:5">
      <c r="A143"/>
      <c r="B143"/>
      <c r="C143" s="79"/>
      <c r="D143" s="79"/>
      <c r="E143" s="79"/>
    </row>
    <row r="144" spans="1:5">
      <c r="A144"/>
      <c r="B144"/>
      <c r="C144" s="79"/>
      <c r="D144" s="79"/>
      <c r="E144" s="79"/>
    </row>
    <row r="145" spans="1:5">
      <c r="A145"/>
      <c r="B145"/>
      <c r="C145" s="79"/>
      <c r="D145" s="79"/>
      <c r="E145" s="79"/>
    </row>
    <row r="146" spans="1:5">
      <c r="A146"/>
      <c r="B146"/>
      <c r="C146" s="79"/>
      <c r="D146" s="79"/>
      <c r="E146" s="79"/>
    </row>
    <row r="147" spans="1:5">
      <c r="A147"/>
      <c r="B147"/>
      <c r="C147" s="79"/>
      <c r="D147" s="79"/>
      <c r="E147" s="79"/>
    </row>
    <row r="148" spans="1:5">
      <c r="A148"/>
      <c r="B148"/>
      <c r="C148" s="79"/>
      <c r="D148" s="79"/>
      <c r="E148" s="79"/>
    </row>
    <row r="149" spans="1:5">
      <c r="A149"/>
      <c r="B149"/>
      <c r="C149" s="79"/>
      <c r="D149" s="79"/>
      <c r="E149" s="79"/>
    </row>
    <row r="150" spans="1:5">
      <c r="A150"/>
      <c r="B150"/>
      <c r="C150" s="79"/>
      <c r="D150" s="79"/>
      <c r="E150" s="79"/>
    </row>
    <row r="151" spans="1:5">
      <c r="A151"/>
      <c r="B151"/>
      <c r="C151" s="79"/>
      <c r="D151" s="79"/>
      <c r="E151" s="79"/>
    </row>
    <row r="152" spans="1:5">
      <c r="A152"/>
      <c r="B152"/>
      <c r="C152" s="79"/>
      <c r="D152" s="79"/>
      <c r="E152" s="79"/>
    </row>
    <row r="153" spans="1:5">
      <c r="A153"/>
      <c r="B153"/>
      <c r="C153" s="79"/>
      <c r="D153" s="79"/>
      <c r="E153" s="79"/>
    </row>
    <row r="154" spans="1:5">
      <c r="A154"/>
      <c r="B154"/>
      <c r="C154" s="79"/>
      <c r="D154" s="79"/>
      <c r="E154" s="79"/>
    </row>
    <row r="155" spans="1:5">
      <c r="A155"/>
      <c r="B155"/>
      <c r="C155" s="79"/>
      <c r="D155" s="79"/>
      <c r="E155" s="79"/>
    </row>
    <row r="156" spans="1:5">
      <c r="A156"/>
      <c r="B156"/>
      <c r="C156" s="79"/>
      <c r="D156" s="79"/>
      <c r="E156" s="79"/>
    </row>
    <row r="157" spans="1:5">
      <c r="A157"/>
      <c r="B157"/>
      <c r="C157" s="79"/>
      <c r="D157" s="79"/>
      <c r="E157" s="79"/>
    </row>
    <row r="158" spans="1:5">
      <c r="A158"/>
      <c r="B158"/>
      <c r="C158" s="79"/>
      <c r="D158" s="79"/>
      <c r="E158" s="79"/>
    </row>
    <row r="159" spans="1:5">
      <c r="A159"/>
      <c r="B159"/>
      <c r="C159" s="79"/>
      <c r="D159" s="79"/>
      <c r="E159" s="79"/>
    </row>
    <row r="160" spans="1:5">
      <c r="A160"/>
      <c r="B160"/>
      <c r="C160" s="79"/>
      <c r="D160" s="79"/>
      <c r="E160" s="79"/>
    </row>
    <row r="161" spans="1:5">
      <c r="A161"/>
      <c r="B161"/>
      <c r="C161" s="79"/>
      <c r="D161" s="79"/>
      <c r="E161" s="79"/>
    </row>
    <row r="162" spans="1:5">
      <c r="A162"/>
      <c r="B162"/>
      <c r="C162" s="79"/>
      <c r="D162" s="79"/>
      <c r="E162" s="79"/>
    </row>
    <row r="163" spans="1:5">
      <c r="A163"/>
      <c r="B163"/>
      <c r="C163" s="79"/>
      <c r="D163" s="79"/>
      <c r="E163" s="79"/>
    </row>
    <row r="164" spans="1:5">
      <c r="A164"/>
      <c r="B164"/>
      <c r="C164" s="79"/>
      <c r="D164" s="79"/>
      <c r="E164" s="79"/>
    </row>
    <row r="165" spans="1:5">
      <c r="A165"/>
      <c r="B165"/>
      <c r="C165" s="79"/>
      <c r="D165" s="79"/>
      <c r="E165" s="79"/>
    </row>
    <row r="166" spans="1:5">
      <c r="A166"/>
      <c r="B166"/>
      <c r="C166" s="79"/>
      <c r="D166" s="79"/>
      <c r="E166" s="79"/>
    </row>
    <row r="167" spans="1:5">
      <c r="A167"/>
      <c r="B167"/>
      <c r="C167" s="79"/>
      <c r="D167" s="79"/>
      <c r="E167" s="79"/>
    </row>
    <row r="168" spans="1:5">
      <c r="A168"/>
      <c r="B168"/>
      <c r="C168" s="79"/>
      <c r="D168" s="79"/>
      <c r="E168" s="79"/>
    </row>
    <row r="169" spans="1:5">
      <c r="A169"/>
      <c r="B169"/>
      <c r="C169" s="79"/>
      <c r="D169" s="79"/>
      <c r="E169" s="79"/>
    </row>
    <row r="170" spans="1:5">
      <c r="A170"/>
      <c r="B170"/>
      <c r="C170" s="79"/>
      <c r="D170" s="79"/>
      <c r="E170" s="79"/>
    </row>
    <row r="171" spans="1:5">
      <c r="A171"/>
      <c r="B171"/>
      <c r="C171" s="79"/>
      <c r="D171" s="79"/>
      <c r="E171" s="79"/>
    </row>
    <row r="172" spans="1:5">
      <c r="A172"/>
      <c r="B172"/>
      <c r="C172" s="79"/>
      <c r="D172" s="79"/>
      <c r="E172" s="79"/>
    </row>
    <row r="173" spans="1:5">
      <c r="A173"/>
      <c r="B173"/>
      <c r="C173" s="79"/>
      <c r="D173" s="79"/>
      <c r="E173" s="79"/>
    </row>
    <row r="174" spans="1:5">
      <c r="A174"/>
      <c r="B174"/>
      <c r="C174" s="79"/>
      <c r="D174" s="79"/>
      <c r="E174" s="79"/>
    </row>
    <row r="175" spans="1:5">
      <c r="A175"/>
      <c r="B175"/>
      <c r="C175" s="79"/>
      <c r="D175" s="79"/>
      <c r="E175" s="79"/>
    </row>
    <row r="176" spans="1:5">
      <c r="A176"/>
      <c r="B176"/>
      <c r="C176" s="79"/>
      <c r="D176" s="79"/>
      <c r="E176" s="79"/>
    </row>
    <row r="177" spans="1:5">
      <c r="A177"/>
      <c r="B177"/>
      <c r="C177" s="79"/>
      <c r="D177" s="79"/>
      <c r="E177" s="79"/>
    </row>
    <row r="178" spans="1:5">
      <c r="A178"/>
      <c r="B178"/>
      <c r="C178" s="79"/>
      <c r="D178" s="79"/>
      <c r="E178" s="79"/>
    </row>
    <row r="179" spans="1:5">
      <c r="A179"/>
      <c r="B179"/>
      <c r="C179" s="79"/>
      <c r="D179" s="79"/>
      <c r="E179" s="79"/>
    </row>
    <row r="180" spans="1:5">
      <c r="A180"/>
      <c r="B180"/>
      <c r="C180" s="79"/>
      <c r="D180" s="79"/>
      <c r="E180" s="79"/>
    </row>
    <row r="181" spans="1:5">
      <c r="A181"/>
      <c r="B181"/>
      <c r="C181" s="79"/>
      <c r="D181" s="79"/>
      <c r="E181" s="79"/>
    </row>
    <row r="182" spans="1:5">
      <c r="A182"/>
      <c r="B182"/>
      <c r="C182" s="79"/>
      <c r="D182" s="79"/>
      <c r="E182" s="79"/>
    </row>
    <row r="183" spans="1:5">
      <c r="A183"/>
      <c r="B183"/>
      <c r="C183" s="79"/>
      <c r="D183" s="79"/>
      <c r="E183" s="79"/>
    </row>
    <row r="184" spans="1:5">
      <c r="A184"/>
      <c r="B184"/>
      <c r="C184" s="79"/>
      <c r="D184" s="79"/>
      <c r="E184" s="79"/>
    </row>
    <row r="185" spans="1:5">
      <c r="A185"/>
      <c r="B185"/>
      <c r="C185" s="79"/>
      <c r="D185" s="79"/>
      <c r="E185" s="79"/>
    </row>
    <row r="186" spans="1:5">
      <c r="A186"/>
      <c r="B186"/>
      <c r="C186" s="79"/>
      <c r="D186" s="79"/>
      <c r="E186" s="79"/>
    </row>
    <row r="187" spans="1:5">
      <c r="A187"/>
      <c r="B187"/>
      <c r="C187" s="79"/>
      <c r="D187" s="79"/>
      <c r="E187" s="79"/>
    </row>
    <row r="188" spans="1:5">
      <c r="A188"/>
      <c r="B188"/>
      <c r="C188" s="79"/>
      <c r="D188" s="79"/>
      <c r="E188" s="79"/>
    </row>
    <row r="189" spans="1:5">
      <c r="A189"/>
      <c r="B189"/>
      <c r="C189" s="79"/>
      <c r="D189" s="79"/>
      <c r="E189" s="79"/>
    </row>
    <row r="190" spans="1:5">
      <c r="A190"/>
      <c r="B190"/>
      <c r="C190" s="79"/>
      <c r="D190" s="79"/>
      <c r="E190" s="79"/>
    </row>
    <row r="191" spans="1:5">
      <c r="A191"/>
      <c r="B191"/>
      <c r="C191" s="79"/>
      <c r="D191" s="79"/>
      <c r="E191" s="79"/>
    </row>
    <row r="192" spans="1:5">
      <c r="A192"/>
      <c r="B192"/>
      <c r="C192" s="79"/>
      <c r="D192" s="79"/>
      <c r="E192" s="79"/>
    </row>
    <row r="193" spans="1:5">
      <c r="A193"/>
      <c r="B193"/>
      <c r="C193" s="79"/>
      <c r="D193" s="79"/>
      <c r="E193" s="79"/>
    </row>
    <row r="194" spans="1:5">
      <c r="A194"/>
      <c r="B194"/>
      <c r="C194" s="79"/>
      <c r="D194" s="79"/>
      <c r="E194" s="79"/>
    </row>
    <row r="195" spans="1:5">
      <c r="A195"/>
      <c r="B195"/>
      <c r="C195" s="79"/>
      <c r="D195" s="79"/>
      <c r="E195" s="79"/>
    </row>
    <row r="196" spans="1:5">
      <c r="A196"/>
      <c r="B196"/>
      <c r="C196" s="79"/>
      <c r="D196" s="79"/>
      <c r="E196" s="79"/>
    </row>
    <row r="197" spans="1:5">
      <c r="A197"/>
      <c r="B197"/>
      <c r="C197" s="79"/>
      <c r="D197" s="79"/>
      <c r="E197" s="79"/>
    </row>
    <row r="198" spans="1:5">
      <c r="A198"/>
      <c r="B198"/>
      <c r="C198" s="79"/>
      <c r="D198" s="79"/>
      <c r="E198" s="79"/>
    </row>
    <row r="199" spans="1:5">
      <c r="A199"/>
      <c r="B199"/>
      <c r="C199" s="79"/>
      <c r="D199" s="79"/>
      <c r="E199" s="79"/>
    </row>
    <row r="200" spans="1:5">
      <c r="A200"/>
      <c r="B200"/>
      <c r="C200" s="79"/>
      <c r="D200" s="79"/>
      <c r="E200" s="79"/>
    </row>
    <row r="201" spans="1:5">
      <c r="A201"/>
      <c r="B201"/>
      <c r="C201" s="79"/>
      <c r="D201" s="79"/>
      <c r="E201" s="79"/>
    </row>
    <row r="202" spans="1:5">
      <c r="A202"/>
      <c r="B202"/>
      <c r="C202" s="79"/>
      <c r="D202" s="79"/>
      <c r="E202" s="79"/>
    </row>
    <row r="203" spans="1:5">
      <c r="A203"/>
      <c r="B203"/>
      <c r="C203" s="79"/>
      <c r="D203" s="79"/>
      <c r="E203" s="79"/>
    </row>
    <row r="204" spans="1:5">
      <c r="A204"/>
      <c r="B204"/>
      <c r="C204" s="79"/>
      <c r="D204" s="79"/>
      <c r="E204" s="79"/>
    </row>
    <row r="205" spans="1:5">
      <c r="A205"/>
      <c r="B205"/>
      <c r="C205" s="79"/>
      <c r="D205" s="79"/>
      <c r="E205" s="79"/>
    </row>
    <row r="206" spans="1:5">
      <c r="A206"/>
      <c r="B206"/>
      <c r="C206" s="79"/>
      <c r="D206" s="79"/>
      <c r="E206" s="79"/>
    </row>
    <row r="207" spans="1:5">
      <c r="A207"/>
      <c r="B207"/>
      <c r="C207" s="79"/>
      <c r="D207" s="79"/>
      <c r="E207" s="79"/>
    </row>
    <row r="208" spans="1:5">
      <c r="A208"/>
      <c r="B208"/>
      <c r="C208" s="79"/>
      <c r="D208" s="79"/>
      <c r="E208" s="79"/>
    </row>
    <row r="209" spans="1:5">
      <c r="A209"/>
      <c r="B209"/>
      <c r="C209" s="79"/>
      <c r="D209" s="79"/>
      <c r="E209" s="79"/>
    </row>
    <row r="210" spans="1:5">
      <c r="A210"/>
      <c r="B210"/>
      <c r="C210" s="79"/>
      <c r="D210" s="79"/>
      <c r="E210" s="79"/>
    </row>
    <row r="211" spans="1:5">
      <c r="A211"/>
      <c r="B211"/>
      <c r="C211" s="79"/>
      <c r="D211" s="79"/>
      <c r="E211" s="79"/>
    </row>
    <row r="212" spans="1:5">
      <c r="A212"/>
      <c r="B212"/>
      <c r="C212" s="79"/>
      <c r="D212" s="79"/>
      <c r="E212" s="79"/>
    </row>
    <row r="213" spans="1:5">
      <c r="A213"/>
      <c r="B213"/>
      <c r="C213" s="79"/>
      <c r="D213" s="79"/>
      <c r="E213" s="79"/>
    </row>
    <row r="214" spans="1:5">
      <c r="A214"/>
      <c r="B214"/>
      <c r="C214" s="79"/>
      <c r="D214" s="79"/>
      <c r="E214" s="79"/>
    </row>
    <row r="215" spans="1:5">
      <c r="A215"/>
      <c r="B215"/>
      <c r="C215" s="79"/>
      <c r="D215" s="79"/>
      <c r="E215" s="79"/>
    </row>
    <row r="216" spans="1:5">
      <c r="A216"/>
      <c r="B216"/>
      <c r="C216" s="79"/>
      <c r="D216" s="79"/>
      <c r="E216" s="79"/>
    </row>
    <row r="217" spans="1:5">
      <c r="A217"/>
      <c r="B217"/>
      <c r="C217" s="79"/>
      <c r="D217" s="79"/>
      <c r="E217" s="79"/>
    </row>
    <row r="218" spans="1:5">
      <c r="A218"/>
      <c r="B218"/>
      <c r="C218" s="79"/>
      <c r="D218" s="79"/>
      <c r="E218" s="79"/>
    </row>
    <row r="219" spans="1:5">
      <c r="A219"/>
      <c r="B219"/>
      <c r="C219" s="79"/>
      <c r="D219" s="79"/>
      <c r="E219" s="79"/>
    </row>
    <row r="220" spans="1:5">
      <c r="A220"/>
      <c r="B220"/>
      <c r="C220" s="79"/>
      <c r="D220" s="79"/>
      <c r="E220" s="79"/>
    </row>
    <row r="221" spans="1:5">
      <c r="A221"/>
      <c r="B221"/>
      <c r="C221" s="79"/>
      <c r="D221" s="79"/>
      <c r="E221" s="79"/>
    </row>
    <row r="222" spans="1:5">
      <c r="A222"/>
      <c r="B222"/>
      <c r="C222" s="79"/>
      <c r="D222" s="79"/>
      <c r="E222" s="79"/>
    </row>
    <row r="223" spans="1:5">
      <c r="A223"/>
      <c r="B223"/>
      <c r="C223" s="79"/>
      <c r="D223" s="79"/>
      <c r="E223" s="79"/>
    </row>
    <row r="224" spans="1:5">
      <c r="A224"/>
      <c r="B224"/>
      <c r="C224" s="79"/>
      <c r="D224" s="79"/>
      <c r="E224" s="79"/>
    </row>
    <row r="225" spans="1:2">
      <c r="A225"/>
      <c r="B225"/>
    </row>
    <row r="226" spans="1:2">
      <c r="A226"/>
      <c r="B226"/>
    </row>
    <row r="227" spans="1:2">
      <c r="A227"/>
      <c r="B227"/>
    </row>
    <row r="228" spans="1:2">
      <c r="A228"/>
      <c r="B228"/>
    </row>
    <row r="229" spans="1:2">
      <c r="A229"/>
      <c r="B229"/>
    </row>
    <row r="230" spans="1:2">
      <c r="A230"/>
      <c r="B230"/>
    </row>
    <row r="231" spans="1:2">
      <c r="A231"/>
      <c r="B231"/>
    </row>
    <row r="232" spans="1:2">
      <c r="A232"/>
      <c r="B232"/>
    </row>
    <row r="233" spans="1:2">
      <c r="A233"/>
      <c r="B233"/>
    </row>
    <row r="234" spans="1:2">
      <c r="A234"/>
      <c r="B234"/>
    </row>
    <row r="235" spans="1:2">
      <c r="A235"/>
      <c r="B235"/>
    </row>
    <row r="236" spans="1:2">
      <c r="A236"/>
      <c r="B236"/>
    </row>
    <row r="237" spans="1:2">
      <c r="A237"/>
      <c r="B237"/>
    </row>
    <row r="238" spans="1:2">
      <c r="A238"/>
      <c r="B238"/>
    </row>
    <row r="239" spans="1:2">
      <c r="A239"/>
      <c r="B239"/>
    </row>
    <row r="240" spans="1:2">
      <c r="A240"/>
      <c r="B240"/>
    </row>
    <row r="241" spans="1:2">
      <c r="A241"/>
      <c r="B241"/>
    </row>
    <row r="242" spans="1:2">
      <c r="A242"/>
      <c r="B242"/>
    </row>
    <row r="243" spans="1:2">
      <c r="A243"/>
      <c r="B243"/>
    </row>
    <row r="244" spans="1:2">
      <c r="A244"/>
      <c r="B244"/>
    </row>
    <row r="245" spans="1:2">
      <c r="A245"/>
      <c r="B245"/>
    </row>
    <row r="246" spans="1:2">
      <c r="A246"/>
      <c r="B246"/>
    </row>
    <row r="247" spans="1:2">
      <c r="A247"/>
      <c r="B247"/>
    </row>
    <row r="248" spans="1:2">
      <c r="A248"/>
      <c r="B248"/>
    </row>
    <row r="249" spans="1:2">
      <c r="A249"/>
      <c r="B249"/>
    </row>
    <row r="250" spans="1:2">
      <c r="A250"/>
      <c r="B250"/>
    </row>
    <row r="251" spans="1:2">
      <c r="A251"/>
      <c r="B251"/>
    </row>
    <row r="252" spans="1:2">
      <c r="A252"/>
      <c r="B252"/>
    </row>
    <row r="253" spans="1:2">
      <c r="A253"/>
      <c r="B253"/>
    </row>
    <row r="254" spans="1:2">
      <c r="A254"/>
      <c r="B254"/>
    </row>
    <row r="255" spans="1:2">
      <c r="A255"/>
      <c r="B255"/>
    </row>
    <row r="256" spans="1:2">
      <c r="A256"/>
      <c r="B256"/>
    </row>
    <row r="257" spans="1:2">
      <c r="A257"/>
      <c r="B257"/>
    </row>
    <row r="258" spans="1:2">
      <c r="A258"/>
      <c r="B258"/>
    </row>
    <row r="259" spans="1:2">
      <c r="A259"/>
      <c r="B259"/>
    </row>
    <row r="260" spans="1:2">
      <c r="A260"/>
      <c r="B260"/>
    </row>
    <row r="261" spans="1:2">
      <c r="A261"/>
      <c r="B261"/>
    </row>
    <row r="262" spans="1:2">
      <c r="A262"/>
      <c r="B262"/>
    </row>
    <row r="263" spans="1:2">
      <c r="A263"/>
      <c r="B263"/>
    </row>
    <row r="264" spans="1:2">
      <c r="A264"/>
      <c r="B264"/>
    </row>
    <row r="265" spans="1:2">
      <c r="A265"/>
      <c r="B265"/>
    </row>
    <row r="266" spans="1:2">
      <c r="A266"/>
      <c r="B266"/>
    </row>
    <row r="267" spans="1:2">
      <c r="A267"/>
      <c r="B267"/>
    </row>
    <row r="268" spans="1:2">
      <c r="A268"/>
      <c r="B268"/>
    </row>
    <row r="269" spans="1:2">
      <c r="A269"/>
      <c r="B269"/>
    </row>
    <row r="270" spans="1:2">
      <c r="A270"/>
      <c r="B270"/>
    </row>
    <row r="271" spans="1:2">
      <c r="A271"/>
      <c r="B271"/>
    </row>
    <row r="272" spans="1:2">
      <c r="A272"/>
      <c r="B272"/>
    </row>
    <row r="273" spans="1:2">
      <c r="A273"/>
      <c r="B273"/>
    </row>
    <row r="274" spans="1:2">
      <c r="A274"/>
      <c r="B274"/>
    </row>
    <row r="275" spans="1:2">
      <c r="A275"/>
      <c r="B275"/>
    </row>
    <row r="276" spans="1:2">
      <c r="A276"/>
      <c r="B276"/>
    </row>
    <row r="277" spans="1:2">
      <c r="A277"/>
      <c r="B277"/>
    </row>
    <row r="278" spans="1:2">
      <c r="A278"/>
      <c r="B278"/>
    </row>
    <row r="279" spans="1:2">
      <c r="A279"/>
      <c r="B279"/>
    </row>
    <row r="280" spans="1:2">
      <c r="A280"/>
      <c r="B280"/>
    </row>
    <row r="281" spans="1:2">
      <c r="A281"/>
      <c r="B281"/>
    </row>
    <row r="282" spans="1:2">
      <c r="A282"/>
      <c r="B282"/>
    </row>
    <row r="283" spans="1:2">
      <c r="A283"/>
      <c r="B283"/>
    </row>
    <row r="284" spans="1:2">
      <c r="A284"/>
      <c r="B284"/>
    </row>
    <row r="285" spans="1:2">
      <c r="A285"/>
      <c r="B285"/>
    </row>
    <row r="286" spans="1:2">
      <c r="A286"/>
      <c r="B286"/>
    </row>
    <row r="287" spans="1:2">
      <c r="A287"/>
      <c r="B287"/>
    </row>
    <row r="288" spans="1:2">
      <c r="A288"/>
      <c r="B288"/>
    </row>
    <row r="289" spans="1:2">
      <c r="A289"/>
      <c r="B289"/>
    </row>
    <row r="290" spans="1:2">
      <c r="A290"/>
      <c r="B290"/>
    </row>
    <row r="291" spans="1:2">
      <c r="A291"/>
      <c r="B291"/>
    </row>
    <row r="292" spans="1:2">
      <c r="A292"/>
      <c r="B292"/>
    </row>
    <row r="293" spans="1:2">
      <c r="A293"/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/>
      <c r="B29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332"/>
  <sheetViews>
    <sheetView workbookViewId="0">
      <pane xSplit="1" ySplit="1" topLeftCell="B119" activePane="bottomRight" state="frozen"/>
      <selection pane="topRight" activeCell="B1" sqref="B1"/>
      <selection pane="bottomLeft" activeCell="A2" sqref="A2"/>
      <selection pane="bottomRight" activeCell="C123" sqref="C123"/>
    </sheetView>
  </sheetViews>
  <sheetFormatPr defaultRowHeight="15"/>
  <cols>
    <col min="1" max="1" width="11.85546875" style="79" bestFit="1" customWidth="1"/>
    <col min="2" max="2" width="34.5703125" style="79" bestFit="1" customWidth="1"/>
    <col min="3" max="3" width="6.28515625" style="79" customWidth="1"/>
    <col min="4" max="4" width="4.42578125" style="79" customWidth="1"/>
    <col min="5" max="5" width="34.5703125" style="79" hidden="1" customWidth="1"/>
    <col min="6" max="6" width="7.42578125" style="79" customWidth="1"/>
    <col min="7" max="7" width="35" style="79" bestFit="1" customWidth="1"/>
    <col min="8" max="8" width="12.28515625" style="79" customWidth="1"/>
    <col min="9" max="9" width="21.42578125" style="79" hidden="1" customWidth="1"/>
    <col min="10" max="10" width="18.28515625" style="79" hidden="1" customWidth="1"/>
    <col min="11" max="11" width="14.42578125" style="79" hidden="1" customWidth="1"/>
    <col min="12" max="12" width="19.5703125" style="79" customWidth="1"/>
    <col min="13" max="13" width="12.7109375" style="79" bestFit="1" customWidth="1"/>
    <col min="14" max="14" width="19" style="79" customWidth="1"/>
    <col min="15" max="15" width="11.7109375" style="79" customWidth="1"/>
    <col min="16" max="16" width="21.42578125" style="79" customWidth="1"/>
    <col min="17" max="17" width="14.85546875" style="79" customWidth="1"/>
    <col min="18" max="18" width="16.140625" style="79" bestFit="1" customWidth="1"/>
    <col min="19" max="19" width="20.7109375" style="79" bestFit="1" customWidth="1"/>
    <col min="20" max="20" width="10.140625" style="79" bestFit="1" customWidth="1"/>
    <col min="21" max="16384" width="9.140625" style="79"/>
  </cols>
  <sheetData>
    <row r="1" spans="1:19" ht="15.75" thickBot="1">
      <c r="A1" s="121" t="s">
        <v>1256</v>
      </c>
      <c r="B1" s="121" t="s">
        <v>1257</v>
      </c>
      <c r="C1" s="122" t="s">
        <v>1258</v>
      </c>
      <c r="D1" s="122" t="s">
        <v>1956</v>
      </c>
      <c r="E1" s="121" t="s">
        <v>312</v>
      </c>
      <c r="F1" s="122" t="s">
        <v>1259</v>
      </c>
      <c r="G1" s="121" t="s">
        <v>1260</v>
      </c>
      <c r="H1" s="122" t="s">
        <v>1261</v>
      </c>
      <c r="I1" s="121" t="s">
        <v>1262</v>
      </c>
      <c r="J1" s="123" t="s">
        <v>1263</v>
      </c>
      <c r="K1" s="123" t="s">
        <v>1264</v>
      </c>
      <c r="L1" s="123" t="s">
        <v>1265</v>
      </c>
      <c r="M1" s="123" t="s">
        <v>1266</v>
      </c>
      <c r="N1" s="124" t="s">
        <v>1267</v>
      </c>
      <c r="O1" s="123" t="s">
        <v>1268</v>
      </c>
      <c r="P1" s="124" t="s">
        <v>1269</v>
      </c>
      <c r="Q1" s="123" t="s">
        <v>1270</v>
      </c>
      <c r="R1" s="123" t="s">
        <v>1271</v>
      </c>
      <c r="S1" s="123" t="s">
        <v>1272</v>
      </c>
    </row>
    <row r="2" spans="1:19" ht="15.75" customHeight="1" thickBot="1">
      <c r="A2" s="125" t="s">
        <v>1273</v>
      </c>
      <c r="B2" s="125" t="s">
        <v>39</v>
      </c>
      <c r="C2" s="125" t="s">
        <v>326</v>
      </c>
      <c r="D2" s="125" t="str">
        <f t="shared" ref="D2:D64" si="0">LEFT(C2:C2,1)</f>
        <v>1</v>
      </c>
      <c r="E2" s="125" t="s">
        <v>166</v>
      </c>
      <c r="F2" s="125" t="s">
        <v>165</v>
      </c>
      <c r="G2" s="125" t="s">
        <v>327</v>
      </c>
      <c r="H2" s="125" t="s">
        <v>325</v>
      </c>
      <c r="I2" s="125" t="s">
        <v>1274</v>
      </c>
      <c r="J2" s="126">
        <v>138330</v>
      </c>
      <c r="K2" s="127" t="s">
        <v>1275</v>
      </c>
      <c r="L2" s="126">
        <v>138330</v>
      </c>
      <c r="M2" s="126">
        <v>138250</v>
      </c>
      <c r="N2" s="126">
        <v>0</v>
      </c>
      <c r="O2" s="126">
        <v>0</v>
      </c>
      <c r="P2" s="126">
        <v>0</v>
      </c>
      <c r="Q2" s="126">
        <v>0</v>
      </c>
      <c r="R2" s="126">
        <v>138250</v>
      </c>
      <c r="S2" s="126">
        <v>80</v>
      </c>
    </row>
    <row r="3" spans="1:19" ht="15.75" thickBot="1">
      <c r="A3" s="125" t="s">
        <v>1905</v>
      </c>
      <c r="B3" s="125" t="s">
        <v>39</v>
      </c>
      <c r="C3" s="125" t="s">
        <v>326</v>
      </c>
      <c r="D3" s="125" t="str">
        <f t="shared" si="0"/>
        <v>1</v>
      </c>
      <c r="E3" s="125" t="s">
        <v>166</v>
      </c>
      <c r="F3" s="125" t="s">
        <v>165</v>
      </c>
      <c r="G3" s="125" t="s">
        <v>327</v>
      </c>
      <c r="H3" s="125" t="s">
        <v>325</v>
      </c>
      <c r="I3" s="125" t="s">
        <v>1274</v>
      </c>
      <c r="J3" s="126">
        <v>65945</v>
      </c>
      <c r="K3" s="127" t="s">
        <v>1275</v>
      </c>
      <c r="L3" s="126">
        <v>65945</v>
      </c>
      <c r="M3" s="126">
        <v>38747.94</v>
      </c>
      <c r="N3" s="126">
        <v>0</v>
      </c>
      <c r="O3" s="126">
        <v>0</v>
      </c>
      <c r="P3" s="126">
        <v>0</v>
      </c>
      <c r="Q3" s="126">
        <v>0</v>
      </c>
      <c r="R3" s="126">
        <v>38747.94</v>
      </c>
      <c r="S3" s="126">
        <v>27197.06</v>
      </c>
    </row>
    <row r="4" spans="1:19" ht="15.75" customHeight="1" thickBot="1">
      <c r="A4" s="125" t="s">
        <v>1273</v>
      </c>
      <c r="B4" s="125" t="s">
        <v>1299</v>
      </c>
      <c r="C4" s="125" t="s">
        <v>719</v>
      </c>
      <c r="D4" s="125" t="str">
        <f t="shared" si="0"/>
        <v>2</v>
      </c>
      <c r="E4" s="125" t="s">
        <v>166</v>
      </c>
      <c r="F4" s="125" t="s">
        <v>165</v>
      </c>
      <c r="G4" s="125" t="s">
        <v>1003</v>
      </c>
      <c r="H4" s="125" t="s">
        <v>1300</v>
      </c>
      <c r="I4" s="125" t="s">
        <v>1301</v>
      </c>
      <c r="J4" s="126">
        <v>0</v>
      </c>
      <c r="K4" s="127" t="s">
        <v>1275</v>
      </c>
      <c r="L4" s="126">
        <v>0</v>
      </c>
      <c r="M4" s="126">
        <v>146.9</v>
      </c>
      <c r="N4" s="126">
        <v>0</v>
      </c>
      <c r="O4" s="126">
        <v>0</v>
      </c>
      <c r="P4" s="126">
        <v>0</v>
      </c>
      <c r="Q4" s="126">
        <v>0</v>
      </c>
      <c r="R4" s="126">
        <v>146.9</v>
      </c>
      <c r="S4" s="126">
        <v>0</v>
      </c>
    </row>
    <row r="5" spans="1:19" ht="15.75" customHeight="1" thickBot="1">
      <c r="A5" s="125" t="s">
        <v>1273</v>
      </c>
      <c r="B5" s="125" t="s">
        <v>1325</v>
      </c>
      <c r="C5" s="125" t="s">
        <v>1286</v>
      </c>
      <c r="D5" s="125" t="str">
        <f t="shared" si="0"/>
        <v>2</v>
      </c>
      <c r="E5" s="125" t="s">
        <v>166</v>
      </c>
      <c r="F5" s="125" t="s">
        <v>165</v>
      </c>
      <c r="G5" s="125" t="s">
        <v>1326</v>
      </c>
      <c r="H5" s="125" t="s">
        <v>1327</v>
      </c>
      <c r="I5" s="125" t="s">
        <v>1302</v>
      </c>
      <c r="J5" s="126">
        <v>11002.49</v>
      </c>
      <c r="K5" s="126">
        <v>652.49</v>
      </c>
      <c r="L5" s="126">
        <v>10350</v>
      </c>
      <c r="M5" s="126">
        <v>0</v>
      </c>
      <c r="N5" s="126">
        <v>0</v>
      </c>
      <c r="O5" s="126">
        <v>0</v>
      </c>
      <c r="P5" s="126">
        <v>5367.56</v>
      </c>
      <c r="Q5" s="126">
        <v>0</v>
      </c>
      <c r="R5" s="126">
        <v>5367.56</v>
      </c>
      <c r="S5" s="126">
        <v>4910.43</v>
      </c>
    </row>
    <row r="6" spans="1:19" ht="15.75" customHeight="1" thickBot="1">
      <c r="A6" s="125" t="s">
        <v>1273</v>
      </c>
      <c r="B6" s="125" t="s">
        <v>336</v>
      </c>
      <c r="C6" s="125" t="s">
        <v>335</v>
      </c>
      <c r="D6" s="125" t="str">
        <f t="shared" si="0"/>
        <v>1</v>
      </c>
      <c r="E6" s="125" t="s">
        <v>166</v>
      </c>
      <c r="F6" s="125" t="s">
        <v>165</v>
      </c>
      <c r="G6" s="125" t="s">
        <v>336</v>
      </c>
      <c r="H6" s="125" t="s">
        <v>334</v>
      </c>
      <c r="I6" s="125" t="s">
        <v>1287</v>
      </c>
      <c r="J6" s="126">
        <v>401723</v>
      </c>
      <c r="K6" s="127" t="s">
        <v>1275</v>
      </c>
      <c r="L6" s="126">
        <v>401723</v>
      </c>
      <c r="M6" s="126">
        <v>393771.52000000002</v>
      </c>
      <c r="N6" s="126">
        <v>1370.25</v>
      </c>
      <c r="O6" s="126">
        <v>0</v>
      </c>
      <c r="P6" s="126">
        <v>0</v>
      </c>
      <c r="Q6" s="126">
        <v>0</v>
      </c>
      <c r="R6" s="126">
        <v>395141.77</v>
      </c>
      <c r="S6" s="126">
        <v>-22812.46</v>
      </c>
    </row>
    <row r="7" spans="1:19" ht="15.75" thickBot="1">
      <c r="A7" s="125" t="s">
        <v>1905</v>
      </c>
      <c r="B7" s="125" t="s">
        <v>336</v>
      </c>
      <c r="C7" s="125" t="s">
        <v>335</v>
      </c>
      <c r="D7" s="125" t="str">
        <f t="shared" si="0"/>
        <v>1</v>
      </c>
      <c r="E7" s="125" t="s">
        <v>166</v>
      </c>
      <c r="F7" s="125" t="s">
        <v>165</v>
      </c>
      <c r="G7" s="125" t="s">
        <v>336</v>
      </c>
      <c r="H7" s="125" t="s">
        <v>334</v>
      </c>
      <c r="I7" s="125" t="s">
        <v>1287</v>
      </c>
      <c r="J7" s="126">
        <v>168638</v>
      </c>
      <c r="K7" s="127" t="s">
        <v>1275</v>
      </c>
      <c r="L7" s="126">
        <v>168638</v>
      </c>
      <c r="M7" s="126">
        <v>99341.14</v>
      </c>
      <c r="N7" s="126">
        <v>0</v>
      </c>
      <c r="O7" s="126">
        <v>0</v>
      </c>
      <c r="P7" s="126">
        <v>0</v>
      </c>
      <c r="Q7" s="126">
        <v>0</v>
      </c>
      <c r="R7" s="126">
        <v>99341.14</v>
      </c>
      <c r="S7" s="126">
        <v>69209.86</v>
      </c>
    </row>
    <row r="8" spans="1:19" ht="15.75" customHeight="1" thickBot="1">
      <c r="A8" s="125" t="s">
        <v>1273</v>
      </c>
      <c r="B8" s="125" t="s">
        <v>1699</v>
      </c>
      <c r="C8" s="125" t="s">
        <v>347</v>
      </c>
      <c r="D8" s="125" t="str">
        <f t="shared" si="0"/>
        <v>3</v>
      </c>
      <c r="E8" s="125" t="s">
        <v>166</v>
      </c>
      <c r="F8" s="125" t="s">
        <v>165</v>
      </c>
      <c r="G8" s="125" t="s">
        <v>348</v>
      </c>
      <c r="H8" s="125" t="s">
        <v>346</v>
      </c>
      <c r="I8" s="125" t="s">
        <v>1692</v>
      </c>
      <c r="J8" s="126">
        <v>136176</v>
      </c>
      <c r="K8" s="127" t="s">
        <v>1275</v>
      </c>
      <c r="L8" s="126">
        <v>136176</v>
      </c>
      <c r="M8" s="126">
        <v>135346.76</v>
      </c>
      <c r="N8" s="126">
        <v>0</v>
      </c>
      <c r="O8" s="126">
        <v>0</v>
      </c>
      <c r="P8" s="126">
        <v>0</v>
      </c>
      <c r="Q8" s="126">
        <v>0</v>
      </c>
      <c r="R8" s="126">
        <v>135346.76</v>
      </c>
      <c r="S8" s="126">
        <v>-10498.76</v>
      </c>
    </row>
    <row r="9" spans="1:19" ht="15.75" thickBot="1">
      <c r="A9" s="125" t="s">
        <v>1905</v>
      </c>
      <c r="B9" s="125" t="s">
        <v>1699</v>
      </c>
      <c r="C9" s="125" t="s">
        <v>347</v>
      </c>
      <c r="D9" s="125" t="str">
        <f t="shared" si="0"/>
        <v>3</v>
      </c>
      <c r="E9" s="125" t="s">
        <v>166</v>
      </c>
      <c r="F9" s="125" t="s">
        <v>165</v>
      </c>
      <c r="G9" s="125" t="s">
        <v>348</v>
      </c>
      <c r="H9" s="125" t="s">
        <v>346</v>
      </c>
      <c r="I9" s="125" t="s">
        <v>1692</v>
      </c>
      <c r="J9" s="126">
        <v>136656</v>
      </c>
      <c r="K9" s="127" t="s">
        <v>1275</v>
      </c>
      <c r="L9" s="126">
        <v>136656</v>
      </c>
      <c r="M9" s="126">
        <v>77265.64</v>
      </c>
      <c r="N9" s="126">
        <v>0</v>
      </c>
      <c r="O9" s="126">
        <v>0</v>
      </c>
      <c r="P9" s="126">
        <v>0</v>
      </c>
      <c r="Q9" s="126">
        <v>0</v>
      </c>
      <c r="R9" s="126">
        <v>77265.64</v>
      </c>
      <c r="S9" s="126">
        <v>59390.36</v>
      </c>
    </row>
    <row r="10" spans="1:19" ht="15.75" customHeight="1" thickBot="1">
      <c r="A10" s="125" t="s">
        <v>1273</v>
      </c>
      <c r="B10" s="125" t="s">
        <v>1741</v>
      </c>
      <c r="C10" s="125" t="s">
        <v>354</v>
      </c>
      <c r="D10" s="125" t="str">
        <f t="shared" si="0"/>
        <v>3</v>
      </c>
      <c r="E10" s="125" t="s">
        <v>166</v>
      </c>
      <c r="F10" s="125" t="s">
        <v>165</v>
      </c>
      <c r="G10" s="125" t="s">
        <v>355</v>
      </c>
      <c r="H10" s="125" t="s">
        <v>353</v>
      </c>
      <c r="I10" s="125" t="s">
        <v>1670</v>
      </c>
      <c r="J10" s="126">
        <v>111512</v>
      </c>
      <c r="K10" s="127" t="s">
        <v>1275</v>
      </c>
      <c r="L10" s="126">
        <v>111512</v>
      </c>
      <c r="M10" s="126">
        <v>98195.18</v>
      </c>
      <c r="N10" s="126">
        <v>0</v>
      </c>
      <c r="O10" s="126">
        <v>0</v>
      </c>
      <c r="P10" s="126">
        <v>0</v>
      </c>
      <c r="Q10" s="126">
        <v>0</v>
      </c>
      <c r="R10" s="126">
        <v>98195.18</v>
      </c>
      <c r="S10" s="126">
        <v>-6969.79</v>
      </c>
    </row>
    <row r="11" spans="1:19" ht="15.75" thickBot="1">
      <c r="A11" s="125" t="s">
        <v>1905</v>
      </c>
      <c r="B11" s="125" t="s">
        <v>1741</v>
      </c>
      <c r="C11" s="125" t="s">
        <v>354</v>
      </c>
      <c r="D11" s="125" t="str">
        <f t="shared" si="0"/>
        <v>3</v>
      </c>
      <c r="E11" s="125" t="s">
        <v>166</v>
      </c>
      <c r="F11" s="125" t="s">
        <v>165</v>
      </c>
      <c r="G11" s="125" t="s">
        <v>355</v>
      </c>
      <c r="H11" s="125" t="s">
        <v>353</v>
      </c>
      <c r="I11" s="125" t="s">
        <v>1670</v>
      </c>
      <c r="J11" s="126">
        <v>446883</v>
      </c>
      <c r="K11" s="127" t="s">
        <v>1275</v>
      </c>
      <c r="L11" s="126">
        <v>446883</v>
      </c>
      <c r="M11" s="126">
        <v>240343.77</v>
      </c>
      <c r="N11" s="126">
        <v>0</v>
      </c>
      <c r="O11" s="126">
        <v>0</v>
      </c>
      <c r="P11" s="126">
        <v>0</v>
      </c>
      <c r="Q11" s="126">
        <v>0</v>
      </c>
      <c r="R11" s="126">
        <v>240343.77</v>
      </c>
      <c r="S11" s="126">
        <v>199698.23</v>
      </c>
    </row>
    <row r="12" spans="1:19" ht="15.75" customHeight="1" thickBot="1">
      <c r="A12" s="125" t="s">
        <v>1273</v>
      </c>
      <c r="B12" s="125" t="s">
        <v>1807</v>
      </c>
      <c r="C12" s="125" t="s">
        <v>368</v>
      </c>
      <c r="D12" s="125" t="str">
        <f t="shared" si="0"/>
        <v>3</v>
      </c>
      <c r="E12" s="125" t="s">
        <v>166</v>
      </c>
      <c r="F12" s="125" t="s">
        <v>165</v>
      </c>
      <c r="G12" s="125" t="s">
        <v>369</v>
      </c>
      <c r="H12" s="125" t="s">
        <v>367</v>
      </c>
      <c r="I12" s="125" t="s">
        <v>1808</v>
      </c>
      <c r="J12" s="126">
        <v>306335</v>
      </c>
      <c r="K12" s="127" t="s">
        <v>1275</v>
      </c>
      <c r="L12" s="126">
        <v>306335</v>
      </c>
      <c r="M12" s="126">
        <v>295555.62</v>
      </c>
      <c r="N12" s="126">
        <v>2144</v>
      </c>
      <c r="O12" s="126">
        <v>0</v>
      </c>
      <c r="P12" s="126">
        <v>0</v>
      </c>
      <c r="Q12" s="126">
        <v>0</v>
      </c>
      <c r="R12" s="126">
        <v>297699.62</v>
      </c>
      <c r="S12" s="126">
        <v>-21864.04</v>
      </c>
    </row>
    <row r="13" spans="1:19" ht="15.75" thickBot="1">
      <c r="A13" s="125" t="s">
        <v>1905</v>
      </c>
      <c r="B13" s="125" t="s">
        <v>1807</v>
      </c>
      <c r="C13" s="125" t="s">
        <v>368</v>
      </c>
      <c r="D13" s="125" t="str">
        <f t="shared" si="0"/>
        <v>3</v>
      </c>
      <c r="E13" s="125" t="s">
        <v>166</v>
      </c>
      <c r="F13" s="125" t="s">
        <v>165</v>
      </c>
      <c r="G13" s="125" t="s">
        <v>369</v>
      </c>
      <c r="H13" s="125" t="s">
        <v>367</v>
      </c>
      <c r="I13" s="125" t="s">
        <v>1808</v>
      </c>
      <c r="J13" s="126">
        <v>295275</v>
      </c>
      <c r="K13" s="127" t="s">
        <v>1275</v>
      </c>
      <c r="L13" s="126">
        <v>295275</v>
      </c>
      <c r="M13" s="126">
        <v>161564.04999999999</v>
      </c>
      <c r="N13" s="126">
        <v>0</v>
      </c>
      <c r="O13" s="126">
        <v>0</v>
      </c>
      <c r="P13" s="126">
        <v>0</v>
      </c>
      <c r="Q13" s="126">
        <v>0</v>
      </c>
      <c r="R13" s="126">
        <v>161564.04999999999</v>
      </c>
      <c r="S13" s="126">
        <v>130702.95</v>
      </c>
    </row>
    <row r="14" spans="1:19" ht="15.75" customHeight="1" thickBot="1">
      <c r="A14" s="125" t="s">
        <v>1273</v>
      </c>
      <c r="B14" s="125" t="s">
        <v>381</v>
      </c>
      <c r="C14" s="125" t="s">
        <v>380</v>
      </c>
      <c r="D14" s="125" t="str">
        <f t="shared" si="0"/>
        <v>3</v>
      </c>
      <c r="E14" s="125" t="s">
        <v>166</v>
      </c>
      <c r="F14" s="125" t="s">
        <v>165</v>
      </c>
      <c r="G14" s="125" t="s">
        <v>381</v>
      </c>
      <c r="H14" s="125" t="s">
        <v>379</v>
      </c>
      <c r="I14" s="125" t="s">
        <v>1812</v>
      </c>
      <c r="J14" s="126">
        <v>158221.19</v>
      </c>
      <c r="K14" s="126">
        <v>19950.189999999999</v>
      </c>
      <c r="L14" s="126">
        <v>138271</v>
      </c>
      <c r="M14" s="126">
        <v>113536.07</v>
      </c>
      <c r="N14" s="126">
        <v>0</v>
      </c>
      <c r="O14" s="126">
        <v>0</v>
      </c>
      <c r="P14" s="126">
        <v>-72464.86</v>
      </c>
      <c r="Q14" s="126">
        <v>14740.3</v>
      </c>
      <c r="R14" s="126">
        <v>55811.51</v>
      </c>
      <c r="S14" s="126">
        <v>58350.02</v>
      </c>
    </row>
    <row r="15" spans="1:19" ht="15.75" thickBot="1">
      <c r="A15" s="125" t="s">
        <v>1905</v>
      </c>
      <c r="B15" s="125" t="s">
        <v>381</v>
      </c>
      <c r="C15" s="125" t="s">
        <v>380</v>
      </c>
      <c r="D15" s="125" t="str">
        <f t="shared" si="0"/>
        <v>3</v>
      </c>
      <c r="E15" s="125" t="s">
        <v>166</v>
      </c>
      <c r="F15" s="125" t="s">
        <v>165</v>
      </c>
      <c r="G15" s="125" t="s">
        <v>381</v>
      </c>
      <c r="H15" s="125" t="s">
        <v>379</v>
      </c>
      <c r="I15" s="125" t="s">
        <v>1812</v>
      </c>
      <c r="J15" s="126">
        <v>103011.3</v>
      </c>
      <c r="K15" s="126">
        <v>14740.3</v>
      </c>
      <c r="L15" s="126">
        <v>88271</v>
      </c>
      <c r="M15" s="126">
        <v>49080.04</v>
      </c>
      <c r="N15" s="126">
        <v>7449.25</v>
      </c>
      <c r="O15" s="126">
        <v>0</v>
      </c>
      <c r="P15" s="126">
        <v>-69212.240000000005</v>
      </c>
      <c r="Q15" s="126">
        <v>11814.08</v>
      </c>
      <c r="R15" s="126">
        <v>-868.87</v>
      </c>
      <c r="S15" s="126">
        <v>103880.17</v>
      </c>
    </row>
    <row r="16" spans="1:19" ht="15.75" customHeight="1" thickBot="1">
      <c r="A16" s="125" t="s">
        <v>1273</v>
      </c>
      <c r="B16" s="125" t="s">
        <v>1093</v>
      </c>
      <c r="C16" s="129">
        <v>3181</v>
      </c>
      <c r="D16" s="125" t="str">
        <f t="shared" si="0"/>
        <v>3</v>
      </c>
      <c r="E16" s="125" t="s">
        <v>166</v>
      </c>
      <c r="F16" s="125" t="s">
        <v>165</v>
      </c>
      <c r="G16" s="125" t="s">
        <v>1093</v>
      </c>
      <c r="H16" s="125" t="s">
        <v>1752</v>
      </c>
      <c r="I16" s="128"/>
      <c r="J16" s="126">
        <v>64744</v>
      </c>
      <c r="K16" s="127" t="s">
        <v>1275</v>
      </c>
      <c r="L16" s="126">
        <v>64744</v>
      </c>
      <c r="M16" s="126">
        <v>53654.22</v>
      </c>
      <c r="N16" s="126">
        <v>0</v>
      </c>
      <c r="O16" s="126">
        <v>0</v>
      </c>
      <c r="P16" s="126">
        <v>0</v>
      </c>
      <c r="Q16" s="126">
        <v>0</v>
      </c>
      <c r="R16" s="126">
        <v>53654.22</v>
      </c>
      <c r="S16" s="126">
        <v>-4110.22</v>
      </c>
    </row>
    <row r="17" spans="1:19" ht="15.75" customHeight="1" thickBot="1">
      <c r="A17" s="125" t="s">
        <v>1273</v>
      </c>
      <c r="B17" s="125" t="s">
        <v>1662</v>
      </c>
      <c r="C17" s="125" t="s">
        <v>994</v>
      </c>
      <c r="D17" s="125" t="str">
        <f t="shared" si="0"/>
        <v>3</v>
      </c>
      <c r="E17" s="125" t="s">
        <v>166</v>
      </c>
      <c r="F17" s="125" t="s">
        <v>165</v>
      </c>
      <c r="G17" s="125" t="s">
        <v>1663</v>
      </c>
      <c r="H17" s="125" t="s">
        <v>1664</v>
      </c>
      <c r="I17" s="125" t="s">
        <v>1665</v>
      </c>
      <c r="J17" s="126">
        <v>120628</v>
      </c>
      <c r="K17" s="127" t="s">
        <v>1275</v>
      </c>
      <c r="L17" s="126">
        <v>120628</v>
      </c>
      <c r="M17" s="126">
        <v>0</v>
      </c>
      <c r="N17" s="126">
        <v>0</v>
      </c>
      <c r="O17" s="126">
        <v>0</v>
      </c>
      <c r="P17" s="126">
        <v>120628</v>
      </c>
      <c r="Q17" s="126">
        <v>0</v>
      </c>
      <c r="R17" s="126">
        <v>120628</v>
      </c>
      <c r="S17" s="126">
        <v>0</v>
      </c>
    </row>
    <row r="18" spans="1:19" ht="15.75" thickBot="1">
      <c r="A18" s="125" t="s">
        <v>1905</v>
      </c>
      <c r="B18" s="125" t="s">
        <v>1662</v>
      </c>
      <c r="C18" s="125" t="s">
        <v>994</v>
      </c>
      <c r="D18" s="125" t="str">
        <f t="shared" si="0"/>
        <v>3</v>
      </c>
      <c r="E18" s="125" t="s">
        <v>166</v>
      </c>
      <c r="F18" s="125" t="s">
        <v>165</v>
      </c>
      <c r="G18" s="125" t="s">
        <v>1663</v>
      </c>
      <c r="H18" s="125" t="s">
        <v>1664</v>
      </c>
      <c r="I18" s="125" t="s">
        <v>1665</v>
      </c>
      <c r="J18" s="126">
        <v>120628</v>
      </c>
      <c r="K18" s="127" t="s">
        <v>1275</v>
      </c>
      <c r="L18" s="126">
        <v>120628</v>
      </c>
      <c r="M18" s="126">
        <v>0</v>
      </c>
      <c r="N18" s="126">
        <v>0</v>
      </c>
      <c r="O18" s="126">
        <v>0</v>
      </c>
      <c r="P18" s="126">
        <v>120628</v>
      </c>
      <c r="Q18" s="126">
        <v>0</v>
      </c>
      <c r="R18" s="126">
        <v>120628</v>
      </c>
      <c r="S18" s="126">
        <v>0</v>
      </c>
    </row>
    <row r="19" spans="1:19" ht="15.75" customHeight="1" thickBot="1">
      <c r="A19" s="125" t="s">
        <v>1273</v>
      </c>
      <c r="B19" s="125" t="s">
        <v>1097</v>
      </c>
      <c r="C19" s="125" t="s">
        <v>1096</v>
      </c>
      <c r="D19" s="125" t="str">
        <f t="shared" si="0"/>
        <v>3</v>
      </c>
      <c r="E19" s="125" t="s">
        <v>166</v>
      </c>
      <c r="F19" s="125" t="s">
        <v>165</v>
      </c>
      <c r="G19" s="125" t="s">
        <v>1097</v>
      </c>
      <c r="H19" s="125" t="s">
        <v>1815</v>
      </c>
      <c r="I19" s="125" t="s">
        <v>1816</v>
      </c>
      <c r="J19" s="126">
        <v>0</v>
      </c>
      <c r="K19" s="127" t="s">
        <v>1275</v>
      </c>
      <c r="L19" s="126">
        <v>0</v>
      </c>
      <c r="M19" s="126">
        <v>69169.31</v>
      </c>
      <c r="N19" s="126">
        <v>0</v>
      </c>
      <c r="O19" s="126">
        <v>0</v>
      </c>
      <c r="P19" s="126">
        <v>0</v>
      </c>
      <c r="Q19" s="126">
        <v>0</v>
      </c>
      <c r="R19" s="126">
        <v>69169.31</v>
      </c>
      <c r="S19" s="126">
        <v>-3175.48</v>
      </c>
    </row>
    <row r="20" spans="1:19" ht="15.75" customHeight="1" thickBot="1">
      <c r="A20" s="125" t="s">
        <v>1273</v>
      </c>
      <c r="B20" s="125" t="s">
        <v>1143</v>
      </c>
      <c r="C20" s="125" t="s">
        <v>953</v>
      </c>
      <c r="D20" s="125" t="str">
        <f t="shared" si="0"/>
        <v>5</v>
      </c>
      <c r="E20" s="125" t="s">
        <v>166</v>
      </c>
      <c r="F20" s="125" t="s">
        <v>165</v>
      </c>
      <c r="G20" s="125" t="s">
        <v>1859</v>
      </c>
      <c r="H20" s="125" t="s">
        <v>1860</v>
      </c>
      <c r="I20" s="125" t="s">
        <v>1858</v>
      </c>
      <c r="J20" s="126">
        <v>261421.31</v>
      </c>
      <c r="K20" s="126">
        <v>1878.31</v>
      </c>
      <c r="L20" s="126">
        <v>259543</v>
      </c>
      <c r="M20" s="126">
        <v>177419.94</v>
      </c>
      <c r="N20" s="126">
        <v>35666.97</v>
      </c>
      <c r="O20" s="126">
        <v>0</v>
      </c>
      <c r="P20" s="126">
        <v>1688.67</v>
      </c>
      <c r="Q20" s="126">
        <v>0</v>
      </c>
      <c r="R20" s="126">
        <v>214775.58</v>
      </c>
      <c r="S20" s="126">
        <v>854.89</v>
      </c>
    </row>
    <row r="21" spans="1:19" ht="15.75" thickBot="1">
      <c r="A21" s="125" t="s">
        <v>1905</v>
      </c>
      <c r="B21" s="125" t="s">
        <v>1143</v>
      </c>
      <c r="C21" s="125" t="s">
        <v>953</v>
      </c>
      <c r="D21" s="125" t="str">
        <f t="shared" si="0"/>
        <v>5</v>
      </c>
      <c r="E21" s="125" t="s">
        <v>166</v>
      </c>
      <c r="F21" s="125" t="s">
        <v>165</v>
      </c>
      <c r="G21" s="125" t="s">
        <v>1859</v>
      </c>
      <c r="H21" s="125" t="s">
        <v>1860</v>
      </c>
      <c r="I21" s="125" t="s">
        <v>1858</v>
      </c>
      <c r="J21" s="126">
        <v>0</v>
      </c>
      <c r="K21" s="127" t="s">
        <v>1275</v>
      </c>
      <c r="L21" s="126">
        <v>0</v>
      </c>
      <c r="M21" s="126">
        <v>0</v>
      </c>
      <c r="N21" s="126">
        <v>145</v>
      </c>
      <c r="O21" s="126">
        <v>0</v>
      </c>
      <c r="P21" s="126">
        <v>0</v>
      </c>
      <c r="Q21" s="126">
        <v>0</v>
      </c>
      <c r="R21" s="126">
        <v>145</v>
      </c>
      <c r="S21" s="126">
        <v>-145</v>
      </c>
    </row>
    <row r="22" spans="1:19" ht="15.75" customHeight="1" thickBot="1">
      <c r="A22" s="125" t="s">
        <v>1273</v>
      </c>
      <c r="B22" s="125" t="s">
        <v>1885</v>
      </c>
      <c r="C22" s="125" t="s">
        <v>1223</v>
      </c>
      <c r="D22" s="125" t="str">
        <f t="shared" si="0"/>
        <v>5</v>
      </c>
      <c r="E22" s="125" t="s">
        <v>166</v>
      </c>
      <c r="F22" s="125" t="s">
        <v>165</v>
      </c>
      <c r="G22" s="125" t="s">
        <v>1224</v>
      </c>
      <c r="H22" s="125" t="s">
        <v>1886</v>
      </c>
      <c r="I22" s="125" t="s">
        <v>1887</v>
      </c>
      <c r="J22" s="126">
        <v>130598</v>
      </c>
      <c r="K22" s="127" t="s">
        <v>1275</v>
      </c>
      <c r="L22" s="126">
        <v>130598</v>
      </c>
      <c r="M22" s="126">
        <v>125974.87</v>
      </c>
      <c r="N22" s="126">
        <v>0</v>
      </c>
      <c r="O22" s="126">
        <v>0</v>
      </c>
      <c r="P22" s="126">
        <v>0</v>
      </c>
      <c r="Q22" s="126">
        <v>0</v>
      </c>
      <c r="R22" s="126">
        <v>125974.87</v>
      </c>
      <c r="S22" s="126">
        <v>-159.79</v>
      </c>
    </row>
    <row r="23" spans="1:19" ht="15.75" customHeight="1" thickBot="1">
      <c r="A23" s="125" t="s">
        <v>1273</v>
      </c>
      <c r="B23" s="125" t="s">
        <v>1527</v>
      </c>
      <c r="C23" s="125" t="s">
        <v>750</v>
      </c>
      <c r="D23" s="125" t="str">
        <f t="shared" si="0"/>
        <v>2</v>
      </c>
      <c r="E23" s="125" t="s">
        <v>166</v>
      </c>
      <c r="F23" s="125" t="s">
        <v>165</v>
      </c>
      <c r="G23" s="125" t="s">
        <v>882</v>
      </c>
      <c r="H23" s="125" t="s">
        <v>881</v>
      </c>
      <c r="I23" s="125" t="s">
        <v>1301</v>
      </c>
      <c r="J23" s="126">
        <v>0</v>
      </c>
      <c r="K23" s="127" t="s">
        <v>1275</v>
      </c>
      <c r="L23" s="126">
        <v>0</v>
      </c>
      <c r="M23" s="126">
        <v>1713.24</v>
      </c>
      <c r="N23" s="126">
        <v>0</v>
      </c>
      <c r="O23" s="126">
        <v>0</v>
      </c>
      <c r="P23" s="126">
        <v>0</v>
      </c>
      <c r="Q23" s="126">
        <v>0</v>
      </c>
      <c r="R23" s="126">
        <v>1713.24</v>
      </c>
      <c r="S23" s="126">
        <v>-1713.24</v>
      </c>
    </row>
    <row r="24" spans="1:19" ht="15.75" customHeight="1" thickBot="1">
      <c r="A24" s="125" t="s">
        <v>1273</v>
      </c>
      <c r="B24" s="125" t="s">
        <v>386</v>
      </c>
      <c r="C24" s="125" t="s">
        <v>385</v>
      </c>
      <c r="D24" s="125" t="str">
        <f t="shared" si="0"/>
        <v>2</v>
      </c>
      <c r="E24" s="125" t="s">
        <v>166</v>
      </c>
      <c r="F24" s="125" t="s">
        <v>165</v>
      </c>
      <c r="G24" s="125" t="s">
        <v>386</v>
      </c>
      <c r="H24" s="125" t="s">
        <v>384</v>
      </c>
      <c r="I24" s="125" t="s">
        <v>1302</v>
      </c>
      <c r="J24" s="126">
        <v>0</v>
      </c>
      <c r="K24" s="127" t="s">
        <v>1275</v>
      </c>
      <c r="L24" s="126">
        <v>0</v>
      </c>
      <c r="M24" s="126">
        <v>59448</v>
      </c>
      <c r="N24" s="126">
        <v>0</v>
      </c>
      <c r="O24" s="126">
        <v>0</v>
      </c>
      <c r="P24" s="126">
        <v>0</v>
      </c>
      <c r="Q24" s="126">
        <v>0</v>
      </c>
      <c r="R24" s="126">
        <v>59448</v>
      </c>
      <c r="S24" s="126">
        <v>0</v>
      </c>
    </row>
    <row r="25" spans="1:19" ht="15.75" thickBot="1">
      <c r="A25" s="125" t="s">
        <v>1905</v>
      </c>
      <c r="B25" s="125" t="s">
        <v>386</v>
      </c>
      <c r="C25" s="125" t="s">
        <v>385</v>
      </c>
      <c r="D25" s="125" t="str">
        <f t="shared" si="0"/>
        <v>2</v>
      </c>
      <c r="E25" s="125" t="s">
        <v>166</v>
      </c>
      <c r="F25" s="125" t="s">
        <v>165</v>
      </c>
      <c r="G25" s="125" t="s">
        <v>386</v>
      </c>
      <c r="H25" s="125" t="s">
        <v>384</v>
      </c>
      <c r="I25" s="125" t="s">
        <v>1302</v>
      </c>
      <c r="J25" s="126">
        <v>0</v>
      </c>
      <c r="K25" s="127" t="s">
        <v>1275</v>
      </c>
      <c r="L25" s="126">
        <v>0</v>
      </c>
      <c r="M25" s="126">
        <v>56743</v>
      </c>
      <c r="N25" s="126">
        <v>0</v>
      </c>
      <c r="O25" s="126">
        <v>0</v>
      </c>
      <c r="P25" s="126">
        <v>0</v>
      </c>
      <c r="Q25" s="126">
        <v>0</v>
      </c>
      <c r="R25" s="126">
        <v>56743</v>
      </c>
      <c r="S25" s="126">
        <v>3274</v>
      </c>
    </row>
    <row r="26" spans="1:19" ht="15.75" customHeight="1" thickBot="1">
      <c r="A26" s="125" t="s">
        <v>1273</v>
      </c>
      <c r="B26" s="125" t="s">
        <v>392</v>
      </c>
      <c r="C26" s="125" t="s">
        <v>391</v>
      </c>
      <c r="D26" s="125" t="str">
        <f t="shared" si="0"/>
        <v>5</v>
      </c>
      <c r="E26" s="125" t="s">
        <v>166</v>
      </c>
      <c r="F26" s="125" t="s">
        <v>165</v>
      </c>
      <c r="G26" s="125" t="s">
        <v>392</v>
      </c>
      <c r="H26" s="125" t="s">
        <v>390</v>
      </c>
      <c r="I26" s="125" t="s">
        <v>1875</v>
      </c>
      <c r="J26" s="126">
        <v>321861</v>
      </c>
      <c r="K26" s="127" t="s">
        <v>1275</v>
      </c>
      <c r="L26" s="126">
        <v>321861</v>
      </c>
      <c r="M26" s="126">
        <v>209753.60000000001</v>
      </c>
      <c r="N26" s="126">
        <v>10898.78</v>
      </c>
      <c r="O26" s="126">
        <v>0</v>
      </c>
      <c r="P26" s="126">
        <v>0</v>
      </c>
      <c r="Q26" s="126">
        <v>0</v>
      </c>
      <c r="R26" s="126">
        <v>220652.38</v>
      </c>
      <c r="S26" s="126">
        <v>12250.01</v>
      </c>
    </row>
    <row r="27" spans="1:19" ht="15.75" thickBot="1">
      <c r="A27" s="125" t="s">
        <v>1905</v>
      </c>
      <c r="B27" s="125" t="s">
        <v>392</v>
      </c>
      <c r="C27" s="125" t="s">
        <v>391</v>
      </c>
      <c r="D27" s="125" t="str">
        <f t="shared" si="0"/>
        <v>5</v>
      </c>
      <c r="E27" s="125" t="s">
        <v>166</v>
      </c>
      <c r="F27" s="125" t="s">
        <v>165</v>
      </c>
      <c r="G27" s="125" t="s">
        <v>392</v>
      </c>
      <c r="H27" s="125" t="s">
        <v>390</v>
      </c>
      <c r="I27" s="125" t="s">
        <v>1875</v>
      </c>
      <c r="J27" s="126">
        <v>242987</v>
      </c>
      <c r="K27" s="127" t="s">
        <v>1275</v>
      </c>
      <c r="L27" s="126">
        <v>242987</v>
      </c>
      <c r="M27" s="126">
        <v>135847.35999999999</v>
      </c>
      <c r="N27" s="126">
        <v>2789.23</v>
      </c>
      <c r="O27" s="126">
        <v>0</v>
      </c>
      <c r="P27" s="126">
        <v>0</v>
      </c>
      <c r="Q27" s="126">
        <v>0</v>
      </c>
      <c r="R27" s="126">
        <v>138636.59</v>
      </c>
      <c r="S27" s="126">
        <v>109038.41</v>
      </c>
    </row>
    <row r="28" spans="1:19" ht="15.75" customHeight="1" thickBot="1">
      <c r="A28" s="125" t="s">
        <v>1273</v>
      </c>
      <c r="B28" s="125" t="s">
        <v>403</v>
      </c>
      <c r="C28" s="125" t="s">
        <v>402</v>
      </c>
      <c r="D28" s="125" t="str">
        <f t="shared" si="0"/>
        <v>5</v>
      </c>
      <c r="E28" s="125" t="s">
        <v>166</v>
      </c>
      <c r="F28" s="125" t="s">
        <v>165</v>
      </c>
      <c r="G28" s="125" t="s">
        <v>403</v>
      </c>
      <c r="H28" s="125" t="s">
        <v>401</v>
      </c>
      <c r="I28" s="125" t="s">
        <v>1874</v>
      </c>
      <c r="J28" s="126">
        <v>14263</v>
      </c>
      <c r="K28" s="127" t="s">
        <v>1275</v>
      </c>
      <c r="L28" s="126">
        <v>14263</v>
      </c>
      <c r="M28" s="126">
        <v>13115.99</v>
      </c>
      <c r="N28" s="126">
        <v>0</v>
      </c>
      <c r="O28" s="126">
        <v>0</v>
      </c>
      <c r="P28" s="126">
        <v>0</v>
      </c>
      <c r="Q28" s="126">
        <v>0</v>
      </c>
      <c r="R28" s="126">
        <v>13115.99</v>
      </c>
      <c r="S28" s="126">
        <v>3.64</v>
      </c>
    </row>
    <row r="29" spans="1:19" ht="15.75" thickBot="1">
      <c r="A29" s="125" t="s">
        <v>1905</v>
      </c>
      <c r="B29" s="125" t="s">
        <v>403</v>
      </c>
      <c r="C29" s="125" t="s">
        <v>402</v>
      </c>
      <c r="D29" s="125" t="str">
        <f t="shared" si="0"/>
        <v>5</v>
      </c>
      <c r="E29" s="125" t="s">
        <v>166</v>
      </c>
      <c r="F29" s="125" t="s">
        <v>165</v>
      </c>
      <c r="G29" s="125" t="s">
        <v>403</v>
      </c>
      <c r="H29" s="125" t="s">
        <v>401</v>
      </c>
      <c r="I29" s="125" t="s">
        <v>1874</v>
      </c>
      <c r="J29" s="126">
        <v>14383</v>
      </c>
      <c r="K29" s="127" t="s">
        <v>1275</v>
      </c>
      <c r="L29" s="126">
        <v>14383</v>
      </c>
      <c r="M29" s="126">
        <v>7779.66</v>
      </c>
      <c r="N29" s="126">
        <v>0</v>
      </c>
      <c r="O29" s="126">
        <v>0</v>
      </c>
      <c r="P29" s="126">
        <v>0</v>
      </c>
      <c r="Q29" s="126">
        <v>0</v>
      </c>
      <c r="R29" s="126">
        <v>7779.66</v>
      </c>
      <c r="S29" s="126">
        <v>6603.34</v>
      </c>
    </row>
    <row r="30" spans="1:19" ht="15.75" customHeight="1" thickBot="1">
      <c r="A30" s="125" t="s">
        <v>1273</v>
      </c>
      <c r="B30" s="125" t="s">
        <v>1700</v>
      </c>
      <c r="C30" s="125" t="s">
        <v>1701</v>
      </c>
      <c r="D30" s="125" t="str">
        <f t="shared" si="0"/>
        <v>3</v>
      </c>
      <c r="E30" s="125" t="s">
        <v>166</v>
      </c>
      <c r="F30" s="125" t="s">
        <v>165</v>
      </c>
      <c r="G30" s="125" t="s">
        <v>1702</v>
      </c>
      <c r="H30" s="125" t="s">
        <v>1703</v>
      </c>
      <c r="I30" s="125" t="s">
        <v>1692</v>
      </c>
      <c r="J30" s="126">
        <v>1048198</v>
      </c>
      <c r="K30" s="127" t="s">
        <v>1275</v>
      </c>
      <c r="L30" s="126">
        <v>1048198</v>
      </c>
      <c r="M30" s="126">
        <v>0</v>
      </c>
      <c r="N30" s="126">
        <v>0</v>
      </c>
      <c r="O30" s="126">
        <f>4957074-4077985.83</f>
        <v>879088.16999999993</v>
      </c>
      <c r="P30" s="126">
        <v>0</v>
      </c>
      <c r="Q30" s="126">
        <v>0</v>
      </c>
      <c r="R30" s="126">
        <f>4957074-4077985.83</f>
        <v>879088.16999999993</v>
      </c>
      <c r="S30" s="126">
        <v>-3908876</v>
      </c>
    </row>
    <row r="31" spans="1:19" ht="15.75" thickBot="1">
      <c r="A31" s="125" t="s">
        <v>1905</v>
      </c>
      <c r="B31" s="125" t="s">
        <v>1700</v>
      </c>
      <c r="C31" s="125" t="s">
        <v>1701</v>
      </c>
      <c r="D31" s="125" t="str">
        <f t="shared" si="0"/>
        <v>3</v>
      </c>
      <c r="E31" s="125" t="s">
        <v>166</v>
      </c>
      <c r="F31" s="125" t="s">
        <v>165</v>
      </c>
      <c r="G31" s="125" t="s">
        <v>1702</v>
      </c>
      <c r="H31" s="125" t="s">
        <v>1703</v>
      </c>
      <c r="I31" s="125" t="s">
        <v>1692</v>
      </c>
      <c r="J31" s="126">
        <v>1271290</v>
      </c>
      <c r="K31" s="127" t="s">
        <v>1275</v>
      </c>
      <c r="L31" s="126">
        <v>1271290</v>
      </c>
      <c r="M31" s="126">
        <v>0</v>
      </c>
      <c r="N31" s="126">
        <v>0</v>
      </c>
      <c r="O31" s="126">
        <v>658867.43000000005</v>
      </c>
      <c r="P31" s="126">
        <v>0</v>
      </c>
      <c r="Q31" s="126">
        <v>0</v>
      </c>
      <c r="R31" s="126">
        <v>126893.92000000004</v>
      </c>
      <c r="S31" s="126">
        <v>612422.56999999995</v>
      </c>
    </row>
    <row r="32" spans="1:19" ht="15.75" customHeight="1" thickBot="1">
      <c r="A32" s="125" t="s">
        <v>1273</v>
      </c>
      <c r="B32" s="125" t="s">
        <v>1700</v>
      </c>
      <c r="C32" s="125" t="s">
        <v>1701</v>
      </c>
      <c r="D32" s="125" t="str">
        <f t="shared" si="0"/>
        <v>3</v>
      </c>
      <c r="E32" s="125" t="s">
        <v>166</v>
      </c>
      <c r="F32" s="125" t="s">
        <v>165</v>
      </c>
      <c r="G32" s="125" t="s">
        <v>1704</v>
      </c>
      <c r="H32" s="125" t="s">
        <v>1705</v>
      </c>
      <c r="I32" s="125" t="s">
        <v>1692</v>
      </c>
      <c r="J32" s="126">
        <v>1854150</v>
      </c>
      <c r="K32" s="127" t="s">
        <v>1275</v>
      </c>
      <c r="L32" s="126">
        <v>1854150</v>
      </c>
      <c r="M32" s="126">
        <v>0</v>
      </c>
      <c r="N32" s="126">
        <v>0</v>
      </c>
      <c r="O32" s="126">
        <f>864518.3-737624.38</f>
        <v>126893.92000000004</v>
      </c>
      <c r="P32" s="126">
        <v>0</v>
      </c>
      <c r="Q32" s="126">
        <v>0</v>
      </c>
      <c r="R32" s="126">
        <f>864518.3-737624.38</f>
        <v>126893.92000000004</v>
      </c>
      <c r="S32" s="126">
        <v>989631.7</v>
      </c>
    </row>
    <row r="33" spans="1:19" ht="15.75" thickBot="1">
      <c r="A33" s="125" t="s">
        <v>1905</v>
      </c>
      <c r="B33" s="125" t="s">
        <v>1700</v>
      </c>
      <c r="C33" s="125" t="s">
        <v>1701</v>
      </c>
      <c r="D33" s="125" t="str">
        <f t="shared" si="0"/>
        <v>3</v>
      </c>
      <c r="E33" s="125" t="s">
        <v>166</v>
      </c>
      <c r="F33" s="125" t="s">
        <v>165</v>
      </c>
      <c r="G33" s="125" t="s">
        <v>1704</v>
      </c>
      <c r="H33" s="125" t="s">
        <v>1705</v>
      </c>
      <c r="I33" s="125" t="s">
        <v>1692</v>
      </c>
      <c r="J33" s="126">
        <v>1706595</v>
      </c>
      <c r="K33" s="127" t="s">
        <v>1275</v>
      </c>
      <c r="L33" s="126"/>
      <c r="M33" s="126">
        <v>0</v>
      </c>
      <c r="N33" s="126">
        <v>0</v>
      </c>
      <c r="O33" s="126">
        <v>439091.44</v>
      </c>
      <c r="P33" s="126">
        <v>0</v>
      </c>
      <c r="Q33" s="126">
        <v>0</v>
      </c>
      <c r="R33" s="126">
        <v>467922.1100000001</v>
      </c>
      <c r="S33" s="126">
        <v>926184.56</v>
      </c>
    </row>
    <row r="34" spans="1:19" ht="15.75" customHeight="1" thickBot="1">
      <c r="A34" s="125" t="s">
        <v>1273</v>
      </c>
      <c r="B34" s="125" t="s">
        <v>1700</v>
      </c>
      <c r="C34" s="125" t="s">
        <v>1701</v>
      </c>
      <c r="D34" s="125" t="str">
        <f t="shared" si="0"/>
        <v>3</v>
      </c>
      <c r="E34" s="125" t="s">
        <v>166</v>
      </c>
      <c r="F34" s="125" t="s">
        <v>165</v>
      </c>
      <c r="G34" s="125" t="s">
        <v>1706</v>
      </c>
      <c r="H34" s="125" t="s">
        <v>1707</v>
      </c>
      <c r="I34" s="125" t="s">
        <v>1692</v>
      </c>
      <c r="J34" s="126">
        <v>125927</v>
      </c>
      <c r="K34" s="127" t="s">
        <v>1275</v>
      </c>
      <c r="L34" s="126">
        <v>125927</v>
      </c>
      <c r="M34" s="126">
        <v>0</v>
      </c>
      <c r="N34" s="126">
        <v>0</v>
      </c>
      <c r="O34" s="126">
        <v>111247.55</v>
      </c>
      <c r="P34" s="126">
        <v>0</v>
      </c>
      <c r="Q34" s="126">
        <v>0</v>
      </c>
      <c r="R34" s="126">
        <v>111247.55</v>
      </c>
      <c r="S34" s="126">
        <v>14679.45</v>
      </c>
    </row>
    <row r="35" spans="1:19" ht="15.75" thickBot="1">
      <c r="A35" s="125" t="s">
        <v>1905</v>
      </c>
      <c r="B35" s="125" t="s">
        <v>1700</v>
      </c>
      <c r="C35" s="125" t="s">
        <v>1701</v>
      </c>
      <c r="D35" s="125" t="str">
        <f t="shared" si="0"/>
        <v>3</v>
      </c>
      <c r="E35" s="125" t="s">
        <v>166</v>
      </c>
      <c r="F35" s="125" t="s">
        <v>165</v>
      </c>
      <c r="G35" s="125" t="s">
        <v>1706</v>
      </c>
      <c r="H35" s="125" t="s">
        <v>1707</v>
      </c>
      <c r="I35" s="125" t="s">
        <v>1692</v>
      </c>
      <c r="J35" s="126">
        <v>80000</v>
      </c>
      <c r="K35" s="127" t="s">
        <v>1275</v>
      </c>
      <c r="L35" s="126">
        <v>80000</v>
      </c>
      <c r="M35" s="126">
        <v>0</v>
      </c>
      <c r="N35" s="126">
        <v>0</v>
      </c>
      <c r="O35" s="126">
        <v>84575.84</v>
      </c>
      <c r="P35" s="126">
        <v>0</v>
      </c>
      <c r="Q35" s="126">
        <v>0</v>
      </c>
      <c r="R35" s="126">
        <v>84575.84</v>
      </c>
      <c r="S35" s="126">
        <v>-4575.84</v>
      </c>
    </row>
    <row r="36" spans="1:19" ht="15.75" thickBot="1">
      <c r="A36" s="125" t="s">
        <v>1905</v>
      </c>
      <c r="B36" s="125" t="s">
        <v>1700</v>
      </c>
      <c r="C36" s="125" t="s">
        <v>1701</v>
      </c>
      <c r="D36" s="125" t="str">
        <f t="shared" si="0"/>
        <v>3</v>
      </c>
      <c r="E36" s="125" t="s">
        <v>166</v>
      </c>
      <c r="F36" s="125" t="s">
        <v>165</v>
      </c>
      <c r="G36" s="125" t="s">
        <v>1946</v>
      </c>
      <c r="H36" s="125" t="s">
        <v>1947</v>
      </c>
      <c r="I36" s="125" t="s">
        <v>1692</v>
      </c>
      <c r="J36" s="126">
        <v>1035</v>
      </c>
      <c r="K36" s="127" t="s">
        <v>1275</v>
      </c>
      <c r="L36" s="126">
        <v>1035</v>
      </c>
      <c r="M36" s="126">
        <v>0</v>
      </c>
      <c r="N36" s="126">
        <v>0</v>
      </c>
      <c r="O36" s="126">
        <v>0</v>
      </c>
      <c r="P36" s="126">
        <v>0</v>
      </c>
      <c r="Q36" s="126">
        <v>0</v>
      </c>
      <c r="R36" s="126">
        <v>0</v>
      </c>
      <c r="S36" s="126">
        <v>1035</v>
      </c>
    </row>
    <row r="37" spans="1:19" ht="15.75" customHeight="1" thickBot="1">
      <c r="A37" s="125" t="s">
        <v>1273</v>
      </c>
      <c r="B37" s="125" t="s">
        <v>1700</v>
      </c>
      <c r="C37" s="125" t="s">
        <v>1701</v>
      </c>
      <c r="D37" s="125" t="str">
        <f t="shared" si="0"/>
        <v>3</v>
      </c>
      <c r="E37" s="125" t="s">
        <v>166</v>
      </c>
      <c r="F37" s="125" t="s">
        <v>165</v>
      </c>
      <c r="G37" s="125" t="s">
        <v>1708</v>
      </c>
      <c r="H37" s="125" t="s">
        <v>1709</v>
      </c>
      <c r="I37" s="125" t="s">
        <v>1692</v>
      </c>
      <c r="J37" s="126">
        <v>1976713</v>
      </c>
      <c r="K37" s="127" t="s">
        <v>1275</v>
      </c>
      <c r="L37" s="126">
        <v>1976713</v>
      </c>
      <c r="M37" s="126">
        <v>0</v>
      </c>
      <c r="N37" s="126">
        <v>0</v>
      </c>
      <c r="O37" s="126">
        <f>1885513.6-1417591.49</f>
        <v>467922.1100000001</v>
      </c>
      <c r="P37" s="126">
        <v>0</v>
      </c>
      <c r="Q37" s="126">
        <v>0</v>
      </c>
      <c r="R37" s="126">
        <f>1885513.6-1417591.49</f>
        <v>467922.1100000001</v>
      </c>
      <c r="S37" s="126">
        <v>91199.4</v>
      </c>
    </row>
    <row r="38" spans="1:19" ht="15.75" thickBot="1">
      <c r="A38" s="125" t="s">
        <v>1905</v>
      </c>
      <c r="B38" s="125" t="s">
        <v>1700</v>
      </c>
      <c r="C38" s="125" t="s">
        <v>1701</v>
      </c>
      <c r="D38" s="125" t="str">
        <f t="shared" si="0"/>
        <v>3</v>
      </c>
      <c r="E38" s="125" t="s">
        <v>166</v>
      </c>
      <c r="F38" s="125" t="s">
        <v>165</v>
      </c>
      <c r="G38" s="125" t="s">
        <v>1708</v>
      </c>
      <c r="H38" s="125" t="s">
        <v>1709</v>
      </c>
      <c r="I38" s="125" t="s">
        <v>1692</v>
      </c>
      <c r="J38" s="126">
        <v>2145716</v>
      </c>
      <c r="K38" s="127" t="s">
        <v>1275</v>
      </c>
      <c r="L38" s="126"/>
      <c r="M38" s="126">
        <v>0</v>
      </c>
      <c r="N38" s="126">
        <v>0</v>
      </c>
      <c r="O38" s="126">
        <v>972230.88</v>
      </c>
      <c r="P38" s="126">
        <v>0</v>
      </c>
      <c r="Q38" s="126">
        <v>0</v>
      </c>
      <c r="R38" s="126">
        <v>972230.88</v>
      </c>
      <c r="S38" s="126">
        <v>1173485.1200000001</v>
      </c>
    </row>
    <row r="39" spans="1:19" ht="15.75" customHeight="1" thickBot="1">
      <c r="A39" s="125" t="s">
        <v>1273</v>
      </c>
      <c r="B39" s="125" t="s">
        <v>1700</v>
      </c>
      <c r="C39" s="125" t="s">
        <v>1701</v>
      </c>
      <c r="D39" s="125" t="str">
        <f t="shared" si="0"/>
        <v>3</v>
      </c>
      <c r="E39" s="125" t="s">
        <v>166</v>
      </c>
      <c r="F39" s="125" t="s">
        <v>165</v>
      </c>
      <c r="G39" s="125" t="s">
        <v>1710</v>
      </c>
      <c r="H39" s="125" t="s">
        <v>1711</v>
      </c>
      <c r="I39" s="125" t="s">
        <v>1692</v>
      </c>
      <c r="J39" s="126">
        <v>0</v>
      </c>
      <c r="K39" s="127" t="s">
        <v>1275</v>
      </c>
      <c r="L39" s="126">
        <v>0</v>
      </c>
      <c r="M39" s="126">
        <v>0</v>
      </c>
      <c r="N39" s="126">
        <v>0</v>
      </c>
      <c r="O39" s="126">
        <v>253910.04</v>
      </c>
      <c r="P39" s="126">
        <v>0</v>
      </c>
      <c r="Q39" s="126">
        <v>0</v>
      </c>
      <c r="R39" s="126">
        <v>253910.04</v>
      </c>
      <c r="S39" s="126">
        <v>-73485.02</v>
      </c>
    </row>
    <row r="40" spans="1:19" ht="15.75" thickBot="1">
      <c r="A40" s="125" t="s">
        <v>1905</v>
      </c>
      <c r="B40" s="125" t="s">
        <v>1700</v>
      </c>
      <c r="C40" s="125" t="s">
        <v>1701</v>
      </c>
      <c r="D40" s="125" t="str">
        <f t="shared" si="0"/>
        <v>3</v>
      </c>
      <c r="E40" s="125" t="s">
        <v>166</v>
      </c>
      <c r="F40" s="125" t="s">
        <v>165</v>
      </c>
      <c r="G40" s="125" t="s">
        <v>1710</v>
      </c>
      <c r="H40" s="125" t="s">
        <v>1711</v>
      </c>
      <c r="I40" s="125" t="s">
        <v>1692</v>
      </c>
      <c r="J40" s="126">
        <v>0</v>
      </c>
      <c r="K40" s="127" t="s">
        <v>1275</v>
      </c>
      <c r="L40" s="126">
        <v>0</v>
      </c>
      <c r="M40" s="126">
        <v>0</v>
      </c>
      <c r="N40" s="126">
        <v>0</v>
      </c>
      <c r="O40" s="126">
        <v>36444.39</v>
      </c>
      <c r="P40" s="126">
        <v>0</v>
      </c>
      <c r="Q40" s="126">
        <v>0</v>
      </c>
      <c r="R40" s="126">
        <v>36444.39</v>
      </c>
      <c r="S40" s="126">
        <v>304874.61</v>
      </c>
    </row>
    <row r="41" spans="1:19" ht="15.75" customHeight="1" thickBot="1">
      <c r="A41" s="125" t="s">
        <v>1273</v>
      </c>
      <c r="B41" s="125" t="s">
        <v>1700</v>
      </c>
      <c r="C41" s="125" t="s">
        <v>1701</v>
      </c>
      <c r="D41" s="125" t="str">
        <f t="shared" si="0"/>
        <v>3</v>
      </c>
      <c r="E41" s="125" t="s">
        <v>166</v>
      </c>
      <c r="F41" s="125" t="s">
        <v>165</v>
      </c>
      <c r="G41" s="125" t="s">
        <v>1712</v>
      </c>
      <c r="H41" s="125" t="s">
        <v>1713</v>
      </c>
      <c r="I41" s="125" t="s">
        <v>1692</v>
      </c>
      <c r="J41" s="126">
        <v>0</v>
      </c>
      <c r="K41" s="127" t="s">
        <v>1275</v>
      </c>
      <c r="L41" s="126">
        <v>0</v>
      </c>
      <c r="M41" s="126">
        <v>0</v>
      </c>
      <c r="N41" s="126">
        <v>0</v>
      </c>
      <c r="O41" s="126">
        <v>244350.18</v>
      </c>
      <c r="P41" s="126">
        <v>0</v>
      </c>
      <c r="Q41" s="126">
        <v>0</v>
      </c>
      <c r="R41" s="126">
        <v>244350.18</v>
      </c>
      <c r="S41" s="126">
        <v>-244350.18</v>
      </c>
    </row>
    <row r="42" spans="1:19" ht="15.75" customHeight="1" thickBot="1">
      <c r="A42" s="125" t="s">
        <v>1273</v>
      </c>
      <c r="B42" s="125" t="s">
        <v>1700</v>
      </c>
      <c r="C42" s="125" t="s">
        <v>1701</v>
      </c>
      <c r="D42" s="125" t="str">
        <f t="shared" si="0"/>
        <v>3</v>
      </c>
      <c r="E42" s="125" t="s">
        <v>166</v>
      </c>
      <c r="F42" s="125" t="s">
        <v>165</v>
      </c>
      <c r="G42" s="125" t="s">
        <v>1714</v>
      </c>
      <c r="H42" s="125" t="s">
        <v>1715</v>
      </c>
      <c r="I42" s="125" t="s">
        <v>1692</v>
      </c>
      <c r="J42" s="126">
        <v>20000</v>
      </c>
      <c r="K42" s="127" t="s">
        <v>1275</v>
      </c>
      <c r="L42" s="126">
        <v>20000</v>
      </c>
      <c r="M42" s="126">
        <v>0</v>
      </c>
      <c r="N42" s="126">
        <v>0</v>
      </c>
      <c r="O42" s="126">
        <v>12007.69</v>
      </c>
      <c r="P42" s="126">
        <v>0</v>
      </c>
      <c r="Q42" s="126">
        <v>0</v>
      </c>
      <c r="R42" s="126">
        <v>12007.69</v>
      </c>
      <c r="S42" s="126">
        <v>7992.31</v>
      </c>
    </row>
    <row r="43" spans="1:19" ht="15.75" thickBot="1">
      <c r="A43" s="125" t="s">
        <v>1905</v>
      </c>
      <c r="B43" s="125" t="s">
        <v>1700</v>
      </c>
      <c r="C43" s="125" t="s">
        <v>1701</v>
      </c>
      <c r="D43" s="125" t="str">
        <f t="shared" si="0"/>
        <v>3</v>
      </c>
      <c r="E43" s="125" t="s">
        <v>166</v>
      </c>
      <c r="F43" s="125" t="s">
        <v>165</v>
      </c>
      <c r="G43" s="125" t="s">
        <v>1714</v>
      </c>
      <c r="H43" s="125" t="s">
        <v>1715</v>
      </c>
      <c r="I43" s="125" t="s">
        <v>1692</v>
      </c>
      <c r="J43" s="126">
        <v>10000</v>
      </c>
      <c r="K43" s="127" t="s">
        <v>1275</v>
      </c>
      <c r="L43" s="126">
        <v>10000</v>
      </c>
      <c r="M43" s="126">
        <v>0</v>
      </c>
      <c r="N43" s="126">
        <v>0</v>
      </c>
      <c r="O43" s="126">
        <v>6154.84</v>
      </c>
      <c r="P43" s="126">
        <v>0</v>
      </c>
      <c r="Q43" s="126">
        <v>0</v>
      </c>
      <c r="R43" s="126">
        <v>6154.84</v>
      </c>
      <c r="S43" s="126">
        <v>3845.16</v>
      </c>
    </row>
    <row r="44" spans="1:19" ht="15.75" customHeight="1" thickBot="1">
      <c r="A44" s="125" t="s">
        <v>1273</v>
      </c>
      <c r="B44" s="125" t="s">
        <v>1700</v>
      </c>
      <c r="C44" s="125" t="s">
        <v>1701</v>
      </c>
      <c r="D44" s="125" t="str">
        <f t="shared" si="0"/>
        <v>3</v>
      </c>
      <c r="E44" s="125" t="s">
        <v>166</v>
      </c>
      <c r="F44" s="125" t="s">
        <v>165</v>
      </c>
      <c r="G44" s="125" t="s">
        <v>1716</v>
      </c>
      <c r="H44" s="125" t="s">
        <v>1717</v>
      </c>
      <c r="I44" s="125" t="s">
        <v>1692</v>
      </c>
      <c r="J44" s="126">
        <v>0</v>
      </c>
      <c r="K44" s="127" t="s">
        <v>1275</v>
      </c>
      <c r="L44" s="126">
        <v>0</v>
      </c>
      <c r="M44" s="126">
        <v>0</v>
      </c>
      <c r="N44" s="126">
        <v>0</v>
      </c>
      <c r="O44" s="126">
        <v>22644.27</v>
      </c>
      <c r="P44" s="126">
        <v>0</v>
      </c>
      <c r="Q44" s="126">
        <v>0</v>
      </c>
      <c r="R44" s="126">
        <v>22644.27</v>
      </c>
      <c r="S44" s="126">
        <v>-3069.29</v>
      </c>
    </row>
    <row r="45" spans="1:19" ht="15.75" thickBot="1">
      <c r="A45" s="125" t="s">
        <v>1905</v>
      </c>
      <c r="B45" s="125" t="s">
        <v>1700</v>
      </c>
      <c r="C45" s="125" t="s">
        <v>1701</v>
      </c>
      <c r="D45" s="125" t="str">
        <f t="shared" si="0"/>
        <v>3</v>
      </c>
      <c r="E45" s="125" t="s">
        <v>166</v>
      </c>
      <c r="F45" s="125" t="s">
        <v>165</v>
      </c>
      <c r="G45" s="125" t="s">
        <v>1716</v>
      </c>
      <c r="H45" s="125" t="s">
        <v>1717</v>
      </c>
      <c r="I45" s="125" t="s">
        <v>1692</v>
      </c>
      <c r="J45" s="126">
        <v>0</v>
      </c>
      <c r="K45" s="127" t="s">
        <v>1275</v>
      </c>
      <c r="L45" s="126">
        <v>0</v>
      </c>
      <c r="M45" s="126">
        <v>0</v>
      </c>
      <c r="N45" s="126">
        <v>0</v>
      </c>
      <c r="O45" s="126">
        <v>19003.439999999999</v>
      </c>
      <c r="P45" s="126">
        <v>0</v>
      </c>
      <c r="Q45" s="126">
        <v>0</v>
      </c>
      <c r="R45" s="126">
        <v>19003.439999999999</v>
      </c>
      <c r="S45" s="126">
        <v>-19003.439999999999</v>
      </c>
    </row>
    <row r="46" spans="1:19" ht="15.75" customHeight="1" thickBot="1">
      <c r="A46" s="125" t="s">
        <v>1273</v>
      </c>
      <c r="B46" s="125" t="s">
        <v>1700</v>
      </c>
      <c r="C46" s="125" t="s">
        <v>1701</v>
      </c>
      <c r="D46" s="125" t="str">
        <f t="shared" si="0"/>
        <v>3</v>
      </c>
      <c r="E46" s="125" t="s">
        <v>166</v>
      </c>
      <c r="F46" s="125" t="s">
        <v>165</v>
      </c>
      <c r="G46" s="125" t="s">
        <v>1718</v>
      </c>
      <c r="H46" s="125" t="s">
        <v>1719</v>
      </c>
      <c r="I46" s="125" t="s">
        <v>1692</v>
      </c>
      <c r="J46" s="126">
        <v>31021</v>
      </c>
      <c r="K46" s="127" t="s">
        <v>1275</v>
      </c>
      <c r="L46" s="126">
        <v>31021</v>
      </c>
      <c r="M46" s="126">
        <v>0</v>
      </c>
      <c r="N46" s="126">
        <v>0</v>
      </c>
      <c r="O46" s="126">
        <v>81996.55</v>
      </c>
      <c r="P46" s="126">
        <v>0</v>
      </c>
      <c r="Q46" s="126">
        <v>0</v>
      </c>
      <c r="R46" s="126">
        <v>81996.55</v>
      </c>
      <c r="S46" s="126">
        <v>-50975.55</v>
      </c>
    </row>
    <row r="47" spans="1:19" ht="15.75" thickBot="1">
      <c r="A47" s="125" t="s">
        <v>1905</v>
      </c>
      <c r="B47" s="125" t="s">
        <v>1700</v>
      </c>
      <c r="C47" s="125" t="s">
        <v>1701</v>
      </c>
      <c r="D47" s="125" t="str">
        <f t="shared" si="0"/>
        <v>3</v>
      </c>
      <c r="E47" s="125" t="s">
        <v>166</v>
      </c>
      <c r="F47" s="125" t="s">
        <v>165</v>
      </c>
      <c r="G47" s="125" t="s">
        <v>1718</v>
      </c>
      <c r="H47" s="125" t="s">
        <v>1719</v>
      </c>
      <c r="I47" s="125" t="s">
        <v>1692</v>
      </c>
      <c r="J47" s="126">
        <v>10000</v>
      </c>
      <c r="K47" s="127" t="s">
        <v>1275</v>
      </c>
      <c r="L47" s="126">
        <v>10000</v>
      </c>
      <c r="M47" s="126">
        <v>0</v>
      </c>
      <c r="N47" s="126">
        <v>0</v>
      </c>
      <c r="O47" s="126">
        <v>25088.45</v>
      </c>
      <c r="P47" s="126">
        <v>0</v>
      </c>
      <c r="Q47" s="126">
        <v>0</v>
      </c>
      <c r="R47" s="126">
        <v>25088.45</v>
      </c>
      <c r="S47" s="126">
        <v>4911.55</v>
      </c>
    </row>
    <row r="48" spans="1:19" ht="15.75" customHeight="1" thickBot="1">
      <c r="A48" s="125" t="s">
        <v>1273</v>
      </c>
      <c r="B48" s="125" t="s">
        <v>1093</v>
      </c>
      <c r="C48" s="129">
        <v>3181</v>
      </c>
      <c r="D48" s="125" t="str">
        <f t="shared" si="0"/>
        <v>3</v>
      </c>
      <c r="E48" s="125" t="s">
        <v>166</v>
      </c>
      <c r="F48" s="125" t="s">
        <v>165</v>
      </c>
      <c r="G48" s="125" t="s">
        <v>1753</v>
      </c>
      <c r="H48" s="125" t="s">
        <v>1754</v>
      </c>
      <c r="I48" s="128"/>
      <c r="J48" s="126">
        <v>60000</v>
      </c>
      <c r="K48" s="127" t="s">
        <v>1275</v>
      </c>
      <c r="L48" s="126">
        <v>60000</v>
      </c>
      <c r="M48" s="126">
        <v>0</v>
      </c>
      <c r="N48" s="126">
        <v>0</v>
      </c>
      <c r="O48" s="126">
        <v>0</v>
      </c>
      <c r="P48" s="126">
        <v>48757.64</v>
      </c>
      <c r="Q48" s="126">
        <v>0</v>
      </c>
      <c r="R48" s="126">
        <v>48757.64</v>
      </c>
      <c r="S48" s="126">
        <v>8139.15</v>
      </c>
    </row>
    <row r="49" spans="1:19" ht="15.75" thickBot="1">
      <c r="A49" s="125" t="s">
        <v>1905</v>
      </c>
      <c r="B49" s="125" t="s">
        <v>1093</v>
      </c>
      <c r="C49" s="129">
        <v>3181</v>
      </c>
      <c r="D49" s="125" t="str">
        <f t="shared" si="0"/>
        <v>3</v>
      </c>
      <c r="E49" s="125" t="s">
        <v>166</v>
      </c>
      <c r="F49" s="125" t="s">
        <v>165</v>
      </c>
      <c r="G49" s="125" t="s">
        <v>1753</v>
      </c>
      <c r="H49" s="125" t="s">
        <v>1754</v>
      </c>
      <c r="I49" s="128"/>
      <c r="J49" s="126">
        <v>50000</v>
      </c>
      <c r="K49" s="127" t="s">
        <v>1275</v>
      </c>
      <c r="L49" s="126">
        <v>50000</v>
      </c>
      <c r="M49" s="126">
        <v>0</v>
      </c>
      <c r="N49" s="126">
        <v>0</v>
      </c>
      <c r="O49" s="126">
        <v>0</v>
      </c>
      <c r="P49" s="126">
        <v>30567.24</v>
      </c>
      <c r="Q49" s="126">
        <v>0</v>
      </c>
      <c r="R49" s="126">
        <v>30567.24</v>
      </c>
      <c r="S49" s="126">
        <v>10189.76</v>
      </c>
    </row>
    <row r="50" spans="1:19" ht="15.75" customHeight="1" thickBot="1">
      <c r="A50" s="125" t="s">
        <v>1273</v>
      </c>
      <c r="B50" s="125" t="s">
        <v>1093</v>
      </c>
      <c r="C50" s="129">
        <v>3181</v>
      </c>
      <c r="D50" s="125" t="str">
        <f t="shared" si="0"/>
        <v>3</v>
      </c>
      <c r="E50" s="125" t="s">
        <v>166</v>
      </c>
      <c r="F50" s="125" t="s">
        <v>165</v>
      </c>
      <c r="G50" s="125" t="s">
        <v>1755</v>
      </c>
      <c r="H50" s="125" t="s">
        <v>1756</v>
      </c>
      <c r="I50" s="128"/>
      <c r="J50" s="126">
        <v>17369</v>
      </c>
      <c r="K50" s="127" t="s">
        <v>1275</v>
      </c>
      <c r="L50" s="126">
        <v>17369</v>
      </c>
      <c r="M50" s="126">
        <v>0</v>
      </c>
      <c r="N50" s="126">
        <v>0</v>
      </c>
      <c r="O50" s="126">
        <v>0</v>
      </c>
      <c r="P50" s="126">
        <v>20472.21</v>
      </c>
      <c r="Q50" s="126">
        <v>0</v>
      </c>
      <c r="R50" s="126">
        <v>20472.21</v>
      </c>
      <c r="S50" s="126">
        <v>0</v>
      </c>
    </row>
    <row r="51" spans="1:19" ht="15.75" thickBot="1">
      <c r="A51" s="125" t="s">
        <v>1905</v>
      </c>
      <c r="B51" s="125" t="s">
        <v>1093</v>
      </c>
      <c r="C51" s="129">
        <v>3181</v>
      </c>
      <c r="D51" s="125" t="str">
        <f t="shared" si="0"/>
        <v>3</v>
      </c>
      <c r="E51" s="125" t="s">
        <v>166</v>
      </c>
      <c r="F51" s="125" t="s">
        <v>165</v>
      </c>
      <c r="G51" s="125" t="s">
        <v>1755</v>
      </c>
      <c r="H51" s="125" t="s">
        <v>1756</v>
      </c>
      <c r="I51" s="128"/>
      <c r="J51" s="126">
        <v>10000</v>
      </c>
      <c r="K51" s="127" t="s">
        <v>1275</v>
      </c>
      <c r="L51" s="126">
        <v>10000</v>
      </c>
      <c r="M51" s="126">
        <v>0</v>
      </c>
      <c r="N51" s="126">
        <v>0</v>
      </c>
      <c r="O51" s="126">
        <v>0</v>
      </c>
      <c r="P51" s="126">
        <v>11451.44</v>
      </c>
      <c r="Q51" s="126">
        <v>0</v>
      </c>
      <c r="R51" s="126">
        <v>11451.44</v>
      </c>
      <c r="S51" s="126">
        <v>3817.56</v>
      </c>
    </row>
    <row r="52" spans="1:19" ht="15.75" thickBot="1">
      <c r="A52" s="125" t="s">
        <v>1905</v>
      </c>
      <c r="B52" s="125" t="s">
        <v>0</v>
      </c>
      <c r="C52" s="125" t="s">
        <v>406</v>
      </c>
      <c r="D52" s="125" t="str">
        <f t="shared" si="0"/>
        <v>2</v>
      </c>
      <c r="E52" s="125" t="s">
        <v>166</v>
      </c>
      <c r="F52" s="125" t="s">
        <v>165</v>
      </c>
      <c r="G52" s="125" t="s">
        <v>0</v>
      </c>
      <c r="H52" s="125" t="s">
        <v>405</v>
      </c>
      <c r="I52" s="125" t="s">
        <v>1358</v>
      </c>
      <c r="J52" s="126">
        <v>490373</v>
      </c>
      <c r="K52" s="127" t="s">
        <v>1275</v>
      </c>
      <c r="L52" s="126">
        <v>490373</v>
      </c>
      <c r="M52" s="126">
        <v>342193.03</v>
      </c>
      <c r="N52" s="126">
        <v>0</v>
      </c>
      <c r="O52" s="126">
        <v>0</v>
      </c>
      <c r="P52" s="126">
        <v>0</v>
      </c>
      <c r="Q52" s="126">
        <v>0</v>
      </c>
      <c r="R52" s="126">
        <v>342193.03</v>
      </c>
      <c r="S52" s="126">
        <v>164075.97</v>
      </c>
    </row>
    <row r="53" spans="1:19" ht="15.75" thickBot="1">
      <c r="A53" s="125" t="s">
        <v>1905</v>
      </c>
      <c r="B53" s="125" t="s">
        <v>0</v>
      </c>
      <c r="C53" s="125" t="s">
        <v>406</v>
      </c>
      <c r="D53" s="125" t="str">
        <f t="shared" si="0"/>
        <v>2</v>
      </c>
      <c r="E53" s="125" t="s">
        <v>166</v>
      </c>
      <c r="F53" s="125" t="s">
        <v>165</v>
      </c>
      <c r="G53" s="125" t="s">
        <v>1483</v>
      </c>
      <c r="H53" s="125" t="s">
        <v>1913</v>
      </c>
      <c r="I53" s="125" t="s">
        <v>1358</v>
      </c>
      <c r="J53" s="126">
        <v>0</v>
      </c>
      <c r="K53" s="127" t="s">
        <v>1275</v>
      </c>
      <c r="L53" s="126">
        <v>0</v>
      </c>
      <c r="M53" s="126">
        <v>0</v>
      </c>
      <c r="N53" s="126">
        <v>0</v>
      </c>
      <c r="O53" s="126">
        <v>0</v>
      </c>
      <c r="P53" s="126">
        <v>2552.6999999999998</v>
      </c>
      <c r="Q53" s="126">
        <v>1215</v>
      </c>
      <c r="R53" s="126">
        <v>3767.7</v>
      </c>
      <c r="S53" s="126">
        <v>3732.3</v>
      </c>
    </row>
    <row r="54" spans="1:19" ht="15.75" customHeight="1" thickBot="1">
      <c r="A54" s="125" t="s">
        <v>1273</v>
      </c>
      <c r="B54" s="125" t="s">
        <v>422</v>
      </c>
      <c r="C54" s="125" t="s">
        <v>421</v>
      </c>
      <c r="D54" s="125" t="str">
        <f t="shared" si="0"/>
        <v>2</v>
      </c>
      <c r="E54" s="125" t="s">
        <v>166</v>
      </c>
      <c r="F54" s="125" t="s">
        <v>165</v>
      </c>
      <c r="G54" s="125" t="s">
        <v>422</v>
      </c>
      <c r="H54" s="125" t="s">
        <v>420</v>
      </c>
      <c r="I54" s="125" t="s">
        <v>1363</v>
      </c>
      <c r="J54" s="126">
        <v>569664</v>
      </c>
      <c r="K54" s="127" t="s">
        <v>1275</v>
      </c>
      <c r="L54" s="126">
        <v>569664</v>
      </c>
      <c r="M54" s="126">
        <v>637295.9</v>
      </c>
      <c r="N54" s="126">
        <v>0</v>
      </c>
      <c r="O54" s="126">
        <v>0</v>
      </c>
      <c r="P54" s="126">
        <v>0</v>
      </c>
      <c r="Q54" s="126">
        <v>0</v>
      </c>
      <c r="R54" s="126">
        <v>637295.9</v>
      </c>
      <c r="S54" s="126">
        <v>246.36</v>
      </c>
    </row>
    <row r="55" spans="1:19" ht="15.75" thickBot="1">
      <c r="A55" s="125" t="s">
        <v>1905</v>
      </c>
      <c r="B55" s="125" t="s">
        <v>422</v>
      </c>
      <c r="C55" s="125" t="s">
        <v>421</v>
      </c>
      <c r="D55" s="125" t="str">
        <f t="shared" si="0"/>
        <v>2</v>
      </c>
      <c r="E55" s="125" t="s">
        <v>166</v>
      </c>
      <c r="F55" s="125" t="s">
        <v>165</v>
      </c>
      <c r="G55" s="125" t="s">
        <v>422</v>
      </c>
      <c r="H55" s="125" t="s">
        <v>420</v>
      </c>
      <c r="I55" s="125" t="s">
        <v>1363</v>
      </c>
      <c r="J55" s="126">
        <v>657365</v>
      </c>
      <c r="K55" s="127" t="s">
        <v>1275</v>
      </c>
      <c r="L55" s="126">
        <v>657365</v>
      </c>
      <c r="M55" s="126">
        <v>533577.85</v>
      </c>
      <c r="N55" s="126">
        <v>0</v>
      </c>
      <c r="O55" s="126">
        <v>0</v>
      </c>
      <c r="P55" s="126">
        <v>0</v>
      </c>
      <c r="Q55" s="126">
        <v>0</v>
      </c>
      <c r="R55" s="126">
        <v>533577.85</v>
      </c>
      <c r="S55" s="126">
        <v>159057.15</v>
      </c>
    </row>
    <row r="56" spans="1:19" ht="15.75" thickBot="1">
      <c r="A56" s="125" t="s">
        <v>1905</v>
      </c>
      <c r="B56" s="125" t="s">
        <v>2</v>
      </c>
      <c r="C56" s="125" t="s">
        <v>436</v>
      </c>
      <c r="D56" s="125" t="str">
        <f t="shared" si="0"/>
        <v>2</v>
      </c>
      <c r="E56" s="125" t="s">
        <v>166</v>
      </c>
      <c r="F56" s="125" t="s">
        <v>165</v>
      </c>
      <c r="G56" s="125" t="s">
        <v>2</v>
      </c>
      <c r="H56" s="125" t="s">
        <v>435</v>
      </c>
      <c r="I56" s="125" t="s">
        <v>1365</v>
      </c>
      <c r="J56" s="126">
        <v>919532</v>
      </c>
      <c r="K56" s="127" t="s">
        <v>1275</v>
      </c>
      <c r="L56" s="126">
        <v>919532</v>
      </c>
      <c r="M56" s="126">
        <v>721897.17</v>
      </c>
      <c r="N56" s="126">
        <v>0</v>
      </c>
      <c r="O56" s="126">
        <v>0</v>
      </c>
      <c r="P56" s="126">
        <v>0</v>
      </c>
      <c r="Q56" s="126">
        <v>0</v>
      </c>
      <c r="R56" s="126">
        <v>721897.17</v>
      </c>
      <c r="S56" s="126">
        <v>213728.83</v>
      </c>
    </row>
    <row r="57" spans="1:19" ht="15.75" thickBot="1">
      <c r="A57" s="125" t="s">
        <v>1905</v>
      </c>
      <c r="B57" s="125" t="s">
        <v>2</v>
      </c>
      <c r="C57" s="125" t="s">
        <v>436</v>
      </c>
      <c r="D57" s="125" t="str">
        <f t="shared" si="0"/>
        <v>2</v>
      </c>
      <c r="E57" s="125" t="s">
        <v>166</v>
      </c>
      <c r="F57" s="125" t="s">
        <v>165</v>
      </c>
      <c r="G57" s="125" t="s">
        <v>1488</v>
      </c>
      <c r="H57" s="125" t="s">
        <v>1915</v>
      </c>
      <c r="I57" s="125" t="s">
        <v>1365</v>
      </c>
      <c r="J57" s="126">
        <v>0</v>
      </c>
      <c r="K57" s="127" t="s">
        <v>1275</v>
      </c>
      <c r="L57" s="126">
        <v>0</v>
      </c>
      <c r="M57" s="126">
        <v>0</v>
      </c>
      <c r="N57" s="126">
        <v>0</v>
      </c>
      <c r="O57" s="126">
        <v>0</v>
      </c>
      <c r="P57" s="126">
        <v>3143.67</v>
      </c>
      <c r="Q57" s="126">
        <v>1311.25</v>
      </c>
      <c r="R57" s="126">
        <v>4454.92</v>
      </c>
      <c r="S57" s="126">
        <v>3870.08</v>
      </c>
    </row>
    <row r="58" spans="1:19" ht="15.75" thickBot="1">
      <c r="A58" s="125" t="s">
        <v>1905</v>
      </c>
      <c r="B58" s="125" t="s">
        <v>455</v>
      </c>
      <c r="C58" s="125" t="s">
        <v>454</v>
      </c>
      <c r="D58" s="125" t="str">
        <f t="shared" si="0"/>
        <v>2</v>
      </c>
      <c r="E58" s="125" t="s">
        <v>166</v>
      </c>
      <c r="F58" s="125" t="s">
        <v>165</v>
      </c>
      <c r="G58" s="125" t="s">
        <v>455</v>
      </c>
      <c r="H58" s="125" t="s">
        <v>453</v>
      </c>
      <c r="I58" s="125" t="s">
        <v>1368</v>
      </c>
      <c r="J58" s="126">
        <v>487350</v>
      </c>
      <c r="K58" s="127" t="s">
        <v>1275</v>
      </c>
      <c r="L58" s="126">
        <v>487350</v>
      </c>
      <c r="M58" s="126">
        <v>388037.41</v>
      </c>
      <c r="N58" s="126">
        <v>0</v>
      </c>
      <c r="O58" s="126">
        <v>0</v>
      </c>
      <c r="P58" s="126">
        <v>0</v>
      </c>
      <c r="Q58" s="126">
        <v>0</v>
      </c>
      <c r="R58" s="126">
        <v>388037.41</v>
      </c>
      <c r="S58" s="126">
        <v>121058.59</v>
      </c>
    </row>
    <row r="59" spans="1:19" ht="15.75" customHeight="1" thickBot="1">
      <c r="A59" s="125" t="s">
        <v>1273</v>
      </c>
      <c r="B59" s="125" t="s">
        <v>467</v>
      </c>
      <c r="C59" s="125" t="s">
        <v>466</v>
      </c>
      <c r="D59" s="125" t="str">
        <f t="shared" si="0"/>
        <v>2</v>
      </c>
      <c r="E59" s="125" t="s">
        <v>166</v>
      </c>
      <c r="F59" s="125" t="s">
        <v>165</v>
      </c>
      <c r="G59" s="125" t="s">
        <v>467</v>
      </c>
      <c r="H59" s="125" t="s">
        <v>465</v>
      </c>
      <c r="I59" s="125" t="s">
        <v>1369</v>
      </c>
      <c r="J59" s="126">
        <v>834907.43</v>
      </c>
      <c r="K59" s="126">
        <v>5890.43</v>
      </c>
      <c r="L59" s="126">
        <v>829017</v>
      </c>
      <c r="M59" s="126">
        <v>991380.78</v>
      </c>
      <c r="N59" s="126">
        <v>0</v>
      </c>
      <c r="O59" s="126">
        <v>0</v>
      </c>
      <c r="P59" s="126">
        <v>357.27</v>
      </c>
      <c r="Q59" s="126">
        <v>0</v>
      </c>
      <c r="R59" s="126">
        <v>991738.05</v>
      </c>
      <c r="S59" s="126">
        <v>34222.379999999997</v>
      </c>
    </row>
    <row r="60" spans="1:19" ht="15.75" thickBot="1">
      <c r="A60" s="125" t="s">
        <v>1905</v>
      </c>
      <c r="B60" s="125" t="s">
        <v>467</v>
      </c>
      <c r="C60" s="125" t="s">
        <v>466</v>
      </c>
      <c r="D60" s="125" t="str">
        <f t="shared" si="0"/>
        <v>2</v>
      </c>
      <c r="E60" s="125" t="s">
        <v>166</v>
      </c>
      <c r="F60" s="125" t="s">
        <v>165</v>
      </c>
      <c r="G60" s="125" t="s">
        <v>467</v>
      </c>
      <c r="H60" s="125" t="s">
        <v>465</v>
      </c>
      <c r="I60" s="125" t="s">
        <v>1369</v>
      </c>
      <c r="J60" s="126">
        <v>822047</v>
      </c>
      <c r="K60" s="127" t="s">
        <v>1275</v>
      </c>
      <c r="L60" s="126">
        <v>822047</v>
      </c>
      <c r="M60" s="126">
        <v>656287.72</v>
      </c>
      <c r="N60" s="126">
        <v>0</v>
      </c>
      <c r="O60" s="126">
        <v>0</v>
      </c>
      <c r="P60" s="126">
        <v>0</v>
      </c>
      <c r="Q60" s="126">
        <v>0</v>
      </c>
      <c r="R60" s="126">
        <v>656287.72</v>
      </c>
      <c r="S60" s="126">
        <v>206666.28</v>
      </c>
    </row>
    <row r="61" spans="1:19" ht="15.75" customHeight="1" thickBot="1">
      <c r="A61" s="125" t="s">
        <v>1273</v>
      </c>
      <c r="B61" s="125" t="s">
        <v>467</v>
      </c>
      <c r="C61" s="125" t="s">
        <v>466</v>
      </c>
      <c r="D61" s="125" t="str">
        <f t="shared" si="0"/>
        <v>2</v>
      </c>
      <c r="E61" s="125" t="s">
        <v>166</v>
      </c>
      <c r="F61" s="125" t="s">
        <v>165</v>
      </c>
      <c r="G61" s="125" t="s">
        <v>1370</v>
      </c>
      <c r="H61" s="125" t="s">
        <v>1371</v>
      </c>
      <c r="I61" s="125" t="s">
        <v>1369</v>
      </c>
      <c r="J61" s="126">
        <v>3241</v>
      </c>
      <c r="K61" s="126">
        <v>649</v>
      </c>
      <c r="L61" s="126">
        <v>2592</v>
      </c>
      <c r="M61" s="126">
        <v>0</v>
      </c>
      <c r="N61" s="126">
        <v>0</v>
      </c>
      <c r="O61" s="126">
        <v>0</v>
      </c>
      <c r="P61" s="126">
        <v>6171.53</v>
      </c>
      <c r="Q61" s="126">
        <v>0</v>
      </c>
      <c r="R61" s="126">
        <v>6171.53</v>
      </c>
      <c r="S61" s="126">
        <v>888.03</v>
      </c>
    </row>
    <row r="62" spans="1:19" ht="15.75" thickBot="1">
      <c r="A62" s="125" t="s">
        <v>1905</v>
      </c>
      <c r="B62" s="125" t="s">
        <v>467</v>
      </c>
      <c r="C62" s="125" t="s">
        <v>466</v>
      </c>
      <c r="D62" s="125" t="str">
        <f t="shared" si="0"/>
        <v>2</v>
      </c>
      <c r="E62" s="125" t="s">
        <v>166</v>
      </c>
      <c r="F62" s="125" t="s">
        <v>165</v>
      </c>
      <c r="G62" s="125" t="s">
        <v>1370</v>
      </c>
      <c r="H62" s="125" t="s">
        <v>1371</v>
      </c>
      <c r="I62" s="125" t="s">
        <v>1369</v>
      </c>
      <c r="J62" s="126">
        <v>0</v>
      </c>
      <c r="K62" s="127" t="s">
        <v>1275</v>
      </c>
      <c r="L62" s="126">
        <v>0</v>
      </c>
      <c r="M62" s="126">
        <v>0</v>
      </c>
      <c r="N62" s="126">
        <v>0</v>
      </c>
      <c r="O62" s="126">
        <v>0</v>
      </c>
      <c r="P62" s="126">
        <v>5567.75</v>
      </c>
      <c r="Q62" s="126">
        <v>1623.33</v>
      </c>
      <c r="R62" s="126">
        <v>7191.08</v>
      </c>
      <c r="S62" s="126">
        <v>308.92</v>
      </c>
    </row>
    <row r="63" spans="1:19" ht="15.75" customHeight="1" thickBot="1">
      <c r="A63" s="125" t="s">
        <v>1273</v>
      </c>
      <c r="B63" s="125" t="s">
        <v>487</v>
      </c>
      <c r="C63" s="125" t="s">
        <v>486</v>
      </c>
      <c r="D63" s="125" t="str">
        <f t="shared" si="0"/>
        <v>2</v>
      </c>
      <c r="E63" s="125" t="s">
        <v>166</v>
      </c>
      <c r="F63" s="125" t="s">
        <v>165</v>
      </c>
      <c r="G63" s="125" t="s">
        <v>487</v>
      </c>
      <c r="H63" s="125" t="s">
        <v>485</v>
      </c>
      <c r="I63" s="125" t="s">
        <v>1381</v>
      </c>
      <c r="J63" s="126">
        <v>693749</v>
      </c>
      <c r="K63" s="127" t="s">
        <v>1275</v>
      </c>
      <c r="L63" s="126">
        <v>693749</v>
      </c>
      <c r="M63" s="126">
        <v>991997.13</v>
      </c>
      <c r="N63" s="126">
        <v>0</v>
      </c>
      <c r="O63" s="126">
        <v>0</v>
      </c>
      <c r="P63" s="126">
        <v>0</v>
      </c>
      <c r="Q63" s="126">
        <v>0</v>
      </c>
      <c r="R63" s="126">
        <v>991997.13</v>
      </c>
      <c r="S63" s="126">
        <v>20.37</v>
      </c>
    </row>
    <row r="64" spans="1:19" ht="15.75" thickBot="1">
      <c r="A64" s="125" t="s">
        <v>1905</v>
      </c>
      <c r="B64" s="125" t="s">
        <v>487</v>
      </c>
      <c r="C64" s="125" t="s">
        <v>486</v>
      </c>
      <c r="D64" s="125" t="str">
        <f t="shared" si="0"/>
        <v>2</v>
      </c>
      <c r="E64" s="125" t="s">
        <v>166</v>
      </c>
      <c r="F64" s="125" t="s">
        <v>165</v>
      </c>
      <c r="G64" s="125" t="s">
        <v>487</v>
      </c>
      <c r="H64" s="125" t="s">
        <v>485</v>
      </c>
      <c r="I64" s="125" t="s">
        <v>1381</v>
      </c>
      <c r="J64" s="126">
        <v>1100324</v>
      </c>
      <c r="K64" s="127" t="s">
        <v>1275</v>
      </c>
      <c r="L64" s="126">
        <v>1100324</v>
      </c>
      <c r="M64" s="126">
        <v>934022.28</v>
      </c>
      <c r="N64" s="126">
        <v>0</v>
      </c>
      <c r="O64" s="126">
        <v>0</v>
      </c>
      <c r="P64" s="126">
        <v>0</v>
      </c>
      <c r="Q64" s="126">
        <v>0</v>
      </c>
      <c r="R64" s="126">
        <v>934022.28</v>
      </c>
      <c r="S64" s="126">
        <v>258315.72</v>
      </c>
    </row>
    <row r="65" spans="1:19" ht="15.75" customHeight="1" thickBot="1">
      <c r="A65" s="125" t="s">
        <v>1273</v>
      </c>
      <c r="B65" s="125" t="s">
        <v>487</v>
      </c>
      <c r="C65" s="125" t="s">
        <v>486</v>
      </c>
      <c r="D65" s="125" t="str">
        <f t="shared" ref="D65:D128" si="1">LEFT(C65:C65,1)</f>
        <v>2</v>
      </c>
      <c r="E65" s="125" t="s">
        <v>166</v>
      </c>
      <c r="F65" s="125" t="s">
        <v>165</v>
      </c>
      <c r="G65" s="125" t="s">
        <v>1382</v>
      </c>
      <c r="H65" s="125" t="s">
        <v>1383</v>
      </c>
      <c r="I65" s="125" t="s">
        <v>1381</v>
      </c>
      <c r="J65" s="126">
        <v>3780</v>
      </c>
      <c r="K65" s="127" t="s">
        <v>1275</v>
      </c>
      <c r="L65" s="126">
        <v>3780</v>
      </c>
      <c r="M65" s="126">
        <v>0</v>
      </c>
      <c r="N65" s="126">
        <v>0</v>
      </c>
      <c r="O65" s="126">
        <v>0</v>
      </c>
      <c r="P65" s="126">
        <v>3412.03</v>
      </c>
      <c r="Q65" s="126">
        <v>0</v>
      </c>
      <c r="R65" s="126">
        <v>3412.03</v>
      </c>
      <c r="S65" s="126">
        <v>103.37</v>
      </c>
    </row>
    <row r="66" spans="1:19" ht="15.75" thickBot="1">
      <c r="A66" s="125" t="s">
        <v>1905</v>
      </c>
      <c r="B66" s="125" t="s">
        <v>487</v>
      </c>
      <c r="C66" s="125" t="s">
        <v>486</v>
      </c>
      <c r="D66" s="125" t="str">
        <f t="shared" si="1"/>
        <v>2</v>
      </c>
      <c r="E66" s="125" t="s">
        <v>166</v>
      </c>
      <c r="F66" s="125" t="s">
        <v>165</v>
      </c>
      <c r="G66" s="125" t="s">
        <v>1382</v>
      </c>
      <c r="H66" s="125" t="s">
        <v>1383</v>
      </c>
      <c r="I66" s="125" t="s">
        <v>1381</v>
      </c>
      <c r="J66" s="126">
        <v>0</v>
      </c>
      <c r="K66" s="127" t="s">
        <v>1275</v>
      </c>
      <c r="L66" s="126">
        <v>0</v>
      </c>
      <c r="M66" s="126">
        <v>0</v>
      </c>
      <c r="N66" s="126">
        <v>0</v>
      </c>
      <c r="O66" s="126">
        <v>0</v>
      </c>
      <c r="P66" s="126">
        <v>2051.04</v>
      </c>
      <c r="Q66" s="126">
        <v>1665.33</v>
      </c>
      <c r="R66" s="126">
        <v>3716.37</v>
      </c>
      <c r="S66" s="126">
        <v>783.63</v>
      </c>
    </row>
    <row r="67" spans="1:19" ht="15.75" customHeight="1" thickBot="1">
      <c r="A67" s="125" t="s">
        <v>1273</v>
      </c>
      <c r="B67" s="125" t="s">
        <v>511</v>
      </c>
      <c r="C67" s="125" t="s">
        <v>510</v>
      </c>
      <c r="D67" s="125" t="str">
        <f t="shared" si="1"/>
        <v>2</v>
      </c>
      <c r="E67" s="125" t="s">
        <v>166</v>
      </c>
      <c r="F67" s="125" t="s">
        <v>165</v>
      </c>
      <c r="G67" s="125" t="s">
        <v>511</v>
      </c>
      <c r="H67" s="125" t="s">
        <v>509</v>
      </c>
      <c r="I67" s="125" t="s">
        <v>1390</v>
      </c>
      <c r="J67" s="126">
        <v>316367</v>
      </c>
      <c r="K67" s="127" t="s">
        <v>1275</v>
      </c>
      <c r="L67" s="126">
        <v>316367</v>
      </c>
      <c r="M67" s="126">
        <v>384143.55</v>
      </c>
      <c r="N67" s="126">
        <v>0</v>
      </c>
      <c r="O67" s="126">
        <v>0</v>
      </c>
      <c r="P67" s="126">
        <v>0</v>
      </c>
      <c r="Q67" s="126">
        <v>0</v>
      </c>
      <c r="R67" s="126">
        <v>384143.55</v>
      </c>
      <c r="S67" s="126">
        <v>99.97</v>
      </c>
    </row>
    <row r="68" spans="1:19" ht="15.75" thickBot="1">
      <c r="A68" s="125" t="s">
        <v>1905</v>
      </c>
      <c r="B68" s="125" t="s">
        <v>511</v>
      </c>
      <c r="C68" s="125" t="s">
        <v>510</v>
      </c>
      <c r="D68" s="125" t="str">
        <f t="shared" si="1"/>
        <v>2</v>
      </c>
      <c r="E68" s="125" t="s">
        <v>166</v>
      </c>
      <c r="F68" s="125" t="s">
        <v>165</v>
      </c>
      <c r="G68" s="125" t="s">
        <v>511</v>
      </c>
      <c r="H68" s="125" t="s">
        <v>509</v>
      </c>
      <c r="I68" s="125" t="s">
        <v>1390</v>
      </c>
      <c r="J68" s="126">
        <v>0</v>
      </c>
      <c r="K68" s="127" t="s">
        <v>1275</v>
      </c>
      <c r="L68" s="126">
        <v>462519</v>
      </c>
      <c r="M68" s="126">
        <v>53395.35</v>
      </c>
      <c r="N68" s="126">
        <v>0</v>
      </c>
      <c r="O68" s="126">
        <v>0</v>
      </c>
      <c r="P68" s="126">
        <v>0</v>
      </c>
      <c r="Q68" s="126">
        <v>0</v>
      </c>
      <c r="R68" s="126">
        <v>53395.35</v>
      </c>
      <c r="S68" s="126">
        <v>35596.65</v>
      </c>
    </row>
    <row r="69" spans="1:19" ht="15.75" customHeight="1" thickBot="1">
      <c r="A69" s="125" t="s">
        <v>1273</v>
      </c>
      <c r="B69" s="125" t="s">
        <v>511</v>
      </c>
      <c r="C69" s="125" t="s">
        <v>510</v>
      </c>
      <c r="D69" s="125" t="str">
        <f t="shared" si="1"/>
        <v>2</v>
      </c>
      <c r="E69" s="125" t="s">
        <v>166</v>
      </c>
      <c r="F69" s="125" t="s">
        <v>165</v>
      </c>
      <c r="G69" s="125" t="s">
        <v>1391</v>
      </c>
      <c r="H69" s="125" t="s">
        <v>1392</v>
      </c>
      <c r="I69" s="125" t="s">
        <v>1390</v>
      </c>
      <c r="J69" s="126">
        <v>2511</v>
      </c>
      <c r="K69" s="127" t="s">
        <v>1275</v>
      </c>
      <c r="L69" s="126">
        <v>2511</v>
      </c>
      <c r="M69" s="126">
        <v>0</v>
      </c>
      <c r="N69" s="126">
        <v>0</v>
      </c>
      <c r="O69" s="126">
        <v>0</v>
      </c>
      <c r="P69" s="126">
        <v>1003.59</v>
      </c>
      <c r="Q69" s="126">
        <v>0</v>
      </c>
      <c r="R69" s="126">
        <v>1003.59</v>
      </c>
      <c r="S69" s="126">
        <v>1331.64</v>
      </c>
    </row>
    <row r="70" spans="1:19" ht="15.75" customHeight="1" thickBot="1">
      <c r="A70" s="125" t="s">
        <v>1273</v>
      </c>
      <c r="B70" s="125" t="s">
        <v>141</v>
      </c>
      <c r="C70" s="125" t="s">
        <v>516</v>
      </c>
      <c r="D70" s="125" t="str">
        <f t="shared" si="1"/>
        <v>2</v>
      </c>
      <c r="E70" s="125" t="s">
        <v>166</v>
      </c>
      <c r="F70" s="125" t="s">
        <v>165</v>
      </c>
      <c r="G70" s="125" t="s">
        <v>141</v>
      </c>
      <c r="H70" s="125" t="s">
        <v>515</v>
      </c>
      <c r="I70" s="125" t="s">
        <v>1396</v>
      </c>
      <c r="J70" s="126">
        <v>407741</v>
      </c>
      <c r="K70" s="127" t="s">
        <v>1275</v>
      </c>
      <c r="L70" s="126">
        <v>407741</v>
      </c>
      <c r="M70" s="126">
        <v>414562.69</v>
      </c>
      <c r="N70" s="126">
        <v>0</v>
      </c>
      <c r="O70" s="126">
        <v>0</v>
      </c>
      <c r="P70" s="126">
        <v>0</v>
      </c>
      <c r="Q70" s="126">
        <v>0</v>
      </c>
      <c r="R70" s="126">
        <v>414562.69</v>
      </c>
      <c r="S70" s="126">
        <v>-4189.6899999999996</v>
      </c>
    </row>
    <row r="71" spans="1:19" ht="15.75" thickBot="1">
      <c r="A71" s="125" t="s">
        <v>1905</v>
      </c>
      <c r="B71" s="125" t="s">
        <v>141</v>
      </c>
      <c r="C71" s="125" t="s">
        <v>516</v>
      </c>
      <c r="D71" s="125" t="str">
        <f t="shared" si="1"/>
        <v>2</v>
      </c>
      <c r="E71" s="125" t="s">
        <v>166</v>
      </c>
      <c r="F71" s="125" t="s">
        <v>165</v>
      </c>
      <c r="G71" s="125" t="s">
        <v>141</v>
      </c>
      <c r="H71" s="125" t="s">
        <v>515</v>
      </c>
      <c r="I71" s="125" t="s">
        <v>1396</v>
      </c>
      <c r="J71" s="126">
        <v>545499</v>
      </c>
      <c r="K71" s="127" t="s">
        <v>1275</v>
      </c>
      <c r="L71" s="126">
        <f>545499-462519</f>
        <v>82980</v>
      </c>
      <c r="M71" s="126">
        <v>388088.69</v>
      </c>
      <c r="N71" s="126">
        <v>0</v>
      </c>
      <c r="O71" s="126">
        <v>0</v>
      </c>
      <c r="P71" s="126">
        <v>0</v>
      </c>
      <c r="Q71" s="126">
        <v>0</v>
      </c>
      <c r="R71" s="126">
        <v>388088.69</v>
      </c>
      <c r="S71" s="126">
        <v>59328.31</v>
      </c>
    </row>
    <row r="72" spans="1:19" ht="15.75" thickBot="1">
      <c r="A72" s="125" t="s">
        <v>1905</v>
      </c>
      <c r="B72" s="125" t="s">
        <v>526</v>
      </c>
      <c r="C72" s="125" t="s">
        <v>525</v>
      </c>
      <c r="D72" s="125" t="str">
        <f t="shared" si="1"/>
        <v>2</v>
      </c>
      <c r="E72" s="125" t="s">
        <v>166</v>
      </c>
      <c r="F72" s="125" t="s">
        <v>165</v>
      </c>
      <c r="G72" s="125" t="s">
        <v>526</v>
      </c>
      <c r="H72" s="125" t="s">
        <v>524</v>
      </c>
      <c r="I72" s="125" t="s">
        <v>1403</v>
      </c>
      <c r="J72" s="126">
        <v>952342</v>
      </c>
      <c r="K72" s="127" t="s">
        <v>1275</v>
      </c>
      <c r="L72" s="126">
        <v>952342</v>
      </c>
      <c r="M72" s="126">
        <v>897317.32</v>
      </c>
      <c r="N72" s="126">
        <v>0</v>
      </c>
      <c r="O72" s="126">
        <v>0</v>
      </c>
      <c r="P72" s="126">
        <v>0</v>
      </c>
      <c r="Q72" s="126">
        <v>0</v>
      </c>
      <c r="R72" s="126">
        <v>897317.32</v>
      </c>
      <c r="S72" s="126">
        <v>255840.68</v>
      </c>
    </row>
    <row r="73" spans="1:19" ht="15.75" customHeight="1" thickBot="1">
      <c r="A73" s="125" t="s">
        <v>1273</v>
      </c>
      <c r="B73" s="125" t="s">
        <v>1397</v>
      </c>
      <c r="C73" s="125" t="s">
        <v>1398</v>
      </c>
      <c r="D73" s="125" t="str">
        <f t="shared" si="1"/>
        <v>2</v>
      </c>
      <c r="E73" s="125" t="s">
        <v>166</v>
      </c>
      <c r="F73" s="125" t="s">
        <v>165</v>
      </c>
      <c r="G73" s="125" t="s">
        <v>1397</v>
      </c>
      <c r="H73" s="125" t="s">
        <v>1399</v>
      </c>
      <c r="I73" s="125" t="s">
        <v>1389</v>
      </c>
      <c r="J73" s="126">
        <v>462806</v>
      </c>
      <c r="K73" s="127" t="s">
        <v>1275</v>
      </c>
      <c r="L73" s="126">
        <v>462806</v>
      </c>
      <c r="M73" s="126">
        <v>520996.91</v>
      </c>
      <c r="N73" s="126">
        <v>0</v>
      </c>
      <c r="O73" s="126">
        <v>0</v>
      </c>
      <c r="P73" s="126">
        <v>0</v>
      </c>
      <c r="Q73" s="126">
        <v>0</v>
      </c>
      <c r="R73" s="126">
        <v>520996.91</v>
      </c>
      <c r="S73" s="126">
        <v>900.09</v>
      </c>
    </row>
    <row r="74" spans="1:19" ht="15.75" thickBot="1">
      <c r="A74" s="125" t="s">
        <v>1905</v>
      </c>
      <c r="B74" s="125" t="s">
        <v>7</v>
      </c>
      <c r="C74" s="125" t="s">
        <v>545</v>
      </c>
      <c r="D74" s="125" t="str">
        <f t="shared" si="1"/>
        <v>2</v>
      </c>
      <c r="E74" s="125" t="s">
        <v>166</v>
      </c>
      <c r="F74" s="125" t="s">
        <v>165</v>
      </c>
      <c r="G74" s="125" t="s">
        <v>7</v>
      </c>
      <c r="H74" s="125" t="s">
        <v>544</v>
      </c>
      <c r="I74" s="125" t="s">
        <v>1420</v>
      </c>
      <c r="J74" s="126">
        <v>750779</v>
      </c>
      <c r="K74" s="127" t="s">
        <v>1275</v>
      </c>
      <c r="L74" s="126">
        <v>750779</v>
      </c>
      <c r="M74" s="126">
        <v>516746.93</v>
      </c>
      <c r="N74" s="126">
        <v>0</v>
      </c>
      <c r="O74" s="126">
        <v>0</v>
      </c>
      <c r="P74" s="126">
        <v>0</v>
      </c>
      <c r="Q74" s="126">
        <v>0</v>
      </c>
      <c r="R74" s="126">
        <v>516746.93</v>
      </c>
      <c r="S74" s="126">
        <v>154590.07</v>
      </c>
    </row>
    <row r="75" spans="1:19" ht="15.75" customHeight="1" thickBot="1">
      <c r="A75" s="125" t="s">
        <v>1273</v>
      </c>
      <c r="B75" s="125" t="s">
        <v>1523</v>
      </c>
      <c r="C75" s="125" t="s">
        <v>1410</v>
      </c>
      <c r="D75" s="125" t="str">
        <f t="shared" si="1"/>
        <v>2</v>
      </c>
      <c r="E75" s="125" t="s">
        <v>166</v>
      </c>
      <c r="F75" s="125" t="s">
        <v>165</v>
      </c>
      <c r="G75" s="125" t="s">
        <v>18</v>
      </c>
      <c r="H75" s="125" t="s">
        <v>1411</v>
      </c>
      <c r="I75" s="125" t="s">
        <v>1412</v>
      </c>
      <c r="J75" s="126">
        <v>743961</v>
      </c>
      <c r="K75" s="127" t="s">
        <v>1275</v>
      </c>
      <c r="L75" s="126">
        <v>743961</v>
      </c>
      <c r="M75" s="126">
        <v>855632.48</v>
      </c>
      <c r="N75" s="126">
        <v>0</v>
      </c>
      <c r="O75" s="126">
        <v>0</v>
      </c>
      <c r="P75" s="126">
        <v>0</v>
      </c>
      <c r="Q75" s="126">
        <v>0</v>
      </c>
      <c r="R75" s="126">
        <v>855632.48</v>
      </c>
      <c r="S75" s="126">
        <v>568.52</v>
      </c>
    </row>
    <row r="76" spans="1:19" ht="15.75" customHeight="1" thickBot="1">
      <c r="A76" s="125" t="s">
        <v>1273</v>
      </c>
      <c r="B76" s="125" t="s">
        <v>1523</v>
      </c>
      <c r="C76" s="125" t="s">
        <v>1410</v>
      </c>
      <c r="D76" s="125" t="str">
        <f t="shared" si="1"/>
        <v>2</v>
      </c>
      <c r="E76" s="125" t="s">
        <v>166</v>
      </c>
      <c r="F76" s="125" t="s">
        <v>165</v>
      </c>
      <c r="G76" s="125" t="s">
        <v>1413</v>
      </c>
      <c r="H76" s="125" t="s">
        <v>1414</v>
      </c>
      <c r="I76" s="125" t="s">
        <v>1412</v>
      </c>
      <c r="J76" s="126">
        <v>19737</v>
      </c>
      <c r="K76" s="127" t="s">
        <v>1275</v>
      </c>
      <c r="L76" s="126">
        <v>19737</v>
      </c>
      <c r="M76" s="126">
        <v>0</v>
      </c>
      <c r="N76" s="126">
        <v>0</v>
      </c>
      <c r="O76" s="126">
        <v>0</v>
      </c>
      <c r="P76" s="126">
        <v>13861.91</v>
      </c>
      <c r="Q76" s="126">
        <v>0</v>
      </c>
      <c r="R76" s="126">
        <v>13861.91</v>
      </c>
      <c r="S76" s="126">
        <v>4493.5</v>
      </c>
    </row>
    <row r="77" spans="1:19" ht="15.75" customHeight="1" thickBot="1">
      <c r="A77" s="125" t="s">
        <v>1273</v>
      </c>
      <c r="B77" s="125" t="s">
        <v>1432</v>
      </c>
      <c r="C77" s="125" t="s">
        <v>559</v>
      </c>
      <c r="D77" s="125" t="str">
        <f t="shared" si="1"/>
        <v>2</v>
      </c>
      <c r="E77" s="125" t="s">
        <v>166</v>
      </c>
      <c r="F77" s="125" t="s">
        <v>165</v>
      </c>
      <c r="G77" s="125" t="s">
        <v>8</v>
      </c>
      <c r="H77" s="125" t="s">
        <v>558</v>
      </c>
      <c r="I77" s="125" t="s">
        <v>1433</v>
      </c>
      <c r="J77" s="126">
        <v>804383</v>
      </c>
      <c r="K77" s="127" t="s">
        <v>1275</v>
      </c>
      <c r="L77" s="126">
        <v>804383</v>
      </c>
      <c r="M77" s="126">
        <v>964208.08</v>
      </c>
      <c r="N77" s="126">
        <v>0</v>
      </c>
      <c r="O77" s="126">
        <v>0</v>
      </c>
      <c r="P77" s="126">
        <v>0</v>
      </c>
      <c r="Q77" s="126">
        <v>0</v>
      </c>
      <c r="R77" s="126">
        <v>964208.08</v>
      </c>
      <c r="S77" s="126">
        <v>-79.94</v>
      </c>
    </row>
    <row r="78" spans="1:19" ht="15.75" thickBot="1">
      <c r="A78" s="125" t="s">
        <v>1905</v>
      </c>
      <c r="B78" s="125" t="s">
        <v>1432</v>
      </c>
      <c r="C78" s="125" t="s">
        <v>559</v>
      </c>
      <c r="D78" s="125" t="str">
        <f t="shared" si="1"/>
        <v>2</v>
      </c>
      <c r="E78" s="125" t="s">
        <v>166</v>
      </c>
      <c r="F78" s="125" t="s">
        <v>165</v>
      </c>
      <c r="G78" s="125" t="s">
        <v>8</v>
      </c>
      <c r="H78" s="125" t="s">
        <v>558</v>
      </c>
      <c r="I78" s="125" t="s">
        <v>1433</v>
      </c>
      <c r="J78" s="126">
        <v>955391</v>
      </c>
      <c r="K78" s="127" t="s">
        <v>1275</v>
      </c>
      <c r="L78" s="126">
        <v>955391</v>
      </c>
      <c r="M78" s="126">
        <v>744129.26</v>
      </c>
      <c r="N78" s="126">
        <v>0</v>
      </c>
      <c r="O78" s="126">
        <v>0</v>
      </c>
      <c r="P78" s="126">
        <v>0</v>
      </c>
      <c r="Q78" s="126">
        <v>0</v>
      </c>
      <c r="R78" s="126">
        <v>744129.26</v>
      </c>
      <c r="S78" s="126">
        <v>241672.74</v>
      </c>
    </row>
    <row r="79" spans="1:19" ht="15.75" customHeight="1" thickBot="1">
      <c r="A79" s="125" t="s">
        <v>1273</v>
      </c>
      <c r="B79" s="125" t="s">
        <v>1432</v>
      </c>
      <c r="C79" s="125" t="s">
        <v>559</v>
      </c>
      <c r="D79" s="125" t="str">
        <f t="shared" si="1"/>
        <v>2</v>
      </c>
      <c r="E79" s="125" t="s">
        <v>166</v>
      </c>
      <c r="F79" s="125" t="s">
        <v>165</v>
      </c>
      <c r="G79" s="125" t="s">
        <v>1434</v>
      </c>
      <c r="H79" s="125" t="s">
        <v>1435</v>
      </c>
      <c r="I79" s="125" t="s">
        <v>1433</v>
      </c>
      <c r="J79" s="126">
        <v>7938</v>
      </c>
      <c r="K79" s="127" t="s">
        <v>1275</v>
      </c>
      <c r="L79" s="126">
        <v>7938</v>
      </c>
      <c r="M79" s="126">
        <v>0</v>
      </c>
      <c r="N79" s="126">
        <v>0</v>
      </c>
      <c r="O79" s="126">
        <v>0</v>
      </c>
      <c r="P79" s="126">
        <v>7851.95</v>
      </c>
      <c r="Q79" s="126">
        <v>0</v>
      </c>
      <c r="R79" s="126">
        <v>7851.95</v>
      </c>
      <c r="S79" s="126">
        <v>530.39</v>
      </c>
    </row>
    <row r="80" spans="1:19" ht="15.75" thickBot="1">
      <c r="A80" s="125" t="s">
        <v>1905</v>
      </c>
      <c r="B80" s="125" t="s">
        <v>1432</v>
      </c>
      <c r="C80" s="125" t="s">
        <v>559</v>
      </c>
      <c r="D80" s="125" t="str">
        <f t="shared" si="1"/>
        <v>2</v>
      </c>
      <c r="E80" s="125" t="s">
        <v>166</v>
      </c>
      <c r="F80" s="125" t="s">
        <v>165</v>
      </c>
      <c r="G80" s="125" t="s">
        <v>1434</v>
      </c>
      <c r="H80" s="125" t="s">
        <v>1435</v>
      </c>
      <c r="I80" s="125" t="s">
        <v>1433</v>
      </c>
      <c r="J80" s="126">
        <v>0</v>
      </c>
      <c r="K80" s="127" t="s">
        <v>1275</v>
      </c>
      <c r="L80" s="126">
        <v>0</v>
      </c>
      <c r="M80" s="126">
        <v>0</v>
      </c>
      <c r="N80" s="126">
        <v>0</v>
      </c>
      <c r="O80" s="126">
        <v>0</v>
      </c>
      <c r="P80" s="126">
        <v>1819.39</v>
      </c>
      <c r="Q80" s="126">
        <v>1980</v>
      </c>
      <c r="R80" s="126">
        <v>3799.39</v>
      </c>
      <c r="S80" s="126">
        <v>3700.61</v>
      </c>
    </row>
    <row r="81" spans="1:19" ht="15.75" customHeight="1" thickBot="1">
      <c r="A81" s="125" t="s">
        <v>1273</v>
      </c>
      <c r="B81" s="125" t="s">
        <v>9</v>
      </c>
      <c r="C81" s="125" t="s">
        <v>576</v>
      </c>
      <c r="D81" s="125" t="str">
        <f t="shared" si="1"/>
        <v>2</v>
      </c>
      <c r="E81" s="125" t="s">
        <v>166</v>
      </c>
      <c r="F81" s="125" t="s">
        <v>165</v>
      </c>
      <c r="G81" s="125" t="s">
        <v>9</v>
      </c>
      <c r="H81" s="125" t="s">
        <v>575</v>
      </c>
      <c r="I81" s="125" t="s">
        <v>1439</v>
      </c>
      <c r="J81" s="126">
        <v>32863</v>
      </c>
      <c r="K81" s="127" t="s">
        <v>1275</v>
      </c>
      <c r="L81" s="126">
        <v>32863</v>
      </c>
      <c r="M81" s="126">
        <v>32822.959999999999</v>
      </c>
      <c r="N81" s="126">
        <v>0</v>
      </c>
      <c r="O81" s="126">
        <v>0</v>
      </c>
      <c r="P81" s="126">
        <v>0</v>
      </c>
      <c r="Q81" s="126">
        <v>0</v>
      </c>
      <c r="R81" s="126">
        <v>32822.959999999999</v>
      </c>
      <c r="S81" s="126">
        <v>40.04</v>
      </c>
    </row>
    <row r="82" spans="1:19" ht="15.75" thickBot="1">
      <c r="A82" s="125" t="s">
        <v>1905</v>
      </c>
      <c r="B82" s="125" t="s">
        <v>9</v>
      </c>
      <c r="C82" s="125" t="s">
        <v>576</v>
      </c>
      <c r="D82" s="125" t="str">
        <f t="shared" si="1"/>
        <v>2</v>
      </c>
      <c r="E82" s="125" t="s">
        <v>166</v>
      </c>
      <c r="F82" s="125" t="s">
        <v>165</v>
      </c>
      <c r="G82" s="125" t="s">
        <v>9</v>
      </c>
      <c r="H82" s="125" t="s">
        <v>575</v>
      </c>
      <c r="I82" s="125" t="s">
        <v>1439</v>
      </c>
      <c r="J82" s="126">
        <v>33103</v>
      </c>
      <c r="K82" s="127" t="s">
        <v>1275</v>
      </c>
      <c r="L82" s="126">
        <v>33103</v>
      </c>
      <c r="M82" s="126">
        <v>17826.09</v>
      </c>
      <c r="N82" s="126">
        <v>0</v>
      </c>
      <c r="O82" s="126">
        <v>0</v>
      </c>
      <c r="P82" s="126">
        <v>0</v>
      </c>
      <c r="Q82" s="126">
        <v>0</v>
      </c>
      <c r="R82" s="126">
        <v>17826.09</v>
      </c>
      <c r="S82" s="126">
        <v>15276.91</v>
      </c>
    </row>
    <row r="83" spans="1:19" ht="15.75" customHeight="1" thickBot="1">
      <c r="A83" s="125" t="s">
        <v>1273</v>
      </c>
      <c r="B83" s="125" t="s">
        <v>580</v>
      </c>
      <c r="C83" s="125" t="s">
        <v>579</v>
      </c>
      <c r="D83" s="125" t="str">
        <f t="shared" si="1"/>
        <v>2</v>
      </c>
      <c r="E83" s="125" t="s">
        <v>166</v>
      </c>
      <c r="F83" s="125" t="s">
        <v>165</v>
      </c>
      <c r="G83" s="125" t="s">
        <v>580</v>
      </c>
      <c r="H83" s="125" t="s">
        <v>578</v>
      </c>
      <c r="I83" s="125" t="s">
        <v>1438</v>
      </c>
      <c r="J83" s="126">
        <v>1082443</v>
      </c>
      <c r="K83" s="127" t="s">
        <v>1275</v>
      </c>
      <c r="L83" s="126">
        <v>1082443</v>
      </c>
      <c r="M83" s="126">
        <v>1215093.93</v>
      </c>
      <c r="N83" s="126">
        <v>0</v>
      </c>
      <c r="O83" s="126">
        <v>0</v>
      </c>
      <c r="P83" s="126">
        <v>0</v>
      </c>
      <c r="Q83" s="126">
        <v>0</v>
      </c>
      <c r="R83" s="126">
        <v>1215093.93</v>
      </c>
      <c r="S83" s="126">
        <v>120.07</v>
      </c>
    </row>
    <row r="84" spans="1:19" ht="15.75" thickBot="1">
      <c r="A84" s="125" t="s">
        <v>1905</v>
      </c>
      <c r="B84" s="125" t="s">
        <v>580</v>
      </c>
      <c r="C84" s="125" t="s">
        <v>579</v>
      </c>
      <c r="D84" s="125" t="str">
        <f t="shared" si="1"/>
        <v>2</v>
      </c>
      <c r="E84" s="125" t="s">
        <v>166</v>
      </c>
      <c r="F84" s="125" t="s">
        <v>165</v>
      </c>
      <c r="G84" s="125" t="s">
        <v>580</v>
      </c>
      <c r="H84" s="125" t="s">
        <v>578</v>
      </c>
      <c r="I84" s="125" t="s">
        <v>1438</v>
      </c>
      <c r="J84" s="126">
        <v>1076843</v>
      </c>
      <c r="K84" s="127" t="s">
        <v>1275</v>
      </c>
      <c r="L84" s="126">
        <v>1076843</v>
      </c>
      <c r="M84" s="126">
        <v>835134.45</v>
      </c>
      <c r="N84" s="126">
        <v>0</v>
      </c>
      <c r="O84" s="126">
        <v>0</v>
      </c>
      <c r="P84" s="126">
        <v>0</v>
      </c>
      <c r="Q84" s="126">
        <v>0</v>
      </c>
      <c r="R84" s="126">
        <v>835134.45</v>
      </c>
      <c r="S84" s="126">
        <v>238557.55</v>
      </c>
    </row>
    <row r="85" spans="1:19" ht="15.75" customHeight="1" thickBot="1">
      <c r="A85" s="125" t="s">
        <v>1273</v>
      </c>
      <c r="B85" s="125" t="s">
        <v>580</v>
      </c>
      <c r="C85" s="125" t="s">
        <v>579</v>
      </c>
      <c r="D85" s="125" t="str">
        <f t="shared" si="1"/>
        <v>2</v>
      </c>
      <c r="E85" s="125" t="s">
        <v>166</v>
      </c>
      <c r="F85" s="125" t="s">
        <v>165</v>
      </c>
      <c r="G85" s="125" t="s">
        <v>1445</v>
      </c>
      <c r="H85" s="125" t="s">
        <v>1446</v>
      </c>
      <c r="I85" s="125" t="s">
        <v>1438</v>
      </c>
      <c r="J85" s="126">
        <v>10179</v>
      </c>
      <c r="K85" s="127" t="s">
        <v>1275</v>
      </c>
      <c r="L85" s="126">
        <v>10179</v>
      </c>
      <c r="M85" s="126">
        <v>0</v>
      </c>
      <c r="N85" s="126">
        <v>0</v>
      </c>
      <c r="O85" s="126">
        <v>0</v>
      </c>
      <c r="P85" s="126">
        <v>13888.6</v>
      </c>
      <c r="Q85" s="126">
        <v>0</v>
      </c>
      <c r="R85" s="126">
        <v>13888.6</v>
      </c>
      <c r="S85" s="126">
        <v>77.87</v>
      </c>
    </row>
    <row r="86" spans="1:19" ht="15.75" thickBot="1">
      <c r="A86" s="125" t="s">
        <v>1905</v>
      </c>
      <c r="B86" s="125" t="s">
        <v>580</v>
      </c>
      <c r="C86" s="125" t="s">
        <v>579</v>
      </c>
      <c r="D86" s="125" t="str">
        <f t="shared" si="1"/>
        <v>2</v>
      </c>
      <c r="E86" s="125" t="s">
        <v>166</v>
      </c>
      <c r="F86" s="125" t="s">
        <v>165</v>
      </c>
      <c r="G86" s="125" t="s">
        <v>1445</v>
      </c>
      <c r="H86" s="125" t="s">
        <v>1446</v>
      </c>
      <c r="I86" s="125" t="s">
        <v>1438</v>
      </c>
      <c r="J86" s="126">
        <v>0</v>
      </c>
      <c r="K86" s="127" t="s">
        <v>1275</v>
      </c>
      <c r="L86" s="126">
        <v>0</v>
      </c>
      <c r="M86" s="126">
        <v>0</v>
      </c>
      <c r="N86" s="126">
        <v>1339.88</v>
      </c>
      <c r="O86" s="126">
        <v>0</v>
      </c>
      <c r="P86" s="126">
        <v>3196.51</v>
      </c>
      <c r="Q86" s="126">
        <v>4730.9399999999996</v>
      </c>
      <c r="R86" s="126">
        <v>9267.33</v>
      </c>
      <c r="S86" s="126">
        <v>6732.67</v>
      </c>
    </row>
    <row r="87" spans="1:19" ht="15.75" thickBot="1">
      <c r="A87" s="125" t="s">
        <v>1905</v>
      </c>
      <c r="B87" s="125" t="s">
        <v>596</v>
      </c>
      <c r="C87" s="125" t="s">
        <v>595</v>
      </c>
      <c r="D87" s="125" t="str">
        <f t="shared" si="1"/>
        <v>2</v>
      </c>
      <c r="E87" s="125" t="s">
        <v>166</v>
      </c>
      <c r="F87" s="125" t="s">
        <v>165</v>
      </c>
      <c r="G87" s="125" t="s">
        <v>596</v>
      </c>
      <c r="H87" s="125" t="s">
        <v>594</v>
      </c>
      <c r="I87" s="125" t="s">
        <v>1298</v>
      </c>
      <c r="J87" s="126">
        <v>188877</v>
      </c>
      <c r="K87" s="127" t="s">
        <v>1275</v>
      </c>
      <c r="L87" s="126">
        <v>188877</v>
      </c>
      <c r="M87" s="126">
        <v>157333.81</v>
      </c>
      <c r="N87" s="126">
        <v>0</v>
      </c>
      <c r="O87" s="126">
        <v>0</v>
      </c>
      <c r="P87" s="126">
        <v>0</v>
      </c>
      <c r="Q87" s="126">
        <v>0</v>
      </c>
      <c r="R87" s="126">
        <v>157333.81</v>
      </c>
      <c r="S87" s="126">
        <v>48172.19</v>
      </c>
    </row>
    <row r="88" spans="1:19" ht="15.75" customHeight="1" thickBot="1">
      <c r="A88" s="125" t="s">
        <v>1273</v>
      </c>
      <c r="B88" s="125" t="s">
        <v>12</v>
      </c>
      <c r="C88" s="125" t="s">
        <v>611</v>
      </c>
      <c r="D88" s="125" t="str">
        <f t="shared" si="1"/>
        <v>2</v>
      </c>
      <c r="E88" s="125" t="s">
        <v>166</v>
      </c>
      <c r="F88" s="125" t="s">
        <v>165</v>
      </c>
      <c r="G88" s="125" t="s">
        <v>12</v>
      </c>
      <c r="H88" s="125" t="s">
        <v>610</v>
      </c>
      <c r="I88" s="125" t="s">
        <v>1470</v>
      </c>
      <c r="J88" s="126">
        <v>485351</v>
      </c>
      <c r="K88" s="127" t="s">
        <v>1275</v>
      </c>
      <c r="L88" s="126">
        <v>485351</v>
      </c>
      <c r="M88" s="126">
        <v>578962.80000000005</v>
      </c>
      <c r="N88" s="126">
        <v>0</v>
      </c>
      <c r="O88" s="126">
        <v>0</v>
      </c>
      <c r="P88" s="126">
        <v>0</v>
      </c>
      <c r="Q88" s="126">
        <v>0</v>
      </c>
      <c r="R88" s="126">
        <v>578962.80000000005</v>
      </c>
      <c r="S88" s="126">
        <v>411.38</v>
      </c>
    </row>
    <row r="89" spans="1:19" ht="15.75" thickBot="1">
      <c r="A89" s="125" t="s">
        <v>1905</v>
      </c>
      <c r="B89" s="125" t="s">
        <v>12</v>
      </c>
      <c r="C89" s="125" t="s">
        <v>611</v>
      </c>
      <c r="D89" s="125" t="str">
        <f t="shared" si="1"/>
        <v>2</v>
      </c>
      <c r="E89" s="125" t="s">
        <v>166</v>
      </c>
      <c r="F89" s="125" t="s">
        <v>165</v>
      </c>
      <c r="G89" s="125" t="s">
        <v>12</v>
      </c>
      <c r="H89" s="125" t="s">
        <v>610</v>
      </c>
      <c r="I89" s="125" t="s">
        <v>1470</v>
      </c>
      <c r="J89" s="126">
        <v>489163</v>
      </c>
      <c r="K89" s="127" t="s">
        <v>1275</v>
      </c>
      <c r="L89" s="126">
        <v>489163</v>
      </c>
      <c r="M89" s="126">
        <v>380966.41</v>
      </c>
      <c r="N89" s="126">
        <v>0</v>
      </c>
      <c r="O89" s="126">
        <v>0</v>
      </c>
      <c r="P89" s="126">
        <v>0</v>
      </c>
      <c r="Q89" s="126">
        <v>0</v>
      </c>
      <c r="R89" s="126">
        <v>380966.41</v>
      </c>
      <c r="S89" s="126">
        <v>117156.59</v>
      </c>
    </row>
    <row r="90" spans="1:19" ht="15.75" customHeight="1" thickBot="1">
      <c r="A90" s="125" t="s">
        <v>1273</v>
      </c>
      <c r="B90" s="125" t="s">
        <v>12</v>
      </c>
      <c r="C90" s="125" t="s">
        <v>611</v>
      </c>
      <c r="D90" s="125" t="str">
        <f t="shared" si="1"/>
        <v>2</v>
      </c>
      <c r="E90" s="125" t="s">
        <v>166</v>
      </c>
      <c r="F90" s="125" t="s">
        <v>165</v>
      </c>
      <c r="G90" s="125" t="s">
        <v>1471</v>
      </c>
      <c r="H90" s="125" t="s">
        <v>1472</v>
      </c>
      <c r="I90" s="125" t="s">
        <v>1454</v>
      </c>
      <c r="J90" s="126">
        <v>15179.41</v>
      </c>
      <c r="K90" s="126">
        <v>2224.41</v>
      </c>
      <c r="L90" s="126">
        <v>12955</v>
      </c>
      <c r="M90" s="126">
        <v>0</v>
      </c>
      <c r="N90" s="126">
        <v>0</v>
      </c>
      <c r="O90" s="126">
        <v>0</v>
      </c>
      <c r="P90" s="126">
        <v>12142.8</v>
      </c>
      <c r="Q90" s="126">
        <v>0</v>
      </c>
      <c r="R90" s="126">
        <v>12142.8</v>
      </c>
      <c r="S90" s="126">
        <v>2549.7600000000002</v>
      </c>
    </row>
    <row r="91" spans="1:19" ht="15.75" thickBot="1">
      <c r="A91" s="125" t="s">
        <v>1905</v>
      </c>
      <c r="B91" s="125" t="s">
        <v>12</v>
      </c>
      <c r="C91" s="125" t="s">
        <v>611</v>
      </c>
      <c r="D91" s="125" t="str">
        <f t="shared" si="1"/>
        <v>2</v>
      </c>
      <c r="E91" s="125" t="s">
        <v>166</v>
      </c>
      <c r="F91" s="125" t="s">
        <v>165</v>
      </c>
      <c r="G91" s="125" t="s">
        <v>1471</v>
      </c>
      <c r="H91" s="125" t="s">
        <v>1472</v>
      </c>
      <c r="I91" s="125" t="s">
        <v>1454</v>
      </c>
      <c r="J91" s="126">
        <v>0</v>
      </c>
      <c r="K91" s="127" t="s">
        <v>1275</v>
      </c>
      <c r="L91" s="126">
        <v>0</v>
      </c>
      <c r="M91" s="126">
        <v>0</v>
      </c>
      <c r="N91" s="126">
        <v>0</v>
      </c>
      <c r="O91" s="126">
        <v>0</v>
      </c>
      <c r="P91" s="126">
        <v>5542.13</v>
      </c>
      <c r="Q91" s="126">
        <v>5677.35</v>
      </c>
      <c r="R91" s="126">
        <v>11219.48</v>
      </c>
      <c r="S91" s="126">
        <v>15780.52</v>
      </c>
    </row>
    <row r="92" spans="1:19" ht="15.75" customHeight="1" thickBot="1">
      <c r="A92" s="125" t="s">
        <v>1273</v>
      </c>
      <c r="B92" s="125" t="s">
        <v>625</v>
      </c>
      <c r="C92" s="125" t="s">
        <v>624</v>
      </c>
      <c r="D92" s="125" t="str">
        <f t="shared" si="1"/>
        <v>2</v>
      </c>
      <c r="E92" s="125" t="s">
        <v>166</v>
      </c>
      <c r="F92" s="125" t="s">
        <v>165</v>
      </c>
      <c r="G92" s="125" t="s">
        <v>625</v>
      </c>
      <c r="H92" s="125" t="s">
        <v>623</v>
      </c>
      <c r="I92" s="125" t="s">
        <v>1460</v>
      </c>
      <c r="J92" s="126">
        <v>465780</v>
      </c>
      <c r="K92" s="127" t="s">
        <v>1275</v>
      </c>
      <c r="L92" s="126">
        <v>465780</v>
      </c>
      <c r="M92" s="126">
        <v>690630.58</v>
      </c>
      <c r="N92" s="126">
        <v>0</v>
      </c>
      <c r="O92" s="126">
        <v>0</v>
      </c>
      <c r="P92" s="126">
        <v>0</v>
      </c>
      <c r="Q92" s="126">
        <v>0</v>
      </c>
      <c r="R92" s="126">
        <v>690630.58</v>
      </c>
      <c r="S92" s="126">
        <v>-1323.58</v>
      </c>
    </row>
    <row r="93" spans="1:19" ht="15.75" thickBot="1">
      <c r="A93" s="125" t="s">
        <v>1905</v>
      </c>
      <c r="B93" s="125" t="s">
        <v>625</v>
      </c>
      <c r="C93" s="125" t="s">
        <v>624</v>
      </c>
      <c r="D93" s="125" t="str">
        <f t="shared" si="1"/>
        <v>2</v>
      </c>
      <c r="E93" s="125" t="s">
        <v>166</v>
      </c>
      <c r="F93" s="125" t="s">
        <v>165</v>
      </c>
      <c r="G93" s="125" t="s">
        <v>625</v>
      </c>
      <c r="H93" s="125" t="s">
        <v>623</v>
      </c>
      <c r="I93" s="125" t="s">
        <v>1460</v>
      </c>
      <c r="J93" s="126">
        <v>417977</v>
      </c>
      <c r="K93" s="127" t="s">
        <v>1275</v>
      </c>
      <c r="L93" s="126">
        <v>417977</v>
      </c>
      <c r="M93" s="126">
        <v>469381.73</v>
      </c>
      <c r="N93" s="126">
        <v>0</v>
      </c>
      <c r="O93" s="126">
        <v>0</v>
      </c>
      <c r="P93" s="126">
        <v>0</v>
      </c>
      <c r="Q93" s="126">
        <v>0</v>
      </c>
      <c r="R93" s="126">
        <v>469381.73</v>
      </c>
      <c r="S93" s="126">
        <v>140382.26999999999</v>
      </c>
    </row>
    <row r="94" spans="1:19" ht="15.75" customHeight="1" thickBot="1">
      <c r="A94" s="125" t="s">
        <v>1273</v>
      </c>
      <c r="B94" s="125" t="s">
        <v>625</v>
      </c>
      <c r="C94" s="125" t="s">
        <v>624</v>
      </c>
      <c r="D94" s="125" t="str">
        <f t="shared" si="1"/>
        <v>2</v>
      </c>
      <c r="E94" s="125" t="s">
        <v>166</v>
      </c>
      <c r="F94" s="125" t="s">
        <v>165</v>
      </c>
      <c r="G94" s="125" t="s">
        <v>1461</v>
      </c>
      <c r="H94" s="125" t="s">
        <v>1462</v>
      </c>
      <c r="I94" s="125" t="s">
        <v>1454</v>
      </c>
      <c r="J94" s="126">
        <v>11915.9</v>
      </c>
      <c r="K94" s="126">
        <v>11915.9</v>
      </c>
      <c r="L94" s="126">
        <v>0</v>
      </c>
      <c r="M94" s="126">
        <v>3132</v>
      </c>
      <c r="N94" s="126">
        <v>30809.63</v>
      </c>
      <c r="O94" s="126">
        <v>0</v>
      </c>
      <c r="P94" s="126">
        <v>57316.14</v>
      </c>
      <c r="Q94" s="126">
        <v>0</v>
      </c>
      <c r="R94" s="126">
        <v>91257.77</v>
      </c>
      <c r="S94" s="126">
        <v>20885.13</v>
      </c>
    </row>
    <row r="95" spans="1:19" ht="15.75" thickBot="1">
      <c r="A95" s="125" t="s">
        <v>1905</v>
      </c>
      <c r="B95" s="125" t="s">
        <v>625</v>
      </c>
      <c r="C95" s="125" t="s">
        <v>624</v>
      </c>
      <c r="D95" s="125" t="str">
        <f t="shared" si="1"/>
        <v>2</v>
      </c>
      <c r="E95" s="125" t="s">
        <v>166</v>
      </c>
      <c r="F95" s="125" t="s">
        <v>165</v>
      </c>
      <c r="G95" s="125" t="s">
        <v>1461</v>
      </c>
      <c r="H95" s="125" t="s">
        <v>1462</v>
      </c>
      <c r="I95" s="125" t="s">
        <v>1454</v>
      </c>
      <c r="J95" s="126">
        <v>0</v>
      </c>
      <c r="K95" s="127" t="s">
        <v>1275</v>
      </c>
      <c r="L95" s="126">
        <v>0</v>
      </c>
      <c r="M95" s="126">
        <v>0</v>
      </c>
      <c r="N95" s="126">
        <v>14271.88</v>
      </c>
      <c r="O95" s="126">
        <v>0</v>
      </c>
      <c r="P95" s="126">
        <v>2769.87</v>
      </c>
      <c r="Q95" s="126">
        <v>6722.75</v>
      </c>
      <c r="R95" s="126">
        <v>23764.5</v>
      </c>
      <c r="S95" s="126">
        <v>58735.5</v>
      </c>
    </row>
    <row r="96" spans="1:19" ht="15.75" customHeight="1" thickBot="1">
      <c r="A96" s="125" t="s">
        <v>1273</v>
      </c>
      <c r="B96" s="125" t="s">
        <v>14</v>
      </c>
      <c r="C96" s="125" t="s">
        <v>1464</v>
      </c>
      <c r="D96" s="125" t="str">
        <f t="shared" si="1"/>
        <v>2</v>
      </c>
      <c r="E96" s="125" t="s">
        <v>166</v>
      </c>
      <c r="F96" s="125" t="s">
        <v>165</v>
      </c>
      <c r="G96" s="125" t="s">
        <v>14</v>
      </c>
      <c r="H96" s="125" t="s">
        <v>1465</v>
      </c>
      <c r="I96" s="125" t="s">
        <v>1466</v>
      </c>
      <c r="J96" s="126">
        <v>693007</v>
      </c>
      <c r="K96" s="127" t="s">
        <v>1275</v>
      </c>
      <c r="L96" s="126">
        <v>693007</v>
      </c>
      <c r="M96" s="126">
        <v>758382.16</v>
      </c>
      <c r="N96" s="126">
        <v>0</v>
      </c>
      <c r="O96" s="126">
        <v>0</v>
      </c>
      <c r="P96" s="126">
        <v>0</v>
      </c>
      <c r="Q96" s="126">
        <v>0</v>
      </c>
      <c r="R96" s="126">
        <v>758382.16</v>
      </c>
      <c r="S96" s="126">
        <v>-533.28</v>
      </c>
    </row>
    <row r="97" spans="1:19" ht="15.75" customHeight="1" thickBot="1">
      <c r="A97" s="125" t="s">
        <v>1273</v>
      </c>
      <c r="B97" s="125" t="s">
        <v>14</v>
      </c>
      <c r="C97" s="125" t="s">
        <v>1464</v>
      </c>
      <c r="D97" s="125" t="str">
        <f t="shared" si="1"/>
        <v>2</v>
      </c>
      <c r="E97" s="125" t="s">
        <v>166</v>
      </c>
      <c r="F97" s="125" t="s">
        <v>165</v>
      </c>
      <c r="G97" s="125" t="s">
        <v>1467</v>
      </c>
      <c r="H97" s="125" t="s">
        <v>1468</v>
      </c>
      <c r="I97" s="125" t="s">
        <v>1466</v>
      </c>
      <c r="J97" s="126">
        <v>4838.6000000000004</v>
      </c>
      <c r="K97" s="126">
        <v>977.6</v>
      </c>
      <c r="L97" s="126">
        <v>3861</v>
      </c>
      <c r="M97" s="126">
        <v>0</v>
      </c>
      <c r="N97" s="126">
        <v>0</v>
      </c>
      <c r="O97" s="126">
        <v>0</v>
      </c>
      <c r="P97" s="126">
        <v>5250.04</v>
      </c>
      <c r="Q97" s="126">
        <v>0</v>
      </c>
      <c r="R97" s="126">
        <v>5250.04</v>
      </c>
      <c r="S97" s="126">
        <v>2318.29</v>
      </c>
    </row>
    <row r="98" spans="1:19" ht="15.75" customHeight="1" thickBot="1">
      <c r="A98" s="125" t="s">
        <v>1273</v>
      </c>
      <c r="B98" s="125" t="s">
        <v>0</v>
      </c>
      <c r="C98" s="125" t="s">
        <v>1481</v>
      </c>
      <c r="D98" s="125" t="str">
        <f t="shared" si="1"/>
        <v>2</v>
      </c>
      <c r="E98" s="125" t="s">
        <v>166</v>
      </c>
      <c r="F98" s="125" t="s">
        <v>165</v>
      </c>
      <c r="G98" s="125" t="s">
        <v>0</v>
      </c>
      <c r="H98" s="125" t="s">
        <v>1482</v>
      </c>
      <c r="I98" s="125" t="s">
        <v>1358</v>
      </c>
      <c r="J98" s="126">
        <v>556025</v>
      </c>
      <c r="K98" s="127" t="s">
        <v>1275</v>
      </c>
      <c r="L98" s="126">
        <v>556025</v>
      </c>
      <c r="M98" s="126">
        <v>480538.92</v>
      </c>
      <c r="N98" s="126">
        <v>0</v>
      </c>
      <c r="O98" s="126">
        <v>0</v>
      </c>
      <c r="P98" s="126">
        <v>0</v>
      </c>
      <c r="Q98" s="126">
        <v>0</v>
      </c>
      <c r="R98" s="126">
        <v>480538.92</v>
      </c>
      <c r="S98" s="126">
        <v>-7326.42</v>
      </c>
    </row>
    <row r="99" spans="1:19" ht="15.75" customHeight="1" thickBot="1">
      <c r="A99" s="125" t="s">
        <v>1273</v>
      </c>
      <c r="B99" s="125" t="s">
        <v>0</v>
      </c>
      <c r="C99" s="125" t="s">
        <v>1481</v>
      </c>
      <c r="D99" s="125" t="str">
        <f t="shared" si="1"/>
        <v>2</v>
      </c>
      <c r="E99" s="125" t="s">
        <v>166</v>
      </c>
      <c r="F99" s="125" t="s">
        <v>165</v>
      </c>
      <c r="G99" s="125" t="s">
        <v>1483</v>
      </c>
      <c r="H99" s="125" t="s">
        <v>1484</v>
      </c>
      <c r="I99" s="125" t="s">
        <v>1358</v>
      </c>
      <c r="J99" s="126">
        <v>6292</v>
      </c>
      <c r="K99" s="126">
        <v>154</v>
      </c>
      <c r="L99" s="126">
        <v>6138</v>
      </c>
      <c r="M99" s="126">
        <v>0</v>
      </c>
      <c r="N99" s="126">
        <v>5703.6</v>
      </c>
      <c r="O99" s="126">
        <v>0</v>
      </c>
      <c r="P99" s="126">
        <v>15.25</v>
      </c>
      <c r="Q99" s="126">
        <v>0</v>
      </c>
      <c r="R99" s="126">
        <v>5718.85</v>
      </c>
      <c r="S99" s="126">
        <v>164</v>
      </c>
    </row>
    <row r="100" spans="1:19" ht="15.75" customHeight="1" thickBot="1">
      <c r="A100" s="125" t="s">
        <v>1273</v>
      </c>
      <c r="B100" s="125" t="s">
        <v>2</v>
      </c>
      <c r="C100" s="125" t="s">
        <v>1486</v>
      </c>
      <c r="D100" s="125" t="str">
        <f t="shared" si="1"/>
        <v>2</v>
      </c>
      <c r="E100" s="125" t="s">
        <v>166</v>
      </c>
      <c r="F100" s="125" t="s">
        <v>165</v>
      </c>
      <c r="G100" s="125" t="s">
        <v>2</v>
      </c>
      <c r="H100" s="125" t="s">
        <v>1487</v>
      </c>
      <c r="I100" s="125" t="s">
        <v>1365</v>
      </c>
      <c r="J100" s="126">
        <v>919344</v>
      </c>
      <c r="K100" s="127" t="s">
        <v>1275</v>
      </c>
      <c r="L100" s="126">
        <v>919344</v>
      </c>
      <c r="M100" s="126">
        <v>948404.27</v>
      </c>
      <c r="N100" s="126">
        <v>0</v>
      </c>
      <c r="O100" s="126">
        <v>0</v>
      </c>
      <c r="P100" s="126">
        <v>0</v>
      </c>
      <c r="Q100" s="126">
        <v>0</v>
      </c>
      <c r="R100" s="126">
        <v>948404.27</v>
      </c>
      <c r="S100" s="126">
        <v>19.96</v>
      </c>
    </row>
    <row r="101" spans="1:19" ht="15.75" customHeight="1" thickBot="1">
      <c r="A101" s="125" t="s">
        <v>1273</v>
      </c>
      <c r="B101" s="125" t="s">
        <v>455</v>
      </c>
      <c r="C101" s="125" t="s">
        <v>1492</v>
      </c>
      <c r="D101" s="125" t="str">
        <f t="shared" si="1"/>
        <v>2</v>
      </c>
      <c r="E101" s="125" t="s">
        <v>166</v>
      </c>
      <c r="F101" s="125" t="s">
        <v>165</v>
      </c>
      <c r="G101" s="125" t="s">
        <v>455</v>
      </c>
      <c r="H101" s="125" t="s">
        <v>1493</v>
      </c>
      <c r="I101" s="125" t="s">
        <v>1368</v>
      </c>
      <c r="J101" s="126">
        <v>494568</v>
      </c>
      <c r="K101" s="127" t="s">
        <v>1275</v>
      </c>
      <c r="L101" s="126">
        <v>494568</v>
      </c>
      <c r="M101" s="126">
        <v>538860.62</v>
      </c>
      <c r="N101" s="126">
        <v>0</v>
      </c>
      <c r="O101" s="126">
        <v>0</v>
      </c>
      <c r="P101" s="126">
        <v>0</v>
      </c>
      <c r="Q101" s="126">
        <v>0</v>
      </c>
      <c r="R101" s="126">
        <v>538860.62</v>
      </c>
      <c r="S101" s="126">
        <v>20.67</v>
      </c>
    </row>
    <row r="102" spans="1:19" ht="15.75" customHeight="1" thickBot="1">
      <c r="A102" s="125" t="s">
        <v>1273</v>
      </c>
      <c r="B102" s="125" t="s">
        <v>1409</v>
      </c>
      <c r="C102" s="125" t="s">
        <v>1496</v>
      </c>
      <c r="D102" s="125" t="str">
        <f t="shared" si="1"/>
        <v>2</v>
      </c>
      <c r="E102" s="125" t="s">
        <v>166</v>
      </c>
      <c r="F102" s="125" t="s">
        <v>165</v>
      </c>
      <c r="G102" s="125" t="s">
        <v>1409</v>
      </c>
      <c r="H102" s="125" t="s">
        <v>1497</v>
      </c>
      <c r="I102" s="125" t="s">
        <v>1407</v>
      </c>
      <c r="J102" s="126">
        <v>427121</v>
      </c>
      <c r="K102" s="127" t="s">
        <v>1275</v>
      </c>
      <c r="L102" s="126">
        <v>427121</v>
      </c>
      <c r="M102" s="126">
        <v>457511.02</v>
      </c>
      <c r="N102" s="126">
        <v>0</v>
      </c>
      <c r="O102" s="126">
        <v>0</v>
      </c>
      <c r="P102" s="126">
        <v>0</v>
      </c>
      <c r="Q102" s="126">
        <v>0</v>
      </c>
      <c r="R102" s="126">
        <v>457511.02</v>
      </c>
      <c r="S102" s="126">
        <v>-40.08</v>
      </c>
    </row>
    <row r="103" spans="1:19" ht="15.75" customHeight="1" thickBot="1">
      <c r="A103" s="125" t="s">
        <v>1273</v>
      </c>
      <c r="B103" s="125" t="s">
        <v>1499</v>
      </c>
      <c r="C103" s="125" t="s">
        <v>1500</v>
      </c>
      <c r="D103" s="125" t="str">
        <f t="shared" si="1"/>
        <v>2</v>
      </c>
      <c r="E103" s="125" t="s">
        <v>166</v>
      </c>
      <c r="F103" s="125" t="s">
        <v>165</v>
      </c>
      <c r="G103" s="125" t="s">
        <v>1408</v>
      </c>
      <c r="H103" s="125" t="s">
        <v>1501</v>
      </c>
      <c r="I103" s="125" t="s">
        <v>1403</v>
      </c>
      <c r="J103" s="126">
        <v>654238</v>
      </c>
      <c r="K103" s="127" t="s">
        <v>1275</v>
      </c>
      <c r="L103" s="126">
        <v>654238</v>
      </c>
      <c r="M103" s="126">
        <v>888190.81</v>
      </c>
      <c r="N103" s="126">
        <v>0</v>
      </c>
      <c r="O103" s="126">
        <v>0</v>
      </c>
      <c r="P103" s="126">
        <v>0</v>
      </c>
      <c r="Q103" s="126">
        <v>0</v>
      </c>
      <c r="R103" s="126">
        <v>888190.81</v>
      </c>
      <c r="S103" s="126">
        <v>59.74</v>
      </c>
    </row>
    <row r="104" spans="1:19" ht="15.75" customHeight="1" thickBot="1">
      <c r="A104" s="125" t="s">
        <v>1273</v>
      </c>
      <c r="B104" s="125" t="s">
        <v>1514</v>
      </c>
      <c r="C104" s="125" t="s">
        <v>650</v>
      </c>
      <c r="D104" s="125" t="str">
        <f t="shared" si="1"/>
        <v>2</v>
      </c>
      <c r="E104" s="125" t="s">
        <v>166</v>
      </c>
      <c r="F104" s="125" t="s">
        <v>165</v>
      </c>
      <c r="G104" s="125" t="s">
        <v>1515</v>
      </c>
      <c r="H104" s="125" t="s">
        <v>1516</v>
      </c>
      <c r="I104" s="125" t="s">
        <v>1517</v>
      </c>
      <c r="J104" s="126">
        <v>11574</v>
      </c>
      <c r="K104" s="127" t="s">
        <v>1275</v>
      </c>
      <c r="L104" s="126">
        <v>11574</v>
      </c>
      <c r="M104" s="126">
        <v>0</v>
      </c>
      <c r="N104" s="126">
        <v>0</v>
      </c>
      <c r="O104" s="126">
        <v>0</v>
      </c>
      <c r="P104" s="126">
        <v>9325.0300000000007</v>
      </c>
      <c r="Q104" s="126">
        <v>791.1</v>
      </c>
      <c r="R104" s="126">
        <v>10116.129999999999</v>
      </c>
      <c r="S104" s="126">
        <v>647.69000000000005</v>
      </c>
    </row>
    <row r="105" spans="1:19" ht="15.75" thickBot="1">
      <c r="A105" s="125" t="s">
        <v>1905</v>
      </c>
      <c r="B105" s="125" t="s">
        <v>1514</v>
      </c>
      <c r="C105" s="125" t="s">
        <v>650</v>
      </c>
      <c r="D105" s="125" t="str">
        <f t="shared" si="1"/>
        <v>2</v>
      </c>
      <c r="E105" s="125" t="s">
        <v>166</v>
      </c>
      <c r="F105" s="125" t="s">
        <v>165</v>
      </c>
      <c r="G105" s="125" t="s">
        <v>1515</v>
      </c>
      <c r="H105" s="125" t="s">
        <v>1516</v>
      </c>
      <c r="I105" s="125" t="s">
        <v>1517</v>
      </c>
      <c r="J105" s="126">
        <v>791.1</v>
      </c>
      <c r="K105" s="126">
        <v>791.1</v>
      </c>
      <c r="L105" s="126">
        <v>0</v>
      </c>
      <c r="M105" s="126">
        <v>0</v>
      </c>
      <c r="N105" s="126">
        <v>0</v>
      </c>
      <c r="O105" s="126">
        <v>0</v>
      </c>
      <c r="P105" s="126">
        <v>0</v>
      </c>
      <c r="Q105" s="126">
        <v>791.1</v>
      </c>
      <c r="R105" s="126">
        <v>791.1</v>
      </c>
      <c r="S105" s="126">
        <v>0</v>
      </c>
    </row>
    <row r="106" spans="1:19" ht="15.75" customHeight="1" thickBot="1">
      <c r="A106" s="125" t="s">
        <v>1273</v>
      </c>
      <c r="B106" s="125" t="s">
        <v>7</v>
      </c>
      <c r="C106" s="125" t="s">
        <v>1503</v>
      </c>
      <c r="D106" s="125" t="str">
        <f t="shared" si="1"/>
        <v>2</v>
      </c>
      <c r="E106" s="125" t="s">
        <v>166</v>
      </c>
      <c r="F106" s="125" t="s">
        <v>165</v>
      </c>
      <c r="G106" s="125" t="s">
        <v>7</v>
      </c>
      <c r="H106" s="125" t="s">
        <v>1504</v>
      </c>
      <c r="I106" s="125" t="s">
        <v>1420</v>
      </c>
      <c r="J106" s="126">
        <v>549539</v>
      </c>
      <c r="K106" s="127" t="s">
        <v>1275</v>
      </c>
      <c r="L106" s="126">
        <v>549539</v>
      </c>
      <c r="M106" s="126">
        <v>603377.6</v>
      </c>
      <c r="N106" s="126">
        <v>0</v>
      </c>
      <c r="O106" s="126">
        <v>0</v>
      </c>
      <c r="P106" s="126">
        <v>0</v>
      </c>
      <c r="Q106" s="126">
        <v>0</v>
      </c>
      <c r="R106" s="126">
        <v>603377.6</v>
      </c>
      <c r="S106" s="126">
        <v>591.94000000000005</v>
      </c>
    </row>
    <row r="107" spans="1:19" ht="15.75" thickBot="1">
      <c r="A107" s="125" t="s">
        <v>1905</v>
      </c>
      <c r="B107" s="125" t="s">
        <v>14</v>
      </c>
      <c r="C107" s="125" t="s">
        <v>635</v>
      </c>
      <c r="D107" s="125" t="str">
        <f t="shared" si="1"/>
        <v>2</v>
      </c>
      <c r="E107" s="125" t="s">
        <v>166</v>
      </c>
      <c r="F107" s="125" t="s">
        <v>165</v>
      </c>
      <c r="G107" s="125" t="s">
        <v>14</v>
      </c>
      <c r="H107" s="125" t="s">
        <v>634</v>
      </c>
      <c r="I107" s="125" t="s">
        <v>1466</v>
      </c>
      <c r="J107" s="126">
        <v>499902</v>
      </c>
      <c r="K107" s="127" t="s">
        <v>1275</v>
      </c>
      <c r="L107" s="126">
        <v>499902</v>
      </c>
      <c r="M107" s="126">
        <v>375564.44</v>
      </c>
      <c r="N107" s="126">
        <v>14799.13</v>
      </c>
      <c r="O107" s="126">
        <v>0</v>
      </c>
      <c r="P107" s="126">
        <v>0</v>
      </c>
      <c r="Q107" s="126">
        <v>0</v>
      </c>
      <c r="R107" s="126">
        <v>390363.57</v>
      </c>
      <c r="S107" s="126">
        <v>141668.43</v>
      </c>
    </row>
    <row r="108" spans="1:19" ht="15.75" thickBot="1">
      <c r="A108" s="125" t="s">
        <v>1905</v>
      </c>
      <c r="B108" s="125" t="s">
        <v>14</v>
      </c>
      <c r="C108" s="125" t="s">
        <v>635</v>
      </c>
      <c r="D108" s="125" t="str">
        <f t="shared" si="1"/>
        <v>2</v>
      </c>
      <c r="E108" s="125" t="s">
        <v>166</v>
      </c>
      <c r="F108" s="125" t="s">
        <v>165</v>
      </c>
      <c r="G108" s="125" t="s">
        <v>1467</v>
      </c>
      <c r="H108" s="125" t="s">
        <v>1921</v>
      </c>
      <c r="I108" s="125" t="s">
        <v>1466</v>
      </c>
      <c r="J108" s="126">
        <v>0</v>
      </c>
      <c r="K108" s="127" t="s">
        <v>1275</v>
      </c>
      <c r="L108" s="126">
        <v>0</v>
      </c>
      <c r="M108" s="126">
        <v>0</v>
      </c>
      <c r="N108" s="126">
        <v>0</v>
      </c>
      <c r="O108" s="126">
        <v>0</v>
      </c>
      <c r="P108" s="126">
        <v>2016.48</v>
      </c>
      <c r="Q108" s="126">
        <v>0</v>
      </c>
      <c r="R108" s="126">
        <v>2016.48</v>
      </c>
      <c r="S108" s="126">
        <v>7483.52</v>
      </c>
    </row>
    <row r="109" spans="1:19" ht="15.75" customHeight="1" thickBot="1">
      <c r="A109" s="125" t="s">
        <v>1273</v>
      </c>
      <c r="B109" s="125" t="s">
        <v>1514</v>
      </c>
      <c r="C109" s="125" t="s">
        <v>650</v>
      </c>
      <c r="D109" s="125" t="str">
        <f t="shared" si="1"/>
        <v>2</v>
      </c>
      <c r="E109" s="125" t="s">
        <v>166</v>
      </c>
      <c r="F109" s="125" t="s">
        <v>165</v>
      </c>
      <c r="G109" s="125" t="s">
        <v>15</v>
      </c>
      <c r="H109" s="125" t="s">
        <v>649</v>
      </c>
      <c r="I109" s="125" t="s">
        <v>1517</v>
      </c>
      <c r="J109" s="126">
        <v>1770966</v>
      </c>
      <c r="K109" s="127" t="s">
        <v>1275</v>
      </c>
      <c r="L109" s="126">
        <v>1770966</v>
      </c>
      <c r="M109" s="126">
        <v>1799915.74</v>
      </c>
      <c r="N109" s="126">
        <v>0</v>
      </c>
      <c r="O109" s="126">
        <v>0</v>
      </c>
      <c r="P109" s="126">
        <v>0</v>
      </c>
      <c r="Q109" s="126">
        <v>0</v>
      </c>
      <c r="R109" s="126">
        <v>1799915.74</v>
      </c>
      <c r="S109" s="126">
        <v>4635.26</v>
      </c>
    </row>
    <row r="110" spans="1:19" ht="15.75" thickBot="1">
      <c r="A110" s="125" t="s">
        <v>1905</v>
      </c>
      <c r="B110" s="125" t="s">
        <v>1514</v>
      </c>
      <c r="C110" s="125" t="s">
        <v>650</v>
      </c>
      <c r="D110" s="125" t="str">
        <f t="shared" si="1"/>
        <v>2</v>
      </c>
      <c r="E110" s="125" t="s">
        <v>166</v>
      </c>
      <c r="F110" s="125" t="s">
        <v>165</v>
      </c>
      <c r="G110" s="125" t="s">
        <v>15</v>
      </c>
      <c r="H110" s="125" t="s">
        <v>649</v>
      </c>
      <c r="I110" s="125" t="s">
        <v>1517</v>
      </c>
      <c r="J110" s="126">
        <v>1754689</v>
      </c>
      <c r="K110" s="127" t="s">
        <v>1275</v>
      </c>
      <c r="L110" s="126">
        <v>1754689</v>
      </c>
      <c r="M110" s="126">
        <v>1347305.03</v>
      </c>
      <c r="N110" s="126">
        <v>0</v>
      </c>
      <c r="O110" s="126">
        <v>0</v>
      </c>
      <c r="P110" s="126">
        <v>0</v>
      </c>
      <c r="Q110" s="126">
        <v>0</v>
      </c>
      <c r="R110" s="126">
        <v>1347305.03</v>
      </c>
      <c r="S110" s="126">
        <v>383855.97</v>
      </c>
    </row>
    <row r="111" spans="1:19" ht="15.75" thickBot="1">
      <c r="A111" s="125" t="s">
        <v>1905</v>
      </c>
      <c r="B111" s="125" t="s">
        <v>1514</v>
      </c>
      <c r="C111" s="125" t="s">
        <v>650</v>
      </c>
      <c r="D111" s="125" t="str">
        <f t="shared" si="1"/>
        <v>2</v>
      </c>
      <c r="E111" s="125" t="s">
        <v>166</v>
      </c>
      <c r="F111" s="125" t="s">
        <v>165</v>
      </c>
      <c r="G111" s="125" t="s">
        <v>1515</v>
      </c>
      <c r="H111" s="125" t="s">
        <v>1920</v>
      </c>
      <c r="I111" s="125" t="s">
        <v>1517</v>
      </c>
      <c r="J111" s="126">
        <v>0</v>
      </c>
      <c r="K111" s="127" t="s">
        <v>1275</v>
      </c>
      <c r="L111" s="126">
        <v>0</v>
      </c>
      <c r="M111" s="126">
        <v>0</v>
      </c>
      <c r="N111" s="126">
        <v>0</v>
      </c>
      <c r="O111" s="126">
        <v>0</v>
      </c>
      <c r="P111" s="126">
        <v>11248.71</v>
      </c>
      <c r="Q111" s="126">
        <v>9241.26</v>
      </c>
      <c r="R111" s="126">
        <v>20489.97</v>
      </c>
      <c r="S111" s="126">
        <v>2510.0300000000002</v>
      </c>
    </row>
    <row r="112" spans="1:19" ht="15.75" thickBot="1">
      <c r="A112" s="125" t="s">
        <v>1905</v>
      </c>
      <c r="B112" s="125" t="s">
        <v>1514</v>
      </c>
      <c r="C112" s="125" t="s">
        <v>650</v>
      </c>
      <c r="D112" s="125" t="str">
        <f t="shared" si="1"/>
        <v>2</v>
      </c>
      <c r="E112" s="125" t="s">
        <v>166</v>
      </c>
      <c r="F112" s="125" t="s">
        <v>165</v>
      </c>
      <c r="G112" s="125" t="s">
        <v>16</v>
      </c>
      <c r="H112" s="125" t="s">
        <v>684</v>
      </c>
      <c r="I112" s="125" t="s">
        <v>1517</v>
      </c>
      <c r="J112" s="126">
        <v>100203</v>
      </c>
      <c r="K112" s="127" t="s">
        <v>1275</v>
      </c>
      <c r="L112" s="126">
        <v>100203</v>
      </c>
      <c r="M112" s="126">
        <v>79873.69</v>
      </c>
      <c r="N112" s="126">
        <v>0</v>
      </c>
      <c r="O112" s="126">
        <v>0</v>
      </c>
      <c r="P112" s="126">
        <v>0</v>
      </c>
      <c r="Q112" s="126">
        <v>0</v>
      </c>
      <c r="R112" s="126">
        <v>79873.69</v>
      </c>
      <c r="S112" s="126">
        <v>23559.31</v>
      </c>
    </row>
    <row r="113" spans="1:19" ht="15.75" customHeight="1" thickBot="1">
      <c r="A113" s="125" t="s">
        <v>1273</v>
      </c>
      <c r="B113" s="125" t="s">
        <v>17</v>
      </c>
      <c r="C113" s="125" t="s">
        <v>688</v>
      </c>
      <c r="D113" s="125" t="str">
        <f t="shared" si="1"/>
        <v>2</v>
      </c>
      <c r="E113" s="125" t="s">
        <v>166</v>
      </c>
      <c r="F113" s="125" t="s">
        <v>165</v>
      </c>
      <c r="G113" s="125" t="s">
        <v>689</v>
      </c>
      <c r="H113" s="125" t="s">
        <v>687</v>
      </c>
      <c r="I113" s="125" t="s">
        <v>1519</v>
      </c>
      <c r="J113" s="126">
        <v>35343.64</v>
      </c>
      <c r="K113" s="126">
        <v>135.63999999999999</v>
      </c>
      <c r="L113" s="126">
        <v>35208</v>
      </c>
      <c r="M113" s="126">
        <v>2729.98</v>
      </c>
      <c r="N113" s="126">
        <v>0</v>
      </c>
      <c r="O113" s="126">
        <v>0</v>
      </c>
      <c r="P113" s="126">
        <v>32247.21</v>
      </c>
      <c r="Q113" s="126">
        <v>0</v>
      </c>
      <c r="R113" s="126">
        <v>34977.19</v>
      </c>
      <c r="S113" s="126">
        <v>92.99</v>
      </c>
    </row>
    <row r="114" spans="1:19" ht="15.75" thickBot="1">
      <c r="A114" s="125" t="s">
        <v>1905</v>
      </c>
      <c r="B114" s="125" t="s">
        <v>17</v>
      </c>
      <c r="C114" s="125" t="s">
        <v>688</v>
      </c>
      <c r="D114" s="125" t="str">
        <f t="shared" si="1"/>
        <v>2</v>
      </c>
      <c r="E114" s="125" t="s">
        <v>166</v>
      </c>
      <c r="F114" s="125" t="s">
        <v>165</v>
      </c>
      <c r="G114" s="125" t="s">
        <v>689</v>
      </c>
      <c r="H114" s="125" t="s">
        <v>687</v>
      </c>
      <c r="I114" s="125" t="s">
        <v>1519</v>
      </c>
      <c r="J114" s="126">
        <v>2730</v>
      </c>
      <c r="K114" s="127" t="s">
        <v>1275</v>
      </c>
      <c r="L114" s="126">
        <v>2730</v>
      </c>
      <c r="M114" s="126">
        <v>1478.67</v>
      </c>
      <c r="N114" s="126">
        <v>0</v>
      </c>
      <c r="O114" s="126">
        <v>0</v>
      </c>
      <c r="P114" s="126">
        <v>10257.120000000001</v>
      </c>
      <c r="Q114" s="126">
        <v>0</v>
      </c>
      <c r="R114" s="126">
        <v>11735.79</v>
      </c>
      <c r="S114" s="126">
        <v>18494.21</v>
      </c>
    </row>
    <row r="115" spans="1:19" ht="15.75" customHeight="1" thickBot="1">
      <c r="A115" s="125" t="s">
        <v>1273</v>
      </c>
      <c r="B115" s="125" t="s">
        <v>17</v>
      </c>
      <c r="C115" s="125" t="s">
        <v>688</v>
      </c>
      <c r="D115" s="125" t="str">
        <f t="shared" si="1"/>
        <v>2</v>
      </c>
      <c r="E115" s="125" t="s">
        <v>166</v>
      </c>
      <c r="F115" s="125" t="s">
        <v>165</v>
      </c>
      <c r="G115" s="125" t="s">
        <v>1520</v>
      </c>
      <c r="H115" s="125" t="s">
        <v>1521</v>
      </c>
      <c r="I115" s="125" t="s">
        <v>1519</v>
      </c>
      <c r="J115" s="126">
        <v>70289.84</v>
      </c>
      <c r="K115" s="126">
        <v>1339.84</v>
      </c>
      <c r="L115" s="126">
        <v>68950</v>
      </c>
      <c r="M115" s="126">
        <v>0</v>
      </c>
      <c r="N115" s="126">
        <v>0</v>
      </c>
      <c r="O115" s="126">
        <v>0</v>
      </c>
      <c r="P115" s="126">
        <v>62179.82</v>
      </c>
      <c r="Q115" s="126">
        <v>394.18</v>
      </c>
      <c r="R115" s="126">
        <v>62574</v>
      </c>
      <c r="S115" s="126">
        <v>2889.34</v>
      </c>
    </row>
    <row r="116" spans="1:19" ht="15.75" thickBot="1">
      <c r="A116" s="125" t="s">
        <v>1905</v>
      </c>
      <c r="B116" s="125" t="s">
        <v>17</v>
      </c>
      <c r="C116" s="125" t="s">
        <v>688</v>
      </c>
      <c r="D116" s="125" t="str">
        <f t="shared" si="1"/>
        <v>2</v>
      </c>
      <c r="E116" s="125" t="s">
        <v>166</v>
      </c>
      <c r="F116" s="125" t="s">
        <v>165</v>
      </c>
      <c r="G116" s="125" t="s">
        <v>1520</v>
      </c>
      <c r="H116" s="125" t="s">
        <v>1521</v>
      </c>
      <c r="I116" s="125" t="s">
        <v>1519</v>
      </c>
      <c r="J116" s="126">
        <v>57623.18</v>
      </c>
      <c r="K116" s="126">
        <v>394.18</v>
      </c>
      <c r="L116" s="126">
        <v>57229</v>
      </c>
      <c r="M116" s="126">
        <v>0</v>
      </c>
      <c r="N116" s="126">
        <v>0</v>
      </c>
      <c r="O116" s="126">
        <v>0</v>
      </c>
      <c r="P116" s="126">
        <v>15748.31</v>
      </c>
      <c r="Q116" s="126">
        <v>5930.06</v>
      </c>
      <c r="R116" s="126">
        <v>21678.37</v>
      </c>
      <c r="S116" s="126">
        <v>35944.81</v>
      </c>
    </row>
    <row r="117" spans="1:19" ht="15.75" thickBot="1">
      <c r="A117" s="125" t="s">
        <v>1905</v>
      </c>
      <c r="B117" s="125" t="s">
        <v>1523</v>
      </c>
      <c r="C117" s="125" t="s">
        <v>692</v>
      </c>
      <c r="D117" s="125" t="str">
        <f t="shared" si="1"/>
        <v>2</v>
      </c>
      <c r="E117" s="125" t="s">
        <v>166</v>
      </c>
      <c r="F117" s="125" t="s">
        <v>165</v>
      </c>
      <c r="G117" s="125" t="s">
        <v>18</v>
      </c>
      <c r="H117" s="125" t="s">
        <v>691</v>
      </c>
      <c r="I117" s="125" t="s">
        <v>1412</v>
      </c>
      <c r="J117" s="126">
        <v>891114</v>
      </c>
      <c r="K117" s="127" t="s">
        <v>1275</v>
      </c>
      <c r="L117" s="126">
        <v>823229</v>
      </c>
      <c r="M117" s="126">
        <v>619063.47</v>
      </c>
      <c r="N117" s="126">
        <v>0</v>
      </c>
      <c r="O117" s="126">
        <v>0</v>
      </c>
      <c r="P117" s="126">
        <v>0</v>
      </c>
      <c r="Q117" s="126">
        <v>0</v>
      </c>
      <c r="R117" s="126">
        <v>619063.47</v>
      </c>
      <c r="S117" s="126">
        <v>181078.53</v>
      </c>
    </row>
    <row r="118" spans="1:19" ht="15.75" thickBot="1">
      <c r="A118" s="125" t="s">
        <v>1905</v>
      </c>
      <c r="B118" s="125" t="s">
        <v>1523</v>
      </c>
      <c r="C118" s="125" t="s">
        <v>692</v>
      </c>
      <c r="D118" s="125" t="str">
        <f t="shared" si="1"/>
        <v>2</v>
      </c>
      <c r="E118" s="125" t="s">
        <v>166</v>
      </c>
      <c r="F118" s="125" t="s">
        <v>165</v>
      </c>
      <c r="G118" s="125" t="s">
        <v>1923</v>
      </c>
      <c r="H118" s="125" t="s">
        <v>1924</v>
      </c>
      <c r="I118" s="125" t="s">
        <v>1412</v>
      </c>
      <c r="J118" s="126">
        <v>0</v>
      </c>
      <c r="K118" s="127" t="s">
        <v>1275</v>
      </c>
      <c r="L118" s="126">
        <v>0</v>
      </c>
      <c r="M118" s="126">
        <v>0</v>
      </c>
      <c r="N118" s="126">
        <v>5062.5</v>
      </c>
      <c r="O118" s="126">
        <v>0</v>
      </c>
      <c r="P118" s="126">
        <v>4364.7700000000004</v>
      </c>
      <c r="Q118" s="126">
        <v>2495.85</v>
      </c>
      <c r="R118" s="126">
        <v>11923.12</v>
      </c>
      <c r="S118" s="126">
        <v>23576.880000000001</v>
      </c>
    </row>
    <row r="119" spans="1:19" ht="15.75" customHeight="1" thickBot="1">
      <c r="A119" s="125" t="s">
        <v>1273</v>
      </c>
      <c r="B119" s="125" t="s">
        <v>487</v>
      </c>
      <c r="C119" s="125" t="s">
        <v>486</v>
      </c>
      <c r="D119" s="125" t="str">
        <f t="shared" si="1"/>
        <v>2</v>
      </c>
      <c r="E119" s="125" t="s">
        <v>166</v>
      </c>
      <c r="F119" s="125" t="s">
        <v>165</v>
      </c>
      <c r="G119" s="125" t="s">
        <v>1187</v>
      </c>
      <c r="H119" s="125" t="s">
        <v>1384</v>
      </c>
      <c r="I119" s="125" t="s">
        <v>1381</v>
      </c>
      <c r="J119" s="126">
        <v>82677.16</v>
      </c>
      <c r="K119" s="126">
        <v>5784.16</v>
      </c>
      <c r="L119" s="126">
        <v>76893</v>
      </c>
      <c r="M119" s="126">
        <v>14633.04</v>
      </c>
      <c r="N119" s="126">
        <v>46479.15</v>
      </c>
      <c r="O119" s="126">
        <v>0</v>
      </c>
      <c r="P119" s="126">
        <v>13220.06</v>
      </c>
      <c r="Q119" s="126">
        <v>90.96</v>
      </c>
      <c r="R119" s="126">
        <v>74423.210000000006</v>
      </c>
      <c r="S119" s="126">
        <v>6342.25</v>
      </c>
    </row>
    <row r="120" spans="1:19" ht="15.75" thickBot="1">
      <c r="A120" s="125" t="s">
        <v>1905</v>
      </c>
      <c r="B120" s="125" t="s">
        <v>487</v>
      </c>
      <c r="C120" s="125" t="s">
        <v>486</v>
      </c>
      <c r="D120" s="125" t="str">
        <f t="shared" si="1"/>
        <v>2</v>
      </c>
      <c r="E120" s="125" t="s">
        <v>166</v>
      </c>
      <c r="F120" s="125" t="s">
        <v>165</v>
      </c>
      <c r="G120" s="125" t="s">
        <v>1187</v>
      </c>
      <c r="H120" s="125" t="s">
        <v>1384</v>
      </c>
      <c r="I120" s="125" t="s">
        <v>1381</v>
      </c>
      <c r="J120" s="126">
        <v>90.96</v>
      </c>
      <c r="K120" s="126">
        <v>90.96</v>
      </c>
      <c r="L120" s="126">
        <v>0</v>
      </c>
      <c r="M120" s="126">
        <v>0</v>
      </c>
      <c r="N120" s="126">
        <v>0</v>
      </c>
      <c r="O120" s="126">
        <v>0</v>
      </c>
      <c r="P120" s="126">
        <v>90.96</v>
      </c>
      <c r="Q120" s="126">
        <v>0</v>
      </c>
      <c r="R120" s="126">
        <v>90.96</v>
      </c>
      <c r="S120" s="126">
        <v>0</v>
      </c>
    </row>
    <row r="121" spans="1:19" ht="15.75" customHeight="1" thickBot="1">
      <c r="A121" s="125" t="s">
        <v>1273</v>
      </c>
      <c r="B121" s="125" t="s">
        <v>526</v>
      </c>
      <c r="C121" s="125" t="s">
        <v>525</v>
      </c>
      <c r="D121" s="125" t="str">
        <f t="shared" si="1"/>
        <v>2</v>
      </c>
      <c r="E121" s="125" t="s">
        <v>166</v>
      </c>
      <c r="F121" s="125" t="s">
        <v>165</v>
      </c>
      <c r="G121" s="125" t="s">
        <v>1401</v>
      </c>
      <c r="H121" s="125" t="s">
        <v>1402</v>
      </c>
      <c r="I121" s="125" t="s">
        <v>1403</v>
      </c>
      <c r="J121" s="126">
        <v>25071</v>
      </c>
      <c r="K121" s="127" t="s">
        <v>1275</v>
      </c>
      <c r="L121" s="126">
        <v>25071</v>
      </c>
      <c r="M121" s="126">
        <v>0</v>
      </c>
      <c r="N121" s="126">
        <v>20887.47</v>
      </c>
      <c r="O121" s="126">
        <v>0</v>
      </c>
      <c r="P121" s="126">
        <v>2985.21</v>
      </c>
      <c r="Q121" s="126">
        <v>0</v>
      </c>
      <c r="R121" s="126">
        <v>23872.68</v>
      </c>
      <c r="S121" s="126">
        <v>535.65</v>
      </c>
    </row>
    <row r="122" spans="1:19" ht="15.75" thickBot="1">
      <c r="A122" s="125" t="s">
        <v>1905</v>
      </c>
      <c r="B122" s="125" t="s">
        <v>710</v>
      </c>
      <c r="C122" s="125" t="s">
        <v>709</v>
      </c>
      <c r="D122" s="125" t="str">
        <f t="shared" si="1"/>
        <v>2</v>
      </c>
      <c r="E122" s="125" t="s">
        <v>166</v>
      </c>
      <c r="F122" s="125" t="s">
        <v>165</v>
      </c>
      <c r="G122" s="125" t="s">
        <v>710</v>
      </c>
      <c r="H122" s="125" t="s">
        <v>708</v>
      </c>
      <c r="I122" s="125" t="s">
        <v>1322</v>
      </c>
      <c r="J122" s="126">
        <v>0</v>
      </c>
      <c r="K122" s="127" t="s">
        <v>1275</v>
      </c>
      <c r="L122" s="126">
        <v>0</v>
      </c>
      <c r="M122" s="126">
        <v>19426.490000000002</v>
      </c>
      <c r="N122" s="126">
        <v>0</v>
      </c>
      <c r="O122" s="126">
        <v>0</v>
      </c>
      <c r="P122" s="126">
        <v>0</v>
      </c>
      <c r="Q122" s="126">
        <v>0</v>
      </c>
      <c r="R122" s="126">
        <v>19426.490000000002</v>
      </c>
      <c r="S122" s="126">
        <v>30537.51</v>
      </c>
    </row>
    <row r="123" spans="1:19" ht="15.75" thickBot="1">
      <c r="A123" s="125" t="s">
        <v>1905</v>
      </c>
      <c r="B123" s="125" t="s">
        <v>1691</v>
      </c>
      <c r="C123" s="158">
        <v>23100</v>
      </c>
      <c r="D123" s="125" t="str">
        <f t="shared" si="1"/>
        <v>2</v>
      </c>
      <c r="E123" s="125" t="s">
        <v>166</v>
      </c>
      <c r="F123" s="125" t="s">
        <v>165</v>
      </c>
      <c r="G123" s="125" t="s">
        <v>716</v>
      </c>
      <c r="H123" s="125" t="s">
        <v>714</v>
      </c>
      <c r="I123" s="125" t="s">
        <v>1692</v>
      </c>
      <c r="J123" s="126">
        <v>1653792</v>
      </c>
      <c r="K123" s="127" t="s">
        <v>1275</v>
      </c>
      <c r="L123" s="126">
        <v>1653792</v>
      </c>
      <c r="M123" s="126">
        <v>0</v>
      </c>
      <c r="N123" s="126">
        <v>0</v>
      </c>
      <c r="O123" s="126">
        <v>0</v>
      </c>
      <c r="P123" s="126">
        <v>0</v>
      </c>
      <c r="Q123" s="126">
        <v>0</v>
      </c>
      <c r="R123" s="126">
        <v>0</v>
      </c>
      <c r="S123" s="126">
        <v>1655001</v>
      </c>
    </row>
    <row r="124" spans="1:19" ht="15.75" customHeight="1" thickBot="1">
      <c r="A124" s="125" t="s">
        <v>1273</v>
      </c>
      <c r="B124" s="125" t="s">
        <v>1527</v>
      </c>
      <c r="C124" s="125" t="s">
        <v>750</v>
      </c>
      <c r="D124" s="125" t="str">
        <f t="shared" si="1"/>
        <v>2</v>
      </c>
      <c r="E124" s="125" t="s">
        <v>166</v>
      </c>
      <c r="F124" s="125" t="s">
        <v>165</v>
      </c>
      <c r="G124" s="125" t="s">
        <v>1528</v>
      </c>
      <c r="H124" s="125" t="s">
        <v>1529</v>
      </c>
      <c r="I124" s="125" t="s">
        <v>1301</v>
      </c>
      <c r="J124" s="126">
        <v>117530.45</v>
      </c>
      <c r="K124" s="126">
        <v>1925.45</v>
      </c>
      <c r="L124" s="126">
        <v>115605</v>
      </c>
      <c r="M124" s="126">
        <v>12000</v>
      </c>
      <c r="N124" s="126">
        <v>0</v>
      </c>
      <c r="O124" s="126">
        <v>0</v>
      </c>
      <c r="P124" s="126">
        <v>1925.45</v>
      </c>
      <c r="Q124" s="126">
        <v>0</v>
      </c>
      <c r="R124" s="126">
        <v>13925.45</v>
      </c>
      <c r="S124" s="126">
        <v>685</v>
      </c>
    </row>
    <row r="125" spans="1:19" ht="15.75" thickBot="1">
      <c r="A125" s="125" t="s">
        <v>1905</v>
      </c>
      <c r="B125" s="125" t="s">
        <v>1527</v>
      </c>
      <c r="C125" s="125" t="s">
        <v>750</v>
      </c>
      <c r="D125" s="125" t="str">
        <f t="shared" si="1"/>
        <v>2</v>
      </c>
      <c r="E125" s="125" t="s">
        <v>166</v>
      </c>
      <c r="F125" s="125" t="s">
        <v>165</v>
      </c>
      <c r="G125" s="125" t="s">
        <v>1528</v>
      </c>
      <c r="H125" s="125" t="s">
        <v>1529</v>
      </c>
      <c r="I125" s="125" t="s">
        <v>1301</v>
      </c>
      <c r="J125" s="126">
        <v>252503</v>
      </c>
      <c r="K125" s="127" t="s">
        <v>1275</v>
      </c>
      <c r="L125" s="126">
        <v>252503</v>
      </c>
      <c r="M125" s="126">
        <v>0</v>
      </c>
      <c r="N125" s="126">
        <v>0</v>
      </c>
      <c r="O125" s="126">
        <v>0</v>
      </c>
      <c r="P125" s="126">
        <v>0</v>
      </c>
      <c r="Q125" s="126">
        <v>0</v>
      </c>
      <c r="R125" s="126">
        <v>0</v>
      </c>
      <c r="S125" s="126">
        <v>0</v>
      </c>
    </row>
    <row r="126" spans="1:19" ht="15.75" thickBot="1">
      <c r="A126" s="125" t="s">
        <v>1905</v>
      </c>
      <c r="B126" s="125" t="s">
        <v>1299</v>
      </c>
      <c r="C126" s="125" t="s">
        <v>719</v>
      </c>
      <c r="D126" s="125" t="str">
        <f t="shared" si="1"/>
        <v>2</v>
      </c>
      <c r="E126" s="125" t="s">
        <v>166</v>
      </c>
      <c r="F126" s="125" t="s">
        <v>165</v>
      </c>
      <c r="G126" s="125" t="s">
        <v>720</v>
      </c>
      <c r="H126" s="125" t="s">
        <v>718</v>
      </c>
      <c r="I126" s="125" t="s">
        <v>1302</v>
      </c>
      <c r="J126" s="126">
        <v>936610</v>
      </c>
      <c r="K126" s="127" t="s">
        <v>1275</v>
      </c>
      <c r="L126" s="126">
        <v>936610</v>
      </c>
      <c r="M126" s="126">
        <v>0</v>
      </c>
      <c r="N126" s="126">
        <v>0</v>
      </c>
      <c r="O126" s="126">
        <v>0</v>
      </c>
      <c r="P126" s="126">
        <v>0</v>
      </c>
      <c r="Q126" s="126">
        <v>0</v>
      </c>
      <c r="R126" s="126">
        <v>0</v>
      </c>
      <c r="S126" s="126">
        <v>221920</v>
      </c>
    </row>
    <row r="127" spans="1:19" ht="15.75" customHeight="1" thickBot="1">
      <c r="A127" s="125" t="s">
        <v>1273</v>
      </c>
      <c r="B127" s="125" t="s">
        <v>1351</v>
      </c>
      <c r="C127" s="125" t="s">
        <v>722</v>
      </c>
      <c r="D127" s="125" t="str">
        <f t="shared" si="1"/>
        <v>2</v>
      </c>
      <c r="E127" s="125" t="s">
        <v>166</v>
      </c>
      <c r="F127" s="125" t="s">
        <v>165</v>
      </c>
      <c r="G127" s="125" t="s">
        <v>723</v>
      </c>
      <c r="H127" s="125" t="s">
        <v>721</v>
      </c>
      <c r="I127" s="125" t="s">
        <v>1352</v>
      </c>
      <c r="J127" s="126">
        <v>182635</v>
      </c>
      <c r="K127" s="127" t="s">
        <v>1275</v>
      </c>
      <c r="L127" s="126">
        <v>182635</v>
      </c>
      <c r="M127" s="126">
        <v>173650.55</v>
      </c>
      <c r="N127" s="126">
        <v>2128</v>
      </c>
      <c r="O127" s="126">
        <v>900</v>
      </c>
      <c r="P127" s="126">
        <v>2805.11</v>
      </c>
      <c r="Q127" s="126">
        <v>87</v>
      </c>
      <c r="R127" s="126">
        <v>179570.66</v>
      </c>
      <c r="S127" s="126">
        <v>7431.29</v>
      </c>
    </row>
    <row r="128" spans="1:19" ht="15.75" thickBot="1">
      <c r="A128" s="125" t="s">
        <v>1905</v>
      </c>
      <c r="B128" s="125" t="s">
        <v>1351</v>
      </c>
      <c r="C128" s="125" t="s">
        <v>722</v>
      </c>
      <c r="D128" s="125" t="str">
        <f t="shared" si="1"/>
        <v>2</v>
      </c>
      <c r="E128" s="125" t="s">
        <v>166</v>
      </c>
      <c r="F128" s="125" t="s">
        <v>165</v>
      </c>
      <c r="G128" s="125" t="s">
        <v>723</v>
      </c>
      <c r="H128" s="125" t="s">
        <v>721</v>
      </c>
      <c r="I128" s="125" t="s">
        <v>1352</v>
      </c>
      <c r="J128" s="126">
        <v>226551</v>
      </c>
      <c r="K128" s="126">
        <v>87</v>
      </c>
      <c r="L128" s="126">
        <v>226464</v>
      </c>
      <c r="M128" s="126">
        <v>110977.13</v>
      </c>
      <c r="N128" s="126">
        <v>0</v>
      </c>
      <c r="O128" s="126">
        <v>0</v>
      </c>
      <c r="P128" s="126">
        <v>87</v>
      </c>
      <c r="Q128" s="126">
        <v>0</v>
      </c>
      <c r="R128" s="126">
        <v>111064.13</v>
      </c>
      <c r="S128" s="126">
        <v>104786.87</v>
      </c>
    </row>
    <row r="129" spans="1:19" ht="15.75" customHeight="1" thickBot="1">
      <c r="A129" s="125" t="s">
        <v>1273</v>
      </c>
      <c r="B129" s="125" t="s">
        <v>1423</v>
      </c>
      <c r="C129" s="125" t="s">
        <v>733</v>
      </c>
      <c r="D129" s="125" t="str">
        <f t="shared" ref="D129:D196" si="2">LEFT(C129:C129,1)</f>
        <v>2</v>
      </c>
      <c r="E129" s="125" t="s">
        <v>166</v>
      </c>
      <c r="F129" s="125" t="s">
        <v>165</v>
      </c>
      <c r="G129" s="125" t="s">
        <v>734</v>
      </c>
      <c r="H129" s="125" t="s">
        <v>732</v>
      </c>
      <c r="I129" s="125" t="s">
        <v>1424</v>
      </c>
      <c r="J129" s="126">
        <v>204285</v>
      </c>
      <c r="K129" s="127" t="s">
        <v>1275</v>
      </c>
      <c r="L129" s="126">
        <v>204285</v>
      </c>
      <c r="M129" s="126">
        <v>196499.96</v>
      </c>
      <c r="N129" s="126">
        <v>3940.54</v>
      </c>
      <c r="O129" s="126">
        <v>900</v>
      </c>
      <c r="P129" s="126">
        <v>1439.45</v>
      </c>
      <c r="Q129" s="126">
        <v>0</v>
      </c>
      <c r="R129" s="126">
        <v>202779.95</v>
      </c>
      <c r="S129" s="126">
        <v>975.5</v>
      </c>
    </row>
    <row r="130" spans="1:19" ht="15.75" thickBot="1">
      <c r="A130" s="125" t="s">
        <v>1905</v>
      </c>
      <c r="B130" s="125" t="s">
        <v>1423</v>
      </c>
      <c r="C130" s="125" t="s">
        <v>733</v>
      </c>
      <c r="D130" s="125" t="str">
        <f t="shared" si="2"/>
        <v>2</v>
      </c>
      <c r="E130" s="125" t="s">
        <v>166</v>
      </c>
      <c r="F130" s="125" t="s">
        <v>165</v>
      </c>
      <c r="G130" s="125" t="s">
        <v>734</v>
      </c>
      <c r="H130" s="125" t="s">
        <v>732</v>
      </c>
      <c r="I130" s="125" t="s">
        <v>1424</v>
      </c>
      <c r="J130" s="126">
        <v>182454</v>
      </c>
      <c r="K130" s="127" t="s">
        <v>1275</v>
      </c>
      <c r="L130" s="126">
        <v>182454</v>
      </c>
      <c r="M130" s="126">
        <v>104881.72</v>
      </c>
      <c r="N130" s="126">
        <v>0</v>
      </c>
      <c r="O130" s="126">
        <v>0</v>
      </c>
      <c r="P130" s="126">
        <v>0</v>
      </c>
      <c r="Q130" s="126">
        <v>0</v>
      </c>
      <c r="R130" s="126">
        <v>104881.72</v>
      </c>
      <c r="S130" s="126">
        <v>77572.28</v>
      </c>
    </row>
    <row r="131" spans="1:19" ht="15.75" customHeight="1" thickBot="1">
      <c r="A131" s="125" t="s">
        <v>1273</v>
      </c>
      <c r="B131" s="125" t="s">
        <v>1453</v>
      </c>
      <c r="C131" s="125" t="s">
        <v>738</v>
      </c>
      <c r="D131" s="125" t="str">
        <f t="shared" si="2"/>
        <v>2</v>
      </c>
      <c r="E131" s="125" t="s">
        <v>166</v>
      </c>
      <c r="F131" s="125" t="s">
        <v>165</v>
      </c>
      <c r="G131" s="125" t="s">
        <v>739</v>
      </c>
      <c r="H131" s="125" t="s">
        <v>737</v>
      </c>
      <c r="I131" s="125" t="s">
        <v>1454</v>
      </c>
      <c r="J131" s="126">
        <v>316102</v>
      </c>
      <c r="K131" s="126">
        <v>6565</v>
      </c>
      <c r="L131" s="126">
        <v>309537</v>
      </c>
      <c r="M131" s="126">
        <v>282543.84000000003</v>
      </c>
      <c r="N131" s="126">
        <v>15732.25</v>
      </c>
      <c r="O131" s="126">
        <v>0</v>
      </c>
      <c r="P131" s="126">
        <v>20181.29</v>
      </c>
      <c r="Q131" s="126">
        <v>3185.2</v>
      </c>
      <c r="R131" s="126">
        <v>321642.58</v>
      </c>
      <c r="S131" s="126">
        <v>5574.42</v>
      </c>
    </row>
    <row r="132" spans="1:19" ht="15.75" thickBot="1">
      <c r="A132" s="125" t="s">
        <v>1905</v>
      </c>
      <c r="B132" s="125" t="s">
        <v>1453</v>
      </c>
      <c r="C132" s="125" t="s">
        <v>738</v>
      </c>
      <c r="D132" s="125" t="str">
        <f t="shared" si="2"/>
        <v>2</v>
      </c>
      <c r="E132" s="125" t="s">
        <v>166</v>
      </c>
      <c r="F132" s="125" t="s">
        <v>165</v>
      </c>
      <c r="G132" s="125" t="s">
        <v>739</v>
      </c>
      <c r="H132" s="125" t="s">
        <v>737</v>
      </c>
      <c r="I132" s="125" t="s">
        <v>1454</v>
      </c>
      <c r="J132" s="126">
        <v>283023.2</v>
      </c>
      <c r="K132" s="126">
        <v>3185.2</v>
      </c>
      <c r="L132" s="126">
        <v>279838</v>
      </c>
      <c r="M132" s="126">
        <v>150248.95000000001</v>
      </c>
      <c r="N132" s="126">
        <v>0</v>
      </c>
      <c r="O132" s="126">
        <v>0</v>
      </c>
      <c r="P132" s="126">
        <v>3185.2</v>
      </c>
      <c r="Q132" s="126">
        <v>0</v>
      </c>
      <c r="R132" s="126">
        <v>153434.15</v>
      </c>
      <c r="S132" s="126">
        <v>127507.05</v>
      </c>
    </row>
    <row r="133" spans="1:19" ht="15.75" customHeight="1" thickBot="1">
      <c r="A133" s="125" t="s">
        <v>1273</v>
      </c>
      <c r="B133" s="125" t="s">
        <v>1477</v>
      </c>
      <c r="C133" s="125" t="s">
        <v>746</v>
      </c>
      <c r="D133" s="125" t="str">
        <f t="shared" si="2"/>
        <v>2</v>
      </c>
      <c r="E133" s="125" t="s">
        <v>166</v>
      </c>
      <c r="F133" s="125" t="s">
        <v>165</v>
      </c>
      <c r="G133" s="125" t="s">
        <v>747</v>
      </c>
      <c r="H133" s="125" t="s">
        <v>745</v>
      </c>
      <c r="I133" s="125" t="s">
        <v>1352</v>
      </c>
      <c r="J133" s="126">
        <v>207776.57</v>
      </c>
      <c r="K133" s="126">
        <v>2662.57</v>
      </c>
      <c r="L133" s="126">
        <v>205114</v>
      </c>
      <c r="M133" s="126">
        <v>181661.29</v>
      </c>
      <c r="N133" s="126">
        <v>3409.44</v>
      </c>
      <c r="O133" s="126">
        <v>900</v>
      </c>
      <c r="P133" s="126">
        <v>11313.46</v>
      </c>
      <c r="Q133" s="126">
        <v>2318.1999999999998</v>
      </c>
      <c r="R133" s="126">
        <v>199602.39</v>
      </c>
      <c r="S133" s="126">
        <v>1963.72</v>
      </c>
    </row>
    <row r="134" spans="1:19" ht="15.75" thickBot="1">
      <c r="A134" s="125" t="s">
        <v>1905</v>
      </c>
      <c r="B134" s="125" t="s">
        <v>1477</v>
      </c>
      <c r="C134" s="125" t="s">
        <v>746</v>
      </c>
      <c r="D134" s="125" t="str">
        <f t="shared" si="2"/>
        <v>2</v>
      </c>
      <c r="E134" s="125" t="s">
        <v>166</v>
      </c>
      <c r="F134" s="125" t="s">
        <v>165</v>
      </c>
      <c r="G134" s="125" t="s">
        <v>747</v>
      </c>
      <c r="H134" s="125" t="s">
        <v>745</v>
      </c>
      <c r="I134" s="125" t="s">
        <v>1352</v>
      </c>
      <c r="J134" s="126">
        <v>2318.1999999999998</v>
      </c>
      <c r="K134" s="126">
        <v>2318.1999999999998</v>
      </c>
      <c r="L134" s="126">
        <v>0</v>
      </c>
      <c r="M134" s="126">
        <v>0</v>
      </c>
      <c r="N134" s="126">
        <v>0</v>
      </c>
      <c r="O134" s="126">
        <v>0</v>
      </c>
      <c r="P134" s="126">
        <v>2314</v>
      </c>
      <c r="Q134" s="126">
        <v>4.2</v>
      </c>
      <c r="R134" s="126">
        <v>2318.1999999999998</v>
      </c>
      <c r="S134" s="126">
        <v>0</v>
      </c>
    </row>
    <row r="135" spans="1:19" ht="15.75" customHeight="1" thickBot="1">
      <c r="A135" s="125" t="s">
        <v>1273</v>
      </c>
      <c r="B135" s="125" t="s">
        <v>1509</v>
      </c>
      <c r="C135" s="125" t="s">
        <v>969</v>
      </c>
      <c r="D135" s="125" t="str">
        <f t="shared" si="2"/>
        <v>2</v>
      </c>
      <c r="E135" s="125" t="s">
        <v>166</v>
      </c>
      <c r="F135" s="125" t="s">
        <v>165</v>
      </c>
      <c r="G135" s="125" t="s">
        <v>879</v>
      </c>
      <c r="H135" s="125" t="s">
        <v>878</v>
      </c>
      <c r="I135" s="125" t="s">
        <v>1510</v>
      </c>
      <c r="J135" s="126">
        <v>0</v>
      </c>
      <c r="K135" s="127" t="s">
        <v>1275</v>
      </c>
      <c r="L135" s="126">
        <v>0</v>
      </c>
      <c r="M135" s="126">
        <v>18120.32</v>
      </c>
      <c r="N135" s="126">
        <v>0</v>
      </c>
      <c r="O135" s="126">
        <v>228.75</v>
      </c>
      <c r="P135" s="126">
        <v>0</v>
      </c>
      <c r="Q135" s="126">
        <v>0</v>
      </c>
      <c r="R135" s="126">
        <v>18349.07</v>
      </c>
      <c r="S135" s="126">
        <v>62969.599999999999</v>
      </c>
    </row>
    <row r="136" spans="1:19" ht="15.75" customHeight="1" thickBot="1">
      <c r="A136" s="125" t="s">
        <v>1273</v>
      </c>
      <c r="B136" s="125" t="s">
        <v>1527</v>
      </c>
      <c r="C136" s="125" t="s">
        <v>750</v>
      </c>
      <c r="D136" s="125" t="str">
        <f t="shared" si="2"/>
        <v>2</v>
      </c>
      <c r="E136" s="125" t="s">
        <v>166</v>
      </c>
      <c r="F136" s="125" t="s">
        <v>165</v>
      </c>
      <c r="G136" s="125" t="s">
        <v>751</v>
      </c>
      <c r="H136" s="125" t="s">
        <v>749</v>
      </c>
      <c r="I136" s="125" t="s">
        <v>1301</v>
      </c>
      <c r="J136" s="126">
        <v>166288</v>
      </c>
      <c r="K136" s="126">
        <v>93</v>
      </c>
      <c r="L136" s="126">
        <v>166195</v>
      </c>
      <c r="M136" s="126">
        <v>131564.94</v>
      </c>
      <c r="N136" s="126">
        <v>0</v>
      </c>
      <c r="O136" s="126">
        <v>900</v>
      </c>
      <c r="P136" s="126">
        <v>10020.81</v>
      </c>
      <c r="Q136" s="126">
        <v>0</v>
      </c>
      <c r="R136" s="126">
        <v>142485.75</v>
      </c>
      <c r="S136" s="126">
        <v>890.86</v>
      </c>
    </row>
    <row r="137" spans="1:19" ht="15.75" thickBot="1">
      <c r="A137" s="125" t="s">
        <v>1905</v>
      </c>
      <c r="B137" s="125" t="s">
        <v>1527</v>
      </c>
      <c r="C137" s="125" t="s">
        <v>750</v>
      </c>
      <c r="D137" s="125" t="str">
        <f t="shared" si="2"/>
        <v>2</v>
      </c>
      <c r="E137" s="125" t="s">
        <v>166</v>
      </c>
      <c r="F137" s="125" t="s">
        <v>165</v>
      </c>
      <c r="G137" s="125" t="s">
        <v>751</v>
      </c>
      <c r="H137" s="125" t="s">
        <v>749</v>
      </c>
      <c r="I137" s="125" t="s">
        <v>1301</v>
      </c>
      <c r="J137" s="126">
        <v>50622</v>
      </c>
      <c r="K137" s="127" t="s">
        <v>1275</v>
      </c>
      <c r="L137" s="126">
        <v>50622</v>
      </c>
      <c r="M137" s="126">
        <v>27942.02</v>
      </c>
      <c r="N137" s="126">
        <v>0</v>
      </c>
      <c r="O137" s="126">
        <v>0</v>
      </c>
      <c r="P137" s="126">
        <v>0</v>
      </c>
      <c r="Q137" s="126">
        <v>0</v>
      </c>
      <c r="R137" s="126">
        <v>27942.02</v>
      </c>
      <c r="S137" s="126">
        <v>22679.98</v>
      </c>
    </row>
    <row r="138" spans="1:19" ht="15.75" customHeight="1" thickBot="1">
      <c r="A138" s="125" t="s">
        <v>1273</v>
      </c>
      <c r="B138" s="125" t="s">
        <v>1299</v>
      </c>
      <c r="C138" s="125" t="s">
        <v>719</v>
      </c>
      <c r="D138" s="125" t="str">
        <f t="shared" si="2"/>
        <v>2</v>
      </c>
      <c r="E138" s="125" t="s">
        <v>166</v>
      </c>
      <c r="F138" s="125" t="s">
        <v>165</v>
      </c>
      <c r="G138" s="125" t="s">
        <v>1191</v>
      </c>
      <c r="H138" s="125" t="s">
        <v>1303</v>
      </c>
      <c r="I138" s="125" t="s">
        <v>1301</v>
      </c>
      <c r="J138" s="126">
        <v>27674</v>
      </c>
      <c r="K138" s="127" t="s">
        <v>1275</v>
      </c>
      <c r="L138" s="126">
        <v>27674</v>
      </c>
      <c r="M138" s="126">
        <v>26120.01</v>
      </c>
      <c r="N138" s="126">
        <v>0</v>
      </c>
      <c r="O138" s="126">
        <v>0</v>
      </c>
      <c r="P138" s="126">
        <v>0</v>
      </c>
      <c r="Q138" s="126">
        <v>0</v>
      </c>
      <c r="R138" s="126">
        <v>26120.01</v>
      </c>
      <c r="S138" s="126">
        <v>1436.81</v>
      </c>
    </row>
    <row r="139" spans="1:19" ht="15.75" customHeight="1" thickBot="1">
      <c r="A139" s="125" t="s">
        <v>1273</v>
      </c>
      <c r="B139" s="125" t="s">
        <v>0</v>
      </c>
      <c r="C139" s="125" t="s">
        <v>406</v>
      </c>
      <c r="D139" s="125" t="s">
        <v>2076</v>
      </c>
      <c r="E139" s="125" t="s">
        <v>166</v>
      </c>
      <c r="F139" s="125" t="s">
        <v>165</v>
      </c>
      <c r="G139" s="125" t="s">
        <v>755</v>
      </c>
      <c r="H139" s="125" t="s">
        <v>754</v>
      </c>
      <c r="I139" s="125" t="s">
        <v>1358</v>
      </c>
      <c r="J139" s="126">
        <v>164634.82</v>
      </c>
      <c r="K139" s="126">
        <v>2024.82</v>
      </c>
      <c r="L139" s="126">
        <v>162610</v>
      </c>
      <c r="M139" s="126">
        <v>48694.33</v>
      </c>
      <c r="N139" s="126">
        <v>18752.419999999998</v>
      </c>
      <c r="O139" s="126">
        <v>420</v>
      </c>
      <c r="P139" s="126">
        <v>140261.31</v>
      </c>
      <c r="Q139" s="126">
        <v>4494.18</v>
      </c>
      <c r="R139" s="126">
        <v>212622.24</v>
      </c>
      <c r="S139" s="126">
        <v>17951.400000000001</v>
      </c>
    </row>
    <row r="140" spans="1:19" ht="15.75" thickBot="1">
      <c r="A140" s="125" t="s">
        <v>1905</v>
      </c>
      <c r="B140" s="125" t="s">
        <v>0</v>
      </c>
      <c r="C140" s="125" t="s">
        <v>406</v>
      </c>
      <c r="D140" s="125" t="s">
        <v>2076</v>
      </c>
      <c r="E140" s="125" t="s">
        <v>166</v>
      </c>
      <c r="F140" s="125" t="s">
        <v>165</v>
      </c>
      <c r="G140" s="125" t="s">
        <v>755</v>
      </c>
      <c r="H140" s="125" t="s">
        <v>754</v>
      </c>
      <c r="I140" s="125" t="s">
        <v>1358</v>
      </c>
      <c r="J140" s="126">
        <v>124494.18</v>
      </c>
      <c r="K140" s="126">
        <v>4494.18</v>
      </c>
      <c r="L140" s="126">
        <v>120000</v>
      </c>
      <c r="M140" s="126">
        <v>28507.01</v>
      </c>
      <c r="N140" s="126">
        <v>14024.44</v>
      </c>
      <c r="O140" s="126">
        <v>0</v>
      </c>
      <c r="P140" s="126">
        <v>34434.69</v>
      </c>
      <c r="Q140" s="126">
        <v>10837.07</v>
      </c>
      <c r="R140" s="126">
        <v>87803.21</v>
      </c>
      <c r="S140" s="126">
        <v>36690.97</v>
      </c>
    </row>
    <row r="141" spans="1:19" ht="15.75" customHeight="1" thickBot="1">
      <c r="A141" s="125" t="s">
        <v>1273</v>
      </c>
      <c r="B141" s="125" t="s">
        <v>1317</v>
      </c>
      <c r="C141" s="125" t="s">
        <v>763</v>
      </c>
      <c r="D141" s="125" t="str">
        <f t="shared" si="2"/>
        <v>2</v>
      </c>
      <c r="E141" s="125" t="s">
        <v>166</v>
      </c>
      <c r="F141" s="125" t="s">
        <v>165</v>
      </c>
      <c r="G141" s="125" t="s">
        <v>764</v>
      </c>
      <c r="H141" s="125" t="s">
        <v>762</v>
      </c>
      <c r="I141" s="125" t="s">
        <v>1318</v>
      </c>
      <c r="J141" s="126">
        <v>488848</v>
      </c>
      <c r="K141" s="127" t="s">
        <v>1275</v>
      </c>
      <c r="L141" s="126">
        <v>488848</v>
      </c>
      <c r="M141" s="126">
        <v>469838.99</v>
      </c>
      <c r="N141" s="126">
        <v>0</v>
      </c>
      <c r="O141" s="126">
        <v>0</v>
      </c>
      <c r="P141" s="126">
        <v>0</v>
      </c>
      <c r="Q141" s="126">
        <v>0</v>
      </c>
      <c r="R141" s="126">
        <v>469838.99</v>
      </c>
      <c r="S141" s="126">
        <v>804.01</v>
      </c>
    </row>
    <row r="142" spans="1:19" ht="15.75" thickBot="1">
      <c r="A142" s="125" t="s">
        <v>1905</v>
      </c>
      <c r="B142" s="125" t="s">
        <v>1317</v>
      </c>
      <c r="C142" s="125" t="s">
        <v>763</v>
      </c>
      <c r="D142" s="125" t="str">
        <f t="shared" si="2"/>
        <v>2</v>
      </c>
      <c r="E142" s="125" t="s">
        <v>166</v>
      </c>
      <c r="F142" s="125" t="s">
        <v>165</v>
      </c>
      <c r="G142" s="125" t="s">
        <v>764</v>
      </c>
      <c r="H142" s="125" t="s">
        <v>762</v>
      </c>
      <c r="I142" s="125" t="s">
        <v>1318</v>
      </c>
      <c r="J142" s="126">
        <v>359868</v>
      </c>
      <c r="K142" s="127" t="s">
        <v>1275</v>
      </c>
      <c r="L142" s="126">
        <v>359868</v>
      </c>
      <c r="M142" s="126">
        <v>195427.53</v>
      </c>
      <c r="N142" s="126">
        <v>0</v>
      </c>
      <c r="O142" s="126">
        <v>0</v>
      </c>
      <c r="P142" s="126">
        <v>0</v>
      </c>
      <c r="Q142" s="126">
        <v>0</v>
      </c>
      <c r="R142" s="126">
        <v>195427.53</v>
      </c>
      <c r="S142" s="126">
        <v>164440.47</v>
      </c>
    </row>
    <row r="143" spans="1:19" ht="15.75" customHeight="1" thickBot="1">
      <c r="A143" s="125" t="s">
        <v>1273</v>
      </c>
      <c r="B143" s="125" t="s">
        <v>1317</v>
      </c>
      <c r="C143" s="125" t="s">
        <v>763</v>
      </c>
      <c r="D143" s="125" t="str">
        <f t="shared" si="2"/>
        <v>2</v>
      </c>
      <c r="E143" s="125" t="s">
        <v>166</v>
      </c>
      <c r="F143" s="125" t="s">
        <v>165</v>
      </c>
      <c r="G143" s="125" t="s">
        <v>1319</v>
      </c>
      <c r="H143" s="125" t="s">
        <v>1320</v>
      </c>
      <c r="I143" s="125" t="s">
        <v>1318</v>
      </c>
      <c r="J143" s="126">
        <v>12644</v>
      </c>
      <c r="K143" s="126">
        <v>5994</v>
      </c>
      <c r="L143" s="126">
        <v>6650</v>
      </c>
      <c r="M143" s="126">
        <v>0</v>
      </c>
      <c r="N143" s="126">
        <v>0</v>
      </c>
      <c r="O143" s="126">
        <v>0</v>
      </c>
      <c r="P143" s="126">
        <v>12178.5</v>
      </c>
      <c r="Q143" s="126">
        <v>0</v>
      </c>
      <c r="R143" s="126">
        <v>12178.5</v>
      </c>
      <c r="S143" s="126">
        <v>0</v>
      </c>
    </row>
    <row r="144" spans="1:19" ht="15.75" thickBot="1">
      <c r="A144" s="125" t="s">
        <v>1905</v>
      </c>
      <c r="B144" s="125" t="s">
        <v>1591</v>
      </c>
      <c r="C144" s="125" t="s">
        <v>957</v>
      </c>
      <c r="D144" s="125" t="s">
        <v>2076</v>
      </c>
      <c r="E144" s="125" t="s">
        <v>166</v>
      </c>
      <c r="F144" s="125" t="s">
        <v>165</v>
      </c>
      <c r="G144" s="125" t="s">
        <v>1592</v>
      </c>
      <c r="H144" s="125" t="s">
        <v>1593</v>
      </c>
      <c r="I144" s="125" t="s">
        <v>1302</v>
      </c>
      <c r="J144" s="126">
        <v>61588</v>
      </c>
      <c r="K144" s="127" t="s">
        <v>1275</v>
      </c>
      <c r="L144" s="126">
        <v>61588</v>
      </c>
      <c r="M144" s="126">
        <v>0</v>
      </c>
      <c r="N144" s="126">
        <v>0</v>
      </c>
      <c r="O144" s="126">
        <v>0</v>
      </c>
      <c r="P144" s="126">
        <v>0</v>
      </c>
      <c r="Q144" s="126">
        <v>0</v>
      </c>
      <c r="R144" s="126">
        <v>0</v>
      </c>
      <c r="S144" s="126">
        <v>6461</v>
      </c>
    </row>
    <row r="145" spans="1:19" ht="15.75" customHeight="1" thickBot="1">
      <c r="A145" s="125" t="s">
        <v>1273</v>
      </c>
      <c r="B145" s="125" t="s">
        <v>1591</v>
      </c>
      <c r="C145" s="125" t="s">
        <v>957</v>
      </c>
      <c r="D145" s="125" t="s">
        <v>2076</v>
      </c>
      <c r="E145" s="125" t="s">
        <v>166</v>
      </c>
      <c r="F145" s="125" t="s">
        <v>165</v>
      </c>
      <c r="G145" s="125" t="s">
        <v>1594</v>
      </c>
      <c r="H145" s="125" t="s">
        <v>1595</v>
      </c>
      <c r="I145" s="125" t="s">
        <v>1361</v>
      </c>
      <c r="J145" s="126">
        <v>1329.98</v>
      </c>
      <c r="K145" s="126">
        <v>1329.98</v>
      </c>
      <c r="L145" s="126">
        <v>0</v>
      </c>
      <c r="M145" s="126">
        <v>0</v>
      </c>
      <c r="N145" s="126">
        <v>0</v>
      </c>
      <c r="O145" s="126">
        <v>0</v>
      </c>
      <c r="P145" s="126">
        <v>1285.29</v>
      </c>
      <c r="Q145" s="126">
        <v>0</v>
      </c>
      <c r="R145" s="126">
        <v>1285.29</v>
      </c>
      <c r="S145" s="126">
        <v>44.69</v>
      </c>
    </row>
    <row r="146" spans="1:19" ht="15.75" customHeight="1" thickBot="1">
      <c r="A146" s="125" t="s">
        <v>1273</v>
      </c>
      <c r="B146" s="125" t="s">
        <v>1591</v>
      </c>
      <c r="C146" s="125" t="s">
        <v>957</v>
      </c>
      <c r="D146" s="125" t="s">
        <v>2076</v>
      </c>
      <c r="E146" s="125" t="s">
        <v>166</v>
      </c>
      <c r="F146" s="125" t="s">
        <v>165</v>
      </c>
      <c r="G146" s="125" t="s">
        <v>1596</v>
      </c>
      <c r="H146" s="125" t="s">
        <v>1597</v>
      </c>
      <c r="I146" s="125" t="s">
        <v>1335</v>
      </c>
      <c r="J146" s="126">
        <v>775.24</v>
      </c>
      <c r="K146" s="126">
        <v>775.24</v>
      </c>
      <c r="L146" s="126">
        <v>0</v>
      </c>
      <c r="M146" s="126">
        <v>0</v>
      </c>
      <c r="N146" s="126">
        <v>0</v>
      </c>
      <c r="O146" s="126">
        <v>0</v>
      </c>
      <c r="P146" s="126">
        <v>775.24</v>
      </c>
      <c r="Q146" s="126">
        <v>0</v>
      </c>
      <c r="R146" s="126">
        <v>775.24</v>
      </c>
      <c r="S146" s="126">
        <v>0</v>
      </c>
    </row>
    <row r="147" spans="1:19" ht="15.75" customHeight="1" thickBot="1">
      <c r="A147" s="125" t="s">
        <v>1273</v>
      </c>
      <c r="B147" s="125" t="s">
        <v>1591</v>
      </c>
      <c r="C147" s="125" t="s">
        <v>957</v>
      </c>
      <c r="D147" s="125" t="s">
        <v>2076</v>
      </c>
      <c r="E147" s="125" t="s">
        <v>166</v>
      </c>
      <c r="F147" s="125" t="s">
        <v>165</v>
      </c>
      <c r="G147" s="125" t="s">
        <v>1598</v>
      </c>
      <c r="H147" s="125" t="s">
        <v>1599</v>
      </c>
      <c r="I147" s="125" t="s">
        <v>1581</v>
      </c>
      <c r="J147" s="126">
        <v>216.99</v>
      </c>
      <c r="K147" s="126">
        <v>216.99</v>
      </c>
      <c r="L147" s="126">
        <v>0</v>
      </c>
      <c r="M147" s="126">
        <v>0</v>
      </c>
      <c r="N147" s="126">
        <v>0</v>
      </c>
      <c r="O147" s="126">
        <v>0</v>
      </c>
      <c r="P147" s="126">
        <v>65.05</v>
      </c>
      <c r="Q147" s="126">
        <v>0</v>
      </c>
      <c r="R147" s="126">
        <v>65.05</v>
      </c>
      <c r="S147" s="126">
        <v>151.94</v>
      </c>
    </row>
    <row r="148" spans="1:19" ht="15.75" customHeight="1" thickBot="1">
      <c r="A148" s="125" t="s">
        <v>1273</v>
      </c>
      <c r="B148" s="125" t="s">
        <v>1591</v>
      </c>
      <c r="C148" s="125" t="s">
        <v>957</v>
      </c>
      <c r="D148" s="125" t="s">
        <v>2076</v>
      </c>
      <c r="E148" s="125" t="s">
        <v>166</v>
      </c>
      <c r="F148" s="125" t="s">
        <v>165</v>
      </c>
      <c r="G148" s="125" t="s">
        <v>1600</v>
      </c>
      <c r="H148" s="125" t="s">
        <v>1601</v>
      </c>
      <c r="I148" s="125" t="s">
        <v>1421</v>
      </c>
      <c r="J148" s="126">
        <v>1299.8</v>
      </c>
      <c r="K148" s="126">
        <v>1299.8</v>
      </c>
      <c r="L148" s="126">
        <v>0</v>
      </c>
      <c r="M148" s="126">
        <v>0</v>
      </c>
      <c r="N148" s="126">
        <v>0</v>
      </c>
      <c r="O148" s="126">
        <v>0</v>
      </c>
      <c r="P148" s="126">
        <v>242.5</v>
      </c>
      <c r="Q148" s="126">
        <v>0</v>
      </c>
      <c r="R148" s="126">
        <v>242.5</v>
      </c>
      <c r="S148" s="126">
        <v>1057.3</v>
      </c>
    </row>
    <row r="149" spans="1:19" ht="15.75" customHeight="1" thickBot="1">
      <c r="A149" s="125" t="s">
        <v>1273</v>
      </c>
      <c r="B149" s="125" t="s">
        <v>1591</v>
      </c>
      <c r="C149" s="125" t="s">
        <v>957</v>
      </c>
      <c r="D149" s="125" t="s">
        <v>2076</v>
      </c>
      <c r="E149" s="125" t="s">
        <v>166</v>
      </c>
      <c r="F149" s="125" t="s">
        <v>165</v>
      </c>
      <c r="G149" s="125" t="s">
        <v>1602</v>
      </c>
      <c r="H149" s="125" t="s">
        <v>1603</v>
      </c>
      <c r="I149" s="125" t="s">
        <v>1535</v>
      </c>
      <c r="J149" s="126">
        <v>0</v>
      </c>
      <c r="K149" s="127" t="s">
        <v>1275</v>
      </c>
      <c r="L149" s="126">
        <v>0</v>
      </c>
      <c r="M149" s="126">
        <v>0</v>
      </c>
      <c r="N149" s="126">
        <v>3940</v>
      </c>
      <c r="O149" s="126">
        <v>0</v>
      </c>
      <c r="P149" s="126">
        <v>6650.94</v>
      </c>
      <c r="Q149" s="126">
        <v>0</v>
      </c>
      <c r="R149" s="126">
        <v>10590.94</v>
      </c>
      <c r="S149" s="126">
        <v>36.06</v>
      </c>
    </row>
    <row r="150" spans="1:19" ht="15.75" customHeight="1" thickBot="1">
      <c r="A150" s="125" t="s">
        <v>1273</v>
      </c>
      <c r="B150" s="125" t="s">
        <v>1591</v>
      </c>
      <c r="C150" s="125" t="s">
        <v>957</v>
      </c>
      <c r="D150" s="125" t="s">
        <v>2076</v>
      </c>
      <c r="E150" s="125" t="s">
        <v>166</v>
      </c>
      <c r="F150" s="125" t="s">
        <v>165</v>
      </c>
      <c r="G150" s="125" t="s">
        <v>1604</v>
      </c>
      <c r="H150" s="125" t="s">
        <v>1605</v>
      </c>
      <c r="I150" s="125" t="s">
        <v>1606</v>
      </c>
      <c r="J150" s="126">
        <v>0</v>
      </c>
      <c r="K150" s="127" t="s">
        <v>1275</v>
      </c>
      <c r="L150" s="126">
        <v>0</v>
      </c>
      <c r="M150" s="126">
        <v>0</v>
      </c>
      <c r="N150" s="126">
        <v>0</v>
      </c>
      <c r="O150" s="126">
        <v>0</v>
      </c>
      <c r="P150" s="126">
        <v>10218.459999999999</v>
      </c>
      <c r="Q150" s="126">
        <v>0</v>
      </c>
      <c r="R150" s="126">
        <v>10218.459999999999</v>
      </c>
      <c r="S150" s="126">
        <v>0</v>
      </c>
    </row>
    <row r="151" spans="1:19" ht="15.75" customHeight="1" thickBot="1">
      <c r="A151" s="125" t="s">
        <v>1273</v>
      </c>
      <c r="B151" s="125" t="s">
        <v>1591</v>
      </c>
      <c r="C151" s="125" t="s">
        <v>957</v>
      </c>
      <c r="D151" s="125" t="s">
        <v>2076</v>
      </c>
      <c r="E151" s="125" t="s">
        <v>166</v>
      </c>
      <c r="F151" s="125" t="s">
        <v>165</v>
      </c>
      <c r="G151" s="125" t="s">
        <v>1607</v>
      </c>
      <c r="H151" s="125" t="s">
        <v>1608</v>
      </c>
      <c r="I151" s="125" t="s">
        <v>1609</v>
      </c>
      <c r="J151" s="126">
        <v>0</v>
      </c>
      <c r="K151" s="127" t="s">
        <v>1275</v>
      </c>
      <c r="L151" s="126">
        <v>0</v>
      </c>
      <c r="M151" s="126">
        <v>0</v>
      </c>
      <c r="N151" s="126">
        <v>3240</v>
      </c>
      <c r="O151" s="126">
        <v>0</v>
      </c>
      <c r="P151" s="126">
        <v>15120</v>
      </c>
      <c r="Q151" s="126">
        <v>2836.98</v>
      </c>
      <c r="R151" s="126">
        <v>21196.98</v>
      </c>
      <c r="S151" s="126">
        <v>-2011.98</v>
      </c>
    </row>
    <row r="152" spans="1:19" ht="15.75" thickBot="1">
      <c r="A152" s="125" t="s">
        <v>1905</v>
      </c>
      <c r="B152" s="125" t="s">
        <v>1591</v>
      </c>
      <c r="C152" s="125" t="s">
        <v>957</v>
      </c>
      <c r="D152" s="125" t="s">
        <v>2076</v>
      </c>
      <c r="E152" s="125" t="s">
        <v>166</v>
      </c>
      <c r="F152" s="125" t="s">
        <v>165</v>
      </c>
      <c r="G152" s="125" t="s">
        <v>1607</v>
      </c>
      <c r="H152" s="125" t="s">
        <v>1608</v>
      </c>
      <c r="I152" s="125" t="s">
        <v>1609</v>
      </c>
      <c r="J152" s="126">
        <v>2836.98</v>
      </c>
      <c r="K152" s="126">
        <v>2836.98</v>
      </c>
      <c r="L152" s="126">
        <v>0</v>
      </c>
      <c r="M152" s="126">
        <v>0</v>
      </c>
      <c r="N152" s="126">
        <v>0</v>
      </c>
      <c r="O152" s="126">
        <v>0</v>
      </c>
      <c r="P152" s="126">
        <v>2701.1</v>
      </c>
      <c r="Q152" s="126">
        <v>135.88</v>
      </c>
      <c r="R152" s="126">
        <v>2836.98</v>
      </c>
      <c r="S152" s="126">
        <v>0</v>
      </c>
    </row>
    <row r="153" spans="1:19" ht="15.75" customHeight="1" thickBot="1">
      <c r="A153" s="125" t="s">
        <v>1273</v>
      </c>
      <c r="B153" s="125" t="s">
        <v>1591</v>
      </c>
      <c r="C153" s="125" t="s">
        <v>957</v>
      </c>
      <c r="D153" s="125" t="s">
        <v>2076</v>
      </c>
      <c r="E153" s="125" t="s">
        <v>166</v>
      </c>
      <c r="F153" s="125" t="s">
        <v>165</v>
      </c>
      <c r="G153" s="125" t="s">
        <v>1610</v>
      </c>
      <c r="H153" s="125" t="s">
        <v>1611</v>
      </c>
      <c r="I153" s="125" t="s">
        <v>1612</v>
      </c>
      <c r="J153" s="126">
        <v>0</v>
      </c>
      <c r="K153" s="127" t="s">
        <v>1275</v>
      </c>
      <c r="L153" s="126">
        <v>0</v>
      </c>
      <c r="M153" s="126">
        <v>0</v>
      </c>
      <c r="N153" s="126">
        <v>893.76</v>
      </c>
      <c r="O153" s="126">
        <v>0</v>
      </c>
      <c r="P153" s="126">
        <v>973</v>
      </c>
      <c r="Q153" s="126">
        <v>0</v>
      </c>
      <c r="R153" s="126">
        <v>1866.76</v>
      </c>
      <c r="S153" s="126">
        <v>47.24</v>
      </c>
    </row>
    <row r="154" spans="1:19" ht="15.75" customHeight="1" thickBot="1">
      <c r="A154" s="125" t="s">
        <v>1273</v>
      </c>
      <c r="B154" s="125" t="s">
        <v>1591</v>
      </c>
      <c r="C154" s="125" t="s">
        <v>957</v>
      </c>
      <c r="D154" s="125" t="s">
        <v>2076</v>
      </c>
      <c r="E154" s="125" t="s">
        <v>166</v>
      </c>
      <c r="F154" s="125" t="s">
        <v>165</v>
      </c>
      <c r="G154" s="125" t="s">
        <v>1613</v>
      </c>
      <c r="H154" s="125" t="s">
        <v>1614</v>
      </c>
      <c r="I154" s="125" t="s">
        <v>1615</v>
      </c>
      <c r="J154" s="126">
        <v>0</v>
      </c>
      <c r="K154" s="127" t="s">
        <v>1275</v>
      </c>
      <c r="L154" s="126">
        <v>0</v>
      </c>
      <c r="M154" s="126">
        <v>0</v>
      </c>
      <c r="N154" s="126">
        <v>0</v>
      </c>
      <c r="O154" s="126">
        <v>0</v>
      </c>
      <c r="P154" s="126">
        <v>2347.36</v>
      </c>
      <c r="Q154" s="126">
        <v>2347.36</v>
      </c>
      <c r="R154" s="126">
        <v>4694.72</v>
      </c>
      <c r="S154" s="126">
        <v>-1502.72</v>
      </c>
    </row>
    <row r="155" spans="1:19" ht="15.75" thickBot="1">
      <c r="A155" s="125" t="s">
        <v>1905</v>
      </c>
      <c r="B155" s="125" t="s">
        <v>1591</v>
      </c>
      <c r="C155" s="125" t="s">
        <v>957</v>
      </c>
      <c r="D155" s="125" t="s">
        <v>2076</v>
      </c>
      <c r="E155" s="125" t="s">
        <v>166</v>
      </c>
      <c r="F155" s="125" t="s">
        <v>165</v>
      </c>
      <c r="G155" s="125" t="s">
        <v>1613</v>
      </c>
      <c r="H155" s="125" t="s">
        <v>1614</v>
      </c>
      <c r="I155" s="125" t="s">
        <v>1615</v>
      </c>
      <c r="J155" s="126">
        <v>2347.36</v>
      </c>
      <c r="K155" s="126">
        <v>2347.36</v>
      </c>
      <c r="L155" s="126">
        <v>0</v>
      </c>
      <c r="M155" s="126">
        <v>0</v>
      </c>
      <c r="N155" s="126">
        <v>0</v>
      </c>
      <c r="O155" s="126">
        <v>0</v>
      </c>
      <c r="P155" s="126">
        <v>1968.12</v>
      </c>
      <c r="Q155" s="126">
        <v>379.24</v>
      </c>
      <c r="R155" s="126">
        <v>2347.36</v>
      </c>
      <c r="S155" s="126">
        <v>0</v>
      </c>
    </row>
    <row r="156" spans="1:19" ht="15.75" thickBot="1">
      <c r="A156" s="125" t="s">
        <v>1905</v>
      </c>
      <c r="B156" s="125" t="s">
        <v>1591</v>
      </c>
      <c r="C156" s="125" t="s">
        <v>957</v>
      </c>
      <c r="D156" s="125" t="s">
        <v>2076</v>
      </c>
      <c r="E156" s="125" t="s">
        <v>166</v>
      </c>
      <c r="F156" s="125" t="s">
        <v>165</v>
      </c>
      <c r="G156" s="125" t="s">
        <v>1934</v>
      </c>
      <c r="H156" s="125" t="s">
        <v>1935</v>
      </c>
      <c r="I156" s="125" t="s">
        <v>1933</v>
      </c>
      <c r="J156" s="126">
        <v>0</v>
      </c>
      <c r="K156" s="127" t="s">
        <v>1275</v>
      </c>
      <c r="L156" s="126">
        <v>0</v>
      </c>
      <c r="M156" s="126">
        <v>0</v>
      </c>
      <c r="N156" s="126">
        <v>0</v>
      </c>
      <c r="O156" s="126">
        <v>0</v>
      </c>
      <c r="P156" s="126">
        <v>0</v>
      </c>
      <c r="Q156" s="126">
        <v>6137</v>
      </c>
      <c r="R156" s="126">
        <v>6137</v>
      </c>
      <c r="S156" s="126">
        <v>1200</v>
      </c>
    </row>
    <row r="157" spans="1:19" ht="15.75" thickBot="1">
      <c r="A157" s="125" t="s">
        <v>1905</v>
      </c>
      <c r="B157" s="125" t="s">
        <v>1591</v>
      </c>
      <c r="C157" s="125" t="s">
        <v>957</v>
      </c>
      <c r="D157" s="125" t="s">
        <v>2076</v>
      </c>
      <c r="E157" s="125" t="s">
        <v>166</v>
      </c>
      <c r="F157" s="125" t="s">
        <v>165</v>
      </c>
      <c r="G157" s="125" t="s">
        <v>1936</v>
      </c>
      <c r="H157" s="125" t="s">
        <v>1937</v>
      </c>
      <c r="I157" s="125" t="s">
        <v>1576</v>
      </c>
      <c r="J157" s="126">
        <v>0</v>
      </c>
      <c r="K157" s="127" t="s">
        <v>1275</v>
      </c>
      <c r="L157" s="126">
        <v>0</v>
      </c>
      <c r="M157" s="126">
        <v>0</v>
      </c>
      <c r="N157" s="126">
        <v>0</v>
      </c>
      <c r="O157" s="126">
        <v>0</v>
      </c>
      <c r="P157" s="126">
        <v>6567</v>
      </c>
      <c r="Q157" s="126">
        <v>2567</v>
      </c>
      <c r="R157" s="126">
        <v>9134</v>
      </c>
      <c r="S157" s="126">
        <v>3366</v>
      </c>
    </row>
    <row r="158" spans="1:19" ht="15.75" customHeight="1" thickBot="1">
      <c r="A158" s="125" t="s">
        <v>1273</v>
      </c>
      <c r="B158" s="125" t="s">
        <v>1767</v>
      </c>
      <c r="C158" s="125" t="s">
        <v>781</v>
      </c>
      <c r="D158" s="125" t="s">
        <v>2077</v>
      </c>
      <c r="E158" s="125" t="s">
        <v>166</v>
      </c>
      <c r="F158" s="125" t="s">
        <v>165</v>
      </c>
      <c r="G158" s="125" t="s">
        <v>782</v>
      </c>
      <c r="H158" s="125" t="s">
        <v>780</v>
      </c>
      <c r="I158" s="125" t="s">
        <v>1768</v>
      </c>
      <c r="J158" s="126">
        <v>231514</v>
      </c>
      <c r="K158" s="126">
        <v>15</v>
      </c>
      <c r="L158" s="126">
        <v>231499</v>
      </c>
      <c r="M158" s="126">
        <v>189310.55</v>
      </c>
      <c r="N158" s="126">
        <v>22506.86</v>
      </c>
      <c r="O158" s="126">
        <v>1320</v>
      </c>
      <c r="P158" s="126">
        <v>3696.49</v>
      </c>
      <c r="Q158" s="126">
        <v>0</v>
      </c>
      <c r="R158" s="126">
        <v>216833.9</v>
      </c>
      <c r="S158" s="126">
        <v>5120.79</v>
      </c>
    </row>
    <row r="159" spans="1:19" ht="15.75" thickBot="1">
      <c r="A159" s="125" t="s">
        <v>1905</v>
      </c>
      <c r="B159" s="125" t="s">
        <v>1767</v>
      </c>
      <c r="C159" s="125" t="s">
        <v>781</v>
      </c>
      <c r="D159" s="125" t="s">
        <v>2077</v>
      </c>
      <c r="E159" s="125" t="s">
        <v>166</v>
      </c>
      <c r="F159" s="125" t="s">
        <v>165</v>
      </c>
      <c r="G159" s="125" t="s">
        <v>782</v>
      </c>
      <c r="H159" s="125" t="s">
        <v>780</v>
      </c>
      <c r="I159" s="125" t="s">
        <v>1768</v>
      </c>
      <c r="J159" s="126">
        <v>194496</v>
      </c>
      <c r="K159" s="127" t="s">
        <v>1275</v>
      </c>
      <c r="L159" s="126">
        <v>194496</v>
      </c>
      <c r="M159" s="126">
        <v>90249.81</v>
      </c>
      <c r="N159" s="126">
        <v>22456.15</v>
      </c>
      <c r="O159" s="126">
        <v>902.5</v>
      </c>
      <c r="P159" s="126">
        <v>2470.04</v>
      </c>
      <c r="Q159" s="126">
        <v>315.32</v>
      </c>
      <c r="R159" s="126">
        <v>116393.82</v>
      </c>
      <c r="S159" s="126">
        <v>78522.179999999993</v>
      </c>
    </row>
    <row r="160" spans="1:19" ht="15.75" customHeight="1" thickBot="1">
      <c r="A160" s="125" t="s">
        <v>1273</v>
      </c>
      <c r="B160" s="125" t="s">
        <v>1767</v>
      </c>
      <c r="C160" s="125" t="s">
        <v>781</v>
      </c>
      <c r="D160" s="125" t="s">
        <v>2077</v>
      </c>
      <c r="E160" s="125" t="s">
        <v>166</v>
      </c>
      <c r="F160" s="125" t="s">
        <v>165</v>
      </c>
      <c r="G160" s="125" t="s">
        <v>1202</v>
      </c>
      <c r="H160" s="125" t="s">
        <v>1769</v>
      </c>
      <c r="I160" s="125" t="s">
        <v>1768</v>
      </c>
      <c r="J160" s="126">
        <v>7460</v>
      </c>
      <c r="K160" s="127" t="s">
        <v>1275</v>
      </c>
      <c r="L160" s="126">
        <v>7460</v>
      </c>
      <c r="M160" s="126">
        <v>0</v>
      </c>
      <c r="N160" s="126">
        <v>7108.8</v>
      </c>
      <c r="O160" s="126">
        <v>0</v>
      </c>
      <c r="P160" s="126">
        <v>0</v>
      </c>
      <c r="Q160" s="126">
        <v>0</v>
      </c>
      <c r="R160" s="126">
        <v>7108.8</v>
      </c>
      <c r="S160" s="126">
        <v>202</v>
      </c>
    </row>
    <row r="161" spans="1:19" ht="15.75" customHeight="1" thickBot="1">
      <c r="A161" s="125" t="s">
        <v>1273</v>
      </c>
      <c r="B161" s="125" t="s">
        <v>1793</v>
      </c>
      <c r="C161" s="125" t="s">
        <v>1794</v>
      </c>
      <c r="D161" s="125" t="s">
        <v>2077</v>
      </c>
      <c r="E161" s="125" t="s">
        <v>166</v>
      </c>
      <c r="F161" s="125" t="s">
        <v>165</v>
      </c>
      <c r="G161" s="125" t="s">
        <v>1795</v>
      </c>
      <c r="H161" s="125" t="s">
        <v>1796</v>
      </c>
      <c r="I161" s="125" t="s">
        <v>1797</v>
      </c>
      <c r="J161" s="126">
        <v>20100.7</v>
      </c>
      <c r="K161" s="126">
        <v>1000.7</v>
      </c>
      <c r="L161" s="126">
        <v>19100</v>
      </c>
      <c r="M161" s="126">
        <v>0</v>
      </c>
      <c r="N161" s="126">
        <v>0</v>
      </c>
      <c r="O161" s="126">
        <v>0</v>
      </c>
      <c r="P161" s="126">
        <v>14873.5</v>
      </c>
      <c r="Q161" s="126">
        <v>285.41000000000003</v>
      </c>
      <c r="R161" s="126">
        <v>15158.91</v>
      </c>
      <c r="S161" s="126">
        <v>3604.79</v>
      </c>
    </row>
    <row r="162" spans="1:19" ht="15.75" thickBot="1">
      <c r="A162" s="125" t="s">
        <v>1905</v>
      </c>
      <c r="B162" s="125" t="s">
        <v>1793</v>
      </c>
      <c r="C162" s="125" t="s">
        <v>1794</v>
      </c>
      <c r="D162" s="125" t="s">
        <v>2077</v>
      </c>
      <c r="E162" s="125" t="s">
        <v>166</v>
      </c>
      <c r="F162" s="125" t="s">
        <v>165</v>
      </c>
      <c r="G162" s="125" t="s">
        <v>1795</v>
      </c>
      <c r="H162" s="125" t="s">
        <v>1796</v>
      </c>
      <c r="I162" s="125" t="s">
        <v>1797</v>
      </c>
      <c r="J162" s="126">
        <v>285.41000000000003</v>
      </c>
      <c r="K162" s="126">
        <v>285.41000000000003</v>
      </c>
      <c r="L162" s="126">
        <v>0</v>
      </c>
      <c r="M162" s="126">
        <v>0</v>
      </c>
      <c r="N162" s="126">
        <v>0</v>
      </c>
      <c r="O162" s="126">
        <v>0</v>
      </c>
      <c r="P162" s="126">
        <v>285.41000000000003</v>
      </c>
      <c r="Q162" s="126">
        <v>0</v>
      </c>
      <c r="R162" s="126">
        <v>285.41000000000003</v>
      </c>
      <c r="S162" s="126">
        <v>0</v>
      </c>
    </row>
    <row r="163" spans="1:19" ht="15.75" customHeight="1" thickBot="1">
      <c r="A163" s="125" t="s">
        <v>1273</v>
      </c>
      <c r="B163" s="125" t="s">
        <v>1790</v>
      </c>
      <c r="C163" s="125" t="s">
        <v>794</v>
      </c>
      <c r="D163" s="125" t="s">
        <v>2077</v>
      </c>
      <c r="E163" s="125" t="s">
        <v>166</v>
      </c>
      <c r="F163" s="125" t="s">
        <v>165</v>
      </c>
      <c r="G163" s="125" t="s">
        <v>795</v>
      </c>
      <c r="H163" s="125" t="s">
        <v>793</v>
      </c>
      <c r="I163" s="125" t="s">
        <v>1768</v>
      </c>
      <c r="J163" s="126">
        <v>513680</v>
      </c>
      <c r="K163" s="127" t="s">
        <v>1275</v>
      </c>
      <c r="L163" s="126">
        <v>513680</v>
      </c>
      <c r="M163" s="126">
        <v>504117.58</v>
      </c>
      <c r="N163" s="126">
        <v>0</v>
      </c>
      <c r="O163" s="126">
        <v>1740</v>
      </c>
      <c r="P163" s="126">
        <v>0</v>
      </c>
      <c r="Q163" s="126">
        <v>0</v>
      </c>
      <c r="R163" s="126">
        <v>505857.58</v>
      </c>
      <c r="S163" s="126">
        <v>2430.42</v>
      </c>
    </row>
    <row r="164" spans="1:19" ht="15.75" thickBot="1">
      <c r="A164" s="125" t="s">
        <v>1905</v>
      </c>
      <c r="B164" s="125" t="s">
        <v>1790</v>
      </c>
      <c r="C164" s="125" t="s">
        <v>794</v>
      </c>
      <c r="D164" s="125" t="s">
        <v>2077</v>
      </c>
      <c r="E164" s="125" t="s">
        <v>166</v>
      </c>
      <c r="F164" s="125" t="s">
        <v>165</v>
      </c>
      <c r="G164" s="125" t="s">
        <v>795</v>
      </c>
      <c r="H164" s="125" t="s">
        <v>793</v>
      </c>
      <c r="I164" s="125" t="s">
        <v>1768</v>
      </c>
      <c r="J164" s="126">
        <v>507724</v>
      </c>
      <c r="K164" s="127" t="s">
        <v>1275</v>
      </c>
      <c r="L164" s="126">
        <v>507724</v>
      </c>
      <c r="M164" s="126">
        <v>286853.32</v>
      </c>
      <c r="N164" s="126">
        <v>0</v>
      </c>
      <c r="O164" s="126">
        <v>1505</v>
      </c>
      <c r="P164" s="126">
        <v>0</v>
      </c>
      <c r="Q164" s="126">
        <v>0</v>
      </c>
      <c r="R164" s="126">
        <v>288358.32</v>
      </c>
      <c r="S164" s="126">
        <v>247226.68</v>
      </c>
    </row>
    <row r="165" spans="1:19" ht="15.75" customHeight="1" thickBot="1">
      <c r="A165" s="125" t="s">
        <v>1273</v>
      </c>
      <c r="B165" s="125" t="s">
        <v>1774</v>
      </c>
      <c r="C165" s="125" t="s">
        <v>813</v>
      </c>
      <c r="D165" s="125" t="s">
        <v>2077</v>
      </c>
      <c r="E165" s="125" t="s">
        <v>166</v>
      </c>
      <c r="F165" s="125" t="s">
        <v>165</v>
      </c>
      <c r="G165" s="125" t="s">
        <v>814</v>
      </c>
      <c r="H165" s="125" t="s">
        <v>812</v>
      </c>
      <c r="I165" s="125" t="s">
        <v>1768</v>
      </c>
      <c r="J165" s="126">
        <v>91037</v>
      </c>
      <c r="K165" s="127" t="s">
        <v>1275</v>
      </c>
      <c r="L165" s="126">
        <v>91037</v>
      </c>
      <c r="M165" s="126">
        <v>51055.5</v>
      </c>
      <c r="N165" s="126">
        <v>0</v>
      </c>
      <c r="O165" s="126">
        <v>900</v>
      </c>
      <c r="P165" s="126">
        <v>0</v>
      </c>
      <c r="Q165" s="126">
        <v>0</v>
      </c>
      <c r="R165" s="126">
        <v>51955.5</v>
      </c>
      <c r="S165" s="126">
        <v>3522.5</v>
      </c>
    </row>
    <row r="166" spans="1:19" ht="15.75" thickBot="1">
      <c r="A166" s="125" t="s">
        <v>1905</v>
      </c>
      <c r="B166" s="125" t="s">
        <v>1774</v>
      </c>
      <c r="C166" s="125" t="s">
        <v>813</v>
      </c>
      <c r="D166" s="125" t="s">
        <v>2077</v>
      </c>
      <c r="E166" s="125" t="s">
        <v>166</v>
      </c>
      <c r="F166" s="125" t="s">
        <v>165</v>
      </c>
      <c r="G166" s="125" t="s">
        <v>814</v>
      </c>
      <c r="H166" s="125" t="s">
        <v>812</v>
      </c>
      <c r="I166" s="125" t="s">
        <v>1768</v>
      </c>
      <c r="J166" s="126">
        <v>39672</v>
      </c>
      <c r="K166" s="127" t="s">
        <v>1275</v>
      </c>
      <c r="L166" s="126">
        <v>39672</v>
      </c>
      <c r="M166" s="126">
        <v>21806.65</v>
      </c>
      <c r="N166" s="126">
        <v>0</v>
      </c>
      <c r="O166" s="126">
        <v>675</v>
      </c>
      <c r="P166" s="126">
        <v>0</v>
      </c>
      <c r="Q166" s="126">
        <v>0</v>
      </c>
      <c r="R166" s="126">
        <v>22481.65</v>
      </c>
      <c r="S166" s="126">
        <v>18240.349999999999</v>
      </c>
    </row>
    <row r="167" spans="1:19" ht="15.75" customHeight="1" thickBot="1">
      <c r="A167" s="125" t="s">
        <v>1273</v>
      </c>
      <c r="B167" s="125" t="s">
        <v>1788</v>
      </c>
      <c r="C167" s="125" t="s">
        <v>818</v>
      </c>
      <c r="D167" s="125" t="s">
        <v>2077</v>
      </c>
      <c r="E167" s="125" t="s">
        <v>166</v>
      </c>
      <c r="F167" s="125" t="s">
        <v>165</v>
      </c>
      <c r="G167" s="125" t="s">
        <v>819</v>
      </c>
      <c r="H167" s="125" t="s">
        <v>817</v>
      </c>
      <c r="I167" s="125" t="s">
        <v>1768</v>
      </c>
      <c r="J167" s="126">
        <v>394584</v>
      </c>
      <c r="K167" s="127" t="s">
        <v>1275</v>
      </c>
      <c r="L167" s="126">
        <v>394584</v>
      </c>
      <c r="M167" s="126">
        <v>367778.52</v>
      </c>
      <c r="N167" s="126">
        <v>12874.59</v>
      </c>
      <c r="O167" s="126">
        <v>0</v>
      </c>
      <c r="P167" s="126">
        <v>0</v>
      </c>
      <c r="Q167" s="126">
        <v>0</v>
      </c>
      <c r="R167" s="126">
        <v>380653.11</v>
      </c>
      <c r="S167" s="126">
        <v>1932.85</v>
      </c>
    </row>
    <row r="168" spans="1:19" ht="15.75" thickBot="1">
      <c r="A168" s="125" t="s">
        <v>1905</v>
      </c>
      <c r="B168" s="125" t="s">
        <v>1788</v>
      </c>
      <c r="C168" s="125" t="s">
        <v>818</v>
      </c>
      <c r="D168" s="125" t="s">
        <v>2077</v>
      </c>
      <c r="E168" s="125" t="s">
        <v>166</v>
      </c>
      <c r="F168" s="125" t="s">
        <v>165</v>
      </c>
      <c r="G168" s="125" t="s">
        <v>819</v>
      </c>
      <c r="H168" s="125" t="s">
        <v>817</v>
      </c>
      <c r="I168" s="125" t="s">
        <v>1768</v>
      </c>
      <c r="J168" s="126">
        <v>384979</v>
      </c>
      <c r="K168" s="127" t="s">
        <v>1275</v>
      </c>
      <c r="L168" s="126">
        <v>384979</v>
      </c>
      <c r="M168" s="126">
        <v>199088.71</v>
      </c>
      <c r="N168" s="126">
        <v>9757.64</v>
      </c>
      <c r="O168" s="126">
        <v>0</v>
      </c>
      <c r="P168" s="126">
        <v>0</v>
      </c>
      <c r="Q168" s="126">
        <v>0</v>
      </c>
      <c r="R168" s="126">
        <v>208846.35</v>
      </c>
      <c r="S168" s="126">
        <v>171132.65</v>
      </c>
    </row>
    <row r="169" spans="1:19" ht="15.75" customHeight="1" thickBot="1">
      <c r="A169" s="125" t="s">
        <v>1273</v>
      </c>
      <c r="B169" s="125" t="s">
        <v>1776</v>
      </c>
      <c r="C169" s="125" t="s">
        <v>833</v>
      </c>
      <c r="D169" s="125" t="s">
        <v>2077</v>
      </c>
      <c r="E169" s="125" t="s">
        <v>166</v>
      </c>
      <c r="F169" s="125" t="s">
        <v>165</v>
      </c>
      <c r="G169" s="125" t="s">
        <v>834</v>
      </c>
      <c r="H169" s="125" t="s">
        <v>832</v>
      </c>
      <c r="I169" s="125" t="s">
        <v>1768</v>
      </c>
      <c r="J169" s="126">
        <v>224171</v>
      </c>
      <c r="K169" s="127" t="s">
        <v>1275</v>
      </c>
      <c r="L169" s="126">
        <v>224171</v>
      </c>
      <c r="M169" s="126">
        <v>190482.33</v>
      </c>
      <c r="N169" s="126">
        <v>0</v>
      </c>
      <c r="O169" s="126">
        <v>420</v>
      </c>
      <c r="P169" s="126">
        <v>17192.189999999999</v>
      </c>
      <c r="Q169" s="126">
        <v>0</v>
      </c>
      <c r="R169" s="126">
        <v>208094.52</v>
      </c>
      <c r="S169" s="126">
        <v>13096.48</v>
      </c>
    </row>
    <row r="170" spans="1:19" ht="15.75" thickBot="1">
      <c r="A170" s="125" t="s">
        <v>1905</v>
      </c>
      <c r="B170" s="125" t="s">
        <v>1776</v>
      </c>
      <c r="C170" s="125" t="s">
        <v>833</v>
      </c>
      <c r="D170" s="125" t="s">
        <v>2077</v>
      </c>
      <c r="E170" s="125" t="s">
        <v>166</v>
      </c>
      <c r="F170" s="125" t="s">
        <v>165</v>
      </c>
      <c r="G170" s="125" t="s">
        <v>834</v>
      </c>
      <c r="H170" s="125" t="s">
        <v>832</v>
      </c>
      <c r="I170" s="125" t="s">
        <v>1768</v>
      </c>
      <c r="J170" s="126">
        <v>219521</v>
      </c>
      <c r="K170" s="127" t="s">
        <v>1275</v>
      </c>
      <c r="L170" s="126">
        <v>219521</v>
      </c>
      <c r="M170" s="126">
        <v>104381.55</v>
      </c>
      <c r="N170" s="126">
        <v>0</v>
      </c>
      <c r="O170" s="126">
        <v>227.5</v>
      </c>
      <c r="P170" s="126">
        <v>4264.33</v>
      </c>
      <c r="Q170" s="126">
        <v>2535.1799999999998</v>
      </c>
      <c r="R170" s="126">
        <v>111408.56</v>
      </c>
      <c r="S170" s="126">
        <v>104002.44</v>
      </c>
    </row>
    <row r="171" spans="1:19" ht="15.75" customHeight="1" thickBot="1">
      <c r="A171" s="125" t="s">
        <v>1273</v>
      </c>
      <c r="B171" s="125" t="s">
        <v>1776</v>
      </c>
      <c r="C171" s="125" t="s">
        <v>833</v>
      </c>
      <c r="D171" s="125" t="s">
        <v>2077</v>
      </c>
      <c r="E171" s="125" t="s">
        <v>166</v>
      </c>
      <c r="F171" s="125" t="s">
        <v>165</v>
      </c>
      <c r="G171" s="125" t="s">
        <v>1777</v>
      </c>
      <c r="H171" s="125" t="s">
        <v>1778</v>
      </c>
      <c r="I171" s="125" t="s">
        <v>1768</v>
      </c>
      <c r="J171" s="126">
        <v>404158.91</v>
      </c>
      <c r="K171" s="126">
        <v>211.91</v>
      </c>
      <c r="L171" s="126">
        <v>403947</v>
      </c>
      <c r="M171" s="126">
        <v>0</v>
      </c>
      <c r="N171" s="126">
        <v>0</v>
      </c>
      <c r="O171" s="126">
        <v>0</v>
      </c>
      <c r="P171" s="126">
        <v>-92.37</v>
      </c>
      <c r="Q171" s="126">
        <v>0</v>
      </c>
      <c r="R171" s="126">
        <v>-92.37</v>
      </c>
      <c r="S171" s="126">
        <v>304.27999999999997</v>
      </c>
    </row>
    <row r="172" spans="1:19" ht="15.75" customHeight="1" thickBot="1">
      <c r="A172" s="125" t="s">
        <v>1273</v>
      </c>
      <c r="B172" s="125" t="s">
        <v>1662</v>
      </c>
      <c r="C172" s="125" t="s">
        <v>994</v>
      </c>
      <c r="D172" s="125" t="s">
        <v>2076</v>
      </c>
      <c r="E172" s="125" t="s">
        <v>166</v>
      </c>
      <c r="F172" s="125" t="s">
        <v>165</v>
      </c>
      <c r="G172" s="125" t="s">
        <v>1666</v>
      </c>
      <c r="H172" s="125" t="s">
        <v>1667</v>
      </c>
      <c r="I172" s="125" t="s">
        <v>1665</v>
      </c>
      <c r="J172" s="126">
        <v>4129564</v>
      </c>
      <c r="K172" s="127" t="s">
        <v>1275</v>
      </c>
      <c r="L172" s="126">
        <v>4129564</v>
      </c>
      <c r="M172" s="126">
        <v>0</v>
      </c>
      <c r="N172" s="126">
        <v>0</v>
      </c>
      <c r="O172" s="126">
        <v>0</v>
      </c>
      <c r="P172" s="126">
        <v>3952356.58</v>
      </c>
      <c r="Q172" s="126">
        <v>0</v>
      </c>
      <c r="R172" s="126">
        <v>3952356.58</v>
      </c>
      <c r="S172" s="126">
        <v>177207.42</v>
      </c>
    </row>
    <row r="173" spans="1:19" ht="15.75" thickBot="1">
      <c r="A173" s="125" t="s">
        <v>1905</v>
      </c>
      <c r="B173" s="125" t="s">
        <v>1662</v>
      </c>
      <c r="C173" s="125" t="s">
        <v>994</v>
      </c>
      <c r="D173" s="125" t="s">
        <v>2076</v>
      </c>
      <c r="E173" s="125" t="s">
        <v>166</v>
      </c>
      <c r="F173" s="125" t="s">
        <v>165</v>
      </c>
      <c r="G173" s="125" t="s">
        <v>1666</v>
      </c>
      <c r="H173" s="125" t="s">
        <v>1667</v>
      </c>
      <c r="I173" s="125" t="s">
        <v>1665</v>
      </c>
      <c r="J173" s="126">
        <v>4003574</v>
      </c>
      <c r="K173" s="127" t="s">
        <v>1275</v>
      </c>
      <c r="L173" s="126">
        <v>4003574</v>
      </c>
      <c r="M173" s="126">
        <v>0</v>
      </c>
      <c r="N173" s="126">
        <v>0</v>
      </c>
      <c r="O173" s="126">
        <v>0</v>
      </c>
      <c r="P173" s="126">
        <v>3921291.16</v>
      </c>
      <c r="Q173" s="126">
        <v>0</v>
      </c>
      <c r="R173" s="126">
        <v>3921291.16</v>
      </c>
      <c r="S173" s="126">
        <v>82282.84</v>
      </c>
    </row>
    <row r="174" spans="1:19" ht="15.75" customHeight="1" thickBot="1">
      <c r="A174" s="125" t="s">
        <v>1273</v>
      </c>
      <c r="B174" s="125" t="s">
        <v>392</v>
      </c>
      <c r="C174" s="125" t="s">
        <v>391</v>
      </c>
      <c r="D174" s="125" t="s">
        <v>2076</v>
      </c>
      <c r="E174" s="125" t="s">
        <v>166</v>
      </c>
      <c r="F174" s="125" t="s">
        <v>165</v>
      </c>
      <c r="G174" s="125" t="s">
        <v>1876</v>
      </c>
      <c r="H174" s="125" t="s">
        <v>1877</v>
      </c>
      <c r="I174" s="125" t="s">
        <v>1875</v>
      </c>
      <c r="J174" s="126">
        <v>0</v>
      </c>
      <c r="K174" s="127" t="s">
        <v>1275</v>
      </c>
      <c r="L174" s="126">
        <v>0</v>
      </c>
      <c r="M174" s="126">
        <v>0</v>
      </c>
      <c r="N174" s="126">
        <v>0</v>
      </c>
      <c r="O174" s="126">
        <v>0</v>
      </c>
      <c r="P174" s="126">
        <v>6000</v>
      </c>
      <c r="Q174" s="126">
        <v>0</v>
      </c>
      <c r="R174" s="126">
        <v>6000</v>
      </c>
      <c r="S174" s="126">
        <v>0</v>
      </c>
    </row>
    <row r="175" spans="1:19" ht="15.75" customHeight="1" thickBot="1">
      <c r="A175" s="125" t="s">
        <v>1273</v>
      </c>
      <c r="B175" s="125" t="s">
        <v>392</v>
      </c>
      <c r="C175" s="125" t="s">
        <v>391</v>
      </c>
      <c r="D175" s="125" t="s">
        <v>2076</v>
      </c>
      <c r="E175" s="125" t="s">
        <v>166</v>
      </c>
      <c r="F175" s="125" t="s">
        <v>165</v>
      </c>
      <c r="G175" s="125" t="s">
        <v>1878</v>
      </c>
      <c r="H175" s="125" t="s">
        <v>1879</v>
      </c>
      <c r="I175" s="125" t="s">
        <v>1875</v>
      </c>
      <c r="J175" s="126">
        <v>0</v>
      </c>
      <c r="K175" s="127" t="s">
        <v>1275</v>
      </c>
      <c r="L175" s="126">
        <v>0</v>
      </c>
      <c r="M175" s="126">
        <v>0</v>
      </c>
      <c r="N175" s="126">
        <v>0</v>
      </c>
      <c r="O175" s="126">
        <v>0</v>
      </c>
      <c r="P175" s="126">
        <v>4076314.5</v>
      </c>
      <c r="Q175" s="126">
        <v>0</v>
      </c>
      <c r="R175" s="126">
        <v>4076314.5</v>
      </c>
      <c r="S175" s="126">
        <v>0</v>
      </c>
    </row>
    <row r="176" spans="1:19" ht="15.75" thickBot="1">
      <c r="A176" s="125" t="s">
        <v>1905</v>
      </c>
      <c r="B176" s="125" t="s">
        <v>392</v>
      </c>
      <c r="C176" s="125" t="s">
        <v>391</v>
      </c>
      <c r="D176" s="125" t="s">
        <v>2076</v>
      </c>
      <c r="E176" s="125" t="s">
        <v>166</v>
      </c>
      <c r="F176" s="125" t="s">
        <v>165</v>
      </c>
      <c r="G176" s="125" t="s">
        <v>1878</v>
      </c>
      <c r="H176" s="125" t="s">
        <v>1879</v>
      </c>
      <c r="I176" s="125" t="s">
        <v>1875</v>
      </c>
      <c r="J176" s="126">
        <v>0</v>
      </c>
      <c r="K176" s="127" t="s">
        <v>1275</v>
      </c>
      <c r="L176" s="126">
        <v>0</v>
      </c>
      <c r="M176" s="126">
        <v>0</v>
      </c>
      <c r="N176" s="126">
        <v>0</v>
      </c>
      <c r="O176" s="126">
        <v>0</v>
      </c>
      <c r="P176" s="126">
        <v>4167500</v>
      </c>
      <c r="Q176" s="126">
        <v>0</v>
      </c>
      <c r="R176" s="126">
        <v>4167500</v>
      </c>
      <c r="S176" s="126">
        <v>0</v>
      </c>
    </row>
    <row r="177" spans="1:20" ht="15.75" customHeight="1" thickBot="1">
      <c r="A177" s="125" t="s">
        <v>1273</v>
      </c>
      <c r="B177" s="125" t="s">
        <v>1900</v>
      </c>
      <c r="C177" s="125" t="s">
        <v>1901</v>
      </c>
      <c r="D177" s="125" t="str">
        <f t="shared" si="2"/>
        <v>9</v>
      </c>
      <c r="E177" s="125" t="s">
        <v>166</v>
      </c>
      <c r="F177" s="125" t="s">
        <v>165</v>
      </c>
      <c r="G177" s="125" t="s">
        <v>1902</v>
      </c>
      <c r="H177" s="125" t="s">
        <v>1903</v>
      </c>
      <c r="I177" s="125" t="s">
        <v>1898</v>
      </c>
      <c r="J177" s="126">
        <v>0</v>
      </c>
      <c r="K177" s="127" t="s">
        <v>1275</v>
      </c>
      <c r="L177" s="126">
        <v>0</v>
      </c>
      <c r="M177" s="126">
        <v>0</v>
      </c>
      <c r="N177" s="126">
        <v>0</v>
      </c>
      <c r="O177" s="126">
        <v>0</v>
      </c>
      <c r="P177" s="126">
        <v>306423.21000000002</v>
      </c>
      <c r="Q177" s="126">
        <v>0</v>
      </c>
      <c r="R177" s="126">
        <v>306423.21000000002</v>
      </c>
      <c r="S177" s="126">
        <v>-306423.21000000002</v>
      </c>
    </row>
    <row r="178" spans="1:20" ht="15.75" thickBot="1">
      <c r="A178" s="125" t="s">
        <v>1905</v>
      </c>
      <c r="B178" s="125" t="s">
        <v>1900</v>
      </c>
      <c r="C178" s="125" t="s">
        <v>1901</v>
      </c>
      <c r="D178" s="125" t="str">
        <f t="shared" si="2"/>
        <v>9</v>
      </c>
      <c r="E178" s="125" t="s">
        <v>166</v>
      </c>
      <c r="F178" s="125" t="s">
        <v>165</v>
      </c>
      <c r="G178" s="125" t="s">
        <v>1902</v>
      </c>
      <c r="H178" s="125" t="s">
        <v>1903</v>
      </c>
      <c r="I178" s="125" t="s">
        <v>1898</v>
      </c>
      <c r="J178" s="126">
        <v>0</v>
      </c>
      <c r="K178" s="127" t="s">
        <v>1275</v>
      </c>
      <c r="L178" s="126">
        <v>0</v>
      </c>
      <c r="M178" s="126">
        <v>0</v>
      </c>
      <c r="N178" s="126">
        <v>0</v>
      </c>
      <c r="O178" s="126">
        <v>0</v>
      </c>
      <c r="P178" s="126">
        <v>382732.04</v>
      </c>
      <c r="Q178" s="126">
        <v>0</v>
      </c>
      <c r="R178" s="126">
        <v>382732.04</v>
      </c>
      <c r="S178" s="126">
        <v>-382732.04</v>
      </c>
    </row>
    <row r="179" spans="1:20" ht="15.75" customHeight="1" thickBot="1">
      <c r="A179" s="125" t="s">
        <v>1273</v>
      </c>
      <c r="B179" s="125" t="s">
        <v>0</v>
      </c>
      <c r="C179" s="125" t="s">
        <v>406</v>
      </c>
      <c r="D179" s="125" t="s">
        <v>2076</v>
      </c>
      <c r="E179" s="125" t="s">
        <v>166</v>
      </c>
      <c r="F179" s="125" t="s">
        <v>165</v>
      </c>
      <c r="G179" s="125" t="s">
        <v>839</v>
      </c>
      <c r="H179" s="125" t="s">
        <v>838</v>
      </c>
      <c r="I179" s="125" t="s">
        <v>1358</v>
      </c>
      <c r="J179" s="126">
        <v>381420.4</v>
      </c>
      <c r="K179" s="126">
        <v>8377.4</v>
      </c>
      <c r="L179" s="126">
        <f>373043-127051</f>
        <v>245992</v>
      </c>
      <c r="M179" s="126">
        <f>271531.79-25539.79</f>
        <v>245991.99999999997</v>
      </c>
      <c r="N179" s="126">
        <v>0</v>
      </c>
      <c r="O179" s="126">
        <v>0</v>
      </c>
      <c r="P179" s="126">
        <v>0</v>
      </c>
      <c r="Q179" s="126">
        <v>0</v>
      </c>
      <c r="R179" s="126">
        <v>245992</v>
      </c>
      <c r="S179" s="126">
        <v>0</v>
      </c>
    </row>
    <row r="180" spans="1:20" ht="15.75" thickBot="1">
      <c r="A180" s="125" t="s">
        <v>1905</v>
      </c>
      <c r="B180" s="125" t="s">
        <v>0</v>
      </c>
      <c r="C180" s="125" t="s">
        <v>406</v>
      </c>
      <c r="D180" s="125" t="s">
        <v>2076</v>
      </c>
      <c r="E180" s="125" t="s">
        <v>166</v>
      </c>
      <c r="F180" s="125" t="s">
        <v>165</v>
      </c>
      <c r="G180" s="125" t="s">
        <v>839</v>
      </c>
      <c r="H180" s="125" t="s">
        <v>838</v>
      </c>
      <c r="I180" s="125" t="s">
        <v>1358</v>
      </c>
      <c r="J180" s="126">
        <v>339984</v>
      </c>
      <c r="K180" s="126">
        <v>135</v>
      </c>
      <c r="L180" s="126">
        <f>339849-155355</f>
        <v>184494</v>
      </c>
      <c r="M180" s="126">
        <v>105730.14</v>
      </c>
      <c r="N180" s="126">
        <v>21933.64</v>
      </c>
      <c r="O180" s="126">
        <v>0</v>
      </c>
      <c r="P180" s="126">
        <v>23602.54</v>
      </c>
      <c r="Q180" s="126">
        <v>2104.88</v>
      </c>
      <c r="R180" s="126">
        <v>153371.20000000001</v>
      </c>
      <c r="S180" s="126">
        <v>195073.84</v>
      </c>
    </row>
    <row r="181" spans="1:20" ht="15.75" customHeight="1" thickBot="1">
      <c r="A181" s="125" t="s">
        <v>1273</v>
      </c>
      <c r="B181" s="125" t="s">
        <v>0</v>
      </c>
      <c r="C181" s="125" t="s">
        <v>406</v>
      </c>
      <c r="D181" s="125" t="str">
        <f t="shared" si="2"/>
        <v>2</v>
      </c>
      <c r="E181" s="125" t="s">
        <v>166</v>
      </c>
      <c r="F181" s="125" t="s">
        <v>165</v>
      </c>
      <c r="G181" s="125" t="s">
        <v>839</v>
      </c>
      <c r="H181" s="125" t="s">
        <v>838</v>
      </c>
      <c r="I181" s="125" t="s">
        <v>1358</v>
      </c>
      <c r="J181" s="126">
        <v>381420.4</v>
      </c>
      <c r="K181" s="126">
        <v>8377.4</v>
      </c>
      <c r="L181" s="126">
        <f>373043-245992</f>
        <v>127051</v>
      </c>
      <c r="M181" s="126">
        <f>271531.79-245992</f>
        <v>25539.789999999979</v>
      </c>
      <c r="N181" s="126">
        <v>33096.400000000001</v>
      </c>
      <c r="O181" s="126">
        <v>0</v>
      </c>
      <c r="P181" s="126">
        <v>62377.13</v>
      </c>
      <c r="Q181" s="126">
        <v>135</v>
      </c>
      <c r="R181" s="126">
        <f>25539.79+33096.4+62377.13+135</f>
        <v>121148.32</v>
      </c>
      <c r="S181" s="126">
        <v>26225.07</v>
      </c>
      <c r="T181" s="151">
        <v>367140.32</v>
      </c>
    </row>
    <row r="182" spans="1:20" ht="15.75" thickBot="1">
      <c r="A182" s="125" t="s">
        <v>1905</v>
      </c>
      <c r="B182" s="125" t="s">
        <v>0</v>
      </c>
      <c r="C182" s="125" t="s">
        <v>406</v>
      </c>
      <c r="D182" s="125" t="str">
        <f t="shared" si="2"/>
        <v>2</v>
      </c>
      <c r="E182" s="125" t="s">
        <v>166</v>
      </c>
      <c r="F182" s="125" t="s">
        <v>165</v>
      </c>
      <c r="G182" s="125" t="s">
        <v>839</v>
      </c>
      <c r="H182" s="125" t="s">
        <v>838</v>
      </c>
      <c r="I182" s="125" t="s">
        <v>1358</v>
      </c>
      <c r="J182" s="126">
        <v>339984</v>
      </c>
      <c r="K182" s="126">
        <v>135</v>
      </c>
      <c r="L182" s="126">
        <f>339849-184494</f>
        <v>155355</v>
      </c>
      <c r="M182" s="126"/>
      <c r="N182" s="126"/>
      <c r="O182" s="126">
        <v>0</v>
      </c>
      <c r="P182" s="126"/>
      <c r="Q182" s="126"/>
      <c r="R182" s="126"/>
      <c r="S182" s="126">
        <v>0</v>
      </c>
    </row>
    <row r="183" spans="1:20" ht="15.75" customHeight="1" thickBot="1">
      <c r="A183" s="125" t="s">
        <v>1273</v>
      </c>
      <c r="B183" s="125" t="s">
        <v>262</v>
      </c>
      <c r="C183" s="125" t="s">
        <v>846</v>
      </c>
      <c r="D183" s="125" t="s">
        <v>2076</v>
      </c>
      <c r="E183" s="125" t="s">
        <v>166</v>
      </c>
      <c r="F183" s="125" t="s">
        <v>165</v>
      </c>
      <c r="G183" s="125" t="s">
        <v>262</v>
      </c>
      <c r="H183" s="125" t="s">
        <v>845</v>
      </c>
      <c r="I183" s="125" t="s">
        <v>1302</v>
      </c>
      <c r="J183" s="126">
        <v>415626</v>
      </c>
      <c r="K183" s="127" t="s">
        <v>1275</v>
      </c>
      <c r="L183" s="126">
        <v>415626</v>
      </c>
      <c r="M183" s="126">
        <v>299288.67</v>
      </c>
      <c r="N183" s="126">
        <v>49036.61</v>
      </c>
      <c r="O183" s="126">
        <v>0</v>
      </c>
      <c r="P183" s="126">
        <v>5741.47</v>
      </c>
      <c r="Q183" s="126">
        <v>0</v>
      </c>
      <c r="R183" s="126">
        <v>354066.75</v>
      </c>
      <c r="S183" s="126">
        <v>63434.25</v>
      </c>
    </row>
    <row r="184" spans="1:20" ht="15.75" thickBot="1">
      <c r="A184" s="125" t="s">
        <v>1905</v>
      </c>
      <c r="B184" s="125" t="s">
        <v>262</v>
      </c>
      <c r="C184" s="125" t="s">
        <v>846</v>
      </c>
      <c r="D184" s="125" t="s">
        <v>2076</v>
      </c>
      <c r="E184" s="125" t="s">
        <v>166</v>
      </c>
      <c r="F184" s="125" t="s">
        <v>165</v>
      </c>
      <c r="G184" s="125" t="s">
        <v>262</v>
      </c>
      <c r="H184" s="125" t="s">
        <v>845</v>
      </c>
      <c r="I184" s="125" t="s">
        <v>1302</v>
      </c>
      <c r="J184" s="126">
        <v>311720</v>
      </c>
      <c r="K184" s="127" t="s">
        <v>1275</v>
      </c>
      <c r="L184" s="126">
        <v>311720</v>
      </c>
      <c r="M184" s="126">
        <v>105153.05</v>
      </c>
      <c r="N184" s="126">
        <v>20693.27</v>
      </c>
      <c r="O184" s="126">
        <v>0</v>
      </c>
      <c r="P184" s="126">
        <v>10434.549999999999</v>
      </c>
      <c r="Q184" s="126">
        <v>1079.22</v>
      </c>
      <c r="R184" s="126">
        <v>137360.09</v>
      </c>
      <c r="S184" s="126">
        <v>174359.91</v>
      </c>
    </row>
    <row r="185" spans="1:20" ht="15.75" thickBot="1">
      <c r="A185" s="125" t="s">
        <v>1905</v>
      </c>
      <c r="B185" s="125" t="s">
        <v>392</v>
      </c>
      <c r="C185" s="125" t="s">
        <v>391</v>
      </c>
      <c r="D185" s="125" t="s">
        <v>2076</v>
      </c>
      <c r="E185" s="125" t="s">
        <v>166</v>
      </c>
      <c r="F185" s="125" t="s">
        <v>165</v>
      </c>
      <c r="G185" s="125" t="s">
        <v>1951</v>
      </c>
      <c r="H185" s="125" t="s">
        <v>1952</v>
      </c>
      <c r="I185" s="125" t="s">
        <v>1875</v>
      </c>
      <c r="J185" s="126">
        <v>0</v>
      </c>
      <c r="K185" s="127" t="s">
        <v>1275</v>
      </c>
      <c r="L185" s="126">
        <v>0</v>
      </c>
      <c r="M185" s="126">
        <v>0</v>
      </c>
      <c r="N185" s="126">
        <v>28515.25</v>
      </c>
      <c r="O185" s="126">
        <v>0</v>
      </c>
      <c r="P185" s="126">
        <v>0</v>
      </c>
      <c r="Q185" s="126">
        <v>0</v>
      </c>
      <c r="R185" s="126">
        <v>28515.25</v>
      </c>
      <c r="S185" s="126">
        <v>9056.5400000000009</v>
      </c>
    </row>
    <row r="186" spans="1:20" ht="15.75" customHeight="1" thickBot="1">
      <c r="A186" s="125" t="s">
        <v>1273</v>
      </c>
      <c r="B186" s="125" t="s">
        <v>1514</v>
      </c>
      <c r="C186" s="125" t="s">
        <v>650</v>
      </c>
      <c r="D186" s="125" t="s">
        <v>2076</v>
      </c>
      <c r="E186" s="125" t="s">
        <v>166</v>
      </c>
      <c r="F186" s="125" t="s">
        <v>165</v>
      </c>
      <c r="G186" s="125" t="s">
        <v>863</v>
      </c>
      <c r="H186" s="125" t="s">
        <v>862</v>
      </c>
      <c r="I186" s="125" t="s">
        <v>1510</v>
      </c>
      <c r="J186" s="126">
        <v>46550</v>
      </c>
      <c r="K186" s="127" t="s">
        <v>1275</v>
      </c>
      <c r="L186" s="126">
        <v>46550</v>
      </c>
      <c r="M186" s="126">
        <v>46421.39</v>
      </c>
      <c r="N186" s="126">
        <v>0</v>
      </c>
      <c r="O186" s="126">
        <v>0</v>
      </c>
      <c r="P186" s="126">
        <v>0</v>
      </c>
      <c r="Q186" s="126">
        <v>0</v>
      </c>
      <c r="R186" s="126">
        <v>46421.39</v>
      </c>
      <c r="S186" s="126">
        <v>686.61</v>
      </c>
    </row>
    <row r="187" spans="1:20" ht="15.75" thickBot="1">
      <c r="A187" s="125" t="s">
        <v>1905</v>
      </c>
      <c r="B187" s="125" t="s">
        <v>1514</v>
      </c>
      <c r="C187" s="125" t="s">
        <v>650</v>
      </c>
      <c r="D187" s="125" t="s">
        <v>2076</v>
      </c>
      <c r="E187" s="125" t="s">
        <v>166</v>
      </c>
      <c r="F187" s="125" t="s">
        <v>165</v>
      </c>
      <c r="G187" s="125" t="s">
        <v>863</v>
      </c>
      <c r="H187" s="125" t="s">
        <v>862</v>
      </c>
      <c r="I187" s="125" t="s">
        <v>1510</v>
      </c>
      <c r="J187" s="126">
        <v>34912</v>
      </c>
      <c r="K187" s="127" t="s">
        <v>1275</v>
      </c>
      <c r="L187" s="126">
        <v>34912</v>
      </c>
      <c r="M187" s="126">
        <v>2666.66</v>
      </c>
      <c r="N187" s="126">
        <v>0</v>
      </c>
      <c r="O187" s="126">
        <v>0</v>
      </c>
      <c r="P187" s="126">
        <v>0</v>
      </c>
      <c r="Q187" s="126">
        <v>0</v>
      </c>
      <c r="R187" s="126">
        <v>2666.66</v>
      </c>
      <c r="S187" s="126">
        <v>32245.34</v>
      </c>
    </row>
    <row r="188" spans="1:20" ht="15.75" customHeight="1" thickBot="1">
      <c r="A188" s="125" t="s">
        <v>1273</v>
      </c>
      <c r="B188" s="125" t="s">
        <v>869</v>
      </c>
      <c r="C188" s="125" t="s">
        <v>868</v>
      </c>
      <c r="D188" s="125" t="s">
        <v>2076</v>
      </c>
      <c r="E188" s="125" t="s">
        <v>166</v>
      </c>
      <c r="F188" s="125" t="s">
        <v>165</v>
      </c>
      <c r="G188" s="125" t="s">
        <v>869</v>
      </c>
      <c r="H188" s="125" t="s">
        <v>867</v>
      </c>
      <c r="I188" s="125" t="s">
        <v>1450</v>
      </c>
      <c r="J188" s="126">
        <v>135270</v>
      </c>
      <c r="K188" s="126">
        <v>1000</v>
      </c>
      <c r="L188" s="126">
        <v>134270</v>
      </c>
      <c r="M188" s="126">
        <v>130095.27</v>
      </c>
      <c r="N188" s="126">
        <v>0</v>
      </c>
      <c r="O188" s="126">
        <v>0</v>
      </c>
      <c r="P188" s="126">
        <v>4677.29</v>
      </c>
      <c r="Q188" s="126">
        <v>0</v>
      </c>
      <c r="R188" s="126">
        <v>134772.56</v>
      </c>
      <c r="S188" s="126">
        <v>3782.44</v>
      </c>
    </row>
    <row r="189" spans="1:20" ht="15.75" thickBot="1">
      <c r="A189" s="125" t="s">
        <v>1905</v>
      </c>
      <c r="B189" s="125" t="s">
        <v>869</v>
      </c>
      <c r="C189" s="125" t="s">
        <v>868</v>
      </c>
      <c r="D189" s="125" t="s">
        <v>2076</v>
      </c>
      <c r="E189" s="125" t="s">
        <v>166</v>
      </c>
      <c r="F189" s="125" t="s">
        <v>165</v>
      </c>
      <c r="G189" s="125" t="s">
        <v>869</v>
      </c>
      <c r="H189" s="125" t="s">
        <v>867</v>
      </c>
      <c r="I189" s="125" t="s">
        <v>1450</v>
      </c>
      <c r="J189" s="126">
        <v>134270</v>
      </c>
      <c r="K189" s="127" t="s">
        <v>1275</v>
      </c>
      <c r="L189" s="126">
        <v>134270</v>
      </c>
      <c r="M189" s="126">
        <v>73865.649999999994</v>
      </c>
      <c r="N189" s="126">
        <v>0</v>
      </c>
      <c r="O189" s="126">
        <v>0</v>
      </c>
      <c r="P189" s="126">
        <v>0</v>
      </c>
      <c r="Q189" s="126">
        <v>0</v>
      </c>
      <c r="R189" s="126">
        <v>73865.649999999994</v>
      </c>
      <c r="S189" s="126">
        <v>60404.35</v>
      </c>
    </row>
    <row r="190" spans="1:20" ht="15.75" customHeight="1" thickBot="1">
      <c r="A190" s="125" t="s">
        <v>1273</v>
      </c>
      <c r="B190" s="125" t="s">
        <v>1793</v>
      </c>
      <c r="C190" s="125" t="s">
        <v>1794</v>
      </c>
      <c r="D190" s="125" t="s">
        <v>2076</v>
      </c>
      <c r="E190" s="125" t="s">
        <v>166</v>
      </c>
      <c r="F190" s="125" t="s">
        <v>165</v>
      </c>
      <c r="G190" s="125" t="s">
        <v>264</v>
      </c>
      <c r="H190" s="125" t="s">
        <v>1798</v>
      </c>
      <c r="I190" s="125" t="s">
        <v>1797</v>
      </c>
      <c r="J190" s="126">
        <v>53426</v>
      </c>
      <c r="K190" s="127" t="s">
        <v>1275</v>
      </c>
      <c r="L190" s="126">
        <v>53426</v>
      </c>
      <c r="M190" s="126">
        <v>0</v>
      </c>
      <c r="N190" s="126">
        <v>0</v>
      </c>
      <c r="O190" s="126">
        <v>0</v>
      </c>
      <c r="P190" s="126">
        <f>55752-2326</f>
        <v>53426</v>
      </c>
      <c r="Q190" s="126">
        <v>0</v>
      </c>
      <c r="R190" s="126">
        <v>53426</v>
      </c>
      <c r="S190" s="126">
        <v>0</v>
      </c>
    </row>
    <row r="191" spans="1:20" ht="15.75" thickBot="1">
      <c r="A191" s="125" t="s">
        <v>1905</v>
      </c>
      <c r="B191" s="125" t="s">
        <v>1793</v>
      </c>
      <c r="C191" s="125" t="s">
        <v>1794</v>
      </c>
      <c r="D191" s="125" t="s">
        <v>2076</v>
      </c>
      <c r="E191" s="125" t="s">
        <v>166</v>
      </c>
      <c r="F191" s="125" t="s">
        <v>165</v>
      </c>
      <c r="G191" s="125" t="s">
        <v>264</v>
      </c>
      <c r="H191" s="125" t="s">
        <v>1798</v>
      </c>
      <c r="I191" s="125" t="s">
        <v>1797</v>
      </c>
      <c r="J191" s="126">
        <v>56316</v>
      </c>
      <c r="K191" s="127" t="s">
        <v>1275</v>
      </c>
      <c r="L191" s="126">
        <f>56316-16246</f>
        <v>40070</v>
      </c>
      <c r="M191" s="126">
        <v>0</v>
      </c>
      <c r="N191" s="126">
        <v>0</v>
      </c>
      <c r="O191" s="126">
        <v>0</v>
      </c>
      <c r="P191" s="126">
        <v>37536</v>
      </c>
      <c r="Q191" s="126">
        <v>18768</v>
      </c>
      <c r="R191" s="126">
        <v>56304</v>
      </c>
      <c r="S191" s="126">
        <v>12</v>
      </c>
    </row>
    <row r="192" spans="1:20" ht="15.75" customHeight="1" thickBot="1">
      <c r="A192" s="125" t="s">
        <v>1273</v>
      </c>
      <c r="B192" s="125" t="s">
        <v>1793</v>
      </c>
      <c r="C192" s="125" t="s">
        <v>1794</v>
      </c>
      <c r="D192" s="125" t="str">
        <f t="shared" si="2"/>
        <v>3</v>
      </c>
      <c r="E192" s="125" t="s">
        <v>166</v>
      </c>
      <c r="F192" s="125" t="s">
        <v>165</v>
      </c>
      <c r="G192" s="125" t="s">
        <v>264</v>
      </c>
      <c r="H192" s="125" t="s">
        <v>1798</v>
      </c>
      <c r="I192" s="125" t="s">
        <v>1797</v>
      </c>
      <c r="J192" s="126">
        <v>53426</v>
      </c>
      <c r="K192" s="127" t="s">
        <v>1275</v>
      </c>
      <c r="L192" s="126">
        <f>53426-53426</f>
        <v>0</v>
      </c>
      <c r="M192" s="126">
        <v>0</v>
      </c>
      <c r="N192" s="126">
        <v>0</v>
      </c>
      <c r="O192" s="126">
        <v>0</v>
      </c>
      <c r="P192" s="126">
        <f>55752-53426</f>
        <v>2326</v>
      </c>
      <c r="Q192" s="126">
        <v>0</v>
      </c>
      <c r="R192" s="126">
        <v>2326</v>
      </c>
      <c r="S192" s="126">
        <v>0</v>
      </c>
    </row>
    <row r="193" spans="1:19" ht="15.75" thickBot="1">
      <c r="A193" s="125" t="s">
        <v>1905</v>
      </c>
      <c r="B193" s="125" t="s">
        <v>1793</v>
      </c>
      <c r="C193" s="125" t="s">
        <v>1794</v>
      </c>
      <c r="D193" s="125" t="str">
        <f t="shared" si="2"/>
        <v>3</v>
      </c>
      <c r="E193" s="125" t="s">
        <v>166</v>
      </c>
      <c r="F193" s="125" t="s">
        <v>165</v>
      </c>
      <c r="G193" s="125" t="s">
        <v>264</v>
      </c>
      <c r="H193" s="125" t="s">
        <v>1798</v>
      </c>
      <c r="I193" s="125" t="s">
        <v>1797</v>
      </c>
      <c r="J193" s="126">
        <v>56316</v>
      </c>
      <c r="K193" s="127" t="s">
        <v>1275</v>
      </c>
      <c r="L193" s="126">
        <f>56316-40070</f>
        <v>16246</v>
      </c>
      <c r="M193" s="126">
        <v>0</v>
      </c>
      <c r="N193" s="126">
        <v>0</v>
      </c>
      <c r="O193" s="126">
        <v>0</v>
      </c>
      <c r="P193" s="126">
        <v>37536</v>
      </c>
      <c r="Q193" s="126">
        <v>18768</v>
      </c>
      <c r="R193" s="126">
        <v>56304</v>
      </c>
      <c r="S193" s="126">
        <v>12</v>
      </c>
    </row>
    <row r="194" spans="1:19" ht="15.75" customHeight="1" thickBot="1">
      <c r="A194" s="125" t="s">
        <v>1273</v>
      </c>
      <c r="B194" s="125" t="s">
        <v>39</v>
      </c>
      <c r="C194" s="125" t="s">
        <v>326</v>
      </c>
      <c r="D194" s="125" t="str">
        <f t="shared" si="2"/>
        <v>1</v>
      </c>
      <c r="E194" s="125" t="s">
        <v>291</v>
      </c>
      <c r="F194" s="125" t="s">
        <v>290</v>
      </c>
      <c r="G194" s="125" t="s">
        <v>327</v>
      </c>
      <c r="H194" s="125" t="s">
        <v>325</v>
      </c>
      <c r="I194" s="125" t="s">
        <v>1274</v>
      </c>
      <c r="J194" s="126">
        <v>78082</v>
      </c>
      <c r="K194" s="127" t="s">
        <v>1275</v>
      </c>
      <c r="L194" s="126">
        <v>78082</v>
      </c>
      <c r="M194" s="126">
        <v>45947</v>
      </c>
      <c r="N194" s="126">
        <v>0</v>
      </c>
      <c r="O194" s="126">
        <v>0</v>
      </c>
      <c r="P194" s="126">
        <v>0</v>
      </c>
      <c r="Q194" s="126">
        <v>0</v>
      </c>
      <c r="R194" s="126">
        <v>45947</v>
      </c>
      <c r="S194" s="126">
        <v>0</v>
      </c>
    </row>
    <row r="195" spans="1:19" ht="15.75" customHeight="1" thickBot="1">
      <c r="A195" s="125" t="s">
        <v>1273</v>
      </c>
      <c r="B195" s="125" t="s">
        <v>1299</v>
      </c>
      <c r="C195" s="125" t="s">
        <v>719</v>
      </c>
      <c r="D195" s="125" t="str">
        <f t="shared" si="2"/>
        <v>2</v>
      </c>
      <c r="E195" s="125" t="s">
        <v>291</v>
      </c>
      <c r="F195" s="125" t="s">
        <v>290</v>
      </c>
      <c r="G195" s="125" t="s">
        <v>1003</v>
      </c>
      <c r="H195" s="125" t="s">
        <v>1300</v>
      </c>
      <c r="I195" s="125" t="s">
        <v>1301</v>
      </c>
      <c r="J195" s="126">
        <v>0</v>
      </c>
      <c r="K195" s="127" t="s">
        <v>1275</v>
      </c>
      <c r="L195" s="126">
        <v>0</v>
      </c>
      <c r="M195" s="126">
        <v>29385.279999999999</v>
      </c>
      <c r="N195" s="126">
        <v>0</v>
      </c>
      <c r="O195" s="126">
        <v>0</v>
      </c>
      <c r="P195" s="126">
        <v>0</v>
      </c>
      <c r="Q195" s="126">
        <v>0</v>
      </c>
      <c r="R195" s="126">
        <v>29385.279999999999</v>
      </c>
      <c r="S195" s="126">
        <v>0</v>
      </c>
    </row>
    <row r="196" spans="1:19" ht="15.75" customHeight="1" thickBot="1">
      <c r="A196" s="125" t="s">
        <v>1273</v>
      </c>
      <c r="B196" s="125" t="s">
        <v>336</v>
      </c>
      <c r="C196" s="125" t="s">
        <v>335</v>
      </c>
      <c r="D196" s="125" t="str">
        <f t="shared" si="2"/>
        <v>1</v>
      </c>
      <c r="E196" s="125" t="s">
        <v>291</v>
      </c>
      <c r="F196" s="125" t="s">
        <v>290</v>
      </c>
      <c r="G196" s="125" t="s">
        <v>336</v>
      </c>
      <c r="H196" s="125" t="s">
        <v>334</v>
      </c>
      <c r="I196" s="125" t="s">
        <v>1287</v>
      </c>
      <c r="J196" s="126">
        <v>39500</v>
      </c>
      <c r="K196" s="127" t="s">
        <v>1275</v>
      </c>
      <c r="L196" s="126">
        <v>39500</v>
      </c>
      <c r="M196" s="126">
        <v>23061.69</v>
      </c>
      <c r="N196" s="126">
        <v>0</v>
      </c>
      <c r="O196" s="126">
        <v>0</v>
      </c>
      <c r="P196" s="126">
        <v>0</v>
      </c>
      <c r="Q196" s="126">
        <v>0</v>
      </c>
      <c r="R196" s="126">
        <v>23061.69</v>
      </c>
      <c r="S196" s="126">
        <v>0</v>
      </c>
    </row>
    <row r="197" spans="1:19" ht="15.75" customHeight="1" thickBot="1">
      <c r="A197" s="125" t="s">
        <v>1273</v>
      </c>
      <c r="B197" s="125" t="s">
        <v>1336</v>
      </c>
      <c r="C197" s="125" t="s">
        <v>1047</v>
      </c>
      <c r="D197" s="125" t="str">
        <f t="shared" ref="D197:D245" si="3">LEFT(C197:C197,1)</f>
        <v>2</v>
      </c>
      <c r="E197" s="125" t="s">
        <v>291</v>
      </c>
      <c r="F197" s="125" t="s">
        <v>290</v>
      </c>
      <c r="G197" s="125" t="s">
        <v>1048</v>
      </c>
      <c r="H197" s="125" t="s">
        <v>1337</v>
      </c>
      <c r="I197" s="125" t="s">
        <v>1338</v>
      </c>
      <c r="J197" s="126">
        <v>50960</v>
      </c>
      <c r="K197" s="127" t="s">
        <v>1275</v>
      </c>
      <c r="L197" s="126">
        <v>50960</v>
      </c>
      <c r="M197" s="126">
        <v>31882.19</v>
      </c>
      <c r="N197" s="126">
        <v>0</v>
      </c>
      <c r="O197" s="126">
        <v>0</v>
      </c>
      <c r="P197" s="126">
        <v>0</v>
      </c>
      <c r="Q197" s="126">
        <v>0</v>
      </c>
      <c r="R197" s="126">
        <v>31882.19</v>
      </c>
      <c r="S197" s="126">
        <v>0</v>
      </c>
    </row>
    <row r="198" spans="1:19" ht="15.75" customHeight="1" thickBot="1">
      <c r="A198" s="125" t="s">
        <v>1273</v>
      </c>
      <c r="B198" s="125" t="s">
        <v>1741</v>
      </c>
      <c r="C198" s="125" t="s">
        <v>354</v>
      </c>
      <c r="D198" s="125" t="str">
        <f t="shared" si="3"/>
        <v>3</v>
      </c>
      <c r="E198" s="125" t="s">
        <v>291</v>
      </c>
      <c r="F198" s="125" t="s">
        <v>290</v>
      </c>
      <c r="G198" s="125" t="s">
        <v>355</v>
      </c>
      <c r="H198" s="125" t="s">
        <v>353</v>
      </c>
      <c r="I198" s="125" t="s">
        <v>1670</v>
      </c>
      <c r="J198" s="126">
        <v>47125</v>
      </c>
      <c r="K198" s="127" t="s">
        <v>1275</v>
      </c>
      <c r="L198" s="126">
        <v>47125</v>
      </c>
      <c r="M198" s="126">
        <v>27489.56</v>
      </c>
      <c r="N198" s="126">
        <v>0</v>
      </c>
      <c r="O198" s="126">
        <v>0</v>
      </c>
      <c r="P198" s="126">
        <v>0</v>
      </c>
      <c r="Q198" s="126">
        <v>0</v>
      </c>
      <c r="R198" s="126">
        <v>27489.56</v>
      </c>
      <c r="S198" s="126">
        <v>1.2</v>
      </c>
    </row>
    <row r="199" spans="1:19" ht="15.75" customHeight="1" thickBot="1">
      <c r="A199" s="125" t="s">
        <v>1273</v>
      </c>
      <c r="B199" s="125" t="s">
        <v>1855</v>
      </c>
      <c r="C199" s="125" t="s">
        <v>1134</v>
      </c>
      <c r="D199" s="125" t="str">
        <f t="shared" si="3"/>
        <v>5</v>
      </c>
      <c r="E199" s="125" t="s">
        <v>291</v>
      </c>
      <c r="F199" s="125" t="s">
        <v>290</v>
      </c>
      <c r="G199" s="125" t="s">
        <v>1135</v>
      </c>
      <c r="H199" s="125" t="s">
        <v>1856</v>
      </c>
      <c r="I199" s="125" t="s">
        <v>1857</v>
      </c>
      <c r="J199" s="126">
        <v>0</v>
      </c>
      <c r="K199" s="127" t="s">
        <v>1275</v>
      </c>
      <c r="L199" s="126">
        <v>0</v>
      </c>
      <c r="M199" s="126">
        <v>10000</v>
      </c>
      <c r="N199" s="126">
        <v>0</v>
      </c>
      <c r="O199" s="126">
        <v>0</v>
      </c>
      <c r="P199" s="126">
        <v>0</v>
      </c>
      <c r="Q199" s="126">
        <v>0</v>
      </c>
      <c r="R199" s="126">
        <v>10000</v>
      </c>
      <c r="S199" s="126">
        <v>0</v>
      </c>
    </row>
    <row r="200" spans="1:19" ht="15.75" customHeight="1" thickBot="1">
      <c r="A200" s="125" t="s">
        <v>1273</v>
      </c>
      <c r="B200" s="125" t="s">
        <v>1143</v>
      </c>
      <c r="C200" s="125" t="s">
        <v>953</v>
      </c>
      <c r="D200" s="125" t="str">
        <f t="shared" si="3"/>
        <v>5</v>
      </c>
      <c r="E200" s="125" t="s">
        <v>291</v>
      </c>
      <c r="F200" s="125" t="s">
        <v>290</v>
      </c>
      <c r="G200" s="125" t="s">
        <v>1859</v>
      </c>
      <c r="H200" s="125" t="s">
        <v>1860</v>
      </c>
      <c r="I200" s="125" t="s">
        <v>1858</v>
      </c>
      <c r="J200" s="126">
        <v>27275</v>
      </c>
      <c r="K200" s="127" t="s">
        <v>1275</v>
      </c>
      <c r="L200" s="126">
        <v>27275</v>
      </c>
      <c r="M200" s="126">
        <v>41275.86</v>
      </c>
      <c r="N200" s="126">
        <v>0</v>
      </c>
      <c r="O200" s="126">
        <v>0</v>
      </c>
      <c r="P200" s="126">
        <v>0</v>
      </c>
      <c r="Q200" s="126">
        <v>0</v>
      </c>
      <c r="R200" s="126">
        <v>41275.86</v>
      </c>
      <c r="S200" s="126">
        <v>0</v>
      </c>
    </row>
    <row r="201" spans="1:19" ht="15.75" customHeight="1" thickBot="1">
      <c r="A201" s="125" t="s">
        <v>1273</v>
      </c>
      <c r="B201" s="125" t="s">
        <v>1885</v>
      </c>
      <c r="C201" s="125" t="s">
        <v>1223</v>
      </c>
      <c r="D201" s="125" t="str">
        <f t="shared" si="3"/>
        <v>5</v>
      </c>
      <c r="E201" s="125" t="s">
        <v>291</v>
      </c>
      <c r="F201" s="125" t="s">
        <v>290</v>
      </c>
      <c r="G201" s="125" t="s">
        <v>1224</v>
      </c>
      <c r="H201" s="125" t="s">
        <v>1886</v>
      </c>
      <c r="I201" s="125" t="s">
        <v>1887</v>
      </c>
      <c r="J201" s="126">
        <v>0</v>
      </c>
      <c r="K201" s="127" t="s">
        <v>1275</v>
      </c>
      <c r="L201" s="126">
        <v>0</v>
      </c>
      <c r="M201" s="126">
        <v>10702.67</v>
      </c>
      <c r="N201" s="126">
        <v>0</v>
      </c>
      <c r="O201" s="126">
        <v>0</v>
      </c>
      <c r="P201" s="126">
        <v>0</v>
      </c>
      <c r="Q201" s="126">
        <v>0</v>
      </c>
      <c r="R201" s="126">
        <v>10702.67</v>
      </c>
      <c r="S201" s="126">
        <v>0</v>
      </c>
    </row>
    <row r="202" spans="1:19" ht="15.75" customHeight="1" thickBot="1">
      <c r="A202" s="125" t="s">
        <v>1273</v>
      </c>
      <c r="B202" s="125" t="s">
        <v>1143</v>
      </c>
      <c r="C202" s="125" t="s">
        <v>953</v>
      </c>
      <c r="D202" s="125" t="str">
        <f t="shared" si="3"/>
        <v>5</v>
      </c>
      <c r="E202" s="125" t="s">
        <v>291</v>
      </c>
      <c r="F202" s="125" t="s">
        <v>290</v>
      </c>
      <c r="G202" s="125" t="s">
        <v>1861</v>
      </c>
      <c r="H202" s="125" t="s">
        <v>1862</v>
      </c>
      <c r="I202" s="125" t="s">
        <v>1863</v>
      </c>
      <c r="J202" s="126">
        <v>0</v>
      </c>
      <c r="K202" s="127" t="s">
        <v>1275</v>
      </c>
      <c r="L202" s="126">
        <v>0</v>
      </c>
      <c r="M202" s="126">
        <v>5394.5</v>
      </c>
      <c r="N202" s="126">
        <v>0</v>
      </c>
      <c r="O202" s="126">
        <v>0</v>
      </c>
      <c r="P202" s="126">
        <v>0</v>
      </c>
      <c r="Q202" s="126">
        <v>0</v>
      </c>
      <c r="R202" s="126">
        <v>5394.5</v>
      </c>
      <c r="S202" s="126">
        <v>0</v>
      </c>
    </row>
    <row r="203" spans="1:19" ht="15.75" customHeight="1" thickBot="1">
      <c r="A203" s="125" t="s">
        <v>1273</v>
      </c>
      <c r="B203" s="125" t="s">
        <v>386</v>
      </c>
      <c r="C203" s="125" t="s">
        <v>385</v>
      </c>
      <c r="D203" s="125" t="str">
        <f t="shared" si="3"/>
        <v>2</v>
      </c>
      <c r="E203" s="125" t="s">
        <v>291</v>
      </c>
      <c r="F203" s="125" t="s">
        <v>290</v>
      </c>
      <c r="G203" s="125" t="s">
        <v>386</v>
      </c>
      <c r="H203" s="125" t="s">
        <v>384</v>
      </c>
      <c r="I203" s="125" t="s">
        <v>1302</v>
      </c>
      <c r="J203" s="126">
        <v>0</v>
      </c>
      <c r="K203" s="127" t="s">
        <v>1275</v>
      </c>
      <c r="L203" s="126">
        <v>0</v>
      </c>
      <c r="M203" s="126">
        <v>1406.76</v>
      </c>
      <c r="N203" s="126">
        <v>0</v>
      </c>
      <c r="O203" s="126">
        <v>0</v>
      </c>
      <c r="P203" s="126">
        <v>0</v>
      </c>
      <c r="Q203" s="126">
        <v>0</v>
      </c>
      <c r="R203" s="126">
        <v>1406.76</v>
      </c>
      <c r="S203" s="126">
        <v>0</v>
      </c>
    </row>
    <row r="204" spans="1:19" ht="15.75" customHeight="1" thickBot="1">
      <c r="A204" s="125" t="s">
        <v>1273</v>
      </c>
      <c r="B204" s="125" t="s">
        <v>392</v>
      </c>
      <c r="C204" s="125" t="s">
        <v>391</v>
      </c>
      <c r="D204" s="125" t="str">
        <f t="shared" si="3"/>
        <v>5</v>
      </c>
      <c r="E204" s="125" t="s">
        <v>291</v>
      </c>
      <c r="F204" s="125" t="s">
        <v>290</v>
      </c>
      <c r="G204" s="125" t="s">
        <v>392</v>
      </c>
      <c r="H204" s="125" t="s">
        <v>390</v>
      </c>
      <c r="I204" s="125" t="s">
        <v>1875</v>
      </c>
      <c r="J204" s="126">
        <v>0</v>
      </c>
      <c r="K204" s="127" t="s">
        <v>1275</v>
      </c>
      <c r="L204" s="126">
        <v>0</v>
      </c>
      <c r="M204" s="126">
        <v>17024.080000000002</v>
      </c>
      <c r="N204" s="126">
        <v>0</v>
      </c>
      <c r="O204" s="126">
        <v>0</v>
      </c>
      <c r="P204" s="126">
        <v>0</v>
      </c>
      <c r="Q204" s="126">
        <v>0</v>
      </c>
      <c r="R204" s="126">
        <v>17024.080000000002</v>
      </c>
      <c r="S204" s="126">
        <v>0</v>
      </c>
    </row>
    <row r="205" spans="1:19" ht="15.75" customHeight="1" thickBot="1">
      <c r="A205" s="125" t="s">
        <v>1273</v>
      </c>
      <c r="B205" s="125" t="s">
        <v>392</v>
      </c>
      <c r="C205" s="125" t="s">
        <v>391</v>
      </c>
      <c r="D205" s="125" t="str">
        <f t="shared" si="3"/>
        <v>5</v>
      </c>
      <c r="E205" s="125" t="s">
        <v>291</v>
      </c>
      <c r="F205" s="125" t="s">
        <v>290</v>
      </c>
      <c r="G205" s="125" t="s">
        <v>1138</v>
      </c>
      <c r="H205" s="125" t="s">
        <v>1880</v>
      </c>
      <c r="I205" s="125" t="s">
        <v>1875</v>
      </c>
      <c r="J205" s="126">
        <v>51495</v>
      </c>
      <c r="K205" s="127" t="s">
        <v>1275</v>
      </c>
      <c r="L205" s="126">
        <v>51495</v>
      </c>
      <c r="M205" s="126">
        <v>39775.67</v>
      </c>
      <c r="N205" s="126">
        <v>0</v>
      </c>
      <c r="O205" s="126">
        <v>0</v>
      </c>
      <c r="P205" s="126">
        <v>0</v>
      </c>
      <c r="Q205" s="126">
        <v>0</v>
      </c>
      <c r="R205" s="126">
        <v>39775.67</v>
      </c>
      <c r="S205" s="126">
        <v>0</v>
      </c>
    </row>
    <row r="206" spans="1:19" ht="15.75" customHeight="1" thickBot="1">
      <c r="A206" s="125" t="s">
        <v>1273</v>
      </c>
      <c r="B206" s="125" t="s">
        <v>1453</v>
      </c>
      <c r="C206" s="125" t="s">
        <v>738</v>
      </c>
      <c r="D206" s="125" t="str">
        <f t="shared" si="3"/>
        <v>2</v>
      </c>
      <c r="E206" s="125" t="s">
        <v>291</v>
      </c>
      <c r="F206" s="125" t="s">
        <v>290</v>
      </c>
      <c r="G206" s="125" t="s">
        <v>739</v>
      </c>
      <c r="H206" s="125" t="s">
        <v>737</v>
      </c>
      <c r="I206" s="125" t="s">
        <v>1454</v>
      </c>
      <c r="J206" s="126">
        <v>0</v>
      </c>
      <c r="K206" s="127" t="s">
        <v>1275</v>
      </c>
      <c r="L206" s="126">
        <v>0</v>
      </c>
      <c r="M206" s="126">
        <v>3963.83</v>
      </c>
      <c r="N206" s="126">
        <v>0</v>
      </c>
      <c r="O206" s="126">
        <v>0</v>
      </c>
      <c r="P206" s="126">
        <v>0</v>
      </c>
      <c r="Q206" s="126">
        <v>0</v>
      </c>
      <c r="R206" s="126">
        <v>3963.83</v>
      </c>
      <c r="S206" s="126">
        <v>0</v>
      </c>
    </row>
    <row r="207" spans="1:19" ht="15.75" customHeight="1" thickBot="1">
      <c r="A207" s="125" t="s">
        <v>1273</v>
      </c>
      <c r="B207" s="125" t="s">
        <v>1477</v>
      </c>
      <c r="C207" s="125" t="s">
        <v>746</v>
      </c>
      <c r="D207" s="125" t="str">
        <f t="shared" si="3"/>
        <v>2</v>
      </c>
      <c r="E207" s="125" t="s">
        <v>291</v>
      </c>
      <c r="F207" s="125" t="s">
        <v>290</v>
      </c>
      <c r="G207" s="125" t="s">
        <v>747</v>
      </c>
      <c r="H207" s="125" t="s">
        <v>745</v>
      </c>
      <c r="I207" s="125" t="s">
        <v>1352</v>
      </c>
      <c r="J207" s="126">
        <v>0</v>
      </c>
      <c r="K207" s="127" t="s">
        <v>1275</v>
      </c>
      <c r="L207" s="126">
        <v>0</v>
      </c>
      <c r="M207" s="126">
        <v>2926.41</v>
      </c>
      <c r="N207" s="126">
        <v>0</v>
      </c>
      <c r="O207" s="126">
        <v>0</v>
      </c>
      <c r="P207" s="126">
        <v>0</v>
      </c>
      <c r="Q207" s="126">
        <v>0</v>
      </c>
      <c r="R207" s="126">
        <v>2926.41</v>
      </c>
      <c r="S207" s="126">
        <v>0</v>
      </c>
    </row>
    <row r="208" spans="1:19" ht="15.75" customHeight="1" thickBot="1">
      <c r="A208" s="125" t="s">
        <v>1273</v>
      </c>
      <c r="B208" s="125" t="s">
        <v>1527</v>
      </c>
      <c r="C208" s="125" t="s">
        <v>750</v>
      </c>
      <c r="D208" s="125" t="str">
        <f t="shared" si="3"/>
        <v>2</v>
      </c>
      <c r="E208" s="125" t="s">
        <v>291</v>
      </c>
      <c r="F208" s="125" t="s">
        <v>290</v>
      </c>
      <c r="G208" s="125" t="s">
        <v>751</v>
      </c>
      <c r="H208" s="125" t="s">
        <v>749</v>
      </c>
      <c r="I208" s="125" t="s">
        <v>1301</v>
      </c>
      <c r="J208" s="126">
        <v>0</v>
      </c>
      <c r="K208" s="127" t="s">
        <v>1275</v>
      </c>
      <c r="L208" s="126">
        <v>0</v>
      </c>
      <c r="M208" s="126">
        <v>1229.3800000000001</v>
      </c>
      <c r="N208" s="126">
        <v>0</v>
      </c>
      <c r="O208" s="126">
        <v>0</v>
      </c>
      <c r="P208" s="126">
        <v>0</v>
      </c>
      <c r="Q208" s="126">
        <v>0</v>
      </c>
      <c r="R208" s="126">
        <v>1229.3800000000001</v>
      </c>
      <c r="S208" s="126">
        <v>0</v>
      </c>
    </row>
    <row r="209" spans="1:19" ht="15.75" customHeight="1" thickBot="1">
      <c r="A209" s="125" t="s">
        <v>1273</v>
      </c>
      <c r="B209" s="125" t="s">
        <v>1143</v>
      </c>
      <c r="C209" s="125" t="s">
        <v>953</v>
      </c>
      <c r="D209" s="125" t="str">
        <f t="shared" si="3"/>
        <v>5</v>
      </c>
      <c r="E209" s="125" t="s">
        <v>291</v>
      </c>
      <c r="F209" s="125" t="s">
        <v>290</v>
      </c>
      <c r="G209" s="125" t="s">
        <v>954</v>
      </c>
      <c r="H209" s="125" t="s">
        <v>952</v>
      </c>
      <c r="I209" s="125" t="s">
        <v>1858</v>
      </c>
      <c r="J209" s="126">
        <v>0</v>
      </c>
      <c r="K209" s="127" t="s">
        <v>1275</v>
      </c>
      <c r="L209" s="126">
        <v>0</v>
      </c>
      <c r="M209" s="126">
        <v>2970.92</v>
      </c>
      <c r="N209" s="126">
        <v>0</v>
      </c>
      <c r="O209" s="126">
        <v>0</v>
      </c>
      <c r="P209" s="126">
        <v>0</v>
      </c>
      <c r="Q209" s="126">
        <v>0</v>
      </c>
      <c r="R209" s="126">
        <v>2970.92</v>
      </c>
      <c r="S209" s="126">
        <v>0</v>
      </c>
    </row>
    <row r="210" spans="1:19" ht="15.75" customHeight="1" thickBot="1">
      <c r="A210" s="125" t="s">
        <v>1273</v>
      </c>
      <c r="B210" s="125" t="s">
        <v>336</v>
      </c>
      <c r="C210" s="125" t="s">
        <v>335</v>
      </c>
      <c r="D210" s="125" t="str">
        <f t="shared" si="3"/>
        <v>1</v>
      </c>
      <c r="E210" s="125" t="s">
        <v>202</v>
      </c>
      <c r="F210" s="125" t="s">
        <v>201</v>
      </c>
      <c r="G210" s="125" t="s">
        <v>336</v>
      </c>
      <c r="H210" s="125" t="s">
        <v>334</v>
      </c>
      <c r="I210" s="125" t="s">
        <v>1287</v>
      </c>
      <c r="J210" s="126">
        <v>2984</v>
      </c>
      <c r="K210" s="127" t="s">
        <v>1275</v>
      </c>
      <c r="L210" s="126">
        <v>2984</v>
      </c>
      <c r="M210" s="126">
        <v>440</v>
      </c>
      <c r="N210" s="126">
        <v>2921.76</v>
      </c>
      <c r="O210" s="126">
        <v>0</v>
      </c>
      <c r="P210" s="126">
        <v>0</v>
      </c>
      <c r="Q210" s="126">
        <v>0</v>
      </c>
      <c r="R210" s="126">
        <v>3361.76</v>
      </c>
      <c r="S210" s="126">
        <v>23937.25</v>
      </c>
    </row>
    <row r="211" spans="1:19" ht="15.75" customHeight="1" thickBot="1">
      <c r="A211" s="125" t="s">
        <v>1273</v>
      </c>
      <c r="B211" s="125" t="s">
        <v>1820</v>
      </c>
      <c r="C211" s="125" t="s">
        <v>1821</v>
      </c>
      <c r="D211" s="125" t="str">
        <f t="shared" si="3"/>
        <v>4</v>
      </c>
      <c r="E211" s="125" t="s">
        <v>202</v>
      </c>
      <c r="F211" s="125" t="s">
        <v>201</v>
      </c>
      <c r="G211" s="125" t="s">
        <v>1822</v>
      </c>
      <c r="H211" s="125" t="s">
        <v>1823</v>
      </c>
      <c r="I211" s="125" t="s">
        <v>1824</v>
      </c>
      <c r="J211" s="126">
        <v>8544.44</v>
      </c>
      <c r="K211" s="126">
        <v>8544.44</v>
      </c>
      <c r="L211" s="126">
        <v>0</v>
      </c>
      <c r="M211" s="126">
        <v>0</v>
      </c>
      <c r="N211" s="126">
        <v>0</v>
      </c>
      <c r="O211" s="126">
        <v>0</v>
      </c>
      <c r="P211" s="126">
        <v>-8544.44</v>
      </c>
      <c r="Q211" s="126">
        <v>0</v>
      </c>
      <c r="R211" s="126">
        <v>-8544.44</v>
      </c>
      <c r="S211" s="126">
        <v>17088.88</v>
      </c>
    </row>
    <row r="212" spans="1:19" ht="15.75" customHeight="1" thickBot="1">
      <c r="A212" s="125" t="s">
        <v>1273</v>
      </c>
      <c r="B212" s="125" t="s">
        <v>1699</v>
      </c>
      <c r="C212" s="125" t="s">
        <v>347</v>
      </c>
      <c r="D212" s="125" t="str">
        <f t="shared" si="3"/>
        <v>3</v>
      </c>
      <c r="E212" s="125" t="s">
        <v>202</v>
      </c>
      <c r="F212" s="125" t="s">
        <v>201</v>
      </c>
      <c r="G212" s="125" t="s">
        <v>348</v>
      </c>
      <c r="H212" s="125" t="s">
        <v>346</v>
      </c>
      <c r="I212" s="125" t="s">
        <v>1692</v>
      </c>
      <c r="J212" s="126">
        <v>0</v>
      </c>
      <c r="K212" s="127" t="s">
        <v>1275</v>
      </c>
      <c r="L212" s="126">
        <v>0</v>
      </c>
      <c r="M212" s="126">
        <v>469.24</v>
      </c>
      <c r="N212" s="126">
        <v>0</v>
      </c>
      <c r="O212" s="126">
        <v>0</v>
      </c>
      <c r="P212" s="126">
        <v>0</v>
      </c>
      <c r="Q212" s="126">
        <v>0</v>
      </c>
      <c r="R212" s="126">
        <v>469.24</v>
      </c>
      <c r="S212" s="126">
        <v>10858.76</v>
      </c>
    </row>
    <row r="213" spans="1:19" ht="15.75" customHeight="1" thickBot="1">
      <c r="A213" s="125" t="s">
        <v>1273</v>
      </c>
      <c r="B213" s="125" t="s">
        <v>1741</v>
      </c>
      <c r="C213" s="125" t="s">
        <v>354</v>
      </c>
      <c r="D213" s="125" t="str">
        <f t="shared" si="3"/>
        <v>3</v>
      </c>
      <c r="E213" s="125" t="s">
        <v>202</v>
      </c>
      <c r="F213" s="125" t="s">
        <v>201</v>
      </c>
      <c r="G213" s="125" t="s">
        <v>355</v>
      </c>
      <c r="H213" s="125" t="s">
        <v>353</v>
      </c>
      <c r="I213" s="125" t="s">
        <v>1670</v>
      </c>
      <c r="J213" s="126">
        <v>0</v>
      </c>
      <c r="K213" s="127" t="s">
        <v>1275</v>
      </c>
      <c r="L213" s="126">
        <v>0</v>
      </c>
      <c r="M213" s="126">
        <v>120</v>
      </c>
      <c r="N213" s="126">
        <v>0</v>
      </c>
      <c r="O213" s="126">
        <v>0</v>
      </c>
      <c r="P213" s="126">
        <v>0</v>
      </c>
      <c r="Q213" s="126">
        <v>0</v>
      </c>
      <c r="R213" s="126">
        <v>120</v>
      </c>
      <c r="S213" s="126">
        <v>7309.79</v>
      </c>
    </row>
    <row r="214" spans="1:19" ht="15.75" customHeight="1" thickBot="1">
      <c r="A214" s="125" t="s">
        <v>1273</v>
      </c>
      <c r="B214" s="125" t="s">
        <v>1807</v>
      </c>
      <c r="C214" s="125" t="s">
        <v>368</v>
      </c>
      <c r="D214" s="125" t="str">
        <f t="shared" si="3"/>
        <v>3</v>
      </c>
      <c r="E214" s="125" t="s">
        <v>202</v>
      </c>
      <c r="F214" s="125" t="s">
        <v>201</v>
      </c>
      <c r="G214" s="125" t="s">
        <v>369</v>
      </c>
      <c r="H214" s="125" t="s">
        <v>367</v>
      </c>
      <c r="I214" s="125" t="s">
        <v>1808</v>
      </c>
      <c r="J214" s="126">
        <v>0</v>
      </c>
      <c r="K214" s="127" t="s">
        <v>1275</v>
      </c>
      <c r="L214" s="126">
        <v>0</v>
      </c>
      <c r="M214" s="126">
        <v>740</v>
      </c>
      <c r="N214" s="126">
        <v>0</v>
      </c>
      <c r="O214" s="126">
        <v>0</v>
      </c>
      <c r="P214" s="126">
        <v>0</v>
      </c>
      <c r="Q214" s="126">
        <v>0</v>
      </c>
      <c r="R214" s="126">
        <v>740</v>
      </c>
      <c r="S214" s="126">
        <v>22673.33</v>
      </c>
    </row>
    <row r="215" spans="1:19" ht="15.75" customHeight="1" thickBot="1">
      <c r="A215" s="125" t="s">
        <v>1273</v>
      </c>
      <c r="B215" s="125" t="s">
        <v>381</v>
      </c>
      <c r="C215" s="125" t="s">
        <v>380</v>
      </c>
      <c r="D215" s="125" t="str">
        <f t="shared" si="3"/>
        <v>3</v>
      </c>
      <c r="E215" s="125" t="s">
        <v>202</v>
      </c>
      <c r="F215" s="125" t="s">
        <v>201</v>
      </c>
      <c r="G215" s="125" t="s">
        <v>381</v>
      </c>
      <c r="H215" s="125" t="s">
        <v>379</v>
      </c>
      <c r="I215" s="125" t="s">
        <v>1812</v>
      </c>
      <c r="J215" s="126">
        <v>0</v>
      </c>
      <c r="K215" s="127" t="s">
        <v>1275</v>
      </c>
      <c r="L215" s="126">
        <v>0</v>
      </c>
      <c r="M215" s="126">
        <v>280</v>
      </c>
      <c r="N215" s="126">
        <v>0</v>
      </c>
      <c r="O215" s="126">
        <v>0</v>
      </c>
      <c r="P215" s="126">
        <v>0</v>
      </c>
      <c r="Q215" s="126">
        <v>0</v>
      </c>
      <c r="R215" s="126">
        <v>280</v>
      </c>
      <c r="S215" s="126">
        <v>6724</v>
      </c>
    </row>
    <row r="216" spans="1:19" ht="15.75" customHeight="1" thickBot="1">
      <c r="A216" s="125" t="s">
        <v>1273</v>
      </c>
      <c r="B216" s="125" t="s">
        <v>1093</v>
      </c>
      <c r="C216" s="129">
        <v>3181</v>
      </c>
      <c r="D216" s="125" t="str">
        <f t="shared" si="3"/>
        <v>3</v>
      </c>
      <c r="E216" s="125" t="s">
        <v>202</v>
      </c>
      <c r="F216" s="125" t="s">
        <v>201</v>
      </c>
      <c r="G216" s="125" t="s">
        <v>1093</v>
      </c>
      <c r="H216" s="125" t="s">
        <v>1752</v>
      </c>
      <c r="I216" s="128"/>
      <c r="J216" s="126">
        <v>80657</v>
      </c>
      <c r="K216" s="127" t="s">
        <v>1275</v>
      </c>
      <c r="L216" s="126">
        <v>80657</v>
      </c>
      <c r="M216" s="126">
        <v>49039.25</v>
      </c>
      <c r="N216" s="126">
        <v>14214.5</v>
      </c>
      <c r="O216" s="126">
        <v>0</v>
      </c>
      <c r="P216" s="126">
        <v>0</v>
      </c>
      <c r="Q216" s="126">
        <v>0</v>
      </c>
      <c r="R216" s="126">
        <v>63253.75</v>
      </c>
      <c r="S216" s="126">
        <v>3999.41</v>
      </c>
    </row>
    <row r="217" spans="1:19" ht="15.75" customHeight="1" thickBot="1">
      <c r="A217" s="125" t="s">
        <v>1273</v>
      </c>
      <c r="B217" s="125" t="s">
        <v>1097</v>
      </c>
      <c r="C217" s="125" t="s">
        <v>1096</v>
      </c>
      <c r="D217" s="125" t="str">
        <f t="shared" si="3"/>
        <v>3</v>
      </c>
      <c r="E217" s="125" t="s">
        <v>202</v>
      </c>
      <c r="F217" s="125" t="s">
        <v>201</v>
      </c>
      <c r="G217" s="125" t="s">
        <v>1097</v>
      </c>
      <c r="H217" s="125" t="s">
        <v>1815</v>
      </c>
      <c r="I217" s="125" t="s">
        <v>1816</v>
      </c>
      <c r="J217" s="126">
        <v>25139</v>
      </c>
      <c r="K217" s="127" t="s">
        <v>1275</v>
      </c>
      <c r="L217" s="126">
        <v>25139</v>
      </c>
      <c r="M217" s="126">
        <v>11136.25</v>
      </c>
      <c r="N217" s="126">
        <v>15455</v>
      </c>
      <c r="O217" s="126">
        <v>0</v>
      </c>
      <c r="P217" s="126">
        <v>0</v>
      </c>
      <c r="Q217" s="126">
        <v>0</v>
      </c>
      <c r="R217" s="126">
        <v>26591.25</v>
      </c>
      <c r="S217" s="126">
        <v>3022.14</v>
      </c>
    </row>
    <row r="218" spans="1:19" ht="15.75" customHeight="1" thickBot="1">
      <c r="A218" s="125" t="s">
        <v>1273</v>
      </c>
      <c r="B218" s="125" t="s">
        <v>1143</v>
      </c>
      <c r="C218" s="125" t="s">
        <v>953</v>
      </c>
      <c r="D218" s="125" t="str">
        <f t="shared" si="3"/>
        <v>5</v>
      </c>
      <c r="E218" s="125" t="s">
        <v>202</v>
      </c>
      <c r="F218" s="125" t="s">
        <v>201</v>
      </c>
      <c r="G218" s="125" t="s">
        <v>1859</v>
      </c>
      <c r="H218" s="125" t="s">
        <v>1860</v>
      </c>
      <c r="I218" s="125" t="s">
        <v>1858</v>
      </c>
      <c r="J218" s="126">
        <v>0</v>
      </c>
      <c r="K218" s="127" t="s">
        <v>1275</v>
      </c>
      <c r="L218" s="126">
        <v>0</v>
      </c>
      <c r="M218" s="126">
        <v>5485.5</v>
      </c>
      <c r="N218" s="126">
        <v>0</v>
      </c>
      <c r="O218" s="126">
        <v>0</v>
      </c>
      <c r="P218" s="126">
        <v>0</v>
      </c>
      <c r="Q218" s="126">
        <v>0</v>
      </c>
      <c r="R218" s="126">
        <v>5485.5</v>
      </c>
      <c r="S218" s="126">
        <v>0</v>
      </c>
    </row>
    <row r="219" spans="1:19" ht="15.75" customHeight="1" thickBot="1">
      <c r="A219" s="125" t="s">
        <v>1273</v>
      </c>
      <c r="B219" s="125" t="s">
        <v>1885</v>
      </c>
      <c r="C219" s="125" t="s">
        <v>1223</v>
      </c>
      <c r="D219" s="125" t="str">
        <f t="shared" si="3"/>
        <v>5</v>
      </c>
      <c r="E219" s="125" t="s">
        <v>202</v>
      </c>
      <c r="F219" s="125" t="s">
        <v>201</v>
      </c>
      <c r="G219" s="125" t="s">
        <v>1224</v>
      </c>
      <c r="H219" s="125" t="s">
        <v>1886</v>
      </c>
      <c r="I219" s="125" t="s">
        <v>1887</v>
      </c>
      <c r="J219" s="126">
        <v>128672</v>
      </c>
      <c r="K219" s="127" t="s">
        <v>1275</v>
      </c>
      <c r="L219" s="126">
        <v>128672</v>
      </c>
      <c r="M219" s="126">
        <v>122732.54</v>
      </c>
      <c r="N219" s="126">
        <v>0</v>
      </c>
      <c r="O219" s="126">
        <v>0</v>
      </c>
      <c r="P219" s="126">
        <v>0</v>
      </c>
      <c r="Q219" s="126">
        <v>0</v>
      </c>
      <c r="R219" s="126">
        <v>122732.54</v>
      </c>
      <c r="S219" s="126">
        <v>479.38</v>
      </c>
    </row>
    <row r="220" spans="1:19" ht="15.75" customHeight="1" thickBot="1">
      <c r="A220" s="125" t="s">
        <v>1273</v>
      </c>
      <c r="B220" s="125" t="s">
        <v>1143</v>
      </c>
      <c r="C220" s="125" t="s">
        <v>953</v>
      </c>
      <c r="D220" s="125" t="str">
        <f t="shared" si="3"/>
        <v>5</v>
      </c>
      <c r="E220" s="125" t="s">
        <v>202</v>
      </c>
      <c r="F220" s="125" t="s">
        <v>201</v>
      </c>
      <c r="G220" s="125" t="s">
        <v>1861</v>
      </c>
      <c r="H220" s="125" t="s">
        <v>1862</v>
      </c>
      <c r="I220" s="125" t="s">
        <v>1863</v>
      </c>
      <c r="J220" s="126">
        <v>106272</v>
      </c>
      <c r="K220" s="127" t="s">
        <v>1275</v>
      </c>
      <c r="L220" s="126">
        <v>106272</v>
      </c>
      <c r="M220" s="126">
        <v>66217.600000000006</v>
      </c>
      <c r="N220" s="126">
        <v>17514.8</v>
      </c>
      <c r="O220" s="126">
        <v>0</v>
      </c>
      <c r="P220" s="126">
        <v>0</v>
      </c>
      <c r="Q220" s="126">
        <v>0</v>
      </c>
      <c r="R220" s="126">
        <v>83732.399999999994</v>
      </c>
      <c r="S220" s="126">
        <v>-457.48</v>
      </c>
    </row>
    <row r="221" spans="1:19" ht="15.75" customHeight="1" thickBot="1">
      <c r="A221" s="125" t="s">
        <v>1273</v>
      </c>
      <c r="B221" s="125" t="s">
        <v>1527</v>
      </c>
      <c r="C221" s="125" t="s">
        <v>750</v>
      </c>
      <c r="D221" s="125" t="str">
        <f t="shared" si="3"/>
        <v>2</v>
      </c>
      <c r="E221" s="125" t="s">
        <v>202</v>
      </c>
      <c r="F221" s="125" t="s">
        <v>201</v>
      </c>
      <c r="G221" s="125" t="s">
        <v>882</v>
      </c>
      <c r="H221" s="125" t="s">
        <v>881</v>
      </c>
      <c r="I221" s="125" t="s">
        <v>1301</v>
      </c>
      <c r="J221" s="126">
        <v>26898</v>
      </c>
      <c r="K221" s="127" t="s">
        <v>1275</v>
      </c>
      <c r="L221" s="126">
        <v>26898</v>
      </c>
      <c r="M221" s="126">
        <v>22355.26</v>
      </c>
      <c r="N221" s="126">
        <v>1566</v>
      </c>
      <c r="O221" s="126">
        <v>0</v>
      </c>
      <c r="P221" s="126">
        <v>0</v>
      </c>
      <c r="Q221" s="126">
        <v>0</v>
      </c>
      <c r="R221" s="126">
        <v>23921.26</v>
      </c>
      <c r="S221" s="126">
        <v>2873.8</v>
      </c>
    </row>
    <row r="222" spans="1:19" ht="15.75" thickBot="1">
      <c r="A222" s="125" t="s">
        <v>1905</v>
      </c>
      <c r="B222" s="125" t="s">
        <v>1527</v>
      </c>
      <c r="C222" s="125" t="s">
        <v>750</v>
      </c>
      <c r="D222" s="125" t="str">
        <f t="shared" si="3"/>
        <v>2</v>
      </c>
      <c r="E222" s="125" t="s">
        <v>202</v>
      </c>
      <c r="F222" s="125" t="s">
        <v>201</v>
      </c>
      <c r="G222" s="125" t="s">
        <v>882</v>
      </c>
      <c r="H222" s="125" t="s">
        <v>881</v>
      </c>
      <c r="I222" s="125" t="s">
        <v>1301</v>
      </c>
      <c r="J222" s="126">
        <v>26898</v>
      </c>
      <c r="K222" s="127" t="s">
        <v>1275</v>
      </c>
      <c r="L222" s="126">
        <v>26898</v>
      </c>
      <c r="M222" s="126">
        <v>13435.89</v>
      </c>
      <c r="N222" s="126">
        <v>4371.3900000000003</v>
      </c>
      <c r="O222" s="126">
        <v>0</v>
      </c>
      <c r="P222" s="126">
        <v>0</v>
      </c>
      <c r="Q222" s="126">
        <v>0</v>
      </c>
      <c r="R222" s="126">
        <v>17807.28</v>
      </c>
      <c r="S222" s="126">
        <v>9090.7199999999993</v>
      </c>
    </row>
    <row r="223" spans="1:19" ht="15.75" customHeight="1" thickBot="1">
      <c r="A223" s="125" t="s">
        <v>1273</v>
      </c>
      <c r="B223" s="125" t="s">
        <v>392</v>
      </c>
      <c r="C223" s="125" t="s">
        <v>391</v>
      </c>
      <c r="D223" s="125" t="str">
        <f t="shared" si="3"/>
        <v>5</v>
      </c>
      <c r="E223" s="125" t="s">
        <v>202</v>
      </c>
      <c r="F223" s="125" t="s">
        <v>201</v>
      </c>
      <c r="G223" s="125" t="s">
        <v>392</v>
      </c>
      <c r="H223" s="125" t="s">
        <v>390</v>
      </c>
      <c r="I223" s="125" t="s">
        <v>1875</v>
      </c>
      <c r="J223" s="126">
        <v>0</v>
      </c>
      <c r="K223" s="127" t="s">
        <v>1275</v>
      </c>
      <c r="L223" s="126">
        <v>0</v>
      </c>
      <c r="M223" s="126">
        <v>3978.33</v>
      </c>
      <c r="N223" s="126">
        <v>0</v>
      </c>
      <c r="O223" s="126">
        <v>0</v>
      </c>
      <c r="P223" s="126">
        <v>0</v>
      </c>
      <c r="Q223" s="126">
        <v>0</v>
      </c>
      <c r="R223" s="126">
        <v>3978.33</v>
      </c>
      <c r="S223" s="126">
        <v>0</v>
      </c>
    </row>
    <row r="224" spans="1:19" ht="15.75" customHeight="1" thickBot="1">
      <c r="A224" s="125" t="s">
        <v>1273</v>
      </c>
      <c r="B224" s="125" t="s">
        <v>1293</v>
      </c>
      <c r="C224" s="125" t="s">
        <v>1163</v>
      </c>
      <c r="D224" s="125" t="str">
        <f t="shared" si="3"/>
        <v>1</v>
      </c>
      <c r="E224" s="125" t="s">
        <v>202</v>
      </c>
      <c r="F224" s="125" t="s">
        <v>201</v>
      </c>
      <c r="G224" s="125" t="s">
        <v>1294</v>
      </c>
      <c r="H224" s="125" t="s">
        <v>1295</v>
      </c>
      <c r="I224" s="125" t="s">
        <v>1296</v>
      </c>
      <c r="J224" s="126">
        <v>6934</v>
      </c>
      <c r="K224" s="127" t="s">
        <v>1275</v>
      </c>
      <c r="L224" s="126">
        <v>6934</v>
      </c>
      <c r="M224" s="126">
        <v>0</v>
      </c>
      <c r="N224" s="126">
        <v>0</v>
      </c>
      <c r="O224" s="126">
        <v>1800</v>
      </c>
      <c r="P224" s="126">
        <v>4253.09</v>
      </c>
      <c r="Q224" s="126">
        <v>261.7</v>
      </c>
      <c r="R224" s="126">
        <v>6314.79</v>
      </c>
      <c r="S224" s="126">
        <v>239.59</v>
      </c>
    </row>
    <row r="225" spans="1:19" ht="15.75" thickBot="1">
      <c r="A225" s="125" t="s">
        <v>1905</v>
      </c>
      <c r="B225" s="125" t="s">
        <v>1293</v>
      </c>
      <c r="C225" s="125" t="s">
        <v>1163</v>
      </c>
      <c r="D225" s="125" t="str">
        <f t="shared" si="3"/>
        <v>1</v>
      </c>
      <c r="E225" s="125" t="s">
        <v>202</v>
      </c>
      <c r="F225" s="125" t="s">
        <v>201</v>
      </c>
      <c r="G225" s="125" t="s">
        <v>1294</v>
      </c>
      <c r="H225" s="125" t="s">
        <v>1295</v>
      </c>
      <c r="I225" s="125" t="s">
        <v>1296</v>
      </c>
      <c r="J225" s="126">
        <v>261.7</v>
      </c>
      <c r="K225" s="126">
        <v>261.7</v>
      </c>
      <c r="L225" s="126">
        <v>0</v>
      </c>
      <c r="M225" s="126">
        <v>0</v>
      </c>
      <c r="N225" s="126">
        <v>0</v>
      </c>
      <c r="O225" s="126">
        <v>0</v>
      </c>
      <c r="P225" s="126">
        <v>261.7</v>
      </c>
      <c r="Q225" s="126">
        <v>0</v>
      </c>
      <c r="R225" s="126">
        <v>261.7</v>
      </c>
      <c r="S225" s="126">
        <v>0</v>
      </c>
    </row>
    <row r="226" spans="1:19" ht="15.75" customHeight="1" thickBot="1">
      <c r="A226" s="125" t="s">
        <v>1273</v>
      </c>
      <c r="B226" s="125" t="s">
        <v>487</v>
      </c>
      <c r="C226" s="125" t="s">
        <v>486</v>
      </c>
      <c r="D226" s="125" t="str">
        <f t="shared" si="3"/>
        <v>2</v>
      </c>
      <c r="E226" s="125" t="s">
        <v>202</v>
      </c>
      <c r="F226" s="125" t="s">
        <v>201</v>
      </c>
      <c r="G226" s="125" t="s">
        <v>1385</v>
      </c>
      <c r="H226" s="125" t="s">
        <v>1386</v>
      </c>
      <c r="I226" s="125" t="s">
        <v>1381</v>
      </c>
      <c r="J226" s="126">
        <v>14174</v>
      </c>
      <c r="K226" s="127" t="s">
        <v>1275</v>
      </c>
      <c r="L226" s="126">
        <v>14174</v>
      </c>
      <c r="M226" s="126">
        <v>0</v>
      </c>
      <c r="N226" s="126">
        <v>13629.84</v>
      </c>
      <c r="O226" s="126">
        <v>0</v>
      </c>
      <c r="P226" s="126">
        <v>0</v>
      </c>
      <c r="Q226" s="126">
        <v>0</v>
      </c>
      <c r="R226" s="126">
        <v>13629.84</v>
      </c>
      <c r="S226" s="126">
        <v>260.68</v>
      </c>
    </row>
    <row r="227" spans="1:19" ht="15.75" customHeight="1" thickBot="1">
      <c r="A227" s="125" t="s">
        <v>1273</v>
      </c>
      <c r="B227" s="125" t="s">
        <v>526</v>
      </c>
      <c r="C227" s="125" t="s">
        <v>525</v>
      </c>
      <c r="D227" s="125" t="str">
        <f t="shared" si="3"/>
        <v>2</v>
      </c>
      <c r="E227" s="125" t="s">
        <v>202</v>
      </c>
      <c r="F227" s="125" t="s">
        <v>201</v>
      </c>
      <c r="G227" s="125" t="s">
        <v>1404</v>
      </c>
      <c r="H227" s="125" t="s">
        <v>1405</v>
      </c>
      <c r="I227" s="125" t="s">
        <v>1403</v>
      </c>
      <c r="J227" s="126">
        <v>8504</v>
      </c>
      <c r="K227" s="127" t="s">
        <v>1275</v>
      </c>
      <c r="L227" s="126">
        <v>8504</v>
      </c>
      <c r="M227" s="126">
        <v>0</v>
      </c>
      <c r="N227" s="126">
        <v>8278.84</v>
      </c>
      <c r="O227" s="126">
        <v>0</v>
      </c>
      <c r="P227" s="126">
        <v>0</v>
      </c>
      <c r="Q227" s="126">
        <v>0</v>
      </c>
      <c r="R227" s="126">
        <v>8278.84</v>
      </c>
      <c r="S227" s="126">
        <v>55.08</v>
      </c>
    </row>
    <row r="228" spans="1:19" ht="15.75" customHeight="1" thickBot="1">
      <c r="A228" s="125" t="s">
        <v>1273</v>
      </c>
      <c r="B228" s="125" t="s">
        <v>403</v>
      </c>
      <c r="C228" s="125" t="s">
        <v>402</v>
      </c>
      <c r="D228" s="125" t="str">
        <f t="shared" si="3"/>
        <v>5</v>
      </c>
      <c r="E228" s="125" t="s">
        <v>202</v>
      </c>
      <c r="F228" s="125" t="s">
        <v>201</v>
      </c>
      <c r="G228" s="125" t="s">
        <v>403</v>
      </c>
      <c r="H228" s="125" t="s">
        <v>401</v>
      </c>
      <c r="I228" s="125" t="s">
        <v>1874</v>
      </c>
      <c r="J228" s="126">
        <v>0</v>
      </c>
      <c r="K228" s="127" t="s">
        <v>1275</v>
      </c>
      <c r="L228" s="126">
        <v>0</v>
      </c>
      <c r="M228" s="126">
        <v>1193.27</v>
      </c>
      <c r="N228" s="126">
        <v>0</v>
      </c>
      <c r="O228" s="126">
        <v>0</v>
      </c>
      <c r="P228" s="126">
        <v>0</v>
      </c>
      <c r="Q228" s="126">
        <v>0</v>
      </c>
      <c r="R228" s="126">
        <v>1193.27</v>
      </c>
      <c r="S228" s="126">
        <v>0</v>
      </c>
    </row>
    <row r="229" spans="1:19" ht="15.75" thickBot="1">
      <c r="A229" s="125" t="s">
        <v>1905</v>
      </c>
      <c r="B229" s="125" t="s">
        <v>1700</v>
      </c>
      <c r="C229" s="125" t="s">
        <v>1701</v>
      </c>
      <c r="D229" s="125" t="str">
        <f t="shared" si="3"/>
        <v>3</v>
      </c>
      <c r="E229" s="125" t="s">
        <v>202</v>
      </c>
      <c r="F229" s="125" t="s">
        <v>201</v>
      </c>
      <c r="G229" s="125" t="s">
        <v>1702</v>
      </c>
      <c r="H229" s="125" t="s">
        <v>1703</v>
      </c>
      <c r="I229" s="125" t="s">
        <v>1692</v>
      </c>
      <c r="J229" s="126">
        <v>0</v>
      </c>
      <c r="K229" s="127" t="s">
        <v>1275</v>
      </c>
      <c r="L229" s="126">
        <v>0</v>
      </c>
      <c r="M229" s="126">
        <v>0</v>
      </c>
      <c r="N229" s="126">
        <v>0</v>
      </c>
      <c r="O229" s="126">
        <v>29207.42</v>
      </c>
      <c r="P229" s="126">
        <v>0</v>
      </c>
      <c r="Q229" s="126">
        <v>0</v>
      </c>
      <c r="R229" s="126">
        <v>29207.42</v>
      </c>
      <c r="S229" s="126">
        <v>-29207.42</v>
      </c>
    </row>
    <row r="230" spans="1:19" ht="15.75" thickBot="1">
      <c r="A230" s="125" t="s">
        <v>1905</v>
      </c>
      <c r="B230" s="125" t="s">
        <v>1700</v>
      </c>
      <c r="C230" s="125" t="s">
        <v>1701</v>
      </c>
      <c r="D230" s="125" t="str">
        <f t="shared" si="3"/>
        <v>3</v>
      </c>
      <c r="E230" s="125" t="s">
        <v>202</v>
      </c>
      <c r="F230" s="125" t="s">
        <v>201</v>
      </c>
      <c r="G230" s="125" t="s">
        <v>1704</v>
      </c>
      <c r="H230" s="125" t="s">
        <v>1705</v>
      </c>
      <c r="I230" s="125" t="s">
        <v>1692</v>
      </c>
      <c r="J230" s="126">
        <v>0</v>
      </c>
      <c r="K230" s="127" t="s">
        <v>1275</v>
      </c>
      <c r="L230" s="126">
        <v>0</v>
      </c>
      <c r="M230" s="126">
        <v>0</v>
      </c>
      <c r="N230" s="126">
        <v>0</v>
      </c>
      <c r="O230" s="126">
        <v>11719.09</v>
      </c>
      <c r="P230" s="126">
        <v>0</v>
      </c>
      <c r="Q230" s="126">
        <v>0</v>
      </c>
      <c r="R230" s="126">
        <v>11719.09</v>
      </c>
      <c r="S230" s="126">
        <v>-11719.09</v>
      </c>
    </row>
    <row r="231" spans="1:19" ht="15.75" thickBot="1">
      <c r="A231" s="125" t="s">
        <v>1905</v>
      </c>
      <c r="B231" s="125" t="s">
        <v>1700</v>
      </c>
      <c r="C231" s="125" t="s">
        <v>1701</v>
      </c>
      <c r="D231" s="125" t="str">
        <f t="shared" si="3"/>
        <v>3</v>
      </c>
      <c r="E231" s="125" t="s">
        <v>202</v>
      </c>
      <c r="F231" s="125" t="s">
        <v>201</v>
      </c>
      <c r="G231" s="125" t="s">
        <v>1706</v>
      </c>
      <c r="H231" s="125" t="s">
        <v>1707</v>
      </c>
      <c r="I231" s="125" t="s">
        <v>1692</v>
      </c>
      <c r="J231" s="126">
        <v>0</v>
      </c>
      <c r="K231" s="127" t="s">
        <v>1275</v>
      </c>
      <c r="L231" s="126">
        <v>0</v>
      </c>
      <c r="M231" s="126">
        <v>0</v>
      </c>
      <c r="N231" s="126">
        <v>0</v>
      </c>
      <c r="O231" s="126">
        <v>3266.82</v>
      </c>
      <c r="P231" s="126">
        <v>0</v>
      </c>
      <c r="Q231" s="126">
        <v>0</v>
      </c>
      <c r="R231" s="126">
        <v>3266.82</v>
      </c>
      <c r="S231" s="126">
        <v>-3266.82</v>
      </c>
    </row>
    <row r="232" spans="1:19" ht="15.75" thickBot="1">
      <c r="A232" s="125" t="s">
        <v>1905</v>
      </c>
      <c r="B232" s="125" t="s">
        <v>1700</v>
      </c>
      <c r="C232" s="125" t="s">
        <v>1701</v>
      </c>
      <c r="D232" s="125" t="str">
        <f t="shared" si="3"/>
        <v>3</v>
      </c>
      <c r="E232" s="125" t="s">
        <v>202</v>
      </c>
      <c r="F232" s="125" t="s">
        <v>201</v>
      </c>
      <c r="G232" s="125" t="s">
        <v>1708</v>
      </c>
      <c r="H232" s="125" t="s">
        <v>1709</v>
      </c>
      <c r="I232" s="125" t="s">
        <v>1692</v>
      </c>
      <c r="J232" s="126">
        <v>0</v>
      </c>
      <c r="K232" s="127" t="s">
        <v>1275</v>
      </c>
      <c r="L232" s="126">
        <v>0</v>
      </c>
      <c r="M232" s="126">
        <v>0</v>
      </c>
      <c r="N232" s="126">
        <v>0</v>
      </c>
      <c r="O232" s="126">
        <v>25518.98</v>
      </c>
      <c r="P232" s="126">
        <v>0</v>
      </c>
      <c r="Q232" s="126">
        <v>0</v>
      </c>
      <c r="R232" s="126">
        <v>25518.98</v>
      </c>
      <c r="S232" s="126">
        <v>-25518.98</v>
      </c>
    </row>
    <row r="233" spans="1:19" ht="15.75" thickBot="1">
      <c r="A233" s="125" t="s">
        <v>1905</v>
      </c>
      <c r="B233" s="125" t="s">
        <v>1700</v>
      </c>
      <c r="C233" s="125" t="s">
        <v>1701</v>
      </c>
      <c r="D233" s="125" t="str">
        <f t="shared" si="3"/>
        <v>3</v>
      </c>
      <c r="E233" s="125" t="s">
        <v>202</v>
      </c>
      <c r="F233" s="125" t="s">
        <v>201</v>
      </c>
      <c r="G233" s="125" t="s">
        <v>1710</v>
      </c>
      <c r="H233" s="125" t="s">
        <v>1711</v>
      </c>
      <c r="I233" s="125" t="s">
        <v>1692</v>
      </c>
      <c r="J233" s="126">
        <v>0</v>
      </c>
      <c r="K233" s="127" t="s">
        <v>1275</v>
      </c>
      <c r="L233" s="126">
        <v>0</v>
      </c>
      <c r="M233" s="126">
        <v>0</v>
      </c>
      <c r="N233" s="126">
        <v>0</v>
      </c>
      <c r="O233" s="126">
        <v>7815.08</v>
      </c>
      <c r="P233" s="126">
        <v>0</v>
      </c>
      <c r="Q233" s="126">
        <v>0</v>
      </c>
      <c r="R233" s="126">
        <v>7815.08</v>
      </c>
      <c r="S233" s="126">
        <v>-7815.08</v>
      </c>
    </row>
    <row r="234" spans="1:19" ht="15.75" thickBot="1">
      <c r="A234" s="125" t="s">
        <v>1905</v>
      </c>
      <c r="B234" s="125" t="s">
        <v>1700</v>
      </c>
      <c r="C234" s="125" t="s">
        <v>1701</v>
      </c>
      <c r="D234" s="125" t="str">
        <f t="shared" si="3"/>
        <v>3</v>
      </c>
      <c r="E234" s="125" t="s">
        <v>202</v>
      </c>
      <c r="F234" s="125" t="s">
        <v>201</v>
      </c>
      <c r="G234" s="125" t="s">
        <v>1714</v>
      </c>
      <c r="H234" s="125" t="s">
        <v>1715</v>
      </c>
      <c r="I234" s="125" t="s">
        <v>1692</v>
      </c>
      <c r="J234" s="126">
        <v>0</v>
      </c>
      <c r="K234" s="127" t="s">
        <v>1275</v>
      </c>
      <c r="L234" s="126">
        <v>0</v>
      </c>
      <c r="M234" s="126">
        <v>0</v>
      </c>
      <c r="N234" s="126">
        <v>0</v>
      </c>
      <c r="O234" s="126">
        <v>93.02</v>
      </c>
      <c r="P234" s="126">
        <v>0</v>
      </c>
      <c r="Q234" s="126">
        <v>0</v>
      </c>
      <c r="R234" s="126">
        <v>93.02</v>
      </c>
      <c r="S234" s="126">
        <v>-93.02</v>
      </c>
    </row>
    <row r="235" spans="1:19" ht="15.75" thickBot="1">
      <c r="A235" s="125" t="s">
        <v>1905</v>
      </c>
      <c r="B235" s="125" t="s">
        <v>1700</v>
      </c>
      <c r="C235" s="125" t="s">
        <v>1701</v>
      </c>
      <c r="D235" s="125" t="str">
        <f t="shared" si="3"/>
        <v>3</v>
      </c>
      <c r="E235" s="125" t="s">
        <v>202</v>
      </c>
      <c r="F235" s="125" t="s">
        <v>201</v>
      </c>
      <c r="G235" s="125" t="s">
        <v>1716</v>
      </c>
      <c r="H235" s="125" t="s">
        <v>1717</v>
      </c>
      <c r="I235" s="125" t="s">
        <v>1692</v>
      </c>
      <c r="J235" s="126">
        <v>0</v>
      </c>
      <c r="K235" s="127" t="s">
        <v>1275</v>
      </c>
      <c r="L235" s="126">
        <v>0</v>
      </c>
      <c r="M235" s="126">
        <v>0</v>
      </c>
      <c r="N235" s="126">
        <v>0</v>
      </c>
      <c r="O235" s="126">
        <v>791.78</v>
      </c>
      <c r="P235" s="126">
        <v>0</v>
      </c>
      <c r="Q235" s="126">
        <v>0</v>
      </c>
      <c r="R235" s="126">
        <v>791.78</v>
      </c>
      <c r="S235" s="126">
        <v>-791.78</v>
      </c>
    </row>
    <row r="236" spans="1:19" ht="15.75" customHeight="1" thickBot="1">
      <c r="A236" s="125" t="s">
        <v>1273</v>
      </c>
      <c r="B236" s="125" t="s">
        <v>422</v>
      </c>
      <c r="C236" s="125" t="s">
        <v>421</v>
      </c>
      <c r="D236" s="125" t="str">
        <f t="shared" si="3"/>
        <v>2</v>
      </c>
      <c r="E236" s="125" t="s">
        <v>202</v>
      </c>
      <c r="F236" s="125" t="s">
        <v>201</v>
      </c>
      <c r="G236" s="125" t="s">
        <v>422</v>
      </c>
      <c r="H236" s="125" t="s">
        <v>420</v>
      </c>
      <c r="I236" s="125" t="s">
        <v>1363</v>
      </c>
      <c r="J236" s="126">
        <v>495664</v>
      </c>
      <c r="K236" s="127" t="s">
        <v>1275</v>
      </c>
      <c r="L236" s="126">
        <v>495664</v>
      </c>
      <c r="M236" s="126">
        <v>518133.45</v>
      </c>
      <c r="N236" s="126">
        <v>0</v>
      </c>
      <c r="O236" s="126">
        <v>0</v>
      </c>
      <c r="P236" s="126">
        <v>0</v>
      </c>
      <c r="Q236" s="126">
        <v>0</v>
      </c>
      <c r="R236" s="126">
        <v>518133.45</v>
      </c>
      <c r="S236" s="126">
        <v>-396.71</v>
      </c>
    </row>
    <row r="237" spans="1:19" ht="15.75" thickBot="1">
      <c r="A237" s="125" t="s">
        <v>1905</v>
      </c>
      <c r="B237" s="125" t="s">
        <v>422</v>
      </c>
      <c r="C237" s="125" t="s">
        <v>421</v>
      </c>
      <c r="D237" s="125" t="str">
        <f t="shared" si="3"/>
        <v>2</v>
      </c>
      <c r="E237" s="125" t="s">
        <v>202</v>
      </c>
      <c r="F237" s="125" t="s">
        <v>201</v>
      </c>
      <c r="G237" s="125" t="s">
        <v>422</v>
      </c>
      <c r="H237" s="125" t="s">
        <v>420</v>
      </c>
      <c r="I237" s="125" t="s">
        <v>1363</v>
      </c>
      <c r="J237" s="126">
        <v>507794</v>
      </c>
      <c r="K237" s="127" t="s">
        <v>1275</v>
      </c>
      <c r="L237" s="126">
        <v>507794</v>
      </c>
      <c r="M237" s="126">
        <v>394950.92</v>
      </c>
      <c r="N237" s="126">
        <v>0</v>
      </c>
      <c r="O237" s="126">
        <v>0</v>
      </c>
      <c r="P237" s="126">
        <v>0</v>
      </c>
      <c r="Q237" s="126">
        <v>0</v>
      </c>
      <c r="R237" s="126">
        <v>394950.92</v>
      </c>
      <c r="S237" s="126">
        <v>112843.08</v>
      </c>
    </row>
    <row r="238" spans="1:19" ht="15.75" thickBot="1">
      <c r="A238" s="125" t="s">
        <v>1905</v>
      </c>
      <c r="B238" s="125" t="s">
        <v>2</v>
      </c>
      <c r="C238" s="125" t="s">
        <v>436</v>
      </c>
      <c r="D238" s="125" t="str">
        <f t="shared" si="3"/>
        <v>2</v>
      </c>
      <c r="E238" s="125" t="s">
        <v>202</v>
      </c>
      <c r="F238" s="125" t="s">
        <v>201</v>
      </c>
      <c r="G238" s="125" t="s">
        <v>2</v>
      </c>
      <c r="H238" s="125" t="s">
        <v>435</v>
      </c>
      <c r="I238" s="125" t="s">
        <v>1365</v>
      </c>
      <c r="J238" s="126">
        <v>0</v>
      </c>
      <c r="K238" s="127" t="s">
        <v>1275</v>
      </c>
      <c r="L238" s="126">
        <v>65340</v>
      </c>
      <c r="M238" s="126">
        <v>53920.800000000003</v>
      </c>
      <c r="N238" s="126">
        <v>0</v>
      </c>
      <c r="O238" s="126">
        <v>0</v>
      </c>
      <c r="P238" s="126">
        <v>0</v>
      </c>
      <c r="Q238" s="126">
        <v>0</v>
      </c>
      <c r="R238" s="126">
        <v>53920.800000000003</v>
      </c>
      <c r="S238" s="126">
        <v>16587.2</v>
      </c>
    </row>
    <row r="239" spans="1:19" ht="15.75" customHeight="1" thickBot="1">
      <c r="A239" s="125" t="s">
        <v>1273</v>
      </c>
      <c r="B239" s="125" t="s">
        <v>467</v>
      </c>
      <c r="C239" s="125" t="s">
        <v>466</v>
      </c>
      <c r="D239" s="125" t="str">
        <f t="shared" si="3"/>
        <v>2</v>
      </c>
      <c r="E239" s="125" t="s">
        <v>202</v>
      </c>
      <c r="F239" s="125" t="s">
        <v>201</v>
      </c>
      <c r="G239" s="125" t="s">
        <v>467</v>
      </c>
      <c r="H239" s="125" t="s">
        <v>465</v>
      </c>
      <c r="I239" s="125" t="s">
        <v>1369</v>
      </c>
      <c r="J239" s="126">
        <v>0</v>
      </c>
      <c r="K239" s="127" t="s">
        <v>1275</v>
      </c>
      <c r="L239" s="126">
        <v>0</v>
      </c>
      <c r="M239" s="126">
        <v>71201</v>
      </c>
      <c r="N239" s="126">
        <v>0</v>
      </c>
      <c r="O239" s="126">
        <v>0</v>
      </c>
      <c r="P239" s="126">
        <v>0</v>
      </c>
      <c r="Q239" s="126">
        <v>0</v>
      </c>
      <c r="R239" s="126">
        <v>71201</v>
      </c>
      <c r="S239" s="126">
        <v>0</v>
      </c>
    </row>
    <row r="240" spans="1:19" ht="15.75" thickBot="1">
      <c r="A240" s="125" t="s">
        <v>1905</v>
      </c>
      <c r="B240" s="125" t="s">
        <v>467</v>
      </c>
      <c r="C240" s="125" t="s">
        <v>466</v>
      </c>
      <c r="D240" s="125" t="str">
        <f t="shared" si="3"/>
        <v>2</v>
      </c>
      <c r="E240" s="125" t="s">
        <v>202</v>
      </c>
      <c r="F240" s="125" t="s">
        <v>201</v>
      </c>
      <c r="G240" s="125" t="s">
        <v>467</v>
      </c>
      <c r="H240" s="125" t="s">
        <v>465</v>
      </c>
      <c r="I240" s="125" t="s">
        <v>1369</v>
      </c>
      <c r="J240" s="126">
        <v>0</v>
      </c>
      <c r="K240" s="127" t="s">
        <v>1275</v>
      </c>
      <c r="L240" s="126">
        <v>0</v>
      </c>
      <c r="M240" s="126">
        <v>9302.4</v>
      </c>
      <c r="N240" s="126">
        <v>0</v>
      </c>
      <c r="O240" s="126">
        <v>0</v>
      </c>
      <c r="P240" s="126">
        <v>0</v>
      </c>
      <c r="Q240" s="126">
        <v>0</v>
      </c>
      <c r="R240" s="126">
        <v>9302.4</v>
      </c>
      <c r="S240" s="126">
        <v>6201.6</v>
      </c>
    </row>
    <row r="241" spans="1:19" ht="15.75" customHeight="1" thickBot="1">
      <c r="A241" s="125" t="s">
        <v>1273</v>
      </c>
      <c r="B241" s="125" t="s">
        <v>487</v>
      </c>
      <c r="C241" s="125" t="s">
        <v>486</v>
      </c>
      <c r="D241" s="125" t="str">
        <f t="shared" si="3"/>
        <v>2</v>
      </c>
      <c r="E241" s="125" t="s">
        <v>202</v>
      </c>
      <c r="F241" s="125" t="s">
        <v>201</v>
      </c>
      <c r="G241" s="125" t="s">
        <v>487</v>
      </c>
      <c r="H241" s="125" t="s">
        <v>485</v>
      </c>
      <c r="I241" s="125" t="s">
        <v>1381</v>
      </c>
      <c r="J241" s="126">
        <v>350656</v>
      </c>
      <c r="K241" s="127" t="s">
        <v>1275</v>
      </c>
      <c r="L241" s="126">
        <v>350656</v>
      </c>
      <c r="M241" s="126">
        <v>397694.42</v>
      </c>
      <c r="N241" s="126">
        <v>0</v>
      </c>
      <c r="O241" s="126">
        <v>0</v>
      </c>
      <c r="P241" s="126">
        <v>0</v>
      </c>
      <c r="Q241" s="126">
        <v>0</v>
      </c>
      <c r="R241" s="126">
        <v>397694.42</v>
      </c>
      <c r="S241" s="126">
        <v>0.08</v>
      </c>
    </row>
    <row r="242" spans="1:19" ht="15.75" thickBot="1">
      <c r="A242" s="125" t="s">
        <v>1905</v>
      </c>
      <c r="B242" s="125" t="s">
        <v>487</v>
      </c>
      <c r="C242" s="125" t="s">
        <v>486</v>
      </c>
      <c r="D242" s="125" t="str">
        <f t="shared" si="3"/>
        <v>2</v>
      </c>
      <c r="E242" s="125" t="s">
        <v>202</v>
      </c>
      <c r="F242" s="125" t="s">
        <v>201</v>
      </c>
      <c r="G242" s="125" t="s">
        <v>487</v>
      </c>
      <c r="H242" s="125" t="s">
        <v>485</v>
      </c>
      <c r="I242" s="125" t="s">
        <v>1381</v>
      </c>
      <c r="J242" s="126">
        <v>350656</v>
      </c>
      <c r="K242" s="127" t="s">
        <v>1275</v>
      </c>
      <c r="L242" s="126">
        <v>350656</v>
      </c>
      <c r="M242" s="126">
        <v>285135.59000000003</v>
      </c>
      <c r="N242" s="126">
        <v>0</v>
      </c>
      <c r="O242" s="126">
        <v>0</v>
      </c>
      <c r="P242" s="126">
        <v>0</v>
      </c>
      <c r="Q242" s="126">
        <v>0</v>
      </c>
      <c r="R242" s="126">
        <v>285135.59000000003</v>
      </c>
      <c r="S242" s="126">
        <v>86192.41</v>
      </c>
    </row>
    <row r="243" spans="1:19" ht="15.75" customHeight="1" thickBot="1">
      <c r="A243" s="125" t="s">
        <v>1273</v>
      </c>
      <c r="B243" s="125" t="s">
        <v>511</v>
      </c>
      <c r="C243" s="125" t="s">
        <v>510</v>
      </c>
      <c r="D243" s="125" t="str">
        <f t="shared" si="3"/>
        <v>2</v>
      </c>
      <c r="E243" s="125" t="s">
        <v>202</v>
      </c>
      <c r="F243" s="125" t="s">
        <v>201</v>
      </c>
      <c r="G243" s="125" t="s">
        <v>511</v>
      </c>
      <c r="H243" s="125" t="s">
        <v>509</v>
      </c>
      <c r="I243" s="125" t="s">
        <v>1390</v>
      </c>
      <c r="J243" s="126">
        <v>375727</v>
      </c>
      <c r="K243" s="127" t="s">
        <v>1275</v>
      </c>
      <c r="L243" s="126">
        <v>375727</v>
      </c>
      <c r="M243" s="126">
        <v>408010.83</v>
      </c>
      <c r="N243" s="126">
        <v>0</v>
      </c>
      <c r="O243" s="126">
        <v>0</v>
      </c>
      <c r="P243" s="126">
        <v>0</v>
      </c>
      <c r="Q243" s="126">
        <v>0</v>
      </c>
      <c r="R243" s="126">
        <v>408010.83</v>
      </c>
      <c r="S243" s="126">
        <v>-0.35</v>
      </c>
    </row>
    <row r="244" spans="1:19" ht="15.75" thickBot="1">
      <c r="A244" s="125" t="s">
        <v>1905</v>
      </c>
      <c r="B244" s="125" t="s">
        <v>511</v>
      </c>
      <c r="C244" s="125" t="s">
        <v>510</v>
      </c>
      <c r="D244" s="125" t="str">
        <f t="shared" si="3"/>
        <v>2</v>
      </c>
      <c r="E244" s="125" t="s">
        <v>202</v>
      </c>
      <c r="F244" s="125" t="s">
        <v>201</v>
      </c>
      <c r="G244" s="125" t="s">
        <v>511</v>
      </c>
      <c r="H244" s="125" t="s">
        <v>509</v>
      </c>
      <c r="I244" s="125" t="s">
        <v>1390</v>
      </c>
      <c r="J244" s="126">
        <v>0</v>
      </c>
      <c r="K244" s="127" t="s">
        <v>1275</v>
      </c>
      <c r="L244" s="126">
        <v>0</v>
      </c>
      <c r="M244" s="126">
        <v>96651.25</v>
      </c>
      <c r="N244" s="126">
        <v>0</v>
      </c>
      <c r="O244" s="126">
        <v>0</v>
      </c>
      <c r="P244" s="126">
        <v>0</v>
      </c>
      <c r="Q244" s="126">
        <v>0</v>
      </c>
      <c r="R244" s="126">
        <v>96651.25</v>
      </c>
      <c r="S244" s="126">
        <v>61993.75</v>
      </c>
    </row>
    <row r="245" spans="1:19" ht="15.75" customHeight="1" thickBot="1">
      <c r="A245" s="125" t="s">
        <v>1273</v>
      </c>
      <c r="B245" s="125" t="s">
        <v>141</v>
      </c>
      <c r="C245" s="125" t="s">
        <v>516</v>
      </c>
      <c r="D245" s="125" t="str">
        <f t="shared" si="3"/>
        <v>2</v>
      </c>
      <c r="E245" s="125" t="s">
        <v>202</v>
      </c>
      <c r="F245" s="125" t="s">
        <v>201</v>
      </c>
      <c r="G245" s="125" t="s">
        <v>141</v>
      </c>
      <c r="H245" s="125" t="s">
        <v>515</v>
      </c>
      <c r="I245" s="125" t="s">
        <v>1396</v>
      </c>
      <c r="J245" s="126">
        <v>275070</v>
      </c>
      <c r="K245" s="127" t="s">
        <v>1275</v>
      </c>
      <c r="L245" s="126">
        <v>275070</v>
      </c>
      <c r="M245" s="126">
        <v>308955.61</v>
      </c>
      <c r="N245" s="126">
        <v>0</v>
      </c>
      <c r="O245" s="126">
        <v>0</v>
      </c>
      <c r="P245" s="126">
        <v>0</v>
      </c>
      <c r="Q245" s="126">
        <v>0</v>
      </c>
      <c r="R245" s="126">
        <v>308955.61</v>
      </c>
      <c r="S245" s="126">
        <v>0.39</v>
      </c>
    </row>
    <row r="246" spans="1:19" ht="15.75" thickBot="1">
      <c r="A246" s="125" t="s">
        <v>1905</v>
      </c>
      <c r="B246" s="125" t="s">
        <v>141</v>
      </c>
      <c r="C246" s="125" t="s">
        <v>516</v>
      </c>
      <c r="D246" s="125" t="str">
        <f t="shared" ref="D246:D308" si="4">LEFT(C246:C246,1)</f>
        <v>2</v>
      </c>
      <c r="E246" s="125" t="s">
        <v>202</v>
      </c>
      <c r="F246" s="125" t="s">
        <v>201</v>
      </c>
      <c r="G246" s="125" t="s">
        <v>141</v>
      </c>
      <c r="H246" s="125" t="s">
        <v>515</v>
      </c>
      <c r="I246" s="125" t="s">
        <v>1396</v>
      </c>
      <c r="J246" s="126">
        <v>616447</v>
      </c>
      <c r="K246" s="127" t="s">
        <v>1275</v>
      </c>
      <c r="L246" s="126">
        <v>616447</v>
      </c>
      <c r="M246" s="126">
        <v>340504.22</v>
      </c>
      <c r="N246" s="126">
        <v>0</v>
      </c>
      <c r="O246" s="126">
        <v>0</v>
      </c>
      <c r="P246" s="126">
        <v>0</v>
      </c>
      <c r="Q246" s="126">
        <v>0</v>
      </c>
      <c r="R246" s="126">
        <v>340504.22</v>
      </c>
      <c r="S246" s="126">
        <v>58984.78</v>
      </c>
    </row>
    <row r="247" spans="1:19" ht="15.75" thickBot="1">
      <c r="A247" s="125" t="s">
        <v>1905</v>
      </c>
      <c r="B247" s="125" t="s">
        <v>526</v>
      </c>
      <c r="C247" s="125" t="s">
        <v>525</v>
      </c>
      <c r="D247" s="125" t="str">
        <f t="shared" si="4"/>
        <v>2</v>
      </c>
      <c r="E247" s="125" t="s">
        <v>202</v>
      </c>
      <c r="F247" s="125" t="s">
        <v>201</v>
      </c>
      <c r="G247" s="125" t="s">
        <v>526</v>
      </c>
      <c r="H247" s="125" t="s">
        <v>524</v>
      </c>
      <c r="I247" s="125" t="s">
        <v>1403</v>
      </c>
      <c r="J247" s="126">
        <v>169734</v>
      </c>
      <c r="K247" s="127" t="s">
        <v>1275</v>
      </c>
      <c r="L247" s="126">
        <v>169734</v>
      </c>
      <c r="M247" s="126">
        <v>73839.350000000006</v>
      </c>
      <c r="N247" s="126">
        <v>0</v>
      </c>
      <c r="O247" s="126">
        <v>0</v>
      </c>
      <c r="P247" s="126">
        <v>0</v>
      </c>
      <c r="Q247" s="126">
        <v>0</v>
      </c>
      <c r="R247" s="126">
        <v>73839.350000000006</v>
      </c>
      <c r="S247" s="126">
        <v>21841.65</v>
      </c>
    </row>
    <row r="248" spans="1:19" ht="15.75" customHeight="1" thickBot="1">
      <c r="A248" s="125" t="s">
        <v>1273</v>
      </c>
      <c r="B248" s="125" t="s">
        <v>1397</v>
      </c>
      <c r="C248" s="125" t="s">
        <v>1398</v>
      </c>
      <c r="D248" s="125" t="str">
        <f t="shared" si="4"/>
        <v>2</v>
      </c>
      <c r="E248" s="125" t="s">
        <v>202</v>
      </c>
      <c r="F248" s="125" t="s">
        <v>201</v>
      </c>
      <c r="G248" s="125" t="s">
        <v>1397</v>
      </c>
      <c r="H248" s="125" t="s">
        <v>1399</v>
      </c>
      <c r="I248" s="125" t="s">
        <v>1389</v>
      </c>
      <c r="J248" s="126">
        <v>0</v>
      </c>
      <c r="K248" s="127" t="s">
        <v>1275</v>
      </c>
      <c r="L248" s="126">
        <v>0</v>
      </c>
      <c r="M248" s="126">
        <v>26841.94</v>
      </c>
      <c r="N248" s="126">
        <v>0</v>
      </c>
      <c r="O248" s="126">
        <v>0</v>
      </c>
      <c r="P248" s="126">
        <v>0</v>
      </c>
      <c r="Q248" s="126">
        <v>0</v>
      </c>
      <c r="R248" s="126">
        <v>26841.94</v>
      </c>
      <c r="S248" s="126">
        <v>-228.94</v>
      </c>
    </row>
    <row r="249" spans="1:19" ht="15.75" thickBot="1">
      <c r="A249" s="125" t="s">
        <v>1905</v>
      </c>
      <c r="B249" s="125" t="s">
        <v>7</v>
      </c>
      <c r="C249" s="125" t="s">
        <v>545</v>
      </c>
      <c r="D249" s="125" t="str">
        <f t="shared" si="4"/>
        <v>2</v>
      </c>
      <c r="E249" s="125" t="s">
        <v>202</v>
      </c>
      <c r="F249" s="125" t="s">
        <v>201</v>
      </c>
      <c r="G249" s="125" t="s">
        <v>7</v>
      </c>
      <c r="H249" s="125" t="s">
        <v>544</v>
      </c>
      <c r="I249" s="125" t="s">
        <v>1420</v>
      </c>
      <c r="J249" s="126">
        <v>0</v>
      </c>
      <c r="K249" s="127" t="s">
        <v>1275</v>
      </c>
      <c r="L249" s="126">
        <v>0</v>
      </c>
      <c r="M249" s="126">
        <v>1938</v>
      </c>
      <c r="N249" s="126">
        <v>0</v>
      </c>
      <c r="O249" s="126">
        <v>0</v>
      </c>
      <c r="P249" s="126">
        <v>0</v>
      </c>
      <c r="Q249" s="126">
        <v>0</v>
      </c>
      <c r="R249" s="126">
        <v>1938</v>
      </c>
      <c r="S249" s="126">
        <v>1292</v>
      </c>
    </row>
    <row r="250" spans="1:19" ht="15.75" customHeight="1" thickBot="1">
      <c r="A250" s="125" t="s">
        <v>1273</v>
      </c>
      <c r="B250" s="125" t="s">
        <v>1523</v>
      </c>
      <c r="C250" s="125" t="s">
        <v>1410</v>
      </c>
      <c r="D250" s="125" t="str">
        <f t="shared" si="4"/>
        <v>2</v>
      </c>
      <c r="E250" s="125" t="s">
        <v>202</v>
      </c>
      <c r="F250" s="125" t="s">
        <v>201</v>
      </c>
      <c r="G250" s="125" t="s">
        <v>18</v>
      </c>
      <c r="H250" s="125" t="s">
        <v>1411</v>
      </c>
      <c r="I250" s="125" t="s">
        <v>1412</v>
      </c>
      <c r="J250" s="126">
        <v>150475</v>
      </c>
      <c r="K250" s="127" t="s">
        <v>1275</v>
      </c>
      <c r="L250" s="126">
        <v>150475</v>
      </c>
      <c r="M250" s="126">
        <v>260384.93</v>
      </c>
      <c r="N250" s="126">
        <v>0</v>
      </c>
      <c r="O250" s="126">
        <v>0</v>
      </c>
      <c r="P250" s="126">
        <v>0</v>
      </c>
      <c r="Q250" s="126">
        <v>0</v>
      </c>
      <c r="R250" s="126">
        <v>260384.93</v>
      </c>
      <c r="S250" s="126">
        <v>7.0000000000000007E-2</v>
      </c>
    </row>
    <row r="251" spans="1:19" ht="15.75" customHeight="1" thickBot="1">
      <c r="A251" s="125" t="s">
        <v>1273</v>
      </c>
      <c r="B251" s="125" t="s">
        <v>1432</v>
      </c>
      <c r="C251" s="125" t="s">
        <v>559</v>
      </c>
      <c r="D251" s="125" t="str">
        <f t="shared" si="4"/>
        <v>2</v>
      </c>
      <c r="E251" s="125" t="s">
        <v>202</v>
      </c>
      <c r="F251" s="125" t="s">
        <v>201</v>
      </c>
      <c r="G251" s="125" t="s">
        <v>8</v>
      </c>
      <c r="H251" s="125" t="s">
        <v>558</v>
      </c>
      <c r="I251" s="125" t="s">
        <v>1433</v>
      </c>
      <c r="J251" s="126">
        <v>315770</v>
      </c>
      <c r="K251" s="127" t="s">
        <v>1275</v>
      </c>
      <c r="L251" s="126">
        <v>315770</v>
      </c>
      <c r="M251" s="126">
        <v>236764.82</v>
      </c>
      <c r="N251" s="126">
        <v>0</v>
      </c>
      <c r="O251" s="126">
        <v>0</v>
      </c>
      <c r="P251" s="126">
        <v>0</v>
      </c>
      <c r="Q251" s="126">
        <v>0</v>
      </c>
      <c r="R251" s="126">
        <v>236764.82</v>
      </c>
      <c r="S251" s="126">
        <v>0.04</v>
      </c>
    </row>
    <row r="252" spans="1:19" ht="15.75" thickBot="1">
      <c r="A252" s="125" t="s">
        <v>1905</v>
      </c>
      <c r="B252" s="125" t="s">
        <v>1432</v>
      </c>
      <c r="C252" s="125" t="s">
        <v>559</v>
      </c>
      <c r="D252" s="125" t="str">
        <f t="shared" si="4"/>
        <v>2</v>
      </c>
      <c r="E252" s="125" t="s">
        <v>202</v>
      </c>
      <c r="F252" s="125" t="s">
        <v>201</v>
      </c>
      <c r="G252" s="125" t="s">
        <v>8</v>
      </c>
      <c r="H252" s="125" t="s">
        <v>558</v>
      </c>
      <c r="I252" s="125" t="s">
        <v>1433</v>
      </c>
      <c r="J252" s="126">
        <v>88770</v>
      </c>
      <c r="K252" s="127" t="s">
        <v>1275</v>
      </c>
      <c r="L252" s="126">
        <v>88770</v>
      </c>
      <c r="M252" s="126">
        <v>84928.31</v>
      </c>
      <c r="N252" s="126">
        <v>0</v>
      </c>
      <c r="O252" s="126">
        <v>0</v>
      </c>
      <c r="P252" s="126">
        <v>0</v>
      </c>
      <c r="Q252" s="126">
        <v>0</v>
      </c>
      <c r="R252" s="126">
        <v>84928.31</v>
      </c>
      <c r="S252" s="126">
        <v>30316.69</v>
      </c>
    </row>
    <row r="253" spans="1:19" ht="15.75" customHeight="1" thickBot="1">
      <c r="A253" s="125" t="s">
        <v>1273</v>
      </c>
      <c r="B253" s="125" t="s">
        <v>580</v>
      </c>
      <c r="C253" s="125" t="s">
        <v>579</v>
      </c>
      <c r="D253" s="125" t="str">
        <f t="shared" si="4"/>
        <v>2</v>
      </c>
      <c r="E253" s="125" t="s">
        <v>202</v>
      </c>
      <c r="F253" s="125" t="s">
        <v>201</v>
      </c>
      <c r="G253" s="125" t="s">
        <v>580</v>
      </c>
      <c r="H253" s="125" t="s">
        <v>578</v>
      </c>
      <c r="I253" s="125" t="s">
        <v>1438</v>
      </c>
      <c r="J253" s="126">
        <v>0</v>
      </c>
      <c r="K253" s="127" t="s">
        <v>1275</v>
      </c>
      <c r="L253" s="126">
        <v>0</v>
      </c>
      <c r="M253" s="126">
        <v>93598</v>
      </c>
      <c r="N253" s="126">
        <v>0</v>
      </c>
      <c r="O253" s="126">
        <v>0</v>
      </c>
      <c r="P253" s="126">
        <v>0</v>
      </c>
      <c r="Q253" s="126">
        <v>0</v>
      </c>
      <c r="R253" s="126">
        <v>93598</v>
      </c>
      <c r="S253" s="126">
        <v>0</v>
      </c>
    </row>
    <row r="254" spans="1:19" ht="15.75" thickBot="1">
      <c r="A254" s="125" t="s">
        <v>1905</v>
      </c>
      <c r="B254" s="125" t="s">
        <v>580</v>
      </c>
      <c r="C254" s="125" t="s">
        <v>579</v>
      </c>
      <c r="D254" s="125" t="str">
        <f t="shared" si="4"/>
        <v>2</v>
      </c>
      <c r="E254" s="125" t="s">
        <v>202</v>
      </c>
      <c r="F254" s="125" t="s">
        <v>201</v>
      </c>
      <c r="G254" s="125" t="s">
        <v>580</v>
      </c>
      <c r="H254" s="125" t="s">
        <v>578</v>
      </c>
      <c r="I254" s="125" t="s">
        <v>1438</v>
      </c>
      <c r="J254" s="126">
        <v>0</v>
      </c>
      <c r="K254" s="127" t="s">
        <v>1275</v>
      </c>
      <c r="L254" s="126">
        <v>0</v>
      </c>
      <c r="M254" s="126">
        <v>19380</v>
      </c>
      <c r="N254" s="126">
        <v>0</v>
      </c>
      <c r="O254" s="126">
        <v>0</v>
      </c>
      <c r="P254" s="126">
        <v>0</v>
      </c>
      <c r="Q254" s="126">
        <v>0</v>
      </c>
      <c r="R254" s="126">
        <v>19380</v>
      </c>
      <c r="S254" s="126">
        <v>12920</v>
      </c>
    </row>
    <row r="255" spans="1:19" ht="15.75" thickBot="1">
      <c r="A255" s="125" t="s">
        <v>1905</v>
      </c>
      <c r="B255" s="125" t="s">
        <v>596</v>
      </c>
      <c r="C255" s="125" t="s">
        <v>595</v>
      </c>
      <c r="D255" s="125" t="str">
        <f t="shared" si="4"/>
        <v>2</v>
      </c>
      <c r="E255" s="125" t="s">
        <v>202</v>
      </c>
      <c r="F255" s="125" t="s">
        <v>201</v>
      </c>
      <c r="G255" s="125" t="s">
        <v>596</v>
      </c>
      <c r="H255" s="125" t="s">
        <v>594</v>
      </c>
      <c r="I255" s="125" t="s">
        <v>1298</v>
      </c>
      <c r="J255" s="126">
        <v>0</v>
      </c>
      <c r="K255" s="127" t="s">
        <v>1275</v>
      </c>
      <c r="L255" s="126">
        <v>0</v>
      </c>
      <c r="M255" s="126">
        <v>1938</v>
      </c>
      <c r="N255" s="126">
        <v>0</v>
      </c>
      <c r="O255" s="126">
        <v>0</v>
      </c>
      <c r="P255" s="126">
        <v>0</v>
      </c>
      <c r="Q255" s="126">
        <v>0</v>
      </c>
      <c r="R255" s="126">
        <v>1938</v>
      </c>
      <c r="S255" s="126">
        <v>1292</v>
      </c>
    </row>
    <row r="256" spans="1:19" ht="15.75" customHeight="1" thickBot="1">
      <c r="A256" s="125" t="s">
        <v>1273</v>
      </c>
      <c r="B256" s="125" t="s">
        <v>12</v>
      </c>
      <c r="C256" s="125" t="s">
        <v>611</v>
      </c>
      <c r="D256" s="125" t="str">
        <f t="shared" si="4"/>
        <v>2</v>
      </c>
      <c r="E256" s="125" t="s">
        <v>202</v>
      </c>
      <c r="F256" s="125" t="s">
        <v>201</v>
      </c>
      <c r="G256" s="125" t="s">
        <v>12</v>
      </c>
      <c r="H256" s="125" t="s">
        <v>610</v>
      </c>
      <c r="I256" s="125" t="s">
        <v>1470</v>
      </c>
      <c r="J256" s="126">
        <v>227831</v>
      </c>
      <c r="K256" s="127" t="s">
        <v>1275</v>
      </c>
      <c r="L256" s="126">
        <v>227831</v>
      </c>
      <c r="M256" s="126">
        <v>199789.83</v>
      </c>
      <c r="N256" s="126">
        <v>0</v>
      </c>
      <c r="O256" s="126">
        <v>0</v>
      </c>
      <c r="P256" s="126">
        <v>0</v>
      </c>
      <c r="Q256" s="126">
        <v>0</v>
      </c>
      <c r="R256" s="126">
        <v>199789.83</v>
      </c>
      <c r="S256" s="126">
        <v>-0.01</v>
      </c>
    </row>
    <row r="257" spans="1:19" ht="15.75" thickBot="1">
      <c r="A257" s="125" t="s">
        <v>1905</v>
      </c>
      <c r="B257" s="125" t="s">
        <v>12</v>
      </c>
      <c r="C257" s="125" t="s">
        <v>611</v>
      </c>
      <c r="D257" s="125" t="str">
        <f t="shared" si="4"/>
        <v>2</v>
      </c>
      <c r="E257" s="125" t="s">
        <v>202</v>
      </c>
      <c r="F257" s="125" t="s">
        <v>201</v>
      </c>
      <c r="G257" s="125" t="s">
        <v>12</v>
      </c>
      <c r="H257" s="125" t="s">
        <v>610</v>
      </c>
      <c r="I257" s="125" t="s">
        <v>1470</v>
      </c>
      <c r="J257" s="126">
        <v>215652</v>
      </c>
      <c r="K257" s="127" t="s">
        <v>1275</v>
      </c>
      <c r="L257" s="126">
        <v>215652</v>
      </c>
      <c r="M257" s="126">
        <v>171365.55</v>
      </c>
      <c r="N257" s="126">
        <v>0</v>
      </c>
      <c r="O257" s="126">
        <v>0</v>
      </c>
      <c r="P257" s="126">
        <v>0</v>
      </c>
      <c r="Q257" s="126">
        <v>0</v>
      </c>
      <c r="R257" s="126">
        <v>171365.55</v>
      </c>
      <c r="S257" s="126">
        <v>49454.45</v>
      </c>
    </row>
    <row r="258" spans="1:19" ht="15.75" customHeight="1" thickBot="1">
      <c r="A258" s="125" t="s">
        <v>1273</v>
      </c>
      <c r="B258" s="125" t="s">
        <v>625</v>
      </c>
      <c r="C258" s="125" t="s">
        <v>624</v>
      </c>
      <c r="D258" s="125" t="str">
        <f t="shared" si="4"/>
        <v>2</v>
      </c>
      <c r="E258" s="125" t="s">
        <v>202</v>
      </c>
      <c r="F258" s="125" t="s">
        <v>201</v>
      </c>
      <c r="G258" s="125" t="s">
        <v>625</v>
      </c>
      <c r="H258" s="125" t="s">
        <v>623</v>
      </c>
      <c r="I258" s="125" t="s">
        <v>1460</v>
      </c>
      <c r="J258" s="126">
        <v>0</v>
      </c>
      <c r="K258" s="127" t="s">
        <v>1275</v>
      </c>
      <c r="L258" s="126">
        <v>0</v>
      </c>
      <c r="M258" s="126">
        <v>103010</v>
      </c>
      <c r="N258" s="126">
        <v>0</v>
      </c>
      <c r="O258" s="126">
        <v>0</v>
      </c>
      <c r="P258" s="126">
        <v>0</v>
      </c>
      <c r="Q258" s="126">
        <v>0</v>
      </c>
      <c r="R258" s="126">
        <v>103010</v>
      </c>
      <c r="S258" s="126">
        <v>0</v>
      </c>
    </row>
    <row r="259" spans="1:19" ht="15.75" thickBot="1">
      <c r="A259" s="125" t="s">
        <v>1905</v>
      </c>
      <c r="B259" s="125" t="s">
        <v>625</v>
      </c>
      <c r="C259" s="125" t="s">
        <v>624</v>
      </c>
      <c r="D259" s="125" t="str">
        <f t="shared" si="4"/>
        <v>2</v>
      </c>
      <c r="E259" s="125" t="s">
        <v>202</v>
      </c>
      <c r="F259" s="125" t="s">
        <v>201</v>
      </c>
      <c r="G259" s="125" t="s">
        <v>625</v>
      </c>
      <c r="H259" s="125" t="s">
        <v>623</v>
      </c>
      <c r="I259" s="125" t="s">
        <v>1460</v>
      </c>
      <c r="J259" s="126">
        <v>0</v>
      </c>
      <c r="K259" s="127" t="s">
        <v>1275</v>
      </c>
      <c r="L259" s="126">
        <v>0</v>
      </c>
      <c r="M259" s="126">
        <v>6976.8</v>
      </c>
      <c r="N259" s="126">
        <v>0</v>
      </c>
      <c r="O259" s="126">
        <v>0</v>
      </c>
      <c r="P259" s="126">
        <v>0</v>
      </c>
      <c r="Q259" s="126">
        <v>0</v>
      </c>
      <c r="R259" s="126">
        <v>6976.8</v>
      </c>
      <c r="S259" s="126">
        <v>4651.2</v>
      </c>
    </row>
    <row r="260" spans="1:19" ht="15.75" customHeight="1" thickBot="1">
      <c r="A260" s="125" t="s">
        <v>1273</v>
      </c>
      <c r="B260" s="125" t="s">
        <v>14</v>
      </c>
      <c r="C260" s="125" t="s">
        <v>1464</v>
      </c>
      <c r="D260" s="125" t="str">
        <f t="shared" si="4"/>
        <v>2</v>
      </c>
      <c r="E260" s="125" t="s">
        <v>202</v>
      </c>
      <c r="F260" s="125" t="s">
        <v>201</v>
      </c>
      <c r="G260" s="125" t="s">
        <v>14</v>
      </c>
      <c r="H260" s="125" t="s">
        <v>1465</v>
      </c>
      <c r="I260" s="125" t="s">
        <v>1466</v>
      </c>
      <c r="J260" s="126">
        <v>0</v>
      </c>
      <c r="K260" s="127" t="s">
        <v>1275</v>
      </c>
      <c r="L260" s="126">
        <v>0</v>
      </c>
      <c r="M260" s="126">
        <v>30206.11</v>
      </c>
      <c r="N260" s="126">
        <v>0</v>
      </c>
      <c r="O260" s="126">
        <v>0</v>
      </c>
      <c r="P260" s="126">
        <v>0</v>
      </c>
      <c r="Q260" s="126">
        <v>0</v>
      </c>
      <c r="R260" s="126">
        <v>30206.11</v>
      </c>
      <c r="S260" s="126">
        <v>574.01</v>
      </c>
    </row>
    <row r="261" spans="1:19" ht="15.75" customHeight="1" thickBot="1">
      <c r="A261" s="125" t="s">
        <v>1273</v>
      </c>
      <c r="B261" s="125" t="s">
        <v>2</v>
      </c>
      <c r="C261" s="125" t="s">
        <v>1486</v>
      </c>
      <c r="D261" s="125" t="str">
        <f t="shared" si="4"/>
        <v>2</v>
      </c>
      <c r="E261" s="125" t="s">
        <v>202</v>
      </c>
      <c r="F261" s="125" t="s">
        <v>201</v>
      </c>
      <c r="G261" s="125" t="s">
        <v>2</v>
      </c>
      <c r="H261" s="125" t="s">
        <v>1487</v>
      </c>
      <c r="I261" s="125" t="s">
        <v>1365</v>
      </c>
      <c r="J261" s="126">
        <v>59275</v>
      </c>
      <c r="K261" s="127" t="s">
        <v>1275</v>
      </c>
      <c r="L261" s="126">
        <v>59275</v>
      </c>
      <c r="M261" s="126">
        <v>82989.759999999995</v>
      </c>
      <c r="N261" s="126">
        <v>0</v>
      </c>
      <c r="O261" s="126">
        <v>0</v>
      </c>
      <c r="P261" s="126">
        <v>0</v>
      </c>
      <c r="Q261" s="126">
        <v>0</v>
      </c>
      <c r="R261" s="126">
        <v>82989.759999999995</v>
      </c>
      <c r="S261" s="126">
        <v>0.01</v>
      </c>
    </row>
    <row r="262" spans="1:19" ht="15.75" customHeight="1" thickBot="1">
      <c r="A262" s="125" t="s">
        <v>1273</v>
      </c>
      <c r="B262" s="125" t="s">
        <v>455</v>
      </c>
      <c r="C262" s="125" t="s">
        <v>1492</v>
      </c>
      <c r="D262" s="125" t="str">
        <f t="shared" si="4"/>
        <v>2</v>
      </c>
      <c r="E262" s="125" t="s">
        <v>202</v>
      </c>
      <c r="F262" s="125" t="s">
        <v>201</v>
      </c>
      <c r="G262" s="125" t="s">
        <v>455</v>
      </c>
      <c r="H262" s="125" t="s">
        <v>1493</v>
      </c>
      <c r="I262" s="125" t="s">
        <v>1368</v>
      </c>
      <c r="J262" s="126">
        <v>0</v>
      </c>
      <c r="K262" s="127" t="s">
        <v>1275</v>
      </c>
      <c r="L262" s="126">
        <v>0</v>
      </c>
      <c r="M262" s="126">
        <v>8934.7199999999993</v>
      </c>
      <c r="N262" s="126">
        <v>0</v>
      </c>
      <c r="O262" s="126">
        <v>0</v>
      </c>
      <c r="P262" s="126">
        <v>0</v>
      </c>
      <c r="Q262" s="126">
        <v>0</v>
      </c>
      <c r="R262" s="126">
        <v>8934.7199999999993</v>
      </c>
      <c r="S262" s="126">
        <v>-0.01</v>
      </c>
    </row>
    <row r="263" spans="1:19" ht="15.75" customHeight="1" thickBot="1">
      <c r="A263" s="125" t="s">
        <v>1273</v>
      </c>
      <c r="B263" s="125" t="s">
        <v>1409</v>
      </c>
      <c r="C263" s="125" t="s">
        <v>1496</v>
      </c>
      <c r="D263" s="125" t="str">
        <f t="shared" si="4"/>
        <v>2</v>
      </c>
      <c r="E263" s="125" t="s">
        <v>202</v>
      </c>
      <c r="F263" s="125" t="s">
        <v>201</v>
      </c>
      <c r="G263" s="125" t="s">
        <v>1409</v>
      </c>
      <c r="H263" s="125" t="s">
        <v>1497</v>
      </c>
      <c r="I263" s="125" t="s">
        <v>1407</v>
      </c>
      <c r="J263" s="126">
        <v>0</v>
      </c>
      <c r="K263" s="127" t="s">
        <v>1275</v>
      </c>
      <c r="L263" s="126">
        <v>0</v>
      </c>
      <c r="M263" s="126">
        <v>16211.98</v>
      </c>
      <c r="N263" s="126">
        <v>0</v>
      </c>
      <c r="O263" s="126">
        <v>0</v>
      </c>
      <c r="P263" s="126">
        <v>0</v>
      </c>
      <c r="Q263" s="126">
        <v>0</v>
      </c>
      <c r="R263" s="126">
        <v>16211.98</v>
      </c>
      <c r="S263" s="126">
        <v>-4359.92</v>
      </c>
    </row>
    <row r="264" spans="1:19" ht="15.75" customHeight="1" thickBot="1">
      <c r="A264" s="125" t="s">
        <v>1273</v>
      </c>
      <c r="B264" s="125" t="s">
        <v>1499</v>
      </c>
      <c r="C264" s="125" t="s">
        <v>1500</v>
      </c>
      <c r="D264" s="125" t="str">
        <f t="shared" si="4"/>
        <v>2</v>
      </c>
      <c r="E264" s="125" t="s">
        <v>202</v>
      </c>
      <c r="F264" s="125" t="s">
        <v>201</v>
      </c>
      <c r="G264" s="125" t="s">
        <v>1408</v>
      </c>
      <c r="H264" s="125" t="s">
        <v>1501</v>
      </c>
      <c r="I264" s="125" t="s">
        <v>1403</v>
      </c>
      <c r="J264" s="126">
        <v>169734</v>
      </c>
      <c r="K264" s="127" t="s">
        <v>1275</v>
      </c>
      <c r="L264" s="126">
        <v>169734</v>
      </c>
      <c r="M264" s="126">
        <v>194333.9</v>
      </c>
      <c r="N264" s="126">
        <v>0</v>
      </c>
      <c r="O264" s="126">
        <v>0</v>
      </c>
      <c r="P264" s="126">
        <v>0</v>
      </c>
      <c r="Q264" s="126">
        <v>0</v>
      </c>
      <c r="R264" s="126">
        <v>194333.9</v>
      </c>
      <c r="S264" s="126">
        <v>3229.55</v>
      </c>
    </row>
    <row r="265" spans="1:19" ht="15.75" customHeight="1" thickBot="1">
      <c r="A265" s="125" t="s">
        <v>1273</v>
      </c>
      <c r="B265" s="125" t="s">
        <v>7</v>
      </c>
      <c r="C265" s="125" t="s">
        <v>1503</v>
      </c>
      <c r="D265" s="125" t="str">
        <f t="shared" si="4"/>
        <v>2</v>
      </c>
      <c r="E265" s="125" t="s">
        <v>202</v>
      </c>
      <c r="F265" s="125" t="s">
        <v>201</v>
      </c>
      <c r="G265" s="125" t="s">
        <v>7</v>
      </c>
      <c r="H265" s="125" t="s">
        <v>1504</v>
      </c>
      <c r="I265" s="125" t="s">
        <v>1420</v>
      </c>
      <c r="J265" s="126">
        <v>0</v>
      </c>
      <c r="K265" s="127" t="s">
        <v>1275</v>
      </c>
      <c r="L265" s="126">
        <v>0</v>
      </c>
      <c r="M265" s="126">
        <v>28755.45</v>
      </c>
      <c r="N265" s="126">
        <v>0</v>
      </c>
      <c r="O265" s="126">
        <v>0</v>
      </c>
      <c r="P265" s="126">
        <v>0</v>
      </c>
      <c r="Q265" s="126">
        <v>0</v>
      </c>
      <c r="R265" s="126">
        <v>28755.45</v>
      </c>
      <c r="S265" s="126">
        <v>0.01</v>
      </c>
    </row>
    <row r="266" spans="1:19" ht="15.75" customHeight="1" thickBot="1">
      <c r="A266" s="125" t="s">
        <v>1273</v>
      </c>
      <c r="B266" s="125" t="s">
        <v>7</v>
      </c>
      <c r="C266" s="125" t="s">
        <v>1503</v>
      </c>
      <c r="D266" s="125" t="str">
        <f t="shared" si="4"/>
        <v>2</v>
      </c>
      <c r="E266" s="125" t="s">
        <v>202</v>
      </c>
      <c r="F266" s="125" t="s">
        <v>201</v>
      </c>
      <c r="G266" s="125" t="s">
        <v>950</v>
      </c>
      <c r="H266" s="125" t="s">
        <v>1505</v>
      </c>
      <c r="I266" s="125" t="s">
        <v>1419</v>
      </c>
      <c r="J266" s="126">
        <v>18696</v>
      </c>
      <c r="K266" s="127" t="s">
        <v>1275</v>
      </c>
      <c r="L266" s="126">
        <v>18696</v>
      </c>
      <c r="M266" s="126">
        <v>18695.73</v>
      </c>
      <c r="N266" s="126">
        <v>0</v>
      </c>
      <c r="O266" s="126">
        <v>0</v>
      </c>
      <c r="P266" s="126">
        <v>0</v>
      </c>
      <c r="Q266" s="126">
        <v>0</v>
      </c>
      <c r="R266" s="126">
        <v>18695.73</v>
      </c>
      <c r="S266" s="126">
        <v>0.27</v>
      </c>
    </row>
    <row r="267" spans="1:19" ht="15.75" thickBot="1">
      <c r="A267" s="125" t="s">
        <v>1905</v>
      </c>
      <c r="B267" s="125" t="s">
        <v>14</v>
      </c>
      <c r="C267" s="125" t="s">
        <v>635</v>
      </c>
      <c r="D267" s="125" t="str">
        <f t="shared" si="4"/>
        <v>2</v>
      </c>
      <c r="E267" s="125" t="s">
        <v>202</v>
      </c>
      <c r="F267" s="125" t="s">
        <v>201</v>
      </c>
      <c r="G267" s="125" t="s">
        <v>14</v>
      </c>
      <c r="H267" s="125" t="s">
        <v>634</v>
      </c>
      <c r="I267" s="125" t="s">
        <v>1466</v>
      </c>
      <c r="J267" s="126">
        <v>0</v>
      </c>
      <c r="K267" s="127" t="s">
        <v>1275</v>
      </c>
      <c r="L267" s="126">
        <v>0</v>
      </c>
      <c r="M267" s="126">
        <v>4852.8</v>
      </c>
      <c r="N267" s="126">
        <v>0</v>
      </c>
      <c r="O267" s="126">
        <v>0</v>
      </c>
      <c r="P267" s="126">
        <v>0</v>
      </c>
      <c r="Q267" s="126">
        <v>0</v>
      </c>
      <c r="R267" s="126">
        <v>4852.8</v>
      </c>
      <c r="S267" s="126">
        <v>3235.2</v>
      </c>
    </row>
    <row r="268" spans="1:19" ht="15.75" customHeight="1" thickBot="1">
      <c r="A268" s="125" t="s">
        <v>1273</v>
      </c>
      <c r="B268" s="125" t="s">
        <v>1514</v>
      </c>
      <c r="C268" s="125" t="s">
        <v>650</v>
      </c>
      <c r="D268" s="125" t="str">
        <f t="shared" si="4"/>
        <v>2</v>
      </c>
      <c r="E268" s="125" t="s">
        <v>202</v>
      </c>
      <c r="F268" s="125" t="s">
        <v>201</v>
      </c>
      <c r="G268" s="125" t="s">
        <v>15</v>
      </c>
      <c r="H268" s="125" t="s">
        <v>649</v>
      </c>
      <c r="I268" s="125" t="s">
        <v>1517</v>
      </c>
      <c r="J268" s="126">
        <v>151570</v>
      </c>
      <c r="K268" s="127" t="s">
        <v>1275</v>
      </c>
      <c r="L268" s="126">
        <v>151570</v>
      </c>
      <c r="M268" s="126">
        <v>275699.96000000002</v>
      </c>
      <c r="N268" s="126">
        <v>0</v>
      </c>
      <c r="O268" s="126">
        <v>0</v>
      </c>
      <c r="P268" s="126">
        <v>0</v>
      </c>
      <c r="Q268" s="126">
        <v>0</v>
      </c>
      <c r="R268" s="126">
        <v>275699.96000000002</v>
      </c>
      <c r="S268" s="126">
        <v>-963.96</v>
      </c>
    </row>
    <row r="269" spans="1:19" ht="15.75" thickBot="1">
      <c r="A269" s="125" t="s">
        <v>1905</v>
      </c>
      <c r="B269" s="125" t="s">
        <v>1514</v>
      </c>
      <c r="C269" s="125" t="s">
        <v>650</v>
      </c>
      <c r="D269" s="125" t="str">
        <f t="shared" si="4"/>
        <v>2</v>
      </c>
      <c r="E269" s="125" t="s">
        <v>202</v>
      </c>
      <c r="F269" s="125" t="s">
        <v>201</v>
      </c>
      <c r="G269" s="125" t="s">
        <v>15</v>
      </c>
      <c r="H269" s="125" t="s">
        <v>649</v>
      </c>
      <c r="I269" s="125" t="s">
        <v>1517</v>
      </c>
      <c r="J269" s="126">
        <v>0</v>
      </c>
      <c r="K269" s="127" t="s">
        <v>1275</v>
      </c>
      <c r="L269" s="126">
        <v>0</v>
      </c>
      <c r="M269" s="126">
        <v>29946.6</v>
      </c>
      <c r="N269" s="126">
        <v>0</v>
      </c>
      <c r="O269" s="126">
        <v>0</v>
      </c>
      <c r="P269" s="126">
        <v>0</v>
      </c>
      <c r="Q269" s="126">
        <v>0</v>
      </c>
      <c r="R269" s="126">
        <v>29946.6</v>
      </c>
      <c r="S269" s="126">
        <v>18079.400000000001</v>
      </c>
    </row>
    <row r="270" spans="1:19" ht="15.75" customHeight="1" thickBot="1">
      <c r="A270" s="125" t="s">
        <v>1273</v>
      </c>
      <c r="B270" s="125" t="s">
        <v>17</v>
      </c>
      <c r="C270" s="125" t="s">
        <v>688</v>
      </c>
      <c r="D270" s="125" t="str">
        <f t="shared" si="4"/>
        <v>2</v>
      </c>
      <c r="E270" s="125" t="s">
        <v>202</v>
      </c>
      <c r="F270" s="125" t="s">
        <v>201</v>
      </c>
      <c r="G270" s="125" t="s">
        <v>17</v>
      </c>
      <c r="H270" s="125" t="s">
        <v>916</v>
      </c>
      <c r="I270" s="125" t="s">
        <v>1519</v>
      </c>
      <c r="J270" s="126">
        <v>931337</v>
      </c>
      <c r="K270" s="126">
        <v>3199</v>
      </c>
      <c r="L270" s="126">
        <v>928138</v>
      </c>
      <c r="M270" s="126">
        <v>872647.88</v>
      </c>
      <c r="N270" s="126">
        <v>9447.36</v>
      </c>
      <c r="O270" s="126">
        <v>0</v>
      </c>
      <c r="P270" s="126">
        <v>1599</v>
      </c>
      <c r="Q270" s="126">
        <v>0</v>
      </c>
      <c r="R270" s="126">
        <v>883694.24</v>
      </c>
      <c r="S270" s="126">
        <v>-27490.799999999999</v>
      </c>
    </row>
    <row r="271" spans="1:19" ht="15.75" thickBot="1">
      <c r="A271" s="125" t="s">
        <v>1905</v>
      </c>
      <c r="B271" s="125" t="s">
        <v>17</v>
      </c>
      <c r="C271" s="125" t="s">
        <v>688</v>
      </c>
      <c r="D271" s="125" t="str">
        <f t="shared" si="4"/>
        <v>2</v>
      </c>
      <c r="E271" s="125" t="s">
        <v>202</v>
      </c>
      <c r="F271" s="125" t="s">
        <v>201</v>
      </c>
      <c r="G271" s="125" t="s">
        <v>17</v>
      </c>
      <c r="H271" s="125" t="s">
        <v>916</v>
      </c>
      <c r="I271" s="125" t="s">
        <v>1519</v>
      </c>
      <c r="J271" s="126">
        <v>970359</v>
      </c>
      <c r="K271" s="127" t="s">
        <v>1275</v>
      </c>
      <c r="L271" s="126">
        <v>882348</v>
      </c>
      <c r="M271" s="126">
        <v>610246.66</v>
      </c>
      <c r="N271" s="126">
        <v>6920.31</v>
      </c>
      <c r="O271" s="126">
        <v>0</v>
      </c>
      <c r="P271" s="126">
        <v>0</v>
      </c>
      <c r="Q271" s="126">
        <v>0</v>
      </c>
      <c r="R271" s="126">
        <v>617166.97</v>
      </c>
      <c r="S271" s="126">
        <v>201432.03</v>
      </c>
    </row>
    <row r="272" spans="1:19" ht="15.75" thickBot="1">
      <c r="A272" s="125" t="s">
        <v>1905</v>
      </c>
      <c r="B272" s="125" t="s">
        <v>1523</v>
      </c>
      <c r="C272" s="125" t="s">
        <v>692</v>
      </c>
      <c r="D272" s="125" t="str">
        <f t="shared" si="4"/>
        <v>2</v>
      </c>
      <c r="E272" s="125" t="s">
        <v>202</v>
      </c>
      <c r="F272" s="125" t="s">
        <v>201</v>
      </c>
      <c r="G272" s="125" t="s">
        <v>18</v>
      </c>
      <c r="H272" s="125" t="s">
        <v>691</v>
      </c>
      <c r="I272" s="125" t="s">
        <v>1412</v>
      </c>
      <c r="J272" s="126">
        <v>150475</v>
      </c>
      <c r="K272" s="127" t="s">
        <v>1275</v>
      </c>
      <c r="L272" s="126">
        <v>150475</v>
      </c>
      <c r="M272" s="126">
        <v>94185.94</v>
      </c>
      <c r="N272" s="126">
        <v>0</v>
      </c>
      <c r="O272" s="126">
        <v>0</v>
      </c>
      <c r="P272" s="126">
        <v>0</v>
      </c>
      <c r="Q272" s="126">
        <v>0</v>
      </c>
      <c r="R272" s="126">
        <v>94185.94</v>
      </c>
      <c r="S272" s="126">
        <v>39084.06</v>
      </c>
    </row>
    <row r="273" spans="1:19" ht="15.75" customHeight="1" thickBot="1">
      <c r="A273" s="125" t="s">
        <v>1273</v>
      </c>
      <c r="B273" s="125" t="s">
        <v>1834</v>
      </c>
      <c r="C273" s="129">
        <v>3810</v>
      </c>
      <c r="D273" s="125" t="str">
        <f t="shared" si="4"/>
        <v>3</v>
      </c>
      <c r="E273" s="125" t="s">
        <v>202</v>
      </c>
      <c r="F273" s="125" t="s">
        <v>201</v>
      </c>
      <c r="G273" s="125" t="s">
        <v>934</v>
      </c>
      <c r="H273" s="125" t="s">
        <v>933</v>
      </c>
      <c r="I273" s="125" t="s">
        <v>1835</v>
      </c>
      <c r="J273" s="126">
        <v>727890</v>
      </c>
      <c r="K273" s="127" t="s">
        <v>1275</v>
      </c>
      <c r="L273" s="126">
        <v>727890</v>
      </c>
      <c r="M273" s="126">
        <v>615042.03</v>
      </c>
      <c r="N273" s="126">
        <v>0</v>
      </c>
      <c r="O273" s="126">
        <v>0</v>
      </c>
      <c r="P273" s="126">
        <v>0</v>
      </c>
      <c r="Q273" s="126">
        <v>0</v>
      </c>
      <c r="R273" s="126">
        <v>615042.03</v>
      </c>
      <c r="S273" s="126">
        <v>5029.33</v>
      </c>
    </row>
    <row r="274" spans="1:19" ht="15.75" thickBot="1">
      <c r="A274" s="125" t="s">
        <v>1905</v>
      </c>
      <c r="B274" s="125" t="s">
        <v>1834</v>
      </c>
      <c r="C274" s="129">
        <v>3810</v>
      </c>
      <c r="D274" s="125" t="str">
        <f t="shared" si="4"/>
        <v>3</v>
      </c>
      <c r="E274" s="125" t="s">
        <v>202</v>
      </c>
      <c r="F274" s="125" t="s">
        <v>201</v>
      </c>
      <c r="G274" s="125" t="s">
        <v>934</v>
      </c>
      <c r="H274" s="125" t="s">
        <v>933</v>
      </c>
      <c r="I274" s="125" t="s">
        <v>1835</v>
      </c>
      <c r="J274" s="126">
        <v>609938</v>
      </c>
      <c r="K274" s="127" t="s">
        <v>1275</v>
      </c>
      <c r="L274" s="126">
        <v>609938</v>
      </c>
      <c r="M274" s="126">
        <v>324953.34000000003</v>
      </c>
      <c r="N274" s="126">
        <v>0</v>
      </c>
      <c r="O274" s="126">
        <v>0</v>
      </c>
      <c r="P274" s="126">
        <v>0</v>
      </c>
      <c r="Q274" s="126">
        <v>0</v>
      </c>
      <c r="R274" s="126">
        <v>324953.34000000003</v>
      </c>
      <c r="S274" s="126">
        <v>259158.66</v>
      </c>
    </row>
    <row r="275" spans="1:19" ht="15.75" customHeight="1" thickBot="1">
      <c r="A275" s="125" t="s">
        <v>1273</v>
      </c>
      <c r="B275" s="125" t="s">
        <v>1346</v>
      </c>
      <c r="C275" s="125" t="s">
        <v>1149</v>
      </c>
      <c r="D275" s="125" t="str">
        <f t="shared" si="4"/>
        <v>5</v>
      </c>
      <c r="E275" s="125" t="s">
        <v>202</v>
      </c>
      <c r="F275" s="125" t="s">
        <v>201</v>
      </c>
      <c r="G275" s="125" t="s">
        <v>1843</v>
      </c>
      <c r="H275" s="125" t="s">
        <v>1844</v>
      </c>
      <c r="I275" s="125" t="s">
        <v>1350</v>
      </c>
      <c r="J275" s="126">
        <v>7794</v>
      </c>
      <c r="K275" s="127" t="s">
        <v>1275</v>
      </c>
      <c r="L275" s="126">
        <v>7794</v>
      </c>
      <c r="M275" s="126">
        <v>105</v>
      </c>
      <c r="N275" s="126">
        <v>0</v>
      </c>
      <c r="O275" s="126">
        <v>0</v>
      </c>
      <c r="P275" s="126">
        <v>0</v>
      </c>
      <c r="Q275" s="126">
        <v>0</v>
      </c>
      <c r="R275" s="126">
        <v>105</v>
      </c>
      <c r="S275" s="126">
        <v>7533.12</v>
      </c>
    </row>
    <row r="276" spans="1:19" ht="15.75" thickBot="1">
      <c r="A276" s="125" t="s">
        <v>1905</v>
      </c>
      <c r="B276" s="125" t="s">
        <v>7</v>
      </c>
      <c r="C276" s="125" t="s">
        <v>545</v>
      </c>
      <c r="D276" s="125" t="str">
        <f t="shared" si="4"/>
        <v>2</v>
      </c>
      <c r="E276" s="125" t="s">
        <v>202</v>
      </c>
      <c r="F276" s="125" t="s">
        <v>201</v>
      </c>
      <c r="G276" s="125" t="s">
        <v>950</v>
      </c>
      <c r="H276" s="125" t="s">
        <v>949</v>
      </c>
      <c r="I276" s="125" t="s">
        <v>1419</v>
      </c>
      <c r="J276" s="126">
        <v>18696</v>
      </c>
      <c r="K276" s="127" t="s">
        <v>1275</v>
      </c>
      <c r="L276" s="126">
        <v>18696</v>
      </c>
      <c r="M276" s="126">
        <v>14541.13</v>
      </c>
      <c r="N276" s="126">
        <v>0</v>
      </c>
      <c r="O276" s="126">
        <v>0</v>
      </c>
      <c r="P276" s="126">
        <v>0</v>
      </c>
      <c r="Q276" s="126">
        <v>0</v>
      </c>
      <c r="R276" s="126">
        <v>14541.13</v>
      </c>
      <c r="S276" s="126">
        <v>4154.87</v>
      </c>
    </row>
    <row r="277" spans="1:19" ht="15.75" customHeight="1" thickBot="1">
      <c r="A277" s="125" t="s">
        <v>1273</v>
      </c>
      <c r="B277" s="125" t="s">
        <v>467</v>
      </c>
      <c r="C277" s="125" t="s">
        <v>466</v>
      </c>
      <c r="D277" s="125" t="str">
        <f t="shared" si="4"/>
        <v>2</v>
      </c>
      <c r="E277" s="125" t="s">
        <v>202</v>
      </c>
      <c r="F277" s="125" t="s">
        <v>201</v>
      </c>
      <c r="G277" s="125" t="s">
        <v>1372</v>
      </c>
      <c r="H277" s="125" t="s">
        <v>1373</v>
      </c>
      <c r="I277" s="125" t="s">
        <v>1369</v>
      </c>
      <c r="J277" s="126">
        <v>15656</v>
      </c>
      <c r="K277" s="127" t="s">
        <v>1275</v>
      </c>
      <c r="L277" s="126">
        <v>15656</v>
      </c>
      <c r="M277" s="126">
        <v>0</v>
      </c>
      <c r="N277" s="126">
        <v>15341.32</v>
      </c>
      <c r="O277" s="126">
        <v>0</v>
      </c>
      <c r="P277" s="126">
        <v>0</v>
      </c>
      <c r="Q277" s="126">
        <v>0</v>
      </c>
      <c r="R277" s="126">
        <v>15341.32</v>
      </c>
      <c r="S277" s="126">
        <v>1.56</v>
      </c>
    </row>
    <row r="278" spans="1:19" ht="15.75" customHeight="1" thickBot="1">
      <c r="A278" s="125" t="s">
        <v>1273</v>
      </c>
      <c r="B278" s="125" t="s">
        <v>1591</v>
      </c>
      <c r="C278" s="125" t="s">
        <v>957</v>
      </c>
      <c r="D278" s="125" t="str">
        <f t="shared" si="4"/>
        <v>2</v>
      </c>
      <c r="E278" s="125" t="s">
        <v>202</v>
      </c>
      <c r="F278" s="125" t="s">
        <v>201</v>
      </c>
      <c r="G278" s="125" t="s">
        <v>1616</v>
      </c>
      <c r="H278" s="125" t="s">
        <v>1617</v>
      </c>
      <c r="I278" s="125" t="s">
        <v>1618</v>
      </c>
      <c r="J278" s="126">
        <v>1522.22</v>
      </c>
      <c r="K278" s="126">
        <v>1522.22</v>
      </c>
      <c r="L278" s="126">
        <v>0</v>
      </c>
      <c r="M278" s="126">
        <v>0</v>
      </c>
      <c r="N278" s="126">
        <v>0</v>
      </c>
      <c r="O278" s="126">
        <v>0</v>
      </c>
      <c r="P278" s="126">
        <v>-359.2</v>
      </c>
      <c r="Q278" s="126">
        <v>0</v>
      </c>
      <c r="R278" s="126">
        <v>-359.2</v>
      </c>
      <c r="S278" s="126">
        <v>1881.42</v>
      </c>
    </row>
    <row r="279" spans="1:19" ht="15.75" customHeight="1" thickBot="1">
      <c r="A279" s="125" t="s">
        <v>1273</v>
      </c>
      <c r="B279" s="125" t="s">
        <v>1351</v>
      </c>
      <c r="C279" s="125" t="s">
        <v>722</v>
      </c>
      <c r="D279" s="125" t="str">
        <f t="shared" si="4"/>
        <v>2</v>
      </c>
      <c r="E279" s="125" t="s">
        <v>202</v>
      </c>
      <c r="F279" s="125" t="s">
        <v>201</v>
      </c>
      <c r="G279" s="125" t="s">
        <v>723</v>
      </c>
      <c r="H279" s="125" t="s">
        <v>721</v>
      </c>
      <c r="I279" s="125" t="s">
        <v>1352</v>
      </c>
      <c r="J279" s="126">
        <v>0</v>
      </c>
      <c r="K279" s="127" t="s">
        <v>1275</v>
      </c>
      <c r="L279" s="126">
        <v>0</v>
      </c>
      <c r="M279" s="126">
        <v>7537.03</v>
      </c>
      <c r="N279" s="126">
        <v>0</v>
      </c>
      <c r="O279" s="126">
        <v>0</v>
      </c>
      <c r="P279" s="126">
        <v>0</v>
      </c>
      <c r="Q279" s="126">
        <v>0</v>
      </c>
      <c r="R279" s="126">
        <v>7537.03</v>
      </c>
      <c r="S279" s="126">
        <v>-7537.03</v>
      </c>
    </row>
    <row r="280" spans="1:19" ht="15.75" customHeight="1" thickBot="1">
      <c r="A280" s="125" t="s">
        <v>1273</v>
      </c>
      <c r="B280" s="125" t="s">
        <v>1509</v>
      </c>
      <c r="C280" s="125" t="s">
        <v>969</v>
      </c>
      <c r="D280" s="125" t="str">
        <f t="shared" si="4"/>
        <v>2</v>
      </c>
      <c r="E280" s="125" t="s">
        <v>202</v>
      </c>
      <c r="F280" s="125" t="s">
        <v>201</v>
      </c>
      <c r="G280" s="125" t="s">
        <v>879</v>
      </c>
      <c r="H280" s="125" t="s">
        <v>878</v>
      </c>
      <c r="I280" s="125" t="s">
        <v>1510</v>
      </c>
      <c r="J280" s="126">
        <v>0</v>
      </c>
      <c r="K280" s="127" t="s">
        <v>1275</v>
      </c>
      <c r="L280" s="126">
        <v>0</v>
      </c>
      <c r="M280" s="126">
        <v>3353.33</v>
      </c>
      <c r="N280" s="126">
        <v>0</v>
      </c>
      <c r="O280" s="126">
        <v>0</v>
      </c>
      <c r="P280" s="126">
        <v>0</v>
      </c>
      <c r="Q280" s="126">
        <v>0</v>
      </c>
      <c r="R280" s="126">
        <v>3353.33</v>
      </c>
      <c r="S280" s="126">
        <v>0</v>
      </c>
    </row>
    <row r="281" spans="1:19" ht="15.75" customHeight="1" thickBot="1">
      <c r="A281" s="125" t="s">
        <v>1273</v>
      </c>
      <c r="B281" s="125" t="s">
        <v>1527</v>
      </c>
      <c r="C281" s="125" t="s">
        <v>750</v>
      </c>
      <c r="D281" s="125" t="str">
        <f t="shared" si="4"/>
        <v>2</v>
      </c>
      <c r="E281" s="125" t="s">
        <v>202</v>
      </c>
      <c r="F281" s="125" t="s">
        <v>201</v>
      </c>
      <c r="G281" s="125" t="s">
        <v>751</v>
      </c>
      <c r="H281" s="125" t="s">
        <v>749</v>
      </c>
      <c r="I281" s="125" t="s">
        <v>1301</v>
      </c>
      <c r="J281" s="126">
        <v>51018</v>
      </c>
      <c r="K281" s="127" t="s">
        <v>1275</v>
      </c>
      <c r="L281" s="126">
        <v>51018</v>
      </c>
      <c r="M281" s="126">
        <v>23864.85</v>
      </c>
      <c r="N281" s="126">
        <v>14825.66</v>
      </c>
      <c r="O281" s="126">
        <v>0</v>
      </c>
      <c r="P281" s="126">
        <v>0</v>
      </c>
      <c r="Q281" s="126">
        <v>0</v>
      </c>
      <c r="R281" s="126">
        <v>38690.51</v>
      </c>
      <c r="S281" s="126">
        <v>4661.87</v>
      </c>
    </row>
    <row r="282" spans="1:19" ht="15.75" customHeight="1" thickBot="1">
      <c r="A282" s="125" t="s">
        <v>1273</v>
      </c>
      <c r="B282" s="125" t="s">
        <v>1143</v>
      </c>
      <c r="C282" s="125" t="s">
        <v>953</v>
      </c>
      <c r="D282" s="125" t="str">
        <f t="shared" si="4"/>
        <v>5</v>
      </c>
      <c r="E282" s="125" t="s">
        <v>202</v>
      </c>
      <c r="F282" s="125" t="s">
        <v>201</v>
      </c>
      <c r="G282" s="125" t="s">
        <v>954</v>
      </c>
      <c r="H282" s="125" t="s">
        <v>952</v>
      </c>
      <c r="I282" s="125" t="s">
        <v>1858</v>
      </c>
      <c r="J282" s="126">
        <v>35771</v>
      </c>
      <c r="K282" s="127" t="s">
        <v>1275</v>
      </c>
      <c r="L282" s="126">
        <v>35771</v>
      </c>
      <c r="M282" s="126">
        <v>32680.12</v>
      </c>
      <c r="N282" s="126">
        <v>0</v>
      </c>
      <c r="O282" s="126">
        <v>0</v>
      </c>
      <c r="P282" s="126">
        <v>0</v>
      </c>
      <c r="Q282" s="126">
        <v>0</v>
      </c>
      <c r="R282" s="126">
        <v>32680.12</v>
      </c>
      <c r="S282" s="126">
        <v>139.88</v>
      </c>
    </row>
    <row r="283" spans="1:19" ht="15.75" thickBot="1">
      <c r="A283" s="125" t="s">
        <v>1905</v>
      </c>
      <c r="B283" s="125" t="s">
        <v>1143</v>
      </c>
      <c r="C283" s="125" t="s">
        <v>953</v>
      </c>
      <c r="D283" s="125" t="str">
        <f t="shared" si="4"/>
        <v>5</v>
      </c>
      <c r="E283" s="125" t="s">
        <v>202</v>
      </c>
      <c r="F283" s="125" t="s">
        <v>201</v>
      </c>
      <c r="G283" s="125" t="s">
        <v>954</v>
      </c>
      <c r="H283" s="125" t="s">
        <v>952</v>
      </c>
      <c r="I283" s="125" t="s">
        <v>1858</v>
      </c>
      <c r="J283" s="126">
        <v>36011</v>
      </c>
      <c r="K283" s="127" t="s">
        <v>1275</v>
      </c>
      <c r="L283" s="126">
        <v>36011</v>
      </c>
      <c r="M283" s="126">
        <v>20936.439999999999</v>
      </c>
      <c r="N283" s="126">
        <v>0</v>
      </c>
      <c r="O283" s="126">
        <v>0</v>
      </c>
      <c r="P283" s="126">
        <v>0</v>
      </c>
      <c r="Q283" s="126">
        <v>0</v>
      </c>
      <c r="R283" s="126">
        <v>20936.439999999999</v>
      </c>
      <c r="S283" s="126">
        <v>15074.56</v>
      </c>
    </row>
    <row r="284" spans="1:19" ht="15.75" thickBot="1">
      <c r="A284" s="125" t="s">
        <v>1905</v>
      </c>
      <c r="B284" s="125" t="s">
        <v>1591</v>
      </c>
      <c r="C284" s="125" t="s">
        <v>957</v>
      </c>
      <c r="D284" s="125" t="str">
        <f t="shared" si="4"/>
        <v>2</v>
      </c>
      <c r="E284" s="125" t="s">
        <v>202</v>
      </c>
      <c r="F284" s="125" t="s">
        <v>201</v>
      </c>
      <c r="G284" s="125" t="s">
        <v>958</v>
      </c>
      <c r="H284" s="125" t="s">
        <v>956</v>
      </c>
      <c r="I284" s="125" t="s">
        <v>1302</v>
      </c>
      <c r="J284" s="126">
        <v>90917</v>
      </c>
      <c r="K284" s="127" t="s">
        <v>1275</v>
      </c>
      <c r="L284" s="126">
        <v>90917</v>
      </c>
      <c r="M284" s="126">
        <v>0</v>
      </c>
      <c r="N284" s="126">
        <v>0</v>
      </c>
      <c r="O284" s="126">
        <v>0</v>
      </c>
      <c r="P284" s="126">
        <v>0</v>
      </c>
      <c r="Q284" s="126">
        <v>0</v>
      </c>
      <c r="R284" s="126">
        <v>0</v>
      </c>
      <c r="S284" s="126">
        <v>0</v>
      </c>
    </row>
    <row r="285" spans="1:19" ht="15.75" customHeight="1" thickBot="1">
      <c r="A285" s="125" t="s">
        <v>1273</v>
      </c>
      <c r="B285" s="125" t="s">
        <v>1591</v>
      </c>
      <c r="C285" s="125" t="s">
        <v>957</v>
      </c>
      <c r="D285" s="125" t="str">
        <f t="shared" si="4"/>
        <v>2</v>
      </c>
      <c r="E285" s="125" t="s">
        <v>202</v>
      </c>
      <c r="F285" s="125" t="s">
        <v>201</v>
      </c>
      <c r="G285" s="125" t="s">
        <v>1619</v>
      </c>
      <c r="H285" s="125" t="s">
        <v>1620</v>
      </c>
      <c r="I285" s="125" t="s">
        <v>1476</v>
      </c>
      <c r="J285" s="126">
        <v>1914.15</v>
      </c>
      <c r="K285" s="126">
        <v>1914.15</v>
      </c>
      <c r="L285" s="126">
        <v>0</v>
      </c>
      <c r="M285" s="126">
        <v>0</v>
      </c>
      <c r="N285" s="126">
        <v>0</v>
      </c>
      <c r="O285" s="126">
        <v>0</v>
      </c>
      <c r="P285" s="126">
        <v>75.599999999999994</v>
      </c>
      <c r="Q285" s="126">
        <v>0</v>
      </c>
      <c r="R285" s="126">
        <v>75.599999999999994</v>
      </c>
      <c r="S285" s="126">
        <v>1838.55</v>
      </c>
    </row>
    <row r="286" spans="1:19" ht="15.75" customHeight="1" thickBot="1">
      <c r="A286" s="125" t="s">
        <v>1273</v>
      </c>
      <c r="B286" s="125" t="s">
        <v>1591</v>
      </c>
      <c r="C286" s="125" t="s">
        <v>957</v>
      </c>
      <c r="D286" s="125" t="str">
        <f t="shared" si="4"/>
        <v>2</v>
      </c>
      <c r="E286" s="125" t="s">
        <v>202</v>
      </c>
      <c r="F286" s="125" t="s">
        <v>201</v>
      </c>
      <c r="G286" s="125" t="s">
        <v>1621</v>
      </c>
      <c r="H286" s="125" t="s">
        <v>1622</v>
      </c>
      <c r="I286" s="125" t="s">
        <v>1367</v>
      </c>
      <c r="J286" s="126">
        <v>7037.23</v>
      </c>
      <c r="K286" s="126">
        <v>7037.23</v>
      </c>
      <c r="L286" s="126">
        <v>0</v>
      </c>
      <c r="M286" s="126">
        <v>0</v>
      </c>
      <c r="N286" s="126">
        <v>0</v>
      </c>
      <c r="O286" s="126">
        <v>0</v>
      </c>
      <c r="P286" s="126">
        <v>2315.4699999999998</v>
      </c>
      <c r="Q286" s="126">
        <v>0</v>
      </c>
      <c r="R286" s="126">
        <v>2315.4699999999998</v>
      </c>
      <c r="S286" s="126">
        <v>4721.76</v>
      </c>
    </row>
    <row r="287" spans="1:19" ht="15.75" customHeight="1" thickBot="1">
      <c r="A287" s="125" t="s">
        <v>1273</v>
      </c>
      <c r="B287" s="125" t="s">
        <v>1591</v>
      </c>
      <c r="C287" s="125" t="s">
        <v>957</v>
      </c>
      <c r="D287" s="125" t="str">
        <f t="shared" si="4"/>
        <v>2</v>
      </c>
      <c r="E287" s="125" t="s">
        <v>202</v>
      </c>
      <c r="F287" s="125" t="s">
        <v>201</v>
      </c>
      <c r="G287" s="125" t="s">
        <v>1623</v>
      </c>
      <c r="H287" s="125" t="s">
        <v>1624</v>
      </c>
      <c r="I287" s="125" t="s">
        <v>1368</v>
      </c>
      <c r="J287" s="126">
        <v>8054.37</v>
      </c>
      <c r="K287" s="126">
        <v>8054.37</v>
      </c>
      <c r="L287" s="126">
        <v>0</v>
      </c>
      <c r="M287" s="126">
        <v>0</v>
      </c>
      <c r="N287" s="126">
        <v>0</v>
      </c>
      <c r="O287" s="126">
        <v>0</v>
      </c>
      <c r="P287" s="126">
        <v>3437.51</v>
      </c>
      <c r="Q287" s="126">
        <v>0</v>
      </c>
      <c r="R287" s="126">
        <v>3437.51</v>
      </c>
      <c r="S287" s="126">
        <v>4616.8599999999997</v>
      </c>
    </row>
    <row r="288" spans="1:19" ht="15.75" customHeight="1" thickBot="1">
      <c r="A288" s="125" t="s">
        <v>1273</v>
      </c>
      <c r="B288" s="125" t="s">
        <v>1591</v>
      </c>
      <c r="C288" s="125" t="s">
        <v>957</v>
      </c>
      <c r="D288" s="125" t="str">
        <f t="shared" si="4"/>
        <v>2</v>
      </c>
      <c r="E288" s="125" t="s">
        <v>202</v>
      </c>
      <c r="F288" s="125" t="s">
        <v>201</v>
      </c>
      <c r="G288" s="125" t="s">
        <v>1625</v>
      </c>
      <c r="H288" s="125" t="s">
        <v>1626</v>
      </c>
      <c r="I288" s="125" t="s">
        <v>1627</v>
      </c>
      <c r="J288" s="126">
        <v>2497.09</v>
      </c>
      <c r="K288" s="126">
        <v>2497.09</v>
      </c>
      <c r="L288" s="126">
        <v>0</v>
      </c>
      <c r="M288" s="126">
        <v>0</v>
      </c>
      <c r="N288" s="126">
        <v>0</v>
      </c>
      <c r="O288" s="126">
        <v>0</v>
      </c>
      <c r="P288" s="126">
        <v>197.02</v>
      </c>
      <c r="Q288" s="126">
        <v>0</v>
      </c>
      <c r="R288" s="126">
        <v>197.02</v>
      </c>
      <c r="S288" s="126">
        <v>2300.0700000000002</v>
      </c>
    </row>
    <row r="289" spans="1:19" ht="15.75" customHeight="1" thickBot="1">
      <c r="A289" s="125" t="s">
        <v>1273</v>
      </c>
      <c r="B289" s="125" t="s">
        <v>1591</v>
      </c>
      <c r="C289" s="125" t="s">
        <v>957</v>
      </c>
      <c r="D289" s="125" t="str">
        <f t="shared" si="4"/>
        <v>2</v>
      </c>
      <c r="E289" s="125" t="s">
        <v>202</v>
      </c>
      <c r="F289" s="125" t="s">
        <v>201</v>
      </c>
      <c r="G289" s="125" t="s">
        <v>1628</v>
      </c>
      <c r="H289" s="125" t="s">
        <v>1629</v>
      </c>
      <c r="I289" s="125" t="s">
        <v>1535</v>
      </c>
      <c r="J289" s="126">
        <v>0</v>
      </c>
      <c r="K289" s="127" t="s">
        <v>1275</v>
      </c>
      <c r="L289" s="126">
        <v>0</v>
      </c>
      <c r="M289" s="126">
        <v>4000</v>
      </c>
      <c r="N289" s="126">
        <v>0</v>
      </c>
      <c r="O289" s="126">
        <v>0</v>
      </c>
      <c r="P289" s="126">
        <v>0</v>
      </c>
      <c r="Q289" s="126">
        <v>0</v>
      </c>
      <c r="R289" s="126">
        <v>4000</v>
      </c>
      <c r="S289" s="126">
        <v>0</v>
      </c>
    </row>
    <row r="290" spans="1:19" ht="15.75" customHeight="1" thickBot="1">
      <c r="A290" s="125" t="s">
        <v>1273</v>
      </c>
      <c r="B290" s="125" t="s">
        <v>1591</v>
      </c>
      <c r="C290" s="125" t="s">
        <v>957</v>
      </c>
      <c r="D290" s="125" t="str">
        <f t="shared" si="4"/>
        <v>2</v>
      </c>
      <c r="E290" s="125" t="s">
        <v>202</v>
      </c>
      <c r="F290" s="125" t="s">
        <v>201</v>
      </c>
      <c r="G290" s="125" t="s">
        <v>1630</v>
      </c>
      <c r="H290" s="125" t="s">
        <v>1631</v>
      </c>
      <c r="I290" s="125" t="s">
        <v>1606</v>
      </c>
      <c r="J290" s="126">
        <v>0</v>
      </c>
      <c r="K290" s="127" t="s">
        <v>1275</v>
      </c>
      <c r="L290" s="126">
        <v>0</v>
      </c>
      <c r="M290" s="126">
        <v>4000</v>
      </c>
      <c r="N290" s="126">
        <v>800</v>
      </c>
      <c r="O290" s="126">
        <v>0</v>
      </c>
      <c r="P290" s="126">
        <v>1410.66</v>
      </c>
      <c r="Q290" s="126">
        <v>0</v>
      </c>
      <c r="R290" s="126">
        <v>6210.66</v>
      </c>
      <c r="S290" s="126">
        <v>3163.34</v>
      </c>
    </row>
    <row r="291" spans="1:19" ht="15.75" customHeight="1" thickBot="1">
      <c r="A291" s="125" t="s">
        <v>1273</v>
      </c>
      <c r="B291" s="125" t="s">
        <v>1591</v>
      </c>
      <c r="C291" s="125" t="s">
        <v>957</v>
      </c>
      <c r="D291" s="125" t="str">
        <f t="shared" si="4"/>
        <v>2</v>
      </c>
      <c r="E291" s="125" t="s">
        <v>202</v>
      </c>
      <c r="F291" s="125" t="s">
        <v>201</v>
      </c>
      <c r="G291" s="125" t="s">
        <v>1632</v>
      </c>
      <c r="H291" s="125" t="s">
        <v>1633</v>
      </c>
      <c r="I291" s="125" t="s">
        <v>1634</v>
      </c>
      <c r="J291" s="126">
        <v>0</v>
      </c>
      <c r="K291" s="127" t="s">
        <v>1275</v>
      </c>
      <c r="L291" s="126">
        <v>0</v>
      </c>
      <c r="M291" s="126">
        <v>3500.01</v>
      </c>
      <c r="N291" s="126">
        <v>0</v>
      </c>
      <c r="O291" s="126">
        <v>0</v>
      </c>
      <c r="P291" s="126">
        <v>0</v>
      </c>
      <c r="Q291" s="126">
        <v>0</v>
      </c>
      <c r="R291" s="126">
        <v>3500.01</v>
      </c>
      <c r="S291" s="126">
        <v>-0.01</v>
      </c>
    </row>
    <row r="292" spans="1:19" ht="15.75" customHeight="1" thickBot="1">
      <c r="A292" s="125" t="s">
        <v>1273</v>
      </c>
      <c r="B292" s="125" t="s">
        <v>1591</v>
      </c>
      <c r="C292" s="125" t="s">
        <v>957</v>
      </c>
      <c r="D292" s="125" t="str">
        <f t="shared" si="4"/>
        <v>2</v>
      </c>
      <c r="E292" s="125" t="s">
        <v>202</v>
      </c>
      <c r="F292" s="125" t="s">
        <v>201</v>
      </c>
      <c r="G292" s="125" t="s">
        <v>1635</v>
      </c>
      <c r="H292" s="125" t="s">
        <v>1636</v>
      </c>
      <c r="I292" s="125" t="s">
        <v>1637</v>
      </c>
      <c r="J292" s="126">
        <v>0</v>
      </c>
      <c r="K292" s="127" t="s">
        <v>1275</v>
      </c>
      <c r="L292" s="126">
        <v>0</v>
      </c>
      <c r="M292" s="126">
        <v>3500.01</v>
      </c>
      <c r="N292" s="126">
        <v>0</v>
      </c>
      <c r="O292" s="126">
        <v>0</v>
      </c>
      <c r="P292" s="126">
        <v>0</v>
      </c>
      <c r="Q292" s="126">
        <v>0</v>
      </c>
      <c r="R292" s="126">
        <v>3500.01</v>
      </c>
      <c r="S292" s="126">
        <v>-0.01</v>
      </c>
    </row>
    <row r="293" spans="1:19" ht="15.75" customHeight="1" thickBot="1">
      <c r="A293" s="125" t="s">
        <v>1273</v>
      </c>
      <c r="B293" s="125" t="s">
        <v>1591</v>
      </c>
      <c r="C293" s="125" t="s">
        <v>957</v>
      </c>
      <c r="D293" s="125" t="str">
        <f t="shared" si="4"/>
        <v>2</v>
      </c>
      <c r="E293" s="125" t="s">
        <v>202</v>
      </c>
      <c r="F293" s="125" t="s">
        <v>201</v>
      </c>
      <c r="G293" s="125" t="s">
        <v>1638</v>
      </c>
      <c r="H293" s="125" t="s">
        <v>1639</v>
      </c>
      <c r="I293" s="125" t="s">
        <v>1640</v>
      </c>
      <c r="J293" s="126">
        <v>0</v>
      </c>
      <c r="K293" s="127" t="s">
        <v>1275</v>
      </c>
      <c r="L293" s="126">
        <v>0</v>
      </c>
      <c r="M293" s="126">
        <v>3939</v>
      </c>
      <c r="N293" s="126">
        <v>0</v>
      </c>
      <c r="O293" s="126">
        <v>0</v>
      </c>
      <c r="P293" s="126">
        <v>0</v>
      </c>
      <c r="Q293" s="126">
        <v>0</v>
      </c>
      <c r="R293" s="126">
        <v>3939</v>
      </c>
      <c r="S293" s="126">
        <v>0</v>
      </c>
    </row>
    <row r="294" spans="1:19" ht="15.75" customHeight="1" thickBot="1">
      <c r="A294" s="125" t="s">
        <v>1273</v>
      </c>
      <c r="B294" s="125" t="s">
        <v>1591</v>
      </c>
      <c r="C294" s="125" t="s">
        <v>957</v>
      </c>
      <c r="D294" s="125" t="str">
        <f t="shared" si="4"/>
        <v>2</v>
      </c>
      <c r="E294" s="125" t="s">
        <v>202</v>
      </c>
      <c r="F294" s="125" t="s">
        <v>201</v>
      </c>
      <c r="G294" s="125" t="s">
        <v>1538</v>
      </c>
      <c r="H294" s="125" t="s">
        <v>1641</v>
      </c>
      <c r="I294" s="125" t="s">
        <v>1540</v>
      </c>
      <c r="J294" s="126">
        <v>0</v>
      </c>
      <c r="K294" s="127" t="s">
        <v>1275</v>
      </c>
      <c r="L294" s="126">
        <v>0</v>
      </c>
      <c r="M294" s="126">
        <v>4000</v>
      </c>
      <c r="N294" s="126">
        <v>480</v>
      </c>
      <c r="O294" s="126">
        <v>0</v>
      </c>
      <c r="P294" s="126">
        <v>1494</v>
      </c>
      <c r="Q294" s="126">
        <v>0</v>
      </c>
      <c r="R294" s="126">
        <v>5974</v>
      </c>
      <c r="S294" s="126">
        <v>20</v>
      </c>
    </row>
    <row r="295" spans="1:19" ht="15.75" customHeight="1" thickBot="1">
      <c r="A295" s="125" t="s">
        <v>1273</v>
      </c>
      <c r="B295" s="125" t="s">
        <v>1591</v>
      </c>
      <c r="C295" s="125" t="s">
        <v>957</v>
      </c>
      <c r="D295" s="125" t="str">
        <f t="shared" si="4"/>
        <v>2</v>
      </c>
      <c r="E295" s="125" t="s">
        <v>202</v>
      </c>
      <c r="F295" s="125" t="s">
        <v>201</v>
      </c>
      <c r="G295" s="125" t="s">
        <v>1541</v>
      </c>
      <c r="H295" s="125" t="s">
        <v>1642</v>
      </c>
      <c r="I295" s="125" t="s">
        <v>1543</v>
      </c>
      <c r="J295" s="126">
        <v>0</v>
      </c>
      <c r="K295" s="127" t="s">
        <v>1275</v>
      </c>
      <c r="L295" s="126">
        <v>0</v>
      </c>
      <c r="M295" s="126">
        <v>3775</v>
      </c>
      <c r="N295" s="126">
        <v>0</v>
      </c>
      <c r="O295" s="126">
        <v>0</v>
      </c>
      <c r="P295" s="126">
        <v>2653.77</v>
      </c>
      <c r="Q295" s="126">
        <v>0</v>
      </c>
      <c r="R295" s="126">
        <v>6428.77</v>
      </c>
      <c r="S295" s="126">
        <v>448.23</v>
      </c>
    </row>
    <row r="296" spans="1:19" ht="15.75" customHeight="1" thickBot="1">
      <c r="A296" s="125" t="s">
        <v>1273</v>
      </c>
      <c r="B296" s="125" t="s">
        <v>1591</v>
      </c>
      <c r="C296" s="125" t="s">
        <v>957</v>
      </c>
      <c r="D296" s="125" t="str">
        <f t="shared" si="4"/>
        <v>2</v>
      </c>
      <c r="E296" s="125" t="s">
        <v>202</v>
      </c>
      <c r="F296" s="125" t="s">
        <v>201</v>
      </c>
      <c r="G296" s="125" t="s">
        <v>1643</v>
      </c>
      <c r="H296" s="125" t="s">
        <v>1644</v>
      </c>
      <c r="I296" s="125" t="s">
        <v>1612</v>
      </c>
      <c r="J296" s="126">
        <v>0</v>
      </c>
      <c r="K296" s="127" t="s">
        <v>1275</v>
      </c>
      <c r="L296" s="126">
        <v>0</v>
      </c>
      <c r="M296" s="126">
        <v>4000</v>
      </c>
      <c r="N296" s="126">
        <v>0</v>
      </c>
      <c r="O296" s="126">
        <v>0</v>
      </c>
      <c r="P296" s="126">
        <v>0</v>
      </c>
      <c r="Q296" s="126">
        <v>0</v>
      </c>
      <c r="R296" s="126">
        <v>4000</v>
      </c>
      <c r="S296" s="126">
        <v>0</v>
      </c>
    </row>
    <row r="297" spans="1:19" ht="15.75" customHeight="1" thickBot="1">
      <c r="A297" s="125" t="s">
        <v>1273</v>
      </c>
      <c r="B297" s="125" t="s">
        <v>1591</v>
      </c>
      <c r="C297" s="125" t="s">
        <v>957</v>
      </c>
      <c r="D297" s="125" t="str">
        <f t="shared" si="4"/>
        <v>2</v>
      </c>
      <c r="E297" s="125" t="s">
        <v>202</v>
      </c>
      <c r="F297" s="125" t="s">
        <v>201</v>
      </c>
      <c r="G297" s="125" t="s">
        <v>1645</v>
      </c>
      <c r="H297" s="125" t="s">
        <v>1646</v>
      </c>
      <c r="I297" s="125" t="s">
        <v>1647</v>
      </c>
      <c r="J297" s="126">
        <v>0</v>
      </c>
      <c r="K297" s="127" t="s">
        <v>1275</v>
      </c>
      <c r="L297" s="126">
        <v>0</v>
      </c>
      <c r="M297" s="126">
        <v>0</v>
      </c>
      <c r="N297" s="126">
        <v>0</v>
      </c>
      <c r="O297" s="126">
        <v>0</v>
      </c>
      <c r="P297" s="126">
        <v>9677</v>
      </c>
      <c r="Q297" s="126">
        <v>0</v>
      </c>
      <c r="R297" s="126">
        <v>9677</v>
      </c>
      <c r="S297" s="126">
        <v>1903</v>
      </c>
    </row>
    <row r="298" spans="1:19" ht="15.75" customHeight="1" thickBot="1">
      <c r="A298" s="125" t="s">
        <v>1273</v>
      </c>
      <c r="B298" s="125" t="s">
        <v>1591</v>
      </c>
      <c r="C298" s="125" t="s">
        <v>957</v>
      </c>
      <c r="D298" s="125" t="str">
        <f t="shared" si="4"/>
        <v>2</v>
      </c>
      <c r="E298" s="125" t="s">
        <v>202</v>
      </c>
      <c r="F298" s="125" t="s">
        <v>201</v>
      </c>
      <c r="G298" s="125" t="s">
        <v>1648</v>
      </c>
      <c r="H298" s="125" t="s">
        <v>1649</v>
      </c>
      <c r="I298" s="125" t="s">
        <v>1650</v>
      </c>
      <c r="J298" s="126">
        <v>0</v>
      </c>
      <c r="K298" s="127" t="s">
        <v>1275</v>
      </c>
      <c r="L298" s="126">
        <v>0</v>
      </c>
      <c r="M298" s="126">
        <v>6590</v>
      </c>
      <c r="N298" s="126">
        <v>0</v>
      </c>
      <c r="O298" s="126">
        <v>0</v>
      </c>
      <c r="P298" s="126">
        <v>3047.38</v>
      </c>
      <c r="Q298" s="126">
        <v>994</v>
      </c>
      <c r="R298" s="126">
        <v>10631.38</v>
      </c>
      <c r="S298" s="126">
        <v>1176.6199999999999</v>
      </c>
    </row>
    <row r="299" spans="1:19" ht="15.75" thickBot="1">
      <c r="A299" s="125" t="s">
        <v>1905</v>
      </c>
      <c r="B299" s="125" t="s">
        <v>1591</v>
      </c>
      <c r="C299" s="125" t="s">
        <v>957</v>
      </c>
      <c r="D299" s="125" t="str">
        <f t="shared" si="4"/>
        <v>2</v>
      </c>
      <c r="E299" s="125" t="s">
        <v>202</v>
      </c>
      <c r="F299" s="125" t="s">
        <v>201</v>
      </c>
      <c r="G299" s="125" t="s">
        <v>1648</v>
      </c>
      <c r="H299" s="125" t="s">
        <v>1649</v>
      </c>
      <c r="I299" s="125" t="s">
        <v>1650</v>
      </c>
      <c r="J299" s="126">
        <v>994</v>
      </c>
      <c r="K299" s="126">
        <v>994</v>
      </c>
      <c r="L299" s="126">
        <v>0</v>
      </c>
      <c r="M299" s="126">
        <v>0</v>
      </c>
      <c r="N299" s="126">
        <v>0</v>
      </c>
      <c r="O299" s="126">
        <v>0</v>
      </c>
      <c r="P299" s="126">
        <v>994</v>
      </c>
      <c r="Q299" s="126">
        <v>0</v>
      </c>
      <c r="R299" s="126">
        <v>994</v>
      </c>
      <c r="S299" s="126">
        <v>0</v>
      </c>
    </row>
    <row r="300" spans="1:19" ht="15.75" customHeight="1" thickBot="1">
      <c r="A300" s="125" t="s">
        <v>1273</v>
      </c>
      <c r="B300" s="125" t="s">
        <v>1591</v>
      </c>
      <c r="C300" s="125" t="s">
        <v>957</v>
      </c>
      <c r="D300" s="125" t="str">
        <f t="shared" si="4"/>
        <v>2</v>
      </c>
      <c r="E300" s="125" t="s">
        <v>202</v>
      </c>
      <c r="F300" s="125" t="s">
        <v>201</v>
      </c>
      <c r="G300" s="125" t="s">
        <v>1651</v>
      </c>
      <c r="H300" s="125" t="s">
        <v>1652</v>
      </c>
      <c r="I300" s="125" t="s">
        <v>1653</v>
      </c>
      <c r="J300" s="126">
        <v>0</v>
      </c>
      <c r="K300" s="127" t="s">
        <v>1275</v>
      </c>
      <c r="L300" s="126">
        <v>0</v>
      </c>
      <c r="M300" s="126">
        <v>7380</v>
      </c>
      <c r="N300" s="126">
        <v>950</v>
      </c>
      <c r="O300" s="126">
        <v>0</v>
      </c>
      <c r="P300" s="126">
        <v>866.15</v>
      </c>
      <c r="Q300" s="126">
        <v>0</v>
      </c>
      <c r="R300" s="126">
        <v>9196.15</v>
      </c>
      <c r="S300" s="126">
        <v>5041.8500000000004</v>
      </c>
    </row>
    <row r="301" spans="1:19" ht="15.75" customHeight="1" thickBot="1">
      <c r="A301" s="125" t="s">
        <v>1273</v>
      </c>
      <c r="B301" s="125" t="s">
        <v>1591</v>
      </c>
      <c r="C301" s="125" t="s">
        <v>957</v>
      </c>
      <c r="D301" s="125" t="str">
        <f t="shared" si="4"/>
        <v>2</v>
      </c>
      <c r="E301" s="125" t="s">
        <v>202</v>
      </c>
      <c r="F301" s="125" t="s">
        <v>201</v>
      </c>
      <c r="G301" s="125" t="s">
        <v>1654</v>
      </c>
      <c r="H301" s="125" t="s">
        <v>1655</v>
      </c>
      <c r="I301" s="125" t="s">
        <v>1656</v>
      </c>
      <c r="J301" s="126">
        <v>0</v>
      </c>
      <c r="K301" s="127" t="s">
        <v>1275</v>
      </c>
      <c r="L301" s="126">
        <v>0</v>
      </c>
      <c r="M301" s="126">
        <v>0</v>
      </c>
      <c r="N301" s="126">
        <v>4200</v>
      </c>
      <c r="O301" s="126">
        <v>0</v>
      </c>
      <c r="P301" s="126">
        <v>8841.2900000000009</v>
      </c>
      <c r="Q301" s="126">
        <v>0</v>
      </c>
      <c r="R301" s="126">
        <v>13041.29</v>
      </c>
      <c r="S301" s="126">
        <v>8.7100000000000009</v>
      </c>
    </row>
    <row r="302" spans="1:19" ht="15.75" customHeight="1" thickBot="1">
      <c r="A302" s="125" t="s">
        <v>1273</v>
      </c>
      <c r="B302" s="125" t="s">
        <v>1591</v>
      </c>
      <c r="C302" s="125" t="s">
        <v>957</v>
      </c>
      <c r="D302" s="125" t="str">
        <f t="shared" si="4"/>
        <v>2</v>
      </c>
      <c r="E302" s="125" t="s">
        <v>202</v>
      </c>
      <c r="F302" s="125" t="s">
        <v>201</v>
      </c>
      <c r="G302" s="125" t="s">
        <v>1544</v>
      </c>
      <c r="H302" s="125" t="s">
        <v>1657</v>
      </c>
      <c r="I302" s="125" t="s">
        <v>1546</v>
      </c>
      <c r="J302" s="126">
        <v>0</v>
      </c>
      <c r="K302" s="127" t="s">
        <v>1275</v>
      </c>
      <c r="L302" s="126">
        <v>0</v>
      </c>
      <c r="M302" s="126">
        <v>4000</v>
      </c>
      <c r="N302" s="126">
        <v>0</v>
      </c>
      <c r="O302" s="126">
        <v>0</v>
      </c>
      <c r="P302" s="126">
        <v>0</v>
      </c>
      <c r="Q302" s="126">
        <v>0</v>
      </c>
      <c r="R302" s="126">
        <v>4000</v>
      </c>
      <c r="S302" s="126">
        <v>0</v>
      </c>
    </row>
    <row r="303" spans="1:19" ht="15.75" thickBot="1">
      <c r="A303" s="125" t="s">
        <v>1905</v>
      </c>
      <c r="B303" s="125" t="s">
        <v>1591</v>
      </c>
      <c r="C303" s="125" t="s">
        <v>957</v>
      </c>
      <c r="D303" s="125" t="str">
        <f t="shared" si="4"/>
        <v>2</v>
      </c>
      <c r="E303" s="125" t="s">
        <v>202</v>
      </c>
      <c r="F303" s="125" t="s">
        <v>201</v>
      </c>
      <c r="G303" s="125" t="s">
        <v>1938</v>
      </c>
      <c r="H303" s="125" t="s">
        <v>1939</v>
      </c>
      <c r="I303" s="125" t="s">
        <v>1362</v>
      </c>
      <c r="J303" s="126">
        <v>0</v>
      </c>
      <c r="K303" s="127" t="s">
        <v>1275</v>
      </c>
      <c r="L303" s="126">
        <v>0</v>
      </c>
      <c r="M303" s="126">
        <v>0</v>
      </c>
      <c r="N303" s="126">
        <v>0</v>
      </c>
      <c r="O303" s="126">
        <v>0</v>
      </c>
      <c r="P303" s="126">
        <v>0</v>
      </c>
      <c r="Q303" s="126">
        <v>9000</v>
      </c>
      <c r="R303" s="126">
        <v>9000</v>
      </c>
      <c r="S303" s="126">
        <v>3650</v>
      </c>
    </row>
    <row r="304" spans="1:19" ht="15.75" thickBot="1">
      <c r="A304" s="125" t="s">
        <v>1905</v>
      </c>
      <c r="B304" s="125" t="s">
        <v>1591</v>
      </c>
      <c r="C304" s="125" t="s">
        <v>957</v>
      </c>
      <c r="D304" s="125" t="str">
        <f t="shared" si="4"/>
        <v>2</v>
      </c>
      <c r="E304" s="125" t="s">
        <v>202</v>
      </c>
      <c r="F304" s="125" t="s">
        <v>201</v>
      </c>
      <c r="G304" s="125" t="s">
        <v>1940</v>
      </c>
      <c r="H304" s="125" t="s">
        <v>1941</v>
      </c>
      <c r="I304" s="125" t="s">
        <v>1335</v>
      </c>
      <c r="J304" s="126">
        <v>0</v>
      </c>
      <c r="K304" s="127" t="s">
        <v>1275</v>
      </c>
      <c r="L304" s="126">
        <v>0</v>
      </c>
      <c r="M304" s="126">
        <v>0</v>
      </c>
      <c r="N304" s="126">
        <v>405</v>
      </c>
      <c r="O304" s="126">
        <v>0</v>
      </c>
      <c r="P304" s="126">
        <v>0</v>
      </c>
      <c r="Q304" s="126">
        <v>0</v>
      </c>
      <c r="R304" s="126">
        <v>405</v>
      </c>
      <c r="S304" s="126">
        <v>9655</v>
      </c>
    </row>
    <row r="305" spans="1:19" ht="15.75" thickBot="1">
      <c r="A305" s="125" t="s">
        <v>1905</v>
      </c>
      <c r="B305" s="125" t="s">
        <v>1591</v>
      </c>
      <c r="C305" s="125" t="s">
        <v>957</v>
      </c>
      <c r="D305" s="125" t="str">
        <f t="shared" si="4"/>
        <v>2</v>
      </c>
      <c r="E305" s="125" t="s">
        <v>202</v>
      </c>
      <c r="F305" s="125" t="s">
        <v>201</v>
      </c>
      <c r="G305" s="125" t="s">
        <v>1942</v>
      </c>
      <c r="H305" s="125" t="s">
        <v>1943</v>
      </c>
      <c r="I305" s="125" t="s">
        <v>1396</v>
      </c>
      <c r="J305" s="126">
        <v>0</v>
      </c>
      <c r="K305" s="127" t="s">
        <v>1275</v>
      </c>
      <c r="L305" s="126">
        <v>0</v>
      </c>
      <c r="M305" s="126">
        <v>0</v>
      </c>
      <c r="N305" s="126">
        <v>0</v>
      </c>
      <c r="O305" s="126">
        <v>0</v>
      </c>
      <c r="P305" s="126">
        <v>0</v>
      </c>
      <c r="Q305" s="126">
        <v>2240</v>
      </c>
      <c r="R305" s="126">
        <v>2240</v>
      </c>
      <c r="S305" s="126">
        <v>0</v>
      </c>
    </row>
    <row r="306" spans="1:19" ht="15.75" thickBot="1">
      <c r="A306" s="125" t="s">
        <v>1905</v>
      </c>
      <c r="B306" s="125" t="s">
        <v>1591</v>
      </c>
      <c r="C306" s="125" t="s">
        <v>957</v>
      </c>
      <c r="D306" s="125" t="str">
        <f t="shared" si="4"/>
        <v>2</v>
      </c>
      <c r="E306" s="125" t="s">
        <v>202</v>
      </c>
      <c r="F306" s="125" t="s">
        <v>201</v>
      </c>
      <c r="G306" s="125" t="s">
        <v>1944</v>
      </c>
      <c r="H306" s="125" t="s">
        <v>1945</v>
      </c>
      <c r="I306" s="125" t="s">
        <v>1422</v>
      </c>
      <c r="J306" s="126">
        <v>0</v>
      </c>
      <c r="K306" s="127" t="s">
        <v>1275</v>
      </c>
      <c r="L306" s="126">
        <v>0</v>
      </c>
      <c r="M306" s="126">
        <v>0</v>
      </c>
      <c r="N306" s="126">
        <v>0</v>
      </c>
      <c r="O306" s="126">
        <v>0</v>
      </c>
      <c r="P306" s="126">
        <v>556.16</v>
      </c>
      <c r="Q306" s="126">
        <v>556.16</v>
      </c>
      <c r="R306" s="126">
        <v>1112.32</v>
      </c>
      <c r="S306" s="126">
        <v>9169.68</v>
      </c>
    </row>
    <row r="307" spans="1:19" ht="15.75" customHeight="1" thickBot="1">
      <c r="A307" s="125" t="s">
        <v>1273</v>
      </c>
      <c r="B307" s="125" t="s">
        <v>869</v>
      </c>
      <c r="C307" s="125" t="s">
        <v>868</v>
      </c>
      <c r="D307" s="125" t="str">
        <f t="shared" si="4"/>
        <v>2</v>
      </c>
      <c r="E307" s="125" t="s">
        <v>202</v>
      </c>
      <c r="F307" s="125" t="s">
        <v>201</v>
      </c>
      <c r="G307" s="125" t="s">
        <v>1451</v>
      </c>
      <c r="H307" s="125" t="s">
        <v>1452</v>
      </c>
      <c r="I307" s="125" t="s">
        <v>1450</v>
      </c>
      <c r="J307" s="126">
        <v>25274</v>
      </c>
      <c r="K307" s="127" t="s">
        <v>1275</v>
      </c>
      <c r="L307" s="126">
        <v>25274</v>
      </c>
      <c r="M307" s="126">
        <v>0</v>
      </c>
      <c r="N307" s="126">
        <v>18636.75</v>
      </c>
      <c r="O307" s="126">
        <v>0</v>
      </c>
      <c r="P307" s="126">
        <v>0</v>
      </c>
      <c r="Q307" s="126">
        <v>0</v>
      </c>
      <c r="R307" s="126">
        <v>18636.75</v>
      </c>
      <c r="S307" s="126">
        <v>6131.77</v>
      </c>
    </row>
    <row r="308" spans="1:19" ht="15.75" thickBot="1">
      <c r="A308" s="125" t="s">
        <v>1905</v>
      </c>
      <c r="B308" s="125" t="s">
        <v>869</v>
      </c>
      <c r="C308" s="125" t="s">
        <v>868</v>
      </c>
      <c r="D308" s="125" t="str">
        <f t="shared" si="4"/>
        <v>2</v>
      </c>
      <c r="E308" s="125" t="s">
        <v>202</v>
      </c>
      <c r="F308" s="125" t="s">
        <v>201</v>
      </c>
      <c r="G308" s="125" t="s">
        <v>1451</v>
      </c>
      <c r="H308" s="125" t="s">
        <v>1452</v>
      </c>
      <c r="I308" s="125" t="s">
        <v>1450</v>
      </c>
      <c r="J308" s="126">
        <v>24769</v>
      </c>
      <c r="K308" s="127" t="s">
        <v>1275</v>
      </c>
      <c r="L308" s="126">
        <v>24769</v>
      </c>
      <c r="M308" s="126">
        <v>0</v>
      </c>
      <c r="N308" s="126">
        <v>8930.25</v>
      </c>
      <c r="O308" s="126">
        <v>0</v>
      </c>
      <c r="P308" s="126">
        <v>0</v>
      </c>
      <c r="Q308" s="126">
        <v>0</v>
      </c>
      <c r="R308" s="126">
        <v>8930.25</v>
      </c>
      <c r="S308" s="126">
        <v>15838.75</v>
      </c>
    </row>
    <row r="309" spans="1:19" ht="15.75" customHeight="1" thickBot="1">
      <c r="A309" s="125" t="s">
        <v>1273</v>
      </c>
      <c r="B309" s="125" t="s">
        <v>1776</v>
      </c>
      <c r="C309" s="125" t="s">
        <v>833</v>
      </c>
      <c r="D309" s="125" t="s">
        <v>2077</v>
      </c>
      <c r="E309" s="125" t="s">
        <v>202</v>
      </c>
      <c r="F309" s="125" t="s">
        <v>201</v>
      </c>
      <c r="G309" s="125" t="s">
        <v>1777</v>
      </c>
      <c r="H309" s="125" t="s">
        <v>1778</v>
      </c>
      <c r="I309" s="125" t="s">
        <v>1768</v>
      </c>
      <c r="J309" s="126">
        <v>498383</v>
      </c>
      <c r="K309" s="127" t="s">
        <v>1275</v>
      </c>
      <c r="L309" s="126">
        <v>498383</v>
      </c>
      <c r="M309" s="126">
        <v>0</v>
      </c>
      <c r="N309" s="126">
        <v>0</v>
      </c>
      <c r="O309" s="126">
        <v>0</v>
      </c>
      <c r="P309" s="126">
        <v>116654.88</v>
      </c>
      <c r="Q309" s="126">
        <v>0</v>
      </c>
      <c r="R309" s="126">
        <v>116654.88</v>
      </c>
      <c r="S309" s="126">
        <v>-112725.16</v>
      </c>
    </row>
    <row r="310" spans="1:19" ht="15.75" customHeight="1" thickBot="1">
      <c r="A310" s="125" t="s">
        <v>1273</v>
      </c>
      <c r="B310" s="125" t="s">
        <v>1662</v>
      </c>
      <c r="C310" s="125" t="s">
        <v>994</v>
      </c>
      <c r="D310" s="125" t="str">
        <f t="shared" ref="D310:D358" si="5">LEFT(C310:C310,1)</f>
        <v>3</v>
      </c>
      <c r="E310" s="125" t="s">
        <v>202</v>
      </c>
      <c r="F310" s="125" t="s">
        <v>201</v>
      </c>
      <c r="G310" s="125" t="s">
        <v>1668</v>
      </c>
      <c r="H310" s="125" t="s">
        <v>1669</v>
      </c>
      <c r="I310" s="125" t="s">
        <v>1670</v>
      </c>
      <c r="J310" s="126">
        <v>0</v>
      </c>
      <c r="K310" s="127" t="s">
        <v>1275</v>
      </c>
      <c r="L310" s="126">
        <v>0</v>
      </c>
      <c r="M310" s="126">
        <v>0</v>
      </c>
      <c r="N310" s="126">
        <v>230.19</v>
      </c>
      <c r="O310" s="126">
        <v>0</v>
      </c>
      <c r="P310" s="126">
        <v>0</v>
      </c>
      <c r="Q310" s="126">
        <v>0</v>
      </c>
      <c r="R310" s="126">
        <v>230.19</v>
      </c>
      <c r="S310" s="126">
        <v>2769.81</v>
      </c>
    </row>
    <row r="311" spans="1:19" ht="15.75" customHeight="1" thickBot="1">
      <c r="A311" s="125" t="s">
        <v>1273</v>
      </c>
      <c r="B311" s="125" t="s">
        <v>1885</v>
      </c>
      <c r="C311" s="125" t="s">
        <v>1223</v>
      </c>
      <c r="D311" s="125" t="str">
        <f t="shared" si="5"/>
        <v>5</v>
      </c>
      <c r="E311" s="125" t="s">
        <v>202</v>
      </c>
      <c r="F311" s="125" t="s">
        <v>201</v>
      </c>
      <c r="G311" s="125" t="s">
        <v>1888</v>
      </c>
      <c r="H311" s="125" t="s">
        <v>1889</v>
      </c>
      <c r="I311" s="125" t="s">
        <v>1887</v>
      </c>
      <c r="J311" s="126">
        <v>3770</v>
      </c>
      <c r="K311" s="127" t="s">
        <v>1275</v>
      </c>
      <c r="L311" s="126">
        <v>3770</v>
      </c>
      <c r="M311" s="126">
        <v>0</v>
      </c>
      <c r="N311" s="126">
        <v>2145.9699999999998</v>
      </c>
      <c r="O311" s="126">
        <v>0</v>
      </c>
      <c r="P311" s="126">
        <v>0</v>
      </c>
      <c r="Q311" s="126">
        <v>0</v>
      </c>
      <c r="R311" s="126">
        <v>2145.9699999999998</v>
      </c>
      <c r="S311" s="126">
        <v>1548.63</v>
      </c>
    </row>
    <row r="312" spans="1:19" ht="15.75" customHeight="1" thickBot="1">
      <c r="A312" s="125" t="s">
        <v>1273</v>
      </c>
      <c r="B312" s="125" t="s">
        <v>1143</v>
      </c>
      <c r="C312" s="125" t="s">
        <v>953</v>
      </c>
      <c r="D312" s="125" t="str">
        <f t="shared" si="5"/>
        <v>5</v>
      </c>
      <c r="E312" s="125" t="s">
        <v>202</v>
      </c>
      <c r="F312" s="125" t="s">
        <v>201</v>
      </c>
      <c r="G312" s="125" t="s">
        <v>1864</v>
      </c>
      <c r="H312" s="125" t="s">
        <v>1865</v>
      </c>
      <c r="I312" s="125" t="s">
        <v>1858</v>
      </c>
      <c r="J312" s="126">
        <v>3771</v>
      </c>
      <c r="K312" s="127" t="s">
        <v>1275</v>
      </c>
      <c r="L312" s="126">
        <v>3771</v>
      </c>
      <c r="M312" s="126">
        <v>0</v>
      </c>
      <c r="N312" s="126">
        <v>2995.15</v>
      </c>
      <c r="O312" s="126">
        <v>0</v>
      </c>
      <c r="P312" s="126">
        <v>0</v>
      </c>
      <c r="Q312" s="126">
        <v>0</v>
      </c>
      <c r="R312" s="126">
        <v>2995.15</v>
      </c>
      <c r="S312" s="126">
        <v>700.43</v>
      </c>
    </row>
    <row r="313" spans="1:19" ht="15.75" customHeight="1" thickBot="1">
      <c r="A313" s="125" t="s">
        <v>1273</v>
      </c>
      <c r="B313" s="125" t="s">
        <v>1346</v>
      </c>
      <c r="C313" s="125" t="s">
        <v>1347</v>
      </c>
      <c r="D313" s="125" t="str">
        <f t="shared" si="5"/>
        <v>2</v>
      </c>
      <c r="E313" s="125" t="s">
        <v>202</v>
      </c>
      <c r="F313" s="125" t="s">
        <v>201</v>
      </c>
      <c r="G313" s="125" t="s">
        <v>1348</v>
      </c>
      <c r="H313" s="125" t="s">
        <v>1349</v>
      </c>
      <c r="I313" s="125" t="s">
        <v>1350</v>
      </c>
      <c r="J313" s="126">
        <v>1937</v>
      </c>
      <c r="K313" s="127" t="s">
        <v>1275</v>
      </c>
      <c r="L313" s="126">
        <v>1937</v>
      </c>
      <c r="M313" s="126">
        <v>0</v>
      </c>
      <c r="N313" s="126">
        <v>936.71</v>
      </c>
      <c r="O313" s="126">
        <v>0</v>
      </c>
      <c r="P313" s="126">
        <v>0</v>
      </c>
      <c r="Q313" s="126">
        <v>0</v>
      </c>
      <c r="R313" s="126">
        <v>936.71</v>
      </c>
      <c r="S313" s="126">
        <v>961.55</v>
      </c>
    </row>
    <row r="314" spans="1:19" ht="15.75" customHeight="1" thickBot="1">
      <c r="A314" s="125" t="s">
        <v>1273</v>
      </c>
      <c r="B314" s="125" t="s">
        <v>392</v>
      </c>
      <c r="C314" s="125" t="s">
        <v>391</v>
      </c>
      <c r="D314" s="125" t="str">
        <f t="shared" si="5"/>
        <v>5</v>
      </c>
      <c r="E314" s="125" t="s">
        <v>202</v>
      </c>
      <c r="F314" s="125" t="s">
        <v>201</v>
      </c>
      <c r="G314" s="125" t="s">
        <v>1881</v>
      </c>
      <c r="H314" s="125" t="s">
        <v>1882</v>
      </c>
      <c r="I314" s="125" t="s">
        <v>1875</v>
      </c>
      <c r="J314" s="126">
        <v>14430</v>
      </c>
      <c r="K314" s="127" t="s">
        <v>1275</v>
      </c>
      <c r="L314" s="126">
        <v>14430</v>
      </c>
      <c r="M314" s="126">
        <v>0</v>
      </c>
      <c r="N314" s="126">
        <v>2972.06</v>
      </c>
      <c r="O314" s="126">
        <v>0</v>
      </c>
      <c r="P314" s="126">
        <v>0</v>
      </c>
      <c r="Q314" s="126">
        <v>0</v>
      </c>
      <c r="R314" s="126">
        <v>2972.06</v>
      </c>
      <c r="S314" s="126">
        <v>8169.34</v>
      </c>
    </row>
    <row r="315" spans="1:19" ht="15.75" customHeight="1" thickBot="1">
      <c r="A315" s="125" t="s">
        <v>1273</v>
      </c>
      <c r="B315" s="125" t="s">
        <v>467</v>
      </c>
      <c r="C315" s="125" t="s">
        <v>466</v>
      </c>
      <c r="D315" s="125" t="str">
        <f t="shared" si="5"/>
        <v>2</v>
      </c>
      <c r="E315" s="125" t="s">
        <v>202</v>
      </c>
      <c r="F315" s="125" t="s">
        <v>201</v>
      </c>
      <c r="G315" s="125" t="s">
        <v>1374</v>
      </c>
      <c r="H315" s="125" t="s">
        <v>1375</v>
      </c>
      <c r="I315" s="125" t="s">
        <v>1369</v>
      </c>
      <c r="J315" s="126">
        <v>1191</v>
      </c>
      <c r="K315" s="127" t="s">
        <v>1275</v>
      </c>
      <c r="L315" s="126">
        <v>1191</v>
      </c>
      <c r="M315" s="126">
        <v>0</v>
      </c>
      <c r="N315" s="126">
        <v>1713.84</v>
      </c>
      <c r="O315" s="126">
        <v>0</v>
      </c>
      <c r="P315" s="126">
        <v>0</v>
      </c>
      <c r="Q315" s="126">
        <v>0</v>
      </c>
      <c r="R315" s="126">
        <v>1713.84</v>
      </c>
      <c r="S315" s="126">
        <v>-546.66</v>
      </c>
    </row>
    <row r="316" spans="1:19" ht="15.75" customHeight="1" thickBot="1">
      <c r="A316" s="125" t="s">
        <v>1273</v>
      </c>
      <c r="B316" s="125" t="s">
        <v>511</v>
      </c>
      <c r="C316" s="125" t="s">
        <v>510</v>
      </c>
      <c r="D316" s="125" t="str">
        <f t="shared" si="5"/>
        <v>2</v>
      </c>
      <c r="E316" s="125" t="s">
        <v>202</v>
      </c>
      <c r="F316" s="125" t="s">
        <v>201</v>
      </c>
      <c r="G316" s="125" t="s">
        <v>1393</v>
      </c>
      <c r="H316" s="125" t="s">
        <v>1394</v>
      </c>
      <c r="I316" s="125" t="s">
        <v>1395</v>
      </c>
      <c r="J316" s="126">
        <v>1248</v>
      </c>
      <c r="K316" s="127" t="s">
        <v>1275</v>
      </c>
      <c r="L316" s="126">
        <v>1248</v>
      </c>
      <c r="M316" s="126">
        <v>0</v>
      </c>
      <c r="N316" s="126">
        <v>1161.81</v>
      </c>
      <c r="O316" s="126">
        <v>0</v>
      </c>
      <c r="P316" s="126">
        <v>0</v>
      </c>
      <c r="Q316" s="126">
        <v>0</v>
      </c>
      <c r="R316" s="126">
        <v>1161.81</v>
      </c>
      <c r="S316" s="126">
        <v>61.23</v>
      </c>
    </row>
    <row r="317" spans="1:19" ht="15.75" customHeight="1" thickBot="1">
      <c r="A317" s="125" t="s">
        <v>1273</v>
      </c>
      <c r="B317" s="125" t="s">
        <v>1523</v>
      </c>
      <c r="C317" s="125" t="s">
        <v>1410</v>
      </c>
      <c r="D317" s="125" t="str">
        <f t="shared" si="5"/>
        <v>2</v>
      </c>
      <c r="E317" s="125" t="s">
        <v>202</v>
      </c>
      <c r="F317" s="125" t="s">
        <v>201</v>
      </c>
      <c r="G317" s="125" t="s">
        <v>1415</v>
      </c>
      <c r="H317" s="125" t="s">
        <v>1416</v>
      </c>
      <c r="I317" s="125" t="s">
        <v>1412</v>
      </c>
      <c r="J317" s="126">
        <v>1191</v>
      </c>
      <c r="K317" s="127" t="s">
        <v>1275</v>
      </c>
      <c r="L317" s="126">
        <v>1191</v>
      </c>
      <c r="M317" s="126">
        <v>0</v>
      </c>
      <c r="N317" s="126">
        <v>1012.28</v>
      </c>
      <c r="O317" s="126">
        <v>0</v>
      </c>
      <c r="P317" s="126">
        <v>0</v>
      </c>
      <c r="Q317" s="126">
        <v>0</v>
      </c>
      <c r="R317" s="126">
        <v>1012.28</v>
      </c>
      <c r="S317" s="126">
        <v>154.9</v>
      </c>
    </row>
    <row r="318" spans="1:19" ht="15.75" customHeight="1" thickBot="1">
      <c r="A318" s="125" t="s">
        <v>1273</v>
      </c>
      <c r="B318" s="125" t="s">
        <v>580</v>
      </c>
      <c r="C318" s="125" t="s">
        <v>579</v>
      </c>
      <c r="D318" s="125" t="str">
        <f t="shared" si="5"/>
        <v>2</v>
      </c>
      <c r="E318" s="125" t="s">
        <v>202</v>
      </c>
      <c r="F318" s="125" t="s">
        <v>201</v>
      </c>
      <c r="G318" s="125" t="s">
        <v>1447</v>
      </c>
      <c r="H318" s="125" t="s">
        <v>1448</v>
      </c>
      <c r="I318" s="125" t="s">
        <v>1438</v>
      </c>
      <c r="J318" s="126">
        <v>2976</v>
      </c>
      <c r="K318" s="127" t="s">
        <v>1275</v>
      </c>
      <c r="L318" s="126">
        <v>2976</v>
      </c>
      <c r="M318" s="126">
        <v>0</v>
      </c>
      <c r="N318" s="126">
        <v>1205.29</v>
      </c>
      <c r="O318" s="126">
        <v>0</v>
      </c>
      <c r="P318" s="126">
        <v>0</v>
      </c>
      <c r="Q318" s="126">
        <v>0</v>
      </c>
      <c r="R318" s="126">
        <v>1205.29</v>
      </c>
      <c r="S318" s="126">
        <v>1711.19</v>
      </c>
    </row>
    <row r="319" spans="1:19" ht="15.75" customHeight="1" thickBot="1">
      <c r="A319" s="125" t="s">
        <v>1273</v>
      </c>
      <c r="B319" s="125" t="s">
        <v>12</v>
      </c>
      <c r="C319" s="125" t="s">
        <v>611</v>
      </c>
      <c r="D319" s="125" t="str">
        <f t="shared" si="5"/>
        <v>2</v>
      </c>
      <c r="E319" s="125" t="s">
        <v>202</v>
      </c>
      <c r="F319" s="125" t="s">
        <v>201</v>
      </c>
      <c r="G319" s="125" t="s">
        <v>1473</v>
      </c>
      <c r="H319" s="125" t="s">
        <v>1474</v>
      </c>
      <c r="I319" s="125" t="s">
        <v>1454</v>
      </c>
      <c r="J319" s="126">
        <v>5753</v>
      </c>
      <c r="K319" s="127" t="s">
        <v>1275</v>
      </c>
      <c r="L319" s="126">
        <v>5753</v>
      </c>
      <c r="M319" s="126">
        <v>0</v>
      </c>
      <c r="N319" s="126">
        <v>9068.17</v>
      </c>
      <c r="O319" s="126">
        <v>0</v>
      </c>
      <c r="P319" s="126">
        <v>0</v>
      </c>
      <c r="Q319" s="126">
        <v>0</v>
      </c>
      <c r="R319" s="126">
        <v>9068.17</v>
      </c>
      <c r="S319" s="126">
        <v>-3430.23</v>
      </c>
    </row>
    <row r="320" spans="1:19" ht="15.75" customHeight="1" thickBot="1">
      <c r="A320" s="125" t="s">
        <v>1273</v>
      </c>
      <c r="B320" s="125" t="s">
        <v>2</v>
      </c>
      <c r="C320" s="125" t="s">
        <v>1486</v>
      </c>
      <c r="D320" s="125" t="str">
        <f t="shared" si="5"/>
        <v>2</v>
      </c>
      <c r="E320" s="125" t="s">
        <v>202</v>
      </c>
      <c r="F320" s="125" t="s">
        <v>201</v>
      </c>
      <c r="G320" s="125" t="s">
        <v>1489</v>
      </c>
      <c r="H320" s="125" t="s">
        <v>1490</v>
      </c>
      <c r="I320" s="125" t="s">
        <v>1365</v>
      </c>
      <c r="J320" s="126">
        <v>1191</v>
      </c>
      <c r="K320" s="127" t="s">
        <v>1275</v>
      </c>
      <c r="L320" s="126">
        <v>1191</v>
      </c>
      <c r="M320" s="126">
        <v>0</v>
      </c>
      <c r="N320" s="126">
        <v>3194.17</v>
      </c>
      <c r="O320" s="126">
        <v>0</v>
      </c>
      <c r="P320" s="126">
        <v>0</v>
      </c>
      <c r="Q320" s="126">
        <v>0</v>
      </c>
      <c r="R320" s="126">
        <v>3194.17</v>
      </c>
      <c r="S320" s="126">
        <v>-2026.99</v>
      </c>
    </row>
    <row r="321" spans="1:19" ht="15.75" customHeight="1" thickBot="1">
      <c r="A321" s="125" t="s">
        <v>1273</v>
      </c>
      <c r="B321" s="125" t="s">
        <v>7</v>
      </c>
      <c r="C321" s="125" t="s">
        <v>1503</v>
      </c>
      <c r="D321" s="125" t="str">
        <f t="shared" si="5"/>
        <v>2</v>
      </c>
      <c r="E321" s="125" t="s">
        <v>202</v>
      </c>
      <c r="F321" s="125" t="s">
        <v>201</v>
      </c>
      <c r="G321" s="125" t="s">
        <v>1506</v>
      </c>
      <c r="H321" s="125" t="s">
        <v>1507</v>
      </c>
      <c r="I321" s="125" t="s">
        <v>1420</v>
      </c>
      <c r="J321" s="126">
        <v>1191</v>
      </c>
      <c r="K321" s="127" t="s">
        <v>1275</v>
      </c>
      <c r="L321" s="126">
        <v>1191</v>
      </c>
      <c r="M321" s="126">
        <v>0</v>
      </c>
      <c r="N321" s="126">
        <v>619.87</v>
      </c>
      <c r="O321" s="126">
        <v>0</v>
      </c>
      <c r="P321" s="126">
        <v>0</v>
      </c>
      <c r="Q321" s="126">
        <v>0</v>
      </c>
      <c r="R321" s="126">
        <v>619.87</v>
      </c>
      <c r="S321" s="126">
        <v>547.30999999999995</v>
      </c>
    </row>
    <row r="322" spans="1:19" ht="15.75" customHeight="1" thickBot="1">
      <c r="A322" s="125" t="s">
        <v>1273</v>
      </c>
      <c r="B322" s="125" t="s">
        <v>1423</v>
      </c>
      <c r="C322" s="125" t="s">
        <v>733</v>
      </c>
      <c r="D322" s="125" t="str">
        <f t="shared" si="5"/>
        <v>2</v>
      </c>
      <c r="E322" s="125" t="s">
        <v>202</v>
      </c>
      <c r="F322" s="125" t="s">
        <v>201</v>
      </c>
      <c r="G322" s="125" t="s">
        <v>1425</v>
      </c>
      <c r="H322" s="125" t="s">
        <v>1426</v>
      </c>
      <c r="I322" s="125" t="s">
        <v>1424</v>
      </c>
      <c r="J322" s="126">
        <v>2381</v>
      </c>
      <c r="K322" s="127" t="s">
        <v>1275</v>
      </c>
      <c r="L322" s="126">
        <v>2381</v>
      </c>
      <c r="M322" s="126">
        <v>0</v>
      </c>
      <c r="N322" s="126">
        <v>1004.83</v>
      </c>
      <c r="O322" s="126">
        <v>0</v>
      </c>
      <c r="P322" s="126">
        <v>0</v>
      </c>
      <c r="Q322" s="126">
        <v>0</v>
      </c>
      <c r="R322" s="126">
        <v>1004.83</v>
      </c>
      <c r="S322" s="126">
        <v>1328.55</v>
      </c>
    </row>
    <row r="323" spans="1:19" ht="15.75" customHeight="1" thickBot="1">
      <c r="A323" s="125" t="s">
        <v>1273</v>
      </c>
      <c r="B323" s="125" t="s">
        <v>1527</v>
      </c>
      <c r="C323" s="125" t="s">
        <v>750</v>
      </c>
      <c r="D323" s="125" t="str">
        <f t="shared" si="5"/>
        <v>2</v>
      </c>
      <c r="E323" s="125" t="s">
        <v>202</v>
      </c>
      <c r="F323" s="125" t="s">
        <v>201</v>
      </c>
      <c r="G323" s="125" t="s">
        <v>1530</v>
      </c>
      <c r="H323" s="125" t="s">
        <v>1531</v>
      </c>
      <c r="I323" s="125" t="s">
        <v>1301</v>
      </c>
      <c r="J323" s="126">
        <v>2645</v>
      </c>
      <c r="K323" s="127" t="s">
        <v>1275</v>
      </c>
      <c r="L323" s="126">
        <v>2645</v>
      </c>
      <c r="M323" s="126">
        <v>0</v>
      </c>
      <c r="N323" s="126">
        <v>206.17</v>
      </c>
      <c r="O323" s="126">
        <v>0</v>
      </c>
      <c r="P323" s="126">
        <v>0</v>
      </c>
      <c r="Q323" s="126">
        <v>0</v>
      </c>
      <c r="R323" s="126">
        <v>206.17</v>
      </c>
      <c r="S323" s="126">
        <v>2385.9299999999998</v>
      </c>
    </row>
    <row r="324" spans="1:19" ht="15.75" customHeight="1" thickBot="1">
      <c r="A324" s="125" t="s">
        <v>1273</v>
      </c>
      <c r="B324" s="125" t="s">
        <v>0</v>
      </c>
      <c r="C324" s="125" t="s">
        <v>406</v>
      </c>
      <c r="D324" s="125" t="str">
        <f t="shared" si="5"/>
        <v>2</v>
      </c>
      <c r="E324" s="125" t="s">
        <v>202</v>
      </c>
      <c r="F324" s="125" t="s">
        <v>201</v>
      </c>
      <c r="G324" s="125" t="s">
        <v>839</v>
      </c>
      <c r="H324" s="125" t="s">
        <v>838</v>
      </c>
      <c r="I324" s="125" t="s">
        <v>1358</v>
      </c>
      <c r="J324" s="126">
        <v>45948</v>
      </c>
      <c r="K324" s="127" t="s">
        <v>1275</v>
      </c>
      <c r="L324" s="126">
        <v>45948</v>
      </c>
      <c r="M324" s="126">
        <v>0</v>
      </c>
      <c r="N324" s="126">
        <v>41135.760000000002</v>
      </c>
      <c r="O324" s="126">
        <v>0</v>
      </c>
      <c r="P324" s="126">
        <v>0</v>
      </c>
      <c r="Q324" s="126">
        <v>0</v>
      </c>
      <c r="R324" s="126">
        <v>41135.760000000002</v>
      </c>
      <c r="S324" s="126">
        <v>3893.28</v>
      </c>
    </row>
    <row r="325" spans="1:19" ht="15.75" thickBot="1">
      <c r="A325" s="125" t="s">
        <v>1905</v>
      </c>
      <c r="B325" s="125" t="s">
        <v>0</v>
      </c>
      <c r="C325" s="125" t="s">
        <v>406</v>
      </c>
      <c r="D325" s="125" t="str">
        <f t="shared" si="5"/>
        <v>2</v>
      </c>
      <c r="E325" s="125" t="s">
        <v>202</v>
      </c>
      <c r="F325" s="125" t="s">
        <v>201</v>
      </c>
      <c r="G325" s="125" t="s">
        <v>839</v>
      </c>
      <c r="H325" s="125" t="s">
        <v>838</v>
      </c>
      <c r="I325" s="125" t="s">
        <v>1358</v>
      </c>
      <c r="J325" s="126">
        <v>45948</v>
      </c>
      <c r="K325" s="127" t="s">
        <v>1275</v>
      </c>
      <c r="L325" s="126">
        <v>45948</v>
      </c>
      <c r="M325" s="126">
        <v>0</v>
      </c>
      <c r="N325" s="126">
        <v>17859.64</v>
      </c>
      <c r="O325" s="126">
        <v>0</v>
      </c>
      <c r="P325" s="126">
        <v>0</v>
      </c>
      <c r="Q325" s="126">
        <v>0</v>
      </c>
      <c r="R325" s="126">
        <v>17859.64</v>
      </c>
      <c r="S325" s="126">
        <v>28088.36</v>
      </c>
    </row>
    <row r="326" spans="1:19" ht="15.75" customHeight="1" thickBot="1">
      <c r="A326" s="125" t="s">
        <v>1273</v>
      </c>
      <c r="B326" s="125" t="s">
        <v>1700</v>
      </c>
      <c r="C326" s="125" t="s">
        <v>1701</v>
      </c>
      <c r="D326" s="125" t="str">
        <f t="shared" si="5"/>
        <v>3</v>
      </c>
      <c r="E326" s="125" t="s">
        <v>206</v>
      </c>
      <c r="F326" s="125" t="s">
        <v>205</v>
      </c>
      <c r="G326" s="125" t="s">
        <v>1702</v>
      </c>
      <c r="H326" s="125" t="s">
        <v>1703</v>
      </c>
      <c r="I326" s="125" t="s">
        <v>1692</v>
      </c>
      <c r="J326" s="126">
        <v>481500</v>
      </c>
      <c r="K326" s="127" t="s">
        <v>1275</v>
      </c>
      <c r="L326" s="126">
        <v>481500</v>
      </c>
      <c r="M326" s="126">
        <v>0</v>
      </c>
      <c r="N326" s="126">
        <v>0</v>
      </c>
      <c r="O326" s="126">
        <v>722926.47</v>
      </c>
      <c r="P326" s="126">
        <v>0</v>
      </c>
      <c r="Q326" s="126">
        <v>0</v>
      </c>
      <c r="R326" s="126">
        <v>722926.47</v>
      </c>
      <c r="S326" s="126">
        <v>6063.53</v>
      </c>
    </row>
    <row r="327" spans="1:19" ht="15.75" thickBot="1">
      <c r="A327" s="125" t="s">
        <v>1905</v>
      </c>
      <c r="B327" s="125" t="s">
        <v>1700</v>
      </c>
      <c r="C327" s="125" t="s">
        <v>1701</v>
      </c>
      <c r="D327" s="125" t="str">
        <f t="shared" si="5"/>
        <v>3</v>
      </c>
      <c r="E327" s="125" t="s">
        <v>206</v>
      </c>
      <c r="F327" s="125" t="s">
        <v>205</v>
      </c>
      <c r="G327" s="125" t="s">
        <v>1702</v>
      </c>
      <c r="H327" s="125" t="s">
        <v>1703</v>
      </c>
      <c r="I327" s="125" t="s">
        <v>1692</v>
      </c>
      <c r="J327" s="126">
        <v>444073</v>
      </c>
      <c r="K327" s="127" t="s">
        <v>1275</v>
      </c>
      <c r="L327" s="126">
        <v>444073</v>
      </c>
      <c r="M327" s="126">
        <v>0</v>
      </c>
      <c r="N327" s="126">
        <v>0</v>
      </c>
      <c r="O327" s="126">
        <v>402754.88</v>
      </c>
      <c r="P327" s="126">
        <v>0</v>
      </c>
      <c r="Q327" s="126">
        <v>0</v>
      </c>
      <c r="R327" s="126">
        <v>402754.88</v>
      </c>
      <c r="S327" s="126">
        <v>41318.120000000003</v>
      </c>
    </row>
    <row r="328" spans="1:19" ht="15.75" customHeight="1" thickBot="1">
      <c r="A328" s="125" t="s">
        <v>1273</v>
      </c>
      <c r="B328" s="125" t="s">
        <v>1700</v>
      </c>
      <c r="C328" s="125" t="s">
        <v>1701</v>
      </c>
      <c r="D328" s="125" t="str">
        <f t="shared" si="5"/>
        <v>3</v>
      </c>
      <c r="E328" s="125" t="s">
        <v>206</v>
      </c>
      <c r="F328" s="125" t="s">
        <v>205</v>
      </c>
      <c r="G328" s="125" t="s">
        <v>1704</v>
      </c>
      <c r="H328" s="125" t="s">
        <v>1705</v>
      </c>
      <c r="I328" s="125" t="s">
        <v>1692</v>
      </c>
      <c r="J328" s="126">
        <v>68418</v>
      </c>
      <c r="K328" s="127" t="s">
        <v>1275</v>
      </c>
      <c r="L328" s="126">
        <v>68418</v>
      </c>
      <c r="M328" s="126">
        <v>0</v>
      </c>
      <c r="N328" s="126">
        <v>0</v>
      </c>
      <c r="O328" s="126">
        <v>89730.57</v>
      </c>
      <c r="P328" s="126">
        <v>0</v>
      </c>
      <c r="Q328" s="126">
        <v>0</v>
      </c>
      <c r="R328" s="126">
        <v>89730.57</v>
      </c>
      <c r="S328" s="126">
        <v>-1112.57</v>
      </c>
    </row>
    <row r="329" spans="1:19" ht="15.75" thickBot="1">
      <c r="A329" s="125" t="s">
        <v>1905</v>
      </c>
      <c r="B329" s="125" t="s">
        <v>1700</v>
      </c>
      <c r="C329" s="125" t="s">
        <v>1701</v>
      </c>
      <c r="D329" s="125" t="str">
        <f t="shared" si="5"/>
        <v>3</v>
      </c>
      <c r="E329" s="125" t="s">
        <v>206</v>
      </c>
      <c r="F329" s="125" t="s">
        <v>205</v>
      </c>
      <c r="G329" s="125" t="s">
        <v>1704</v>
      </c>
      <c r="H329" s="125" t="s">
        <v>1705</v>
      </c>
      <c r="I329" s="125" t="s">
        <v>1692</v>
      </c>
      <c r="J329" s="126">
        <v>61576</v>
      </c>
      <c r="K329" s="127" t="s">
        <v>1275</v>
      </c>
      <c r="L329" s="126">
        <v>61576</v>
      </c>
      <c r="M329" s="126">
        <v>0</v>
      </c>
      <c r="N329" s="126">
        <v>0</v>
      </c>
      <c r="O329" s="126">
        <v>57936.6</v>
      </c>
      <c r="P329" s="126">
        <v>0</v>
      </c>
      <c r="Q329" s="126">
        <v>0</v>
      </c>
      <c r="R329" s="126">
        <v>57936.6</v>
      </c>
      <c r="S329" s="126">
        <v>4289.3999999999996</v>
      </c>
    </row>
    <row r="330" spans="1:19" ht="15.75" customHeight="1" thickBot="1">
      <c r="A330" s="125" t="s">
        <v>1273</v>
      </c>
      <c r="B330" s="125" t="s">
        <v>1700</v>
      </c>
      <c r="C330" s="125" t="s">
        <v>1701</v>
      </c>
      <c r="D330" s="125" t="str">
        <f t="shared" si="5"/>
        <v>3</v>
      </c>
      <c r="E330" s="125" t="s">
        <v>206</v>
      </c>
      <c r="F330" s="125" t="s">
        <v>205</v>
      </c>
      <c r="G330" s="125" t="s">
        <v>1706</v>
      </c>
      <c r="H330" s="125" t="s">
        <v>1707</v>
      </c>
      <c r="I330" s="125" t="s">
        <v>1692</v>
      </c>
      <c r="J330" s="126">
        <v>17202</v>
      </c>
      <c r="K330" s="127" t="s">
        <v>1275</v>
      </c>
      <c r="L330" s="126">
        <v>17202</v>
      </c>
      <c r="M330" s="126">
        <v>0</v>
      </c>
      <c r="N330" s="126">
        <v>0</v>
      </c>
      <c r="O330" s="126">
        <v>9114</v>
      </c>
      <c r="P330" s="126">
        <v>0</v>
      </c>
      <c r="Q330" s="126">
        <v>0</v>
      </c>
      <c r="R330" s="126">
        <v>9114</v>
      </c>
      <c r="S330" s="126">
        <v>188</v>
      </c>
    </row>
    <row r="331" spans="1:19" ht="15.75" thickBot="1">
      <c r="A331" s="125" t="s">
        <v>1905</v>
      </c>
      <c r="B331" s="125" t="s">
        <v>1700</v>
      </c>
      <c r="C331" s="125" t="s">
        <v>1701</v>
      </c>
      <c r="D331" s="125" t="str">
        <f t="shared" si="5"/>
        <v>3</v>
      </c>
      <c r="E331" s="125" t="s">
        <v>206</v>
      </c>
      <c r="F331" s="125" t="s">
        <v>205</v>
      </c>
      <c r="G331" s="125" t="s">
        <v>1706</v>
      </c>
      <c r="H331" s="125" t="s">
        <v>1707</v>
      </c>
      <c r="I331" s="125" t="s">
        <v>1692</v>
      </c>
      <c r="J331" s="126">
        <v>7000</v>
      </c>
      <c r="K331" s="127" t="s">
        <v>1275</v>
      </c>
      <c r="L331" s="126">
        <v>7000</v>
      </c>
      <c r="M331" s="126">
        <v>0</v>
      </c>
      <c r="N331" s="126">
        <v>0</v>
      </c>
      <c r="O331" s="126">
        <v>11904.78</v>
      </c>
      <c r="P331" s="126">
        <v>0</v>
      </c>
      <c r="Q331" s="126">
        <v>0</v>
      </c>
      <c r="R331" s="126">
        <v>11904.78</v>
      </c>
      <c r="S331" s="126">
        <v>9095.2199999999993</v>
      </c>
    </row>
    <row r="332" spans="1:19" ht="15.75" thickBot="1">
      <c r="A332" s="125" t="s">
        <v>1905</v>
      </c>
      <c r="B332" s="125" t="s">
        <v>1700</v>
      </c>
      <c r="C332" s="125" t="s">
        <v>1701</v>
      </c>
      <c r="D332" s="125" t="str">
        <f t="shared" si="5"/>
        <v>3</v>
      </c>
      <c r="E332" s="125" t="s">
        <v>206</v>
      </c>
      <c r="F332" s="125" t="s">
        <v>205</v>
      </c>
      <c r="G332" s="125" t="s">
        <v>1946</v>
      </c>
      <c r="H332" s="125" t="s">
        <v>1947</v>
      </c>
      <c r="I332" s="125" t="s">
        <v>1692</v>
      </c>
      <c r="J332" s="126">
        <v>650</v>
      </c>
      <c r="K332" s="127" t="s">
        <v>1275</v>
      </c>
      <c r="L332" s="126">
        <v>650</v>
      </c>
      <c r="M332" s="126">
        <v>0</v>
      </c>
      <c r="N332" s="126">
        <v>0</v>
      </c>
      <c r="O332" s="126">
        <v>0</v>
      </c>
      <c r="P332" s="126">
        <v>0</v>
      </c>
      <c r="Q332" s="126">
        <v>0</v>
      </c>
      <c r="R332" s="126">
        <v>0</v>
      </c>
      <c r="S332" s="126">
        <v>0</v>
      </c>
    </row>
    <row r="333" spans="1:19" ht="15.75" customHeight="1" thickBot="1">
      <c r="A333" s="125" t="s">
        <v>1273</v>
      </c>
      <c r="B333" s="125" t="s">
        <v>1700</v>
      </c>
      <c r="C333" s="125" t="s">
        <v>1701</v>
      </c>
      <c r="D333" s="125" t="str">
        <f t="shared" si="5"/>
        <v>3</v>
      </c>
      <c r="E333" s="125" t="s">
        <v>206</v>
      </c>
      <c r="F333" s="125" t="s">
        <v>205</v>
      </c>
      <c r="G333" s="125" t="s">
        <v>1708</v>
      </c>
      <c r="H333" s="125" t="s">
        <v>1709</v>
      </c>
      <c r="I333" s="125" t="s">
        <v>1692</v>
      </c>
      <c r="J333" s="126">
        <v>304908</v>
      </c>
      <c r="K333" s="127" t="s">
        <v>1275</v>
      </c>
      <c r="L333" s="126">
        <v>304908</v>
      </c>
      <c r="M333" s="126">
        <v>0</v>
      </c>
      <c r="N333" s="126">
        <v>0</v>
      </c>
      <c r="O333" s="126">
        <v>445339.65</v>
      </c>
      <c r="P333" s="126">
        <v>0</v>
      </c>
      <c r="Q333" s="126">
        <v>0</v>
      </c>
      <c r="R333" s="126">
        <v>445339.65</v>
      </c>
      <c r="S333" s="126">
        <v>3251.35</v>
      </c>
    </row>
    <row r="334" spans="1:19" ht="15.75" thickBot="1">
      <c r="A334" s="125" t="s">
        <v>1905</v>
      </c>
      <c r="B334" s="125" t="s">
        <v>1700</v>
      </c>
      <c r="C334" s="125" t="s">
        <v>1701</v>
      </c>
      <c r="D334" s="125" t="str">
        <f t="shared" si="5"/>
        <v>3</v>
      </c>
      <c r="E334" s="125" t="s">
        <v>206</v>
      </c>
      <c r="F334" s="125" t="s">
        <v>205</v>
      </c>
      <c r="G334" s="125" t="s">
        <v>1708</v>
      </c>
      <c r="H334" s="125" t="s">
        <v>1709</v>
      </c>
      <c r="I334" s="125" t="s">
        <v>1692</v>
      </c>
      <c r="J334" s="126">
        <v>431327</v>
      </c>
      <c r="K334" s="127" t="s">
        <v>1275</v>
      </c>
      <c r="L334" s="126">
        <v>431327</v>
      </c>
      <c r="M334" s="126">
        <v>0</v>
      </c>
      <c r="N334" s="126">
        <v>0</v>
      </c>
      <c r="O334" s="126">
        <v>245029.27</v>
      </c>
      <c r="P334" s="126">
        <v>0</v>
      </c>
      <c r="Q334" s="126">
        <v>0</v>
      </c>
      <c r="R334" s="126">
        <v>245029.27</v>
      </c>
      <c r="S334" s="126">
        <v>186297.73</v>
      </c>
    </row>
    <row r="335" spans="1:19" ht="15.75" customHeight="1" thickBot="1">
      <c r="A335" s="125" t="s">
        <v>1273</v>
      </c>
      <c r="B335" s="125" t="s">
        <v>1700</v>
      </c>
      <c r="C335" s="125" t="s">
        <v>1701</v>
      </c>
      <c r="D335" s="125" t="str">
        <f t="shared" si="5"/>
        <v>3</v>
      </c>
      <c r="E335" s="125" t="s">
        <v>206</v>
      </c>
      <c r="F335" s="125" t="s">
        <v>205</v>
      </c>
      <c r="G335" s="125" t="s">
        <v>1710</v>
      </c>
      <c r="H335" s="125" t="s">
        <v>1711</v>
      </c>
      <c r="I335" s="125" t="s">
        <v>1692</v>
      </c>
      <c r="J335" s="126">
        <v>209155</v>
      </c>
      <c r="K335" s="127" t="s">
        <v>1275</v>
      </c>
      <c r="L335" s="126">
        <v>209155</v>
      </c>
      <c r="M335" s="126">
        <v>0</v>
      </c>
      <c r="N335" s="126">
        <v>0</v>
      </c>
      <c r="O335" s="126">
        <v>286027.55</v>
      </c>
      <c r="P335" s="126">
        <v>0</v>
      </c>
      <c r="Q335" s="126">
        <v>0</v>
      </c>
      <c r="R335" s="126">
        <v>286027.55</v>
      </c>
      <c r="S335" s="126">
        <v>1474.45</v>
      </c>
    </row>
    <row r="336" spans="1:19" ht="15.75" thickBot="1">
      <c r="A336" s="125" t="s">
        <v>1905</v>
      </c>
      <c r="B336" s="125" t="s">
        <v>1700</v>
      </c>
      <c r="C336" s="125" t="s">
        <v>1701</v>
      </c>
      <c r="D336" s="125" t="str">
        <f t="shared" si="5"/>
        <v>3</v>
      </c>
      <c r="E336" s="125" t="s">
        <v>206</v>
      </c>
      <c r="F336" s="125" t="s">
        <v>205</v>
      </c>
      <c r="G336" s="125" t="s">
        <v>1710</v>
      </c>
      <c r="H336" s="125" t="s">
        <v>1711</v>
      </c>
      <c r="I336" s="125" t="s">
        <v>1692</v>
      </c>
      <c r="J336" s="126">
        <v>209758</v>
      </c>
      <c r="K336" s="127" t="s">
        <v>1275</v>
      </c>
      <c r="L336" s="126">
        <v>209758</v>
      </c>
      <c r="M336" s="126">
        <v>0</v>
      </c>
      <c r="N336" s="126">
        <v>0</v>
      </c>
      <c r="O336" s="126">
        <v>144580.66</v>
      </c>
      <c r="P336" s="126">
        <v>0</v>
      </c>
      <c r="Q336" s="126">
        <v>0</v>
      </c>
      <c r="R336" s="126">
        <v>144580.66</v>
      </c>
      <c r="S336" s="126">
        <v>65177.34</v>
      </c>
    </row>
    <row r="337" spans="1:19" ht="15.75" customHeight="1" thickBot="1">
      <c r="A337" s="125" t="s">
        <v>1273</v>
      </c>
      <c r="B337" s="125" t="s">
        <v>1700</v>
      </c>
      <c r="C337" s="125" t="s">
        <v>1701</v>
      </c>
      <c r="D337" s="125" t="str">
        <f t="shared" si="5"/>
        <v>3</v>
      </c>
      <c r="E337" s="125" t="s">
        <v>206</v>
      </c>
      <c r="F337" s="125" t="s">
        <v>205</v>
      </c>
      <c r="G337" s="125" t="s">
        <v>1714</v>
      </c>
      <c r="H337" s="125" t="s">
        <v>1715</v>
      </c>
      <c r="I337" s="125" t="s">
        <v>1692</v>
      </c>
      <c r="J337" s="126">
        <v>10000</v>
      </c>
      <c r="K337" s="127" t="s">
        <v>1275</v>
      </c>
      <c r="L337" s="126">
        <v>10000</v>
      </c>
      <c r="M337" s="126">
        <v>0</v>
      </c>
      <c r="N337" s="126">
        <v>0</v>
      </c>
      <c r="O337" s="126">
        <v>3331.56</v>
      </c>
      <c r="P337" s="126">
        <v>0</v>
      </c>
      <c r="Q337" s="126">
        <v>0</v>
      </c>
      <c r="R337" s="126">
        <v>3331.56</v>
      </c>
      <c r="S337" s="126">
        <v>1668.44</v>
      </c>
    </row>
    <row r="338" spans="1:19" ht="15.75" thickBot="1">
      <c r="A338" s="125" t="s">
        <v>1905</v>
      </c>
      <c r="B338" s="125" t="s">
        <v>1700</v>
      </c>
      <c r="C338" s="125" t="s">
        <v>1701</v>
      </c>
      <c r="D338" s="125" t="str">
        <f t="shared" si="5"/>
        <v>3</v>
      </c>
      <c r="E338" s="125" t="s">
        <v>206</v>
      </c>
      <c r="F338" s="125" t="s">
        <v>205</v>
      </c>
      <c r="G338" s="125" t="s">
        <v>1714</v>
      </c>
      <c r="H338" s="125" t="s">
        <v>1715</v>
      </c>
      <c r="I338" s="125" t="s">
        <v>1692</v>
      </c>
      <c r="J338" s="126">
        <v>2000</v>
      </c>
      <c r="K338" s="127" t="s">
        <v>1275</v>
      </c>
      <c r="L338" s="126">
        <v>2000</v>
      </c>
      <c r="M338" s="126">
        <v>0</v>
      </c>
      <c r="N338" s="126">
        <v>0</v>
      </c>
      <c r="O338" s="126">
        <v>1747.57</v>
      </c>
      <c r="P338" s="126">
        <v>0</v>
      </c>
      <c r="Q338" s="126">
        <v>0</v>
      </c>
      <c r="R338" s="126">
        <v>1747.57</v>
      </c>
      <c r="S338" s="126">
        <v>252.43</v>
      </c>
    </row>
    <row r="339" spans="1:19" ht="15.75" customHeight="1" thickBot="1">
      <c r="A339" s="125" t="s">
        <v>1273</v>
      </c>
      <c r="B339" s="125" t="s">
        <v>1700</v>
      </c>
      <c r="C339" s="125" t="s">
        <v>1701</v>
      </c>
      <c r="D339" s="125" t="str">
        <f t="shared" si="5"/>
        <v>3</v>
      </c>
      <c r="E339" s="125" t="s">
        <v>206</v>
      </c>
      <c r="F339" s="125" t="s">
        <v>205</v>
      </c>
      <c r="G339" s="125" t="s">
        <v>1716</v>
      </c>
      <c r="H339" s="125" t="s">
        <v>1717</v>
      </c>
      <c r="I339" s="125" t="s">
        <v>1692</v>
      </c>
      <c r="J339" s="126">
        <v>25000</v>
      </c>
      <c r="K339" s="127" t="s">
        <v>1275</v>
      </c>
      <c r="L339" s="126">
        <v>25000</v>
      </c>
      <c r="M339" s="126">
        <v>0</v>
      </c>
      <c r="N339" s="126">
        <v>0</v>
      </c>
      <c r="O339" s="126">
        <v>544.59</v>
      </c>
      <c r="P339" s="126">
        <v>0</v>
      </c>
      <c r="Q339" s="126">
        <v>0</v>
      </c>
      <c r="R339" s="126">
        <v>544.59</v>
      </c>
      <c r="S339" s="126">
        <v>255.41</v>
      </c>
    </row>
    <row r="340" spans="1:19" ht="15.75" thickBot="1">
      <c r="A340" s="125" t="s">
        <v>1905</v>
      </c>
      <c r="B340" s="125" t="s">
        <v>1700</v>
      </c>
      <c r="C340" s="125" t="s">
        <v>1701</v>
      </c>
      <c r="D340" s="125" t="str">
        <f t="shared" si="5"/>
        <v>3</v>
      </c>
      <c r="E340" s="125" t="s">
        <v>206</v>
      </c>
      <c r="F340" s="125" t="s">
        <v>205</v>
      </c>
      <c r="G340" s="125" t="s">
        <v>1716</v>
      </c>
      <c r="H340" s="125" t="s">
        <v>1717</v>
      </c>
      <c r="I340" s="125" t="s">
        <v>1692</v>
      </c>
      <c r="J340" s="126">
        <v>750</v>
      </c>
      <c r="K340" s="127" t="s">
        <v>1275</v>
      </c>
      <c r="L340" s="126">
        <v>750</v>
      </c>
      <c r="M340" s="126">
        <v>0</v>
      </c>
      <c r="N340" s="126">
        <v>0</v>
      </c>
      <c r="O340" s="126">
        <v>627.62</v>
      </c>
      <c r="P340" s="126">
        <v>0</v>
      </c>
      <c r="Q340" s="126">
        <v>0</v>
      </c>
      <c r="R340" s="126">
        <v>627.62</v>
      </c>
      <c r="S340" s="126">
        <v>122.38</v>
      </c>
    </row>
    <row r="341" spans="1:19" ht="15.75" customHeight="1" thickBot="1">
      <c r="A341" s="125" t="s">
        <v>1273</v>
      </c>
      <c r="B341" s="125" t="s">
        <v>1700</v>
      </c>
      <c r="C341" s="125" t="s">
        <v>1701</v>
      </c>
      <c r="D341" s="125" t="str">
        <f t="shared" si="5"/>
        <v>3</v>
      </c>
      <c r="E341" s="125" t="s">
        <v>206</v>
      </c>
      <c r="F341" s="125" t="s">
        <v>205</v>
      </c>
      <c r="G341" s="125" t="s">
        <v>1718</v>
      </c>
      <c r="H341" s="125" t="s">
        <v>1719</v>
      </c>
      <c r="I341" s="125" t="s">
        <v>1692</v>
      </c>
      <c r="J341" s="126">
        <v>5000</v>
      </c>
      <c r="K341" s="127" t="s">
        <v>1275</v>
      </c>
      <c r="L341" s="126">
        <v>5000</v>
      </c>
      <c r="M341" s="126">
        <v>0</v>
      </c>
      <c r="N341" s="126">
        <v>0</v>
      </c>
      <c r="O341" s="126">
        <v>10917.94</v>
      </c>
      <c r="P341" s="126">
        <v>0</v>
      </c>
      <c r="Q341" s="126">
        <v>0</v>
      </c>
      <c r="R341" s="126">
        <v>10917.94</v>
      </c>
      <c r="S341" s="126">
        <v>9082.06</v>
      </c>
    </row>
    <row r="342" spans="1:19" ht="15.75" thickBot="1">
      <c r="A342" s="125" t="s">
        <v>1905</v>
      </c>
      <c r="B342" s="125" t="s">
        <v>1700</v>
      </c>
      <c r="C342" s="125" t="s">
        <v>1701</v>
      </c>
      <c r="D342" s="125" t="str">
        <f t="shared" si="5"/>
        <v>3</v>
      </c>
      <c r="E342" s="125" t="s">
        <v>206</v>
      </c>
      <c r="F342" s="125" t="s">
        <v>205</v>
      </c>
      <c r="G342" s="125" t="s">
        <v>1718</v>
      </c>
      <c r="H342" s="125" t="s">
        <v>1719</v>
      </c>
      <c r="I342" s="125" t="s">
        <v>1692</v>
      </c>
      <c r="J342" s="126">
        <v>5000</v>
      </c>
      <c r="K342" s="127" t="s">
        <v>1275</v>
      </c>
      <c r="L342" s="126">
        <v>5000</v>
      </c>
      <c r="M342" s="126">
        <v>0</v>
      </c>
      <c r="N342" s="126">
        <v>0</v>
      </c>
      <c r="O342" s="126">
        <v>5769.13</v>
      </c>
      <c r="P342" s="126">
        <v>0</v>
      </c>
      <c r="Q342" s="126">
        <v>0</v>
      </c>
      <c r="R342" s="126">
        <v>5769.13</v>
      </c>
      <c r="S342" s="126">
        <v>4230.87</v>
      </c>
    </row>
    <row r="343" spans="1:19" ht="15.75" customHeight="1" thickBot="1">
      <c r="A343" s="125" t="s">
        <v>1273</v>
      </c>
      <c r="B343" s="125" t="s">
        <v>39</v>
      </c>
      <c r="C343" s="125" t="s">
        <v>326</v>
      </c>
      <c r="D343" s="125" t="str">
        <f t="shared" si="5"/>
        <v>1</v>
      </c>
      <c r="E343" s="125" t="s">
        <v>206</v>
      </c>
      <c r="F343" s="125" t="s">
        <v>205</v>
      </c>
      <c r="G343" s="125" t="s">
        <v>984</v>
      </c>
      <c r="H343" s="125" t="s">
        <v>983</v>
      </c>
      <c r="I343" s="125" t="s">
        <v>1274</v>
      </c>
      <c r="J343" s="126">
        <v>297437.69</v>
      </c>
      <c r="K343" s="126">
        <v>963.69</v>
      </c>
      <c r="L343" s="126">
        <v>296474</v>
      </c>
      <c r="M343" s="126">
        <v>233824.75</v>
      </c>
      <c r="N343" s="126">
        <v>7378.53</v>
      </c>
      <c r="O343" s="126">
        <v>1050</v>
      </c>
      <c r="P343" s="126">
        <v>59683.05</v>
      </c>
      <c r="Q343" s="126">
        <v>1000.89</v>
      </c>
      <c r="R343" s="126">
        <v>302937.21999999997</v>
      </c>
      <c r="S343" s="126">
        <v>29486.799999999999</v>
      </c>
    </row>
    <row r="344" spans="1:19" ht="15.75" thickBot="1">
      <c r="A344" s="125" t="s">
        <v>1905</v>
      </c>
      <c r="B344" s="125" t="s">
        <v>39</v>
      </c>
      <c r="C344" s="125" t="s">
        <v>326</v>
      </c>
      <c r="D344" s="125" t="str">
        <f t="shared" si="5"/>
        <v>1</v>
      </c>
      <c r="E344" s="125" t="s">
        <v>206</v>
      </c>
      <c r="F344" s="125" t="s">
        <v>205</v>
      </c>
      <c r="G344" s="125" t="s">
        <v>984</v>
      </c>
      <c r="H344" s="125" t="s">
        <v>983</v>
      </c>
      <c r="I344" s="125" t="s">
        <v>1274</v>
      </c>
      <c r="J344" s="126">
        <v>447250.89</v>
      </c>
      <c r="K344" s="126">
        <v>1000.89</v>
      </c>
      <c r="L344" s="126">
        <v>446250</v>
      </c>
      <c r="M344" s="126">
        <v>208830.49</v>
      </c>
      <c r="N344" s="126">
        <v>2488</v>
      </c>
      <c r="O344" s="126">
        <v>750</v>
      </c>
      <c r="P344" s="126">
        <v>34499.120000000003</v>
      </c>
      <c r="Q344" s="126">
        <v>6332.39</v>
      </c>
      <c r="R344" s="126">
        <v>252900</v>
      </c>
      <c r="S344" s="126">
        <v>194350.89</v>
      </c>
    </row>
    <row r="345" spans="1:19" ht="15.75" customHeight="1" thickBot="1">
      <c r="A345" s="125" t="s">
        <v>1273</v>
      </c>
      <c r="B345" s="125" t="s">
        <v>1288</v>
      </c>
      <c r="C345" s="125" t="s">
        <v>1289</v>
      </c>
      <c r="D345" s="125" t="str">
        <f t="shared" si="5"/>
        <v>1</v>
      </c>
      <c r="E345" s="125" t="s">
        <v>206</v>
      </c>
      <c r="F345" s="125" t="s">
        <v>205</v>
      </c>
      <c r="G345" s="125" t="s">
        <v>1290</v>
      </c>
      <c r="H345" s="125" t="s">
        <v>1291</v>
      </c>
      <c r="I345" s="125" t="s">
        <v>1292</v>
      </c>
      <c r="J345" s="126">
        <v>0</v>
      </c>
      <c r="K345" s="127" t="s">
        <v>1275</v>
      </c>
      <c r="L345" s="126">
        <v>0</v>
      </c>
      <c r="M345" s="126">
        <v>0</v>
      </c>
      <c r="N345" s="126">
        <v>0</v>
      </c>
      <c r="O345" s="126">
        <v>0</v>
      </c>
      <c r="P345" s="126">
        <v>116.41</v>
      </c>
      <c r="Q345" s="126">
        <v>116.41</v>
      </c>
      <c r="R345" s="126">
        <v>232.82</v>
      </c>
      <c r="S345" s="126">
        <v>2267.1799999999998</v>
      </c>
    </row>
    <row r="346" spans="1:19" ht="15.75" thickBot="1">
      <c r="A346" s="125" t="s">
        <v>1905</v>
      </c>
      <c r="B346" s="125" t="s">
        <v>1288</v>
      </c>
      <c r="C346" s="125" t="s">
        <v>1289</v>
      </c>
      <c r="D346" s="125" t="str">
        <f t="shared" si="5"/>
        <v>1</v>
      </c>
      <c r="E346" s="125" t="s">
        <v>206</v>
      </c>
      <c r="F346" s="125" t="s">
        <v>205</v>
      </c>
      <c r="G346" s="125" t="s">
        <v>1290</v>
      </c>
      <c r="H346" s="125" t="s">
        <v>1291</v>
      </c>
      <c r="I346" s="125" t="s">
        <v>1292</v>
      </c>
      <c r="J346" s="126">
        <v>2616.41</v>
      </c>
      <c r="K346" s="126">
        <v>116.41</v>
      </c>
      <c r="L346" s="126">
        <v>2500</v>
      </c>
      <c r="M346" s="126">
        <v>0</v>
      </c>
      <c r="N346" s="126">
        <v>0</v>
      </c>
      <c r="O346" s="126">
        <v>0</v>
      </c>
      <c r="P346" s="126">
        <v>1251.82</v>
      </c>
      <c r="Q346" s="126">
        <v>789.47</v>
      </c>
      <c r="R346" s="126">
        <v>2041.29</v>
      </c>
      <c r="S346" s="126">
        <v>575.12</v>
      </c>
    </row>
    <row r="347" spans="1:19" ht="15.75" thickBot="1">
      <c r="A347" s="125" t="s">
        <v>1905</v>
      </c>
      <c r="B347" s="125" t="s">
        <v>39</v>
      </c>
      <c r="C347" s="125" t="s">
        <v>326</v>
      </c>
      <c r="D347" s="125" t="str">
        <f t="shared" si="5"/>
        <v>1</v>
      </c>
      <c r="E347" s="125" t="s">
        <v>206</v>
      </c>
      <c r="F347" s="125" t="s">
        <v>205</v>
      </c>
      <c r="G347" s="125" t="s">
        <v>991</v>
      </c>
      <c r="H347" s="125" t="s">
        <v>990</v>
      </c>
      <c r="I347" s="125" t="s">
        <v>1906</v>
      </c>
      <c r="J347" s="126">
        <v>36378</v>
      </c>
      <c r="K347" s="127" t="s">
        <v>1275</v>
      </c>
      <c r="L347" s="126">
        <v>36378</v>
      </c>
      <c r="M347" s="126">
        <v>21185.49</v>
      </c>
      <c r="N347" s="126">
        <v>0</v>
      </c>
      <c r="O347" s="126">
        <v>0</v>
      </c>
      <c r="P347" s="126">
        <v>874.11</v>
      </c>
      <c r="Q347" s="126">
        <v>713.66</v>
      </c>
      <c r="R347" s="126">
        <v>22773.26</v>
      </c>
      <c r="S347" s="126">
        <v>17604.740000000002</v>
      </c>
    </row>
    <row r="348" spans="1:19" ht="15.75" customHeight="1" thickBot="1">
      <c r="A348" s="125" t="s">
        <v>1273</v>
      </c>
      <c r="B348" s="125" t="s">
        <v>1662</v>
      </c>
      <c r="C348" s="125" t="s">
        <v>994</v>
      </c>
      <c r="D348" s="125" t="str">
        <f t="shared" si="5"/>
        <v>3</v>
      </c>
      <c r="E348" s="125" t="s">
        <v>206</v>
      </c>
      <c r="F348" s="125" t="s">
        <v>205</v>
      </c>
      <c r="G348" s="125" t="s">
        <v>995</v>
      </c>
      <c r="H348" s="125" t="s">
        <v>993</v>
      </c>
      <c r="I348" s="125" t="s">
        <v>1665</v>
      </c>
      <c r="J348" s="126">
        <v>352813.65</v>
      </c>
      <c r="K348" s="126">
        <v>310.64999999999998</v>
      </c>
      <c r="L348" s="126">
        <v>352503</v>
      </c>
      <c r="M348" s="126">
        <v>358644.54</v>
      </c>
      <c r="N348" s="126">
        <v>0</v>
      </c>
      <c r="O348" s="126">
        <v>1350</v>
      </c>
      <c r="P348" s="126">
        <v>15873.97</v>
      </c>
      <c r="Q348" s="126">
        <v>90.64</v>
      </c>
      <c r="R348" s="126">
        <v>375959.15</v>
      </c>
      <c r="S348" s="126">
        <v>13635</v>
      </c>
    </row>
    <row r="349" spans="1:19" ht="15.75" thickBot="1">
      <c r="A349" s="125" t="s">
        <v>1905</v>
      </c>
      <c r="B349" s="125" t="s">
        <v>1662</v>
      </c>
      <c r="C349" s="125" t="s">
        <v>994</v>
      </c>
      <c r="D349" s="125" t="str">
        <f t="shared" si="5"/>
        <v>3</v>
      </c>
      <c r="E349" s="125" t="s">
        <v>206</v>
      </c>
      <c r="F349" s="125" t="s">
        <v>205</v>
      </c>
      <c r="G349" s="125" t="s">
        <v>995</v>
      </c>
      <c r="H349" s="125" t="s">
        <v>993</v>
      </c>
      <c r="I349" s="125" t="s">
        <v>1665</v>
      </c>
      <c r="J349" s="126">
        <v>327090.64</v>
      </c>
      <c r="K349" s="126">
        <v>90.64</v>
      </c>
      <c r="L349" s="126">
        <v>327000</v>
      </c>
      <c r="M349" s="126">
        <v>174091.41</v>
      </c>
      <c r="N349" s="126">
        <v>0</v>
      </c>
      <c r="O349" s="126">
        <v>0</v>
      </c>
      <c r="P349" s="126">
        <v>7711.23</v>
      </c>
      <c r="Q349" s="126">
        <v>1839.73</v>
      </c>
      <c r="R349" s="126">
        <v>183642.37</v>
      </c>
      <c r="S349" s="126">
        <v>143448.26999999999</v>
      </c>
    </row>
    <row r="350" spans="1:19" ht="15.75" customHeight="1" thickBot="1">
      <c r="A350" s="125" t="s">
        <v>1273</v>
      </c>
      <c r="B350" s="125" t="s">
        <v>1691</v>
      </c>
      <c r="C350" s="125" t="s">
        <v>715</v>
      </c>
      <c r="D350" s="125" t="str">
        <f t="shared" si="5"/>
        <v>3</v>
      </c>
      <c r="E350" s="125" t="s">
        <v>206</v>
      </c>
      <c r="F350" s="125" t="s">
        <v>205</v>
      </c>
      <c r="G350" s="125" t="s">
        <v>1000</v>
      </c>
      <c r="H350" s="125" t="s">
        <v>999</v>
      </c>
      <c r="I350" s="125" t="s">
        <v>1692</v>
      </c>
      <c r="J350" s="126">
        <v>125280</v>
      </c>
      <c r="K350" s="127" t="s">
        <v>1275</v>
      </c>
      <c r="L350" s="126">
        <v>125280</v>
      </c>
      <c r="M350" s="126">
        <v>123720</v>
      </c>
      <c r="N350" s="126">
        <v>0</v>
      </c>
      <c r="O350" s="126">
        <v>0</v>
      </c>
      <c r="P350" s="126">
        <v>2753.06</v>
      </c>
      <c r="Q350" s="126">
        <v>0</v>
      </c>
      <c r="R350" s="126">
        <v>126473.06</v>
      </c>
      <c r="S350" s="126">
        <v>96.94</v>
      </c>
    </row>
    <row r="351" spans="1:19" ht="15.75" thickBot="1">
      <c r="A351" s="125" t="s">
        <v>1905</v>
      </c>
      <c r="B351" s="125" t="s">
        <v>1691</v>
      </c>
      <c r="C351" s="125" t="s">
        <v>715</v>
      </c>
      <c r="D351" s="125" t="str">
        <f t="shared" si="5"/>
        <v>3</v>
      </c>
      <c r="E351" s="125" t="s">
        <v>206</v>
      </c>
      <c r="F351" s="125" t="s">
        <v>205</v>
      </c>
      <c r="G351" s="125" t="s">
        <v>1000</v>
      </c>
      <c r="H351" s="125" t="s">
        <v>999</v>
      </c>
      <c r="I351" s="125" t="s">
        <v>1692</v>
      </c>
      <c r="J351" s="126">
        <v>125010</v>
      </c>
      <c r="K351" s="127" t="s">
        <v>1275</v>
      </c>
      <c r="L351" s="126">
        <v>125010</v>
      </c>
      <c r="M351" s="126">
        <v>71400</v>
      </c>
      <c r="N351" s="126">
        <v>0</v>
      </c>
      <c r="O351" s="126">
        <v>0</v>
      </c>
      <c r="P351" s="126">
        <v>293.3</v>
      </c>
      <c r="Q351" s="126">
        <v>0</v>
      </c>
      <c r="R351" s="126">
        <v>71693.3</v>
      </c>
      <c r="S351" s="126">
        <v>53316.7</v>
      </c>
    </row>
    <row r="352" spans="1:19" ht="15.75" customHeight="1" thickBot="1">
      <c r="A352" s="125" t="s">
        <v>1273</v>
      </c>
      <c r="B352" s="125" t="s">
        <v>1691</v>
      </c>
      <c r="C352" s="125" t="s">
        <v>715</v>
      </c>
      <c r="D352" s="125" t="str">
        <f t="shared" si="5"/>
        <v>3</v>
      </c>
      <c r="E352" s="125" t="s">
        <v>206</v>
      </c>
      <c r="F352" s="125" t="s">
        <v>205</v>
      </c>
      <c r="G352" s="125" t="s">
        <v>1694</v>
      </c>
      <c r="H352" s="125" t="s">
        <v>1695</v>
      </c>
      <c r="I352" s="125" t="s">
        <v>1692</v>
      </c>
      <c r="J352" s="126">
        <v>0</v>
      </c>
      <c r="K352" s="127" t="s">
        <v>1275</v>
      </c>
      <c r="L352" s="126">
        <v>0</v>
      </c>
      <c r="M352" s="126">
        <v>0</v>
      </c>
      <c r="N352" s="126">
        <v>0</v>
      </c>
      <c r="O352" s="126">
        <v>0</v>
      </c>
      <c r="P352" s="126">
        <v>5177.29</v>
      </c>
      <c r="Q352" s="126">
        <v>0</v>
      </c>
      <c r="R352" s="126">
        <v>5177.29</v>
      </c>
      <c r="S352" s="126">
        <v>2822.71</v>
      </c>
    </row>
    <row r="353" spans="1:19" ht="15.75" thickBot="1">
      <c r="A353" s="125" t="s">
        <v>1905</v>
      </c>
      <c r="B353" s="125" t="s">
        <v>1691</v>
      </c>
      <c r="C353" s="125" t="s">
        <v>715</v>
      </c>
      <c r="D353" s="125" t="str">
        <f t="shared" si="5"/>
        <v>3</v>
      </c>
      <c r="E353" s="125" t="s">
        <v>206</v>
      </c>
      <c r="F353" s="125" t="s">
        <v>205</v>
      </c>
      <c r="G353" s="125" t="s">
        <v>1694</v>
      </c>
      <c r="H353" s="125" t="s">
        <v>1695</v>
      </c>
      <c r="I353" s="125" t="s">
        <v>1692</v>
      </c>
      <c r="J353" s="126">
        <v>5000</v>
      </c>
      <c r="K353" s="127" t="s">
        <v>1275</v>
      </c>
      <c r="L353" s="126">
        <v>5000</v>
      </c>
      <c r="M353" s="126">
        <v>0</v>
      </c>
      <c r="N353" s="126">
        <v>0</v>
      </c>
      <c r="O353" s="126">
        <v>0</v>
      </c>
      <c r="P353" s="126">
        <v>0</v>
      </c>
      <c r="Q353" s="126">
        <v>409.86</v>
      </c>
      <c r="R353" s="126">
        <v>409.86</v>
      </c>
      <c r="S353" s="126">
        <v>4590.1400000000003</v>
      </c>
    </row>
    <row r="354" spans="1:19" ht="15.75" customHeight="1" thickBot="1">
      <c r="A354" s="125" t="s">
        <v>1273</v>
      </c>
      <c r="B354" s="125" t="s">
        <v>1299</v>
      </c>
      <c r="C354" s="125" t="s">
        <v>719</v>
      </c>
      <c r="D354" s="125" t="str">
        <f t="shared" si="5"/>
        <v>2</v>
      </c>
      <c r="E354" s="125" t="s">
        <v>206</v>
      </c>
      <c r="F354" s="125" t="s">
        <v>205</v>
      </c>
      <c r="G354" s="125" t="s">
        <v>1003</v>
      </c>
      <c r="H354" s="125" t="s">
        <v>1002</v>
      </c>
      <c r="I354" s="125" t="s">
        <v>1301</v>
      </c>
      <c r="J354" s="126">
        <v>384801.27</v>
      </c>
      <c r="K354" s="126">
        <v>4934.2700000000004</v>
      </c>
      <c r="L354" s="126">
        <v>379867</v>
      </c>
      <c r="M354" s="126">
        <v>338832.33</v>
      </c>
      <c r="N354" s="126">
        <v>0</v>
      </c>
      <c r="O354" s="126">
        <v>1800</v>
      </c>
      <c r="P354" s="126">
        <v>14201.41</v>
      </c>
      <c r="Q354" s="126">
        <v>965.46</v>
      </c>
      <c r="R354" s="126">
        <v>355799.2</v>
      </c>
      <c r="S354" s="126">
        <v>8312.15</v>
      </c>
    </row>
    <row r="355" spans="1:19" ht="15.75" thickBot="1">
      <c r="A355" s="125" t="s">
        <v>1905</v>
      </c>
      <c r="B355" s="125" t="s">
        <v>1299</v>
      </c>
      <c r="C355" s="125" t="s">
        <v>719</v>
      </c>
      <c r="D355" s="125" t="str">
        <f t="shared" si="5"/>
        <v>2</v>
      </c>
      <c r="E355" s="125" t="s">
        <v>206</v>
      </c>
      <c r="F355" s="125" t="s">
        <v>205</v>
      </c>
      <c r="G355" s="125" t="s">
        <v>1003</v>
      </c>
      <c r="H355" s="125" t="s">
        <v>1002</v>
      </c>
      <c r="I355" s="125" t="s">
        <v>1301</v>
      </c>
      <c r="J355" s="126">
        <v>358921.46</v>
      </c>
      <c r="K355" s="126">
        <v>965.46</v>
      </c>
      <c r="L355" s="126">
        <v>357956</v>
      </c>
      <c r="M355" s="126">
        <v>169337.27</v>
      </c>
      <c r="N355" s="126">
        <v>0</v>
      </c>
      <c r="O355" s="126">
        <v>0</v>
      </c>
      <c r="P355" s="126">
        <v>51638.97</v>
      </c>
      <c r="Q355" s="126">
        <v>4202.18</v>
      </c>
      <c r="R355" s="126">
        <v>225178.42</v>
      </c>
      <c r="S355" s="126">
        <v>135328.04</v>
      </c>
    </row>
    <row r="356" spans="1:19" ht="15.75" customHeight="1" thickBot="1">
      <c r="A356" s="125" t="s">
        <v>1273</v>
      </c>
      <c r="B356" s="125" t="s">
        <v>1325</v>
      </c>
      <c r="C356" s="125" t="s">
        <v>1286</v>
      </c>
      <c r="D356" s="125" t="str">
        <f t="shared" si="5"/>
        <v>2</v>
      </c>
      <c r="E356" s="125" t="s">
        <v>206</v>
      </c>
      <c r="F356" s="125" t="s">
        <v>205</v>
      </c>
      <c r="G356" s="125" t="s">
        <v>1329</v>
      </c>
      <c r="H356" s="125" t="s">
        <v>1330</v>
      </c>
      <c r="I356" s="125" t="s">
        <v>1302</v>
      </c>
      <c r="J356" s="126">
        <v>0</v>
      </c>
      <c r="K356" s="127" t="s">
        <v>1275</v>
      </c>
      <c r="L356" s="126">
        <v>0</v>
      </c>
      <c r="M356" s="126">
        <v>0</v>
      </c>
      <c r="N356" s="126">
        <v>0</v>
      </c>
      <c r="O356" s="126">
        <v>0</v>
      </c>
      <c r="P356" s="126">
        <v>1357.62</v>
      </c>
      <c r="Q356" s="126">
        <v>0</v>
      </c>
      <c r="R356" s="126">
        <v>1357.62</v>
      </c>
      <c r="S356" s="126">
        <v>17558.73</v>
      </c>
    </row>
    <row r="357" spans="1:19" ht="15.75" thickBot="1">
      <c r="A357" s="125" t="s">
        <v>1905</v>
      </c>
      <c r="B357" s="125" t="s">
        <v>1325</v>
      </c>
      <c r="C357" s="125" t="s">
        <v>1286</v>
      </c>
      <c r="D357" s="125" t="str">
        <f t="shared" si="5"/>
        <v>2</v>
      </c>
      <c r="E357" s="125" t="s">
        <v>206</v>
      </c>
      <c r="F357" s="125" t="s">
        <v>205</v>
      </c>
      <c r="G357" s="125" t="s">
        <v>1329</v>
      </c>
      <c r="H357" s="125" t="s">
        <v>1330</v>
      </c>
      <c r="I357" s="125" t="s">
        <v>1302</v>
      </c>
      <c r="J357" s="126">
        <v>15000</v>
      </c>
      <c r="K357" s="127" t="s">
        <v>1275</v>
      </c>
      <c r="L357" s="126">
        <v>15000</v>
      </c>
      <c r="M357" s="126">
        <v>0</v>
      </c>
      <c r="N357" s="126">
        <v>0</v>
      </c>
      <c r="O357" s="126">
        <v>0</v>
      </c>
      <c r="P357" s="126">
        <v>3948.9</v>
      </c>
      <c r="Q357" s="126">
        <v>0</v>
      </c>
      <c r="R357" s="126">
        <v>3948.9</v>
      </c>
      <c r="S357" s="126">
        <v>11051.1</v>
      </c>
    </row>
    <row r="358" spans="1:19" ht="15.75" customHeight="1" thickBot="1">
      <c r="A358" s="125" t="s">
        <v>1273</v>
      </c>
      <c r="B358" s="125" t="s">
        <v>1299</v>
      </c>
      <c r="C358" s="125" t="s">
        <v>719</v>
      </c>
      <c r="D358" s="125" t="str">
        <f t="shared" si="5"/>
        <v>2</v>
      </c>
      <c r="E358" s="125" t="s">
        <v>206</v>
      </c>
      <c r="F358" s="125" t="s">
        <v>205</v>
      </c>
      <c r="G358" s="125" t="s">
        <v>1304</v>
      </c>
      <c r="H358" s="125" t="s">
        <v>1305</v>
      </c>
      <c r="I358" s="125" t="s">
        <v>1301</v>
      </c>
      <c r="J358" s="126">
        <v>20439.52</v>
      </c>
      <c r="K358" s="126">
        <v>2439.52</v>
      </c>
      <c r="L358" s="126">
        <v>18000</v>
      </c>
      <c r="M358" s="126">
        <v>64.5</v>
      </c>
      <c r="N358" s="126">
        <v>0</v>
      </c>
      <c r="O358" s="126">
        <v>0</v>
      </c>
      <c r="P358" s="126">
        <v>8939.3799999999992</v>
      </c>
      <c r="Q358" s="126">
        <v>651</v>
      </c>
      <c r="R358" s="126">
        <v>9654.8799999999992</v>
      </c>
      <c r="S358" s="126">
        <v>7059.64</v>
      </c>
    </row>
    <row r="359" spans="1:19" ht="15.75" thickBot="1">
      <c r="A359" s="125" t="s">
        <v>1905</v>
      </c>
      <c r="B359" s="125" t="s">
        <v>1299</v>
      </c>
      <c r="C359" s="125" t="s">
        <v>719</v>
      </c>
      <c r="D359" s="125" t="str">
        <f t="shared" ref="D359:D422" si="6">LEFT(C359:C359,1)</f>
        <v>2</v>
      </c>
      <c r="E359" s="125" t="s">
        <v>206</v>
      </c>
      <c r="F359" s="125" t="s">
        <v>205</v>
      </c>
      <c r="G359" s="125" t="s">
        <v>1304</v>
      </c>
      <c r="H359" s="125" t="s">
        <v>1305</v>
      </c>
      <c r="I359" s="125" t="s">
        <v>1301</v>
      </c>
      <c r="J359" s="126">
        <v>9651</v>
      </c>
      <c r="K359" s="126">
        <v>651</v>
      </c>
      <c r="L359" s="126">
        <v>9000</v>
      </c>
      <c r="M359" s="126">
        <v>0</v>
      </c>
      <c r="N359" s="126">
        <v>0</v>
      </c>
      <c r="O359" s="126">
        <v>0</v>
      </c>
      <c r="P359" s="126">
        <v>4870.75</v>
      </c>
      <c r="Q359" s="126">
        <v>33.25</v>
      </c>
      <c r="R359" s="126">
        <v>4904</v>
      </c>
      <c r="S359" s="126">
        <v>4566.87</v>
      </c>
    </row>
    <row r="360" spans="1:19" ht="15.75" customHeight="1" thickBot="1">
      <c r="A360" s="125" t="s">
        <v>1273</v>
      </c>
      <c r="B360" s="125" t="s">
        <v>1325</v>
      </c>
      <c r="C360" s="125" t="s">
        <v>1286</v>
      </c>
      <c r="D360" s="125" t="str">
        <f t="shared" si="6"/>
        <v>2</v>
      </c>
      <c r="E360" s="125" t="s">
        <v>206</v>
      </c>
      <c r="F360" s="125" t="s">
        <v>205</v>
      </c>
      <c r="G360" s="125" t="s">
        <v>1331</v>
      </c>
      <c r="H360" s="125" t="s">
        <v>1332</v>
      </c>
      <c r="I360" s="125" t="s">
        <v>1302</v>
      </c>
      <c r="J360" s="126">
        <v>1500</v>
      </c>
      <c r="K360" s="127" t="s">
        <v>1275</v>
      </c>
      <c r="L360" s="126">
        <v>1500</v>
      </c>
      <c r="M360" s="126">
        <v>0</v>
      </c>
      <c r="N360" s="126">
        <v>0</v>
      </c>
      <c r="O360" s="126">
        <v>0</v>
      </c>
      <c r="P360" s="126">
        <v>433.16</v>
      </c>
      <c r="Q360" s="126">
        <v>0</v>
      </c>
      <c r="R360" s="126">
        <v>433.16</v>
      </c>
      <c r="S360" s="126">
        <v>961.84</v>
      </c>
    </row>
    <row r="361" spans="1:19" ht="15.75" thickBot="1">
      <c r="A361" s="125" t="s">
        <v>1905</v>
      </c>
      <c r="B361" s="125" t="s">
        <v>1325</v>
      </c>
      <c r="C361" s="125" t="s">
        <v>1286</v>
      </c>
      <c r="D361" s="125" t="str">
        <f t="shared" si="6"/>
        <v>2</v>
      </c>
      <c r="E361" s="125" t="s">
        <v>206</v>
      </c>
      <c r="F361" s="125" t="s">
        <v>205</v>
      </c>
      <c r="G361" s="125" t="s">
        <v>1331</v>
      </c>
      <c r="H361" s="125" t="s">
        <v>1332</v>
      </c>
      <c r="I361" s="125" t="s">
        <v>1302</v>
      </c>
      <c r="J361" s="126">
        <v>750</v>
      </c>
      <c r="K361" s="127" t="s">
        <v>1275</v>
      </c>
      <c r="L361" s="126">
        <v>750</v>
      </c>
      <c r="M361" s="126">
        <v>0</v>
      </c>
      <c r="N361" s="126">
        <v>0</v>
      </c>
      <c r="O361" s="126">
        <v>0</v>
      </c>
      <c r="P361" s="126">
        <v>241.45</v>
      </c>
      <c r="Q361" s="126">
        <v>0</v>
      </c>
      <c r="R361" s="126">
        <v>241.45</v>
      </c>
      <c r="S361" s="126">
        <v>508.55</v>
      </c>
    </row>
    <row r="362" spans="1:19" ht="15.75" customHeight="1" thickBot="1">
      <c r="A362" s="125" t="s">
        <v>1273</v>
      </c>
      <c r="B362" s="125" t="s">
        <v>1829</v>
      </c>
      <c r="C362" s="129">
        <v>3800</v>
      </c>
      <c r="D362" s="125" t="str">
        <f t="shared" si="6"/>
        <v>3</v>
      </c>
      <c r="E362" s="125" t="s">
        <v>206</v>
      </c>
      <c r="F362" s="125" t="s">
        <v>205</v>
      </c>
      <c r="G362" s="125" t="s">
        <v>1830</v>
      </c>
      <c r="H362" s="125" t="s">
        <v>1831</v>
      </c>
      <c r="I362" s="125" t="s">
        <v>1832</v>
      </c>
      <c r="J362" s="126">
        <v>3000</v>
      </c>
      <c r="K362" s="127" t="s">
        <v>1275</v>
      </c>
      <c r="L362" s="126">
        <v>3000</v>
      </c>
      <c r="M362" s="126">
        <v>0</v>
      </c>
      <c r="N362" s="126">
        <v>0</v>
      </c>
      <c r="O362" s="126">
        <v>0</v>
      </c>
      <c r="P362" s="126">
        <v>1494.31</v>
      </c>
      <c r="Q362" s="126">
        <v>0</v>
      </c>
      <c r="R362" s="126">
        <v>1494.31</v>
      </c>
      <c r="S362" s="126">
        <v>1295.69</v>
      </c>
    </row>
    <row r="363" spans="1:19" ht="15.75" thickBot="1">
      <c r="A363" s="125" t="s">
        <v>1905</v>
      </c>
      <c r="B363" s="125" t="s">
        <v>1829</v>
      </c>
      <c r="C363" s="129">
        <v>3800</v>
      </c>
      <c r="D363" s="125" t="str">
        <f t="shared" si="6"/>
        <v>3</v>
      </c>
      <c r="E363" s="125" t="s">
        <v>206</v>
      </c>
      <c r="F363" s="125" t="s">
        <v>205</v>
      </c>
      <c r="G363" s="125" t="s">
        <v>1830</v>
      </c>
      <c r="H363" s="125" t="s">
        <v>1831</v>
      </c>
      <c r="I363" s="125" t="s">
        <v>1832</v>
      </c>
      <c r="J363" s="126">
        <v>1500</v>
      </c>
      <c r="K363" s="127" t="s">
        <v>1275</v>
      </c>
      <c r="L363" s="126">
        <v>1500</v>
      </c>
      <c r="M363" s="126">
        <v>0</v>
      </c>
      <c r="N363" s="126">
        <v>0</v>
      </c>
      <c r="O363" s="126">
        <v>0</v>
      </c>
      <c r="P363" s="126">
        <v>0</v>
      </c>
      <c r="Q363" s="126">
        <v>0</v>
      </c>
      <c r="R363" s="126">
        <v>0</v>
      </c>
      <c r="S363" s="126">
        <v>1500</v>
      </c>
    </row>
    <row r="364" spans="1:19" ht="15.75" customHeight="1" thickBot="1">
      <c r="A364" s="125" t="s">
        <v>1273</v>
      </c>
      <c r="B364" s="125" t="s">
        <v>1662</v>
      </c>
      <c r="C364" s="125" t="s">
        <v>994</v>
      </c>
      <c r="D364" s="125" t="str">
        <f t="shared" si="6"/>
        <v>3</v>
      </c>
      <c r="E364" s="125" t="s">
        <v>206</v>
      </c>
      <c r="F364" s="125" t="s">
        <v>205</v>
      </c>
      <c r="G364" s="125" t="s">
        <v>1671</v>
      </c>
      <c r="H364" s="125" t="s">
        <v>1672</v>
      </c>
      <c r="I364" s="125" t="s">
        <v>1665</v>
      </c>
      <c r="J364" s="126">
        <v>18000</v>
      </c>
      <c r="K364" s="127" t="s">
        <v>1275</v>
      </c>
      <c r="L364" s="126">
        <v>18000</v>
      </c>
      <c r="M364" s="126">
        <v>0</v>
      </c>
      <c r="N364" s="126">
        <v>0</v>
      </c>
      <c r="O364" s="126">
        <v>0</v>
      </c>
      <c r="P364" s="126">
        <v>6225.51</v>
      </c>
      <c r="Q364" s="126">
        <v>0</v>
      </c>
      <c r="R364" s="126">
        <v>6225.51</v>
      </c>
      <c r="S364" s="126">
        <v>10514.49</v>
      </c>
    </row>
    <row r="365" spans="1:19" ht="15.75" thickBot="1">
      <c r="A365" s="125" t="s">
        <v>1905</v>
      </c>
      <c r="B365" s="125" t="s">
        <v>1896</v>
      </c>
      <c r="C365" s="125" t="s">
        <v>1008</v>
      </c>
      <c r="D365" s="125" t="str">
        <f t="shared" si="6"/>
        <v>6</v>
      </c>
      <c r="E365" s="125" t="s">
        <v>206</v>
      </c>
      <c r="F365" s="125" t="s">
        <v>205</v>
      </c>
      <c r="G365" s="125" t="s">
        <v>1009</v>
      </c>
      <c r="H365" s="125" t="s">
        <v>1007</v>
      </c>
      <c r="I365" s="125" t="s">
        <v>1898</v>
      </c>
      <c r="J365" s="126">
        <v>0</v>
      </c>
      <c r="K365" s="127" t="s">
        <v>1275</v>
      </c>
      <c r="L365" s="126">
        <v>0</v>
      </c>
      <c r="M365" s="126">
        <v>179305.63</v>
      </c>
      <c r="N365" s="126">
        <v>0</v>
      </c>
      <c r="O365" s="126">
        <v>1050</v>
      </c>
      <c r="P365" s="126">
        <v>26745.58</v>
      </c>
      <c r="Q365" s="126">
        <v>4349.28</v>
      </c>
      <c r="R365" s="126">
        <v>211450.49</v>
      </c>
      <c r="S365" s="126">
        <v>161707.07999999999</v>
      </c>
    </row>
    <row r="366" spans="1:19" ht="15.75" customHeight="1" thickBot="1">
      <c r="A366" s="125" t="s">
        <v>1273</v>
      </c>
      <c r="B366" s="125" t="s">
        <v>1820</v>
      </c>
      <c r="C366" s="125" t="s">
        <v>1821</v>
      </c>
      <c r="D366" s="125" t="str">
        <f t="shared" si="6"/>
        <v>4</v>
      </c>
      <c r="E366" s="125" t="s">
        <v>206</v>
      </c>
      <c r="F366" s="125" t="s">
        <v>205</v>
      </c>
      <c r="G366" s="125" t="s">
        <v>1825</v>
      </c>
      <c r="H366" s="125" t="s">
        <v>1826</v>
      </c>
      <c r="I366" s="125" t="s">
        <v>1665</v>
      </c>
      <c r="J366" s="126">
        <v>301433.95</v>
      </c>
      <c r="K366" s="126">
        <v>4604.95</v>
      </c>
      <c r="L366" s="126">
        <v>296829</v>
      </c>
      <c r="M366" s="126">
        <v>232070.74</v>
      </c>
      <c r="N366" s="126">
        <v>0</v>
      </c>
      <c r="O366" s="126">
        <v>825</v>
      </c>
      <c r="P366" s="126">
        <v>20402.25</v>
      </c>
      <c r="Q366" s="126">
        <v>0</v>
      </c>
      <c r="R366" s="126">
        <v>253297.99</v>
      </c>
      <c r="S366" s="126">
        <v>18205.07</v>
      </c>
    </row>
    <row r="367" spans="1:19" ht="15.75" thickBot="1">
      <c r="A367" s="125" t="s">
        <v>1905</v>
      </c>
      <c r="B367" s="125" t="s">
        <v>1820</v>
      </c>
      <c r="C367" s="125" t="s">
        <v>1821</v>
      </c>
      <c r="D367" s="125" t="str">
        <f t="shared" si="6"/>
        <v>4</v>
      </c>
      <c r="E367" s="125" t="s">
        <v>206</v>
      </c>
      <c r="F367" s="125" t="s">
        <v>205</v>
      </c>
      <c r="G367" s="125" t="s">
        <v>1825</v>
      </c>
      <c r="H367" s="125" t="s">
        <v>1826</v>
      </c>
      <c r="I367" s="125" t="s">
        <v>1665</v>
      </c>
      <c r="J367" s="126">
        <v>272144</v>
      </c>
      <c r="K367" s="127" t="s">
        <v>1275</v>
      </c>
      <c r="L367" s="126">
        <v>272144</v>
      </c>
      <c r="M367" s="126">
        <v>96647.35</v>
      </c>
      <c r="N367" s="126">
        <v>0</v>
      </c>
      <c r="O367" s="126">
        <v>0</v>
      </c>
      <c r="P367" s="126">
        <v>3461.38</v>
      </c>
      <c r="Q367" s="126">
        <v>740.78</v>
      </c>
      <c r="R367" s="126">
        <v>100849.51</v>
      </c>
      <c r="S367" s="126">
        <v>109573.49</v>
      </c>
    </row>
    <row r="368" spans="1:19" ht="15.75" customHeight="1" thickBot="1">
      <c r="A368" s="125" t="s">
        <v>1273</v>
      </c>
      <c r="B368" s="125" t="s">
        <v>1839</v>
      </c>
      <c r="C368" s="125" t="s">
        <v>173</v>
      </c>
      <c r="D368" s="125" t="str">
        <f t="shared" si="6"/>
        <v>5</v>
      </c>
      <c r="E368" s="125" t="s">
        <v>206</v>
      </c>
      <c r="F368" s="125" t="s">
        <v>205</v>
      </c>
      <c r="G368" s="125" t="s">
        <v>1018</v>
      </c>
      <c r="H368" s="125" t="s">
        <v>1017</v>
      </c>
      <c r="I368" s="125" t="s">
        <v>1840</v>
      </c>
      <c r="J368" s="126">
        <v>0</v>
      </c>
      <c r="K368" s="127" t="s">
        <v>1275</v>
      </c>
      <c r="L368" s="126">
        <v>0</v>
      </c>
      <c r="M368" s="126">
        <v>102758.3</v>
      </c>
      <c r="N368" s="126">
        <v>0</v>
      </c>
      <c r="O368" s="126">
        <v>747</v>
      </c>
      <c r="P368" s="126">
        <v>10032.09</v>
      </c>
      <c r="Q368" s="126">
        <v>1502.62</v>
      </c>
      <c r="R368" s="126">
        <v>115040.01</v>
      </c>
      <c r="S368" s="126">
        <v>-1553.86</v>
      </c>
    </row>
    <row r="369" spans="1:19" ht="15.75" thickBot="1">
      <c r="A369" s="125" t="s">
        <v>1905</v>
      </c>
      <c r="B369" s="125" t="s">
        <v>1839</v>
      </c>
      <c r="C369" s="125" t="s">
        <v>173</v>
      </c>
      <c r="D369" s="125" t="str">
        <f t="shared" si="6"/>
        <v>5</v>
      </c>
      <c r="E369" s="125" t="s">
        <v>206</v>
      </c>
      <c r="F369" s="125" t="s">
        <v>205</v>
      </c>
      <c r="G369" s="125" t="s">
        <v>1018</v>
      </c>
      <c r="H369" s="125" t="s">
        <v>1017</v>
      </c>
      <c r="I369" s="125" t="s">
        <v>1840</v>
      </c>
      <c r="J369" s="126">
        <v>259576.62</v>
      </c>
      <c r="K369" s="126">
        <v>1502.62</v>
      </c>
      <c r="L369" s="126">
        <v>258074</v>
      </c>
      <c r="M369" s="126">
        <v>142624.68</v>
      </c>
      <c r="N369" s="126">
        <v>0</v>
      </c>
      <c r="O369" s="126">
        <v>750</v>
      </c>
      <c r="P369" s="126">
        <v>4799.58</v>
      </c>
      <c r="Q369" s="126">
        <v>2268.21</v>
      </c>
      <c r="R369" s="126">
        <v>150442.47</v>
      </c>
      <c r="S369" s="126">
        <v>109134.15</v>
      </c>
    </row>
    <row r="370" spans="1:19" ht="15.75" customHeight="1" thickBot="1">
      <c r="A370" s="125" t="s">
        <v>1273</v>
      </c>
      <c r="B370" s="125" t="s">
        <v>1839</v>
      </c>
      <c r="C370" s="125" t="s">
        <v>173</v>
      </c>
      <c r="D370" s="125" t="str">
        <f t="shared" si="6"/>
        <v>5</v>
      </c>
      <c r="E370" s="125" t="s">
        <v>206</v>
      </c>
      <c r="F370" s="125" t="s">
        <v>205</v>
      </c>
      <c r="G370" s="125" t="s">
        <v>1841</v>
      </c>
      <c r="H370" s="125" t="s">
        <v>1842</v>
      </c>
      <c r="I370" s="125" t="s">
        <v>1840</v>
      </c>
      <c r="J370" s="126">
        <v>0</v>
      </c>
      <c r="K370" s="127" t="s">
        <v>1275</v>
      </c>
      <c r="L370" s="126">
        <v>0</v>
      </c>
      <c r="M370" s="126">
        <v>0</v>
      </c>
      <c r="N370" s="126">
        <v>0</v>
      </c>
      <c r="O370" s="126">
        <v>0</v>
      </c>
      <c r="P370" s="126">
        <v>677.64</v>
      </c>
      <c r="Q370" s="126">
        <v>794.6</v>
      </c>
      <c r="R370" s="126">
        <v>1472.24</v>
      </c>
      <c r="S370" s="126">
        <v>178.81</v>
      </c>
    </row>
    <row r="371" spans="1:19" ht="15.75" thickBot="1">
      <c r="A371" s="125" t="s">
        <v>1905</v>
      </c>
      <c r="B371" s="125" t="s">
        <v>1839</v>
      </c>
      <c r="C371" s="125" t="s">
        <v>173</v>
      </c>
      <c r="D371" s="125" t="str">
        <f t="shared" si="6"/>
        <v>5</v>
      </c>
      <c r="E371" s="125" t="s">
        <v>206</v>
      </c>
      <c r="F371" s="125" t="s">
        <v>205</v>
      </c>
      <c r="G371" s="125" t="s">
        <v>1841</v>
      </c>
      <c r="H371" s="125" t="s">
        <v>1842</v>
      </c>
      <c r="I371" s="125" t="s">
        <v>1840</v>
      </c>
      <c r="J371" s="126">
        <v>3294.6</v>
      </c>
      <c r="K371" s="126">
        <v>794.6</v>
      </c>
      <c r="L371" s="126">
        <v>2500</v>
      </c>
      <c r="M371" s="126">
        <v>0</v>
      </c>
      <c r="N371" s="126">
        <v>0</v>
      </c>
      <c r="O371" s="126">
        <v>0</v>
      </c>
      <c r="P371" s="126">
        <v>1383.83</v>
      </c>
      <c r="Q371" s="126">
        <v>0</v>
      </c>
      <c r="R371" s="126">
        <v>1383.83</v>
      </c>
      <c r="S371" s="126">
        <v>1910.77</v>
      </c>
    </row>
    <row r="372" spans="1:19" ht="15.75" customHeight="1" thickBot="1">
      <c r="A372" s="125" t="s">
        <v>1273</v>
      </c>
      <c r="B372" s="125" t="s">
        <v>1896</v>
      </c>
      <c r="C372" s="125" t="s">
        <v>1008</v>
      </c>
      <c r="D372" s="125" t="str">
        <f t="shared" si="6"/>
        <v>6</v>
      </c>
      <c r="E372" s="125" t="s">
        <v>206</v>
      </c>
      <c r="F372" s="125" t="s">
        <v>205</v>
      </c>
      <c r="G372" s="125" t="s">
        <v>44</v>
      </c>
      <c r="H372" s="125" t="s">
        <v>1897</v>
      </c>
      <c r="I372" s="125" t="s">
        <v>1898</v>
      </c>
      <c r="J372" s="126">
        <v>18399.54</v>
      </c>
      <c r="K372" s="126">
        <v>399.54</v>
      </c>
      <c r="L372" s="126">
        <v>18000</v>
      </c>
      <c r="M372" s="126">
        <v>0</v>
      </c>
      <c r="N372" s="126">
        <v>0</v>
      </c>
      <c r="O372" s="126">
        <v>0</v>
      </c>
      <c r="P372" s="126">
        <v>15530.98</v>
      </c>
      <c r="Q372" s="126">
        <v>0</v>
      </c>
      <c r="R372" s="126">
        <v>15530.98</v>
      </c>
      <c r="S372" s="126">
        <v>1608.56</v>
      </c>
    </row>
    <row r="373" spans="1:19" ht="15.75" thickBot="1">
      <c r="A373" s="125" t="s">
        <v>1905</v>
      </c>
      <c r="B373" s="125" t="s">
        <v>1896</v>
      </c>
      <c r="C373" s="125" t="s">
        <v>1008</v>
      </c>
      <c r="D373" s="125" t="str">
        <f t="shared" si="6"/>
        <v>6</v>
      </c>
      <c r="E373" s="125" t="s">
        <v>206</v>
      </c>
      <c r="F373" s="125" t="s">
        <v>205</v>
      </c>
      <c r="G373" s="125" t="s">
        <v>44</v>
      </c>
      <c r="H373" s="125" t="s">
        <v>1897</v>
      </c>
      <c r="I373" s="125" t="s">
        <v>1898</v>
      </c>
      <c r="J373" s="126">
        <v>14940</v>
      </c>
      <c r="K373" s="127" t="s">
        <v>1275</v>
      </c>
      <c r="L373" s="126">
        <v>14940</v>
      </c>
      <c r="M373" s="126">
        <v>0</v>
      </c>
      <c r="N373" s="126">
        <v>0</v>
      </c>
      <c r="O373" s="126">
        <v>0</v>
      </c>
      <c r="P373" s="126">
        <v>424.43</v>
      </c>
      <c r="Q373" s="126">
        <v>0</v>
      </c>
      <c r="R373" s="126">
        <v>424.43</v>
      </c>
      <c r="S373" s="126">
        <v>0</v>
      </c>
    </row>
    <row r="374" spans="1:19" ht="15.75" customHeight="1" thickBot="1">
      <c r="A374" s="125" t="s">
        <v>1273</v>
      </c>
      <c r="B374" s="125" t="s">
        <v>336</v>
      </c>
      <c r="C374" s="125" t="s">
        <v>335</v>
      </c>
      <c r="D374" s="125" t="str">
        <f t="shared" si="6"/>
        <v>1</v>
      </c>
      <c r="E374" s="125" t="s">
        <v>206</v>
      </c>
      <c r="F374" s="125" t="s">
        <v>205</v>
      </c>
      <c r="G374" s="125" t="s">
        <v>1023</v>
      </c>
      <c r="H374" s="125" t="s">
        <v>1022</v>
      </c>
      <c r="I374" s="125" t="s">
        <v>1287</v>
      </c>
      <c r="J374" s="126">
        <v>403853.5</v>
      </c>
      <c r="K374" s="126">
        <v>60757.5</v>
      </c>
      <c r="L374" s="126">
        <v>343096</v>
      </c>
      <c r="M374" s="126">
        <v>6438.37</v>
      </c>
      <c r="N374" s="126">
        <v>0</v>
      </c>
      <c r="O374" s="126">
        <v>0</v>
      </c>
      <c r="P374" s="126">
        <v>288451.57</v>
      </c>
      <c r="Q374" s="126">
        <v>59131</v>
      </c>
      <c r="R374" s="126">
        <v>354020.94</v>
      </c>
      <c r="S374" s="126">
        <v>29356.83</v>
      </c>
    </row>
    <row r="375" spans="1:19" ht="15.75" thickBot="1">
      <c r="A375" s="125" t="s">
        <v>1905</v>
      </c>
      <c r="B375" s="125" t="s">
        <v>336</v>
      </c>
      <c r="C375" s="125" t="s">
        <v>335</v>
      </c>
      <c r="D375" s="125" t="str">
        <f t="shared" si="6"/>
        <v>1</v>
      </c>
      <c r="E375" s="125" t="s">
        <v>206</v>
      </c>
      <c r="F375" s="125" t="s">
        <v>205</v>
      </c>
      <c r="G375" s="125" t="s">
        <v>1023</v>
      </c>
      <c r="H375" s="125" t="s">
        <v>1022</v>
      </c>
      <c r="I375" s="125" t="s">
        <v>1287</v>
      </c>
      <c r="J375" s="126">
        <v>343153</v>
      </c>
      <c r="K375" s="126">
        <v>59131</v>
      </c>
      <c r="L375" s="126">
        <v>284022</v>
      </c>
      <c r="M375" s="126">
        <v>3816.92</v>
      </c>
      <c r="N375" s="126">
        <v>0</v>
      </c>
      <c r="O375" s="126">
        <v>0</v>
      </c>
      <c r="P375" s="126">
        <v>210677.42</v>
      </c>
      <c r="Q375" s="126">
        <v>73615.81</v>
      </c>
      <c r="R375" s="126">
        <v>288110.15000000002</v>
      </c>
      <c r="S375" s="126">
        <v>54923.43</v>
      </c>
    </row>
    <row r="376" spans="1:19" ht="15.75" customHeight="1" thickBot="1">
      <c r="A376" s="125" t="s">
        <v>1273</v>
      </c>
      <c r="B376" s="125" t="s">
        <v>336</v>
      </c>
      <c r="C376" s="125" t="s">
        <v>335</v>
      </c>
      <c r="D376" s="125" t="str">
        <f t="shared" si="6"/>
        <v>1</v>
      </c>
      <c r="E376" s="125" t="s">
        <v>206</v>
      </c>
      <c r="F376" s="125" t="s">
        <v>205</v>
      </c>
      <c r="G376" s="125" t="s">
        <v>336</v>
      </c>
      <c r="H376" s="125" t="s">
        <v>1025</v>
      </c>
      <c r="I376" s="125" t="s">
        <v>1287</v>
      </c>
      <c r="J376" s="126">
        <v>35032.959999999999</v>
      </c>
      <c r="K376" s="126">
        <v>3031.96</v>
      </c>
      <c r="L376" s="126">
        <v>32001</v>
      </c>
      <c r="M376" s="126">
        <v>28400.65</v>
      </c>
      <c r="N376" s="126">
        <v>7764.76</v>
      </c>
      <c r="O376" s="126">
        <v>1794</v>
      </c>
      <c r="P376" s="126">
        <v>16147.1</v>
      </c>
      <c r="Q376" s="126">
        <v>123.02</v>
      </c>
      <c r="R376" s="126">
        <v>54229.53</v>
      </c>
      <c r="S376" s="126">
        <v>7389.56</v>
      </c>
    </row>
    <row r="377" spans="1:19" ht="15.75" thickBot="1">
      <c r="A377" s="125" t="s">
        <v>1905</v>
      </c>
      <c r="B377" s="125" t="s">
        <v>336</v>
      </c>
      <c r="C377" s="125" t="s">
        <v>335</v>
      </c>
      <c r="D377" s="125" t="str">
        <f t="shared" si="6"/>
        <v>1</v>
      </c>
      <c r="E377" s="125" t="s">
        <v>206</v>
      </c>
      <c r="F377" s="125" t="s">
        <v>205</v>
      </c>
      <c r="G377" s="125" t="s">
        <v>336</v>
      </c>
      <c r="H377" s="125" t="s">
        <v>1025</v>
      </c>
      <c r="I377" s="125" t="s">
        <v>1287</v>
      </c>
      <c r="J377" s="126">
        <v>304660.02</v>
      </c>
      <c r="K377" s="126">
        <v>123.02</v>
      </c>
      <c r="L377" s="126">
        <v>304537</v>
      </c>
      <c r="M377" s="126">
        <v>158441.28</v>
      </c>
      <c r="N377" s="126">
        <v>6961.84</v>
      </c>
      <c r="O377" s="126">
        <v>1050</v>
      </c>
      <c r="P377" s="126">
        <v>8024.3</v>
      </c>
      <c r="Q377" s="126">
        <v>695.96</v>
      </c>
      <c r="R377" s="126">
        <v>175173.38</v>
      </c>
      <c r="S377" s="126">
        <v>129486.64</v>
      </c>
    </row>
    <row r="378" spans="1:19" ht="15.75" customHeight="1" thickBot="1">
      <c r="A378" s="125" t="s">
        <v>1273</v>
      </c>
      <c r="B378" s="125" t="s">
        <v>1828</v>
      </c>
      <c r="C378" s="129">
        <v>2080</v>
      </c>
      <c r="D378" s="125" t="str">
        <f t="shared" si="6"/>
        <v>2</v>
      </c>
      <c r="E378" s="125" t="s">
        <v>206</v>
      </c>
      <c r="F378" s="125" t="s">
        <v>205</v>
      </c>
      <c r="G378" s="125" t="s">
        <v>1032</v>
      </c>
      <c r="H378" s="125" t="s">
        <v>1031</v>
      </c>
      <c r="I378" s="125" t="s">
        <v>1827</v>
      </c>
      <c r="J378" s="126">
        <v>301597.5</v>
      </c>
      <c r="K378" s="126">
        <v>11542.5</v>
      </c>
      <c r="L378" s="126">
        <v>290055</v>
      </c>
      <c r="M378" s="126">
        <v>236957.29</v>
      </c>
      <c r="N378" s="126">
        <v>0</v>
      </c>
      <c r="O378" s="126">
        <v>0</v>
      </c>
      <c r="P378" s="126">
        <v>41800.46</v>
      </c>
      <c r="Q378" s="126">
        <v>321.95</v>
      </c>
      <c r="R378" s="126">
        <v>279079.7</v>
      </c>
      <c r="S378" s="126">
        <v>17082.580000000002</v>
      </c>
    </row>
    <row r="379" spans="1:19" ht="15.75" thickBot="1">
      <c r="A379" s="125" t="s">
        <v>1905</v>
      </c>
      <c r="B379" s="125" t="s">
        <v>1828</v>
      </c>
      <c r="C379" s="129">
        <v>2080</v>
      </c>
      <c r="D379" s="125" t="str">
        <f t="shared" si="6"/>
        <v>2</v>
      </c>
      <c r="E379" s="125" t="s">
        <v>206</v>
      </c>
      <c r="F379" s="125" t="s">
        <v>205</v>
      </c>
      <c r="G379" s="125" t="s">
        <v>1032</v>
      </c>
      <c r="H379" s="125" t="s">
        <v>1031</v>
      </c>
      <c r="I379" s="125" t="s">
        <v>1827</v>
      </c>
      <c r="J379" s="126">
        <v>217650.95</v>
      </c>
      <c r="K379" s="126">
        <v>321.95</v>
      </c>
      <c r="L379" s="126">
        <v>217329</v>
      </c>
      <c r="M379" s="126">
        <v>113231.83</v>
      </c>
      <c r="N379" s="126">
        <v>0</v>
      </c>
      <c r="O379" s="126">
        <v>0</v>
      </c>
      <c r="P379" s="126">
        <v>13347.99</v>
      </c>
      <c r="Q379" s="126">
        <v>2515.98</v>
      </c>
      <c r="R379" s="126">
        <v>129095.8</v>
      </c>
      <c r="S379" s="126">
        <v>92388.15</v>
      </c>
    </row>
    <row r="380" spans="1:19" ht="15.75" customHeight="1" thickBot="1">
      <c r="A380" s="125" t="s">
        <v>1273</v>
      </c>
      <c r="B380" s="125" t="s">
        <v>1834</v>
      </c>
      <c r="C380" s="129">
        <v>3810</v>
      </c>
      <c r="D380" s="125" t="str">
        <f t="shared" si="6"/>
        <v>3</v>
      </c>
      <c r="E380" s="125" t="s">
        <v>206</v>
      </c>
      <c r="F380" s="125" t="s">
        <v>205</v>
      </c>
      <c r="G380" s="125" t="s">
        <v>1038</v>
      </c>
      <c r="H380" s="125" t="s">
        <v>1037</v>
      </c>
      <c r="I380" s="125" t="s">
        <v>1835</v>
      </c>
      <c r="J380" s="126">
        <v>675075.06</v>
      </c>
      <c r="K380" s="126">
        <v>3487.06</v>
      </c>
      <c r="L380" s="126">
        <v>671588</v>
      </c>
      <c r="M380" s="126">
        <v>189360.62</v>
      </c>
      <c r="N380" s="126">
        <v>58436.7</v>
      </c>
      <c r="O380" s="126">
        <v>0</v>
      </c>
      <c r="P380" s="126">
        <v>398269.44</v>
      </c>
      <c r="Q380" s="126">
        <v>18568.310000000001</v>
      </c>
      <c r="R380" s="126">
        <v>664635.06999999995</v>
      </c>
      <c r="S380" s="126">
        <v>-17482.39</v>
      </c>
    </row>
    <row r="381" spans="1:19" ht="15.75" thickBot="1">
      <c r="A381" s="125" t="s">
        <v>1905</v>
      </c>
      <c r="B381" s="125" t="s">
        <v>1834</v>
      </c>
      <c r="C381" s="129">
        <v>3810</v>
      </c>
      <c r="D381" s="125" t="str">
        <f t="shared" si="6"/>
        <v>3</v>
      </c>
      <c r="E381" s="125" t="s">
        <v>206</v>
      </c>
      <c r="F381" s="125" t="s">
        <v>205</v>
      </c>
      <c r="G381" s="125" t="s">
        <v>1038</v>
      </c>
      <c r="H381" s="125" t="s">
        <v>1037</v>
      </c>
      <c r="I381" s="125" t="s">
        <v>1835</v>
      </c>
      <c r="J381" s="126">
        <v>611694.31000000006</v>
      </c>
      <c r="K381" s="126">
        <v>18568.310000000001</v>
      </c>
      <c r="L381" s="126">
        <v>593126</v>
      </c>
      <c r="M381" s="126">
        <v>97909.67</v>
      </c>
      <c r="N381" s="126">
        <v>27696.47</v>
      </c>
      <c r="O381" s="126">
        <v>0</v>
      </c>
      <c r="P381" s="126">
        <v>317596.40999999997</v>
      </c>
      <c r="Q381" s="126">
        <v>52889.86</v>
      </c>
      <c r="R381" s="126">
        <v>496092.41</v>
      </c>
      <c r="S381" s="126">
        <v>115602.9</v>
      </c>
    </row>
    <row r="382" spans="1:19" ht="15.75" customHeight="1" thickBot="1">
      <c r="A382" s="125" t="s">
        <v>1273</v>
      </c>
      <c r="B382" s="125" t="s">
        <v>39</v>
      </c>
      <c r="C382" s="125" t="s">
        <v>326</v>
      </c>
      <c r="D382" s="125" t="str">
        <f t="shared" si="6"/>
        <v>1</v>
      </c>
      <c r="E382" s="125" t="s">
        <v>206</v>
      </c>
      <c r="F382" s="125" t="s">
        <v>205</v>
      </c>
      <c r="G382" s="125" t="s">
        <v>1277</v>
      </c>
      <c r="H382" s="125" t="s">
        <v>1278</v>
      </c>
      <c r="I382" s="125" t="s">
        <v>1276</v>
      </c>
      <c r="J382" s="126">
        <v>37000</v>
      </c>
      <c r="K382" s="127" t="s">
        <v>1275</v>
      </c>
      <c r="L382" s="126">
        <v>37000</v>
      </c>
      <c r="M382" s="126">
        <v>0</v>
      </c>
      <c r="N382" s="126">
        <v>0</v>
      </c>
      <c r="O382" s="126">
        <v>0</v>
      </c>
      <c r="P382" s="126">
        <v>29630</v>
      </c>
      <c r="Q382" s="126">
        <v>0</v>
      </c>
      <c r="R382" s="126">
        <v>29630</v>
      </c>
      <c r="S382" s="126">
        <v>4780</v>
      </c>
    </row>
    <row r="383" spans="1:19" ht="15.75" thickBot="1">
      <c r="A383" s="125" t="s">
        <v>1905</v>
      </c>
      <c r="B383" s="125" t="s">
        <v>39</v>
      </c>
      <c r="C383" s="125" t="s">
        <v>326</v>
      </c>
      <c r="D383" s="125" t="str">
        <f t="shared" si="6"/>
        <v>1</v>
      </c>
      <c r="E383" s="125" t="s">
        <v>206</v>
      </c>
      <c r="F383" s="125" t="s">
        <v>205</v>
      </c>
      <c r="G383" s="125" t="s">
        <v>1277</v>
      </c>
      <c r="H383" s="125" t="s">
        <v>1278</v>
      </c>
      <c r="I383" s="125" t="s">
        <v>1276</v>
      </c>
      <c r="J383" s="126">
        <v>30710</v>
      </c>
      <c r="K383" s="127" t="s">
        <v>1275</v>
      </c>
      <c r="L383" s="126">
        <v>30710</v>
      </c>
      <c r="M383" s="126">
        <v>0</v>
      </c>
      <c r="N383" s="126">
        <v>0</v>
      </c>
      <c r="O383" s="126">
        <v>0</v>
      </c>
      <c r="P383" s="126">
        <v>3517</v>
      </c>
      <c r="Q383" s="126">
        <v>0</v>
      </c>
      <c r="R383" s="126">
        <v>3517</v>
      </c>
      <c r="S383" s="126">
        <v>27193</v>
      </c>
    </row>
    <row r="384" spans="1:19" ht="15.75" thickBot="1">
      <c r="A384" s="125" t="s">
        <v>1905</v>
      </c>
      <c r="B384" s="125" t="s">
        <v>1828</v>
      </c>
      <c r="C384" s="129">
        <v>2057</v>
      </c>
      <c r="D384" s="125" t="str">
        <f t="shared" si="6"/>
        <v>2</v>
      </c>
      <c r="E384" s="125" t="s">
        <v>206</v>
      </c>
      <c r="F384" s="125" t="s">
        <v>205</v>
      </c>
      <c r="G384" s="125" t="s">
        <v>1044</v>
      </c>
      <c r="H384" s="125" t="s">
        <v>1043</v>
      </c>
      <c r="I384" s="125" t="s">
        <v>1950</v>
      </c>
      <c r="J384" s="126">
        <v>0</v>
      </c>
      <c r="K384" s="127" t="s">
        <v>1275</v>
      </c>
      <c r="L384" s="126">
        <v>0</v>
      </c>
      <c r="M384" s="126">
        <v>10080</v>
      </c>
      <c r="N384" s="126">
        <v>0</v>
      </c>
      <c r="O384" s="126">
        <v>0</v>
      </c>
      <c r="P384" s="126">
        <v>1121.3499999999999</v>
      </c>
      <c r="Q384" s="126">
        <v>614</v>
      </c>
      <c r="R384" s="126">
        <v>11815.35</v>
      </c>
      <c r="S384" s="126">
        <v>30184.65</v>
      </c>
    </row>
    <row r="385" spans="1:19" ht="15.75" customHeight="1" thickBot="1">
      <c r="A385" s="125" t="s">
        <v>1273</v>
      </c>
      <c r="B385" s="125" t="s">
        <v>1885</v>
      </c>
      <c r="C385" s="125" t="s">
        <v>1223</v>
      </c>
      <c r="D385" s="125" t="str">
        <f t="shared" si="6"/>
        <v>5</v>
      </c>
      <c r="E385" s="125" t="s">
        <v>206</v>
      </c>
      <c r="F385" s="125" t="s">
        <v>205</v>
      </c>
      <c r="G385" s="125" t="s">
        <v>1890</v>
      </c>
      <c r="H385" s="125" t="s">
        <v>1891</v>
      </c>
      <c r="I385" s="125" t="s">
        <v>1887</v>
      </c>
      <c r="J385" s="126">
        <v>36513</v>
      </c>
      <c r="K385" s="127" t="s">
        <v>1275</v>
      </c>
      <c r="L385" s="126">
        <v>36513</v>
      </c>
      <c r="M385" s="126">
        <v>1330.12</v>
      </c>
      <c r="N385" s="126">
        <v>1400</v>
      </c>
      <c r="O385" s="126">
        <v>0</v>
      </c>
      <c r="P385" s="126">
        <v>34429.93</v>
      </c>
      <c r="Q385" s="126">
        <v>0</v>
      </c>
      <c r="R385" s="126">
        <v>37160.050000000003</v>
      </c>
      <c r="S385" s="126">
        <v>5638.34</v>
      </c>
    </row>
    <row r="386" spans="1:19" ht="15.75" thickBot="1">
      <c r="A386" s="125" t="s">
        <v>1905</v>
      </c>
      <c r="B386" s="125" t="s">
        <v>1885</v>
      </c>
      <c r="C386" s="125" t="s">
        <v>1223</v>
      </c>
      <c r="D386" s="125" t="str">
        <f t="shared" si="6"/>
        <v>5</v>
      </c>
      <c r="E386" s="125" t="s">
        <v>206</v>
      </c>
      <c r="F386" s="125" t="s">
        <v>205</v>
      </c>
      <c r="G386" s="125" t="s">
        <v>1890</v>
      </c>
      <c r="H386" s="125" t="s">
        <v>1891</v>
      </c>
      <c r="I386" s="125" t="s">
        <v>1887</v>
      </c>
      <c r="J386" s="126">
        <v>31160</v>
      </c>
      <c r="K386" s="127" t="s">
        <v>1275</v>
      </c>
      <c r="L386" s="126">
        <v>31160</v>
      </c>
      <c r="M386" s="126">
        <v>596.59</v>
      </c>
      <c r="N386" s="126">
        <v>740</v>
      </c>
      <c r="O386" s="126">
        <v>0</v>
      </c>
      <c r="P386" s="126">
        <v>9230.1</v>
      </c>
      <c r="Q386" s="126">
        <v>1100</v>
      </c>
      <c r="R386" s="126">
        <v>11666.69</v>
      </c>
      <c r="S386" s="126">
        <v>19493.310000000001</v>
      </c>
    </row>
    <row r="387" spans="1:19" ht="15.75" customHeight="1" thickBot="1">
      <c r="A387" s="125" t="s">
        <v>1273</v>
      </c>
      <c r="B387" s="125" t="s">
        <v>1336</v>
      </c>
      <c r="C387" s="125" t="s">
        <v>1047</v>
      </c>
      <c r="D387" s="125" t="str">
        <f t="shared" si="6"/>
        <v>2</v>
      </c>
      <c r="E387" s="125" t="s">
        <v>206</v>
      </c>
      <c r="F387" s="125" t="s">
        <v>205</v>
      </c>
      <c r="G387" s="125" t="s">
        <v>1048</v>
      </c>
      <c r="H387" s="125" t="s">
        <v>1046</v>
      </c>
      <c r="I387" s="125" t="s">
        <v>1338</v>
      </c>
      <c r="J387" s="126">
        <v>39906</v>
      </c>
      <c r="K387" s="127" t="s">
        <v>1275</v>
      </c>
      <c r="L387" s="126">
        <v>39906</v>
      </c>
      <c r="M387" s="126">
        <v>44693.85</v>
      </c>
      <c r="N387" s="126">
        <v>0</v>
      </c>
      <c r="O387" s="126">
        <v>0</v>
      </c>
      <c r="P387" s="126">
        <v>13755.23</v>
      </c>
      <c r="Q387" s="126">
        <v>0</v>
      </c>
      <c r="R387" s="126">
        <v>58449.08</v>
      </c>
      <c r="S387" s="126">
        <v>-26.08</v>
      </c>
    </row>
    <row r="388" spans="1:19" ht="15.75" thickBot="1">
      <c r="A388" s="125" t="s">
        <v>1905</v>
      </c>
      <c r="B388" s="125" t="s">
        <v>1336</v>
      </c>
      <c r="C388" s="125" t="s">
        <v>1047</v>
      </c>
      <c r="D388" s="125" t="str">
        <f t="shared" si="6"/>
        <v>2</v>
      </c>
      <c r="E388" s="125" t="s">
        <v>206</v>
      </c>
      <c r="F388" s="125" t="s">
        <v>205</v>
      </c>
      <c r="G388" s="125" t="s">
        <v>1048</v>
      </c>
      <c r="H388" s="125" t="s">
        <v>1046</v>
      </c>
      <c r="I388" s="125" t="s">
        <v>1338</v>
      </c>
      <c r="J388" s="126">
        <v>88794</v>
      </c>
      <c r="K388" s="127" t="s">
        <v>1275</v>
      </c>
      <c r="L388" s="126">
        <v>88794</v>
      </c>
      <c r="M388" s="126">
        <v>38742.339999999997</v>
      </c>
      <c r="N388" s="126">
        <v>0</v>
      </c>
      <c r="O388" s="126">
        <v>0</v>
      </c>
      <c r="P388" s="126">
        <v>7170.15</v>
      </c>
      <c r="Q388" s="126">
        <v>743.48</v>
      </c>
      <c r="R388" s="126">
        <v>46655.97</v>
      </c>
      <c r="S388" s="126">
        <v>42138.03</v>
      </c>
    </row>
    <row r="389" spans="1:19" ht="15.75" customHeight="1" thickBot="1">
      <c r="A389" s="125" t="s">
        <v>1273</v>
      </c>
      <c r="B389" s="125" t="s">
        <v>1591</v>
      </c>
      <c r="C389" s="125" t="s">
        <v>957</v>
      </c>
      <c r="D389" s="125" t="str">
        <f t="shared" si="6"/>
        <v>2</v>
      </c>
      <c r="E389" s="125" t="s">
        <v>206</v>
      </c>
      <c r="F389" s="125" t="s">
        <v>205</v>
      </c>
      <c r="G389" s="125" t="s">
        <v>1052</v>
      </c>
      <c r="H389" s="125" t="s">
        <v>1051</v>
      </c>
      <c r="I389" s="125" t="s">
        <v>1658</v>
      </c>
      <c r="J389" s="126">
        <v>74840</v>
      </c>
      <c r="K389" s="127" t="s">
        <v>1275</v>
      </c>
      <c r="L389" s="126">
        <v>74840</v>
      </c>
      <c r="M389" s="126">
        <v>22800</v>
      </c>
      <c r="N389" s="126">
        <v>0</v>
      </c>
      <c r="O389" s="126">
        <v>0</v>
      </c>
      <c r="P389" s="126">
        <v>14633.85</v>
      </c>
      <c r="Q389" s="126">
        <v>425</v>
      </c>
      <c r="R389" s="126">
        <v>37858.85</v>
      </c>
      <c r="S389" s="126">
        <v>4081.15</v>
      </c>
    </row>
    <row r="390" spans="1:19" ht="15.75" thickBot="1">
      <c r="A390" s="125" t="s">
        <v>1905</v>
      </c>
      <c r="B390" s="125" t="s">
        <v>1591</v>
      </c>
      <c r="C390" s="125" t="s">
        <v>957</v>
      </c>
      <c r="D390" s="125" t="str">
        <f t="shared" si="6"/>
        <v>2</v>
      </c>
      <c r="E390" s="125" t="s">
        <v>206</v>
      </c>
      <c r="F390" s="125" t="s">
        <v>205</v>
      </c>
      <c r="G390" s="125" t="s">
        <v>1052</v>
      </c>
      <c r="H390" s="125" t="s">
        <v>1051</v>
      </c>
      <c r="I390" s="125" t="s">
        <v>1658</v>
      </c>
      <c r="J390" s="126">
        <v>44565</v>
      </c>
      <c r="K390" s="126">
        <v>425</v>
      </c>
      <c r="L390" s="126">
        <v>44140</v>
      </c>
      <c r="M390" s="126">
        <v>16020.02</v>
      </c>
      <c r="N390" s="126">
        <v>0</v>
      </c>
      <c r="O390" s="126">
        <v>0</v>
      </c>
      <c r="P390" s="126">
        <v>4536.1099999999997</v>
      </c>
      <c r="Q390" s="126">
        <v>1676.58</v>
      </c>
      <c r="R390" s="126">
        <v>22232.71</v>
      </c>
      <c r="S390" s="126">
        <v>18363.29</v>
      </c>
    </row>
    <row r="391" spans="1:19" ht="15.75" customHeight="1" thickBot="1">
      <c r="A391" s="125" t="s">
        <v>1273</v>
      </c>
      <c r="B391" s="125" t="s">
        <v>467</v>
      </c>
      <c r="C391" s="125" t="s">
        <v>466</v>
      </c>
      <c r="D391" s="125" t="str">
        <f t="shared" si="6"/>
        <v>2</v>
      </c>
      <c r="E391" s="125" t="s">
        <v>206</v>
      </c>
      <c r="F391" s="125" t="s">
        <v>205</v>
      </c>
      <c r="G391" s="125" t="s">
        <v>1376</v>
      </c>
      <c r="H391" s="125" t="s">
        <v>1377</v>
      </c>
      <c r="I391" s="125" t="s">
        <v>1378</v>
      </c>
      <c r="J391" s="126">
        <v>37931.599999999999</v>
      </c>
      <c r="K391" s="126">
        <v>3567.6</v>
      </c>
      <c r="L391" s="126">
        <v>34364</v>
      </c>
      <c r="M391" s="126">
        <v>0</v>
      </c>
      <c r="N391" s="126">
        <v>2863.75</v>
      </c>
      <c r="O391" s="126">
        <v>0</v>
      </c>
      <c r="P391" s="126">
        <v>28379.45</v>
      </c>
      <c r="Q391" s="126">
        <v>0</v>
      </c>
      <c r="R391" s="126">
        <v>31243.200000000001</v>
      </c>
      <c r="S391" s="126">
        <v>4441.12</v>
      </c>
    </row>
    <row r="392" spans="1:19" ht="15.75" thickBot="1">
      <c r="A392" s="125" t="s">
        <v>1905</v>
      </c>
      <c r="B392" s="125" t="s">
        <v>467</v>
      </c>
      <c r="C392" s="125" t="s">
        <v>466</v>
      </c>
      <c r="D392" s="125" t="str">
        <f t="shared" si="6"/>
        <v>2</v>
      </c>
      <c r="E392" s="125" t="s">
        <v>206</v>
      </c>
      <c r="F392" s="125" t="s">
        <v>205</v>
      </c>
      <c r="G392" s="125" t="s">
        <v>1376</v>
      </c>
      <c r="H392" s="125" t="s">
        <v>1377</v>
      </c>
      <c r="I392" s="125" t="s">
        <v>1378</v>
      </c>
      <c r="J392" s="126">
        <v>29060</v>
      </c>
      <c r="K392" s="127" t="s">
        <v>1275</v>
      </c>
      <c r="L392" s="126">
        <v>29060</v>
      </c>
      <c r="M392" s="126">
        <v>0</v>
      </c>
      <c r="N392" s="126">
        <v>0</v>
      </c>
      <c r="O392" s="126">
        <v>0</v>
      </c>
      <c r="P392" s="126">
        <v>8867.66</v>
      </c>
      <c r="Q392" s="126">
        <v>0</v>
      </c>
      <c r="R392" s="126">
        <v>8867.66</v>
      </c>
      <c r="S392" s="126">
        <v>20192.34</v>
      </c>
    </row>
    <row r="393" spans="1:19" ht="15.75" customHeight="1" thickBot="1">
      <c r="A393" s="125" t="s">
        <v>1273</v>
      </c>
      <c r="B393" s="125" t="s">
        <v>1662</v>
      </c>
      <c r="C393" s="125" t="s">
        <v>994</v>
      </c>
      <c r="D393" s="125" t="str">
        <f t="shared" si="6"/>
        <v>3</v>
      </c>
      <c r="E393" s="125" t="s">
        <v>206</v>
      </c>
      <c r="F393" s="125" t="s">
        <v>205</v>
      </c>
      <c r="G393" s="125" t="s">
        <v>1673</v>
      </c>
      <c r="H393" s="125" t="s">
        <v>1674</v>
      </c>
      <c r="I393" s="125" t="s">
        <v>1665</v>
      </c>
      <c r="J393" s="126">
        <v>52800</v>
      </c>
      <c r="K393" s="127" t="s">
        <v>1275</v>
      </c>
      <c r="L393" s="126">
        <v>52800</v>
      </c>
      <c r="M393" s="126">
        <v>0</v>
      </c>
      <c r="N393" s="126">
        <v>0</v>
      </c>
      <c r="O393" s="126">
        <v>0</v>
      </c>
      <c r="P393" s="126">
        <v>52800</v>
      </c>
      <c r="Q393" s="126">
        <v>0</v>
      </c>
      <c r="R393" s="126">
        <v>52800</v>
      </c>
      <c r="S393" s="126">
        <v>0</v>
      </c>
    </row>
    <row r="394" spans="1:19" ht="15.75" thickBot="1">
      <c r="A394" s="125" t="s">
        <v>1905</v>
      </c>
      <c r="B394" s="125" t="s">
        <v>1662</v>
      </c>
      <c r="C394" s="125" t="s">
        <v>994</v>
      </c>
      <c r="D394" s="125" t="str">
        <f t="shared" si="6"/>
        <v>3</v>
      </c>
      <c r="E394" s="125" t="s">
        <v>206</v>
      </c>
      <c r="F394" s="125" t="s">
        <v>205</v>
      </c>
      <c r="G394" s="125" t="s">
        <v>1673</v>
      </c>
      <c r="H394" s="125" t="s">
        <v>1674</v>
      </c>
      <c r="I394" s="125" t="s">
        <v>1665</v>
      </c>
      <c r="J394" s="126">
        <v>26400</v>
      </c>
      <c r="K394" s="127" t="s">
        <v>1275</v>
      </c>
      <c r="L394" s="126">
        <v>26400</v>
      </c>
      <c r="M394" s="126">
        <v>0</v>
      </c>
      <c r="N394" s="126">
        <v>0</v>
      </c>
      <c r="O394" s="126">
        <v>0</v>
      </c>
      <c r="P394" s="126">
        <v>26400</v>
      </c>
      <c r="Q394" s="126">
        <v>13200</v>
      </c>
      <c r="R394" s="126">
        <v>39600</v>
      </c>
      <c r="S394" s="126">
        <v>0</v>
      </c>
    </row>
    <row r="395" spans="1:19" ht="15.75" customHeight="1" thickBot="1">
      <c r="A395" s="125" t="s">
        <v>1273</v>
      </c>
      <c r="B395" s="125" t="s">
        <v>1741</v>
      </c>
      <c r="C395" s="125" t="s">
        <v>354</v>
      </c>
      <c r="D395" s="125" t="str">
        <f t="shared" si="6"/>
        <v>3</v>
      </c>
      <c r="E395" s="125" t="s">
        <v>206</v>
      </c>
      <c r="F395" s="125" t="s">
        <v>205</v>
      </c>
      <c r="G395" s="125" t="s">
        <v>1663</v>
      </c>
      <c r="H395" s="125" t="s">
        <v>1742</v>
      </c>
      <c r="I395" s="125" t="s">
        <v>1670</v>
      </c>
      <c r="J395" s="126">
        <v>302189</v>
      </c>
      <c r="K395" s="127" t="s">
        <v>1275</v>
      </c>
      <c r="L395" s="126">
        <v>302189</v>
      </c>
      <c r="M395" s="126">
        <v>10000</v>
      </c>
      <c r="N395" s="126">
        <v>0</v>
      </c>
      <c r="O395" s="126">
        <v>0</v>
      </c>
      <c r="P395" s="126">
        <v>272331</v>
      </c>
      <c r="Q395" s="126">
        <v>0</v>
      </c>
      <c r="R395" s="126">
        <v>282331</v>
      </c>
      <c r="S395" s="126">
        <v>49033</v>
      </c>
    </row>
    <row r="396" spans="1:19" ht="15.75" thickBot="1">
      <c r="A396" s="125" t="s">
        <v>1905</v>
      </c>
      <c r="B396" s="125" t="s">
        <v>1741</v>
      </c>
      <c r="C396" s="125" t="s">
        <v>354</v>
      </c>
      <c r="D396" s="125" t="str">
        <f t="shared" si="6"/>
        <v>3</v>
      </c>
      <c r="E396" s="125" t="s">
        <v>206</v>
      </c>
      <c r="F396" s="125" t="s">
        <v>205</v>
      </c>
      <c r="G396" s="125" t="s">
        <v>1663</v>
      </c>
      <c r="H396" s="125" t="s">
        <v>1742</v>
      </c>
      <c r="I396" s="125" t="s">
        <v>1670</v>
      </c>
      <c r="J396" s="126">
        <v>272731</v>
      </c>
      <c r="K396" s="127" t="s">
        <v>1275</v>
      </c>
      <c r="L396" s="126">
        <v>272731</v>
      </c>
      <c r="M396" s="126">
        <v>0</v>
      </c>
      <c r="N396" s="126">
        <v>0</v>
      </c>
      <c r="O396" s="126">
        <v>0</v>
      </c>
      <c r="P396" s="126">
        <v>264215.75</v>
      </c>
      <c r="Q396" s="126">
        <v>5625</v>
      </c>
      <c r="R396" s="126">
        <v>269840.75</v>
      </c>
      <c r="S396" s="126">
        <v>2890.25</v>
      </c>
    </row>
    <row r="397" spans="1:19" ht="15.75" customHeight="1" thickBot="1">
      <c r="A397" s="125" t="s">
        <v>1273</v>
      </c>
      <c r="B397" s="125" t="s">
        <v>1699</v>
      </c>
      <c r="C397" s="125" t="s">
        <v>347</v>
      </c>
      <c r="D397" s="125" t="str">
        <f t="shared" si="6"/>
        <v>3</v>
      </c>
      <c r="E397" s="125" t="s">
        <v>206</v>
      </c>
      <c r="F397" s="125" t="s">
        <v>205</v>
      </c>
      <c r="G397" s="125" t="s">
        <v>1055</v>
      </c>
      <c r="H397" s="125" t="s">
        <v>1054</v>
      </c>
      <c r="I397" s="125" t="s">
        <v>1692</v>
      </c>
      <c r="J397" s="126">
        <v>139765.69</v>
      </c>
      <c r="K397" s="126">
        <v>561.69000000000005</v>
      </c>
      <c r="L397" s="126">
        <v>139204</v>
      </c>
      <c r="M397" s="126">
        <v>125557.12</v>
      </c>
      <c r="N397" s="126">
        <v>6798.4</v>
      </c>
      <c r="O397" s="126">
        <v>900</v>
      </c>
      <c r="P397" s="126">
        <v>7474.08</v>
      </c>
      <c r="Q397" s="126">
        <v>200.63</v>
      </c>
      <c r="R397" s="126">
        <v>140930.23000000001</v>
      </c>
      <c r="S397" s="126">
        <v>1737.92</v>
      </c>
    </row>
    <row r="398" spans="1:19" ht="15.75" thickBot="1">
      <c r="A398" s="125" t="s">
        <v>1905</v>
      </c>
      <c r="B398" s="125" t="s">
        <v>1699</v>
      </c>
      <c r="C398" s="125" t="s">
        <v>347</v>
      </c>
      <c r="D398" s="125" t="str">
        <f t="shared" si="6"/>
        <v>3</v>
      </c>
      <c r="E398" s="125" t="s">
        <v>206</v>
      </c>
      <c r="F398" s="125" t="s">
        <v>205</v>
      </c>
      <c r="G398" s="125" t="s">
        <v>1055</v>
      </c>
      <c r="H398" s="125" t="s">
        <v>1054</v>
      </c>
      <c r="I398" s="125" t="s">
        <v>1692</v>
      </c>
      <c r="J398" s="126">
        <v>138424.63</v>
      </c>
      <c r="K398" s="126">
        <v>200.63</v>
      </c>
      <c r="L398" s="126">
        <v>138224</v>
      </c>
      <c r="M398" s="126">
        <v>69771.11</v>
      </c>
      <c r="N398" s="126">
        <v>2503.5100000000002</v>
      </c>
      <c r="O398" s="126">
        <v>0</v>
      </c>
      <c r="P398" s="126">
        <v>3907.18</v>
      </c>
      <c r="Q398" s="126">
        <v>1043.1199999999999</v>
      </c>
      <c r="R398" s="126">
        <v>77224.92</v>
      </c>
      <c r="S398" s="126">
        <v>61199.71</v>
      </c>
    </row>
    <row r="399" spans="1:19" ht="15.75" customHeight="1" thickBot="1">
      <c r="A399" s="125" t="s">
        <v>1273</v>
      </c>
      <c r="B399" s="125" t="s">
        <v>1726</v>
      </c>
      <c r="C399" s="125" t="s">
        <v>1727</v>
      </c>
      <c r="D399" s="125" t="str">
        <f t="shared" si="6"/>
        <v>3</v>
      </c>
      <c r="E399" s="125" t="s">
        <v>206</v>
      </c>
      <c r="F399" s="125" t="s">
        <v>205</v>
      </c>
      <c r="G399" s="125" t="s">
        <v>1726</v>
      </c>
      <c r="H399" s="125" t="s">
        <v>1728</v>
      </c>
      <c r="I399" s="125" t="s">
        <v>1729</v>
      </c>
      <c r="J399" s="126">
        <v>7070</v>
      </c>
      <c r="K399" s="126">
        <v>70</v>
      </c>
      <c r="L399" s="126">
        <v>7000</v>
      </c>
      <c r="M399" s="126">
        <v>2250</v>
      </c>
      <c r="N399" s="126">
        <v>0</v>
      </c>
      <c r="O399" s="126">
        <v>0</v>
      </c>
      <c r="P399" s="126">
        <v>6114.27</v>
      </c>
      <c r="Q399" s="126">
        <v>0</v>
      </c>
      <c r="R399" s="126">
        <v>8364.27</v>
      </c>
      <c r="S399" s="126">
        <v>465.73</v>
      </c>
    </row>
    <row r="400" spans="1:19" ht="15.75" thickBot="1">
      <c r="A400" s="125" t="s">
        <v>1905</v>
      </c>
      <c r="B400" s="125" t="s">
        <v>1726</v>
      </c>
      <c r="C400" s="125" t="s">
        <v>1727</v>
      </c>
      <c r="D400" s="125" t="str">
        <f t="shared" si="6"/>
        <v>3</v>
      </c>
      <c r="E400" s="125" t="s">
        <v>206</v>
      </c>
      <c r="F400" s="125" t="s">
        <v>205</v>
      </c>
      <c r="G400" s="125" t="s">
        <v>1726</v>
      </c>
      <c r="H400" s="125" t="s">
        <v>1728</v>
      </c>
      <c r="I400" s="125" t="s">
        <v>1729</v>
      </c>
      <c r="J400" s="126">
        <v>5810</v>
      </c>
      <c r="K400" s="127" t="s">
        <v>1275</v>
      </c>
      <c r="L400" s="126">
        <v>5810</v>
      </c>
      <c r="M400" s="126">
        <v>0</v>
      </c>
      <c r="N400" s="126">
        <v>0</v>
      </c>
      <c r="O400" s="126">
        <v>0</v>
      </c>
      <c r="P400" s="126">
        <v>1558.53</v>
      </c>
      <c r="Q400" s="126">
        <v>2.2599999999999998</v>
      </c>
      <c r="R400" s="126">
        <v>1560.79</v>
      </c>
      <c r="S400" s="126">
        <v>4249.21</v>
      </c>
    </row>
    <row r="401" spans="1:19" ht="15.75" customHeight="1" thickBot="1">
      <c r="A401" s="125" t="s">
        <v>1273</v>
      </c>
      <c r="B401" s="125" t="s">
        <v>1741</v>
      </c>
      <c r="C401" s="125" t="s">
        <v>354</v>
      </c>
      <c r="D401" s="125" t="str">
        <f t="shared" si="6"/>
        <v>3</v>
      </c>
      <c r="E401" s="125" t="s">
        <v>206</v>
      </c>
      <c r="F401" s="125" t="s">
        <v>205</v>
      </c>
      <c r="G401" s="125" t="s">
        <v>355</v>
      </c>
      <c r="H401" s="125" t="s">
        <v>1216</v>
      </c>
      <c r="I401" s="125" t="s">
        <v>1670</v>
      </c>
      <c r="J401" s="126">
        <v>583980.28</v>
      </c>
      <c r="K401" s="126">
        <v>9307.2800000000007</v>
      </c>
      <c r="L401" s="126">
        <v>574673</v>
      </c>
      <c r="M401" s="126">
        <v>516554.41</v>
      </c>
      <c r="N401" s="126">
        <v>5712.3</v>
      </c>
      <c r="O401" s="126">
        <v>900</v>
      </c>
      <c r="P401" s="126">
        <v>22239.55</v>
      </c>
      <c r="Q401" s="126">
        <v>3051.84</v>
      </c>
      <c r="R401" s="126">
        <v>548458.1</v>
      </c>
      <c r="S401" s="126">
        <v>37833.21</v>
      </c>
    </row>
    <row r="402" spans="1:19" ht="15.75" thickBot="1">
      <c r="A402" s="125" t="s">
        <v>1905</v>
      </c>
      <c r="B402" s="125" t="s">
        <v>1741</v>
      </c>
      <c r="C402" s="125" t="s">
        <v>354</v>
      </c>
      <c r="D402" s="125" t="str">
        <f t="shared" si="6"/>
        <v>3</v>
      </c>
      <c r="E402" s="125" t="s">
        <v>206</v>
      </c>
      <c r="F402" s="125" t="s">
        <v>205</v>
      </c>
      <c r="G402" s="125" t="s">
        <v>355</v>
      </c>
      <c r="H402" s="125" t="s">
        <v>1216</v>
      </c>
      <c r="I402" s="125" t="s">
        <v>1670</v>
      </c>
      <c r="J402" s="126">
        <v>54051.839999999997</v>
      </c>
      <c r="K402" s="126">
        <v>3051.84</v>
      </c>
      <c r="L402" s="126">
        <v>51000</v>
      </c>
      <c r="M402" s="126">
        <v>0</v>
      </c>
      <c r="N402" s="126">
        <v>0</v>
      </c>
      <c r="O402" s="126">
        <v>0</v>
      </c>
      <c r="P402" s="126">
        <v>13145.21</v>
      </c>
      <c r="Q402" s="126">
        <v>2640.21</v>
      </c>
      <c r="R402" s="126">
        <v>15785.42</v>
      </c>
      <c r="S402" s="126">
        <v>38266.42</v>
      </c>
    </row>
    <row r="403" spans="1:19" ht="15.75" customHeight="1" thickBot="1">
      <c r="A403" s="125" t="s">
        <v>1273</v>
      </c>
      <c r="B403" s="125" t="s">
        <v>1741</v>
      </c>
      <c r="C403" s="125" t="s">
        <v>354</v>
      </c>
      <c r="D403" s="125" t="str">
        <f t="shared" si="6"/>
        <v>3</v>
      </c>
      <c r="E403" s="125" t="s">
        <v>206</v>
      </c>
      <c r="F403" s="125" t="s">
        <v>205</v>
      </c>
      <c r="G403" s="125" t="s">
        <v>1743</v>
      </c>
      <c r="H403" s="125" t="s">
        <v>1744</v>
      </c>
      <c r="I403" s="125" t="s">
        <v>1745</v>
      </c>
      <c r="J403" s="126">
        <v>18762.36</v>
      </c>
      <c r="K403" s="126">
        <v>8762.36</v>
      </c>
      <c r="L403" s="126">
        <v>10000</v>
      </c>
      <c r="M403" s="126">
        <v>0</v>
      </c>
      <c r="N403" s="126">
        <v>0</v>
      </c>
      <c r="O403" s="126">
        <v>0</v>
      </c>
      <c r="P403" s="126">
        <v>960.73</v>
      </c>
      <c r="Q403" s="126">
        <v>8234.07</v>
      </c>
      <c r="R403" s="126">
        <v>9194.7999999999993</v>
      </c>
      <c r="S403" s="126">
        <v>9567.56</v>
      </c>
    </row>
    <row r="404" spans="1:19" ht="15.75" thickBot="1">
      <c r="A404" s="125" t="s">
        <v>1905</v>
      </c>
      <c r="B404" s="125" t="s">
        <v>1741</v>
      </c>
      <c r="C404" s="125" t="s">
        <v>354</v>
      </c>
      <c r="D404" s="125" t="str">
        <f t="shared" si="6"/>
        <v>3</v>
      </c>
      <c r="E404" s="125" t="s">
        <v>206</v>
      </c>
      <c r="F404" s="125" t="s">
        <v>205</v>
      </c>
      <c r="G404" s="125" t="s">
        <v>1743</v>
      </c>
      <c r="H404" s="125" t="s">
        <v>1744</v>
      </c>
      <c r="I404" s="125" t="s">
        <v>1745</v>
      </c>
      <c r="J404" s="126">
        <v>15234.07</v>
      </c>
      <c r="K404" s="126">
        <v>8234.07</v>
      </c>
      <c r="L404" s="126">
        <v>7000</v>
      </c>
      <c r="M404" s="126">
        <v>0</v>
      </c>
      <c r="N404" s="126">
        <v>0</v>
      </c>
      <c r="O404" s="126">
        <v>0</v>
      </c>
      <c r="P404" s="126">
        <v>612.54999999999995</v>
      </c>
      <c r="Q404" s="126">
        <v>14621.52</v>
      </c>
      <c r="R404" s="126">
        <v>15234.07</v>
      </c>
      <c r="S404" s="126">
        <v>0</v>
      </c>
    </row>
    <row r="405" spans="1:19" ht="15.75" customHeight="1" thickBot="1">
      <c r="A405" s="125" t="s">
        <v>1273</v>
      </c>
      <c r="B405" s="125" t="s">
        <v>1662</v>
      </c>
      <c r="C405" s="125" t="s">
        <v>994</v>
      </c>
      <c r="D405" s="125" t="str">
        <f t="shared" si="6"/>
        <v>3</v>
      </c>
      <c r="E405" s="125" t="s">
        <v>206</v>
      </c>
      <c r="F405" s="125" t="s">
        <v>205</v>
      </c>
      <c r="G405" s="125" t="s">
        <v>1675</v>
      </c>
      <c r="H405" s="125" t="s">
        <v>1676</v>
      </c>
      <c r="I405" s="125" t="s">
        <v>1677</v>
      </c>
      <c r="J405" s="126">
        <v>6708</v>
      </c>
      <c r="K405" s="127" t="s">
        <v>1275</v>
      </c>
      <c r="L405" s="126">
        <v>6708</v>
      </c>
      <c r="M405" s="126">
        <v>0</v>
      </c>
      <c r="N405" s="126">
        <v>0</v>
      </c>
      <c r="O405" s="126">
        <v>0</v>
      </c>
      <c r="P405" s="126">
        <v>826.9</v>
      </c>
      <c r="Q405" s="126">
        <v>0</v>
      </c>
      <c r="R405" s="126">
        <v>826.9</v>
      </c>
      <c r="S405" s="126">
        <v>5881.1</v>
      </c>
    </row>
    <row r="406" spans="1:19" ht="15.75" customHeight="1" thickBot="1">
      <c r="A406" s="125" t="s">
        <v>1273</v>
      </c>
      <c r="B406" s="125" t="s">
        <v>1741</v>
      </c>
      <c r="C406" s="125" t="s">
        <v>354</v>
      </c>
      <c r="D406" s="125" t="str">
        <f t="shared" si="6"/>
        <v>3</v>
      </c>
      <c r="E406" s="125" t="s">
        <v>206</v>
      </c>
      <c r="F406" s="125" t="s">
        <v>205</v>
      </c>
      <c r="G406" s="125" t="s">
        <v>1746</v>
      </c>
      <c r="H406" s="125" t="s">
        <v>1747</v>
      </c>
      <c r="I406" s="125" t="s">
        <v>1670</v>
      </c>
      <c r="J406" s="126">
        <v>18500</v>
      </c>
      <c r="K406" s="127" t="s">
        <v>1275</v>
      </c>
      <c r="L406" s="126">
        <v>18500</v>
      </c>
      <c r="M406" s="126">
        <v>0</v>
      </c>
      <c r="N406" s="126">
        <v>0</v>
      </c>
      <c r="O406" s="126">
        <v>0</v>
      </c>
      <c r="P406" s="126">
        <v>11906.54</v>
      </c>
      <c r="Q406" s="126">
        <v>0</v>
      </c>
      <c r="R406" s="126">
        <v>11906.54</v>
      </c>
      <c r="S406" s="126">
        <v>5298.46</v>
      </c>
    </row>
    <row r="407" spans="1:19" ht="15.75" thickBot="1">
      <c r="A407" s="125" t="s">
        <v>1905</v>
      </c>
      <c r="B407" s="125" t="s">
        <v>1741</v>
      </c>
      <c r="C407" s="125" t="s">
        <v>354</v>
      </c>
      <c r="D407" s="125" t="str">
        <f t="shared" si="6"/>
        <v>3</v>
      </c>
      <c r="E407" s="125" t="s">
        <v>206</v>
      </c>
      <c r="F407" s="125" t="s">
        <v>205</v>
      </c>
      <c r="G407" s="125" t="s">
        <v>1746</v>
      </c>
      <c r="H407" s="125" t="s">
        <v>1747</v>
      </c>
      <c r="I407" s="125" t="s">
        <v>1670</v>
      </c>
      <c r="J407" s="126">
        <v>17205</v>
      </c>
      <c r="K407" s="127" t="s">
        <v>1275</v>
      </c>
      <c r="L407" s="126">
        <v>17205</v>
      </c>
      <c r="M407" s="126">
        <v>0</v>
      </c>
      <c r="N407" s="126">
        <v>0</v>
      </c>
      <c r="O407" s="126">
        <v>0</v>
      </c>
      <c r="P407" s="126">
        <v>8392.3700000000008</v>
      </c>
      <c r="Q407" s="126">
        <v>3105.07</v>
      </c>
      <c r="R407" s="126">
        <v>11497.44</v>
      </c>
      <c r="S407" s="126">
        <v>5707.56</v>
      </c>
    </row>
    <row r="408" spans="1:19" ht="15.75" customHeight="1" thickBot="1">
      <c r="A408" s="125" t="s">
        <v>1273</v>
      </c>
      <c r="B408" s="125" t="s">
        <v>1720</v>
      </c>
      <c r="C408" s="125" t="s">
        <v>1060</v>
      </c>
      <c r="D408" s="125" t="str">
        <f t="shared" si="6"/>
        <v>3</v>
      </c>
      <c r="E408" s="125" t="s">
        <v>206</v>
      </c>
      <c r="F408" s="125" t="s">
        <v>205</v>
      </c>
      <c r="G408" s="125" t="s">
        <v>1061</v>
      </c>
      <c r="H408" s="125" t="s">
        <v>1059</v>
      </c>
      <c r="I408" s="125" t="s">
        <v>1721</v>
      </c>
      <c r="J408" s="126">
        <v>416211.9</v>
      </c>
      <c r="K408" s="126">
        <v>2091.9</v>
      </c>
      <c r="L408" s="126">
        <v>414120</v>
      </c>
      <c r="M408" s="126">
        <v>252105.11</v>
      </c>
      <c r="N408" s="126">
        <v>2962.41</v>
      </c>
      <c r="O408" s="126">
        <v>1050</v>
      </c>
      <c r="P408" s="126">
        <v>38627.53</v>
      </c>
      <c r="Q408" s="126">
        <v>3271.92</v>
      </c>
      <c r="R408" s="126">
        <v>298016.96999999997</v>
      </c>
      <c r="S408" s="126">
        <v>35665.61</v>
      </c>
    </row>
    <row r="409" spans="1:19" ht="15.75" thickBot="1">
      <c r="A409" s="125" t="s">
        <v>1905</v>
      </c>
      <c r="B409" s="125" t="s">
        <v>1720</v>
      </c>
      <c r="C409" s="125" t="s">
        <v>1060</v>
      </c>
      <c r="D409" s="125" t="str">
        <f t="shared" si="6"/>
        <v>3</v>
      </c>
      <c r="E409" s="125" t="s">
        <v>206</v>
      </c>
      <c r="F409" s="125" t="s">
        <v>205</v>
      </c>
      <c r="G409" s="125" t="s">
        <v>1061</v>
      </c>
      <c r="H409" s="125" t="s">
        <v>1059</v>
      </c>
      <c r="I409" s="125" t="s">
        <v>1721</v>
      </c>
      <c r="J409" s="126">
        <v>325270.92</v>
      </c>
      <c r="K409" s="126">
        <v>3271.92</v>
      </c>
      <c r="L409" s="126">
        <v>321999</v>
      </c>
      <c r="M409" s="126">
        <v>148002.37</v>
      </c>
      <c r="N409" s="126">
        <v>1902.21</v>
      </c>
      <c r="O409" s="126">
        <v>525</v>
      </c>
      <c r="P409" s="126">
        <v>16332.94</v>
      </c>
      <c r="Q409" s="126">
        <v>14528.13</v>
      </c>
      <c r="R409" s="126">
        <v>181290.65</v>
      </c>
      <c r="S409" s="126">
        <v>143980.26999999999</v>
      </c>
    </row>
    <row r="410" spans="1:19" ht="15.75" customHeight="1" thickBot="1">
      <c r="A410" s="125" t="s">
        <v>1273</v>
      </c>
      <c r="B410" s="125" t="s">
        <v>1720</v>
      </c>
      <c r="C410" s="125" t="s">
        <v>1060</v>
      </c>
      <c r="D410" s="125" t="str">
        <f t="shared" si="6"/>
        <v>3</v>
      </c>
      <c r="E410" s="125" t="s">
        <v>206</v>
      </c>
      <c r="F410" s="125" t="s">
        <v>205</v>
      </c>
      <c r="G410" s="125" t="s">
        <v>1722</v>
      </c>
      <c r="H410" s="125" t="s">
        <v>1723</v>
      </c>
      <c r="I410" s="125" t="s">
        <v>1721</v>
      </c>
      <c r="J410" s="126">
        <v>60404.12</v>
      </c>
      <c r="K410" s="126">
        <v>404.12</v>
      </c>
      <c r="L410" s="126">
        <v>60000</v>
      </c>
      <c r="M410" s="126">
        <v>0</v>
      </c>
      <c r="N410" s="126">
        <v>0</v>
      </c>
      <c r="O410" s="126">
        <v>0</v>
      </c>
      <c r="P410" s="126">
        <v>34347.9</v>
      </c>
      <c r="Q410" s="126">
        <v>245</v>
      </c>
      <c r="R410" s="126">
        <v>34592.9</v>
      </c>
      <c r="S410" s="126">
        <v>23111.22</v>
      </c>
    </row>
    <row r="411" spans="1:19" ht="15.75" thickBot="1">
      <c r="A411" s="125" t="s">
        <v>1905</v>
      </c>
      <c r="B411" s="125" t="s">
        <v>1720</v>
      </c>
      <c r="C411" s="125" t="s">
        <v>1060</v>
      </c>
      <c r="D411" s="125" t="str">
        <f t="shared" si="6"/>
        <v>3</v>
      </c>
      <c r="E411" s="125" t="s">
        <v>206</v>
      </c>
      <c r="F411" s="125" t="s">
        <v>205</v>
      </c>
      <c r="G411" s="125" t="s">
        <v>1722</v>
      </c>
      <c r="H411" s="125" t="s">
        <v>1723</v>
      </c>
      <c r="I411" s="125" t="s">
        <v>1721</v>
      </c>
      <c r="J411" s="126">
        <v>50045</v>
      </c>
      <c r="K411" s="126">
        <v>245</v>
      </c>
      <c r="L411" s="126">
        <v>49800</v>
      </c>
      <c r="M411" s="126">
        <v>0</v>
      </c>
      <c r="N411" s="126">
        <v>0</v>
      </c>
      <c r="O411" s="126">
        <v>0</v>
      </c>
      <c r="P411" s="126">
        <v>32382.6</v>
      </c>
      <c r="Q411" s="126">
        <v>0</v>
      </c>
      <c r="R411" s="126">
        <v>32382.6</v>
      </c>
      <c r="S411" s="126">
        <v>17662.400000000001</v>
      </c>
    </row>
    <row r="412" spans="1:19" ht="15.75" customHeight="1" thickBot="1">
      <c r="A412" s="125" t="s">
        <v>1273</v>
      </c>
      <c r="B412" s="125" t="s">
        <v>252</v>
      </c>
      <c r="C412" s="125" t="s">
        <v>1070</v>
      </c>
      <c r="D412" s="125" t="str">
        <f t="shared" si="6"/>
        <v>3</v>
      </c>
      <c r="E412" s="125" t="s">
        <v>206</v>
      </c>
      <c r="F412" s="125" t="s">
        <v>205</v>
      </c>
      <c r="G412" s="125" t="s">
        <v>252</v>
      </c>
      <c r="H412" s="125" t="s">
        <v>1069</v>
      </c>
      <c r="I412" s="125" t="s">
        <v>1809</v>
      </c>
      <c r="J412" s="126">
        <v>85173</v>
      </c>
      <c r="K412" s="126">
        <v>394</v>
      </c>
      <c r="L412" s="126">
        <v>84779</v>
      </c>
      <c r="M412" s="126">
        <v>68262.98</v>
      </c>
      <c r="N412" s="126">
        <v>5843.35</v>
      </c>
      <c r="O412" s="126">
        <v>0</v>
      </c>
      <c r="P412" s="126">
        <v>22760.02</v>
      </c>
      <c r="Q412" s="126">
        <v>1645.05</v>
      </c>
      <c r="R412" s="126">
        <v>98511.4</v>
      </c>
      <c r="S412" s="126">
        <v>5684.31</v>
      </c>
    </row>
    <row r="413" spans="1:19" ht="15.75" thickBot="1">
      <c r="A413" s="125" t="s">
        <v>1905</v>
      </c>
      <c r="B413" s="125" t="s">
        <v>252</v>
      </c>
      <c r="C413" s="125" t="s">
        <v>1070</v>
      </c>
      <c r="D413" s="125" t="str">
        <f t="shared" si="6"/>
        <v>3</v>
      </c>
      <c r="E413" s="125" t="s">
        <v>206</v>
      </c>
      <c r="F413" s="125" t="s">
        <v>205</v>
      </c>
      <c r="G413" s="125" t="s">
        <v>252</v>
      </c>
      <c r="H413" s="125" t="s">
        <v>1069</v>
      </c>
      <c r="I413" s="125" t="s">
        <v>1809</v>
      </c>
      <c r="J413" s="126">
        <v>81250.05</v>
      </c>
      <c r="K413" s="126">
        <v>1645.05</v>
      </c>
      <c r="L413" s="126">
        <v>79605</v>
      </c>
      <c r="M413" s="126">
        <v>37471.25</v>
      </c>
      <c r="N413" s="126">
        <v>2088.4</v>
      </c>
      <c r="O413" s="126">
        <v>0</v>
      </c>
      <c r="P413" s="126">
        <v>21723.27</v>
      </c>
      <c r="Q413" s="126">
        <v>60.29</v>
      </c>
      <c r="R413" s="126">
        <v>61343.21</v>
      </c>
      <c r="S413" s="126">
        <v>41605.839999999997</v>
      </c>
    </row>
    <row r="414" spans="1:19" ht="15.75" customHeight="1" thickBot="1">
      <c r="A414" s="125" t="s">
        <v>1273</v>
      </c>
      <c r="B414" s="125" t="s">
        <v>1807</v>
      </c>
      <c r="C414" s="125" t="s">
        <v>368</v>
      </c>
      <c r="D414" s="125" t="str">
        <f t="shared" si="6"/>
        <v>3</v>
      </c>
      <c r="E414" s="125" t="s">
        <v>206</v>
      </c>
      <c r="F414" s="125" t="s">
        <v>205</v>
      </c>
      <c r="G414" s="125" t="s">
        <v>1075</v>
      </c>
      <c r="H414" s="125" t="s">
        <v>1074</v>
      </c>
      <c r="I414" s="125" t="s">
        <v>1809</v>
      </c>
      <c r="J414" s="126">
        <v>143797.25</v>
      </c>
      <c r="K414" s="126">
        <v>77.25</v>
      </c>
      <c r="L414" s="126">
        <v>143720</v>
      </c>
      <c r="M414" s="126">
        <v>128730</v>
      </c>
      <c r="N414" s="126">
        <v>0</v>
      </c>
      <c r="O414" s="126">
        <v>1800</v>
      </c>
      <c r="P414" s="126">
        <v>16693.509999999998</v>
      </c>
      <c r="Q414" s="126">
        <v>220.16</v>
      </c>
      <c r="R414" s="126">
        <v>147443.67000000001</v>
      </c>
      <c r="S414" s="126">
        <v>4678.58</v>
      </c>
    </row>
    <row r="415" spans="1:19" ht="15.75" thickBot="1">
      <c r="A415" s="125" t="s">
        <v>1905</v>
      </c>
      <c r="B415" s="125" t="s">
        <v>1807</v>
      </c>
      <c r="C415" s="125" t="s">
        <v>368</v>
      </c>
      <c r="D415" s="125" t="str">
        <f t="shared" si="6"/>
        <v>3</v>
      </c>
      <c r="E415" s="125" t="s">
        <v>206</v>
      </c>
      <c r="F415" s="125" t="s">
        <v>205</v>
      </c>
      <c r="G415" s="125" t="s">
        <v>1075</v>
      </c>
      <c r="H415" s="125" t="s">
        <v>1074</v>
      </c>
      <c r="I415" s="125" t="s">
        <v>1809</v>
      </c>
      <c r="J415" s="126">
        <v>146200.16</v>
      </c>
      <c r="K415" s="126">
        <v>220.16</v>
      </c>
      <c r="L415" s="126">
        <v>145980</v>
      </c>
      <c r="M415" s="126">
        <v>67655</v>
      </c>
      <c r="N415" s="126">
        <v>0</v>
      </c>
      <c r="O415" s="126">
        <v>1050</v>
      </c>
      <c r="P415" s="126">
        <v>12550.94</v>
      </c>
      <c r="Q415" s="126">
        <v>1764.4</v>
      </c>
      <c r="R415" s="126">
        <v>83020.34</v>
      </c>
      <c r="S415" s="126">
        <v>62379.82</v>
      </c>
    </row>
    <row r="416" spans="1:19" ht="15.75" customHeight="1" thickBot="1">
      <c r="A416" s="125" t="s">
        <v>1273</v>
      </c>
      <c r="B416" s="125" t="s">
        <v>1813</v>
      </c>
      <c r="C416" s="125" t="s">
        <v>1079</v>
      </c>
      <c r="D416" s="125" t="str">
        <f t="shared" si="6"/>
        <v>3</v>
      </c>
      <c r="E416" s="125" t="s">
        <v>206</v>
      </c>
      <c r="F416" s="125" t="s">
        <v>205</v>
      </c>
      <c r="G416" s="125" t="s">
        <v>1080</v>
      </c>
      <c r="H416" s="125" t="s">
        <v>1078</v>
      </c>
      <c r="I416" s="125" t="s">
        <v>1814</v>
      </c>
      <c r="J416" s="126">
        <v>258204</v>
      </c>
      <c r="K416" s="127" t="s">
        <v>1275</v>
      </c>
      <c r="L416" s="126">
        <v>258204</v>
      </c>
      <c r="M416" s="126">
        <v>223137.49</v>
      </c>
      <c r="N416" s="126">
        <v>0</v>
      </c>
      <c r="O416" s="126">
        <v>0</v>
      </c>
      <c r="P416" s="126">
        <v>12067.31</v>
      </c>
      <c r="Q416" s="126">
        <v>842.22</v>
      </c>
      <c r="R416" s="126">
        <v>236047.02</v>
      </c>
      <c r="S416" s="126">
        <v>1379.93</v>
      </c>
    </row>
    <row r="417" spans="1:19" ht="15.75" thickBot="1">
      <c r="A417" s="125" t="s">
        <v>1905</v>
      </c>
      <c r="B417" s="125" t="s">
        <v>1813</v>
      </c>
      <c r="C417" s="125" t="s">
        <v>1079</v>
      </c>
      <c r="D417" s="125" t="str">
        <f t="shared" si="6"/>
        <v>3</v>
      </c>
      <c r="E417" s="125" t="s">
        <v>206</v>
      </c>
      <c r="F417" s="125" t="s">
        <v>205</v>
      </c>
      <c r="G417" s="125" t="s">
        <v>1080</v>
      </c>
      <c r="H417" s="125" t="s">
        <v>1078</v>
      </c>
      <c r="I417" s="125" t="s">
        <v>1814</v>
      </c>
      <c r="J417" s="126">
        <v>230856.22</v>
      </c>
      <c r="K417" s="126">
        <v>842.22</v>
      </c>
      <c r="L417" s="126">
        <v>230014</v>
      </c>
      <c r="M417" s="126">
        <v>119861.08</v>
      </c>
      <c r="N417" s="126">
        <v>0</v>
      </c>
      <c r="O417" s="126">
        <v>0</v>
      </c>
      <c r="P417" s="126">
        <v>10965.39</v>
      </c>
      <c r="Q417" s="126">
        <v>836.7</v>
      </c>
      <c r="R417" s="126">
        <v>131663.17000000001</v>
      </c>
      <c r="S417" s="126">
        <v>99655.05</v>
      </c>
    </row>
    <row r="418" spans="1:19" ht="15.75" customHeight="1" thickBot="1">
      <c r="A418" s="125" t="s">
        <v>1273</v>
      </c>
      <c r="B418" s="125" t="s">
        <v>1741</v>
      </c>
      <c r="C418" s="125" t="s">
        <v>354</v>
      </c>
      <c r="D418" s="125" t="str">
        <f t="shared" si="6"/>
        <v>3</v>
      </c>
      <c r="E418" s="125" t="s">
        <v>206</v>
      </c>
      <c r="F418" s="125" t="s">
        <v>205</v>
      </c>
      <c r="G418" s="125" t="s">
        <v>1748</v>
      </c>
      <c r="H418" s="125" t="s">
        <v>1749</v>
      </c>
      <c r="I418" s="125" t="s">
        <v>1670</v>
      </c>
      <c r="J418" s="126">
        <v>160000</v>
      </c>
      <c r="K418" s="127" t="s">
        <v>1275</v>
      </c>
      <c r="L418" s="126">
        <v>160000</v>
      </c>
      <c r="M418" s="126">
        <v>0</v>
      </c>
      <c r="N418" s="126">
        <v>0</v>
      </c>
      <c r="O418" s="126">
        <v>0</v>
      </c>
      <c r="P418" s="126">
        <v>167780.24</v>
      </c>
      <c r="Q418" s="126">
        <v>0</v>
      </c>
      <c r="R418" s="126">
        <v>167780.24</v>
      </c>
      <c r="S418" s="126">
        <v>3028.76</v>
      </c>
    </row>
    <row r="419" spans="1:19" ht="15.75" thickBot="1">
      <c r="A419" s="125" t="s">
        <v>1905</v>
      </c>
      <c r="B419" s="125" t="s">
        <v>1741</v>
      </c>
      <c r="C419" s="125" t="s">
        <v>354</v>
      </c>
      <c r="D419" s="125" t="str">
        <f t="shared" si="6"/>
        <v>3</v>
      </c>
      <c r="E419" s="125" t="s">
        <v>206</v>
      </c>
      <c r="F419" s="125" t="s">
        <v>205</v>
      </c>
      <c r="G419" s="125" t="s">
        <v>1748</v>
      </c>
      <c r="H419" s="125" t="s">
        <v>1749</v>
      </c>
      <c r="I419" s="125" t="s">
        <v>1670</v>
      </c>
      <c r="J419" s="126">
        <v>160000</v>
      </c>
      <c r="K419" s="127" t="s">
        <v>1275</v>
      </c>
      <c r="L419" s="126">
        <v>160000</v>
      </c>
      <c r="M419" s="126">
        <v>0</v>
      </c>
      <c r="N419" s="126">
        <v>0</v>
      </c>
      <c r="O419" s="126">
        <v>0</v>
      </c>
      <c r="P419" s="126">
        <v>134767.67000000001</v>
      </c>
      <c r="Q419" s="126">
        <v>0</v>
      </c>
      <c r="R419" s="126">
        <v>134767.67000000001</v>
      </c>
      <c r="S419" s="126">
        <v>25232.33</v>
      </c>
    </row>
    <row r="420" spans="1:19" ht="15.75" customHeight="1" thickBot="1">
      <c r="A420" s="125" t="s">
        <v>1273</v>
      </c>
      <c r="B420" s="125" t="s">
        <v>1817</v>
      </c>
      <c r="C420" s="125" t="s">
        <v>1088</v>
      </c>
      <c r="D420" s="125" t="str">
        <f t="shared" si="6"/>
        <v>3</v>
      </c>
      <c r="E420" s="125" t="s">
        <v>206</v>
      </c>
      <c r="F420" s="125" t="s">
        <v>205</v>
      </c>
      <c r="G420" s="125" t="s">
        <v>1089</v>
      </c>
      <c r="H420" s="125" t="s">
        <v>1087</v>
      </c>
      <c r="I420" s="125" t="s">
        <v>1818</v>
      </c>
      <c r="J420" s="126">
        <v>209992.41</v>
      </c>
      <c r="K420" s="126">
        <v>4713.41</v>
      </c>
      <c r="L420" s="126">
        <v>205279</v>
      </c>
      <c r="M420" s="126">
        <v>111311.17</v>
      </c>
      <c r="N420" s="126">
        <v>9902.6</v>
      </c>
      <c r="O420" s="126">
        <v>1650</v>
      </c>
      <c r="P420" s="126">
        <v>73151.66</v>
      </c>
      <c r="Q420" s="126">
        <v>2465.75</v>
      </c>
      <c r="R420" s="126">
        <v>198481.18</v>
      </c>
      <c r="S420" s="126">
        <v>5385.47</v>
      </c>
    </row>
    <row r="421" spans="1:19" ht="15.75" thickBot="1">
      <c r="A421" s="125" t="s">
        <v>1905</v>
      </c>
      <c r="B421" s="125" t="s">
        <v>1817</v>
      </c>
      <c r="C421" s="125" t="s">
        <v>1088</v>
      </c>
      <c r="D421" s="125" t="str">
        <f t="shared" si="6"/>
        <v>3</v>
      </c>
      <c r="E421" s="125" t="s">
        <v>206</v>
      </c>
      <c r="F421" s="125" t="s">
        <v>205</v>
      </c>
      <c r="G421" s="125" t="s">
        <v>1089</v>
      </c>
      <c r="H421" s="125" t="s">
        <v>1087</v>
      </c>
      <c r="I421" s="125" t="s">
        <v>1818</v>
      </c>
      <c r="J421" s="126">
        <v>194689.75</v>
      </c>
      <c r="K421" s="126">
        <v>2465.75</v>
      </c>
      <c r="L421" s="126">
        <v>192224</v>
      </c>
      <c r="M421" s="126">
        <v>48479.63</v>
      </c>
      <c r="N421" s="126">
        <v>4415.26</v>
      </c>
      <c r="O421" s="126">
        <v>0</v>
      </c>
      <c r="P421" s="126">
        <v>48163.08</v>
      </c>
      <c r="Q421" s="126">
        <v>9140.6299999999992</v>
      </c>
      <c r="R421" s="126">
        <v>110198.6</v>
      </c>
      <c r="S421" s="126">
        <v>57791.15</v>
      </c>
    </row>
    <row r="422" spans="1:19" ht="15.75" customHeight="1" thickBot="1">
      <c r="A422" s="125" t="s">
        <v>1273</v>
      </c>
      <c r="B422" s="125" t="s">
        <v>1093</v>
      </c>
      <c r="C422" s="129">
        <v>3181</v>
      </c>
      <c r="D422" s="125" t="str">
        <f t="shared" si="6"/>
        <v>3</v>
      </c>
      <c r="E422" s="125" t="s">
        <v>206</v>
      </c>
      <c r="F422" s="125" t="s">
        <v>205</v>
      </c>
      <c r="G422" s="125" t="s">
        <v>1093</v>
      </c>
      <c r="H422" s="125" t="s">
        <v>1092</v>
      </c>
      <c r="I422" s="128"/>
      <c r="J422" s="126">
        <v>35063.86</v>
      </c>
      <c r="K422" s="126">
        <v>2412.86</v>
      </c>
      <c r="L422" s="126">
        <v>32651</v>
      </c>
      <c r="M422" s="126">
        <v>7307.5</v>
      </c>
      <c r="N422" s="126">
        <v>0</v>
      </c>
      <c r="O422" s="126">
        <v>1622.95</v>
      </c>
      <c r="P422" s="126">
        <v>21913.24</v>
      </c>
      <c r="Q422" s="126">
        <v>2043.92</v>
      </c>
      <c r="R422" s="126">
        <v>32887.61</v>
      </c>
      <c r="S422" s="126">
        <v>5390.68</v>
      </c>
    </row>
    <row r="423" spans="1:19" ht="15.75" thickBot="1">
      <c r="A423" s="125" t="s">
        <v>1905</v>
      </c>
      <c r="B423" s="125" t="s">
        <v>1093</v>
      </c>
      <c r="C423" s="129">
        <v>3181</v>
      </c>
      <c r="D423" s="125" t="str">
        <f t="shared" ref="D423:D486" si="7">LEFT(C423:C423,1)</f>
        <v>3</v>
      </c>
      <c r="E423" s="125" t="s">
        <v>206</v>
      </c>
      <c r="F423" s="125" t="s">
        <v>205</v>
      </c>
      <c r="G423" s="125" t="s">
        <v>1093</v>
      </c>
      <c r="H423" s="125" t="s">
        <v>1092</v>
      </c>
      <c r="I423" s="128"/>
      <c r="J423" s="126">
        <v>132087.92000000001</v>
      </c>
      <c r="K423" s="126">
        <v>2043.92</v>
      </c>
      <c r="L423" s="126">
        <v>130044</v>
      </c>
      <c r="M423" s="126">
        <v>10927.36</v>
      </c>
      <c r="N423" s="126">
        <v>7668.16</v>
      </c>
      <c r="O423" s="126">
        <v>0</v>
      </c>
      <c r="P423" s="126">
        <v>26068.69</v>
      </c>
      <c r="Q423" s="126">
        <v>4510.4799999999996</v>
      </c>
      <c r="R423" s="126">
        <v>49174.69</v>
      </c>
      <c r="S423" s="126">
        <v>61230.23</v>
      </c>
    </row>
    <row r="424" spans="1:19" ht="15.75" customHeight="1" thickBot="1">
      <c r="A424" s="125" t="s">
        <v>1273</v>
      </c>
      <c r="B424" s="125" t="s">
        <v>1093</v>
      </c>
      <c r="C424" s="129">
        <v>3181</v>
      </c>
      <c r="D424" s="125" t="str">
        <f t="shared" si="7"/>
        <v>3</v>
      </c>
      <c r="E424" s="125" t="s">
        <v>206</v>
      </c>
      <c r="F424" s="125" t="s">
        <v>205</v>
      </c>
      <c r="G424" s="125" t="s">
        <v>1757</v>
      </c>
      <c r="H424" s="125" t="s">
        <v>1758</v>
      </c>
      <c r="I424" s="128"/>
      <c r="J424" s="126">
        <v>8000</v>
      </c>
      <c r="K424" s="127" t="s">
        <v>1275</v>
      </c>
      <c r="L424" s="126">
        <v>8000</v>
      </c>
      <c r="M424" s="126">
        <v>0</v>
      </c>
      <c r="N424" s="126">
        <v>0</v>
      </c>
      <c r="O424" s="126">
        <v>0</v>
      </c>
      <c r="P424" s="126">
        <v>5584.42</v>
      </c>
      <c r="Q424" s="126">
        <v>0</v>
      </c>
      <c r="R424" s="126">
        <v>5584.42</v>
      </c>
      <c r="S424" s="126">
        <v>0</v>
      </c>
    </row>
    <row r="425" spans="1:19" ht="15.75" thickBot="1">
      <c r="A425" s="125" t="s">
        <v>1905</v>
      </c>
      <c r="B425" s="125" t="s">
        <v>1093</v>
      </c>
      <c r="C425" s="129">
        <v>3181</v>
      </c>
      <c r="D425" s="125" t="str">
        <f t="shared" si="7"/>
        <v>3</v>
      </c>
      <c r="E425" s="125" t="s">
        <v>206</v>
      </c>
      <c r="F425" s="125" t="s">
        <v>205</v>
      </c>
      <c r="G425" s="125" t="s">
        <v>1757</v>
      </c>
      <c r="H425" s="125" t="s">
        <v>1758</v>
      </c>
      <c r="I425" s="128"/>
      <c r="J425" s="126">
        <v>6300</v>
      </c>
      <c r="K425" s="127" t="s">
        <v>1275</v>
      </c>
      <c r="L425" s="126">
        <v>6300</v>
      </c>
      <c r="M425" s="126">
        <v>0</v>
      </c>
      <c r="N425" s="126">
        <v>0</v>
      </c>
      <c r="O425" s="126">
        <v>0</v>
      </c>
      <c r="P425" s="126">
        <v>4532.62</v>
      </c>
      <c r="Q425" s="126">
        <v>0</v>
      </c>
      <c r="R425" s="126">
        <v>4532.62</v>
      </c>
      <c r="S425" s="126">
        <v>1767.38</v>
      </c>
    </row>
    <row r="426" spans="1:19" ht="15.75" customHeight="1" thickBot="1">
      <c r="A426" s="125" t="s">
        <v>1273</v>
      </c>
      <c r="B426" s="125" t="s">
        <v>1093</v>
      </c>
      <c r="C426" s="129">
        <v>3181</v>
      </c>
      <c r="D426" s="125" t="str">
        <f t="shared" si="7"/>
        <v>3</v>
      </c>
      <c r="E426" s="125" t="s">
        <v>206</v>
      </c>
      <c r="F426" s="125" t="s">
        <v>205</v>
      </c>
      <c r="G426" s="125" t="s">
        <v>1759</v>
      </c>
      <c r="H426" s="125" t="s">
        <v>1760</v>
      </c>
      <c r="I426" s="128"/>
      <c r="J426" s="126">
        <v>138000</v>
      </c>
      <c r="K426" s="127" t="s">
        <v>1275</v>
      </c>
      <c r="L426" s="126">
        <v>138000</v>
      </c>
      <c r="M426" s="126">
        <v>0</v>
      </c>
      <c r="N426" s="126">
        <v>0</v>
      </c>
      <c r="O426" s="126">
        <v>0</v>
      </c>
      <c r="P426" s="126">
        <v>103134.5</v>
      </c>
      <c r="Q426" s="126">
        <v>0</v>
      </c>
      <c r="R426" s="126">
        <v>103134.5</v>
      </c>
      <c r="S426" s="126">
        <v>12084.17</v>
      </c>
    </row>
    <row r="427" spans="1:19" ht="15.75" thickBot="1">
      <c r="A427" s="125" t="s">
        <v>1905</v>
      </c>
      <c r="B427" s="125" t="s">
        <v>1093</v>
      </c>
      <c r="C427" s="129">
        <v>3181</v>
      </c>
      <c r="D427" s="125" t="str">
        <f t="shared" si="7"/>
        <v>3</v>
      </c>
      <c r="E427" s="125" t="s">
        <v>206</v>
      </c>
      <c r="F427" s="125" t="s">
        <v>205</v>
      </c>
      <c r="G427" s="125" t="s">
        <v>1759</v>
      </c>
      <c r="H427" s="125" t="s">
        <v>1760</v>
      </c>
      <c r="I427" s="128"/>
      <c r="J427" s="126">
        <v>118505</v>
      </c>
      <c r="K427" s="127" t="s">
        <v>1275</v>
      </c>
      <c r="L427" s="126">
        <v>118505</v>
      </c>
      <c r="M427" s="126">
        <v>0</v>
      </c>
      <c r="N427" s="126">
        <v>0</v>
      </c>
      <c r="O427" s="126">
        <v>0</v>
      </c>
      <c r="P427" s="126">
        <v>106026.93</v>
      </c>
      <c r="Q427" s="126">
        <v>0</v>
      </c>
      <c r="R427" s="126">
        <v>106026.93</v>
      </c>
      <c r="S427" s="126">
        <v>939.07</v>
      </c>
    </row>
    <row r="428" spans="1:19" ht="15.75" customHeight="1" thickBot="1">
      <c r="A428" s="125" t="s">
        <v>1273</v>
      </c>
      <c r="B428" s="125" t="s">
        <v>1093</v>
      </c>
      <c r="C428" s="129">
        <v>3181</v>
      </c>
      <c r="D428" s="125" t="str">
        <f t="shared" si="7"/>
        <v>3</v>
      </c>
      <c r="E428" s="125" t="s">
        <v>206</v>
      </c>
      <c r="F428" s="125" t="s">
        <v>205</v>
      </c>
      <c r="G428" s="125" t="s">
        <v>1761</v>
      </c>
      <c r="H428" s="125" t="s">
        <v>1762</v>
      </c>
      <c r="I428" s="128"/>
      <c r="J428" s="126">
        <v>33000</v>
      </c>
      <c r="K428" s="127" t="s">
        <v>1275</v>
      </c>
      <c r="L428" s="126">
        <v>33000</v>
      </c>
      <c r="M428" s="126">
        <v>0</v>
      </c>
      <c r="N428" s="126">
        <v>0</v>
      </c>
      <c r="O428" s="126">
        <v>0</v>
      </c>
      <c r="P428" s="126">
        <v>29348.799999999999</v>
      </c>
      <c r="Q428" s="126">
        <v>0</v>
      </c>
      <c r="R428" s="126">
        <v>29348.799999999999</v>
      </c>
      <c r="S428" s="126">
        <v>0</v>
      </c>
    </row>
    <row r="429" spans="1:19" ht="15.75" thickBot="1">
      <c r="A429" s="125" t="s">
        <v>1905</v>
      </c>
      <c r="B429" s="125" t="s">
        <v>1093</v>
      </c>
      <c r="C429" s="129">
        <v>3181</v>
      </c>
      <c r="D429" s="125" t="str">
        <f t="shared" si="7"/>
        <v>3</v>
      </c>
      <c r="E429" s="125" t="s">
        <v>206</v>
      </c>
      <c r="F429" s="125" t="s">
        <v>205</v>
      </c>
      <c r="G429" s="125" t="s">
        <v>1761</v>
      </c>
      <c r="H429" s="125" t="s">
        <v>1762</v>
      </c>
      <c r="I429" s="128"/>
      <c r="J429" s="126">
        <v>30000</v>
      </c>
      <c r="K429" s="127" t="s">
        <v>1275</v>
      </c>
      <c r="L429" s="126">
        <v>30000</v>
      </c>
      <c r="M429" s="126">
        <v>0</v>
      </c>
      <c r="N429" s="126">
        <v>0</v>
      </c>
      <c r="O429" s="126">
        <v>0</v>
      </c>
      <c r="P429" s="126">
        <v>28973.31</v>
      </c>
      <c r="Q429" s="126">
        <v>0</v>
      </c>
      <c r="R429" s="126">
        <v>28973.31</v>
      </c>
      <c r="S429" s="126">
        <v>1026.69</v>
      </c>
    </row>
    <row r="430" spans="1:19" ht="15.75" customHeight="1" thickBot="1">
      <c r="A430" s="125" t="s">
        <v>1273</v>
      </c>
      <c r="B430" s="125" t="s">
        <v>1730</v>
      </c>
      <c r="C430" s="125" t="s">
        <v>1731</v>
      </c>
      <c r="D430" s="125" t="str">
        <f t="shared" si="7"/>
        <v>3</v>
      </c>
      <c r="E430" s="125" t="s">
        <v>206</v>
      </c>
      <c r="F430" s="125" t="s">
        <v>205</v>
      </c>
      <c r="G430" s="125" t="s">
        <v>1732</v>
      </c>
      <c r="H430" s="125" t="s">
        <v>1733</v>
      </c>
      <c r="I430" s="125" t="s">
        <v>1734</v>
      </c>
      <c r="J430" s="126">
        <v>11408.1</v>
      </c>
      <c r="K430" s="126">
        <v>1408.1</v>
      </c>
      <c r="L430" s="126">
        <v>10000</v>
      </c>
      <c r="M430" s="126">
        <v>0</v>
      </c>
      <c r="N430" s="126">
        <v>0</v>
      </c>
      <c r="O430" s="126">
        <v>0</v>
      </c>
      <c r="P430" s="126">
        <v>5305.39</v>
      </c>
      <c r="Q430" s="126">
        <v>0</v>
      </c>
      <c r="R430" s="126">
        <v>5305.39</v>
      </c>
      <c r="S430" s="126">
        <v>5402.71</v>
      </c>
    </row>
    <row r="431" spans="1:19" ht="15.75" thickBot="1">
      <c r="A431" s="125" t="s">
        <v>1905</v>
      </c>
      <c r="B431" s="125" t="s">
        <v>1730</v>
      </c>
      <c r="C431" s="125" t="s">
        <v>1731</v>
      </c>
      <c r="D431" s="125" t="str">
        <f t="shared" si="7"/>
        <v>3</v>
      </c>
      <c r="E431" s="125" t="s">
        <v>206</v>
      </c>
      <c r="F431" s="125" t="s">
        <v>205</v>
      </c>
      <c r="G431" s="125" t="s">
        <v>1732</v>
      </c>
      <c r="H431" s="125" t="s">
        <v>1733</v>
      </c>
      <c r="I431" s="125" t="s">
        <v>1734</v>
      </c>
      <c r="J431" s="126">
        <v>5000</v>
      </c>
      <c r="K431" s="127" t="s">
        <v>1275</v>
      </c>
      <c r="L431" s="126">
        <v>5000</v>
      </c>
      <c r="M431" s="126">
        <v>0</v>
      </c>
      <c r="N431" s="126">
        <v>0</v>
      </c>
      <c r="O431" s="126">
        <v>0</v>
      </c>
      <c r="P431" s="126">
        <v>1345.87</v>
      </c>
      <c r="Q431" s="126">
        <v>0</v>
      </c>
      <c r="R431" s="126">
        <v>1345.87</v>
      </c>
      <c r="S431" s="126">
        <v>3654.13</v>
      </c>
    </row>
    <row r="432" spans="1:19" ht="15.75" customHeight="1" thickBot="1">
      <c r="A432" s="125" t="s">
        <v>1273</v>
      </c>
      <c r="B432" s="125" t="s">
        <v>1097</v>
      </c>
      <c r="C432" s="125" t="s">
        <v>1096</v>
      </c>
      <c r="D432" s="125" t="str">
        <f t="shared" si="7"/>
        <v>3</v>
      </c>
      <c r="E432" s="125" t="s">
        <v>206</v>
      </c>
      <c r="F432" s="125" t="s">
        <v>205</v>
      </c>
      <c r="G432" s="125" t="s">
        <v>1097</v>
      </c>
      <c r="H432" s="125" t="s">
        <v>1095</v>
      </c>
      <c r="I432" s="125" t="s">
        <v>1816</v>
      </c>
      <c r="J432" s="126">
        <v>356118</v>
      </c>
      <c r="K432" s="126">
        <v>21</v>
      </c>
      <c r="L432" s="126">
        <v>356097</v>
      </c>
      <c r="M432" s="126">
        <v>333780.44</v>
      </c>
      <c r="N432" s="126">
        <v>0</v>
      </c>
      <c r="O432" s="126">
        <v>0</v>
      </c>
      <c r="P432" s="126">
        <v>17594.849999999999</v>
      </c>
      <c r="Q432" s="126">
        <v>3663.74</v>
      </c>
      <c r="R432" s="126">
        <v>355039.03</v>
      </c>
      <c r="S432" s="126">
        <v>280.02999999999997</v>
      </c>
    </row>
    <row r="433" spans="1:19" ht="15.75" thickBot="1">
      <c r="A433" s="125" t="s">
        <v>1905</v>
      </c>
      <c r="B433" s="125" t="s">
        <v>1097</v>
      </c>
      <c r="C433" s="125" t="s">
        <v>1096</v>
      </c>
      <c r="D433" s="125" t="str">
        <f t="shared" si="7"/>
        <v>3</v>
      </c>
      <c r="E433" s="125" t="s">
        <v>206</v>
      </c>
      <c r="F433" s="125" t="s">
        <v>205</v>
      </c>
      <c r="G433" s="125" t="s">
        <v>1097</v>
      </c>
      <c r="H433" s="125" t="s">
        <v>1095</v>
      </c>
      <c r="I433" s="125" t="s">
        <v>1816</v>
      </c>
      <c r="J433" s="126">
        <v>456900.74</v>
      </c>
      <c r="K433" s="126">
        <v>3663.74</v>
      </c>
      <c r="L433" s="126">
        <v>453237</v>
      </c>
      <c r="M433" s="126">
        <v>228429.7</v>
      </c>
      <c r="N433" s="126">
        <v>0</v>
      </c>
      <c r="O433" s="126">
        <v>0</v>
      </c>
      <c r="P433" s="126">
        <v>8641.44</v>
      </c>
      <c r="Q433" s="126">
        <v>1169.8499999999999</v>
      </c>
      <c r="R433" s="126">
        <v>238240.99</v>
      </c>
      <c r="S433" s="126">
        <v>195020.75</v>
      </c>
    </row>
    <row r="434" spans="1:19" ht="15.75" customHeight="1" thickBot="1">
      <c r="A434" s="125" t="s">
        <v>1273</v>
      </c>
      <c r="B434" s="125" t="s">
        <v>1737</v>
      </c>
      <c r="C434" s="125" t="s">
        <v>1738</v>
      </c>
      <c r="D434" s="125" t="str">
        <f t="shared" si="7"/>
        <v>3</v>
      </c>
      <c r="E434" s="125" t="s">
        <v>206</v>
      </c>
      <c r="F434" s="125" t="s">
        <v>205</v>
      </c>
      <c r="G434" s="125" t="s">
        <v>240</v>
      </c>
      <c r="H434" s="125" t="s">
        <v>1739</v>
      </c>
      <c r="I434" s="125" t="s">
        <v>1735</v>
      </c>
      <c r="J434" s="126">
        <v>65540.7</v>
      </c>
      <c r="K434" s="126">
        <v>990.7</v>
      </c>
      <c r="L434" s="126">
        <v>64550</v>
      </c>
      <c r="M434" s="126">
        <v>0</v>
      </c>
      <c r="N434" s="126">
        <v>17649.18</v>
      </c>
      <c r="O434" s="126">
        <v>0</v>
      </c>
      <c r="P434" s="126">
        <v>7355.88</v>
      </c>
      <c r="Q434" s="126">
        <v>37.99</v>
      </c>
      <c r="R434" s="126">
        <v>25043.05</v>
      </c>
      <c r="S434" s="126">
        <v>36600.65</v>
      </c>
    </row>
    <row r="435" spans="1:19" ht="15.75" thickBot="1">
      <c r="A435" s="125" t="s">
        <v>1905</v>
      </c>
      <c r="B435" s="125" t="s">
        <v>1737</v>
      </c>
      <c r="C435" s="125" t="s">
        <v>1738</v>
      </c>
      <c r="D435" s="125" t="str">
        <f t="shared" si="7"/>
        <v>3</v>
      </c>
      <c r="E435" s="125" t="s">
        <v>206</v>
      </c>
      <c r="F435" s="125" t="s">
        <v>205</v>
      </c>
      <c r="G435" s="125" t="s">
        <v>240</v>
      </c>
      <c r="H435" s="125" t="s">
        <v>1739</v>
      </c>
      <c r="I435" s="125" t="s">
        <v>1735</v>
      </c>
      <c r="J435" s="126">
        <v>55727.99</v>
      </c>
      <c r="K435" s="126">
        <v>37.99</v>
      </c>
      <c r="L435" s="126">
        <v>55690</v>
      </c>
      <c r="M435" s="126">
        <v>0</v>
      </c>
      <c r="N435" s="126">
        <v>5022.47</v>
      </c>
      <c r="O435" s="126">
        <v>0</v>
      </c>
      <c r="P435" s="126">
        <v>6442.02</v>
      </c>
      <c r="Q435" s="126">
        <v>4082.72</v>
      </c>
      <c r="R435" s="126">
        <v>15547.21</v>
      </c>
      <c r="S435" s="126">
        <v>37680.78</v>
      </c>
    </row>
    <row r="436" spans="1:19" ht="15.75" customHeight="1" thickBot="1">
      <c r="A436" s="125" t="s">
        <v>1273</v>
      </c>
      <c r="B436" s="125" t="s">
        <v>1736</v>
      </c>
      <c r="C436" s="125" t="s">
        <v>1111</v>
      </c>
      <c r="D436" s="125" t="str">
        <f t="shared" si="7"/>
        <v>3</v>
      </c>
      <c r="E436" s="125" t="s">
        <v>206</v>
      </c>
      <c r="F436" s="125" t="s">
        <v>205</v>
      </c>
      <c r="G436" s="125" t="s">
        <v>232</v>
      </c>
      <c r="H436" s="125" t="s">
        <v>1110</v>
      </c>
      <c r="I436" s="125" t="s">
        <v>1734</v>
      </c>
      <c r="J436" s="126">
        <v>167234.6</v>
      </c>
      <c r="K436" s="126">
        <v>121.6</v>
      </c>
      <c r="L436" s="126">
        <v>167113</v>
      </c>
      <c r="M436" s="126">
        <v>87974.26</v>
      </c>
      <c r="N436" s="126">
        <v>46765.1</v>
      </c>
      <c r="O436" s="126">
        <v>0</v>
      </c>
      <c r="P436" s="126">
        <v>17543.79</v>
      </c>
      <c r="Q436" s="126">
        <v>2953.77</v>
      </c>
      <c r="R436" s="126">
        <v>155236.92000000001</v>
      </c>
      <c r="S436" s="126">
        <v>12219.47</v>
      </c>
    </row>
    <row r="437" spans="1:19" ht="15.75" thickBot="1">
      <c r="A437" s="125" t="s">
        <v>1905</v>
      </c>
      <c r="B437" s="125" t="s">
        <v>1736</v>
      </c>
      <c r="C437" s="125" t="s">
        <v>1111</v>
      </c>
      <c r="D437" s="125" t="str">
        <f t="shared" si="7"/>
        <v>3</v>
      </c>
      <c r="E437" s="125" t="s">
        <v>206</v>
      </c>
      <c r="F437" s="125" t="s">
        <v>205</v>
      </c>
      <c r="G437" s="125" t="s">
        <v>232</v>
      </c>
      <c r="H437" s="125" t="s">
        <v>1110</v>
      </c>
      <c r="I437" s="125" t="s">
        <v>1734</v>
      </c>
      <c r="J437" s="126">
        <v>152932.76999999999</v>
      </c>
      <c r="K437" s="126">
        <v>2953.77</v>
      </c>
      <c r="L437" s="126">
        <v>149979</v>
      </c>
      <c r="M437" s="126">
        <v>51951.93</v>
      </c>
      <c r="N437" s="126">
        <v>36012.300000000003</v>
      </c>
      <c r="O437" s="126">
        <v>0</v>
      </c>
      <c r="P437" s="126">
        <v>29647.25</v>
      </c>
      <c r="Q437" s="126">
        <v>5907.11</v>
      </c>
      <c r="R437" s="126">
        <v>123518.59</v>
      </c>
      <c r="S437" s="126">
        <v>36283.18</v>
      </c>
    </row>
    <row r="438" spans="1:19" ht="15.75" customHeight="1" thickBot="1">
      <c r="A438" s="125" t="s">
        <v>1273</v>
      </c>
      <c r="B438" s="125" t="s">
        <v>1896</v>
      </c>
      <c r="C438" s="125" t="s">
        <v>1008</v>
      </c>
      <c r="D438" s="125" t="str">
        <f t="shared" si="7"/>
        <v>6</v>
      </c>
      <c r="E438" s="125" t="s">
        <v>206</v>
      </c>
      <c r="F438" s="125" t="s">
        <v>205</v>
      </c>
      <c r="G438" s="125" t="s">
        <v>1117</v>
      </c>
      <c r="H438" s="125" t="s">
        <v>1116</v>
      </c>
      <c r="I438" s="125" t="s">
        <v>1898</v>
      </c>
      <c r="J438" s="126">
        <v>50000</v>
      </c>
      <c r="K438" s="127" t="s">
        <v>1275</v>
      </c>
      <c r="L438" s="126">
        <v>50000</v>
      </c>
      <c r="M438" s="126">
        <v>0</v>
      </c>
      <c r="N438" s="126">
        <v>0</v>
      </c>
      <c r="O438" s="126">
        <v>0</v>
      </c>
      <c r="P438" s="126">
        <v>50000</v>
      </c>
      <c r="Q438" s="126">
        <v>0</v>
      </c>
      <c r="R438" s="126">
        <v>50000</v>
      </c>
      <c r="S438" s="126">
        <v>0</v>
      </c>
    </row>
    <row r="439" spans="1:19" ht="15.75" thickBot="1">
      <c r="A439" s="125" t="s">
        <v>1905</v>
      </c>
      <c r="B439" s="125" t="s">
        <v>1896</v>
      </c>
      <c r="C439" s="125" t="s">
        <v>1008</v>
      </c>
      <c r="D439" s="125" t="str">
        <f t="shared" si="7"/>
        <v>6</v>
      </c>
      <c r="E439" s="125" t="s">
        <v>206</v>
      </c>
      <c r="F439" s="125" t="s">
        <v>205</v>
      </c>
      <c r="G439" s="125" t="s">
        <v>1117</v>
      </c>
      <c r="H439" s="125" t="s">
        <v>1116</v>
      </c>
      <c r="I439" s="125" t="s">
        <v>1898</v>
      </c>
      <c r="J439" s="126">
        <v>50000</v>
      </c>
      <c r="K439" s="127" t="s">
        <v>1275</v>
      </c>
      <c r="L439" s="126">
        <v>50000</v>
      </c>
      <c r="M439" s="126">
        <v>12989.28</v>
      </c>
      <c r="N439" s="126">
        <v>0</v>
      </c>
      <c r="O439" s="126">
        <v>0</v>
      </c>
      <c r="P439" s="126">
        <v>12500</v>
      </c>
      <c r="Q439" s="126">
        <v>0</v>
      </c>
      <c r="R439" s="126">
        <v>25489.279999999999</v>
      </c>
      <c r="S439" s="126">
        <v>28153.72</v>
      </c>
    </row>
    <row r="440" spans="1:19" ht="15.75" customHeight="1" thickBot="1">
      <c r="A440" s="125" t="s">
        <v>1273</v>
      </c>
      <c r="B440" s="125" t="s">
        <v>1896</v>
      </c>
      <c r="C440" s="125" t="s">
        <v>1008</v>
      </c>
      <c r="D440" s="125" t="str">
        <f t="shared" si="7"/>
        <v>6</v>
      </c>
      <c r="E440" s="125" t="s">
        <v>206</v>
      </c>
      <c r="F440" s="125" t="s">
        <v>205</v>
      </c>
      <c r="G440" s="125" t="s">
        <v>44</v>
      </c>
      <c r="H440" s="125" t="s">
        <v>1899</v>
      </c>
      <c r="I440" s="125" t="s">
        <v>1898</v>
      </c>
      <c r="J440" s="126">
        <v>220029.44</v>
      </c>
      <c r="K440" s="126">
        <v>91.44</v>
      </c>
      <c r="L440" s="126">
        <v>219938</v>
      </c>
      <c r="M440" s="126">
        <v>199598.7</v>
      </c>
      <c r="N440" s="126">
        <v>0</v>
      </c>
      <c r="O440" s="126">
        <v>1728.75</v>
      </c>
      <c r="P440" s="126">
        <v>11458.3</v>
      </c>
      <c r="Q440" s="126">
        <v>872.34</v>
      </c>
      <c r="R440" s="126">
        <v>213658.09</v>
      </c>
      <c r="S440" s="126">
        <v>6631.18</v>
      </c>
    </row>
    <row r="441" spans="1:19" ht="15.75" thickBot="1">
      <c r="A441" s="125" t="s">
        <v>1905</v>
      </c>
      <c r="B441" s="125" t="s">
        <v>1896</v>
      </c>
      <c r="C441" s="125" t="s">
        <v>1008</v>
      </c>
      <c r="D441" s="125" t="str">
        <f t="shared" si="7"/>
        <v>6</v>
      </c>
      <c r="E441" s="125" t="s">
        <v>206</v>
      </c>
      <c r="F441" s="125" t="s">
        <v>205</v>
      </c>
      <c r="G441" s="125" t="s">
        <v>44</v>
      </c>
      <c r="H441" s="125" t="s">
        <v>1899</v>
      </c>
      <c r="I441" s="125" t="s">
        <v>1898</v>
      </c>
      <c r="J441" s="126">
        <v>385764.34</v>
      </c>
      <c r="K441" s="126">
        <v>872.34</v>
      </c>
      <c r="L441" s="126">
        <v>384892</v>
      </c>
      <c r="M441" s="126">
        <v>0</v>
      </c>
      <c r="N441" s="126">
        <v>0</v>
      </c>
      <c r="O441" s="126">
        <v>0</v>
      </c>
      <c r="P441" s="126">
        <v>919.29</v>
      </c>
      <c r="Q441" s="126">
        <v>140.43</v>
      </c>
      <c r="R441" s="126">
        <v>1059.72</v>
      </c>
      <c r="S441" s="126">
        <v>-187.38</v>
      </c>
    </row>
    <row r="442" spans="1:19" ht="15.75" customHeight="1" thickBot="1">
      <c r="A442" s="125" t="s">
        <v>1273</v>
      </c>
      <c r="B442" s="125" t="s">
        <v>39</v>
      </c>
      <c r="C442" s="125" t="s">
        <v>326</v>
      </c>
      <c r="D442" s="125" t="str">
        <f t="shared" si="7"/>
        <v>1</v>
      </c>
      <c r="E442" s="125" t="s">
        <v>206</v>
      </c>
      <c r="F442" s="125" t="s">
        <v>205</v>
      </c>
      <c r="G442" s="125" t="s">
        <v>1279</v>
      </c>
      <c r="H442" s="125" t="s">
        <v>1280</v>
      </c>
      <c r="I442" s="125" t="s">
        <v>1276</v>
      </c>
      <c r="J442" s="126">
        <v>12325.55</v>
      </c>
      <c r="K442" s="126">
        <v>325.55</v>
      </c>
      <c r="L442" s="126">
        <v>12000</v>
      </c>
      <c r="M442" s="126">
        <v>75</v>
      </c>
      <c r="N442" s="126">
        <v>0</v>
      </c>
      <c r="O442" s="126">
        <v>0</v>
      </c>
      <c r="P442" s="126">
        <v>16679.29</v>
      </c>
      <c r="Q442" s="126">
        <v>0</v>
      </c>
      <c r="R442" s="126">
        <v>16754.29</v>
      </c>
      <c r="S442" s="126">
        <v>831.26</v>
      </c>
    </row>
    <row r="443" spans="1:19" ht="15.75" thickBot="1">
      <c r="A443" s="125" t="s">
        <v>1905</v>
      </c>
      <c r="B443" s="125" t="s">
        <v>39</v>
      </c>
      <c r="C443" s="125" t="s">
        <v>326</v>
      </c>
      <c r="D443" s="125" t="str">
        <f t="shared" si="7"/>
        <v>1</v>
      </c>
      <c r="E443" s="125" t="s">
        <v>206</v>
      </c>
      <c r="F443" s="125" t="s">
        <v>205</v>
      </c>
      <c r="G443" s="125" t="s">
        <v>1279</v>
      </c>
      <c r="H443" s="125" t="s">
        <v>1280</v>
      </c>
      <c r="I443" s="125" t="s">
        <v>1276</v>
      </c>
      <c r="J443" s="126">
        <v>12000</v>
      </c>
      <c r="K443" s="127" t="s">
        <v>1275</v>
      </c>
      <c r="L443" s="126">
        <v>12000</v>
      </c>
      <c r="M443" s="126">
        <v>0</v>
      </c>
      <c r="N443" s="126">
        <v>0</v>
      </c>
      <c r="O443" s="126">
        <v>0</v>
      </c>
      <c r="P443" s="126">
        <v>75.87</v>
      </c>
      <c r="Q443" s="126">
        <v>0</v>
      </c>
      <c r="R443" s="126">
        <v>75.87</v>
      </c>
      <c r="S443" s="126">
        <v>11924.13</v>
      </c>
    </row>
    <row r="444" spans="1:19" ht="15.75" customHeight="1" thickBot="1">
      <c r="A444" s="125" t="s">
        <v>1273</v>
      </c>
      <c r="B444" s="125" t="s">
        <v>1687</v>
      </c>
      <c r="C444" s="125" t="s">
        <v>1121</v>
      </c>
      <c r="D444" s="125" t="str">
        <f t="shared" si="7"/>
        <v>3</v>
      </c>
      <c r="E444" s="125" t="s">
        <v>206</v>
      </c>
      <c r="F444" s="125" t="s">
        <v>205</v>
      </c>
      <c r="G444" s="125" t="s">
        <v>1688</v>
      </c>
      <c r="H444" s="125" t="s">
        <v>1689</v>
      </c>
      <c r="I444" s="125" t="s">
        <v>1690</v>
      </c>
      <c r="J444" s="126">
        <v>10500</v>
      </c>
      <c r="K444" s="127" t="s">
        <v>1275</v>
      </c>
      <c r="L444" s="126">
        <v>10500</v>
      </c>
      <c r="M444" s="126">
        <v>0</v>
      </c>
      <c r="N444" s="126">
        <v>0</v>
      </c>
      <c r="O444" s="126">
        <v>0</v>
      </c>
      <c r="P444" s="126">
        <v>9465.6200000000008</v>
      </c>
      <c r="Q444" s="126">
        <v>0</v>
      </c>
      <c r="R444" s="126">
        <v>9465.6200000000008</v>
      </c>
      <c r="S444" s="126">
        <v>299.38</v>
      </c>
    </row>
    <row r="445" spans="1:19" ht="15.75" thickBot="1">
      <c r="A445" s="125" t="s">
        <v>1905</v>
      </c>
      <c r="B445" s="125" t="s">
        <v>1687</v>
      </c>
      <c r="C445" s="125" t="s">
        <v>1121</v>
      </c>
      <c r="D445" s="125" t="str">
        <f t="shared" si="7"/>
        <v>3</v>
      </c>
      <c r="E445" s="125" t="s">
        <v>206</v>
      </c>
      <c r="F445" s="125" t="s">
        <v>205</v>
      </c>
      <c r="G445" s="125" t="s">
        <v>1688</v>
      </c>
      <c r="H445" s="125" t="s">
        <v>1689</v>
      </c>
      <c r="I445" s="125" t="s">
        <v>1690</v>
      </c>
      <c r="J445" s="126">
        <v>5250</v>
      </c>
      <c r="K445" s="127" t="s">
        <v>1275</v>
      </c>
      <c r="L445" s="126">
        <v>5250</v>
      </c>
      <c r="M445" s="126">
        <v>0</v>
      </c>
      <c r="N445" s="126">
        <v>0</v>
      </c>
      <c r="O445" s="126">
        <v>0</v>
      </c>
      <c r="P445" s="126">
        <v>5212.5200000000004</v>
      </c>
      <c r="Q445" s="126">
        <v>0</v>
      </c>
      <c r="R445" s="126">
        <v>5212.5200000000004</v>
      </c>
      <c r="S445" s="126">
        <v>2537.48</v>
      </c>
    </row>
    <row r="446" spans="1:19" ht="15.75" customHeight="1" thickBot="1">
      <c r="A446" s="125" t="s">
        <v>1273</v>
      </c>
      <c r="B446" s="125" t="s">
        <v>1687</v>
      </c>
      <c r="C446" s="125" t="s">
        <v>1121</v>
      </c>
      <c r="D446" s="125" t="str">
        <f t="shared" si="7"/>
        <v>3</v>
      </c>
      <c r="E446" s="125" t="s">
        <v>206</v>
      </c>
      <c r="F446" s="125" t="s">
        <v>205</v>
      </c>
      <c r="G446" s="125" t="s">
        <v>1122</v>
      </c>
      <c r="H446" s="125" t="s">
        <v>1120</v>
      </c>
      <c r="I446" s="125" t="s">
        <v>1690</v>
      </c>
      <c r="J446" s="126">
        <v>107418</v>
      </c>
      <c r="K446" s="127" t="s">
        <v>1275</v>
      </c>
      <c r="L446" s="126">
        <v>107418</v>
      </c>
      <c r="M446" s="126">
        <v>95557.96</v>
      </c>
      <c r="N446" s="126">
        <v>0</v>
      </c>
      <c r="O446" s="126">
        <v>900</v>
      </c>
      <c r="P446" s="126">
        <v>3101.62</v>
      </c>
      <c r="Q446" s="126">
        <v>0</v>
      </c>
      <c r="R446" s="126">
        <v>99559.58</v>
      </c>
      <c r="S446" s="126">
        <v>8378.42</v>
      </c>
    </row>
    <row r="447" spans="1:19" ht="15.75" thickBot="1">
      <c r="A447" s="125" t="s">
        <v>1905</v>
      </c>
      <c r="B447" s="125" t="s">
        <v>1687</v>
      </c>
      <c r="C447" s="125" t="s">
        <v>1121</v>
      </c>
      <c r="D447" s="125" t="str">
        <f t="shared" si="7"/>
        <v>3</v>
      </c>
      <c r="E447" s="125" t="s">
        <v>206</v>
      </c>
      <c r="F447" s="125" t="s">
        <v>205</v>
      </c>
      <c r="G447" s="125" t="s">
        <v>1122</v>
      </c>
      <c r="H447" s="125" t="s">
        <v>1120</v>
      </c>
      <c r="I447" s="125" t="s">
        <v>1690</v>
      </c>
      <c r="J447" s="126">
        <v>104498</v>
      </c>
      <c r="K447" s="127" t="s">
        <v>1275</v>
      </c>
      <c r="L447" s="126">
        <v>104498</v>
      </c>
      <c r="M447" s="126">
        <v>54046.06</v>
      </c>
      <c r="N447" s="126">
        <v>0</v>
      </c>
      <c r="O447" s="126">
        <v>525</v>
      </c>
      <c r="P447" s="126">
        <v>1718.58</v>
      </c>
      <c r="Q447" s="126">
        <v>4.83</v>
      </c>
      <c r="R447" s="126">
        <v>56294.47</v>
      </c>
      <c r="S447" s="126">
        <v>41953.53</v>
      </c>
    </row>
    <row r="448" spans="1:19" ht="15.75" customHeight="1" thickBot="1">
      <c r="A448" s="125" t="s">
        <v>1273</v>
      </c>
      <c r="B448" s="125" t="s">
        <v>1127</v>
      </c>
      <c r="C448" s="125" t="s">
        <v>1126</v>
      </c>
      <c r="D448" s="125" t="str">
        <f t="shared" si="7"/>
        <v>3</v>
      </c>
      <c r="E448" s="125" t="s">
        <v>206</v>
      </c>
      <c r="F448" s="125" t="s">
        <v>205</v>
      </c>
      <c r="G448" s="125" t="s">
        <v>1127</v>
      </c>
      <c r="H448" s="125" t="s">
        <v>1125</v>
      </c>
      <c r="I448" s="125" t="s">
        <v>1740</v>
      </c>
      <c r="J448" s="126">
        <v>120613.49</v>
      </c>
      <c r="K448" s="126">
        <v>6114.49</v>
      </c>
      <c r="L448" s="126">
        <v>114499</v>
      </c>
      <c r="M448" s="126">
        <v>66912.67</v>
      </c>
      <c r="N448" s="126">
        <v>27782.85</v>
      </c>
      <c r="O448" s="126">
        <v>401.8</v>
      </c>
      <c r="P448" s="126">
        <v>12044.04</v>
      </c>
      <c r="Q448" s="126">
        <v>992.55</v>
      </c>
      <c r="R448" s="126">
        <v>108133.91</v>
      </c>
      <c r="S448" s="126">
        <v>3610.8</v>
      </c>
    </row>
    <row r="449" spans="1:19" ht="15.75" thickBot="1">
      <c r="A449" s="125" t="s">
        <v>1905</v>
      </c>
      <c r="B449" s="125" t="s">
        <v>1127</v>
      </c>
      <c r="C449" s="125" t="s">
        <v>1126</v>
      </c>
      <c r="D449" s="125" t="str">
        <f t="shared" si="7"/>
        <v>3</v>
      </c>
      <c r="E449" s="125" t="s">
        <v>206</v>
      </c>
      <c r="F449" s="125" t="s">
        <v>205</v>
      </c>
      <c r="G449" s="125" t="s">
        <v>1127</v>
      </c>
      <c r="H449" s="125" t="s">
        <v>1125</v>
      </c>
      <c r="I449" s="125" t="s">
        <v>1740</v>
      </c>
      <c r="J449" s="126">
        <v>83156.55</v>
      </c>
      <c r="K449" s="126">
        <v>992.55</v>
      </c>
      <c r="L449" s="126">
        <v>82164</v>
      </c>
      <c r="M449" s="126">
        <v>39660.620000000003</v>
      </c>
      <c r="N449" s="126">
        <v>5613.91</v>
      </c>
      <c r="O449" s="126">
        <v>245</v>
      </c>
      <c r="P449" s="126">
        <v>10098.93</v>
      </c>
      <c r="Q449" s="126">
        <v>243.7</v>
      </c>
      <c r="R449" s="126">
        <v>55862.16</v>
      </c>
      <c r="S449" s="126">
        <v>37394.39</v>
      </c>
    </row>
    <row r="450" spans="1:19" ht="15.75" customHeight="1" thickBot="1">
      <c r="A450" s="125" t="s">
        <v>1273</v>
      </c>
      <c r="B450" s="125" t="s">
        <v>1131</v>
      </c>
      <c r="C450" s="125" t="s">
        <v>1130</v>
      </c>
      <c r="D450" s="125" t="str">
        <f t="shared" si="7"/>
        <v>2</v>
      </c>
      <c r="E450" s="125" t="s">
        <v>206</v>
      </c>
      <c r="F450" s="125" t="s">
        <v>205</v>
      </c>
      <c r="G450" s="125" t="s">
        <v>1131</v>
      </c>
      <c r="H450" s="125" t="s">
        <v>1129</v>
      </c>
      <c r="I450" s="125" t="s">
        <v>1344</v>
      </c>
      <c r="J450" s="126">
        <v>100613.45</v>
      </c>
      <c r="K450" s="126">
        <v>613.45000000000005</v>
      </c>
      <c r="L450" s="126">
        <v>100000</v>
      </c>
      <c r="M450" s="126">
        <v>49926.48</v>
      </c>
      <c r="N450" s="126">
        <v>2625.76</v>
      </c>
      <c r="O450" s="126">
        <v>3750</v>
      </c>
      <c r="P450" s="126">
        <v>12424.99</v>
      </c>
      <c r="Q450" s="126">
        <v>200</v>
      </c>
      <c r="R450" s="126">
        <v>68927.23</v>
      </c>
      <c r="S450" s="126">
        <v>24686.22</v>
      </c>
    </row>
    <row r="451" spans="1:19" ht="15.75" thickBot="1">
      <c r="A451" s="125" t="s">
        <v>1905</v>
      </c>
      <c r="B451" s="125" t="s">
        <v>1131</v>
      </c>
      <c r="C451" s="125" t="s">
        <v>1130</v>
      </c>
      <c r="D451" s="125" t="str">
        <f t="shared" si="7"/>
        <v>2</v>
      </c>
      <c r="E451" s="125" t="s">
        <v>206</v>
      </c>
      <c r="F451" s="125" t="s">
        <v>205</v>
      </c>
      <c r="G451" s="125" t="s">
        <v>1131</v>
      </c>
      <c r="H451" s="125" t="s">
        <v>1129</v>
      </c>
      <c r="I451" s="125" t="s">
        <v>1344</v>
      </c>
      <c r="J451" s="126">
        <v>81174</v>
      </c>
      <c r="K451" s="126">
        <v>200</v>
      </c>
      <c r="L451" s="126">
        <v>80974</v>
      </c>
      <c r="M451" s="126">
        <v>39877.11</v>
      </c>
      <c r="N451" s="126">
        <v>5980.51</v>
      </c>
      <c r="O451" s="126">
        <v>525</v>
      </c>
      <c r="P451" s="126">
        <v>13417.84</v>
      </c>
      <c r="Q451" s="126">
        <v>2120</v>
      </c>
      <c r="R451" s="126">
        <v>61920.46</v>
      </c>
      <c r="S451" s="126">
        <v>43850.84</v>
      </c>
    </row>
    <row r="452" spans="1:19" ht="15.75" customHeight="1" thickBot="1">
      <c r="A452" s="125" t="s">
        <v>1273</v>
      </c>
      <c r="B452" s="125" t="s">
        <v>1855</v>
      </c>
      <c r="C452" s="125" t="s">
        <v>1134</v>
      </c>
      <c r="D452" s="125" t="str">
        <f t="shared" si="7"/>
        <v>5</v>
      </c>
      <c r="E452" s="125" t="s">
        <v>206</v>
      </c>
      <c r="F452" s="125" t="s">
        <v>205</v>
      </c>
      <c r="G452" s="125" t="s">
        <v>1135</v>
      </c>
      <c r="H452" s="125" t="s">
        <v>1133</v>
      </c>
      <c r="I452" s="125" t="s">
        <v>1857</v>
      </c>
      <c r="J452" s="126">
        <v>125000</v>
      </c>
      <c r="K452" s="127" t="s">
        <v>1275</v>
      </c>
      <c r="L452" s="126">
        <v>125000</v>
      </c>
      <c r="M452" s="126">
        <v>110000</v>
      </c>
      <c r="N452" s="126">
        <v>0</v>
      </c>
      <c r="O452" s="126">
        <v>0</v>
      </c>
      <c r="P452" s="126">
        <v>53680.94</v>
      </c>
      <c r="Q452" s="126">
        <v>0</v>
      </c>
      <c r="R452" s="126">
        <v>163680.94</v>
      </c>
      <c r="S452" s="126">
        <v>0</v>
      </c>
    </row>
    <row r="453" spans="1:19" ht="15.75" thickBot="1">
      <c r="A453" s="125" t="s">
        <v>1905</v>
      </c>
      <c r="B453" s="125" t="s">
        <v>1855</v>
      </c>
      <c r="C453" s="125" t="s">
        <v>1134</v>
      </c>
      <c r="D453" s="125" t="str">
        <f t="shared" si="7"/>
        <v>5</v>
      </c>
      <c r="E453" s="125" t="s">
        <v>206</v>
      </c>
      <c r="F453" s="125" t="s">
        <v>205</v>
      </c>
      <c r="G453" s="125" t="s">
        <v>1135</v>
      </c>
      <c r="H453" s="125" t="s">
        <v>1133</v>
      </c>
      <c r="I453" s="125" t="s">
        <v>1857</v>
      </c>
      <c r="J453" s="126">
        <v>124150</v>
      </c>
      <c r="K453" s="127" t="s">
        <v>1275</v>
      </c>
      <c r="L453" s="126">
        <v>124150</v>
      </c>
      <c r="M453" s="126">
        <v>75549.52</v>
      </c>
      <c r="N453" s="126">
        <v>0</v>
      </c>
      <c r="O453" s="126">
        <v>150</v>
      </c>
      <c r="P453" s="126">
        <v>7765.49</v>
      </c>
      <c r="Q453" s="126">
        <v>7500</v>
      </c>
      <c r="R453" s="126">
        <v>90965.01</v>
      </c>
      <c r="S453" s="126">
        <v>40800.99</v>
      </c>
    </row>
    <row r="454" spans="1:19" ht="15.75" customHeight="1" thickBot="1">
      <c r="A454" s="125" t="s">
        <v>1273</v>
      </c>
      <c r="B454" s="125" t="s">
        <v>1741</v>
      </c>
      <c r="C454" s="125" t="s">
        <v>354</v>
      </c>
      <c r="D454" s="125" t="str">
        <f t="shared" si="7"/>
        <v>3</v>
      </c>
      <c r="E454" s="125" t="s">
        <v>206</v>
      </c>
      <c r="F454" s="125" t="s">
        <v>205</v>
      </c>
      <c r="G454" s="125" t="s">
        <v>1750</v>
      </c>
      <c r="H454" s="125" t="s">
        <v>1751</v>
      </c>
      <c r="I454" s="125" t="s">
        <v>1670</v>
      </c>
      <c r="J454" s="126">
        <v>0</v>
      </c>
      <c r="K454" s="127" t="s">
        <v>1275</v>
      </c>
      <c r="L454" s="126">
        <v>0</v>
      </c>
      <c r="M454" s="126">
        <v>0</v>
      </c>
      <c r="N454" s="126">
        <v>0</v>
      </c>
      <c r="O454" s="126">
        <v>0</v>
      </c>
      <c r="P454" s="126">
        <v>29440</v>
      </c>
      <c r="Q454" s="126">
        <v>0</v>
      </c>
      <c r="R454" s="126">
        <v>29440</v>
      </c>
      <c r="S454" s="126">
        <v>0</v>
      </c>
    </row>
    <row r="455" spans="1:19" ht="15.75" customHeight="1" thickBot="1">
      <c r="A455" s="125" t="s">
        <v>1273</v>
      </c>
      <c r="B455" s="125" t="s">
        <v>392</v>
      </c>
      <c r="C455" s="125" t="s">
        <v>391</v>
      </c>
      <c r="D455" s="125" t="str">
        <f t="shared" si="7"/>
        <v>5</v>
      </c>
      <c r="E455" s="125" t="s">
        <v>206</v>
      </c>
      <c r="F455" s="125" t="s">
        <v>205</v>
      </c>
      <c r="G455" s="125" t="s">
        <v>1138</v>
      </c>
      <c r="H455" s="125" t="s">
        <v>1137</v>
      </c>
      <c r="I455" s="125" t="s">
        <v>1875</v>
      </c>
      <c r="J455" s="126">
        <v>155179.91</v>
      </c>
      <c r="K455" s="126">
        <v>4.91</v>
      </c>
      <c r="L455" s="126">
        <v>155175</v>
      </c>
      <c r="M455" s="126">
        <v>141684.28</v>
      </c>
      <c r="N455" s="126">
        <v>362.5</v>
      </c>
      <c r="O455" s="126">
        <v>0</v>
      </c>
      <c r="P455" s="126">
        <v>38198.61</v>
      </c>
      <c r="Q455" s="126">
        <v>293.94</v>
      </c>
      <c r="R455" s="126">
        <v>180539.33</v>
      </c>
      <c r="S455" s="126">
        <v>7224.57</v>
      </c>
    </row>
    <row r="456" spans="1:19" ht="15.75" thickBot="1">
      <c r="A456" s="125" t="s">
        <v>1905</v>
      </c>
      <c r="B456" s="125" t="s">
        <v>392</v>
      </c>
      <c r="C456" s="125" t="s">
        <v>391</v>
      </c>
      <c r="D456" s="125" t="str">
        <f t="shared" si="7"/>
        <v>5</v>
      </c>
      <c r="E456" s="125" t="s">
        <v>206</v>
      </c>
      <c r="F456" s="125" t="s">
        <v>205</v>
      </c>
      <c r="G456" s="125" t="s">
        <v>1138</v>
      </c>
      <c r="H456" s="125" t="s">
        <v>1137</v>
      </c>
      <c r="I456" s="125" t="s">
        <v>1875</v>
      </c>
      <c r="J456" s="126">
        <v>210395.94</v>
      </c>
      <c r="K456" s="126">
        <v>293.94</v>
      </c>
      <c r="L456" s="126">
        <v>210102</v>
      </c>
      <c r="M456" s="126">
        <v>103039.79</v>
      </c>
      <c r="N456" s="126">
        <v>0</v>
      </c>
      <c r="O456" s="126">
        <v>1050</v>
      </c>
      <c r="P456" s="126">
        <v>15347.46</v>
      </c>
      <c r="Q456" s="126">
        <v>5523.19</v>
      </c>
      <c r="R456" s="126">
        <v>124960.44</v>
      </c>
      <c r="S456" s="126">
        <v>90572.5</v>
      </c>
    </row>
    <row r="457" spans="1:19" ht="15.75" customHeight="1" thickBot="1">
      <c r="A457" s="125" t="s">
        <v>1273</v>
      </c>
      <c r="B457" s="125" t="s">
        <v>1885</v>
      </c>
      <c r="C457" s="125" t="s">
        <v>1223</v>
      </c>
      <c r="D457" s="125" t="str">
        <f t="shared" si="7"/>
        <v>5</v>
      </c>
      <c r="E457" s="125" t="s">
        <v>206</v>
      </c>
      <c r="F457" s="125" t="s">
        <v>205</v>
      </c>
      <c r="G457" s="125" t="s">
        <v>1224</v>
      </c>
      <c r="H457" s="125" t="s">
        <v>1222</v>
      </c>
      <c r="I457" s="125" t="s">
        <v>1887</v>
      </c>
      <c r="J457" s="126">
        <v>97382.25</v>
      </c>
      <c r="K457" s="126">
        <v>1530.25</v>
      </c>
      <c r="L457" s="126">
        <v>95852</v>
      </c>
      <c r="M457" s="126">
        <v>73017.100000000006</v>
      </c>
      <c r="N457" s="126">
        <v>6592.06</v>
      </c>
      <c r="O457" s="126">
        <v>0</v>
      </c>
      <c r="P457" s="126">
        <v>28624.560000000001</v>
      </c>
      <c r="Q457" s="126">
        <v>57.5</v>
      </c>
      <c r="R457" s="126">
        <v>108291.22</v>
      </c>
      <c r="S457" s="126">
        <v>29142.54</v>
      </c>
    </row>
    <row r="458" spans="1:19" ht="15.75" thickBot="1">
      <c r="A458" s="125" t="s">
        <v>1905</v>
      </c>
      <c r="B458" s="125" t="s">
        <v>1885</v>
      </c>
      <c r="C458" s="125" t="s">
        <v>1223</v>
      </c>
      <c r="D458" s="125" t="str">
        <f t="shared" si="7"/>
        <v>5</v>
      </c>
      <c r="E458" s="125" t="s">
        <v>206</v>
      </c>
      <c r="F458" s="125" t="s">
        <v>205</v>
      </c>
      <c r="G458" s="125" t="s">
        <v>1224</v>
      </c>
      <c r="H458" s="125" t="s">
        <v>1222</v>
      </c>
      <c r="I458" s="125" t="s">
        <v>1887</v>
      </c>
      <c r="J458" s="126">
        <v>57.5</v>
      </c>
      <c r="K458" s="126">
        <v>57.5</v>
      </c>
      <c r="L458" s="126">
        <v>0</v>
      </c>
      <c r="M458" s="126">
        <v>504</v>
      </c>
      <c r="N458" s="126">
        <v>0</v>
      </c>
      <c r="O458" s="126">
        <v>0</v>
      </c>
      <c r="P458" s="126">
        <v>57.5</v>
      </c>
      <c r="Q458" s="126">
        <v>0</v>
      </c>
      <c r="R458" s="126">
        <v>561.5</v>
      </c>
      <c r="S458" s="126">
        <v>-504</v>
      </c>
    </row>
    <row r="459" spans="1:19" ht="15.75" customHeight="1" thickBot="1">
      <c r="A459" s="125" t="s">
        <v>1273</v>
      </c>
      <c r="B459" s="125" t="s">
        <v>1143</v>
      </c>
      <c r="C459" s="125" t="s">
        <v>953</v>
      </c>
      <c r="D459" s="125" t="str">
        <f t="shared" si="7"/>
        <v>5</v>
      </c>
      <c r="E459" s="125" t="s">
        <v>206</v>
      </c>
      <c r="F459" s="125" t="s">
        <v>205</v>
      </c>
      <c r="G459" s="125" t="s">
        <v>1143</v>
      </c>
      <c r="H459" s="125" t="s">
        <v>1142</v>
      </c>
      <c r="I459" s="125" t="s">
        <v>1858</v>
      </c>
      <c r="J459" s="126">
        <v>280620.5</v>
      </c>
      <c r="K459" s="126">
        <v>39.5</v>
      </c>
      <c r="L459" s="126">
        <v>280581</v>
      </c>
      <c r="M459" s="126">
        <v>128902.09</v>
      </c>
      <c r="N459" s="126">
        <v>0</v>
      </c>
      <c r="O459" s="126">
        <v>0</v>
      </c>
      <c r="P459" s="126">
        <v>97993.72</v>
      </c>
      <c r="Q459" s="126">
        <v>13943.27</v>
      </c>
      <c r="R459" s="126">
        <v>240839.08</v>
      </c>
      <c r="S459" s="126">
        <v>-2108.44</v>
      </c>
    </row>
    <row r="460" spans="1:19" ht="15.75" thickBot="1">
      <c r="A460" s="125" t="s">
        <v>1905</v>
      </c>
      <c r="B460" s="125" t="s">
        <v>1143</v>
      </c>
      <c r="C460" s="125" t="s">
        <v>953</v>
      </c>
      <c r="D460" s="125" t="str">
        <f t="shared" si="7"/>
        <v>5</v>
      </c>
      <c r="E460" s="125" t="s">
        <v>206</v>
      </c>
      <c r="F460" s="125" t="s">
        <v>205</v>
      </c>
      <c r="G460" s="125" t="s">
        <v>1143</v>
      </c>
      <c r="H460" s="125" t="s">
        <v>1142</v>
      </c>
      <c r="I460" s="125" t="s">
        <v>1858</v>
      </c>
      <c r="J460" s="126">
        <v>13943.27</v>
      </c>
      <c r="K460" s="126">
        <v>13943.27</v>
      </c>
      <c r="L460" s="126">
        <v>0</v>
      </c>
      <c r="M460" s="126">
        <v>1525.34</v>
      </c>
      <c r="N460" s="126">
        <v>18</v>
      </c>
      <c r="O460" s="126">
        <v>0</v>
      </c>
      <c r="P460" s="126">
        <v>13937.37</v>
      </c>
      <c r="Q460" s="126">
        <v>5.9</v>
      </c>
      <c r="R460" s="126">
        <v>15486.61</v>
      </c>
      <c r="S460" s="126">
        <v>956.66</v>
      </c>
    </row>
    <row r="461" spans="1:19" ht="15.75" customHeight="1" thickBot="1">
      <c r="A461" s="125" t="s">
        <v>1273</v>
      </c>
      <c r="B461" s="125" t="s">
        <v>1143</v>
      </c>
      <c r="C461" s="125" t="s">
        <v>953</v>
      </c>
      <c r="D461" s="125" t="str">
        <f t="shared" si="7"/>
        <v>5</v>
      </c>
      <c r="E461" s="125" t="s">
        <v>206</v>
      </c>
      <c r="F461" s="125" t="s">
        <v>205</v>
      </c>
      <c r="G461" s="125" t="s">
        <v>1866</v>
      </c>
      <c r="H461" s="125" t="s">
        <v>1867</v>
      </c>
      <c r="I461" s="125" t="s">
        <v>1858</v>
      </c>
      <c r="J461" s="126">
        <v>85090</v>
      </c>
      <c r="K461" s="127" t="s">
        <v>1275</v>
      </c>
      <c r="L461" s="126">
        <v>85090</v>
      </c>
      <c r="M461" s="126">
        <v>0</v>
      </c>
      <c r="N461" s="126">
        <v>0</v>
      </c>
      <c r="O461" s="126">
        <v>0</v>
      </c>
      <c r="P461" s="126">
        <v>80708.710000000006</v>
      </c>
      <c r="Q461" s="126">
        <v>0</v>
      </c>
      <c r="R461" s="126">
        <v>80708.710000000006</v>
      </c>
      <c r="S461" s="126">
        <v>-0.71</v>
      </c>
    </row>
    <row r="462" spans="1:19" ht="15.75" thickBot="1">
      <c r="A462" s="125" t="s">
        <v>1905</v>
      </c>
      <c r="B462" s="125" t="s">
        <v>1143</v>
      </c>
      <c r="C462" s="125" t="s">
        <v>953</v>
      </c>
      <c r="D462" s="125" t="str">
        <f t="shared" si="7"/>
        <v>5</v>
      </c>
      <c r="E462" s="125" t="s">
        <v>206</v>
      </c>
      <c r="F462" s="125" t="s">
        <v>205</v>
      </c>
      <c r="G462" s="125" t="s">
        <v>1866</v>
      </c>
      <c r="H462" s="125" t="s">
        <v>1867</v>
      </c>
      <c r="I462" s="125" t="s">
        <v>1858</v>
      </c>
      <c r="J462" s="126">
        <v>94876</v>
      </c>
      <c r="K462" s="127" t="s">
        <v>1275</v>
      </c>
      <c r="L462" s="126">
        <v>94876</v>
      </c>
      <c r="M462" s="126">
        <v>0</v>
      </c>
      <c r="N462" s="126">
        <v>0</v>
      </c>
      <c r="O462" s="126">
        <v>0</v>
      </c>
      <c r="P462" s="126">
        <v>51758.48</v>
      </c>
      <c r="Q462" s="126">
        <v>0</v>
      </c>
      <c r="R462" s="126">
        <v>51758.48</v>
      </c>
      <c r="S462" s="126">
        <v>43117.52</v>
      </c>
    </row>
    <row r="463" spans="1:19" ht="15.75" customHeight="1" thickBot="1">
      <c r="A463" s="125" t="s">
        <v>1273</v>
      </c>
      <c r="B463" s="125" t="s">
        <v>403</v>
      </c>
      <c r="C463" s="125" t="s">
        <v>402</v>
      </c>
      <c r="D463" s="125" t="str">
        <f t="shared" si="7"/>
        <v>5</v>
      </c>
      <c r="E463" s="125" t="s">
        <v>206</v>
      </c>
      <c r="F463" s="125" t="s">
        <v>205</v>
      </c>
      <c r="G463" s="125" t="s">
        <v>403</v>
      </c>
      <c r="H463" s="125" t="s">
        <v>1145</v>
      </c>
      <c r="I463" s="125" t="s">
        <v>1874</v>
      </c>
      <c r="J463" s="126">
        <v>87273.45</v>
      </c>
      <c r="K463" s="126">
        <v>1289.45</v>
      </c>
      <c r="L463" s="126">
        <v>85984</v>
      </c>
      <c r="M463" s="126">
        <v>62289.06</v>
      </c>
      <c r="N463" s="126">
        <v>11202.83</v>
      </c>
      <c r="O463" s="126">
        <v>0</v>
      </c>
      <c r="P463" s="126">
        <v>13294.62</v>
      </c>
      <c r="Q463" s="126">
        <v>523.24</v>
      </c>
      <c r="R463" s="126">
        <v>87309.75</v>
      </c>
      <c r="S463" s="126">
        <v>2521.1</v>
      </c>
    </row>
    <row r="464" spans="1:19" ht="15.75" thickBot="1">
      <c r="A464" s="125" t="s">
        <v>1905</v>
      </c>
      <c r="B464" s="125" t="s">
        <v>403</v>
      </c>
      <c r="C464" s="125" t="s">
        <v>402</v>
      </c>
      <c r="D464" s="125" t="str">
        <f t="shared" si="7"/>
        <v>5</v>
      </c>
      <c r="E464" s="125" t="s">
        <v>206</v>
      </c>
      <c r="F464" s="125" t="s">
        <v>205</v>
      </c>
      <c r="G464" s="125" t="s">
        <v>403</v>
      </c>
      <c r="H464" s="125" t="s">
        <v>1145</v>
      </c>
      <c r="I464" s="125" t="s">
        <v>1874</v>
      </c>
      <c r="J464" s="126">
        <v>83979.24</v>
      </c>
      <c r="K464" s="126">
        <v>523.24</v>
      </c>
      <c r="L464" s="126">
        <v>83456</v>
      </c>
      <c r="M464" s="126">
        <v>31893.8</v>
      </c>
      <c r="N464" s="126">
        <v>5567.88</v>
      </c>
      <c r="O464" s="126">
        <v>0</v>
      </c>
      <c r="P464" s="126">
        <v>5935.79</v>
      </c>
      <c r="Q464" s="126">
        <v>2052.5100000000002</v>
      </c>
      <c r="R464" s="126">
        <v>45449.98</v>
      </c>
      <c r="S464" s="126">
        <v>36297.26</v>
      </c>
    </row>
    <row r="465" spans="1:19" ht="15.75" customHeight="1" thickBot="1">
      <c r="A465" s="125" t="s">
        <v>1273</v>
      </c>
      <c r="B465" s="125" t="s">
        <v>1346</v>
      </c>
      <c r="C465" s="125" t="s">
        <v>1149</v>
      </c>
      <c r="D465" s="125" t="str">
        <f t="shared" si="7"/>
        <v>5</v>
      </c>
      <c r="E465" s="125" t="s">
        <v>206</v>
      </c>
      <c r="F465" s="125" t="s">
        <v>205</v>
      </c>
      <c r="G465" s="125" t="s">
        <v>1845</v>
      </c>
      <c r="H465" s="125" t="s">
        <v>1846</v>
      </c>
      <c r="I465" s="125" t="s">
        <v>1350</v>
      </c>
      <c r="J465" s="126">
        <v>203365</v>
      </c>
      <c r="K465" s="127" t="s">
        <v>1275</v>
      </c>
      <c r="L465" s="126">
        <v>203365</v>
      </c>
      <c r="M465" s="126">
        <v>132899.95000000001</v>
      </c>
      <c r="N465" s="126">
        <v>0</v>
      </c>
      <c r="O465" s="126">
        <v>1200</v>
      </c>
      <c r="P465" s="126">
        <v>7275.66</v>
      </c>
      <c r="Q465" s="126">
        <v>0</v>
      </c>
      <c r="R465" s="126">
        <v>141375.60999999999</v>
      </c>
      <c r="S465" s="126">
        <v>-28.38</v>
      </c>
    </row>
    <row r="466" spans="1:19" ht="15.75" customHeight="1" thickBot="1">
      <c r="A466" s="125" t="s">
        <v>1273</v>
      </c>
      <c r="B466" s="125" t="s">
        <v>1346</v>
      </c>
      <c r="C466" s="125" t="s">
        <v>1149</v>
      </c>
      <c r="D466" s="125" t="str">
        <f t="shared" si="7"/>
        <v>5</v>
      </c>
      <c r="E466" s="125" t="s">
        <v>206</v>
      </c>
      <c r="F466" s="125" t="s">
        <v>205</v>
      </c>
      <c r="G466" s="125" t="s">
        <v>1150</v>
      </c>
      <c r="H466" s="125" t="s">
        <v>1148</v>
      </c>
      <c r="I466" s="125" t="s">
        <v>1350</v>
      </c>
      <c r="J466" s="126">
        <v>142758</v>
      </c>
      <c r="K466" s="127" t="s">
        <v>1275</v>
      </c>
      <c r="L466" s="126">
        <v>142758</v>
      </c>
      <c r="M466" s="126">
        <v>134708.47</v>
      </c>
      <c r="N466" s="126">
        <v>7938</v>
      </c>
      <c r="O466" s="126">
        <v>0</v>
      </c>
      <c r="P466" s="126">
        <v>3891.07</v>
      </c>
      <c r="Q466" s="126">
        <v>1605.23</v>
      </c>
      <c r="R466" s="126">
        <v>148142.76999999999</v>
      </c>
      <c r="S466" s="126">
        <v>-1668.31</v>
      </c>
    </row>
    <row r="467" spans="1:19" ht="15.75" thickBot="1">
      <c r="A467" s="125" t="s">
        <v>1905</v>
      </c>
      <c r="B467" s="125" t="s">
        <v>1346</v>
      </c>
      <c r="C467" s="125" t="s">
        <v>1149</v>
      </c>
      <c r="D467" s="125" t="str">
        <f t="shared" si="7"/>
        <v>5</v>
      </c>
      <c r="E467" s="125" t="s">
        <v>206</v>
      </c>
      <c r="F467" s="125" t="s">
        <v>205</v>
      </c>
      <c r="G467" s="125" t="s">
        <v>1150</v>
      </c>
      <c r="H467" s="125" t="s">
        <v>1148</v>
      </c>
      <c r="I467" s="125" t="s">
        <v>1350</v>
      </c>
      <c r="J467" s="126">
        <v>144728.23000000001</v>
      </c>
      <c r="K467" s="126">
        <v>1605.23</v>
      </c>
      <c r="L467" s="126">
        <v>143123</v>
      </c>
      <c r="M467" s="126">
        <v>64297.13</v>
      </c>
      <c r="N467" s="126">
        <v>0</v>
      </c>
      <c r="O467" s="126">
        <v>525</v>
      </c>
      <c r="P467" s="126">
        <v>2437.9</v>
      </c>
      <c r="Q467" s="126">
        <v>492.7</v>
      </c>
      <c r="R467" s="126">
        <v>67752.73</v>
      </c>
      <c r="S467" s="126">
        <v>64516.5</v>
      </c>
    </row>
    <row r="468" spans="1:19" ht="15.75" customHeight="1" thickBot="1">
      <c r="A468" s="125" t="s">
        <v>1273</v>
      </c>
      <c r="B468" s="125" t="s">
        <v>386</v>
      </c>
      <c r="C468" s="125" t="s">
        <v>385</v>
      </c>
      <c r="D468" s="125" t="str">
        <f t="shared" si="7"/>
        <v>2</v>
      </c>
      <c r="E468" s="125" t="s">
        <v>206</v>
      </c>
      <c r="F468" s="125" t="s">
        <v>205</v>
      </c>
      <c r="G468" s="125" t="s">
        <v>386</v>
      </c>
      <c r="H468" s="125" t="s">
        <v>1153</v>
      </c>
      <c r="I468" s="125" t="s">
        <v>1302</v>
      </c>
      <c r="J468" s="126">
        <v>42772</v>
      </c>
      <c r="K468" s="127" t="s">
        <v>1275</v>
      </c>
      <c r="L468" s="126">
        <v>42772</v>
      </c>
      <c r="M468" s="126">
        <v>11350.48</v>
      </c>
      <c r="N468" s="126">
        <v>4229.45</v>
      </c>
      <c r="O468" s="126">
        <v>0</v>
      </c>
      <c r="P468" s="126">
        <v>16598.919999999998</v>
      </c>
      <c r="Q468" s="126">
        <v>1306.99</v>
      </c>
      <c r="R468" s="126">
        <v>33485.839999999997</v>
      </c>
      <c r="S468" s="126">
        <v>7743.16</v>
      </c>
    </row>
    <row r="469" spans="1:19" ht="15.75" thickBot="1">
      <c r="A469" s="125" t="s">
        <v>1905</v>
      </c>
      <c r="B469" s="125" t="s">
        <v>386</v>
      </c>
      <c r="C469" s="125" t="s">
        <v>385</v>
      </c>
      <c r="D469" s="125" t="str">
        <f t="shared" si="7"/>
        <v>2</v>
      </c>
      <c r="E469" s="125" t="s">
        <v>206</v>
      </c>
      <c r="F469" s="125" t="s">
        <v>205</v>
      </c>
      <c r="G469" s="125" t="s">
        <v>386</v>
      </c>
      <c r="H469" s="125" t="s">
        <v>1153</v>
      </c>
      <c r="I469" s="125" t="s">
        <v>1302</v>
      </c>
      <c r="J469" s="126">
        <v>39298.99</v>
      </c>
      <c r="K469" s="126">
        <v>1306.99</v>
      </c>
      <c r="L469" s="126">
        <v>37992</v>
      </c>
      <c r="M469" s="126">
        <v>6167.27</v>
      </c>
      <c r="N469" s="126">
        <v>3348</v>
      </c>
      <c r="O469" s="126">
        <v>0</v>
      </c>
      <c r="P469" s="126">
        <v>14382.32</v>
      </c>
      <c r="Q469" s="126">
        <v>2285.67</v>
      </c>
      <c r="R469" s="126">
        <v>26183.26</v>
      </c>
      <c r="S469" s="126">
        <v>9940.73</v>
      </c>
    </row>
    <row r="470" spans="1:19" ht="15.75" customHeight="1" thickBot="1">
      <c r="A470" s="125" t="s">
        <v>1273</v>
      </c>
      <c r="B470" s="125" t="s">
        <v>1157</v>
      </c>
      <c r="C470" s="125" t="s">
        <v>1156</v>
      </c>
      <c r="D470" s="125" t="str">
        <f t="shared" si="7"/>
        <v>5</v>
      </c>
      <c r="E470" s="125" t="s">
        <v>206</v>
      </c>
      <c r="F470" s="125" t="s">
        <v>205</v>
      </c>
      <c r="G470" s="125" t="s">
        <v>1157</v>
      </c>
      <c r="H470" s="125" t="s">
        <v>1155</v>
      </c>
      <c r="I470" s="125" t="s">
        <v>1350</v>
      </c>
      <c r="J470" s="126">
        <v>53967.9</v>
      </c>
      <c r="K470" s="126">
        <v>107.9</v>
      </c>
      <c r="L470" s="126">
        <v>53860</v>
      </c>
      <c r="M470" s="126">
        <v>33990</v>
      </c>
      <c r="N470" s="126">
        <v>6158.88</v>
      </c>
      <c r="O470" s="126">
        <v>0</v>
      </c>
      <c r="P470" s="126">
        <v>8446.89</v>
      </c>
      <c r="Q470" s="126">
        <v>3143.79</v>
      </c>
      <c r="R470" s="126">
        <v>51739.56</v>
      </c>
      <c r="S470" s="126">
        <v>1860.64</v>
      </c>
    </row>
    <row r="471" spans="1:19" ht="15.75" thickBot="1">
      <c r="A471" s="125" t="s">
        <v>1905</v>
      </c>
      <c r="B471" s="125" t="s">
        <v>1157</v>
      </c>
      <c r="C471" s="125" t="s">
        <v>1156</v>
      </c>
      <c r="D471" s="125" t="str">
        <f t="shared" si="7"/>
        <v>5</v>
      </c>
      <c r="E471" s="125" t="s">
        <v>206</v>
      </c>
      <c r="F471" s="125" t="s">
        <v>205</v>
      </c>
      <c r="G471" s="125" t="s">
        <v>1157</v>
      </c>
      <c r="H471" s="125" t="s">
        <v>1155</v>
      </c>
      <c r="I471" s="125" t="s">
        <v>1350</v>
      </c>
      <c r="J471" s="126">
        <v>54597.79</v>
      </c>
      <c r="K471" s="126">
        <v>3143.79</v>
      </c>
      <c r="L471" s="126">
        <v>51454</v>
      </c>
      <c r="M471" s="126">
        <v>19390</v>
      </c>
      <c r="N471" s="126">
        <v>3385.78</v>
      </c>
      <c r="O471" s="126">
        <v>0</v>
      </c>
      <c r="P471" s="126">
        <v>8122.72</v>
      </c>
      <c r="Q471" s="126">
        <v>25</v>
      </c>
      <c r="R471" s="126">
        <v>30923.5</v>
      </c>
      <c r="S471" s="126">
        <v>23674.29</v>
      </c>
    </row>
    <row r="472" spans="1:19" ht="15.75" customHeight="1" thickBot="1">
      <c r="A472" s="125" t="s">
        <v>1273</v>
      </c>
      <c r="B472" s="125" t="s">
        <v>1143</v>
      </c>
      <c r="C472" s="125" t="s">
        <v>953</v>
      </c>
      <c r="D472" s="125" t="str">
        <f t="shared" si="7"/>
        <v>5</v>
      </c>
      <c r="E472" s="125" t="s">
        <v>206</v>
      </c>
      <c r="F472" s="125" t="s">
        <v>205</v>
      </c>
      <c r="G472" s="125" t="s">
        <v>1160</v>
      </c>
      <c r="H472" s="125" t="s">
        <v>1159</v>
      </c>
      <c r="I472" s="125" t="s">
        <v>1858</v>
      </c>
      <c r="J472" s="126">
        <v>136055.16</v>
      </c>
      <c r="K472" s="126">
        <v>11431.16</v>
      </c>
      <c r="L472" s="126">
        <v>124624</v>
      </c>
      <c r="M472" s="126">
        <v>31350.51</v>
      </c>
      <c r="N472" s="126">
        <v>6871.22</v>
      </c>
      <c r="O472" s="126">
        <v>6142.7</v>
      </c>
      <c r="P472" s="126">
        <v>48394.23</v>
      </c>
      <c r="Q472" s="126">
        <v>642.23</v>
      </c>
      <c r="R472" s="126">
        <v>93400.89</v>
      </c>
      <c r="S472" s="126">
        <v>3810.76</v>
      </c>
    </row>
    <row r="473" spans="1:19" ht="15.75" thickBot="1">
      <c r="A473" s="125" t="s">
        <v>1905</v>
      </c>
      <c r="B473" s="125" t="s">
        <v>1143</v>
      </c>
      <c r="C473" s="125" t="s">
        <v>953</v>
      </c>
      <c r="D473" s="125" t="str">
        <f t="shared" si="7"/>
        <v>5</v>
      </c>
      <c r="E473" s="125" t="s">
        <v>206</v>
      </c>
      <c r="F473" s="125" t="s">
        <v>205</v>
      </c>
      <c r="G473" s="125" t="s">
        <v>1160</v>
      </c>
      <c r="H473" s="125" t="s">
        <v>1159</v>
      </c>
      <c r="I473" s="125" t="s">
        <v>1858</v>
      </c>
      <c r="J473" s="126">
        <v>110844.23</v>
      </c>
      <c r="K473" s="126">
        <v>642.23</v>
      </c>
      <c r="L473" s="126">
        <v>110202</v>
      </c>
      <c r="M473" s="126">
        <v>18842.810000000001</v>
      </c>
      <c r="N473" s="126">
        <v>0</v>
      </c>
      <c r="O473" s="126">
        <v>4630</v>
      </c>
      <c r="P473" s="126">
        <v>39768.129999999997</v>
      </c>
      <c r="Q473" s="126">
        <v>10703.2</v>
      </c>
      <c r="R473" s="126">
        <v>73944.14</v>
      </c>
      <c r="S473" s="126">
        <v>37941.089999999997</v>
      </c>
    </row>
    <row r="474" spans="1:19" ht="15.75" customHeight="1" thickBot="1">
      <c r="A474" s="125" t="s">
        <v>1273</v>
      </c>
      <c r="B474" s="125" t="s">
        <v>1143</v>
      </c>
      <c r="C474" s="125" t="s">
        <v>953</v>
      </c>
      <c r="D474" s="125" t="str">
        <f t="shared" si="7"/>
        <v>5</v>
      </c>
      <c r="E474" s="125" t="s">
        <v>206</v>
      </c>
      <c r="F474" s="125" t="s">
        <v>205</v>
      </c>
      <c r="G474" s="125" t="s">
        <v>1868</v>
      </c>
      <c r="H474" s="125" t="s">
        <v>1869</v>
      </c>
      <c r="I474" s="125" t="s">
        <v>1858</v>
      </c>
      <c r="J474" s="126">
        <v>100000</v>
      </c>
      <c r="K474" s="127" t="s">
        <v>1275</v>
      </c>
      <c r="L474" s="126">
        <v>100000</v>
      </c>
      <c r="M474" s="126">
        <v>0</v>
      </c>
      <c r="N474" s="126">
        <v>0</v>
      </c>
      <c r="O474" s="126">
        <v>0</v>
      </c>
      <c r="P474" s="126">
        <v>124614.76</v>
      </c>
      <c r="Q474" s="126">
        <v>18778.78</v>
      </c>
      <c r="R474" s="126">
        <v>143393.54</v>
      </c>
      <c r="S474" s="126">
        <v>-18778.78</v>
      </c>
    </row>
    <row r="475" spans="1:19" ht="15.75" thickBot="1">
      <c r="A475" s="125" t="s">
        <v>1905</v>
      </c>
      <c r="B475" s="125" t="s">
        <v>1143</v>
      </c>
      <c r="C475" s="125" t="s">
        <v>953</v>
      </c>
      <c r="D475" s="125" t="str">
        <f t="shared" si="7"/>
        <v>5</v>
      </c>
      <c r="E475" s="125" t="s">
        <v>206</v>
      </c>
      <c r="F475" s="125" t="s">
        <v>205</v>
      </c>
      <c r="G475" s="125" t="s">
        <v>1868</v>
      </c>
      <c r="H475" s="125" t="s">
        <v>1869</v>
      </c>
      <c r="I475" s="125" t="s">
        <v>1858</v>
      </c>
      <c r="J475" s="126">
        <v>101778.78</v>
      </c>
      <c r="K475" s="126">
        <v>18778.78</v>
      </c>
      <c r="L475" s="126">
        <v>83000</v>
      </c>
      <c r="M475" s="126">
        <v>0</v>
      </c>
      <c r="N475" s="126">
        <v>0</v>
      </c>
      <c r="O475" s="126">
        <v>0</v>
      </c>
      <c r="P475" s="126">
        <v>41425</v>
      </c>
      <c r="Q475" s="126">
        <v>60353.78</v>
      </c>
      <c r="R475" s="126">
        <v>101778.78</v>
      </c>
      <c r="S475" s="126">
        <v>0</v>
      </c>
    </row>
    <row r="476" spans="1:19" ht="15.75" customHeight="1" thickBot="1">
      <c r="A476" s="125" t="s">
        <v>1273</v>
      </c>
      <c r="B476" s="125" t="s">
        <v>1527</v>
      </c>
      <c r="C476" s="125" t="s">
        <v>750</v>
      </c>
      <c r="D476" s="125" t="str">
        <f t="shared" si="7"/>
        <v>2</v>
      </c>
      <c r="E476" s="125" t="s">
        <v>206</v>
      </c>
      <c r="F476" s="125" t="s">
        <v>205</v>
      </c>
      <c r="G476" s="125" t="s">
        <v>882</v>
      </c>
      <c r="H476" s="125" t="s">
        <v>1532</v>
      </c>
      <c r="I476" s="125" t="s">
        <v>1301</v>
      </c>
      <c r="J476" s="126">
        <v>13345</v>
      </c>
      <c r="K476" s="127" t="s">
        <v>1275</v>
      </c>
      <c r="L476" s="126">
        <v>13345</v>
      </c>
      <c r="M476" s="126">
        <v>710.25</v>
      </c>
      <c r="N476" s="126">
        <v>0</v>
      </c>
      <c r="O476" s="126">
        <v>0</v>
      </c>
      <c r="P476" s="126">
        <v>12407.92</v>
      </c>
      <c r="Q476" s="126">
        <v>0</v>
      </c>
      <c r="R476" s="126">
        <v>13118.17</v>
      </c>
      <c r="S476" s="126">
        <v>2.93</v>
      </c>
    </row>
    <row r="477" spans="1:19" ht="15.75" thickBot="1">
      <c r="A477" s="125" t="s">
        <v>1905</v>
      </c>
      <c r="B477" s="125" t="s">
        <v>1527</v>
      </c>
      <c r="C477" s="125" t="s">
        <v>750</v>
      </c>
      <c r="D477" s="125" t="str">
        <f t="shared" si="7"/>
        <v>2</v>
      </c>
      <c r="E477" s="125" t="s">
        <v>206</v>
      </c>
      <c r="F477" s="125" t="s">
        <v>205</v>
      </c>
      <c r="G477" s="125" t="s">
        <v>882</v>
      </c>
      <c r="H477" s="125" t="s">
        <v>1532</v>
      </c>
      <c r="I477" s="125" t="s">
        <v>1301</v>
      </c>
      <c r="J477" s="126">
        <v>11076</v>
      </c>
      <c r="K477" s="127" t="s">
        <v>1275</v>
      </c>
      <c r="L477" s="126">
        <v>11076</v>
      </c>
      <c r="M477" s="126">
        <v>0</v>
      </c>
      <c r="N477" s="126">
        <v>0</v>
      </c>
      <c r="O477" s="126">
        <v>0</v>
      </c>
      <c r="P477" s="126">
        <v>1311.68</v>
      </c>
      <c r="Q477" s="126">
        <v>208.7</v>
      </c>
      <c r="R477" s="126">
        <v>1520.38</v>
      </c>
      <c r="S477" s="126">
        <v>9555.6200000000008</v>
      </c>
    </row>
    <row r="478" spans="1:19" ht="15.75" customHeight="1" thickBot="1">
      <c r="A478" s="125" t="s">
        <v>1273</v>
      </c>
      <c r="B478" s="125" t="s">
        <v>1143</v>
      </c>
      <c r="C478" s="125" t="s">
        <v>953</v>
      </c>
      <c r="D478" s="125" t="str">
        <f t="shared" si="7"/>
        <v>5</v>
      </c>
      <c r="E478" s="125" t="s">
        <v>206</v>
      </c>
      <c r="F478" s="125" t="s">
        <v>205</v>
      </c>
      <c r="G478" s="125" t="s">
        <v>1870</v>
      </c>
      <c r="H478" s="125" t="s">
        <v>1871</v>
      </c>
      <c r="I478" s="125" t="s">
        <v>1858</v>
      </c>
      <c r="J478" s="126">
        <v>29219</v>
      </c>
      <c r="K478" s="127" t="s">
        <v>1275</v>
      </c>
      <c r="L478" s="126">
        <v>29219</v>
      </c>
      <c r="M478" s="126">
        <v>0</v>
      </c>
      <c r="N478" s="126">
        <v>0</v>
      </c>
      <c r="O478" s="126">
        <v>0</v>
      </c>
      <c r="P478" s="126">
        <v>3508.35</v>
      </c>
      <c r="Q478" s="126">
        <v>0</v>
      </c>
      <c r="R478" s="126">
        <v>3508.35</v>
      </c>
      <c r="S478" s="126">
        <v>18269.080000000002</v>
      </c>
    </row>
    <row r="479" spans="1:19" ht="15.75" customHeight="1" thickBot="1">
      <c r="A479" s="125" t="s">
        <v>1273</v>
      </c>
      <c r="B479" s="125" t="s">
        <v>1346</v>
      </c>
      <c r="C479" s="125" t="s">
        <v>1149</v>
      </c>
      <c r="D479" s="125" t="str">
        <f t="shared" si="7"/>
        <v>5</v>
      </c>
      <c r="E479" s="125" t="s">
        <v>206</v>
      </c>
      <c r="F479" s="125" t="s">
        <v>205</v>
      </c>
      <c r="G479" s="125" t="s">
        <v>242</v>
      </c>
      <c r="H479" s="125" t="s">
        <v>1847</v>
      </c>
      <c r="I479" s="125" t="s">
        <v>1350</v>
      </c>
      <c r="J479" s="126">
        <v>55398</v>
      </c>
      <c r="K479" s="126">
        <v>4589</v>
      </c>
      <c r="L479" s="126">
        <v>50809</v>
      </c>
      <c r="M479" s="126">
        <v>0</v>
      </c>
      <c r="N479" s="126">
        <v>11114.46</v>
      </c>
      <c r="O479" s="126">
        <v>0</v>
      </c>
      <c r="P479" s="126">
        <v>31820.880000000001</v>
      </c>
      <c r="Q479" s="126">
        <v>0</v>
      </c>
      <c r="R479" s="126">
        <v>42935.34</v>
      </c>
      <c r="S479" s="126">
        <v>22797.33</v>
      </c>
    </row>
    <row r="480" spans="1:19" ht="15.75" thickBot="1">
      <c r="A480" s="125" t="s">
        <v>1905</v>
      </c>
      <c r="B480" s="125" t="s">
        <v>1346</v>
      </c>
      <c r="C480" s="125" t="s">
        <v>1149</v>
      </c>
      <c r="D480" s="125" t="str">
        <f t="shared" si="7"/>
        <v>5</v>
      </c>
      <c r="E480" s="125" t="s">
        <v>206</v>
      </c>
      <c r="F480" s="125" t="s">
        <v>205</v>
      </c>
      <c r="G480" s="125" t="s">
        <v>242</v>
      </c>
      <c r="H480" s="125" t="s">
        <v>1847</v>
      </c>
      <c r="I480" s="125" t="s">
        <v>1350</v>
      </c>
      <c r="J480" s="126">
        <v>45202</v>
      </c>
      <c r="K480" s="127" t="s">
        <v>1275</v>
      </c>
      <c r="L480" s="126">
        <v>45202</v>
      </c>
      <c r="M480" s="126">
        <v>0</v>
      </c>
      <c r="N480" s="126">
        <v>175.81</v>
      </c>
      <c r="O480" s="126">
        <v>0</v>
      </c>
      <c r="P480" s="126">
        <v>624.91999999999996</v>
      </c>
      <c r="Q480" s="126">
        <v>20834</v>
      </c>
      <c r="R480" s="126">
        <v>21634.73</v>
      </c>
      <c r="S480" s="126">
        <v>23567.27</v>
      </c>
    </row>
    <row r="481" spans="1:19" ht="15.75" customHeight="1" thickBot="1">
      <c r="A481" s="125" t="s">
        <v>1273</v>
      </c>
      <c r="B481" s="125" t="s">
        <v>1346</v>
      </c>
      <c r="C481" s="125" t="s">
        <v>1149</v>
      </c>
      <c r="D481" s="125" t="str">
        <f t="shared" si="7"/>
        <v>5</v>
      </c>
      <c r="E481" s="125" t="s">
        <v>206</v>
      </c>
      <c r="F481" s="125" t="s">
        <v>205</v>
      </c>
      <c r="G481" s="125" t="s">
        <v>1848</v>
      </c>
      <c r="H481" s="125" t="s">
        <v>1849</v>
      </c>
      <c r="I481" s="125" t="s">
        <v>1350</v>
      </c>
      <c r="J481" s="126">
        <v>12972</v>
      </c>
      <c r="K481" s="126">
        <v>5215</v>
      </c>
      <c r="L481" s="126">
        <v>7757</v>
      </c>
      <c r="M481" s="126">
        <v>0</v>
      </c>
      <c r="N481" s="126">
        <v>0</v>
      </c>
      <c r="O481" s="126">
        <v>0</v>
      </c>
      <c r="P481" s="126">
        <v>5404</v>
      </c>
      <c r="Q481" s="126">
        <v>0</v>
      </c>
      <c r="R481" s="126">
        <v>5404</v>
      </c>
      <c r="S481" s="126">
        <v>25.01</v>
      </c>
    </row>
    <row r="482" spans="1:19" ht="15.75" customHeight="1" thickBot="1">
      <c r="A482" s="125" t="s">
        <v>1273</v>
      </c>
      <c r="B482" s="125" t="s">
        <v>1143</v>
      </c>
      <c r="C482" s="125" t="s">
        <v>953</v>
      </c>
      <c r="D482" s="125" t="str">
        <f t="shared" si="7"/>
        <v>5</v>
      </c>
      <c r="E482" s="125" t="s">
        <v>206</v>
      </c>
      <c r="F482" s="125" t="s">
        <v>205</v>
      </c>
      <c r="G482" s="125" t="s">
        <v>1872</v>
      </c>
      <c r="H482" s="125" t="s">
        <v>1873</v>
      </c>
      <c r="I482" s="125" t="s">
        <v>1858</v>
      </c>
      <c r="J482" s="126">
        <v>32610.94</v>
      </c>
      <c r="K482" s="126">
        <v>5902.94</v>
      </c>
      <c r="L482" s="126">
        <v>26708</v>
      </c>
      <c r="M482" s="126">
        <v>0</v>
      </c>
      <c r="N482" s="126">
        <v>0</v>
      </c>
      <c r="O482" s="126">
        <v>0</v>
      </c>
      <c r="P482" s="126">
        <v>27610.68</v>
      </c>
      <c r="Q482" s="126">
        <v>1940</v>
      </c>
      <c r="R482" s="126">
        <v>29550.68</v>
      </c>
      <c r="S482" s="126">
        <v>1190.7</v>
      </c>
    </row>
    <row r="483" spans="1:19" ht="15.75" thickBot="1">
      <c r="A483" s="125" t="s">
        <v>1905</v>
      </c>
      <c r="B483" s="125" t="s">
        <v>1143</v>
      </c>
      <c r="C483" s="125" t="s">
        <v>953</v>
      </c>
      <c r="D483" s="125" t="str">
        <f t="shared" si="7"/>
        <v>5</v>
      </c>
      <c r="E483" s="125" t="s">
        <v>206</v>
      </c>
      <c r="F483" s="125" t="s">
        <v>205</v>
      </c>
      <c r="G483" s="125" t="s">
        <v>1872</v>
      </c>
      <c r="H483" s="125" t="s">
        <v>1873</v>
      </c>
      <c r="I483" s="125" t="s">
        <v>1858</v>
      </c>
      <c r="J483" s="126">
        <v>24108</v>
      </c>
      <c r="K483" s="126">
        <v>1940</v>
      </c>
      <c r="L483" s="126">
        <v>22168</v>
      </c>
      <c r="M483" s="126">
        <v>0</v>
      </c>
      <c r="N483" s="126">
        <v>0</v>
      </c>
      <c r="O483" s="126">
        <v>0</v>
      </c>
      <c r="P483" s="126">
        <v>13187.73</v>
      </c>
      <c r="Q483" s="126">
        <v>7056.37</v>
      </c>
      <c r="R483" s="126">
        <v>20244.099999999999</v>
      </c>
      <c r="S483" s="126">
        <v>3863.9</v>
      </c>
    </row>
    <row r="484" spans="1:19" ht="15.75" customHeight="1" thickBot="1">
      <c r="A484" s="125" t="s">
        <v>1273</v>
      </c>
      <c r="B484" s="125" t="s">
        <v>1817</v>
      </c>
      <c r="C484" s="125" t="s">
        <v>1088</v>
      </c>
      <c r="D484" s="125" t="str">
        <f t="shared" si="7"/>
        <v>3</v>
      </c>
      <c r="E484" s="125" t="s">
        <v>206</v>
      </c>
      <c r="F484" s="125" t="s">
        <v>205</v>
      </c>
      <c r="G484" s="125" t="s">
        <v>238</v>
      </c>
      <c r="H484" s="125" t="s">
        <v>1819</v>
      </c>
      <c r="I484" s="125" t="s">
        <v>1818</v>
      </c>
      <c r="J484" s="126">
        <v>134643.89000000001</v>
      </c>
      <c r="K484" s="126">
        <v>49643.89</v>
      </c>
      <c r="L484" s="126">
        <v>85000</v>
      </c>
      <c r="M484" s="126">
        <v>0</v>
      </c>
      <c r="N484" s="126">
        <v>0</v>
      </c>
      <c r="O484" s="126">
        <v>0</v>
      </c>
      <c r="P484" s="126">
        <v>10218.31</v>
      </c>
      <c r="Q484" s="126">
        <v>26651.68</v>
      </c>
      <c r="R484" s="126">
        <v>36869.99</v>
      </c>
      <c r="S484" s="126">
        <v>91823.9</v>
      </c>
    </row>
    <row r="485" spans="1:19" ht="15.75" thickBot="1">
      <c r="A485" s="125" t="s">
        <v>1905</v>
      </c>
      <c r="B485" s="125" t="s">
        <v>1817</v>
      </c>
      <c r="C485" s="125" t="s">
        <v>1088</v>
      </c>
      <c r="D485" s="125" t="str">
        <f t="shared" si="7"/>
        <v>3</v>
      </c>
      <c r="E485" s="125" t="s">
        <v>206</v>
      </c>
      <c r="F485" s="125" t="s">
        <v>205</v>
      </c>
      <c r="G485" s="125" t="s">
        <v>238</v>
      </c>
      <c r="H485" s="125" t="s">
        <v>1819</v>
      </c>
      <c r="I485" s="125" t="s">
        <v>1818</v>
      </c>
      <c r="J485" s="126">
        <v>61651.68</v>
      </c>
      <c r="K485" s="126">
        <v>26651.68</v>
      </c>
      <c r="L485" s="126">
        <v>35000</v>
      </c>
      <c r="M485" s="126">
        <v>0</v>
      </c>
      <c r="N485" s="126">
        <v>0</v>
      </c>
      <c r="O485" s="126">
        <v>0</v>
      </c>
      <c r="P485" s="126">
        <v>15519.32</v>
      </c>
      <c r="Q485" s="126">
        <v>39432.36</v>
      </c>
      <c r="R485" s="126">
        <v>54951.68</v>
      </c>
      <c r="S485" s="126">
        <v>6700</v>
      </c>
    </row>
    <row r="486" spans="1:19" ht="15.75" customHeight="1" thickBot="1">
      <c r="A486" s="125" t="s">
        <v>1273</v>
      </c>
      <c r="B486" s="125" t="s">
        <v>1157</v>
      </c>
      <c r="C486" s="125" t="s">
        <v>1156</v>
      </c>
      <c r="D486" s="125" t="str">
        <f t="shared" si="7"/>
        <v>5</v>
      </c>
      <c r="E486" s="125" t="s">
        <v>206</v>
      </c>
      <c r="F486" s="125" t="s">
        <v>205</v>
      </c>
      <c r="G486" s="125" t="s">
        <v>1853</v>
      </c>
      <c r="H486" s="125" t="s">
        <v>1854</v>
      </c>
      <c r="I486" s="125" t="s">
        <v>1350</v>
      </c>
      <c r="J486" s="126">
        <v>3890</v>
      </c>
      <c r="K486" s="127" t="s">
        <v>1275</v>
      </c>
      <c r="L486" s="126">
        <v>3890</v>
      </c>
      <c r="M486" s="126">
        <v>0</v>
      </c>
      <c r="N486" s="126">
        <v>0</v>
      </c>
      <c r="O486" s="126">
        <v>0</v>
      </c>
      <c r="P486" s="126">
        <v>3589.23</v>
      </c>
      <c r="Q486" s="126">
        <v>713.3</v>
      </c>
      <c r="R486" s="126">
        <v>4302.53</v>
      </c>
      <c r="S486" s="126">
        <v>-684.83</v>
      </c>
    </row>
    <row r="487" spans="1:19" ht="15.75" thickBot="1">
      <c r="A487" s="125" t="s">
        <v>1905</v>
      </c>
      <c r="B487" s="125" t="s">
        <v>1157</v>
      </c>
      <c r="C487" s="125" t="s">
        <v>1156</v>
      </c>
      <c r="D487" s="125" t="str">
        <f t="shared" ref="D487:D550" si="8">LEFT(C487:C487,1)</f>
        <v>5</v>
      </c>
      <c r="E487" s="125" t="s">
        <v>206</v>
      </c>
      <c r="F487" s="125" t="s">
        <v>205</v>
      </c>
      <c r="G487" s="125" t="s">
        <v>1853</v>
      </c>
      <c r="H487" s="125" t="s">
        <v>1854</v>
      </c>
      <c r="I487" s="125" t="s">
        <v>1350</v>
      </c>
      <c r="J487" s="126">
        <v>3941.3</v>
      </c>
      <c r="K487" s="126">
        <v>713.3</v>
      </c>
      <c r="L487" s="126">
        <v>3228</v>
      </c>
      <c r="M487" s="126">
        <v>0</v>
      </c>
      <c r="N487" s="126">
        <v>0</v>
      </c>
      <c r="O487" s="126">
        <v>0</v>
      </c>
      <c r="P487" s="126">
        <v>2844.37</v>
      </c>
      <c r="Q487" s="126">
        <v>0</v>
      </c>
      <c r="R487" s="126">
        <v>2844.37</v>
      </c>
      <c r="S487" s="126">
        <v>1096.93</v>
      </c>
    </row>
    <row r="488" spans="1:19" ht="15.75" customHeight="1" thickBot="1">
      <c r="A488" s="125" t="s">
        <v>1273</v>
      </c>
      <c r="B488" s="125" t="s">
        <v>262</v>
      </c>
      <c r="C488" s="125" t="s">
        <v>846</v>
      </c>
      <c r="D488" s="125" t="str">
        <f t="shared" si="8"/>
        <v>2</v>
      </c>
      <c r="E488" s="125" t="s">
        <v>206</v>
      </c>
      <c r="F488" s="125" t="s">
        <v>205</v>
      </c>
      <c r="G488" s="125" t="s">
        <v>1294</v>
      </c>
      <c r="H488" s="125" t="s">
        <v>1345</v>
      </c>
      <c r="I488" s="125" t="s">
        <v>1302</v>
      </c>
      <c r="J488" s="126">
        <v>5131</v>
      </c>
      <c r="K488" s="127" t="s">
        <v>1275</v>
      </c>
      <c r="L488" s="126">
        <v>5131</v>
      </c>
      <c r="M488" s="126">
        <v>0</v>
      </c>
      <c r="N488" s="126">
        <v>0</v>
      </c>
      <c r="O488" s="126">
        <v>0</v>
      </c>
      <c r="P488" s="126">
        <v>567.73</v>
      </c>
      <c r="Q488" s="126">
        <v>0</v>
      </c>
      <c r="R488" s="126">
        <v>567.73</v>
      </c>
      <c r="S488" s="126">
        <v>4204.1000000000004</v>
      </c>
    </row>
    <row r="489" spans="1:19" ht="15.75" thickBot="1">
      <c r="A489" s="125" t="s">
        <v>1905</v>
      </c>
      <c r="B489" s="125" t="s">
        <v>262</v>
      </c>
      <c r="C489" s="125" t="s">
        <v>846</v>
      </c>
      <c r="D489" s="125" t="str">
        <f t="shared" si="8"/>
        <v>2</v>
      </c>
      <c r="E489" s="125" t="s">
        <v>206</v>
      </c>
      <c r="F489" s="125" t="s">
        <v>205</v>
      </c>
      <c r="G489" s="125" t="s">
        <v>1294</v>
      </c>
      <c r="H489" s="125" t="s">
        <v>1345</v>
      </c>
      <c r="I489" s="125" t="s">
        <v>1302</v>
      </c>
      <c r="J489" s="126">
        <v>10014</v>
      </c>
      <c r="K489" s="127" t="s">
        <v>1275</v>
      </c>
      <c r="L489" s="126">
        <v>10014</v>
      </c>
      <c r="M489" s="126">
        <v>0</v>
      </c>
      <c r="N489" s="126">
        <v>0</v>
      </c>
      <c r="O489" s="126">
        <v>0</v>
      </c>
      <c r="P489" s="126">
        <v>71.540000000000006</v>
      </c>
      <c r="Q489" s="126">
        <v>5</v>
      </c>
      <c r="R489" s="126">
        <v>76.540000000000006</v>
      </c>
      <c r="S489" s="126">
        <v>9937.4599999999991</v>
      </c>
    </row>
    <row r="490" spans="1:19" ht="15.75" customHeight="1" thickBot="1">
      <c r="A490" s="125" t="s">
        <v>1273</v>
      </c>
      <c r="B490" s="125" t="s">
        <v>1293</v>
      </c>
      <c r="C490" s="125" t="s">
        <v>1163</v>
      </c>
      <c r="D490" s="125" t="str">
        <f t="shared" si="8"/>
        <v>1</v>
      </c>
      <c r="E490" s="125" t="s">
        <v>206</v>
      </c>
      <c r="F490" s="125" t="s">
        <v>205</v>
      </c>
      <c r="G490" s="125" t="s">
        <v>1164</v>
      </c>
      <c r="H490" s="125" t="s">
        <v>1162</v>
      </c>
      <c r="I490" s="125" t="s">
        <v>1296</v>
      </c>
      <c r="J490" s="126">
        <v>98784</v>
      </c>
      <c r="K490" s="127" t="s">
        <v>1275</v>
      </c>
      <c r="L490" s="126">
        <v>98784</v>
      </c>
      <c r="M490" s="126">
        <v>95794.33</v>
      </c>
      <c r="N490" s="126">
        <v>0</v>
      </c>
      <c r="O490" s="126">
        <v>0</v>
      </c>
      <c r="P490" s="126">
        <v>4750.88</v>
      </c>
      <c r="Q490" s="126">
        <v>0</v>
      </c>
      <c r="R490" s="126">
        <v>100545.21</v>
      </c>
      <c r="S490" s="126">
        <v>21.55</v>
      </c>
    </row>
    <row r="491" spans="1:19" ht="15.75" thickBot="1">
      <c r="A491" s="125" t="s">
        <v>1905</v>
      </c>
      <c r="B491" s="125" t="s">
        <v>1293</v>
      </c>
      <c r="C491" s="125" t="s">
        <v>1163</v>
      </c>
      <c r="D491" s="125" t="str">
        <f t="shared" si="8"/>
        <v>1</v>
      </c>
      <c r="E491" s="125" t="s">
        <v>206</v>
      </c>
      <c r="F491" s="125" t="s">
        <v>205</v>
      </c>
      <c r="G491" s="125" t="s">
        <v>1164</v>
      </c>
      <c r="H491" s="125" t="s">
        <v>1162</v>
      </c>
      <c r="I491" s="125" t="s">
        <v>1296</v>
      </c>
      <c r="J491" s="126">
        <v>98266</v>
      </c>
      <c r="K491" s="127" t="s">
        <v>1275</v>
      </c>
      <c r="L491" s="126">
        <v>98266</v>
      </c>
      <c r="M491" s="126">
        <v>53636.13</v>
      </c>
      <c r="N491" s="126">
        <v>0</v>
      </c>
      <c r="O491" s="126">
        <v>975</v>
      </c>
      <c r="P491" s="126">
        <v>1062.5899999999999</v>
      </c>
      <c r="Q491" s="126">
        <v>971.88</v>
      </c>
      <c r="R491" s="126">
        <v>56645.599999999999</v>
      </c>
      <c r="S491" s="126">
        <v>41620.400000000001</v>
      </c>
    </row>
    <row r="492" spans="1:19" ht="15.75" customHeight="1" thickBot="1">
      <c r="A492" s="125" t="s">
        <v>1273</v>
      </c>
      <c r="B492" s="125" t="s">
        <v>1293</v>
      </c>
      <c r="C492" s="125" t="s">
        <v>1163</v>
      </c>
      <c r="D492" s="125" t="str">
        <f t="shared" si="8"/>
        <v>1</v>
      </c>
      <c r="E492" s="125" t="s">
        <v>206</v>
      </c>
      <c r="F492" s="125" t="s">
        <v>205</v>
      </c>
      <c r="G492" s="125" t="s">
        <v>1169</v>
      </c>
      <c r="H492" s="125" t="s">
        <v>1168</v>
      </c>
      <c r="I492" s="125" t="s">
        <v>1297</v>
      </c>
      <c r="J492" s="126">
        <v>68290</v>
      </c>
      <c r="K492" s="126">
        <v>408</v>
      </c>
      <c r="L492" s="126">
        <v>67882</v>
      </c>
      <c r="M492" s="126">
        <v>30139.85</v>
      </c>
      <c r="N492" s="126">
        <v>15380.99</v>
      </c>
      <c r="O492" s="126">
        <v>0</v>
      </c>
      <c r="P492" s="126">
        <v>39170.959999999999</v>
      </c>
      <c r="Q492" s="126">
        <v>356.72</v>
      </c>
      <c r="R492" s="126">
        <v>85048.52</v>
      </c>
      <c r="S492" s="126">
        <v>165.34</v>
      </c>
    </row>
    <row r="493" spans="1:19" ht="15.75" thickBot="1">
      <c r="A493" s="125" t="s">
        <v>1905</v>
      </c>
      <c r="B493" s="125" t="s">
        <v>1293</v>
      </c>
      <c r="C493" s="125" t="s">
        <v>1163</v>
      </c>
      <c r="D493" s="125" t="str">
        <f t="shared" si="8"/>
        <v>1</v>
      </c>
      <c r="E493" s="125" t="s">
        <v>206</v>
      </c>
      <c r="F493" s="125" t="s">
        <v>205</v>
      </c>
      <c r="G493" s="125" t="s">
        <v>1169</v>
      </c>
      <c r="H493" s="125" t="s">
        <v>1168</v>
      </c>
      <c r="I493" s="125" t="s">
        <v>1297</v>
      </c>
      <c r="J493" s="126">
        <v>65566.720000000001</v>
      </c>
      <c r="K493" s="126">
        <v>356.72</v>
      </c>
      <c r="L493" s="126">
        <v>65210</v>
      </c>
      <c r="M493" s="126">
        <v>19038.689999999999</v>
      </c>
      <c r="N493" s="126">
        <v>10510.77</v>
      </c>
      <c r="O493" s="126">
        <v>0</v>
      </c>
      <c r="P493" s="126">
        <v>54291.05</v>
      </c>
      <c r="Q493" s="126">
        <v>203.6</v>
      </c>
      <c r="R493" s="126">
        <v>84044.11</v>
      </c>
      <c r="S493" s="126">
        <v>28947.65</v>
      </c>
    </row>
    <row r="494" spans="1:19" ht="15.75" customHeight="1" thickBot="1">
      <c r="A494" s="125" t="s">
        <v>1273</v>
      </c>
      <c r="B494" s="125" t="s">
        <v>1173</v>
      </c>
      <c r="C494" s="125" t="s">
        <v>1172</v>
      </c>
      <c r="D494" s="125" t="str">
        <f t="shared" si="8"/>
        <v>2</v>
      </c>
      <c r="E494" s="125" t="s">
        <v>206</v>
      </c>
      <c r="F494" s="125" t="s">
        <v>205</v>
      </c>
      <c r="G494" s="125" t="s">
        <v>1173</v>
      </c>
      <c r="H494" s="125" t="s">
        <v>1171</v>
      </c>
      <c r="I494" s="125" t="s">
        <v>1314</v>
      </c>
      <c r="J494" s="126">
        <v>211310</v>
      </c>
      <c r="K494" s="126">
        <v>768</v>
      </c>
      <c r="L494" s="126">
        <v>210542</v>
      </c>
      <c r="M494" s="126">
        <v>121351.47</v>
      </c>
      <c r="N494" s="126">
        <v>18388.25</v>
      </c>
      <c r="O494" s="126">
        <v>900</v>
      </c>
      <c r="P494" s="126">
        <v>60512.27</v>
      </c>
      <c r="Q494" s="126">
        <v>472.49</v>
      </c>
      <c r="R494" s="126">
        <v>201624.48</v>
      </c>
      <c r="S494" s="126">
        <v>11448.52</v>
      </c>
    </row>
    <row r="495" spans="1:19" ht="15.75" thickBot="1">
      <c r="A495" s="125" t="s">
        <v>1905</v>
      </c>
      <c r="B495" s="125" t="s">
        <v>1173</v>
      </c>
      <c r="C495" s="125" t="s">
        <v>1172</v>
      </c>
      <c r="D495" s="125" t="str">
        <f t="shared" si="8"/>
        <v>2</v>
      </c>
      <c r="E495" s="125" t="s">
        <v>206</v>
      </c>
      <c r="F495" s="125" t="s">
        <v>205</v>
      </c>
      <c r="G495" s="125" t="s">
        <v>1173</v>
      </c>
      <c r="H495" s="125" t="s">
        <v>1171</v>
      </c>
      <c r="I495" s="125" t="s">
        <v>1314</v>
      </c>
      <c r="J495" s="126">
        <v>175574.49</v>
      </c>
      <c r="K495" s="126">
        <v>472.49</v>
      </c>
      <c r="L495" s="126">
        <v>175102</v>
      </c>
      <c r="M495" s="126">
        <v>65011.17</v>
      </c>
      <c r="N495" s="126">
        <v>12145.75</v>
      </c>
      <c r="O495" s="126">
        <v>825</v>
      </c>
      <c r="P495" s="126">
        <v>19301.150000000001</v>
      </c>
      <c r="Q495" s="126">
        <v>18164.3</v>
      </c>
      <c r="R495" s="126">
        <v>115447.37</v>
      </c>
      <c r="S495" s="126">
        <v>60127.12</v>
      </c>
    </row>
    <row r="496" spans="1:19" ht="15.75" customHeight="1" thickBot="1">
      <c r="A496" s="125" t="s">
        <v>1273</v>
      </c>
      <c r="B496" s="125" t="s">
        <v>1346</v>
      </c>
      <c r="C496" s="125" t="s">
        <v>1149</v>
      </c>
      <c r="D496" s="125" t="str">
        <f t="shared" si="8"/>
        <v>5</v>
      </c>
      <c r="E496" s="125" t="s">
        <v>206</v>
      </c>
      <c r="F496" s="125" t="s">
        <v>205</v>
      </c>
      <c r="G496" s="125" t="s">
        <v>1850</v>
      </c>
      <c r="H496" s="125" t="s">
        <v>1851</v>
      </c>
      <c r="I496" s="125" t="s">
        <v>1350</v>
      </c>
      <c r="J496" s="126">
        <v>2500</v>
      </c>
      <c r="K496" s="127" t="s">
        <v>1275</v>
      </c>
      <c r="L496" s="126">
        <v>2500</v>
      </c>
      <c r="M496" s="126">
        <v>0</v>
      </c>
      <c r="N496" s="126">
        <v>0</v>
      </c>
      <c r="O496" s="126">
        <v>0</v>
      </c>
      <c r="P496" s="126">
        <v>573.95000000000005</v>
      </c>
      <c r="Q496" s="126">
        <v>0</v>
      </c>
      <c r="R496" s="126">
        <v>573.95000000000005</v>
      </c>
      <c r="S496" s="126">
        <v>100</v>
      </c>
    </row>
    <row r="497" spans="1:19" ht="15.75" customHeight="1" thickBot="1">
      <c r="A497" s="125" t="s">
        <v>1273</v>
      </c>
      <c r="B497" s="125" t="s">
        <v>1093</v>
      </c>
      <c r="C497" s="129">
        <v>3181</v>
      </c>
      <c r="D497" s="125" t="str">
        <f t="shared" si="8"/>
        <v>3</v>
      </c>
      <c r="E497" s="125" t="s">
        <v>206</v>
      </c>
      <c r="F497" s="125" t="s">
        <v>205</v>
      </c>
      <c r="G497" s="125" t="s">
        <v>1763</v>
      </c>
      <c r="H497" s="125" t="s">
        <v>1764</v>
      </c>
      <c r="I497" s="128"/>
      <c r="J497" s="126">
        <v>39826</v>
      </c>
      <c r="K497" s="127" t="s">
        <v>1275</v>
      </c>
      <c r="L497" s="126">
        <v>39826</v>
      </c>
      <c r="M497" s="126">
        <v>0</v>
      </c>
      <c r="N497" s="126">
        <v>0</v>
      </c>
      <c r="O497" s="126">
        <v>0</v>
      </c>
      <c r="P497" s="126">
        <v>41911.33</v>
      </c>
      <c r="Q497" s="126">
        <v>0</v>
      </c>
      <c r="R497" s="126">
        <v>41911.33</v>
      </c>
      <c r="S497" s="126">
        <v>0</v>
      </c>
    </row>
    <row r="498" spans="1:19" ht="15.75" thickBot="1">
      <c r="A498" s="125" t="s">
        <v>1905</v>
      </c>
      <c r="B498" s="125" t="s">
        <v>1093</v>
      </c>
      <c r="C498" s="129">
        <v>3181</v>
      </c>
      <c r="D498" s="125" t="str">
        <f t="shared" si="8"/>
        <v>3</v>
      </c>
      <c r="E498" s="125" t="s">
        <v>206</v>
      </c>
      <c r="F498" s="125" t="s">
        <v>205</v>
      </c>
      <c r="G498" s="125" t="s">
        <v>1763</v>
      </c>
      <c r="H498" s="125" t="s">
        <v>1764</v>
      </c>
      <c r="I498" s="128"/>
      <c r="J498" s="126">
        <v>36000</v>
      </c>
      <c r="K498" s="127" t="s">
        <v>1275</v>
      </c>
      <c r="L498" s="126">
        <v>36000</v>
      </c>
      <c r="M498" s="126">
        <v>0</v>
      </c>
      <c r="N498" s="126">
        <v>0</v>
      </c>
      <c r="O498" s="126">
        <v>0</v>
      </c>
      <c r="P498" s="126">
        <v>33579.94</v>
      </c>
      <c r="Q498" s="126">
        <v>0</v>
      </c>
      <c r="R498" s="126">
        <v>33579.94</v>
      </c>
      <c r="S498" s="126">
        <v>11194.06</v>
      </c>
    </row>
    <row r="499" spans="1:19" ht="15.75" customHeight="1" thickBot="1">
      <c r="A499" s="125" t="s">
        <v>1273</v>
      </c>
      <c r="B499" s="125" t="s">
        <v>1720</v>
      </c>
      <c r="C499" s="125" t="s">
        <v>1060</v>
      </c>
      <c r="D499" s="125" t="str">
        <f t="shared" si="8"/>
        <v>3</v>
      </c>
      <c r="E499" s="125" t="s">
        <v>206</v>
      </c>
      <c r="F499" s="125" t="s">
        <v>205</v>
      </c>
      <c r="G499" s="125" t="s">
        <v>1724</v>
      </c>
      <c r="H499" s="125" t="s">
        <v>1725</v>
      </c>
      <c r="I499" s="125" t="s">
        <v>1721</v>
      </c>
      <c r="J499" s="126">
        <v>78000</v>
      </c>
      <c r="K499" s="127" t="s">
        <v>1275</v>
      </c>
      <c r="L499" s="126">
        <v>78000</v>
      </c>
      <c r="M499" s="126">
        <v>0</v>
      </c>
      <c r="N499" s="126">
        <v>0</v>
      </c>
      <c r="O499" s="126">
        <v>85245.9</v>
      </c>
      <c r="P499" s="126">
        <v>0</v>
      </c>
      <c r="Q499" s="126">
        <v>0</v>
      </c>
      <c r="R499" s="126">
        <v>85245.9</v>
      </c>
      <c r="S499" s="126">
        <v>3754.1</v>
      </c>
    </row>
    <row r="500" spans="1:19" ht="15.75" thickBot="1">
      <c r="A500" s="125" t="s">
        <v>1905</v>
      </c>
      <c r="B500" s="125" t="s">
        <v>1720</v>
      </c>
      <c r="C500" s="125" t="s">
        <v>1060</v>
      </c>
      <c r="D500" s="125" t="str">
        <f t="shared" si="8"/>
        <v>3</v>
      </c>
      <c r="E500" s="125" t="s">
        <v>206</v>
      </c>
      <c r="F500" s="125" t="s">
        <v>205</v>
      </c>
      <c r="G500" s="125" t="s">
        <v>1724</v>
      </c>
      <c r="H500" s="125" t="s">
        <v>1725</v>
      </c>
      <c r="I500" s="125" t="s">
        <v>1721</v>
      </c>
      <c r="J500" s="126">
        <v>75095</v>
      </c>
      <c r="K500" s="127" t="s">
        <v>1275</v>
      </c>
      <c r="L500" s="126">
        <v>75095</v>
      </c>
      <c r="M500" s="126">
        <v>0</v>
      </c>
      <c r="N500" s="126">
        <v>0</v>
      </c>
      <c r="O500" s="126">
        <v>34945.56</v>
      </c>
      <c r="P500" s="126">
        <v>0</v>
      </c>
      <c r="Q500" s="126">
        <v>0</v>
      </c>
      <c r="R500" s="126">
        <v>34945.56</v>
      </c>
      <c r="S500" s="126">
        <v>40149.440000000002</v>
      </c>
    </row>
    <row r="501" spans="1:19" ht="15.75" thickBot="1">
      <c r="A501" s="125" t="s">
        <v>1905</v>
      </c>
      <c r="B501" s="125" t="s">
        <v>0</v>
      </c>
      <c r="C501" s="125" t="s">
        <v>406</v>
      </c>
      <c r="D501" s="125" t="str">
        <f t="shared" si="8"/>
        <v>2</v>
      </c>
      <c r="E501" s="125" t="s">
        <v>206</v>
      </c>
      <c r="F501" s="125" t="s">
        <v>205</v>
      </c>
      <c r="G501" s="125" t="s">
        <v>0</v>
      </c>
      <c r="H501" s="125" t="s">
        <v>1914</v>
      </c>
      <c r="I501" s="125" t="s">
        <v>1358</v>
      </c>
      <c r="J501" s="126">
        <v>62896</v>
      </c>
      <c r="K501" s="127" t="s">
        <v>1275</v>
      </c>
      <c r="L501" s="126">
        <v>62896</v>
      </c>
      <c r="M501" s="126">
        <v>0</v>
      </c>
      <c r="N501" s="126">
        <v>22240.16</v>
      </c>
      <c r="O501" s="126">
        <v>0</v>
      </c>
      <c r="P501" s="126">
        <v>11723.68</v>
      </c>
      <c r="Q501" s="126">
        <v>2324.23</v>
      </c>
      <c r="R501" s="126">
        <v>36288.07</v>
      </c>
      <c r="S501" s="126">
        <v>26607.93</v>
      </c>
    </row>
    <row r="502" spans="1:19" ht="15.75" customHeight="1" thickBot="1">
      <c r="A502" s="125" t="s">
        <v>1273</v>
      </c>
      <c r="B502" s="125" t="s">
        <v>422</v>
      </c>
      <c r="C502" s="125" t="s">
        <v>421</v>
      </c>
      <c r="D502" s="125" t="str">
        <f t="shared" si="8"/>
        <v>2</v>
      </c>
      <c r="E502" s="125" t="s">
        <v>206</v>
      </c>
      <c r="F502" s="125" t="s">
        <v>205</v>
      </c>
      <c r="G502" s="125" t="s">
        <v>422</v>
      </c>
      <c r="H502" s="125" t="s">
        <v>1364</v>
      </c>
      <c r="I502" s="125" t="s">
        <v>1363</v>
      </c>
      <c r="J502" s="126">
        <v>76864.75</v>
      </c>
      <c r="K502" s="126">
        <v>1847.75</v>
      </c>
      <c r="L502" s="126">
        <v>75017</v>
      </c>
      <c r="M502" s="126">
        <v>3000</v>
      </c>
      <c r="N502" s="126">
        <v>9796.1299999999992</v>
      </c>
      <c r="O502" s="126">
        <v>0</v>
      </c>
      <c r="P502" s="126">
        <v>56278.02</v>
      </c>
      <c r="Q502" s="126">
        <v>1424.2</v>
      </c>
      <c r="R502" s="126">
        <v>70498.350000000006</v>
      </c>
      <c r="S502" s="126">
        <v>7928.31</v>
      </c>
    </row>
    <row r="503" spans="1:19" ht="15.75" thickBot="1">
      <c r="A503" s="125" t="s">
        <v>1905</v>
      </c>
      <c r="B503" s="125" t="s">
        <v>422</v>
      </c>
      <c r="C503" s="125" t="s">
        <v>421</v>
      </c>
      <c r="D503" s="125" t="str">
        <f t="shared" si="8"/>
        <v>2</v>
      </c>
      <c r="E503" s="125" t="s">
        <v>206</v>
      </c>
      <c r="F503" s="125" t="s">
        <v>205</v>
      </c>
      <c r="G503" s="125" t="s">
        <v>422</v>
      </c>
      <c r="H503" s="125" t="s">
        <v>1364</v>
      </c>
      <c r="I503" s="125" t="s">
        <v>1363</v>
      </c>
      <c r="J503" s="126">
        <v>65320.2</v>
      </c>
      <c r="K503" s="126">
        <v>1424.2</v>
      </c>
      <c r="L503" s="126">
        <v>63896</v>
      </c>
      <c r="M503" s="126">
        <v>0</v>
      </c>
      <c r="N503" s="126">
        <v>4314.45</v>
      </c>
      <c r="O503" s="126">
        <v>0</v>
      </c>
      <c r="P503" s="126">
        <v>28880.85</v>
      </c>
      <c r="Q503" s="126">
        <v>4916.74</v>
      </c>
      <c r="R503" s="126">
        <v>38112.04</v>
      </c>
      <c r="S503" s="126">
        <v>27908.16</v>
      </c>
    </row>
    <row r="504" spans="1:19" ht="15.75" thickBot="1">
      <c r="A504" s="125" t="s">
        <v>1905</v>
      </c>
      <c r="B504" s="125" t="s">
        <v>2</v>
      </c>
      <c r="C504" s="125" t="s">
        <v>436</v>
      </c>
      <c r="D504" s="125" t="str">
        <f t="shared" si="8"/>
        <v>2</v>
      </c>
      <c r="E504" s="125" t="s">
        <v>206</v>
      </c>
      <c r="F504" s="125" t="s">
        <v>205</v>
      </c>
      <c r="G504" s="125" t="s">
        <v>2</v>
      </c>
      <c r="H504" s="125" t="s">
        <v>1916</v>
      </c>
      <c r="I504" s="125" t="s">
        <v>1365</v>
      </c>
      <c r="J504" s="126">
        <v>123764</v>
      </c>
      <c r="K504" s="127" t="s">
        <v>1275</v>
      </c>
      <c r="L504" s="126">
        <v>123764</v>
      </c>
      <c r="M504" s="126">
        <v>0</v>
      </c>
      <c r="N504" s="126">
        <v>33489.79</v>
      </c>
      <c r="O504" s="126">
        <v>0</v>
      </c>
      <c r="P504" s="126">
        <v>32293.74</v>
      </c>
      <c r="Q504" s="126">
        <v>4160.22</v>
      </c>
      <c r="R504" s="126">
        <v>69943.75</v>
      </c>
      <c r="S504" s="126">
        <v>58040.25</v>
      </c>
    </row>
    <row r="505" spans="1:19" ht="15.75" thickBot="1">
      <c r="A505" s="125" t="s">
        <v>1905</v>
      </c>
      <c r="B505" s="125" t="s">
        <v>455</v>
      </c>
      <c r="C505" s="125" t="s">
        <v>454</v>
      </c>
      <c r="D505" s="125" t="str">
        <f t="shared" si="8"/>
        <v>2</v>
      </c>
      <c r="E505" s="125" t="s">
        <v>206</v>
      </c>
      <c r="F505" s="125" t="s">
        <v>205</v>
      </c>
      <c r="G505" s="125" t="s">
        <v>455</v>
      </c>
      <c r="H505" s="125" t="s">
        <v>1917</v>
      </c>
      <c r="I505" s="125" t="s">
        <v>1368</v>
      </c>
      <c r="J505" s="126">
        <v>44195</v>
      </c>
      <c r="K505" s="127" t="s">
        <v>1275</v>
      </c>
      <c r="L505" s="126">
        <v>44195</v>
      </c>
      <c r="M505" s="126">
        <v>0</v>
      </c>
      <c r="N505" s="126">
        <v>7260.14</v>
      </c>
      <c r="O505" s="126">
        <v>0</v>
      </c>
      <c r="P505" s="126">
        <v>7911.98</v>
      </c>
      <c r="Q505" s="126">
        <v>4251.24</v>
      </c>
      <c r="R505" s="126">
        <v>19423.36</v>
      </c>
      <c r="S505" s="126">
        <v>24771.64</v>
      </c>
    </row>
    <row r="506" spans="1:19" ht="15.75" customHeight="1" thickBot="1">
      <c r="A506" s="125" t="s">
        <v>1273</v>
      </c>
      <c r="B506" s="125" t="s">
        <v>467</v>
      </c>
      <c r="C506" s="125" t="s">
        <v>466</v>
      </c>
      <c r="D506" s="125" t="str">
        <f t="shared" si="8"/>
        <v>2</v>
      </c>
      <c r="E506" s="125" t="s">
        <v>206</v>
      </c>
      <c r="F506" s="125" t="s">
        <v>205</v>
      </c>
      <c r="G506" s="125" t="s">
        <v>467</v>
      </c>
      <c r="H506" s="125" t="s">
        <v>1379</v>
      </c>
      <c r="I506" s="125" t="s">
        <v>1369</v>
      </c>
      <c r="J506" s="126">
        <v>134324.62</v>
      </c>
      <c r="K506" s="126">
        <v>7927.62</v>
      </c>
      <c r="L506" s="126">
        <v>126397</v>
      </c>
      <c r="M506" s="126">
        <v>6718.5</v>
      </c>
      <c r="N506" s="126">
        <v>70624.490000000005</v>
      </c>
      <c r="O506" s="126">
        <v>0</v>
      </c>
      <c r="P506" s="126">
        <v>52884.49</v>
      </c>
      <c r="Q506" s="126">
        <v>0</v>
      </c>
      <c r="R506" s="126">
        <v>130227.48</v>
      </c>
      <c r="S506" s="126">
        <v>7200.65</v>
      </c>
    </row>
    <row r="507" spans="1:19" ht="15.75" thickBot="1">
      <c r="A507" s="125" t="s">
        <v>1905</v>
      </c>
      <c r="B507" s="125" t="s">
        <v>467</v>
      </c>
      <c r="C507" s="125" t="s">
        <v>466</v>
      </c>
      <c r="D507" s="125" t="str">
        <f t="shared" si="8"/>
        <v>2</v>
      </c>
      <c r="E507" s="125" t="s">
        <v>206</v>
      </c>
      <c r="F507" s="125" t="s">
        <v>205</v>
      </c>
      <c r="G507" s="125" t="s">
        <v>467</v>
      </c>
      <c r="H507" s="125" t="s">
        <v>1379</v>
      </c>
      <c r="I507" s="125" t="s">
        <v>1369</v>
      </c>
      <c r="J507" s="126">
        <v>114732</v>
      </c>
      <c r="K507" s="127" t="s">
        <v>1275</v>
      </c>
      <c r="L507" s="126">
        <v>114732</v>
      </c>
      <c r="M507" s="126">
        <v>1522.5</v>
      </c>
      <c r="N507" s="126">
        <v>37440.949999999997</v>
      </c>
      <c r="O507" s="126">
        <v>0</v>
      </c>
      <c r="P507" s="126">
        <v>31341.54</v>
      </c>
      <c r="Q507" s="126">
        <v>14892.35</v>
      </c>
      <c r="R507" s="126">
        <v>85197.34</v>
      </c>
      <c r="S507" s="126">
        <v>32534.66</v>
      </c>
    </row>
    <row r="508" spans="1:19" ht="15.75" customHeight="1" thickBot="1">
      <c r="A508" s="125" t="s">
        <v>1273</v>
      </c>
      <c r="B508" s="125" t="s">
        <v>487</v>
      </c>
      <c r="C508" s="125" t="s">
        <v>486</v>
      </c>
      <c r="D508" s="125" t="str">
        <f t="shared" si="8"/>
        <v>2</v>
      </c>
      <c r="E508" s="125" t="s">
        <v>206</v>
      </c>
      <c r="F508" s="125" t="s">
        <v>205</v>
      </c>
      <c r="G508" s="125" t="s">
        <v>487</v>
      </c>
      <c r="H508" s="125" t="s">
        <v>1178</v>
      </c>
      <c r="I508" s="125" t="s">
        <v>1381</v>
      </c>
      <c r="J508" s="126">
        <v>72022.960000000006</v>
      </c>
      <c r="K508" s="126">
        <v>2090.96</v>
      </c>
      <c r="L508" s="126">
        <v>69932</v>
      </c>
      <c r="M508" s="126">
        <v>1500</v>
      </c>
      <c r="N508" s="126">
        <v>30726.6</v>
      </c>
      <c r="O508" s="126">
        <v>0</v>
      </c>
      <c r="P508" s="126">
        <v>41912.83</v>
      </c>
      <c r="Q508" s="126">
        <v>90.96</v>
      </c>
      <c r="R508" s="126">
        <v>74230.39</v>
      </c>
      <c r="S508" s="126">
        <v>2618.58</v>
      </c>
    </row>
    <row r="509" spans="1:19" ht="15.75" thickBot="1">
      <c r="A509" s="125" t="s">
        <v>1905</v>
      </c>
      <c r="B509" s="125" t="s">
        <v>487</v>
      </c>
      <c r="C509" s="125" t="s">
        <v>486</v>
      </c>
      <c r="D509" s="125" t="str">
        <f t="shared" si="8"/>
        <v>2</v>
      </c>
      <c r="E509" s="125" t="s">
        <v>206</v>
      </c>
      <c r="F509" s="125" t="s">
        <v>205</v>
      </c>
      <c r="G509" s="125" t="s">
        <v>487</v>
      </c>
      <c r="H509" s="125" t="s">
        <v>1178</v>
      </c>
      <c r="I509" s="125" t="s">
        <v>1381</v>
      </c>
      <c r="J509" s="126">
        <v>115315.96</v>
      </c>
      <c r="K509" s="126">
        <v>90.96</v>
      </c>
      <c r="L509" s="126">
        <v>115225</v>
      </c>
      <c r="M509" s="126">
        <v>17822.2</v>
      </c>
      <c r="N509" s="126">
        <v>23800.21</v>
      </c>
      <c r="O509" s="126">
        <v>0</v>
      </c>
      <c r="P509" s="126">
        <v>25800.12</v>
      </c>
      <c r="Q509" s="126">
        <v>6793.2</v>
      </c>
      <c r="R509" s="126">
        <v>74215.73</v>
      </c>
      <c r="S509" s="126">
        <v>44494.57</v>
      </c>
    </row>
    <row r="510" spans="1:19" ht="15.75" customHeight="1" thickBot="1">
      <c r="A510" s="125" t="s">
        <v>1273</v>
      </c>
      <c r="B510" s="125" t="s">
        <v>511</v>
      </c>
      <c r="C510" s="125" t="s">
        <v>510</v>
      </c>
      <c r="D510" s="125" t="str">
        <f t="shared" si="8"/>
        <v>2</v>
      </c>
      <c r="E510" s="125" t="s">
        <v>206</v>
      </c>
      <c r="F510" s="125" t="s">
        <v>205</v>
      </c>
      <c r="G510" s="125" t="s">
        <v>511</v>
      </c>
      <c r="H510" s="125" t="s">
        <v>1180</v>
      </c>
      <c r="I510" s="125" t="s">
        <v>1390</v>
      </c>
      <c r="J510" s="126">
        <v>19053.28</v>
      </c>
      <c r="K510" s="126">
        <v>1482.28</v>
      </c>
      <c r="L510" s="126">
        <v>17571</v>
      </c>
      <c r="M510" s="126">
        <v>3755</v>
      </c>
      <c r="N510" s="126">
        <v>0</v>
      </c>
      <c r="O510" s="126">
        <v>0</v>
      </c>
      <c r="P510" s="126">
        <v>12529.93</v>
      </c>
      <c r="Q510" s="126">
        <v>3356.23</v>
      </c>
      <c r="R510" s="126">
        <v>19641.16</v>
      </c>
      <c r="S510" s="126">
        <v>2993.38</v>
      </c>
    </row>
    <row r="511" spans="1:19" ht="15.75" thickBot="1">
      <c r="A511" s="125" t="s">
        <v>1905</v>
      </c>
      <c r="B511" s="125" t="s">
        <v>511</v>
      </c>
      <c r="C511" s="125" t="s">
        <v>510</v>
      </c>
      <c r="D511" s="125" t="str">
        <f t="shared" si="8"/>
        <v>2</v>
      </c>
      <c r="E511" s="125" t="s">
        <v>206</v>
      </c>
      <c r="F511" s="125" t="s">
        <v>205</v>
      </c>
      <c r="G511" s="125" t="s">
        <v>511</v>
      </c>
      <c r="H511" s="125" t="s">
        <v>1180</v>
      </c>
      <c r="I511" s="125" t="s">
        <v>1390</v>
      </c>
      <c r="J511" s="126">
        <v>3356.23</v>
      </c>
      <c r="K511" s="126">
        <v>3356.23</v>
      </c>
      <c r="L511" s="126">
        <v>0</v>
      </c>
      <c r="M511" s="126">
        <v>16534.2</v>
      </c>
      <c r="N511" s="126">
        <v>1040.92</v>
      </c>
      <c r="O511" s="126">
        <v>0</v>
      </c>
      <c r="P511" s="126">
        <v>7126.81</v>
      </c>
      <c r="Q511" s="126">
        <v>2001.12</v>
      </c>
      <c r="R511" s="126">
        <v>26703.05</v>
      </c>
      <c r="S511" s="126">
        <v>16193.1</v>
      </c>
    </row>
    <row r="512" spans="1:19" ht="15.75" customHeight="1" thickBot="1">
      <c r="A512" s="125" t="s">
        <v>1273</v>
      </c>
      <c r="B512" s="125" t="s">
        <v>141</v>
      </c>
      <c r="C512" s="125" t="s">
        <v>516</v>
      </c>
      <c r="D512" s="125" t="str">
        <f t="shared" si="8"/>
        <v>2</v>
      </c>
      <c r="E512" s="125" t="s">
        <v>206</v>
      </c>
      <c r="F512" s="125" t="s">
        <v>205</v>
      </c>
      <c r="G512" s="125" t="s">
        <v>141</v>
      </c>
      <c r="H512" s="125" t="s">
        <v>1182</v>
      </c>
      <c r="I512" s="125" t="s">
        <v>1396</v>
      </c>
      <c r="J512" s="126">
        <v>25833.1</v>
      </c>
      <c r="K512" s="126">
        <v>1004.1</v>
      </c>
      <c r="L512" s="126">
        <v>24829</v>
      </c>
      <c r="M512" s="126">
        <v>0</v>
      </c>
      <c r="N512" s="126">
        <v>9879.2999999999993</v>
      </c>
      <c r="O512" s="126">
        <v>0</v>
      </c>
      <c r="P512" s="126">
        <v>13843.95</v>
      </c>
      <c r="Q512" s="126">
        <v>119.6</v>
      </c>
      <c r="R512" s="126">
        <v>23842.85</v>
      </c>
      <c r="S512" s="126">
        <v>1928.27</v>
      </c>
    </row>
    <row r="513" spans="1:19" ht="15.75" thickBot="1">
      <c r="A513" s="125" t="s">
        <v>1905</v>
      </c>
      <c r="B513" s="125" t="s">
        <v>141</v>
      </c>
      <c r="C513" s="125" t="s">
        <v>516</v>
      </c>
      <c r="D513" s="125" t="str">
        <f t="shared" si="8"/>
        <v>2</v>
      </c>
      <c r="E513" s="125" t="s">
        <v>206</v>
      </c>
      <c r="F513" s="125" t="s">
        <v>205</v>
      </c>
      <c r="G513" s="125" t="s">
        <v>141</v>
      </c>
      <c r="H513" s="125" t="s">
        <v>1182</v>
      </c>
      <c r="I513" s="125" t="s">
        <v>1396</v>
      </c>
      <c r="J513" s="126">
        <v>62841.599999999999</v>
      </c>
      <c r="K513" s="126">
        <v>119.6</v>
      </c>
      <c r="L513" s="126">
        <v>62722</v>
      </c>
      <c r="M513" s="126">
        <v>16365.17</v>
      </c>
      <c r="N513" s="126">
        <v>742</v>
      </c>
      <c r="O513" s="126">
        <v>0</v>
      </c>
      <c r="P513" s="126">
        <v>8881.0499999999993</v>
      </c>
      <c r="Q513" s="126">
        <v>1058.81</v>
      </c>
      <c r="R513" s="126">
        <v>27047.03</v>
      </c>
      <c r="S513" s="126">
        <v>29266.400000000001</v>
      </c>
    </row>
    <row r="514" spans="1:19" ht="15.75" customHeight="1" thickBot="1">
      <c r="A514" s="125" t="s">
        <v>1273</v>
      </c>
      <c r="B514" s="125" t="s">
        <v>526</v>
      </c>
      <c r="C514" s="125" t="s">
        <v>525</v>
      </c>
      <c r="D514" s="125" t="str">
        <f t="shared" si="8"/>
        <v>2</v>
      </c>
      <c r="E514" s="125" t="s">
        <v>206</v>
      </c>
      <c r="F514" s="125" t="s">
        <v>205</v>
      </c>
      <c r="G514" s="125" t="s">
        <v>526</v>
      </c>
      <c r="H514" s="125" t="s">
        <v>1184</v>
      </c>
      <c r="I514" s="125" t="s">
        <v>1403</v>
      </c>
      <c r="J514" s="126">
        <v>0</v>
      </c>
      <c r="K514" s="127" t="s">
        <v>1275</v>
      </c>
      <c r="L514" s="126">
        <v>0</v>
      </c>
      <c r="M514" s="126">
        <v>0</v>
      </c>
      <c r="N514" s="126">
        <v>0</v>
      </c>
      <c r="O514" s="126">
        <v>0</v>
      </c>
      <c r="P514" s="126">
        <v>-113.6</v>
      </c>
      <c r="Q514" s="126">
        <v>0</v>
      </c>
      <c r="R514" s="126">
        <v>-113.6</v>
      </c>
      <c r="S514" s="126">
        <v>113.6</v>
      </c>
    </row>
    <row r="515" spans="1:19" ht="15.75" thickBot="1">
      <c r="A515" s="125" t="s">
        <v>1905</v>
      </c>
      <c r="B515" s="125" t="s">
        <v>526</v>
      </c>
      <c r="C515" s="125" t="s">
        <v>525</v>
      </c>
      <c r="D515" s="125" t="str">
        <f t="shared" si="8"/>
        <v>2</v>
      </c>
      <c r="E515" s="125" t="s">
        <v>206</v>
      </c>
      <c r="F515" s="125" t="s">
        <v>205</v>
      </c>
      <c r="G515" s="125" t="s">
        <v>526</v>
      </c>
      <c r="H515" s="125" t="s">
        <v>1184</v>
      </c>
      <c r="I515" s="125" t="s">
        <v>1403</v>
      </c>
      <c r="J515" s="126">
        <v>103118</v>
      </c>
      <c r="K515" s="127" t="s">
        <v>1275</v>
      </c>
      <c r="L515" s="126">
        <v>103118</v>
      </c>
      <c r="M515" s="126">
        <v>16669.78</v>
      </c>
      <c r="N515" s="126">
        <v>21182.36</v>
      </c>
      <c r="O515" s="126">
        <v>525</v>
      </c>
      <c r="P515" s="126">
        <v>18290.54</v>
      </c>
      <c r="Q515" s="126">
        <v>5713.04</v>
      </c>
      <c r="R515" s="126">
        <v>62380.72</v>
      </c>
      <c r="S515" s="126">
        <v>39480.18</v>
      </c>
    </row>
    <row r="516" spans="1:19" ht="15.75" customHeight="1" thickBot="1">
      <c r="A516" s="125" t="s">
        <v>1273</v>
      </c>
      <c r="B516" s="125" t="s">
        <v>1397</v>
      </c>
      <c r="C516" s="125" t="s">
        <v>1398</v>
      </c>
      <c r="D516" s="125" t="str">
        <f t="shared" si="8"/>
        <v>2</v>
      </c>
      <c r="E516" s="125" t="s">
        <v>206</v>
      </c>
      <c r="F516" s="125" t="s">
        <v>205</v>
      </c>
      <c r="G516" s="125" t="s">
        <v>1397</v>
      </c>
      <c r="H516" s="125" t="s">
        <v>1400</v>
      </c>
      <c r="I516" s="125" t="s">
        <v>1389</v>
      </c>
      <c r="J516" s="126">
        <v>28732.35</v>
      </c>
      <c r="K516" s="126">
        <v>1548.35</v>
      </c>
      <c r="L516" s="126">
        <v>27184</v>
      </c>
      <c r="M516" s="126">
        <v>3000</v>
      </c>
      <c r="N516" s="126">
        <v>2928.7</v>
      </c>
      <c r="O516" s="126">
        <v>0</v>
      </c>
      <c r="P516" s="126">
        <v>11043.81</v>
      </c>
      <c r="Q516" s="126">
        <v>104.1</v>
      </c>
      <c r="R516" s="126">
        <v>17076.61</v>
      </c>
      <c r="S516" s="126">
        <v>10331.66</v>
      </c>
    </row>
    <row r="517" spans="1:19" ht="15.75" thickBot="1">
      <c r="A517" s="125" t="s">
        <v>1905</v>
      </c>
      <c r="B517" s="125" t="s">
        <v>1397</v>
      </c>
      <c r="C517" s="125" t="s">
        <v>1398</v>
      </c>
      <c r="D517" s="125" t="str">
        <f t="shared" si="8"/>
        <v>2</v>
      </c>
      <c r="E517" s="125" t="s">
        <v>206</v>
      </c>
      <c r="F517" s="125" t="s">
        <v>205</v>
      </c>
      <c r="G517" s="125" t="s">
        <v>1397</v>
      </c>
      <c r="H517" s="125" t="s">
        <v>1400</v>
      </c>
      <c r="I517" s="125" t="s">
        <v>1389</v>
      </c>
      <c r="J517" s="126">
        <v>104.1</v>
      </c>
      <c r="K517" s="126">
        <v>104.1</v>
      </c>
      <c r="L517" s="126">
        <v>0</v>
      </c>
      <c r="M517" s="126">
        <v>0</v>
      </c>
      <c r="N517" s="126">
        <v>0</v>
      </c>
      <c r="O517" s="126">
        <v>0</v>
      </c>
      <c r="P517" s="126">
        <v>104.1</v>
      </c>
      <c r="Q517" s="126">
        <v>0</v>
      </c>
      <c r="R517" s="126">
        <v>104.1</v>
      </c>
      <c r="S517" s="126">
        <v>0</v>
      </c>
    </row>
    <row r="518" spans="1:19" ht="15.75" thickBot="1">
      <c r="A518" s="125" t="s">
        <v>1905</v>
      </c>
      <c r="B518" s="125" t="s">
        <v>7</v>
      </c>
      <c r="C518" s="125" t="s">
        <v>545</v>
      </c>
      <c r="D518" s="125" t="str">
        <f t="shared" si="8"/>
        <v>2</v>
      </c>
      <c r="E518" s="125" t="s">
        <v>206</v>
      </c>
      <c r="F518" s="125" t="s">
        <v>205</v>
      </c>
      <c r="G518" s="125" t="s">
        <v>7</v>
      </c>
      <c r="H518" s="125" t="s">
        <v>1918</v>
      </c>
      <c r="I518" s="125" t="s">
        <v>1420</v>
      </c>
      <c r="J518" s="126">
        <v>27328</v>
      </c>
      <c r="K518" s="127" t="s">
        <v>1275</v>
      </c>
      <c r="L518" s="126">
        <v>27328</v>
      </c>
      <c r="M518" s="126">
        <v>0</v>
      </c>
      <c r="N518" s="126">
        <v>2305.5</v>
      </c>
      <c r="O518" s="126">
        <v>0</v>
      </c>
      <c r="P518" s="126">
        <v>11934.75</v>
      </c>
      <c r="Q518" s="126">
        <v>2657.98</v>
      </c>
      <c r="R518" s="126">
        <v>16898.23</v>
      </c>
      <c r="S518" s="126">
        <v>10703.77</v>
      </c>
    </row>
    <row r="519" spans="1:19" ht="15.75" customHeight="1" thickBot="1">
      <c r="A519" s="125" t="s">
        <v>1273</v>
      </c>
      <c r="B519" s="125" t="s">
        <v>1523</v>
      </c>
      <c r="C519" s="125" t="s">
        <v>1410</v>
      </c>
      <c r="D519" s="125" t="str">
        <f t="shared" si="8"/>
        <v>2</v>
      </c>
      <c r="E519" s="125" t="s">
        <v>206</v>
      </c>
      <c r="F519" s="125" t="s">
        <v>205</v>
      </c>
      <c r="G519" s="125" t="s">
        <v>18</v>
      </c>
      <c r="H519" s="125" t="s">
        <v>1417</v>
      </c>
      <c r="I519" s="125" t="s">
        <v>1412</v>
      </c>
      <c r="J519" s="126">
        <v>111092.5</v>
      </c>
      <c r="K519" s="126">
        <v>16417.5</v>
      </c>
      <c r="L519" s="126">
        <v>94675</v>
      </c>
      <c r="M519" s="126">
        <v>1500</v>
      </c>
      <c r="N519" s="126">
        <v>57327.78</v>
      </c>
      <c r="O519" s="126">
        <v>0</v>
      </c>
      <c r="P519" s="126">
        <v>34784.67</v>
      </c>
      <c r="Q519" s="126">
        <v>759.15</v>
      </c>
      <c r="R519" s="126">
        <v>94371.6</v>
      </c>
      <c r="S519" s="126">
        <v>16573.650000000001</v>
      </c>
    </row>
    <row r="520" spans="1:19" ht="15.75" thickBot="1">
      <c r="A520" s="125" t="s">
        <v>1905</v>
      </c>
      <c r="B520" s="125" t="s">
        <v>1523</v>
      </c>
      <c r="C520" s="125" t="s">
        <v>1410</v>
      </c>
      <c r="D520" s="125" t="str">
        <f t="shared" si="8"/>
        <v>2</v>
      </c>
      <c r="E520" s="125" t="s">
        <v>206</v>
      </c>
      <c r="F520" s="125" t="s">
        <v>205</v>
      </c>
      <c r="G520" s="125" t="s">
        <v>18</v>
      </c>
      <c r="H520" s="125" t="s">
        <v>1417</v>
      </c>
      <c r="I520" s="125" t="s">
        <v>1412</v>
      </c>
      <c r="J520" s="126">
        <v>759.15</v>
      </c>
      <c r="K520" s="126">
        <v>759.15</v>
      </c>
      <c r="L520" s="126">
        <v>0</v>
      </c>
      <c r="M520" s="126">
        <v>0</v>
      </c>
      <c r="N520" s="126">
        <v>0</v>
      </c>
      <c r="O520" s="126">
        <v>0</v>
      </c>
      <c r="P520" s="126">
        <v>722.67</v>
      </c>
      <c r="Q520" s="126">
        <v>36.479999999999997</v>
      </c>
      <c r="R520" s="126">
        <v>759.15</v>
      </c>
      <c r="S520" s="126">
        <v>0</v>
      </c>
    </row>
    <row r="521" spans="1:19" ht="15.75" customHeight="1" thickBot="1">
      <c r="A521" s="125" t="s">
        <v>1273</v>
      </c>
      <c r="B521" s="125" t="s">
        <v>1432</v>
      </c>
      <c r="C521" s="125" t="s">
        <v>559</v>
      </c>
      <c r="D521" s="125" t="str">
        <f t="shared" si="8"/>
        <v>2</v>
      </c>
      <c r="E521" s="125" t="s">
        <v>206</v>
      </c>
      <c r="F521" s="125" t="s">
        <v>205</v>
      </c>
      <c r="G521" s="125" t="s">
        <v>1436</v>
      </c>
      <c r="H521" s="125" t="s">
        <v>1437</v>
      </c>
      <c r="I521" s="125" t="s">
        <v>1433</v>
      </c>
      <c r="J521" s="126">
        <v>25951.1</v>
      </c>
      <c r="K521" s="126">
        <v>201.1</v>
      </c>
      <c r="L521" s="126">
        <v>25750</v>
      </c>
      <c r="M521" s="126">
        <v>1500</v>
      </c>
      <c r="N521" s="126">
        <v>6167.93</v>
      </c>
      <c r="O521" s="126">
        <v>0</v>
      </c>
      <c r="P521" s="126">
        <v>15406.41</v>
      </c>
      <c r="Q521" s="126">
        <v>1645.85</v>
      </c>
      <c r="R521" s="126">
        <v>24720.19</v>
      </c>
      <c r="S521" s="126">
        <v>2325.2199999999998</v>
      </c>
    </row>
    <row r="522" spans="1:19" ht="15.75" thickBot="1">
      <c r="A522" s="125" t="s">
        <v>1905</v>
      </c>
      <c r="B522" s="125" t="s">
        <v>1432</v>
      </c>
      <c r="C522" s="125" t="s">
        <v>559</v>
      </c>
      <c r="D522" s="125" t="str">
        <f t="shared" si="8"/>
        <v>2</v>
      </c>
      <c r="E522" s="125" t="s">
        <v>206</v>
      </c>
      <c r="F522" s="125" t="s">
        <v>205</v>
      </c>
      <c r="G522" s="125" t="s">
        <v>1436</v>
      </c>
      <c r="H522" s="125" t="s">
        <v>1437</v>
      </c>
      <c r="I522" s="125" t="s">
        <v>1433</v>
      </c>
      <c r="J522" s="126">
        <v>24338.85</v>
      </c>
      <c r="K522" s="126">
        <v>1645.85</v>
      </c>
      <c r="L522" s="126">
        <v>22693</v>
      </c>
      <c r="M522" s="126">
        <v>150</v>
      </c>
      <c r="N522" s="126">
        <v>2116.09</v>
      </c>
      <c r="O522" s="126">
        <v>0</v>
      </c>
      <c r="P522" s="126">
        <v>2293.1999999999998</v>
      </c>
      <c r="Q522" s="126">
        <v>2135.36</v>
      </c>
      <c r="R522" s="126">
        <v>6694.65</v>
      </c>
      <c r="S522" s="126">
        <v>18580.650000000001</v>
      </c>
    </row>
    <row r="523" spans="1:19" ht="15.75" customHeight="1" thickBot="1">
      <c r="A523" s="125" t="s">
        <v>1273</v>
      </c>
      <c r="B523" s="125" t="s">
        <v>9</v>
      </c>
      <c r="C523" s="125" t="s">
        <v>576</v>
      </c>
      <c r="D523" s="125" t="str">
        <f t="shared" si="8"/>
        <v>2</v>
      </c>
      <c r="E523" s="125" t="s">
        <v>206</v>
      </c>
      <c r="F523" s="125" t="s">
        <v>205</v>
      </c>
      <c r="G523" s="125" t="s">
        <v>9</v>
      </c>
      <c r="H523" s="125" t="s">
        <v>1440</v>
      </c>
      <c r="I523" s="125" t="s">
        <v>1439</v>
      </c>
      <c r="J523" s="126">
        <v>12112.04</v>
      </c>
      <c r="K523" s="126">
        <v>585.04</v>
      </c>
      <c r="L523" s="126">
        <v>11527</v>
      </c>
      <c r="M523" s="126">
        <v>3000</v>
      </c>
      <c r="N523" s="126">
        <v>0</v>
      </c>
      <c r="O523" s="126">
        <v>0</v>
      </c>
      <c r="P523" s="126">
        <v>10615.21</v>
      </c>
      <c r="Q523" s="126">
        <v>2118.14</v>
      </c>
      <c r="R523" s="126">
        <v>15733.35</v>
      </c>
      <c r="S523" s="126">
        <v>-1428.2</v>
      </c>
    </row>
    <row r="524" spans="1:19" ht="15.75" thickBot="1">
      <c r="A524" s="125" t="s">
        <v>1905</v>
      </c>
      <c r="B524" s="125" t="s">
        <v>9</v>
      </c>
      <c r="C524" s="125" t="s">
        <v>576</v>
      </c>
      <c r="D524" s="125" t="str">
        <f t="shared" si="8"/>
        <v>2</v>
      </c>
      <c r="E524" s="125" t="s">
        <v>206</v>
      </c>
      <c r="F524" s="125" t="s">
        <v>205</v>
      </c>
      <c r="G524" s="125" t="s">
        <v>9</v>
      </c>
      <c r="H524" s="125" t="s">
        <v>1440</v>
      </c>
      <c r="I524" s="125" t="s">
        <v>1439</v>
      </c>
      <c r="J524" s="126">
        <v>11685.14</v>
      </c>
      <c r="K524" s="126">
        <v>2118.14</v>
      </c>
      <c r="L524" s="126">
        <v>9567</v>
      </c>
      <c r="M524" s="126">
        <v>0</v>
      </c>
      <c r="N524" s="126">
        <v>0</v>
      </c>
      <c r="O524" s="126">
        <v>0</v>
      </c>
      <c r="P524" s="126">
        <v>7646.27</v>
      </c>
      <c r="Q524" s="126">
        <v>91.87</v>
      </c>
      <c r="R524" s="126">
        <v>7738.14</v>
      </c>
      <c r="S524" s="126">
        <v>3947</v>
      </c>
    </row>
    <row r="525" spans="1:19" ht="15.75" customHeight="1" thickBot="1">
      <c r="A525" s="125" t="s">
        <v>1273</v>
      </c>
      <c r="B525" s="125" t="s">
        <v>580</v>
      </c>
      <c r="C525" s="125" t="s">
        <v>579</v>
      </c>
      <c r="D525" s="125" t="str">
        <f t="shared" si="8"/>
        <v>2</v>
      </c>
      <c r="E525" s="125" t="s">
        <v>206</v>
      </c>
      <c r="F525" s="125" t="s">
        <v>205</v>
      </c>
      <c r="G525" s="125" t="s">
        <v>580</v>
      </c>
      <c r="H525" s="125" t="s">
        <v>1449</v>
      </c>
      <c r="I525" s="125" t="s">
        <v>1438</v>
      </c>
      <c r="J525" s="126">
        <v>30943</v>
      </c>
      <c r="K525" s="127" t="s">
        <v>1275</v>
      </c>
      <c r="L525" s="126">
        <v>30943</v>
      </c>
      <c r="M525" s="126">
        <v>0</v>
      </c>
      <c r="N525" s="126">
        <v>5705.76</v>
      </c>
      <c r="O525" s="126">
        <v>1800</v>
      </c>
      <c r="P525" s="126">
        <v>24668.720000000001</v>
      </c>
      <c r="Q525" s="126">
        <v>268</v>
      </c>
      <c r="R525" s="126">
        <v>32442.48</v>
      </c>
      <c r="S525" s="126">
        <v>723.55</v>
      </c>
    </row>
    <row r="526" spans="1:19" ht="15.75" thickBot="1">
      <c r="A526" s="125" t="s">
        <v>1905</v>
      </c>
      <c r="B526" s="125" t="s">
        <v>580</v>
      </c>
      <c r="C526" s="125" t="s">
        <v>579</v>
      </c>
      <c r="D526" s="125" t="str">
        <f t="shared" si="8"/>
        <v>2</v>
      </c>
      <c r="E526" s="125" t="s">
        <v>206</v>
      </c>
      <c r="F526" s="125" t="s">
        <v>205</v>
      </c>
      <c r="G526" s="125" t="s">
        <v>580</v>
      </c>
      <c r="H526" s="125" t="s">
        <v>1449</v>
      </c>
      <c r="I526" s="125" t="s">
        <v>1438</v>
      </c>
      <c r="J526" s="126">
        <v>25951</v>
      </c>
      <c r="K526" s="126">
        <v>268</v>
      </c>
      <c r="L526" s="126">
        <v>25683</v>
      </c>
      <c r="M526" s="126">
        <v>0</v>
      </c>
      <c r="N526" s="126">
        <v>2494.02</v>
      </c>
      <c r="O526" s="126">
        <v>1050</v>
      </c>
      <c r="P526" s="126">
        <v>19121.009999999998</v>
      </c>
      <c r="Q526" s="126">
        <v>1116.1600000000001</v>
      </c>
      <c r="R526" s="126">
        <v>23781.19</v>
      </c>
      <c r="S526" s="126">
        <v>4808.3900000000003</v>
      </c>
    </row>
    <row r="527" spans="1:19" ht="15.75" thickBot="1">
      <c r="A527" s="125" t="s">
        <v>1905</v>
      </c>
      <c r="B527" s="125" t="s">
        <v>596</v>
      </c>
      <c r="C527" s="125" t="s">
        <v>595</v>
      </c>
      <c r="D527" s="125" t="str">
        <f t="shared" si="8"/>
        <v>2</v>
      </c>
      <c r="E527" s="125" t="s">
        <v>206</v>
      </c>
      <c r="F527" s="125" t="s">
        <v>205</v>
      </c>
      <c r="G527" s="125" t="s">
        <v>596</v>
      </c>
      <c r="H527" s="125" t="s">
        <v>1919</v>
      </c>
      <c r="I527" s="125" t="s">
        <v>1298</v>
      </c>
      <c r="J527" s="126">
        <v>4633</v>
      </c>
      <c r="K527" s="127" t="s">
        <v>1275</v>
      </c>
      <c r="L527" s="126">
        <v>4633</v>
      </c>
      <c r="M527" s="126">
        <v>0</v>
      </c>
      <c r="N527" s="126">
        <v>0</v>
      </c>
      <c r="O527" s="126">
        <v>0</v>
      </c>
      <c r="P527" s="126">
        <v>1583.6</v>
      </c>
      <c r="Q527" s="126">
        <v>194.3</v>
      </c>
      <c r="R527" s="126">
        <v>1777.9</v>
      </c>
      <c r="S527" s="126">
        <v>2855.1</v>
      </c>
    </row>
    <row r="528" spans="1:19" ht="15.75" customHeight="1" thickBot="1">
      <c r="A528" s="125" t="s">
        <v>1273</v>
      </c>
      <c r="B528" s="125" t="s">
        <v>12</v>
      </c>
      <c r="C528" s="125" t="s">
        <v>611</v>
      </c>
      <c r="D528" s="125" t="str">
        <f t="shared" si="8"/>
        <v>2</v>
      </c>
      <c r="E528" s="125" t="s">
        <v>206</v>
      </c>
      <c r="F528" s="125" t="s">
        <v>205</v>
      </c>
      <c r="G528" s="125" t="s">
        <v>12</v>
      </c>
      <c r="H528" s="125" t="s">
        <v>1475</v>
      </c>
      <c r="I528" s="125" t="s">
        <v>1470</v>
      </c>
      <c r="J528" s="126">
        <v>68053.990000000005</v>
      </c>
      <c r="K528" s="126">
        <v>4104.99</v>
      </c>
      <c r="L528" s="126">
        <v>63949</v>
      </c>
      <c r="M528" s="126">
        <v>750</v>
      </c>
      <c r="N528" s="126">
        <v>34456.879999999997</v>
      </c>
      <c r="O528" s="126">
        <v>0</v>
      </c>
      <c r="P528" s="126">
        <v>34541.68</v>
      </c>
      <c r="Q528" s="126">
        <v>36</v>
      </c>
      <c r="R528" s="126">
        <v>69784.56</v>
      </c>
      <c r="S528" s="126">
        <v>386.95</v>
      </c>
    </row>
    <row r="529" spans="1:19" ht="15.75" thickBot="1">
      <c r="A529" s="125" t="s">
        <v>1905</v>
      </c>
      <c r="B529" s="125" t="s">
        <v>12</v>
      </c>
      <c r="C529" s="125" t="s">
        <v>611</v>
      </c>
      <c r="D529" s="125" t="str">
        <f t="shared" si="8"/>
        <v>2</v>
      </c>
      <c r="E529" s="125" t="s">
        <v>206</v>
      </c>
      <c r="F529" s="125" t="s">
        <v>205</v>
      </c>
      <c r="G529" s="125" t="s">
        <v>12</v>
      </c>
      <c r="H529" s="125" t="s">
        <v>1475</v>
      </c>
      <c r="I529" s="125" t="s">
        <v>1470</v>
      </c>
      <c r="J529" s="126">
        <v>58359</v>
      </c>
      <c r="K529" s="126">
        <v>36</v>
      </c>
      <c r="L529" s="126">
        <v>58323</v>
      </c>
      <c r="M529" s="126">
        <v>0</v>
      </c>
      <c r="N529" s="126">
        <v>18131.88</v>
      </c>
      <c r="O529" s="126">
        <v>0</v>
      </c>
      <c r="P529" s="126">
        <v>12929.16</v>
      </c>
      <c r="Q529" s="126">
        <v>2610.48</v>
      </c>
      <c r="R529" s="126">
        <v>33671.519999999997</v>
      </c>
      <c r="S529" s="126">
        <v>27785.81</v>
      </c>
    </row>
    <row r="530" spans="1:19" ht="15.75" customHeight="1" thickBot="1">
      <c r="A530" s="125" t="s">
        <v>1273</v>
      </c>
      <c r="B530" s="125" t="s">
        <v>625</v>
      </c>
      <c r="C530" s="125" t="s">
        <v>624</v>
      </c>
      <c r="D530" s="125" t="str">
        <f t="shared" si="8"/>
        <v>2</v>
      </c>
      <c r="E530" s="125" t="s">
        <v>206</v>
      </c>
      <c r="F530" s="125" t="s">
        <v>205</v>
      </c>
      <c r="G530" s="125" t="s">
        <v>625</v>
      </c>
      <c r="H530" s="125" t="s">
        <v>1463</v>
      </c>
      <c r="I530" s="125" t="s">
        <v>1460</v>
      </c>
      <c r="J530" s="126">
        <v>45577</v>
      </c>
      <c r="K530" s="127" t="s">
        <v>1275</v>
      </c>
      <c r="L530" s="126">
        <v>45577</v>
      </c>
      <c r="M530" s="126">
        <v>3307.5</v>
      </c>
      <c r="N530" s="126">
        <v>18900.009999999998</v>
      </c>
      <c r="O530" s="126">
        <v>0</v>
      </c>
      <c r="P530" s="126">
        <v>20329.28</v>
      </c>
      <c r="Q530" s="126">
        <v>45</v>
      </c>
      <c r="R530" s="126">
        <v>42581.79</v>
      </c>
      <c r="S530" s="126">
        <v>983.67</v>
      </c>
    </row>
    <row r="531" spans="1:19" ht="15.75" thickBot="1">
      <c r="A531" s="125" t="s">
        <v>1905</v>
      </c>
      <c r="B531" s="125" t="s">
        <v>625</v>
      </c>
      <c r="C531" s="125" t="s">
        <v>624</v>
      </c>
      <c r="D531" s="125" t="str">
        <f t="shared" si="8"/>
        <v>2</v>
      </c>
      <c r="E531" s="125" t="s">
        <v>206</v>
      </c>
      <c r="F531" s="125" t="s">
        <v>205</v>
      </c>
      <c r="G531" s="125" t="s">
        <v>625</v>
      </c>
      <c r="H531" s="125" t="s">
        <v>1463</v>
      </c>
      <c r="I531" s="125" t="s">
        <v>1460</v>
      </c>
      <c r="J531" s="126">
        <v>41882</v>
      </c>
      <c r="K531" s="126">
        <v>45</v>
      </c>
      <c r="L531" s="126">
        <v>41837</v>
      </c>
      <c r="M531" s="126">
        <v>330.75</v>
      </c>
      <c r="N531" s="126">
        <v>21759.16</v>
      </c>
      <c r="O531" s="126">
        <v>0</v>
      </c>
      <c r="P531" s="126">
        <v>10202.629999999999</v>
      </c>
      <c r="Q531" s="126">
        <v>1815.17</v>
      </c>
      <c r="R531" s="126">
        <v>34107.71</v>
      </c>
      <c r="S531" s="126">
        <v>7774.29</v>
      </c>
    </row>
    <row r="532" spans="1:19" ht="15.75" customHeight="1" thickBot="1">
      <c r="A532" s="125" t="s">
        <v>1273</v>
      </c>
      <c r="B532" s="125" t="s">
        <v>14</v>
      </c>
      <c r="C532" s="125" t="s">
        <v>1464</v>
      </c>
      <c r="D532" s="125" t="str">
        <f t="shared" si="8"/>
        <v>2</v>
      </c>
      <c r="E532" s="125" t="s">
        <v>206</v>
      </c>
      <c r="F532" s="125" t="s">
        <v>205</v>
      </c>
      <c r="G532" s="125" t="s">
        <v>14</v>
      </c>
      <c r="H532" s="125" t="s">
        <v>1469</v>
      </c>
      <c r="I532" s="125" t="s">
        <v>1466</v>
      </c>
      <c r="J532" s="126">
        <v>49881.4</v>
      </c>
      <c r="K532" s="126">
        <v>5390.4</v>
      </c>
      <c r="L532" s="126">
        <v>44491</v>
      </c>
      <c r="M532" s="126">
        <v>1967</v>
      </c>
      <c r="N532" s="126">
        <v>17406.080000000002</v>
      </c>
      <c r="O532" s="126">
        <v>0</v>
      </c>
      <c r="P532" s="126">
        <v>21968.63</v>
      </c>
      <c r="Q532" s="126">
        <v>0</v>
      </c>
      <c r="R532" s="126">
        <v>41341.71</v>
      </c>
      <c r="S532" s="126">
        <v>7836.87</v>
      </c>
    </row>
    <row r="533" spans="1:19" ht="15.75" customHeight="1" thickBot="1">
      <c r="A533" s="125" t="s">
        <v>1273</v>
      </c>
      <c r="B533" s="125" t="s">
        <v>0</v>
      </c>
      <c r="C533" s="125" t="s">
        <v>1481</v>
      </c>
      <c r="D533" s="125" t="str">
        <f t="shared" si="8"/>
        <v>2</v>
      </c>
      <c r="E533" s="125" t="s">
        <v>206</v>
      </c>
      <c r="F533" s="125" t="s">
        <v>205</v>
      </c>
      <c r="G533" s="125" t="s">
        <v>0</v>
      </c>
      <c r="H533" s="125" t="s">
        <v>1485</v>
      </c>
      <c r="I533" s="125" t="s">
        <v>1358</v>
      </c>
      <c r="J533" s="126">
        <v>125970.37</v>
      </c>
      <c r="K533" s="126">
        <v>11314.37</v>
      </c>
      <c r="L533" s="126">
        <v>114656</v>
      </c>
      <c r="M533" s="126">
        <v>9000</v>
      </c>
      <c r="N533" s="126">
        <v>30617.97</v>
      </c>
      <c r="O533" s="126">
        <v>0</v>
      </c>
      <c r="P533" s="126">
        <v>27014.16</v>
      </c>
      <c r="Q533" s="126">
        <v>695.53</v>
      </c>
      <c r="R533" s="126">
        <v>67327.66</v>
      </c>
      <c r="S533" s="126">
        <v>15356.04</v>
      </c>
    </row>
    <row r="534" spans="1:19" ht="15.75" thickBot="1">
      <c r="A534" s="125" t="s">
        <v>1905</v>
      </c>
      <c r="B534" s="125" t="s">
        <v>0</v>
      </c>
      <c r="C534" s="125" t="s">
        <v>1481</v>
      </c>
      <c r="D534" s="125" t="str">
        <f t="shared" si="8"/>
        <v>2</v>
      </c>
      <c r="E534" s="125" t="s">
        <v>206</v>
      </c>
      <c r="F534" s="125" t="s">
        <v>205</v>
      </c>
      <c r="G534" s="125" t="s">
        <v>0</v>
      </c>
      <c r="H534" s="125" t="s">
        <v>1485</v>
      </c>
      <c r="I534" s="125" t="s">
        <v>1358</v>
      </c>
      <c r="J534" s="126">
        <v>695.53</v>
      </c>
      <c r="K534" s="126">
        <v>695.53</v>
      </c>
      <c r="L534" s="126">
        <v>0</v>
      </c>
      <c r="M534" s="126">
        <v>0</v>
      </c>
      <c r="N534" s="126">
        <v>45</v>
      </c>
      <c r="O534" s="126">
        <v>0</v>
      </c>
      <c r="P534" s="126">
        <v>695.53</v>
      </c>
      <c r="Q534" s="126">
        <v>0</v>
      </c>
      <c r="R534" s="126">
        <v>740.53</v>
      </c>
      <c r="S534" s="126">
        <v>-45</v>
      </c>
    </row>
    <row r="535" spans="1:19" ht="15.75" customHeight="1" thickBot="1">
      <c r="A535" s="125" t="s">
        <v>1273</v>
      </c>
      <c r="B535" s="125" t="s">
        <v>2</v>
      </c>
      <c r="C535" s="125" t="s">
        <v>1486</v>
      </c>
      <c r="D535" s="125" t="str">
        <f t="shared" si="8"/>
        <v>2</v>
      </c>
      <c r="E535" s="125" t="s">
        <v>206</v>
      </c>
      <c r="F535" s="125" t="s">
        <v>205</v>
      </c>
      <c r="G535" s="125" t="s">
        <v>2</v>
      </c>
      <c r="H535" s="125" t="s">
        <v>1491</v>
      </c>
      <c r="I535" s="125" t="s">
        <v>1365</v>
      </c>
      <c r="J535" s="126">
        <v>139526.04999999999</v>
      </c>
      <c r="K535" s="126">
        <v>3427.05</v>
      </c>
      <c r="L535" s="126">
        <v>136099</v>
      </c>
      <c r="M535" s="126">
        <v>3000</v>
      </c>
      <c r="N535" s="126">
        <v>60155.7</v>
      </c>
      <c r="O535" s="126">
        <v>0</v>
      </c>
      <c r="P535" s="126">
        <v>67150.44</v>
      </c>
      <c r="Q535" s="126">
        <v>625.29999999999995</v>
      </c>
      <c r="R535" s="126">
        <v>130931.44</v>
      </c>
      <c r="S535" s="126">
        <v>6644.73</v>
      </c>
    </row>
    <row r="536" spans="1:19" ht="15.75" thickBot="1">
      <c r="A536" s="125" t="s">
        <v>1905</v>
      </c>
      <c r="B536" s="125" t="s">
        <v>2</v>
      </c>
      <c r="C536" s="125" t="s">
        <v>1486</v>
      </c>
      <c r="D536" s="125" t="str">
        <f t="shared" si="8"/>
        <v>2</v>
      </c>
      <c r="E536" s="125" t="s">
        <v>206</v>
      </c>
      <c r="F536" s="125" t="s">
        <v>205</v>
      </c>
      <c r="G536" s="125" t="s">
        <v>2</v>
      </c>
      <c r="H536" s="125" t="s">
        <v>1491</v>
      </c>
      <c r="I536" s="125" t="s">
        <v>1365</v>
      </c>
      <c r="J536" s="126">
        <v>625.29999999999995</v>
      </c>
      <c r="K536" s="126">
        <v>625.29999999999995</v>
      </c>
      <c r="L536" s="126">
        <v>0</v>
      </c>
      <c r="M536" s="126">
        <v>0</v>
      </c>
      <c r="N536" s="126">
        <v>0</v>
      </c>
      <c r="O536" s="126">
        <v>0</v>
      </c>
      <c r="P536" s="126">
        <v>625.29999999999995</v>
      </c>
      <c r="Q536" s="126">
        <v>0</v>
      </c>
      <c r="R536" s="126">
        <v>625.29999999999995</v>
      </c>
      <c r="S536" s="126">
        <v>0</v>
      </c>
    </row>
    <row r="537" spans="1:19" ht="15.75" customHeight="1" thickBot="1">
      <c r="A537" s="125" t="s">
        <v>1273</v>
      </c>
      <c r="B537" s="125" t="s">
        <v>455</v>
      </c>
      <c r="C537" s="125" t="s">
        <v>1492</v>
      </c>
      <c r="D537" s="125" t="str">
        <f t="shared" si="8"/>
        <v>2</v>
      </c>
      <c r="E537" s="125" t="s">
        <v>206</v>
      </c>
      <c r="F537" s="125" t="s">
        <v>205</v>
      </c>
      <c r="G537" s="125" t="s">
        <v>1494</v>
      </c>
      <c r="H537" s="125" t="s">
        <v>1495</v>
      </c>
      <c r="I537" s="125" t="s">
        <v>1368</v>
      </c>
      <c r="J537" s="126">
        <v>53599.88</v>
      </c>
      <c r="K537" s="126">
        <v>4200.88</v>
      </c>
      <c r="L537" s="126">
        <v>49399</v>
      </c>
      <c r="M537" s="126">
        <v>3000</v>
      </c>
      <c r="N537" s="126">
        <v>19035.77</v>
      </c>
      <c r="O537" s="126">
        <v>0</v>
      </c>
      <c r="P537" s="126">
        <v>23216.67</v>
      </c>
      <c r="Q537" s="126">
        <v>2049.0700000000002</v>
      </c>
      <c r="R537" s="126">
        <v>47301.51</v>
      </c>
      <c r="S537" s="126">
        <v>6779.89</v>
      </c>
    </row>
    <row r="538" spans="1:19" ht="15.75" thickBot="1">
      <c r="A538" s="125" t="s">
        <v>1905</v>
      </c>
      <c r="B538" s="125" t="s">
        <v>455</v>
      </c>
      <c r="C538" s="125" t="s">
        <v>1492</v>
      </c>
      <c r="D538" s="125" t="str">
        <f t="shared" si="8"/>
        <v>2</v>
      </c>
      <c r="E538" s="125" t="s">
        <v>206</v>
      </c>
      <c r="F538" s="125" t="s">
        <v>205</v>
      </c>
      <c r="G538" s="125" t="s">
        <v>1494</v>
      </c>
      <c r="H538" s="125" t="s">
        <v>1495</v>
      </c>
      <c r="I538" s="125" t="s">
        <v>1368</v>
      </c>
      <c r="J538" s="126">
        <v>2049.0700000000002</v>
      </c>
      <c r="K538" s="126">
        <v>2049.0700000000002</v>
      </c>
      <c r="L538" s="126">
        <v>0</v>
      </c>
      <c r="M538" s="126">
        <v>0</v>
      </c>
      <c r="N538" s="126">
        <v>0</v>
      </c>
      <c r="O538" s="126">
        <v>0</v>
      </c>
      <c r="P538" s="126">
        <v>1725.13</v>
      </c>
      <c r="Q538" s="126">
        <v>323.94</v>
      </c>
      <c r="R538" s="126">
        <v>2049.0700000000002</v>
      </c>
      <c r="S538" s="126">
        <v>0</v>
      </c>
    </row>
    <row r="539" spans="1:19" ht="15.75" customHeight="1" thickBot="1">
      <c r="A539" s="125" t="s">
        <v>1273</v>
      </c>
      <c r="B539" s="125" t="s">
        <v>1409</v>
      </c>
      <c r="C539" s="125" t="s">
        <v>1496</v>
      </c>
      <c r="D539" s="125" t="str">
        <f t="shared" si="8"/>
        <v>2</v>
      </c>
      <c r="E539" s="125" t="s">
        <v>206</v>
      </c>
      <c r="F539" s="125" t="s">
        <v>205</v>
      </c>
      <c r="G539" s="125" t="s">
        <v>1409</v>
      </c>
      <c r="H539" s="125" t="s">
        <v>1498</v>
      </c>
      <c r="I539" s="125" t="s">
        <v>1407</v>
      </c>
      <c r="J539" s="126">
        <v>40879.440000000002</v>
      </c>
      <c r="K539" s="126">
        <v>5214.4399999999996</v>
      </c>
      <c r="L539" s="126">
        <v>35665</v>
      </c>
      <c r="M539" s="126">
        <v>3000</v>
      </c>
      <c r="N539" s="126">
        <v>5888.35</v>
      </c>
      <c r="O539" s="126">
        <v>1797</v>
      </c>
      <c r="P539" s="126">
        <v>29156.17</v>
      </c>
      <c r="Q539" s="126">
        <v>0</v>
      </c>
      <c r="R539" s="126">
        <v>39841.519999999997</v>
      </c>
      <c r="S539" s="126">
        <v>1796.17</v>
      </c>
    </row>
    <row r="540" spans="1:19" ht="15.75" customHeight="1" thickBot="1">
      <c r="A540" s="125" t="s">
        <v>1273</v>
      </c>
      <c r="B540" s="125" t="s">
        <v>1499</v>
      </c>
      <c r="C540" s="125" t="s">
        <v>1500</v>
      </c>
      <c r="D540" s="125" t="str">
        <f t="shared" si="8"/>
        <v>2</v>
      </c>
      <c r="E540" s="125" t="s">
        <v>206</v>
      </c>
      <c r="F540" s="125" t="s">
        <v>205</v>
      </c>
      <c r="G540" s="125" t="s">
        <v>1408</v>
      </c>
      <c r="H540" s="125" t="s">
        <v>1502</v>
      </c>
      <c r="I540" s="125" t="s">
        <v>1403</v>
      </c>
      <c r="J540" s="126">
        <v>49521.22</v>
      </c>
      <c r="K540" s="126">
        <v>6076.22</v>
      </c>
      <c r="L540" s="126">
        <v>43445</v>
      </c>
      <c r="M540" s="126">
        <v>3000</v>
      </c>
      <c r="N540" s="126">
        <v>24559.88</v>
      </c>
      <c r="O540" s="126">
        <v>0</v>
      </c>
      <c r="P540" s="126">
        <v>17054.580000000002</v>
      </c>
      <c r="Q540" s="126">
        <v>0</v>
      </c>
      <c r="R540" s="126">
        <v>44614.46</v>
      </c>
      <c r="S540" s="126">
        <v>6215.96</v>
      </c>
    </row>
    <row r="541" spans="1:19" ht="15.75" customHeight="1" thickBot="1">
      <c r="A541" s="125" t="s">
        <v>1273</v>
      </c>
      <c r="B541" s="125" t="s">
        <v>7</v>
      </c>
      <c r="C541" s="125" t="s">
        <v>1503</v>
      </c>
      <c r="D541" s="125" t="str">
        <f t="shared" si="8"/>
        <v>2</v>
      </c>
      <c r="E541" s="125" t="s">
        <v>206</v>
      </c>
      <c r="F541" s="125" t="s">
        <v>205</v>
      </c>
      <c r="G541" s="125" t="s">
        <v>7</v>
      </c>
      <c r="H541" s="125" t="s">
        <v>1508</v>
      </c>
      <c r="I541" s="125" t="s">
        <v>1420</v>
      </c>
      <c r="J541" s="126">
        <v>35917.11</v>
      </c>
      <c r="K541" s="126">
        <v>3251.11</v>
      </c>
      <c r="L541" s="126">
        <v>32666</v>
      </c>
      <c r="M541" s="126">
        <v>3000</v>
      </c>
      <c r="N541" s="126">
        <v>3652.57</v>
      </c>
      <c r="O541" s="126">
        <v>0</v>
      </c>
      <c r="P541" s="126">
        <v>26161.07</v>
      </c>
      <c r="Q541" s="126">
        <v>194.33</v>
      </c>
      <c r="R541" s="126">
        <v>33007.97</v>
      </c>
      <c r="S541" s="126">
        <v>3837.72</v>
      </c>
    </row>
    <row r="542" spans="1:19" ht="15.75" thickBot="1">
      <c r="A542" s="125" t="s">
        <v>1905</v>
      </c>
      <c r="B542" s="125" t="s">
        <v>7</v>
      </c>
      <c r="C542" s="125" t="s">
        <v>1503</v>
      </c>
      <c r="D542" s="125" t="str">
        <f t="shared" si="8"/>
        <v>2</v>
      </c>
      <c r="E542" s="125" t="s">
        <v>206</v>
      </c>
      <c r="F542" s="125" t="s">
        <v>205</v>
      </c>
      <c r="G542" s="125" t="s">
        <v>7</v>
      </c>
      <c r="H542" s="125" t="s">
        <v>1508</v>
      </c>
      <c r="I542" s="125" t="s">
        <v>1420</v>
      </c>
      <c r="J542" s="126">
        <v>194.33</v>
      </c>
      <c r="K542" s="126">
        <v>194.33</v>
      </c>
      <c r="L542" s="126">
        <v>0</v>
      </c>
      <c r="M542" s="126">
        <v>0</v>
      </c>
      <c r="N542" s="126">
        <v>116</v>
      </c>
      <c r="O542" s="126">
        <v>0</v>
      </c>
      <c r="P542" s="126">
        <v>194.33</v>
      </c>
      <c r="Q542" s="126">
        <v>0</v>
      </c>
      <c r="R542" s="126">
        <v>310.33</v>
      </c>
      <c r="S542" s="126">
        <v>-116</v>
      </c>
    </row>
    <row r="543" spans="1:19" ht="15.75" thickBot="1">
      <c r="A543" s="125" t="s">
        <v>1905</v>
      </c>
      <c r="B543" s="125" t="s">
        <v>14</v>
      </c>
      <c r="C543" s="125" t="s">
        <v>635</v>
      </c>
      <c r="D543" s="125" t="str">
        <f t="shared" si="8"/>
        <v>2</v>
      </c>
      <c r="E543" s="125" t="s">
        <v>206</v>
      </c>
      <c r="F543" s="125" t="s">
        <v>205</v>
      </c>
      <c r="G543" s="125" t="s">
        <v>14</v>
      </c>
      <c r="H543" s="125" t="s">
        <v>1922</v>
      </c>
      <c r="I543" s="125" t="s">
        <v>1466</v>
      </c>
      <c r="J543" s="126">
        <v>38697</v>
      </c>
      <c r="K543" s="127" t="s">
        <v>1275</v>
      </c>
      <c r="L543" s="126">
        <v>38697</v>
      </c>
      <c r="M543" s="126">
        <v>0</v>
      </c>
      <c r="N543" s="126">
        <v>28632.38</v>
      </c>
      <c r="O543" s="126">
        <v>0</v>
      </c>
      <c r="P543" s="126">
        <v>5520.29</v>
      </c>
      <c r="Q543" s="126">
        <v>2241.0700000000002</v>
      </c>
      <c r="R543" s="126">
        <v>36393.74</v>
      </c>
      <c r="S543" s="126">
        <v>2303.2600000000002</v>
      </c>
    </row>
    <row r="544" spans="1:19" ht="15.75" customHeight="1" thickBot="1">
      <c r="A544" s="125" t="s">
        <v>1273</v>
      </c>
      <c r="B544" s="125" t="s">
        <v>1514</v>
      </c>
      <c r="C544" s="125" t="s">
        <v>650</v>
      </c>
      <c r="D544" s="125" t="str">
        <f t="shared" si="8"/>
        <v>2</v>
      </c>
      <c r="E544" s="125" t="s">
        <v>206</v>
      </c>
      <c r="F544" s="125" t="s">
        <v>205</v>
      </c>
      <c r="G544" s="125" t="s">
        <v>15</v>
      </c>
      <c r="H544" s="125" t="s">
        <v>1518</v>
      </c>
      <c r="I544" s="125" t="s">
        <v>1517</v>
      </c>
      <c r="J544" s="126">
        <v>113127.5</v>
      </c>
      <c r="K544" s="126">
        <v>37.5</v>
      </c>
      <c r="L544" s="126">
        <v>113090</v>
      </c>
      <c r="M544" s="126">
        <v>5377.5</v>
      </c>
      <c r="N544" s="126">
        <v>2368.0300000000002</v>
      </c>
      <c r="O544" s="126">
        <v>302.25</v>
      </c>
      <c r="P544" s="126">
        <v>88060.2</v>
      </c>
      <c r="Q544" s="126">
        <v>4969.96</v>
      </c>
      <c r="R544" s="126">
        <v>101077.94</v>
      </c>
      <c r="S544" s="126">
        <v>5455.46</v>
      </c>
    </row>
    <row r="545" spans="1:19" ht="15.75" thickBot="1">
      <c r="A545" s="125" t="s">
        <v>1905</v>
      </c>
      <c r="B545" s="125" t="s">
        <v>1514</v>
      </c>
      <c r="C545" s="125" t="s">
        <v>650</v>
      </c>
      <c r="D545" s="125" t="str">
        <f t="shared" si="8"/>
        <v>2</v>
      </c>
      <c r="E545" s="125" t="s">
        <v>206</v>
      </c>
      <c r="F545" s="125" t="s">
        <v>205</v>
      </c>
      <c r="G545" s="125" t="s">
        <v>15</v>
      </c>
      <c r="H545" s="125" t="s">
        <v>1518</v>
      </c>
      <c r="I545" s="125" t="s">
        <v>1517</v>
      </c>
      <c r="J545" s="126">
        <v>101838.96</v>
      </c>
      <c r="K545" s="126">
        <v>4969.96</v>
      </c>
      <c r="L545" s="126">
        <v>96869</v>
      </c>
      <c r="M545" s="126">
        <v>0</v>
      </c>
      <c r="N545" s="126">
        <v>3185.01</v>
      </c>
      <c r="O545" s="126">
        <v>1823.56</v>
      </c>
      <c r="P545" s="126">
        <v>56148.67</v>
      </c>
      <c r="Q545" s="126">
        <v>11085.95</v>
      </c>
      <c r="R545" s="126">
        <v>72243.19</v>
      </c>
      <c r="S545" s="126">
        <v>29595.77</v>
      </c>
    </row>
    <row r="546" spans="1:19" ht="15.75" customHeight="1" thickBot="1">
      <c r="A546" s="125" t="s">
        <v>1273</v>
      </c>
      <c r="B546" s="125" t="s">
        <v>17</v>
      </c>
      <c r="C546" s="125" t="s">
        <v>688</v>
      </c>
      <c r="D546" s="125" t="str">
        <f t="shared" si="8"/>
        <v>2</v>
      </c>
      <c r="E546" s="125" t="s">
        <v>206</v>
      </c>
      <c r="F546" s="125" t="s">
        <v>205</v>
      </c>
      <c r="G546" s="125" t="s">
        <v>17</v>
      </c>
      <c r="H546" s="125" t="s">
        <v>1522</v>
      </c>
      <c r="I546" s="125" t="s">
        <v>1519</v>
      </c>
      <c r="J546" s="126">
        <v>53309.25</v>
      </c>
      <c r="K546" s="126">
        <v>7384.25</v>
      </c>
      <c r="L546" s="126">
        <v>45925</v>
      </c>
      <c r="M546" s="126">
        <v>3375</v>
      </c>
      <c r="N546" s="126">
        <v>0</v>
      </c>
      <c r="O546" s="126">
        <v>0</v>
      </c>
      <c r="P546" s="126">
        <v>40224.800000000003</v>
      </c>
      <c r="Q546" s="126">
        <v>572.66</v>
      </c>
      <c r="R546" s="126">
        <v>44172.46</v>
      </c>
      <c r="S546" s="126">
        <v>9297.0400000000009</v>
      </c>
    </row>
    <row r="547" spans="1:19" ht="15.75" thickBot="1">
      <c r="A547" s="125" t="s">
        <v>1905</v>
      </c>
      <c r="B547" s="125" t="s">
        <v>17</v>
      </c>
      <c r="C547" s="125" t="s">
        <v>688</v>
      </c>
      <c r="D547" s="125" t="str">
        <f t="shared" si="8"/>
        <v>2</v>
      </c>
      <c r="E547" s="125" t="s">
        <v>206</v>
      </c>
      <c r="F547" s="125" t="s">
        <v>205</v>
      </c>
      <c r="G547" s="125" t="s">
        <v>17</v>
      </c>
      <c r="H547" s="125" t="s">
        <v>1522</v>
      </c>
      <c r="I547" s="125" t="s">
        <v>1519</v>
      </c>
      <c r="J547" s="126">
        <v>38690.660000000003</v>
      </c>
      <c r="K547" s="126">
        <v>572.66</v>
      </c>
      <c r="L547" s="126">
        <v>38118</v>
      </c>
      <c r="M547" s="126">
        <v>0</v>
      </c>
      <c r="N547" s="126">
        <v>0</v>
      </c>
      <c r="O547" s="126">
        <v>0</v>
      </c>
      <c r="P547" s="126">
        <v>17557.599999999999</v>
      </c>
      <c r="Q547" s="126">
        <v>3504.24</v>
      </c>
      <c r="R547" s="126">
        <v>21061.84</v>
      </c>
      <c r="S547" s="126">
        <v>17628.82</v>
      </c>
    </row>
    <row r="548" spans="1:19" ht="15.75" thickBot="1">
      <c r="A548" s="125" t="s">
        <v>1905</v>
      </c>
      <c r="B548" s="125" t="s">
        <v>1523</v>
      </c>
      <c r="C548" s="125" t="s">
        <v>692</v>
      </c>
      <c r="D548" s="125" t="str">
        <f t="shared" si="8"/>
        <v>2</v>
      </c>
      <c r="E548" s="125" t="s">
        <v>206</v>
      </c>
      <c r="F548" s="125" t="s">
        <v>205</v>
      </c>
      <c r="G548" s="125" t="s">
        <v>18</v>
      </c>
      <c r="H548" s="125" t="s">
        <v>1925</v>
      </c>
      <c r="I548" s="125" t="s">
        <v>1412</v>
      </c>
      <c r="J548" s="126">
        <v>90753</v>
      </c>
      <c r="K548" s="127" t="s">
        <v>1275</v>
      </c>
      <c r="L548" s="126">
        <v>90753</v>
      </c>
      <c r="M548" s="126">
        <v>0</v>
      </c>
      <c r="N548" s="126">
        <v>38672.199999999997</v>
      </c>
      <c r="O548" s="126">
        <v>0</v>
      </c>
      <c r="P548" s="126">
        <v>11362.15</v>
      </c>
      <c r="Q548" s="126">
        <v>1638.35</v>
      </c>
      <c r="R548" s="126">
        <v>51672.7</v>
      </c>
      <c r="S548" s="126">
        <v>39480.300000000003</v>
      </c>
    </row>
    <row r="549" spans="1:19" ht="15.75" thickBot="1">
      <c r="A549" s="125" t="s">
        <v>1905</v>
      </c>
      <c r="B549" s="125" t="s">
        <v>1325</v>
      </c>
      <c r="C549" s="125" t="s">
        <v>1286</v>
      </c>
      <c r="D549" s="125" t="str">
        <f t="shared" si="8"/>
        <v>2</v>
      </c>
      <c r="E549" s="125" t="s">
        <v>206</v>
      </c>
      <c r="F549" s="125" t="s">
        <v>205</v>
      </c>
      <c r="G549" s="125" t="s">
        <v>1333</v>
      </c>
      <c r="H549" s="125" t="s">
        <v>1334</v>
      </c>
      <c r="I549" s="125" t="s">
        <v>1302</v>
      </c>
      <c r="J549" s="126">
        <v>16600</v>
      </c>
      <c r="K549" s="127" t="s">
        <v>1275</v>
      </c>
      <c r="L549" s="126">
        <v>16600</v>
      </c>
      <c r="M549" s="126">
        <v>0</v>
      </c>
      <c r="N549" s="126">
        <v>0</v>
      </c>
      <c r="O549" s="126">
        <v>0</v>
      </c>
      <c r="P549" s="126">
        <v>0</v>
      </c>
      <c r="Q549" s="126">
        <v>0</v>
      </c>
      <c r="R549" s="126">
        <v>0</v>
      </c>
      <c r="S549" s="126">
        <v>547.23</v>
      </c>
    </row>
    <row r="550" spans="1:19" ht="15.75" thickBot="1">
      <c r="A550" s="125" t="s">
        <v>1905</v>
      </c>
      <c r="B550" s="125" t="s">
        <v>392</v>
      </c>
      <c r="C550" s="125" t="s">
        <v>391</v>
      </c>
      <c r="D550" s="125" t="str">
        <f t="shared" si="8"/>
        <v>5</v>
      </c>
      <c r="E550" s="125" t="s">
        <v>206</v>
      </c>
      <c r="F550" s="125" t="s">
        <v>205</v>
      </c>
      <c r="G550" s="125" t="s">
        <v>1953</v>
      </c>
      <c r="H550" s="125" t="s">
        <v>1954</v>
      </c>
      <c r="I550" s="125" t="s">
        <v>1875</v>
      </c>
      <c r="J550" s="126">
        <v>44615</v>
      </c>
      <c r="K550" s="127" t="s">
        <v>1275</v>
      </c>
      <c r="L550" s="126">
        <v>44615</v>
      </c>
      <c r="M550" s="126">
        <v>0</v>
      </c>
      <c r="N550" s="126">
        <v>0</v>
      </c>
      <c r="O550" s="126">
        <v>0</v>
      </c>
      <c r="P550" s="126">
        <v>0</v>
      </c>
      <c r="Q550" s="126">
        <v>0</v>
      </c>
      <c r="R550" s="126">
        <v>0</v>
      </c>
      <c r="S550" s="126">
        <v>44615</v>
      </c>
    </row>
    <row r="551" spans="1:19" ht="15.75" customHeight="1" thickBot="1">
      <c r="A551" s="125" t="s">
        <v>1273</v>
      </c>
      <c r="B551" s="125" t="s">
        <v>467</v>
      </c>
      <c r="C551" s="125" t="s">
        <v>466</v>
      </c>
      <c r="D551" s="125" t="str">
        <f t="shared" ref="D551:D614" si="9">LEFT(C551:C551,1)</f>
        <v>2</v>
      </c>
      <c r="E551" s="125" t="s">
        <v>206</v>
      </c>
      <c r="F551" s="125" t="s">
        <v>205</v>
      </c>
      <c r="G551" s="125" t="s">
        <v>1372</v>
      </c>
      <c r="H551" s="125" t="s">
        <v>1380</v>
      </c>
      <c r="I551" s="125" t="s">
        <v>1369</v>
      </c>
      <c r="J551" s="126">
        <v>11050.64</v>
      </c>
      <c r="K551" s="126">
        <v>1050.6400000000001</v>
      </c>
      <c r="L551" s="126">
        <v>10000</v>
      </c>
      <c r="M551" s="126">
        <v>0</v>
      </c>
      <c r="N551" s="126">
        <v>0</v>
      </c>
      <c r="O551" s="126">
        <v>0</v>
      </c>
      <c r="P551" s="126">
        <v>8654.5</v>
      </c>
      <c r="Q551" s="126">
        <v>0</v>
      </c>
      <c r="R551" s="126">
        <v>8654.5</v>
      </c>
      <c r="S551" s="126">
        <v>1696.14</v>
      </c>
    </row>
    <row r="552" spans="1:19" ht="15.75" thickBot="1">
      <c r="A552" s="125" t="s">
        <v>1905</v>
      </c>
      <c r="B552" s="125" t="s">
        <v>467</v>
      </c>
      <c r="C552" s="125" t="s">
        <v>466</v>
      </c>
      <c r="D552" s="125" t="str">
        <f t="shared" si="9"/>
        <v>2</v>
      </c>
      <c r="E552" s="125" t="s">
        <v>206</v>
      </c>
      <c r="F552" s="125" t="s">
        <v>205</v>
      </c>
      <c r="G552" s="125" t="s">
        <v>1372</v>
      </c>
      <c r="H552" s="125" t="s">
        <v>1380</v>
      </c>
      <c r="I552" s="125" t="s">
        <v>1369</v>
      </c>
      <c r="J552" s="126">
        <v>23956</v>
      </c>
      <c r="K552" s="127" t="s">
        <v>1275</v>
      </c>
      <c r="L552" s="126">
        <v>23956</v>
      </c>
      <c r="M552" s="126">
        <v>476</v>
      </c>
      <c r="N552" s="126">
        <v>8354.01</v>
      </c>
      <c r="O552" s="126">
        <v>0</v>
      </c>
      <c r="P552" s="126">
        <v>7410.47</v>
      </c>
      <c r="Q552" s="126">
        <v>870.6</v>
      </c>
      <c r="R552" s="126">
        <v>17111.080000000002</v>
      </c>
      <c r="S552" s="126">
        <v>6844.92</v>
      </c>
    </row>
    <row r="553" spans="1:19" ht="15.75" customHeight="1" thickBot="1">
      <c r="A553" s="125" t="s">
        <v>1273</v>
      </c>
      <c r="B553" s="125" t="s">
        <v>9</v>
      </c>
      <c r="C553" s="125" t="s">
        <v>576</v>
      </c>
      <c r="D553" s="125" t="str">
        <f t="shared" si="9"/>
        <v>2</v>
      </c>
      <c r="E553" s="125" t="s">
        <v>206</v>
      </c>
      <c r="F553" s="125" t="s">
        <v>205</v>
      </c>
      <c r="G553" s="125" t="s">
        <v>1441</v>
      </c>
      <c r="H553" s="125" t="s">
        <v>1442</v>
      </c>
      <c r="I553" s="125" t="s">
        <v>1439</v>
      </c>
      <c r="J553" s="126">
        <v>400</v>
      </c>
      <c r="K553" s="127" t="s">
        <v>1275</v>
      </c>
      <c r="L553" s="126">
        <v>400</v>
      </c>
      <c r="M553" s="126">
        <v>0</v>
      </c>
      <c r="N553" s="126">
        <v>0</v>
      </c>
      <c r="O553" s="126">
        <v>0</v>
      </c>
      <c r="P553" s="126">
        <v>363.5</v>
      </c>
      <c r="Q553" s="126">
        <v>0</v>
      </c>
      <c r="R553" s="126">
        <v>363.5</v>
      </c>
      <c r="S553" s="126">
        <v>8.5</v>
      </c>
    </row>
    <row r="554" spans="1:19" ht="15.75" thickBot="1">
      <c r="A554" s="125" t="s">
        <v>1905</v>
      </c>
      <c r="B554" s="125" t="s">
        <v>9</v>
      </c>
      <c r="C554" s="125" t="s">
        <v>576</v>
      </c>
      <c r="D554" s="125" t="str">
        <f t="shared" si="9"/>
        <v>2</v>
      </c>
      <c r="E554" s="125" t="s">
        <v>206</v>
      </c>
      <c r="F554" s="125" t="s">
        <v>205</v>
      </c>
      <c r="G554" s="125" t="s">
        <v>1441</v>
      </c>
      <c r="H554" s="125" t="s">
        <v>1442</v>
      </c>
      <c r="I554" s="125" t="s">
        <v>1439</v>
      </c>
      <c r="J554" s="126">
        <v>332</v>
      </c>
      <c r="K554" s="127" t="s">
        <v>1275</v>
      </c>
      <c r="L554" s="126">
        <v>332</v>
      </c>
      <c r="M554" s="126">
        <v>0</v>
      </c>
      <c r="N554" s="126">
        <v>0</v>
      </c>
      <c r="O554" s="126">
        <v>0</v>
      </c>
      <c r="P554" s="126">
        <v>325.04000000000002</v>
      </c>
      <c r="Q554" s="126">
        <v>0</v>
      </c>
      <c r="R554" s="126">
        <v>325.04000000000002</v>
      </c>
      <c r="S554" s="126">
        <v>6.96</v>
      </c>
    </row>
    <row r="555" spans="1:19" ht="15.75" customHeight="1" thickBot="1">
      <c r="A555" s="125" t="s">
        <v>1273</v>
      </c>
      <c r="B555" s="125" t="s">
        <v>1523</v>
      </c>
      <c r="C555" s="125" t="s">
        <v>692</v>
      </c>
      <c r="D555" s="125" t="str">
        <f t="shared" si="9"/>
        <v>2</v>
      </c>
      <c r="E555" s="125" t="s">
        <v>206</v>
      </c>
      <c r="F555" s="125" t="s">
        <v>205</v>
      </c>
      <c r="G555" s="125" t="s">
        <v>1524</v>
      </c>
      <c r="H555" s="125" t="s">
        <v>1525</v>
      </c>
      <c r="I555" s="125" t="s">
        <v>1526</v>
      </c>
      <c r="J555" s="126">
        <v>0</v>
      </c>
      <c r="K555" s="127" t="s">
        <v>1275</v>
      </c>
      <c r="L555" s="126">
        <v>0</v>
      </c>
      <c r="M555" s="126">
        <v>0</v>
      </c>
      <c r="N555" s="126">
        <v>0</v>
      </c>
      <c r="O555" s="126">
        <v>0</v>
      </c>
      <c r="P555" s="126">
        <v>3689.56</v>
      </c>
      <c r="Q555" s="126">
        <v>0</v>
      </c>
      <c r="R555" s="126">
        <v>3689.56</v>
      </c>
      <c r="S555" s="126">
        <v>10.44</v>
      </c>
    </row>
    <row r="556" spans="1:19" ht="15.75" thickBot="1">
      <c r="A556" s="125" t="s">
        <v>1905</v>
      </c>
      <c r="B556" s="125" t="s">
        <v>1523</v>
      </c>
      <c r="C556" s="125" t="s">
        <v>692</v>
      </c>
      <c r="D556" s="125" t="str">
        <f t="shared" si="9"/>
        <v>2</v>
      </c>
      <c r="E556" s="125" t="s">
        <v>206</v>
      </c>
      <c r="F556" s="125" t="s">
        <v>205</v>
      </c>
      <c r="G556" s="125" t="s">
        <v>1524</v>
      </c>
      <c r="H556" s="125" t="s">
        <v>1525</v>
      </c>
      <c r="I556" s="125" t="s">
        <v>1526</v>
      </c>
      <c r="J556" s="126">
        <v>0</v>
      </c>
      <c r="K556" s="127" t="s">
        <v>1275</v>
      </c>
      <c r="L556" s="126">
        <v>0</v>
      </c>
      <c r="M556" s="126">
        <v>0</v>
      </c>
      <c r="N556" s="126">
        <v>0</v>
      </c>
      <c r="O556" s="126">
        <v>0</v>
      </c>
      <c r="P556" s="126">
        <v>500</v>
      </c>
      <c r="Q556" s="126">
        <v>0</v>
      </c>
      <c r="R556" s="126">
        <v>500</v>
      </c>
      <c r="S556" s="126">
        <v>0</v>
      </c>
    </row>
    <row r="557" spans="1:19" ht="15.75" customHeight="1" thickBot="1">
      <c r="A557" s="125" t="s">
        <v>1273</v>
      </c>
      <c r="B557" s="125" t="s">
        <v>9</v>
      </c>
      <c r="C557" s="125" t="s">
        <v>576</v>
      </c>
      <c r="D557" s="125" t="str">
        <f t="shared" si="9"/>
        <v>2</v>
      </c>
      <c r="E557" s="125" t="s">
        <v>206</v>
      </c>
      <c r="F557" s="125" t="s">
        <v>205</v>
      </c>
      <c r="G557" s="125" t="s">
        <v>1443</v>
      </c>
      <c r="H557" s="125" t="s">
        <v>1444</v>
      </c>
      <c r="I557" s="125" t="s">
        <v>1439</v>
      </c>
      <c r="J557" s="126">
        <v>1285</v>
      </c>
      <c r="K557" s="127" t="s">
        <v>1275</v>
      </c>
      <c r="L557" s="126">
        <v>1285</v>
      </c>
      <c r="M557" s="126">
        <v>0</v>
      </c>
      <c r="N557" s="126">
        <v>0</v>
      </c>
      <c r="O557" s="126">
        <v>0</v>
      </c>
      <c r="P557" s="126">
        <v>1021.21</v>
      </c>
      <c r="Q557" s="126">
        <v>618.70000000000005</v>
      </c>
      <c r="R557" s="126">
        <v>1639.91</v>
      </c>
      <c r="S557" s="126">
        <v>-444.86</v>
      </c>
    </row>
    <row r="558" spans="1:19" ht="15.75" thickBot="1">
      <c r="A558" s="125" t="s">
        <v>1905</v>
      </c>
      <c r="B558" s="125" t="s">
        <v>9</v>
      </c>
      <c r="C558" s="125" t="s">
        <v>576</v>
      </c>
      <c r="D558" s="125" t="str">
        <f t="shared" si="9"/>
        <v>2</v>
      </c>
      <c r="E558" s="125" t="s">
        <v>206</v>
      </c>
      <c r="F558" s="125" t="s">
        <v>205</v>
      </c>
      <c r="G558" s="125" t="s">
        <v>1443</v>
      </c>
      <c r="H558" s="125" t="s">
        <v>1444</v>
      </c>
      <c r="I558" s="125" t="s">
        <v>1439</v>
      </c>
      <c r="J558" s="126">
        <v>1684.7</v>
      </c>
      <c r="K558" s="126">
        <v>618.70000000000005</v>
      </c>
      <c r="L558" s="126">
        <v>1066</v>
      </c>
      <c r="M558" s="126">
        <v>0</v>
      </c>
      <c r="N558" s="126">
        <v>0</v>
      </c>
      <c r="O558" s="126">
        <v>0</v>
      </c>
      <c r="P558" s="126">
        <v>996.71</v>
      </c>
      <c r="Q558" s="126">
        <v>0</v>
      </c>
      <c r="R558" s="126">
        <v>996.71</v>
      </c>
      <c r="S558" s="126">
        <v>687.99</v>
      </c>
    </row>
    <row r="559" spans="1:19" ht="15.75" customHeight="1" thickBot="1">
      <c r="A559" s="125" t="s">
        <v>1273</v>
      </c>
      <c r="B559" s="125" t="s">
        <v>1339</v>
      </c>
      <c r="C559" s="125" t="s">
        <v>1340</v>
      </c>
      <c r="D559" s="125" t="str">
        <f t="shared" si="9"/>
        <v>2</v>
      </c>
      <c r="E559" s="125" t="s">
        <v>206</v>
      </c>
      <c r="F559" s="125" t="s">
        <v>205</v>
      </c>
      <c r="G559" s="125" t="s">
        <v>1341</v>
      </c>
      <c r="H559" s="125" t="s">
        <v>1342</v>
      </c>
      <c r="I559" s="125" t="s">
        <v>1343</v>
      </c>
      <c r="J559" s="126">
        <v>55000</v>
      </c>
      <c r="K559" s="127" t="s">
        <v>1275</v>
      </c>
      <c r="L559" s="126">
        <v>55000</v>
      </c>
      <c r="M559" s="126">
        <v>2797.88</v>
      </c>
      <c r="N559" s="126">
        <v>33303.33</v>
      </c>
      <c r="O559" s="126">
        <v>0</v>
      </c>
      <c r="P559" s="126">
        <v>0</v>
      </c>
      <c r="Q559" s="126">
        <v>0</v>
      </c>
      <c r="R559" s="126">
        <v>36101.21</v>
      </c>
      <c r="S559" s="126">
        <v>17798.79</v>
      </c>
    </row>
    <row r="560" spans="1:19" ht="15.75" thickBot="1">
      <c r="A560" s="125" t="s">
        <v>1905</v>
      </c>
      <c r="B560" s="125" t="s">
        <v>1339</v>
      </c>
      <c r="C560" s="125" t="s">
        <v>1340</v>
      </c>
      <c r="D560" s="125" t="str">
        <f t="shared" si="9"/>
        <v>2</v>
      </c>
      <c r="E560" s="125" t="s">
        <v>206</v>
      </c>
      <c r="F560" s="125" t="s">
        <v>205</v>
      </c>
      <c r="G560" s="125" t="s">
        <v>1341</v>
      </c>
      <c r="H560" s="125" t="s">
        <v>1342</v>
      </c>
      <c r="I560" s="125" t="s">
        <v>1343</v>
      </c>
      <c r="J560" s="126">
        <v>55000</v>
      </c>
      <c r="K560" s="127" t="s">
        <v>1275</v>
      </c>
      <c r="L560" s="126">
        <v>55000</v>
      </c>
      <c r="M560" s="126">
        <v>0</v>
      </c>
      <c r="N560" s="126">
        <v>18071.419999999998</v>
      </c>
      <c r="O560" s="126">
        <v>0</v>
      </c>
      <c r="P560" s="126">
        <v>0</v>
      </c>
      <c r="Q560" s="126">
        <v>0</v>
      </c>
      <c r="R560" s="126">
        <v>18071.419999999998</v>
      </c>
      <c r="S560" s="126">
        <v>36928.58</v>
      </c>
    </row>
    <row r="561" spans="1:19" ht="15.75" customHeight="1" thickBot="1">
      <c r="A561" s="125" t="s">
        <v>1273</v>
      </c>
      <c r="B561" s="125" t="s">
        <v>487</v>
      </c>
      <c r="C561" s="125" t="s">
        <v>486</v>
      </c>
      <c r="D561" s="125" t="str">
        <f t="shared" si="9"/>
        <v>2</v>
      </c>
      <c r="E561" s="125" t="s">
        <v>206</v>
      </c>
      <c r="F561" s="125" t="s">
        <v>205</v>
      </c>
      <c r="G561" s="125" t="s">
        <v>1187</v>
      </c>
      <c r="H561" s="125" t="s">
        <v>1186</v>
      </c>
      <c r="I561" s="125" t="s">
        <v>1381</v>
      </c>
      <c r="J561" s="126">
        <v>4276</v>
      </c>
      <c r="K561" s="127" t="s">
        <v>1275</v>
      </c>
      <c r="L561" s="126">
        <v>4276</v>
      </c>
      <c r="M561" s="126">
        <v>0</v>
      </c>
      <c r="N561" s="126">
        <v>0</v>
      </c>
      <c r="O561" s="126">
        <v>0</v>
      </c>
      <c r="P561" s="126">
        <v>2747.97</v>
      </c>
      <c r="Q561" s="126">
        <v>0</v>
      </c>
      <c r="R561" s="126">
        <v>2747.97</v>
      </c>
      <c r="S561" s="126">
        <v>28.71</v>
      </c>
    </row>
    <row r="562" spans="1:19" ht="15.75" thickBot="1">
      <c r="A562" s="125" t="s">
        <v>1905</v>
      </c>
      <c r="B562" s="125" t="s">
        <v>487</v>
      </c>
      <c r="C562" s="125" t="s">
        <v>486</v>
      </c>
      <c r="D562" s="125" t="str">
        <f t="shared" si="9"/>
        <v>2</v>
      </c>
      <c r="E562" s="125" t="s">
        <v>206</v>
      </c>
      <c r="F562" s="125" t="s">
        <v>205</v>
      </c>
      <c r="G562" s="125" t="s">
        <v>1187</v>
      </c>
      <c r="H562" s="125" t="s">
        <v>1186</v>
      </c>
      <c r="I562" s="125" t="s">
        <v>1381</v>
      </c>
      <c r="J562" s="126">
        <v>92350</v>
      </c>
      <c r="K562" s="127" t="s">
        <v>1275</v>
      </c>
      <c r="L562" s="126">
        <v>92350</v>
      </c>
      <c r="M562" s="126">
        <v>8535.94</v>
      </c>
      <c r="N562" s="126">
        <v>38212.629999999997</v>
      </c>
      <c r="O562" s="126">
        <v>0</v>
      </c>
      <c r="P562" s="126">
        <v>3202.79</v>
      </c>
      <c r="Q562" s="126">
        <v>223.28</v>
      </c>
      <c r="R562" s="126">
        <v>50174.64</v>
      </c>
      <c r="S562" s="126">
        <v>42175.360000000001</v>
      </c>
    </row>
    <row r="563" spans="1:19" ht="15.75" customHeight="1" thickBot="1">
      <c r="A563" s="125" t="s">
        <v>1273</v>
      </c>
      <c r="B563" s="125" t="s">
        <v>526</v>
      </c>
      <c r="C563" s="125" t="s">
        <v>525</v>
      </c>
      <c r="D563" s="125" t="str">
        <f t="shared" si="9"/>
        <v>2</v>
      </c>
      <c r="E563" s="125" t="s">
        <v>206</v>
      </c>
      <c r="F563" s="125" t="s">
        <v>205</v>
      </c>
      <c r="G563" s="125" t="s">
        <v>1401</v>
      </c>
      <c r="H563" s="125" t="s">
        <v>1406</v>
      </c>
      <c r="I563" s="125" t="s">
        <v>1403</v>
      </c>
      <c r="J563" s="126">
        <v>2350</v>
      </c>
      <c r="K563" s="126">
        <v>206</v>
      </c>
      <c r="L563" s="126">
        <v>2144</v>
      </c>
      <c r="M563" s="126">
        <v>0</v>
      </c>
      <c r="N563" s="126">
        <v>0</v>
      </c>
      <c r="O563" s="126">
        <v>0</v>
      </c>
      <c r="P563" s="126">
        <v>2031.85</v>
      </c>
      <c r="Q563" s="126">
        <v>0</v>
      </c>
      <c r="R563" s="126">
        <v>2031.85</v>
      </c>
      <c r="S563" s="126">
        <v>168.07</v>
      </c>
    </row>
    <row r="564" spans="1:19" ht="15.75" thickBot="1">
      <c r="A564" s="125" t="s">
        <v>1905</v>
      </c>
      <c r="B564" s="125" t="s">
        <v>526</v>
      </c>
      <c r="C564" s="125" t="s">
        <v>525</v>
      </c>
      <c r="D564" s="125" t="str">
        <f t="shared" si="9"/>
        <v>2</v>
      </c>
      <c r="E564" s="125" t="s">
        <v>206</v>
      </c>
      <c r="F564" s="125" t="s">
        <v>205</v>
      </c>
      <c r="G564" s="125" t="s">
        <v>1401</v>
      </c>
      <c r="H564" s="125" t="s">
        <v>1406</v>
      </c>
      <c r="I564" s="125" t="s">
        <v>1403</v>
      </c>
      <c r="J564" s="126">
        <v>34805</v>
      </c>
      <c r="K564" s="127" t="s">
        <v>1275</v>
      </c>
      <c r="L564" s="126">
        <v>34805</v>
      </c>
      <c r="M564" s="126">
        <v>0</v>
      </c>
      <c r="N564" s="126">
        <v>21366.7</v>
      </c>
      <c r="O564" s="126">
        <v>0</v>
      </c>
      <c r="P564" s="126">
        <v>0</v>
      </c>
      <c r="Q564" s="126">
        <v>0</v>
      </c>
      <c r="R564" s="126">
        <v>21366.7</v>
      </c>
      <c r="S564" s="126">
        <v>13438.3</v>
      </c>
    </row>
    <row r="565" spans="1:19" ht="15.75" customHeight="1" thickBot="1">
      <c r="A565" s="125" t="s">
        <v>1273</v>
      </c>
      <c r="B565" s="125" t="s">
        <v>487</v>
      </c>
      <c r="C565" s="125" t="s">
        <v>486</v>
      </c>
      <c r="D565" s="125" t="str">
        <f t="shared" si="9"/>
        <v>2</v>
      </c>
      <c r="E565" s="125" t="s">
        <v>206</v>
      </c>
      <c r="F565" s="125" t="s">
        <v>205</v>
      </c>
      <c r="G565" s="125" t="s">
        <v>1387</v>
      </c>
      <c r="H565" s="125" t="s">
        <v>1388</v>
      </c>
      <c r="I565" s="125" t="s">
        <v>1381</v>
      </c>
      <c r="J565" s="126">
        <v>0</v>
      </c>
      <c r="K565" s="127" t="s">
        <v>1275</v>
      </c>
      <c r="L565" s="126">
        <v>0</v>
      </c>
      <c r="M565" s="126">
        <v>0</v>
      </c>
      <c r="N565" s="126">
        <v>0</v>
      </c>
      <c r="O565" s="126">
        <v>0</v>
      </c>
      <c r="P565" s="126">
        <v>3354.34</v>
      </c>
      <c r="Q565" s="126">
        <v>0</v>
      </c>
      <c r="R565" s="126">
        <v>3354.34</v>
      </c>
      <c r="S565" s="126">
        <v>2095.66</v>
      </c>
    </row>
    <row r="566" spans="1:19" ht="15.75" thickBot="1">
      <c r="A566" s="125" t="s">
        <v>1905</v>
      </c>
      <c r="B566" s="125" t="s">
        <v>487</v>
      </c>
      <c r="C566" s="125" t="s">
        <v>486</v>
      </c>
      <c r="D566" s="125" t="str">
        <f t="shared" si="9"/>
        <v>2</v>
      </c>
      <c r="E566" s="125" t="s">
        <v>206</v>
      </c>
      <c r="F566" s="125" t="s">
        <v>205</v>
      </c>
      <c r="G566" s="125" t="s">
        <v>1387</v>
      </c>
      <c r="H566" s="125" t="s">
        <v>1388</v>
      </c>
      <c r="I566" s="125" t="s">
        <v>1381</v>
      </c>
      <c r="J566" s="126">
        <v>4524</v>
      </c>
      <c r="K566" s="127" t="s">
        <v>1275</v>
      </c>
      <c r="L566" s="126">
        <v>4524</v>
      </c>
      <c r="M566" s="126">
        <v>0</v>
      </c>
      <c r="N566" s="126">
        <v>0</v>
      </c>
      <c r="O566" s="126">
        <v>0</v>
      </c>
      <c r="P566" s="126">
        <v>50.4</v>
      </c>
      <c r="Q566" s="126">
        <v>0</v>
      </c>
      <c r="R566" s="126">
        <v>50.4</v>
      </c>
      <c r="S566" s="126">
        <v>4473.6000000000004</v>
      </c>
    </row>
    <row r="567" spans="1:19" ht="15.75" customHeight="1" thickBot="1">
      <c r="A567" s="125" t="s">
        <v>1273</v>
      </c>
      <c r="B567" s="125" t="s">
        <v>0</v>
      </c>
      <c r="C567" s="125" t="s">
        <v>406</v>
      </c>
      <c r="D567" s="125" t="str">
        <f t="shared" si="9"/>
        <v>2</v>
      </c>
      <c r="E567" s="125" t="s">
        <v>206</v>
      </c>
      <c r="F567" s="125" t="s">
        <v>205</v>
      </c>
      <c r="G567" s="125" t="s">
        <v>1359</v>
      </c>
      <c r="H567" s="125" t="s">
        <v>1360</v>
      </c>
      <c r="I567" s="125" t="s">
        <v>1361</v>
      </c>
      <c r="J567" s="126">
        <v>0</v>
      </c>
      <c r="K567" s="127" t="s">
        <v>1275</v>
      </c>
      <c r="L567" s="126">
        <v>0</v>
      </c>
      <c r="M567" s="126">
        <v>0</v>
      </c>
      <c r="N567" s="126">
        <v>0</v>
      </c>
      <c r="O567" s="126">
        <v>0</v>
      </c>
      <c r="P567" s="126">
        <v>46000</v>
      </c>
      <c r="Q567" s="126">
        <v>0</v>
      </c>
      <c r="R567" s="126">
        <v>46000</v>
      </c>
      <c r="S567" s="126">
        <v>0</v>
      </c>
    </row>
    <row r="568" spans="1:19" ht="15.75" thickBot="1">
      <c r="A568" s="125" t="s">
        <v>1905</v>
      </c>
      <c r="B568" s="125" t="s">
        <v>0</v>
      </c>
      <c r="C568" s="125" t="s">
        <v>406</v>
      </c>
      <c r="D568" s="125" t="str">
        <f t="shared" si="9"/>
        <v>2</v>
      </c>
      <c r="E568" s="125" t="s">
        <v>206</v>
      </c>
      <c r="F568" s="125" t="s">
        <v>205</v>
      </c>
      <c r="G568" s="125" t="s">
        <v>1359</v>
      </c>
      <c r="H568" s="125" t="s">
        <v>1360</v>
      </c>
      <c r="I568" s="125" t="s">
        <v>1361</v>
      </c>
      <c r="J568" s="126">
        <v>38180</v>
      </c>
      <c r="K568" s="126">
        <v>0</v>
      </c>
      <c r="L568" s="126">
        <v>38180</v>
      </c>
      <c r="M568" s="126">
        <v>0</v>
      </c>
      <c r="N568" s="126">
        <v>0</v>
      </c>
      <c r="O568" s="126">
        <v>0</v>
      </c>
      <c r="P568" s="126">
        <v>28643.67</v>
      </c>
      <c r="Q568" s="126">
        <v>5346.86</v>
      </c>
      <c r="R568" s="126">
        <v>33990.53</v>
      </c>
      <c r="S568" s="126">
        <v>4189.47</v>
      </c>
    </row>
    <row r="569" spans="1:19" ht="15.75" customHeight="1" thickBot="1">
      <c r="A569" s="125" t="s">
        <v>1273</v>
      </c>
      <c r="B569" s="125" t="s">
        <v>7</v>
      </c>
      <c r="C569" s="125" t="s">
        <v>545</v>
      </c>
      <c r="D569" s="125" t="str">
        <f t="shared" si="9"/>
        <v>2</v>
      </c>
      <c r="E569" s="125" t="s">
        <v>206</v>
      </c>
      <c r="F569" s="125" t="s">
        <v>205</v>
      </c>
      <c r="G569" s="125" t="s">
        <v>950</v>
      </c>
      <c r="H569" s="125" t="s">
        <v>1418</v>
      </c>
      <c r="I569" s="125" t="s">
        <v>1419</v>
      </c>
      <c r="J569" s="126">
        <v>16430.91</v>
      </c>
      <c r="K569" s="126">
        <v>466.91</v>
      </c>
      <c r="L569" s="126">
        <v>15964</v>
      </c>
      <c r="M569" s="126">
        <v>0</v>
      </c>
      <c r="N569" s="126">
        <v>0</v>
      </c>
      <c r="O569" s="126">
        <v>0</v>
      </c>
      <c r="P569" s="126">
        <v>14959.92</v>
      </c>
      <c r="Q569" s="126">
        <v>0</v>
      </c>
      <c r="R569" s="126">
        <v>14959.92</v>
      </c>
      <c r="S569" s="126">
        <v>353.51</v>
      </c>
    </row>
    <row r="570" spans="1:19" ht="15.75" thickBot="1">
      <c r="A570" s="125" t="s">
        <v>1905</v>
      </c>
      <c r="B570" s="125" t="s">
        <v>7</v>
      </c>
      <c r="C570" s="125" t="s">
        <v>545</v>
      </c>
      <c r="D570" s="125" t="str">
        <f t="shared" si="9"/>
        <v>2</v>
      </c>
      <c r="E570" s="125" t="s">
        <v>206</v>
      </c>
      <c r="F570" s="125" t="s">
        <v>205</v>
      </c>
      <c r="G570" s="125" t="s">
        <v>950</v>
      </c>
      <c r="H570" s="125" t="s">
        <v>1418</v>
      </c>
      <c r="I570" s="125" t="s">
        <v>1419</v>
      </c>
      <c r="J570" s="126">
        <v>13250</v>
      </c>
      <c r="K570" s="127" t="s">
        <v>1275</v>
      </c>
      <c r="L570" s="126">
        <v>13250</v>
      </c>
      <c r="M570" s="126">
        <v>0</v>
      </c>
      <c r="N570" s="126">
        <v>0</v>
      </c>
      <c r="O570" s="126">
        <v>0</v>
      </c>
      <c r="P570" s="126">
        <v>8514.44</v>
      </c>
      <c r="Q570" s="126">
        <v>209.71</v>
      </c>
      <c r="R570" s="126">
        <v>8724.15</v>
      </c>
      <c r="S570" s="126">
        <v>4525.8500000000004</v>
      </c>
    </row>
    <row r="571" spans="1:19" ht="15.75" customHeight="1" thickBot="1">
      <c r="A571" s="125" t="s">
        <v>1273</v>
      </c>
      <c r="B571" s="125" t="s">
        <v>1346</v>
      </c>
      <c r="C571" s="125" t="s">
        <v>1149</v>
      </c>
      <c r="D571" s="125" t="str">
        <f t="shared" si="9"/>
        <v>5</v>
      </c>
      <c r="E571" s="125" t="s">
        <v>206</v>
      </c>
      <c r="F571" s="125" t="s">
        <v>205</v>
      </c>
      <c r="G571" s="125" t="s">
        <v>1843</v>
      </c>
      <c r="H571" s="125" t="s">
        <v>1852</v>
      </c>
      <c r="I571" s="125" t="s">
        <v>1350</v>
      </c>
      <c r="J571" s="126">
        <v>39251</v>
      </c>
      <c r="K571" s="127" t="s">
        <v>1275</v>
      </c>
      <c r="L571" s="126">
        <v>39251</v>
      </c>
      <c r="M571" s="126">
        <v>116</v>
      </c>
      <c r="N571" s="126">
        <v>0</v>
      </c>
      <c r="O571" s="126">
        <v>0</v>
      </c>
      <c r="P571" s="126">
        <v>4578.88</v>
      </c>
      <c r="Q571" s="126">
        <v>0</v>
      </c>
      <c r="R571" s="126">
        <v>4694.88</v>
      </c>
      <c r="S571" s="126">
        <v>26256.1</v>
      </c>
    </row>
    <row r="572" spans="1:19" ht="15.75" thickBot="1">
      <c r="A572" s="125" t="s">
        <v>1905</v>
      </c>
      <c r="B572" s="125" t="s">
        <v>1346</v>
      </c>
      <c r="C572" s="125" t="s">
        <v>1149</v>
      </c>
      <c r="D572" s="125" t="str">
        <f t="shared" si="9"/>
        <v>5</v>
      </c>
      <c r="E572" s="125" t="s">
        <v>206</v>
      </c>
      <c r="F572" s="125" t="s">
        <v>205</v>
      </c>
      <c r="G572" s="125" t="s">
        <v>1843</v>
      </c>
      <c r="H572" s="125" t="s">
        <v>1852</v>
      </c>
      <c r="I572" s="125" t="s">
        <v>1350</v>
      </c>
      <c r="J572" s="126">
        <v>39047</v>
      </c>
      <c r="K572" s="127" t="s">
        <v>1275</v>
      </c>
      <c r="L572" s="126">
        <v>39047</v>
      </c>
      <c r="M572" s="126">
        <v>0</v>
      </c>
      <c r="N572" s="126">
        <v>108.75</v>
      </c>
      <c r="O572" s="126">
        <v>0</v>
      </c>
      <c r="P572" s="126">
        <v>2872.16</v>
      </c>
      <c r="Q572" s="126">
        <v>1015.2</v>
      </c>
      <c r="R572" s="126">
        <v>3996.11</v>
      </c>
      <c r="S572" s="126">
        <v>35050.89</v>
      </c>
    </row>
    <row r="573" spans="1:19" ht="15.75" customHeight="1" thickBot="1">
      <c r="A573" s="125" t="s">
        <v>1273</v>
      </c>
      <c r="B573" s="125" t="s">
        <v>710</v>
      </c>
      <c r="C573" s="125" t="s">
        <v>709</v>
      </c>
      <c r="D573" s="125" t="str">
        <f t="shared" si="9"/>
        <v>2</v>
      </c>
      <c r="E573" s="125" t="s">
        <v>206</v>
      </c>
      <c r="F573" s="125" t="s">
        <v>205</v>
      </c>
      <c r="G573" s="125" t="s">
        <v>710</v>
      </c>
      <c r="H573" s="125" t="s">
        <v>1321</v>
      </c>
      <c r="I573" s="125" t="s">
        <v>1322</v>
      </c>
      <c r="J573" s="126">
        <v>11429</v>
      </c>
      <c r="K573" s="127" t="s">
        <v>1275</v>
      </c>
      <c r="L573" s="126">
        <v>11429</v>
      </c>
      <c r="M573" s="126">
        <v>0</v>
      </c>
      <c r="N573" s="126">
        <v>380</v>
      </c>
      <c r="O573" s="126">
        <v>0</v>
      </c>
      <c r="P573" s="126">
        <v>5160.28</v>
      </c>
      <c r="Q573" s="126">
        <v>500</v>
      </c>
      <c r="R573" s="126">
        <v>6040.28</v>
      </c>
      <c r="S573" s="126">
        <v>4660.1400000000003</v>
      </c>
    </row>
    <row r="574" spans="1:19" ht="15.75" thickBot="1">
      <c r="A574" s="125" t="s">
        <v>1905</v>
      </c>
      <c r="B574" s="125" t="s">
        <v>710</v>
      </c>
      <c r="C574" s="125" t="s">
        <v>709</v>
      </c>
      <c r="D574" s="125" t="str">
        <f t="shared" si="9"/>
        <v>2</v>
      </c>
      <c r="E574" s="125" t="s">
        <v>206</v>
      </c>
      <c r="F574" s="125" t="s">
        <v>205</v>
      </c>
      <c r="G574" s="125" t="s">
        <v>710</v>
      </c>
      <c r="H574" s="125" t="s">
        <v>1321</v>
      </c>
      <c r="I574" s="125" t="s">
        <v>1322</v>
      </c>
      <c r="J574" s="126">
        <v>10229</v>
      </c>
      <c r="K574" s="126">
        <v>500</v>
      </c>
      <c r="L574" s="126">
        <v>9729</v>
      </c>
      <c r="M574" s="126">
        <v>0</v>
      </c>
      <c r="N574" s="126">
        <v>0</v>
      </c>
      <c r="O574" s="126">
        <v>0</v>
      </c>
      <c r="P574" s="126">
        <v>2358.31</v>
      </c>
      <c r="Q574" s="126">
        <v>410.55</v>
      </c>
      <c r="R574" s="126">
        <v>2768.86</v>
      </c>
      <c r="S574" s="126">
        <v>7460.14</v>
      </c>
    </row>
    <row r="575" spans="1:19" ht="15.75" thickBot="1">
      <c r="A575" s="125" t="s">
        <v>1905</v>
      </c>
      <c r="B575" s="125" t="s">
        <v>1299</v>
      </c>
      <c r="C575" s="125" t="s">
        <v>719</v>
      </c>
      <c r="D575" s="125" t="str">
        <f t="shared" si="9"/>
        <v>2</v>
      </c>
      <c r="E575" s="125" t="s">
        <v>206</v>
      </c>
      <c r="F575" s="125" t="s">
        <v>205</v>
      </c>
      <c r="G575" s="125" t="s">
        <v>1312</v>
      </c>
      <c r="H575" s="125" t="s">
        <v>1313</v>
      </c>
      <c r="I575" s="125" t="s">
        <v>1301</v>
      </c>
      <c r="J575" s="126">
        <v>50000</v>
      </c>
      <c r="K575" s="127" t="s">
        <v>1275</v>
      </c>
      <c r="L575" s="126">
        <v>50000</v>
      </c>
      <c r="M575" s="126">
        <v>0</v>
      </c>
      <c r="N575" s="126">
        <v>0</v>
      </c>
      <c r="O575" s="126">
        <v>0</v>
      </c>
      <c r="P575" s="126">
        <v>1000</v>
      </c>
      <c r="Q575" s="126">
        <v>4750</v>
      </c>
      <c r="R575" s="126">
        <v>5750</v>
      </c>
      <c r="S575" s="126">
        <v>22313.87</v>
      </c>
    </row>
    <row r="576" spans="1:19" ht="15.75" customHeight="1" thickBot="1">
      <c r="A576" s="125" t="s">
        <v>1273</v>
      </c>
      <c r="B576" s="125" t="s">
        <v>1820</v>
      </c>
      <c r="C576" s="129">
        <v>2056</v>
      </c>
      <c r="D576" s="125" t="str">
        <f t="shared" si="9"/>
        <v>2</v>
      </c>
      <c r="E576" s="125" t="s">
        <v>206</v>
      </c>
      <c r="F576" s="125" t="s">
        <v>205</v>
      </c>
      <c r="G576" s="125" t="s">
        <v>1189</v>
      </c>
      <c r="H576" s="125" t="s">
        <v>1188</v>
      </c>
      <c r="I576" s="125" t="s">
        <v>1827</v>
      </c>
      <c r="J576" s="126">
        <v>35000</v>
      </c>
      <c r="K576" s="126">
        <v>0</v>
      </c>
      <c r="L576" s="126">
        <v>35000</v>
      </c>
      <c r="M576" s="126">
        <v>3168.7</v>
      </c>
      <c r="N576" s="126">
        <v>0</v>
      </c>
      <c r="O576" s="126">
        <v>0</v>
      </c>
      <c r="P576" s="126">
        <v>21555.31</v>
      </c>
      <c r="Q576" s="126">
        <v>0</v>
      </c>
      <c r="R576" s="126">
        <v>24724.01</v>
      </c>
      <c r="S576" s="126">
        <v>37321.72</v>
      </c>
    </row>
    <row r="577" spans="1:19" ht="15.75" thickBot="1">
      <c r="A577" s="125" t="s">
        <v>1905</v>
      </c>
      <c r="B577" s="125" t="s">
        <v>1820</v>
      </c>
      <c r="C577" s="129">
        <v>2056</v>
      </c>
      <c r="D577" s="125" t="str">
        <f t="shared" si="9"/>
        <v>2</v>
      </c>
      <c r="E577" s="125" t="s">
        <v>206</v>
      </c>
      <c r="F577" s="125" t="s">
        <v>205</v>
      </c>
      <c r="G577" s="125" t="s">
        <v>1189</v>
      </c>
      <c r="H577" s="125" t="s">
        <v>1188</v>
      </c>
      <c r="I577" s="125" t="s">
        <v>1827</v>
      </c>
      <c r="J577" s="126">
        <v>26125</v>
      </c>
      <c r="K577" s="127" t="s">
        <v>1275</v>
      </c>
      <c r="L577" s="126">
        <v>26125</v>
      </c>
      <c r="M577" s="126">
        <v>1692.99</v>
      </c>
      <c r="N577" s="126">
        <v>0</v>
      </c>
      <c r="O577" s="126">
        <v>0</v>
      </c>
      <c r="P577" s="126">
        <v>27432.58</v>
      </c>
      <c r="Q577" s="126">
        <v>27370.71</v>
      </c>
      <c r="R577" s="126">
        <v>56496.28</v>
      </c>
      <c r="S577" s="126">
        <v>6950.44</v>
      </c>
    </row>
    <row r="578" spans="1:19" ht="15.75" customHeight="1" thickBot="1">
      <c r="A578" s="125" t="s">
        <v>1273</v>
      </c>
      <c r="B578" s="125" t="s">
        <v>1423</v>
      </c>
      <c r="C578" s="125" t="s">
        <v>733</v>
      </c>
      <c r="D578" s="125" t="str">
        <f t="shared" si="9"/>
        <v>2</v>
      </c>
      <c r="E578" s="125" t="s">
        <v>206</v>
      </c>
      <c r="F578" s="125" t="s">
        <v>205</v>
      </c>
      <c r="G578" s="125" t="s">
        <v>1427</v>
      </c>
      <c r="H578" s="125" t="s">
        <v>1428</v>
      </c>
      <c r="I578" s="125" t="s">
        <v>1424</v>
      </c>
      <c r="J578" s="126">
        <v>0</v>
      </c>
      <c r="K578" s="127" t="s">
        <v>1275</v>
      </c>
      <c r="L578" s="126">
        <v>0</v>
      </c>
      <c r="M578" s="126">
        <v>0</v>
      </c>
      <c r="N578" s="126">
        <v>0</v>
      </c>
      <c r="O578" s="126">
        <v>0</v>
      </c>
      <c r="P578" s="126">
        <v>14433.68</v>
      </c>
      <c r="Q578" s="126">
        <v>0</v>
      </c>
      <c r="R578" s="126">
        <v>14433.68</v>
      </c>
      <c r="S578" s="126">
        <v>535.55999999999995</v>
      </c>
    </row>
    <row r="579" spans="1:19" ht="15.75" thickBot="1">
      <c r="A579" s="125" t="s">
        <v>1905</v>
      </c>
      <c r="B579" s="125" t="s">
        <v>1423</v>
      </c>
      <c r="C579" s="125" t="s">
        <v>733</v>
      </c>
      <c r="D579" s="125" t="str">
        <f t="shared" si="9"/>
        <v>2</v>
      </c>
      <c r="E579" s="125" t="s">
        <v>206</v>
      </c>
      <c r="F579" s="125" t="s">
        <v>205</v>
      </c>
      <c r="G579" s="125" t="s">
        <v>1427</v>
      </c>
      <c r="H579" s="125" t="s">
        <v>1428</v>
      </c>
      <c r="I579" s="125" t="s">
        <v>1424</v>
      </c>
      <c r="J579" s="126">
        <v>0</v>
      </c>
      <c r="K579" s="127" t="s">
        <v>1275</v>
      </c>
      <c r="L579" s="126">
        <v>0</v>
      </c>
      <c r="M579" s="126">
        <v>0</v>
      </c>
      <c r="N579" s="126">
        <v>0</v>
      </c>
      <c r="O579" s="126">
        <v>0</v>
      </c>
      <c r="P579" s="126">
        <v>4894.92</v>
      </c>
      <c r="Q579" s="126">
        <v>2898.58</v>
      </c>
      <c r="R579" s="126">
        <v>7793.5</v>
      </c>
      <c r="S579" s="126">
        <v>670.23</v>
      </c>
    </row>
    <row r="580" spans="1:19" ht="15.75" customHeight="1" thickBot="1">
      <c r="A580" s="125" t="s">
        <v>1273</v>
      </c>
      <c r="B580" s="125" t="s">
        <v>1453</v>
      </c>
      <c r="C580" s="125" t="s">
        <v>738</v>
      </c>
      <c r="D580" s="125" t="str">
        <f t="shared" si="9"/>
        <v>2</v>
      </c>
      <c r="E580" s="125" t="s">
        <v>206</v>
      </c>
      <c r="F580" s="125" t="s">
        <v>205</v>
      </c>
      <c r="G580" s="125" t="s">
        <v>1455</v>
      </c>
      <c r="H580" s="125" t="s">
        <v>1456</v>
      </c>
      <c r="I580" s="125" t="s">
        <v>1454</v>
      </c>
      <c r="J580" s="126">
        <v>0</v>
      </c>
      <c r="K580" s="127" t="s">
        <v>1275</v>
      </c>
      <c r="L580" s="126">
        <v>0</v>
      </c>
      <c r="M580" s="126">
        <v>0</v>
      </c>
      <c r="N580" s="126">
        <v>0</v>
      </c>
      <c r="O580" s="126">
        <v>0</v>
      </c>
      <c r="P580" s="126">
        <v>7583.15</v>
      </c>
      <c r="Q580" s="126">
        <v>0</v>
      </c>
      <c r="R580" s="126">
        <v>7583.15</v>
      </c>
      <c r="S580" s="126">
        <v>4411.8500000000004</v>
      </c>
    </row>
    <row r="581" spans="1:19" ht="15.75" thickBot="1">
      <c r="A581" s="125" t="s">
        <v>1905</v>
      </c>
      <c r="B581" s="125" t="s">
        <v>1453</v>
      </c>
      <c r="C581" s="125" t="s">
        <v>738</v>
      </c>
      <c r="D581" s="125" t="str">
        <f t="shared" si="9"/>
        <v>2</v>
      </c>
      <c r="E581" s="125" t="s">
        <v>206</v>
      </c>
      <c r="F581" s="125" t="s">
        <v>205</v>
      </c>
      <c r="G581" s="125" t="s">
        <v>1455</v>
      </c>
      <c r="H581" s="125" t="s">
        <v>1456</v>
      </c>
      <c r="I581" s="125" t="s">
        <v>1454</v>
      </c>
      <c r="J581" s="126">
        <v>0</v>
      </c>
      <c r="K581" s="127" t="s">
        <v>1275</v>
      </c>
      <c r="L581" s="126">
        <v>0</v>
      </c>
      <c r="M581" s="126">
        <v>0</v>
      </c>
      <c r="N581" s="126">
        <v>0</v>
      </c>
      <c r="O581" s="126">
        <v>0</v>
      </c>
      <c r="P581" s="126">
        <v>9668.73</v>
      </c>
      <c r="Q581" s="126">
        <v>1038</v>
      </c>
      <c r="R581" s="126">
        <v>10706.73</v>
      </c>
      <c r="S581" s="126">
        <v>461.27</v>
      </c>
    </row>
    <row r="582" spans="1:19" ht="15.75" customHeight="1" thickBot="1">
      <c r="A582" s="125" t="s">
        <v>1273</v>
      </c>
      <c r="B582" s="125" t="s">
        <v>1351</v>
      </c>
      <c r="C582" s="125" t="s">
        <v>722</v>
      </c>
      <c r="D582" s="125" t="str">
        <f t="shared" si="9"/>
        <v>2</v>
      </c>
      <c r="E582" s="125" t="s">
        <v>206</v>
      </c>
      <c r="F582" s="125" t="s">
        <v>205</v>
      </c>
      <c r="G582" s="125" t="s">
        <v>1353</v>
      </c>
      <c r="H582" s="125" t="s">
        <v>1354</v>
      </c>
      <c r="I582" s="125" t="s">
        <v>1352</v>
      </c>
      <c r="J582" s="126">
        <v>0</v>
      </c>
      <c r="K582" s="127" t="s">
        <v>1275</v>
      </c>
      <c r="L582" s="126">
        <v>0</v>
      </c>
      <c r="M582" s="126">
        <v>0</v>
      </c>
      <c r="N582" s="126">
        <v>0</v>
      </c>
      <c r="O582" s="126">
        <v>0</v>
      </c>
      <c r="P582" s="126">
        <v>5837.35</v>
      </c>
      <c r="Q582" s="126">
        <v>0</v>
      </c>
      <c r="R582" s="126">
        <v>5837.35</v>
      </c>
      <c r="S582" s="126">
        <v>7.65</v>
      </c>
    </row>
    <row r="583" spans="1:19" ht="15.75" thickBot="1">
      <c r="A583" s="125" t="s">
        <v>1905</v>
      </c>
      <c r="B583" s="125" t="s">
        <v>1591</v>
      </c>
      <c r="C583" s="125" t="s">
        <v>957</v>
      </c>
      <c r="D583" s="125" t="str">
        <f t="shared" si="9"/>
        <v>2</v>
      </c>
      <c r="E583" s="125" t="s">
        <v>206</v>
      </c>
      <c r="F583" s="125" t="s">
        <v>205</v>
      </c>
      <c r="G583" s="125" t="s">
        <v>1328</v>
      </c>
      <c r="H583" s="125" t="s">
        <v>1659</v>
      </c>
      <c r="I583" s="125" t="s">
        <v>1302</v>
      </c>
      <c r="J583" s="126">
        <v>9644</v>
      </c>
      <c r="K583" s="127" t="s">
        <v>1275</v>
      </c>
      <c r="L583" s="126">
        <v>9644</v>
      </c>
      <c r="M583" s="126">
        <v>0</v>
      </c>
      <c r="N583" s="126">
        <v>0</v>
      </c>
      <c r="O583" s="126">
        <v>0</v>
      </c>
      <c r="P583" s="126">
        <v>0</v>
      </c>
      <c r="Q583" s="126">
        <v>0</v>
      </c>
      <c r="R583" s="126">
        <v>0</v>
      </c>
      <c r="S583" s="126">
        <v>0</v>
      </c>
    </row>
    <row r="584" spans="1:19" ht="15.75" customHeight="1" thickBot="1">
      <c r="A584" s="125" t="s">
        <v>1273</v>
      </c>
      <c r="B584" s="125" t="s">
        <v>1591</v>
      </c>
      <c r="C584" s="125" t="s">
        <v>957</v>
      </c>
      <c r="D584" s="125" t="str">
        <f t="shared" si="9"/>
        <v>2</v>
      </c>
      <c r="E584" s="125" t="s">
        <v>206</v>
      </c>
      <c r="F584" s="125" t="s">
        <v>205</v>
      </c>
      <c r="G584" s="125" t="s">
        <v>1660</v>
      </c>
      <c r="H584" s="125" t="s">
        <v>1661</v>
      </c>
      <c r="I584" s="125" t="s">
        <v>1421</v>
      </c>
      <c r="J584" s="126">
        <v>456.24</v>
      </c>
      <c r="K584" s="126">
        <v>456.24</v>
      </c>
      <c r="L584" s="126">
        <v>0</v>
      </c>
      <c r="M584" s="126">
        <v>0</v>
      </c>
      <c r="N584" s="126">
        <v>0</v>
      </c>
      <c r="O584" s="126">
        <v>0</v>
      </c>
      <c r="P584" s="126">
        <v>78.540000000000006</v>
      </c>
      <c r="Q584" s="126">
        <v>0</v>
      </c>
      <c r="R584" s="126">
        <v>78.540000000000006</v>
      </c>
      <c r="S584" s="126">
        <v>377.7</v>
      </c>
    </row>
    <row r="585" spans="1:19" ht="15.75" customHeight="1" thickBot="1">
      <c r="A585" s="125" t="s">
        <v>1273</v>
      </c>
      <c r="B585" s="125" t="s">
        <v>1527</v>
      </c>
      <c r="C585" s="125" t="s">
        <v>750</v>
      </c>
      <c r="D585" s="125" t="str">
        <f t="shared" si="9"/>
        <v>2</v>
      </c>
      <c r="E585" s="125" t="s">
        <v>206</v>
      </c>
      <c r="F585" s="125" t="s">
        <v>205</v>
      </c>
      <c r="G585" s="125" t="s">
        <v>1533</v>
      </c>
      <c r="H585" s="125" t="s">
        <v>1534</v>
      </c>
      <c r="I585" s="125" t="s">
        <v>1535</v>
      </c>
      <c r="J585" s="126">
        <v>0</v>
      </c>
      <c r="K585" s="127" t="s">
        <v>1275</v>
      </c>
      <c r="L585" s="126">
        <v>0</v>
      </c>
      <c r="M585" s="126">
        <v>0</v>
      </c>
      <c r="N585" s="126">
        <v>0</v>
      </c>
      <c r="O585" s="126">
        <v>0</v>
      </c>
      <c r="P585" s="126">
        <v>1800</v>
      </c>
      <c r="Q585" s="126">
        <v>0</v>
      </c>
      <c r="R585" s="126">
        <v>1800</v>
      </c>
      <c r="S585" s="126">
        <v>0</v>
      </c>
    </row>
    <row r="586" spans="1:19" ht="15.75" customHeight="1" thickBot="1">
      <c r="A586" s="125" t="s">
        <v>1273</v>
      </c>
      <c r="B586" s="125" t="s">
        <v>1527</v>
      </c>
      <c r="C586" s="125" t="s">
        <v>750</v>
      </c>
      <c r="D586" s="125" t="str">
        <f t="shared" si="9"/>
        <v>2</v>
      </c>
      <c r="E586" s="125" t="s">
        <v>206</v>
      </c>
      <c r="F586" s="125" t="s">
        <v>205</v>
      </c>
      <c r="G586" s="125" t="s">
        <v>1536</v>
      </c>
      <c r="H586" s="125" t="s">
        <v>1537</v>
      </c>
      <c r="I586" s="128"/>
      <c r="J586" s="126">
        <v>0</v>
      </c>
      <c r="K586" s="127" t="s">
        <v>1275</v>
      </c>
      <c r="L586" s="126">
        <v>0</v>
      </c>
      <c r="M586" s="126">
        <v>0</v>
      </c>
      <c r="N586" s="126">
        <v>0</v>
      </c>
      <c r="O586" s="126">
        <v>0</v>
      </c>
      <c r="P586" s="126">
        <v>3958</v>
      </c>
      <c r="Q586" s="126">
        <v>0</v>
      </c>
      <c r="R586" s="126">
        <v>3958</v>
      </c>
      <c r="S586" s="126">
        <v>0</v>
      </c>
    </row>
    <row r="587" spans="1:19" ht="15.75" customHeight="1" thickBot="1">
      <c r="A587" s="125" t="s">
        <v>1273</v>
      </c>
      <c r="B587" s="125" t="s">
        <v>1527</v>
      </c>
      <c r="C587" s="125" t="s">
        <v>750</v>
      </c>
      <c r="D587" s="125" t="str">
        <f t="shared" si="9"/>
        <v>2</v>
      </c>
      <c r="E587" s="125" t="s">
        <v>206</v>
      </c>
      <c r="F587" s="125" t="s">
        <v>205</v>
      </c>
      <c r="G587" s="125" t="s">
        <v>1538</v>
      </c>
      <c r="H587" s="125" t="s">
        <v>1539</v>
      </c>
      <c r="I587" s="125" t="s">
        <v>1540</v>
      </c>
      <c r="J587" s="126">
        <v>0</v>
      </c>
      <c r="K587" s="127" t="s">
        <v>1275</v>
      </c>
      <c r="L587" s="126">
        <v>0</v>
      </c>
      <c r="M587" s="126">
        <v>0</v>
      </c>
      <c r="N587" s="126">
        <v>0</v>
      </c>
      <c r="O587" s="126">
        <v>0</v>
      </c>
      <c r="P587" s="126">
        <v>2678</v>
      </c>
      <c r="Q587" s="126">
        <v>0</v>
      </c>
      <c r="R587" s="126">
        <v>2678</v>
      </c>
      <c r="S587" s="126">
        <v>0</v>
      </c>
    </row>
    <row r="588" spans="1:19" ht="15.75" customHeight="1" thickBot="1">
      <c r="A588" s="125" t="s">
        <v>1273</v>
      </c>
      <c r="B588" s="125" t="s">
        <v>1527</v>
      </c>
      <c r="C588" s="125" t="s">
        <v>750</v>
      </c>
      <c r="D588" s="125" t="str">
        <f t="shared" si="9"/>
        <v>2</v>
      </c>
      <c r="E588" s="125" t="s">
        <v>206</v>
      </c>
      <c r="F588" s="125" t="s">
        <v>205</v>
      </c>
      <c r="G588" s="125" t="s">
        <v>1541</v>
      </c>
      <c r="H588" s="125" t="s">
        <v>1542</v>
      </c>
      <c r="I588" s="125" t="s">
        <v>1543</v>
      </c>
      <c r="J588" s="126">
        <v>0</v>
      </c>
      <c r="K588" s="127" t="s">
        <v>1275</v>
      </c>
      <c r="L588" s="126">
        <v>0</v>
      </c>
      <c r="M588" s="126">
        <v>0</v>
      </c>
      <c r="N588" s="126">
        <v>0</v>
      </c>
      <c r="O588" s="126">
        <v>0</v>
      </c>
      <c r="P588" s="126">
        <v>849.6</v>
      </c>
      <c r="Q588" s="126">
        <v>0</v>
      </c>
      <c r="R588" s="126">
        <v>849.6</v>
      </c>
      <c r="S588" s="126">
        <v>0</v>
      </c>
    </row>
    <row r="589" spans="1:19" ht="15.75" customHeight="1" thickBot="1">
      <c r="A589" s="125" t="s">
        <v>1273</v>
      </c>
      <c r="B589" s="125" t="s">
        <v>1527</v>
      </c>
      <c r="C589" s="125" t="s">
        <v>750</v>
      </c>
      <c r="D589" s="125" t="str">
        <f t="shared" si="9"/>
        <v>2</v>
      </c>
      <c r="E589" s="125" t="s">
        <v>206</v>
      </c>
      <c r="F589" s="125" t="s">
        <v>205</v>
      </c>
      <c r="G589" s="125" t="s">
        <v>1544</v>
      </c>
      <c r="H589" s="125" t="s">
        <v>1545</v>
      </c>
      <c r="I589" s="125" t="s">
        <v>1546</v>
      </c>
      <c r="J589" s="126">
        <v>0</v>
      </c>
      <c r="K589" s="127" t="s">
        <v>1275</v>
      </c>
      <c r="L589" s="126">
        <v>0</v>
      </c>
      <c r="M589" s="126">
        <v>0</v>
      </c>
      <c r="N589" s="126">
        <v>0</v>
      </c>
      <c r="O589" s="126">
        <v>0</v>
      </c>
      <c r="P589" s="126">
        <v>1261</v>
      </c>
      <c r="Q589" s="126">
        <v>0</v>
      </c>
      <c r="R589" s="126">
        <v>1261</v>
      </c>
      <c r="S589" s="126">
        <v>0</v>
      </c>
    </row>
    <row r="590" spans="1:19" ht="15.75" thickBot="1">
      <c r="A590" s="125" t="s">
        <v>1905</v>
      </c>
      <c r="B590" s="125" t="s">
        <v>1527</v>
      </c>
      <c r="C590" s="125" t="s">
        <v>750</v>
      </c>
      <c r="D590" s="125" t="str">
        <f t="shared" si="9"/>
        <v>2</v>
      </c>
      <c r="E590" s="125" t="s">
        <v>206</v>
      </c>
      <c r="F590" s="125" t="s">
        <v>205</v>
      </c>
      <c r="G590" s="125" t="s">
        <v>1926</v>
      </c>
      <c r="H590" s="125" t="s">
        <v>1927</v>
      </c>
      <c r="I590" s="125" t="s">
        <v>1928</v>
      </c>
      <c r="J590" s="126">
        <v>0</v>
      </c>
      <c r="K590" s="127" t="s">
        <v>1275</v>
      </c>
      <c r="L590" s="126">
        <v>0</v>
      </c>
      <c r="M590" s="126">
        <v>0</v>
      </c>
      <c r="N590" s="126">
        <v>0</v>
      </c>
      <c r="O590" s="126">
        <v>0</v>
      </c>
      <c r="P590" s="126">
        <v>130</v>
      </c>
      <c r="Q590" s="126">
        <v>590.03</v>
      </c>
      <c r="R590" s="126">
        <v>720.03</v>
      </c>
      <c r="S590" s="126">
        <v>779.97</v>
      </c>
    </row>
    <row r="591" spans="1:19" ht="15.75" thickBot="1">
      <c r="A591" s="125" t="s">
        <v>1905</v>
      </c>
      <c r="B591" s="125" t="s">
        <v>1527</v>
      </c>
      <c r="C591" s="125" t="s">
        <v>750</v>
      </c>
      <c r="D591" s="125" t="str">
        <f t="shared" si="9"/>
        <v>2</v>
      </c>
      <c r="E591" s="125" t="s">
        <v>206</v>
      </c>
      <c r="F591" s="125" t="s">
        <v>205</v>
      </c>
      <c r="G591" s="125" t="s">
        <v>1929</v>
      </c>
      <c r="H591" s="125" t="s">
        <v>1930</v>
      </c>
      <c r="I591" s="125" t="s">
        <v>1422</v>
      </c>
      <c r="J591" s="126">
        <v>0</v>
      </c>
      <c r="K591" s="127" t="s">
        <v>1275</v>
      </c>
      <c r="L591" s="126">
        <v>0</v>
      </c>
      <c r="M591" s="126">
        <v>0</v>
      </c>
      <c r="N591" s="126">
        <v>0</v>
      </c>
      <c r="O591" s="126">
        <v>0</v>
      </c>
      <c r="P591" s="126">
        <v>1482.6</v>
      </c>
      <c r="Q591" s="126">
        <v>0</v>
      </c>
      <c r="R591" s="126">
        <v>1482.6</v>
      </c>
      <c r="S591" s="126">
        <v>97.4</v>
      </c>
    </row>
    <row r="592" spans="1:19" ht="15.75" thickBot="1">
      <c r="A592" s="125" t="s">
        <v>1905</v>
      </c>
      <c r="B592" s="125" t="s">
        <v>1527</v>
      </c>
      <c r="C592" s="125" t="s">
        <v>750</v>
      </c>
      <c r="D592" s="125" t="str">
        <f t="shared" si="9"/>
        <v>2</v>
      </c>
      <c r="E592" s="125" t="s">
        <v>206</v>
      </c>
      <c r="F592" s="125" t="s">
        <v>205</v>
      </c>
      <c r="G592" s="125" t="s">
        <v>1931</v>
      </c>
      <c r="H592" s="125" t="s">
        <v>1932</v>
      </c>
      <c r="I592" s="125" t="s">
        <v>1933</v>
      </c>
      <c r="J592" s="126">
        <v>0</v>
      </c>
      <c r="K592" s="127" t="s">
        <v>1275</v>
      </c>
      <c r="L592" s="126">
        <v>0</v>
      </c>
      <c r="M592" s="126">
        <v>0</v>
      </c>
      <c r="N592" s="126">
        <v>0</v>
      </c>
      <c r="O592" s="126">
        <v>0</v>
      </c>
      <c r="P592" s="126">
        <v>0</v>
      </c>
      <c r="Q592" s="126">
        <v>1200</v>
      </c>
      <c r="R592" s="126">
        <v>1200</v>
      </c>
      <c r="S592" s="126">
        <v>-1200</v>
      </c>
    </row>
    <row r="593" spans="1:19" ht="15.75" customHeight="1" thickBot="1">
      <c r="A593" s="125" t="s">
        <v>1273</v>
      </c>
      <c r="B593" s="125" t="s">
        <v>1527</v>
      </c>
      <c r="C593" s="125" t="s">
        <v>750</v>
      </c>
      <c r="D593" s="125" t="str">
        <f t="shared" si="9"/>
        <v>2</v>
      </c>
      <c r="E593" s="125" t="s">
        <v>206</v>
      </c>
      <c r="F593" s="125" t="s">
        <v>205</v>
      </c>
      <c r="G593" s="125" t="s">
        <v>1547</v>
      </c>
      <c r="H593" s="125" t="s">
        <v>1548</v>
      </c>
      <c r="I593" s="125" t="s">
        <v>1549</v>
      </c>
      <c r="J593" s="126">
        <v>140.13999999999999</v>
      </c>
      <c r="K593" s="126">
        <v>140.13999999999999</v>
      </c>
      <c r="L593" s="126">
        <v>0</v>
      </c>
      <c r="M593" s="126">
        <v>0</v>
      </c>
      <c r="N593" s="126">
        <v>0</v>
      </c>
      <c r="O593" s="126">
        <v>0</v>
      </c>
      <c r="P593" s="126">
        <v>-0.04</v>
      </c>
      <c r="Q593" s="126">
        <v>0</v>
      </c>
      <c r="R593" s="126">
        <v>-0.04</v>
      </c>
      <c r="S593" s="126">
        <v>140.18</v>
      </c>
    </row>
    <row r="594" spans="1:19" ht="15.75" customHeight="1" thickBot="1">
      <c r="A594" s="125" t="s">
        <v>1273</v>
      </c>
      <c r="B594" s="125" t="s">
        <v>1527</v>
      </c>
      <c r="C594" s="125" t="s">
        <v>750</v>
      </c>
      <c r="D594" s="125" t="str">
        <f t="shared" si="9"/>
        <v>2</v>
      </c>
      <c r="E594" s="125" t="s">
        <v>206</v>
      </c>
      <c r="F594" s="125" t="s">
        <v>205</v>
      </c>
      <c r="G594" s="125" t="s">
        <v>1550</v>
      </c>
      <c r="H594" s="125" t="s">
        <v>1551</v>
      </c>
      <c r="I594" s="125" t="s">
        <v>1335</v>
      </c>
      <c r="J594" s="126">
        <v>0</v>
      </c>
      <c r="K594" s="127" t="s">
        <v>1275</v>
      </c>
      <c r="L594" s="126">
        <v>0</v>
      </c>
      <c r="M594" s="126">
        <v>0</v>
      </c>
      <c r="N594" s="126">
        <v>0</v>
      </c>
      <c r="O594" s="126">
        <v>0</v>
      </c>
      <c r="P594" s="126">
        <v>500</v>
      </c>
      <c r="Q594" s="126">
        <v>0</v>
      </c>
      <c r="R594" s="126">
        <v>500</v>
      </c>
      <c r="S594" s="126">
        <v>0</v>
      </c>
    </row>
    <row r="595" spans="1:19" ht="15.75" customHeight="1" thickBot="1">
      <c r="A595" s="125" t="s">
        <v>1273</v>
      </c>
      <c r="B595" s="125" t="s">
        <v>1527</v>
      </c>
      <c r="C595" s="125" t="s">
        <v>750</v>
      </c>
      <c r="D595" s="125" t="str">
        <f t="shared" si="9"/>
        <v>2</v>
      </c>
      <c r="E595" s="125" t="s">
        <v>206</v>
      </c>
      <c r="F595" s="125" t="s">
        <v>205</v>
      </c>
      <c r="G595" s="125" t="s">
        <v>1552</v>
      </c>
      <c r="H595" s="125" t="s">
        <v>1553</v>
      </c>
      <c r="I595" s="125" t="s">
        <v>1366</v>
      </c>
      <c r="J595" s="126">
        <v>0</v>
      </c>
      <c r="K595" s="127" t="s">
        <v>1275</v>
      </c>
      <c r="L595" s="126">
        <v>0</v>
      </c>
      <c r="M595" s="126">
        <v>0</v>
      </c>
      <c r="N595" s="126">
        <v>0</v>
      </c>
      <c r="O595" s="126">
        <v>0</v>
      </c>
      <c r="P595" s="126">
        <v>75.55</v>
      </c>
      <c r="Q595" s="126">
        <v>97.49</v>
      </c>
      <c r="R595" s="126">
        <v>173.04</v>
      </c>
      <c r="S595" s="126">
        <v>326.95999999999998</v>
      </c>
    </row>
    <row r="596" spans="1:19" ht="15.75" thickBot="1">
      <c r="A596" s="125" t="s">
        <v>1905</v>
      </c>
      <c r="B596" s="125" t="s">
        <v>1527</v>
      </c>
      <c r="C596" s="125" t="s">
        <v>750</v>
      </c>
      <c r="D596" s="125" t="str">
        <f t="shared" si="9"/>
        <v>2</v>
      </c>
      <c r="E596" s="125" t="s">
        <v>206</v>
      </c>
      <c r="F596" s="125" t="s">
        <v>205</v>
      </c>
      <c r="G596" s="125" t="s">
        <v>1552</v>
      </c>
      <c r="H596" s="125" t="s">
        <v>1553</v>
      </c>
      <c r="I596" s="125" t="s">
        <v>1366</v>
      </c>
      <c r="J596" s="126">
        <v>97.49</v>
      </c>
      <c r="K596" s="126">
        <v>97.49</v>
      </c>
      <c r="L596" s="126">
        <v>0</v>
      </c>
      <c r="M596" s="126">
        <v>0</v>
      </c>
      <c r="N596" s="126">
        <v>0</v>
      </c>
      <c r="O596" s="126">
        <v>0</v>
      </c>
      <c r="P596" s="126">
        <v>0</v>
      </c>
      <c r="Q596" s="126">
        <v>97.49</v>
      </c>
      <c r="R596" s="126">
        <v>97.49</v>
      </c>
      <c r="S596" s="126">
        <v>0</v>
      </c>
    </row>
    <row r="597" spans="1:19" ht="15.75" customHeight="1" thickBot="1">
      <c r="A597" s="125" t="s">
        <v>1273</v>
      </c>
      <c r="B597" s="125" t="s">
        <v>1527</v>
      </c>
      <c r="C597" s="125" t="s">
        <v>750</v>
      </c>
      <c r="D597" s="125" t="str">
        <f t="shared" si="9"/>
        <v>2</v>
      </c>
      <c r="E597" s="125" t="s">
        <v>206</v>
      </c>
      <c r="F597" s="125" t="s">
        <v>205</v>
      </c>
      <c r="G597" s="125" t="s">
        <v>1554</v>
      </c>
      <c r="H597" s="125" t="s">
        <v>1555</v>
      </c>
      <c r="I597" s="125" t="s">
        <v>1476</v>
      </c>
      <c r="J597" s="126">
        <v>0</v>
      </c>
      <c r="K597" s="127" t="s">
        <v>1275</v>
      </c>
      <c r="L597" s="126">
        <v>0</v>
      </c>
      <c r="M597" s="126">
        <v>0</v>
      </c>
      <c r="N597" s="126">
        <v>0</v>
      </c>
      <c r="O597" s="126">
        <v>0</v>
      </c>
      <c r="P597" s="126">
        <v>186.91</v>
      </c>
      <c r="Q597" s="126">
        <v>0</v>
      </c>
      <c r="R597" s="126">
        <v>186.91</v>
      </c>
      <c r="S597" s="126">
        <v>313.08999999999997</v>
      </c>
    </row>
    <row r="598" spans="1:19" ht="15.75" customHeight="1" thickBot="1">
      <c r="A598" s="125" t="s">
        <v>1273</v>
      </c>
      <c r="B598" s="125" t="s">
        <v>1527</v>
      </c>
      <c r="C598" s="125" t="s">
        <v>750</v>
      </c>
      <c r="D598" s="125" t="str">
        <f t="shared" si="9"/>
        <v>2</v>
      </c>
      <c r="E598" s="125" t="s">
        <v>206</v>
      </c>
      <c r="F598" s="125" t="s">
        <v>205</v>
      </c>
      <c r="G598" s="125" t="s">
        <v>1556</v>
      </c>
      <c r="H598" s="125" t="s">
        <v>1557</v>
      </c>
      <c r="I598" s="125" t="s">
        <v>1335</v>
      </c>
      <c r="J598" s="126">
        <v>0</v>
      </c>
      <c r="K598" s="127" t="s">
        <v>1275</v>
      </c>
      <c r="L598" s="126">
        <v>0</v>
      </c>
      <c r="M598" s="126">
        <v>0</v>
      </c>
      <c r="N598" s="126">
        <v>0</v>
      </c>
      <c r="O598" s="126">
        <v>0</v>
      </c>
      <c r="P598" s="126">
        <v>493.5</v>
      </c>
      <c r="Q598" s="126">
        <v>0</v>
      </c>
      <c r="R598" s="126">
        <v>493.5</v>
      </c>
      <c r="S598" s="126">
        <v>6.5</v>
      </c>
    </row>
    <row r="599" spans="1:19" ht="15.75" customHeight="1" thickBot="1">
      <c r="A599" s="125" t="s">
        <v>1273</v>
      </c>
      <c r="B599" s="125" t="s">
        <v>1527</v>
      </c>
      <c r="C599" s="125" t="s">
        <v>750</v>
      </c>
      <c r="D599" s="125" t="str">
        <f t="shared" si="9"/>
        <v>2</v>
      </c>
      <c r="E599" s="125" t="s">
        <v>206</v>
      </c>
      <c r="F599" s="125" t="s">
        <v>205</v>
      </c>
      <c r="G599" s="125" t="s">
        <v>1558</v>
      </c>
      <c r="H599" s="125" t="s">
        <v>1559</v>
      </c>
      <c r="I599" s="125" t="s">
        <v>1535</v>
      </c>
      <c r="J599" s="126">
        <v>0</v>
      </c>
      <c r="K599" s="127" t="s">
        <v>1275</v>
      </c>
      <c r="L599" s="126">
        <v>0</v>
      </c>
      <c r="M599" s="126">
        <v>0</v>
      </c>
      <c r="N599" s="126">
        <v>0</v>
      </c>
      <c r="O599" s="126">
        <v>0</v>
      </c>
      <c r="P599" s="126">
        <v>487.79</v>
      </c>
      <c r="Q599" s="126">
        <v>0</v>
      </c>
      <c r="R599" s="126">
        <v>487.79</v>
      </c>
      <c r="S599" s="126">
        <v>12.21</v>
      </c>
    </row>
    <row r="600" spans="1:19" ht="15.75" customHeight="1" thickBot="1">
      <c r="A600" s="125" t="s">
        <v>1273</v>
      </c>
      <c r="B600" s="125" t="s">
        <v>1527</v>
      </c>
      <c r="C600" s="125" t="s">
        <v>750</v>
      </c>
      <c r="D600" s="125" t="str">
        <f t="shared" si="9"/>
        <v>2</v>
      </c>
      <c r="E600" s="125" t="s">
        <v>206</v>
      </c>
      <c r="F600" s="125" t="s">
        <v>205</v>
      </c>
      <c r="G600" s="125" t="s">
        <v>1560</v>
      </c>
      <c r="H600" s="125" t="s">
        <v>1561</v>
      </c>
      <c r="I600" s="125" t="s">
        <v>1338</v>
      </c>
      <c r="J600" s="126">
        <v>0</v>
      </c>
      <c r="K600" s="127" t="s">
        <v>1275</v>
      </c>
      <c r="L600" s="126">
        <v>0</v>
      </c>
      <c r="M600" s="126">
        <v>0</v>
      </c>
      <c r="N600" s="126">
        <v>0</v>
      </c>
      <c r="O600" s="126">
        <v>0</v>
      </c>
      <c r="P600" s="126">
        <v>498.8</v>
      </c>
      <c r="Q600" s="126">
        <v>0</v>
      </c>
      <c r="R600" s="126">
        <v>498.8</v>
      </c>
      <c r="S600" s="126">
        <v>1.2</v>
      </c>
    </row>
    <row r="601" spans="1:19" ht="15.75" customHeight="1" thickBot="1">
      <c r="A601" s="125" t="s">
        <v>1273</v>
      </c>
      <c r="B601" s="125" t="s">
        <v>1527</v>
      </c>
      <c r="C601" s="125" t="s">
        <v>750</v>
      </c>
      <c r="D601" s="125" t="str">
        <f t="shared" si="9"/>
        <v>2</v>
      </c>
      <c r="E601" s="125" t="s">
        <v>206</v>
      </c>
      <c r="F601" s="125" t="s">
        <v>205</v>
      </c>
      <c r="G601" s="125" t="s">
        <v>1562</v>
      </c>
      <c r="H601" s="125" t="s">
        <v>1563</v>
      </c>
      <c r="I601" s="125" t="s">
        <v>1564</v>
      </c>
      <c r="J601" s="126">
        <v>0</v>
      </c>
      <c r="K601" s="127" t="s">
        <v>1275</v>
      </c>
      <c r="L601" s="126">
        <v>0</v>
      </c>
      <c r="M601" s="126">
        <v>0</v>
      </c>
      <c r="N601" s="126">
        <v>0</v>
      </c>
      <c r="O601" s="126">
        <v>0</v>
      </c>
      <c r="P601" s="126">
        <v>300</v>
      </c>
      <c r="Q601" s="126">
        <v>0</v>
      </c>
      <c r="R601" s="126">
        <v>300</v>
      </c>
      <c r="S601" s="126">
        <v>0</v>
      </c>
    </row>
    <row r="602" spans="1:19" ht="15.75" customHeight="1" thickBot="1">
      <c r="A602" s="125" t="s">
        <v>1273</v>
      </c>
      <c r="B602" s="125" t="s">
        <v>1527</v>
      </c>
      <c r="C602" s="125" t="s">
        <v>750</v>
      </c>
      <c r="D602" s="125" t="str">
        <f t="shared" si="9"/>
        <v>2</v>
      </c>
      <c r="E602" s="125" t="s">
        <v>206</v>
      </c>
      <c r="F602" s="125" t="s">
        <v>205</v>
      </c>
      <c r="G602" s="125" t="s">
        <v>1565</v>
      </c>
      <c r="H602" s="125" t="s">
        <v>1566</v>
      </c>
      <c r="I602" s="125" t="s">
        <v>1567</v>
      </c>
      <c r="J602" s="126">
        <v>0</v>
      </c>
      <c r="K602" s="127" t="s">
        <v>1275</v>
      </c>
      <c r="L602" s="126">
        <v>0</v>
      </c>
      <c r="M602" s="126">
        <v>0</v>
      </c>
      <c r="N602" s="126">
        <v>0</v>
      </c>
      <c r="O602" s="126">
        <v>0</v>
      </c>
      <c r="P602" s="126">
        <v>217.84</v>
      </c>
      <c r="Q602" s="126">
        <v>0</v>
      </c>
      <c r="R602" s="126">
        <v>217.84</v>
      </c>
      <c r="S602" s="126">
        <v>82.16</v>
      </c>
    </row>
    <row r="603" spans="1:19" ht="15.75" customHeight="1" thickBot="1">
      <c r="A603" s="125" t="s">
        <v>1273</v>
      </c>
      <c r="B603" s="125" t="s">
        <v>1527</v>
      </c>
      <c r="C603" s="125" t="s">
        <v>750</v>
      </c>
      <c r="D603" s="125" t="str">
        <f t="shared" si="9"/>
        <v>2</v>
      </c>
      <c r="E603" s="125" t="s">
        <v>206</v>
      </c>
      <c r="F603" s="125" t="s">
        <v>205</v>
      </c>
      <c r="G603" s="125" t="s">
        <v>1568</v>
      </c>
      <c r="H603" s="125" t="s">
        <v>1569</v>
      </c>
      <c r="I603" s="125" t="s">
        <v>1421</v>
      </c>
      <c r="J603" s="126">
        <v>0</v>
      </c>
      <c r="K603" s="127" t="s">
        <v>1275</v>
      </c>
      <c r="L603" s="126">
        <v>0</v>
      </c>
      <c r="M603" s="126">
        <v>0</v>
      </c>
      <c r="N603" s="126">
        <v>0</v>
      </c>
      <c r="O603" s="126">
        <v>0</v>
      </c>
      <c r="P603" s="126">
        <v>283.47000000000003</v>
      </c>
      <c r="Q603" s="126">
        <v>16.53</v>
      </c>
      <c r="R603" s="126">
        <v>300</v>
      </c>
      <c r="S603" s="126">
        <v>0</v>
      </c>
    </row>
    <row r="604" spans="1:19" ht="15.75" thickBot="1">
      <c r="A604" s="125" t="s">
        <v>1905</v>
      </c>
      <c r="B604" s="125" t="s">
        <v>1527</v>
      </c>
      <c r="C604" s="125" t="s">
        <v>750</v>
      </c>
      <c r="D604" s="125" t="str">
        <f t="shared" si="9"/>
        <v>2</v>
      </c>
      <c r="E604" s="125" t="s">
        <v>206</v>
      </c>
      <c r="F604" s="125" t="s">
        <v>205</v>
      </c>
      <c r="G604" s="125" t="s">
        <v>1568</v>
      </c>
      <c r="H604" s="125" t="s">
        <v>1569</v>
      </c>
      <c r="I604" s="125" t="s">
        <v>1421</v>
      </c>
      <c r="J604" s="126">
        <v>16.53</v>
      </c>
      <c r="K604" s="126">
        <v>16.53</v>
      </c>
      <c r="L604" s="126">
        <v>0</v>
      </c>
      <c r="M604" s="126">
        <v>0</v>
      </c>
      <c r="N604" s="126">
        <v>0</v>
      </c>
      <c r="O604" s="126">
        <v>0</v>
      </c>
      <c r="P604" s="126">
        <v>0</v>
      </c>
      <c r="Q604" s="126">
        <v>16.53</v>
      </c>
      <c r="R604" s="126">
        <v>16.53</v>
      </c>
      <c r="S604" s="126">
        <v>0</v>
      </c>
    </row>
    <row r="605" spans="1:19" ht="15.75" customHeight="1" thickBot="1">
      <c r="A605" s="125" t="s">
        <v>1273</v>
      </c>
      <c r="B605" s="125" t="s">
        <v>1527</v>
      </c>
      <c r="C605" s="125" t="s">
        <v>750</v>
      </c>
      <c r="D605" s="125" t="str">
        <f t="shared" si="9"/>
        <v>2</v>
      </c>
      <c r="E605" s="125" t="s">
        <v>206</v>
      </c>
      <c r="F605" s="125" t="s">
        <v>205</v>
      </c>
      <c r="G605" s="125" t="s">
        <v>1570</v>
      </c>
      <c r="H605" s="125" t="s">
        <v>1571</v>
      </c>
      <c r="I605" s="125" t="s">
        <v>1519</v>
      </c>
      <c r="J605" s="126">
        <v>0</v>
      </c>
      <c r="K605" s="127" t="s">
        <v>1275</v>
      </c>
      <c r="L605" s="126">
        <v>0</v>
      </c>
      <c r="M605" s="126">
        <v>0</v>
      </c>
      <c r="N605" s="126">
        <v>0</v>
      </c>
      <c r="O605" s="126">
        <v>0</v>
      </c>
      <c r="P605" s="126">
        <v>300</v>
      </c>
      <c r="Q605" s="126">
        <v>0</v>
      </c>
      <c r="R605" s="126">
        <v>300</v>
      </c>
      <c r="S605" s="126">
        <v>0</v>
      </c>
    </row>
    <row r="606" spans="1:19" ht="15.75" customHeight="1" thickBot="1">
      <c r="A606" s="125" t="s">
        <v>1273</v>
      </c>
      <c r="B606" s="125" t="s">
        <v>1527</v>
      </c>
      <c r="C606" s="125" t="s">
        <v>750</v>
      </c>
      <c r="D606" s="125" t="str">
        <f t="shared" si="9"/>
        <v>2</v>
      </c>
      <c r="E606" s="125" t="s">
        <v>206</v>
      </c>
      <c r="F606" s="125" t="s">
        <v>205</v>
      </c>
      <c r="G606" s="125" t="s">
        <v>1572</v>
      </c>
      <c r="H606" s="125" t="s">
        <v>1573</v>
      </c>
      <c r="I606" s="125" t="s">
        <v>1367</v>
      </c>
      <c r="J606" s="126">
        <v>0</v>
      </c>
      <c r="K606" s="127" t="s">
        <v>1275</v>
      </c>
      <c r="L606" s="126">
        <v>0</v>
      </c>
      <c r="M606" s="126">
        <v>0</v>
      </c>
      <c r="N606" s="126">
        <v>0</v>
      </c>
      <c r="O606" s="126">
        <v>0</v>
      </c>
      <c r="P606" s="126">
        <v>293.10000000000002</v>
      </c>
      <c r="Q606" s="126">
        <v>0</v>
      </c>
      <c r="R606" s="126">
        <v>293.10000000000002</v>
      </c>
      <c r="S606" s="126">
        <v>6.9</v>
      </c>
    </row>
    <row r="607" spans="1:19" ht="15.75" customHeight="1" thickBot="1">
      <c r="A607" s="125" t="s">
        <v>1273</v>
      </c>
      <c r="B607" s="125" t="s">
        <v>1527</v>
      </c>
      <c r="C607" s="125" t="s">
        <v>750</v>
      </c>
      <c r="D607" s="125" t="str">
        <f t="shared" si="9"/>
        <v>2</v>
      </c>
      <c r="E607" s="125" t="s">
        <v>206</v>
      </c>
      <c r="F607" s="125" t="s">
        <v>205</v>
      </c>
      <c r="G607" s="125" t="s">
        <v>1574</v>
      </c>
      <c r="H607" s="125" t="s">
        <v>1575</v>
      </c>
      <c r="I607" s="125" t="s">
        <v>1576</v>
      </c>
      <c r="J607" s="126">
        <v>0</v>
      </c>
      <c r="K607" s="127" t="s">
        <v>1275</v>
      </c>
      <c r="L607" s="126">
        <v>0</v>
      </c>
      <c r="M607" s="126">
        <v>0</v>
      </c>
      <c r="N607" s="126">
        <v>0</v>
      </c>
      <c r="O607" s="126">
        <v>0</v>
      </c>
      <c r="P607" s="126">
        <v>87.95</v>
      </c>
      <c r="Q607" s="126">
        <v>0</v>
      </c>
      <c r="R607" s="126">
        <v>87.95</v>
      </c>
      <c r="S607" s="126">
        <v>212.05</v>
      </c>
    </row>
    <row r="608" spans="1:19" ht="15.75" customHeight="1" thickBot="1">
      <c r="A608" s="125" t="s">
        <v>1273</v>
      </c>
      <c r="B608" s="125" t="s">
        <v>1527</v>
      </c>
      <c r="C608" s="125" t="s">
        <v>750</v>
      </c>
      <c r="D608" s="125" t="str">
        <f t="shared" si="9"/>
        <v>2</v>
      </c>
      <c r="E608" s="125" t="s">
        <v>206</v>
      </c>
      <c r="F608" s="125" t="s">
        <v>205</v>
      </c>
      <c r="G608" s="125" t="s">
        <v>1577</v>
      </c>
      <c r="H608" s="125" t="s">
        <v>1578</v>
      </c>
      <c r="I608" s="125" t="s">
        <v>1422</v>
      </c>
      <c r="J608" s="126">
        <v>0</v>
      </c>
      <c r="K608" s="127" t="s">
        <v>1275</v>
      </c>
      <c r="L608" s="126">
        <v>0</v>
      </c>
      <c r="M608" s="126">
        <v>0</v>
      </c>
      <c r="N608" s="126">
        <v>0</v>
      </c>
      <c r="O608" s="126">
        <v>0</v>
      </c>
      <c r="P608" s="126">
        <v>286.5</v>
      </c>
      <c r="Q608" s="126">
        <v>286.5</v>
      </c>
      <c r="R608" s="126">
        <v>573</v>
      </c>
      <c r="S608" s="126">
        <v>-273</v>
      </c>
    </row>
    <row r="609" spans="1:19" ht="15.75" thickBot="1">
      <c r="A609" s="125" t="s">
        <v>1905</v>
      </c>
      <c r="B609" s="125" t="s">
        <v>1527</v>
      </c>
      <c r="C609" s="125" t="s">
        <v>750</v>
      </c>
      <c r="D609" s="125" t="str">
        <f t="shared" si="9"/>
        <v>2</v>
      </c>
      <c r="E609" s="125" t="s">
        <v>206</v>
      </c>
      <c r="F609" s="125" t="s">
        <v>205</v>
      </c>
      <c r="G609" s="125" t="s">
        <v>1577</v>
      </c>
      <c r="H609" s="125" t="s">
        <v>1578</v>
      </c>
      <c r="I609" s="125" t="s">
        <v>1422</v>
      </c>
      <c r="J609" s="126">
        <v>286.5</v>
      </c>
      <c r="K609" s="126">
        <v>286.5</v>
      </c>
      <c r="L609" s="126">
        <v>0</v>
      </c>
      <c r="M609" s="126">
        <v>0</v>
      </c>
      <c r="N609" s="126">
        <v>0</v>
      </c>
      <c r="O609" s="126">
        <v>0</v>
      </c>
      <c r="P609" s="126">
        <v>285.58999999999997</v>
      </c>
      <c r="Q609" s="126">
        <v>0.91</v>
      </c>
      <c r="R609" s="126">
        <v>286.5</v>
      </c>
      <c r="S609" s="126">
        <v>0</v>
      </c>
    </row>
    <row r="610" spans="1:19" ht="15.75" customHeight="1" thickBot="1">
      <c r="A610" s="125" t="s">
        <v>1273</v>
      </c>
      <c r="B610" s="125" t="s">
        <v>1527</v>
      </c>
      <c r="C610" s="125" t="s">
        <v>750</v>
      </c>
      <c r="D610" s="125" t="str">
        <f t="shared" si="9"/>
        <v>2</v>
      </c>
      <c r="E610" s="125" t="s">
        <v>206</v>
      </c>
      <c r="F610" s="125" t="s">
        <v>205</v>
      </c>
      <c r="G610" s="125" t="s">
        <v>1579</v>
      </c>
      <c r="H610" s="125" t="s">
        <v>1580</v>
      </c>
      <c r="I610" s="125" t="s">
        <v>1581</v>
      </c>
      <c r="J610" s="126">
        <v>0</v>
      </c>
      <c r="K610" s="127" t="s">
        <v>1275</v>
      </c>
      <c r="L610" s="126">
        <v>0</v>
      </c>
      <c r="M610" s="126">
        <v>0</v>
      </c>
      <c r="N610" s="126">
        <v>0</v>
      </c>
      <c r="O610" s="126">
        <v>0</v>
      </c>
      <c r="P610" s="126">
        <v>300</v>
      </c>
      <c r="Q610" s="126">
        <v>0</v>
      </c>
      <c r="R610" s="126">
        <v>300</v>
      </c>
      <c r="S610" s="126">
        <v>0</v>
      </c>
    </row>
    <row r="611" spans="1:19" ht="15.75" thickBot="1">
      <c r="A611" s="125" t="s">
        <v>1905</v>
      </c>
      <c r="B611" s="125" t="s">
        <v>1325</v>
      </c>
      <c r="C611" s="125" t="s">
        <v>1286</v>
      </c>
      <c r="D611" s="125" t="str">
        <f t="shared" si="9"/>
        <v>2</v>
      </c>
      <c r="E611" s="125" t="s">
        <v>206</v>
      </c>
      <c r="F611" s="125" t="s">
        <v>205</v>
      </c>
      <c r="G611" s="125" t="s">
        <v>1909</v>
      </c>
      <c r="H611" s="125" t="s">
        <v>1910</v>
      </c>
      <c r="I611" s="125" t="s">
        <v>1535</v>
      </c>
      <c r="J611" s="126">
        <v>0</v>
      </c>
      <c r="K611" s="127" t="s">
        <v>1275</v>
      </c>
      <c r="L611" s="126">
        <v>0</v>
      </c>
      <c r="M611" s="126">
        <v>0</v>
      </c>
      <c r="N611" s="126">
        <v>0</v>
      </c>
      <c r="O611" s="126">
        <v>0</v>
      </c>
      <c r="P611" s="126">
        <v>193.97</v>
      </c>
      <c r="Q611" s="126">
        <v>0</v>
      </c>
      <c r="R611" s="126">
        <v>193.97</v>
      </c>
      <c r="S611" s="126">
        <v>306.02999999999997</v>
      </c>
    </row>
    <row r="612" spans="1:19" ht="15.75" customHeight="1" thickBot="1">
      <c r="A612" s="125" t="s">
        <v>1273</v>
      </c>
      <c r="B612" s="125" t="s">
        <v>1527</v>
      </c>
      <c r="C612" s="125" t="s">
        <v>750</v>
      </c>
      <c r="D612" s="125" t="str">
        <f t="shared" si="9"/>
        <v>2</v>
      </c>
      <c r="E612" s="125" t="s">
        <v>206</v>
      </c>
      <c r="F612" s="125" t="s">
        <v>205</v>
      </c>
      <c r="G612" s="125" t="s">
        <v>1582</v>
      </c>
      <c r="H612" s="125" t="s">
        <v>1583</v>
      </c>
      <c r="I612" s="125" t="s">
        <v>1301</v>
      </c>
      <c r="J612" s="126">
        <v>5000</v>
      </c>
      <c r="K612" s="127" t="s">
        <v>1275</v>
      </c>
      <c r="L612" s="126">
        <v>5000</v>
      </c>
      <c r="M612" s="126">
        <v>0</v>
      </c>
      <c r="N612" s="126">
        <v>0</v>
      </c>
      <c r="O612" s="126">
        <v>0</v>
      </c>
      <c r="P612" s="126">
        <v>2098.66</v>
      </c>
      <c r="Q612" s="126">
        <v>0</v>
      </c>
      <c r="R612" s="126">
        <v>2098.66</v>
      </c>
      <c r="S612" s="126">
        <v>2551.34</v>
      </c>
    </row>
    <row r="613" spans="1:19" ht="15.75" customHeight="1" thickBot="1">
      <c r="A613" s="125" t="s">
        <v>1273</v>
      </c>
      <c r="B613" s="125" t="s">
        <v>1351</v>
      </c>
      <c r="C613" s="125" t="s">
        <v>722</v>
      </c>
      <c r="D613" s="125" t="str">
        <f t="shared" si="9"/>
        <v>2</v>
      </c>
      <c r="E613" s="125" t="s">
        <v>206</v>
      </c>
      <c r="F613" s="125" t="s">
        <v>205</v>
      </c>
      <c r="G613" s="125" t="s">
        <v>1355</v>
      </c>
      <c r="H613" s="125" t="s">
        <v>1356</v>
      </c>
      <c r="I613" s="125" t="s">
        <v>1352</v>
      </c>
      <c r="J613" s="126">
        <v>18619.580000000002</v>
      </c>
      <c r="K613" s="126">
        <v>619.58000000000004</v>
      </c>
      <c r="L613" s="126">
        <v>18000</v>
      </c>
      <c r="M613" s="126">
        <v>0</v>
      </c>
      <c r="N613" s="126">
        <v>0</v>
      </c>
      <c r="O613" s="126">
        <v>0</v>
      </c>
      <c r="P613" s="126">
        <v>12981.06</v>
      </c>
      <c r="Q613" s="126">
        <v>0</v>
      </c>
      <c r="R613" s="126">
        <v>12981.06</v>
      </c>
      <c r="S613" s="126">
        <v>647.52</v>
      </c>
    </row>
    <row r="614" spans="1:19" ht="15.75" thickBot="1">
      <c r="A614" s="125" t="s">
        <v>1905</v>
      </c>
      <c r="B614" s="125" t="s">
        <v>1351</v>
      </c>
      <c r="C614" s="125" t="s">
        <v>722</v>
      </c>
      <c r="D614" s="125" t="str">
        <f t="shared" si="9"/>
        <v>2</v>
      </c>
      <c r="E614" s="125" t="s">
        <v>206</v>
      </c>
      <c r="F614" s="125" t="s">
        <v>205</v>
      </c>
      <c r="G614" s="125" t="s">
        <v>1355</v>
      </c>
      <c r="H614" s="125" t="s">
        <v>1356</v>
      </c>
      <c r="I614" s="125" t="s">
        <v>1352</v>
      </c>
      <c r="J614" s="126">
        <v>9000</v>
      </c>
      <c r="K614" s="127" t="s">
        <v>1275</v>
      </c>
      <c r="L614" s="126">
        <v>9000</v>
      </c>
      <c r="M614" s="126">
        <v>0</v>
      </c>
      <c r="N614" s="126">
        <v>0</v>
      </c>
      <c r="O614" s="126">
        <v>0</v>
      </c>
      <c r="P614" s="126">
        <v>1964.23</v>
      </c>
      <c r="Q614" s="126">
        <v>2036.76</v>
      </c>
      <c r="R614" s="126">
        <v>4000.99</v>
      </c>
      <c r="S614" s="126">
        <v>4999.01</v>
      </c>
    </row>
    <row r="615" spans="1:19" ht="15.75" customHeight="1" thickBot="1">
      <c r="A615" s="125" t="s">
        <v>1273</v>
      </c>
      <c r="B615" s="125" t="s">
        <v>1351</v>
      </c>
      <c r="C615" s="125" t="s">
        <v>722</v>
      </c>
      <c r="D615" s="125" t="str">
        <f t="shared" ref="D615:D645" si="10">LEFT(C615:C615,1)</f>
        <v>2</v>
      </c>
      <c r="E615" s="125" t="s">
        <v>206</v>
      </c>
      <c r="F615" s="125" t="s">
        <v>205</v>
      </c>
      <c r="G615" s="125" t="s">
        <v>723</v>
      </c>
      <c r="H615" s="125" t="s">
        <v>1357</v>
      </c>
      <c r="I615" s="125" t="s">
        <v>1352</v>
      </c>
      <c r="J615" s="126">
        <v>73623.509999999995</v>
      </c>
      <c r="K615" s="126">
        <v>66123.509999999995</v>
      </c>
      <c r="L615" s="126">
        <v>7500</v>
      </c>
      <c r="M615" s="126">
        <v>1500</v>
      </c>
      <c r="N615" s="126">
        <v>0</v>
      </c>
      <c r="O615" s="126">
        <v>0</v>
      </c>
      <c r="P615" s="126">
        <v>67345.83</v>
      </c>
      <c r="Q615" s="126">
        <v>1534.38</v>
      </c>
      <c r="R615" s="126">
        <v>70380.210000000006</v>
      </c>
      <c r="S615" s="126">
        <v>498.3</v>
      </c>
    </row>
    <row r="616" spans="1:19" ht="15.75" thickBot="1">
      <c r="A616" s="125" t="s">
        <v>1905</v>
      </c>
      <c r="B616" s="125" t="s">
        <v>1351</v>
      </c>
      <c r="C616" s="125" t="s">
        <v>722</v>
      </c>
      <c r="D616" s="125" t="str">
        <f t="shared" si="10"/>
        <v>2</v>
      </c>
      <c r="E616" s="125" t="s">
        <v>206</v>
      </c>
      <c r="F616" s="125" t="s">
        <v>205</v>
      </c>
      <c r="G616" s="125" t="s">
        <v>723</v>
      </c>
      <c r="H616" s="125" t="s">
        <v>1357</v>
      </c>
      <c r="I616" s="125" t="s">
        <v>1352</v>
      </c>
      <c r="J616" s="126">
        <v>42309.38</v>
      </c>
      <c r="K616" s="126">
        <v>1534.38</v>
      </c>
      <c r="L616" s="126">
        <v>40775</v>
      </c>
      <c r="M616" s="126">
        <v>0</v>
      </c>
      <c r="N616" s="126">
        <v>879.74</v>
      </c>
      <c r="O616" s="126">
        <v>0</v>
      </c>
      <c r="P616" s="126">
        <v>19245.47</v>
      </c>
      <c r="Q616" s="126">
        <v>872.79</v>
      </c>
      <c r="R616" s="126">
        <v>20998</v>
      </c>
      <c r="S616" s="126">
        <v>14519.38</v>
      </c>
    </row>
    <row r="617" spans="1:19" ht="15.75" customHeight="1" thickBot="1">
      <c r="A617" s="125" t="s">
        <v>1273</v>
      </c>
      <c r="B617" s="125" t="s">
        <v>1423</v>
      </c>
      <c r="C617" s="125" t="s">
        <v>733</v>
      </c>
      <c r="D617" s="125" t="str">
        <f t="shared" si="10"/>
        <v>2</v>
      </c>
      <c r="E617" s="125" t="s">
        <v>206</v>
      </c>
      <c r="F617" s="125" t="s">
        <v>205</v>
      </c>
      <c r="G617" s="125" t="s">
        <v>734</v>
      </c>
      <c r="H617" s="125" t="s">
        <v>1429</v>
      </c>
      <c r="I617" s="125" t="s">
        <v>1424</v>
      </c>
      <c r="J617" s="126">
        <v>4325</v>
      </c>
      <c r="K617" s="127" t="s">
        <v>1275</v>
      </c>
      <c r="L617" s="126">
        <v>4325</v>
      </c>
      <c r="M617" s="126">
        <v>2625</v>
      </c>
      <c r="N617" s="126">
        <v>0</v>
      </c>
      <c r="O617" s="126">
        <v>0</v>
      </c>
      <c r="P617" s="126">
        <v>3989.66</v>
      </c>
      <c r="Q617" s="126">
        <v>119.88</v>
      </c>
      <c r="R617" s="126">
        <v>6734.54</v>
      </c>
      <c r="S617" s="126">
        <v>62.71</v>
      </c>
    </row>
    <row r="618" spans="1:19" ht="15.75" thickBot="1">
      <c r="A618" s="125" t="s">
        <v>1905</v>
      </c>
      <c r="B618" s="125" t="s">
        <v>1423</v>
      </c>
      <c r="C618" s="125" t="s">
        <v>733</v>
      </c>
      <c r="D618" s="125" t="str">
        <f t="shared" si="10"/>
        <v>2</v>
      </c>
      <c r="E618" s="125" t="s">
        <v>206</v>
      </c>
      <c r="F618" s="125" t="s">
        <v>205</v>
      </c>
      <c r="G618" s="125" t="s">
        <v>734</v>
      </c>
      <c r="H618" s="125" t="s">
        <v>1429</v>
      </c>
      <c r="I618" s="125" t="s">
        <v>1424</v>
      </c>
      <c r="J618" s="126">
        <v>9988.8799999999992</v>
      </c>
      <c r="K618" s="126">
        <v>119.88</v>
      </c>
      <c r="L618" s="126">
        <v>9869</v>
      </c>
      <c r="M618" s="126">
        <v>0</v>
      </c>
      <c r="N618" s="126">
        <v>3434.86</v>
      </c>
      <c r="O618" s="126">
        <v>525</v>
      </c>
      <c r="P618" s="126">
        <v>3426.59</v>
      </c>
      <c r="Q618" s="126">
        <v>403.89</v>
      </c>
      <c r="R618" s="126">
        <v>7790.34</v>
      </c>
      <c r="S618" s="126">
        <v>3728.54</v>
      </c>
    </row>
    <row r="619" spans="1:19" ht="15.75" customHeight="1" thickBot="1">
      <c r="A619" s="125" t="s">
        <v>1273</v>
      </c>
      <c r="B619" s="125" t="s">
        <v>1423</v>
      </c>
      <c r="C619" s="125" t="s">
        <v>733</v>
      </c>
      <c r="D619" s="125" t="str">
        <f t="shared" si="10"/>
        <v>2</v>
      </c>
      <c r="E619" s="125" t="s">
        <v>206</v>
      </c>
      <c r="F619" s="125" t="s">
        <v>205</v>
      </c>
      <c r="G619" s="125" t="s">
        <v>1430</v>
      </c>
      <c r="H619" s="125" t="s">
        <v>1431</v>
      </c>
      <c r="I619" s="125" t="s">
        <v>1424</v>
      </c>
      <c r="J619" s="126">
        <v>18129.3</v>
      </c>
      <c r="K619" s="126">
        <v>129.30000000000001</v>
      </c>
      <c r="L619" s="126">
        <v>18000</v>
      </c>
      <c r="M619" s="126">
        <v>0</v>
      </c>
      <c r="N619" s="126">
        <v>2265.63</v>
      </c>
      <c r="O619" s="126">
        <v>0</v>
      </c>
      <c r="P619" s="126">
        <v>9543.44</v>
      </c>
      <c r="Q619" s="126">
        <v>0</v>
      </c>
      <c r="R619" s="126">
        <v>11809.07</v>
      </c>
      <c r="S619" s="126">
        <v>3935.23</v>
      </c>
    </row>
    <row r="620" spans="1:19" ht="15.75" thickBot="1">
      <c r="A620" s="125" t="s">
        <v>1905</v>
      </c>
      <c r="B620" s="125" t="s">
        <v>1423</v>
      </c>
      <c r="C620" s="125" t="s">
        <v>733</v>
      </c>
      <c r="D620" s="125" t="str">
        <f t="shared" si="10"/>
        <v>2</v>
      </c>
      <c r="E620" s="125" t="s">
        <v>206</v>
      </c>
      <c r="F620" s="125" t="s">
        <v>205</v>
      </c>
      <c r="G620" s="125" t="s">
        <v>1430</v>
      </c>
      <c r="H620" s="125" t="s">
        <v>1431</v>
      </c>
      <c r="I620" s="125" t="s">
        <v>1424</v>
      </c>
      <c r="J620" s="126">
        <v>9000</v>
      </c>
      <c r="K620" s="127" t="s">
        <v>1275</v>
      </c>
      <c r="L620" s="126">
        <v>9000</v>
      </c>
      <c r="M620" s="126">
        <v>0</v>
      </c>
      <c r="N620" s="126">
        <v>0</v>
      </c>
      <c r="O620" s="126">
        <v>0</v>
      </c>
      <c r="P620" s="126">
        <v>892</v>
      </c>
      <c r="Q620" s="126">
        <v>15</v>
      </c>
      <c r="R620" s="126">
        <v>907</v>
      </c>
      <c r="S620" s="126">
        <v>6288</v>
      </c>
    </row>
    <row r="621" spans="1:19" ht="15.75" customHeight="1" thickBot="1">
      <c r="A621" s="125" t="s">
        <v>1273</v>
      </c>
      <c r="B621" s="125" t="s">
        <v>1453</v>
      </c>
      <c r="C621" s="125" t="s">
        <v>738</v>
      </c>
      <c r="D621" s="125" t="str">
        <f t="shared" si="10"/>
        <v>2</v>
      </c>
      <c r="E621" s="125" t="s">
        <v>206</v>
      </c>
      <c r="F621" s="125" t="s">
        <v>205</v>
      </c>
      <c r="G621" s="125" t="s">
        <v>739</v>
      </c>
      <c r="H621" s="125" t="s">
        <v>1457</v>
      </c>
      <c r="I621" s="125" t="s">
        <v>1454</v>
      </c>
      <c r="J621" s="126">
        <v>13618.84</v>
      </c>
      <c r="K621" s="126">
        <v>2564.84</v>
      </c>
      <c r="L621" s="126">
        <v>11054</v>
      </c>
      <c r="M621" s="126">
        <v>9802.27</v>
      </c>
      <c r="N621" s="126">
        <v>0</v>
      </c>
      <c r="O621" s="126">
        <v>0</v>
      </c>
      <c r="P621" s="126">
        <v>10186.51</v>
      </c>
      <c r="Q621" s="126">
        <v>0</v>
      </c>
      <c r="R621" s="126">
        <v>19988.78</v>
      </c>
      <c r="S621" s="126">
        <v>302.56</v>
      </c>
    </row>
    <row r="622" spans="1:19" ht="15.75" thickBot="1">
      <c r="A622" s="125" t="s">
        <v>1905</v>
      </c>
      <c r="B622" s="125" t="s">
        <v>1453</v>
      </c>
      <c r="C622" s="125" t="s">
        <v>738</v>
      </c>
      <c r="D622" s="125" t="str">
        <f t="shared" si="10"/>
        <v>2</v>
      </c>
      <c r="E622" s="125" t="s">
        <v>206</v>
      </c>
      <c r="F622" s="125" t="s">
        <v>205</v>
      </c>
      <c r="G622" s="125" t="s">
        <v>739</v>
      </c>
      <c r="H622" s="125" t="s">
        <v>1457</v>
      </c>
      <c r="I622" s="125" t="s">
        <v>1454</v>
      </c>
      <c r="J622" s="126">
        <v>30918</v>
      </c>
      <c r="K622" s="127" t="s">
        <v>1275</v>
      </c>
      <c r="L622" s="126">
        <v>30918</v>
      </c>
      <c r="M622" s="126">
        <v>0</v>
      </c>
      <c r="N622" s="126">
        <v>0</v>
      </c>
      <c r="O622" s="126">
        <v>0</v>
      </c>
      <c r="P622" s="126">
        <v>10825.22</v>
      </c>
      <c r="Q622" s="126">
        <v>1269.96</v>
      </c>
      <c r="R622" s="126">
        <v>12095.18</v>
      </c>
      <c r="S622" s="126">
        <v>18822.82</v>
      </c>
    </row>
    <row r="623" spans="1:19" ht="15.75" customHeight="1" thickBot="1">
      <c r="A623" s="125" t="s">
        <v>1273</v>
      </c>
      <c r="B623" s="125" t="s">
        <v>1453</v>
      </c>
      <c r="C623" s="125" t="s">
        <v>738</v>
      </c>
      <c r="D623" s="125" t="str">
        <f t="shared" si="10"/>
        <v>2</v>
      </c>
      <c r="E623" s="125" t="s">
        <v>206</v>
      </c>
      <c r="F623" s="125" t="s">
        <v>205</v>
      </c>
      <c r="G623" s="125" t="s">
        <v>1458</v>
      </c>
      <c r="H623" s="125" t="s">
        <v>1459</v>
      </c>
      <c r="I623" s="125" t="s">
        <v>1454</v>
      </c>
      <c r="J623" s="126">
        <v>23052.080000000002</v>
      </c>
      <c r="K623" s="126">
        <v>5052.08</v>
      </c>
      <c r="L623" s="126">
        <v>18000</v>
      </c>
      <c r="M623" s="126">
        <v>0</v>
      </c>
      <c r="N623" s="126">
        <v>0</v>
      </c>
      <c r="O623" s="126">
        <v>1500</v>
      </c>
      <c r="P623" s="126">
        <v>14852.08</v>
      </c>
      <c r="Q623" s="126">
        <v>3088.3</v>
      </c>
      <c r="R623" s="126">
        <v>19440.38</v>
      </c>
      <c r="S623" s="126">
        <v>2351.6999999999998</v>
      </c>
    </row>
    <row r="624" spans="1:19" ht="15.75" thickBot="1">
      <c r="A624" s="125" t="s">
        <v>1905</v>
      </c>
      <c r="B624" s="125" t="s">
        <v>1453</v>
      </c>
      <c r="C624" s="125" t="s">
        <v>738</v>
      </c>
      <c r="D624" s="125" t="str">
        <f t="shared" si="10"/>
        <v>2</v>
      </c>
      <c r="E624" s="125" t="s">
        <v>206</v>
      </c>
      <c r="F624" s="125" t="s">
        <v>205</v>
      </c>
      <c r="G624" s="125" t="s">
        <v>1458</v>
      </c>
      <c r="H624" s="125" t="s">
        <v>1459</v>
      </c>
      <c r="I624" s="125" t="s">
        <v>1454</v>
      </c>
      <c r="J624" s="126">
        <v>12088.3</v>
      </c>
      <c r="K624" s="126">
        <v>3088.3</v>
      </c>
      <c r="L624" s="126">
        <v>9000</v>
      </c>
      <c r="M624" s="126">
        <v>0</v>
      </c>
      <c r="N624" s="126">
        <v>0</v>
      </c>
      <c r="O624" s="126">
        <v>0</v>
      </c>
      <c r="P624" s="126">
        <v>5185.3599999999997</v>
      </c>
      <c r="Q624" s="126">
        <v>603.98</v>
      </c>
      <c r="R624" s="126">
        <v>5789.34</v>
      </c>
      <c r="S624" s="126">
        <v>6298.96</v>
      </c>
    </row>
    <row r="625" spans="1:19" ht="15.75" customHeight="1" thickBot="1">
      <c r="A625" s="125" t="s">
        <v>1273</v>
      </c>
      <c r="B625" s="125" t="s">
        <v>1477</v>
      </c>
      <c r="C625" s="125" t="s">
        <v>746</v>
      </c>
      <c r="D625" s="125" t="str">
        <f t="shared" si="10"/>
        <v>2</v>
      </c>
      <c r="E625" s="125" t="s">
        <v>206</v>
      </c>
      <c r="F625" s="125" t="s">
        <v>205</v>
      </c>
      <c r="G625" s="125" t="s">
        <v>747</v>
      </c>
      <c r="H625" s="125" t="s">
        <v>1478</v>
      </c>
      <c r="I625" s="125" t="s">
        <v>1352</v>
      </c>
      <c r="J625" s="126">
        <v>27979.56</v>
      </c>
      <c r="K625" s="126">
        <v>1743.56</v>
      </c>
      <c r="L625" s="126">
        <v>26236</v>
      </c>
      <c r="M625" s="126">
        <v>0</v>
      </c>
      <c r="N625" s="126">
        <v>0</v>
      </c>
      <c r="O625" s="126">
        <v>0</v>
      </c>
      <c r="P625" s="126">
        <v>20823.02</v>
      </c>
      <c r="Q625" s="126">
        <v>0</v>
      </c>
      <c r="R625" s="126">
        <v>20823.02</v>
      </c>
      <c r="S625" s="126">
        <v>3902.29</v>
      </c>
    </row>
    <row r="626" spans="1:19" ht="15.75" customHeight="1" thickBot="1">
      <c r="A626" s="125" t="s">
        <v>1273</v>
      </c>
      <c r="B626" s="125" t="s">
        <v>1477</v>
      </c>
      <c r="C626" s="125" t="s">
        <v>746</v>
      </c>
      <c r="D626" s="125" t="str">
        <f t="shared" si="10"/>
        <v>2</v>
      </c>
      <c r="E626" s="125" t="s">
        <v>206</v>
      </c>
      <c r="F626" s="125" t="s">
        <v>205</v>
      </c>
      <c r="G626" s="125" t="s">
        <v>1479</v>
      </c>
      <c r="H626" s="125" t="s">
        <v>1480</v>
      </c>
      <c r="I626" s="125" t="s">
        <v>1352</v>
      </c>
      <c r="J626" s="126">
        <v>23652.07</v>
      </c>
      <c r="K626" s="126">
        <v>5652.07</v>
      </c>
      <c r="L626" s="126">
        <v>18000</v>
      </c>
      <c r="M626" s="126">
        <v>0</v>
      </c>
      <c r="N626" s="126">
        <v>0</v>
      </c>
      <c r="O626" s="126">
        <v>0</v>
      </c>
      <c r="P626" s="126">
        <v>19365.82</v>
      </c>
      <c r="Q626" s="126">
        <v>121.7</v>
      </c>
      <c r="R626" s="126">
        <v>19487.52</v>
      </c>
      <c r="S626" s="126">
        <v>2904.55</v>
      </c>
    </row>
    <row r="627" spans="1:19" ht="15.75" thickBot="1">
      <c r="A627" s="125" t="s">
        <v>1905</v>
      </c>
      <c r="B627" s="125" t="s">
        <v>1477</v>
      </c>
      <c r="C627" s="125" t="s">
        <v>746</v>
      </c>
      <c r="D627" s="125" t="str">
        <f t="shared" si="10"/>
        <v>2</v>
      </c>
      <c r="E627" s="125" t="s">
        <v>206</v>
      </c>
      <c r="F627" s="125" t="s">
        <v>205</v>
      </c>
      <c r="G627" s="125" t="s">
        <v>1479</v>
      </c>
      <c r="H627" s="125" t="s">
        <v>1480</v>
      </c>
      <c r="I627" s="125" t="s">
        <v>1352</v>
      </c>
      <c r="J627" s="126">
        <v>121.7</v>
      </c>
      <c r="K627" s="126">
        <v>121.7</v>
      </c>
      <c r="L627" s="126">
        <v>0</v>
      </c>
      <c r="M627" s="126">
        <v>0</v>
      </c>
      <c r="N627" s="126">
        <v>0</v>
      </c>
      <c r="O627" s="126">
        <v>0</v>
      </c>
      <c r="P627" s="126">
        <v>121.7</v>
      </c>
      <c r="Q627" s="126">
        <v>0</v>
      </c>
      <c r="R627" s="126">
        <v>121.7</v>
      </c>
      <c r="S627" s="126">
        <v>0</v>
      </c>
    </row>
    <row r="628" spans="1:19" ht="15.75" customHeight="1" thickBot="1">
      <c r="A628" s="125" t="s">
        <v>1273</v>
      </c>
      <c r="B628" s="125" t="s">
        <v>1509</v>
      </c>
      <c r="C628" s="125" t="s">
        <v>969</v>
      </c>
      <c r="D628" s="125" t="str">
        <f t="shared" si="10"/>
        <v>2</v>
      </c>
      <c r="E628" s="125" t="s">
        <v>206</v>
      </c>
      <c r="F628" s="125" t="s">
        <v>205</v>
      </c>
      <c r="G628" s="125" t="s">
        <v>879</v>
      </c>
      <c r="H628" s="125" t="s">
        <v>1511</v>
      </c>
      <c r="I628" s="125" t="s">
        <v>1510</v>
      </c>
      <c r="J628" s="126">
        <v>14453</v>
      </c>
      <c r="K628" s="126">
        <v>14453</v>
      </c>
      <c r="L628" s="126">
        <v>0</v>
      </c>
      <c r="M628" s="126">
        <v>750</v>
      </c>
      <c r="N628" s="126">
        <v>0</v>
      </c>
      <c r="O628" s="126">
        <v>0</v>
      </c>
      <c r="P628" s="126">
        <v>10856.44</v>
      </c>
      <c r="Q628" s="126">
        <v>0</v>
      </c>
      <c r="R628" s="126">
        <v>11606.44</v>
      </c>
      <c r="S628" s="126">
        <v>3596.56</v>
      </c>
    </row>
    <row r="629" spans="1:19" ht="15.75" customHeight="1" thickBot="1">
      <c r="A629" s="125" t="s">
        <v>1273</v>
      </c>
      <c r="B629" s="125" t="s">
        <v>1509</v>
      </c>
      <c r="C629" s="125" t="s">
        <v>969</v>
      </c>
      <c r="D629" s="125" t="str">
        <f t="shared" si="10"/>
        <v>2</v>
      </c>
      <c r="E629" s="125" t="s">
        <v>206</v>
      </c>
      <c r="F629" s="125" t="s">
        <v>205</v>
      </c>
      <c r="G629" s="125" t="s">
        <v>1512</v>
      </c>
      <c r="H629" s="125" t="s">
        <v>1513</v>
      </c>
      <c r="I629" s="125" t="s">
        <v>1510</v>
      </c>
      <c r="J629" s="126">
        <v>22700.080000000002</v>
      </c>
      <c r="K629" s="126">
        <v>4700.08</v>
      </c>
      <c r="L629" s="126">
        <v>18000</v>
      </c>
      <c r="M629" s="126">
        <v>0</v>
      </c>
      <c r="N629" s="126">
        <v>0</v>
      </c>
      <c r="O629" s="126">
        <v>0</v>
      </c>
      <c r="P629" s="126">
        <v>19031.400000000001</v>
      </c>
      <c r="Q629" s="126">
        <v>543.96</v>
      </c>
      <c r="R629" s="126">
        <v>19575.36</v>
      </c>
      <c r="S629" s="126">
        <v>1864.72</v>
      </c>
    </row>
    <row r="630" spans="1:19" ht="15.75" thickBot="1">
      <c r="A630" s="125" t="s">
        <v>1905</v>
      </c>
      <c r="B630" s="125" t="s">
        <v>1509</v>
      </c>
      <c r="C630" s="125" t="s">
        <v>969</v>
      </c>
      <c r="D630" s="125" t="str">
        <f t="shared" si="10"/>
        <v>2</v>
      </c>
      <c r="E630" s="125" t="s">
        <v>206</v>
      </c>
      <c r="F630" s="125" t="s">
        <v>205</v>
      </c>
      <c r="G630" s="125" t="s">
        <v>1512</v>
      </c>
      <c r="H630" s="125" t="s">
        <v>1513</v>
      </c>
      <c r="I630" s="125" t="s">
        <v>1510</v>
      </c>
      <c r="J630" s="126">
        <v>543.96</v>
      </c>
      <c r="K630" s="126">
        <v>543.96</v>
      </c>
      <c r="L630" s="126">
        <v>0</v>
      </c>
      <c r="M630" s="126">
        <v>0</v>
      </c>
      <c r="N630" s="126">
        <v>0</v>
      </c>
      <c r="O630" s="126">
        <v>0</v>
      </c>
      <c r="P630" s="126">
        <v>3291.82</v>
      </c>
      <c r="Q630" s="126">
        <v>529</v>
      </c>
      <c r="R630" s="126">
        <v>3820.82</v>
      </c>
      <c r="S630" s="126">
        <v>7827.54</v>
      </c>
    </row>
    <row r="631" spans="1:19" ht="15.75" customHeight="1" thickBot="1">
      <c r="A631" s="125" t="s">
        <v>1273</v>
      </c>
      <c r="B631" s="125" t="s">
        <v>1527</v>
      </c>
      <c r="C631" s="125" t="s">
        <v>750</v>
      </c>
      <c r="D631" s="125" t="str">
        <f t="shared" si="10"/>
        <v>2</v>
      </c>
      <c r="E631" s="125" t="s">
        <v>206</v>
      </c>
      <c r="F631" s="125" t="s">
        <v>205</v>
      </c>
      <c r="G631" s="125" t="s">
        <v>751</v>
      </c>
      <c r="H631" s="125" t="s">
        <v>1584</v>
      </c>
      <c r="I631" s="125" t="s">
        <v>1301</v>
      </c>
      <c r="J631" s="126">
        <v>4633</v>
      </c>
      <c r="K631" s="127" t="s">
        <v>1275</v>
      </c>
      <c r="L631" s="126">
        <v>4633</v>
      </c>
      <c r="M631" s="126">
        <v>6000</v>
      </c>
      <c r="N631" s="126">
        <v>0</v>
      </c>
      <c r="O631" s="126">
        <v>0</v>
      </c>
      <c r="P631" s="126">
        <v>4262.83</v>
      </c>
      <c r="Q631" s="126">
        <v>0</v>
      </c>
      <c r="R631" s="126">
        <v>10262.83</v>
      </c>
      <c r="S631" s="126">
        <v>45.86</v>
      </c>
    </row>
    <row r="632" spans="1:19" ht="15.75" thickBot="1">
      <c r="A632" s="125" t="s">
        <v>1905</v>
      </c>
      <c r="B632" s="125" t="s">
        <v>1527</v>
      </c>
      <c r="C632" s="125" t="s">
        <v>750</v>
      </c>
      <c r="D632" s="125" t="str">
        <f t="shared" si="10"/>
        <v>2</v>
      </c>
      <c r="E632" s="125" t="s">
        <v>206</v>
      </c>
      <c r="F632" s="125" t="s">
        <v>205</v>
      </c>
      <c r="G632" s="125" t="s">
        <v>751</v>
      </c>
      <c r="H632" s="125" t="s">
        <v>1584</v>
      </c>
      <c r="I632" s="125" t="s">
        <v>1301</v>
      </c>
      <c r="J632" s="126">
        <v>31466</v>
      </c>
      <c r="K632" s="127" t="s">
        <v>1275</v>
      </c>
      <c r="L632" s="126">
        <v>31466</v>
      </c>
      <c r="M632" s="126">
        <v>0</v>
      </c>
      <c r="N632" s="126">
        <v>8259.75</v>
      </c>
      <c r="O632" s="126">
        <v>0</v>
      </c>
      <c r="P632" s="126">
        <v>5983.2</v>
      </c>
      <c r="Q632" s="126">
        <v>578.75</v>
      </c>
      <c r="R632" s="126">
        <v>14821.7</v>
      </c>
      <c r="S632" s="126">
        <v>13319.3</v>
      </c>
    </row>
    <row r="633" spans="1:19" ht="15.75" customHeight="1" thickBot="1">
      <c r="A633" s="125" t="s">
        <v>1273</v>
      </c>
      <c r="B633" s="125" t="s">
        <v>1527</v>
      </c>
      <c r="C633" s="125" t="s">
        <v>750</v>
      </c>
      <c r="D633" s="125" t="str">
        <f t="shared" si="10"/>
        <v>2</v>
      </c>
      <c r="E633" s="125" t="s">
        <v>206</v>
      </c>
      <c r="F633" s="125" t="s">
        <v>205</v>
      </c>
      <c r="G633" s="125" t="s">
        <v>1585</v>
      </c>
      <c r="H633" s="125" t="s">
        <v>1586</v>
      </c>
      <c r="I633" s="125" t="s">
        <v>1301</v>
      </c>
      <c r="J633" s="126">
        <v>27807.7</v>
      </c>
      <c r="K633" s="126">
        <v>9807.7000000000007</v>
      </c>
      <c r="L633" s="126">
        <v>18000</v>
      </c>
      <c r="M633" s="126">
        <v>0</v>
      </c>
      <c r="N633" s="126">
        <v>0</v>
      </c>
      <c r="O633" s="126">
        <v>0</v>
      </c>
      <c r="P633" s="126">
        <v>17763.900000000001</v>
      </c>
      <c r="Q633" s="126">
        <v>0</v>
      </c>
      <c r="R633" s="126">
        <v>17763.900000000001</v>
      </c>
      <c r="S633" s="126">
        <v>8783.7999999999993</v>
      </c>
    </row>
    <row r="634" spans="1:19" ht="15.75" thickBot="1">
      <c r="A634" s="125" t="s">
        <v>1905</v>
      </c>
      <c r="B634" s="125" t="s">
        <v>1527</v>
      </c>
      <c r="C634" s="125" t="s">
        <v>750</v>
      </c>
      <c r="D634" s="125" t="str">
        <f t="shared" si="10"/>
        <v>2</v>
      </c>
      <c r="E634" s="125" t="s">
        <v>206</v>
      </c>
      <c r="F634" s="125" t="s">
        <v>205</v>
      </c>
      <c r="G634" s="125" t="s">
        <v>1585</v>
      </c>
      <c r="H634" s="125" t="s">
        <v>1586</v>
      </c>
      <c r="I634" s="125" t="s">
        <v>1301</v>
      </c>
      <c r="J634" s="126">
        <v>9000</v>
      </c>
      <c r="K634" s="127" t="s">
        <v>1275</v>
      </c>
      <c r="L634" s="126">
        <v>9000</v>
      </c>
      <c r="M634" s="126">
        <v>0</v>
      </c>
      <c r="N634" s="126">
        <v>0</v>
      </c>
      <c r="O634" s="126">
        <v>0</v>
      </c>
      <c r="P634" s="126">
        <v>3836.8</v>
      </c>
      <c r="Q634" s="126">
        <v>0</v>
      </c>
      <c r="R634" s="126">
        <v>3836.8</v>
      </c>
      <c r="S634" s="126">
        <v>5163.2</v>
      </c>
    </row>
    <row r="635" spans="1:19" ht="15.75" thickBot="1">
      <c r="A635" s="125" t="s">
        <v>1905</v>
      </c>
      <c r="B635" s="125" t="s">
        <v>1299</v>
      </c>
      <c r="C635" s="125" t="s">
        <v>719</v>
      </c>
      <c r="D635" s="125" t="str">
        <f t="shared" si="10"/>
        <v>2</v>
      </c>
      <c r="E635" s="125" t="s">
        <v>206</v>
      </c>
      <c r="F635" s="125" t="s">
        <v>205</v>
      </c>
      <c r="G635" s="125" t="s">
        <v>1191</v>
      </c>
      <c r="H635" s="125" t="s">
        <v>1190</v>
      </c>
      <c r="I635" s="125" t="s">
        <v>1301</v>
      </c>
      <c r="J635" s="126">
        <v>28311</v>
      </c>
      <c r="K635" s="127" t="s">
        <v>1275</v>
      </c>
      <c r="L635" s="126">
        <v>28311</v>
      </c>
      <c r="M635" s="126">
        <v>15236.65</v>
      </c>
      <c r="N635" s="126">
        <v>0</v>
      </c>
      <c r="O635" s="126">
        <v>0</v>
      </c>
      <c r="P635" s="126">
        <v>1614.26</v>
      </c>
      <c r="Q635" s="126">
        <v>0</v>
      </c>
      <c r="R635" s="126">
        <v>16850.91</v>
      </c>
      <c r="S635" s="126">
        <v>11460.09</v>
      </c>
    </row>
    <row r="636" spans="1:19" ht="15.75" customHeight="1" thickBot="1">
      <c r="A636" s="125" t="s">
        <v>1273</v>
      </c>
      <c r="B636" s="125" t="s">
        <v>1299</v>
      </c>
      <c r="C636" s="125" t="s">
        <v>719</v>
      </c>
      <c r="D636" s="125" t="str">
        <f t="shared" si="10"/>
        <v>2</v>
      </c>
      <c r="E636" s="125" t="s">
        <v>206</v>
      </c>
      <c r="F636" s="125" t="s">
        <v>205</v>
      </c>
      <c r="G636" s="125" t="s">
        <v>1306</v>
      </c>
      <c r="H636" s="125" t="s">
        <v>1307</v>
      </c>
      <c r="I636" s="125" t="s">
        <v>1301</v>
      </c>
      <c r="J636" s="126">
        <v>14504</v>
      </c>
      <c r="K636" s="127" t="s">
        <v>1275</v>
      </c>
      <c r="L636" s="126">
        <v>14504</v>
      </c>
      <c r="M636" s="126">
        <v>0</v>
      </c>
      <c r="N636" s="126">
        <v>0</v>
      </c>
      <c r="O636" s="126">
        <v>0</v>
      </c>
      <c r="P636" s="126">
        <v>2351.8000000000002</v>
      </c>
      <c r="Q636" s="126">
        <v>0</v>
      </c>
      <c r="R636" s="126">
        <v>2351.8000000000002</v>
      </c>
      <c r="S636" s="126">
        <v>2136.92</v>
      </c>
    </row>
    <row r="637" spans="1:19" ht="15.75" thickBot="1">
      <c r="A637" s="125" t="s">
        <v>1905</v>
      </c>
      <c r="B637" s="125" t="s">
        <v>1299</v>
      </c>
      <c r="C637" s="125" t="s">
        <v>719</v>
      </c>
      <c r="D637" s="125" t="str">
        <f t="shared" si="10"/>
        <v>2</v>
      </c>
      <c r="E637" s="125" t="s">
        <v>206</v>
      </c>
      <c r="F637" s="125" t="s">
        <v>205</v>
      </c>
      <c r="G637" s="125" t="s">
        <v>1306</v>
      </c>
      <c r="H637" s="125" t="s">
        <v>1307</v>
      </c>
      <c r="I637" s="125" t="s">
        <v>1301</v>
      </c>
      <c r="J637" s="126">
        <v>12038</v>
      </c>
      <c r="K637" s="127" t="s">
        <v>1275</v>
      </c>
      <c r="L637" s="126">
        <v>12038</v>
      </c>
      <c r="M637" s="126">
        <v>0</v>
      </c>
      <c r="N637" s="126">
        <v>0</v>
      </c>
      <c r="O637" s="126">
        <v>0</v>
      </c>
      <c r="P637" s="126">
        <v>2002.57</v>
      </c>
      <c r="Q637" s="126">
        <v>0</v>
      </c>
      <c r="R637" s="126">
        <v>2002.57</v>
      </c>
      <c r="S637" s="126">
        <v>9535.74</v>
      </c>
    </row>
    <row r="638" spans="1:19" ht="15.75" customHeight="1" thickBot="1">
      <c r="A638" s="125" t="s">
        <v>1273</v>
      </c>
      <c r="B638" s="125" t="s">
        <v>39</v>
      </c>
      <c r="C638" s="125" t="s">
        <v>326</v>
      </c>
      <c r="D638" s="125" t="str">
        <f t="shared" si="10"/>
        <v>1</v>
      </c>
      <c r="E638" s="125" t="s">
        <v>206</v>
      </c>
      <c r="F638" s="125" t="s">
        <v>205</v>
      </c>
      <c r="G638" s="125" t="s">
        <v>1281</v>
      </c>
      <c r="H638" s="125" t="s">
        <v>1282</v>
      </c>
      <c r="I638" s="125" t="s">
        <v>1283</v>
      </c>
      <c r="J638" s="126">
        <v>1972.95</v>
      </c>
      <c r="K638" s="126">
        <v>172.95</v>
      </c>
      <c r="L638" s="126">
        <v>1800</v>
      </c>
      <c r="M638" s="126">
        <v>0</v>
      </c>
      <c r="N638" s="126">
        <v>0</v>
      </c>
      <c r="O638" s="126">
        <v>0</v>
      </c>
      <c r="P638" s="126">
        <v>402.87</v>
      </c>
      <c r="Q638" s="126">
        <v>0</v>
      </c>
      <c r="R638" s="126">
        <v>402.87</v>
      </c>
      <c r="S638" s="126">
        <v>1444.08</v>
      </c>
    </row>
    <row r="639" spans="1:19" ht="15.75" thickBot="1">
      <c r="A639" s="125" t="s">
        <v>1905</v>
      </c>
      <c r="B639" s="125" t="s">
        <v>39</v>
      </c>
      <c r="C639" s="125" t="s">
        <v>326</v>
      </c>
      <c r="D639" s="125" t="str">
        <f t="shared" si="10"/>
        <v>1</v>
      </c>
      <c r="E639" s="125" t="s">
        <v>206</v>
      </c>
      <c r="F639" s="125" t="s">
        <v>205</v>
      </c>
      <c r="G639" s="125" t="s">
        <v>1281</v>
      </c>
      <c r="H639" s="125" t="s">
        <v>1282</v>
      </c>
      <c r="I639" s="125" t="s">
        <v>1283</v>
      </c>
      <c r="J639" s="126">
        <v>1494</v>
      </c>
      <c r="K639" s="127" t="s">
        <v>1275</v>
      </c>
      <c r="L639" s="126">
        <v>1494</v>
      </c>
      <c r="M639" s="126">
        <v>0</v>
      </c>
      <c r="N639" s="126">
        <v>0</v>
      </c>
      <c r="O639" s="126">
        <v>0</v>
      </c>
      <c r="P639" s="126">
        <v>0</v>
      </c>
      <c r="Q639" s="126">
        <v>0</v>
      </c>
      <c r="R639" s="126">
        <v>0</v>
      </c>
      <c r="S639" s="126">
        <v>1494</v>
      </c>
    </row>
    <row r="640" spans="1:19" ht="15.75" customHeight="1" thickBot="1">
      <c r="A640" s="125" t="s">
        <v>1273</v>
      </c>
      <c r="B640" s="125" t="s">
        <v>1299</v>
      </c>
      <c r="C640" s="125" t="s">
        <v>719</v>
      </c>
      <c r="D640" s="125" t="str">
        <f t="shared" si="10"/>
        <v>2</v>
      </c>
      <c r="E640" s="125" t="s">
        <v>206</v>
      </c>
      <c r="F640" s="125" t="s">
        <v>205</v>
      </c>
      <c r="G640" s="125" t="s">
        <v>1308</v>
      </c>
      <c r="H640" s="125" t="s">
        <v>1309</v>
      </c>
      <c r="I640" s="125" t="s">
        <v>1301</v>
      </c>
      <c r="J640" s="126">
        <v>25000</v>
      </c>
      <c r="K640" s="127" t="s">
        <v>1275</v>
      </c>
      <c r="L640" s="126">
        <v>25000</v>
      </c>
      <c r="M640" s="126">
        <v>0</v>
      </c>
      <c r="N640" s="126">
        <v>0</v>
      </c>
      <c r="O640" s="126">
        <v>0</v>
      </c>
      <c r="P640" s="126">
        <v>12971.11</v>
      </c>
      <c r="Q640" s="126">
        <v>0</v>
      </c>
      <c r="R640" s="126">
        <v>12971.11</v>
      </c>
      <c r="S640" s="126">
        <v>3.89</v>
      </c>
    </row>
    <row r="641" spans="1:19" ht="15.75" thickBot="1">
      <c r="A641" s="125" t="s">
        <v>1905</v>
      </c>
      <c r="B641" s="125" t="s">
        <v>1299</v>
      </c>
      <c r="C641" s="125" t="s">
        <v>719</v>
      </c>
      <c r="D641" s="125" t="str">
        <f t="shared" si="10"/>
        <v>2</v>
      </c>
      <c r="E641" s="125" t="s">
        <v>206</v>
      </c>
      <c r="F641" s="125" t="s">
        <v>205</v>
      </c>
      <c r="G641" s="125" t="s">
        <v>1308</v>
      </c>
      <c r="H641" s="125" t="s">
        <v>1309</v>
      </c>
      <c r="I641" s="125" t="s">
        <v>1301</v>
      </c>
      <c r="J641" s="126">
        <v>20750</v>
      </c>
      <c r="K641" s="127" t="s">
        <v>1275</v>
      </c>
      <c r="L641" s="126">
        <v>20750</v>
      </c>
      <c r="M641" s="126">
        <v>0</v>
      </c>
      <c r="N641" s="126">
        <v>0</v>
      </c>
      <c r="O641" s="126">
        <v>0</v>
      </c>
      <c r="P641" s="126">
        <v>14278.97</v>
      </c>
      <c r="Q641" s="126">
        <v>2284.27</v>
      </c>
      <c r="R641" s="126">
        <v>16563.240000000002</v>
      </c>
      <c r="S641" s="126">
        <v>4186.76</v>
      </c>
    </row>
    <row r="642" spans="1:19" ht="15.75" customHeight="1" thickBot="1">
      <c r="A642" s="125" t="s">
        <v>1273</v>
      </c>
      <c r="B642" s="125" t="s">
        <v>1317</v>
      </c>
      <c r="C642" s="125" t="s">
        <v>763</v>
      </c>
      <c r="D642" s="125" t="str">
        <f t="shared" si="10"/>
        <v>2</v>
      </c>
      <c r="E642" s="125" t="s">
        <v>206</v>
      </c>
      <c r="F642" s="125" t="s">
        <v>205</v>
      </c>
      <c r="G642" s="125" t="s">
        <v>766</v>
      </c>
      <c r="H642" s="125" t="s">
        <v>1193</v>
      </c>
      <c r="I642" s="125" t="s">
        <v>1318</v>
      </c>
      <c r="J642" s="126">
        <v>487451.35</v>
      </c>
      <c r="K642" s="126">
        <v>9592.35</v>
      </c>
      <c r="L642" s="126">
        <v>477859</v>
      </c>
      <c r="M642" s="126">
        <v>298087.64</v>
      </c>
      <c r="N642" s="126">
        <v>101749.98</v>
      </c>
      <c r="O642" s="126">
        <v>0</v>
      </c>
      <c r="P642" s="126">
        <v>45229.73</v>
      </c>
      <c r="Q642" s="126">
        <v>6985.48</v>
      </c>
      <c r="R642" s="126">
        <v>452052.83</v>
      </c>
      <c r="S642" s="126">
        <v>17469.87</v>
      </c>
    </row>
    <row r="643" spans="1:19" ht="15.75" thickBot="1">
      <c r="A643" s="125" t="s">
        <v>1905</v>
      </c>
      <c r="B643" s="125" t="s">
        <v>1317</v>
      </c>
      <c r="C643" s="125" t="s">
        <v>763</v>
      </c>
      <c r="D643" s="125" t="str">
        <f t="shared" si="10"/>
        <v>2</v>
      </c>
      <c r="E643" s="125" t="s">
        <v>206</v>
      </c>
      <c r="F643" s="125" t="s">
        <v>205</v>
      </c>
      <c r="G643" s="125" t="s">
        <v>766</v>
      </c>
      <c r="H643" s="125" t="s">
        <v>1193</v>
      </c>
      <c r="I643" s="125" t="s">
        <v>1318</v>
      </c>
      <c r="J643" s="126">
        <v>636153.48</v>
      </c>
      <c r="K643" s="126">
        <v>6985.48</v>
      </c>
      <c r="L643" s="126">
        <v>629168</v>
      </c>
      <c r="M643" s="126">
        <v>235629.32</v>
      </c>
      <c r="N643" s="126">
        <v>58842.19</v>
      </c>
      <c r="O643" s="126">
        <v>0</v>
      </c>
      <c r="P643" s="126">
        <v>14162.15</v>
      </c>
      <c r="Q643" s="126">
        <v>10671.29</v>
      </c>
      <c r="R643" s="126">
        <v>319304.95</v>
      </c>
      <c r="S643" s="126">
        <v>256972.53</v>
      </c>
    </row>
    <row r="644" spans="1:19" ht="15.75" customHeight="1" thickBot="1">
      <c r="A644" s="125" t="s">
        <v>1273</v>
      </c>
      <c r="B644" s="125" t="s">
        <v>1527</v>
      </c>
      <c r="C644" s="125" t="s">
        <v>750</v>
      </c>
      <c r="D644" s="125" t="str">
        <f t="shared" si="10"/>
        <v>2</v>
      </c>
      <c r="E644" s="125" t="s">
        <v>206</v>
      </c>
      <c r="F644" s="125" t="s">
        <v>205</v>
      </c>
      <c r="G644" s="125" t="s">
        <v>1587</v>
      </c>
      <c r="H644" s="125" t="s">
        <v>1588</v>
      </c>
      <c r="I644" s="125" t="s">
        <v>1301</v>
      </c>
      <c r="J644" s="126">
        <v>10000</v>
      </c>
      <c r="K644" s="127" t="s">
        <v>1275</v>
      </c>
      <c r="L644" s="126">
        <v>10000</v>
      </c>
      <c r="M644" s="126">
        <v>0</v>
      </c>
      <c r="N644" s="126">
        <v>0</v>
      </c>
      <c r="O644" s="126">
        <v>0</v>
      </c>
      <c r="P644" s="126">
        <v>1074.98</v>
      </c>
      <c r="Q644" s="126">
        <v>0</v>
      </c>
      <c r="R644" s="126">
        <v>1074.98</v>
      </c>
      <c r="S644" s="126">
        <v>8225.02</v>
      </c>
    </row>
    <row r="645" spans="1:19" ht="15.75" thickBot="1">
      <c r="A645" s="125" t="s">
        <v>1905</v>
      </c>
      <c r="B645" s="125" t="s">
        <v>1527</v>
      </c>
      <c r="C645" s="125" t="s">
        <v>750</v>
      </c>
      <c r="D645" s="125" t="str">
        <f t="shared" si="10"/>
        <v>2</v>
      </c>
      <c r="E645" s="125" t="s">
        <v>206</v>
      </c>
      <c r="F645" s="125" t="s">
        <v>205</v>
      </c>
      <c r="G645" s="125" t="s">
        <v>1587</v>
      </c>
      <c r="H645" s="125" t="s">
        <v>1588</v>
      </c>
      <c r="I645" s="125" t="s">
        <v>1301</v>
      </c>
      <c r="J645" s="126">
        <v>8300</v>
      </c>
      <c r="K645" s="127" t="s">
        <v>1275</v>
      </c>
      <c r="L645" s="126">
        <v>8300</v>
      </c>
      <c r="M645" s="126">
        <v>0</v>
      </c>
      <c r="N645" s="126">
        <v>0</v>
      </c>
      <c r="O645" s="126">
        <v>0</v>
      </c>
      <c r="P645" s="126">
        <v>883.8</v>
      </c>
      <c r="Q645" s="126">
        <v>0</v>
      </c>
      <c r="R645" s="126">
        <v>883.8</v>
      </c>
      <c r="S645" s="126">
        <v>7416.2</v>
      </c>
    </row>
    <row r="646" spans="1:19" ht="15.75" thickBot="1">
      <c r="A646" s="125" t="s">
        <v>1905</v>
      </c>
      <c r="B646" s="125" t="s">
        <v>1793</v>
      </c>
      <c r="C646" s="125" t="s">
        <v>1794</v>
      </c>
      <c r="D646" s="125" t="s">
        <v>2077</v>
      </c>
      <c r="E646" s="125" t="s">
        <v>206</v>
      </c>
      <c r="F646" s="125" t="s">
        <v>205</v>
      </c>
      <c r="G646" s="125" t="s">
        <v>1795</v>
      </c>
      <c r="H646" s="125" t="s">
        <v>1949</v>
      </c>
      <c r="I646" s="125" t="s">
        <v>1797</v>
      </c>
      <c r="J646" s="126">
        <v>0</v>
      </c>
      <c r="K646" s="127" t="s">
        <v>1275</v>
      </c>
      <c r="L646" s="126">
        <v>0</v>
      </c>
      <c r="M646" s="126">
        <v>0</v>
      </c>
      <c r="N646" s="126">
        <v>0</v>
      </c>
      <c r="O646" s="126">
        <v>0</v>
      </c>
      <c r="P646" s="126">
        <v>5264.89</v>
      </c>
      <c r="Q646" s="126">
        <v>2548.39</v>
      </c>
      <c r="R646" s="126">
        <v>7813.28</v>
      </c>
      <c r="S646" s="126">
        <v>7246.72</v>
      </c>
    </row>
    <row r="647" spans="1:19" ht="15.75" customHeight="1" thickBot="1">
      <c r="A647" s="125" t="s">
        <v>1273</v>
      </c>
      <c r="B647" s="125" t="s">
        <v>1793</v>
      </c>
      <c r="C647" s="125" t="s">
        <v>1794</v>
      </c>
      <c r="D647" s="125" t="s">
        <v>2077</v>
      </c>
      <c r="E647" s="125" t="s">
        <v>206</v>
      </c>
      <c r="F647" s="125" t="s">
        <v>205</v>
      </c>
      <c r="G647" s="125" t="s">
        <v>1799</v>
      </c>
      <c r="H647" s="125" t="s">
        <v>1800</v>
      </c>
      <c r="I647" s="125" t="s">
        <v>1797</v>
      </c>
      <c r="J647" s="126">
        <v>0</v>
      </c>
      <c r="K647" s="127" t="s">
        <v>1275</v>
      </c>
      <c r="L647" s="126">
        <v>0</v>
      </c>
      <c r="M647" s="126">
        <v>0</v>
      </c>
      <c r="N647" s="126">
        <v>0</v>
      </c>
      <c r="O647" s="126">
        <v>0</v>
      </c>
      <c r="P647" s="126">
        <v>0</v>
      </c>
      <c r="Q647" s="126">
        <v>3006.33</v>
      </c>
      <c r="R647" s="126">
        <v>3006.33</v>
      </c>
      <c r="S647" s="126">
        <v>639.66999999999996</v>
      </c>
    </row>
    <row r="648" spans="1:19" ht="15.75" thickBot="1">
      <c r="A648" s="125" t="s">
        <v>1905</v>
      </c>
      <c r="B648" s="125" t="s">
        <v>1793</v>
      </c>
      <c r="C648" s="125" t="s">
        <v>1794</v>
      </c>
      <c r="D648" s="125" t="s">
        <v>2077</v>
      </c>
      <c r="E648" s="125" t="s">
        <v>206</v>
      </c>
      <c r="F648" s="125" t="s">
        <v>205</v>
      </c>
      <c r="G648" s="125" t="s">
        <v>1799</v>
      </c>
      <c r="H648" s="125" t="s">
        <v>1800</v>
      </c>
      <c r="I648" s="125" t="s">
        <v>1797</v>
      </c>
      <c r="J648" s="126">
        <v>18066.330000000002</v>
      </c>
      <c r="K648" s="126">
        <v>3006.33</v>
      </c>
      <c r="L648" s="126">
        <v>15060</v>
      </c>
      <c r="M648" s="126">
        <v>0</v>
      </c>
      <c r="N648" s="126">
        <v>0</v>
      </c>
      <c r="O648" s="126">
        <v>0</v>
      </c>
      <c r="P648" s="126">
        <v>3006.33</v>
      </c>
      <c r="Q648" s="126">
        <v>0</v>
      </c>
      <c r="R648" s="126">
        <v>3006.33</v>
      </c>
      <c r="S648" s="126">
        <v>0</v>
      </c>
    </row>
    <row r="649" spans="1:19" ht="15.75" customHeight="1" thickBot="1">
      <c r="A649" s="125" t="s">
        <v>1273</v>
      </c>
      <c r="B649" s="125" t="s">
        <v>1793</v>
      </c>
      <c r="C649" s="125" t="s">
        <v>1794</v>
      </c>
      <c r="D649" s="125" t="s">
        <v>2077</v>
      </c>
      <c r="E649" s="125" t="s">
        <v>206</v>
      </c>
      <c r="F649" s="125" t="s">
        <v>205</v>
      </c>
      <c r="G649" s="125" t="s">
        <v>1801</v>
      </c>
      <c r="H649" s="125" t="s">
        <v>1802</v>
      </c>
      <c r="I649" s="125" t="s">
        <v>1797</v>
      </c>
      <c r="J649" s="126">
        <v>62196.01</v>
      </c>
      <c r="K649" s="126">
        <v>17196.009999999998</v>
      </c>
      <c r="L649" s="126">
        <v>45000</v>
      </c>
      <c r="M649" s="126">
        <v>0</v>
      </c>
      <c r="N649" s="126">
        <v>0</v>
      </c>
      <c r="O649" s="126">
        <v>0</v>
      </c>
      <c r="P649" s="126">
        <v>29274.83</v>
      </c>
      <c r="Q649" s="126">
        <v>10827.5</v>
      </c>
      <c r="R649" s="126">
        <v>40102.33</v>
      </c>
      <c r="S649" s="126">
        <v>18943.68</v>
      </c>
    </row>
    <row r="650" spans="1:19" ht="15.75" thickBot="1">
      <c r="A650" s="125" t="s">
        <v>1905</v>
      </c>
      <c r="B650" s="125" t="s">
        <v>1793</v>
      </c>
      <c r="C650" s="125" t="s">
        <v>1794</v>
      </c>
      <c r="D650" s="125" t="s">
        <v>2077</v>
      </c>
      <c r="E650" s="125" t="s">
        <v>206</v>
      </c>
      <c r="F650" s="125" t="s">
        <v>205</v>
      </c>
      <c r="G650" s="125" t="s">
        <v>1801</v>
      </c>
      <c r="H650" s="125" t="s">
        <v>1802</v>
      </c>
      <c r="I650" s="125" t="s">
        <v>1797</v>
      </c>
      <c r="J650" s="126">
        <v>46309.5</v>
      </c>
      <c r="K650" s="126">
        <v>10827.5</v>
      </c>
      <c r="L650" s="126">
        <v>35482</v>
      </c>
      <c r="M650" s="126">
        <v>0</v>
      </c>
      <c r="N650" s="126">
        <v>0</v>
      </c>
      <c r="O650" s="126">
        <v>0</v>
      </c>
      <c r="P650" s="126">
        <v>10860</v>
      </c>
      <c r="Q650" s="126">
        <v>14887.5</v>
      </c>
      <c r="R650" s="126">
        <v>25747.5</v>
      </c>
      <c r="S650" s="126">
        <v>20562</v>
      </c>
    </row>
    <row r="651" spans="1:19" ht="15.75" customHeight="1" thickBot="1">
      <c r="A651" s="125" t="s">
        <v>1273</v>
      </c>
      <c r="B651" s="125" t="s">
        <v>1767</v>
      </c>
      <c r="C651" s="125" t="s">
        <v>781</v>
      </c>
      <c r="D651" s="125" t="s">
        <v>2077</v>
      </c>
      <c r="E651" s="125" t="s">
        <v>206</v>
      </c>
      <c r="F651" s="125" t="s">
        <v>205</v>
      </c>
      <c r="G651" s="125" t="s">
        <v>1202</v>
      </c>
      <c r="H651" s="125" t="s">
        <v>1201</v>
      </c>
      <c r="I651" s="125" t="s">
        <v>1768</v>
      </c>
      <c r="J651" s="126">
        <v>98032.76</v>
      </c>
      <c r="K651" s="126">
        <v>12485.76</v>
      </c>
      <c r="L651" s="126">
        <v>85547</v>
      </c>
      <c r="M651" s="126">
        <v>12648.6</v>
      </c>
      <c r="N651" s="126">
        <v>0</v>
      </c>
      <c r="O651" s="126">
        <v>0</v>
      </c>
      <c r="P651" s="126">
        <v>38660.79</v>
      </c>
      <c r="Q651" s="126">
        <v>11695.73</v>
      </c>
      <c r="R651" s="126">
        <v>63005.120000000003</v>
      </c>
      <c r="S651" s="126">
        <v>41687.949999999997</v>
      </c>
    </row>
    <row r="652" spans="1:19" ht="15.75" thickBot="1">
      <c r="A652" s="125" t="s">
        <v>1905</v>
      </c>
      <c r="B652" s="125" t="s">
        <v>1767</v>
      </c>
      <c r="C652" s="125" t="s">
        <v>781</v>
      </c>
      <c r="D652" s="125" t="s">
        <v>2077</v>
      </c>
      <c r="E652" s="125" t="s">
        <v>206</v>
      </c>
      <c r="F652" s="125" t="s">
        <v>205</v>
      </c>
      <c r="G652" s="125" t="s">
        <v>1202</v>
      </c>
      <c r="H652" s="125" t="s">
        <v>1201</v>
      </c>
      <c r="I652" s="125" t="s">
        <v>1768</v>
      </c>
      <c r="J652" s="126">
        <v>125570.73</v>
      </c>
      <c r="K652" s="126">
        <v>11695.73</v>
      </c>
      <c r="L652" s="126">
        <v>113875</v>
      </c>
      <c r="M652" s="126">
        <v>0</v>
      </c>
      <c r="N652" s="126">
        <v>1298.51</v>
      </c>
      <c r="O652" s="126">
        <v>0</v>
      </c>
      <c r="P652" s="126">
        <v>540.21</v>
      </c>
      <c r="Q652" s="126">
        <v>22489.25</v>
      </c>
      <c r="R652" s="126">
        <v>24327.97</v>
      </c>
      <c r="S652" s="126">
        <v>83536.759999999995</v>
      </c>
    </row>
    <row r="653" spans="1:19" ht="15.75" customHeight="1" thickBot="1">
      <c r="A653" s="125" t="s">
        <v>1273</v>
      </c>
      <c r="B653" s="125" t="s">
        <v>1790</v>
      </c>
      <c r="C653" s="125" t="s">
        <v>794</v>
      </c>
      <c r="D653" s="125" t="s">
        <v>2077</v>
      </c>
      <c r="E653" s="125" t="s">
        <v>206</v>
      </c>
      <c r="F653" s="125" t="s">
        <v>205</v>
      </c>
      <c r="G653" s="125" t="s">
        <v>795</v>
      </c>
      <c r="H653" s="125" t="s">
        <v>1204</v>
      </c>
      <c r="I653" s="125" t="s">
        <v>1768</v>
      </c>
      <c r="J653" s="126">
        <v>907815.03</v>
      </c>
      <c r="K653" s="126">
        <v>92246.03</v>
      </c>
      <c r="L653" s="126">
        <v>815569</v>
      </c>
      <c r="M653" s="126">
        <v>379957.29</v>
      </c>
      <c r="N653" s="126">
        <v>9356.99</v>
      </c>
      <c r="O653" s="126">
        <v>900</v>
      </c>
      <c r="P653" s="126">
        <v>387474.68</v>
      </c>
      <c r="Q653" s="126">
        <v>38257.08</v>
      </c>
      <c r="R653" s="126">
        <v>815946.04</v>
      </c>
      <c r="S653" s="126">
        <v>89775.22</v>
      </c>
    </row>
    <row r="654" spans="1:19" ht="15.75" thickBot="1">
      <c r="A654" s="125" t="s">
        <v>1905</v>
      </c>
      <c r="B654" s="125" t="s">
        <v>1790</v>
      </c>
      <c r="C654" s="125" t="s">
        <v>794</v>
      </c>
      <c r="D654" s="125" t="s">
        <v>2077</v>
      </c>
      <c r="E654" s="125" t="s">
        <v>206</v>
      </c>
      <c r="F654" s="125" t="s">
        <v>205</v>
      </c>
      <c r="G654" s="125" t="s">
        <v>795</v>
      </c>
      <c r="H654" s="125" t="s">
        <v>1204</v>
      </c>
      <c r="I654" s="125" t="s">
        <v>1768</v>
      </c>
      <c r="J654" s="126">
        <v>779372.08</v>
      </c>
      <c r="K654" s="126">
        <v>38257.08</v>
      </c>
      <c r="L654" s="126">
        <v>741115</v>
      </c>
      <c r="M654" s="126">
        <v>205902.52</v>
      </c>
      <c r="N654" s="126">
        <v>0</v>
      </c>
      <c r="O654" s="126">
        <v>1012.5</v>
      </c>
      <c r="P654" s="126">
        <v>247860.54</v>
      </c>
      <c r="Q654" s="126">
        <v>129498.32</v>
      </c>
      <c r="R654" s="126">
        <v>584273.88</v>
      </c>
      <c r="S654" s="126">
        <v>223503.2</v>
      </c>
    </row>
    <row r="655" spans="1:19" ht="15.75" customHeight="1" thickBot="1">
      <c r="A655" s="125" t="s">
        <v>1273</v>
      </c>
      <c r="B655" s="125" t="s">
        <v>1774</v>
      </c>
      <c r="C655" s="125" t="s">
        <v>813</v>
      </c>
      <c r="D655" s="125" t="s">
        <v>2077</v>
      </c>
      <c r="E655" s="125" t="s">
        <v>206</v>
      </c>
      <c r="F655" s="125" t="s">
        <v>205</v>
      </c>
      <c r="G655" s="125" t="s">
        <v>814</v>
      </c>
      <c r="H655" s="125" t="s">
        <v>1775</v>
      </c>
      <c r="I655" s="125" t="s">
        <v>1768</v>
      </c>
      <c r="J655" s="126">
        <v>695552.03</v>
      </c>
      <c r="K655" s="126">
        <v>34088.03</v>
      </c>
      <c r="L655" s="126">
        <v>661464</v>
      </c>
      <c r="M655" s="126">
        <v>4860</v>
      </c>
      <c r="N655" s="126">
        <v>0</v>
      </c>
      <c r="O655" s="126">
        <v>0</v>
      </c>
      <c r="P655" s="126">
        <v>633937.4</v>
      </c>
      <c r="Q655" s="126">
        <v>46931.71</v>
      </c>
      <c r="R655" s="126">
        <v>685729.11</v>
      </c>
      <c r="S655" s="126">
        <v>882.12</v>
      </c>
    </row>
    <row r="656" spans="1:19" ht="15.75" thickBot="1">
      <c r="A656" s="125" t="s">
        <v>1905</v>
      </c>
      <c r="B656" s="125" t="s">
        <v>1774</v>
      </c>
      <c r="C656" s="125" t="s">
        <v>813</v>
      </c>
      <c r="D656" s="125" t="s">
        <v>2077</v>
      </c>
      <c r="E656" s="125" t="s">
        <v>206</v>
      </c>
      <c r="F656" s="125" t="s">
        <v>205</v>
      </c>
      <c r="G656" s="125" t="s">
        <v>814</v>
      </c>
      <c r="H656" s="125" t="s">
        <v>1775</v>
      </c>
      <c r="I656" s="125" t="s">
        <v>1768</v>
      </c>
      <c r="J656" s="126">
        <v>686334.71</v>
      </c>
      <c r="K656" s="126">
        <v>46931.71</v>
      </c>
      <c r="L656" s="126">
        <v>639403</v>
      </c>
      <c r="M656" s="126">
        <v>0</v>
      </c>
      <c r="N656" s="126">
        <v>0</v>
      </c>
      <c r="O656" s="126">
        <v>0</v>
      </c>
      <c r="P656" s="126">
        <v>355512.48</v>
      </c>
      <c r="Q656" s="126">
        <v>308732.65000000002</v>
      </c>
      <c r="R656" s="126">
        <v>664245.13</v>
      </c>
      <c r="S656" s="126">
        <v>22089.58</v>
      </c>
    </row>
    <row r="657" spans="1:19" ht="15.75" customHeight="1" thickBot="1">
      <c r="A657" s="125" t="s">
        <v>1273</v>
      </c>
      <c r="B657" s="125" t="s">
        <v>1788</v>
      </c>
      <c r="C657" s="125" t="s">
        <v>818</v>
      </c>
      <c r="D657" s="125" t="s">
        <v>2077</v>
      </c>
      <c r="E657" s="125" t="s">
        <v>206</v>
      </c>
      <c r="F657" s="125" t="s">
        <v>205</v>
      </c>
      <c r="G657" s="125" t="s">
        <v>819</v>
      </c>
      <c r="H657" s="125" t="s">
        <v>1789</v>
      </c>
      <c r="I657" s="125" t="s">
        <v>1768</v>
      </c>
      <c r="J657" s="126">
        <v>117300.71</v>
      </c>
      <c r="K657" s="126">
        <v>5900.71</v>
      </c>
      <c r="L657" s="126">
        <v>111400</v>
      </c>
      <c r="M657" s="126">
        <v>15390</v>
      </c>
      <c r="N657" s="126">
        <v>0</v>
      </c>
      <c r="O657" s="126">
        <v>0</v>
      </c>
      <c r="P657" s="126">
        <v>105002.37</v>
      </c>
      <c r="Q657" s="126">
        <v>7424.4</v>
      </c>
      <c r="R657" s="126">
        <v>127816.77</v>
      </c>
      <c r="S657" s="126">
        <v>7075.94</v>
      </c>
    </row>
    <row r="658" spans="1:19" ht="15.75" thickBot="1">
      <c r="A658" s="125" t="s">
        <v>1905</v>
      </c>
      <c r="B658" s="125" t="s">
        <v>1788</v>
      </c>
      <c r="C658" s="125" t="s">
        <v>818</v>
      </c>
      <c r="D658" s="125" t="s">
        <v>2077</v>
      </c>
      <c r="E658" s="125" t="s">
        <v>206</v>
      </c>
      <c r="F658" s="125" t="s">
        <v>205</v>
      </c>
      <c r="G658" s="125" t="s">
        <v>819</v>
      </c>
      <c r="H658" s="125" t="s">
        <v>1789</v>
      </c>
      <c r="I658" s="125" t="s">
        <v>1768</v>
      </c>
      <c r="J658" s="126">
        <v>99886.399999999994</v>
      </c>
      <c r="K658" s="126">
        <v>7424.4</v>
      </c>
      <c r="L658" s="126">
        <v>92462</v>
      </c>
      <c r="M658" s="126">
        <v>0</v>
      </c>
      <c r="N658" s="126">
        <v>0</v>
      </c>
      <c r="O658" s="126">
        <v>0</v>
      </c>
      <c r="P658" s="126">
        <v>60937.51</v>
      </c>
      <c r="Q658" s="126">
        <v>46946.12</v>
      </c>
      <c r="R658" s="126">
        <v>107883.63</v>
      </c>
      <c r="S658" s="126">
        <v>3002.77</v>
      </c>
    </row>
    <row r="659" spans="1:19" ht="15.75" customHeight="1" thickBot="1">
      <c r="A659" s="125" t="s">
        <v>1273</v>
      </c>
      <c r="B659" s="125" t="s">
        <v>1776</v>
      </c>
      <c r="C659" s="125" t="s">
        <v>833</v>
      </c>
      <c r="D659" s="125" t="s">
        <v>2077</v>
      </c>
      <c r="E659" s="125" t="s">
        <v>206</v>
      </c>
      <c r="F659" s="125" t="s">
        <v>205</v>
      </c>
      <c r="G659" s="125" t="s">
        <v>1779</v>
      </c>
      <c r="H659" s="125" t="s">
        <v>1780</v>
      </c>
      <c r="I659" s="125" t="s">
        <v>1768</v>
      </c>
      <c r="J659" s="126">
        <v>273727.34000000003</v>
      </c>
      <c r="K659" s="126">
        <v>22727.34</v>
      </c>
      <c r="L659" s="126">
        <v>251000</v>
      </c>
      <c r="M659" s="126">
        <v>0</v>
      </c>
      <c r="N659" s="126">
        <v>0</v>
      </c>
      <c r="O659" s="126">
        <v>0</v>
      </c>
      <c r="P659" s="126">
        <v>164988.85999999999</v>
      </c>
      <c r="Q659" s="126">
        <v>0</v>
      </c>
      <c r="R659" s="126">
        <v>164988.85999999999</v>
      </c>
      <c r="S659" s="126">
        <v>91168.48</v>
      </c>
    </row>
    <row r="660" spans="1:19" ht="15.75" thickBot="1">
      <c r="A660" s="125" t="s">
        <v>1905</v>
      </c>
      <c r="B660" s="125" t="s">
        <v>1776</v>
      </c>
      <c r="C660" s="125" t="s">
        <v>833</v>
      </c>
      <c r="D660" s="125" t="s">
        <v>2077</v>
      </c>
      <c r="E660" s="125" t="s">
        <v>206</v>
      </c>
      <c r="F660" s="125" t="s">
        <v>205</v>
      </c>
      <c r="G660" s="125" t="s">
        <v>1779</v>
      </c>
      <c r="H660" s="125" t="s">
        <v>1780</v>
      </c>
      <c r="I660" s="125" t="s">
        <v>1768</v>
      </c>
      <c r="J660" s="126">
        <v>186000</v>
      </c>
      <c r="K660" s="127" t="s">
        <v>1275</v>
      </c>
      <c r="L660" s="126">
        <v>186000</v>
      </c>
      <c r="M660" s="126">
        <v>0</v>
      </c>
      <c r="N660" s="126">
        <v>0</v>
      </c>
      <c r="O660" s="126">
        <v>0</v>
      </c>
      <c r="P660" s="126">
        <v>113041.81</v>
      </c>
      <c r="Q660" s="126">
        <v>0</v>
      </c>
      <c r="R660" s="126">
        <v>113041.81</v>
      </c>
      <c r="S660" s="126">
        <v>72958.19</v>
      </c>
    </row>
    <row r="661" spans="1:19" ht="15.75" customHeight="1" thickBot="1">
      <c r="A661" s="125" t="s">
        <v>1273</v>
      </c>
      <c r="B661" s="125" t="s">
        <v>1776</v>
      </c>
      <c r="C661" s="125" t="s">
        <v>833</v>
      </c>
      <c r="D661" s="125" t="s">
        <v>2077</v>
      </c>
      <c r="E661" s="125" t="s">
        <v>206</v>
      </c>
      <c r="F661" s="125" t="s">
        <v>205</v>
      </c>
      <c r="G661" s="125" t="s">
        <v>1777</v>
      </c>
      <c r="H661" s="125" t="s">
        <v>1781</v>
      </c>
      <c r="I661" s="125" t="s">
        <v>1768</v>
      </c>
      <c r="J661" s="126">
        <v>357325.66</v>
      </c>
      <c r="K661" s="126">
        <v>48870.66</v>
      </c>
      <c r="L661" s="126">
        <v>308455</v>
      </c>
      <c r="M661" s="126">
        <v>0</v>
      </c>
      <c r="N661" s="126">
        <v>0</v>
      </c>
      <c r="O661" s="126">
        <v>0</v>
      </c>
      <c r="P661" s="126">
        <v>1032767.32</v>
      </c>
      <c r="Q661" s="126">
        <v>0</v>
      </c>
      <c r="R661" s="126">
        <v>1032767.32</v>
      </c>
      <c r="S661" s="126">
        <v>205785.47</v>
      </c>
    </row>
    <row r="662" spans="1:19" ht="15.75" thickBot="1">
      <c r="A662" s="125" t="s">
        <v>1905</v>
      </c>
      <c r="B662" s="125" t="s">
        <v>1776</v>
      </c>
      <c r="C662" s="125" t="s">
        <v>833</v>
      </c>
      <c r="D662" s="125" t="s">
        <v>2077</v>
      </c>
      <c r="E662" s="125" t="s">
        <v>206</v>
      </c>
      <c r="F662" s="125" t="s">
        <v>205</v>
      </c>
      <c r="G662" s="125" t="s">
        <v>1777</v>
      </c>
      <c r="H662" s="125" t="s">
        <v>1781</v>
      </c>
      <c r="I662" s="125" t="s">
        <v>1768</v>
      </c>
      <c r="J662" s="126">
        <v>970000</v>
      </c>
      <c r="K662" s="127" t="s">
        <v>1275</v>
      </c>
      <c r="L662" s="126">
        <v>970000</v>
      </c>
      <c r="M662" s="126">
        <v>0</v>
      </c>
      <c r="N662" s="126">
        <v>0</v>
      </c>
      <c r="O662" s="126">
        <v>0</v>
      </c>
      <c r="P662" s="126">
        <v>697633.82</v>
      </c>
      <c r="Q662" s="126">
        <v>0</v>
      </c>
      <c r="R662" s="126">
        <v>697633.82</v>
      </c>
      <c r="S662" s="126">
        <v>272366.18</v>
      </c>
    </row>
    <row r="663" spans="1:19" ht="15.75" customHeight="1" thickBot="1">
      <c r="A663" s="125" t="s">
        <v>1273</v>
      </c>
      <c r="B663" s="125" t="s">
        <v>1776</v>
      </c>
      <c r="C663" s="125" t="s">
        <v>833</v>
      </c>
      <c r="D663" s="125" t="s">
        <v>2077</v>
      </c>
      <c r="E663" s="125" t="s">
        <v>206</v>
      </c>
      <c r="F663" s="125" t="s">
        <v>205</v>
      </c>
      <c r="G663" s="125" t="s">
        <v>1782</v>
      </c>
      <c r="H663" s="125" t="s">
        <v>1783</v>
      </c>
      <c r="I663" s="125" t="s">
        <v>1768</v>
      </c>
      <c r="J663" s="126">
        <v>242700</v>
      </c>
      <c r="K663" s="126">
        <v>2700</v>
      </c>
      <c r="L663" s="126">
        <v>240000</v>
      </c>
      <c r="M663" s="126">
        <v>0</v>
      </c>
      <c r="N663" s="126">
        <v>0</v>
      </c>
      <c r="O663" s="126">
        <v>0</v>
      </c>
      <c r="P663" s="126">
        <v>120671.57</v>
      </c>
      <c r="Q663" s="126">
        <v>0</v>
      </c>
      <c r="R663" s="126">
        <v>120671.57</v>
      </c>
      <c r="S663" s="126">
        <v>5228.43</v>
      </c>
    </row>
    <row r="664" spans="1:19" ht="15.75" thickBot="1">
      <c r="A664" s="125" t="s">
        <v>1905</v>
      </c>
      <c r="B664" s="125" t="s">
        <v>1776</v>
      </c>
      <c r="C664" s="125" t="s">
        <v>833</v>
      </c>
      <c r="D664" s="125" t="s">
        <v>2077</v>
      </c>
      <c r="E664" s="125" t="s">
        <v>206</v>
      </c>
      <c r="F664" s="125" t="s">
        <v>205</v>
      </c>
      <c r="G664" s="125" t="s">
        <v>1782</v>
      </c>
      <c r="H664" s="125" t="s">
        <v>1783</v>
      </c>
      <c r="I664" s="125" t="s">
        <v>1768</v>
      </c>
      <c r="J664" s="126">
        <v>145000</v>
      </c>
      <c r="K664" s="127" t="s">
        <v>1275</v>
      </c>
      <c r="L664" s="126">
        <v>145000</v>
      </c>
      <c r="M664" s="126">
        <v>0</v>
      </c>
      <c r="N664" s="126">
        <v>0</v>
      </c>
      <c r="O664" s="126">
        <v>0</v>
      </c>
      <c r="P664" s="126">
        <v>75799.28</v>
      </c>
      <c r="Q664" s="126">
        <v>0</v>
      </c>
      <c r="R664" s="126">
        <v>75799.28</v>
      </c>
      <c r="S664" s="126">
        <v>69200.72</v>
      </c>
    </row>
    <row r="665" spans="1:19" ht="15.75" customHeight="1" thickBot="1">
      <c r="A665" s="125" t="s">
        <v>1273</v>
      </c>
      <c r="B665" s="125" t="s">
        <v>1776</v>
      </c>
      <c r="C665" s="125" t="s">
        <v>833</v>
      </c>
      <c r="D665" s="125" t="s">
        <v>2077</v>
      </c>
      <c r="E665" s="125" t="s">
        <v>206</v>
      </c>
      <c r="F665" s="125" t="s">
        <v>205</v>
      </c>
      <c r="G665" s="125" t="s">
        <v>1784</v>
      </c>
      <c r="H665" s="125" t="s">
        <v>1785</v>
      </c>
      <c r="I665" s="125" t="s">
        <v>1768</v>
      </c>
      <c r="J665" s="126">
        <v>101909.13</v>
      </c>
      <c r="K665" s="126">
        <v>9209.1299999999992</v>
      </c>
      <c r="L665" s="126">
        <v>92700</v>
      </c>
      <c r="M665" s="126">
        <v>0</v>
      </c>
      <c r="N665" s="126">
        <v>0</v>
      </c>
      <c r="O665" s="126">
        <v>0</v>
      </c>
      <c r="P665" s="126">
        <v>79384.19</v>
      </c>
      <c r="Q665" s="126">
        <v>0</v>
      </c>
      <c r="R665" s="126">
        <v>79384.19</v>
      </c>
      <c r="S665" s="126">
        <v>16035.94</v>
      </c>
    </row>
    <row r="666" spans="1:19" ht="15.75" thickBot="1">
      <c r="A666" s="125" t="s">
        <v>1905</v>
      </c>
      <c r="B666" s="125" t="s">
        <v>1776</v>
      </c>
      <c r="C666" s="125" t="s">
        <v>833</v>
      </c>
      <c r="D666" s="125" t="s">
        <v>2077</v>
      </c>
      <c r="E666" s="125" t="s">
        <v>206</v>
      </c>
      <c r="F666" s="125" t="s">
        <v>205</v>
      </c>
      <c r="G666" s="125" t="s">
        <v>1784</v>
      </c>
      <c r="H666" s="125" t="s">
        <v>1785</v>
      </c>
      <c r="I666" s="125" t="s">
        <v>1768</v>
      </c>
      <c r="J666" s="126">
        <v>80000</v>
      </c>
      <c r="K666" s="127" t="s">
        <v>1275</v>
      </c>
      <c r="L666" s="126">
        <v>80000</v>
      </c>
      <c r="M666" s="126">
        <v>0</v>
      </c>
      <c r="N666" s="126">
        <v>0</v>
      </c>
      <c r="O666" s="126">
        <v>0</v>
      </c>
      <c r="P666" s="126">
        <v>57613.91</v>
      </c>
      <c r="Q666" s="126">
        <v>0</v>
      </c>
      <c r="R666" s="126">
        <v>57613.91</v>
      </c>
      <c r="S666" s="126">
        <v>22386.09</v>
      </c>
    </row>
    <row r="667" spans="1:19" ht="15.75" customHeight="1" thickBot="1">
      <c r="A667" s="125" t="s">
        <v>1273</v>
      </c>
      <c r="B667" s="125" t="s">
        <v>1776</v>
      </c>
      <c r="C667" s="125" t="s">
        <v>833</v>
      </c>
      <c r="D667" s="125" t="s">
        <v>2077</v>
      </c>
      <c r="E667" s="125" t="s">
        <v>206</v>
      </c>
      <c r="F667" s="125" t="s">
        <v>205</v>
      </c>
      <c r="G667" s="125" t="s">
        <v>1786</v>
      </c>
      <c r="H667" s="125" t="s">
        <v>1787</v>
      </c>
      <c r="I667" s="125" t="s">
        <v>1768</v>
      </c>
      <c r="J667" s="126">
        <v>47512.52</v>
      </c>
      <c r="K667" s="126">
        <v>1762.52</v>
      </c>
      <c r="L667" s="126">
        <v>45750</v>
      </c>
      <c r="M667" s="126">
        <v>0</v>
      </c>
      <c r="N667" s="126">
        <v>0</v>
      </c>
      <c r="O667" s="126">
        <v>0</v>
      </c>
      <c r="P667" s="126">
        <v>28531.66</v>
      </c>
      <c r="Q667" s="126">
        <v>0</v>
      </c>
      <c r="R667" s="126">
        <v>28531.66</v>
      </c>
      <c r="S667" s="126">
        <v>15778.36</v>
      </c>
    </row>
    <row r="668" spans="1:19" ht="15.75" thickBot="1">
      <c r="A668" s="125" t="s">
        <v>1905</v>
      </c>
      <c r="B668" s="125" t="s">
        <v>1776</v>
      </c>
      <c r="C668" s="125" t="s">
        <v>833</v>
      </c>
      <c r="D668" s="125" t="s">
        <v>2077</v>
      </c>
      <c r="E668" s="125" t="s">
        <v>206</v>
      </c>
      <c r="F668" s="125" t="s">
        <v>205</v>
      </c>
      <c r="G668" s="125" t="s">
        <v>1786</v>
      </c>
      <c r="H668" s="125" t="s">
        <v>1787</v>
      </c>
      <c r="I668" s="125" t="s">
        <v>1768</v>
      </c>
      <c r="J668" s="126">
        <v>30000</v>
      </c>
      <c r="K668" s="127" t="s">
        <v>1275</v>
      </c>
      <c r="L668" s="126">
        <v>30000</v>
      </c>
      <c r="M668" s="126">
        <v>0</v>
      </c>
      <c r="N668" s="126">
        <v>0</v>
      </c>
      <c r="O668" s="126">
        <v>0</v>
      </c>
      <c r="P668" s="126">
        <v>17227.43</v>
      </c>
      <c r="Q668" s="126">
        <v>0</v>
      </c>
      <c r="R668" s="126">
        <v>17227.43</v>
      </c>
      <c r="S668" s="126">
        <v>12772.57</v>
      </c>
    </row>
    <row r="669" spans="1:19" ht="15.75" customHeight="1" thickBot="1">
      <c r="A669" s="125" t="s">
        <v>1273</v>
      </c>
      <c r="B669" s="125" t="s">
        <v>1807</v>
      </c>
      <c r="C669" s="125" t="s">
        <v>368</v>
      </c>
      <c r="D669" s="125" t="s">
        <v>2077</v>
      </c>
      <c r="E669" s="125" t="s">
        <v>206</v>
      </c>
      <c r="F669" s="125" t="s">
        <v>205</v>
      </c>
      <c r="G669" s="125" t="s">
        <v>1810</v>
      </c>
      <c r="H669" s="125" t="s">
        <v>1811</v>
      </c>
      <c r="I669" s="125" t="s">
        <v>1808</v>
      </c>
      <c r="J669" s="126">
        <v>138046.64000000001</v>
      </c>
      <c r="K669" s="126">
        <v>38046.639999999999</v>
      </c>
      <c r="L669" s="126">
        <v>100000</v>
      </c>
      <c r="M669" s="126">
        <v>0</v>
      </c>
      <c r="N669" s="126">
        <v>0</v>
      </c>
      <c r="O669" s="126">
        <v>0</v>
      </c>
      <c r="P669" s="126">
        <v>14535.24</v>
      </c>
      <c r="Q669" s="126">
        <v>39321</v>
      </c>
      <c r="R669" s="126">
        <v>53856.24</v>
      </c>
      <c r="S669" s="126">
        <v>77190.399999999994</v>
      </c>
    </row>
    <row r="670" spans="1:19" ht="15.75" thickBot="1">
      <c r="A670" s="125" t="s">
        <v>1905</v>
      </c>
      <c r="B670" s="125" t="s">
        <v>1807</v>
      </c>
      <c r="C670" s="125" t="s">
        <v>368</v>
      </c>
      <c r="D670" s="125" t="s">
        <v>2077</v>
      </c>
      <c r="E670" s="125" t="s">
        <v>206</v>
      </c>
      <c r="F670" s="125" t="s">
        <v>205</v>
      </c>
      <c r="G670" s="125" t="s">
        <v>1810</v>
      </c>
      <c r="H670" s="125" t="s">
        <v>1811</v>
      </c>
      <c r="I670" s="125" t="s">
        <v>1808</v>
      </c>
      <c r="J670" s="126">
        <v>89321</v>
      </c>
      <c r="K670" s="126">
        <v>39321</v>
      </c>
      <c r="L670" s="126">
        <v>50000</v>
      </c>
      <c r="M670" s="126">
        <v>0</v>
      </c>
      <c r="N670" s="126">
        <v>0</v>
      </c>
      <c r="O670" s="126">
        <v>0</v>
      </c>
      <c r="P670" s="126">
        <v>82505.19</v>
      </c>
      <c r="Q670" s="126">
        <v>1974.59</v>
      </c>
      <c r="R670" s="126">
        <v>84479.78</v>
      </c>
      <c r="S670" s="126">
        <v>4841.22</v>
      </c>
    </row>
    <row r="671" spans="1:19" ht="15.75" customHeight="1" thickBot="1">
      <c r="A671" s="125" t="s">
        <v>1273</v>
      </c>
      <c r="B671" s="125" t="s">
        <v>1793</v>
      </c>
      <c r="C671" s="125" t="s">
        <v>1794</v>
      </c>
      <c r="D671" s="125" t="s">
        <v>2077</v>
      </c>
      <c r="E671" s="125" t="s">
        <v>206</v>
      </c>
      <c r="F671" s="125" t="s">
        <v>205</v>
      </c>
      <c r="G671" s="125" t="s">
        <v>1803</v>
      </c>
      <c r="H671" s="125" t="s">
        <v>1804</v>
      </c>
      <c r="I671" s="125" t="s">
        <v>1797</v>
      </c>
      <c r="J671" s="126">
        <v>66000</v>
      </c>
      <c r="K671" s="127" t="s">
        <v>1275</v>
      </c>
      <c r="L671" s="126">
        <v>66000</v>
      </c>
      <c r="M671" s="126">
        <v>0</v>
      </c>
      <c r="N671" s="126">
        <v>0</v>
      </c>
      <c r="O671" s="126">
        <v>0</v>
      </c>
      <c r="P671" s="126">
        <v>66000</v>
      </c>
      <c r="Q671" s="126">
        <v>0</v>
      </c>
      <c r="R671" s="126">
        <v>66000</v>
      </c>
      <c r="S671" s="126">
        <v>0</v>
      </c>
    </row>
    <row r="672" spans="1:19" ht="15.75" thickBot="1">
      <c r="A672" s="125" t="s">
        <v>1905</v>
      </c>
      <c r="B672" s="125" t="s">
        <v>1793</v>
      </c>
      <c r="C672" s="125" t="s">
        <v>1794</v>
      </c>
      <c r="D672" s="125" t="s">
        <v>2077</v>
      </c>
      <c r="E672" s="125" t="s">
        <v>206</v>
      </c>
      <c r="F672" s="125" t="s">
        <v>205</v>
      </c>
      <c r="G672" s="125" t="s">
        <v>1803</v>
      </c>
      <c r="H672" s="125" t="s">
        <v>1804</v>
      </c>
      <c r="I672" s="125" t="s">
        <v>1797</v>
      </c>
      <c r="J672" s="126">
        <v>66000</v>
      </c>
      <c r="K672" s="127" t="s">
        <v>1275</v>
      </c>
      <c r="L672" s="126">
        <v>66000</v>
      </c>
      <c r="M672" s="126">
        <v>0</v>
      </c>
      <c r="N672" s="126">
        <v>0</v>
      </c>
      <c r="O672" s="126">
        <v>0</v>
      </c>
      <c r="P672" s="126">
        <v>39135.379999999997</v>
      </c>
      <c r="Q672" s="126">
        <v>21095</v>
      </c>
      <c r="R672" s="126">
        <v>60230.38</v>
      </c>
      <c r="S672" s="126">
        <v>5769.62</v>
      </c>
    </row>
    <row r="673" spans="1:19" ht="15.75" customHeight="1" thickBot="1">
      <c r="A673" s="125" t="s">
        <v>1273</v>
      </c>
      <c r="B673" s="125" t="s">
        <v>1767</v>
      </c>
      <c r="C673" s="125" t="s">
        <v>781</v>
      </c>
      <c r="D673" s="125" t="s">
        <v>2077</v>
      </c>
      <c r="E673" s="125" t="s">
        <v>206</v>
      </c>
      <c r="F673" s="125" t="s">
        <v>205</v>
      </c>
      <c r="G673" s="125" t="s">
        <v>1770</v>
      </c>
      <c r="H673" s="125" t="s">
        <v>1771</v>
      </c>
      <c r="I673" s="125" t="s">
        <v>1768</v>
      </c>
      <c r="J673" s="126">
        <v>241079.65</v>
      </c>
      <c r="K673" s="126">
        <v>77401.649999999994</v>
      </c>
      <c r="L673" s="126">
        <v>163678</v>
      </c>
      <c r="M673" s="126">
        <v>0</v>
      </c>
      <c r="N673" s="126">
        <v>0</v>
      </c>
      <c r="O673" s="126">
        <v>0</v>
      </c>
      <c r="P673" s="126">
        <v>183334.39999999999</v>
      </c>
      <c r="Q673" s="126">
        <v>0</v>
      </c>
      <c r="R673" s="126">
        <v>183334.39999999999</v>
      </c>
      <c r="S673" s="126">
        <v>45387.79</v>
      </c>
    </row>
    <row r="674" spans="1:19" ht="15.75" thickBot="1">
      <c r="A674" s="125" t="s">
        <v>1905</v>
      </c>
      <c r="B674" s="125" t="s">
        <v>1767</v>
      </c>
      <c r="C674" s="125" t="s">
        <v>781</v>
      </c>
      <c r="D674" s="125" t="s">
        <v>2077</v>
      </c>
      <c r="E674" s="125" t="s">
        <v>206</v>
      </c>
      <c r="F674" s="125" t="s">
        <v>205</v>
      </c>
      <c r="G674" s="125" t="s">
        <v>1770</v>
      </c>
      <c r="H674" s="125" t="s">
        <v>1771</v>
      </c>
      <c r="I674" s="125" t="s">
        <v>1768</v>
      </c>
      <c r="J674" s="126">
        <v>81839</v>
      </c>
      <c r="K674" s="127" t="s">
        <v>1275</v>
      </c>
      <c r="L674" s="126">
        <v>81839</v>
      </c>
      <c r="M674" s="126">
        <v>0</v>
      </c>
      <c r="N674" s="126">
        <v>0</v>
      </c>
      <c r="O674" s="126">
        <v>0</v>
      </c>
      <c r="P674" s="126">
        <v>5205.0200000000004</v>
      </c>
      <c r="Q674" s="126">
        <v>2444.29</v>
      </c>
      <c r="R674" s="126">
        <v>7649.31</v>
      </c>
      <c r="S674" s="126">
        <v>67389.69</v>
      </c>
    </row>
    <row r="675" spans="1:19" ht="15.75" customHeight="1" thickBot="1">
      <c r="A675" s="125" t="s">
        <v>1273</v>
      </c>
      <c r="B675" s="125" t="s">
        <v>1793</v>
      </c>
      <c r="C675" s="125" t="s">
        <v>1794</v>
      </c>
      <c r="D675" s="125" t="s">
        <v>2077</v>
      </c>
      <c r="E675" s="125" t="s">
        <v>206</v>
      </c>
      <c r="F675" s="125" t="s">
        <v>205</v>
      </c>
      <c r="G675" s="125" t="s">
        <v>1805</v>
      </c>
      <c r="H675" s="125" t="s">
        <v>1806</v>
      </c>
      <c r="I675" s="125" t="s">
        <v>1797</v>
      </c>
      <c r="J675" s="126">
        <v>799014</v>
      </c>
      <c r="K675" s="127" t="s">
        <v>1275</v>
      </c>
      <c r="L675" s="126">
        <v>799014</v>
      </c>
      <c r="M675" s="126">
        <v>0</v>
      </c>
      <c r="N675" s="126">
        <v>0</v>
      </c>
      <c r="O675" s="126">
        <v>0</v>
      </c>
      <c r="P675" s="126">
        <v>503485.84</v>
      </c>
      <c r="Q675" s="126">
        <v>0</v>
      </c>
      <c r="R675" s="126">
        <v>503485.84</v>
      </c>
      <c r="S675" s="126">
        <v>0.16</v>
      </c>
    </row>
    <row r="676" spans="1:19" ht="15.75" thickBot="1">
      <c r="A676" s="125" t="s">
        <v>1905</v>
      </c>
      <c r="B676" s="125" t="s">
        <v>1793</v>
      </c>
      <c r="C676" s="125" t="s">
        <v>1794</v>
      </c>
      <c r="D676" s="125" t="s">
        <v>2077</v>
      </c>
      <c r="E676" s="125" t="s">
        <v>206</v>
      </c>
      <c r="F676" s="125" t="s">
        <v>205</v>
      </c>
      <c r="G676" s="125" t="s">
        <v>1805</v>
      </c>
      <c r="H676" s="125" t="s">
        <v>1806</v>
      </c>
      <c r="I676" s="125" t="s">
        <v>1797</v>
      </c>
      <c r="J676" s="126">
        <v>504000</v>
      </c>
      <c r="K676" s="127" t="s">
        <v>1275</v>
      </c>
      <c r="L676" s="126">
        <v>504000</v>
      </c>
      <c r="M676" s="126">
        <v>0</v>
      </c>
      <c r="N676" s="126">
        <v>0</v>
      </c>
      <c r="O676" s="126">
        <v>0</v>
      </c>
      <c r="P676" s="126">
        <v>0</v>
      </c>
      <c r="Q676" s="126">
        <v>0</v>
      </c>
      <c r="R676" s="126">
        <v>0</v>
      </c>
      <c r="S676" s="126">
        <v>504000</v>
      </c>
    </row>
    <row r="677" spans="1:19" ht="15.75" customHeight="1" thickBot="1">
      <c r="A677" s="125" t="s">
        <v>1273</v>
      </c>
      <c r="B677" s="125" t="s">
        <v>1093</v>
      </c>
      <c r="C677" s="129">
        <v>3181</v>
      </c>
      <c r="D677" s="125" t="s">
        <v>2077</v>
      </c>
      <c r="E677" s="125" t="s">
        <v>206</v>
      </c>
      <c r="F677" s="125" t="s">
        <v>205</v>
      </c>
      <c r="G677" s="125" t="s">
        <v>1765</v>
      </c>
      <c r="H677" s="125" t="s">
        <v>1766</v>
      </c>
      <c r="I677" s="128"/>
      <c r="J677" s="126">
        <v>16000</v>
      </c>
      <c r="K677" s="127" t="s">
        <v>1275</v>
      </c>
      <c r="L677" s="126">
        <v>16000</v>
      </c>
      <c r="M677" s="126">
        <v>0</v>
      </c>
      <c r="N677" s="126">
        <v>0</v>
      </c>
      <c r="O677" s="126">
        <v>0</v>
      </c>
      <c r="P677" s="126">
        <v>14780.09</v>
      </c>
      <c r="Q677" s="126">
        <v>415</v>
      </c>
      <c r="R677" s="126">
        <v>15195.09</v>
      </c>
      <c r="S677" s="126">
        <v>-67.63</v>
      </c>
    </row>
    <row r="678" spans="1:19" ht="15.75" thickBot="1">
      <c r="A678" s="125" t="s">
        <v>1905</v>
      </c>
      <c r="B678" s="125" t="s">
        <v>1093</v>
      </c>
      <c r="C678" s="129">
        <v>3181</v>
      </c>
      <c r="D678" s="125" t="s">
        <v>2077</v>
      </c>
      <c r="E678" s="125" t="s">
        <v>206</v>
      </c>
      <c r="F678" s="125" t="s">
        <v>205</v>
      </c>
      <c r="G678" s="125" t="s">
        <v>1765</v>
      </c>
      <c r="H678" s="125" t="s">
        <v>1766</v>
      </c>
      <c r="I678" s="128"/>
      <c r="J678" s="126">
        <v>13695</v>
      </c>
      <c r="K678" s="126">
        <v>415</v>
      </c>
      <c r="L678" s="126">
        <v>13280</v>
      </c>
      <c r="M678" s="126">
        <v>0</v>
      </c>
      <c r="N678" s="126">
        <v>0</v>
      </c>
      <c r="O678" s="126">
        <v>0</v>
      </c>
      <c r="P678" s="126">
        <v>1549.99</v>
      </c>
      <c r="Q678" s="126">
        <v>1930</v>
      </c>
      <c r="R678" s="126">
        <v>3479.99</v>
      </c>
      <c r="S678" s="126">
        <v>10215.01</v>
      </c>
    </row>
    <row r="679" spans="1:19" ht="15.75" customHeight="1" thickBot="1">
      <c r="A679" s="125" t="s">
        <v>1273</v>
      </c>
      <c r="B679" s="125" t="s">
        <v>1836</v>
      </c>
      <c r="C679" s="129">
        <v>3850</v>
      </c>
      <c r="D679" s="125" t="s">
        <v>2077</v>
      </c>
      <c r="E679" s="125" t="s">
        <v>206</v>
      </c>
      <c r="F679" s="125" t="s">
        <v>205</v>
      </c>
      <c r="G679" s="125" t="s">
        <v>1837</v>
      </c>
      <c r="H679" s="125" t="s">
        <v>1838</v>
      </c>
      <c r="I679" s="125" t="s">
        <v>1833</v>
      </c>
      <c r="J679" s="126">
        <v>48000</v>
      </c>
      <c r="K679" s="127" t="s">
        <v>1275</v>
      </c>
      <c r="L679" s="126">
        <v>48000</v>
      </c>
      <c r="M679" s="126">
        <v>0</v>
      </c>
      <c r="N679" s="126">
        <v>0</v>
      </c>
      <c r="O679" s="126">
        <v>0</v>
      </c>
      <c r="P679" s="126">
        <v>45041.63</v>
      </c>
      <c r="Q679" s="126">
        <v>0</v>
      </c>
      <c r="R679" s="126">
        <v>45041.63</v>
      </c>
      <c r="S679" s="126">
        <v>0</v>
      </c>
    </row>
    <row r="680" spans="1:19" ht="15.75" thickBot="1">
      <c r="A680" s="125" t="s">
        <v>1905</v>
      </c>
      <c r="B680" s="125" t="s">
        <v>1836</v>
      </c>
      <c r="C680" s="129">
        <v>3850</v>
      </c>
      <c r="D680" s="125" t="s">
        <v>2077</v>
      </c>
      <c r="E680" s="125" t="s">
        <v>206</v>
      </c>
      <c r="F680" s="125" t="s">
        <v>205</v>
      </c>
      <c r="G680" s="125" t="s">
        <v>1837</v>
      </c>
      <c r="H680" s="125" t="s">
        <v>1838</v>
      </c>
      <c r="I680" s="125" t="s">
        <v>1833</v>
      </c>
      <c r="J680" s="126">
        <v>39840</v>
      </c>
      <c r="K680" s="127" t="s">
        <v>1275</v>
      </c>
      <c r="L680" s="126">
        <v>39840</v>
      </c>
      <c r="M680" s="126">
        <v>0</v>
      </c>
      <c r="N680" s="126">
        <v>0</v>
      </c>
      <c r="O680" s="126">
        <v>0</v>
      </c>
      <c r="P680" s="126">
        <v>21902.02</v>
      </c>
      <c r="Q680" s="126">
        <v>13808.22</v>
      </c>
      <c r="R680" s="126">
        <v>35710.239999999998</v>
      </c>
      <c r="S680" s="126">
        <v>4129.76</v>
      </c>
    </row>
    <row r="681" spans="1:19" ht="15.75" customHeight="1" thickBot="1">
      <c r="A681" s="125" t="s">
        <v>1273</v>
      </c>
      <c r="B681" s="125" t="s">
        <v>1767</v>
      </c>
      <c r="C681" s="125" t="s">
        <v>781</v>
      </c>
      <c r="D681" s="125" t="s">
        <v>2077</v>
      </c>
      <c r="E681" s="125" t="s">
        <v>206</v>
      </c>
      <c r="F681" s="125" t="s">
        <v>205</v>
      </c>
      <c r="G681" s="125" t="s">
        <v>1772</v>
      </c>
      <c r="H681" s="125" t="s">
        <v>1773</v>
      </c>
      <c r="I681" s="125" t="s">
        <v>1768</v>
      </c>
      <c r="J681" s="126">
        <v>63058</v>
      </c>
      <c r="K681" s="127" t="s">
        <v>1275</v>
      </c>
      <c r="L681" s="126">
        <v>63058</v>
      </c>
      <c r="M681" s="126">
        <v>2472.7600000000002</v>
      </c>
      <c r="N681" s="126">
        <v>0</v>
      </c>
      <c r="O681" s="126">
        <v>0</v>
      </c>
      <c r="P681" s="126">
        <v>14054.4</v>
      </c>
      <c r="Q681" s="126">
        <v>0</v>
      </c>
      <c r="R681" s="126">
        <v>16527.16</v>
      </c>
      <c r="S681" s="126">
        <v>42435.839999999997</v>
      </c>
    </row>
    <row r="682" spans="1:19" ht="15.75" thickBot="1">
      <c r="A682" s="125" t="s">
        <v>1905</v>
      </c>
      <c r="B682" s="125" t="s">
        <v>1767</v>
      </c>
      <c r="C682" s="125" t="s">
        <v>781</v>
      </c>
      <c r="D682" s="125" t="s">
        <v>2077</v>
      </c>
      <c r="E682" s="125" t="s">
        <v>206</v>
      </c>
      <c r="F682" s="125" t="s">
        <v>205</v>
      </c>
      <c r="G682" s="125" t="s">
        <v>1772</v>
      </c>
      <c r="H682" s="125" t="s">
        <v>1773</v>
      </c>
      <c r="I682" s="125" t="s">
        <v>1768</v>
      </c>
      <c r="J682" s="126">
        <v>20600</v>
      </c>
      <c r="K682" s="127" t="s">
        <v>1275</v>
      </c>
      <c r="L682" s="126">
        <v>20600</v>
      </c>
      <c r="M682" s="126">
        <v>1543.51</v>
      </c>
      <c r="N682" s="126">
        <v>0</v>
      </c>
      <c r="O682" s="126">
        <v>0</v>
      </c>
      <c r="P682" s="126">
        <v>1398.93</v>
      </c>
      <c r="Q682" s="126">
        <v>638.65</v>
      </c>
      <c r="R682" s="126">
        <v>3581.09</v>
      </c>
      <c r="S682" s="126">
        <v>17018.91</v>
      </c>
    </row>
    <row r="683" spans="1:19" ht="15.75" customHeight="1" thickBot="1">
      <c r="A683" s="125" t="s">
        <v>1273</v>
      </c>
      <c r="B683" s="125" t="s">
        <v>1892</v>
      </c>
      <c r="C683" s="125" t="s">
        <v>219</v>
      </c>
      <c r="D683" s="125" t="s">
        <v>2077</v>
      </c>
      <c r="E683" s="125" t="s">
        <v>206</v>
      </c>
      <c r="F683" s="125" t="s">
        <v>205</v>
      </c>
      <c r="G683" s="125" t="s">
        <v>1893</v>
      </c>
      <c r="H683" s="125" t="s">
        <v>1894</v>
      </c>
      <c r="I683" s="125" t="s">
        <v>1895</v>
      </c>
      <c r="J683" s="126">
        <v>8500</v>
      </c>
      <c r="K683" s="127" t="s">
        <v>1275</v>
      </c>
      <c r="L683" s="126">
        <v>8500</v>
      </c>
      <c r="M683" s="126">
        <v>0</v>
      </c>
      <c r="N683" s="126">
        <v>0</v>
      </c>
      <c r="O683" s="126">
        <v>0</v>
      </c>
      <c r="P683" s="126">
        <v>7423.28</v>
      </c>
      <c r="Q683" s="126">
        <v>0</v>
      </c>
      <c r="R683" s="126">
        <v>7423.28</v>
      </c>
      <c r="S683" s="126">
        <v>481.72</v>
      </c>
    </row>
    <row r="684" spans="1:19" ht="15.75" thickBot="1">
      <c r="A684" s="125" t="s">
        <v>1905</v>
      </c>
      <c r="B684" s="125" t="s">
        <v>1892</v>
      </c>
      <c r="C684" s="125" t="s">
        <v>219</v>
      </c>
      <c r="D684" s="125" t="s">
        <v>2077</v>
      </c>
      <c r="E684" s="125" t="s">
        <v>206</v>
      </c>
      <c r="F684" s="125" t="s">
        <v>205</v>
      </c>
      <c r="G684" s="125" t="s">
        <v>1893</v>
      </c>
      <c r="H684" s="125" t="s">
        <v>1894</v>
      </c>
      <c r="I684" s="125" t="s">
        <v>1895</v>
      </c>
      <c r="J684" s="126">
        <v>7055</v>
      </c>
      <c r="K684" s="127" t="s">
        <v>1275</v>
      </c>
      <c r="L684" s="126">
        <v>7055</v>
      </c>
      <c r="M684" s="126">
        <v>0</v>
      </c>
      <c r="N684" s="126">
        <v>0</v>
      </c>
      <c r="O684" s="126">
        <v>0</v>
      </c>
      <c r="P684" s="126">
        <v>1724.87</v>
      </c>
      <c r="Q684" s="126">
        <v>0</v>
      </c>
      <c r="R684" s="126">
        <v>1724.87</v>
      </c>
      <c r="S684" s="126">
        <v>5330.13</v>
      </c>
    </row>
    <row r="685" spans="1:19" ht="15.75" customHeight="1" thickBot="1">
      <c r="A685" s="125" t="s">
        <v>1273</v>
      </c>
      <c r="B685" s="125" t="s">
        <v>1790</v>
      </c>
      <c r="C685" s="125" t="s">
        <v>794</v>
      </c>
      <c r="D685" s="125" t="s">
        <v>2077</v>
      </c>
      <c r="E685" s="125" t="s">
        <v>206</v>
      </c>
      <c r="F685" s="125" t="s">
        <v>205</v>
      </c>
      <c r="G685" s="125" t="s">
        <v>1213</v>
      </c>
      <c r="H685" s="125" t="s">
        <v>1212</v>
      </c>
      <c r="I685" s="125" t="s">
        <v>1768</v>
      </c>
      <c r="J685" s="126">
        <v>238417.25</v>
      </c>
      <c r="K685" s="126">
        <v>8774.25</v>
      </c>
      <c r="L685" s="126">
        <v>229643</v>
      </c>
      <c r="M685" s="126">
        <v>38297.71</v>
      </c>
      <c r="N685" s="126">
        <v>0</v>
      </c>
      <c r="O685" s="126">
        <v>0</v>
      </c>
      <c r="P685" s="126">
        <v>181759.72</v>
      </c>
      <c r="Q685" s="126">
        <v>9999.5400000000009</v>
      </c>
      <c r="R685" s="126">
        <v>230056.97</v>
      </c>
      <c r="S685" s="126">
        <v>5505.35</v>
      </c>
    </row>
    <row r="686" spans="1:19" ht="15.75" thickBot="1">
      <c r="A686" s="125" t="s">
        <v>1905</v>
      </c>
      <c r="B686" s="125" t="s">
        <v>1790</v>
      </c>
      <c r="C686" s="125" t="s">
        <v>794</v>
      </c>
      <c r="D686" s="125" t="s">
        <v>2077</v>
      </c>
      <c r="E686" s="125" t="s">
        <v>206</v>
      </c>
      <c r="F686" s="125" t="s">
        <v>205</v>
      </c>
      <c r="G686" s="125" t="s">
        <v>1213</v>
      </c>
      <c r="H686" s="125" t="s">
        <v>1212</v>
      </c>
      <c r="I686" s="125" t="s">
        <v>1768</v>
      </c>
      <c r="J686" s="126">
        <v>227918.54</v>
      </c>
      <c r="K686" s="126">
        <v>9999.5400000000009</v>
      </c>
      <c r="L686" s="126">
        <v>217919</v>
      </c>
      <c r="M686" s="126">
        <v>19392.439999999999</v>
      </c>
      <c r="N686" s="126">
        <v>0</v>
      </c>
      <c r="O686" s="126">
        <v>0</v>
      </c>
      <c r="P686" s="126">
        <v>113596.23</v>
      </c>
      <c r="Q686" s="126">
        <v>70404.350000000006</v>
      </c>
      <c r="R686" s="126">
        <v>203393.02</v>
      </c>
      <c r="S686" s="126">
        <v>24525.52</v>
      </c>
    </row>
    <row r="687" spans="1:19" ht="15.75" customHeight="1" thickBot="1">
      <c r="A687" s="125" t="s">
        <v>1273</v>
      </c>
      <c r="B687" s="125" t="s">
        <v>39</v>
      </c>
      <c r="C687" s="125" t="s">
        <v>326</v>
      </c>
      <c r="D687" s="125" t="str">
        <f t="shared" ref="D687:D726" si="11">LEFT(C687:C687,1)</f>
        <v>1</v>
      </c>
      <c r="E687" s="125" t="s">
        <v>206</v>
      </c>
      <c r="F687" s="125" t="s">
        <v>205</v>
      </c>
      <c r="G687" s="125" t="s">
        <v>1284</v>
      </c>
      <c r="H687" s="125" t="s">
        <v>1285</v>
      </c>
      <c r="I687" s="125" t="s">
        <v>1276</v>
      </c>
      <c r="J687" s="126">
        <v>200000</v>
      </c>
      <c r="K687" s="127" t="s">
        <v>1275</v>
      </c>
      <c r="L687" s="126">
        <v>200000</v>
      </c>
      <c r="M687" s="126">
        <v>0</v>
      </c>
      <c r="N687" s="126">
        <v>0</v>
      </c>
      <c r="O687" s="126">
        <v>0</v>
      </c>
      <c r="P687" s="126">
        <v>211879.9</v>
      </c>
      <c r="Q687" s="126">
        <v>0</v>
      </c>
      <c r="R687" s="126">
        <v>211879.9</v>
      </c>
      <c r="S687" s="126">
        <v>-11879.9</v>
      </c>
    </row>
    <row r="688" spans="1:19" ht="15.75" thickBot="1">
      <c r="A688" s="125" t="s">
        <v>1905</v>
      </c>
      <c r="B688" s="125" t="s">
        <v>39</v>
      </c>
      <c r="C688" s="125" t="s">
        <v>326</v>
      </c>
      <c r="D688" s="125" t="str">
        <f t="shared" si="11"/>
        <v>1</v>
      </c>
      <c r="E688" s="125" t="s">
        <v>206</v>
      </c>
      <c r="F688" s="125" t="s">
        <v>205</v>
      </c>
      <c r="G688" s="125" t="s">
        <v>1284</v>
      </c>
      <c r="H688" s="125" t="s">
        <v>1285</v>
      </c>
      <c r="I688" s="125" t="s">
        <v>1276</v>
      </c>
      <c r="J688" s="126">
        <v>200000</v>
      </c>
      <c r="K688" s="127" t="s">
        <v>1275</v>
      </c>
      <c r="L688" s="126">
        <v>200000</v>
      </c>
      <c r="M688" s="126">
        <v>0</v>
      </c>
      <c r="N688" s="126">
        <v>0</v>
      </c>
      <c r="O688" s="126">
        <v>0</v>
      </c>
      <c r="P688" s="126">
        <v>74977.58</v>
      </c>
      <c r="Q688" s="126">
        <v>0</v>
      </c>
      <c r="R688" s="126">
        <v>74977.58</v>
      </c>
      <c r="S688" s="126">
        <v>-12977.58</v>
      </c>
    </row>
    <row r="689" spans="1:19" ht="15.75" customHeight="1" thickBot="1">
      <c r="A689" s="125" t="s">
        <v>1273</v>
      </c>
      <c r="B689" s="125" t="s">
        <v>392</v>
      </c>
      <c r="C689" s="125" t="s">
        <v>391</v>
      </c>
      <c r="D689" s="125" t="str">
        <f t="shared" si="11"/>
        <v>5</v>
      </c>
      <c r="E689" s="125" t="s">
        <v>206</v>
      </c>
      <c r="F689" s="125" t="s">
        <v>205</v>
      </c>
      <c r="G689" s="125" t="s">
        <v>1883</v>
      </c>
      <c r="H689" s="125" t="s">
        <v>1884</v>
      </c>
      <c r="I689" s="125" t="s">
        <v>1875</v>
      </c>
      <c r="J689" s="126">
        <v>20000</v>
      </c>
      <c r="K689" s="127" t="s">
        <v>1275</v>
      </c>
      <c r="L689" s="126">
        <v>20000</v>
      </c>
      <c r="M689" s="126">
        <v>0</v>
      </c>
      <c r="N689" s="126">
        <v>0</v>
      </c>
      <c r="O689" s="126">
        <v>0</v>
      </c>
      <c r="P689" s="126">
        <v>5640.11</v>
      </c>
      <c r="Q689" s="126">
        <v>0</v>
      </c>
      <c r="R689" s="126">
        <v>5640.11</v>
      </c>
      <c r="S689" s="126">
        <v>14359.89</v>
      </c>
    </row>
    <row r="690" spans="1:19" ht="15.75" thickBot="1">
      <c r="A690" s="125" t="s">
        <v>1905</v>
      </c>
      <c r="B690" s="125" t="s">
        <v>392</v>
      </c>
      <c r="C690" s="125" t="s">
        <v>391</v>
      </c>
      <c r="D690" s="125" t="str">
        <f t="shared" si="11"/>
        <v>5</v>
      </c>
      <c r="E690" s="125" t="s">
        <v>206</v>
      </c>
      <c r="F690" s="125" t="s">
        <v>205</v>
      </c>
      <c r="G690" s="125" t="s">
        <v>1883</v>
      </c>
      <c r="H690" s="125" t="s">
        <v>1884</v>
      </c>
      <c r="I690" s="125" t="s">
        <v>1875</v>
      </c>
      <c r="J690" s="126">
        <v>16600</v>
      </c>
      <c r="K690" s="127" t="s">
        <v>1275</v>
      </c>
      <c r="L690" s="126">
        <v>16600</v>
      </c>
      <c r="M690" s="126">
        <v>0</v>
      </c>
      <c r="N690" s="126">
        <v>0</v>
      </c>
      <c r="O690" s="126">
        <v>0</v>
      </c>
      <c r="P690" s="126">
        <v>0</v>
      </c>
      <c r="Q690" s="126">
        <v>0</v>
      </c>
      <c r="R690" s="126">
        <v>0</v>
      </c>
      <c r="S690" s="126">
        <v>8080</v>
      </c>
    </row>
    <row r="691" spans="1:19" ht="15.75" customHeight="1" thickBot="1">
      <c r="A691" s="125" t="s">
        <v>1273</v>
      </c>
      <c r="B691" s="125" t="s">
        <v>1527</v>
      </c>
      <c r="C691" s="125" t="s">
        <v>750</v>
      </c>
      <c r="D691" s="125" t="str">
        <f t="shared" si="11"/>
        <v>2</v>
      </c>
      <c r="E691" s="125" t="s">
        <v>206</v>
      </c>
      <c r="F691" s="125" t="s">
        <v>205</v>
      </c>
      <c r="G691" s="125" t="s">
        <v>1589</v>
      </c>
      <c r="H691" s="125" t="s">
        <v>1590</v>
      </c>
      <c r="I691" s="125" t="s">
        <v>1301</v>
      </c>
      <c r="J691" s="126">
        <v>0</v>
      </c>
      <c r="K691" s="127" t="s">
        <v>1275</v>
      </c>
      <c r="L691" s="126">
        <v>0</v>
      </c>
      <c r="M691" s="126">
        <v>0</v>
      </c>
      <c r="N691" s="126">
        <v>0</v>
      </c>
      <c r="O691" s="126">
        <v>0</v>
      </c>
      <c r="P691" s="126">
        <v>18000</v>
      </c>
      <c r="Q691" s="126">
        <v>0</v>
      </c>
      <c r="R691" s="126">
        <v>18000</v>
      </c>
      <c r="S691" s="126">
        <v>-18000</v>
      </c>
    </row>
    <row r="692" spans="1:19" ht="15.75" thickBot="1">
      <c r="A692" s="125" t="s">
        <v>1905</v>
      </c>
      <c r="B692" s="125" t="s">
        <v>1527</v>
      </c>
      <c r="C692" s="125" t="s">
        <v>750</v>
      </c>
      <c r="D692" s="125" t="str">
        <f t="shared" si="11"/>
        <v>2</v>
      </c>
      <c r="E692" s="125" t="s">
        <v>206</v>
      </c>
      <c r="F692" s="125" t="s">
        <v>205</v>
      </c>
      <c r="G692" s="125" t="s">
        <v>1589</v>
      </c>
      <c r="H692" s="125" t="s">
        <v>1590</v>
      </c>
      <c r="I692" s="125" t="s">
        <v>1301</v>
      </c>
      <c r="J692" s="126">
        <v>0</v>
      </c>
      <c r="K692" s="127" t="s">
        <v>1275</v>
      </c>
      <c r="L692" s="126">
        <v>0</v>
      </c>
      <c r="M692" s="126">
        <v>0</v>
      </c>
      <c r="N692" s="126">
        <v>0</v>
      </c>
      <c r="O692" s="126">
        <v>0</v>
      </c>
      <c r="P692" s="126">
        <v>24000</v>
      </c>
      <c r="Q692" s="126">
        <v>0</v>
      </c>
      <c r="R692" s="126">
        <v>24000</v>
      </c>
      <c r="S692" s="126">
        <v>0</v>
      </c>
    </row>
    <row r="693" spans="1:19" ht="15.75" customHeight="1" thickBot="1">
      <c r="A693" s="125" t="s">
        <v>1273</v>
      </c>
      <c r="B693" s="125" t="s">
        <v>1900</v>
      </c>
      <c r="C693" s="125" t="s">
        <v>1901</v>
      </c>
      <c r="D693" s="125" t="str">
        <f t="shared" si="11"/>
        <v>9</v>
      </c>
      <c r="E693" s="125" t="s">
        <v>206</v>
      </c>
      <c r="F693" s="125" t="s">
        <v>205</v>
      </c>
      <c r="G693" s="125" t="s">
        <v>1902</v>
      </c>
      <c r="H693" s="125" t="s">
        <v>1904</v>
      </c>
      <c r="I693" s="125" t="s">
        <v>1898</v>
      </c>
      <c r="J693" s="126">
        <v>0</v>
      </c>
      <c r="K693" s="127" t="s">
        <v>1275</v>
      </c>
      <c r="L693" s="126">
        <v>0</v>
      </c>
      <c r="M693" s="126">
        <v>0</v>
      </c>
      <c r="N693" s="126">
        <v>0</v>
      </c>
      <c r="O693" s="126">
        <v>0</v>
      </c>
      <c r="P693" s="126">
        <v>625162.43999999994</v>
      </c>
      <c r="Q693" s="126">
        <v>0</v>
      </c>
      <c r="R693" s="126">
        <v>625162.43999999994</v>
      </c>
      <c r="S693" s="126">
        <v>-625162.43999999994</v>
      </c>
    </row>
    <row r="694" spans="1:19" ht="15.75" thickBot="1">
      <c r="A694" s="125" t="s">
        <v>1905</v>
      </c>
      <c r="B694" s="125" t="s">
        <v>1900</v>
      </c>
      <c r="C694" s="125" t="s">
        <v>1901</v>
      </c>
      <c r="D694" s="125" t="str">
        <f t="shared" si="11"/>
        <v>9</v>
      </c>
      <c r="E694" s="125" t="s">
        <v>206</v>
      </c>
      <c r="F694" s="125" t="s">
        <v>205</v>
      </c>
      <c r="G694" s="125" t="s">
        <v>1902</v>
      </c>
      <c r="H694" s="125" t="s">
        <v>1904</v>
      </c>
      <c r="I694" s="125" t="s">
        <v>1898</v>
      </c>
      <c r="J694" s="126">
        <v>0</v>
      </c>
      <c r="K694" s="127" t="s">
        <v>1275</v>
      </c>
      <c r="L694" s="126">
        <v>0</v>
      </c>
      <c r="M694" s="126">
        <v>0</v>
      </c>
      <c r="N694" s="126">
        <v>0</v>
      </c>
      <c r="O694" s="126">
        <v>0</v>
      </c>
      <c r="P694" s="126">
        <v>824310.65</v>
      </c>
      <c r="Q694" s="126">
        <v>0</v>
      </c>
      <c r="R694" s="126">
        <v>824310.65</v>
      </c>
      <c r="S694" s="126">
        <v>-824310.65</v>
      </c>
    </row>
    <row r="695" spans="1:19" ht="15.75" customHeight="1" thickBot="1">
      <c r="A695" s="125" t="s">
        <v>1273</v>
      </c>
      <c r="B695" s="125" t="s">
        <v>1662</v>
      </c>
      <c r="C695" s="125" t="s">
        <v>994</v>
      </c>
      <c r="D695" s="125" t="str">
        <f t="shared" si="11"/>
        <v>3</v>
      </c>
      <c r="E695" s="125" t="s">
        <v>206</v>
      </c>
      <c r="F695" s="125" t="s">
        <v>205</v>
      </c>
      <c r="G695" s="125" t="s">
        <v>1678</v>
      </c>
      <c r="H695" s="125" t="s">
        <v>1679</v>
      </c>
      <c r="I695" s="125" t="s">
        <v>1665</v>
      </c>
      <c r="J695" s="126">
        <v>150000</v>
      </c>
      <c r="K695" s="127" t="s">
        <v>1275</v>
      </c>
      <c r="L695" s="126">
        <v>150000</v>
      </c>
      <c r="M695" s="126">
        <v>0</v>
      </c>
      <c r="N695" s="126">
        <v>0</v>
      </c>
      <c r="O695" s="126">
        <v>0</v>
      </c>
      <c r="P695" s="126">
        <v>283000</v>
      </c>
      <c r="Q695" s="126">
        <v>0</v>
      </c>
      <c r="R695" s="126">
        <v>283000</v>
      </c>
      <c r="S695" s="126">
        <v>-133000</v>
      </c>
    </row>
    <row r="696" spans="1:19" ht="15.75" thickBot="1">
      <c r="A696" s="125" t="s">
        <v>1905</v>
      </c>
      <c r="B696" s="125" t="s">
        <v>1662</v>
      </c>
      <c r="C696" s="125" t="s">
        <v>994</v>
      </c>
      <c r="D696" s="125" t="str">
        <f t="shared" si="11"/>
        <v>3</v>
      </c>
      <c r="E696" s="125" t="s">
        <v>206</v>
      </c>
      <c r="F696" s="125" t="s">
        <v>205</v>
      </c>
      <c r="G696" s="125" t="s">
        <v>1678</v>
      </c>
      <c r="H696" s="125" t="s">
        <v>1679</v>
      </c>
      <c r="I696" s="125" t="s">
        <v>1665</v>
      </c>
      <c r="J696" s="126">
        <v>150000</v>
      </c>
      <c r="K696" s="127" t="s">
        <v>1275</v>
      </c>
      <c r="L696" s="126">
        <v>150000</v>
      </c>
      <c r="M696" s="126">
        <v>0</v>
      </c>
      <c r="N696" s="126">
        <v>0</v>
      </c>
      <c r="O696" s="126">
        <v>0</v>
      </c>
      <c r="P696" s="126">
        <v>259178</v>
      </c>
      <c r="Q696" s="126">
        <v>0</v>
      </c>
      <c r="R696" s="126">
        <v>259178</v>
      </c>
      <c r="S696" s="126">
        <v>-109178</v>
      </c>
    </row>
    <row r="697" spans="1:19" ht="15.75" thickBot="1">
      <c r="A697" s="125" t="s">
        <v>1905</v>
      </c>
      <c r="B697" s="125" t="s">
        <v>1293</v>
      </c>
      <c r="C697" s="125" t="s">
        <v>1163</v>
      </c>
      <c r="D697" s="125" t="str">
        <f t="shared" si="11"/>
        <v>1</v>
      </c>
      <c r="E697" s="125" t="s">
        <v>206</v>
      </c>
      <c r="F697" s="125" t="s">
        <v>205</v>
      </c>
      <c r="G697" s="125" t="s">
        <v>1907</v>
      </c>
      <c r="H697" s="125" t="s">
        <v>1908</v>
      </c>
      <c r="I697" s="125" t="s">
        <v>1297</v>
      </c>
      <c r="J697" s="126">
        <v>0</v>
      </c>
      <c r="K697" s="127" t="s">
        <v>1275</v>
      </c>
      <c r="L697" s="126">
        <v>0</v>
      </c>
      <c r="M697" s="126">
        <v>0</v>
      </c>
      <c r="N697" s="126">
        <v>0</v>
      </c>
      <c r="O697" s="126">
        <v>0</v>
      </c>
      <c r="P697" s="126">
        <v>2000</v>
      </c>
      <c r="Q697" s="126">
        <v>0</v>
      </c>
      <c r="R697" s="126">
        <v>2000</v>
      </c>
      <c r="S697" s="126">
        <v>-2000</v>
      </c>
    </row>
    <row r="698" spans="1:19" ht="15.75" customHeight="1" thickBot="1">
      <c r="A698" s="125" t="s">
        <v>1273</v>
      </c>
      <c r="B698" s="125" t="s">
        <v>1173</v>
      </c>
      <c r="C698" s="125" t="s">
        <v>1172</v>
      </c>
      <c r="D698" s="125" t="str">
        <f t="shared" si="11"/>
        <v>2</v>
      </c>
      <c r="E698" s="125" t="s">
        <v>206</v>
      </c>
      <c r="F698" s="125" t="s">
        <v>205</v>
      </c>
      <c r="G698" s="125" t="s">
        <v>1315</v>
      </c>
      <c r="H698" s="125" t="s">
        <v>1316</v>
      </c>
      <c r="I698" s="125" t="s">
        <v>1276</v>
      </c>
      <c r="J698" s="126">
        <v>275000</v>
      </c>
      <c r="K698" s="127" t="s">
        <v>1275</v>
      </c>
      <c r="L698" s="126">
        <v>275000</v>
      </c>
      <c r="M698" s="126">
        <v>0</v>
      </c>
      <c r="N698" s="126">
        <v>0</v>
      </c>
      <c r="O698" s="126">
        <v>0</v>
      </c>
      <c r="P698" s="126">
        <v>268000</v>
      </c>
      <c r="Q698" s="126">
        <v>0</v>
      </c>
      <c r="R698" s="126">
        <v>268000</v>
      </c>
      <c r="S698" s="126">
        <v>7000</v>
      </c>
    </row>
    <row r="699" spans="1:19" ht="15.75" thickBot="1">
      <c r="A699" s="125" t="s">
        <v>1905</v>
      </c>
      <c r="B699" s="125" t="s">
        <v>1173</v>
      </c>
      <c r="C699" s="125" t="s">
        <v>1172</v>
      </c>
      <c r="D699" s="125" t="str">
        <f t="shared" si="11"/>
        <v>2</v>
      </c>
      <c r="E699" s="125" t="s">
        <v>206</v>
      </c>
      <c r="F699" s="125" t="s">
        <v>205</v>
      </c>
      <c r="G699" s="125" t="s">
        <v>1315</v>
      </c>
      <c r="H699" s="125" t="s">
        <v>1316</v>
      </c>
      <c r="I699" s="125" t="s">
        <v>1276</v>
      </c>
      <c r="J699" s="126">
        <v>228250</v>
      </c>
      <c r="K699" s="127" t="s">
        <v>1275</v>
      </c>
      <c r="L699" s="126">
        <v>228250</v>
      </c>
      <c r="M699" s="126">
        <v>0</v>
      </c>
      <c r="N699" s="126">
        <v>0</v>
      </c>
      <c r="O699" s="126">
        <v>0</v>
      </c>
      <c r="P699" s="126">
        <v>24000</v>
      </c>
      <c r="Q699" s="126">
        <v>0</v>
      </c>
      <c r="R699" s="126">
        <v>24000</v>
      </c>
      <c r="S699" s="126">
        <v>204250</v>
      </c>
    </row>
    <row r="700" spans="1:19" ht="15.75" customHeight="1" thickBot="1">
      <c r="A700" s="125" t="s">
        <v>1273</v>
      </c>
      <c r="B700" s="125" t="s">
        <v>710</v>
      </c>
      <c r="C700" s="125" t="s">
        <v>709</v>
      </c>
      <c r="D700" s="125" t="str">
        <f t="shared" si="11"/>
        <v>2</v>
      </c>
      <c r="E700" s="125" t="s">
        <v>206</v>
      </c>
      <c r="F700" s="125" t="s">
        <v>205</v>
      </c>
      <c r="G700" s="125" t="s">
        <v>1323</v>
      </c>
      <c r="H700" s="125" t="s">
        <v>1324</v>
      </c>
      <c r="I700" s="125" t="s">
        <v>1322</v>
      </c>
      <c r="J700" s="126">
        <v>90000</v>
      </c>
      <c r="K700" s="127" t="s">
        <v>1275</v>
      </c>
      <c r="L700" s="126">
        <v>90000</v>
      </c>
      <c r="M700" s="126">
        <v>0</v>
      </c>
      <c r="N700" s="126">
        <v>0</v>
      </c>
      <c r="O700" s="126">
        <v>0</v>
      </c>
      <c r="P700" s="126">
        <v>90000</v>
      </c>
      <c r="Q700" s="126">
        <v>0</v>
      </c>
      <c r="R700" s="126">
        <v>90000</v>
      </c>
      <c r="S700" s="126">
        <v>0</v>
      </c>
    </row>
    <row r="701" spans="1:19" ht="15.75" thickBot="1">
      <c r="A701" s="125" t="s">
        <v>1905</v>
      </c>
      <c r="B701" s="125" t="s">
        <v>710</v>
      </c>
      <c r="C701" s="125" t="s">
        <v>709</v>
      </c>
      <c r="D701" s="125" t="str">
        <f t="shared" si="11"/>
        <v>2</v>
      </c>
      <c r="E701" s="125" t="s">
        <v>206</v>
      </c>
      <c r="F701" s="125" t="s">
        <v>205</v>
      </c>
      <c r="G701" s="125" t="s">
        <v>1323</v>
      </c>
      <c r="H701" s="125" t="s">
        <v>1324</v>
      </c>
      <c r="I701" s="125" t="s">
        <v>1322</v>
      </c>
      <c r="J701" s="126">
        <v>74700</v>
      </c>
      <c r="K701" s="127" t="s">
        <v>1275</v>
      </c>
      <c r="L701" s="126">
        <v>74700</v>
      </c>
      <c r="M701" s="126">
        <v>0</v>
      </c>
      <c r="N701" s="126">
        <v>0</v>
      </c>
      <c r="O701" s="126">
        <v>0</v>
      </c>
      <c r="P701" s="126">
        <v>74700</v>
      </c>
      <c r="Q701" s="126">
        <v>0</v>
      </c>
      <c r="R701" s="126">
        <v>74700</v>
      </c>
      <c r="S701" s="126">
        <v>0</v>
      </c>
    </row>
    <row r="702" spans="1:19" ht="15.75" customHeight="1" thickBot="1">
      <c r="A702" s="125" t="s">
        <v>1273</v>
      </c>
      <c r="B702" s="125" t="s">
        <v>1299</v>
      </c>
      <c r="C702" s="125" t="s">
        <v>719</v>
      </c>
      <c r="D702" s="125" t="str">
        <f t="shared" si="11"/>
        <v>2</v>
      </c>
      <c r="E702" s="125" t="s">
        <v>206</v>
      </c>
      <c r="F702" s="125" t="s">
        <v>205</v>
      </c>
      <c r="G702" s="125" t="s">
        <v>1310</v>
      </c>
      <c r="H702" s="125" t="s">
        <v>1311</v>
      </c>
      <c r="I702" s="125" t="s">
        <v>1301</v>
      </c>
      <c r="J702" s="126">
        <v>0</v>
      </c>
      <c r="K702" s="127" t="s">
        <v>1275</v>
      </c>
      <c r="L702" s="126">
        <v>0</v>
      </c>
      <c r="M702" s="126">
        <v>0</v>
      </c>
      <c r="N702" s="126">
        <v>0</v>
      </c>
      <c r="O702" s="126">
        <v>0</v>
      </c>
      <c r="P702" s="126">
        <v>5014.41</v>
      </c>
      <c r="Q702" s="126">
        <v>0</v>
      </c>
      <c r="R702" s="126">
        <v>5014.41</v>
      </c>
      <c r="S702" s="126">
        <v>0</v>
      </c>
    </row>
    <row r="703" spans="1:19" ht="15.75" customHeight="1" thickBot="1">
      <c r="A703" s="125" t="s">
        <v>1273</v>
      </c>
      <c r="B703" s="125" t="s">
        <v>1790</v>
      </c>
      <c r="C703" s="125" t="s">
        <v>794</v>
      </c>
      <c r="D703" s="125" t="s">
        <v>2077</v>
      </c>
      <c r="E703" s="125" t="s">
        <v>206</v>
      </c>
      <c r="F703" s="125" t="s">
        <v>205</v>
      </c>
      <c r="G703" s="125" t="s">
        <v>1791</v>
      </c>
      <c r="H703" s="125" t="s">
        <v>1792</v>
      </c>
      <c r="I703" s="125" t="s">
        <v>1768</v>
      </c>
      <c r="J703" s="126">
        <v>166639.43</v>
      </c>
      <c r="K703" s="126">
        <v>4476.43</v>
      </c>
      <c r="L703" s="126">
        <v>162163</v>
      </c>
      <c r="M703" s="126">
        <v>0</v>
      </c>
      <c r="N703" s="126">
        <v>6752.97</v>
      </c>
      <c r="O703" s="126">
        <v>0</v>
      </c>
      <c r="P703" s="126">
        <v>83817.7</v>
      </c>
      <c r="Q703" s="126">
        <v>7521.93</v>
      </c>
      <c r="R703" s="126">
        <v>98092.6</v>
      </c>
      <c r="S703" s="126">
        <v>57766.07</v>
      </c>
    </row>
    <row r="704" spans="1:19" ht="15.75" thickBot="1">
      <c r="A704" s="125" t="s">
        <v>1905</v>
      </c>
      <c r="B704" s="125" t="s">
        <v>1790</v>
      </c>
      <c r="C704" s="125" t="s">
        <v>794</v>
      </c>
      <c r="D704" s="125" t="s">
        <v>2077</v>
      </c>
      <c r="E704" s="125" t="s">
        <v>206</v>
      </c>
      <c r="F704" s="125" t="s">
        <v>205</v>
      </c>
      <c r="G704" s="125" t="s">
        <v>1791</v>
      </c>
      <c r="H704" s="125" t="s">
        <v>1792</v>
      </c>
      <c r="I704" s="125" t="s">
        <v>1768</v>
      </c>
      <c r="J704" s="126">
        <v>144056.93</v>
      </c>
      <c r="K704" s="126">
        <v>7521.93</v>
      </c>
      <c r="L704" s="126">
        <v>136535</v>
      </c>
      <c r="M704" s="126">
        <v>0</v>
      </c>
      <c r="N704" s="126">
        <v>0</v>
      </c>
      <c r="O704" s="126">
        <v>0</v>
      </c>
      <c r="P704" s="126">
        <v>61794.44</v>
      </c>
      <c r="Q704" s="126">
        <v>14083.27</v>
      </c>
      <c r="R704" s="126">
        <v>75877.710000000006</v>
      </c>
      <c r="S704" s="126">
        <v>62179.22</v>
      </c>
    </row>
    <row r="705" spans="1:19" ht="15.75" customHeight="1" thickBot="1">
      <c r="A705" s="125" t="s">
        <v>1273</v>
      </c>
      <c r="B705" s="125" t="s">
        <v>1691</v>
      </c>
      <c r="C705" s="125" t="s">
        <v>715</v>
      </c>
      <c r="D705" s="125" t="str">
        <f t="shared" si="11"/>
        <v>3</v>
      </c>
      <c r="E705" s="125" t="s">
        <v>206</v>
      </c>
      <c r="F705" s="125" t="s">
        <v>205</v>
      </c>
      <c r="G705" s="125" t="s">
        <v>1686</v>
      </c>
      <c r="H705" s="125" t="s">
        <v>1696</v>
      </c>
      <c r="I705" s="125" t="s">
        <v>1692</v>
      </c>
      <c r="J705" s="126">
        <v>1653381</v>
      </c>
      <c r="K705" s="127" t="s">
        <v>1275</v>
      </c>
      <c r="L705" s="126">
        <v>1653381</v>
      </c>
      <c r="M705" s="126">
        <v>0</v>
      </c>
      <c r="N705" s="126">
        <v>0</v>
      </c>
      <c r="O705" s="126">
        <v>0</v>
      </c>
      <c r="P705" s="126">
        <v>2013683.5</v>
      </c>
      <c r="Q705" s="126">
        <v>0</v>
      </c>
      <c r="R705" s="126">
        <v>2013683.5</v>
      </c>
      <c r="S705" s="126">
        <v>102269.95</v>
      </c>
    </row>
    <row r="706" spans="1:19" ht="15.75" thickBot="1">
      <c r="A706" s="125" t="s">
        <v>1905</v>
      </c>
      <c r="B706" s="125" t="s">
        <v>1691</v>
      </c>
      <c r="C706" s="125" t="s">
        <v>715</v>
      </c>
      <c r="D706" s="125" t="str">
        <f t="shared" si="11"/>
        <v>3</v>
      </c>
      <c r="E706" s="125" t="s">
        <v>206</v>
      </c>
      <c r="F706" s="125" t="s">
        <v>205</v>
      </c>
      <c r="G706" s="125" t="s">
        <v>1686</v>
      </c>
      <c r="H706" s="125" t="s">
        <v>1696</v>
      </c>
      <c r="I706" s="125" t="s">
        <v>1692</v>
      </c>
      <c r="J706" s="126">
        <v>1894660</v>
      </c>
      <c r="K706" s="127" t="s">
        <v>1275</v>
      </c>
      <c r="L706" s="126">
        <v>1894660</v>
      </c>
      <c r="M706" s="126">
        <v>0</v>
      </c>
      <c r="N706" s="126">
        <v>0</v>
      </c>
      <c r="O706" s="126">
        <v>0</v>
      </c>
      <c r="P706" s="126">
        <v>1917660</v>
      </c>
      <c r="Q706" s="126">
        <v>0</v>
      </c>
      <c r="R706" s="126">
        <v>1917660</v>
      </c>
      <c r="S706" s="126">
        <v>37110</v>
      </c>
    </row>
    <row r="707" spans="1:19" ht="15.75" customHeight="1" thickBot="1">
      <c r="A707" s="125" t="s">
        <v>1273</v>
      </c>
      <c r="B707" s="125" t="s">
        <v>1691</v>
      </c>
      <c r="C707" s="125" t="s">
        <v>715</v>
      </c>
      <c r="D707" s="125" t="str">
        <f t="shared" si="11"/>
        <v>3</v>
      </c>
      <c r="E707" s="125" t="s">
        <v>206</v>
      </c>
      <c r="F707" s="125" t="s">
        <v>205</v>
      </c>
      <c r="G707" s="125" t="s">
        <v>1693</v>
      </c>
      <c r="H707" s="125" t="s">
        <v>1697</v>
      </c>
      <c r="I707" s="125" t="s">
        <v>1692</v>
      </c>
      <c r="J707" s="126">
        <v>0</v>
      </c>
      <c r="K707" s="127" t="s">
        <v>1275</v>
      </c>
      <c r="L707" s="126">
        <v>0</v>
      </c>
      <c r="M707" s="126">
        <v>0</v>
      </c>
      <c r="N707" s="126">
        <v>0</v>
      </c>
      <c r="O707" s="126">
        <v>0</v>
      </c>
      <c r="P707" s="126">
        <v>70261.59</v>
      </c>
      <c r="Q707" s="126">
        <v>0</v>
      </c>
      <c r="R707" s="126">
        <v>70261.59</v>
      </c>
      <c r="S707" s="126">
        <v>0</v>
      </c>
    </row>
    <row r="708" spans="1:19" ht="15.75" thickBot="1">
      <c r="A708" s="125" t="s">
        <v>1905</v>
      </c>
      <c r="B708" s="125" t="s">
        <v>1691</v>
      </c>
      <c r="C708" s="125" t="s">
        <v>715</v>
      </c>
      <c r="D708" s="125" t="str">
        <f t="shared" si="11"/>
        <v>3</v>
      </c>
      <c r="E708" s="125" t="s">
        <v>206</v>
      </c>
      <c r="F708" s="125" t="s">
        <v>205</v>
      </c>
      <c r="G708" s="125" t="s">
        <v>716</v>
      </c>
      <c r="H708" s="125" t="s">
        <v>1698</v>
      </c>
      <c r="I708" s="125" t="s">
        <v>1692</v>
      </c>
      <c r="J708" s="126">
        <v>131340</v>
      </c>
      <c r="K708" s="127" t="s">
        <v>1275</v>
      </c>
      <c r="L708" s="126">
        <v>131340</v>
      </c>
      <c r="M708" s="126">
        <v>0</v>
      </c>
      <c r="N708" s="126">
        <v>0</v>
      </c>
      <c r="O708" s="126">
        <v>0</v>
      </c>
      <c r="P708" s="126">
        <v>0</v>
      </c>
      <c r="Q708" s="126">
        <v>0</v>
      </c>
      <c r="R708" s="126">
        <v>0</v>
      </c>
      <c r="S708" s="126">
        <v>27828.42</v>
      </c>
    </row>
    <row r="709" spans="1:19" ht="15.75" customHeight="1" thickBot="1">
      <c r="A709" s="125" t="s">
        <v>1273</v>
      </c>
      <c r="B709" s="125" t="s">
        <v>1662</v>
      </c>
      <c r="C709" s="125" t="s">
        <v>994</v>
      </c>
      <c r="D709" s="125" t="str">
        <f t="shared" si="11"/>
        <v>3</v>
      </c>
      <c r="E709" s="125" t="s">
        <v>206</v>
      </c>
      <c r="F709" s="125" t="s">
        <v>205</v>
      </c>
      <c r="G709" s="125" t="s">
        <v>1680</v>
      </c>
      <c r="H709" s="125" t="s">
        <v>1681</v>
      </c>
      <c r="I709" s="125" t="s">
        <v>1665</v>
      </c>
      <c r="J709" s="126">
        <v>86682</v>
      </c>
      <c r="K709" s="127" t="s">
        <v>1275</v>
      </c>
      <c r="L709" s="126">
        <v>86682</v>
      </c>
      <c r="M709" s="126">
        <v>0</v>
      </c>
      <c r="N709" s="126">
        <v>0</v>
      </c>
      <c r="O709" s="126">
        <v>0</v>
      </c>
      <c r="P709" s="126">
        <v>86485.37</v>
      </c>
      <c r="Q709" s="126">
        <v>0</v>
      </c>
      <c r="R709" s="126">
        <v>86485.37</v>
      </c>
      <c r="S709" s="126">
        <v>196.63</v>
      </c>
    </row>
    <row r="710" spans="1:19" ht="15.75" thickBot="1">
      <c r="A710" s="125" t="s">
        <v>1905</v>
      </c>
      <c r="B710" s="125" t="s">
        <v>1662</v>
      </c>
      <c r="C710" s="125" t="s">
        <v>994</v>
      </c>
      <c r="D710" s="125" t="str">
        <f t="shared" si="11"/>
        <v>3</v>
      </c>
      <c r="E710" s="125" t="s">
        <v>206</v>
      </c>
      <c r="F710" s="125" t="s">
        <v>205</v>
      </c>
      <c r="G710" s="125" t="s">
        <v>1680</v>
      </c>
      <c r="H710" s="125" t="s">
        <v>1681</v>
      </c>
      <c r="I710" s="125" t="s">
        <v>1665</v>
      </c>
      <c r="J710" s="126">
        <v>75175</v>
      </c>
      <c r="K710" s="127" t="s">
        <v>1275</v>
      </c>
      <c r="L710" s="126">
        <v>75175</v>
      </c>
      <c r="M710" s="126">
        <v>0</v>
      </c>
      <c r="N710" s="126">
        <v>0</v>
      </c>
      <c r="O710" s="126">
        <v>0</v>
      </c>
      <c r="P710" s="126">
        <v>36771.879999999997</v>
      </c>
      <c r="Q710" s="126">
        <v>0</v>
      </c>
      <c r="R710" s="126">
        <v>36771.879999999997</v>
      </c>
      <c r="S710" s="126">
        <v>38403.120000000003</v>
      </c>
    </row>
    <row r="711" spans="1:19" ht="15.75" customHeight="1" thickBot="1">
      <c r="A711" s="125" t="s">
        <v>1273</v>
      </c>
      <c r="B711" s="125" t="s">
        <v>1662</v>
      </c>
      <c r="C711" s="125" t="s">
        <v>994</v>
      </c>
      <c r="D711" s="125" t="str">
        <f t="shared" si="11"/>
        <v>3</v>
      </c>
      <c r="E711" s="125" t="s">
        <v>206</v>
      </c>
      <c r="F711" s="125" t="s">
        <v>205</v>
      </c>
      <c r="G711" s="125" t="s">
        <v>1682</v>
      </c>
      <c r="H711" s="125" t="s">
        <v>1683</v>
      </c>
      <c r="I711" s="125" t="s">
        <v>1665</v>
      </c>
      <c r="J711" s="126">
        <v>657511</v>
      </c>
      <c r="K711" s="127" t="s">
        <v>1275</v>
      </c>
      <c r="L711" s="126">
        <v>657511</v>
      </c>
      <c r="M711" s="126">
        <v>0</v>
      </c>
      <c r="N711" s="126">
        <v>0</v>
      </c>
      <c r="O711" s="126">
        <v>0</v>
      </c>
      <c r="P711" s="126">
        <v>661384.38</v>
      </c>
      <c r="Q711" s="126">
        <v>0</v>
      </c>
      <c r="R711" s="126">
        <v>661384.38</v>
      </c>
      <c r="S711" s="126">
        <v>-1359.38</v>
      </c>
    </row>
    <row r="712" spans="1:19" ht="15.75" thickBot="1">
      <c r="A712" s="125" t="s">
        <v>1905</v>
      </c>
      <c r="B712" s="125" t="s">
        <v>1662</v>
      </c>
      <c r="C712" s="125" t="s">
        <v>994</v>
      </c>
      <c r="D712" s="125" t="str">
        <f t="shared" si="11"/>
        <v>3</v>
      </c>
      <c r="E712" s="125" t="s">
        <v>206</v>
      </c>
      <c r="F712" s="125" t="s">
        <v>205</v>
      </c>
      <c r="G712" s="125" t="s">
        <v>1682</v>
      </c>
      <c r="H712" s="125" t="s">
        <v>1683</v>
      </c>
      <c r="I712" s="125" t="s">
        <v>1665</v>
      </c>
      <c r="J712" s="126">
        <v>645000</v>
      </c>
      <c r="K712" s="127" t="s">
        <v>1275</v>
      </c>
      <c r="L712" s="126">
        <v>645000</v>
      </c>
      <c r="M712" s="126">
        <v>0</v>
      </c>
      <c r="N712" s="126">
        <v>0</v>
      </c>
      <c r="O712" s="126">
        <v>0</v>
      </c>
      <c r="P712" s="126">
        <v>646251.96</v>
      </c>
      <c r="Q712" s="126">
        <v>0</v>
      </c>
      <c r="R712" s="126">
        <v>646251.96</v>
      </c>
      <c r="S712" s="126">
        <v>-1251.96</v>
      </c>
    </row>
    <row r="713" spans="1:19" ht="15.75" customHeight="1" thickBot="1">
      <c r="A713" s="125" t="s">
        <v>1273</v>
      </c>
      <c r="B713" s="125" t="s">
        <v>1662</v>
      </c>
      <c r="C713" s="125" t="s">
        <v>994</v>
      </c>
      <c r="D713" s="125" t="str">
        <f t="shared" si="11"/>
        <v>3</v>
      </c>
      <c r="E713" s="125" t="s">
        <v>206</v>
      </c>
      <c r="F713" s="125" t="s">
        <v>205</v>
      </c>
      <c r="G713" s="125" t="s">
        <v>1684</v>
      </c>
      <c r="H713" s="125" t="s">
        <v>1685</v>
      </c>
      <c r="I713" s="125" t="s">
        <v>1665</v>
      </c>
      <c r="J713" s="126">
        <v>11643</v>
      </c>
      <c r="K713" s="127" t="s">
        <v>1275</v>
      </c>
      <c r="L713" s="126">
        <v>11643</v>
      </c>
      <c r="M713" s="126">
        <v>0</v>
      </c>
      <c r="N713" s="126">
        <v>0</v>
      </c>
      <c r="O713" s="126">
        <v>0</v>
      </c>
      <c r="P713" s="126">
        <v>7279.89</v>
      </c>
      <c r="Q713" s="126">
        <v>0</v>
      </c>
      <c r="R713" s="126">
        <v>7279.89</v>
      </c>
      <c r="S713" s="126">
        <v>1849.11</v>
      </c>
    </row>
    <row r="714" spans="1:19" ht="15.75" thickBot="1">
      <c r="A714" s="125" t="s">
        <v>1905</v>
      </c>
      <c r="B714" s="125" t="s">
        <v>1662</v>
      </c>
      <c r="C714" s="125" t="s">
        <v>994</v>
      </c>
      <c r="D714" s="125" t="str">
        <f t="shared" si="11"/>
        <v>3</v>
      </c>
      <c r="E714" s="125" t="s">
        <v>206</v>
      </c>
      <c r="F714" s="125" t="s">
        <v>205</v>
      </c>
      <c r="G714" s="125" t="s">
        <v>1684</v>
      </c>
      <c r="H714" s="125" t="s">
        <v>1685</v>
      </c>
      <c r="I714" s="125" t="s">
        <v>1665</v>
      </c>
      <c r="J714" s="126">
        <v>7280</v>
      </c>
      <c r="K714" s="127" t="s">
        <v>1275</v>
      </c>
      <c r="L714" s="126">
        <v>7280</v>
      </c>
      <c r="M714" s="126">
        <v>0</v>
      </c>
      <c r="N714" s="126">
        <v>0</v>
      </c>
      <c r="O714" s="126">
        <v>0</v>
      </c>
      <c r="P714" s="126">
        <v>7218.63</v>
      </c>
      <c r="Q714" s="126">
        <v>0</v>
      </c>
      <c r="R714" s="126">
        <v>7218.63</v>
      </c>
      <c r="S714" s="126">
        <v>61.37</v>
      </c>
    </row>
    <row r="715" spans="1:19" ht="15.75" thickBot="1">
      <c r="A715" s="125" t="s">
        <v>1905</v>
      </c>
      <c r="B715" s="125" t="s">
        <v>1325</v>
      </c>
      <c r="C715" s="125" t="s">
        <v>1286</v>
      </c>
      <c r="D715" s="125" t="str">
        <f t="shared" si="11"/>
        <v>2</v>
      </c>
      <c r="E715" s="125" t="s">
        <v>206</v>
      </c>
      <c r="F715" s="125" t="s">
        <v>205</v>
      </c>
      <c r="G715" s="125" t="s">
        <v>1911</v>
      </c>
      <c r="H715" s="125" t="s">
        <v>1912</v>
      </c>
      <c r="I715" s="125" t="s">
        <v>1656</v>
      </c>
      <c r="J715" s="126">
        <v>0</v>
      </c>
      <c r="K715" s="127" t="s">
        <v>1275</v>
      </c>
      <c r="L715" s="126">
        <v>0</v>
      </c>
      <c r="M715" s="126">
        <v>0</v>
      </c>
      <c r="N715" s="126">
        <v>0</v>
      </c>
      <c r="O715" s="126">
        <v>0</v>
      </c>
      <c r="P715" s="126">
        <v>-400</v>
      </c>
      <c r="Q715" s="126">
        <v>0</v>
      </c>
      <c r="R715" s="126">
        <v>-400</v>
      </c>
      <c r="S715" s="126">
        <v>400</v>
      </c>
    </row>
    <row r="716" spans="1:19" ht="15.75" thickBot="1">
      <c r="A716" s="125" t="s">
        <v>1905</v>
      </c>
      <c r="B716" s="125" t="s">
        <v>1700</v>
      </c>
      <c r="C716" s="125" t="s">
        <v>1701</v>
      </c>
      <c r="D716" s="125" t="str">
        <f t="shared" si="11"/>
        <v>3</v>
      </c>
      <c r="E716" s="125" t="s">
        <v>1948</v>
      </c>
      <c r="F716" s="125" t="s">
        <v>1215</v>
      </c>
      <c r="G716" s="125" t="s">
        <v>1702</v>
      </c>
      <c r="H716" s="125" t="s">
        <v>1703</v>
      </c>
      <c r="I716" s="125" t="s">
        <v>1692</v>
      </c>
      <c r="J716" s="126">
        <v>285228</v>
      </c>
      <c r="K716" s="127" t="s">
        <v>1275</v>
      </c>
      <c r="L716" s="126">
        <v>285228</v>
      </c>
      <c r="M716" s="126">
        <v>0</v>
      </c>
      <c r="N716" s="126">
        <v>0</v>
      </c>
      <c r="O716" s="126">
        <v>72390.67</v>
      </c>
      <c r="P716" s="126">
        <v>0</v>
      </c>
      <c r="Q716" s="126">
        <v>0</v>
      </c>
      <c r="R716" s="126">
        <v>72390.67</v>
      </c>
      <c r="S716" s="126">
        <v>210487.33</v>
      </c>
    </row>
    <row r="717" spans="1:19" ht="15.75" thickBot="1">
      <c r="A717" s="125" t="s">
        <v>1905</v>
      </c>
      <c r="B717" s="125" t="s">
        <v>1700</v>
      </c>
      <c r="C717" s="125" t="s">
        <v>1701</v>
      </c>
      <c r="D717" s="125" t="str">
        <f t="shared" si="11"/>
        <v>3</v>
      </c>
      <c r="E717" s="125" t="s">
        <v>1948</v>
      </c>
      <c r="F717" s="125" t="s">
        <v>1215</v>
      </c>
      <c r="G717" s="125" t="s">
        <v>1704</v>
      </c>
      <c r="H717" s="125" t="s">
        <v>1705</v>
      </c>
      <c r="I717" s="125" t="s">
        <v>1692</v>
      </c>
      <c r="J717" s="126">
        <v>0</v>
      </c>
      <c r="K717" s="127" t="s">
        <v>1275</v>
      </c>
      <c r="L717" s="126">
        <v>0</v>
      </c>
      <c r="M717" s="126">
        <v>0</v>
      </c>
      <c r="N717" s="126">
        <v>0</v>
      </c>
      <c r="O717" s="126">
        <v>1070.9100000000001</v>
      </c>
      <c r="P717" s="126">
        <v>0</v>
      </c>
      <c r="Q717" s="126">
        <v>0</v>
      </c>
      <c r="R717" s="126">
        <v>1070.9100000000001</v>
      </c>
      <c r="S717" s="126">
        <v>1129.0899999999999</v>
      </c>
    </row>
    <row r="718" spans="1:19" ht="15.75" thickBot="1">
      <c r="A718" s="125" t="s">
        <v>1905</v>
      </c>
      <c r="B718" s="125" t="s">
        <v>1700</v>
      </c>
      <c r="C718" s="125" t="s">
        <v>1701</v>
      </c>
      <c r="D718" s="125" t="str">
        <f t="shared" si="11"/>
        <v>3</v>
      </c>
      <c r="E718" s="125" t="s">
        <v>1948</v>
      </c>
      <c r="F718" s="125" t="s">
        <v>1215</v>
      </c>
      <c r="G718" s="125" t="s">
        <v>1706</v>
      </c>
      <c r="H718" s="125" t="s">
        <v>1707</v>
      </c>
      <c r="I718" s="125" t="s">
        <v>1692</v>
      </c>
      <c r="J718" s="126">
        <v>0</v>
      </c>
      <c r="K718" s="127" t="s">
        <v>1275</v>
      </c>
      <c r="L718" s="126">
        <v>0</v>
      </c>
      <c r="M718" s="126">
        <v>0</v>
      </c>
      <c r="N718" s="126">
        <v>0</v>
      </c>
      <c r="O718" s="126">
        <v>71.39</v>
      </c>
      <c r="P718" s="126">
        <v>0</v>
      </c>
      <c r="Q718" s="126">
        <v>0</v>
      </c>
      <c r="R718" s="126">
        <v>71.39</v>
      </c>
      <c r="S718" s="126">
        <v>78.61</v>
      </c>
    </row>
    <row r="719" spans="1:19" ht="15.75" thickBot="1">
      <c r="A719" s="125" t="s">
        <v>1905</v>
      </c>
      <c r="B719" s="125" t="s">
        <v>1700</v>
      </c>
      <c r="C719" s="125" t="s">
        <v>1701</v>
      </c>
      <c r="D719" s="125" t="str">
        <f t="shared" si="11"/>
        <v>3</v>
      </c>
      <c r="E719" s="125" t="s">
        <v>1948</v>
      </c>
      <c r="F719" s="125" t="s">
        <v>1215</v>
      </c>
      <c r="G719" s="125" t="s">
        <v>1708</v>
      </c>
      <c r="H719" s="125" t="s">
        <v>1709</v>
      </c>
      <c r="I719" s="125" t="s">
        <v>1692</v>
      </c>
      <c r="J719" s="126">
        <v>74908</v>
      </c>
      <c r="K719" s="127" t="s">
        <v>1275</v>
      </c>
      <c r="L719" s="126">
        <v>74908</v>
      </c>
      <c r="M719" s="126">
        <v>0</v>
      </c>
      <c r="N719" s="126">
        <v>0</v>
      </c>
      <c r="O719" s="126">
        <v>36811.26</v>
      </c>
      <c r="P719" s="126">
        <v>0</v>
      </c>
      <c r="Q719" s="126">
        <v>0</v>
      </c>
      <c r="R719" s="126">
        <v>36811.26</v>
      </c>
      <c r="S719" s="126">
        <v>38096.74</v>
      </c>
    </row>
    <row r="720" spans="1:19" ht="15.75" thickBot="1">
      <c r="A720" s="125" t="s">
        <v>1905</v>
      </c>
      <c r="B720" s="125" t="s">
        <v>1700</v>
      </c>
      <c r="C720" s="125" t="s">
        <v>1701</v>
      </c>
      <c r="D720" s="125" t="str">
        <f t="shared" si="11"/>
        <v>3</v>
      </c>
      <c r="E720" s="125" t="s">
        <v>1948</v>
      </c>
      <c r="F720" s="125" t="s">
        <v>1215</v>
      </c>
      <c r="G720" s="125" t="s">
        <v>1710</v>
      </c>
      <c r="H720" s="125" t="s">
        <v>1711</v>
      </c>
      <c r="I720" s="125" t="s">
        <v>1692</v>
      </c>
      <c r="J720" s="126">
        <v>58752</v>
      </c>
      <c r="K720" s="127" t="s">
        <v>1275</v>
      </c>
      <c r="L720" s="126">
        <v>58752</v>
      </c>
      <c r="M720" s="126">
        <v>0</v>
      </c>
      <c r="N720" s="126">
        <v>0</v>
      </c>
      <c r="O720" s="126">
        <v>27537.19</v>
      </c>
      <c r="P720" s="126">
        <v>0</v>
      </c>
      <c r="Q720" s="126">
        <v>0</v>
      </c>
      <c r="R720" s="126">
        <v>27537.19</v>
      </c>
      <c r="S720" s="126">
        <v>30498.81</v>
      </c>
    </row>
    <row r="721" spans="1:19" ht="15.75" thickBot="1">
      <c r="A721" s="125" t="s">
        <v>1905</v>
      </c>
      <c r="B721" s="125" t="s">
        <v>1700</v>
      </c>
      <c r="C721" s="125" t="s">
        <v>1701</v>
      </c>
      <c r="D721" s="125" t="str">
        <f t="shared" si="11"/>
        <v>3</v>
      </c>
      <c r="E721" s="125" t="s">
        <v>1948</v>
      </c>
      <c r="F721" s="125" t="s">
        <v>1215</v>
      </c>
      <c r="G721" s="125" t="s">
        <v>1714</v>
      </c>
      <c r="H721" s="125" t="s">
        <v>1715</v>
      </c>
      <c r="I721" s="125" t="s">
        <v>1692</v>
      </c>
      <c r="J721" s="126">
        <v>0</v>
      </c>
      <c r="K721" s="127" t="s">
        <v>1275</v>
      </c>
      <c r="L721" s="126">
        <v>0</v>
      </c>
      <c r="M721" s="126">
        <v>0</v>
      </c>
      <c r="N721" s="126">
        <v>0</v>
      </c>
      <c r="O721" s="126">
        <v>715.98</v>
      </c>
      <c r="P721" s="126">
        <v>0</v>
      </c>
      <c r="Q721" s="126">
        <v>0</v>
      </c>
      <c r="R721" s="126">
        <v>715.98</v>
      </c>
      <c r="S721" s="126">
        <v>0.02</v>
      </c>
    </row>
    <row r="722" spans="1:19" ht="15.75" thickBot="1">
      <c r="A722" s="125" t="s">
        <v>1905</v>
      </c>
      <c r="B722" s="125" t="s">
        <v>1741</v>
      </c>
      <c r="C722" s="125" t="s">
        <v>354</v>
      </c>
      <c r="D722" s="125" t="str">
        <f t="shared" si="11"/>
        <v>3</v>
      </c>
      <c r="E722" s="125" t="s">
        <v>1948</v>
      </c>
      <c r="F722" s="125" t="s">
        <v>1215</v>
      </c>
      <c r="G722" s="125" t="s">
        <v>355</v>
      </c>
      <c r="H722" s="125" t="s">
        <v>1216</v>
      </c>
      <c r="I722" s="125" t="s">
        <v>1670</v>
      </c>
      <c r="J722" s="126">
        <v>166986</v>
      </c>
      <c r="K722" s="127" t="s">
        <v>1275</v>
      </c>
      <c r="L722" s="126">
        <v>166986</v>
      </c>
      <c r="M722" s="126">
        <v>77072.070000000007</v>
      </c>
      <c r="N722" s="126">
        <v>2069.2399999999998</v>
      </c>
      <c r="O722" s="126">
        <v>0</v>
      </c>
      <c r="P722" s="126">
        <v>0</v>
      </c>
      <c r="Q722" s="126">
        <v>0</v>
      </c>
      <c r="R722" s="126">
        <v>79141.31</v>
      </c>
      <c r="S722" s="126">
        <v>87844.69</v>
      </c>
    </row>
    <row r="723" spans="1:19" ht="15.75" thickBot="1">
      <c r="A723" s="125" t="s">
        <v>1905</v>
      </c>
      <c r="B723" s="125" t="s">
        <v>1885</v>
      </c>
      <c r="C723" s="125" t="s">
        <v>1223</v>
      </c>
      <c r="D723" s="125" t="str">
        <f t="shared" si="11"/>
        <v>5</v>
      </c>
      <c r="E723" s="125" t="s">
        <v>1948</v>
      </c>
      <c r="F723" s="125" t="s">
        <v>1215</v>
      </c>
      <c r="G723" s="125" t="s">
        <v>1224</v>
      </c>
      <c r="H723" s="125" t="s">
        <v>1222</v>
      </c>
      <c r="I723" s="125" t="s">
        <v>1887</v>
      </c>
      <c r="J723" s="126">
        <v>385528</v>
      </c>
      <c r="K723" s="127" t="s">
        <v>1275</v>
      </c>
      <c r="L723" s="126">
        <v>385528</v>
      </c>
      <c r="M723" s="126">
        <v>164394.48000000001</v>
      </c>
      <c r="N723" s="126">
        <v>6471.86</v>
      </c>
      <c r="O723" s="126">
        <v>0</v>
      </c>
      <c r="P723" s="126">
        <v>12324.44</v>
      </c>
      <c r="Q723" s="126">
        <v>4163.3599999999997</v>
      </c>
      <c r="R723" s="126">
        <v>187354.14</v>
      </c>
      <c r="S723" s="126">
        <v>170763.86</v>
      </c>
    </row>
    <row r="724" spans="1:19" ht="15.75" thickBot="1">
      <c r="A724" s="125" t="s">
        <v>1905</v>
      </c>
      <c r="B724" s="125" t="s">
        <v>1143</v>
      </c>
      <c r="C724" s="125" t="s">
        <v>953</v>
      </c>
      <c r="D724" s="125" t="str">
        <f t="shared" si="11"/>
        <v>5</v>
      </c>
      <c r="E724" s="125" t="s">
        <v>1948</v>
      </c>
      <c r="F724" s="125" t="s">
        <v>1215</v>
      </c>
      <c r="G724" s="125" t="s">
        <v>1143</v>
      </c>
      <c r="H724" s="125" t="s">
        <v>1142</v>
      </c>
      <c r="I724" s="125" t="s">
        <v>1858</v>
      </c>
      <c r="J724" s="126">
        <v>500361</v>
      </c>
      <c r="K724" s="127" t="s">
        <v>1275</v>
      </c>
      <c r="L724" s="126">
        <v>500361</v>
      </c>
      <c r="M724" s="126">
        <v>193475.53</v>
      </c>
      <c r="N724" s="126">
        <v>29356.55</v>
      </c>
      <c r="O724" s="126">
        <v>0</v>
      </c>
      <c r="P724" s="126">
        <v>76107.41</v>
      </c>
      <c r="Q724" s="126">
        <v>12660.02</v>
      </c>
      <c r="R724" s="126">
        <v>311599.51</v>
      </c>
      <c r="S724" s="126">
        <v>216171.49</v>
      </c>
    </row>
    <row r="725" spans="1:19" ht="15.75" thickBot="1">
      <c r="A725" s="125" t="s">
        <v>1905</v>
      </c>
      <c r="B725" s="125" t="s">
        <v>1143</v>
      </c>
      <c r="C725" s="125" t="s">
        <v>953</v>
      </c>
      <c r="D725" s="125" t="str">
        <f t="shared" si="11"/>
        <v>5</v>
      </c>
      <c r="E725" s="125" t="s">
        <v>1948</v>
      </c>
      <c r="F725" s="125" t="s">
        <v>1215</v>
      </c>
      <c r="G725" s="125" t="s">
        <v>1160</v>
      </c>
      <c r="H725" s="125" t="s">
        <v>1159</v>
      </c>
      <c r="I725" s="125" t="s">
        <v>1858</v>
      </c>
      <c r="J725" s="126">
        <v>115837</v>
      </c>
      <c r="K725" s="127" t="s">
        <v>1275</v>
      </c>
      <c r="L725" s="126">
        <v>115837</v>
      </c>
      <c r="M725" s="126">
        <v>56421.48</v>
      </c>
      <c r="N725" s="126">
        <v>0</v>
      </c>
      <c r="O725" s="126">
        <v>0</v>
      </c>
      <c r="P725" s="126">
        <v>0</v>
      </c>
      <c r="Q725" s="126">
        <v>0</v>
      </c>
      <c r="R725" s="126">
        <v>56421.48</v>
      </c>
      <c r="S725" s="126">
        <v>59415.519999999997</v>
      </c>
    </row>
    <row r="726" spans="1:19" ht="15.75" thickBot="1">
      <c r="A726" s="125" t="s">
        <v>1905</v>
      </c>
      <c r="B726" s="125" t="s">
        <v>1900</v>
      </c>
      <c r="C726" s="125" t="s">
        <v>1901</v>
      </c>
      <c r="D726" s="125" t="str">
        <f t="shared" si="11"/>
        <v>9</v>
      </c>
      <c r="E726" s="125" t="s">
        <v>1948</v>
      </c>
      <c r="F726" s="125" t="s">
        <v>1215</v>
      </c>
      <c r="G726" s="125" t="s">
        <v>1902</v>
      </c>
      <c r="H726" s="125" t="s">
        <v>1904</v>
      </c>
      <c r="I726" s="125" t="s">
        <v>1898</v>
      </c>
      <c r="J726" s="126">
        <v>0</v>
      </c>
      <c r="K726" s="127" t="s">
        <v>1275</v>
      </c>
      <c r="L726" s="126">
        <v>0</v>
      </c>
      <c r="M726" s="126">
        <v>0</v>
      </c>
      <c r="N726" s="126">
        <v>0</v>
      </c>
      <c r="O726" s="126">
        <v>0</v>
      </c>
      <c r="P726" s="126">
        <v>58668.44</v>
      </c>
      <c r="Q726" s="126">
        <v>0</v>
      </c>
      <c r="R726" s="126">
        <v>58668.44</v>
      </c>
      <c r="S726" s="126">
        <v>-58668.44</v>
      </c>
    </row>
    <row r="727" spans="1:19" ht="12.75" customHeight="1">
      <c r="A727" s="130"/>
      <c r="B727" s="130"/>
      <c r="C727" s="130"/>
      <c r="D727" s="130"/>
      <c r="E727" s="130"/>
      <c r="F727" s="130"/>
      <c r="G727" s="130"/>
      <c r="H727" s="130"/>
      <c r="I727" s="130"/>
      <c r="J727" s="130"/>
      <c r="K727" s="130"/>
      <c r="L727" s="144">
        <f>SUBTOTAL(9,L2:L726)</f>
        <v>106505617</v>
      </c>
      <c r="M727" s="144">
        <f>SUM(M2:M726)</f>
        <v>51407246.710000008</v>
      </c>
      <c r="N727" s="130"/>
      <c r="O727" s="130"/>
      <c r="P727" s="144">
        <f>SUM(P2:P726)</f>
        <v>38578942.599999987</v>
      </c>
      <c r="Q727" s="130"/>
      <c r="R727" s="144">
        <f>SUM(R2:R726)</f>
        <v>100758737.65999994</v>
      </c>
      <c r="S727" s="130"/>
    </row>
    <row r="728" spans="1:19" ht="12.75" customHeight="1">
      <c r="A728" s="130"/>
      <c r="B728" s="130"/>
      <c r="C728" s="130"/>
      <c r="D728" s="130"/>
      <c r="E728" s="130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</row>
    <row r="729" spans="1:19" ht="12.75" customHeight="1">
      <c r="A729" s="130"/>
      <c r="B729" s="130"/>
      <c r="C729" s="130"/>
      <c r="D729" s="130"/>
      <c r="E729" s="130"/>
      <c r="F729" s="130"/>
      <c r="G729" s="130"/>
      <c r="H729" s="130"/>
      <c r="I729" s="130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</row>
    <row r="730" spans="1:19" ht="12.75" customHeight="1">
      <c r="A730" s="130"/>
      <c r="B730" s="130"/>
      <c r="C730" s="130"/>
      <c r="D730" s="130"/>
      <c r="E730" s="130"/>
      <c r="F730" s="130"/>
      <c r="G730" s="130"/>
      <c r="H730" s="130"/>
      <c r="I730" s="130"/>
      <c r="J730" s="130"/>
      <c r="K730" s="130"/>
      <c r="L730" s="130"/>
      <c r="M730" s="130"/>
      <c r="N730" s="130"/>
      <c r="O730" s="130"/>
      <c r="P730" s="130"/>
      <c r="Q730" s="130"/>
      <c r="R730" s="130"/>
      <c r="S730" s="130"/>
    </row>
    <row r="731" spans="1:19" ht="12.75" customHeight="1">
      <c r="A731" s="130"/>
      <c r="B731" s="130"/>
      <c r="C731" s="130"/>
      <c r="D731" s="130"/>
      <c r="E731" s="130"/>
      <c r="F731" s="130"/>
      <c r="G731" s="130"/>
      <c r="H731" s="130"/>
      <c r="I731" s="130"/>
      <c r="J731" s="130"/>
      <c r="K731" s="130"/>
      <c r="L731" s="130"/>
      <c r="M731" s="130"/>
      <c r="N731" s="130"/>
      <c r="O731" s="130"/>
      <c r="P731" s="130"/>
      <c r="Q731" s="130"/>
      <c r="R731" s="130"/>
      <c r="S731" s="130"/>
    </row>
    <row r="732" spans="1:19" ht="12.75" customHeight="1">
      <c r="A732" s="130"/>
      <c r="B732" s="130"/>
      <c r="C732" s="130"/>
      <c r="D732" s="130"/>
      <c r="E732" s="130"/>
      <c r="F732" s="130"/>
      <c r="G732" s="130"/>
      <c r="H732" s="130"/>
      <c r="I732" s="130"/>
      <c r="J732" s="130"/>
      <c r="K732" s="130"/>
      <c r="L732" s="130"/>
      <c r="M732" s="130"/>
      <c r="N732" s="130"/>
      <c r="O732" s="130"/>
      <c r="P732" s="130"/>
      <c r="Q732" s="130"/>
      <c r="R732" s="130"/>
      <c r="S732" s="130"/>
    </row>
    <row r="733" spans="1:19" ht="12.75" customHeight="1">
      <c r="A733" s="130"/>
      <c r="B733" s="130"/>
      <c r="C733" s="130"/>
      <c r="D733" s="130"/>
      <c r="E733" s="130"/>
      <c r="F733" s="130"/>
      <c r="G733" s="130"/>
      <c r="H733" s="130"/>
      <c r="I733" s="130"/>
      <c r="J733" s="130"/>
      <c r="K733" s="130"/>
      <c r="L733" s="130"/>
      <c r="M733" s="130"/>
      <c r="N733" s="130"/>
      <c r="O733" s="130"/>
      <c r="P733" s="130"/>
      <c r="Q733" s="130"/>
      <c r="R733" s="130"/>
      <c r="S733" s="130"/>
    </row>
    <row r="734" spans="1:19" ht="12.75" customHeight="1">
      <c r="A734" s="130"/>
      <c r="B734" s="130"/>
      <c r="C734" s="130"/>
      <c r="D734" s="130"/>
      <c r="E734" s="130"/>
      <c r="F734" s="130"/>
      <c r="G734" s="130"/>
      <c r="H734" s="130"/>
      <c r="I734" s="130"/>
      <c r="J734" s="130"/>
      <c r="K734" s="130"/>
      <c r="L734" s="130"/>
      <c r="M734" s="130"/>
      <c r="N734" s="130"/>
      <c r="O734" s="130"/>
      <c r="P734" s="130"/>
      <c r="Q734" s="130"/>
      <c r="R734" s="130"/>
      <c r="S734" s="130"/>
    </row>
    <row r="735" spans="1:19" ht="12.75" customHeight="1">
      <c r="A735" s="130"/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</row>
    <row r="736" spans="1:19" ht="12.75" customHeight="1">
      <c r="A736" s="130"/>
      <c r="B736" s="130"/>
      <c r="C736" s="130"/>
      <c r="D736" s="130"/>
      <c r="E736" s="130"/>
      <c r="F736" s="130"/>
      <c r="G736" s="130"/>
      <c r="H736" s="130"/>
      <c r="I736" s="130"/>
      <c r="J736" s="130"/>
      <c r="K736" s="130"/>
      <c r="L736" s="130"/>
      <c r="M736" s="130"/>
      <c r="N736" s="130"/>
      <c r="O736" s="130"/>
      <c r="P736" s="130"/>
      <c r="Q736" s="130"/>
      <c r="R736" s="130"/>
      <c r="S736" s="130"/>
    </row>
    <row r="737" spans="1:19" ht="12.75" customHeight="1">
      <c r="A737" s="130"/>
      <c r="B737" s="130"/>
      <c r="C737" s="130"/>
      <c r="D737" s="130"/>
      <c r="E737" s="130"/>
      <c r="F737" s="130"/>
      <c r="G737" s="130"/>
      <c r="H737" s="130"/>
      <c r="I737" s="130"/>
      <c r="J737" s="130"/>
      <c r="K737" s="130"/>
      <c r="L737" s="130"/>
      <c r="M737" s="130"/>
      <c r="N737" s="130"/>
      <c r="O737" s="130"/>
      <c r="P737" s="130"/>
      <c r="Q737" s="130"/>
      <c r="R737" s="130"/>
      <c r="S737" s="130"/>
    </row>
    <row r="738" spans="1:19" ht="12.75" customHeight="1">
      <c r="A738" s="130"/>
      <c r="B738" s="130"/>
      <c r="C738" s="130"/>
      <c r="D738" s="130"/>
      <c r="E738" s="130"/>
      <c r="F738" s="130"/>
      <c r="G738" s="130"/>
      <c r="H738" s="130"/>
      <c r="I738" s="130"/>
      <c r="J738" s="130"/>
      <c r="K738" s="130"/>
      <c r="L738" s="130"/>
      <c r="M738" s="130"/>
      <c r="N738" s="130"/>
      <c r="O738" s="130"/>
      <c r="P738" s="130"/>
      <c r="Q738" s="130"/>
      <c r="R738" s="130"/>
      <c r="S738" s="130"/>
    </row>
    <row r="739" spans="1:19">
      <c r="A739" s="130"/>
      <c r="B739" s="130"/>
      <c r="C739" s="130"/>
      <c r="D739" s="130"/>
      <c r="E739" s="130"/>
      <c r="F739" s="130"/>
      <c r="G739" s="130"/>
      <c r="H739" s="130"/>
      <c r="I739" s="130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</row>
    <row r="740" spans="1:19" ht="12.75" customHeight="1">
      <c r="A740" s="130"/>
      <c r="B740" s="130"/>
      <c r="C740" s="130"/>
      <c r="D740" s="130"/>
      <c r="E740" s="130"/>
      <c r="F740" s="130"/>
      <c r="G740" s="130"/>
      <c r="H740" s="130"/>
      <c r="I740" s="130"/>
      <c r="J740" s="130"/>
      <c r="K740" s="130"/>
      <c r="L740" s="130"/>
      <c r="M740" s="130"/>
      <c r="N740" s="130"/>
      <c r="O740" s="130"/>
      <c r="P740" s="130"/>
      <c r="Q740" s="130"/>
      <c r="R740" s="130"/>
      <c r="S740" s="130"/>
    </row>
    <row r="741" spans="1:19">
      <c r="A741" s="130"/>
      <c r="B741" s="130"/>
      <c r="C741" s="130"/>
      <c r="D741" s="130"/>
      <c r="E741" s="130"/>
      <c r="F741" s="130"/>
      <c r="G741" s="130"/>
      <c r="H741" s="130"/>
      <c r="I741" s="130"/>
      <c r="J741" s="130"/>
      <c r="K741" s="130"/>
      <c r="L741" s="130"/>
      <c r="M741" s="130"/>
      <c r="N741" s="130"/>
      <c r="O741" s="130"/>
      <c r="P741" s="130"/>
      <c r="Q741" s="130"/>
      <c r="R741" s="130"/>
      <c r="S741" s="130"/>
    </row>
    <row r="742" spans="1:19" ht="12.75" customHeight="1">
      <c r="A742" s="130"/>
      <c r="B742" s="130"/>
      <c r="C742" s="130"/>
      <c r="D742" s="130"/>
      <c r="E742" s="130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</row>
    <row r="743" spans="1:19" ht="12.75" customHeight="1">
      <c r="A743" s="130"/>
      <c r="B743" s="130"/>
      <c r="C743" s="130"/>
      <c r="D743" s="130"/>
      <c r="E743" s="130"/>
      <c r="F743" s="130"/>
      <c r="G743" s="130"/>
      <c r="H743" s="130"/>
      <c r="I743" s="130"/>
      <c r="J743" s="130"/>
      <c r="K743" s="130"/>
      <c r="L743" s="130"/>
      <c r="M743" s="130"/>
      <c r="N743" s="130"/>
      <c r="O743" s="130"/>
      <c r="P743" s="130"/>
      <c r="Q743" s="130"/>
      <c r="R743" s="130"/>
      <c r="S743" s="130"/>
    </row>
    <row r="744" spans="1:19">
      <c r="A744" s="130"/>
      <c r="B744" s="130"/>
      <c r="C744" s="130"/>
      <c r="D744" s="130"/>
      <c r="E744" s="130"/>
      <c r="F744" s="130"/>
      <c r="G744" s="130"/>
      <c r="H744" s="130"/>
      <c r="I744" s="130"/>
      <c r="J744" s="130"/>
      <c r="K744" s="130"/>
      <c r="L744" s="130"/>
      <c r="M744" s="130"/>
      <c r="N744" s="130"/>
      <c r="O744" s="130"/>
      <c r="P744" s="130"/>
      <c r="Q744" s="130"/>
      <c r="R744" s="130"/>
      <c r="S744" s="130"/>
    </row>
    <row r="745" spans="1:19">
      <c r="A745" s="130"/>
      <c r="B745" s="130"/>
      <c r="C745" s="130"/>
      <c r="D745" s="130"/>
      <c r="E745" s="130"/>
      <c r="F745" s="130"/>
      <c r="G745" s="130"/>
      <c r="H745" s="130"/>
      <c r="I745" s="130"/>
      <c r="J745" s="130"/>
      <c r="K745" s="130"/>
      <c r="L745" s="130"/>
      <c r="M745" s="130"/>
      <c r="N745" s="130"/>
      <c r="O745" s="130"/>
      <c r="P745" s="130"/>
      <c r="Q745" s="130"/>
      <c r="R745" s="130"/>
      <c r="S745" s="130"/>
    </row>
    <row r="746" spans="1:19">
      <c r="A746" s="130"/>
      <c r="B746" s="130"/>
      <c r="C746" s="130"/>
      <c r="D746" s="130"/>
      <c r="E746" s="130"/>
      <c r="F746" s="130"/>
      <c r="G746" s="130"/>
      <c r="H746" s="130"/>
      <c r="I746" s="130"/>
      <c r="J746" s="130"/>
      <c r="K746" s="130"/>
      <c r="L746" s="130"/>
      <c r="M746" s="130"/>
      <c r="N746" s="130"/>
      <c r="O746" s="130"/>
      <c r="P746" s="130"/>
      <c r="Q746" s="130"/>
      <c r="R746" s="130"/>
      <c r="S746" s="130"/>
    </row>
    <row r="747" spans="1:19">
      <c r="A747" s="130"/>
      <c r="B747" s="130"/>
      <c r="C747" s="130"/>
      <c r="D747" s="130"/>
      <c r="E747" s="130"/>
      <c r="F747" s="130"/>
      <c r="G747" s="130"/>
      <c r="H747" s="130"/>
      <c r="I747" s="130"/>
      <c r="J747" s="130"/>
      <c r="K747" s="130"/>
      <c r="L747" s="130"/>
      <c r="M747" s="130"/>
      <c r="N747" s="130"/>
      <c r="O747" s="130"/>
      <c r="P747" s="130"/>
      <c r="Q747" s="130"/>
      <c r="R747" s="130"/>
      <c r="S747" s="130"/>
    </row>
    <row r="748" spans="1:19">
      <c r="A748" s="130"/>
      <c r="B748" s="130"/>
      <c r="C748" s="130"/>
      <c r="D748" s="130"/>
      <c r="E748" s="130"/>
      <c r="F748" s="130"/>
      <c r="G748" s="130"/>
      <c r="H748" s="130"/>
      <c r="I748" s="130"/>
      <c r="J748" s="130"/>
      <c r="K748" s="130"/>
      <c r="L748" s="130"/>
      <c r="M748" s="130"/>
      <c r="N748" s="130"/>
      <c r="O748" s="130"/>
      <c r="P748" s="130"/>
      <c r="Q748" s="130"/>
      <c r="R748" s="130"/>
      <c r="S748" s="130"/>
    </row>
    <row r="749" spans="1:19">
      <c r="A749" s="130"/>
      <c r="B749" s="130"/>
      <c r="C749" s="130"/>
      <c r="D749" s="130"/>
      <c r="E749" s="130"/>
      <c r="F749" s="130"/>
      <c r="G749" s="130"/>
      <c r="H749" s="130"/>
      <c r="I749" s="130"/>
      <c r="J749" s="130"/>
      <c r="K749" s="130"/>
      <c r="L749" s="130"/>
      <c r="M749" s="130"/>
      <c r="N749" s="130"/>
      <c r="O749" s="130"/>
      <c r="P749" s="130"/>
      <c r="Q749" s="130"/>
      <c r="R749" s="130"/>
      <c r="S749" s="130"/>
    </row>
    <row r="750" spans="1:19">
      <c r="A750" s="130"/>
      <c r="B750" s="130"/>
      <c r="C750" s="130"/>
      <c r="D750" s="130"/>
      <c r="E750" s="130"/>
      <c r="F750" s="130"/>
      <c r="G750" s="130"/>
      <c r="H750" s="130"/>
      <c r="I750" s="130"/>
      <c r="J750" s="130"/>
      <c r="K750" s="130"/>
      <c r="L750" s="130"/>
      <c r="M750" s="130"/>
      <c r="N750" s="130"/>
      <c r="O750" s="130"/>
      <c r="P750" s="130"/>
      <c r="Q750" s="130"/>
      <c r="R750" s="130"/>
      <c r="S750" s="130"/>
    </row>
    <row r="751" spans="1:19">
      <c r="A751" s="130"/>
      <c r="B751" s="130"/>
      <c r="C751" s="130"/>
      <c r="D751" s="130"/>
      <c r="E751" s="130"/>
      <c r="F751" s="130"/>
      <c r="G751" s="130"/>
      <c r="H751" s="130"/>
      <c r="I751" s="130"/>
      <c r="J751" s="130"/>
      <c r="K751" s="130"/>
      <c r="L751" s="130"/>
      <c r="M751" s="130"/>
      <c r="N751" s="130"/>
      <c r="O751" s="130"/>
      <c r="P751" s="130"/>
      <c r="Q751" s="130"/>
      <c r="R751" s="130"/>
      <c r="S751" s="130"/>
    </row>
    <row r="752" spans="1:19">
      <c r="A752" s="130"/>
      <c r="B752" s="130"/>
      <c r="C752" s="130"/>
      <c r="D752" s="130"/>
      <c r="E752" s="130"/>
      <c r="F752" s="130"/>
      <c r="G752" s="130"/>
      <c r="H752" s="130"/>
      <c r="I752" s="130"/>
      <c r="J752" s="130"/>
      <c r="K752" s="130"/>
      <c r="L752" s="130"/>
      <c r="M752" s="130"/>
      <c r="N752" s="130"/>
      <c r="O752" s="130"/>
      <c r="P752" s="130"/>
      <c r="Q752" s="130"/>
      <c r="R752" s="130"/>
      <c r="S752" s="130"/>
    </row>
    <row r="753" spans="1:19">
      <c r="A753" s="130"/>
      <c r="B753" s="130"/>
      <c r="C753" s="130"/>
      <c r="D753" s="130"/>
      <c r="E753" s="130"/>
      <c r="F753" s="130"/>
      <c r="G753" s="130"/>
      <c r="H753" s="130"/>
      <c r="I753" s="130"/>
      <c r="J753" s="130"/>
      <c r="K753" s="130"/>
      <c r="L753" s="130"/>
      <c r="M753" s="130"/>
      <c r="N753" s="130"/>
      <c r="O753" s="130"/>
      <c r="P753" s="130"/>
      <c r="Q753" s="130"/>
      <c r="R753" s="130"/>
      <c r="S753" s="130"/>
    </row>
    <row r="754" spans="1:19">
      <c r="A754" s="130"/>
      <c r="B754" s="130"/>
      <c r="C754" s="130"/>
      <c r="D754" s="130"/>
      <c r="E754" s="130"/>
      <c r="F754" s="130"/>
      <c r="G754" s="130"/>
      <c r="H754" s="130"/>
      <c r="I754" s="130"/>
      <c r="J754" s="130"/>
      <c r="K754" s="130"/>
      <c r="L754" s="130"/>
      <c r="M754" s="130"/>
      <c r="N754" s="130"/>
      <c r="O754" s="130"/>
      <c r="P754" s="130"/>
      <c r="Q754" s="130"/>
      <c r="R754" s="130"/>
      <c r="S754" s="130"/>
    </row>
    <row r="755" spans="1:19">
      <c r="A755" s="130"/>
      <c r="B755" s="130"/>
      <c r="C755" s="130"/>
      <c r="D755" s="130"/>
      <c r="E755" s="130"/>
      <c r="F755" s="130"/>
      <c r="G755" s="130"/>
      <c r="H755" s="130"/>
      <c r="I755" s="130"/>
      <c r="J755" s="130"/>
      <c r="K755" s="130"/>
      <c r="L755" s="130"/>
      <c r="M755" s="130"/>
      <c r="N755" s="130"/>
      <c r="O755" s="130"/>
      <c r="P755" s="130"/>
      <c r="Q755" s="130"/>
      <c r="R755" s="130"/>
      <c r="S755" s="130"/>
    </row>
    <row r="756" spans="1:19">
      <c r="A756" s="130"/>
      <c r="B756" s="130"/>
      <c r="C756" s="130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</row>
    <row r="757" spans="1:19">
      <c r="A757" s="130"/>
      <c r="B757" s="130"/>
      <c r="C757" s="130"/>
      <c r="D757" s="130"/>
      <c r="E757" s="130"/>
      <c r="F757" s="130"/>
      <c r="G757" s="130"/>
      <c r="H757" s="130"/>
      <c r="I757" s="130"/>
      <c r="J757" s="130"/>
      <c r="K757" s="130"/>
      <c r="L757" s="130"/>
      <c r="M757" s="130"/>
      <c r="N757" s="130"/>
      <c r="O757" s="130"/>
      <c r="P757" s="130"/>
      <c r="Q757" s="130"/>
      <c r="R757" s="130"/>
      <c r="S757" s="130"/>
    </row>
    <row r="758" spans="1:19">
      <c r="A758" s="130"/>
      <c r="B758" s="130"/>
      <c r="C758" s="130"/>
      <c r="D758" s="130"/>
      <c r="E758" s="130"/>
      <c r="F758" s="130"/>
      <c r="G758" s="130"/>
      <c r="H758" s="130"/>
      <c r="I758" s="130"/>
      <c r="J758" s="130"/>
      <c r="K758" s="130"/>
      <c r="L758" s="130"/>
      <c r="M758" s="130"/>
      <c r="N758" s="130"/>
      <c r="O758" s="130"/>
      <c r="P758" s="130"/>
      <c r="Q758" s="130"/>
      <c r="R758" s="130"/>
      <c r="S758" s="130"/>
    </row>
    <row r="759" spans="1:19">
      <c r="A759" s="130"/>
      <c r="B759" s="130"/>
      <c r="C759" s="130"/>
      <c r="D759" s="130"/>
      <c r="E759" s="130"/>
      <c r="F759" s="130"/>
      <c r="G759" s="130"/>
      <c r="H759" s="130"/>
      <c r="I759" s="130"/>
      <c r="J759" s="130"/>
      <c r="K759" s="130"/>
      <c r="L759" s="130"/>
      <c r="M759" s="130"/>
      <c r="N759" s="130"/>
      <c r="O759" s="130"/>
      <c r="P759" s="130"/>
      <c r="Q759" s="130"/>
      <c r="R759" s="130"/>
      <c r="S759" s="130"/>
    </row>
    <row r="760" spans="1:19">
      <c r="A760" s="130"/>
      <c r="B760" s="130"/>
      <c r="C760" s="130"/>
      <c r="D760" s="130"/>
      <c r="E760" s="130"/>
      <c r="F760" s="130"/>
      <c r="G760" s="130"/>
      <c r="H760" s="130"/>
      <c r="I760" s="130"/>
      <c r="J760" s="130"/>
      <c r="K760" s="130"/>
      <c r="L760" s="130"/>
      <c r="M760" s="130"/>
      <c r="N760" s="130"/>
      <c r="O760" s="130"/>
      <c r="P760" s="130"/>
      <c r="Q760" s="130"/>
      <c r="R760" s="130"/>
      <c r="S760" s="130"/>
    </row>
    <row r="761" spans="1:19">
      <c r="A761" s="130"/>
      <c r="B761" s="130"/>
      <c r="C761" s="130"/>
      <c r="D761" s="130"/>
      <c r="E761" s="130"/>
      <c r="F761" s="130"/>
      <c r="G761" s="130"/>
      <c r="H761" s="130"/>
      <c r="I761" s="130"/>
      <c r="J761" s="130"/>
      <c r="K761" s="130"/>
      <c r="L761" s="130"/>
      <c r="M761" s="130"/>
      <c r="N761" s="130"/>
      <c r="O761" s="130"/>
      <c r="P761" s="130"/>
      <c r="Q761" s="130"/>
      <c r="R761" s="130"/>
      <c r="S761" s="130"/>
    </row>
    <row r="762" spans="1:19">
      <c r="A762" s="130"/>
      <c r="B762" s="130"/>
      <c r="C762" s="130"/>
      <c r="D762" s="130"/>
      <c r="E762" s="130"/>
      <c r="F762" s="130"/>
      <c r="G762" s="130"/>
      <c r="H762" s="130"/>
      <c r="I762" s="130"/>
      <c r="J762" s="130"/>
      <c r="K762" s="130"/>
      <c r="L762" s="130"/>
      <c r="M762" s="130"/>
      <c r="N762" s="130"/>
      <c r="O762" s="130"/>
      <c r="P762" s="130"/>
      <c r="Q762" s="130"/>
      <c r="R762" s="130"/>
      <c r="S762" s="130"/>
    </row>
    <row r="763" spans="1:19">
      <c r="A763" s="130"/>
      <c r="B763" s="130"/>
      <c r="C763" s="130"/>
      <c r="D763" s="130"/>
      <c r="E763" s="130"/>
      <c r="F763" s="130"/>
      <c r="G763" s="130"/>
      <c r="H763" s="130"/>
      <c r="I763" s="130"/>
      <c r="J763" s="130"/>
      <c r="K763" s="130"/>
      <c r="L763" s="130"/>
      <c r="M763" s="130"/>
      <c r="N763" s="130"/>
      <c r="O763" s="130"/>
      <c r="P763" s="130"/>
      <c r="Q763" s="130"/>
      <c r="R763" s="130"/>
      <c r="S763" s="130"/>
    </row>
    <row r="764" spans="1:19">
      <c r="A764" s="130"/>
      <c r="B764" s="130"/>
      <c r="C764" s="130"/>
      <c r="D764" s="130"/>
      <c r="E764" s="130"/>
      <c r="F764" s="130"/>
      <c r="G764" s="130"/>
      <c r="H764" s="130"/>
      <c r="I764" s="130"/>
      <c r="J764" s="130"/>
      <c r="K764" s="130"/>
      <c r="L764" s="130"/>
      <c r="M764" s="130"/>
      <c r="N764" s="130"/>
      <c r="O764" s="130"/>
      <c r="P764" s="130"/>
      <c r="Q764" s="130"/>
      <c r="R764" s="130"/>
      <c r="S764" s="130"/>
    </row>
    <row r="765" spans="1:19">
      <c r="A765" s="130"/>
      <c r="B765" s="130"/>
      <c r="C765" s="130"/>
      <c r="D765" s="130"/>
      <c r="E765" s="130"/>
      <c r="F765" s="130"/>
      <c r="G765" s="130"/>
      <c r="H765" s="130"/>
      <c r="I765" s="130"/>
      <c r="J765" s="130"/>
      <c r="K765" s="130"/>
      <c r="L765" s="130"/>
      <c r="M765" s="130"/>
      <c r="N765" s="130"/>
      <c r="O765" s="130"/>
      <c r="P765" s="130"/>
      <c r="Q765" s="130"/>
      <c r="R765" s="130"/>
      <c r="S765" s="130"/>
    </row>
    <row r="766" spans="1:19">
      <c r="A766" s="130"/>
      <c r="B766" s="130"/>
      <c r="C766" s="130"/>
      <c r="D766" s="130"/>
      <c r="E766" s="130"/>
      <c r="F766" s="130"/>
      <c r="G766" s="130"/>
      <c r="H766" s="130"/>
      <c r="I766" s="130"/>
      <c r="J766" s="130"/>
      <c r="K766" s="130"/>
      <c r="L766" s="130"/>
      <c r="M766" s="130"/>
      <c r="N766" s="130"/>
      <c r="O766" s="130"/>
      <c r="P766" s="130"/>
      <c r="Q766" s="130"/>
      <c r="R766" s="130"/>
      <c r="S766" s="130"/>
    </row>
    <row r="767" spans="1:19">
      <c r="A767" s="130"/>
      <c r="B767" s="130"/>
      <c r="C767" s="130"/>
      <c r="D767" s="130"/>
      <c r="E767" s="130"/>
      <c r="F767" s="130"/>
      <c r="G767" s="130"/>
      <c r="H767" s="130"/>
      <c r="I767" s="130"/>
      <c r="J767" s="130"/>
      <c r="K767" s="130"/>
      <c r="L767" s="130"/>
      <c r="M767" s="130"/>
      <c r="N767" s="130"/>
      <c r="O767" s="130"/>
      <c r="P767" s="130"/>
      <c r="Q767" s="130"/>
      <c r="R767" s="130"/>
      <c r="S767" s="130"/>
    </row>
    <row r="768" spans="1:19">
      <c r="A768" s="130"/>
      <c r="B768" s="130"/>
      <c r="C768" s="130"/>
      <c r="D768" s="130"/>
      <c r="E768" s="130"/>
      <c r="F768" s="130"/>
      <c r="G768" s="130"/>
      <c r="H768" s="130"/>
      <c r="I768" s="130"/>
      <c r="J768" s="130"/>
      <c r="K768" s="130"/>
      <c r="L768" s="130"/>
      <c r="M768" s="130"/>
      <c r="N768" s="130"/>
      <c r="O768" s="130"/>
      <c r="P768" s="130"/>
      <c r="Q768" s="130"/>
      <c r="R768" s="130"/>
      <c r="S768" s="130"/>
    </row>
    <row r="769" spans="1:19">
      <c r="A769" s="130"/>
      <c r="B769" s="130"/>
      <c r="C769" s="130"/>
      <c r="D769" s="130"/>
      <c r="E769" s="130"/>
      <c r="F769" s="130"/>
      <c r="G769" s="130"/>
      <c r="H769" s="130"/>
      <c r="I769" s="130"/>
      <c r="J769" s="130"/>
      <c r="K769" s="130"/>
      <c r="L769" s="130"/>
      <c r="M769" s="130"/>
      <c r="N769" s="130"/>
      <c r="O769" s="130"/>
      <c r="P769" s="130"/>
      <c r="Q769" s="130"/>
      <c r="R769" s="130"/>
      <c r="S769" s="130"/>
    </row>
    <row r="770" spans="1:19">
      <c r="A770" s="130"/>
      <c r="B770" s="130"/>
      <c r="C770" s="130"/>
      <c r="D770" s="130"/>
      <c r="E770" s="130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</row>
    <row r="771" spans="1:19">
      <c r="A771" s="130"/>
      <c r="B771" s="130"/>
      <c r="C771" s="130"/>
      <c r="D771" s="130"/>
      <c r="E771" s="130"/>
      <c r="F771" s="130"/>
      <c r="G771" s="130"/>
      <c r="H771" s="130"/>
      <c r="I771" s="130"/>
      <c r="J771" s="130"/>
      <c r="K771" s="130"/>
      <c r="L771" s="130"/>
      <c r="M771" s="130"/>
      <c r="N771" s="130"/>
      <c r="O771" s="130"/>
      <c r="P771" s="130"/>
      <c r="Q771" s="130"/>
      <c r="R771" s="130"/>
      <c r="S771" s="130"/>
    </row>
    <row r="772" spans="1:19">
      <c r="A772" s="130"/>
      <c r="B772" s="130"/>
      <c r="C772" s="130"/>
      <c r="D772" s="130"/>
      <c r="E772" s="130"/>
      <c r="F772" s="130"/>
      <c r="G772" s="130"/>
      <c r="H772" s="130"/>
      <c r="I772" s="130"/>
      <c r="J772" s="130"/>
      <c r="K772" s="130"/>
      <c r="L772" s="130"/>
      <c r="M772" s="130"/>
      <c r="N772" s="130"/>
      <c r="O772" s="130"/>
      <c r="P772" s="130"/>
      <c r="Q772" s="130"/>
      <c r="R772" s="130"/>
      <c r="S772" s="130"/>
    </row>
    <row r="773" spans="1:19">
      <c r="A773" s="130"/>
      <c r="B773" s="130"/>
      <c r="C773" s="130"/>
      <c r="D773" s="130"/>
      <c r="E773" s="130"/>
      <c r="F773" s="130"/>
      <c r="G773" s="130"/>
      <c r="H773" s="130"/>
      <c r="I773" s="130"/>
      <c r="J773" s="130"/>
      <c r="K773" s="130"/>
      <c r="L773" s="130"/>
      <c r="M773" s="130"/>
      <c r="N773" s="130"/>
      <c r="O773" s="130"/>
      <c r="P773" s="130"/>
      <c r="Q773" s="130"/>
      <c r="R773" s="130"/>
      <c r="S773" s="130"/>
    </row>
    <row r="774" spans="1:19">
      <c r="A774" s="130"/>
      <c r="B774" s="130"/>
      <c r="C774" s="130"/>
      <c r="D774" s="130"/>
      <c r="E774" s="130"/>
      <c r="F774" s="130"/>
      <c r="G774" s="130"/>
      <c r="H774" s="130"/>
      <c r="I774" s="130"/>
      <c r="J774" s="130"/>
      <c r="K774" s="130"/>
      <c r="L774" s="130"/>
      <c r="M774" s="130"/>
      <c r="N774" s="130"/>
      <c r="O774" s="130"/>
      <c r="P774" s="130"/>
      <c r="Q774" s="130"/>
      <c r="R774" s="130"/>
      <c r="S774" s="130"/>
    </row>
    <row r="775" spans="1:19">
      <c r="A775" s="130"/>
      <c r="B775" s="130"/>
      <c r="C775" s="130"/>
      <c r="D775" s="130"/>
      <c r="E775" s="130"/>
      <c r="F775" s="130"/>
      <c r="G775" s="130"/>
      <c r="H775" s="130"/>
      <c r="I775" s="130"/>
      <c r="J775" s="130"/>
      <c r="K775" s="130"/>
      <c r="L775" s="130"/>
      <c r="M775" s="130"/>
      <c r="N775" s="130"/>
      <c r="O775" s="130"/>
      <c r="P775" s="130"/>
      <c r="Q775" s="130"/>
      <c r="R775" s="130"/>
      <c r="S775" s="130"/>
    </row>
    <row r="776" spans="1:19">
      <c r="A776" s="130"/>
      <c r="B776" s="130"/>
      <c r="C776" s="130"/>
      <c r="D776" s="130"/>
      <c r="E776" s="130"/>
      <c r="F776" s="130"/>
      <c r="G776" s="130"/>
      <c r="H776" s="130"/>
      <c r="I776" s="130"/>
      <c r="J776" s="130"/>
      <c r="K776" s="130"/>
      <c r="L776" s="130"/>
      <c r="M776" s="130"/>
      <c r="N776" s="130"/>
      <c r="O776" s="130"/>
      <c r="P776" s="130"/>
      <c r="Q776" s="130"/>
      <c r="R776" s="130"/>
      <c r="S776" s="130"/>
    </row>
    <row r="777" spans="1:19">
      <c r="A777" s="130"/>
      <c r="B777" s="130"/>
      <c r="C777" s="130"/>
      <c r="D777" s="130"/>
      <c r="E777" s="130"/>
      <c r="F777" s="130"/>
      <c r="G777" s="130"/>
      <c r="H777" s="130"/>
      <c r="I777" s="130"/>
      <c r="J777" s="130"/>
      <c r="K777" s="130"/>
      <c r="L777" s="130"/>
      <c r="M777" s="130"/>
      <c r="N777" s="130"/>
      <c r="O777" s="130"/>
      <c r="P777" s="130"/>
      <c r="Q777" s="130"/>
      <c r="R777" s="130"/>
      <c r="S777" s="130"/>
    </row>
    <row r="778" spans="1:19">
      <c r="A778" s="130"/>
      <c r="B778" s="130"/>
      <c r="C778" s="130"/>
      <c r="D778" s="130"/>
      <c r="E778" s="130"/>
      <c r="F778" s="130"/>
      <c r="G778" s="130"/>
      <c r="H778" s="130"/>
      <c r="I778" s="130"/>
      <c r="J778" s="130"/>
      <c r="K778" s="130"/>
      <c r="L778" s="130"/>
      <c r="M778" s="130"/>
      <c r="N778" s="130"/>
      <c r="O778" s="130"/>
      <c r="P778" s="130"/>
      <c r="Q778" s="130"/>
      <c r="R778" s="130"/>
      <c r="S778" s="130"/>
    </row>
    <row r="779" spans="1:19">
      <c r="A779" s="130"/>
      <c r="B779" s="130"/>
      <c r="C779" s="130"/>
      <c r="D779" s="130"/>
      <c r="E779" s="130"/>
      <c r="F779" s="130"/>
      <c r="G779" s="130"/>
      <c r="H779" s="130"/>
      <c r="I779" s="130"/>
      <c r="J779" s="130"/>
      <c r="K779" s="130"/>
      <c r="L779" s="130"/>
      <c r="M779" s="130"/>
      <c r="N779" s="130"/>
      <c r="O779" s="130"/>
      <c r="P779" s="130"/>
      <c r="Q779" s="130"/>
      <c r="R779" s="130"/>
      <c r="S779" s="130"/>
    </row>
    <row r="780" spans="1:19">
      <c r="A780" s="130"/>
      <c r="B780" s="130"/>
      <c r="C780" s="130"/>
      <c r="D780" s="130"/>
      <c r="E780" s="130"/>
      <c r="F780" s="130"/>
      <c r="G780" s="130"/>
      <c r="H780" s="130"/>
      <c r="I780" s="130"/>
      <c r="J780" s="130"/>
      <c r="K780" s="130"/>
      <c r="L780" s="130"/>
      <c r="M780" s="130"/>
      <c r="N780" s="130"/>
      <c r="O780" s="130"/>
      <c r="P780" s="130"/>
      <c r="Q780" s="130"/>
      <c r="R780" s="130"/>
      <c r="S780" s="130"/>
    </row>
    <row r="781" spans="1:19">
      <c r="A781" s="130"/>
      <c r="B781" s="130"/>
      <c r="C781" s="130"/>
      <c r="D781" s="130"/>
      <c r="E781" s="130"/>
      <c r="F781" s="130"/>
      <c r="G781" s="130"/>
      <c r="H781" s="130"/>
      <c r="I781" s="130"/>
      <c r="J781" s="130"/>
      <c r="K781" s="130"/>
      <c r="L781" s="130"/>
      <c r="M781" s="130"/>
      <c r="N781" s="130"/>
      <c r="O781" s="130"/>
      <c r="P781" s="130"/>
      <c r="Q781" s="130"/>
      <c r="R781" s="130"/>
      <c r="S781" s="130"/>
    </row>
    <row r="782" spans="1:19">
      <c r="A782" s="130"/>
      <c r="B782" s="130"/>
      <c r="C782" s="130"/>
      <c r="D782" s="130"/>
      <c r="E782" s="130"/>
      <c r="F782" s="130"/>
      <c r="G782" s="130"/>
      <c r="H782" s="130"/>
      <c r="I782" s="130"/>
      <c r="J782" s="130"/>
      <c r="K782" s="130"/>
      <c r="L782" s="130"/>
      <c r="M782" s="130"/>
      <c r="N782" s="130"/>
      <c r="O782" s="130"/>
      <c r="P782" s="130"/>
      <c r="Q782" s="130"/>
      <c r="R782" s="130"/>
      <c r="S782" s="130"/>
    </row>
    <row r="783" spans="1:19">
      <c r="A783" s="130"/>
      <c r="B783" s="130"/>
      <c r="C783" s="130"/>
      <c r="D783" s="130"/>
      <c r="E783" s="130"/>
      <c r="F783" s="130"/>
      <c r="G783" s="130"/>
      <c r="H783" s="130"/>
      <c r="I783" s="130"/>
      <c r="J783" s="130"/>
      <c r="K783" s="130"/>
      <c r="L783" s="130"/>
      <c r="M783" s="130"/>
      <c r="N783" s="130"/>
      <c r="O783" s="130"/>
      <c r="P783" s="130"/>
      <c r="Q783" s="130"/>
      <c r="R783" s="130"/>
      <c r="S783" s="130"/>
    </row>
    <row r="784" spans="1:19">
      <c r="A784" s="130"/>
      <c r="B784" s="130"/>
      <c r="C784" s="130"/>
      <c r="D784" s="130"/>
      <c r="E784" s="130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</row>
    <row r="785" spans="1:19">
      <c r="A785" s="130"/>
      <c r="B785" s="130"/>
      <c r="C785" s="130"/>
      <c r="D785" s="130"/>
      <c r="E785" s="130"/>
      <c r="F785" s="130"/>
      <c r="G785" s="130"/>
      <c r="H785" s="130"/>
      <c r="I785" s="130"/>
      <c r="J785" s="130"/>
      <c r="K785" s="130"/>
      <c r="L785" s="130"/>
      <c r="M785" s="130"/>
      <c r="N785" s="130"/>
      <c r="O785" s="130"/>
      <c r="P785" s="130"/>
      <c r="Q785" s="130"/>
      <c r="R785" s="130"/>
      <c r="S785" s="130"/>
    </row>
    <row r="786" spans="1:19">
      <c r="A786" s="130"/>
      <c r="B786" s="130"/>
      <c r="C786" s="130"/>
      <c r="D786" s="130"/>
      <c r="E786" s="130"/>
      <c r="F786" s="130"/>
      <c r="G786" s="130"/>
      <c r="H786" s="130"/>
      <c r="I786" s="130"/>
      <c r="J786" s="130"/>
      <c r="K786" s="130"/>
      <c r="L786" s="130"/>
      <c r="M786" s="130"/>
      <c r="N786" s="130"/>
      <c r="O786" s="130"/>
      <c r="P786" s="130"/>
      <c r="Q786" s="130"/>
      <c r="R786" s="130"/>
      <c r="S786" s="130"/>
    </row>
    <row r="787" spans="1:19">
      <c r="A787" s="130"/>
      <c r="B787" s="130"/>
      <c r="C787" s="130"/>
      <c r="D787" s="130"/>
      <c r="E787" s="130"/>
      <c r="F787" s="130"/>
      <c r="G787" s="130"/>
      <c r="H787" s="130"/>
      <c r="I787" s="130"/>
      <c r="J787" s="130"/>
      <c r="K787" s="130"/>
      <c r="L787" s="130"/>
      <c r="M787" s="130"/>
      <c r="N787" s="130"/>
      <c r="O787" s="130"/>
      <c r="P787" s="130"/>
      <c r="Q787" s="130"/>
      <c r="R787" s="130"/>
      <c r="S787" s="130"/>
    </row>
    <row r="788" spans="1:19">
      <c r="A788" s="130"/>
      <c r="B788" s="130"/>
      <c r="C788" s="130"/>
      <c r="D788" s="130"/>
      <c r="E788" s="130"/>
      <c r="F788" s="130"/>
      <c r="G788" s="130"/>
      <c r="H788" s="130"/>
      <c r="I788" s="130"/>
      <c r="J788" s="130"/>
      <c r="K788" s="130"/>
      <c r="L788" s="130"/>
      <c r="M788" s="130"/>
      <c r="N788" s="130"/>
      <c r="O788" s="130"/>
      <c r="P788" s="130"/>
      <c r="Q788" s="130"/>
      <c r="R788" s="130"/>
      <c r="S788" s="130"/>
    </row>
    <row r="789" spans="1:19">
      <c r="A789" s="130"/>
      <c r="B789" s="130"/>
      <c r="C789" s="130"/>
      <c r="D789" s="130"/>
      <c r="E789" s="130"/>
      <c r="F789" s="130"/>
      <c r="G789" s="130"/>
      <c r="H789" s="130"/>
      <c r="I789" s="130"/>
      <c r="J789" s="130"/>
      <c r="K789" s="130"/>
      <c r="L789" s="130"/>
      <c r="M789" s="130"/>
      <c r="N789" s="130"/>
      <c r="O789" s="130"/>
      <c r="P789" s="130"/>
      <c r="Q789" s="130"/>
      <c r="R789" s="130"/>
      <c r="S789" s="130"/>
    </row>
    <row r="790" spans="1:19">
      <c r="A790" s="130"/>
      <c r="B790" s="130"/>
      <c r="C790" s="130"/>
      <c r="D790" s="130"/>
      <c r="E790" s="130"/>
      <c r="F790" s="130"/>
      <c r="G790" s="130"/>
      <c r="H790" s="130"/>
      <c r="I790" s="130"/>
      <c r="J790" s="130"/>
      <c r="K790" s="130"/>
      <c r="L790" s="130"/>
      <c r="M790" s="130"/>
      <c r="N790" s="130"/>
      <c r="O790" s="130"/>
      <c r="P790" s="130"/>
      <c r="Q790" s="130"/>
      <c r="R790" s="130"/>
      <c r="S790" s="130"/>
    </row>
    <row r="791" spans="1:19">
      <c r="A791" s="130"/>
      <c r="B791" s="130"/>
      <c r="C791" s="130"/>
      <c r="D791" s="130"/>
      <c r="E791" s="130"/>
      <c r="F791" s="130"/>
      <c r="G791" s="130"/>
      <c r="H791" s="130"/>
      <c r="I791" s="130"/>
      <c r="J791" s="130"/>
      <c r="K791" s="130"/>
      <c r="L791" s="130"/>
      <c r="M791" s="130"/>
      <c r="N791" s="130"/>
      <c r="O791" s="130"/>
      <c r="P791" s="130"/>
      <c r="Q791" s="130"/>
      <c r="R791" s="130"/>
      <c r="S791" s="130"/>
    </row>
    <row r="792" spans="1:19">
      <c r="A792" s="130"/>
      <c r="B792" s="130"/>
      <c r="C792" s="130"/>
      <c r="D792" s="130"/>
      <c r="E792" s="130"/>
      <c r="F792" s="130"/>
      <c r="G792" s="130"/>
      <c r="H792" s="130"/>
      <c r="I792" s="130"/>
      <c r="J792" s="130"/>
      <c r="K792" s="130"/>
      <c r="L792" s="130"/>
      <c r="M792" s="130"/>
      <c r="N792" s="130"/>
      <c r="O792" s="130"/>
      <c r="P792" s="130"/>
      <c r="Q792" s="130"/>
      <c r="R792" s="130"/>
      <c r="S792" s="130"/>
    </row>
    <row r="793" spans="1:19">
      <c r="A793" s="130"/>
      <c r="B793" s="130"/>
      <c r="C793" s="130"/>
      <c r="D793" s="130"/>
      <c r="E793" s="130"/>
      <c r="F793" s="130"/>
      <c r="G793" s="130"/>
      <c r="H793" s="130"/>
      <c r="I793" s="130"/>
      <c r="J793" s="130"/>
      <c r="K793" s="130"/>
      <c r="L793" s="130"/>
      <c r="M793" s="130"/>
      <c r="N793" s="130"/>
      <c r="O793" s="130"/>
      <c r="P793" s="130"/>
      <c r="Q793" s="130"/>
      <c r="R793" s="130"/>
      <c r="S793" s="130"/>
    </row>
    <row r="794" spans="1:19">
      <c r="A794" s="130"/>
      <c r="B794" s="130"/>
      <c r="C794" s="130"/>
      <c r="D794" s="130"/>
      <c r="E794" s="130"/>
      <c r="F794" s="130"/>
      <c r="G794" s="130"/>
      <c r="H794" s="130"/>
      <c r="I794" s="130"/>
      <c r="J794" s="130"/>
      <c r="K794" s="130"/>
      <c r="L794" s="130"/>
      <c r="M794" s="130"/>
      <c r="N794" s="130"/>
      <c r="O794" s="130"/>
      <c r="P794" s="130"/>
      <c r="Q794" s="130"/>
      <c r="R794" s="130"/>
      <c r="S794" s="130"/>
    </row>
    <row r="795" spans="1:19">
      <c r="A795" s="130"/>
      <c r="B795" s="130"/>
      <c r="C795" s="130"/>
      <c r="D795" s="130"/>
      <c r="E795" s="130"/>
      <c r="F795" s="130"/>
      <c r="G795" s="130"/>
      <c r="H795" s="130"/>
      <c r="I795" s="130"/>
      <c r="J795" s="130"/>
      <c r="K795" s="130"/>
      <c r="L795" s="130"/>
      <c r="M795" s="130"/>
      <c r="N795" s="130"/>
      <c r="O795" s="130"/>
      <c r="P795" s="130"/>
      <c r="Q795" s="130"/>
      <c r="R795" s="130"/>
      <c r="S795" s="130"/>
    </row>
    <row r="796" spans="1:19">
      <c r="A796" s="130"/>
      <c r="B796" s="130"/>
      <c r="C796" s="130"/>
      <c r="D796" s="130"/>
      <c r="E796" s="130"/>
      <c r="F796" s="130"/>
      <c r="G796" s="130"/>
      <c r="H796" s="130"/>
      <c r="I796" s="130"/>
      <c r="J796" s="130"/>
      <c r="K796" s="130"/>
      <c r="L796" s="130"/>
      <c r="M796" s="130"/>
      <c r="N796" s="130"/>
      <c r="O796" s="130"/>
      <c r="P796" s="130"/>
      <c r="Q796" s="130"/>
      <c r="R796" s="130"/>
      <c r="S796" s="130"/>
    </row>
    <row r="797" spans="1:19">
      <c r="A797" s="130"/>
      <c r="B797" s="130"/>
      <c r="C797" s="130"/>
      <c r="D797" s="130"/>
      <c r="E797" s="130"/>
      <c r="F797" s="130"/>
      <c r="G797" s="130"/>
      <c r="H797" s="130"/>
      <c r="I797" s="130"/>
      <c r="J797" s="130"/>
      <c r="K797" s="130"/>
      <c r="L797" s="130"/>
      <c r="M797" s="130"/>
      <c r="N797" s="130"/>
      <c r="O797" s="130"/>
      <c r="P797" s="130"/>
      <c r="Q797" s="130"/>
      <c r="R797" s="130"/>
      <c r="S797" s="130"/>
    </row>
    <row r="798" spans="1:19">
      <c r="A798" s="130"/>
      <c r="B798" s="130"/>
      <c r="C798" s="130"/>
      <c r="D798" s="130"/>
      <c r="E798" s="130"/>
      <c r="F798" s="130"/>
      <c r="G798" s="130"/>
      <c r="H798" s="130"/>
      <c r="I798" s="130"/>
      <c r="J798" s="130"/>
      <c r="K798" s="130"/>
      <c r="L798" s="130"/>
      <c r="M798" s="130"/>
      <c r="N798" s="130"/>
      <c r="O798" s="130"/>
      <c r="P798" s="130"/>
      <c r="Q798" s="130"/>
      <c r="R798" s="130"/>
      <c r="S798" s="130"/>
    </row>
    <row r="799" spans="1:19">
      <c r="A799" s="130"/>
      <c r="B799" s="130"/>
      <c r="C799" s="130"/>
      <c r="D799" s="130"/>
      <c r="E799" s="130"/>
      <c r="F799" s="130"/>
      <c r="G799" s="130"/>
      <c r="H799" s="130"/>
      <c r="I799" s="130"/>
      <c r="J799" s="130"/>
      <c r="K799" s="130"/>
      <c r="L799" s="130"/>
      <c r="M799" s="130"/>
      <c r="N799" s="130"/>
      <c r="O799" s="130"/>
      <c r="P799" s="130"/>
      <c r="Q799" s="130"/>
      <c r="R799" s="130"/>
      <c r="S799" s="130"/>
    </row>
    <row r="800" spans="1:19">
      <c r="A800" s="130"/>
      <c r="B800" s="130"/>
      <c r="C800" s="130"/>
      <c r="D800" s="130"/>
      <c r="E800" s="130"/>
      <c r="F800" s="130"/>
      <c r="G800" s="130"/>
      <c r="H800" s="130"/>
      <c r="I800" s="130"/>
      <c r="J800" s="130"/>
      <c r="K800" s="130"/>
      <c r="L800" s="130"/>
      <c r="M800" s="130"/>
      <c r="N800" s="130"/>
      <c r="O800" s="130"/>
      <c r="P800" s="130"/>
      <c r="Q800" s="130"/>
      <c r="R800" s="130"/>
      <c r="S800" s="130"/>
    </row>
    <row r="801" spans="1:19">
      <c r="A801" s="130"/>
      <c r="B801" s="130"/>
      <c r="C801" s="130"/>
      <c r="D801" s="130"/>
      <c r="E801" s="130"/>
      <c r="F801" s="130"/>
      <c r="G801" s="130"/>
      <c r="H801" s="130"/>
      <c r="I801" s="130"/>
      <c r="J801" s="130"/>
      <c r="K801" s="130"/>
      <c r="L801" s="130"/>
      <c r="M801" s="130"/>
      <c r="N801" s="130"/>
      <c r="O801" s="130"/>
      <c r="P801" s="130"/>
      <c r="Q801" s="130"/>
      <c r="R801" s="130"/>
      <c r="S801" s="130"/>
    </row>
    <row r="802" spans="1:19">
      <c r="A802" s="130"/>
      <c r="B802" s="130"/>
      <c r="C802" s="130"/>
      <c r="D802" s="130"/>
      <c r="E802" s="130"/>
      <c r="F802" s="130"/>
      <c r="G802" s="130"/>
      <c r="H802" s="130"/>
      <c r="I802" s="130"/>
      <c r="J802" s="130"/>
      <c r="K802" s="130"/>
      <c r="L802" s="130"/>
      <c r="M802" s="130"/>
      <c r="N802" s="130"/>
      <c r="O802" s="130"/>
      <c r="P802" s="130"/>
      <c r="Q802" s="130"/>
      <c r="R802" s="130"/>
      <c r="S802" s="130"/>
    </row>
    <row r="803" spans="1:19">
      <c r="A803" s="130"/>
      <c r="B803" s="130"/>
      <c r="C803" s="130"/>
      <c r="D803" s="130"/>
      <c r="E803" s="130"/>
      <c r="F803" s="130"/>
      <c r="G803" s="130"/>
      <c r="H803" s="130"/>
      <c r="I803" s="130"/>
      <c r="J803" s="130"/>
      <c r="K803" s="130"/>
      <c r="L803" s="130"/>
      <c r="M803" s="130"/>
      <c r="N803" s="130"/>
      <c r="O803" s="130"/>
      <c r="P803" s="130"/>
      <c r="Q803" s="130"/>
      <c r="R803" s="130"/>
      <c r="S803" s="130"/>
    </row>
    <row r="804" spans="1:19">
      <c r="A804" s="130"/>
      <c r="B804" s="130"/>
      <c r="C804" s="130"/>
      <c r="D804" s="130"/>
      <c r="E804" s="130"/>
      <c r="F804" s="130"/>
      <c r="G804" s="130"/>
      <c r="H804" s="130"/>
      <c r="I804" s="130"/>
      <c r="J804" s="130"/>
      <c r="K804" s="130"/>
      <c r="L804" s="130"/>
      <c r="M804" s="130"/>
      <c r="N804" s="130"/>
      <c r="O804" s="130"/>
      <c r="P804" s="130"/>
      <c r="Q804" s="130"/>
      <c r="R804" s="130"/>
      <c r="S804" s="130"/>
    </row>
    <row r="805" spans="1:19">
      <c r="A805" s="130"/>
      <c r="B805" s="130"/>
      <c r="C805" s="130"/>
      <c r="D805" s="130"/>
      <c r="E805" s="130"/>
      <c r="F805" s="130"/>
      <c r="G805" s="130"/>
      <c r="H805" s="130"/>
      <c r="I805" s="130"/>
      <c r="J805" s="130"/>
      <c r="K805" s="130"/>
      <c r="L805" s="130"/>
      <c r="M805" s="130"/>
      <c r="N805" s="130"/>
      <c r="O805" s="130"/>
      <c r="P805" s="130"/>
      <c r="Q805" s="130"/>
      <c r="R805" s="130"/>
      <c r="S805" s="130"/>
    </row>
    <row r="806" spans="1:19">
      <c r="A806" s="130"/>
      <c r="B806" s="130"/>
      <c r="C806" s="130"/>
      <c r="D806" s="130"/>
      <c r="E806" s="130"/>
      <c r="F806" s="130"/>
      <c r="G806" s="130"/>
      <c r="H806" s="130"/>
      <c r="I806" s="130"/>
      <c r="J806" s="130"/>
      <c r="K806" s="130"/>
      <c r="L806" s="130"/>
      <c r="M806" s="130"/>
      <c r="N806" s="130"/>
      <c r="O806" s="130"/>
      <c r="P806" s="130"/>
      <c r="Q806" s="130"/>
      <c r="R806" s="130"/>
      <c r="S806" s="130"/>
    </row>
    <row r="2332" spans="12:12">
      <c r="L2332" s="90">
        <f>SUBTOTAL(9,L2:L715)</f>
        <v>104918017</v>
      </c>
    </row>
  </sheetData>
  <autoFilter ref="A1:S2331"/>
  <sortState ref="A2:T2358">
    <sortCondition ref="F2:F2358"/>
    <sortCondition ref="H2:H2358"/>
  </sortState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4"/>
  <sheetViews>
    <sheetView topLeftCell="B39" workbookViewId="0">
      <selection activeCell="D36" sqref="D36"/>
    </sheetView>
  </sheetViews>
  <sheetFormatPr defaultRowHeight="15"/>
  <cols>
    <col min="1" max="1" width="11.28515625" style="79" bestFit="1" customWidth="1"/>
    <col min="2" max="2" width="11.28515625" style="79" customWidth="1"/>
    <col min="3" max="3" width="52.42578125" style="79" bestFit="1" customWidth="1"/>
    <col min="4" max="4" width="12.5703125" style="133" bestFit="1" customWidth="1"/>
    <col min="5" max="5" width="55.42578125" style="79" bestFit="1" customWidth="1"/>
    <col min="6" max="6" width="9.7109375" style="79" bestFit="1" customWidth="1"/>
    <col min="7" max="7" width="11.5703125" style="79" bestFit="1" customWidth="1"/>
    <col min="8" max="16384" width="9.140625" style="79"/>
  </cols>
  <sheetData>
    <row r="1" spans="1:7">
      <c r="A1" s="132" t="s">
        <v>2116</v>
      </c>
      <c r="B1" s="132"/>
    </row>
    <row r="2" spans="1:7">
      <c r="A2" s="102" t="s">
        <v>2112</v>
      </c>
      <c r="B2" s="134">
        <v>1</v>
      </c>
      <c r="C2" s="102" t="s">
        <v>2111</v>
      </c>
      <c r="D2" s="137">
        <v>183708</v>
      </c>
      <c r="E2" s="138" t="s">
        <v>2115</v>
      </c>
      <c r="F2" s="102"/>
    </row>
    <row r="3" spans="1:7">
      <c r="A3" s="102" t="s">
        <v>2112</v>
      </c>
      <c r="B3" s="134">
        <v>1</v>
      </c>
      <c r="C3" s="102" t="s">
        <v>2113</v>
      </c>
      <c r="D3" s="137">
        <v>74171</v>
      </c>
      <c r="E3" s="138" t="s">
        <v>2115</v>
      </c>
      <c r="F3" s="102"/>
    </row>
    <row r="4" spans="1:7">
      <c r="A4" s="102" t="s">
        <v>2112</v>
      </c>
      <c r="B4" s="134">
        <v>1</v>
      </c>
      <c r="C4" s="102" t="s">
        <v>2114</v>
      </c>
      <c r="D4" s="137">
        <v>76560</v>
      </c>
      <c r="E4" s="138" t="s">
        <v>2115</v>
      </c>
      <c r="F4" s="102"/>
      <c r="G4" s="152">
        <f>SUM(D2:D4)</f>
        <v>334439</v>
      </c>
    </row>
    <row r="5" spans="1:7">
      <c r="A5" s="79" t="s">
        <v>1961</v>
      </c>
      <c r="B5" s="79">
        <v>3</v>
      </c>
      <c r="C5" s="79" t="s">
        <v>1962</v>
      </c>
      <c r="D5" s="133">
        <v>8500</v>
      </c>
      <c r="E5" s="79" t="s">
        <v>1963</v>
      </c>
      <c r="F5" s="79" t="s">
        <v>1964</v>
      </c>
    </row>
    <row r="6" spans="1:7">
      <c r="A6" s="79" t="s">
        <v>1961</v>
      </c>
      <c r="B6" s="79">
        <v>3</v>
      </c>
      <c r="C6" s="79" t="s">
        <v>1965</v>
      </c>
      <c r="D6" s="133">
        <v>10000</v>
      </c>
      <c r="E6" s="79" t="s">
        <v>1963</v>
      </c>
      <c r="F6" s="79" t="s">
        <v>1966</v>
      </c>
    </row>
    <row r="7" spans="1:7">
      <c r="A7" s="79" t="s">
        <v>1961</v>
      </c>
      <c r="B7" s="79">
        <v>3</v>
      </c>
      <c r="C7" s="79" t="s">
        <v>1967</v>
      </c>
      <c r="D7" s="133">
        <v>3000</v>
      </c>
      <c r="E7" s="79" t="s">
        <v>1968</v>
      </c>
      <c r="F7" s="79" t="s">
        <v>1969</v>
      </c>
    </row>
    <row r="8" spans="1:7">
      <c r="A8" s="79" t="s">
        <v>1961</v>
      </c>
      <c r="B8" s="79">
        <v>3</v>
      </c>
      <c r="C8" s="79" t="s">
        <v>1967</v>
      </c>
      <c r="D8" s="133">
        <v>4600</v>
      </c>
      <c r="E8" s="79" t="s">
        <v>1968</v>
      </c>
      <c r="F8" s="79" t="s">
        <v>1970</v>
      </c>
    </row>
    <row r="9" spans="1:7">
      <c r="A9" s="79" t="s">
        <v>1961</v>
      </c>
      <c r="B9" s="79">
        <v>3</v>
      </c>
      <c r="C9" s="79" t="s">
        <v>1967</v>
      </c>
      <c r="D9" s="133">
        <v>1200</v>
      </c>
      <c r="E9" s="79" t="s">
        <v>1968</v>
      </c>
      <c r="F9" s="79" t="s">
        <v>1971</v>
      </c>
    </row>
    <row r="10" spans="1:7">
      <c r="A10" s="79" t="s">
        <v>1961</v>
      </c>
      <c r="B10" s="79">
        <v>3</v>
      </c>
      <c r="C10" s="79" t="s">
        <v>1967</v>
      </c>
      <c r="D10" s="133">
        <v>7000</v>
      </c>
      <c r="E10" s="79" t="s">
        <v>1968</v>
      </c>
      <c r="F10" s="79" t="s">
        <v>1972</v>
      </c>
    </row>
    <row r="11" spans="1:7">
      <c r="A11" s="79" t="s">
        <v>1961</v>
      </c>
      <c r="B11" s="79">
        <v>3</v>
      </c>
      <c r="C11" s="79" t="s">
        <v>1973</v>
      </c>
      <c r="D11" s="133">
        <v>17000</v>
      </c>
      <c r="E11" s="79" t="s">
        <v>1968</v>
      </c>
      <c r="F11" s="79" t="s">
        <v>1974</v>
      </c>
    </row>
    <row r="12" spans="1:7">
      <c r="A12" s="79" t="s">
        <v>1961</v>
      </c>
      <c r="B12" s="79">
        <v>3</v>
      </c>
      <c r="C12" s="79" t="s">
        <v>1975</v>
      </c>
      <c r="D12" s="133">
        <v>7000</v>
      </c>
      <c r="E12" s="79" t="s">
        <v>1963</v>
      </c>
    </row>
    <row r="13" spans="1:7">
      <c r="A13" s="79" t="s">
        <v>1976</v>
      </c>
      <c r="B13" s="79">
        <v>3</v>
      </c>
      <c r="C13" s="79" t="s">
        <v>1663</v>
      </c>
      <c r="D13" s="133">
        <v>272731</v>
      </c>
      <c r="E13" s="79" t="s">
        <v>1977</v>
      </c>
    </row>
    <row r="14" spans="1:7">
      <c r="A14" s="79" t="s">
        <v>1976</v>
      </c>
      <c r="B14" s="79">
        <v>3</v>
      </c>
      <c r="C14" s="79" t="s">
        <v>1743</v>
      </c>
      <c r="D14" s="133">
        <f>7000-5000</f>
        <v>2000</v>
      </c>
      <c r="E14" s="79" t="s">
        <v>1978</v>
      </c>
    </row>
    <row r="15" spans="1:7">
      <c r="A15" s="79" t="s">
        <v>1976</v>
      </c>
      <c r="B15" s="79">
        <v>3</v>
      </c>
      <c r="C15" s="79" t="s">
        <v>1979</v>
      </c>
      <c r="D15" s="133">
        <v>12500</v>
      </c>
      <c r="E15" s="79" t="s">
        <v>1980</v>
      </c>
    </row>
    <row r="16" spans="1:7">
      <c r="A16" s="79" t="s">
        <v>1976</v>
      </c>
      <c r="B16" s="79">
        <v>3</v>
      </c>
      <c r="C16" s="79" t="s">
        <v>1748</v>
      </c>
      <c r="D16" s="133">
        <v>168000</v>
      </c>
      <c r="E16" s="79" t="s">
        <v>1981</v>
      </c>
    </row>
    <row r="17" spans="1:6">
      <c r="A17" s="79" t="s">
        <v>1976</v>
      </c>
      <c r="B17" s="79">
        <v>3</v>
      </c>
      <c r="C17" s="79" t="s">
        <v>1750</v>
      </c>
      <c r="D17" s="133">
        <v>30000</v>
      </c>
      <c r="E17" s="79" t="s">
        <v>1982</v>
      </c>
    </row>
    <row r="18" spans="1:6">
      <c r="A18" s="79" t="s">
        <v>1983</v>
      </c>
      <c r="B18" s="79">
        <v>3</v>
      </c>
      <c r="C18" s="79" t="s">
        <v>1984</v>
      </c>
      <c r="D18" s="133">
        <f>630+985</f>
        <v>1615</v>
      </c>
      <c r="E18" s="79" t="s">
        <v>1985</v>
      </c>
    </row>
    <row r="19" spans="1:6">
      <c r="A19" s="79" t="s">
        <v>1055</v>
      </c>
      <c r="B19" s="79">
        <v>3</v>
      </c>
      <c r="C19" s="79" t="s">
        <v>2089</v>
      </c>
      <c r="D19" s="133">
        <v>1100</v>
      </c>
      <c r="E19" s="79" t="s">
        <v>2090</v>
      </c>
    </row>
    <row r="20" spans="1:6">
      <c r="A20" s="79" t="s">
        <v>1726</v>
      </c>
      <c r="B20" s="79">
        <v>3</v>
      </c>
      <c r="C20" s="79" t="s">
        <v>2087</v>
      </c>
      <c r="D20" s="133">
        <v>1100</v>
      </c>
      <c r="E20" s="79" t="s">
        <v>2088</v>
      </c>
    </row>
    <row r="21" spans="1:6">
      <c r="A21" s="134" t="s">
        <v>1986</v>
      </c>
      <c r="B21" s="134">
        <v>3</v>
      </c>
      <c r="C21" s="134" t="s">
        <v>1987</v>
      </c>
      <c r="D21" s="135">
        <f>216136.47*0.3333</f>
        <v>72038.285451000003</v>
      </c>
      <c r="E21" s="134" t="s">
        <v>1988</v>
      </c>
      <c r="F21" s="134" t="s">
        <v>1989</v>
      </c>
    </row>
    <row r="22" spans="1:6">
      <c r="A22" s="134" t="s">
        <v>1986</v>
      </c>
      <c r="B22" s="134">
        <v>3</v>
      </c>
      <c r="C22" s="134" t="s">
        <v>1990</v>
      </c>
      <c r="D22" s="135">
        <f>19699*0.75</f>
        <v>14774.25</v>
      </c>
      <c r="E22" s="134" t="s">
        <v>1991</v>
      </c>
      <c r="F22" s="134" t="s">
        <v>1992</v>
      </c>
    </row>
    <row r="23" spans="1:6">
      <c r="A23" s="79" t="s">
        <v>1986</v>
      </c>
      <c r="B23" s="79">
        <v>3</v>
      </c>
      <c r="C23" s="79" t="s">
        <v>1993</v>
      </c>
      <c r="D23" s="133">
        <v>19110</v>
      </c>
      <c r="E23" s="79" t="s">
        <v>1994</v>
      </c>
      <c r="F23" s="79" t="s">
        <v>1995</v>
      </c>
    </row>
    <row r="24" spans="1:6">
      <c r="A24" s="79" t="s">
        <v>1986</v>
      </c>
      <c r="B24" s="79">
        <v>3</v>
      </c>
      <c r="C24" s="79" t="s">
        <v>2110</v>
      </c>
      <c r="D24" s="133">
        <v>2901</v>
      </c>
      <c r="E24" s="79" t="s">
        <v>1994</v>
      </c>
      <c r="F24" s="79" t="s">
        <v>1996</v>
      </c>
    </row>
    <row r="25" spans="1:6">
      <c r="A25" s="134" t="s">
        <v>1986</v>
      </c>
      <c r="B25" s="134">
        <v>3</v>
      </c>
      <c r="C25" s="134" t="s">
        <v>1997</v>
      </c>
      <c r="D25" s="135">
        <f>39729.24*0.6</f>
        <v>23837.543999999998</v>
      </c>
      <c r="E25" s="134" t="s">
        <v>1998</v>
      </c>
      <c r="F25" s="134" t="s">
        <v>1999</v>
      </c>
    </row>
    <row r="26" spans="1:6">
      <c r="A26" s="79" t="s">
        <v>1986</v>
      </c>
      <c r="B26" s="134">
        <v>3</v>
      </c>
      <c r="C26" s="79" t="s">
        <v>2000</v>
      </c>
      <c r="D26" s="133">
        <v>10368</v>
      </c>
      <c r="E26" s="79" t="s">
        <v>1994</v>
      </c>
      <c r="F26" s="79" t="s">
        <v>2001</v>
      </c>
    </row>
    <row r="27" spans="1:6">
      <c r="A27" s="79" t="s">
        <v>1986</v>
      </c>
      <c r="B27" s="134">
        <v>3</v>
      </c>
      <c r="C27" s="79" t="s">
        <v>2002</v>
      </c>
      <c r="D27" s="133">
        <v>39815.269999999997</v>
      </c>
      <c r="E27" s="79" t="s">
        <v>1994</v>
      </c>
    </row>
    <row r="28" spans="1:6">
      <c r="A28" s="79" t="s">
        <v>1986</v>
      </c>
      <c r="B28" s="134">
        <v>3</v>
      </c>
      <c r="C28" s="79" t="s">
        <v>2003</v>
      </c>
      <c r="D28" s="133">
        <v>13600</v>
      </c>
    </row>
    <row r="29" spans="1:6">
      <c r="A29" s="134" t="s">
        <v>1986</v>
      </c>
      <c r="B29" s="134">
        <v>3</v>
      </c>
      <c r="C29" s="134" t="s">
        <v>2004</v>
      </c>
      <c r="D29" s="135">
        <f>7185*0.75</f>
        <v>5388.75</v>
      </c>
      <c r="E29" s="134" t="s">
        <v>2005</v>
      </c>
      <c r="F29" s="134" t="s">
        <v>2006</v>
      </c>
    </row>
    <row r="30" spans="1:6">
      <c r="A30" s="134" t="s">
        <v>1986</v>
      </c>
      <c r="B30" s="134">
        <v>3</v>
      </c>
      <c r="C30" s="134" t="s">
        <v>2007</v>
      </c>
      <c r="D30" s="135">
        <f>66049.77*0.4</f>
        <v>26419.908000000003</v>
      </c>
      <c r="E30" s="134" t="s">
        <v>2008</v>
      </c>
      <c r="F30" s="134" t="s">
        <v>2009</v>
      </c>
    </row>
    <row r="31" spans="1:6">
      <c r="A31" s="79" t="s">
        <v>1986</v>
      </c>
      <c r="B31" s="134">
        <v>3</v>
      </c>
      <c r="C31" s="79" t="s">
        <v>2010</v>
      </c>
      <c r="D31" s="133">
        <v>5759.6</v>
      </c>
      <c r="E31" s="79" t="s">
        <v>1994</v>
      </c>
      <c r="F31" s="79" t="s">
        <v>2011</v>
      </c>
    </row>
    <row r="32" spans="1:6" s="102" customFormat="1">
      <c r="A32" s="79" t="s">
        <v>1986</v>
      </c>
      <c r="B32" s="134">
        <v>3</v>
      </c>
      <c r="C32" s="79" t="s">
        <v>2012</v>
      </c>
      <c r="D32" s="133">
        <v>4100</v>
      </c>
      <c r="E32" s="79" t="s">
        <v>1994</v>
      </c>
      <c r="F32" s="79" t="s">
        <v>2013</v>
      </c>
    </row>
    <row r="33" spans="1:6" s="102" customFormat="1">
      <c r="A33" s="79" t="s">
        <v>1986</v>
      </c>
      <c r="B33" s="134">
        <v>3</v>
      </c>
      <c r="C33" s="79" t="s">
        <v>2014</v>
      </c>
      <c r="D33" s="133">
        <v>3468</v>
      </c>
      <c r="E33" s="79" t="s">
        <v>1994</v>
      </c>
      <c r="F33" s="79"/>
    </row>
    <row r="34" spans="1:6" s="102" customFormat="1">
      <c r="A34" s="134" t="s">
        <v>2015</v>
      </c>
      <c r="B34" s="134">
        <v>3</v>
      </c>
      <c r="C34" s="134" t="s">
        <v>2016</v>
      </c>
      <c r="D34" s="135">
        <f>11726*0.75</f>
        <v>8794.5</v>
      </c>
      <c r="E34" s="136" t="s">
        <v>2017</v>
      </c>
      <c r="F34" s="79">
        <v>11726</v>
      </c>
    </row>
    <row r="35" spans="1:6" s="102" customFormat="1">
      <c r="B35" s="134">
        <v>3</v>
      </c>
      <c r="C35" s="102" t="s">
        <v>2060</v>
      </c>
      <c r="D35" s="137">
        <v>250000</v>
      </c>
      <c r="E35" s="141" t="s">
        <v>2061</v>
      </c>
    </row>
    <row r="36" spans="1:6" s="102" customFormat="1">
      <c r="A36" s="102" t="s">
        <v>2018</v>
      </c>
      <c r="B36" s="134">
        <v>3</v>
      </c>
      <c r="C36" s="102" t="s">
        <v>2019</v>
      </c>
      <c r="D36" s="137">
        <v>5585</v>
      </c>
      <c r="E36" s="138" t="s">
        <v>2020</v>
      </c>
    </row>
    <row r="37" spans="1:6" s="102" customFormat="1">
      <c r="A37" s="102" t="s">
        <v>2018</v>
      </c>
      <c r="B37" s="134">
        <v>3</v>
      </c>
      <c r="C37" s="102" t="s">
        <v>1759</v>
      </c>
      <c r="D37" s="137">
        <v>103135</v>
      </c>
      <c r="E37" s="138" t="s">
        <v>2021</v>
      </c>
    </row>
    <row r="38" spans="1:6" s="102" customFormat="1">
      <c r="A38" s="102" t="s">
        <v>2018</v>
      </c>
      <c r="B38" s="134">
        <v>3</v>
      </c>
      <c r="C38" s="102" t="s">
        <v>2022</v>
      </c>
      <c r="D38" s="137">
        <v>29349</v>
      </c>
      <c r="E38" s="138" t="s">
        <v>2023</v>
      </c>
    </row>
    <row r="39" spans="1:6" s="102" customFormat="1">
      <c r="A39" s="102" t="s">
        <v>2018</v>
      </c>
      <c r="B39" s="134">
        <v>3</v>
      </c>
      <c r="C39" s="102" t="s">
        <v>1763</v>
      </c>
      <c r="D39" s="137">
        <f>42000+48758+20473</f>
        <v>111231</v>
      </c>
      <c r="E39" s="138" t="s">
        <v>2024</v>
      </c>
    </row>
    <row r="40" spans="1:6" s="102" customFormat="1">
      <c r="B40" s="134">
        <v>3</v>
      </c>
      <c r="C40" s="102" t="s">
        <v>2054</v>
      </c>
      <c r="D40" s="137">
        <v>1894660</v>
      </c>
      <c r="E40" s="138" t="s">
        <v>2049</v>
      </c>
    </row>
    <row r="41" spans="1:6" s="102" customFormat="1">
      <c r="B41" s="134">
        <v>3</v>
      </c>
      <c r="C41" s="102" t="s">
        <v>1693</v>
      </c>
      <c r="D41" s="137"/>
      <c r="E41" s="138" t="s">
        <v>2050</v>
      </c>
    </row>
    <row r="42" spans="1:6" s="102" customFormat="1">
      <c r="B42" s="134">
        <v>3</v>
      </c>
      <c r="C42" s="102" t="s">
        <v>1680</v>
      </c>
      <c r="D42" s="137">
        <v>75175</v>
      </c>
      <c r="E42" s="138" t="s">
        <v>2051</v>
      </c>
    </row>
    <row r="43" spans="1:6" s="102" customFormat="1">
      <c r="B43" s="134">
        <v>3</v>
      </c>
      <c r="C43" s="102" t="s">
        <v>1682</v>
      </c>
      <c r="D43" s="137">
        <v>645000</v>
      </c>
      <c r="E43" s="138" t="s">
        <v>2052</v>
      </c>
    </row>
    <row r="44" spans="1:6" s="102" customFormat="1">
      <c r="B44" s="134">
        <v>3</v>
      </c>
      <c r="C44" s="102" t="s">
        <v>2055</v>
      </c>
      <c r="D44" s="137">
        <v>7280</v>
      </c>
      <c r="E44" s="138" t="s">
        <v>2053</v>
      </c>
    </row>
    <row r="45" spans="1:6" s="102" customFormat="1">
      <c r="A45" s="79"/>
      <c r="B45" s="134">
        <v>3</v>
      </c>
      <c r="C45" s="79" t="s">
        <v>2025</v>
      </c>
      <c r="D45" s="133">
        <v>1602015</v>
      </c>
      <c r="E45" s="79"/>
      <c r="F45" s="79"/>
    </row>
    <row r="46" spans="1:6" s="102" customFormat="1">
      <c r="A46" s="79"/>
      <c r="B46" s="134">
        <v>3</v>
      </c>
      <c r="C46" s="79" t="s">
        <v>2026</v>
      </c>
      <c r="D46" s="133">
        <v>913262</v>
      </c>
      <c r="E46" s="79"/>
      <c r="F46" s="79"/>
    </row>
    <row r="47" spans="1:6" s="102" customFormat="1">
      <c r="A47" s="79"/>
      <c r="B47" s="134">
        <v>3</v>
      </c>
      <c r="C47" s="79" t="s">
        <v>2027</v>
      </c>
      <c r="D47" s="133">
        <v>75000</v>
      </c>
      <c r="E47" s="79"/>
      <c r="F47" s="79"/>
    </row>
    <row r="48" spans="1:6" s="102" customFormat="1">
      <c r="A48" s="79"/>
      <c r="B48" s="134">
        <v>3</v>
      </c>
      <c r="C48" s="79" t="s">
        <v>2028</v>
      </c>
      <c r="D48" s="133">
        <v>822816</v>
      </c>
      <c r="E48" s="79"/>
      <c r="F48" s="79"/>
    </row>
    <row r="49" spans="1:7" s="102" customFormat="1">
      <c r="A49" s="79"/>
      <c r="B49" s="134">
        <v>3</v>
      </c>
      <c r="C49" s="79" t="s">
        <v>2029</v>
      </c>
      <c r="D49" s="133">
        <v>336986</v>
      </c>
      <c r="E49" s="79"/>
      <c r="F49" s="79"/>
      <c r="G49" s="153">
        <f>SUM(D5:D49)</f>
        <v>7669215.1074510003</v>
      </c>
    </row>
    <row r="50" spans="1:7" s="102" customFormat="1">
      <c r="A50" s="102" t="s">
        <v>2092</v>
      </c>
      <c r="B50" s="134">
        <v>5</v>
      </c>
      <c r="C50" s="102" t="s">
        <v>2093</v>
      </c>
      <c r="D50" s="137">
        <v>94876</v>
      </c>
      <c r="E50" s="138" t="s">
        <v>2094</v>
      </c>
    </row>
    <row r="51" spans="1:7" s="102" customFormat="1">
      <c r="A51" s="102" t="s">
        <v>2092</v>
      </c>
      <c r="B51" s="134">
        <v>5</v>
      </c>
      <c r="C51" s="102" t="s">
        <v>1868</v>
      </c>
      <c r="D51" s="137">
        <v>83000</v>
      </c>
      <c r="E51" s="138" t="s">
        <v>2095</v>
      </c>
    </row>
    <row r="52" spans="1:7" s="102" customFormat="1">
      <c r="A52" s="102" t="s">
        <v>2092</v>
      </c>
      <c r="B52" s="134">
        <v>5</v>
      </c>
      <c r="C52" s="102" t="s">
        <v>2096</v>
      </c>
      <c r="D52" s="137">
        <v>22168</v>
      </c>
      <c r="E52" s="138" t="s">
        <v>2097</v>
      </c>
    </row>
    <row r="53" spans="1:7" s="102" customFormat="1">
      <c r="A53" s="102" t="s">
        <v>2092</v>
      </c>
      <c r="B53" s="134">
        <v>5</v>
      </c>
      <c r="C53" s="102" t="s">
        <v>2098</v>
      </c>
      <c r="D53" s="137">
        <v>18495</v>
      </c>
      <c r="E53" s="138"/>
    </row>
    <row r="54" spans="1:7" s="102" customFormat="1">
      <c r="A54" s="102" t="s">
        <v>2092</v>
      </c>
      <c r="B54" s="134">
        <v>5</v>
      </c>
      <c r="C54" s="102" t="s">
        <v>2099</v>
      </c>
      <c r="D54" s="137">
        <v>3584</v>
      </c>
      <c r="E54" s="138"/>
    </row>
    <row r="55" spans="1:7" s="102" customFormat="1">
      <c r="A55" s="102" t="s">
        <v>2092</v>
      </c>
      <c r="B55" s="134">
        <v>5</v>
      </c>
      <c r="C55" s="102" t="s">
        <v>2100</v>
      </c>
      <c r="D55" s="137">
        <v>3280</v>
      </c>
      <c r="E55" s="138"/>
    </row>
    <row r="56" spans="1:7" s="102" customFormat="1">
      <c r="A56" s="102" t="s">
        <v>2092</v>
      </c>
      <c r="B56" s="134">
        <v>5</v>
      </c>
      <c r="C56" s="102" t="s">
        <v>2101</v>
      </c>
      <c r="D56" s="137">
        <v>10000</v>
      </c>
      <c r="E56" s="138"/>
    </row>
    <row r="57" spans="1:7" s="102" customFormat="1">
      <c r="A57" s="102" t="s">
        <v>2092</v>
      </c>
      <c r="B57" s="134">
        <v>5</v>
      </c>
      <c r="C57" s="102" t="s">
        <v>381</v>
      </c>
      <c r="D57" s="137">
        <v>2000</v>
      </c>
      <c r="E57" s="138"/>
    </row>
    <row r="58" spans="1:7" s="102" customFormat="1">
      <c r="A58" s="102" t="s">
        <v>2092</v>
      </c>
      <c r="B58" s="134">
        <v>5</v>
      </c>
      <c r="C58" s="102" t="s">
        <v>2102</v>
      </c>
      <c r="D58" s="137">
        <v>877</v>
      </c>
      <c r="E58" s="138"/>
    </row>
    <row r="59" spans="1:7" s="102" customFormat="1">
      <c r="A59" s="102" t="s">
        <v>2092</v>
      </c>
      <c r="B59" s="134">
        <v>5</v>
      </c>
      <c r="C59" s="102" t="s">
        <v>2103</v>
      </c>
      <c r="D59" s="137">
        <v>975</v>
      </c>
      <c r="E59" s="138"/>
    </row>
    <row r="60" spans="1:7" s="102" customFormat="1">
      <c r="A60" s="102" t="s">
        <v>2108</v>
      </c>
      <c r="B60" s="134">
        <v>5</v>
      </c>
      <c r="C60" s="102" t="s">
        <v>1890</v>
      </c>
      <c r="D60" s="137">
        <f>5026+26134</f>
        <v>31160</v>
      </c>
      <c r="E60" s="138"/>
    </row>
    <row r="61" spans="1:7" s="102" customFormat="1">
      <c r="A61" s="102" t="s">
        <v>2108</v>
      </c>
      <c r="B61" s="134">
        <v>5</v>
      </c>
      <c r="C61" s="102" t="s">
        <v>2104</v>
      </c>
      <c r="D61" s="137">
        <v>10300</v>
      </c>
      <c r="E61" s="138"/>
    </row>
    <row r="62" spans="1:7" s="102" customFormat="1">
      <c r="A62" s="102" t="s">
        <v>2108</v>
      </c>
      <c r="B62" s="134">
        <v>5</v>
      </c>
      <c r="C62" s="102" t="s">
        <v>2105</v>
      </c>
      <c r="D62" s="137">
        <v>800</v>
      </c>
      <c r="E62" s="138"/>
    </row>
    <row r="63" spans="1:7" s="102" customFormat="1">
      <c r="A63" s="102" t="s">
        <v>2108</v>
      </c>
      <c r="B63" s="134">
        <v>5</v>
      </c>
      <c r="C63" s="102" t="s">
        <v>2106</v>
      </c>
      <c r="D63" s="137">
        <v>2500</v>
      </c>
      <c r="E63" s="138"/>
    </row>
    <row r="64" spans="1:7" s="102" customFormat="1">
      <c r="A64" s="102" t="s">
        <v>2109</v>
      </c>
      <c r="B64" s="134">
        <v>5</v>
      </c>
      <c r="C64" s="102" t="s">
        <v>242</v>
      </c>
      <c r="D64" s="137">
        <f>17826+27376</f>
        <v>45202</v>
      </c>
      <c r="E64" s="138"/>
    </row>
    <row r="65" spans="1:8" s="102" customFormat="1">
      <c r="A65" s="102" t="s">
        <v>2109</v>
      </c>
      <c r="B65" s="134">
        <v>5</v>
      </c>
      <c r="C65" s="102" t="s">
        <v>2107</v>
      </c>
      <c r="D65" s="137">
        <f>13898+25149</f>
        <v>39047</v>
      </c>
      <c r="E65" s="138"/>
      <c r="G65" s="153">
        <f>SUM(D50:D65)</f>
        <v>368264</v>
      </c>
    </row>
    <row r="66" spans="1:8" s="102" customFormat="1">
      <c r="A66" s="102" t="s">
        <v>2048</v>
      </c>
      <c r="B66" s="134">
        <v>7</v>
      </c>
      <c r="C66" s="102" t="s">
        <v>2042</v>
      </c>
      <c r="D66" s="137">
        <f>116654.88+1032767.32</f>
        <v>1149422.2</v>
      </c>
      <c r="E66" s="141" t="s">
        <v>2043</v>
      </c>
    </row>
    <row r="67" spans="1:8" s="102" customFormat="1">
      <c r="A67" s="102" t="s">
        <v>2048</v>
      </c>
      <c r="B67" s="134">
        <v>7</v>
      </c>
      <c r="C67" s="102" t="s">
        <v>2044</v>
      </c>
      <c r="D67" s="137">
        <v>164988.85999999999</v>
      </c>
      <c r="E67" s="141">
        <v>61155</v>
      </c>
    </row>
    <row r="68" spans="1:8">
      <c r="A68" s="102" t="s">
        <v>2048</v>
      </c>
      <c r="B68" s="134">
        <v>7</v>
      </c>
      <c r="C68" s="102" t="s">
        <v>2045</v>
      </c>
      <c r="D68" s="137">
        <v>120671.57</v>
      </c>
      <c r="E68" s="141">
        <v>61157</v>
      </c>
      <c r="F68" s="102"/>
    </row>
    <row r="69" spans="1:8">
      <c r="A69" s="102" t="s">
        <v>2048</v>
      </c>
      <c r="B69" s="134">
        <v>7</v>
      </c>
      <c r="C69" s="102" t="s">
        <v>2046</v>
      </c>
      <c r="D69" s="137">
        <v>79384.19</v>
      </c>
      <c r="E69" s="141">
        <v>61158</v>
      </c>
      <c r="F69" s="102"/>
    </row>
    <row r="70" spans="1:8">
      <c r="A70" s="102" t="s">
        <v>2048</v>
      </c>
      <c r="B70" s="134">
        <v>7</v>
      </c>
      <c r="C70" s="102" t="s">
        <v>2047</v>
      </c>
      <c r="D70" s="137">
        <v>28531.66</v>
      </c>
      <c r="E70" s="141">
        <v>61159</v>
      </c>
      <c r="F70" s="102"/>
    </row>
    <row r="71" spans="1:8">
      <c r="A71" s="102" t="s">
        <v>2048</v>
      </c>
      <c r="B71" s="134">
        <v>7</v>
      </c>
      <c r="C71" s="102" t="s">
        <v>1770</v>
      </c>
      <c r="D71" s="137">
        <v>183334.39999999999</v>
      </c>
      <c r="E71" s="141">
        <v>61165</v>
      </c>
      <c r="F71" s="102"/>
      <c r="G71" s="152">
        <f>SUM(D66:D71)</f>
        <v>1726332.88</v>
      </c>
    </row>
    <row r="72" spans="1:8">
      <c r="A72" s="102"/>
      <c r="B72" s="102"/>
      <c r="C72" s="102" t="s">
        <v>2091</v>
      </c>
      <c r="D72" s="137">
        <v>300000</v>
      </c>
      <c r="E72" s="138"/>
      <c r="F72" s="102"/>
      <c r="G72" s="152">
        <f>SUM(D72)</f>
        <v>300000</v>
      </c>
    </row>
    <row r="73" spans="1:8" ht="15.75" thickBot="1">
      <c r="A73" s="79" t="s">
        <v>2030</v>
      </c>
      <c r="D73" s="139">
        <f>SUM(D2:D72)</f>
        <v>10398250.987451</v>
      </c>
    </row>
    <row r="74" spans="1:8" ht="15.75" thickTop="1"/>
    <row r="75" spans="1:8">
      <c r="A75" s="102"/>
      <c r="B75" s="102"/>
      <c r="C75" s="102"/>
      <c r="D75" s="137"/>
      <c r="E75" s="102"/>
      <c r="F75" s="102"/>
      <c r="G75" s="102"/>
      <c r="H75" s="102"/>
    </row>
    <row r="76" spans="1:8">
      <c r="A76" s="140" t="s">
        <v>2031</v>
      </c>
      <c r="B76" s="140"/>
      <c r="C76" s="102"/>
      <c r="D76" s="137"/>
      <c r="E76" s="102"/>
      <c r="F76" s="102"/>
      <c r="G76" s="102"/>
      <c r="H76" s="102"/>
    </row>
    <row r="77" spans="1:8">
      <c r="A77" s="102" t="s">
        <v>1986</v>
      </c>
      <c r="B77" s="102"/>
      <c r="C77" s="102" t="s">
        <v>2032</v>
      </c>
      <c r="D77" s="137">
        <v>163024.75</v>
      </c>
      <c r="E77" s="102" t="s">
        <v>2033</v>
      </c>
      <c r="F77" s="102" t="s">
        <v>1995</v>
      </c>
      <c r="G77" s="102"/>
      <c r="H77" s="102"/>
    </row>
    <row r="78" spans="1:8">
      <c r="A78" s="102" t="s">
        <v>1986</v>
      </c>
      <c r="B78" s="102"/>
      <c r="C78" s="102" t="s">
        <v>2034</v>
      </c>
      <c r="D78" s="137">
        <v>6499.9</v>
      </c>
      <c r="E78" s="102" t="s">
        <v>2035</v>
      </c>
      <c r="F78" s="102" t="s">
        <v>2036</v>
      </c>
      <c r="G78" s="102"/>
      <c r="H78" s="102"/>
    </row>
    <row r="79" spans="1:8">
      <c r="A79" s="102" t="s">
        <v>1986</v>
      </c>
      <c r="B79" s="102"/>
      <c r="C79" s="102" t="s">
        <v>2037</v>
      </c>
      <c r="D79" s="137">
        <v>1372</v>
      </c>
      <c r="E79" s="102" t="s">
        <v>2038</v>
      </c>
      <c r="F79" s="102"/>
      <c r="G79" s="102"/>
      <c r="H79" s="102"/>
    </row>
    <row r="80" spans="1:8">
      <c r="A80" s="102" t="s">
        <v>1986</v>
      </c>
      <c r="B80" s="102"/>
      <c r="C80" s="102" t="s">
        <v>2039</v>
      </c>
      <c r="D80" s="137">
        <v>7735</v>
      </c>
      <c r="E80" s="102" t="s">
        <v>2038</v>
      </c>
      <c r="F80" s="102"/>
      <c r="G80" s="102"/>
      <c r="H80" s="102"/>
    </row>
    <row r="81" spans="1:8">
      <c r="A81" s="102" t="s">
        <v>1986</v>
      </c>
      <c r="B81" s="102"/>
      <c r="C81" s="102" t="s">
        <v>2040</v>
      </c>
      <c r="D81" s="137">
        <v>700</v>
      </c>
      <c r="E81" s="102" t="s">
        <v>2038</v>
      </c>
      <c r="F81" s="102"/>
      <c r="G81" s="102"/>
      <c r="H81" s="102"/>
    </row>
    <row r="82" spans="1:8">
      <c r="A82" s="102"/>
      <c r="B82" s="102"/>
      <c r="C82" s="102"/>
      <c r="D82" s="137"/>
      <c r="E82" s="102"/>
      <c r="F82" s="102"/>
      <c r="G82" s="102"/>
      <c r="H82" s="102"/>
    </row>
    <row r="83" spans="1:8">
      <c r="A83" s="102"/>
      <c r="B83" s="102"/>
      <c r="C83" s="102"/>
      <c r="D83" s="137"/>
      <c r="E83" s="102"/>
      <c r="F83" s="102"/>
      <c r="G83" s="102"/>
      <c r="H83" s="102"/>
    </row>
    <row r="84" spans="1:8">
      <c r="A84" s="134" t="s">
        <v>2041</v>
      </c>
      <c r="B84" s="134"/>
      <c r="C84" s="134"/>
    </row>
  </sheetData>
  <sortState ref="A2:F72">
    <sortCondition ref="B2:B72"/>
  </sortState>
  <pageMargins left="0.7" right="0.7" top="0.75" bottom="0.75" header="0.3" footer="0.3"/>
  <pageSetup scale="5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0AC52084791A49B6D114C960BA1E54" ma:contentTypeVersion="0" ma:contentTypeDescription="Create a new document." ma:contentTypeScope="" ma:versionID="2d0418d906b215bda38b0d392d93c5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4586CB-D472-4BC1-B6F3-E280C44F12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B9C6311-DE8B-47FE-A2C3-01DDD7FAB80B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61FC0A1-F62C-4AC1-B1A3-81C982D2CE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Calculations</vt:lpstr>
      <vt:lpstr>Cost Factor</vt:lpstr>
      <vt:lpstr>Data</vt:lpstr>
      <vt:lpstr>Notes</vt:lpstr>
      <vt:lpstr>Revenue</vt:lpstr>
      <vt:lpstr>position by div</vt:lpstr>
      <vt:lpstr>position report</vt:lpstr>
      <vt:lpstr>FY11 expense</vt:lpstr>
      <vt:lpstr>Sheet1</vt:lpstr>
      <vt:lpstr>FY11 expense (2)</vt:lpstr>
      <vt:lpstr>fy12 budget</vt:lpstr>
      <vt:lpstr>fy12 budget (2)</vt:lpstr>
      <vt:lpstr>exp&amp;bud data</vt:lpstr>
      <vt:lpstr>University Cost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Reid</dc:creator>
  <cp:lastModifiedBy>Katherine M. Garrison</cp:lastModifiedBy>
  <cp:lastPrinted>2012-05-04T19:25:05Z</cp:lastPrinted>
  <dcterms:created xsi:type="dcterms:W3CDTF">2011-10-27T12:55:50Z</dcterms:created>
  <dcterms:modified xsi:type="dcterms:W3CDTF">2012-05-10T13:25:00Z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0x010100340AC52084791A49B6D114C960BA1E54</vt:lpwstr>
  </property>
</Properties>
</file>