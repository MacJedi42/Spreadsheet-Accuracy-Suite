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4" i="30"/>
  <c r="K52"/>
  <c r="K50"/>
  <c r="K49"/>
  <c r="K46"/>
  <c r="K57" l="1"/>
  <c r="K56"/>
  <c r="K31"/>
  <c r="K32"/>
  <c r="K33"/>
  <c r="K34"/>
  <c r="K35"/>
  <c r="K36"/>
  <c r="K37"/>
  <c r="K38"/>
  <c r="K39"/>
  <c r="K40"/>
  <c r="K41"/>
  <c r="K42"/>
  <c r="K43"/>
  <c r="K44"/>
  <c r="K48"/>
  <c r="K58"/>
  <c r="K60" l="1"/>
</calcChain>
</file>

<file path=xl/sharedStrings.xml><?xml version="1.0" encoding="utf-8"?>
<sst xmlns="http://schemas.openxmlformats.org/spreadsheetml/2006/main" count="261" uniqueCount="103">
  <si>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</si>
  <si>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</si>
  <si>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</si>
  <si>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</si>
  <si>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</si>
  <si>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</si>
  <si>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</si>
  <si>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</si>
  <si>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</si>
  <si>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</si>
  <si>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</si>
  <si>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</si>
  <si>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</si>
  <si>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</si>
  <si>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</si>
  <si>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</si>
  <si>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</si>
  <si>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</si>
  <si>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</si>
  <si>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</si>
  <si>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</si>
  <si>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</si>
  <si>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</si>
  <si>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</si>
  <si>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</si>
  <si>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</si>
  <si>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</si>
  <si>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</si>
  <si>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</si>
  <si>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</si>
  <si>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</si>
  <si>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</si>
  <si>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</si>
  <si>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</si>
  <si>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</si>
  <si>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</si>
  <si>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</si>
  <si>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</si>
  <si>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</si>
  <si>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</si>
  <si>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</si>
  <si>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</si>
  <si>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</si>
  <si>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</si>
  <si>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</si>
  <si>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</si>
  <si>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</si>
  <si>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</si>
  <si>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</si>
  <si>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</si>
  <si>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</si>
  <si>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</si>
  <si>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</si>
  <si>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</si>
  <si>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</si>
  <si>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</si>
  <si>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</si>
  <si>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</si>
  <si>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</si>
  <si>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</si>
  <si>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</si>
  <si>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</si>
  <si>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</si>
  <si>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</si>
  <si>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</si>
  <si>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</si>
  <si>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</si>
  <si>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</si>
  <si>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</si>
  <si>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</si>
  <si>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</si>
  <si>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</si>
  <si>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</si>
  <si>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</si>
  <si>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</si>
  <si>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</si>
  <si>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</si>
  <si>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</si>
  <si>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</si>
  <si>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</si>
  <si>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</si>
  <si>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</si>
  <si>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</si>
  <si>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</si>
  <si>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$289 each</t>
  </si>
  <si>
    <t>$179 / set</t>
  </si>
  <si>
    <t>** Estimated delivery time is 3-4 weeks.</t>
  </si>
  <si>
    <t>*** AND WILL NOT BE RESOLD ***</t>
  </si>
  <si>
    <t>Jan 1 - Dec 31, 2014</t>
  </si>
  <si>
    <t>$145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</si>
  <si>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</si>
  <si>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</si>
  <si>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</si>
  <si>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</si>
  <si>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Copy of Sales Tax Exemption</t>
  </si>
  <si>
    <t>**Sales tax will be added in KY, WI, OH, and MD if sales tax exemption certificate is not rec'd.**</t>
  </si>
  <si>
    <t>www.naspschools.org</t>
  </si>
  <si>
    <t xml:space="preserve">Sales Tax Exempt Document:  </t>
  </si>
  <si>
    <t>2001 Elmerton Ave.</t>
  </si>
  <si>
    <t>Harrisburg, Pa 17110</t>
  </si>
  <si>
    <t>Fax:     (717) 772-0542</t>
  </si>
  <si>
    <t>Phone: (717) 787-4250 x 3330</t>
  </si>
  <si>
    <t>Email: toholmes@pa.gov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</si>
</sst>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3" name="Rectangle 2"/>
        <xdr:cNvSpPr/>
      </xdr:nvSpPr>
      <xdr:spPr>
        <a:xfrm>
          <a:off x="2419350" y="2581275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2419350" y="2743200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zoomScale="85" zoomScaleNormal="85" workbookViewId="0">
      <selection activeCell="D16" sqref="D16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4" t="s">
        <v>59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5" t="s">
        <v>49</v>
      </c>
      <c r="F3" s="85"/>
      <c r="G3" s="85"/>
      <c r="H3" s="85"/>
      <c r="I3" s="85"/>
      <c r="J3" s="9"/>
      <c r="K3" s="9"/>
      <c r="L3" s="12" t="s">
        <v>76</v>
      </c>
    </row>
    <row r="4" spans="1:18" ht="15.75">
      <c r="B4" s="30" t="s">
        <v>74</v>
      </c>
      <c r="E4" s="85" t="s">
        <v>88</v>
      </c>
      <c r="F4" s="85"/>
      <c r="G4" s="85"/>
      <c r="H4" s="85"/>
      <c r="I4" s="85"/>
      <c r="J4" s="9"/>
      <c r="K4" s="9"/>
      <c r="L4" s="12" t="s">
        <v>77</v>
      </c>
    </row>
    <row r="5" spans="1:18" ht="15.75">
      <c r="B5" s="30" t="s">
        <v>75</v>
      </c>
      <c r="E5" s="32"/>
      <c r="F5" s="32"/>
      <c r="G5" s="32"/>
      <c r="H5" s="86" t="s">
        <v>79</v>
      </c>
      <c r="I5" s="86"/>
      <c r="J5" s="86"/>
      <c r="K5" s="86"/>
      <c r="L5" s="86"/>
    </row>
    <row r="6" spans="1:18" ht="13.5" customHeight="1">
      <c r="E6" s="11"/>
      <c r="F6" s="11"/>
      <c r="G6" s="11"/>
      <c r="H6" s="87" t="s">
        <v>96</v>
      </c>
      <c r="I6" s="88"/>
      <c r="J6" s="88"/>
      <c r="K6" s="88"/>
      <c r="L6" s="88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4" t="s">
        <v>54</v>
      </c>
      <c r="H9" s="74"/>
      <c r="I9" s="7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3" t="s">
        <v>95</v>
      </c>
      <c r="D15" s="83"/>
      <c r="E15" s="83"/>
      <c r="F15" s="83"/>
      <c r="G15" s="83"/>
      <c r="H15" s="83"/>
      <c r="I15" s="83"/>
      <c r="J15" s="83"/>
      <c r="K15" s="83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5"/>
      <c r="J20" s="75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6" t="s">
        <v>81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</row>
    <row r="24" spans="1:13" ht="13.5" thickBot="1">
      <c r="A24" s="79" t="s">
        <v>82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2" t="s">
        <v>60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3" t="s">
        <v>9</v>
      </c>
      <c r="E30" s="73"/>
      <c r="F30" s="73"/>
      <c r="G30" s="73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5" t="s">
        <v>25</v>
      </c>
      <c r="E31" s="66"/>
      <c r="F31" s="66"/>
      <c r="G31" s="66"/>
      <c r="H31" s="13"/>
      <c r="I31" s="27" t="s">
        <v>20</v>
      </c>
      <c r="J31" s="27" t="s">
        <v>42</v>
      </c>
      <c r="K31" s="3"/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5" t="s">
        <v>31</v>
      </c>
      <c r="E32" s="66"/>
      <c r="F32" s="66"/>
      <c r="G32" s="66"/>
      <c r="H32" s="13"/>
      <c r="I32" s="27" t="s">
        <v>20</v>
      </c>
      <c r="J32" s="27" t="s">
        <v>42</v>
      </c>
      <c r="K32" s="3"/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5" t="s">
        <v>32</v>
      </c>
      <c r="E33" s="66"/>
      <c r="F33" s="66"/>
      <c r="G33" s="66"/>
      <c r="H33" s="13"/>
      <c r="I33" s="27" t="s">
        <v>20</v>
      </c>
      <c r="J33" s="27" t="s">
        <v>42</v>
      </c>
      <c r="K33" s="3"/>
      <c r="L33" s="14"/>
      <c r="M33" s="18"/>
    </row>
    <row r="34" spans="1:13" ht="15.95" customHeight="1">
      <c r="A34" s="18"/>
      <c r="B34" s="18"/>
      <c r="C34" s="27">
        <v>10474</v>
      </c>
      <c r="D34" s="65" t="s">
        <v>33</v>
      </c>
      <c r="E34" s="66"/>
      <c r="F34" s="66"/>
      <c r="G34" s="66"/>
      <c r="H34" s="13"/>
      <c r="I34" s="27" t="s">
        <v>20</v>
      </c>
      <c r="J34" s="27" t="s">
        <v>42</v>
      </c>
      <c r="K34" s="3"/>
      <c r="L34" s="14"/>
      <c r="M34" s="18"/>
    </row>
    <row r="35" spans="1:13" ht="15.95" customHeight="1">
      <c r="A35" s="18"/>
      <c r="B35" s="18"/>
      <c r="C35" s="27">
        <v>10472</v>
      </c>
      <c r="D35" s="69" t="s">
        <v>34</v>
      </c>
      <c r="E35" s="70"/>
      <c r="F35" s="70"/>
      <c r="G35" s="70"/>
      <c r="H35" s="13"/>
      <c r="I35" s="27" t="s">
        <v>20</v>
      </c>
      <c r="J35" s="27" t="s">
        <v>42</v>
      </c>
      <c r="K35" s="3"/>
      <c r="L35" s="14"/>
      <c r="M35" s="18"/>
    </row>
    <row r="36" spans="1:13" ht="15.95" customHeight="1">
      <c r="A36" s="18"/>
      <c r="B36" s="18"/>
      <c r="C36" s="31">
        <v>11409</v>
      </c>
      <c r="D36" s="65" t="s">
        <v>37</v>
      </c>
      <c r="E36" s="66"/>
      <c r="F36" s="66"/>
      <c r="G36" s="66"/>
      <c r="H36" s="13"/>
      <c r="I36" s="27" t="s">
        <v>20</v>
      </c>
      <c r="J36" s="27" t="s">
        <v>42</v>
      </c>
      <c r="K36" s="3"/>
      <c r="L36" s="14"/>
      <c r="M36" s="18"/>
    </row>
    <row r="37" spans="1:13" ht="15.95" customHeight="1">
      <c r="A37" s="18"/>
      <c r="B37" s="18"/>
      <c r="C37" s="31">
        <v>12232</v>
      </c>
      <c r="D37" s="65" t="s">
        <v>50</v>
      </c>
      <c r="E37" s="66"/>
      <c r="F37" s="66"/>
      <c r="G37" s="66"/>
      <c r="H37" s="13"/>
      <c r="I37" s="27" t="s">
        <v>20</v>
      </c>
      <c r="J37" s="27" t="s">
        <v>42</v>
      </c>
      <c r="K37" s="3"/>
      <c r="L37" s="14"/>
      <c r="M37" s="18"/>
    </row>
    <row r="38" spans="1:13" ht="15.95" customHeight="1">
      <c r="A38" s="18"/>
      <c r="B38" s="18"/>
      <c r="C38" s="27">
        <v>10477</v>
      </c>
      <c r="D38" s="71" t="s">
        <v>30</v>
      </c>
      <c r="E38" s="72"/>
      <c r="F38" s="72"/>
      <c r="G38" s="72"/>
      <c r="H38" s="13"/>
      <c r="I38" s="27" t="s">
        <v>20</v>
      </c>
      <c r="J38" s="27" t="s">
        <v>42</v>
      </c>
      <c r="K38" s="3"/>
      <c r="L38" s="14"/>
      <c r="M38" s="18"/>
    </row>
    <row r="39" spans="1:13" ht="15.95" customHeight="1">
      <c r="A39" s="18"/>
      <c r="B39" s="18"/>
      <c r="C39" s="27">
        <v>10475</v>
      </c>
      <c r="D39" s="65" t="s">
        <v>29</v>
      </c>
      <c r="E39" s="66"/>
      <c r="F39" s="66"/>
      <c r="G39" s="66"/>
      <c r="H39" s="13"/>
      <c r="I39" s="27" t="s">
        <v>20</v>
      </c>
      <c r="J39" s="27" t="s">
        <v>42</v>
      </c>
      <c r="K39" s="3"/>
      <c r="L39" s="14"/>
      <c r="M39" s="18"/>
    </row>
    <row r="40" spans="1:13" ht="15.95" customHeight="1">
      <c r="A40" s="18"/>
      <c r="B40" s="18"/>
      <c r="C40" s="27">
        <v>10479</v>
      </c>
      <c r="D40" s="65" t="s">
        <v>28</v>
      </c>
      <c r="E40" s="66"/>
      <c r="F40" s="66"/>
      <c r="G40" s="66"/>
      <c r="H40" s="13"/>
      <c r="I40" s="27" t="s">
        <v>20</v>
      </c>
      <c r="J40" s="27" t="s">
        <v>42</v>
      </c>
      <c r="K40" s="3"/>
      <c r="L40" s="14"/>
      <c r="M40" s="18"/>
    </row>
    <row r="41" spans="1:13" ht="15.95" customHeight="1">
      <c r="A41" s="18"/>
      <c r="B41" s="18"/>
      <c r="C41" s="27">
        <v>10473</v>
      </c>
      <c r="D41" s="65" t="s">
        <v>27</v>
      </c>
      <c r="E41" s="66"/>
      <c r="F41" s="66"/>
      <c r="G41" s="66"/>
      <c r="H41" s="15"/>
      <c r="I41" s="27" t="s">
        <v>20</v>
      </c>
      <c r="J41" s="27" t="s">
        <v>42</v>
      </c>
      <c r="K41" s="3"/>
      <c r="L41" s="14"/>
      <c r="M41" s="18"/>
    </row>
    <row r="42" spans="1:13" ht="15.95" customHeight="1">
      <c r="A42" s="18"/>
      <c r="B42" s="18"/>
      <c r="C42" s="27">
        <v>10471</v>
      </c>
      <c r="D42" s="69" t="s">
        <v>26</v>
      </c>
      <c r="E42" s="70"/>
      <c r="F42" s="70"/>
      <c r="G42" s="70"/>
      <c r="H42" s="15"/>
      <c r="I42" s="27" t="s">
        <v>20</v>
      </c>
      <c r="J42" s="27" t="s">
        <v>42</v>
      </c>
      <c r="K42" s="3"/>
      <c r="L42" s="14"/>
      <c r="M42" s="18"/>
    </row>
    <row r="43" spans="1:13" ht="15.95" customHeight="1">
      <c r="A43" s="18"/>
      <c r="B43" s="18"/>
      <c r="C43" s="31">
        <v>11410</v>
      </c>
      <c r="D43" s="65" t="s">
        <v>38</v>
      </c>
      <c r="E43" s="66"/>
      <c r="F43" s="66"/>
      <c r="G43" s="66"/>
      <c r="H43" s="15"/>
      <c r="I43" s="27" t="s">
        <v>20</v>
      </c>
      <c r="J43" s="27" t="s">
        <v>42</v>
      </c>
      <c r="K43" s="3"/>
      <c r="L43" s="14"/>
      <c r="M43" s="18"/>
    </row>
    <row r="44" spans="1:13" ht="15.95" customHeight="1">
      <c r="A44" s="18"/>
      <c r="B44" s="18"/>
      <c r="C44" s="31">
        <v>12231</v>
      </c>
      <c r="D44" s="65" t="s">
        <v>51</v>
      </c>
      <c r="E44" s="66"/>
      <c r="F44" s="66"/>
      <c r="G44" s="66"/>
      <c r="H44" s="15"/>
      <c r="I44" s="27" t="s">
        <v>20</v>
      </c>
      <c r="J44" s="27" t="s">
        <v>42</v>
      </c>
      <c r="K44" s="3"/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8" t="s">
        <v>58</v>
      </c>
      <c r="E46" s="66"/>
      <c r="F46" s="66"/>
      <c r="G46" s="66"/>
      <c r="H46" s="13"/>
      <c r="I46" s="27" t="s">
        <v>55</v>
      </c>
      <c r="J46" s="27" t="s">
        <v>89</v>
      </c>
      <c r="K46" s="3"/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56"/>
      <c r="J47" s="56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7" t="s">
        <v>35</v>
      </c>
      <c r="E48" s="66"/>
      <c r="F48" s="66"/>
      <c r="G48" s="66"/>
      <c r="H48" s="13"/>
      <c r="I48" s="27" t="s">
        <v>20</v>
      </c>
      <c r="J48" s="27" t="s">
        <v>57</v>
      </c>
      <c r="K48" s="3"/>
      <c r="L48" s="16"/>
      <c r="M48" s="18"/>
    </row>
    <row r="49" spans="1:13" ht="15.95" customHeight="1">
      <c r="A49" s="18"/>
      <c r="B49" s="2"/>
      <c r="C49" s="27">
        <v>10921</v>
      </c>
      <c r="D49" s="67" t="s">
        <v>44</v>
      </c>
      <c r="E49" s="66"/>
      <c r="F49" s="66"/>
      <c r="G49" s="66"/>
      <c r="H49" s="13"/>
      <c r="I49" s="27" t="s">
        <v>20</v>
      </c>
      <c r="J49" s="27" t="s">
        <v>90</v>
      </c>
      <c r="K49" s="3"/>
      <c r="L49" s="16"/>
      <c r="M49" s="18"/>
    </row>
    <row r="50" spans="1:13" ht="15.95" customHeight="1">
      <c r="A50" s="18"/>
      <c r="B50" s="2"/>
      <c r="C50" s="27">
        <v>10994</v>
      </c>
      <c r="D50" s="67" t="s">
        <v>46</v>
      </c>
      <c r="E50" s="66"/>
      <c r="F50" s="66"/>
      <c r="G50" s="66"/>
      <c r="H50" s="13"/>
      <c r="I50" s="27" t="s">
        <v>20</v>
      </c>
      <c r="J50" s="27" t="s">
        <v>83</v>
      </c>
      <c r="K50" s="3"/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56"/>
      <c r="J51" s="56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7" t="s">
        <v>48</v>
      </c>
      <c r="E52" s="66"/>
      <c r="F52" s="66"/>
      <c r="G52" s="66"/>
      <c r="H52" s="13"/>
      <c r="I52" s="27" t="s">
        <v>20</v>
      </c>
      <c r="J52" s="27" t="s">
        <v>91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5" t="s">
        <v>93</v>
      </c>
      <c r="E54" s="66"/>
      <c r="F54" s="66"/>
      <c r="G54" s="66"/>
      <c r="H54" s="13"/>
      <c r="I54" s="27" t="s">
        <v>21</v>
      </c>
      <c r="J54" s="27" t="s">
        <v>92</v>
      </c>
      <c r="K54" s="3"/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7" t="s">
        <v>36</v>
      </c>
      <c r="E56" s="66"/>
      <c r="F56" s="66"/>
      <c r="G56" s="66"/>
      <c r="H56" s="13"/>
      <c r="I56" s="27" t="s">
        <v>20</v>
      </c>
      <c r="J56" s="27" t="s">
        <v>84</v>
      </c>
      <c r="K56" s="3"/>
      <c r="L56" s="16"/>
      <c r="M56" s="18"/>
    </row>
    <row r="57" spans="1:13" ht="15.95" customHeight="1">
      <c r="A57" s="18"/>
      <c r="B57" s="2"/>
      <c r="C57" s="27">
        <v>11576</v>
      </c>
      <c r="D57" s="67" t="s">
        <v>39</v>
      </c>
      <c r="E57" s="66"/>
      <c r="F57" s="66"/>
      <c r="G57" s="66"/>
      <c r="H57" s="13"/>
      <c r="I57" s="27" t="s">
        <v>72</v>
      </c>
      <c r="J57" s="27" t="s">
        <v>85</v>
      </c>
      <c r="K57" s="3"/>
      <c r="L57" s="16"/>
      <c r="M57" s="18"/>
    </row>
    <row r="58" spans="1:13" ht="15.95" customHeight="1">
      <c r="A58" s="18"/>
      <c r="B58" s="2"/>
      <c r="C58" s="27">
        <v>12026</v>
      </c>
      <c r="D58" s="67" t="s">
        <v>47</v>
      </c>
      <c r="E58" s="66"/>
      <c r="F58" s="66"/>
      <c r="G58" s="66"/>
      <c r="H58" s="13"/>
      <c r="I58" s="27" t="s">
        <v>20</v>
      </c>
      <c r="J58" s="27" t="s">
        <v>66</v>
      </c>
      <c r="K58" s="3"/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/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2" t="s">
        <v>80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4"/>
      <c r="M67" s="51"/>
    </row>
    <row r="68" spans="1:13" ht="15.75" thickBot="1">
      <c r="A68" s="59" t="s">
        <v>87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1"/>
    </row>
  </sheetData>
  <mergeCells count="37">
    <mergeCell ref="B1:L1"/>
    <mergeCell ref="E3:I3"/>
    <mergeCell ref="E4:I4"/>
    <mergeCell ref="H5:L5"/>
    <mergeCell ref="H6:L6"/>
    <mergeCell ref="G9:I9"/>
    <mergeCell ref="I20:J20"/>
    <mergeCell ref="A23:M23"/>
    <mergeCell ref="A24:M24"/>
    <mergeCell ref="A28:M28"/>
    <mergeCell ref="C15:K15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6:G46"/>
    <mergeCell ref="D48:G48"/>
    <mergeCell ref="D49:G49"/>
    <mergeCell ref="D50:G50"/>
    <mergeCell ref="D52:G52"/>
    <mergeCell ref="A68:L68"/>
    <mergeCell ref="A67:L67"/>
    <mergeCell ref="D54:G54"/>
    <mergeCell ref="D56:G56"/>
    <mergeCell ref="D57:G57"/>
    <mergeCell ref="D58:G58"/>
  </mergeCells>
  <hyperlinks>
    <hyperlink ref="H6" r:id="rId1"/>
  </hyperlinks>
  <pageMargins left="0.33" right="0.27" top="0.2" bottom="0.2" header="0.21" footer="0.17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tabSelected="1" zoomScale="85" zoomScaleNormal="85" workbookViewId="0">
      <selection activeCell="H5" sqref="H5:L5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4" t="s">
        <v>59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5" t="s">
        <v>49</v>
      </c>
      <c r="F3" s="85"/>
      <c r="G3" s="85"/>
      <c r="H3" s="85"/>
      <c r="I3" s="85"/>
      <c r="J3" s="9"/>
      <c r="K3" s="9"/>
      <c r="L3" s="58" t="s">
        <v>101</v>
      </c>
    </row>
    <row r="4" spans="1:18" ht="15.75">
      <c r="B4" s="30" t="s">
        <v>98</v>
      </c>
      <c r="E4" s="85" t="s">
        <v>88</v>
      </c>
      <c r="F4" s="85"/>
      <c r="G4" s="85"/>
      <c r="H4" s="85"/>
      <c r="I4" s="85"/>
      <c r="J4" s="9"/>
      <c r="K4" s="9"/>
      <c r="L4" s="57" t="s">
        <v>100</v>
      </c>
    </row>
    <row r="5" spans="1:18" ht="15.75">
      <c r="B5" s="30" t="s">
        <v>99</v>
      </c>
      <c r="E5" s="32"/>
      <c r="F5" s="32"/>
      <c r="G5" s="32"/>
      <c r="H5" s="86" t="s">
        <v>102</v>
      </c>
      <c r="I5" s="86"/>
      <c r="J5" s="86"/>
      <c r="K5" s="86"/>
      <c r="L5" s="86"/>
    </row>
    <row r="6" spans="1:18" ht="13.5" customHeight="1">
      <c r="E6" s="11"/>
      <c r="F6" s="11"/>
      <c r="G6" s="11"/>
      <c r="H6" s="87"/>
      <c r="I6" s="88"/>
      <c r="J6" s="88"/>
      <c r="K6" s="88"/>
      <c r="L6" s="88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4" t="s">
        <v>54</v>
      </c>
      <c r="H9" s="74"/>
      <c r="I9" s="7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3" t="s">
        <v>95</v>
      </c>
      <c r="D15" s="83"/>
      <c r="E15" s="83"/>
      <c r="F15" s="83"/>
      <c r="G15" s="83"/>
      <c r="H15" s="83"/>
      <c r="I15" s="83"/>
      <c r="J15" s="83"/>
      <c r="K15" s="83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5"/>
      <c r="J20" s="75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6" t="s">
        <v>81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</row>
    <row r="24" spans="1:13" ht="13.5" thickBot="1">
      <c r="A24" s="79" t="s">
        <v>82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2" t="s">
        <v>60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3" t="s">
        <v>9</v>
      </c>
      <c r="E30" s="73"/>
      <c r="F30" s="73"/>
      <c r="G30" s="73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5" t="s">
        <v>25</v>
      </c>
      <c r="E31" s="66"/>
      <c r="F31" s="66"/>
      <c r="G31" s="66"/>
      <c r="H31" s="13">
        <v>2</v>
      </c>
      <c r="I31" s="27" t="s">
        <v>20</v>
      </c>
      <c r="J31" s="27" t="s">
        <v>42</v>
      </c>
      <c r="K31" s="3">
        <f>H31*111</f>
        <v>222</v>
      </c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5" t="s">
        <v>31</v>
      </c>
      <c r="E32" s="66"/>
      <c r="F32" s="66"/>
      <c r="G32" s="66"/>
      <c r="H32" s="13">
        <v>2</v>
      </c>
      <c r="I32" s="27" t="s">
        <v>20</v>
      </c>
      <c r="J32" s="27" t="s">
        <v>42</v>
      </c>
      <c r="K32" s="3">
        <f t="shared" ref="K32:K44" si="0">H32*111</f>
        <v>222</v>
      </c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5" t="s">
        <v>32</v>
      </c>
      <c r="E33" s="66"/>
      <c r="F33" s="66"/>
      <c r="G33" s="66"/>
      <c r="H33" s="13">
        <v>2</v>
      </c>
      <c r="I33" s="27" t="s">
        <v>20</v>
      </c>
      <c r="J33" s="27" t="s">
        <v>42</v>
      </c>
      <c r="K33" s="3">
        <f t="shared" si="0"/>
        <v>222</v>
      </c>
      <c r="L33" s="14"/>
      <c r="M33" s="18"/>
    </row>
    <row r="34" spans="1:13" ht="15.95" customHeight="1">
      <c r="A34" s="18"/>
      <c r="B34" s="18"/>
      <c r="C34" s="27">
        <v>10474</v>
      </c>
      <c r="D34" s="65" t="s">
        <v>33</v>
      </c>
      <c r="E34" s="66"/>
      <c r="F34" s="66"/>
      <c r="G34" s="66"/>
      <c r="H34" s="13">
        <v>2</v>
      </c>
      <c r="I34" s="27" t="s">
        <v>20</v>
      </c>
      <c r="J34" s="27" t="s">
        <v>42</v>
      </c>
      <c r="K34" s="3">
        <f t="shared" si="0"/>
        <v>222</v>
      </c>
      <c r="L34" s="14"/>
      <c r="M34" s="18"/>
    </row>
    <row r="35" spans="1:13" ht="15.95" customHeight="1">
      <c r="A35" s="18"/>
      <c r="B35" s="18"/>
      <c r="C35" s="27">
        <v>10472</v>
      </c>
      <c r="D35" s="69" t="s">
        <v>34</v>
      </c>
      <c r="E35" s="70"/>
      <c r="F35" s="70"/>
      <c r="G35" s="70"/>
      <c r="H35" s="13">
        <v>2</v>
      </c>
      <c r="I35" s="27" t="s">
        <v>20</v>
      </c>
      <c r="J35" s="27" t="s">
        <v>42</v>
      </c>
      <c r="K35" s="3">
        <f t="shared" si="0"/>
        <v>222</v>
      </c>
      <c r="L35" s="14"/>
      <c r="M35" s="18"/>
    </row>
    <row r="36" spans="1:13" ht="15.95" customHeight="1">
      <c r="A36" s="18"/>
      <c r="B36" s="18"/>
      <c r="C36" s="31">
        <v>11409</v>
      </c>
      <c r="D36" s="65" t="s">
        <v>37</v>
      </c>
      <c r="E36" s="66"/>
      <c r="F36" s="66"/>
      <c r="G36" s="66"/>
      <c r="H36" s="13"/>
      <c r="I36" s="27" t="s">
        <v>20</v>
      </c>
      <c r="J36" s="27" t="s">
        <v>42</v>
      </c>
      <c r="K36" s="3">
        <f t="shared" si="0"/>
        <v>0</v>
      </c>
      <c r="L36" s="14"/>
      <c r="M36" s="18"/>
    </row>
    <row r="37" spans="1:13" ht="15.95" customHeight="1">
      <c r="A37" s="18"/>
      <c r="B37" s="18"/>
      <c r="C37" s="31">
        <v>12232</v>
      </c>
      <c r="D37" s="65" t="s">
        <v>50</v>
      </c>
      <c r="E37" s="66"/>
      <c r="F37" s="66"/>
      <c r="G37" s="66"/>
      <c r="H37" s="13"/>
      <c r="I37" s="27" t="s">
        <v>20</v>
      </c>
      <c r="J37" s="27" t="s">
        <v>42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10477</v>
      </c>
      <c r="D38" s="71" t="s">
        <v>30</v>
      </c>
      <c r="E38" s="72"/>
      <c r="F38" s="72"/>
      <c r="G38" s="72"/>
      <c r="H38" s="13"/>
      <c r="I38" s="27" t="s">
        <v>20</v>
      </c>
      <c r="J38" s="27" t="s">
        <v>42</v>
      </c>
      <c r="K38" s="3">
        <f>H38*111</f>
        <v>0</v>
      </c>
      <c r="L38" s="14"/>
      <c r="M38" s="18"/>
    </row>
    <row r="39" spans="1:13" ht="15.95" customHeight="1">
      <c r="A39" s="18"/>
      <c r="B39" s="18"/>
      <c r="C39" s="27">
        <v>10475</v>
      </c>
      <c r="D39" s="65" t="s">
        <v>29</v>
      </c>
      <c r="E39" s="66"/>
      <c r="F39" s="66"/>
      <c r="G39" s="66"/>
      <c r="H39" s="13"/>
      <c r="I39" s="27" t="s">
        <v>20</v>
      </c>
      <c r="J39" s="27" t="s">
        <v>42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10479</v>
      </c>
      <c r="D40" s="65" t="s">
        <v>28</v>
      </c>
      <c r="E40" s="66"/>
      <c r="F40" s="66"/>
      <c r="G40" s="66"/>
      <c r="H40" s="13"/>
      <c r="I40" s="27" t="s">
        <v>20</v>
      </c>
      <c r="J40" s="27" t="s">
        <v>42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27">
        <v>10473</v>
      </c>
      <c r="D41" s="65" t="s">
        <v>27</v>
      </c>
      <c r="E41" s="66"/>
      <c r="F41" s="66"/>
      <c r="G41" s="66"/>
      <c r="H41" s="15"/>
      <c r="I41" s="27" t="s">
        <v>20</v>
      </c>
      <c r="J41" s="27" t="s">
        <v>42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27">
        <v>10471</v>
      </c>
      <c r="D42" s="69" t="s">
        <v>26</v>
      </c>
      <c r="E42" s="70"/>
      <c r="F42" s="70"/>
      <c r="G42" s="70"/>
      <c r="H42" s="15"/>
      <c r="I42" s="27" t="s">
        <v>20</v>
      </c>
      <c r="J42" s="27" t="s">
        <v>42</v>
      </c>
      <c r="K42" s="3">
        <f t="shared" si="0"/>
        <v>0</v>
      </c>
      <c r="L42" s="14"/>
      <c r="M42" s="18"/>
    </row>
    <row r="43" spans="1:13" ht="15.95" customHeight="1">
      <c r="A43" s="18"/>
      <c r="B43" s="18"/>
      <c r="C43" s="31">
        <v>11410</v>
      </c>
      <c r="D43" s="65" t="s">
        <v>38</v>
      </c>
      <c r="E43" s="66"/>
      <c r="F43" s="66"/>
      <c r="G43" s="66"/>
      <c r="H43" s="15">
        <v>2</v>
      </c>
      <c r="I43" s="27" t="s">
        <v>20</v>
      </c>
      <c r="J43" s="27" t="s">
        <v>42</v>
      </c>
      <c r="K43" s="3">
        <f t="shared" si="0"/>
        <v>222</v>
      </c>
      <c r="L43" s="14"/>
      <c r="M43" s="18"/>
    </row>
    <row r="44" spans="1:13" ht="15.95" customHeight="1">
      <c r="A44" s="18"/>
      <c r="B44" s="18"/>
      <c r="C44" s="31">
        <v>12231</v>
      </c>
      <c r="D44" s="65" t="s">
        <v>51</v>
      </c>
      <c r="E44" s="66"/>
      <c r="F44" s="66"/>
      <c r="G44" s="66"/>
      <c r="H44" s="15"/>
      <c r="I44" s="27" t="s">
        <v>20</v>
      </c>
      <c r="J44" s="27" t="s">
        <v>42</v>
      </c>
      <c r="K44" s="3">
        <f t="shared" si="0"/>
        <v>0</v>
      </c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8" t="s">
        <v>58</v>
      </c>
      <c r="E46" s="66"/>
      <c r="F46" s="66"/>
      <c r="G46" s="66"/>
      <c r="H46" s="13">
        <v>2</v>
      </c>
      <c r="I46" s="27" t="s">
        <v>55</v>
      </c>
      <c r="J46" s="27" t="s">
        <v>89</v>
      </c>
      <c r="K46" s="3">
        <f>H46*145</f>
        <v>290</v>
      </c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25"/>
      <c r="J47" s="25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7" t="s">
        <v>35</v>
      </c>
      <c r="E48" s="66"/>
      <c r="F48" s="66"/>
      <c r="G48" s="66"/>
      <c r="H48" s="13">
        <v>5</v>
      </c>
      <c r="I48" s="27" t="s">
        <v>20</v>
      </c>
      <c r="J48" s="27" t="s">
        <v>57</v>
      </c>
      <c r="K48" s="3">
        <f>H48*156</f>
        <v>780</v>
      </c>
      <c r="L48" s="16"/>
      <c r="M48" s="18"/>
    </row>
    <row r="49" spans="1:13" ht="15.95" customHeight="1">
      <c r="A49" s="18"/>
      <c r="B49" s="2"/>
      <c r="C49" s="27">
        <v>10921</v>
      </c>
      <c r="D49" s="67" t="s">
        <v>44</v>
      </c>
      <c r="E49" s="66"/>
      <c r="F49" s="66"/>
      <c r="G49" s="66"/>
      <c r="H49" s="13"/>
      <c r="I49" s="27" t="s">
        <v>20</v>
      </c>
      <c r="J49" s="27" t="s">
        <v>90</v>
      </c>
      <c r="K49" s="3">
        <f>H49*199</f>
        <v>0</v>
      </c>
      <c r="L49" s="16"/>
      <c r="M49" s="18"/>
    </row>
    <row r="50" spans="1:13" ht="15.95" customHeight="1">
      <c r="A50" s="18"/>
      <c r="B50" s="2"/>
      <c r="C50" s="27">
        <v>10994</v>
      </c>
      <c r="D50" s="67" t="s">
        <v>46</v>
      </c>
      <c r="E50" s="66"/>
      <c r="F50" s="66"/>
      <c r="G50" s="66"/>
      <c r="H50" s="13"/>
      <c r="I50" s="27" t="s">
        <v>20</v>
      </c>
      <c r="J50" s="27" t="s">
        <v>83</v>
      </c>
      <c r="K50" s="3">
        <f>H50*189</f>
        <v>0</v>
      </c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25"/>
      <c r="J51" s="25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7" t="s">
        <v>48</v>
      </c>
      <c r="E52" s="66"/>
      <c r="F52" s="66"/>
      <c r="G52" s="66"/>
      <c r="H52" s="13">
        <v>1</v>
      </c>
      <c r="I52" s="27" t="s">
        <v>20</v>
      </c>
      <c r="J52" s="27" t="s">
        <v>91</v>
      </c>
      <c r="K52" s="3">
        <f>H52*300</f>
        <v>300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5" t="s">
        <v>93</v>
      </c>
      <c r="E54" s="66"/>
      <c r="F54" s="66"/>
      <c r="G54" s="66"/>
      <c r="H54" s="13">
        <v>1</v>
      </c>
      <c r="I54" s="27" t="s">
        <v>21</v>
      </c>
      <c r="J54" s="27" t="s">
        <v>92</v>
      </c>
      <c r="K54" s="3">
        <f>H54*99</f>
        <v>99</v>
      </c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7" t="s">
        <v>36</v>
      </c>
      <c r="E56" s="66"/>
      <c r="F56" s="66"/>
      <c r="G56" s="66"/>
      <c r="H56" s="13">
        <v>1</v>
      </c>
      <c r="I56" s="27" t="s">
        <v>20</v>
      </c>
      <c r="J56" s="27" t="s">
        <v>84</v>
      </c>
      <c r="K56" s="3">
        <f>H56*289</f>
        <v>289</v>
      </c>
      <c r="L56" s="16"/>
      <c r="M56" s="18"/>
    </row>
    <row r="57" spans="1:13" ht="15.95" customHeight="1">
      <c r="A57" s="18"/>
      <c r="B57" s="2"/>
      <c r="C57" s="27">
        <v>11576</v>
      </c>
      <c r="D57" s="67" t="s">
        <v>39</v>
      </c>
      <c r="E57" s="66"/>
      <c r="F57" s="66"/>
      <c r="G57" s="66"/>
      <c r="H57" s="13"/>
      <c r="I57" s="27" t="s">
        <v>72</v>
      </c>
      <c r="J57" s="27" t="s">
        <v>85</v>
      </c>
      <c r="K57" s="3">
        <f>H57*179</f>
        <v>0</v>
      </c>
      <c r="L57" s="16"/>
      <c r="M57" s="18"/>
    </row>
    <row r="58" spans="1:13" ht="15.95" customHeight="1">
      <c r="A58" s="18"/>
      <c r="B58" s="2"/>
      <c r="C58" s="27">
        <v>12026</v>
      </c>
      <c r="D58" s="67" t="s">
        <v>47</v>
      </c>
      <c r="E58" s="66"/>
      <c r="F58" s="66"/>
      <c r="G58" s="66"/>
      <c r="H58" s="13"/>
      <c r="I58" s="27" t="s">
        <v>20</v>
      </c>
      <c r="J58" s="27" t="s">
        <v>66</v>
      </c>
      <c r="K58" s="3">
        <f>H58*158</f>
        <v>0</v>
      </c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>
        <f>SUM(K31:K58)</f>
        <v>3090</v>
      </c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2" t="s">
        <v>80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4"/>
      <c r="M67" s="51"/>
    </row>
    <row r="68" spans="1:13" ht="15.75" thickBot="1">
      <c r="A68" s="59" t="s">
        <v>87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1"/>
    </row>
  </sheetData>
  <mergeCells count="37">
    <mergeCell ref="C15:K15"/>
    <mergeCell ref="A67:L67"/>
    <mergeCell ref="D43:G43"/>
    <mergeCell ref="D44:G44"/>
    <mergeCell ref="D54:G54"/>
    <mergeCell ref="D56:G56"/>
    <mergeCell ref="D57:G57"/>
    <mergeCell ref="D58:G58"/>
    <mergeCell ref="D46:G46"/>
    <mergeCell ref="D48:G48"/>
    <mergeCell ref="D33:G33"/>
    <mergeCell ref="D52:G52"/>
    <mergeCell ref="D39:G39"/>
    <mergeCell ref="D40:G40"/>
    <mergeCell ref="D41:G41"/>
    <mergeCell ref="D42:G42"/>
    <mergeCell ref="D34:G34"/>
    <mergeCell ref="D35:G35"/>
    <mergeCell ref="D36:G36"/>
    <mergeCell ref="D37:G37"/>
    <mergeCell ref="D38:G38"/>
    <mergeCell ref="A68:L68"/>
    <mergeCell ref="I20:J20"/>
    <mergeCell ref="G9:I9"/>
    <mergeCell ref="B1:L1"/>
    <mergeCell ref="E3:I3"/>
    <mergeCell ref="E4:I4"/>
    <mergeCell ref="H5:L5"/>
    <mergeCell ref="H6:L6"/>
    <mergeCell ref="D30:G30"/>
    <mergeCell ref="D31:G31"/>
    <mergeCell ref="A28:M28"/>
    <mergeCell ref="A23:M23"/>
    <mergeCell ref="A24:M24"/>
    <mergeCell ref="D32:G32"/>
    <mergeCell ref="D49:G49"/>
    <mergeCell ref="D50:G50"/>
  </mergeCells>
  <pageMargins left="0.33" right="0.27" top="0.2" bottom="0.2" header="0.21" footer="0.17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2013-11-02T04:10:49Z</cp:lastPrinted>
  <dcterms:created xsi:type="dcterms:W3CDTF">2003-01-09T21:56:35Z</dcterms:created>
  <dcterms:modified xsi:type="dcterms:W3CDTF">2014-04-01T16:43:31Z</dcterms:modified>
</cp:coreProperties>
</file>