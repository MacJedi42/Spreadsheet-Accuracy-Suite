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11.xml" ContentType="application/vnd.openxmlformats-officedocument.drawing+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75" yWindow="-45" windowWidth="18090" windowHeight="3660" tabRatio="808"/>
  </bookViews>
  <sheets>
    <sheet name="Index" sheetId="62" r:id="rId1"/>
    <sheet name="Almanac" sheetId="57" r:id="rId2"/>
    <sheet name="HRI_IE_Research" sheetId="61" r:id="rId3"/>
    <sheet name="Accountability" sheetId="58" state="hidden" r:id="rId4"/>
    <sheet name="List" sheetId="50" r:id="rId5"/>
    <sheet name="Summary" sheetId="60" r:id="rId6"/>
    <sheet name="SWM" sheetId="1" r:id="rId7"/>
    <sheet name="MBG" sheetId="5" r:id="rId8"/>
    <sheet name="HSH" sheetId="6" r:id="rId9"/>
    <sheet name="HSSA" sheetId="7" r:id="rId10"/>
    <sheet name="MDA" sheetId="8" r:id="rId11"/>
    <sheet name="THC" sheetId="9" r:id="rId12"/>
    <sheet name="TAMHSC" sheetId="10" r:id="rId13"/>
    <sheet name="UNTHSC" sheetId="11" r:id="rId14"/>
    <sheet name="TTUHSC" sheetId="12" r:id="rId15"/>
    <sheet name="Input" sheetId="2" r:id="rId16"/>
    <sheet name="Names" sheetId="4" r:id="rId17"/>
    <sheet name="FTSE" sheetId="59" r:id="rId18"/>
    <sheet name="Summary (2)" sheetId="54"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0506New" localSheetId="0">#REF!</definedName>
    <definedName name="__0506New">#REF!</definedName>
    <definedName name="__2006_07_New_Total" localSheetId="0">#REF!</definedName>
    <definedName name="__2006_07_New_Total">#REF!</definedName>
    <definedName name="__2006_07SF" localSheetId="0">#REF!</definedName>
    <definedName name="__2006_07SF">#REF!</definedName>
    <definedName name="__2007_08">#REF!</definedName>
    <definedName name="_01_02">#REF!</definedName>
    <definedName name="_02_03">#REF!</definedName>
    <definedName name="_0405">#REF!</definedName>
    <definedName name="_0506New">#REF!</definedName>
    <definedName name="_0506tot">'[1]FY 2005-06'!$A$1:$F$77</definedName>
    <definedName name="_2005_06_SF" localSheetId="0">#REF!</definedName>
    <definedName name="_2005_06_SF">#REF!</definedName>
    <definedName name="_2005_06_Total" localSheetId="0">#REF!</definedName>
    <definedName name="_2005_06_Total">#REF!</definedName>
    <definedName name="_2006_07_New_Total" localSheetId="0">#REF!</definedName>
    <definedName name="_2006_07_New_Total">#REF!</definedName>
    <definedName name="_2006_07SF">#REF!</definedName>
    <definedName name="_2007_08">#REF!</definedName>
    <definedName name="_3_2006_07_New_Total">#REF!</definedName>
    <definedName name="_4_2006_07SF">#REF!</definedName>
    <definedName name="_8_2006_07_New_SF">#REF!</definedName>
    <definedName name="_Order1" hidden="1">255</definedName>
    <definedName name="_Order2" hidden="1">255</definedName>
    <definedName name="_Sort" localSheetId="3" hidden="1">#REF!</definedName>
    <definedName name="_Sort" localSheetId="1" hidden="1">#REF!</definedName>
    <definedName name="_Sort" localSheetId="17" hidden="1">#REF!</definedName>
    <definedName name="_Sort" localSheetId="2" hidden="1">#REF!</definedName>
    <definedName name="_Sort" localSheetId="8" hidden="1">#REF!</definedName>
    <definedName name="_Sort" localSheetId="9" hidden="1">#REF!</definedName>
    <definedName name="_Sort" localSheetId="0" hidden="1">#REF!</definedName>
    <definedName name="_Sort" localSheetId="15" hidden="1">#REF!</definedName>
    <definedName name="_Sort" localSheetId="4" hidden="1">#REF!</definedName>
    <definedName name="_Sort" localSheetId="7" hidden="1">#REF!</definedName>
    <definedName name="_Sort" localSheetId="10" hidden="1">#REF!</definedName>
    <definedName name="_Sort" localSheetId="5" hidden="1">#REF!</definedName>
    <definedName name="_Sort" localSheetId="18" hidden="1">#REF!</definedName>
    <definedName name="_Sort" localSheetId="12" hidden="1">#REF!</definedName>
    <definedName name="_Sort" localSheetId="11" hidden="1">#REF!</definedName>
    <definedName name="_Sort" localSheetId="14" hidden="1">#REF!</definedName>
    <definedName name="_Sort" localSheetId="13" hidden="1">#REF!</definedName>
    <definedName name="_Sort" hidden="1">#REF!</definedName>
    <definedName name="AMTLU" localSheetId="3">[2]Names!$B$11:$I$69</definedName>
    <definedName name="AMTLU" localSheetId="1">[2]Names!$B$11:$I$69</definedName>
    <definedName name="AMTLU" localSheetId="17">[3]Names!$B$75:$I$83</definedName>
    <definedName name="AMTLU" localSheetId="2">[4]Names!$B$11:$I$69</definedName>
    <definedName name="AMTLU" localSheetId="0">[5]Names!$B$11:$I$69</definedName>
    <definedName name="AMTLU">Names!$B$75:$I$83</definedName>
    <definedName name="FTSELU">FTSE!$B$6:$P$53</definedName>
    <definedName name="FY2007Total" localSheetId="0">#REF!</definedName>
    <definedName name="FY2007Total">#REF!</definedName>
    <definedName name="New_Fall_2008">[6]New_Fall_2008!$A$1:$G$79</definedName>
    <definedName name="New_SF_05" localSheetId="0">#REF!</definedName>
    <definedName name="New_SF_05">#REF!</definedName>
    <definedName name="New_Total_2005" localSheetId="0">#REF!</definedName>
    <definedName name="New_Total_2005">#REF!</definedName>
    <definedName name="New05_06" localSheetId="0">#REF!</definedName>
    <definedName name="New05_06">#REF!</definedName>
    <definedName name="New0506SF">#REF!</definedName>
    <definedName name="NewSF06">#REF!</definedName>
    <definedName name="NewTotal">#REF!</definedName>
    <definedName name="_xlnm.Print_Area" localSheetId="17">[7]FY92!$A$1</definedName>
    <definedName name="_xlnm.Print_Area" localSheetId="2">HRI_IE_Research!$A$1:$N$30</definedName>
    <definedName name="_xlnm.Print_Area" localSheetId="8">HSH!$B$1:$O$54</definedName>
    <definedName name="_xlnm.Print_Area" localSheetId="9">HSSA!$B$1:$O$54</definedName>
    <definedName name="_xlnm.Print_Area" localSheetId="0">[7]FY92!$A$1</definedName>
    <definedName name="_xlnm.Print_Area" localSheetId="7">MBG!$B$1:$O$54</definedName>
    <definedName name="_xlnm.Print_Area" localSheetId="10">MDA!$B$1:$O$54</definedName>
    <definedName name="_xlnm.Print_Area" localSheetId="5">Summary!$B$1:$O$441</definedName>
    <definedName name="_xlnm.Print_Area" localSheetId="18">'Summary (2)'!$B$1:$O$54</definedName>
    <definedName name="_xlnm.Print_Area" localSheetId="6">SWM!$B$1:$O$54</definedName>
    <definedName name="_xlnm.Print_Area" localSheetId="12">TAMHSC!$B$1:$O$54</definedName>
    <definedName name="_xlnm.Print_Area" localSheetId="11">THC!$B$1:$O$54</definedName>
    <definedName name="_xlnm.Print_Area" localSheetId="14">TTUHSC!$B$1:$O$54</definedName>
    <definedName name="_xlnm.Print_Area" localSheetId="13">UNTHSC!$B$1:$O$54</definedName>
    <definedName name="_xlnm.Print_Area">[8]FY92!$A$1</definedName>
    <definedName name="SCHRPT2" localSheetId="0">#REF!</definedName>
    <definedName name="SCHRPT2">#REF!</definedName>
    <definedName name="Z_1FFC368C_FAAC_4C27_917C_33EB7F20D079_.wvu.PrintTitles" localSheetId="2" hidden="1">[9]Midwestern!$A$1:$B$65536,[9]Midwestern!$A$1:$IV$7</definedName>
    <definedName name="Z_1FFC368C_FAAC_4C27_917C_33EB7F20D079_.wvu.PrintTitles" hidden="1">[10]Midwestern!$A$1:$B$65536,[10]Midwestern!$A$1:$IV$7</definedName>
    <definedName name="Z_390E69FE_30BF_46A8_BB03_D0C9901EA0FB_.wvu.PrintTitles" localSheetId="2" hidden="1">[9]Midwestern!$A$1:$B$65536,[9]Midwestern!$A$1:$IV$7</definedName>
    <definedName name="Z_390E69FE_30BF_46A8_BB03_D0C9901EA0FB_.wvu.PrintTitles" hidden="1">[10]Midwestern!$A$1:$B$65536,[10]Midwestern!$A$1:$IV$7</definedName>
    <definedName name="Z_4AC09102_7151_4BC1_97EC_C57915589D6D_.wvu.PrintTitles" localSheetId="2" hidden="1">[9]Midwestern!$A$1:$B$65536,[9]Midwestern!$A$1:$IV$7</definedName>
    <definedName name="Z_4AC09102_7151_4BC1_97EC_C57915589D6D_.wvu.PrintTitles" hidden="1">[10]Midwestern!$A$1:$B$65536,[10]Midwestern!$A$1:$IV$7</definedName>
    <definedName name="Z_59C042EE_7BE0_46D7_83D3_48C0860AA9B7_.wvu.PrintTitles" localSheetId="2" hidden="1">[9]Midwestern!$A$1:$B$65536,[9]Midwestern!$A$1:$IV$7</definedName>
    <definedName name="Z_59C042EE_7BE0_46D7_83D3_48C0860AA9B7_.wvu.PrintTitles" hidden="1">[10]Midwestern!$A$1:$B$65536,[10]Midwestern!$A$1:$IV$7</definedName>
    <definedName name="Z_5DB122DC_76B1_4E56_B2C5_DC5B34D3FE31_.wvu.PrintTitles" localSheetId="2" hidden="1">[9]Midwestern!$A$1:$B$65536,[9]Midwestern!$A$1:$IV$7</definedName>
    <definedName name="Z_5DB122DC_76B1_4E56_B2C5_DC5B34D3FE31_.wvu.PrintTitles" hidden="1">[10]Midwestern!$A$1:$B$65536,[10]Midwestern!$A$1:$IV$7</definedName>
    <definedName name="Z_7E968537_F35A_46C0_AAAE_B8F2523DE409_.wvu.PrintTitles" localSheetId="2" hidden="1">[9]Midwestern!$A$1:$B$65536,[9]Midwestern!$A$1:$IV$7</definedName>
    <definedName name="Z_7E968537_F35A_46C0_AAAE_B8F2523DE409_.wvu.PrintTitles" hidden="1">[10]Midwestern!$A$1:$B$65536,[10]Midwestern!$A$1:$IV$7</definedName>
    <definedName name="Z_999D944D_85B2_4CAE_97DA_DC2EB4BF0AB0_.wvu.PrintTitles" localSheetId="2" hidden="1">[9]Midwestern!$A$1:$B$65536,[9]Midwestern!$A$1:$IV$7</definedName>
    <definedName name="Z_999D944D_85B2_4CAE_97DA_DC2EB4BF0AB0_.wvu.PrintTitles" hidden="1">[10]Midwestern!$A$1:$B$65536,[10]Midwestern!$A$1:$IV$7</definedName>
    <definedName name="Z_9A9AF875_8B7A_4EA5_9837_BF2AFF98C487_.wvu.PrintTitles" localSheetId="2" hidden="1">[9]Midwestern!$A$1:$B$65536,[9]Midwestern!$A$1:$IV$7</definedName>
    <definedName name="Z_9A9AF875_8B7A_4EA5_9837_BF2AFF98C487_.wvu.PrintTitles" hidden="1">[10]Midwestern!$A$1:$B$65536,[10]Midwestern!$A$1:$IV$7</definedName>
    <definedName name="Z_C63CB8F7_18C4_4A70_94EC_26C8D6B5C80F_.wvu.PrintTitles" localSheetId="2" hidden="1">[9]Midwestern!$A$1:$B$65536,[9]Midwestern!$A$1:$IV$7</definedName>
    <definedName name="Z_C63CB8F7_18C4_4A70_94EC_26C8D6B5C80F_.wvu.PrintTitles" hidden="1">[10]Midwestern!$A$1:$B$65536,[10]Midwestern!$A$1:$IV$7</definedName>
    <definedName name="Z_D8EE2E15_379C_4027_9083_08D90932B4E1_.wvu.PrintTitles" localSheetId="2" hidden="1">[9]Midwestern!$A$1:$B$65536,[9]Midwestern!$A$1:$IV$7</definedName>
    <definedName name="Z_D8EE2E15_379C_4027_9083_08D90932B4E1_.wvu.PrintTitles" hidden="1">[10]Midwestern!$A$1:$B$65536,[10]Midwestern!$A$1:$IV$7</definedName>
  </definedNames>
  <calcPr calcId="145621"/>
</workbook>
</file>

<file path=xl/calcChain.xml><?xml version="1.0" encoding="utf-8"?>
<calcChain xmlns="http://schemas.openxmlformats.org/spreadsheetml/2006/main">
  <c r="P42" i="61" l="1"/>
  <c r="O55" i="59"/>
  <c r="O330" i="60" l="1"/>
  <c r="P42" i="1" l="1"/>
  <c r="P42" i="5"/>
  <c r="P42" i="6"/>
  <c r="P42" i="7"/>
  <c r="P42" i="8"/>
  <c r="P42" i="9"/>
  <c r="P42" i="10"/>
  <c r="P42" i="11"/>
  <c r="P42" i="12"/>
  <c r="O361" i="60"/>
  <c r="O46" i="1"/>
  <c r="O46" i="5"/>
  <c r="O46" i="6"/>
  <c r="O46" i="7"/>
  <c r="O46" i="8"/>
  <c r="O46" i="9"/>
  <c r="O46" i="10"/>
  <c r="O46" i="11"/>
  <c r="O46" i="12"/>
  <c r="N19" i="61" l="1"/>
  <c r="M19" i="61"/>
  <c r="L19" i="61"/>
  <c r="K19" i="61"/>
  <c r="J19" i="61"/>
  <c r="N18" i="61"/>
  <c r="M18" i="61"/>
  <c r="L18" i="61"/>
  <c r="K18" i="61"/>
  <c r="J18" i="61"/>
  <c r="N17" i="61"/>
  <c r="M17" i="61"/>
  <c r="L17" i="61"/>
  <c r="K17" i="61"/>
  <c r="J17" i="61"/>
  <c r="N16" i="61"/>
  <c r="M16" i="61"/>
  <c r="L16" i="61"/>
  <c r="K16" i="61"/>
  <c r="J16" i="61"/>
  <c r="N15" i="61"/>
  <c r="M15" i="61"/>
  <c r="L15" i="61"/>
  <c r="K15" i="61"/>
  <c r="J15" i="61"/>
  <c r="N14" i="61"/>
  <c r="M14" i="61"/>
  <c r="L14" i="61"/>
  <c r="K14" i="61"/>
  <c r="J14" i="61"/>
  <c r="N13" i="61"/>
  <c r="M13" i="61"/>
  <c r="L13" i="61"/>
  <c r="K13" i="61"/>
  <c r="J13" i="61"/>
  <c r="G13" i="61" s="1"/>
  <c r="N12" i="61"/>
  <c r="M12" i="61"/>
  <c r="L12" i="61"/>
  <c r="K12" i="61"/>
  <c r="J12" i="61"/>
  <c r="N11" i="61"/>
  <c r="M11" i="61"/>
  <c r="L11" i="61"/>
  <c r="G11" i="61" s="1"/>
  <c r="K11" i="61"/>
  <c r="J11" i="61"/>
  <c r="F42" i="61"/>
  <c r="E20" i="61"/>
  <c r="G19" i="61"/>
  <c r="E19" i="61"/>
  <c r="G18" i="61"/>
  <c r="E18" i="61"/>
  <c r="G17" i="61"/>
  <c r="E17" i="61"/>
  <c r="G16" i="61"/>
  <c r="E16" i="61"/>
  <c r="G15" i="61"/>
  <c r="E15" i="61"/>
  <c r="G14" i="61"/>
  <c r="E14" i="61"/>
  <c r="E13" i="61"/>
  <c r="G12" i="61"/>
  <c r="E12" i="61"/>
  <c r="K20" i="61"/>
  <c r="K32" i="61" s="1"/>
  <c r="E11" i="61"/>
  <c r="E21" i="61" s="1"/>
  <c r="L454" i="60"/>
  <c r="L452" i="60"/>
  <c r="L451" i="60"/>
  <c r="N451" i="60" s="1"/>
  <c r="K451" i="60"/>
  <c r="J451" i="60"/>
  <c r="I451" i="60"/>
  <c r="H451" i="60"/>
  <c r="G451" i="60"/>
  <c r="F451" i="60"/>
  <c r="L448" i="60"/>
  <c r="L449" i="60" s="1"/>
  <c r="K448" i="60"/>
  <c r="K449" i="60" s="1"/>
  <c r="J448" i="60"/>
  <c r="J449" i="60" s="1"/>
  <c r="I448" i="60"/>
  <c r="I449" i="60" s="1"/>
  <c r="H448" i="60"/>
  <c r="H449" i="60" s="1"/>
  <c r="G448" i="60"/>
  <c r="G449" i="60" s="1"/>
  <c r="F448" i="60"/>
  <c r="F449" i="60" s="1"/>
  <c r="L446" i="60"/>
  <c r="L447" i="60" s="1"/>
  <c r="K446" i="60"/>
  <c r="K447" i="60" s="1"/>
  <c r="J446" i="60"/>
  <c r="J447" i="60" s="1"/>
  <c r="I446" i="60"/>
  <c r="I447" i="60" s="1"/>
  <c r="H446" i="60"/>
  <c r="H447" i="60" s="1"/>
  <c r="G446" i="60"/>
  <c r="G447" i="60" s="1"/>
  <c r="F446" i="60"/>
  <c r="F447" i="60" s="1"/>
  <c r="H18" i="50"/>
  <c r="E19" i="57"/>
  <c r="H21" i="58"/>
  <c r="G21" i="58"/>
  <c r="F21" i="58"/>
  <c r="E21" i="58"/>
  <c r="D21" i="58"/>
  <c r="K8" i="60"/>
  <c r="L8" i="60"/>
  <c r="K9" i="60"/>
  <c r="L9" i="60"/>
  <c r="K10" i="60"/>
  <c r="L10" i="60"/>
  <c r="K11" i="60"/>
  <c r="L11" i="60"/>
  <c r="K12" i="60"/>
  <c r="L12" i="60"/>
  <c r="K13" i="60"/>
  <c r="L13" i="60"/>
  <c r="K14" i="60"/>
  <c r="L14" i="60"/>
  <c r="K15" i="60"/>
  <c r="L15" i="60"/>
  <c r="K16" i="60"/>
  <c r="L16" i="60"/>
  <c r="K17" i="60"/>
  <c r="L17" i="60"/>
  <c r="K18" i="60"/>
  <c r="K19" i="60"/>
  <c r="K20" i="60"/>
  <c r="K27" i="60" s="1"/>
  <c r="AB27" i="60" s="1"/>
  <c r="K21" i="60"/>
  <c r="K22" i="60"/>
  <c r="K23" i="60"/>
  <c r="K24" i="60"/>
  <c r="K25" i="60"/>
  <c r="K26" i="60"/>
  <c r="K28" i="60"/>
  <c r="K29" i="60"/>
  <c r="K30" i="60"/>
  <c r="K31" i="60"/>
  <c r="K32" i="60"/>
  <c r="K33" i="60"/>
  <c r="K34" i="60"/>
  <c r="K35" i="60"/>
  <c r="K36" i="60"/>
  <c r="K37" i="60" s="1"/>
  <c r="AB38" i="60" s="1"/>
  <c r="K39" i="60"/>
  <c r="K40" i="60"/>
  <c r="K41" i="60"/>
  <c r="K48" i="60" s="1"/>
  <c r="K42" i="60"/>
  <c r="K43" i="60"/>
  <c r="K44" i="60"/>
  <c r="K45" i="60"/>
  <c r="K46" i="60"/>
  <c r="K47" i="60"/>
  <c r="K49" i="60"/>
  <c r="K58" i="60" s="1"/>
  <c r="AB58" i="60" s="1"/>
  <c r="L49" i="60"/>
  <c r="L58" i="60" s="1"/>
  <c r="K50" i="60"/>
  <c r="L50" i="60"/>
  <c r="K51" i="60"/>
  <c r="L51" i="60"/>
  <c r="K52" i="60"/>
  <c r="L52" i="60"/>
  <c r="K53" i="60"/>
  <c r="L53" i="60"/>
  <c r="K54" i="60"/>
  <c r="L54" i="60"/>
  <c r="K55" i="60"/>
  <c r="L55" i="60"/>
  <c r="K56" i="60"/>
  <c r="L56" i="60"/>
  <c r="K57" i="60"/>
  <c r="L57" i="60"/>
  <c r="K59" i="60"/>
  <c r="K68" i="60" s="1"/>
  <c r="L59" i="60"/>
  <c r="L68" i="60" s="1"/>
  <c r="K60" i="60"/>
  <c r="L60" i="60"/>
  <c r="K61" i="60"/>
  <c r="L61" i="60"/>
  <c r="K62" i="60"/>
  <c r="L62" i="60"/>
  <c r="K63" i="60"/>
  <c r="L63" i="60"/>
  <c r="K64" i="60"/>
  <c r="L64" i="60"/>
  <c r="K65" i="60"/>
  <c r="L65" i="60"/>
  <c r="K66" i="60"/>
  <c r="L66" i="60"/>
  <c r="K67" i="60"/>
  <c r="L67" i="60"/>
  <c r="K69" i="60"/>
  <c r="K78" i="60" s="1"/>
  <c r="AB78" i="60" s="1"/>
  <c r="L69" i="60"/>
  <c r="L78" i="60" s="1"/>
  <c r="K70" i="60"/>
  <c r="L70" i="60"/>
  <c r="K71" i="60"/>
  <c r="L71" i="60"/>
  <c r="K72" i="60"/>
  <c r="L72" i="60"/>
  <c r="K73" i="60"/>
  <c r="L73" i="60"/>
  <c r="K74" i="60"/>
  <c r="L74" i="60"/>
  <c r="K75" i="60"/>
  <c r="L75" i="60"/>
  <c r="K76" i="60"/>
  <c r="L76" i="60"/>
  <c r="K77" i="60"/>
  <c r="L77" i="60"/>
  <c r="K79" i="60"/>
  <c r="K88" i="60" s="1"/>
  <c r="L79" i="60"/>
  <c r="L88" i="60" s="1"/>
  <c r="K80" i="60"/>
  <c r="L80" i="60"/>
  <c r="K81" i="60"/>
  <c r="L81" i="60"/>
  <c r="K82" i="60"/>
  <c r="L82" i="60"/>
  <c r="K83" i="60"/>
  <c r="L83" i="60"/>
  <c r="K84" i="60"/>
  <c r="L84" i="60"/>
  <c r="K85" i="60"/>
  <c r="L85" i="60"/>
  <c r="K86" i="60"/>
  <c r="L86" i="60"/>
  <c r="K87" i="60"/>
  <c r="L87" i="60"/>
  <c r="K89" i="60"/>
  <c r="K98" i="60" s="1"/>
  <c r="L89" i="60"/>
  <c r="S89" i="60"/>
  <c r="K90" i="60"/>
  <c r="L90" i="60"/>
  <c r="S90" i="60"/>
  <c r="K91" i="60"/>
  <c r="L91" i="60"/>
  <c r="S91" i="60"/>
  <c r="K92" i="60"/>
  <c r="L92" i="60"/>
  <c r="S92" i="60"/>
  <c r="K93" i="60"/>
  <c r="L93" i="60"/>
  <c r="S93" i="60"/>
  <c r="K94" i="60"/>
  <c r="L94" i="60"/>
  <c r="S94" i="60"/>
  <c r="K95" i="60"/>
  <c r="L95" i="60"/>
  <c r="S95" i="60"/>
  <c r="K96" i="60"/>
  <c r="L96" i="60"/>
  <c r="S96" i="60"/>
  <c r="K97" i="60"/>
  <c r="L97" i="60"/>
  <c r="S97" i="60"/>
  <c r="L98" i="60"/>
  <c r="S98" i="60"/>
  <c r="F101" i="60"/>
  <c r="G101" i="60"/>
  <c r="G110" i="60" s="1"/>
  <c r="H101" i="60"/>
  <c r="I101" i="60"/>
  <c r="J101" i="60"/>
  <c r="K101" i="60"/>
  <c r="K110" i="60" s="1"/>
  <c r="L101" i="60"/>
  <c r="F102" i="60"/>
  <c r="G102" i="60"/>
  <c r="H102" i="60"/>
  <c r="I102" i="60"/>
  <c r="J102" i="60"/>
  <c r="K102" i="60"/>
  <c r="L102" i="60"/>
  <c r="F103" i="60"/>
  <c r="G103" i="60"/>
  <c r="H103" i="60"/>
  <c r="I103" i="60"/>
  <c r="J103" i="60"/>
  <c r="K103" i="60"/>
  <c r="L103" i="60"/>
  <c r="F104" i="60"/>
  <c r="G104" i="60"/>
  <c r="H104" i="60"/>
  <c r="I104" i="60"/>
  <c r="J104" i="60"/>
  <c r="K104" i="60"/>
  <c r="L104" i="60"/>
  <c r="F105" i="60"/>
  <c r="G105" i="60"/>
  <c r="H105" i="60"/>
  <c r="I105" i="60"/>
  <c r="J105" i="60"/>
  <c r="K105" i="60"/>
  <c r="L105" i="60"/>
  <c r="F106" i="60"/>
  <c r="G106" i="60"/>
  <c r="H106" i="60"/>
  <c r="I106" i="60"/>
  <c r="J106" i="60"/>
  <c r="K106" i="60"/>
  <c r="L106" i="60"/>
  <c r="F107" i="60"/>
  <c r="G107" i="60"/>
  <c r="H107" i="60"/>
  <c r="I107" i="60"/>
  <c r="J107" i="60"/>
  <c r="K107" i="60"/>
  <c r="L107" i="60"/>
  <c r="F108" i="60"/>
  <c r="G108" i="60"/>
  <c r="H108" i="60"/>
  <c r="H110" i="60" s="1"/>
  <c r="I108" i="60"/>
  <c r="J108" i="60"/>
  <c r="K108" i="60"/>
  <c r="L108" i="60"/>
  <c r="L110" i="60" s="1"/>
  <c r="F109" i="60"/>
  <c r="G109" i="60"/>
  <c r="H109" i="60"/>
  <c r="I109" i="60"/>
  <c r="J109" i="60"/>
  <c r="K109" i="60"/>
  <c r="L109" i="60"/>
  <c r="F110" i="60"/>
  <c r="I110" i="60"/>
  <c r="J110" i="60"/>
  <c r="F111" i="60"/>
  <c r="G111" i="60"/>
  <c r="H111" i="60"/>
  <c r="I111" i="60"/>
  <c r="I120" i="60" s="1"/>
  <c r="J111" i="60"/>
  <c r="K111" i="60"/>
  <c r="L111" i="60"/>
  <c r="F112" i="60"/>
  <c r="G112" i="60"/>
  <c r="H112" i="60"/>
  <c r="I112" i="60"/>
  <c r="J112" i="60"/>
  <c r="K112" i="60"/>
  <c r="L112" i="60"/>
  <c r="F113" i="60"/>
  <c r="G113" i="60"/>
  <c r="H113" i="60"/>
  <c r="I113" i="60"/>
  <c r="J113" i="60"/>
  <c r="K113" i="60"/>
  <c r="L113" i="60"/>
  <c r="F114" i="60"/>
  <c r="G114" i="60"/>
  <c r="H114" i="60"/>
  <c r="I114" i="60"/>
  <c r="J114" i="60"/>
  <c r="K114" i="60"/>
  <c r="L114" i="60"/>
  <c r="F115" i="60"/>
  <c r="G115" i="60"/>
  <c r="H115" i="60"/>
  <c r="I115" i="60"/>
  <c r="J115" i="60"/>
  <c r="K115" i="60"/>
  <c r="L115" i="60"/>
  <c r="F116" i="60"/>
  <c r="G116" i="60"/>
  <c r="H116" i="60"/>
  <c r="I116" i="60"/>
  <c r="J116" i="60"/>
  <c r="K116" i="60"/>
  <c r="L116" i="60"/>
  <c r="F117" i="60"/>
  <c r="G117" i="60"/>
  <c r="H117" i="60"/>
  <c r="I117" i="60"/>
  <c r="J117" i="60"/>
  <c r="K117" i="60"/>
  <c r="L117" i="60"/>
  <c r="F118" i="60"/>
  <c r="F120" i="60" s="1"/>
  <c r="G118" i="60"/>
  <c r="H118" i="60"/>
  <c r="I118" i="60"/>
  <c r="J118" i="60"/>
  <c r="J120" i="60" s="1"/>
  <c r="K118" i="60"/>
  <c r="L118" i="60"/>
  <c r="F119" i="60"/>
  <c r="G119" i="60"/>
  <c r="G120" i="60" s="1"/>
  <c r="H119" i="60"/>
  <c r="I119" i="60"/>
  <c r="J119" i="60"/>
  <c r="K119" i="60"/>
  <c r="K120" i="60" s="1"/>
  <c r="L119" i="60"/>
  <c r="H120" i="60"/>
  <c r="L120" i="60"/>
  <c r="F121" i="60"/>
  <c r="G121" i="60"/>
  <c r="G130" i="60" s="1"/>
  <c r="H121" i="60"/>
  <c r="I121" i="60"/>
  <c r="J121" i="60"/>
  <c r="K121" i="60"/>
  <c r="K130" i="60" s="1"/>
  <c r="L121" i="60"/>
  <c r="F122" i="60"/>
  <c r="G122" i="60"/>
  <c r="H122" i="60"/>
  <c r="I122" i="60"/>
  <c r="J122" i="60"/>
  <c r="K122" i="60"/>
  <c r="L122" i="60"/>
  <c r="F123" i="60"/>
  <c r="G123" i="60"/>
  <c r="H123" i="60"/>
  <c r="I123" i="60"/>
  <c r="J123" i="60"/>
  <c r="K123" i="60"/>
  <c r="L123" i="60"/>
  <c r="F124" i="60"/>
  <c r="G124" i="60"/>
  <c r="H124" i="60"/>
  <c r="I124" i="60"/>
  <c r="J124" i="60"/>
  <c r="K124" i="60"/>
  <c r="L124" i="60"/>
  <c r="F125" i="60"/>
  <c r="G125" i="60"/>
  <c r="H125" i="60"/>
  <c r="I125" i="60"/>
  <c r="J125" i="60"/>
  <c r="K125" i="60"/>
  <c r="L125" i="60"/>
  <c r="F126" i="60"/>
  <c r="G126" i="60"/>
  <c r="H126" i="60"/>
  <c r="I126" i="60"/>
  <c r="J126" i="60"/>
  <c r="K126" i="60"/>
  <c r="L126" i="60"/>
  <c r="F127" i="60"/>
  <c r="G127" i="60"/>
  <c r="H127" i="60"/>
  <c r="I127" i="60"/>
  <c r="J127" i="60"/>
  <c r="K127" i="60"/>
  <c r="L127" i="60"/>
  <c r="F128" i="60"/>
  <c r="G128" i="60"/>
  <c r="H128" i="60"/>
  <c r="H130" i="60" s="1"/>
  <c r="I128" i="60"/>
  <c r="J128" i="60"/>
  <c r="K128" i="60"/>
  <c r="L128" i="60"/>
  <c r="L130" i="60" s="1"/>
  <c r="F129" i="60"/>
  <c r="G129" i="60"/>
  <c r="H129" i="60"/>
  <c r="I129" i="60"/>
  <c r="I130" i="60" s="1"/>
  <c r="J129" i="60"/>
  <c r="K129" i="60"/>
  <c r="L129" i="60"/>
  <c r="F130" i="60"/>
  <c r="J130" i="60"/>
  <c r="F131" i="60"/>
  <c r="G131" i="60"/>
  <c r="H131" i="60"/>
  <c r="I131" i="60"/>
  <c r="I140" i="60" s="1"/>
  <c r="J131" i="60"/>
  <c r="K131" i="60"/>
  <c r="L131" i="60"/>
  <c r="F132" i="60"/>
  <c r="G132" i="60"/>
  <c r="H132" i="60"/>
  <c r="I132" i="60"/>
  <c r="J132" i="60"/>
  <c r="K132" i="60"/>
  <c r="L132" i="60"/>
  <c r="F133" i="60"/>
  <c r="G133" i="60"/>
  <c r="H133" i="60"/>
  <c r="I133" i="60"/>
  <c r="J133" i="60"/>
  <c r="K133" i="60"/>
  <c r="L133" i="60"/>
  <c r="F134" i="60"/>
  <c r="G134" i="60"/>
  <c r="H134" i="60"/>
  <c r="I134" i="60"/>
  <c r="J134" i="60"/>
  <c r="K134" i="60"/>
  <c r="L134" i="60"/>
  <c r="F135" i="60"/>
  <c r="G135" i="60"/>
  <c r="H135" i="60"/>
  <c r="I135" i="60"/>
  <c r="J135" i="60"/>
  <c r="K135" i="60"/>
  <c r="L135" i="60"/>
  <c r="F136" i="60"/>
  <c r="G136" i="60"/>
  <c r="H136" i="60"/>
  <c r="I136" i="60"/>
  <c r="J136" i="60"/>
  <c r="K136" i="60"/>
  <c r="L136" i="60"/>
  <c r="F137" i="60"/>
  <c r="G137" i="60"/>
  <c r="H137" i="60"/>
  <c r="I137" i="60"/>
  <c r="J137" i="60"/>
  <c r="K137" i="60"/>
  <c r="L137" i="60"/>
  <c r="F138" i="60"/>
  <c r="F140" i="60" s="1"/>
  <c r="G138" i="60"/>
  <c r="H138" i="60"/>
  <c r="I138" i="60"/>
  <c r="J138" i="60"/>
  <c r="K138" i="60"/>
  <c r="L138" i="60"/>
  <c r="F139" i="60"/>
  <c r="G139" i="60"/>
  <c r="G140" i="60" s="1"/>
  <c r="H139" i="60"/>
  <c r="I139" i="60"/>
  <c r="J139" i="60"/>
  <c r="K139" i="60"/>
  <c r="K140" i="60" s="1"/>
  <c r="L139" i="60"/>
  <c r="H140" i="60"/>
  <c r="J140" i="60"/>
  <c r="L140" i="60"/>
  <c r="F141" i="60"/>
  <c r="G141" i="60"/>
  <c r="G150" i="60" s="1"/>
  <c r="H141" i="60"/>
  <c r="I141" i="60"/>
  <c r="J141" i="60"/>
  <c r="K141" i="60"/>
  <c r="K150" i="60" s="1"/>
  <c r="L141" i="60"/>
  <c r="F142" i="60"/>
  <c r="G142" i="60"/>
  <c r="H142" i="60"/>
  <c r="I142" i="60"/>
  <c r="J142" i="60"/>
  <c r="K142" i="60"/>
  <c r="L142" i="60"/>
  <c r="F143" i="60"/>
  <c r="G143" i="60"/>
  <c r="H143" i="60"/>
  <c r="I143" i="60"/>
  <c r="J143" i="60"/>
  <c r="K143" i="60"/>
  <c r="L143" i="60"/>
  <c r="F144" i="60"/>
  <c r="G144" i="60"/>
  <c r="H144" i="60"/>
  <c r="I144" i="60"/>
  <c r="J144" i="60"/>
  <c r="K144" i="60"/>
  <c r="L144" i="60"/>
  <c r="F145" i="60"/>
  <c r="G145" i="60"/>
  <c r="H145" i="60"/>
  <c r="I145" i="60"/>
  <c r="J145" i="60"/>
  <c r="K145" i="60"/>
  <c r="L145" i="60"/>
  <c r="F146" i="60"/>
  <c r="G146" i="60"/>
  <c r="H146" i="60"/>
  <c r="I146" i="60"/>
  <c r="J146" i="60"/>
  <c r="K146" i="60"/>
  <c r="L146" i="60"/>
  <c r="F147" i="60"/>
  <c r="G147" i="60"/>
  <c r="H147" i="60"/>
  <c r="I147" i="60"/>
  <c r="J147" i="60"/>
  <c r="K147" i="60"/>
  <c r="L147" i="60"/>
  <c r="F148" i="60"/>
  <c r="G148" i="60"/>
  <c r="H148" i="60"/>
  <c r="I148" i="60"/>
  <c r="J148" i="60"/>
  <c r="K148" i="60"/>
  <c r="L148" i="60"/>
  <c r="F149" i="60"/>
  <c r="G149" i="60"/>
  <c r="H149" i="60"/>
  <c r="I149" i="60"/>
  <c r="J149" i="60"/>
  <c r="K149" i="60"/>
  <c r="L149" i="60"/>
  <c r="F150" i="60"/>
  <c r="H150" i="60"/>
  <c r="I150" i="60"/>
  <c r="J150" i="60"/>
  <c r="L150" i="60"/>
  <c r="F151" i="60"/>
  <c r="G151" i="60"/>
  <c r="H151" i="60"/>
  <c r="I151" i="60"/>
  <c r="I160" i="60" s="1"/>
  <c r="AB160" i="60" s="1"/>
  <c r="J151" i="60"/>
  <c r="K151" i="60"/>
  <c r="L151" i="60"/>
  <c r="F152" i="60"/>
  <c r="G152" i="60"/>
  <c r="H152" i="60"/>
  <c r="I152" i="60"/>
  <c r="J152" i="60"/>
  <c r="K152" i="60"/>
  <c r="L152" i="60"/>
  <c r="F153" i="60"/>
  <c r="G153" i="60"/>
  <c r="H153" i="60"/>
  <c r="I153" i="60"/>
  <c r="J153" i="60"/>
  <c r="K153" i="60"/>
  <c r="L153" i="60"/>
  <c r="F154" i="60"/>
  <c r="G154" i="60"/>
  <c r="H154" i="60"/>
  <c r="I154" i="60"/>
  <c r="J154" i="60"/>
  <c r="K154" i="60"/>
  <c r="L154" i="60"/>
  <c r="F155" i="60"/>
  <c r="G155" i="60"/>
  <c r="H155" i="60"/>
  <c r="I155" i="60"/>
  <c r="J155" i="60"/>
  <c r="K155" i="60"/>
  <c r="L155" i="60"/>
  <c r="F156" i="60"/>
  <c r="G156" i="60"/>
  <c r="H156" i="60"/>
  <c r="I156" i="60"/>
  <c r="J156" i="60"/>
  <c r="K156" i="60"/>
  <c r="L156" i="60"/>
  <c r="F157" i="60"/>
  <c r="G157" i="60"/>
  <c r="H157" i="60"/>
  <c r="I157" i="60"/>
  <c r="J157" i="60"/>
  <c r="K157" i="60"/>
  <c r="L157" i="60"/>
  <c r="F158" i="60"/>
  <c r="G158" i="60"/>
  <c r="H158" i="60"/>
  <c r="I158" i="60"/>
  <c r="J158" i="60"/>
  <c r="K158" i="60"/>
  <c r="L158" i="60"/>
  <c r="F159" i="60"/>
  <c r="G159" i="60"/>
  <c r="H159" i="60"/>
  <c r="I159" i="60"/>
  <c r="J159" i="60"/>
  <c r="K159" i="60"/>
  <c r="L159" i="60"/>
  <c r="F160" i="60"/>
  <c r="G160" i="60"/>
  <c r="H160" i="60"/>
  <c r="J160" i="60"/>
  <c r="K160" i="60"/>
  <c r="L160" i="60"/>
  <c r="F161" i="60"/>
  <c r="G161" i="60"/>
  <c r="H161" i="60"/>
  <c r="I161" i="60"/>
  <c r="J161" i="60"/>
  <c r="K161" i="60"/>
  <c r="L161" i="60"/>
  <c r="O161" i="60"/>
  <c r="F162" i="60"/>
  <c r="G162" i="60"/>
  <c r="H162" i="60"/>
  <c r="I162" i="60"/>
  <c r="J162" i="60"/>
  <c r="K162" i="60"/>
  <c r="L162" i="60"/>
  <c r="O162" i="60"/>
  <c r="F163" i="60"/>
  <c r="G163" i="60"/>
  <c r="H163" i="60"/>
  <c r="I163" i="60"/>
  <c r="J163" i="60"/>
  <c r="K163" i="60"/>
  <c r="L163" i="60"/>
  <c r="O163" i="60"/>
  <c r="F164" i="60"/>
  <c r="G164" i="60"/>
  <c r="H164" i="60"/>
  <c r="I164" i="60"/>
  <c r="J164" i="60"/>
  <c r="K164" i="60"/>
  <c r="L164" i="60"/>
  <c r="O164" i="60"/>
  <c r="F165" i="60"/>
  <c r="G165" i="60"/>
  <c r="H165" i="60"/>
  <c r="I165" i="60"/>
  <c r="J165" i="60"/>
  <c r="K165" i="60"/>
  <c r="L165" i="60"/>
  <c r="O165" i="60"/>
  <c r="F166" i="60"/>
  <c r="G166" i="60"/>
  <c r="H166" i="60"/>
  <c r="I166" i="60"/>
  <c r="J166" i="60"/>
  <c r="K166" i="60"/>
  <c r="L166" i="60"/>
  <c r="O166" i="60"/>
  <c r="F167" i="60"/>
  <c r="G167" i="60"/>
  <c r="H167" i="60"/>
  <c r="I167" i="60"/>
  <c r="J167" i="60"/>
  <c r="K167" i="60"/>
  <c r="L167" i="60"/>
  <c r="O167" i="60"/>
  <c r="F168" i="60"/>
  <c r="G168" i="60"/>
  <c r="H168" i="60"/>
  <c r="I168" i="60"/>
  <c r="J168" i="60"/>
  <c r="K168" i="60"/>
  <c r="L168" i="60"/>
  <c r="O168" i="60"/>
  <c r="F169" i="60"/>
  <c r="G169" i="60"/>
  <c r="H169" i="60"/>
  <c r="I169" i="60"/>
  <c r="J169" i="60"/>
  <c r="K169" i="60"/>
  <c r="L169" i="60"/>
  <c r="O169" i="60"/>
  <c r="F170" i="60"/>
  <c r="G170" i="60"/>
  <c r="H170" i="60"/>
  <c r="I170" i="60"/>
  <c r="J170" i="60"/>
  <c r="K170" i="60"/>
  <c r="L170" i="60"/>
  <c r="O170" i="60"/>
  <c r="F171" i="60"/>
  <c r="G171" i="60"/>
  <c r="G180" i="60" s="1"/>
  <c r="H171" i="60"/>
  <c r="I171" i="60"/>
  <c r="J171" i="60"/>
  <c r="K171" i="60"/>
  <c r="K180" i="60" s="1"/>
  <c r="L171" i="60"/>
  <c r="F172" i="60"/>
  <c r="G172" i="60"/>
  <c r="H172" i="60"/>
  <c r="I172" i="60"/>
  <c r="J172" i="60"/>
  <c r="K172" i="60"/>
  <c r="L172" i="60"/>
  <c r="F173" i="60"/>
  <c r="G173" i="60"/>
  <c r="H173" i="60"/>
  <c r="I173" i="60"/>
  <c r="J173" i="60"/>
  <c r="K173" i="60"/>
  <c r="L173" i="60"/>
  <c r="F174" i="60"/>
  <c r="G174" i="60"/>
  <c r="H174" i="60"/>
  <c r="I174" i="60"/>
  <c r="J174" i="60"/>
  <c r="K174" i="60"/>
  <c r="L174" i="60"/>
  <c r="F175" i="60"/>
  <c r="G175" i="60"/>
  <c r="H175" i="60"/>
  <c r="I175" i="60"/>
  <c r="J175" i="60"/>
  <c r="K175" i="60"/>
  <c r="L175" i="60"/>
  <c r="F176" i="60"/>
  <c r="G176" i="60"/>
  <c r="H176" i="60"/>
  <c r="I176" i="60"/>
  <c r="J176" i="60"/>
  <c r="K176" i="60"/>
  <c r="L176" i="60"/>
  <c r="F177" i="60"/>
  <c r="G177" i="60"/>
  <c r="H177" i="60"/>
  <c r="I177" i="60"/>
  <c r="J177" i="60"/>
  <c r="K177" i="60"/>
  <c r="L177" i="60"/>
  <c r="F178" i="60"/>
  <c r="G178" i="60"/>
  <c r="H178" i="60"/>
  <c r="I178" i="60"/>
  <c r="J178" i="60"/>
  <c r="K178" i="60"/>
  <c r="L178" i="60"/>
  <c r="F179" i="60"/>
  <c r="G179" i="60"/>
  <c r="H179" i="60"/>
  <c r="I179" i="60"/>
  <c r="J179" i="60"/>
  <c r="K179" i="60"/>
  <c r="L179" i="60"/>
  <c r="F180" i="60"/>
  <c r="H180" i="60"/>
  <c r="I180" i="60"/>
  <c r="J180" i="60"/>
  <c r="L180" i="60"/>
  <c r="F181" i="60"/>
  <c r="G181" i="60"/>
  <c r="H181" i="60"/>
  <c r="I181" i="60"/>
  <c r="I190" i="60" s="1"/>
  <c r="J181" i="60"/>
  <c r="K181" i="60"/>
  <c r="L181" i="60"/>
  <c r="F182" i="60"/>
  <c r="G182" i="60"/>
  <c r="H182" i="60"/>
  <c r="I182" i="60"/>
  <c r="J182" i="60"/>
  <c r="K182" i="60"/>
  <c r="L182" i="60"/>
  <c r="F183" i="60"/>
  <c r="G183" i="60"/>
  <c r="H183" i="60"/>
  <c r="I183" i="60"/>
  <c r="J183" i="60"/>
  <c r="K183" i="60"/>
  <c r="L183" i="60"/>
  <c r="F184" i="60"/>
  <c r="G184" i="60"/>
  <c r="H184" i="60"/>
  <c r="I184" i="60"/>
  <c r="J184" i="60"/>
  <c r="K184" i="60"/>
  <c r="L184" i="60"/>
  <c r="F185" i="60"/>
  <c r="G185" i="60"/>
  <c r="H185" i="60"/>
  <c r="I185" i="60"/>
  <c r="J185" i="60"/>
  <c r="K185" i="60"/>
  <c r="L185" i="60"/>
  <c r="F186" i="60"/>
  <c r="G186" i="60"/>
  <c r="H186" i="60"/>
  <c r="I186" i="60"/>
  <c r="J186" i="60"/>
  <c r="K186" i="60"/>
  <c r="L186" i="60"/>
  <c r="F187" i="60"/>
  <c r="G187" i="60"/>
  <c r="H187" i="60"/>
  <c r="I187" i="60"/>
  <c r="J187" i="60"/>
  <c r="K187" i="60"/>
  <c r="L187" i="60"/>
  <c r="F188" i="60"/>
  <c r="G188" i="60"/>
  <c r="H188" i="60"/>
  <c r="I188" i="60"/>
  <c r="J188" i="60"/>
  <c r="K188" i="60"/>
  <c r="L188" i="60"/>
  <c r="F189" i="60"/>
  <c r="G189" i="60"/>
  <c r="H189" i="60"/>
  <c r="I189" i="60"/>
  <c r="J189" i="60"/>
  <c r="K189" i="60"/>
  <c r="L189" i="60"/>
  <c r="F190" i="60"/>
  <c r="G190" i="60"/>
  <c r="H190" i="60"/>
  <c r="J190" i="60"/>
  <c r="K190" i="60"/>
  <c r="L190" i="60"/>
  <c r="F191" i="60"/>
  <c r="G191" i="60"/>
  <c r="G200" i="60" s="1"/>
  <c r="H191" i="60"/>
  <c r="I191" i="60"/>
  <c r="J191" i="60"/>
  <c r="K191" i="60"/>
  <c r="K200" i="60" s="1"/>
  <c r="L191" i="60"/>
  <c r="F192" i="60"/>
  <c r="G192" i="60"/>
  <c r="H192" i="60"/>
  <c r="I192" i="60"/>
  <c r="J192" i="60"/>
  <c r="K192" i="60"/>
  <c r="L192" i="60"/>
  <c r="F193" i="60"/>
  <c r="G193" i="60"/>
  <c r="H193" i="60"/>
  <c r="I193" i="60"/>
  <c r="J193" i="60"/>
  <c r="K193" i="60"/>
  <c r="L193" i="60"/>
  <c r="F194" i="60"/>
  <c r="G194" i="60"/>
  <c r="H194" i="60"/>
  <c r="I194" i="60"/>
  <c r="J194" i="60"/>
  <c r="K194" i="60"/>
  <c r="L194" i="60"/>
  <c r="F195" i="60"/>
  <c r="G195" i="60"/>
  <c r="H195" i="60"/>
  <c r="I195" i="60"/>
  <c r="J195" i="60"/>
  <c r="K195" i="60"/>
  <c r="L195" i="60"/>
  <c r="F196" i="60"/>
  <c r="G196" i="60"/>
  <c r="H196" i="60"/>
  <c r="I196" i="60"/>
  <c r="J196" i="60"/>
  <c r="K196" i="60"/>
  <c r="L196" i="60"/>
  <c r="F197" i="60"/>
  <c r="G197" i="60"/>
  <c r="H197" i="60"/>
  <c r="I197" i="60"/>
  <c r="J197" i="60"/>
  <c r="K197" i="60"/>
  <c r="L197" i="60"/>
  <c r="F198" i="60"/>
  <c r="G198" i="60"/>
  <c r="H198" i="60"/>
  <c r="I198" i="60"/>
  <c r="J198" i="60"/>
  <c r="K198" i="60"/>
  <c r="L198" i="60"/>
  <c r="F199" i="60"/>
  <c r="G199" i="60"/>
  <c r="H199" i="60"/>
  <c r="I199" i="60"/>
  <c r="J199" i="60"/>
  <c r="K199" i="60"/>
  <c r="L199" i="60"/>
  <c r="F200" i="60"/>
  <c r="H200" i="60"/>
  <c r="I200" i="60"/>
  <c r="J200" i="60"/>
  <c r="L200" i="60"/>
  <c r="F201" i="60"/>
  <c r="G201" i="60"/>
  <c r="H201" i="60"/>
  <c r="I201" i="60"/>
  <c r="I210" i="60" s="1"/>
  <c r="J201" i="60"/>
  <c r="K201" i="60"/>
  <c r="L201" i="60"/>
  <c r="F202" i="60"/>
  <c r="G202" i="60"/>
  <c r="H202" i="60"/>
  <c r="I202" i="60"/>
  <c r="J202" i="60"/>
  <c r="K202" i="60"/>
  <c r="L202" i="60"/>
  <c r="F203" i="60"/>
  <c r="G203" i="60"/>
  <c r="H203" i="60"/>
  <c r="I203" i="60"/>
  <c r="J203" i="60"/>
  <c r="K203" i="60"/>
  <c r="L203" i="60"/>
  <c r="F204" i="60"/>
  <c r="G204" i="60"/>
  <c r="H204" i="60"/>
  <c r="I204" i="60"/>
  <c r="J204" i="60"/>
  <c r="K204" i="60"/>
  <c r="L204" i="60"/>
  <c r="F205" i="60"/>
  <c r="G205" i="60"/>
  <c r="H205" i="60"/>
  <c r="I205" i="60"/>
  <c r="J205" i="60"/>
  <c r="K205" i="60"/>
  <c r="L205" i="60"/>
  <c r="F206" i="60"/>
  <c r="G206" i="60"/>
  <c r="H206" i="60"/>
  <c r="I206" i="60"/>
  <c r="J206" i="60"/>
  <c r="K206" i="60"/>
  <c r="L206" i="60"/>
  <c r="F207" i="60"/>
  <c r="G207" i="60"/>
  <c r="H207" i="60"/>
  <c r="I207" i="60"/>
  <c r="J207" i="60"/>
  <c r="K207" i="60"/>
  <c r="L207" i="60"/>
  <c r="F208" i="60"/>
  <c r="G208" i="60"/>
  <c r="H208" i="60"/>
  <c r="I208" i="60"/>
  <c r="J208" i="60"/>
  <c r="K208" i="60"/>
  <c r="L208" i="60"/>
  <c r="F209" i="60"/>
  <c r="F210" i="60" s="1"/>
  <c r="G209" i="60"/>
  <c r="H209" i="60"/>
  <c r="I209" i="60"/>
  <c r="J209" i="60"/>
  <c r="K209" i="60"/>
  <c r="L209" i="60"/>
  <c r="G210" i="60"/>
  <c r="H210" i="60"/>
  <c r="J210" i="60"/>
  <c r="K210" i="60"/>
  <c r="L210" i="60"/>
  <c r="F211" i="60"/>
  <c r="G211" i="60"/>
  <c r="G220" i="60" s="1"/>
  <c r="H211" i="60"/>
  <c r="I211" i="60"/>
  <c r="J211" i="60"/>
  <c r="K211" i="60"/>
  <c r="K220" i="60" s="1"/>
  <c r="L211" i="60"/>
  <c r="F212" i="60"/>
  <c r="G212" i="60"/>
  <c r="H212" i="60"/>
  <c r="I212" i="60"/>
  <c r="J212" i="60"/>
  <c r="K212" i="60"/>
  <c r="L212" i="60"/>
  <c r="F213" i="60"/>
  <c r="G213" i="60"/>
  <c r="H213" i="60"/>
  <c r="I213" i="60"/>
  <c r="J213" i="60"/>
  <c r="K213" i="60"/>
  <c r="L213" i="60"/>
  <c r="F214" i="60"/>
  <c r="G214" i="60"/>
  <c r="H214" i="60"/>
  <c r="I214" i="60"/>
  <c r="J214" i="60"/>
  <c r="K214" i="60"/>
  <c r="L214" i="60"/>
  <c r="F215" i="60"/>
  <c r="G215" i="60"/>
  <c r="H215" i="60"/>
  <c r="I215" i="60"/>
  <c r="J215" i="60"/>
  <c r="K215" i="60"/>
  <c r="L215" i="60"/>
  <c r="F216" i="60"/>
  <c r="G216" i="60"/>
  <c r="H216" i="60"/>
  <c r="I216" i="60"/>
  <c r="J216" i="60"/>
  <c r="K216" i="60"/>
  <c r="L216" i="60"/>
  <c r="F217" i="60"/>
  <c r="G217" i="60"/>
  <c r="H217" i="60"/>
  <c r="I217" i="60"/>
  <c r="J217" i="60"/>
  <c r="K217" i="60"/>
  <c r="L217" i="60"/>
  <c r="F218" i="60"/>
  <c r="G218" i="60"/>
  <c r="H218" i="60"/>
  <c r="I218" i="60"/>
  <c r="J218" i="60"/>
  <c r="K218" i="60"/>
  <c r="L218" i="60"/>
  <c r="F219" i="60"/>
  <c r="G219" i="60"/>
  <c r="H219" i="60"/>
  <c r="I219" i="60"/>
  <c r="J219" i="60"/>
  <c r="K219" i="60"/>
  <c r="L219" i="60"/>
  <c r="F220" i="60"/>
  <c r="H220" i="60"/>
  <c r="I220" i="60"/>
  <c r="J220" i="60"/>
  <c r="L220" i="60"/>
  <c r="F221" i="60"/>
  <c r="G221" i="60"/>
  <c r="H221" i="60"/>
  <c r="I221" i="60"/>
  <c r="I230" i="60" s="1"/>
  <c r="J221" i="60"/>
  <c r="K221" i="60"/>
  <c r="L221" i="60"/>
  <c r="F222" i="60"/>
  <c r="G222" i="60"/>
  <c r="H222" i="60"/>
  <c r="I222" i="60"/>
  <c r="J222" i="60"/>
  <c r="K222" i="60"/>
  <c r="L222" i="60"/>
  <c r="F223" i="60"/>
  <c r="G223" i="60"/>
  <c r="H223" i="60"/>
  <c r="I223" i="60"/>
  <c r="J223" i="60"/>
  <c r="K223" i="60"/>
  <c r="L223" i="60"/>
  <c r="F224" i="60"/>
  <c r="G224" i="60"/>
  <c r="H224" i="60"/>
  <c r="I224" i="60"/>
  <c r="J224" i="60"/>
  <c r="K224" i="60"/>
  <c r="L224" i="60"/>
  <c r="F225" i="60"/>
  <c r="G225" i="60"/>
  <c r="H225" i="60"/>
  <c r="I225" i="60"/>
  <c r="J225" i="60"/>
  <c r="K225" i="60"/>
  <c r="L225" i="60"/>
  <c r="F226" i="60"/>
  <c r="G226" i="60"/>
  <c r="H226" i="60"/>
  <c r="I226" i="60"/>
  <c r="J226" i="60"/>
  <c r="K226" i="60"/>
  <c r="L226" i="60"/>
  <c r="F227" i="60"/>
  <c r="G227" i="60"/>
  <c r="H227" i="60"/>
  <c r="I227" i="60"/>
  <c r="J227" i="60"/>
  <c r="K227" i="60"/>
  <c r="L227" i="60"/>
  <c r="F228" i="60"/>
  <c r="G228" i="60"/>
  <c r="H228" i="60"/>
  <c r="I228" i="60"/>
  <c r="J228" i="60"/>
  <c r="K228" i="60"/>
  <c r="L228" i="60"/>
  <c r="F229" i="60"/>
  <c r="G229" i="60"/>
  <c r="H229" i="60"/>
  <c r="I229" i="60"/>
  <c r="J229" i="60"/>
  <c r="K229" i="60"/>
  <c r="L229" i="60"/>
  <c r="F230" i="60"/>
  <c r="G230" i="60"/>
  <c r="H230" i="60"/>
  <c r="J230" i="60"/>
  <c r="K230" i="60"/>
  <c r="L230" i="60"/>
  <c r="F231" i="60"/>
  <c r="G231" i="60"/>
  <c r="G240" i="60" s="1"/>
  <c r="H231" i="60"/>
  <c r="I231" i="60"/>
  <c r="J231" i="60"/>
  <c r="K231" i="60"/>
  <c r="K240" i="60" s="1"/>
  <c r="L231" i="60"/>
  <c r="F232" i="60"/>
  <c r="G232" i="60"/>
  <c r="H232" i="60"/>
  <c r="I232" i="60"/>
  <c r="J232" i="60"/>
  <c r="K232" i="60"/>
  <c r="L232" i="60"/>
  <c r="F233" i="60"/>
  <c r="G233" i="60"/>
  <c r="H233" i="60"/>
  <c r="I233" i="60"/>
  <c r="J233" i="60"/>
  <c r="K233" i="60"/>
  <c r="L233" i="60"/>
  <c r="F234" i="60"/>
  <c r="G234" i="60"/>
  <c r="H234" i="60"/>
  <c r="I234" i="60"/>
  <c r="J234" i="60"/>
  <c r="K234" i="60"/>
  <c r="L234" i="60"/>
  <c r="F235" i="60"/>
  <c r="G235" i="60"/>
  <c r="H235" i="60"/>
  <c r="I235" i="60"/>
  <c r="J235" i="60"/>
  <c r="K235" i="60"/>
  <c r="L235" i="60"/>
  <c r="F236" i="60"/>
  <c r="G236" i="60"/>
  <c r="H236" i="60"/>
  <c r="I236" i="60"/>
  <c r="J236" i="60"/>
  <c r="K236" i="60"/>
  <c r="L236" i="60"/>
  <c r="F237" i="60"/>
  <c r="G237" i="60"/>
  <c r="H237" i="60"/>
  <c r="I237" i="60"/>
  <c r="J237" i="60"/>
  <c r="K237" i="60"/>
  <c r="L237" i="60"/>
  <c r="F238" i="60"/>
  <c r="G238" i="60"/>
  <c r="H238" i="60"/>
  <c r="I238" i="60"/>
  <c r="J238" i="60"/>
  <c r="K238" i="60"/>
  <c r="L238" i="60"/>
  <c r="F239" i="60"/>
  <c r="G239" i="60"/>
  <c r="H239" i="60"/>
  <c r="I239" i="60"/>
  <c r="J239" i="60"/>
  <c r="K239" i="60"/>
  <c r="L239" i="60"/>
  <c r="F240" i="60"/>
  <c r="H240" i="60"/>
  <c r="I240" i="60"/>
  <c r="J240" i="60"/>
  <c r="L240" i="60"/>
  <c r="F241" i="60"/>
  <c r="G241" i="60"/>
  <c r="H241" i="60"/>
  <c r="I241" i="60"/>
  <c r="I250" i="60" s="1"/>
  <c r="J241" i="60"/>
  <c r="K241" i="60"/>
  <c r="L241" i="60"/>
  <c r="F242" i="60"/>
  <c r="G242" i="60"/>
  <c r="H242" i="60"/>
  <c r="I242" i="60"/>
  <c r="J242" i="60"/>
  <c r="K242" i="60"/>
  <c r="L242" i="60"/>
  <c r="F243" i="60"/>
  <c r="G243" i="60"/>
  <c r="H243" i="60"/>
  <c r="I243" i="60"/>
  <c r="J243" i="60"/>
  <c r="K243" i="60"/>
  <c r="L243" i="60"/>
  <c r="F244" i="60"/>
  <c r="G244" i="60"/>
  <c r="H244" i="60"/>
  <c r="I244" i="60"/>
  <c r="J244" i="60"/>
  <c r="K244" i="60"/>
  <c r="L244" i="60"/>
  <c r="F245" i="60"/>
  <c r="G245" i="60"/>
  <c r="H245" i="60"/>
  <c r="I245" i="60"/>
  <c r="J245" i="60"/>
  <c r="K245" i="60"/>
  <c r="L245" i="60"/>
  <c r="F246" i="60"/>
  <c r="G246" i="60"/>
  <c r="H246" i="60"/>
  <c r="I246" i="60"/>
  <c r="J246" i="60"/>
  <c r="K246" i="60"/>
  <c r="L246" i="60"/>
  <c r="F247" i="60"/>
  <c r="G247" i="60"/>
  <c r="H247" i="60"/>
  <c r="I247" i="60"/>
  <c r="J247" i="60"/>
  <c r="K247" i="60"/>
  <c r="L247" i="60"/>
  <c r="F248" i="60"/>
  <c r="G248" i="60"/>
  <c r="H248" i="60"/>
  <c r="I248" i="60"/>
  <c r="J248" i="60"/>
  <c r="K248" i="60"/>
  <c r="L248" i="60"/>
  <c r="F249" i="60"/>
  <c r="G249" i="60"/>
  <c r="H249" i="60"/>
  <c r="I249" i="60"/>
  <c r="J249" i="60"/>
  <c r="K249" i="60"/>
  <c r="L249" i="60"/>
  <c r="F250" i="60"/>
  <c r="G250" i="60"/>
  <c r="H250" i="60"/>
  <c r="J250" i="60"/>
  <c r="K250" i="60"/>
  <c r="L250" i="60"/>
  <c r="F251" i="60"/>
  <c r="G251" i="60"/>
  <c r="G260" i="60" s="1"/>
  <c r="H251" i="60"/>
  <c r="I251" i="60"/>
  <c r="J251" i="60"/>
  <c r="K251" i="60"/>
  <c r="K260" i="60" s="1"/>
  <c r="L251" i="60"/>
  <c r="F252" i="60"/>
  <c r="G252" i="60"/>
  <c r="H252" i="60"/>
  <c r="I252" i="60"/>
  <c r="J252" i="60"/>
  <c r="K252" i="60"/>
  <c r="L252" i="60"/>
  <c r="F253" i="60"/>
  <c r="G253" i="60"/>
  <c r="H253" i="60"/>
  <c r="I253" i="60"/>
  <c r="J253" i="60"/>
  <c r="K253" i="60"/>
  <c r="L253" i="60"/>
  <c r="F254" i="60"/>
  <c r="G254" i="60"/>
  <c r="H254" i="60"/>
  <c r="I254" i="60"/>
  <c r="J254" i="60"/>
  <c r="K254" i="60"/>
  <c r="L254" i="60"/>
  <c r="F255" i="60"/>
  <c r="G255" i="60"/>
  <c r="H255" i="60"/>
  <c r="I255" i="60"/>
  <c r="J255" i="60"/>
  <c r="K255" i="60"/>
  <c r="L255" i="60"/>
  <c r="F256" i="60"/>
  <c r="G256" i="60"/>
  <c r="H256" i="60"/>
  <c r="I256" i="60"/>
  <c r="J256" i="60"/>
  <c r="K256" i="60"/>
  <c r="L256" i="60"/>
  <c r="F257" i="60"/>
  <c r="G257" i="60"/>
  <c r="H257" i="60"/>
  <c r="I257" i="60"/>
  <c r="J257" i="60"/>
  <c r="K257" i="60"/>
  <c r="L257" i="60"/>
  <c r="F258" i="60"/>
  <c r="G258" i="60"/>
  <c r="H258" i="60"/>
  <c r="I258" i="60"/>
  <c r="J258" i="60"/>
  <c r="K258" i="60"/>
  <c r="L258" i="60"/>
  <c r="F259" i="60"/>
  <c r="G259" i="60"/>
  <c r="H259" i="60"/>
  <c r="I259" i="60"/>
  <c r="J259" i="60"/>
  <c r="K259" i="60"/>
  <c r="L259" i="60"/>
  <c r="F260" i="60"/>
  <c r="H260" i="60"/>
  <c r="I260" i="60"/>
  <c r="J260" i="60"/>
  <c r="L260" i="60"/>
  <c r="F261" i="60"/>
  <c r="G261" i="60"/>
  <c r="H261" i="60"/>
  <c r="I261" i="60"/>
  <c r="I270" i="60" s="1"/>
  <c r="J261" i="60"/>
  <c r="J270" i="60" s="1"/>
  <c r="K261" i="60"/>
  <c r="L261" i="60"/>
  <c r="F262" i="60"/>
  <c r="G262" i="60"/>
  <c r="H262" i="60"/>
  <c r="I262" i="60"/>
  <c r="J262" i="60"/>
  <c r="K262" i="60"/>
  <c r="L262" i="60"/>
  <c r="F263" i="60"/>
  <c r="G263" i="60"/>
  <c r="H263" i="60"/>
  <c r="I263" i="60"/>
  <c r="J263" i="60"/>
  <c r="K263" i="60"/>
  <c r="L263" i="60"/>
  <c r="F264" i="60"/>
  <c r="F270" i="60" s="1"/>
  <c r="G264" i="60"/>
  <c r="H264" i="60"/>
  <c r="I264" i="60"/>
  <c r="J264" i="60"/>
  <c r="K264" i="60"/>
  <c r="L264" i="60"/>
  <c r="F265" i="60"/>
  <c r="G265" i="60"/>
  <c r="H265" i="60"/>
  <c r="I265" i="60"/>
  <c r="J265" i="60"/>
  <c r="K265" i="60"/>
  <c r="L265" i="60"/>
  <c r="F266" i="60"/>
  <c r="G266" i="60"/>
  <c r="H266" i="60"/>
  <c r="I266" i="60"/>
  <c r="J266" i="60"/>
  <c r="K266" i="60"/>
  <c r="L266" i="60"/>
  <c r="F267" i="60"/>
  <c r="G267" i="60"/>
  <c r="H267" i="60"/>
  <c r="H270" i="60" s="1"/>
  <c r="I267" i="60"/>
  <c r="J267" i="60"/>
  <c r="K267" i="60"/>
  <c r="L267" i="60"/>
  <c r="L270" i="60" s="1"/>
  <c r="F268" i="60"/>
  <c r="G268" i="60"/>
  <c r="H268" i="60"/>
  <c r="I268" i="60"/>
  <c r="J268" i="60"/>
  <c r="K268" i="60"/>
  <c r="L268" i="60"/>
  <c r="F269" i="60"/>
  <c r="G269" i="60"/>
  <c r="H269" i="60"/>
  <c r="I269" i="60"/>
  <c r="J269" i="60"/>
  <c r="K269" i="60"/>
  <c r="L269" i="60"/>
  <c r="G270" i="60"/>
  <c r="K270" i="60"/>
  <c r="F271" i="60"/>
  <c r="G271" i="60"/>
  <c r="G280" i="60" s="1"/>
  <c r="H271" i="60"/>
  <c r="H280" i="60" s="1"/>
  <c r="I271" i="60"/>
  <c r="J271" i="60"/>
  <c r="K271" i="60"/>
  <c r="K280" i="60" s="1"/>
  <c r="L271" i="60"/>
  <c r="L280" i="60" s="1"/>
  <c r="F272" i="60"/>
  <c r="G272" i="60"/>
  <c r="H272" i="60"/>
  <c r="I272" i="60"/>
  <c r="J272" i="60"/>
  <c r="K272" i="60"/>
  <c r="L272" i="60"/>
  <c r="F273" i="60"/>
  <c r="F280" i="60" s="1"/>
  <c r="G273" i="60"/>
  <c r="H273" i="60"/>
  <c r="I273" i="60"/>
  <c r="J273" i="60"/>
  <c r="J280" i="60" s="1"/>
  <c r="K273" i="60"/>
  <c r="L273" i="60"/>
  <c r="F274" i="60"/>
  <c r="G274" i="60"/>
  <c r="H274" i="60"/>
  <c r="I274" i="60"/>
  <c r="J274" i="60"/>
  <c r="K274" i="60"/>
  <c r="L274" i="60"/>
  <c r="F275" i="60"/>
  <c r="G275" i="60"/>
  <c r="H275" i="60"/>
  <c r="I275" i="60"/>
  <c r="J275" i="60"/>
  <c r="K275" i="60"/>
  <c r="L275" i="60"/>
  <c r="F276" i="60"/>
  <c r="G276" i="60"/>
  <c r="H276" i="60"/>
  <c r="I276" i="60"/>
  <c r="J276" i="60"/>
  <c r="K276" i="60"/>
  <c r="L276" i="60"/>
  <c r="F277" i="60"/>
  <c r="G277" i="60"/>
  <c r="H277" i="60"/>
  <c r="I277" i="60"/>
  <c r="J277" i="60"/>
  <c r="K277" i="60"/>
  <c r="L277" i="60"/>
  <c r="F278" i="60"/>
  <c r="G278" i="60"/>
  <c r="H278" i="60"/>
  <c r="I278" i="60"/>
  <c r="J278" i="60"/>
  <c r="K278" i="60"/>
  <c r="L278" i="60"/>
  <c r="F279" i="60"/>
  <c r="G279" i="60"/>
  <c r="H279" i="60"/>
  <c r="I279" i="60"/>
  <c r="J279" i="60"/>
  <c r="K279" i="60"/>
  <c r="L279" i="60"/>
  <c r="I280" i="60"/>
  <c r="F281" i="60"/>
  <c r="F290" i="60" s="1"/>
  <c r="G281" i="60"/>
  <c r="H281" i="60"/>
  <c r="I281" i="60"/>
  <c r="I290" i="60" s="1"/>
  <c r="J281" i="60"/>
  <c r="J290" i="60" s="1"/>
  <c r="K281" i="60"/>
  <c r="L281" i="60"/>
  <c r="F282" i="60"/>
  <c r="G282" i="60"/>
  <c r="H282" i="60"/>
  <c r="I282" i="60"/>
  <c r="J282" i="60"/>
  <c r="K282" i="60"/>
  <c r="L282" i="60"/>
  <c r="F283" i="60"/>
  <c r="G283" i="60"/>
  <c r="H283" i="60"/>
  <c r="H290" i="60" s="1"/>
  <c r="I283" i="60"/>
  <c r="J283" i="60"/>
  <c r="K283" i="60"/>
  <c r="L283" i="60"/>
  <c r="L290" i="60" s="1"/>
  <c r="F284" i="60"/>
  <c r="G284" i="60"/>
  <c r="H284" i="60"/>
  <c r="I284" i="60"/>
  <c r="J284" i="60"/>
  <c r="K284" i="60"/>
  <c r="L284" i="60"/>
  <c r="F285" i="60"/>
  <c r="G285" i="60"/>
  <c r="H285" i="60"/>
  <c r="I285" i="60"/>
  <c r="J285" i="60"/>
  <c r="K285" i="60"/>
  <c r="L285" i="60"/>
  <c r="F286" i="60"/>
  <c r="G286" i="60"/>
  <c r="H286" i="60"/>
  <c r="I286" i="60"/>
  <c r="J286" i="60"/>
  <c r="K286" i="60"/>
  <c r="L286" i="60"/>
  <c r="F287" i="60"/>
  <c r="G287" i="60"/>
  <c r="H287" i="60"/>
  <c r="I287" i="60"/>
  <c r="J287" i="60"/>
  <c r="K287" i="60"/>
  <c r="L287" i="60"/>
  <c r="F288" i="60"/>
  <c r="G288" i="60"/>
  <c r="H288" i="60"/>
  <c r="I288" i="60"/>
  <c r="J288" i="60"/>
  <c r="K288" i="60"/>
  <c r="L288" i="60"/>
  <c r="F289" i="60"/>
  <c r="G289" i="60"/>
  <c r="H289" i="60"/>
  <c r="I289" i="60"/>
  <c r="J289" i="60"/>
  <c r="K289" i="60"/>
  <c r="L289" i="60"/>
  <c r="G290" i="60"/>
  <c r="K290" i="60"/>
  <c r="F291" i="60"/>
  <c r="G291" i="60"/>
  <c r="G300" i="60" s="1"/>
  <c r="H291" i="60"/>
  <c r="H300" i="60" s="1"/>
  <c r="I291" i="60"/>
  <c r="J291" i="60"/>
  <c r="K291" i="60"/>
  <c r="K300" i="60" s="1"/>
  <c r="L291" i="60"/>
  <c r="L300" i="60" s="1"/>
  <c r="F292" i="60"/>
  <c r="G292" i="60"/>
  <c r="H292" i="60"/>
  <c r="I292" i="60"/>
  <c r="J292" i="60"/>
  <c r="K292" i="60"/>
  <c r="L292" i="60"/>
  <c r="F293" i="60"/>
  <c r="F300" i="60" s="1"/>
  <c r="G293" i="60"/>
  <c r="H293" i="60"/>
  <c r="I293" i="60"/>
  <c r="J293" i="60"/>
  <c r="J300" i="60" s="1"/>
  <c r="K293" i="60"/>
  <c r="L293" i="60"/>
  <c r="F294" i="60"/>
  <c r="G294" i="60"/>
  <c r="H294" i="60"/>
  <c r="I294" i="60"/>
  <c r="J294" i="60"/>
  <c r="K294" i="60"/>
  <c r="L294" i="60"/>
  <c r="F295" i="60"/>
  <c r="G295" i="60"/>
  <c r="H295" i="60"/>
  <c r="I295" i="60"/>
  <c r="J295" i="60"/>
  <c r="K295" i="60"/>
  <c r="L295" i="60"/>
  <c r="F296" i="60"/>
  <c r="G296" i="60"/>
  <c r="H296" i="60"/>
  <c r="I296" i="60"/>
  <c r="J296" i="60"/>
  <c r="K296" i="60"/>
  <c r="L296" i="60"/>
  <c r="F297" i="60"/>
  <c r="G297" i="60"/>
  <c r="H297" i="60"/>
  <c r="I297" i="60"/>
  <c r="J297" i="60"/>
  <c r="K297" i="60"/>
  <c r="L297" i="60"/>
  <c r="F298" i="60"/>
  <c r="G298" i="60"/>
  <c r="H298" i="60"/>
  <c r="I298" i="60"/>
  <c r="J298" i="60"/>
  <c r="K298" i="60"/>
  <c r="L298" i="60"/>
  <c r="F299" i="60"/>
  <c r="G299" i="60"/>
  <c r="H299" i="60"/>
  <c r="I299" i="60"/>
  <c r="J299" i="60"/>
  <c r="K299" i="60"/>
  <c r="L299" i="60"/>
  <c r="I300" i="60"/>
  <c r="F301" i="60"/>
  <c r="F310" i="60" s="1"/>
  <c r="G301" i="60"/>
  <c r="H301" i="60"/>
  <c r="I301" i="60"/>
  <c r="I310" i="60" s="1"/>
  <c r="J301" i="60"/>
  <c r="J310" i="60" s="1"/>
  <c r="K301" i="60"/>
  <c r="L301" i="60"/>
  <c r="F302" i="60"/>
  <c r="G302" i="60"/>
  <c r="H302" i="60"/>
  <c r="I302" i="60"/>
  <c r="J302" i="60"/>
  <c r="K302" i="60"/>
  <c r="L302" i="60"/>
  <c r="F303" i="60"/>
  <c r="G303" i="60"/>
  <c r="H303" i="60"/>
  <c r="H310" i="60" s="1"/>
  <c r="I303" i="60"/>
  <c r="J303" i="60"/>
  <c r="K303" i="60"/>
  <c r="L303" i="60"/>
  <c r="L310" i="60" s="1"/>
  <c r="F304" i="60"/>
  <c r="G304" i="60"/>
  <c r="H304" i="60"/>
  <c r="I304" i="60"/>
  <c r="J304" i="60"/>
  <c r="K304" i="60"/>
  <c r="L304" i="60"/>
  <c r="F305" i="60"/>
  <c r="G305" i="60"/>
  <c r="H305" i="60"/>
  <c r="I305" i="60"/>
  <c r="J305" i="60"/>
  <c r="K305" i="60"/>
  <c r="L305" i="60"/>
  <c r="F306" i="60"/>
  <c r="G306" i="60"/>
  <c r="H306" i="60"/>
  <c r="I306" i="60"/>
  <c r="J306" i="60"/>
  <c r="K306" i="60"/>
  <c r="L306" i="60"/>
  <c r="F307" i="60"/>
  <c r="G307" i="60"/>
  <c r="H307" i="60"/>
  <c r="I307" i="60"/>
  <c r="J307" i="60"/>
  <c r="K307" i="60"/>
  <c r="L307" i="60"/>
  <c r="F308" i="60"/>
  <c r="G308" i="60"/>
  <c r="H308" i="60"/>
  <c r="I308" i="60"/>
  <c r="J308" i="60"/>
  <c r="K308" i="60"/>
  <c r="L308" i="60"/>
  <c r="F309" i="60"/>
  <c r="G309" i="60"/>
  <c r="H309" i="60"/>
  <c r="I309" i="60"/>
  <c r="J309" i="60"/>
  <c r="K309" i="60"/>
  <c r="L309" i="60"/>
  <c r="G310" i="60"/>
  <c r="K310" i="60"/>
  <c r="F311" i="60"/>
  <c r="G311" i="60"/>
  <c r="H311" i="60"/>
  <c r="I311" i="60"/>
  <c r="J311" i="60"/>
  <c r="K311" i="60"/>
  <c r="L311" i="60"/>
  <c r="L320" i="60" s="1"/>
  <c r="S311" i="60"/>
  <c r="F312" i="60"/>
  <c r="G312" i="60"/>
  <c r="H312" i="60"/>
  <c r="I312" i="60"/>
  <c r="J312" i="60"/>
  <c r="K312" i="60"/>
  <c r="L312" i="60"/>
  <c r="S312" i="60"/>
  <c r="F313" i="60"/>
  <c r="G313" i="60"/>
  <c r="H313" i="60"/>
  <c r="I313" i="60"/>
  <c r="J313" i="60"/>
  <c r="K313" i="60"/>
  <c r="L313" i="60"/>
  <c r="S313" i="60"/>
  <c r="F314" i="60"/>
  <c r="G314" i="60"/>
  <c r="H314" i="60"/>
  <c r="I314" i="60"/>
  <c r="J314" i="60"/>
  <c r="K314" i="60"/>
  <c r="L314" i="60"/>
  <c r="S314" i="60"/>
  <c r="F315" i="60"/>
  <c r="G315" i="60"/>
  <c r="H315" i="60"/>
  <c r="I315" i="60"/>
  <c r="J315" i="60"/>
  <c r="K315" i="60"/>
  <c r="L315" i="60"/>
  <c r="S315" i="60"/>
  <c r="F316" i="60"/>
  <c r="G316" i="60"/>
  <c r="H316" i="60"/>
  <c r="I316" i="60"/>
  <c r="J316" i="60"/>
  <c r="K316" i="60"/>
  <c r="L316" i="60"/>
  <c r="S316" i="60"/>
  <c r="F317" i="60"/>
  <c r="G317" i="60"/>
  <c r="H317" i="60"/>
  <c r="I317" i="60"/>
  <c r="J317" i="60"/>
  <c r="K317" i="60"/>
  <c r="L317" i="60"/>
  <c r="S317" i="60"/>
  <c r="F318" i="60"/>
  <c r="G318" i="60"/>
  <c r="H318" i="60"/>
  <c r="I318" i="60"/>
  <c r="J318" i="60"/>
  <c r="K318" i="60"/>
  <c r="L318" i="60"/>
  <c r="S318" i="60"/>
  <c r="F319" i="60"/>
  <c r="G319" i="60"/>
  <c r="H319" i="60"/>
  <c r="I319" i="60"/>
  <c r="J319" i="60"/>
  <c r="K319" i="60"/>
  <c r="L319" i="60"/>
  <c r="S319" i="60"/>
  <c r="F320" i="60"/>
  <c r="G320" i="60"/>
  <c r="H320" i="60"/>
  <c r="I320" i="60"/>
  <c r="J320" i="60"/>
  <c r="K320" i="60"/>
  <c r="S320" i="60"/>
  <c r="H321" i="60"/>
  <c r="K321" i="60"/>
  <c r="N321" i="60"/>
  <c r="N330" i="60" s="1"/>
  <c r="P321" i="60"/>
  <c r="H322" i="60"/>
  <c r="K322" i="60"/>
  <c r="N322" i="60"/>
  <c r="P322" i="60"/>
  <c r="H323" i="60"/>
  <c r="H330" i="60" s="1"/>
  <c r="K323" i="60"/>
  <c r="N323" i="60"/>
  <c r="P323" i="60"/>
  <c r="H324" i="60"/>
  <c r="K324" i="60"/>
  <c r="N324" i="60"/>
  <c r="P324" i="60"/>
  <c r="H325" i="60"/>
  <c r="K325" i="60"/>
  <c r="N325" i="60"/>
  <c r="P325" i="60"/>
  <c r="H326" i="60"/>
  <c r="K326" i="60"/>
  <c r="N326" i="60"/>
  <c r="P326" i="60"/>
  <c r="H327" i="60"/>
  <c r="K327" i="60"/>
  <c r="N327" i="60"/>
  <c r="P327" i="60"/>
  <c r="H328" i="60"/>
  <c r="K328" i="60"/>
  <c r="N328" i="60"/>
  <c r="P328" i="60"/>
  <c r="H329" i="60"/>
  <c r="K329" i="60"/>
  <c r="N329" i="60"/>
  <c r="P329" i="60"/>
  <c r="K330" i="60"/>
  <c r="F332" i="60"/>
  <c r="G332" i="60"/>
  <c r="H332" i="60"/>
  <c r="I332" i="60"/>
  <c r="J332" i="60"/>
  <c r="K332" i="60"/>
  <c r="L332" i="60"/>
  <c r="F333" i="60"/>
  <c r="G333" i="60"/>
  <c r="H333" i="60"/>
  <c r="I333" i="60"/>
  <c r="J333" i="60"/>
  <c r="K333" i="60"/>
  <c r="L333" i="60"/>
  <c r="F334" i="60"/>
  <c r="G334" i="60"/>
  <c r="H334" i="60"/>
  <c r="I334" i="60"/>
  <c r="J334" i="60"/>
  <c r="K334" i="60"/>
  <c r="L334" i="60"/>
  <c r="F335" i="60"/>
  <c r="G335" i="60"/>
  <c r="H335" i="60"/>
  <c r="I335" i="60"/>
  <c r="J335" i="60"/>
  <c r="K335" i="60"/>
  <c r="L335" i="60"/>
  <c r="F336" i="60"/>
  <c r="G336" i="60"/>
  <c r="H336" i="60"/>
  <c r="I336" i="60"/>
  <c r="J336" i="60"/>
  <c r="K336" i="60"/>
  <c r="L336" i="60"/>
  <c r="F337" i="60"/>
  <c r="G337" i="60"/>
  <c r="H337" i="60"/>
  <c r="I337" i="60"/>
  <c r="J337" i="60"/>
  <c r="K337" i="60"/>
  <c r="L337" i="60"/>
  <c r="F338" i="60"/>
  <c r="G338" i="60"/>
  <c r="H338" i="60"/>
  <c r="I338" i="60"/>
  <c r="J338" i="60"/>
  <c r="K338" i="60"/>
  <c r="L338" i="60"/>
  <c r="F339" i="60"/>
  <c r="G339" i="60"/>
  <c r="H339" i="60"/>
  <c r="I339" i="60"/>
  <c r="J339" i="60"/>
  <c r="K339" i="60"/>
  <c r="L339" i="60"/>
  <c r="F340" i="60"/>
  <c r="G340" i="60"/>
  <c r="H340" i="60"/>
  <c r="I340" i="60"/>
  <c r="J340" i="60"/>
  <c r="K340" i="60"/>
  <c r="L340" i="60"/>
  <c r="F341" i="60"/>
  <c r="G341" i="60"/>
  <c r="H341" i="60"/>
  <c r="I341" i="60"/>
  <c r="J341" i="60"/>
  <c r="K341" i="60"/>
  <c r="L341" i="60"/>
  <c r="F342" i="60"/>
  <c r="F351" i="60" s="1"/>
  <c r="G342" i="60"/>
  <c r="H342" i="60"/>
  <c r="I342" i="60"/>
  <c r="I351" i="60" s="1"/>
  <c r="J342" i="60"/>
  <c r="J351" i="60" s="1"/>
  <c r="K342" i="60"/>
  <c r="L342" i="60"/>
  <c r="F343" i="60"/>
  <c r="G343" i="60"/>
  <c r="H343" i="60"/>
  <c r="I343" i="60"/>
  <c r="J343" i="60"/>
  <c r="K343" i="60"/>
  <c r="L343" i="60"/>
  <c r="F344" i="60"/>
  <c r="G344" i="60"/>
  <c r="H344" i="60"/>
  <c r="I344" i="60"/>
  <c r="J344" i="60"/>
  <c r="K344" i="60"/>
  <c r="L344" i="60"/>
  <c r="F345" i="60"/>
  <c r="G345" i="60"/>
  <c r="H345" i="60"/>
  <c r="I345" i="60"/>
  <c r="J345" i="60"/>
  <c r="K345" i="60"/>
  <c r="L345" i="60"/>
  <c r="F346" i="60"/>
  <c r="G346" i="60"/>
  <c r="H346" i="60"/>
  <c r="I346" i="60"/>
  <c r="J346" i="60"/>
  <c r="K346" i="60"/>
  <c r="L346" i="60"/>
  <c r="F347" i="60"/>
  <c r="G347" i="60"/>
  <c r="H347" i="60"/>
  <c r="I347" i="60"/>
  <c r="J347" i="60"/>
  <c r="K347" i="60"/>
  <c r="L347" i="60"/>
  <c r="F348" i="60"/>
  <c r="G348" i="60"/>
  <c r="H348" i="60"/>
  <c r="I348" i="60"/>
  <c r="J348" i="60"/>
  <c r="K348" i="60"/>
  <c r="L348" i="60"/>
  <c r="F349" i="60"/>
  <c r="G349" i="60"/>
  <c r="H349" i="60"/>
  <c r="I349" i="60"/>
  <c r="J349" i="60"/>
  <c r="K349" i="60"/>
  <c r="L349" i="60"/>
  <c r="F350" i="60"/>
  <c r="G350" i="60"/>
  <c r="H350" i="60"/>
  <c r="I350" i="60"/>
  <c r="J350" i="60"/>
  <c r="K350" i="60"/>
  <c r="L350" i="60"/>
  <c r="G351" i="60"/>
  <c r="H351" i="60"/>
  <c r="K351" i="60"/>
  <c r="L351" i="60"/>
  <c r="F352" i="60"/>
  <c r="G352" i="60"/>
  <c r="H352" i="60"/>
  <c r="I352" i="60"/>
  <c r="J352" i="60"/>
  <c r="K352" i="60"/>
  <c r="L352" i="60"/>
  <c r="F353" i="60"/>
  <c r="F361" i="60" s="1"/>
  <c r="G353" i="60"/>
  <c r="H353" i="60"/>
  <c r="I353" i="60"/>
  <c r="J353" i="60"/>
  <c r="J361" i="60" s="1"/>
  <c r="K353" i="60"/>
  <c r="L353" i="60"/>
  <c r="F354" i="60"/>
  <c r="G354" i="60"/>
  <c r="G361" i="60" s="1"/>
  <c r="H354" i="60"/>
  <c r="I354" i="60"/>
  <c r="J354" i="60"/>
  <c r="K354" i="60"/>
  <c r="K361" i="60" s="1"/>
  <c r="L354" i="60"/>
  <c r="F355" i="60"/>
  <c r="G355" i="60"/>
  <c r="H355" i="60"/>
  <c r="I355" i="60"/>
  <c r="J355" i="60"/>
  <c r="K355" i="60"/>
  <c r="L355" i="60"/>
  <c r="F356" i="60"/>
  <c r="G356" i="60"/>
  <c r="H356" i="60"/>
  <c r="I356" i="60"/>
  <c r="J356" i="60"/>
  <c r="K356" i="60"/>
  <c r="L356" i="60"/>
  <c r="O356" i="60"/>
  <c r="F357" i="60"/>
  <c r="G357" i="60"/>
  <c r="H357" i="60"/>
  <c r="I357" i="60"/>
  <c r="J357" i="60"/>
  <c r="K357" i="60"/>
  <c r="L357" i="60"/>
  <c r="F358" i="60"/>
  <c r="G358" i="60"/>
  <c r="H358" i="60"/>
  <c r="I358" i="60"/>
  <c r="J358" i="60"/>
  <c r="K358" i="60"/>
  <c r="L358" i="60"/>
  <c r="F359" i="60"/>
  <c r="G359" i="60"/>
  <c r="H359" i="60"/>
  <c r="I359" i="60"/>
  <c r="J359" i="60"/>
  <c r="K359" i="60"/>
  <c r="L359" i="60"/>
  <c r="F360" i="60"/>
  <c r="G360" i="60"/>
  <c r="H360" i="60"/>
  <c r="H361" i="60" s="1"/>
  <c r="I360" i="60"/>
  <c r="J360" i="60"/>
  <c r="K360" i="60"/>
  <c r="L360" i="60"/>
  <c r="L361" i="60" s="1"/>
  <c r="I361" i="60"/>
  <c r="O341" i="60"/>
  <c r="H20" i="61" s="1"/>
  <c r="F362" i="60"/>
  <c r="G362" i="60"/>
  <c r="G371" i="60" s="1"/>
  <c r="H362" i="60"/>
  <c r="H371" i="60" s="1"/>
  <c r="I362" i="60"/>
  <c r="I371" i="60" s="1"/>
  <c r="J362" i="60"/>
  <c r="K362" i="60"/>
  <c r="K371" i="60" s="1"/>
  <c r="L362" i="60"/>
  <c r="L371" i="60" s="1"/>
  <c r="F363" i="60"/>
  <c r="G363" i="60"/>
  <c r="H363" i="60"/>
  <c r="I363" i="60"/>
  <c r="J363" i="60"/>
  <c r="K363" i="60"/>
  <c r="L363" i="60"/>
  <c r="F364" i="60"/>
  <c r="G364" i="60"/>
  <c r="H364" i="60"/>
  <c r="I364" i="60"/>
  <c r="J364" i="60"/>
  <c r="K364" i="60"/>
  <c r="L364" i="60"/>
  <c r="F365" i="60"/>
  <c r="G365" i="60"/>
  <c r="H365" i="60"/>
  <c r="I365" i="60"/>
  <c r="J365" i="60"/>
  <c r="K365" i="60"/>
  <c r="L365" i="60"/>
  <c r="F366" i="60"/>
  <c r="G366" i="60"/>
  <c r="H366" i="60"/>
  <c r="I366" i="60"/>
  <c r="J366" i="60"/>
  <c r="K366" i="60"/>
  <c r="L366" i="60"/>
  <c r="F367" i="60"/>
  <c r="G367" i="60"/>
  <c r="H367" i="60"/>
  <c r="I367" i="60"/>
  <c r="J367" i="60"/>
  <c r="K367" i="60"/>
  <c r="L367" i="60"/>
  <c r="F368" i="60"/>
  <c r="G368" i="60"/>
  <c r="H368" i="60"/>
  <c r="I368" i="60"/>
  <c r="J368" i="60"/>
  <c r="K368" i="60"/>
  <c r="L368" i="60"/>
  <c r="F369" i="60"/>
  <c r="G369" i="60"/>
  <c r="H369" i="60"/>
  <c r="I369" i="60"/>
  <c r="J369" i="60"/>
  <c r="K369" i="60"/>
  <c r="L369" i="60"/>
  <c r="F370" i="60"/>
  <c r="G370" i="60"/>
  <c r="H370" i="60"/>
  <c r="I370" i="60"/>
  <c r="J370" i="60"/>
  <c r="K370" i="60"/>
  <c r="L370" i="60"/>
  <c r="F371" i="60"/>
  <c r="J371" i="60"/>
  <c r="F372" i="60"/>
  <c r="F381" i="60" s="1"/>
  <c r="G372" i="60"/>
  <c r="G381" i="60" s="1"/>
  <c r="H372" i="60"/>
  <c r="I372" i="60"/>
  <c r="I381" i="60" s="1"/>
  <c r="J372" i="60"/>
  <c r="J381" i="60" s="1"/>
  <c r="K372" i="60"/>
  <c r="K381" i="60" s="1"/>
  <c r="L372" i="60"/>
  <c r="F373" i="60"/>
  <c r="G373" i="60"/>
  <c r="H373" i="60"/>
  <c r="I373" i="60"/>
  <c r="J373" i="60"/>
  <c r="K373" i="60"/>
  <c r="L373" i="60"/>
  <c r="F374" i="60"/>
  <c r="G374" i="60"/>
  <c r="H374" i="60"/>
  <c r="I374" i="60"/>
  <c r="J374" i="60"/>
  <c r="K374" i="60"/>
  <c r="L374" i="60"/>
  <c r="F375" i="60"/>
  <c r="G375" i="60"/>
  <c r="H375" i="60"/>
  <c r="I375" i="60"/>
  <c r="J375" i="60"/>
  <c r="K375" i="60"/>
  <c r="L375" i="60"/>
  <c r="F376" i="60"/>
  <c r="G376" i="60"/>
  <c r="H376" i="60"/>
  <c r="I376" i="60"/>
  <c r="J376" i="60"/>
  <c r="K376" i="60"/>
  <c r="L376" i="60"/>
  <c r="F377" i="60"/>
  <c r="G377" i="60"/>
  <c r="H377" i="60"/>
  <c r="I377" i="60"/>
  <c r="J377" i="60"/>
  <c r="K377" i="60"/>
  <c r="L377" i="60"/>
  <c r="F378" i="60"/>
  <c r="G378" i="60"/>
  <c r="H378" i="60"/>
  <c r="I378" i="60"/>
  <c r="J378" i="60"/>
  <c r="K378" i="60"/>
  <c r="L378" i="60"/>
  <c r="F379" i="60"/>
  <c r="G379" i="60"/>
  <c r="H379" i="60"/>
  <c r="I379" i="60"/>
  <c r="J379" i="60"/>
  <c r="K379" i="60"/>
  <c r="L379" i="60"/>
  <c r="F380" i="60"/>
  <c r="G380" i="60"/>
  <c r="H380" i="60"/>
  <c r="I380" i="60"/>
  <c r="J380" i="60"/>
  <c r="K380" i="60"/>
  <c r="L380" i="60"/>
  <c r="H381" i="60"/>
  <c r="L381" i="60"/>
  <c r="F382" i="60"/>
  <c r="G382" i="60"/>
  <c r="G391" i="60" s="1"/>
  <c r="H382" i="60"/>
  <c r="H391" i="60" s="1"/>
  <c r="I382" i="60"/>
  <c r="I391" i="60" s="1"/>
  <c r="J382" i="60"/>
  <c r="K382" i="60"/>
  <c r="K391" i="60" s="1"/>
  <c r="L382" i="60"/>
  <c r="L391" i="60" s="1"/>
  <c r="F383" i="60"/>
  <c r="G383" i="60"/>
  <c r="H383" i="60"/>
  <c r="I383" i="60"/>
  <c r="J383" i="60"/>
  <c r="K383" i="60"/>
  <c r="L383" i="60"/>
  <c r="F384" i="60"/>
  <c r="G384" i="60"/>
  <c r="H384" i="60"/>
  <c r="I384" i="60"/>
  <c r="J384" i="60"/>
  <c r="K384" i="60"/>
  <c r="L384" i="60"/>
  <c r="F385" i="60"/>
  <c r="G385" i="60"/>
  <c r="H385" i="60"/>
  <c r="I385" i="60"/>
  <c r="J385" i="60"/>
  <c r="K385" i="60"/>
  <c r="L385" i="60"/>
  <c r="F386" i="60"/>
  <c r="G386" i="60"/>
  <c r="H386" i="60"/>
  <c r="I386" i="60"/>
  <c r="J386" i="60"/>
  <c r="K386" i="60"/>
  <c r="L386" i="60"/>
  <c r="F387" i="60"/>
  <c r="G387" i="60"/>
  <c r="H387" i="60"/>
  <c r="I387" i="60"/>
  <c r="J387" i="60"/>
  <c r="K387" i="60"/>
  <c r="L387" i="60"/>
  <c r="F388" i="60"/>
  <c r="G388" i="60"/>
  <c r="H388" i="60"/>
  <c r="I388" i="60"/>
  <c r="J388" i="60"/>
  <c r="K388" i="60"/>
  <c r="L388" i="60"/>
  <c r="F389" i="60"/>
  <c r="G389" i="60"/>
  <c r="H389" i="60"/>
  <c r="I389" i="60"/>
  <c r="J389" i="60"/>
  <c r="K389" i="60"/>
  <c r="L389" i="60"/>
  <c r="F390" i="60"/>
  <c r="G390" i="60"/>
  <c r="H390" i="60"/>
  <c r="I390" i="60"/>
  <c r="J390" i="60"/>
  <c r="K390" i="60"/>
  <c r="L390" i="60"/>
  <c r="F391" i="60"/>
  <c r="J391" i="60"/>
  <c r="F392" i="60"/>
  <c r="F401" i="60" s="1"/>
  <c r="G392" i="60"/>
  <c r="G401" i="60" s="1"/>
  <c r="H392" i="60"/>
  <c r="I392" i="60"/>
  <c r="I401" i="60" s="1"/>
  <c r="J392" i="60"/>
  <c r="J401" i="60" s="1"/>
  <c r="K392" i="60"/>
  <c r="K401" i="60" s="1"/>
  <c r="L392" i="60"/>
  <c r="F393" i="60"/>
  <c r="G393" i="60"/>
  <c r="H393" i="60"/>
  <c r="I393" i="60"/>
  <c r="J393" i="60"/>
  <c r="K393" i="60"/>
  <c r="L393" i="60"/>
  <c r="F394" i="60"/>
  <c r="G394" i="60"/>
  <c r="H394" i="60"/>
  <c r="I394" i="60"/>
  <c r="J394" i="60"/>
  <c r="K394" i="60"/>
  <c r="L394" i="60"/>
  <c r="F395" i="60"/>
  <c r="G395" i="60"/>
  <c r="H395" i="60"/>
  <c r="I395" i="60"/>
  <c r="J395" i="60"/>
  <c r="K395" i="60"/>
  <c r="L395" i="60"/>
  <c r="F396" i="60"/>
  <c r="G396" i="60"/>
  <c r="H396" i="60"/>
  <c r="I396" i="60"/>
  <c r="J396" i="60"/>
  <c r="K396" i="60"/>
  <c r="L396" i="60"/>
  <c r="F397" i="60"/>
  <c r="G397" i="60"/>
  <c r="H397" i="60"/>
  <c r="I397" i="60"/>
  <c r="J397" i="60"/>
  <c r="K397" i="60"/>
  <c r="L397" i="60"/>
  <c r="F398" i="60"/>
  <c r="G398" i="60"/>
  <c r="H398" i="60"/>
  <c r="I398" i="60"/>
  <c r="J398" i="60"/>
  <c r="K398" i="60"/>
  <c r="L398" i="60"/>
  <c r="F399" i="60"/>
  <c r="G399" i="60"/>
  <c r="H399" i="60"/>
  <c r="I399" i="60"/>
  <c r="J399" i="60"/>
  <c r="K399" i="60"/>
  <c r="L399" i="60"/>
  <c r="F400" i="60"/>
  <c r="G400" i="60"/>
  <c r="H400" i="60"/>
  <c r="I400" i="60"/>
  <c r="J400" i="60"/>
  <c r="K400" i="60"/>
  <c r="L400" i="60"/>
  <c r="H401" i="60"/>
  <c r="L401" i="60"/>
  <c r="F402" i="60"/>
  <c r="G402" i="60"/>
  <c r="G411" i="60" s="1"/>
  <c r="H402" i="60"/>
  <c r="H411" i="60" s="1"/>
  <c r="I402" i="60"/>
  <c r="I411" i="60" s="1"/>
  <c r="J402" i="60"/>
  <c r="K402" i="60"/>
  <c r="K411" i="60" s="1"/>
  <c r="L402" i="60"/>
  <c r="L411" i="60" s="1"/>
  <c r="F403" i="60"/>
  <c r="G403" i="60"/>
  <c r="H403" i="60"/>
  <c r="I403" i="60"/>
  <c r="J403" i="60"/>
  <c r="K403" i="60"/>
  <c r="L403" i="60"/>
  <c r="F404" i="60"/>
  <c r="G404" i="60"/>
  <c r="H404" i="60"/>
  <c r="I404" i="60"/>
  <c r="J404" i="60"/>
  <c r="K404" i="60"/>
  <c r="L404" i="60"/>
  <c r="F405" i="60"/>
  <c r="G405" i="60"/>
  <c r="H405" i="60"/>
  <c r="I405" i="60"/>
  <c r="J405" i="60"/>
  <c r="K405" i="60"/>
  <c r="L405" i="60"/>
  <c r="F406" i="60"/>
  <c r="G406" i="60"/>
  <c r="H406" i="60"/>
  <c r="I406" i="60"/>
  <c r="J406" i="60"/>
  <c r="K406" i="60"/>
  <c r="L406" i="60"/>
  <c r="F407" i="60"/>
  <c r="G407" i="60"/>
  <c r="H407" i="60"/>
  <c r="I407" i="60"/>
  <c r="J407" i="60"/>
  <c r="K407" i="60"/>
  <c r="L407" i="60"/>
  <c r="F408" i="60"/>
  <c r="G408" i="60"/>
  <c r="H408" i="60"/>
  <c r="I408" i="60"/>
  <c r="J408" i="60"/>
  <c r="K408" i="60"/>
  <c r="L408" i="60"/>
  <c r="F409" i="60"/>
  <c r="G409" i="60"/>
  <c r="H409" i="60"/>
  <c r="I409" i="60"/>
  <c r="J409" i="60"/>
  <c r="K409" i="60"/>
  <c r="L409" i="60"/>
  <c r="F410" i="60"/>
  <c r="G410" i="60"/>
  <c r="H410" i="60"/>
  <c r="I410" i="60"/>
  <c r="J410" i="60"/>
  <c r="K410" i="60"/>
  <c r="L410" i="60"/>
  <c r="F411" i="60"/>
  <c r="J411" i="60"/>
  <c r="F412" i="60"/>
  <c r="F421" i="60" s="1"/>
  <c r="G412" i="60"/>
  <c r="G421" i="60" s="1"/>
  <c r="H412" i="60"/>
  <c r="I412" i="60"/>
  <c r="I421" i="60" s="1"/>
  <c r="J412" i="60"/>
  <c r="J421" i="60" s="1"/>
  <c r="K412" i="60"/>
  <c r="K421" i="60" s="1"/>
  <c r="L412" i="60"/>
  <c r="F413" i="60"/>
  <c r="G413" i="60"/>
  <c r="H413" i="60"/>
  <c r="I413" i="60"/>
  <c r="J413" i="60"/>
  <c r="K413" i="60"/>
  <c r="L413" i="60"/>
  <c r="F414" i="60"/>
  <c r="G414" i="60"/>
  <c r="H414" i="60"/>
  <c r="I414" i="60"/>
  <c r="J414" i="60"/>
  <c r="K414" i="60"/>
  <c r="L414" i="60"/>
  <c r="F415" i="60"/>
  <c r="G415" i="60"/>
  <c r="H415" i="60"/>
  <c r="I415" i="60"/>
  <c r="J415" i="60"/>
  <c r="K415" i="60"/>
  <c r="L415" i="60"/>
  <c r="F416" i="60"/>
  <c r="G416" i="60"/>
  <c r="H416" i="60"/>
  <c r="I416" i="60"/>
  <c r="J416" i="60"/>
  <c r="K416" i="60"/>
  <c r="L416" i="60"/>
  <c r="F417" i="60"/>
  <c r="G417" i="60"/>
  <c r="H417" i="60"/>
  <c r="I417" i="60"/>
  <c r="J417" i="60"/>
  <c r="K417" i="60"/>
  <c r="L417" i="60"/>
  <c r="F418" i="60"/>
  <c r="G418" i="60"/>
  <c r="H418" i="60"/>
  <c r="I418" i="60"/>
  <c r="J418" i="60"/>
  <c r="K418" i="60"/>
  <c r="L418" i="60"/>
  <c r="F419" i="60"/>
  <c r="G419" i="60"/>
  <c r="H419" i="60"/>
  <c r="I419" i="60"/>
  <c r="J419" i="60"/>
  <c r="K419" i="60"/>
  <c r="L419" i="60"/>
  <c r="F420" i="60"/>
  <c r="G420" i="60"/>
  <c r="H420" i="60"/>
  <c r="I420" i="60"/>
  <c r="J420" i="60"/>
  <c r="K420" i="60"/>
  <c r="L420" i="60"/>
  <c r="H421" i="60"/>
  <c r="L421" i="60"/>
  <c r="F422" i="60"/>
  <c r="G422" i="60"/>
  <c r="G431" i="60" s="1"/>
  <c r="H422" i="60"/>
  <c r="H431" i="60" s="1"/>
  <c r="I422" i="60"/>
  <c r="I431" i="60" s="1"/>
  <c r="J422" i="60"/>
  <c r="K422" i="60"/>
  <c r="K431" i="60" s="1"/>
  <c r="L422" i="60"/>
  <c r="L431" i="60" s="1"/>
  <c r="F423" i="60"/>
  <c r="G423" i="60"/>
  <c r="H423" i="60"/>
  <c r="I423" i="60"/>
  <c r="J423" i="60"/>
  <c r="K423" i="60"/>
  <c r="L423" i="60"/>
  <c r="F424" i="60"/>
  <c r="G424" i="60"/>
  <c r="H424" i="60"/>
  <c r="I424" i="60"/>
  <c r="J424" i="60"/>
  <c r="K424" i="60"/>
  <c r="L424" i="60"/>
  <c r="F425" i="60"/>
  <c r="G425" i="60"/>
  <c r="H425" i="60"/>
  <c r="I425" i="60"/>
  <c r="J425" i="60"/>
  <c r="K425" i="60"/>
  <c r="L425" i="60"/>
  <c r="F426" i="60"/>
  <c r="G426" i="60"/>
  <c r="H426" i="60"/>
  <c r="I426" i="60"/>
  <c r="J426" i="60"/>
  <c r="K426" i="60"/>
  <c r="L426" i="60"/>
  <c r="F427" i="60"/>
  <c r="G427" i="60"/>
  <c r="H427" i="60"/>
  <c r="I427" i="60"/>
  <c r="J427" i="60"/>
  <c r="K427" i="60"/>
  <c r="L427" i="60"/>
  <c r="F428" i="60"/>
  <c r="G428" i="60"/>
  <c r="H428" i="60"/>
  <c r="I428" i="60"/>
  <c r="J428" i="60"/>
  <c r="K428" i="60"/>
  <c r="L428" i="60"/>
  <c r="F429" i="60"/>
  <c r="G429" i="60"/>
  <c r="H429" i="60"/>
  <c r="I429" i="60"/>
  <c r="J429" i="60"/>
  <c r="K429" i="60"/>
  <c r="L429" i="60"/>
  <c r="F430" i="60"/>
  <c r="G430" i="60"/>
  <c r="H430" i="60"/>
  <c r="I430" i="60"/>
  <c r="J430" i="60"/>
  <c r="K430" i="60"/>
  <c r="L430" i="60"/>
  <c r="F431" i="60"/>
  <c r="J431" i="60"/>
  <c r="F432" i="60"/>
  <c r="G432" i="60"/>
  <c r="H432" i="60"/>
  <c r="I432" i="60"/>
  <c r="J432" i="60"/>
  <c r="K432" i="60"/>
  <c r="L432" i="60"/>
  <c r="S432" i="60"/>
  <c r="F433" i="60"/>
  <c r="G433" i="60"/>
  <c r="H433" i="60"/>
  <c r="I433" i="60"/>
  <c r="J433" i="60"/>
  <c r="K433" i="60"/>
  <c r="L433" i="60"/>
  <c r="S433" i="60"/>
  <c r="F434" i="60"/>
  <c r="G434" i="60"/>
  <c r="H434" i="60"/>
  <c r="I434" i="60"/>
  <c r="J434" i="60"/>
  <c r="K434" i="60"/>
  <c r="L434" i="60"/>
  <c r="S434" i="60"/>
  <c r="F435" i="60"/>
  <c r="G435" i="60"/>
  <c r="H435" i="60"/>
  <c r="I435" i="60"/>
  <c r="J435" i="60"/>
  <c r="K435" i="60"/>
  <c r="L435" i="60"/>
  <c r="S435" i="60"/>
  <c r="F436" i="60"/>
  <c r="G436" i="60"/>
  <c r="H436" i="60"/>
  <c r="I436" i="60"/>
  <c r="J436" i="60"/>
  <c r="K436" i="60"/>
  <c r="L436" i="60"/>
  <c r="S436" i="60"/>
  <c r="F437" i="60"/>
  <c r="G437" i="60"/>
  <c r="H437" i="60"/>
  <c r="I437" i="60"/>
  <c r="J437" i="60"/>
  <c r="K437" i="60"/>
  <c r="L437" i="60"/>
  <c r="S437" i="60"/>
  <c r="F438" i="60"/>
  <c r="G438" i="60"/>
  <c r="H438" i="60"/>
  <c r="I438" i="60"/>
  <c r="J438" i="60"/>
  <c r="K438" i="60"/>
  <c r="L438" i="60"/>
  <c r="S438" i="60"/>
  <c r="F439" i="60"/>
  <c r="G439" i="60"/>
  <c r="H439" i="60"/>
  <c r="I439" i="60"/>
  <c r="J439" i="60"/>
  <c r="K439" i="60"/>
  <c r="L439" i="60"/>
  <c r="S439" i="60"/>
  <c r="F440" i="60"/>
  <c r="G440" i="60"/>
  <c r="H440" i="60"/>
  <c r="I440" i="60"/>
  <c r="J440" i="60"/>
  <c r="K440" i="60"/>
  <c r="L440" i="60"/>
  <c r="S440" i="60"/>
  <c r="F441" i="60"/>
  <c r="G441" i="60"/>
  <c r="H441" i="60"/>
  <c r="I441" i="60"/>
  <c r="J441" i="60"/>
  <c r="K441" i="60"/>
  <c r="L441" i="60"/>
  <c r="S441" i="60"/>
  <c r="AB341" i="60"/>
  <c r="AB441" i="60" s="1"/>
  <c r="Z330" i="60"/>
  <c r="AB98" i="60"/>
  <c r="AB48" i="60"/>
  <c r="AB17" i="60"/>
  <c r="B6" i="60"/>
  <c r="B3" i="60"/>
  <c r="B2" i="60"/>
  <c r="Z42" i="54"/>
  <c r="AB41" i="54"/>
  <c r="S41" i="54"/>
  <c r="N42" i="12"/>
  <c r="O44" i="12" s="1"/>
  <c r="H16" i="61" s="1"/>
  <c r="Z42" i="12"/>
  <c r="AB41" i="12"/>
  <c r="S41" i="12"/>
  <c r="L41" i="12"/>
  <c r="K41" i="12"/>
  <c r="K42" i="12" s="1"/>
  <c r="J41" i="12"/>
  <c r="I41" i="12"/>
  <c r="H41" i="12"/>
  <c r="G41" i="12"/>
  <c r="H42" i="12" s="1"/>
  <c r="F41" i="12"/>
  <c r="N42" i="11"/>
  <c r="O44" i="11" s="1"/>
  <c r="O340" i="60" s="1"/>
  <c r="Z42" i="11"/>
  <c r="AB41" i="11"/>
  <c r="L41" i="11"/>
  <c r="S41" i="11" s="1"/>
  <c r="K41" i="11"/>
  <c r="K42" i="11" s="1"/>
  <c r="J41" i="11"/>
  <c r="I41" i="11"/>
  <c r="H41" i="11"/>
  <c r="G41" i="11"/>
  <c r="H42" i="11" s="1"/>
  <c r="F41" i="11"/>
  <c r="O44" i="10"/>
  <c r="O337" i="60" s="1"/>
  <c r="N42" i="10"/>
  <c r="O42" i="10" s="1"/>
  <c r="O326" i="60" s="1"/>
  <c r="Z42" i="10"/>
  <c r="AB41" i="10"/>
  <c r="L41" i="10"/>
  <c r="S41" i="10" s="1"/>
  <c r="K41" i="10"/>
  <c r="K42" i="10" s="1"/>
  <c r="J41" i="10"/>
  <c r="I41" i="10"/>
  <c r="H41" i="10"/>
  <c r="G41" i="10"/>
  <c r="H42" i="10" s="1"/>
  <c r="F41" i="10"/>
  <c r="H13" i="61" l="1"/>
  <c r="H14" i="61"/>
  <c r="O339" i="60"/>
  <c r="L20" i="61"/>
  <c r="L32" i="61" s="1"/>
  <c r="P330" i="60"/>
  <c r="I13" i="61"/>
  <c r="M20" i="61"/>
  <c r="M32" i="61" s="1"/>
  <c r="K42" i="61"/>
  <c r="J20" i="61"/>
  <c r="J32" i="61" s="1"/>
  <c r="N20" i="61"/>
  <c r="N32" i="61" s="1"/>
  <c r="L42" i="61"/>
  <c r="N448" i="60"/>
  <c r="N446" i="60"/>
  <c r="L453" i="60"/>
  <c r="AB150" i="60"/>
  <c r="AB120" i="60"/>
  <c r="AB140" i="60"/>
  <c r="AB110" i="60"/>
  <c r="AB88" i="60"/>
  <c r="AB68" i="60"/>
  <c r="AB310" i="60"/>
  <c r="AB130" i="60"/>
  <c r="O42" i="12"/>
  <c r="O42" i="11"/>
  <c r="N42" i="9"/>
  <c r="Z42" i="9"/>
  <c r="AB41" i="9"/>
  <c r="S41" i="9"/>
  <c r="L41" i="9"/>
  <c r="K41" i="9"/>
  <c r="K42" i="9" s="1"/>
  <c r="J41" i="9"/>
  <c r="I41" i="9"/>
  <c r="H41" i="9"/>
  <c r="G41" i="9"/>
  <c r="H42" i="9" s="1"/>
  <c r="F41" i="9"/>
  <c r="N42" i="8"/>
  <c r="O44" i="8" s="1"/>
  <c r="Z42" i="8"/>
  <c r="AB41" i="8"/>
  <c r="S41" i="8"/>
  <c r="L41" i="8"/>
  <c r="K41" i="8"/>
  <c r="K42" i="8" s="1"/>
  <c r="J41" i="8"/>
  <c r="I41" i="8"/>
  <c r="H41" i="8"/>
  <c r="G41" i="8"/>
  <c r="H42" i="8" s="1"/>
  <c r="F41" i="8"/>
  <c r="N42" i="7"/>
  <c r="O44" i="7" s="1"/>
  <c r="Z42" i="7"/>
  <c r="AB41" i="7"/>
  <c r="S41" i="7"/>
  <c r="L41" i="7"/>
  <c r="K41" i="7"/>
  <c r="K42" i="7" s="1"/>
  <c r="J41" i="7"/>
  <c r="I41" i="7"/>
  <c r="H41" i="7"/>
  <c r="G41" i="7"/>
  <c r="H42" i="7" s="1"/>
  <c r="F41" i="7"/>
  <c r="O44" i="6"/>
  <c r="N42" i="6"/>
  <c r="O42" i="6" s="1"/>
  <c r="Z42" i="6"/>
  <c r="AB41" i="6"/>
  <c r="S41" i="6"/>
  <c r="L41" i="6"/>
  <c r="K41" i="6"/>
  <c r="K42" i="6" s="1"/>
  <c r="J41" i="6"/>
  <c r="I41" i="6"/>
  <c r="H41" i="6"/>
  <c r="G41" i="6"/>
  <c r="H42" i="6" s="1"/>
  <c r="F41" i="6"/>
  <c r="N42" i="5"/>
  <c r="O44" i="5" s="1"/>
  <c r="Z42" i="5"/>
  <c r="AB41" i="5"/>
  <c r="S41" i="5"/>
  <c r="L41" i="5"/>
  <c r="K41" i="5"/>
  <c r="K42" i="5" s="1"/>
  <c r="J41" i="5"/>
  <c r="I41" i="5"/>
  <c r="H41" i="5"/>
  <c r="G41" i="5"/>
  <c r="H42" i="5" s="1"/>
  <c r="F41" i="5"/>
  <c r="H19" i="61" l="1"/>
  <c r="O334" i="60"/>
  <c r="H17" i="61"/>
  <c r="O332" i="60"/>
  <c r="H12" i="61"/>
  <c r="O333" i="60"/>
  <c r="O335" i="60"/>
  <c r="H18" i="61"/>
  <c r="H15" i="61"/>
  <c r="O338" i="60"/>
  <c r="I17" i="61"/>
  <c r="O321" i="60"/>
  <c r="I16" i="61"/>
  <c r="O328" i="60"/>
  <c r="I14" i="61"/>
  <c r="O329" i="60"/>
  <c r="N40" i="61"/>
  <c r="G20" i="61"/>
  <c r="N42" i="61"/>
  <c r="J42" i="61"/>
  <c r="M42" i="61"/>
  <c r="L458" i="60"/>
  <c r="AB320" i="60"/>
  <c r="O42" i="9"/>
  <c r="O42" i="8"/>
  <c r="O42" i="7"/>
  <c r="O42" i="5"/>
  <c r="I19" i="61" l="1"/>
  <c r="O323" i="60"/>
  <c r="O322" i="60"/>
  <c r="I12" i="61"/>
  <c r="O324" i="60"/>
  <c r="I18" i="61"/>
  <c r="I15" i="61"/>
  <c r="O327" i="60"/>
  <c r="G40" i="61"/>
  <c r="G42" i="61"/>
  <c r="GR19" i="2" l="1"/>
  <c r="Z42" i="1" l="1"/>
  <c r="M55" i="59"/>
  <c r="G55" i="59"/>
  <c r="F55" i="59"/>
  <c r="E55" i="59"/>
  <c r="D55" i="59"/>
  <c r="C55" i="59"/>
  <c r="H53" i="59"/>
  <c r="J53" i="59" s="1"/>
  <c r="H52" i="59"/>
  <c r="J52" i="59" s="1"/>
  <c r="H51" i="59"/>
  <c r="J51" i="59" s="1"/>
  <c r="H50" i="59"/>
  <c r="J50" i="59" s="1"/>
  <c r="H49" i="59"/>
  <c r="J49" i="59" s="1"/>
  <c r="H48" i="59"/>
  <c r="J48" i="59" s="1"/>
  <c r="K53" i="59" s="1"/>
  <c r="H46" i="59"/>
  <c r="J46" i="59" s="1"/>
  <c r="J45" i="59"/>
  <c r="H45" i="59"/>
  <c r="H44" i="59"/>
  <c r="J44" i="59" s="1"/>
  <c r="J43" i="59"/>
  <c r="H43" i="59"/>
  <c r="H41" i="59"/>
  <c r="J41" i="59" s="1"/>
  <c r="H40" i="59"/>
  <c r="J40" i="59" s="1"/>
  <c r="H39" i="59"/>
  <c r="J39" i="59" s="1"/>
  <c r="H38" i="59"/>
  <c r="J38" i="59" s="1"/>
  <c r="H37" i="59"/>
  <c r="J37" i="59" s="1"/>
  <c r="H36" i="59"/>
  <c r="J36" i="59" s="1"/>
  <c r="H35" i="59"/>
  <c r="J35" i="59" s="1"/>
  <c r="H34" i="59"/>
  <c r="J34" i="59" s="1"/>
  <c r="J31" i="59"/>
  <c r="K31" i="59" s="1"/>
  <c r="H31" i="59"/>
  <c r="H30" i="59"/>
  <c r="J30" i="59" s="1"/>
  <c r="H29" i="59"/>
  <c r="J29" i="59" s="1"/>
  <c r="H28" i="59"/>
  <c r="J28" i="59" s="1"/>
  <c r="H27" i="59"/>
  <c r="J27" i="59" s="1"/>
  <c r="H26" i="59"/>
  <c r="J26" i="59" s="1"/>
  <c r="H25" i="59"/>
  <c r="J25" i="59" s="1"/>
  <c r="J23" i="59"/>
  <c r="H23" i="59"/>
  <c r="H22" i="59"/>
  <c r="J22" i="59" s="1"/>
  <c r="J21" i="59"/>
  <c r="H21" i="59"/>
  <c r="H20" i="59"/>
  <c r="J20" i="59" s="1"/>
  <c r="J19" i="59"/>
  <c r="H19" i="59"/>
  <c r="H18" i="59"/>
  <c r="J18" i="59" s="1"/>
  <c r="J17" i="59"/>
  <c r="H17" i="59"/>
  <c r="H16" i="59"/>
  <c r="J16" i="59" s="1"/>
  <c r="H14" i="59"/>
  <c r="J14" i="59" s="1"/>
  <c r="H13" i="59"/>
  <c r="J13" i="59" s="1"/>
  <c r="H12" i="59"/>
  <c r="J12" i="59" s="1"/>
  <c r="H11" i="59"/>
  <c r="J11" i="59" s="1"/>
  <c r="H9" i="59"/>
  <c r="J9" i="59" s="1"/>
  <c r="J8" i="59"/>
  <c r="H8" i="59"/>
  <c r="H7" i="59"/>
  <c r="H55" i="59" s="1"/>
  <c r="K14" i="59" l="1"/>
  <c r="K23" i="59"/>
  <c r="K30" i="59"/>
  <c r="K41" i="59"/>
  <c r="K46" i="59"/>
  <c r="J7" i="59"/>
  <c r="J55" i="59" l="1"/>
  <c r="K9" i="59"/>
  <c r="K55" i="59" s="1"/>
  <c r="B8" i="58" l="1"/>
  <c r="B9" i="58" s="1"/>
  <c r="B10" i="58" s="1"/>
  <c r="B11" i="58" s="1"/>
  <c r="B12" i="58" s="1"/>
  <c r="B13" i="58" s="1"/>
  <c r="B14" i="58" s="1"/>
  <c r="B15" i="58" s="1"/>
  <c r="C7" i="57"/>
  <c r="C8" i="57" s="1"/>
  <c r="C9" i="57" s="1"/>
  <c r="C10" i="57" s="1"/>
  <c r="C11" i="57" s="1"/>
  <c r="C12" i="57" s="1"/>
  <c r="C13" i="57" s="1"/>
  <c r="C14" i="57" s="1"/>
  <c r="C17" i="58" l="1"/>
  <c r="D16" i="57"/>
  <c r="D10" i="2"/>
  <c r="K51" i="12" l="1"/>
  <c r="J51" i="12"/>
  <c r="I51" i="12"/>
  <c r="H51" i="12"/>
  <c r="G51" i="12"/>
  <c r="F51" i="12"/>
  <c r="K50" i="12"/>
  <c r="J50" i="12"/>
  <c r="I50" i="12"/>
  <c r="H50" i="12"/>
  <c r="G50" i="12"/>
  <c r="F50" i="12"/>
  <c r="K49" i="12"/>
  <c r="J49" i="12"/>
  <c r="I49" i="12"/>
  <c r="H49" i="12"/>
  <c r="G49" i="12"/>
  <c r="F49" i="12"/>
  <c r="K51" i="11"/>
  <c r="J51" i="11"/>
  <c r="I51" i="11"/>
  <c r="H51" i="11"/>
  <c r="G51" i="11"/>
  <c r="F51" i="11"/>
  <c r="K50" i="11"/>
  <c r="J50" i="11"/>
  <c r="I50" i="11"/>
  <c r="H50" i="11"/>
  <c r="G50" i="11"/>
  <c r="F50" i="11"/>
  <c r="K49" i="11"/>
  <c r="J49" i="11"/>
  <c r="I49" i="11"/>
  <c r="H49" i="11"/>
  <c r="G49" i="11"/>
  <c r="F49" i="11"/>
  <c r="K51" i="10"/>
  <c r="J51" i="10"/>
  <c r="I51" i="10"/>
  <c r="H51" i="10"/>
  <c r="G51" i="10"/>
  <c r="F51" i="10"/>
  <c r="K50" i="10"/>
  <c r="J50" i="10"/>
  <c r="I50" i="10"/>
  <c r="H50" i="10"/>
  <c r="G50" i="10"/>
  <c r="F50" i="10"/>
  <c r="K49" i="10"/>
  <c r="J49" i="10"/>
  <c r="I49" i="10"/>
  <c r="H49" i="10"/>
  <c r="G49" i="10"/>
  <c r="F49" i="10"/>
  <c r="K51" i="9"/>
  <c r="J51" i="9"/>
  <c r="I51" i="9"/>
  <c r="H51" i="9"/>
  <c r="G51" i="9"/>
  <c r="F51" i="9"/>
  <c r="K50" i="9"/>
  <c r="J50" i="9"/>
  <c r="I50" i="9"/>
  <c r="H50" i="9"/>
  <c r="G50" i="9"/>
  <c r="F50" i="9"/>
  <c r="K49" i="9"/>
  <c r="J49" i="9"/>
  <c r="I49" i="9"/>
  <c r="H49" i="9"/>
  <c r="G49" i="9"/>
  <c r="F49" i="9"/>
  <c r="K51" i="8"/>
  <c r="J51" i="8"/>
  <c r="I51" i="8"/>
  <c r="H51" i="8"/>
  <c r="G51" i="8"/>
  <c r="F51" i="8"/>
  <c r="K50" i="8"/>
  <c r="J50" i="8"/>
  <c r="I50" i="8"/>
  <c r="H50" i="8"/>
  <c r="G50" i="8"/>
  <c r="F50" i="8"/>
  <c r="K49" i="8"/>
  <c r="J49" i="8"/>
  <c r="I49" i="8"/>
  <c r="H49" i="8"/>
  <c r="G49" i="8"/>
  <c r="F49" i="8"/>
  <c r="K51" i="7"/>
  <c r="J51" i="7"/>
  <c r="I51" i="7"/>
  <c r="H51" i="7"/>
  <c r="G51" i="7"/>
  <c r="F51" i="7"/>
  <c r="K50" i="7"/>
  <c r="J50" i="7"/>
  <c r="I50" i="7"/>
  <c r="H50" i="7"/>
  <c r="G50" i="7"/>
  <c r="F50" i="7"/>
  <c r="K49" i="7"/>
  <c r="J49" i="7"/>
  <c r="I49" i="7"/>
  <c r="H49" i="7"/>
  <c r="G49" i="7"/>
  <c r="F49" i="7"/>
  <c r="K51" i="6"/>
  <c r="J51" i="6"/>
  <c r="I51" i="6"/>
  <c r="H51" i="6"/>
  <c r="G51" i="6"/>
  <c r="F51" i="6"/>
  <c r="K50" i="6"/>
  <c r="J50" i="6"/>
  <c r="I50" i="6"/>
  <c r="H50" i="6"/>
  <c r="G50" i="6"/>
  <c r="F50" i="6"/>
  <c r="K49" i="6"/>
  <c r="J49" i="6"/>
  <c r="I49" i="6"/>
  <c r="H49" i="6"/>
  <c r="G49" i="6"/>
  <c r="F49" i="6"/>
  <c r="K51" i="5"/>
  <c r="J51" i="5"/>
  <c r="I51" i="5"/>
  <c r="H51" i="5"/>
  <c r="G51" i="5"/>
  <c r="F51" i="5"/>
  <c r="K50" i="5"/>
  <c r="J50" i="5"/>
  <c r="I50" i="5"/>
  <c r="H50" i="5"/>
  <c r="G50" i="5"/>
  <c r="F50" i="5"/>
  <c r="K49" i="5"/>
  <c r="J49" i="5"/>
  <c r="I49" i="5"/>
  <c r="H49" i="5"/>
  <c r="G49" i="5"/>
  <c r="F49" i="5"/>
  <c r="K53" i="6"/>
  <c r="J53" i="6"/>
  <c r="I53" i="6"/>
  <c r="H53" i="6"/>
  <c r="G53" i="6"/>
  <c r="F53" i="6"/>
  <c r="K52" i="6"/>
  <c r="J52" i="6"/>
  <c r="I52" i="6"/>
  <c r="H52" i="6"/>
  <c r="G52" i="6"/>
  <c r="F52" i="6"/>
  <c r="K53" i="7"/>
  <c r="J53" i="7"/>
  <c r="I53" i="7"/>
  <c r="H53" i="7"/>
  <c r="G53" i="7"/>
  <c r="F53" i="7"/>
  <c r="K52" i="7"/>
  <c r="J52" i="7"/>
  <c r="I52" i="7"/>
  <c r="H52" i="7"/>
  <c r="G52" i="7"/>
  <c r="F52" i="7"/>
  <c r="K53" i="8"/>
  <c r="J53" i="8"/>
  <c r="I53" i="8"/>
  <c r="H53" i="8"/>
  <c r="G53" i="8"/>
  <c r="F53" i="8"/>
  <c r="K52" i="8"/>
  <c r="J52" i="8"/>
  <c r="I52" i="8"/>
  <c r="H52" i="8"/>
  <c r="G52" i="8"/>
  <c r="F52" i="8"/>
  <c r="K53" i="9"/>
  <c r="J53" i="9"/>
  <c r="I53" i="9"/>
  <c r="H53" i="9"/>
  <c r="G53" i="9"/>
  <c r="F53" i="9"/>
  <c r="K52" i="9"/>
  <c r="J52" i="9"/>
  <c r="I52" i="9"/>
  <c r="H52" i="9"/>
  <c r="G52" i="9"/>
  <c r="F52" i="9"/>
  <c r="K53" i="10"/>
  <c r="J53" i="10"/>
  <c r="I53" i="10"/>
  <c r="H53" i="10"/>
  <c r="G53" i="10"/>
  <c r="F53" i="10"/>
  <c r="K52" i="10"/>
  <c r="J52" i="10"/>
  <c r="I52" i="10"/>
  <c r="H52" i="10"/>
  <c r="G52" i="10"/>
  <c r="F52" i="10"/>
  <c r="K53" i="11"/>
  <c r="J53" i="11"/>
  <c r="I53" i="11"/>
  <c r="H53" i="11"/>
  <c r="G53" i="11"/>
  <c r="F53" i="11"/>
  <c r="K52" i="11"/>
  <c r="J52" i="11"/>
  <c r="I52" i="11"/>
  <c r="H52" i="11"/>
  <c r="G52" i="11"/>
  <c r="F52" i="11"/>
  <c r="K53" i="12"/>
  <c r="J53" i="12"/>
  <c r="I53" i="12"/>
  <c r="H53" i="12"/>
  <c r="G53" i="12"/>
  <c r="F53" i="12"/>
  <c r="K52" i="12"/>
  <c r="J52" i="12"/>
  <c r="I52" i="12"/>
  <c r="H52" i="12"/>
  <c r="G52" i="12"/>
  <c r="F52" i="12"/>
  <c r="K53" i="5"/>
  <c r="J53" i="5"/>
  <c r="I53" i="5"/>
  <c r="H53" i="5"/>
  <c r="G53" i="5"/>
  <c r="F53" i="5"/>
  <c r="K52" i="5"/>
  <c r="J52" i="5"/>
  <c r="I52" i="5"/>
  <c r="H52" i="5"/>
  <c r="G52" i="5"/>
  <c r="F52" i="5"/>
  <c r="K51" i="1"/>
  <c r="J51" i="1"/>
  <c r="I51" i="1"/>
  <c r="H51" i="1"/>
  <c r="G51" i="1"/>
  <c r="F51" i="1"/>
  <c r="K50" i="1"/>
  <c r="J50" i="1"/>
  <c r="I50" i="1"/>
  <c r="H50" i="1"/>
  <c r="G50" i="1"/>
  <c r="F50" i="1"/>
  <c r="K49" i="1"/>
  <c r="J49" i="1"/>
  <c r="I49" i="1"/>
  <c r="H49" i="1"/>
  <c r="G49" i="1"/>
  <c r="F49" i="1"/>
  <c r="K53" i="1"/>
  <c r="J53" i="1"/>
  <c r="I53" i="1"/>
  <c r="H53" i="1"/>
  <c r="G53" i="1"/>
  <c r="F53" i="1"/>
  <c r="K52" i="1"/>
  <c r="J52" i="1"/>
  <c r="I52" i="1"/>
  <c r="H52" i="1"/>
  <c r="G52" i="1"/>
  <c r="F52" i="1"/>
  <c r="A14" i="50" l="1"/>
  <c r="A13" i="50"/>
  <c r="A12" i="50"/>
  <c r="A11" i="50"/>
  <c r="A10" i="50"/>
  <c r="A9" i="50"/>
  <c r="A8" i="50"/>
  <c r="A7" i="50"/>
  <c r="A6" i="50"/>
  <c r="L16" i="12"/>
  <c r="L16" i="5"/>
  <c r="L16" i="6"/>
  <c r="L16" i="7"/>
  <c r="L16" i="8"/>
  <c r="L16" i="9"/>
  <c r="L16" i="10"/>
  <c r="L16" i="11"/>
  <c r="L16" i="1" l="1"/>
  <c r="H22" i="12" l="1"/>
  <c r="K48" i="12"/>
  <c r="J48" i="12"/>
  <c r="I48" i="12"/>
  <c r="H48" i="12"/>
  <c r="G48" i="12"/>
  <c r="F48" i="12"/>
  <c r="K47" i="12"/>
  <c r="J47" i="12"/>
  <c r="I47" i="12"/>
  <c r="H47" i="12"/>
  <c r="G47" i="12"/>
  <c r="F47" i="12"/>
  <c r="K46" i="12"/>
  <c r="J46" i="12"/>
  <c r="I46" i="12"/>
  <c r="H46" i="12"/>
  <c r="G46" i="12"/>
  <c r="F46" i="12"/>
  <c r="K45" i="12"/>
  <c r="J45" i="12"/>
  <c r="I45" i="12"/>
  <c r="H45" i="12"/>
  <c r="G45" i="12"/>
  <c r="F45" i="12"/>
  <c r="K44" i="12"/>
  <c r="J44" i="12"/>
  <c r="I44" i="12"/>
  <c r="H44" i="12"/>
  <c r="G44" i="12"/>
  <c r="F44" i="12"/>
  <c r="K40" i="12"/>
  <c r="J40" i="12"/>
  <c r="I40" i="12"/>
  <c r="H40" i="12"/>
  <c r="G40" i="12"/>
  <c r="F40" i="12"/>
  <c r="K39" i="12"/>
  <c r="J39" i="12"/>
  <c r="I39" i="12"/>
  <c r="H39" i="12"/>
  <c r="G39" i="12"/>
  <c r="F39" i="12"/>
  <c r="K38" i="12"/>
  <c r="J38" i="12"/>
  <c r="I38" i="12"/>
  <c r="H38" i="12"/>
  <c r="G38" i="12"/>
  <c r="F38" i="12"/>
  <c r="K37" i="12"/>
  <c r="J37" i="12"/>
  <c r="I37" i="12"/>
  <c r="H37" i="12"/>
  <c r="G37" i="12"/>
  <c r="F37" i="12"/>
  <c r="K36" i="12"/>
  <c r="J36" i="12"/>
  <c r="I36" i="12"/>
  <c r="H36" i="12"/>
  <c r="G36" i="12"/>
  <c r="F36" i="12"/>
  <c r="K35" i="12"/>
  <c r="J35" i="12"/>
  <c r="I35" i="12"/>
  <c r="H35" i="12"/>
  <c r="G35" i="12"/>
  <c r="F35" i="12"/>
  <c r="K34" i="12"/>
  <c r="J34" i="12"/>
  <c r="I34" i="12"/>
  <c r="H34" i="12"/>
  <c r="G34" i="12"/>
  <c r="F34" i="12"/>
  <c r="K33" i="12"/>
  <c r="J33" i="12"/>
  <c r="I33" i="12"/>
  <c r="H33" i="12"/>
  <c r="G33" i="12"/>
  <c r="F33" i="12"/>
  <c r="K32" i="12"/>
  <c r="J32" i="12"/>
  <c r="I32" i="12"/>
  <c r="H32" i="12"/>
  <c r="G32" i="12"/>
  <c r="F32" i="12"/>
  <c r="K31" i="12"/>
  <c r="J31" i="12"/>
  <c r="I31" i="12"/>
  <c r="H31" i="12"/>
  <c r="G31" i="12"/>
  <c r="F31" i="12"/>
  <c r="K30" i="12"/>
  <c r="J30" i="12"/>
  <c r="I30" i="12"/>
  <c r="H30" i="12"/>
  <c r="G30" i="12"/>
  <c r="F30" i="12"/>
  <c r="K29" i="12"/>
  <c r="J29" i="12"/>
  <c r="I29" i="12"/>
  <c r="H29" i="12"/>
  <c r="G29" i="12"/>
  <c r="F29" i="12"/>
  <c r="K28" i="12"/>
  <c r="J28" i="12"/>
  <c r="I28" i="12"/>
  <c r="H28" i="12"/>
  <c r="G28" i="12"/>
  <c r="F28" i="12"/>
  <c r="K27" i="12"/>
  <c r="J27" i="12"/>
  <c r="I27" i="12"/>
  <c r="H27" i="12"/>
  <c r="G27" i="12"/>
  <c r="F27" i="12"/>
  <c r="K26" i="12"/>
  <c r="J26" i="12"/>
  <c r="I26" i="12"/>
  <c r="H26" i="12"/>
  <c r="G26" i="12"/>
  <c r="F26" i="12"/>
  <c r="K25" i="12"/>
  <c r="J25" i="12"/>
  <c r="I25" i="12"/>
  <c r="H25" i="12"/>
  <c r="G25" i="12"/>
  <c r="F25" i="12"/>
  <c r="K24" i="12"/>
  <c r="J24" i="12"/>
  <c r="I24" i="12"/>
  <c r="H24" i="12"/>
  <c r="G24" i="12"/>
  <c r="F24" i="12"/>
  <c r="K23" i="12"/>
  <c r="J23" i="12"/>
  <c r="I23" i="12"/>
  <c r="H23" i="12"/>
  <c r="G23" i="12"/>
  <c r="F23" i="12"/>
  <c r="K22" i="12"/>
  <c r="J22" i="12"/>
  <c r="I22" i="12"/>
  <c r="G22" i="12"/>
  <c r="F22" i="12"/>
  <c r="K21" i="12"/>
  <c r="J21" i="12"/>
  <c r="I21" i="12"/>
  <c r="H21" i="12"/>
  <c r="G21" i="12"/>
  <c r="F21" i="12"/>
  <c r="K20" i="12"/>
  <c r="J20" i="12"/>
  <c r="I20" i="12"/>
  <c r="H20" i="12"/>
  <c r="G20" i="12"/>
  <c r="F20" i="12"/>
  <c r="L15" i="12"/>
  <c r="L14" i="12"/>
  <c r="L13" i="12"/>
  <c r="K12" i="12"/>
  <c r="K9" i="12"/>
  <c r="L8" i="12"/>
  <c r="H22" i="11"/>
  <c r="K48" i="11"/>
  <c r="J48" i="11"/>
  <c r="I48" i="11"/>
  <c r="H48" i="11"/>
  <c r="G48" i="11"/>
  <c r="F48" i="11"/>
  <c r="K47" i="11"/>
  <c r="J47" i="11"/>
  <c r="I47" i="11"/>
  <c r="H47" i="11"/>
  <c r="G47" i="11"/>
  <c r="F47" i="11"/>
  <c r="K46" i="11"/>
  <c r="J46" i="11"/>
  <c r="I46" i="11"/>
  <c r="H46" i="11"/>
  <c r="G46" i="11"/>
  <c r="F46" i="11"/>
  <c r="K45" i="11"/>
  <c r="J45" i="11"/>
  <c r="I45" i="11"/>
  <c r="H45" i="11"/>
  <c r="G45" i="11"/>
  <c r="F45" i="11"/>
  <c r="K44" i="11"/>
  <c r="J44" i="11"/>
  <c r="I44" i="11"/>
  <c r="H44" i="11"/>
  <c r="G44" i="11"/>
  <c r="F44" i="11"/>
  <c r="K40" i="11"/>
  <c r="J40" i="11"/>
  <c r="I40" i="11"/>
  <c r="H40" i="11"/>
  <c r="G40" i="11"/>
  <c r="F40" i="11"/>
  <c r="K39" i="11"/>
  <c r="J39" i="11"/>
  <c r="I39" i="11"/>
  <c r="H39" i="11"/>
  <c r="G39" i="11"/>
  <c r="F39" i="11"/>
  <c r="K38" i="11"/>
  <c r="J38" i="11"/>
  <c r="I38" i="11"/>
  <c r="H38" i="11"/>
  <c r="G38" i="11"/>
  <c r="F38" i="11"/>
  <c r="K37" i="11"/>
  <c r="J37" i="11"/>
  <c r="I37" i="11"/>
  <c r="H37" i="11"/>
  <c r="G37" i="11"/>
  <c r="F37" i="11"/>
  <c r="K36" i="11"/>
  <c r="J36" i="11"/>
  <c r="I36" i="11"/>
  <c r="H36" i="11"/>
  <c r="G36" i="11"/>
  <c r="F36" i="11"/>
  <c r="K35" i="11"/>
  <c r="J35" i="11"/>
  <c r="I35" i="11"/>
  <c r="H35" i="11"/>
  <c r="G35" i="11"/>
  <c r="F35" i="11"/>
  <c r="K34" i="11"/>
  <c r="J34" i="11"/>
  <c r="I34" i="11"/>
  <c r="H34" i="11"/>
  <c r="G34" i="11"/>
  <c r="F34" i="11"/>
  <c r="K33" i="11"/>
  <c r="J33" i="11"/>
  <c r="I33" i="11"/>
  <c r="H33" i="11"/>
  <c r="G33" i="11"/>
  <c r="F33" i="11"/>
  <c r="K32" i="11"/>
  <c r="J32" i="11"/>
  <c r="I32" i="11"/>
  <c r="H32" i="11"/>
  <c r="G32" i="11"/>
  <c r="F32" i="11"/>
  <c r="K31" i="11"/>
  <c r="J31" i="11"/>
  <c r="I31" i="11"/>
  <c r="H31" i="11"/>
  <c r="G31" i="11"/>
  <c r="F31" i="11"/>
  <c r="K30" i="11"/>
  <c r="J30" i="11"/>
  <c r="I30" i="11"/>
  <c r="H30" i="11"/>
  <c r="G30" i="11"/>
  <c r="F30" i="11"/>
  <c r="K29" i="11"/>
  <c r="J29" i="11"/>
  <c r="I29" i="11"/>
  <c r="H29" i="11"/>
  <c r="G29" i="11"/>
  <c r="F29" i="11"/>
  <c r="K28" i="11"/>
  <c r="J28" i="11"/>
  <c r="I28" i="11"/>
  <c r="H28" i="11"/>
  <c r="G28" i="11"/>
  <c r="F28" i="11"/>
  <c r="K27" i="11"/>
  <c r="J27" i="11"/>
  <c r="I27" i="11"/>
  <c r="H27" i="11"/>
  <c r="G27" i="11"/>
  <c r="F27" i="11"/>
  <c r="K26" i="11"/>
  <c r="J26" i="11"/>
  <c r="I26" i="11"/>
  <c r="H26" i="11"/>
  <c r="G26" i="11"/>
  <c r="F26" i="11"/>
  <c r="K25" i="11"/>
  <c r="J25" i="11"/>
  <c r="I25" i="11"/>
  <c r="H25" i="11"/>
  <c r="G25" i="11"/>
  <c r="F25" i="11"/>
  <c r="K24" i="11"/>
  <c r="J24" i="11"/>
  <c r="I24" i="11"/>
  <c r="H24" i="11"/>
  <c r="G24" i="11"/>
  <c r="F24" i="11"/>
  <c r="K23" i="11"/>
  <c r="J23" i="11"/>
  <c r="I23" i="11"/>
  <c r="H23" i="11"/>
  <c r="G23" i="11"/>
  <c r="F23" i="11"/>
  <c r="K22" i="11"/>
  <c r="J22" i="11"/>
  <c r="I22" i="11"/>
  <c r="G22" i="11"/>
  <c r="F22" i="11"/>
  <c r="K21" i="11"/>
  <c r="J21" i="11"/>
  <c r="I21" i="11"/>
  <c r="H21" i="11"/>
  <c r="G21" i="11"/>
  <c r="F21" i="11"/>
  <c r="K20" i="11"/>
  <c r="J20" i="11"/>
  <c r="I20" i="11"/>
  <c r="H20" i="11"/>
  <c r="G20" i="11"/>
  <c r="F20" i="11"/>
  <c r="L15" i="11"/>
  <c r="L14" i="11"/>
  <c r="L13" i="11"/>
  <c r="K12" i="11"/>
  <c r="K9" i="11"/>
  <c r="L8" i="11"/>
  <c r="H22" i="10"/>
  <c r="K48" i="10"/>
  <c r="J48" i="10"/>
  <c r="I48" i="10"/>
  <c r="H48" i="10"/>
  <c r="G48" i="10"/>
  <c r="F48" i="10"/>
  <c r="K47" i="10"/>
  <c r="J47" i="10"/>
  <c r="I47" i="10"/>
  <c r="H47" i="10"/>
  <c r="G47" i="10"/>
  <c r="F47" i="10"/>
  <c r="K46" i="10"/>
  <c r="J46" i="10"/>
  <c r="I46" i="10"/>
  <c r="H46" i="10"/>
  <c r="G46" i="10"/>
  <c r="F46" i="10"/>
  <c r="K45" i="10"/>
  <c r="J45" i="10"/>
  <c r="I45" i="10"/>
  <c r="H45" i="10"/>
  <c r="G45" i="10"/>
  <c r="F45" i="10"/>
  <c r="K44" i="10"/>
  <c r="J44" i="10"/>
  <c r="I44" i="10"/>
  <c r="H44" i="10"/>
  <c r="G44" i="10"/>
  <c r="F44" i="10"/>
  <c r="K40" i="10"/>
  <c r="J40" i="10"/>
  <c r="I40" i="10"/>
  <c r="H40" i="10"/>
  <c r="G40" i="10"/>
  <c r="F40" i="10"/>
  <c r="K39" i="10"/>
  <c r="J39" i="10"/>
  <c r="I39" i="10"/>
  <c r="H39" i="10"/>
  <c r="G39" i="10"/>
  <c r="F39" i="10"/>
  <c r="K38" i="10"/>
  <c r="J38" i="10"/>
  <c r="I38" i="10"/>
  <c r="H38" i="10"/>
  <c r="G38" i="10"/>
  <c r="F38" i="10"/>
  <c r="K37" i="10"/>
  <c r="J37" i="10"/>
  <c r="I37" i="10"/>
  <c r="H37" i="10"/>
  <c r="G37" i="10"/>
  <c r="F37" i="10"/>
  <c r="K36" i="10"/>
  <c r="J36" i="10"/>
  <c r="I36" i="10"/>
  <c r="H36" i="10"/>
  <c r="G36" i="10"/>
  <c r="F36" i="10"/>
  <c r="K35" i="10"/>
  <c r="J35" i="10"/>
  <c r="I35" i="10"/>
  <c r="H35" i="10"/>
  <c r="G35" i="10"/>
  <c r="F35" i="10"/>
  <c r="K34" i="10"/>
  <c r="J34" i="10"/>
  <c r="I34" i="10"/>
  <c r="H34" i="10"/>
  <c r="G34" i="10"/>
  <c r="F34" i="10"/>
  <c r="K33" i="10"/>
  <c r="J33" i="10"/>
  <c r="I33" i="10"/>
  <c r="H33" i="10"/>
  <c r="G33" i="10"/>
  <c r="F33" i="10"/>
  <c r="K32" i="10"/>
  <c r="J32" i="10"/>
  <c r="I32" i="10"/>
  <c r="H32" i="10"/>
  <c r="G32" i="10"/>
  <c r="F32" i="10"/>
  <c r="K31" i="10"/>
  <c r="J31" i="10"/>
  <c r="I31" i="10"/>
  <c r="H31" i="10"/>
  <c r="G31" i="10"/>
  <c r="F31" i="10"/>
  <c r="K30" i="10"/>
  <c r="J30" i="10"/>
  <c r="I30" i="10"/>
  <c r="H30" i="10"/>
  <c r="G30" i="10"/>
  <c r="F30" i="10"/>
  <c r="K29" i="10"/>
  <c r="J29" i="10"/>
  <c r="I29" i="10"/>
  <c r="H29" i="10"/>
  <c r="G29" i="10"/>
  <c r="F29" i="10"/>
  <c r="K28" i="10"/>
  <c r="J28" i="10"/>
  <c r="I28" i="10"/>
  <c r="H28" i="10"/>
  <c r="G28" i="10"/>
  <c r="F28" i="10"/>
  <c r="K27" i="10"/>
  <c r="J27" i="10"/>
  <c r="I27" i="10"/>
  <c r="H27" i="10"/>
  <c r="G27" i="10"/>
  <c r="F27" i="10"/>
  <c r="K26" i="10"/>
  <c r="J26" i="10"/>
  <c r="I26" i="10"/>
  <c r="H26" i="10"/>
  <c r="G26" i="10"/>
  <c r="F26" i="10"/>
  <c r="K25" i="10"/>
  <c r="J25" i="10"/>
  <c r="I25" i="10"/>
  <c r="H25" i="10"/>
  <c r="G25" i="10"/>
  <c r="F25" i="10"/>
  <c r="K24" i="10"/>
  <c r="J24" i="10"/>
  <c r="I24" i="10"/>
  <c r="H24" i="10"/>
  <c r="G24" i="10"/>
  <c r="F24" i="10"/>
  <c r="K23" i="10"/>
  <c r="J23" i="10"/>
  <c r="I23" i="10"/>
  <c r="H23" i="10"/>
  <c r="G23" i="10"/>
  <c r="F23" i="10"/>
  <c r="K22" i="10"/>
  <c r="J22" i="10"/>
  <c r="I22" i="10"/>
  <c r="G22" i="10"/>
  <c r="F22" i="10"/>
  <c r="K21" i="10"/>
  <c r="J21" i="10"/>
  <c r="I21" i="10"/>
  <c r="H21" i="10"/>
  <c r="G21" i="10"/>
  <c r="F21" i="10"/>
  <c r="K20" i="10"/>
  <c r="J20" i="10"/>
  <c r="I20" i="10"/>
  <c r="H20" i="10"/>
  <c r="G20" i="10"/>
  <c r="F20" i="10"/>
  <c r="L15" i="10"/>
  <c r="L14" i="10"/>
  <c r="L13" i="10"/>
  <c r="K12" i="10"/>
  <c r="K9" i="10"/>
  <c r="L8" i="10"/>
  <c r="H22" i="9"/>
  <c r="K48" i="9"/>
  <c r="J48" i="9"/>
  <c r="I48" i="9"/>
  <c r="H48" i="9"/>
  <c r="G48" i="9"/>
  <c r="F48" i="9"/>
  <c r="K47" i="9"/>
  <c r="J47" i="9"/>
  <c r="I47" i="9"/>
  <c r="H47" i="9"/>
  <c r="G47" i="9"/>
  <c r="F47" i="9"/>
  <c r="K46" i="9"/>
  <c r="J46" i="9"/>
  <c r="I46" i="9"/>
  <c r="H46" i="9"/>
  <c r="G46" i="9"/>
  <c r="F46" i="9"/>
  <c r="K45" i="9"/>
  <c r="J45" i="9"/>
  <c r="I45" i="9"/>
  <c r="H45" i="9"/>
  <c r="G45" i="9"/>
  <c r="F45" i="9"/>
  <c r="K44" i="9"/>
  <c r="J44" i="9"/>
  <c r="I44" i="9"/>
  <c r="H44" i="9"/>
  <c r="G44" i="9"/>
  <c r="F44" i="9"/>
  <c r="K40" i="9"/>
  <c r="J40" i="9"/>
  <c r="I40" i="9"/>
  <c r="H40" i="9"/>
  <c r="G40" i="9"/>
  <c r="F40" i="9"/>
  <c r="K39" i="9"/>
  <c r="J39" i="9"/>
  <c r="I39" i="9"/>
  <c r="H39" i="9"/>
  <c r="G39" i="9"/>
  <c r="F39" i="9"/>
  <c r="K38" i="9"/>
  <c r="J38" i="9"/>
  <c r="I38" i="9"/>
  <c r="H38" i="9"/>
  <c r="G38" i="9"/>
  <c r="F38" i="9"/>
  <c r="K37" i="9"/>
  <c r="J37" i="9"/>
  <c r="I37" i="9"/>
  <c r="H37" i="9"/>
  <c r="G37" i="9"/>
  <c r="F37" i="9"/>
  <c r="K36" i="9"/>
  <c r="J36" i="9"/>
  <c r="I36" i="9"/>
  <c r="H36" i="9"/>
  <c r="G36" i="9"/>
  <c r="F36" i="9"/>
  <c r="K35" i="9"/>
  <c r="J35" i="9"/>
  <c r="I35" i="9"/>
  <c r="H35" i="9"/>
  <c r="G35" i="9"/>
  <c r="F35" i="9"/>
  <c r="K34" i="9"/>
  <c r="J34" i="9"/>
  <c r="I34" i="9"/>
  <c r="H34" i="9"/>
  <c r="G34" i="9"/>
  <c r="F34" i="9"/>
  <c r="K33" i="9"/>
  <c r="J33" i="9"/>
  <c r="I33" i="9"/>
  <c r="H33" i="9"/>
  <c r="G33" i="9"/>
  <c r="F33" i="9"/>
  <c r="K32" i="9"/>
  <c r="J32" i="9"/>
  <c r="I32" i="9"/>
  <c r="H32" i="9"/>
  <c r="G32" i="9"/>
  <c r="F32" i="9"/>
  <c r="K31" i="9"/>
  <c r="J31" i="9"/>
  <c r="I31" i="9"/>
  <c r="H31" i="9"/>
  <c r="G31" i="9"/>
  <c r="F31" i="9"/>
  <c r="K30" i="9"/>
  <c r="J30" i="9"/>
  <c r="I30" i="9"/>
  <c r="H30" i="9"/>
  <c r="G30" i="9"/>
  <c r="F30" i="9"/>
  <c r="K29" i="9"/>
  <c r="J29" i="9"/>
  <c r="I29" i="9"/>
  <c r="H29" i="9"/>
  <c r="G29" i="9"/>
  <c r="F29" i="9"/>
  <c r="K28" i="9"/>
  <c r="J28" i="9"/>
  <c r="I28" i="9"/>
  <c r="H28" i="9"/>
  <c r="G28" i="9"/>
  <c r="F28" i="9"/>
  <c r="K27" i="9"/>
  <c r="J27" i="9"/>
  <c r="I27" i="9"/>
  <c r="H27" i="9"/>
  <c r="G27" i="9"/>
  <c r="F27" i="9"/>
  <c r="K26" i="9"/>
  <c r="J26" i="9"/>
  <c r="I26" i="9"/>
  <c r="H26" i="9"/>
  <c r="G26" i="9"/>
  <c r="F26" i="9"/>
  <c r="K25" i="9"/>
  <c r="J25" i="9"/>
  <c r="I25" i="9"/>
  <c r="H25" i="9"/>
  <c r="G25" i="9"/>
  <c r="F25" i="9"/>
  <c r="K24" i="9"/>
  <c r="J24" i="9"/>
  <c r="I24" i="9"/>
  <c r="H24" i="9"/>
  <c r="G24" i="9"/>
  <c r="F24" i="9"/>
  <c r="K23" i="9"/>
  <c r="J23" i="9"/>
  <c r="I23" i="9"/>
  <c r="H23" i="9"/>
  <c r="G23" i="9"/>
  <c r="F23" i="9"/>
  <c r="K22" i="9"/>
  <c r="J22" i="9"/>
  <c r="I22" i="9"/>
  <c r="G22" i="9"/>
  <c r="F22" i="9"/>
  <c r="K21" i="9"/>
  <c r="J21" i="9"/>
  <c r="I21" i="9"/>
  <c r="H21" i="9"/>
  <c r="G21" i="9"/>
  <c r="F21" i="9"/>
  <c r="K20" i="9"/>
  <c r="J20" i="9"/>
  <c r="I20" i="9"/>
  <c r="H20" i="9"/>
  <c r="G20" i="9"/>
  <c r="F20" i="9"/>
  <c r="L15" i="9"/>
  <c r="L14" i="9"/>
  <c r="L13" i="9"/>
  <c r="K12" i="9"/>
  <c r="K9" i="9"/>
  <c r="L8" i="9"/>
  <c r="H22" i="8"/>
  <c r="K48" i="8"/>
  <c r="J48" i="8"/>
  <c r="I48" i="8"/>
  <c r="H48" i="8"/>
  <c r="G48" i="8"/>
  <c r="F48" i="8"/>
  <c r="K47" i="8"/>
  <c r="J47" i="8"/>
  <c r="I47" i="8"/>
  <c r="H47" i="8"/>
  <c r="G47" i="8"/>
  <c r="F47" i="8"/>
  <c r="K46" i="8"/>
  <c r="J46" i="8"/>
  <c r="I46" i="8"/>
  <c r="H46" i="8"/>
  <c r="G46" i="8"/>
  <c r="F46" i="8"/>
  <c r="K45" i="8"/>
  <c r="J45" i="8"/>
  <c r="I45" i="8"/>
  <c r="H45" i="8"/>
  <c r="G45" i="8"/>
  <c r="F45" i="8"/>
  <c r="K44" i="8"/>
  <c r="J44" i="8"/>
  <c r="I44" i="8"/>
  <c r="H44" i="8"/>
  <c r="G44" i="8"/>
  <c r="F44" i="8"/>
  <c r="K40" i="8"/>
  <c r="J40" i="8"/>
  <c r="I40" i="8"/>
  <c r="H40" i="8"/>
  <c r="G40" i="8"/>
  <c r="F40" i="8"/>
  <c r="K39" i="8"/>
  <c r="J39" i="8"/>
  <c r="I39" i="8"/>
  <c r="H39" i="8"/>
  <c r="G39" i="8"/>
  <c r="F39" i="8"/>
  <c r="K38" i="8"/>
  <c r="J38" i="8"/>
  <c r="I38" i="8"/>
  <c r="H38" i="8"/>
  <c r="G38" i="8"/>
  <c r="F38" i="8"/>
  <c r="K37" i="8"/>
  <c r="J37" i="8"/>
  <c r="I37" i="8"/>
  <c r="H37" i="8"/>
  <c r="G37" i="8"/>
  <c r="F37" i="8"/>
  <c r="K36" i="8"/>
  <c r="J36" i="8"/>
  <c r="I36" i="8"/>
  <c r="H36" i="8"/>
  <c r="G36" i="8"/>
  <c r="F36" i="8"/>
  <c r="K35" i="8"/>
  <c r="J35" i="8"/>
  <c r="I35" i="8"/>
  <c r="H35" i="8"/>
  <c r="G35" i="8"/>
  <c r="F35" i="8"/>
  <c r="K34" i="8"/>
  <c r="J34" i="8"/>
  <c r="I34" i="8"/>
  <c r="H34" i="8"/>
  <c r="G34" i="8"/>
  <c r="F34" i="8"/>
  <c r="K33" i="8"/>
  <c r="J33" i="8"/>
  <c r="I33" i="8"/>
  <c r="H33" i="8"/>
  <c r="G33" i="8"/>
  <c r="F33" i="8"/>
  <c r="K32" i="8"/>
  <c r="J32" i="8"/>
  <c r="I32" i="8"/>
  <c r="H32" i="8"/>
  <c r="G32" i="8"/>
  <c r="F32" i="8"/>
  <c r="K31" i="8"/>
  <c r="J31" i="8"/>
  <c r="I31" i="8"/>
  <c r="H31" i="8"/>
  <c r="G31" i="8"/>
  <c r="F31" i="8"/>
  <c r="K30" i="8"/>
  <c r="J30" i="8"/>
  <c r="I30" i="8"/>
  <c r="H30" i="8"/>
  <c r="G30" i="8"/>
  <c r="F30" i="8"/>
  <c r="K29" i="8"/>
  <c r="J29" i="8"/>
  <c r="I29" i="8"/>
  <c r="H29" i="8"/>
  <c r="G29" i="8"/>
  <c r="F29" i="8"/>
  <c r="K28" i="8"/>
  <c r="J28" i="8"/>
  <c r="I28" i="8"/>
  <c r="H28" i="8"/>
  <c r="G28" i="8"/>
  <c r="F28" i="8"/>
  <c r="K27" i="8"/>
  <c r="J27" i="8"/>
  <c r="I27" i="8"/>
  <c r="H27" i="8"/>
  <c r="G27" i="8"/>
  <c r="F27" i="8"/>
  <c r="K26" i="8"/>
  <c r="J26" i="8"/>
  <c r="I26" i="8"/>
  <c r="H26" i="8"/>
  <c r="G26" i="8"/>
  <c r="F26" i="8"/>
  <c r="K25" i="8"/>
  <c r="J25" i="8"/>
  <c r="I25" i="8"/>
  <c r="H25" i="8"/>
  <c r="G25" i="8"/>
  <c r="F25" i="8"/>
  <c r="K24" i="8"/>
  <c r="J24" i="8"/>
  <c r="I24" i="8"/>
  <c r="H24" i="8"/>
  <c r="G24" i="8"/>
  <c r="F24" i="8"/>
  <c r="K23" i="8"/>
  <c r="J23" i="8"/>
  <c r="I23" i="8"/>
  <c r="H23" i="8"/>
  <c r="G23" i="8"/>
  <c r="F23" i="8"/>
  <c r="K22" i="8"/>
  <c r="J22" i="8"/>
  <c r="I22" i="8"/>
  <c r="G22" i="8"/>
  <c r="F22" i="8"/>
  <c r="K21" i="8"/>
  <c r="J21" i="8"/>
  <c r="I21" i="8"/>
  <c r="H21" i="8"/>
  <c r="G21" i="8"/>
  <c r="F21" i="8"/>
  <c r="K20" i="8"/>
  <c r="J20" i="8"/>
  <c r="I20" i="8"/>
  <c r="H20" i="8"/>
  <c r="G20" i="8"/>
  <c r="F20" i="8"/>
  <c r="L15" i="8"/>
  <c r="L14" i="8"/>
  <c r="L13" i="8"/>
  <c r="K12" i="8"/>
  <c r="K9" i="8"/>
  <c r="L8" i="8"/>
  <c r="H22" i="7"/>
  <c r="K48" i="7"/>
  <c r="J48" i="7"/>
  <c r="I48" i="7"/>
  <c r="H48" i="7"/>
  <c r="G48" i="7"/>
  <c r="F48" i="7"/>
  <c r="K47" i="7"/>
  <c r="J47" i="7"/>
  <c r="I47" i="7"/>
  <c r="H47" i="7"/>
  <c r="G47" i="7"/>
  <c r="F47" i="7"/>
  <c r="K46" i="7"/>
  <c r="J46" i="7"/>
  <c r="I46" i="7"/>
  <c r="H46" i="7"/>
  <c r="G46" i="7"/>
  <c r="F46" i="7"/>
  <c r="K45" i="7"/>
  <c r="J45" i="7"/>
  <c r="I45" i="7"/>
  <c r="H45" i="7"/>
  <c r="G45" i="7"/>
  <c r="F45" i="7"/>
  <c r="K44" i="7"/>
  <c r="J44" i="7"/>
  <c r="I44" i="7"/>
  <c r="H44" i="7"/>
  <c r="G44" i="7"/>
  <c r="F44" i="7"/>
  <c r="K40" i="7"/>
  <c r="J40" i="7"/>
  <c r="I40" i="7"/>
  <c r="H40" i="7"/>
  <c r="G40" i="7"/>
  <c r="F40" i="7"/>
  <c r="K39" i="7"/>
  <c r="J39" i="7"/>
  <c r="I39" i="7"/>
  <c r="H39" i="7"/>
  <c r="G39" i="7"/>
  <c r="F39" i="7"/>
  <c r="K38" i="7"/>
  <c r="J38" i="7"/>
  <c r="I38" i="7"/>
  <c r="H38" i="7"/>
  <c r="G38" i="7"/>
  <c r="F38" i="7"/>
  <c r="K37" i="7"/>
  <c r="J37" i="7"/>
  <c r="I37" i="7"/>
  <c r="H37" i="7"/>
  <c r="G37" i="7"/>
  <c r="F37" i="7"/>
  <c r="K36" i="7"/>
  <c r="J36" i="7"/>
  <c r="I36" i="7"/>
  <c r="H36" i="7"/>
  <c r="G36" i="7"/>
  <c r="F36" i="7"/>
  <c r="K35" i="7"/>
  <c r="J35" i="7"/>
  <c r="I35" i="7"/>
  <c r="H35" i="7"/>
  <c r="G35" i="7"/>
  <c r="F35" i="7"/>
  <c r="K34" i="7"/>
  <c r="J34" i="7"/>
  <c r="I34" i="7"/>
  <c r="H34" i="7"/>
  <c r="G34" i="7"/>
  <c r="F34" i="7"/>
  <c r="K33" i="7"/>
  <c r="J33" i="7"/>
  <c r="I33" i="7"/>
  <c r="H33" i="7"/>
  <c r="G33" i="7"/>
  <c r="F33" i="7"/>
  <c r="K32" i="7"/>
  <c r="J32" i="7"/>
  <c r="I32" i="7"/>
  <c r="H32" i="7"/>
  <c r="G32" i="7"/>
  <c r="F32" i="7"/>
  <c r="K31" i="7"/>
  <c r="J31" i="7"/>
  <c r="I31" i="7"/>
  <c r="H31" i="7"/>
  <c r="G31" i="7"/>
  <c r="F31" i="7"/>
  <c r="K30" i="7"/>
  <c r="J30" i="7"/>
  <c r="I30" i="7"/>
  <c r="H30" i="7"/>
  <c r="G30" i="7"/>
  <c r="F30" i="7"/>
  <c r="K29" i="7"/>
  <c r="J29" i="7"/>
  <c r="I29" i="7"/>
  <c r="H29" i="7"/>
  <c r="G29" i="7"/>
  <c r="F29" i="7"/>
  <c r="K28" i="7"/>
  <c r="J28" i="7"/>
  <c r="I28" i="7"/>
  <c r="H28" i="7"/>
  <c r="G28" i="7"/>
  <c r="F28" i="7"/>
  <c r="K27" i="7"/>
  <c r="J27" i="7"/>
  <c r="I27" i="7"/>
  <c r="H27" i="7"/>
  <c r="G27" i="7"/>
  <c r="F27" i="7"/>
  <c r="K26" i="7"/>
  <c r="J26" i="7"/>
  <c r="I26" i="7"/>
  <c r="H26" i="7"/>
  <c r="G26" i="7"/>
  <c r="F26" i="7"/>
  <c r="K25" i="7"/>
  <c r="J25" i="7"/>
  <c r="I25" i="7"/>
  <c r="H25" i="7"/>
  <c r="G25" i="7"/>
  <c r="F25" i="7"/>
  <c r="K24" i="7"/>
  <c r="J24" i="7"/>
  <c r="I24" i="7"/>
  <c r="H24" i="7"/>
  <c r="G24" i="7"/>
  <c r="F24" i="7"/>
  <c r="K23" i="7"/>
  <c r="J23" i="7"/>
  <c r="I23" i="7"/>
  <c r="H23" i="7"/>
  <c r="G23" i="7"/>
  <c r="F23" i="7"/>
  <c r="K22" i="7"/>
  <c r="J22" i="7"/>
  <c r="I22" i="7"/>
  <c r="G22" i="7"/>
  <c r="F22" i="7"/>
  <c r="K21" i="7"/>
  <c r="J21" i="7"/>
  <c r="I21" i="7"/>
  <c r="H21" i="7"/>
  <c r="G21" i="7"/>
  <c r="F21" i="7"/>
  <c r="K20" i="7"/>
  <c r="J20" i="7"/>
  <c r="I20" i="7"/>
  <c r="H20" i="7"/>
  <c r="G20" i="7"/>
  <c r="F20" i="7"/>
  <c r="L15" i="7"/>
  <c r="L14" i="7"/>
  <c r="L13" i="7"/>
  <c r="K12" i="7"/>
  <c r="K9" i="7"/>
  <c r="L8" i="7"/>
  <c r="H22" i="1"/>
  <c r="H22" i="5"/>
  <c r="H22" i="6"/>
  <c r="K48" i="6"/>
  <c r="J48" i="6"/>
  <c r="I48" i="6"/>
  <c r="H48" i="6"/>
  <c r="G48" i="6"/>
  <c r="F48" i="6"/>
  <c r="K47" i="6"/>
  <c r="J47" i="6"/>
  <c r="I47" i="6"/>
  <c r="H47" i="6"/>
  <c r="G47" i="6"/>
  <c r="F47" i="6"/>
  <c r="K46" i="6"/>
  <c r="J46" i="6"/>
  <c r="I46" i="6"/>
  <c r="H46" i="6"/>
  <c r="G46" i="6"/>
  <c r="F46" i="6"/>
  <c r="K45" i="6"/>
  <c r="J45" i="6"/>
  <c r="I45" i="6"/>
  <c r="H45" i="6"/>
  <c r="G45" i="6"/>
  <c r="F45" i="6"/>
  <c r="K44" i="6"/>
  <c r="J44" i="6"/>
  <c r="I44" i="6"/>
  <c r="H44" i="6"/>
  <c r="G44" i="6"/>
  <c r="F44" i="6"/>
  <c r="K40" i="6"/>
  <c r="J40" i="6"/>
  <c r="I40" i="6"/>
  <c r="H40" i="6"/>
  <c r="G40" i="6"/>
  <c r="F40" i="6"/>
  <c r="K39" i="6"/>
  <c r="J39" i="6"/>
  <c r="I39" i="6"/>
  <c r="H39" i="6"/>
  <c r="G39" i="6"/>
  <c r="F39" i="6"/>
  <c r="K38" i="6"/>
  <c r="J38" i="6"/>
  <c r="I38" i="6"/>
  <c r="H38" i="6"/>
  <c r="G38" i="6"/>
  <c r="F38" i="6"/>
  <c r="K37" i="6"/>
  <c r="J37" i="6"/>
  <c r="I37" i="6"/>
  <c r="H37" i="6"/>
  <c r="G37" i="6"/>
  <c r="F37" i="6"/>
  <c r="K36" i="6"/>
  <c r="J36" i="6"/>
  <c r="I36" i="6"/>
  <c r="H36" i="6"/>
  <c r="G36" i="6"/>
  <c r="F36" i="6"/>
  <c r="K35" i="6"/>
  <c r="J35" i="6"/>
  <c r="I35" i="6"/>
  <c r="H35" i="6"/>
  <c r="G35" i="6"/>
  <c r="F35" i="6"/>
  <c r="K34" i="6"/>
  <c r="J34" i="6"/>
  <c r="I34" i="6"/>
  <c r="H34" i="6"/>
  <c r="G34" i="6"/>
  <c r="F34" i="6"/>
  <c r="K33" i="6"/>
  <c r="J33" i="6"/>
  <c r="I33" i="6"/>
  <c r="H33" i="6"/>
  <c r="G33" i="6"/>
  <c r="F33" i="6"/>
  <c r="K32" i="6"/>
  <c r="J32" i="6"/>
  <c r="I32" i="6"/>
  <c r="H32" i="6"/>
  <c r="G32" i="6"/>
  <c r="F32" i="6"/>
  <c r="K31" i="6"/>
  <c r="J31" i="6"/>
  <c r="I31" i="6"/>
  <c r="H31" i="6"/>
  <c r="G31" i="6"/>
  <c r="F31" i="6"/>
  <c r="K30" i="6"/>
  <c r="J30" i="6"/>
  <c r="I30" i="6"/>
  <c r="H30" i="6"/>
  <c r="G30" i="6"/>
  <c r="F30" i="6"/>
  <c r="K29" i="6"/>
  <c r="J29" i="6"/>
  <c r="I29" i="6"/>
  <c r="H29" i="6"/>
  <c r="G29" i="6"/>
  <c r="F29" i="6"/>
  <c r="K28" i="6"/>
  <c r="J28" i="6"/>
  <c r="I28" i="6"/>
  <c r="H28" i="6"/>
  <c r="G28" i="6"/>
  <c r="F28" i="6"/>
  <c r="K27" i="6"/>
  <c r="J27" i="6"/>
  <c r="I27" i="6"/>
  <c r="H27" i="6"/>
  <c r="G27" i="6"/>
  <c r="F27" i="6"/>
  <c r="K26" i="6"/>
  <c r="J26" i="6"/>
  <c r="I26" i="6"/>
  <c r="H26" i="6"/>
  <c r="G26" i="6"/>
  <c r="F26" i="6"/>
  <c r="K25" i="6"/>
  <c r="J25" i="6"/>
  <c r="I25" i="6"/>
  <c r="H25" i="6"/>
  <c r="G25" i="6"/>
  <c r="F25" i="6"/>
  <c r="K24" i="6"/>
  <c r="J24" i="6"/>
  <c r="I24" i="6"/>
  <c r="H24" i="6"/>
  <c r="G24" i="6"/>
  <c r="F24" i="6"/>
  <c r="K23" i="6"/>
  <c r="J23" i="6"/>
  <c r="I23" i="6"/>
  <c r="H23" i="6"/>
  <c r="G23" i="6"/>
  <c r="F23" i="6"/>
  <c r="K22" i="6"/>
  <c r="J22" i="6"/>
  <c r="I22" i="6"/>
  <c r="G22" i="6"/>
  <c r="F22" i="6"/>
  <c r="K21" i="6"/>
  <c r="J21" i="6"/>
  <c r="I21" i="6"/>
  <c r="H21" i="6"/>
  <c r="G21" i="6"/>
  <c r="F21" i="6"/>
  <c r="K20" i="6"/>
  <c r="J20" i="6"/>
  <c r="I20" i="6"/>
  <c r="H20" i="6"/>
  <c r="G20" i="6"/>
  <c r="F20" i="6"/>
  <c r="L15" i="6"/>
  <c r="L14" i="6"/>
  <c r="L13" i="6"/>
  <c r="K12" i="6"/>
  <c r="K9" i="6"/>
  <c r="L8" i="6"/>
  <c r="K48" i="5"/>
  <c r="J48" i="5"/>
  <c r="I48" i="5"/>
  <c r="H48" i="5"/>
  <c r="G48" i="5"/>
  <c r="F48" i="5"/>
  <c r="K47" i="5"/>
  <c r="J47" i="5"/>
  <c r="I47" i="5"/>
  <c r="H47" i="5"/>
  <c r="G47" i="5"/>
  <c r="F47" i="5"/>
  <c r="K46" i="5"/>
  <c r="J46" i="5"/>
  <c r="I46" i="5"/>
  <c r="H46" i="5"/>
  <c r="G46" i="5"/>
  <c r="F46" i="5"/>
  <c r="K45" i="5"/>
  <c r="J45" i="5"/>
  <c r="I45" i="5"/>
  <c r="H45" i="5"/>
  <c r="G45" i="5"/>
  <c r="F45" i="5"/>
  <c r="K44" i="5"/>
  <c r="J44" i="5"/>
  <c r="I44" i="5"/>
  <c r="H44" i="5"/>
  <c r="G44" i="5"/>
  <c r="F44" i="5"/>
  <c r="K40" i="5"/>
  <c r="J40" i="5"/>
  <c r="I40" i="5"/>
  <c r="H40" i="5"/>
  <c r="G40" i="5"/>
  <c r="F40" i="5"/>
  <c r="K39" i="5"/>
  <c r="J39" i="5"/>
  <c r="I39" i="5"/>
  <c r="H39" i="5"/>
  <c r="G39" i="5"/>
  <c r="F39" i="5"/>
  <c r="K38" i="5"/>
  <c r="J38" i="5"/>
  <c r="I38" i="5"/>
  <c r="H38" i="5"/>
  <c r="G38" i="5"/>
  <c r="F38" i="5"/>
  <c r="K37" i="5"/>
  <c r="J37" i="5"/>
  <c r="I37" i="5"/>
  <c r="H37" i="5"/>
  <c r="G37" i="5"/>
  <c r="F37" i="5"/>
  <c r="K36" i="5"/>
  <c r="J36" i="5"/>
  <c r="I36" i="5"/>
  <c r="H36" i="5"/>
  <c r="G36" i="5"/>
  <c r="F36" i="5"/>
  <c r="K35" i="5"/>
  <c r="J35" i="5"/>
  <c r="I35" i="5"/>
  <c r="H35" i="5"/>
  <c r="G35" i="5"/>
  <c r="F35" i="5"/>
  <c r="K34" i="5"/>
  <c r="J34" i="5"/>
  <c r="I34" i="5"/>
  <c r="H34" i="5"/>
  <c r="G34" i="5"/>
  <c r="F34" i="5"/>
  <c r="K33" i="5"/>
  <c r="J33" i="5"/>
  <c r="I33" i="5"/>
  <c r="H33" i="5"/>
  <c r="G33" i="5"/>
  <c r="F33" i="5"/>
  <c r="K32" i="5"/>
  <c r="J32" i="5"/>
  <c r="I32" i="5"/>
  <c r="H32" i="5"/>
  <c r="G32" i="5"/>
  <c r="F32" i="5"/>
  <c r="K31" i="5"/>
  <c r="J31" i="5"/>
  <c r="I31" i="5"/>
  <c r="H31" i="5"/>
  <c r="G31" i="5"/>
  <c r="F31" i="5"/>
  <c r="K30" i="5"/>
  <c r="J30" i="5"/>
  <c r="I30" i="5"/>
  <c r="H30" i="5"/>
  <c r="G30" i="5"/>
  <c r="F30" i="5"/>
  <c r="K29" i="5"/>
  <c r="J29" i="5"/>
  <c r="I29" i="5"/>
  <c r="H29" i="5"/>
  <c r="G29" i="5"/>
  <c r="F29" i="5"/>
  <c r="K28" i="5"/>
  <c r="J28" i="5"/>
  <c r="I28" i="5"/>
  <c r="H28" i="5"/>
  <c r="G28" i="5"/>
  <c r="F28" i="5"/>
  <c r="K27" i="5"/>
  <c r="J27" i="5"/>
  <c r="I27" i="5"/>
  <c r="H27" i="5"/>
  <c r="G27" i="5"/>
  <c r="F27" i="5"/>
  <c r="K26" i="5"/>
  <c r="J26" i="5"/>
  <c r="I26" i="5"/>
  <c r="H26" i="5"/>
  <c r="G26" i="5"/>
  <c r="F26" i="5"/>
  <c r="K25" i="5"/>
  <c r="J25" i="5"/>
  <c r="I25" i="5"/>
  <c r="H25" i="5"/>
  <c r="G25" i="5"/>
  <c r="F25" i="5"/>
  <c r="K24" i="5"/>
  <c r="J24" i="5"/>
  <c r="I24" i="5"/>
  <c r="H24" i="5"/>
  <c r="G24" i="5"/>
  <c r="F24" i="5"/>
  <c r="K23" i="5"/>
  <c r="J23" i="5"/>
  <c r="I23" i="5"/>
  <c r="H23" i="5"/>
  <c r="G23" i="5"/>
  <c r="F23" i="5"/>
  <c r="K22" i="5"/>
  <c r="J22" i="5"/>
  <c r="I22" i="5"/>
  <c r="G22" i="5"/>
  <c r="F22" i="5"/>
  <c r="K21" i="5"/>
  <c r="J21" i="5"/>
  <c r="I21" i="5"/>
  <c r="H21" i="5"/>
  <c r="G21" i="5"/>
  <c r="F21" i="5"/>
  <c r="K20" i="5"/>
  <c r="J20" i="5"/>
  <c r="I20" i="5"/>
  <c r="H20" i="5"/>
  <c r="G20" i="5"/>
  <c r="F20" i="5"/>
  <c r="L15" i="5"/>
  <c r="L14" i="5"/>
  <c r="L13" i="5"/>
  <c r="K12" i="5"/>
  <c r="K9" i="5"/>
  <c r="L8" i="5"/>
  <c r="D19" i="2"/>
  <c r="S54" i="54" l="1"/>
  <c r="AB44" i="54"/>
  <c r="AB54" i="54" s="1"/>
  <c r="AB40" i="54"/>
  <c r="O26" i="54"/>
  <c r="N26" i="54" s="1"/>
  <c r="AB25" i="54"/>
  <c r="AB24" i="54"/>
  <c r="AB23" i="54"/>
  <c r="AB22" i="54"/>
  <c r="AB21" i="54"/>
  <c r="AB20" i="54"/>
  <c r="AB17" i="54"/>
  <c r="S17" i="54"/>
  <c r="F18" i="54" s="1"/>
  <c r="AB16" i="54"/>
  <c r="AB15" i="54"/>
  <c r="AB14" i="54"/>
  <c r="AB13" i="54"/>
  <c r="AB12" i="54"/>
  <c r="H10" i="54"/>
  <c r="AB11" i="54" s="1"/>
  <c r="AB9" i="54"/>
  <c r="AB8" i="54"/>
  <c r="B6" i="54"/>
  <c r="B3" i="54"/>
  <c r="B2" i="54"/>
  <c r="A16" i="50"/>
  <c r="AB17" i="12" l="1"/>
  <c r="AB12" i="12"/>
  <c r="H10" i="12"/>
  <c r="B6" i="12"/>
  <c r="B3" i="12"/>
  <c r="B2" i="12"/>
  <c r="AB17" i="11"/>
  <c r="AB12" i="11"/>
  <c r="H10" i="11"/>
  <c r="B6" i="11"/>
  <c r="B3" i="11"/>
  <c r="B2" i="11"/>
  <c r="AB17" i="10"/>
  <c r="AB12" i="10"/>
  <c r="H10" i="10"/>
  <c r="B6" i="10"/>
  <c r="B3" i="10"/>
  <c r="B2" i="10"/>
  <c r="AB17" i="9"/>
  <c r="AB12" i="9"/>
  <c r="H10" i="9"/>
  <c r="B6" i="9"/>
  <c r="B3" i="9"/>
  <c r="B2" i="9"/>
  <c r="AB17" i="8"/>
  <c r="AB12" i="8"/>
  <c r="H10" i="8"/>
  <c r="B6" i="8"/>
  <c r="B3" i="8"/>
  <c r="B2" i="8"/>
  <c r="AB17" i="7"/>
  <c r="AB12" i="7"/>
  <c r="H10" i="7"/>
  <c r="B6" i="7"/>
  <c r="B3" i="7"/>
  <c r="B2" i="7"/>
  <c r="AB17" i="6"/>
  <c r="AB12" i="6"/>
  <c r="H10" i="6"/>
  <c r="B6" i="6"/>
  <c r="B3" i="6"/>
  <c r="B2" i="6"/>
  <c r="AB17" i="5"/>
  <c r="AB12" i="5"/>
  <c r="H10" i="5"/>
  <c r="B6" i="5"/>
  <c r="B3" i="5"/>
  <c r="B2" i="5"/>
  <c r="K39" i="1"/>
  <c r="J39" i="1"/>
  <c r="I39" i="1"/>
  <c r="H39" i="1"/>
  <c r="G39" i="1"/>
  <c r="F39" i="1"/>
  <c r="K38" i="1"/>
  <c r="J38" i="1"/>
  <c r="I38" i="1"/>
  <c r="H38" i="1"/>
  <c r="G38" i="1"/>
  <c r="F38" i="1"/>
  <c r="K37" i="1"/>
  <c r="J37" i="1"/>
  <c r="I37" i="1"/>
  <c r="H37" i="1"/>
  <c r="G37" i="1"/>
  <c r="F37" i="1"/>
  <c r="K36" i="1"/>
  <c r="J36" i="1"/>
  <c r="I36" i="1"/>
  <c r="H36" i="1"/>
  <c r="G36" i="1"/>
  <c r="F36" i="1"/>
  <c r="K35" i="1"/>
  <c r="J35" i="1"/>
  <c r="I35" i="1"/>
  <c r="H35" i="1"/>
  <c r="G35" i="1"/>
  <c r="F35" i="1"/>
  <c r="K34" i="1"/>
  <c r="J34" i="1"/>
  <c r="I34" i="1"/>
  <c r="H34" i="1"/>
  <c r="G34" i="1"/>
  <c r="F34" i="1"/>
  <c r="K48" i="1"/>
  <c r="J48" i="1"/>
  <c r="I48" i="1"/>
  <c r="H48" i="1"/>
  <c r="G48" i="1"/>
  <c r="F48" i="1"/>
  <c r="K47" i="1"/>
  <c r="J47" i="1"/>
  <c r="I47" i="1"/>
  <c r="H47" i="1"/>
  <c r="G47" i="1"/>
  <c r="F47" i="1"/>
  <c r="K46" i="1"/>
  <c r="J46" i="1"/>
  <c r="I46" i="1"/>
  <c r="H46" i="1"/>
  <c r="G46" i="1"/>
  <c r="F46" i="1"/>
  <c r="K45" i="1"/>
  <c r="J45" i="1"/>
  <c r="I45" i="1"/>
  <c r="H45" i="1"/>
  <c r="G45" i="1"/>
  <c r="F45" i="1"/>
  <c r="K44" i="1"/>
  <c r="J44" i="1"/>
  <c r="I44" i="1"/>
  <c r="H44" i="1"/>
  <c r="G44" i="1"/>
  <c r="F44" i="1"/>
  <c r="K40" i="1"/>
  <c r="J40" i="1"/>
  <c r="I40" i="1"/>
  <c r="H40" i="1"/>
  <c r="G40" i="1"/>
  <c r="F40" i="1"/>
  <c r="K33" i="1"/>
  <c r="J33" i="1"/>
  <c r="I33" i="1"/>
  <c r="H33" i="1"/>
  <c r="G33" i="1"/>
  <c r="F33" i="1"/>
  <c r="K32" i="1"/>
  <c r="J32" i="1"/>
  <c r="I32" i="1"/>
  <c r="H32" i="1"/>
  <c r="G32" i="1"/>
  <c r="F32" i="1"/>
  <c r="K31" i="1"/>
  <c r="J31" i="1"/>
  <c r="I31" i="1"/>
  <c r="H31" i="1"/>
  <c r="G31" i="1"/>
  <c r="F31" i="1"/>
  <c r="K30" i="1"/>
  <c r="J30" i="1"/>
  <c r="I30" i="1"/>
  <c r="H30" i="1"/>
  <c r="G30" i="1"/>
  <c r="F30" i="1"/>
  <c r="K29" i="1"/>
  <c r="J29" i="1"/>
  <c r="I29" i="1"/>
  <c r="H29" i="1"/>
  <c r="G29" i="1"/>
  <c r="F29" i="1"/>
  <c r="K28" i="1"/>
  <c r="J28" i="1"/>
  <c r="I28" i="1"/>
  <c r="H28" i="1"/>
  <c r="G28" i="1"/>
  <c r="F28" i="1"/>
  <c r="K27" i="1"/>
  <c r="J27" i="1"/>
  <c r="I27" i="1"/>
  <c r="H27" i="1"/>
  <c r="G27" i="1"/>
  <c r="F27" i="1"/>
  <c r="K26" i="1"/>
  <c r="J26" i="1"/>
  <c r="I26" i="1"/>
  <c r="H26" i="1"/>
  <c r="G26" i="1"/>
  <c r="F26" i="1"/>
  <c r="K25" i="1"/>
  <c r="J25" i="1"/>
  <c r="I25" i="1"/>
  <c r="H25" i="1"/>
  <c r="G25" i="1"/>
  <c r="F25" i="1"/>
  <c r="K24" i="1"/>
  <c r="J24" i="1"/>
  <c r="I24" i="1"/>
  <c r="H24" i="1"/>
  <c r="G24" i="1"/>
  <c r="F24" i="1"/>
  <c r="K23" i="1"/>
  <c r="J23" i="1"/>
  <c r="I23" i="1"/>
  <c r="H23" i="1"/>
  <c r="G23" i="1"/>
  <c r="F23" i="1"/>
  <c r="K22" i="1"/>
  <c r="J22" i="1"/>
  <c r="I22" i="1"/>
  <c r="G22" i="1"/>
  <c r="F22" i="1"/>
  <c r="K21" i="1"/>
  <c r="J21" i="1"/>
  <c r="I21" i="1"/>
  <c r="H21" i="1"/>
  <c r="G21" i="1"/>
  <c r="F21" i="1"/>
  <c r="K20" i="1"/>
  <c r="J20" i="1"/>
  <c r="I20" i="1"/>
  <c r="H20" i="1"/>
  <c r="G20" i="1"/>
  <c r="F20" i="1"/>
  <c r="J41" i="1" l="1"/>
  <c r="G7" i="58" s="1"/>
  <c r="K41" i="1"/>
  <c r="G41" i="1"/>
  <c r="F41" i="1"/>
  <c r="E7" i="58" s="1"/>
  <c r="H41" i="1"/>
  <c r="I41" i="1"/>
  <c r="H7" i="58" s="1"/>
  <c r="G54" i="5"/>
  <c r="I54" i="5"/>
  <c r="K54" i="5"/>
  <c r="K8" i="6"/>
  <c r="G54" i="6"/>
  <c r="I54" i="6"/>
  <c r="K54" i="6"/>
  <c r="K8" i="7"/>
  <c r="G54" i="7"/>
  <c r="I54" i="7"/>
  <c r="K54" i="7"/>
  <c r="K8" i="8"/>
  <c r="G54" i="8"/>
  <c r="I54" i="8"/>
  <c r="K54" i="8"/>
  <c r="G54" i="9"/>
  <c r="I54" i="9"/>
  <c r="K54" i="9"/>
  <c r="G54" i="10"/>
  <c r="I54" i="10"/>
  <c r="K54" i="10"/>
  <c r="G54" i="11"/>
  <c r="I54" i="11"/>
  <c r="K54" i="11"/>
  <c r="K8" i="12"/>
  <c r="G54" i="12"/>
  <c r="I54" i="12"/>
  <c r="K54" i="12"/>
  <c r="L35" i="1"/>
  <c r="L39" i="1"/>
  <c r="F54" i="5"/>
  <c r="H54" i="5"/>
  <c r="J54" i="5"/>
  <c r="L45" i="5"/>
  <c r="L46" i="5"/>
  <c r="L47" i="5"/>
  <c r="L48" i="5"/>
  <c r="L49" i="5"/>
  <c r="L50" i="5"/>
  <c r="L51" i="5"/>
  <c r="L52" i="5"/>
  <c r="L53" i="5"/>
  <c r="H54" i="6"/>
  <c r="J54" i="6"/>
  <c r="L45" i="6"/>
  <c r="L46" i="6"/>
  <c r="L47" i="6"/>
  <c r="L48" i="6"/>
  <c r="L49" i="6"/>
  <c r="L50" i="6"/>
  <c r="L51" i="6"/>
  <c r="L52" i="6"/>
  <c r="H54" i="7"/>
  <c r="J54" i="7"/>
  <c r="L45" i="7"/>
  <c r="L46" i="7"/>
  <c r="L47" i="7"/>
  <c r="L48" i="7"/>
  <c r="F54" i="8"/>
  <c r="H54" i="8"/>
  <c r="J54" i="8"/>
  <c r="H54" i="9"/>
  <c r="J54" i="9"/>
  <c r="H54" i="10"/>
  <c r="J54" i="10"/>
  <c r="H54" i="11"/>
  <c r="J54" i="11"/>
  <c r="L49" i="11"/>
  <c r="L50" i="11"/>
  <c r="L51" i="11"/>
  <c r="L52" i="11"/>
  <c r="H54" i="12"/>
  <c r="J54" i="12"/>
  <c r="K14" i="5"/>
  <c r="E7" i="50"/>
  <c r="K16" i="5"/>
  <c r="G7" i="50"/>
  <c r="K14" i="6"/>
  <c r="E8" i="50"/>
  <c r="K16" i="6"/>
  <c r="G8" i="50"/>
  <c r="K14" i="7"/>
  <c r="E9" i="50"/>
  <c r="K16" i="7"/>
  <c r="G9" i="50"/>
  <c r="K14" i="8"/>
  <c r="E10" i="50"/>
  <c r="K16" i="8"/>
  <c r="G10" i="50"/>
  <c r="K14" i="9"/>
  <c r="E11" i="50"/>
  <c r="K16" i="9"/>
  <c r="G11" i="50"/>
  <c r="K14" i="10"/>
  <c r="E12" i="50"/>
  <c r="K16" i="10"/>
  <c r="G12" i="50"/>
  <c r="K14" i="11"/>
  <c r="E13" i="50"/>
  <c r="K16" i="11"/>
  <c r="G13" i="50"/>
  <c r="K14" i="12"/>
  <c r="E14" i="50"/>
  <c r="K16" i="12"/>
  <c r="G14" i="50"/>
  <c r="AB9" i="5"/>
  <c r="C7" i="50"/>
  <c r="K13" i="5"/>
  <c r="D7" i="50"/>
  <c r="K15" i="5"/>
  <c r="F7" i="50"/>
  <c r="AB9" i="6"/>
  <c r="C8" i="50"/>
  <c r="K13" i="6"/>
  <c r="D8" i="50"/>
  <c r="K15" i="6"/>
  <c r="F8" i="50"/>
  <c r="AB9" i="7"/>
  <c r="C9" i="50"/>
  <c r="K13" i="7"/>
  <c r="D9" i="50"/>
  <c r="K15" i="7"/>
  <c r="F9" i="50"/>
  <c r="AB9" i="8"/>
  <c r="C10" i="50"/>
  <c r="K13" i="8"/>
  <c r="D10" i="50"/>
  <c r="K15" i="8"/>
  <c r="F10" i="50"/>
  <c r="AB9" i="9"/>
  <c r="C11" i="50"/>
  <c r="K13" i="9"/>
  <c r="D11" i="50"/>
  <c r="K15" i="9"/>
  <c r="F11" i="50"/>
  <c r="AB9" i="10"/>
  <c r="C12" i="50"/>
  <c r="K13" i="10"/>
  <c r="D12" i="50"/>
  <c r="K15" i="10"/>
  <c r="F12" i="50"/>
  <c r="AB9" i="11"/>
  <c r="C13" i="50"/>
  <c r="K13" i="11"/>
  <c r="D13" i="50"/>
  <c r="K15" i="11"/>
  <c r="F13" i="50"/>
  <c r="AB9" i="12"/>
  <c r="C14" i="50"/>
  <c r="K13" i="12"/>
  <c r="D14" i="50"/>
  <c r="K15" i="12"/>
  <c r="F14" i="50"/>
  <c r="L49" i="1"/>
  <c r="L50" i="1"/>
  <c r="L51" i="1"/>
  <c r="L52" i="1"/>
  <c r="L53" i="1"/>
  <c r="L49" i="7"/>
  <c r="L50" i="7"/>
  <c r="L51" i="7"/>
  <c r="L52" i="7"/>
  <c r="L45" i="8"/>
  <c r="L46" i="8"/>
  <c r="L47" i="8"/>
  <c r="L48" i="8"/>
  <c r="L49" i="8"/>
  <c r="L50" i="8"/>
  <c r="L51" i="8"/>
  <c r="L52" i="8"/>
  <c r="L53" i="8"/>
  <c r="L45" i="9"/>
  <c r="L46" i="9"/>
  <c r="L47" i="9"/>
  <c r="L48" i="9"/>
  <c r="L49" i="9"/>
  <c r="L50" i="9"/>
  <c r="L51" i="9"/>
  <c r="L52" i="9"/>
  <c r="L53" i="9"/>
  <c r="L45" i="10"/>
  <c r="L46" i="10"/>
  <c r="L47" i="10"/>
  <c r="L48" i="10"/>
  <c r="L49" i="10"/>
  <c r="L50" i="10"/>
  <c r="L51" i="10"/>
  <c r="L52" i="10"/>
  <c r="L53" i="10"/>
  <c r="L45" i="11"/>
  <c r="L46" i="11"/>
  <c r="L47" i="11"/>
  <c r="L48" i="11"/>
  <c r="L37" i="1"/>
  <c r="L17" i="5"/>
  <c r="L53" i="11"/>
  <c r="L17" i="12"/>
  <c r="L45" i="12"/>
  <c r="L46" i="12"/>
  <c r="L47" i="12"/>
  <c r="L48" i="12"/>
  <c r="L49" i="12"/>
  <c r="L50" i="12"/>
  <c r="L51" i="12"/>
  <c r="L52" i="12"/>
  <c r="L53" i="12"/>
  <c r="L21" i="6"/>
  <c r="L22" i="6"/>
  <c r="L23" i="6"/>
  <c r="L24" i="6"/>
  <c r="L25" i="6"/>
  <c r="L26" i="6"/>
  <c r="L27" i="6"/>
  <c r="L28" i="6"/>
  <c r="L29" i="6"/>
  <c r="L21" i="7"/>
  <c r="L22" i="7"/>
  <c r="L23" i="7"/>
  <c r="L24" i="7"/>
  <c r="L25" i="7"/>
  <c r="L26" i="7"/>
  <c r="L27" i="7"/>
  <c r="L28" i="7"/>
  <c r="L21" i="8"/>
  <c r="L17" i="9"/>
  <c r="L17" i="10"/>
  <c r="L17" i="11"/>
  <c r="K8" i="5"/>
  <c r="L21" i="5"/>
  <c r="L22" i="5"/>
  <c r="L23" i="5"/>
  <c r="L24" i="5"/>
  <c r="L25" i="5"/>
  <c r="L26" i="5"/>
  <c r="L27" i="5"/>
  <c r="L28" i="5"/>
  <c r="L29" i="5"/>
  <c r="L30" i="5"/>
  <c r="L31" i="5"/>
  <c r="L32" i="5"/>
  <c r="L33" i="5"/>
  <c r="L34" i="5"/>
  <c r="L35" i="5"/>
  <c r="L36" i="5"/>
  <c r="L37" i="5"/>
  <c r="L38" i="5"/>
  <c r="L39" i="5"/>
  <c r="L40" i="5"/>
  <c r="L30" i="6"/>
  <c r="L31" i="6"/>
  <c r="L32" i="6"/>
  <c r="L33" i="6"/>
  <c r="L34" i="6"/>
  <c r="L35" i="6"/>
  <c r="L36" i="6"/>
  <c r="L37" i="6"/>
  <c r="L38" i="6"/>
  <c r="L39" i="6"/>
  <c r="L40" i="6"/>
  <c r="L29" i="7"/>
  <c r="L30" i="7"/>
  <c r="L31" i="7"/>
  <c r="L32" i="7"/>
  <c r="L33" i="7"/>
  <c r="L34" i="7"/>
  <c r="L35" i="7"/>
  <c r="L36" i="7"/>
  <c r="L37" i="7"/>
  <c r="L38" i="7"/>
  <c r="L39" i="7"/>
  <c r="L40" i="7"/>
  <c r="L22" i="8"/>
  <c r="L23" i="8"/>
  <c r="L24" i="8"/>
  <c r="L25" i="8"/>
  <c r="L26" i="8"/>
  <c r="L27" i="8"/>
  <c r="L28" i="8"/>
  <c r="L29" i="8"/>
  <c r="L30" i="8"/>
  <c r="L31" i="8"/>
  <c r="L32" i="8"/>
  <c r="L33" i="8"/>
  <c r="L34" i="8"/>
  <c r="L35" i="8"/>
  <c r="L36" i="8"/>
  <c r="L37" i="8"/>
  <c r="L38" i="8"/>
  <c r="L39" i="8"/>
  <c r="L40" i="8"/>
  <c r="K61" i="8"/>
  <c r="K8" i="9"/>
  <c r="L21" i="9"/>
  <c r="L22" i="9"/>
  <c r="L23" i="9"/>
  <c r="L24" i="9"/>
  <c r="L25" i="9"/>
  <c r="L26" i="9"/>
  <c r="L27" i="9"/>
  <c r="L28" i="9"/>
  <c r="L29" i="9"/>
  <c r="L30" i="9"/>
  <c r="L31" i="9"/>
  <c r="L32" i="9"/>
  <c r="L33" i="9"/>
  <c r="L34" i="9"/>
  <c r="L35" i="9"/>
  <c r="L36" i="9"/>
  <c r="L37" i="9"/>
  <c r="L38" i="9"/>
  <c r="L39" i="9"/>
  <c r="L40" i="9"/>
  <c r="K8" i="10"/>
  <c r="L21" i="10"/>
  <c r="L22" i="10"/>
  <c r="L23" i="10"/>
  <c r="L24" i="10"/>
  <c r="L25" i="10"/>
  <c r="L26" i="10"/>
  <c r="L27" i="10"/>
  <c r="L28" i="10"/>
  <c r="L29" i="10"/>
  <c r="L30" i="10"/>
  <c r="L31" i="10"/>
  <c r="L32" i="10"/>
  <c r="L33" i="10"/>
  <c r="L34" i="10"/>
  <c r="L35" i="10"/>
  <c r="L36" i="10"/>
  <c r="L37" i="10"/>
  <c r="L38" i="10"/>
  <c r="L39" i="10"/>
  <c r="L40" i="10"/>
  <c r="K8" i="11"/>
  <c r="L21" i="11"/>
  <c r="L22" i="11"/>
  <c r="L23" i="11"/>
  <c r="L24" i="11"/>
  <c r="L25" i="11"/>
  <c r="L26" i="11"/>
  <c r="L27" i="11"/>
  <c r="L28" i="11"/>
  <c r="L29" i="11"/>
  <c r="L30" i="11"/>
  <c r="L31" i="11"/>
  <c r="L32" i="11"/>
  <c r="L33" i="11"/>
  <c r="L34" i="11"/>
  <c r="L35" i="11"/>
  <c r="L36" i="11"/>
  <c r="L37" i="11"/>
  <c r="L38" i="11"/>
  <c r="L39" i="11"/>
  <c r="L40" i="11"/>
  <c r="L21" i="12"/>
  <c r="L22" i="12"/>
  <c r="L23" i="12"/>
  <c r="L24" i="12"/>
  <c r="L25" i="12"/>
  <c r="L26" i="12"/>
  <c r="L27" i="12"/>
  <c r="L28" i="12"/>
  <c r="L29" i="12"/>
  <c r="L30" i="12"/>
  <c r="L31" i="12"/>
  <c r="L32" i="12"/>
  <c r="L33" i="12"/>
  <c r="L34" i="12"/>
  <c r="L35" i="12"/>
  <c r="L36" i="12"/>
  <c r="L37" i="12"/>
  <c r="L38" i="12"/>
  <c r="L39" i="12"/>
  <c r="L40" i="12"/>
  <c r="F61" i="5"/>
  <c r="L17" i="6"/>
  <c r="AB23" i="6"/>
  <c r="L53" i="6"/>
  <c r="L17" i="7"/>
  <c r="AB21" i="7"/>
  <c r="L53" i="7"/>
  <c r="L17" i="8"/>
  <c r="AB22" i="9"/>
  <c r="G61" i="12"/>
  <c r="K61" i="12"/>
  <c r="S17" i="12"/>
  <c r="H61" i="12"/>
  <c r="L20" i="12"/>
  <c r="L44" i="12"/>
  <c r="F54" i="12"/>
  <c r="L62" i="12"/>
  <c r="AB8" i="12"/>
  <c r="I61" i="11"/>
  <c r="S17" i="11"/>
  <c r="J61" i="11"/>
  <c r="L20" i="11"/>
  <c r="L44" i="11"/>
  <c r="F54" i="11"/>
  <c r="L62" i="11"/>
  <c r="AB8" i="11"/>
  <c r="G61" i="10"/>
  <c r="I61" i="10"/>
  <c r="K61" i="10"/>
  <c r="J61" i="10"/>
  <c r="L20" i="10"/>
  <c r="L44" i="10"/>
  <c r="F54" i="10"/>
  <c r="AB8" i="10"/>
  <c r="I61" i="9"/>
  <c r="S17" i="9"/>
  <c r="J61" i="9"/>
  <c r="L20" i="9"/>
  <c r="L44" i="9"/>
  <c r="F54" i="9"/>
  <c r="L62" i="9"/>
  <c r="AB8" i="9"/>
  <c r="AB24" i="8"/>
  <c r="H61" i="8"/>
  <c r="AB8" i="8"/>
  <c r="L20" i="8"/>
  <c r="L44" i="8"/>
  <c r="G61" i="7"/>
  <c r="K61" i="7"/>
  <c r="AB24" i="7"/>
  <c r="H61" i="7"/>
  <c r="L20" i="7"/>
  <c r="L44" i="7"/>
  <c r="F54" i="7"/>
  <c r="L62" i="7"/>
  <c r="AB8" i="7"/>
  <c r="G61" i="6"/>
  <c r="K61" i="6"/>
  <c r="J61" i="6"/>
  <c r="L20" i="6"/>
  <c r="L44" i="6"/>
  <c r="F54" i="6"/>
  <c r="L62" i="6"/>
  <c r="G61" i="5"/>
  <c r="K61" i="5"/>
  <c r="L20" i="5"/>
  <c r="L44" i="5"/>
  <c r="AB8" i="5"/>
  <c r="AB44" i="5"/>
  <c r="AB54" i="5" s="1"/>
  <c r="L38" i="1"/>
  <c r="L36" i="1"/>
  <c r="L15" i="1"/>
  <c r="L14" i="1"/>
  <c r="L13" i="1"/>
  <c r="L8" i="1"/>
  <c r="K12" i="1"/>
  <c r="K9" i="1"/>
  <c r="H88" i="4"/>
  <c r="H92" i="4" s="1"/>
  <c r="G88" i="4"/>
  <c r="G92" i="4" s="1"/>
  <c r="I85" i="4"/>
  <c r="I70" i="4"/>
  <c r="I51" i="4"/>
  <c r="I72" i="4" s="1"/>
  <c r="B3" i="1"/>
  <c r="B2" i="1"/>
  <c r="B6" i="1"/>
  <c r="A19" i="2"/>
  <c r="E11" i="57" l="1"/>
  <c r="D13" i="58"/>
  <c r="F10" i="58"/>
  <c r="H9" i="58"/>
  <c r="F14" i="58"/>
  <c r="H8" i="58"/>
  <c r="H15" i="58"/>
  <c r="E10" i="58"/>
  <c r="G9" i="58"/>
  <c r="E11" i="58"/>
  <c r="G14" i="58"/>
  <c r="E13" i="58"/>
  <c r="K42" i="1"/>
  <c r="N42" i="1" s="1"/>
  <c r="E13" i="57"/>
  <c r="D8" i="58"/>
  <c r="D10" i="58"/>
  <c r="E8" i="57"/>
  <c r="E9" i="57"/>
  <c r="D15" i="58"/>
  <c r="F9" i="58"/>
  <c r="H11" i="58"/>
  <c r="F8" i="58"/>
  <c r="H13" i="58"/>
  <c r="F15" i="58"/>
  <c r="E12" i="58"/>
  <c r="E8" i="58"/>
  <c r="G15" i="58"/>
  <c r="D14" i="58"/>
  <c r="E12" i="57"/>
  <c r="D9" i="58"/>
  <c r="E6" i="57"/>
  <c r="H12" i="58"/>
  <c r="F11" i="58"/>
  <c r="F13" i="58"/>
  <c r="G10" i="58"/>
  <c r="E9" i="58"/>
  <c r="G11" i="58"/>
  <c r="I11" i="58" s="1"/>
  <c r="E14" i="58"/>
  <c r="G13" i="58"/>
  <c r="H42" i="1"/>
  <c r="F7" i="58"/>
  <c r="D11" i="58"/>
  <c r="E10" i="57"/>
  <c r="E7" i="57"/>
  <c r="D12" i="58"/>
  <c r="F12" i="58"/>
  <c r="H10" i="58"/>
  <c r="H14" i="58"/>
  <c r="G12" i="58"/>
  <c r="G8" i="58"/>
  <c r="E15" i="58"/>
  <c r="K10" i="6"/>
  <c r="J61" i="12"/>
  <c r="H61" i="11"/>
  <c r="H61" i="9"/>
  <c r="J61" i="8"/>
  <c r="F61" i="8"/>
  <c r="J61" i="7"/>
  <c r="H61" i="6"/>
  <c r="I61" i="6"/>
  <c r="I61" i="12"/>
  <c r="K61" i="11"/>
  <c r="G61" i="11"/>
  <c r="H61" i="10"/>
  <c r="K61" i="9"/>
  <c r="G61" i="9"/>
  <c r="G61" i="8"/>
  <c r="K10" i="8"/>
  <c r="I61" i="7"/>
  <c r="AB11" i="6"/>
  <c r="I61" i="5"/>
  <c r="J61" i="5"/>
  <c r="AB20" i="5"/>
  <c r="L62" i="5"/>
  <c r="AB8" i="6"/>
  <c r="AB22" i="11"/>
  <c r="S17" i="7"/>
  <c r="AB24" i="12"/>
  <c r="AB40" i="11"/>
  <c r="AB40" i="9"/>
  <c r="S17" i="8"/>
  <c r="AB24" i="10"/>
  <c r="AB22" i="12"/>
  <c r="AB24" i="11"/>
  <c r="AB24" i="9"/>
  <c r="AB40" i="7"/>
  <c r="L62" i="10"/>
  <c r="AB22" i="7"/>
  <c r="AB25" i="6"/>
  <c r="AB21" i="6"/>
  <c r="L62" i="8"/>
  <c r="S17" i="5"/>
  <c r="S17" i="6"/>
  <c r="AB40" i="8"/>
  <c r="AB22" i="8"/>
  <c r="AB25" i="12"/>
  <c r="AB23" i="12"/>
  <c r="AB25" i="11"/>
  <c r="AB23" i="11"/>
  <c r="AB21" i="11"/>
  <c r="AB23" i="5"/>
  <c r="L54" i="6"/>
  <c r="L54" i="9"/>
  <c r="F61" i="10"/>
  <c r="L54" i="11"/>
  <c r="C6" i="50"/>
  <c r="C15" i="50" s="1"/>
  <c r="E6" i="50"/>
  <c r="E15" i="50" s="1"/>
  <c r="G6" i="50"/>
  <c r="G15" i="50" s="1"/>
  <c r="F61" i="7"/>
  <c r="F61" i="12"/>
  <c r="D6" i="50"/>
  <c r="D15" i="50" s="1"/>
  <c r="F6" i="50"/>
  <c r="L54" i="5"/>
  <c r="F61" i="6"/>
  <c r="L54" i="7"/>
  <c r="L54" i="8"/>
  <c r="F61" i="9"/>
  <c r="L54" i="10"/>
  <c r="F61" i="11"/>
  <c r="L54" i="12"/>
  <c r="AB21" i="12"/>
  <c r="K10" i="11"/>
  <c r="AB25" i="10"/>
  <c r="AB23" i="10"/>
  <c r="AB21" i="10"/>
  <c r="K10" i="9"/>
  <c r="AB40" i="5"/>
  <c r="AB24" i="5"/>
  <c r="AB22" i="5"/>
  <c r="K10" i="5"/>
  <c r="AB15" i="12"/>
  <c r="AB13" i="12"/>
  <c r="AB15" i="11"/>
  <c r="AB13" i="11"/>
  <c r="AB15" i="10"/>
  <c r="AB13" i="10"/>
  <c r="AB15" i="9"/>
  <c r="AB13" i="9"/>
  <c r="AB15" i="8"/>
  <c r="AB13" i="8"/>
  <c r="AB15" i="7"/>
  <c r="AB13" i="7"/>
  <c r="AB15" i="6"/>
  <c r="AB13" i="6"/>
  <c r="AB15" i="5"/>
  <c r="AB13" i="5"/>
  <c r="AB16" i="12"/>
  <c r="AB14" i="12"/>
  <c r="AB16" i="11"/>
  <c r="AB14" i="11"/>
  <c r="AB16" i="10"/>
  <c r="AB14" i="10"/>
  <c r="AB16" i="9"/>
  <c r="AB14" i="9"/>
  <c r="AB16" i="8"/>
  <c r="AB14" i="8"/>
  <c r="AB16" i="7"/>
  <c r="AB14" i="7"/>
  <c r="AB16" i="6"/>
  <c r="AB14" i="6"/>
  <c r="AB16" i="5"/>
  <c r="AB14" i="5"/>
  <c r="AB25" i="7"/>
  <c r="AB23" i="7"/>
  <c r="AB25" i="8"/>
  <c r="AB23" i="8"/>
  <c r="AB21" i="8"/>
  <c r="S17" i="10"/>
  <c r="AB40" i="12"/>
  <c r="AB40" i="10"/>
  <c r="AB22" i="10"/>
  <c r="AB25" i="9"/>
  <c r="AB23" i="9"/>
  <c r="AB21" i="9"/>
  <c r="AB40" i="6"/>
  <c r="AB24" i="6"/>
  <c r="AB22" i="6"/>
  <c r="H61" i="5"/>
  <c r="AB25" i="5"/>
  <c r="AB21" i="5"/>
  <c r="I61" i="8"/>
  <c r="K10" i="7"/>
  <c r="K10" i="12"/>
  <c r="K10" i="10"/>
  <c r="AB20" i="10"/>
  <c r="AB20" i="11"/>
  <c r="AB20" i="9"/>
  <c r="AB20" i="6"/>
  <c r="AB20" i="12"/>
  <c r="AB44" i="12"/>
  <c r="AB54" i="12" s="1"/>
  <c r="AB44" i="11"/>
  <c r="AB54" i="11" s="1"/>
  <c r="AB44" i="10"/>
  <c r="AB54" i="10" s="1"/>
  <c r="S54" i="9"/>
  <c r="AB44" i="9"/>
  <c r="AB54" i="9" s="1"/>
  <c r="AB44" i="8"/>
  <c r="AB54" i="8" s="1"/>
  <c r="AB20" i="8"/>
  <c r="AB11" i="8"/>
  <c r="O26" i="8"/>
  <c r="AB20" i="7"/>
  <c r="AB44" i="7"/>
  <c r="AB54" i="7" s="1"/>
  <c r="O26" i="6"/>
  <c r="AB44" i="6"/>
  <c r="AB54" i="6" s="1"/>
  <c r="I88" i="4"/>
  <c r="I92" i="4" s="1"/>
  <c r="K54" i="1"/>
  <c r="J54" i="1"/>
  <c r="I54" i="1"/>
  <c r="H54" i="1"/>
  <c r="G54" i="1"/>
  <c r="F54" i="1"/>
  <c r="L48" i="1"/>
  <c r="L47" i="1"/>
  <c r="L46" i="1"/>
  <c r="L45" i="1"/>
  <c r="L44" i="1"/>
  <c r="L40" i="1"/>
  <c r="L34" i="1"/>
  <c r="L33" i="1"/>
  <c r="L32" i="1"/>
  <c r="L31" i="1"/>
  <c r="L30" i="1"/>
  <c r="L29" i="1"/>
  <c r="L28" i="1"/>
  <c r="L27" i="1"/>
  <c r="L26" i="1"/>
  <c r="L25" i="1"/>
  <c r="L24" i="1"/>
  <c r="L23" i="1"/>
  <c r="L22" i="1"/>
  <c r="L21" i="1"/>
  <c r="L20" i="1"/>
  <c r="AB17" i="1"/>
  <c r="L17" i="1"/>
  <c r="K16" i="1"/>
  <c r="K15" i="1"/>
  <c r="K14" i="1"/>
  <c r="K13" i="1"/>
  <c r="AB12" i="1"/>
  <c r="AB9" i="1"/>
  <c r="K8" i="1"/>
  <c r="I10" i="58" l="1"/>
  <c r="H16" i="58"/>
  <c r="G16" i="58"/>
  <c r="E16" i="58"/>
  <c r="F16" i="58"/>
  <c r="I8" i="58"/>
  <c r="L41" i="1"/>
  <c r="S41" i="1" s="1"/>
  <c r="I9" i="58"/>
  <c r="I13" i="58"/>
  <c r="O26" i="10"/>
  <c r="L61" i="12"/>
  <c r="L63" i="12" s="1"/>
  <c r="L65" i="12" s="1"/>
  <c r="I15" i="58"/>
  <c r="I12" i="58"/>
  <c r="D7" i="58"/>
  <c r="E14" i="57"/>
  <c r="E15" i="57" s="1"/>
  <c r="B10" i="50"/>
  <c r="H10" i="50" s="1"/>
  <c r="O42" i="1"/>
  <c r="O44" i="1"/>
  <c r="I14" i="58"/>
  <c r="O26" i="5"/>
  <c r="L61" i="9"/>
  <c r="L63" i="9" s="1"/>
  <c r="L65" i="9" s="1"/>
  <c r="S54" i="11"/>
  <c r="K17" i="6"/>
  <c r="B8" i="50"/>
  <c r="H8" i="50" s="1"/>
  <c r="S54" i="7"/>
  <c r="K17" i="8"/>
  <c r="O26" i="12"/>
  <c r="O26" i="11"/>
  <c r="L61" i="10"/>
  <c r="L63" i="10" s="1"/>
  <c r="L65" i="10" s="1"/>
  <c r="O26" i="7"/>
  <c r="L61" i="5"/>
  <c r="L63" i="5" s="1"/>
  <c r="L65" i="5" s="1"/>
  <c r="L61" i="11"/>
  <c r="L63" i="11" s="1"/>
  <c r="L65" i="11" s="1"/>
  <c r="S54" i="6"/>
  <c r="O26" i="9"/>
  <c r="L61" i="6"/>
  <c r="L63" i="6" s="1"/>
  <c r="L65" i="6" s="1"/>
  <c r="S54" i="8"/>
  <c r="S54" i="5"/>
  <c r="L61" i="7"/>
  <c r="L63" i="7" s="1"/>
  <c r="L65" i="7" s="1"/>
  <c r="L61" i="8"/>
  <c r="L63" i="8" s="1"/>
  <c r="L65" i="8" s="1"/>
  <c r="S54" i="10"/>
  <c r="S54" i="12"/>
  <c r="F15" i="50"/>
  <c r="AB14" i="1"/>
  <c r="AB23" i="1"/>
  <c r="AB44" i="1"/>
  <c r="AB54" i="1" s="1"/>
  <c r="N26" i="8"/>
  <c r="AB13" i="1"/>
  <c r="AB15" i="1"/>
  <c r="AB22" i="1"/>
  <c r="AB24" i="1"/>
  <c r="N26" i="5"/>
  <c r="N26" i="7"/>
  <c r="B12" i="50"/>
  <c r="H12" i="50" s="1"/>
  <c r="AB11" i="10"/>
  <c r="K17" i="10"/>
  <c r="B14" i="50"/>
  <c r="H14" i="50" s="1"/>
  <c r="K17" i="12"/>
  <c r="AB11" i="12"/>
  <c r="AB16" i="1"/>
  <c r="AB21" i="1"/>
  <c r="AB25" i="1"/>
  <c r="AB40" i="1"/>
  <c r="N26" i="6"/>
  <c r="N26" i="10"/>
  <c r="B9" i="50"/>
  <c r="H9" i="50" s="1"/>
  <c r="K17" i="7"/>
  <c r="AB11" i="7"/>
  <c r="B7" i="50"/>
  <c r="H7" i="50" s="1"/>
  <c r="K17" i="5"/>
  <c r="AB11" i="5"/>
  <c r="B11" i="50"/>
  <c r="H11" i="50" s="1"/>
  <c r="K17" i="9"/>
  <c r="AB11" i="9"/>
  <c r="B13" i="50"/>
  <c r="H13" i="50" s="1"/>
  <c r="K17" i="11"/>
  <c r="AB11" i="11"/>
  <c r="F18" i="9"/>
  <c r="F18" i="6"/>
  <c r="F18" i="8"/>
  <c r="F18" i="7"/>
  <c r="F18" i="10"/>
  <c r="G61" i="1"/>
  <c r="K61" i="1"/>
  <c r="I61" i="1"/>
  <c r="L54" i="1"/>
  <c r="L62" i="1"/>
  <c r="F61" i="1"/>
  <c r="H61" i="1"/>
  <c r="J61" i="1"/>
  <c r="AB8" i="1"/>
  <c r="K10" i="1"/>
  <c r="S17" i="1"/>
  <c r="AB20" i="1"/>
  <c r="AB41" i="1" s="1"/>
  <c r="O336" i="60" l="1"/>
  <c r="H11" i="61"/>
  <c r="H42" i="61" s="1"/>
  <c r="I11" i="61"/>
  <c r="O325" i="60"/>
  <c r="I20" i="61" s="1"/>
  <c r="D16" i="58"/>
  <c r="I7" i="58"/>
  <c r="F18" i="11"/>
  <c r="N26" i="12"/>
  <c r="N26" i="11"/>
  <c r="N26" i="9"/>
  <c r="F18" i="12"/>
  <c r="F18" i="5"/>
  <c r="S54" i="1"/>
  <c r="K17" i="1"/>
  <c r="B6" i="50"/>
  <c r="L61" i="1"/>
  <c r="L63" i="1" s="1"/>
  <c r="L65" i="1" s="1"/>
  <c r="O26" i="1"/>
  <c r="H10" i="1"/>
  <c r="AB11" i="1" s="1"/>
  <c r="I42" i="61" l="1"/>
  <c r="I16" i="58"/>
  <c r="F18" i="1"/>
  <c r="H6" i="50"/>
  <c r="H15" i="50" s="1"/>
  <c r="B15" i="50"/>
  <c r="N26" i="1"/>
</calcChain>
</file>

<file path=xl/comments1.xml><?xml version="1.0" encoding="utf-8"?>
<comments xmlns="http://schemas.openxmlformats.org/spreadsheetml/2006/main">
  <authors>
    <author>..</author>
  </authors>
  <commentList>
    <comment ref="O331" authorId="0">
      <text>
        <r>
          <rPr>
            <b/>
            <sz val="9"/>
            <color indexed="81"/>
            <rFont val="Tahoma"/>
            <family val="2"/>
          </rPr>
          <t>..:</t>
        </r>
        <r>
          <rPr>
            <sz val="9"/>
            <color indexed="81"/>
            <rFont val="Tahoma"/>
            <family val="2"/>
          </rPr>
          <t xml:space="preserve">
Expenditures Per Tenure/Tenure Track Faculty FTE</t>
        </r>
      </text>
    </comment>
  </commentList>
</comments>
</file>

<file path=xl/comments2.xml><?xml version="1.0" encoding="utf-8"?>
<comments xmlns="http://schemas.openxmlformats.org/spreadsheetml/2006/main">
  <authors>
    <author>..</author>
  </authors>
  <commentList>
    <comment ref="O43" authorId="0">
      <text>
        <r>
          <rPr>
            <b/>
            <sz val="9"/>
            <color indexed="81"/>
            <rFont val="Tahoma"/>
            <family val="2"/>
          </rPr>
          <t>..:</t>
        </r>
        <r>
          <rPr>
            <sz val="9"/>
            <color indexed="81"/>
            <rFont val="Tahoma"/>
            <family val="2"/>
          </rPr>
          <t xml:space="preserve">
Expenditures Per Tenure/Tenure Track Faculty FTE</t>
        </r>
      </text>
    </comment>
  </commentList>
</comments>
</file>

<file path=xl/comments3.xml><?xml version="1.0" encoding="utf-8"?>
<comments xmlns="http://schemas.openxmlformats.org/spreadsheetml/2006/main">
  <authors>
    <author>..</author>
  </authors>
  <commentList>
    <comment ref="O43" authorId="0">
      <text>
        <r>
          <rPr>
            <b/>
            <sz val="9"/>
            <color indexed="81"/>
            <rFont val="Tahoma"/>
            <family val="2"/>
          </rPr>
          <t>..:</t>
        </r>
        <r>
          <rPr>
            <sz val="9"/>
            <color indexed="81"/>
            <rFont val="Tahoma"/>
            <family val="2"/>
          </rPr>
          <t xml:space="preserve">
Expenditures Per Tenure/Tenure Track Faculty FTE</t>
        </r>
      </text>
    </comment>
  </commentList>
</comments>
</file>

<file path=xl/comments4.xml><?xml version="1.0" encoding="utf-8"?>
<comments xmlns="http://schemas.openxmlformats.org/spreadsheetml/2006/main">
  <authors>
    <author>..</author>
  </authors>
  <commentList>
    <comment ref="O43" authorId="0">
      <text>
        <r>
          <rPr>
            <b/>
            <sz val="9"/>
            <color indexed="81"/>
            <rFont val="Tahoma"/>
            <family val="2"/>
          </rPr>
          <t>..:</t>
        </r>
        <r>
          <rPr>
            <sz val="9"/>
            <color indexed="81"/>
            <rFont val="Tahoma"/>
            <family val="2"/>
          </rPr>
          <t xml:space="preserve">
Expenditures Per Tenure/Tenure Track Faculty FTE</t>
        </r>
      </text>
    </comment>
  </commentList>
</comments>
</file>

<file path=xl/comments5.xml><?xml version="1.0" encoding="utf-8"?>
<comments xmlns="http://schemas.openxmlformats.org/spreadsheetml/2006/main">
  <authors>
    <author>..</author>
  </authors>
  <commentList>
    <comment ref="O43" authorId="0">
      <text>
        <r>
          <rPr>
            <b/>
            <sz val="9"/>
            <color indexed="81"/>
            <rFont val="Tahoma"/>
            <family val="2"/>
          </rPr>
          <t>..:</t>
        </r>
        <r>
          <rPr>
            <sz val="9"/>
            <color indexed="81"/>
            <rFont val="Tahoma"/>
            <family val="2"/>
          </rPr>
          <t xml:space="preserve">
Expenditures Per Tenure/Tenure Track Faculty FTE</t>
        </r>
      </text>
    </comment>
  </commentList>
</comments>
</file>

<file path=xl/comments6.xml><?xml version="1.0" encoding="utf-8"?>
<comments xmlns="http://schemas.openxmlformats.org/spreadsheetml/2006/main">
  <authors>
    <author>..</author>
  </authors>
  <commentList>
    <comment ref="O43" authorId="0">
      <text>
        <r>
          <rPr>
            <b/>
            <sz val="9"/>
            <color indexed="81"/>
            <rFont val="Tahoma"/>
            <family val="2"/>
          </rPr>
          <t>..:</t>
        </r>
        <r>
          <rPr>
            <sz val="9"/>
            <color indexed="81"/>
            <rFont val="Tahoma"/>
            <family val="2"/>
          </rPr>
          <t xml:space="preserve">
Expenditures Per Tenure/Tenure Track Faculty FTE</t>
        </r>
      </text>
    </comment>
  </commentList>
</comments>
</file>

<file path=xl/comments7.xml><?xml version="1.0" encoding="utf-8"?>
<comments xmlns="http://schemas.openxmlformats.org/spreadsheetml/2006/main">
  <authors>
    <author>..</author>
  </authors>
  <commentList>
    <comment ref="O43" authorId="0">
      <text>
        <r>
          <rPr>
            <b/>
            <sz val="9"/>
            <color indexed="81"/>
            <rFont val="Tahoma"/>
            <family val="2"/>
          </rPr>
          <t>..:</t>
        </r>
        <r>
          <rPr>
            <sz val="9"/>
            <color indexed="81"/>
            <rFont val="Tahoma"/>
            <family val="2"/>
          </rPr>
          <t xml:space="preserve">
Expenditures Per Tenure/Tenure Track Faculty FTE</t>
        </r>
      </text>
    </comment>
  </commentList>
</comments>
</file>

<file path=xl/comments8.xml><?xml version="1.0" encoding="utf-8"?>
<comments xmlns="http://schemas.openxmlformats.org/spreadsheetml/2006/main">
  <authors>
    <author>..</author>
  </authors>
  <commentList>
    <comment ref="O43" authorId="0">
      <text>
        <r>
          <rPr>
            <b/>
            <sz val="9"/>
            <color indexed="81"/>
            <rFont val="Tahoma"/>
            <family val="2"/>
          </rPr>
          <t>..:</t>
        </r>
        <r>
          <rPr>
            <sz val="9"/>
            <color indexed="81"/>
            <rFont val="Tahoma"/>
            <family val="2"/>
          </rPr>
          <t xml:space="preserve">
Expenditures Per Tenure/Tenure Track Faculty FTE</t>
        </r>
      </text>
    </comment>
  </commentList>
</comments>
</file>

<file path=xl/comments9.xml><?xml version="1.0" encoding="utf-8"?>
<comments xmlns="http://schemas.openxmlformats.org/spreadsheetml/2006/main">
  <authors>
    <author>..</author>
  </authors>
  <commentList>
    <comment ref="O43" authorId="0">
      <text>
        <r>
          <rPr>
            <b/>
            <sz val="9"/>
            <color indexed="81"/>
            <rFont val="Tahoma"/>
            <family val="2"/>
          </rPr>
          <t>..:</t>
        </r>
        <r>
          <rPr>
            <sz val="9"/>
            <color indexed="81"/>
            <rFont val="Tahoma"/>
            <family val="2"/>
          </rPr>
          <t xml:space="preserve">
Expenditures Per Tenure/Tenure Track Faculty FTE</t>
        </r>
      </text>
    </comment>
  </commentList>
</comments>
</file>

<file path=xl/comments10.xml><?xml version="1.0" encoding="utf-8"?>
<comments xmlns="http://schemas.openxmlformats.org/spreadsheetml/2006/main">
  <authors>
    <author>..</author>
  </authors>
  <commentList>
    <comment ref="O43" authorId="0">
      <text>
        <r>
          <rPr>
            <b/>
            <sz val="9"/>
            <color indexed="81"/>
            <rFont val="Tahoma"/>
            <family val="2"/>
          </rPr>
          <t>..:</t>
        </r>
        <r>
          <rPr>
            <sz val="9"/>
            <color indexed="81"/>
            <rFont val="Tahoma"/>
            <family val="2"/>
          </rPr>
          <t xml:space="preserve">
Expenditures Per Tenure/Tenure Track Faculty FTE</t>
        </r>
      </text>
    </comment>
  </commentList>
</comments>
</file>

<file path=xl/comments11.xml><?xml version="1.0" encoding="utf-8"?>
<comments xmlns="http://schemas.openxmlformats.org/spreadsheetml/2006/main">
  <authors>
    <author>..</author>
  </authors>
  <commentList>
    <comment ref="G8" authorId="0">
      <text>
        <r>
          <rPr>
            <b/>
            <sz val="8"/>
            <color indexed="81"/>
            <rFont val="Tahoma"/>
            <family val="2"/>
          </rPr>
          <t>..:</t>
        </r>
        <r>
          <rPr>
            <sz val="8"/>
            <color indexed="81"/>
            <rFont val="Tahoma"/>
            <family val="2"/>
          </rPr>
          <t xml:space="preserve">
FY 2011 is the same.</t>
        </r>
      </text>
    </comment>
    <comment ref="H8" authorId="0">
      <text>
        <r>
          <rPr>
            <b/>
            <sz val="8"/>
            <color indexed="81"/>
            <rFont val="Tahoma"/>
            <family val="2"/>
          </rPr>
          <t>..:</t>
        </r>
        <r>
          <rPr>
            <sz val="8"/>
            <color indexed="81"/>
            <rFont val="Tahoma"/>
            <family val="2"/>
          </rPr>
          <t xml:space="preserve">
FY 2011 is the same.</t>
        </r>
      </text>
    </comment>
    <comment ref="I8" authorId="0">
      <text>
        <r>
          <rPr>
            <b/>
            <sz val="8"/>
            <color indexed="81"/>
            <rFont val="Tahoma"/>
            <family val="2"/>
          </rPr>
          <t>..:</t>
        </r>
        <r>
          <rPr>
            <sz val="8"/>
            <color indexed="81"/>
            <rFont val="Tahoma"/>
            <family val="2"/>
          </rPr>
          <t xml:space="preserve">
Same for FY 2009 &amp; FY 2010.</t>
        </r>
      </text>
    </comment>
  </commentList>
</comments>
</file>

<file path=xl/comments12.xml><?xml version="1.0" encoding="utf-8"?>
<comments xmlns="http://schemas.openxmlformats.org/spreadsheetml/2006/main">
  <authors>
    <author>..</author>
  </authors>
  <commentList>
    <comment ref="O43" authorId="0">
      <text>
        <r>
          <rPr>
            <b/>
            <sz val="9"/>
            <color indexed="81"/>
            <rFont val="Tahoma"/>
            <family val="2"/>
          </rPr>
          <t>..:</t>
        </r>
        <r>
          <rPr>
            <sz val="9"/>
            <color indexed="81"/>
            <rFont val="Tahoma"/>
            <family val="2"/>
          </rPr>
          <t xml:space="preserve">
Expenditures Per Tenure/Tenure Track Faculty FTE</t>
        </r>
      </text>
    </comment>
  </commentList>
</comments>
</file>

<file path=xl/sharedStrings.xml><?xml version="1.0" encoding="utf-8"?>
<sst xmlns="http://schemas.openxmlformats.org/spreadsheetml/2006/main" count="1582" uniqueCount="708">
  <si>
    <t>Zoom % should be at 75%.</t>
  </si>
  <si>
    <t>FY 2010</t>
  </si>
  <si>
    <t>Summary of R &amp; D Expenditures</t>
  </si>
  <si>
    <t>Overall Total</t>
  </si>
  <si>
    <t>Defined For Survey</t>
  </si>
  <si>
    <t>R &amp; D Expenses as defined for the Research Expenditure Survey</t>
  </si>
  <si>
    <t>Difference</t>
  </si>
  <si>
    <r>
      <t xml:space="preserve">R &amp; D Expenses </t>
    </r>
    <r>
      <rPr>
        <b/>
        <sz val="10"/>
        <rFont val="Arial"/>
        <family val="2"/>
      </rPr>
      <t>not</t>
    </r>
    <r>
      <rPr>
        <sz val="10"/>
        <rFont val="Arial"/>
        <family val="2"/>
      </rPr>
      <t xml:space="preserve"> meeting the narrow definition of R &amp; D used in the Research Expenditures Survey</t>
    </r>
  </si>
  <si>
    <t>Total Expenses for R &amp; D as reported on the Statement of Revenues, Expenses and Changes in Net Assets</t>
  </si>
  <si>
    <t>Other Research-related Equipment Expenditures (noncurrent fund expenditures, etc. - do not include R &amp; D plant expenses or construction)</t>
  </si>
  <si>
    <t>Indirect Costs associated with Expenses for R &amp; D as defined for this survey</t>
  </si>
  <si>
    <t>Capital Outlay for research equipment (do not include R &amp; D plant expenses or construction)</t>
  </si>
  <si>
    <t>Expenditures for conduct of R &amp; D made by institution's research foundation or 501© corporation on behalf of the institution and not report in institution AFR, including indirect costs not reported above</t>
  </si>
  <si>
    <t>Pass-throughs from Texas Engineering Experiment Station not reported in R &amp; D Expenditures as defined for the Research Expenditure Survey</t>
  </si>
  <si>
    <t>Total R &amp; D Expenditures</t>
  </si>
  <si>
    <t>R &amp; D Expenditures By Funding Source</t>
  </si>
  <si>
    <t>Federal</t>
  </si>
  <si>
    <t>State Appropriations</t>
  </si>
  <si>
    <t>State Contracts/Grants</t>
  </si>
  <si>
    <t>Institution Resources</t>
  </si>
  <si>
    <t>Private                  For-Profit</t>
  </si>
  <si>
    <t>Private                     Non-Profit</t>
  </si>
  <si>
    <t>Total</t>
  </si>
  <si>
    <t>Agricultural Sciences</t>
  </si>
  <si>
    <t>Biological and Other Life Sciences</t>
  </si>
  <si>
    <t>Computer Science</t>
  </si>
  <si>
    <t>Engineering</t>
  </si>
  <si>
    <t>Environmental Sciences</t>
  </si>
  <si>
    <t>Mathematical Sciences</t>
  </si>
  <si>
    <t>Medical Sciences</t>
  </si>
  <si>
    <t>Physical Sciences</t>
  </si>
  <si>
    <t>Psychology</t>
  </si>
  <si>
    <t>Social Sciences</t>
  </si>
  <si>
    <t>Other Sciences not classified above</t>
  </si>
  <si>
    <t>Arts and Humanities</t>
  </si>
  <si>
    <t>Business Administration</t>
  </si>
  <si>
    <t>Education</t>
  </si>
  <si>
    <t>Law</t>
  </si>
  <si>
    <t>Field of Study - Future Use 1</t>
  </si>
  <si>
    <t>Field of Study - Future Use 2</t>
  </si>
  <si>
    <t>Field of Study - Future Use 3</t>
  </si>
  <si>
    <t>Field of Study - Future Use 4</t>
  </si>
  <si>
    <t>Field of Study - Future Use 5</t>
  </si>
  <si>
    <t>Other Non-Science Activities</t>
  </si>
  <si>
    <t>Total R &amp; D Expenditures By Funding Source</t>
  </si>
  <si>
    <t>R &amp; D Expenditures - Select Areas of Special Interest</t>
  </si>
  <si>
    <t>Cancer Research</t>
  </si>
  <si>
    <t>Total R &amp; D Expenditures - Select Areas of Special Interest</t>
  </si>
  <si>
    <t xml:space="preserve"> </t>
  </si>
  <si>
    <t>The University of Texas at Arlington</t>
  </si>
  <si>
    <t>University Institutions:</t>
  </si>
  <si>
    <t>F20</t>
  </si>
  <si>
    <t>F23</t>
  </si>
  <si>
    <t>F24</t>
  </si>
  <si>
    <t>F25</t>
  </si>
  <si>
    <t>F31</t>
  </si>
  <si>
    <t>F34</t>
  </si>
  <si>
    <t>F35</t>
  </si>
  <si>
    <t>F36</t>
  </si>
  <si>
    <t>F37</t>
  </si>
  <si>
    <t>F38</t>
  </si>
  <si>
    <t>F39</t>
  </si>
  <si>
    <t>F44</t>
  </si>
  <si>
    <t>F45</t>
  </si>
  <si>
    <t>F46</t>
  </si>
  <si>
    <t>F47</t>
  </si>
  <si>
    <t>F48</t>
  </si>
  <si>
    <t>F49</t>
  </si>
  <si>
    <t>F50</t>
  </si>
  <si>
    <t>F51</t>
  </si>
  <si>
    <t>F52</t>
  </si>
  <si>
    <t>F53</t>
  </si>
  <si>
    <t>G20</t>
  </si>
  <si>
    <t>G23</t>
  </si>
  <si>
    <t>G24</t>
  </si>
  <si>
    <t>G25</t>
  </si>
  <si>
    <t>G31</t>
  </si>
  <si>
    <t>G34</t>
  </si>
  <si>
    <t>G35</t>
  </si>
  <si>
    <t>G36</t>
  </si>
  <si>
    <t>G37</t>
  </si>
  <si>
    <t>G38</t>
  </si>
  <si>
    <t>G39</t>
  </si>
  <si>
    <t>G44</t>
  </si>
  <si>
    <t>G45</t>
  </si>
  <si>
    <t>G46</t>
  </si>
  <si>
    <t>G47</t>
  </si>
  <si>
    <t>G48</t>
  </si>
  <si>
    <t>G49</t>
  </si>
  <si>
    <t>G50</t>
  </si>
  <si>
    <t>G51</t>
  </si>
  <si>
    <t>G52</t>
  </si>
  <si>
    <t>G53</t>
  </si>
  <si>
    <t>H20</t>
  </si>
  <si>
    <t>H23</t>
  </si>
  <si>
    <t>H24</t>
  </si>
  <si>
    <t>H25</t>
  </si>
  <si>
    <t>H31</t>
  </si>
  <si>
    <t>H34</t>
  </si>
  <si>
    <t>H35</t>
  </si>
  <si>
    <t>H36</t>
  </si>
  <si>
    <t>H37</t>
  </si>
  <si>
    <t>H38</t>
  </si>
  <si>
    <t>H39</t>
  </si>
  <si>
    <t>H44</t>
  </si>
  <si>
    <t>H45</t>
  </si>
  <si>
    <t>H46</t>
  </si>
  <si>
    <t>H47</t>
  </si>
  <si>
    <t>H48</t>
  </si>
  <si>
    <t>H49</t>
  </si>
  <si>
    <t>H50</t>
  </si>
  <si>
    <t>H51</t>
  </si>
  <si>
    <t>H52</t>
  </si>
  <si>
    <t>H53</t>
  </si>
  <si>
    <t>I20</t>
  </si>
  <si>
    <t>I23</t>
  </si>
  <si>
    <t>I24</t>
  </si>
  <si>
    <t>I25</t>
  </si>
  <si>
    <t>I31</t>
  </si>
  <si>
    <t>I34</t>
  </si>
  <si>
    <t>I35</t>
  </si>
  <si>
    <t>I36</t>
  </si>
  <si>
    <t>I37</t>
  </si>
  <si>
    <t>I38</t>
  </si>
  <si>
    <t>I39</t>
  </si>
  <si>
    <t>I44</t>
  </si>
  <si>
    <t>I45</t>
  </si>
  <si>
    <t>I46</t>
  </si>
  <si>
    <t>I47</t>
  </si>
  <si>
    <t>I48</t>
  </si>
  <si>
    <t>I49</t>
  </si>
  <si>
    <t>I50</t>
  </si>
  <si>
    <t>I51</t>
  </si>
  <si>
    <t>I52</t>
  </si>
  <si>
    <t>I53</t>
  </si>
  <si>
    <t>J20</t>
  </si>
  <si>
    <t>J23</t>
  </si>
  <si>
    <t>J24</t>
  </si>
  <si>
    <t>J25</t>
  </si>
  <si>
    <t>J31</t>
  </si>
  <si>
    <t>J34</t>
  </si>
  <si>
    <t>J35</t>
  </si>
  <si>
    <t>J36</t>
  </si>
  <si>
    <t>J37</t>
  </si>
  <si>
    <t>J38</t>
  </si>
  <si>
    <t>J39</t>
  </si>
  <si>
    <t>J44</t>
  </si>
  <si>
    <t>J45</t>
  </si>
  <si>
    <t>J46</t>
  </si>
  <si>
    <t>J47</t>
  </si>
  <si>
    <t>J48</t>
  </si>
  <si>
    <t>J49</t>
  </si>
  <si>
    <t>J50</t>
  </si>
  <si>
    <t>J51</t>
  </si>
  <si>
    <t>J52</t>
  </si>
  <si>
    <t>J53</t>
  </si>
  <si>
    <t>K12</t>
  </si>
  <si>
    <t>K20</t>
  </si>
  <si>
    <t>K23</t>
  </si>
  <si>
    <t>K24</t>
  </si>
  <si>
    <t>K25</t>
  </si>
  <si>
    <t>K31</t>
  </si>
  <si>
    <t>K34</t>
  </si>
  <si>
    <t>K35</t>
  </si>
  <si>
    <t>K36</t>
  </si>
  <si>
    <t>K37</t>
  </si>
  <si>
    <t>K38</t>
  </si>
  <si>
    <t>K39</t>
  </si>
  <si>
    <t>K44</t>
  </si>
  <si>
    <t>K45</t>
  </si>
  <si>
    <t>K46</t>
  </si>
  <si>
    <t>K47</t>
  </si>
  <si>
    <t>K48</t>
  </si>
  <si>
    <t>K49</t>
  </si>
  <si>
    <t>K50</t>
  </si>
  <si>
    <t>K51</t>
  </si>
  <si>
    <t>K52</t>
  </si>
  <si>
    <t>K53</t>
  </si>
  <si>
    <t>L13</t>
  </si>
  <si>
    <t>L14</t>
  </si>
  <si>
    <t>ARL</t>
  </si>
  <si>
    <t>The University of Texas at Austin</t>
  </si>
  <si>
    <t>AUS</t>
  </si>
  <si>
    <t>The University of Texas at Dallas</t>
  </si>
  <si>
    <t>DAL</t>
  </si>
  <si>
    <t>The University of Texas at El Paso</t>
  </si>
  <si>
    <t>E-P</t>
  </si>
  <si>
    <t>The University of Texas - Pan American</t>
  </si>
  <si>
    <t>P-A</t>
  </si>
  <si>
    <t>The University of Texas at Brownsville</t>
  </si>
  <si>
    <t>BRW</t>
  </si>
  <si>
    <t>The University of Texas of the Permian Basin</t>
  </si>
  <si>
    <t>P-B</t>
  </si>
  <si>
    <t>The University of Texas at San Antonio</t>
  </si>
  <si>
    <t>S-A</t>
  </si>
  <si>
    <t>The University of Texas at Tyler</t>
  </si>
  <si>
    <t>TYL</t>
  </si>
  <si>
    <t>Texas A&amp;M University</t>
  </si>
  <si>
    <t>TAMU</t>
  </si>
  <si>
    <t>Texas A&amp;M University at Galveston</t>
  </si>
  <si>
    <t>TAMUG</t>
  </si>
  <si>
    <t>Prairie View A &amp; M University</t>
  </si>
  <si>
    <t>PVAMU</t>
  </si>
  <si>
    <t>Tarleton State University</t>
  </si>
  <si>
    <t>TARLST</t>
  </si>
  <si>
    <t>Texas A&amp;M University - Corpus Christi</t>
  </si>
  <si>
    <t>TAMUCC</t>
  </si>
  <si>
    <t>Texas A&amp;M University - Kingsville</t>
  </si>
  <si>
    <t>TAMUK</t>
  </si>
  <si>
    <t>Texas A&amp;M International University</t>
  </si>
  <si>
    <t>TAMIU</t>
  </si>
  <si>
    <t>West Texas A&amp;M University</t>
  </si>
  <si>
    <t>WTAMU</t>
  </si>
  <si>
    <t>Texas A&amp;M University - Commerce</t>
  </si>
  <si>
    <t>TAMUC</t>
  </si>
  <si>
    <t>Texas A&amp;M University -Texarkana</t>
  </si>
  <si>
    <t>TAMUT</t>
  </si>
  <si>
    <t>Texas A&amp;M University - Central Texas</t>
  </si>
  <si>
    <t>TAMUCT</t>
  </si>
  <si>
    <t>Texas A&amp;M University - San Antonio</t>
  </si>
  <si>
    <t>TAMUSA</t>
  </si>
  <si>
    <t>University of Houston</t>
  </si>
  <si>
    <t>UH</t>
  </si>
  <si>
    <t>University of Houston - Clear Lake</t>
  </si>
  <si>
    <t>UHCL</t>
  </si>
  <si>
    <t>UHD</t>
  </si>
  <si>
    <t>UHV</t>
  </si>
  <si>
    <t xml:space="preserve">Lamar University </t>
  </si>
  <si>
    <t>LU</t>
  </si>
  <si>
    <t>Sam Houston State University</t>
  </si>
  <si>
    <t>SHSU</t>
  </si>
  <si>
    <t>Texas State University - San Marcos</t>
  </si>
  <si>
    <t>TXST</t>
  </si>
  <si>
    <t>Sul Ross State University</t>
  </si>
  <si>
    <t>SRSU</t>
  </si>
  <si>
    <t>Texas Tech University</t>
  </si>
  <si>
    <t>TTU</t>
  </si>
  <si>
    <t>Angelo State University</t>
  </si>
  <si>
    <t>ASU</t>
  </si>
  <si>
    <t>University of North Texas</t>
  </si>
  <si>
    <t>UNT</t>
  </si>
  <si>
    <t>University of North Texas at Dallas</t>
  </si>
  <si>
    <t>UNTD</t>
  </si>
  <si>
    <t>Midwestern State University</t>
  </si>
  <si>
    <t>MidWST</t>
  </si>
  <si>
    <t>Stephen F. Austin State University</t>
  </si>
  <si>
    <t>SFA</t>
  </si>
  <si>
    <t>Texas Southern University</t>
  </si>
  <si>
    <t>TSU</t>
  </si>
  <si>
    <t>Texas Woman's University</t>
  </si>
  <si>
    <t>TWU</t>
  </si>
  <si>
    <t>Lamar Institute of Technology</t>
  </si>
  <si>
    <t>LIT</t>
  </si>
  <si>
    <t>Lamar State College - Orange</t>
  </si>
  <si>
    <t>LSCO</t>
  </si>
  <si>
    <t>Lamar State College - Port Arthur</t>
  </si>
  <si>
    <t>LSCPA</t>
  </si>
  <si>
    <t>Texas State Technical College - Harlingen</t>
  </si>
  <si>
    <t>TSTCH</t>
  </si>
  <si>
    <t>Texas State Technical College – West Texas</t>
  </si>
  <si>
    <t>TSTCWTX</t>
  </si>
  <si>
    <t>Texas State Technical College - Marshall</t>
  </si>
  <si>
    <t>TSTCM</t>
  </si>
  <si>
    <t>Texas State Technical College - Waco</t>
  </si>
  <si>
    <t>TSTCW</t>
  </si>
  <si>
    <t>For the Year Ended August 31, 2010</t>
  </si>
  <si>
    <t>Date Input Area for Complete Report</t>
  </si>
  <si>
    <t>Checksum</t>
  </si>
  <si>
    <t>FICE</t>
  </si>
  <si>
    <t>K9</t>
  </si>
  <si>
    <t>L8</t>
  </si>
  <si>
    <t>L15</t>
  </si>
  <si>
    <t>L16</t>
  </si>
  <si>
    <t>F21</t>
  </si>
  <si>
    <t>G21</t>
  </si>
  <si>
    <t>H21</t>
  </si>
  <si>
    <t>I21</t>
  </si>
  <si>
    <t>J21</t>
  </si>
  <si>
    <t>K21</t>
  </si>
  <si>
    <t>F22</t>
  </si>
  <si>
    <t>G22</t>
  </si>
  <si>
    <t>H22</t>
  </si>
  <si>
    <t>I22</t>
  </si>
  <si>
    <t>J22</t>
  </si>
  <si>
    <t>K22</t>
  </si>
  <si>
    <t>F26</t>
  </si>
  <si>
    <t>G26</t>
  </si>
  <si>
    <t>H26</t>
  </si>
  <si>
    <t>I26</t>
  </si>
  <si>
    <t>J26</t>
  </si>
  <si>
    <t>K26</t>
  </si>
  <si>
    <t>F27</t>
  </si>
  <si>
    <t>G27</t>
  </si>
  <si>
    <t>H27</t>
  </si>
  <si>
    <t>I27</t>
  </si>
  <si>
    <t>J27</t>
  </si>
  <si>
    <t>K27</t>
  </si>
  <si>
    <t>F28</t>
  </si>
  <si>
    <t>G28</t>
  </si>
  <si>
    <t>H28</t>
  </si>
  <si>
    <t>I28</t>
  </si>
  <si>
    <t>J28</t>
  </si>
  <si>
    <t>K28</t>
  </si>
  <si>
    <t>F29</t>
  </si>
  <si>
    <t>G29</t>
  </si>
  <si>
    <t>H29</t>
  </si>
  <si>
    <t>I29</t>
  </si>
  <si>
    <t>J29</t>
  </si>
  <si>
    <t>K29</t>
  </si>
  <si>
    <t>F30</t>
  </si>
  <si>
    <t>G30</t>
  </si>
  <si>
    <t>H30</t>
  </si>
  <si>
    <t>I30</t>
  </si>
  <si>
    <t>J30</t>
  </si>
  <si>
    <t>K30</t>
  </si>
  <si>
    <t>F32</t>
  </si>
  <si>
    <t>G32</t>
  </si>
  <si>
    <t>H32</t>
  </si>
  <si>
    <t>I32</t>
  </si>
  <si>
    <t>J32</t>
  </si>
  <si>
    <t>K32</t>
  </si>
  <si>
    <t>F33</t>
  </si>
  <si>
    <t>G33</t>
  </si>
  <si>
    <t>H33</t>
  </si>
  <si>
    <t>I33</t>
  </si>
  <si>
    <t>J33</t>
  </si>
  <si>
    <t>K33</t>
  </si>
  <si>
    <t>F40</t>
  </si>
  <si>
    <t>G40</t>
  </si>
  <si>
    <t>H40</t>
  </si>
  <si>
    <t>I40</t>
  </si>
  <si>
    <t>J40</t>
  </si>
  <si>
    <t>K40</t>
  </si>
  <si>
    <t>Statements of Sources and Uses</t>
  </si>
  <si>
    <t>Universities, Health-Related Institutions, Lamar State Colleges, and TSTC</t>
  </si>
  <si>
    <t>File and Tab Naming Conventions/ Authorized Amounts</t>
  </si>
  <si>
    <t>New Additions</t>
  </si>
  <si>
    <t>Institution Name</t>
  </si>
  <si>
    <t>Assigned Excel File</t>
  </si>
  <si>
    <t>Texas Competitive Knowledge Fund Sec 55  III-251</t>
  </si>
  <si>
    <t>Research Development Funds Sec 55  III-250</t>
  </si>
  <si>
    <t>H.E.A.F.</t>
  </si>
  <si>
    <t>Name on Returned File</t>
  </si>
  <si>
    <t>Higher Education Assistance Funds - As Adjusted</t>
  </si>
  <si>
    <t>FICE Code</t>
  </si>
  <si>
    <t>30 - Reserved for Summary</t>
  </si>
  <si>
    <t>The University of Texas System</t>
  </si>
  <si>
    <t>UTS</t>
  </si>
  <si>
    <t>S40 - S &amp; U - FY 2010 - UTS.xlsx</t>
  </si>
  <si>
    <t>40 - S &amp; U - FY 2010 - ARL.xlsx</t>
  </si>
  <si>
    <t>003656</t>
  </si>
  <si>
    <t>50 - S &amp; U - FY 2010 - AUS.xlsx</t>
  </si>
  <si>
    <t>003658</t>
  </si>
  <si>
    <t>60 - S &amp; U - FY 2010 - DAL.xlsx</t>
  </si>
  <si>
    <t>009741</t>
  </si>
  <si>
    <t>70 - S &amp; U - FY 2010 - E-P.xlsx</t>
  </si>
  <si>
    <t>003661</t>
  </si>
  <si>
    <t>80 - S &amp; U - FY 2010 - P-A.xlsx</t>
  </si>
  <si>
    <t>003599</t>
  </si>
  <si>
    <t>90 - S &amp; U - FY 2010 - BRW.xlsx</t>
  </si>
  <si>
    <t>030646</t>
  </si>
  <si>
    <t>100 - S &amp; U - FY 2010 - P-B.xlsx</t>
  </si>
  <si>
    <t>009930</t>
  </si>
  <si>
    <t>110 - S &amp; U - FY 2010 - S-A.xlsx</t>
  </si>
  <si>
    <t>010115</t>
  </si>
  <si>
    <t>120 - S &amp; U - FY 2010 - TYL.xlsx</t>
  </si>
  <si>
    <t>011163</t>
  </si>
  <si>
    <t>Texas A&amp;M University System</t>
  </si>
  <si>
    <t>TAMUS</t>
  </si>
  <si>
    <t>S130 - S &amp; U - FY 2010 - TAMUS.xlsx</t>
  </si>
  <si>
    <t>130 - S &amp; U - FY 2010 - TAMU.xlsx</t>
  </si>
  <si>
    <t>003632</t>
  </si>
  <si>
    <t>140 - S &amp; U - FY 2010 - TAMUG.xlsx</t>
  </si>
  <si>
    <t>010298</t>
  </si>
  <si>
    <t>150 - S &amp; U - FY 2010 - PVAMU.xlsx</t>
  </si>
  <si>
    <t>003630</t>
  </si>
  <si>
    <t>160 - S &amp; U - FY 2010 - TARL ST.xlsx</t>
  </si>
  <si>
    <t>003631</t>
  </si>
  <si>
    <t>170 - S &amp; U - FY 2010 - TAMUCC.xlsx</t>
  </si>
  <si>
    <t>011161</t>
  </si>
  <si>
    <t>180 - S &amp; U - FY 2010 - TAMUK.xlsx</t>
  </si>
  <si>
    <t>003639</t>
  </si>
  <si>
    <t>190 - S &amp; U - FY 2010 - TAMIU.xlsx</t>
  </si>
  <si>
    <t>009651</t>
  </si>
  <si>
    <t>200 - S &amp; U - FY 2010 - WTAMU.xlsx</t>
  </si>
  <si>
    <t>003665</t>
  </si>
  <si>
    <t>210 - S &amp; U - FY 2010 - TAMUC.xlsx</t>
  </si>
  <si>
    <t>003565</t>
  </si>
  <si>
    <t>220 - S &amp; U - FY 2010 - TAMUT.xlsx</t>
  </si>
  <si>
    <t>029269</t>
  </si>
  <si>
    <t>223 - S &amp; U - FY 2010 - TAMUCT.xlsx</t>
  </si>
  <si>
    <t>103631</t>
  </si>
  <si>
    <t>226 - S &amp; U - FY 2010 - TAMUSA.xlsx</t>
  </si>
  <si>
    <t>103639</t>
  </si>
  <si>
    <t>Texas AgriLife Research</t>
  </si>
  <si>
    <t>TAR</t>
  </si>
  <si>
    <t>600 - S &amp; U - FY 2010 - TAR.xlsx</t>
  </si>
  <si>
    <t>000556</t>
  </si>
  <si>
    <t>Texas AgriLife Extension Service</t>
  </si>
  <si>
    <t>TAES</t>
  </si>
  <si>
    <t>605 - S &amp; U - FY 2010 - TAES.xlsx</t>
  </si>
  <si>
    <t>000555</t>
  </si>
  <si>
    <t>Texas Engineering Experiment Station</t>
  </si>
  <si>
    <t>TEES1</t>
  </si>
  <si>
    <t>610 - S &amp; U - FY 2010 - TEES1.xlsx</t>
  </si>
  <si>
    <t>000712</t>
  </si>
  <si>
    <t>Texas Engineering Extension Service</t>
  </si>
  <si>
    <t>TEES2</t>
  </si>
  <si>
    <t>615 - S &amp; U - FY 2010 - TEES2.xlsx</t>
  </si>
  <si>
    <t>000716</t>
  </si>
  <si>
    <t>Texas Forest Service</t>
  </si>
  <si>
    <t>TFS</t>
  </si>
  <si>
    <t>620 - S &amp; U - FY 2010 - TFS.xlsx</t>
  </si>
  <si>
    <t>000576</t>
  </si>
  <si>
    <t>Texas Transportation Institute</t>
  </si>
  <si>
    <t>TTI</t>
  </si>
  <si>
    <t>625 - S &amp; U - FY 2010 - TTI.xlsx</t>
  </si>
  <si>
    <t>000727</t>
  </si>
  <si>
    <t>Texas Vet. Medical Diagnostic Laboratory</t>
  </si>
  <si>
    <t>TVMDL</t>
  </si>
  <si>
    <t>630 - S &amp; U - FY 2010 - TVMDL.xlsx</t>
  </si>
  <si>
    <t>000557</t>
  </si>
  <si>
    <t>Texas A&amp;M Research Foundation</t>
  </si>
  <si>
    <t>TAMRF</t>
  </si>
  <si>
    <t>635 - S &amp; U - FY 2010 - TAMRF.xlsx</t>
  </si>
  <si>
    <t>000518</t>
  </si>
  <si>
    <t>University of Houston System</t>
  </si>
  <si>
    <t>S230 - S &amp; U - FY 2010 - UTS.xlsx</t>
  </si>
  <si>
    <t>230 - S &amp; U - FY 2010 - UH.xlsx</t>
  </si>
  <si>
    <t>003652</t>
  </si>
  <si>
    <t>240 - S &amp; U - FY 2010 - UHCL.xlsx</t>
  </si>
  <si>
    <t>011711</t>
  </si>
  <si>
    <t>University of Houston – Downtown</t>
  </si>
  <si>
    <t>250 - S &amp; U - FY 2010 - UHD.xlsx</t>
  </si>
  <si>
    <t>012826</t>
  </si>
  <si>
    <t>University of Houston – Victoria</t>
  </si>
  <si>
    <t>260 - S &amp; U - FY 2010 - UHV.xlsx</t>
  </si>
  <si>
    <t>013231</t>
  </si>
  <si>
    <t>Texas State System</t>
  </si>
  <si>
    <t>TXSTS</t>
  </si>
  <si>
    <t>S270 - S &amp; U - FY 2010 - TXSTS.xlsx</t>
  </si>
  <si>
    <t>270 - S &amp; U - FY 2010 - LU.xlsx</t>
  </si>
  <si>
    <t>003581</t>
  </si>
  <si>
    <t>280 - S &amp; U - FY 2010 - SHSU.xlsx</t>
  </si>
  <si>
    <t>003606</t>
  </si>
  <si>
    <t>290 - S &amp; U - FY 2010 - TXST.xlsx</t>
  </si>
  <si>
    <t>003615</t>
  </si>
  <si>
    <t>300 - S &amp; U - FY 2010 - SRSU.xlsx</t>
  </si>
  <si>
    <t>003625</t>
  </si>
  <si>
    <t>Texas Tech University System</t>
  </si>
  <si>
    <t>TTUS</t>
  </si>
  <si>
    <t>S310 - S &amp; U - FY 2010 - TTUS.xlsx</t>
  </si>
  <si>
    <t>310 - S &amp; U - FY 2010 - TTU.xlsx</t>
  </si>
  <si>
    <t>003644</t>
  </si>
  <si>
    <t>320 - S &amp; U - FY 2010 - ASU.xlsx</t>
  </si>
  <si>
    <t>003541</t>
  </si>
  <si>
    <t>University of North Texas System</t>
  </si>
  <si>
    <t>UNTS</t>
  </si>
  <si>
    <t>S330 - S &amp; U - FY 2010 - UNTS.xlsx</t>
  </si>
  <si>
    <t>330 - S &amp; U - FY 2010 - UNT.xlsx</t>
  </si>
  <si>
    <t>003594</t>
  </si>
  <si>
    <t>333 - S &amp; U - FY 2010 - UNTD.xlsx</t>
  </si>
  <si>
    <t>113594</t>
  </si>
  <si>
    <t>340 - S &amp; U - FY 2010 - MidWST.xlsx</t>
  </si>
  <si>
    <t>003592</t>
  </si>
  <si>
    <t>350 - S &amp; U - FY 2010 - SFA.xlsx</t>
  </si>
  <si>
    <t>003624</t>
  </si>
  <si>
    <t>360 - S &amp; U - FY 2010 - TSU.xlsx</t>
  </si>
  <si>
    <t>003642</t>
  </si>
  <si>
    <t>370 - S &amp; U - FY 2010 - TWU.xlsx</t>
  </si>
  <si>
    <t>003646</t>
  </si>
  <si>
    <t>490 - S &amp; U - FY 2010 - LIT.xlsx</t>
  </si>
  <si>
    <t>036273</t>
  </si>
  <si>
    <t>500 - S &amp; U - FY 2010 - LSCO.xlsx</t>
  </si>
  <si>
    <t>023582</t>
  </si>
  <si>
    <t>510 - S &amp; U - FY 2010 - LSCPA.xlsx</t>
  </si>
  <si>
    <t>023485</t>
  </si>
  <si>
    <t>520 - S &amp; U - FY 2010 - TSTCH.xlsx</t>
  </si>
  <si>
    <t>009225</t>
  </si>
  <si>
    <t>530 - S &amp; U - FY 2010 - TSTCWT.xlsx</t>
  </si>
  <si>
    <t>009932</t>
  </si>
  <si>
    <t>540 - S &amp; U - FY 2010 - TSTCM.xlsx</t>
  </si>
  <si>
    <t>033965</t>
  </si>
  <si>
    <t>550 - S &amp; U - FY 2010 - TSTCW.xlsx</t>
  </si>
  <si>
    <t>003634</t>
  </si>
  <si>
    <t>Health-Related Institutions:</t>
  </si>
  <si>
    <t>380 - Reserved for Summary</t>
  </si>
  <si>
    <t>The University of Texas Southwestern Medical Center at Dallas</t>
  </si>
  <si>
    <t>SWM</t>
  </si>
  <si>
    <t>390 - S &amp; U - FY 2010 - SWM.xlsx</t>
  </si>
  <si>
    <t>000030</t>
  </si>
  <si>
    <t>The University of Texas Medical Branch at Galveston</t>
  </si>
  <si>
    <t>MBG</t>
  </si>
  <si>
    <t>400 - S &amp; U - FY 2010 - MBG.xlsx</t>
  </si>
  <si>
    <t>The University of Texas Health Science Center at Houston</t>
  </si>
  <si>
    <t>HSH</t>
  </si>
  <si>
    <t>410 - S &amp; U - FY 2010 - HSH.xlsx</t>
  </si>
  <si>
    <t>011618</t>
  </si>
  <si>
    <t>The University of Texas Health Science Center at San Antonio</t>
  </si>
  <si>
    <t>HSSA</t>
  </si>
  <si>
    <t>420 - S &amp; U - FY 2010 - HSSA.xlsx</t>
  </si>
  <si>
    <t>000040</t>
  </si>
  <si>
    <t>The University of Texas M.D. Anderson Cancer Center</t>
  </si>
  <si>
    <t>MDA</t>
  </si>
  <si>
    <t>430 - S &amp; U - FY 2010 - MDA.xlsx</t>
  </si>
  <si>
    <t>025554</t>
  </si>
  <si>
    <t>The University of Texas Health Center at Tyler</t>
  </si>
  <si>
    <t>THC</t>
  </si>
  <si>
    <t>440 - S &amp; U - FY 2010 - THC.xlsx</t>
  </si>
  <si>
    <t>000404</t>
  </si>
  <si>
    <t>Texas A&amp;M University System Health Science Center</t>
  </si>
  <si>
    <t>TAMHSC</t>
  </si>
  <si>
    <t>450 - S &amp; U - FY 2010 - TAMHSC.xlsx</t>
  </si>
  <si>
    <t>000089</t>
  </si>
  <si>
    <t>University of North Texas Health Science Center at Fort Worth</t>
  </si>
  <si>
    <t>UNTHSC</t>
  </si>
  <si>
    <t>460 - S &amp; U - FY 2010 - UNTHSC.xlsx</t>
  </si>
  <si>
    <t>000130</t>
  </si>
  <si>
    <t>Texas Tech University Health Sciences Center</t>
  </si>
  <si>
    <t>TTUHSC</t>
  </si>
  <si>
    <t>470 - S &amp; U - FY 2010 - TTUHSC.xlsx</t>
  </si>
  <si>
    <t>000412</t>
  </si>
  <si>
    <t>Tab Name</t>
  </si>
  <si>
    <t>Number</t>
  </si>
  <si>
    <t>S40</t>
  </si>
  <si>
    <t>S130</t>
  </si>
  <si>
    <t>S230</t>
  </si>
  <si>
    <t>S270</t>
  </si>
  <si>
    <t>S310</t>
  </si>
  <si>
    <t>S330</t>
  </si>
  <si>
    <t>Source: FY 2010 Research Expenditure Survey</t>
  </si>
  <si>
    <t>FY 2010 Summary of Research Expenditures</t>
  </si>
  <si>
    <t xml:space="preserve"> December 21, 2011</t>
  </si>
  <si>
    <t>Institution</t>
  </si>
  <si>
    <t>Research Expenditures Per SRECNA</t>
  </si>
  <si>
    <t>R &amp; D Not Meeting the Definition of the Research Exp. Survey</t>
  </si>
  <si>
    <t>Capital Outlay for Research</t>
  </si>
  <si>
    <t>Indirect Costs Associated w/ R &amp; D</t>
  </si>
  <si>
    <t>Institution's Research Foundation Expenditures for R &amp; D</t>
  </si>
  <si>
    <t>Pass Throughts From TX Eng. Exp. Station</t>
  </si>
  <si>
    <t>Total Research Expenditures As Deetermined by Research Survey</t>
  </si>
  <si>
    <t>Summary of All University Institutions</t>
  </si>
  <si>
    <t>Health-Related Institutions</t>
  </si>
  <si>
    <t>GP Final Column</t>
  </si>
  <si>
    <t>Aging</t>
  </si>
  <si>
    <t>Cardiovascular Research</t>
  </si>
  <si>
    <t>Child Health and Human Development</t>
  </si>
  <si>
    <t>Mental Health</t>
  </si>
  <si>
    <t>HRI Special Interest - Future Use 1</t>
  </si>
  <si>
    <t>HRI Special Interest - Future Use 2</t>
  </si>
  <si>
    <t>HRI Special Interest - Future Use 3</t>
  </si>
  <si>
    <t>HRI Special Interest - Future Use 4</t>
  </si>
  <si>
    <t>HRI Special Interest - Future Use 5</t>
  </si>
  <si>
    <t>Checksum may exclude FICE</t>
  </si>
  <si>
    <t>Note:  Copy and past Column E values to S&amp;U Almanac Tab.  Do not send separately.</t>
  </si>
  <si>
    <t>Almanac Order</t>
  </si>
  <si>
    <t>Year</t>
  </si>
  <si>
    <t>Texas A&amp;M HSC</t>
  </si>
  <si>
    <t>Texas Tech HSC</t>
  </si>
  <si>
    <t>U. North Texas HSC</t>
  </si>
  <si>
    <t>UT Galveston Medical Branch</t>
  </si>
  <si>
    <t>UT Health Center Tyler</t>
  </si>
  <si>
    <t>UT Houston Health Science Center</t>
  </si>
  <si>
    <t>UT M. D. Anderson</t>
  </si>
  <si>
    <t>UT San Antonio HSC</t>
  </si>
  <si>
    <t>UT Southwestern Med.</t>
  </si>
  <si>
    <t>9 Ok</t>
  </si>
  <si>
    <t>Note:  Copy and past Columns D,E,F,&amp;G values to S&amp;U Accountability Tab.  Do not send separately.</t>
  </si>
  <si>
    <t>Total Research Expenditures</t>
  </si>
  <si>
    <t xml:space="preserve">State </t>
  </si>
  <si>
    <t>Private</t>
  </si>
  <si>
    <t>Institutional</t>
  </si>
  <si>
    <t>Check</t>
  </si>
  <si>
    <t>FY 2010 Summary of Research Expenditures By Source to Accountability System</t>
  </si>
  <si>
    <t xml:space="preserve"> August 17, 2011</t>
  </si>
  <si>
    <t>FY 10</t>
  </si>
  <si>
    <t>FY 2010 Summary of Research Expenditures Data to Almanac Publication</t>
  </si>
  <si>
    <t>Amounts for Formula Funding</t>
  </si>
  <si>
    <t>STATE-FUNDED SEMESTER CREDIT HOURS BY LEVEL</t>
  </si>
  <si>
    <t>Return to Index</t>
  </si>
  <si>
    <t>For Research</t>
  </si>
  <si>
    <t>Texas Public Health-Related Institutions, FY 2009-10</t>
  </si>
  <si>
    <t>FTSE Used</t>
  </si>
  <si>
    <t>Source:  Janice McIver 11-15-10</t>
  </si>
  <si>
    <t>Fall 299, Spring 2010, Summer 2010</t>
  </si>
  <si>
    <t xml:space="preserve">For S&amp;U </t>
  </si>
  <si>
    <t>HRI IE Keys</t>
  </si>
  <si>
    <r>
      <t>Under-</t>
    </r>
    <r>
      <rPr>
        <u/>
        <sz val="10"/>
        <rFont val="Arial"/>
        <family val="2"/>
      </rPr>
      <t xml:space="preserve">
graduate</t>
    </r>
  </si>
  <si>
    <r>
      <t>Master's</t>
    </r>
    <r>
      <rPr>
        <vertAlign val="superscript"/>
        <sz val="10"/>
        <rFont val="Arial"/>
        <family val="2"/>
      </rPr>
      <t>1</t>
    </r>
  </si>
  <si>
    <t>Doctoral</t>
  </si>
  <si>
    <t>Total SCH</t>
  </si>
  <si>
    <r>
      <t>Professional
&amp; Professional</t>
    </r>
    <r>
      <rPr>
        <u/>
        <sz val="10"/>
        <rFont val="Arial"/>
        <family val="2"/>
      </rPr>
      <t xml:space="preserve">
</t>
    </r>
    <r>
      <rPr>
        <sz val="10"/>
        <rFont val="Arial"/>
        <family val="2"/>
      </rPr>
      <t>Specialty</t>
    </r>
    <r>
      <rPr>
        <u/>
        <sz val="10"/>
        <rFont val="Arial"/>
        <family val="2"/>
      </rPr>
      <t xml:space="preserve">
Headcount</t>
    </r>
  </si>
  <si>
    <r>
      <t>Full-Time
Student</t>
    </r>
    <r>
      <rPr>
        <u/>
        <sz val="10"/>
        <rFont val="Arial"/>
        <family val="2"/>
      </rPr>
      <t xml:space="preserve">
Equivalents</t>
    </r>
    <r>
      <rPr>
        <vertAlign val="superscript"/>
        <sz val="10"/>
        <rFont val="Arial"/>
        <family val="2"/>
      </rPr>
      <t>2</t>
    </r>
  </si>
  <si>
    <t>Rounded</t>
  </si>
  <si>
    <t>FTFE-Annual</t>
  </si>
  <si>
    <t>T/TT Fall Fac FTE teach</t>
  </si>
  <si>
    <t xml:space="preserve">   Grad School of Biomedical Sciences</t>
  </si>
  <si>
    <t xml:space="preserve">   School of Health Professions</t>
  </si>
  <si>
    <t xml:space="preserve">   Southwestern Medical School</t>
  </si>
  <si>
    <t>104952</t>
  </si>
  <si>
    <t xml:space="preserve">   Medical School</t>
  </si>
  <si>
    <t xml:space="preserve">   School of Nursing</t>
  </si>
  <si>
    <t xml:space="preserve">   Dental Branch/Academics</t>
  </si>
  <si>
    <t xml:space="preserve">   Dental School</t>
  </si>
  <si>
    <t xml:space="preserve">   Medical School/Academics</t>
  </si>
  <si>
    <t xml:space="preserve">   School of Biomedical Informatics</t>
  </si>
  <si>
    <t xml:space="preserve">   School of Public Health</t>
  </si>
  <si>
    <t xml:space="preserve">   Dental School/Academics</t>
  </si>
  <si>
    <t xml:space="preserve">   Baylor Col Dentistry-Advanced Educ</t>
  </si>
  <si>
    <t xml:space="preserve">   Baylor Col Dentistry-Dental Hygiene</t>
  </si>
  <si>
    <t xml:space="preserve">   Baylor Col Dentistry-Dental School</t>
  </si>
  <si>
    <t xml:space="preserve">   College of Medicine</t>
  </si>
  <si>
    <t xml:space="preserve">   College of Nursing</t>
  </si>
  <si>
    <t xml:space="preserve">   College of Pharmacy</t>
  </si>
  <si>
    <t xml:space="preserve">   Grad School of Biomedical Sciences </t>
  </si>
  <si>
    <t xml:space="preserve">   School of Rural Public Health</t>
  </si>
  <si>
    <t xml:space="preserve">   Texas Col of Osteopathic Medicine  </t>
  </si>
  <si>
    <t xml:space="preserve">   Texas Col of Osteopathic Medicine/Acad</t>
  </si>
  <si>
    <t xml:space="preserve">   School of Allied Health</t>
  </si>
  <si>
    <t xml:space="preserve">   School of Medicine</t>
  </si>
  <si>
    <t xml:space="preserve">   Paul L. Foster School of Medicine</t>
  </si>
  <si>
    <t xml:space="preserve">   School of Pharmacy</t>
  </si>
  <si>
    <t xml:space="preserve">                                                                          </t>
  </si>
  <si>
    <t>TOTAL</t>
  </si>
  <si>
    <t>445566</t>
  </si>
  <si>
    <r>
      <t>1</t>
    </r>
    <r>
      <rPr>
        <sz val="10"/>
        <rFont val="Arial"/>
        <family val="2"/>
      </rPr>
      <t>Includes post-baccalaureate, master's, AUD, and PharmD.</t>
    </r>
  </si>
  <si>
    <r>
      <t>2</t>
    </r>
    <r>
      <rPr>
        <sz val="10"/>
        <rFont val="Arial"/>
        <family val="2"/>
      </rPr>
      <t>The sum of undergraduate semester credit hours divided by 30, master's semester credit hours divided by 24, doctoral
  semester credit hours divided by 18, and professional and professional specialty headcount enrollments (the larger of
  the fall or summer semester in the fiscal year).</t>
    </r>
  </si>
  <si>
    <t>Notes: Dual degree (FE=2) and inter-institutional students (FE=4), are included; all other inter-institutional, flexible entry,
           and non-state-funded hours are excluded. Source of data is CBM001.</t>
  </si>
  <si>
    <t>ResPercGenRev</t>
  </si>
  <si>
    <t>State Total</t>
  </si>
  <si>
    <t>Pvt. Total</t>
  </si>
  <si>
    <t>Federal &amp; Private</t>
  </si>
  <si>
    <t>ExpendPerFTE</t>
  </si>
  <si>
    <t>To Accountability</t>
  </si>
  <si>
    <t>Sources &amp; Uses</t>
  </si>
  <si>
    <t>T/TT Fall Fac FTE</t>
  </si>
  <si>
    <t>As of Fall xxxxx</t>
  </si>
  <si>
    <t>State Approp.</t>
  </si>
  <si>
    <t>P42</t>
  </si>
  <si>
    <t>Academic Institutions</t>
  </si>
  <si>
    <t>Purpose:  This tab is used for input to the Accountability System</t>
  </si>
  <si>
    <t xml:space="preserve"> November 15, 2012</t>
  </si>
  <si>
    <t>Data to HRI_Research</t>
  </si>
  <si>
    <t xml:space="preserve">FICE </t>
  </si>
  <si>
    <t xml:space="preserve">Code </t>
  </si>
  <si>
    <t>Order Used</t>
  </si>
  <si>
    <t>Institution Point of Contact for Sources &amp; Uses</t>
  </si>
  <si>
    <t>S &amp; U Order</t>
  </si>
  <si>
    <t>Load Year</t>
  </si>
  <si>
    <t>Total of Federal &amp; Private</t>
  </si>
  <si>
    <t>Expenditures Per Tenure/Tenure Track FTE</t>
  </si>
  <si>
    <t>Federal &amp; Private As a % of St. Approp.</t>
  </si>
  <si>
    <t>Name</t>
  </si>
  <si>
    <t>Phone Number</t>
  </si>
  <si>
    <t>Email</t>
  </si>
  <si>
    <t>HRI_Research Columns</t>
  </si>
  <si>
    <t>A</t>
  </si>
  <si>
    <t>B</t>
  </si>
  <si>
    <t>C</t>
  </si>
  <si>
    <t>D</t>
  </si>
  <si>
    <t>E</t>
  </si>
  <si>
    <t>F</t>
  </si>
  <si>
    <t>G</t>
  </si>
  <si>
    <t>H</t>
  </si>
  <si>
    <t>I</t>
  </si>
  <si>
    <t>J</t>
  </si>
  <si>
    <t>K</t>
  </si>
  <si>
    <t>L</t>
  </si>
  <si>
    <t>M</t>
  </si>
  <si>
    <t>HRI_Research Data Labels</t>
  </si>
  <si>
    <t>Load_Year</t>
  </si>
  <si>
    <t>Expenditures</t>
  </si>
  <si>
    <t>TResearch_Fed</t>
  </si>
  <si>
    <t>TResearch_State</t>
  </si>
  <si>
    <t>TResearch_Pri</t>
  </si>
  <si>
    <t>TResearch_Inst</t>
  </si>
  <si>
    <t>TResearch_Total</t>
  </si>
  <si>
    <t>Patents</t>
  </si>
  <si>
    <t>PatentApply</t>
  </si>
  <si>
    <t>PatentIssue</t>
  </si>
  <si>
    <t>Statewide Total</t>
  </si>
  <si>
    <t>Note: Accountability Data excludes all Auxiliary Revenue &amp; Expenditures.</t>
  </si>
  <si>
    <t xml:space="preserve">         Accountability Data excludes all Public Service Expenditures.</t>
  </si>
  <si>
    <t>Research Expenditures</t>
  </si>
  <si>
    <t>Links to Institution Tabs</t>
  </si>
  <si>
    <t>Accountability</t>
  </si>
  <si>
    <t>Research</t>
  </si>
  <si>
    <t>Data</t>
  </si>
  <si>
    <t>For Insitution Specific Questions, Please Contact the Institution Point of Contact</t>
  </si>
  <si>
    <t>HRI Institutions - Summary</t>
  </si>
  <si>
    <t>Click Here</t>
  </si>
  <si>
    <t>Institution Point of Contact for Sources &amp; Uses Package</t>
  </si>
  <si>
    <t xml:space="preserve">University of North Texas Health Science Center at Fort Worth    </t>
  </si>
  <si>
    <t>Input Schedules</t>
  </si>
  <si>
    <t xml:space="preserve">FTSE &amp; FTFE </t>
  </si>
  <si>
    <t>Names Schedule</t>
  </si>
  <si>
    <t>Template Input Schedule</t>
  </si>
  <si>
    <t>Output Schedules</t>
  </si>
  <si>
    <t>Almanac</t>
  </si>
  <si>
    <t>Accountability - HRI_IE_Research</t>
  </si>
  <si>
    <t>FY 2010 - Year Ended August 31, 2010</t>
  </si>
  <si>
    <t>FY 2010 Accountability Data From Sources &amp; Uses Reports  To HRI_Research</t>
  </si>
  <si>
    <t>N/A</t>
  </si>
  <si>
    <t>For Accountability Use; Source Kathy Cox</t>
  </si>
  <si>
    <t>Fall 2010</t>
  </si>
  <si>
    <t>Checked OK</t>
  </si>
  <si>
    <t>2010 Hash Totals</t>
  </si>
  <si>
    <t>Eres_StApprop</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</si>
</sst>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5" formatCode="&quot;$&quot;#,##0_);\(&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quot;$&quot;#,##0\ ;\(&quot;$&quot;#,##0\)"/>
    <numFmt numFmtId="166" formatCode="_(&quot;$&quot;* #,##0_);_(&quot;$&quot;* \(#,##0\);_(&quot;$&quot;* &quot;-&quot;??_);_(@_)"/>
    <numFmt numFmtId="167" formatCode="000000"/>
    <numFmt numFmtId="168" formatCode="_(* #,##0.00_);_(* \(#,##0.00\);_(* &quot;-&quot;_);_(@_)"/>
    <numFmt numFmtId="169" formatCode="0.0%"/>
  </numFmts>
  <fonts count="51">
    <font>
      <sz val="10"/>
      <name val="Arial"/>
      <family val="2"/>
    </font>
    <font>
      <sz val="11"/>
      <color theme="1"/>
      <name val="Calibri"/>
      <family val="2"/>
      <scheme val="minor"/>
    </font>
    <font>
      <sz val="10"/>
      <name val="Arial"/>
      <family val="2"/>
    </font>
    <font>
      <b/>
      <sz val="14"/>
      <name val="Arial"/>
      <family val="2"/>
    </font>
    <font>
      <b/>
      <sz val="12"/>
      <name val="Arial"/>
      <family val="2"/>
    </font>
    <font>
      <b/>
      <sz val="10"/>
      <name val="Arial"/>
      <family val="2"/>
    </font>
    <font>
      <sz val="12"/>
      <name val="Arial"/>
      <family val="2"/>
    </font>
    <font>
      <b/>
      <sz val="11"/>
      <name val="Arial"/>
      <family val="2"/>
    </font>
    <font>
      <sz val="8"/>
      <name val="TimesNewRomanPS"/>
    </font>
    <font>
      <sz val="10"/>
      <name val="Tahoma"/>
      <family val="2"/>
    </font>
    <font>
      <sz val="10"/>
      <color rgb="FF454545"/>
      <name val="Arial"/>
      <family val="2"/>
    </font>
    <font>
      <b/>
      <sz val="10"/>
      <name val="Tahoma"/>
      <family val="2"/>
    </font>
    <font>
      <sz val="8"/>
      <name val="Arial"/>
      <family val="2"/>
    </font>
    <font>
      <sz val="10"/>
      <color theme="0"/>
      <name val="Tahoma"/>
      <family val="2"/>
    </font>
    <font>
      <sz val="10"/>
      <color indexed="24"/>
      <name val="Arial"/>
      <family val="2"/>
    </font>
    <font>
      <b/>
      <sz val="15"/>
      <color theme="3"/>
      <name val="Calibri"/>
      <family val="2"/>
      <scheme val="minor"/>
    </font>
    <font>
      <b/>
      <sz val="13"/>
      <color theme="3"/>
      <name val="Calibri"/>
      <family val="2"/>
      <scheme val="minor"/>
    </font>
    <font>
      <sz val="11"/>
      <color theme="1"/>
      <name val="Calibri"/>
      <family val="2"/>
      <scheme val="minor"/>
    </font>
    <font>
      <b/>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8"/>
      <color indexed="24"/>
      <name val="Arial"/>
      <family val="2"/>
    </font>
    <font>
      <b/>
      <sz val="12"/>
      <color indexed="24"/>
      <name val="Arial"/>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MS Sans Serif"/>
      <family val="2"/>
    </font>
    <font>
      <sz val="10"/>
      <name val="System"/>
      <family val="2"/>
    </font>
    <font>
      <b/>
      <sz val="11"/>
      <color indexed="63"/>
      <name val="Calibri"/>
      <family val="2"/>
    </font>
    <font>
      <b/>
      <sz val="18"/>
      <color indexed="56"/>
      <name val="Cambria"/>
      <family val="2"/>
    </font>
    <font>
      <sz val="11"/>
      <color indexed="10"/>
      <name val="Calibri"/>
      <family val="2"/>
    </font>
    <font>
      <b/>
      <sz val="8"/>
      <color indexed="81"/>
      <name val="Tahoma"/>
      <family val="2"/>
    </font>
    <font>
      <sz val="8"/>
      <color indexed="81"/>
      <name val="Tahoma"/>
      <family val="2"/>
    </font>
    <font>
      <u/>
      <sz val="10"/>
      <color indexed="12"/>
      <name val="Arial"/>
      <family val="2"/>
    </font>
    <font>
      <sz val="10"/>
      <name val="Arial"/>
      <family val="2"/>
    </font>
    <font>
      <u/>
      <sz val="10"/>
      <name val="Arial"/>
      <family val="2"/>
    </font>
    <font>
      <vertAlign val="superscript"/>
      <sz val="10"/>
      <name val="Arial"/>
      <family val="2"/>
    </font>
    <font>
      <sz val="10"/>
      <color theme="1"/>
      <name val="Arial"/>
      <family val="2"/>
    </font>
    <font>
      <b/>
      <sz val="9"/>
      <color indexed="81"/>
      <name val="Tahoma"/>
      <family val="2"/>
    </font>
    <font>
      <sz val="9"/>
      <color indexed="81"/>
      <name val="Tahoma"/>
      <family val="2"/>
    </font>
    <font>
      <b/>
      <i/>
      <sz val="10"/>
      <color indexed="10"/>
      <name val="Arial"/>
      <family val="2"/>
    </font>
    <font>
      <b/>
      <sz val="9"/>
      <name val="Arial"/>
      <family val="2"/>
    </font>
    <font>
      <u/>
      <sz val="10"/>
      <color theme="10"/>
      <name val="Arial"/>
      <family val="2"/>
    </font>
    <font>
      <sz val="10"/>
      <color indexed="8"/>
      <name val="Arial"/>
      <family val="2"/>
    </font>
  </fonts>
  <fills count="35">
    <fill>
      <patternFill patternType="none"/>
    </fill>
    <fill>
      <patternFill patternType="gray125"/>
    </fill>
    <fill>
      <patternFill patternType="solid">
        <fgColor rgb="FFFFFFCC"/>
      </patternFill>
    </fill>
    <fill>
      <patternFill patternType="solid">
        <fgColor indexed="41"/>
        <bgColor indexed="64"/>
      </patternFill>
    </fill>
    <fill>
      <patternFill patternType="solid">
        <fgColor theme="0"/>
        <bgColor indexed="64"/>
      </patternFill>
    </fill>
    <fill>
      <patternFill patternType="solid">
        <fgColor indexed="13"/>
        <bgColor indexed="64"/>
      </patternFill>
    </fill>
    <fill>
      <patternFill patternType="solid">
        <fgColor rgb="FFCCFFFF"/>
        <bgColor indexed="64"/>
      </patternFill>
    </fill>
    <fill>
      <patternFill patternType="solid">
        <fgColor indexed="9"/>
        <bgColor indexed="64"/>
      </patternFill>
    </fill>
    <fill>
      <patternFill patternType="solid">
        <fgColor indexed="42"/>
        <bgColor indexed="64"/>
      </patternFill>
    </fill>
    <fill>
      <patternFill patternType="solid">
        <fgColor rgb="FFCCFFCC"/>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theme="4" tint="0.79998168889431442"/>
        <bgColor indexed="64"/>
      </patternFill>
    </fill>
    <fill>
      <patternFill patternType="solid">
        <fgColor theme="6" tint="0.59999389629810485"/>
        <bgColor indexed="64"/>
      </patternFill>
    </fill>
    <fill>
      <patternFill patternType="solid">
        <fgColor theme="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85">
    <xf numFmtId="0" fontId="0" fillId="0" borderId="0"/>
    <xf numFmtId="43" fontId="2" fillId="0" borderId="0" applyFont="0" applyFill="0" applyBorder="0" applyAlignment="0" applyProtection="0"/>
    <xf numFmtId="0" fontId="2" fillId="0" borderId="0"/>
    <xf numFmtId="0" fontId="8" fillId="0" borderId="0"/>
    <xf numFmtId="43" fontId="2" fillId="0" borderId="0" applyFont="0" applyFill="0" applyAlignment="0" applyProtection="0"/>
    <xf numFmtId="3" fontId="14" fillId="0" borderId="0" applyFont="0" applyFill="0" applyBorder="0" applyAlignment="0" applyProtection="0"/>
    <xf numFmtId="165" fontId="14" fillId="0" borderId="0" applyFont="0" applyFill="0" applyBorder="0" applyAlignment="0" applyProtection="0"/>
    <xf numFmtId="0" fontId="14" fillId="0" borderId="0" applyFont="0" applyFill="0" applyBorder="0" applyAlignment="0" applyProtection="0"/>
    <xf numFmtId="2" fontId="14" fillId="0" borderId="0" applyFont="0" applyFill="0" applyBorder="0" applyAlignment="0" applyProtection="0"/>
    <xf numFmtId="0" fontId="15" fillId="0" borderId="1" applyNumberFormat="0" applyFill="0" applyAlignment="0" applyProtection="0"/>
    <xf numFmtId="0" fontId="16" fillId="0" borderId="2" applyNumberFormat="0" applyFill="0" applyAlignment="0" applyProtection="0"/>
    <xf numFmtId="0" fontId="17" fillId="0" borderId="0"/>
    <xf numFmtId="0" fontId="17" fillId="2" borderId="3" applyNumberFormat="0" applyFont="0" applyAlignment="0" applyProtection="0"/>
    <xf numFmtId="0" fontId="18" fillId="0" borderId="4" applyNumberFormat="0" applyFill="0" applyAlignment="0" applyProtection="0"/>
    <xf numFmtId="0" fontId="19" fillId="0" borderId="0"/>
    <xf numFmtId="0" fontId="20"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14" borderId="0" applyNumberFormat="0" applyBorder="0" applyAlignment="0" applyProtection="0"/>
    <xf numFmtId="0" fontId="20" fillId="17" borderId="0" applyNumberFormat="0" applyBorder="0" applyAlignment="0" applyProtection="0"/>
    <xf numFmtId="0" fontId="20" fillId="20" borderId="0" applyNumberFormat="0" applyBorder="0" applyAlignment="0" applyProtection="0"/>
    <xf numFmtId="0" fontId="21" fillId="21"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22"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7" borderId="0" applyNumberFormat="0" applyBorder="0" applyAlignment="0" applyProtection="0"/>
    <xf numFmtId="0" fontId="21" fillId="22" borderId="0" applyNumberFormat="0" applyBorder="0" applyAlignment="0" applyProtection="0"/>
    <xf numFmtId="0" fontId="21" fillId="23" borderId="0" applyNumberFormat="0" applyBorder="0" applyAlignment="0" applyProtection="0"/>
    <xf numFmtId="0" fontId="21" fillId="28" borderId="0" applyNumberFormat="0" applyBorder="0" applyAlignment="0" applyProtection="0"/>
    <xf numFmtId="0" fontId="22" fillId="12" borderId="0" applyNumberFormat="0" applyBorder="0" applyAlignment="0" applyProtection="0"/>
    <xf numFmtId="0" fontId="23" fillId="29" borderId="16" applyNumberFormat="0" applyAlignment="0" applyProtection="0"/>
    <xf numFmtId="0" fontId="24" fillId="30" borderId="17" applyNumberFormat="0" applyAlignment="0" applyProtection="0"/>
    <xf numFmtId="3" fontId="14" fillId="0" borderId="0" applyFont="0" applyFill="0" applyBorder="0" applyAlignment="0" applyProtection="0"/>
    <xf numFmtId="3"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25" fillId="0" borderId="0" applyNumberFormat="0" applyFill="0" applyBorder="0" applyAlignment="0" applyProtection="0"/>
    <xf numFmtId="2" fontId="14" fillId="0" borderId="0" applyFont="0" applyFill="0" applyBorder="0" applyAlignment="0" applyProtection="0"/>
    <xf numFmtId="2" fontId="14" fillId="0" borderId="0" applyFont="0" applyFill="0" applyBorder="0" applyAlignment="0" applyProtection="0"/>
    <xf numFmtId="0" fontId="26" fillId="13" borderId="0" applyNumberFormat="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18" applyNumberFormat="0" applyFill="0" applyAlignment="0" applyProtection="0"/>
    <xf numFmtId="0" fontId="29" fillId="0" borderId="0" applyNumberFormat="0" applyFill="0" applyBorder="0" applyAlignment="0" applyProtection="0"/>
    <xf numFmtId="0" fontId="30" fillId="16" borderId="16" applyNumberFormat="0" applyAlignment="0" applyProtection="0"/>
    <xf numFmtId="0" fontId="31" fillId="0" borderId="19" applyNumberFormat="0" applyFill="0" applyAlignment="0" applyProtection="0"/>
    <xf numFmtId="0" fontId="32" fillId="31" borderId="0" applyNumberFormat="0" applyBorder="0" applyAlignment="0" applyProtection="0"/>
    <xf numFmtId="0" fontId="2" fillId="0" borderId="0"/>
    <xf numFmtId="0" fontId="33" fillId="0" borderId="0"/>
    <xf numFmtId="0" fontId="2" fillId="0" borderId="0"/>
    <xf numFmtId="0" fontId="34" fillId="0" borderId="0"/>
    <xf numFmtId="0" fontId="2" fillId="0" borderId="0"/>
    <xf numFmtId="0" fontId="2" fillId="0" borderId="0"/>
    <xf numFmtId="0" fontId="2" fillId="0" borderId="0"/>
    <xf numFmtId="0" fontId="2" fillId="0" borderId="0"/>
    <xf numFmtId="0" fontId="33" fillId="0" borderId="0"/>
    <xf numFmtId="0" fontId="2" fillId="0" borderId="0"/>
    <xf numFmtId="0" fontId="2" fillId="0" borderId="0"/>
    <xf numFmtId="0" fontId="2" fillId="0" borderId="0"/>
    <xf numFmtId="0" fontId="35" fillId="29" borderId="20" applyNumberFormat="0" applyAlignment="0" applyProtection="0"/>
    <xf numFmtId="9" fontId="2" fillId="0" borderId="0" applyFont="0" applyFill="0" applyBorder="0" applyAlignment="0" applyProtection="0"/>
    <xf numFmtId="0" fontId="36" fillId="0" borderId="0" applyNumberFormat="0" applyFill="0" applyBorder="0" applyAlignment="0" applyProtection="0"/>
    <xf numFmtId="0" fontId="14" fillId="0" borderId="21" applyNumberFormat="0" applyFont="0" applyFill="0" applyAlignment="0" applyProtection="0"/>
    <xf numFmtId="0" fontId="37" fillId="0" borderId="0" applyNumberFormat="0" applyFill="0" applyBorder="0" applyAlignment="0" applyProtection="0"/>
    <xf numFmtId="0" fontId="2" fillId="0" borderId="0"/>
    <xf numFmtId="0" fontId="40" fillId="0" borderId="0" applyNumberFormat="0" applyFill="0" applyBorder="0" applyAlignment="0" applyProtection="0">
      <alignment vertical="top"/>
      <protection locked="0"/>
    </xf>
    <xf numFmtId="0" fontId="41" fillId="0" borderId="0"/>
    <xf numFmtId="0" fontId="1" fillId="0" borderId="0"/>
    <xf numFmtId="0" fontId="34" fillId="0" borderId="0"/>
    <xf numFmtId="43" fontId="2" fillId="0" borderId="0" applyFont="0" applyFill="0" applyBorder="0" applyAlignment="0" applyProtection="0"/>
    <xf numFmtId="0" fontId="33" fillId="0" borderId="0"/>
    <xf numFmtId="0" fontId="41" fillId="0" borderId="0"/>
    <xf numFmtId="0" fontId="49" fillId="0" borderId="0" applyNumberFormat="0" applyFill="0" applyBorder="0" applyAlignment="0" applyProtection="0"/>
  </cellStyleXfs>
  <cellXfs count="476">
    <xf numFmtId="0" fontId="0" fillId="0" borderId="0" xfId="0"/>
    <xf numFmtId="0" fontId="2" fillId="0" borderId="0" xfId="0" applyFont="1" applyAlignment="1">
      <alignment horizontal="center"/>
    </xf>
    <xf numFmtId="38" fontId="3" fillId="0" borderId="0" xfId="0" applyNumberFormat="1" applyFont="1" applyFill="1" applyAlignment="1"/>
    <xf numFmtId="0" fontId="2" fillId="0" borderId="0" xfId="0" applyFont="1" applyFill="1" applyAlignment="1">
      <alignment horizontal="center"/>
    </xf>
    <xf numFmtId="0" fontId="4" fillId="0" borderId="0" xfId="0" applyFont="1" applyFill="1" applyAlignment="1">
      <alignment horizontal="center"/>
    </xf>
    <xf numFmtId="0" fontId="2" fillId="0" borderId="0" xfId="0" applyFont="1" applyFill="1" applyAlignment="1">
      <alignment horizontal="left"/>
    </xf>
    <xf numFmtId="0" fontId="2" fillId="0" borderId="0" xfId="0" applyFont="1" applyFill="1"/>
    <xf numFmtId="0" fontId="4" fillId="0" borderId="0" xfId="0" applyFont="1" applyFill="1" applyAlignment="1">
      <alignment horizontal="left"/>
    </xf>
    <xf numFmtId="164" fontId="2" fillId="0" borderId="0" xfId="1" applyNumberFormat="1" applyFont="1" applyFill="1"/>
    <xf numFmtId="0" fontId="2" fillId="0" borderId="0" xfId="0" applyFont="1"/>
    <xf numFmtId="0" fontId="6" fillId="0" borderId="0" xfId="0" applyFont="1"/>
    <xf numFmtId="0" fontId="5" fillId="0" borderId="0" xfId="0" applyFont="1" applyFill="1" applyAlignment="1">
      <alignment horizontal="left"/>
    </xf>
    <xf numFmtId="0" fontId="5" fillId="4" borderId="0" xfId="0" applyFont="1" applyFill="1" applyBorder="1" applyAlignment="1"/>
    <xf numFmtId="0" fontId="2" fillId="4" borderId="0" xfId="0" applyFont="1" applyFill="1" applyBorder="1" applyAlignment="1">
      <alignment horizontal="center"/>
    </xf>
    <xf numFmtId="0" fontId="5" fillId="5" borderId="6" xfId="0" applyFont="1" applyFill="1" applyBorder="1"/>
    <xf numFmtId="0" fontId="5" fillId="0" borderId="6" xfId="0" applyFont="1" applyFill="1" applyBorder="1" applyAlignment="1">
      <alignment horizontal="center" wrapText="1"/>
    </xf>
    <xf numFmtId="0" fontId="5" fillId="0" borderId="5" xfId="0" applyFont="1" applyFill="1" applyBorder="1" applyAlignment="1">
      <alignment horizontal="center" wrapText="1"/>
    </xf>
    <xf numFmtId="0" fontId="2" fillId="0" borderId="0" xfId="0" applyFont="1" applyFill="1" applyBorder="1"/>
    <xf numFmtId="0" fontId="5" fillId="4" borderId="0" xfId="0" applyFont="1" applyFill="1" applyBorder="1" applyAlignment="1">
      <alignment horizontal="center" wrapText="1"/>
    </xf>
    <xf numFmtId="0" fontId="2" fillId="4" borderId="0" xfId="0" applyFont="1" applyFill="1" applyBorder="1"/>
    <xf numFmtId="0" fontId="2" fillId="0" borderId="0" xfId="2" applyFont="1" applyFill="1"/>
    <xf numFmtId="38" fontId="2" fillId="4" borderId="0" xfId="0" applyNumberFormat="1" applyFont="1" applyFill="1"/>
    <xf numFmtId="42" fontId="2" fillId="0" borderId="7" xfId="0" applyNumberFormat="1" applyFont="1" applyFill="1" applyBorder="1"/>
    <xf numFmtId="42" fontId="2" fillId="3" borderId="7" xfId="0" applyNumberFormat="1" applyFont="1" applyFill="1" applyBorder="1"/>
    <xf numFmtId="38" fontId="2" fillId="0" borderId="0" xfId="0" applyNumberFormat="1" applyFont="1"/>
    <xf numFmtId="41" fontId="2" fillId="6" borderId="7" xfId="0" applyNumberFormat="1" applyFont="1" applyFill="1" applyBorder="1"/>
    <xf numFmtId="41" fontId="2" fillId="4" borderId="7" xfId="0" applyNumberFormat="1" applyFont="1" applyFill="1" applyBorder="1"/>
    <xf numFmtId="0" fontId="5" fillId="0" borderId="0" xfId="2" applyFont="1" applyFill="1" applyBorder="1"/>
    <xf numFmtId="38" fontId="2" fillId="4" borderId="0" xfId="0" applyNumberFormat="1" applyFont="1" applyFill="1" applyBorder="1"/>
    <xf numFmtId="38" fontId="7" fillId="4" borderId="0" xfId="0" applyNumberFormat="1" applyFont="1" applyFill="1" applyBorder="1" applyAlignment="1">
      <alignment horizontal="center"/>
    </xf>
    <xf numFmtId="38" fontId="7" fillId="4" borderId="0" xfId="0" applyNumberFormat="1" applyFont="1" applyFill="1" applyBorder="1" applyAlignment="1">
      <alignment horizontal="center"/>
    </xf>
    <xf numFmtId="42" fontId="5" fillId="0" borderId="8" xfId="0" applyNumberFormat="1" applyFont="1" applyFill="1" applyBorder="1"/>
    <xf numFmtId="38" fontId="7" fillId="4" borderId="7" xfId="0" applyNumberFormat="1" applyFont="1" applyFill="1" applyBorder="1" applyAlignment="1">
      <alignment horizontal="center"/>
    </xf>
    <xf numFmtId="41" fontId="2" fillId="0" borderId="7" xfId="0" applyNumberFormat="1" applyFont="1" applyFill="1" applyBorder="1"/>
    <xf numFmtId="0" fontId="2" fillId="4" borderId="0" xfId="0" quotePrefix="1" applyFont="1" applyFill="1" applyBorder="1" applyAlignment="1">
      <alignment horizontal="left"/>
    </xf>
    <xf numFmtId="0" fontId="2" fillId="4" borderId="0" xfId="0" applyFont="1" applyFill="1" applyBorder="1" applyAlignment="1"/>
    <xf numFmtId="41" fontId="2" fillId="3" borderId="7" xfId="0" applyNumberFormat="1" applyFont="1" applyFill="1" applyBorder="1"/>
    <xf numFmtId="38" fontId="2" fillId="0" borderId="0" xfId="0" applyNumberFormat="1" applyFont="1" applyFill="1" applyBorder="1"/>
    <xf numFmtId="38" fontId="2" fillId="0" borderId="0" xfId="0" applyNumberFormat="1" applyFont="1" applyFill="1"/>
    <xf numFmtId="39" fontId="5" fillId="4" borderId="0" xfId="3" applyNumberFormat="1" applyFont="1" applyFill="1" applyBorder="1" applyProtection="1"/>
    <xf numFmtId="41" fontId="2" fillId="7" borderId="7" xfId="0" applyNumberFormat="1" applyFont="1" applyFill="1" applyBorder="1"/>
    <xf numFmtId="0" fontId="9" fillId="4" borderId="0" xfId="0" applyFont="1" applyFill="1" applyBorder="1" applyAlignment="1">
      <alignment horizontal="center"/>
    </xf>
    <xf numFmtId="0" fontId="5" fillId="4" borderId="0" xfId="3" applyFont="1" applyFill="1" applyBorder="1"/>
    <xf numFmtId="0" fontId="5" fillId="5" borderId="11" xfId="0" applyFont="1" applyFill="1" applyBorder="1"/>
    <xf numFmtId="38" fontId="2" fillId="0" borderId="11" xfId="0" applyNumberFormat="1" applyFont="1" applyFill="1" applyBorder="1"/>
    <xf numFmtId="42" fontId="2" fillId="0" borderId="5" xfId="0" applyNumberFormat="1" applyFont="1" applyFill="1" applyBorder="1"/>
    <xf numFmtId="42" fontId="5" fillId="0" borderId="5" xfId="0" applyNumberFormat="1" applyFont="1" applyFill="1" applyBorder="1"/>
    <xf numFmtId="38" fontId="2" fillId="4" borderId="0" xfId="2" applyNumberFormat="1" applyFont="1" applyFill="1" applyBorder="1" applyAlignment="1">
      <alignment horizontal="center" wrapText="1"/>
    </xf>
    <xf numFmtId="0" fontId="9" fillId="4" borderId="0" xfId="0" applyFont="1" applyFill="1" applyBorder="1" applyAlignment="1">
      <alignment horizontal="center" wrapText="1"/>
    </xf>
    <xf numFmtId="0" fontId="2" fillId="4" borderId="0" xfId="2" applyFont="1" applyFill="1" applyBorder="1" applyAlignment="1">
      <alignment horizontal="center" wrapText="1"/>
    </xf>
    <xf numFmtId="44" fontId="10" fillId="0" borderId="0" xfId="0" applyNumberFormat="1" applyFont="1"/>
    <xf numFmtId="41" fontId="9" fillId="4" borderId="0" xfId="3" applyNumberFormat="1" applyFont="1" applyFill="1" applyBorder="1" applyAlignment="1">
      <alignment horizontal="center"/>
    </xf>
    <xf numFmtId="0" fontId="9" fillId="4" borderId="0" xfId="0" applyFont="1" applyFill="1" applyBorder="1" applyAlignment="1">
      <alignment wrapText="1"/>
    </xf>
    <xf numFmtId="38" fontId="2" fillId="0" borderId="6" xfId="0" applyNumberFormat="1" applyFont="1" applyFill="1" applyBorder="1"/>
    <xf numFmtId="38" fontId="2" fillId="0" borderId="6" xfId="0" applyNumberFormat="1" applyFont="1" applyFill="1" applyBorder="1" applyAlignment="1">
      <alignment horizontal="center" wrapText="1"/>
    </xf>
    <xf numFmtId="0" fontId="0" fillId="0" borderId="0" xfId="0" applyProtection="1"/>
    <xf numFmtId="42" fontId="2" fillId="3" borderId="0" xfId="2" applyNumberFormat="1" applyFont="1" applyFill="1"/>
    <xf numFmtId="42" fontId="2" fillId="4" borderId="0" xfId="0" applyNumberFormat="1" applyFont="1" applyFill="1"/>
    <xf numFmtId="42" fontId="2" fillId="4" borderId="0" xfId="2" applyNumberFormat="1" applyFont="1" applyFill="1" applyBorder="1"/>
    <xf numFmtId="42" fontId="9" fillId="4" borderId="0" xfId="4" applyNumberFormat="1" applyFont="1" applyFill="1" applyBorder="1"/>
    <xf numFmtId="42" fontId="11" fillId="4" borderId="0" xfId="0" applyNumberFormat="1" applyFont="1" applyFill="1" applyBorder="1"/>
    <xf numFmtId="42" fontId="9" fillId="4" borderId="0" xfId="0" applyNumberFormat="1" applyFont="1" applyFill="1" applyBorder="1"/>
    <xf numFmtId="39" fontId="12" fillId="4" borderId="0" xfId="3" applyNumberFormat="1" applyFont="1" applyFill="1" applyBorder="1" applyProtection="1"/>
    <xf numFmtId="5" fontId="0" fillId="0" borderId="0" xfId="0" applyNumberFormat="1" applyProtection="1"/>
    <xf numFmtId="41" fontId="2" fillId="3" borderId="0" xfId="2" applyNumberFormat="1" applyFont="1" applyFill="1"/>
    <xf numFmtId="41" fontId="2" fillId="4" borderId="0" xfId="0" applyNumberFormat="1" applyFont="1" applyFill="1"/>
    <xf numFmtId="38" fontId="2" fillId="4" borderId="0" xfId="2" applyNumberFormat="1" applyFont="1" applyFill="1" applyBorder="1"/>
    <xf numFmtId="41" fontId="9" fillId="4" borderId="0" xfId="4" applyNumberFormat="1" applyFont="1" applyFill="1" applyBorder="1"/>
    <xf numFmtId="41" fontId="11" fillId="4" borderId="0" xfId="0" applyNumberFormat="1" applyFont="1" applyFill="1" applyBorder="1"/>
    <xf numFmtId="41" fontId="9" fillId="4" borderId="0" xfId="0" applyNumberFormat="1" applyFont="1" applyFill="1" applyBorder="1"/>
    <xf numFmtId="41" fontId="2" fillId="4" borderId="0" xfId="2" applyNumberFormat="1" applyFont="1" applyFill="1" applyBorder="1"/>
    <xf numFmtId="41" fontId="5" fillId="4" borderId="0" xfId="2" applyNumberFormat="1" applyFont="1" applyFill="1" applyBorder="1"/>
    <xf numFmtId="41" fontId="9" fillId="4" borderId="0" xfId="0" applyNumberFormat="1" applyFont="1" applyFill="1" applyBorder="1" applyAlignment="1">
      <alignment horizontal="center"/>
    </xf>
    <xf numFmtId="41" fontId="11" fillId="4" borderId="8" xfId="4" applyNumberFormat="1" applyFont="1" applyFill="1" applyBorder="1" applyAlignment="1">
      <alignment horizontal="center"/>
    </xf>
    <xf numFmtId="41" fontId="11" fillId="4" borderId="0" xfId="0" applyNumberFormat="1" applyFont="1" applyFill="1" applyBorder="1" applyAlignment="1">
      <alignment horizontal="center"/>
    </xf>
    <xf numFmtId="42" fontId="11" fillId="4" borderId="10" xfId="4" applyNumberFormat="1" applyFont="1" applyFill="1" applyBorder="1"/>
    <xf numFmtId="0" fontId="2" fillId="0" borderId="0" xfId="2" applyFont="1" applyAlignment="1">
      <alignment horizontal="center"/>
    </xf>
    <xf numFmtId="0" fontId="2" fillId="0" borderId="0" xfId="2" applyProtection="1"/>
    <xf numFmtId="38" fontId="2" fillId="4" borderId="0" xfId="2" applyNumberFormat="1" applyFont="1" applyFill="1"/>
    <xf numFmtId="0" fontId="2" fillId="0" borderId="0" xfId="2" applyFont="1"/>
    <xf numFmtId="41" fontId="11" fillId="4" borderId="0" xfId="2" applyNumberFormat="1" applyFont="1" applyFill="1" applyBorder="1"/>
    <xf numFmtId="41" fontId="9" fillId="4" borderId="0" xfId="2" applyNumberFormat="1" applyFont="1" applyFill="1" applyBorder="1"/>
    <xf numFmtId="0" fontId="2" fillId="4" borderId="0" xfId="2" applyFont="1" applyFill="1" applyBorder="1"/>
    <xf numFmtId="38" fontId="2" fillId="0" borderId="0" xfId="2" applyNumberFormat="1" applyFont="1"/>
    <xf numFmtId="41" fontId="2" fillId="3" borderId="0" xfId="0" applyNumberFormat="1" applyFont="1" applyFill="1"/>
    <xf numFmtId="0" fontId="9" fillId="4" borderId="0" xfId="0" applyFont="1" applyFill="1" applyBorder="1"/>
    <xf numFmtId="42" fontId="2" fillId="0" borderId="11" xfId="0" applyNumberFormat="1" applyFont="1" applyFill="1" applyBorder="1"/>
    <xf numFmtId="42" fontId="5" fillId="0" borderId="11" xfId="0" applyNumberFormat="1" applyFont="1" applyFill="1" applyBorder="1"/>
    <xf numFmtId="38" fontId="9" fillId="4" borderId="0" xfId="0" applyNumberFormat="1" applyFont="1" applyFill="1" applyBorder="1" applyAlignment="1">
      <alignment horizontal="center"/>
    </xf>
    <xf numFmtId="42" fontId="13" fillId="4" borderId="0" xfId="0" applyNumberFormat="1" applyFont="1" applyFill="1" applyBorder="1"/>
    <xf numFmtId="0" fontId="9" fillId="4" borderId="0" xfId="0" applyFont="1" applyFill="1" applyBorder="1" applyAlignment="1">
      <alignment horizontal="right"/>
    </xf>
    <xf numFmtId="44" fontId="9" fillId="4" borderId="0" xfId="0" applyNumberFormat="1" applyFont="1" applyFill="1" applyBorder="1"/>
    <xf numFmtId="0" fontId="9" fillId="0" borderId="0" xfId="0" applyFont="1"/>
    <xf numFmtId="42" fontId="9" fillId="0" borderId="0" xfId="0" applyNumberFormat="1" applyFont="1"/>
    <xf numFmtId="41" fontId="2" fillId="0" borderId="0" xfId="0" applyNumberFormat="1" applyFont="1" applyBorder="1"/>
    <xf numFmtId="0" fontId="2" fillId="0" borderId="0" xfId="0" applyFont="1" applyBorder="1"/>
    <xf numFmtId="37" fontId="5" fillId="0" borderId="0" xfId="0" applyNumberFormat="1" applyFont="1" applyFill="1" applyBorder="1"/>
    <xf numFmtId="41" fontId="2" fillId="0" borderId="0" xfId="0" applyNumberFormat="1" applyFont="1" applyFill="1" applyBorder="1"/>
    <xf numFmtId="42" fontId="2" fillId="0" borderId="0" xfId="0" applyNumberFormat="1" applyFont="1"/>
    <xf numFmtId="37" fontId="2" fillId="0" borderId="0" xfId="0" applyNumberFormat="1" applyFont="1" applyFill="1" applyBorder="1"/>
    <xf numFmtId="0" fontId="9" fillId="0" borderId="0" xfId="0" applyFont="1" applyBorder="1"/>
    <xf numFmtId="41" fontId="9" fillId="0" borderId="0" xfId="0" applyNumberFormat="1" applyFont="1"/>
    <xf numFmtId="41" fontId="2" fillId="0" borderId="0" xfId="2" applyNumberFormat="1" applyFont="1" applyFill="1" applyBorder="1"/>
    <xf numFmtId="42" fontId="2" fillId="0" borderId="0" xfId="2" applyNumberFormat="1" applyFont="1"/>
    <xf numFmtId="42" fontId="9" fillId="0" borderId="0" xfId="2" applyNumberFormat="1" applyFont="1"/>
    <xf numFmtId="41" fontId="2" fillId="0" borderId="0" xfId="2" applyNumberFormat="1" applyFont="1" applyBorder="1"/>
    <xf numFmtId="0" fontId="2" fillId="0" borderId="0" xfId="2" applyFont="1" applyBorder="1"/>
    <xf numFmtId="37" fontId="2" fillId="0" borderId="0" xfId="2" applyNumberFormat="1" applyFont="1" applyFill="1" applyBorder="1"/>
    <xf numFmtId="41" fontId="9" fillId="0" borderId="0" xfId="2" applyNumberFormat="1" applyFont="1"/>
    <xf numFmtId="0" fontId="9" fillId="0" borderId="0" xfId="2" applyFont="1"/>
    <xf numFmtId="0" fontId="9" fillId="0" borderId="0" xfId="2" applyFont="1" applyBorder="1"/>
    <xf numFmtId="38" fontId="2" fillId="0" borderId="0" xfId="2" applyNumberFormat="1" applyFont="1" applyFill="1" applyAlignment="1"/>
    <xf numFmtId="0" fontId="2" fillId="0" borderId="0" xfId="0" applyFont="1" applyAlignment="1"/>
    <xf numFmtId="38" fontId="2" fillId="0" borderId="0" xfId="2" applyNumberFormat="1" applyFont="1" applyFill="1" applyBorder="1"/>
    <xf numFmtId="42" fontId="2" fillId="0" borderId="0" xfId="2" applyNumberFormat="1" applyFont="1" applyFill="1"/>
    <xf numFmtId="38" fontId="2" fillId="0" borderId="0" xfId="0" applyNumberFormat="1" applyFont="1" applyFill="1" applyBorder="1" applyAlignment="1">
      <alignment horizontal="center"/>
    </xf>
    <xf numFmtId="38" fontId="2" fillId="4" borderId="0" xfId="0" applyNumberFormat="1" applyFont="1" applyFill="1" applyBorder="1" applyAlignment="1">
      <alignment horizontal="center"/>
    </xf>
    <xf numFmtId="42" fontId="2" fillId="4" borderId="0" xfId="0" applyNumberFormat="1" applyFont="1" applyFill="1" applyBorder="1"/>
    <xf numFmtId="42" fontId="2" fillId="4" borderId="0" xfId="0" applyNumberFormat="1" applyFont="1" applyFill="1" applyBorder="1" applyAlignment="1"/>
    <xf numFmtId="0" fontId="6" fillId="0" borderId="0" xfId="0" applyFont="1" applyBorder="1"/>
    <xf numFmtId="0" fontId="6" fillId="8" borderId="12" xfId="2" applyFont="1" applyFill="1" applyBorder="1" applyAlignment="1">
      <alignment vertical="top" wrapText="1"/>
    </xf>
    <xf numFmtId="0" fontId="2" fillId="0" borderId="0" xfId="2" applyAlignment="1">
      <alignment horizontal="center"/>
    </xf>
    <xf numFmtId="0" fontId="2" fillId="0" borderId="0" xfId="2"/>
    <xf numFmtId="0" fontId="4" fillId="0" borderId="0" xfId="2" applyFont="1" applyBorder="1" applyAlignment="1">
      <alignment vertical="top" wrapText="1"/>
    </xf>
    <xf numFmtId="0" fontId="6" fillId="0" borderId="0" xfId="2" applyFont="1" applyBorder="1" applyAlignment="1">
      <alignment vertical="top" wrapText="1"/>
    </xf>
    <xf numFmtId="0" fontId="6" fillId="0" borderId="0" xfId="2" applyFont="1" applyBorder="1" applyAlignment="1">
      <alignment horizontal="center" vertical="top" wrapText="1"/>
    </xf>
    <xf numFmtId="0" fontId="6" fillId="0" borderId="12" xfId="2" applyFont="1" applyBorder="1" applyAlignment="1">
      <alignment vertical="top" wrapText="1"/>
    </xf>
    <xf numFmtId="0" fontId="6" fillId="0" borderId="15" xfId="2" applyFont="1" applyBorder="1" applyAlignment="1">
      <alignment vertical="top" wrapText="1"/>
    </xf>
    <xf numFmtId="0" fontId="6" fillId="0" borderId="12" xfId="2" applyFont="1" applyBorder="1" applyAlignment="1">
      <alignment horizontal="center" vertical="top" wrapText="1"/>
    </xf>
    <xf numFmtId="0" fontId="19" fillId="0" borderId="0" xfId="14"/>
    <xf numFmtId="0" fontId="19" fillId="0" borderId="0" xfId="14" applyAlignment="1">
      <alignment horizontal="center"/>
    </xf>
    <xf numFmtId="0" fontId="6" fillId="10" borderId="15" xfId="2" applyFont="1" applyFill="1" applyBorder="1" applyAlignment="1">
      <alignment vertical="top" wrapText="1"/>
    </xf>
    <xf numFmtId="0" fontId="4" fillId="8" borderId="15" xfId="2" applyFont="1" applyFill="1" applyBorder="1" applyAlignment="1">
      <alignment vertical="top" wrapText="1"/>
    </xf>
    <xf numFmtId="0" fontId="2" fillId="0" borderId="0" xfId="2" applyAlignment="1">
      <alignment wrapText="1"/>
    </xf>
    <xf numFmtId="0" fontId="6" fillId="4" borderId="0" xfId="2" applyFont="1" applyFill="1" applyBorder="1" applyAlignment="1">
      <alignment vertical="top" wrapText="1"/>
    </xf>
    <xf numFmtId="0" fontId="6" fillId="4" borderId="0" xfId="2" applyFont="1" applyFill="1" applyBorder="1" applyAlignment="1">
      <alignment horizontal="center" vertical="top" wrapText="1"/>
    </xf>
    <xf numFmtId="0" fontId="6" fillId="4" borderId="0" xfId="2" applyFont="1" applyFill="1" applyBorder="1" applyAlignment="1">
      <alignment horizontal="left" vertical="top"/>
    </xf>
    <xf numFmtId="0" fontId="0" fillId="0" borderId="0" xfId="0" applyAlignment="1">
      <alignment horizontal="center"/>
    </xf>
    <xf numFmtId="49" fontId="0" fillId="0" borderId="0" xfId="0" applyNumberFormat="1" applyAlignment="1">
      <alignment horizontal="center"/>
    </xf>
    <xf numFmtId="49" fontId="2" fillId="0" borderId="0" xfId="0" applyNumberFormat="1" applyFont="1" applyAlignment="1">
      <alignment horizontal="center"/>
    </xf>
    <xf numFmtId="0" fontId="0" fillId="0" borderId="0" xfId="0" applyAlignment="1"/>
    <xf numFmtId="0" fontId="4" fillId="0" borderId="0" xfId="2" applyFont="1" applyAlignment="1">
      <alignment horizontal="center"/>
    </xf>
    <xf numFmtId="0" fontId="2" fillId="0" borderId="0" xfId="2" applyAlignment="1">
      <alignment horizontal="right"/>
    </xf>
    <xf numFmtId="0" fontId="2" fillId="10" borderId="0" xfId="2" applyFill="1" applyAlignment="1">
      <alignment wrapText="1"/>
    </xf>
    <xf numFmtId="0" fontId="4" fillId="0" borderId="23" xfId="0" applyFont="1" applyBorder="1" applyAlignment="1">
      <alignment horizontal="center" vertical="top" wrapText="1"/>
    </xf>
    <xf numFmtId="0" fontId="4" fillId="0" borderId="23" xfId="2" applyFont="1" applyBorder="1" applyAlignment="1">
      <alignment horizontal="center" vertical="top" wrapText="1"/>
    </xf>
    <xf numFmtId="0" fontId="5" fillId="0" borderId="22" xfId="2" applyFont="1" applyBorder="1" applyAlignment="1">
      <alignment horizontal="center" vertical="top" wrapText="1"/>
    </xf>
    <xf numFmtId="0" fontId="5" fillId="0" borderId="0" xfId="2" applyFont="1" applyBorder="1" applyAlignment="1">
      <alignment horizontal="center" vertical="top" wrapText="1"/>
    </xf>
    <xf numFmtId="0" fontId="2" fillId="0" borderId="8" xfId="2" applyBorder="1" applyAlignment="1">
      <alignment horizontal="right"/>
    </xf>
    <xf numFmtId="0" fontId="4" fillId="0" borderId="12" xfId="0" applyFont="1" applyBorder="1" applyAlignment="1">
      <alignment horizontal="center" vertical="top" wrapText="1"/>
    </xf>
    <xf numFmtId="0" fontId="4" fillId="0" borderId="12" xfId="2" applyFont="1" applyBorder="1" applyAlignment="1">
      <alignment horizontal="center" vertical="top" wrapText="1"/>
    </xf>
    <xf numFmtId="0" fontId="2" fillId="0" borderId="15" xfId="2" applyFont="1" applyFill="1" applyBorder="1" applyAlignment="1">
      <alignment horizontal="center" wrapText="1"/>
    </xf>
    <xf numFmtId="0" fontId="2" fillId="0" borderId="0" xfId="2" applyFont="1" applyFill="1" applyBorder="1" applyAlignment="1">
      <alignment horizontal="center" wrapText="1"/>
    </xf>
    <xf numFmtId="0" fontId="4" fillId="0" borderId="24" xfId="2" applyFont="1" applyBorder="1" applyAlignment="1">
      <alignment horizontal="center" vertical="top" wrapText="1"/>
    </xf>
    <xf numFmtId="0" fontId="4" fillId="0" borderId="25" xfId="0" applyFont="1" applyBorder="1" applyAlignment="1">
      <alignment horizontal="center" vertical="top" wrapText="1"/>
    </xf>
    <xf numFmtId="0" fontId="4" fillId="0" borderId="25" xfId="2" applyFont="1" applyBorder="1" applyAlignment="1">
      <alignment horizontal="center" vertical="top" wrapText="1"/>
    </xf>
    <xf numFmtId="0" fontId="5" fillId="4" borderId="25" xfId="2" applyFont="1" applyFill="1" applyBorder="1" applyAlignment="1">
      <alignment horizontal="center" vertical="top" wrapText="1"/>
    </xf>
    <xf numFmtId="0" fontId="5" fillId="4" borderId="0" xfId="2" applyFont="1" applyFill="1" applyBorder="1" applyAlignment="1">
      <alignment horizontal="center" vertical="top" wrapText="1"/>
    </xf>
    <xf numFmtId="0" fontId="6" fillId="8" borderId="26" xfId="0" applyFont="1" applyFill="1" applyBorder="1" applyAlignment="1">
      <alignment horizontal="center" vertical="top" wrapText="1"/>
    </xf>
    <xf numFmtId="0" fontId="6" fillId="8" borderId="26" xfId="2" applyFont="1" applyFill="1" applyBorder="1" applyAlignment="1">
      <alignment vertical="top" wrapText="1"/>
    </xf>
    <xf numFmtId="0" fontId="5" fillId="8" borderId="26" xfId="2" applyFont="1" applyFill="1" applyBorder="1" applyAlignment="1">
      <alignment horizontal="center" vertical="top" wrapText="1"/>
    </xf>
    <xf numFmtId="0" fontId="5" fillId="8" borderId="0" xfId="2" applyFont="1" applyFill="1" applyBorder="1" applyAlignment="1">
      <alignment horizontal="center" vertical="top" wrapText="1"/>
    </xf>
    <xf numFmtId="0" fontId="6" fillId="0" borderId="27" xfId="2" applyFont="1" applyBorder="1" applyAlignment="1">
      <alignment vertical="top" wrapText="1"/>
    </xf>
    <xf numFmtId="0" fontId="6" fillId="0" borderId="22" xfId="0" applyFont="1" applyBorder="1" applyAlignment="1">
      <alignment horizontal="center" vertical="top" wrapText="1"/>
    </xf>
    <xf numFmtId="0" fontId="6" fillId="0" borderId="22" xfId="2" applyFont="1" applyBorder="1" applyAlignment="1">
      <alignment vertical="top" wrapText="1"/>
    </xf>
    <xf numFmtId="0" fontId="4" fillId="0" borderId="27" xfId="2" applyFont="1" applyBorder="1" applyAlignment="1">
      <alignment vertical="top" wrapText="1"/>
    </xf>
    <xf numFmtId="0" fontId="6" fillId="0" borderId="5" xfId="0" applyFont="1" applyBorder="1" applyAlignment="1">
      <alignment horizontal="center" vertical="top" wrapText="1"/>
    </xf>
    <xf numFmtId="0" fontId="6" fillId="0" borderId="5" xfId="2" applyFont="1" applyBorder="1" applyAlignment="1">
      <alignment vertical="top" wrapText="1"/>
    </xf>
    <xf numFmtId="0" fontId="6" fillId="0" borderId="12" xfId="0" applyFont="1" applyBorder="1" applyAlignment="1">
      <alignment horizontal="center" vertical="top" wrapText="1"/>
    </xf>
    <xf numFmtId="42" fontId="2" fillId="4" borderId="24" xfId="2" applyNumberFormat="1" applyFill="1" applyBorder="1"/>
    <xf numFmtId="42" fontId="6" fillId="0" borderId="12" xfId="2" applyNumberFormat="1" applyFont="1" applyBorder="1" applyAlignment="1">
      <alignment horizontal="center" vertical="top" wrapText="1"/>
    </xf>
    <xf numFmtId="42" fontId="6" fillId="0" borderId="0" xfId="2" applyNumberFormat="1" applyFont="1" applyBorder="1" applyAlignment="1">
      <alignment horizontal="center" vertical="top" wrapText="1"/>
    </xf>
    <xf numFmtId="42" fontId="2" fillId="4" borderId="0" xfId="2" applyNumberFormat="1" applyFill="1" applyBorder="1"/>
    <xf numFmtId="42" fontId="6" fillId="4" borderId="12" xfId="2" applyNumberFormat="1" applyFont="1" applyFill="1" applyBorder="1" applyAlignment="1">
      <alignment horizontal="center" vertical="top" wrapText="1"/>
    </xf>
    <xf numFmtId="42" fontId="6" fillId="4" borderId="0" xfId="2" applyNumberFormat="1" applyFont="1" applyFill="1" applyBorder="1" applyAlignment="1">
      <alignment horizontal="center" vertical="top" wrapText="1"/>
    </xf>
    <xf numFmtId="0" fontId="4" fillId="0" borderId="28" xfId="2" applyFont="1" applyBorder="1" applyAlignment="1">
      <alignment vertical="top" wrapText="1"/>
    </xf>
    <xf numFmtId="42" fontId="2" fillId="4" borderId="25" xfId="2" applyNumberFormat="1" applyFill="1" applyBorder="1"/>
    <xf numFmtId="42" fontId="6" fillId="4" borderId="27" xfId="2" applyNumberFormat="1" applyFont="1" applyFill="1" applyBorder="1" applyAlignment="1">
      <alignment horizontal="center" vertical="top" wrapText="1"/>
    </xf>
    <xf numFmtId="42" fontId="2" fillId="4" borderId="22" xfId="2" applyNumberFormat="1" applyFill="1" applyBorder="1"/>
    <xf numFmtId="0" fontId="6" fillId="0" borderId="26" xfId="0" applyFont="1" applyBorder="1" applyAlignment="1">
      <alignment horizontal="center" vertical="top" wrapText="1"/>
    </xf>
    <xf numFmtId="49" fontId="2" fillId="0" borderId="0" xfId="2" applyNumberFormat="1" applyAlignment="1">
      <alignment horizontal="right"/>
    </xf>
    <xf numFmtId="42" fontId="6" fillId="4" borderId="15" xfId="2" applyNumberFormat="1" applyFont="1" applyFill="1" applyBorder="1" applyAlignment="1">
      <alignment horizontal="center" vertical="top" wrapText="1"/>
    </xf>
    <xf numFmtId="49" fontId="2" fillId="7" borderId="0" xfId="2" applyNumberFormat="1" applyFont="1" applyFill="1" applyAlignment="1">
      <alignment horizontal="right"/>
    </xf>
    <xf numFmtId="42" fontId="2" fillId="0" borderId="0" xfId="2" applyNumberFormat="1" applyFill="1" applyBorder="1" applyAlignment="1">
      <alignment vertical="center"/>
    </xf>
    <xf numFmtId="42" fontId="2" fillId="0" borderId="12" xfId="2" applyNumberFormat="1" applyFont="1" applyBorder="1" applyAlignment="1">
      <alignment horizontal="center" vertical="top" wrapText="1"/>
    </xf>
    <xf numFmtId="42" fontId="2" fillId="0" borderId="0" xfId="2" applyNumberFormat="1" applyFont="1" applyBorder="1" applyAlignment="1">
      <alignment horizontal="center" vertical="top" wrapText="1"/>
    </xf>
    <xf numFmtId="42" fontId="2" fillId="0" borderId="24" xfId="2" applyNumberFormat="1" applyBorder="1"/>
    <xf numFmtId="42" fontId="2" fillId="0" borderId="0" xfId="2" applyNumberFormat="1" applyBorder="1"/>
    <xf numFmtId="42" fontId="2" fillId="0" borderId="24" xfId="2" applyNumberFormat="1" applyFont="1" applyBorder="1" applyAlignment="1">
      <alignment horizontal="center" vertical="top" wrapText="1"/>
    </xf>
    <xf numFmtId="0" fontId="6" fillId="8" borderId="12" xfId="0" applyFont="1" applyFill="1" applyBorder="1" applyAlignment="1">
      <alignment horizontal="center" vertical="top" wrapText="1"/>
    </xf>
    <xf numFmtId="42" fontId="6" fillId="8" borderId="24" xfId="2" applyNumberFormat="1" applyFont="1" applyFill="1" applyBorder="1" applyAlignment="1">
      <alignment horizontal="center" vertical="top" wrapText="1"/>
    </xf>
    <xf numFmtId="42" fontId="6" fillId="8" borderId="0" xfId="2" applyNumberFormat="1" applyFont="1" applyFill="1" applyBorder="1" applyAlignment="1">
      <alignment horizontal="center" vertical="top" wrapText="1"/>
    </xf>
    <xf numFmtId="38" fontId="2" fillId="7" borderId="0" xfId="2" applyNumberFormat="1" applyFont="1" applyFill="1"/>
    <xf numFmtId="49" fontId="2" fillId="7" borderId="0" xfId="2" applyNumberFormat="1" applyFont="1" applyFill="1" applyBorder="1" applyAlignment="1">
      <alignment horizontal="right"/>
    </xf>
    <xf numFmtId="38" fontId="2" fillId="7" borderId="0" xfId="2" applyNumberFormat="1" applyFont="1" applyFill="1" applyBorder="1"/>
    <xf numFmtId="42" fontId="6" fillId="0" borderId="24" xfId="2" applyNumberFormat="1" applyFont="1" applyBorder="1" applyAlignment="1">
      <alignment horizontal="center" vertical="top" wrapText="1"/>
    </xf>
    <xf numFmtId="0" fontId="2" fillId="0" borderId="24" xfId="2" applyBorder="1"/>
    <xf numFmtId="0" fontId="2" fillId="0" borderId="0" xfId="2" applyBorder="1"/>
    <xf numFmtId="42" fontId="6" fillId="0" borderId="26" xfId="2" applyNumberFormat="1" applyFont="1" applyBorder="1" applyAlignment="1">
      <alignment horizontal="center" vertical="top" wrapText="1"/>
    </xf>
    <xf numFmtId="42" fontId="2" fillId="0" borderId="0" xfId="2" applyNumberFormat="1"/>
    <xf numFmtId="42" fontId="2" fillId="0" borderId="29" xfId="2" applyNumberFormat="1" applyBorder="1"/>
    <xf numFmtId="0" fontId="2" fillId="0" borderId="0" xfId="2" applyNumberFormat="1" applyAlignment="1">
      <alignment horizontal="center"/>
    </xf>
    <xf numFmtId="0" fontId="2" fillId="4" borderId="0" xfId="2" applyFont="1" applyFill="1" applyAlignment="1">
      <alignment wrapText="1"/>
    </xf>
    <xf numFmtId="0" fontId="2" fillId="4" borderId="0" xfId="2" applyFont="1" applyFill="1"/>
    <xf numFmtId="0" fontId="6" fillId="4" borderId="30" xfId="2" applyFont="1" applyFill="1" applyBorder="1" applyAlignment="1">
      <alignment horizontal="center" vertical="top" wrapText="1"/>
    </xf>
    <xf numFmtId="0" fontId="6" fillId="4" borderId="31" xfId="2" applyFont="1" applyFill="1" applyBorder="1" applyAlignment="1">
      <alignment horizontal="center" vertical="top" wrapText="1"/>
    </xf>
    <xf numFmtId="0" fontId="2" fillId="0" borderId="32" xfId="2" applyBorder="1"/>
    <xf numFmtId="0" fontId="6" fillId="0" borderId="33" xfId="2" applyFont="1" applyBorder="1" applyAlignment="1">
      <alignment vertical="top"/>
    </xf>
    <xf numFmtId="0" fontId="2" fillId="0" borderId="9" xfId="2" applyBorder="1"/>
    <xf numFmtId="0" fontId="2" fillId="0" borderId="34" xfId="2" applyFont="1" applyBorder="1" applyAlignment="1">
      <alignment vertical="top" wrapText="1"/>
    </xf>
    <xf numFmtId="0" fontId="6" fillId="0" borderId="6" xfId="2" applyFont="1" applyBorder="1" applyAlignment="1">
      <alignment horizontal="center" vertical="top" wrapText="1"/>
    </xf>
    <xf numFmtId="0" fontId="19" fillId="0" borderId="35" xfId="14" applyBorder="1"/>
    <xf numFmtId="49" fontId="0" fillId="0" borderId="0" xfId="0" applyNumberFormat="1" applyAlignment="1">
      <alignment horizontal="right"/>
    </xf>
    <xf numFmtId="38" fontId="7" fillId="4" borderId="0" xfId="0" applyNumberFormat="1" applyFont="1" applyFill="1" applyBorder="1" applyAlignment="1">
      <alignment horizontal="center"/>
    </xf>
    <xf numFmtId="0" fontId="5" fillId="7" borderId="0" xfId="2" applyFont="1" applyFill="1" applyAlignment="1">
      <alignment horizontal="center"/>
    </xf>
    <xf numFmtId="0" fontId="5" fillId="7" borderId="0" xfId="2" quotePrefix="1" applyFont="1" applyFill="1" applyAlignment="1">
      <alignment horizontal="center"/>
    </xf>
    <xf numFmtId="0" fontId="5" fillId="0" borderId="0" xfId="14" applyFont="1" applyAlignment="1">
      <alignment horizontal="center" wrapText="1"/>
    </xf>
    <xf numFmtId="42" fontId="19" fillId="0" borderId="0" xfId="14" applyNumberFormat="1"/>
    <xf numFmtId="38" fontId="19" fillId="8" borderId="0" xfId="14" applyNumberFormat="1" applyFill="1"/>
    <xf numFmtId="41" fontId="19" fillId="0" borderId="0" xfId="14" applyNumberFormat="1"/>
    <xf numFmtId="41" fontId="19" fillId="4" borderId="0" xfId="14" applyNumberFormat="1" applyFill="1"/>
    <xf numFmtId="42" fontId="5" fillId="0" borderId="29" xfId="14" applyNumberFormat="1" applyFont="1" applyBorder="1"/>
    <xf numFmtId="0" fontId="5" fillId="8" borderId="0" xfId="14" applyFont="1" applyFill="1"/>
    <xf numFmtId="42" fontId="19" fillId="4" borderId="0" xfId="14" applyNumberFormat="1" applyFill="1"/>
    <xf numFmtId="0" fontId="5" fillId="0" borderId="0" xfId="14" applyFont="1" applyAlignment="1">
      <alignment horizontal="center"/>
    </xf>
    <xf numFmtId="0" fontId="19" fillId="0" borderId="0" xfId="14" applyAlignment="1">
      <alignment horizontal="left"/>
    </xf>
    <xf numFmtId="0" fontId="2" fillId="10" borderId="0" xfId="2" applyFill="1"/>
    <xf numFmtId="0" fontId="19" fillId="10" borderId="0" xfId="14" applyFill="1"/>
    <xf numFmtId="0" fontId="0" fillId="0" borderId="0" xfId="0" applyFont="1" applyProtection="1"/>
    <xf numFmtId="0" fontId="19" fillId="0" borderId="0" xfId="14" applyNumberFormat="1" applyAlignment="1">
      <alignment horizontal="center"/>
    </xf>
    <xf numFmtId="0" fontId="5" fillId="5" borderId="0" xfId="0" applyFont="1" applyFill="1" applyBorder="1"/>
    <xf numFmtId="0" fontId="5" fillId="0" borderId="0" xfId="0" applyFont="1" applyFill="1" applyBorder="1" applyAlignment="1">
      <alignment horizontal="center" wrapText="1"/>
    </xf>
    <xf numFmtId="42" fontId="11" fillId="4" borderId="0" xfId="4" applyNumberFormat="1" applyFont="1" applyFill="1" applyBorder="1"/>
    <xf numFmtId="42" fontId="5" fillId="0" borderId="7" xfId="0" applyNumberFormat="1" applyFont="1" applyFill="1" applyBorder="1" applyAlignment="1">
      <alignment horizontal="center" wrapText="1"/>
    </xf>
    <xf numFmtId="42" fontId="2" fillId="6" borderId="7" xfId="0" applyNumberFormat="1" applyFont="1" applyFill="1" applyBorder="1"/>
    <xf numFmtId="42" fontId="2" fillId="7" borderId="7" xfId="0" applyNumberFormat="1" applyFont="1" applyFill="1" applyBorder="1"/>
    <xf numFmtId="42" fontId="2" fillId="0" borderId="0" xfId="0" applyNumberFormat="1" applyFont="1" applyFill="1" applyBorder="1" applyAlignment="1">
      <alignment horizontal="center" wrapText="1"/>
    </xf>
    <xf numFmtId="42" fontId="11" fillId="4" borderId="7" xfId="4" applyNumberFormat="1" applyFont="1" applyFill="1" applyBorder="1" applyAlignment="1">
      <alignment horizontal="center"/>
    </xf>
    <xf numFmtId="42" fontId="2" fillId="3" borderId="0" xfId="0" applyNumberFormat="1" applyFont="1" applyFill="1"/>
    <xf numFmtId="42" fontId="2" fillId="0" borderId="0" xfId="0" applyNumberFormat="1" applyFont="1" applyFill="1" applyBorder="1"/>
    <xf numFmtId="0" fontId="19" fillId="32" borderId="0" xfId="14" applyFill="1" applyAlignment="1">
      <alignment horizontal="center"/>
    </xf>
    <xf numFmtId="42" fontId="2" fillId="0" borderId="0" xfId="0" applyNumberFormat="1" applyFont="1" applyFill="1"/>
    <xf numFmtId="0" fontId="2" fillId="0" borderId="0" xfId="76" applyAlignment="1">
      <alignment horizontal="center"/>
    </xf>
    <xf numFmtId="0" fontId="2" fillId="0" borderId="0" xfId="76"/>
    <xf numFmtId="0" fontId="0" fillId="0" borderId="0" xfId="76" applyFont="1"/>
    <xf numFmtId="0" fontId="2" fillId="0" borderId="0" xfId="2" applyAlignment="1">
      <alignment horizontal="center" wrapText="1"/>
    </xf>
    <xf numFmtId="0" fontId="5" fillId="0" borderId="6" xfId="2" applyFont="1" applyBorder="1" applyAlignment="1">
      <alignment horizontal="center" wrapText="1"/>
    </xf>
    <xf numFmtId="0" fontId="5" fillId="0" borderId="0" xfId="76" applyFont="1" applyAlignment="1">
      <alignment horizontal="center"/>
    </xf>
    <xf numFmtId="0" fontId="5" fillId="0" borderId="0" xfId="76" applyFont="1" applyAlignment="1">
      <alignment horizontal="center" wrapText="1"/>
    </xf>
    <xf numFmtId="49" fontId="2" fillId="0" borderId="0" xfId="2" applyNumberFormat="1" applyAlignment="1">
      <alignment horizontal="center"/>
    </xf>
    <xf numFmtId="38" fontId="2" fillId="8" borderId="0" xfId="76" applyNumberFormat="1" applyFill="1"/>
    <xf numFmtId="42" fontId="2" fillId="4" borderId="0" xfId="76" applyNumberFormat="1" applyFill="1"/>
    <xf numFmtId="41" fontId="2" fillId="4" borderId="0" xfId="76" applyNumberFormat="1" applyFill="1"/>
    <xf numFmtId="41" fontId="0" fillId="4" borderId="0" xfId="76" applyNumberFormat="1" applyFont="1" applyFill="1" applyBorder="1" applyAlignment="1">
      <alignment horizontal="center"/>
    </xf>
    <xf numFmtId="0" fontId="5" fillId="8" borderId="0" xfId="76" applyFont="1" applyFill="1"/>
    <xf numFmtId="42" fontId="5" fillId="0" borderId="29" xfId="76" applyNumberFormat="1" applyFont="1" applyBorder="1"/>
    <xf numFmtId="0" fontId="2" fillId="0" borderId="0" xfId="76" applyAlignment="1">
      <alignment horizontal="left"/>
    </xf>
    <xf numFmtId="42" fontId="2" fillId="0" borderId="0" xfId="76" applyNumberFormat="1"/>
    <xf numFmtId="0" fontId="2" fillId="4" borderId="0" xfId="76" applyFill="1"/>
    <xf numFmtId="0" fontId="5" fillId="4" borderId="0" xfId="76" applyFont="1" applyFill="1" applyAlignment="1">
      <alignment horizontal="center"/>
    </xf>
    <xf numFmtId="0" fontId="0" fillId="0" borderId="0" xfId="76" applyFont="1" applyAlignment="1">
      <alignment horizontal="center"/>
    </xf>
    <xf numFmtId="0" fontId="2" fillId="4" borderId="0" xfId="76" applyFill="1" applyAlignment="1">
      <alignment horizontal="left"/>
    </xf>
    <xf numFmtId="0" fontId="0" fillId="4" borderId="0" xfId="76" applyFont="1" applyFill="1"/>
    <xf numFmtId="0" fontId="2" fillId="4" borderId="0" xfId="76" applyFill="1" applyAlignment="1">
      <alignment horizontal="center"/>
    </xf>
    <xf numFmtId="41" fontId="5" fillId="0" borderId="0" xfId="76" applyNumberFormat="1" applyFont="1"/>
    <xf numFmtId="0" fontId="5" fillId="4" borderId="0" xfId="76" applyFont="1" applyFill="1"/>
    <xf numFmtId="15" fontId="5" fillId="7" borderId="0" xfId="2" applyNumberFormat="1" applyFont="1" applyFill="1" applyAlignment="1">
      <alignment horizontal="center"/>
    </xf>
    <xf numFmtId="49" fontId="0" fillId="0" borderId="0" xfId="2" applyNumberFormat="1" applyFont="1" applyAlignment="1">
      <alignment horizontal="center"/>
    </xf>
    <xf numFmtId="38" fontId="7" fillId="4" borderId="0" xfId="0" applyNumberFormat="1" applyFont="1" applyFill="1" applyBorder="1" applyAlignment="1">
      <alignment horizontal="center"/>
    </xf>
    <xf numFmtId="0" fontId="0" fillId="0" borderId="11" xfId="0" applyBorder="1" applyAlignment="1">
      <alignment horizontal="center"/>
    </xf>
    <xf numFmtId="0" fontId="0" fillId="0" borderId="0" xfId="14" applyFont="1"/>
    <xf numFmtId="0" fontId="2" fillId="0" borderId="0" xfId="66"/>
    <xf numFmtId="0" fontId="6" fillId="0" borderId="0" xfId="66" applyFont="1"/>
    <xf numFmtId="164" fontId="40" fillId="0" borderId="0" xfId="77" applyNumberFormat="1" applyFont="1" applyFill="1" applyBorder="1" applyAlignment="1" applyProtection="1">
      <alignment horizontal="center"/>
    </xf>
    <xf numFmtId="0" fontId="6" fillId="0" borderId="0" xfId="66" applyFont="1" applyAlignment="1">
      <alignment horizontal="center"/>
    </xf>
    <xf numFmtId="0" fontId="6" fillId="0" borderId="0" xfId="78" applyFont="1"/>
    <xf numFmtId="39" fontId="5" fillId="0" borderId="0" xfId="2" applyNumberFormat="1" applyFont="1" applyAlignment="1">
      <alignment horizontal="center"/>
    </xf>
    <xf numFmtId="39" fontId="5" fillId="0" borderId="0" xfId="78" applyNumberFormat="1" applyFont="1" applyAlignment="1">
      <alignment horizontal="center"/>
    </xf>
    <xf numFmtId="0" fontId="41" fillId="0" borderId="11" xfId="78" applyBorder="1" applyAlignment="1"/>
    <xf numFmtId="0" fontId="41" fillId="0" borderId="14" xfId="78" applyBorder="1" applyAlignment="1"/>
    <xf numFmtId="0" fontId="2" fillId="0" borderId="0" xfId="66" applyAlignment="1">
      <alignment horizontal="center"/>
    </xf>
    <xf numFmtId="0" fontId="41" fillId="0" borderId="0" xfId="78"/>
    <xf numFmtId="0" fontId="2" fillId="0" borderId="0" xfId="66" applyFont="1" applyAlignment="1">
      <alignment horizontal="center" wrapText="1"/>
    </xf>
    <xf numFmtId="0" fontId="42" fillId="0" borderId="0" xfId="66" applyFont="1" applyAlignment="1">
      <alignment horizontal="center"/>
    </xf>
    <xf numFmtId="39" fontId="5" fillId="0" borderId="6" xfId="2" applyNumberFormat="1" applyFont="1" applyBorder="1" applyAlignment="1">
      <alignment horizontal="center"/>
    </xf>
    <xf numFmtId="39" fontId="5" fillId="0" borderId="0" xfId="78" applyNumberFormat="1" applyFont="1" applyBorder="1" applyAlignment="1">
      <alignment horizontal="center"/>
    </xf>
    <xf numFmtId="0" fontId="11" fillId="0" borderId="13" xfId="78" applyFont="1" applyBorder="1" applyAlignment="1">
      <alignment horizontal="center" wrapText="1"/>
    </xf>
    <xf numFmtId="0" fontId="41" fillId="0" borderId="11" xfId="78" applyBorder="1" applyAlignment="1">
      <alignment horizontal="center"/>
    </xf>
    <xf numFmtId="0" fontId="44" fillId="0" borderId="14" xfId="79" applyFont="1" applyBorder="1"/>
    <xf numFmtId="0" fontId="41" fillId="34" borderId="0" xfId="78" applyFill="1"/>
    <xf numFmtId="0" fontId="2" fillId="0" borderId="0" xfId="60" applyFont="1"/>
    <xf numFmtId="3" fontId="2" fillId="0" borderId="0" xfId="80" applyNumberFormat="1" applyFont="1"/>
    <xf numFmtId="4" fontId="2" fillId="0" borderId="0" xfId="60" applyNumberFormat="1" applyFont="1"/>
    <xf numFmtId="0" fontId="41" fillId="34" borderId="0" xfId="78" quotePrefix="1" applyNumberFormat="1" applyFill="1" applyAlignment="1">
      <alignment horizontal="center"/>
    </xf>
    <xf numFmtId="4" fontId="41" fillId="0" borderId="0" xfId="78" applyNumberFormat="1" applyFill="1"/>
    <xf numFmtId="0" fontId="2" fillId="0" borderId="0" xfId="66" applyFont="1"/>
    <xf numFmtId="0" fontId="2" fillId="0" borderId="0" xfId="60" applyFont="1" applyAlignment="1">
      <alignment horizontal="center"/>
    </xf>
    <xf numFmtId="4" fontId="2" fillId="0" borderId="0" xfId="60" applyNumberFormat="1" applyFont="1" applyAlignment="1">
      <alignment horizontal="center"/>
    </xf>
    <xf numFmtId="4" fontId="41" fillId="0" borderId="0" xfId="78" applyNumberFormat="1"/>
    <xf numFmtId="0" fontId="41" fillId="0" borderId="0" xfId="78" quotePrefix="1" applyNumberFormat="1" applyFill="1"/>
    <xf numFmtId="0" fontId="41" fillId="0" borderId="0" xfId="78" quotePrefix="1" applyNumberFormat="1"/>
    <xf numFmtId="0" fontId="2" fillId="34" borderId="0" xfId="78" applyFont="1" applyFill="1"/>
    <xf numFmtId="4" fontId="2" fillId="4" borderId="0" xfId="60" applyNumberFormat="1" applyFont="1" applyFill="1"/>
    <xf numFmtId="3" fontId="2" fillId="0" borderId="0" xfId="60" applyNumberFormat="1" applyFont="1"/>
    <xf numFmtId="3" fontId="2" fillId="0" borderId="0" xfId="60" quotePrefix="1" applyNumberFormat="1" applyFont="1"/>
    <xf numFmtId="4" fontId="2" fillId="0" borderId="11" xfId="60" applyNumberFormat="1" applyFont="1" applyBorder="1"/>
    <xf numFmtId="4" fontId="5" fillId="0" borderId="11" xfId="60" applyNumberFormat="1" applyFont="1" applyBorder="1"/>
    <xf numFmtId="0" fontId="2" fillId="0" borderId="0" xfId="80" applyFont="1"/>
    <xf numFmtId="0" fontId="5" fillId="33" borderId="8" xfId="0" quotePrefix="1" applyNumberFormat="1" applyFont="1" applyFill="1" applyBorder="1" applyAlignment="1">
      <alignment horizontal="center" wrapText="1"/>
    </xf>
    <xf numFmtId="42" fontId="9" fillId="4" borderId="0" xfId="0" applyNumberFormat="1" applyFont="1" applyFill="1" applyBorder="1" applyAlignment="1">
      <alignment horizontal="center"/>
    </xf>
    <xf numFmtId="38" fontId="0" fillId="0" borderId="13" xfId="0" applyNumberFormat="1" applyFont="1" applyFill="1" applyBorder="1"/>
    <xf numFmtId="38" fontId="5" fillId="0" borderId="14" xfId="0" applyNumberFormat="1" applyFont="1" applyFill="1" applyBorder="1"/>
    <xf numFmtId="0" fontId="2" fillId="0" borderId="11" xfId="0" applyFont="1" applyBorder="1"/>
    <xf numFmtId="41" fontId="5" fillId="0" borderId="11" xfId="0" applyNumberFormat="1" applyFont="1" applyFill="1" applyBorder="1"/>
    <xf numFmtId="39" fontId="5" fillId="0" borderId="10" xfId="0" applyNumberFormat="1" applyFont="1" applyBorder="1"/>
    <xf numFmtId="0" fontId="2" fillId="0" borderId="11" xfId="0" applyFont="1" applyFill="1" applyBorder="1"/>
    <xf numFmtId="0" fontId="0" fillId="33" borderId="8" xfId="0" quotePrefix="1" applyNumberFormat="1" applyFill="1" applyBorder="1" applyAlignment="1">
      <alignment horizontal="center" wrapText="1"/>
    </xf>
    <xf numFmtId="0" fontId="11" fillId="0" borderId="8" xfId="0" applyFont="1" applyBorder="1"/>
    <xf numFmtId="166" fontId="5" fillId="0" borderId="10" xfId="0" applyNumberFormat="1" applyFont="1" applyBorder="1"/>
    <xf numFmtId="0" fontId="0" fillId="0" borderId="8" xfId="0" quotePrefix="1" applyNumberFormat="1" applyFill="1" applyBorder="1" applyAlignment="1">
      <alignment horizontal="center" wrapText="1"/>
    </xf>
    <xf numFmtId="39" fontId="0" fillId="0" borderId="7" xfId="0" applyNumberFormat="1" applyFont="1" applyFill="1" applyBorder="1"/>
    <xf numFmtId="0" fontId="0" fillId="0" borderId="10" xfId="0" applyFont="1" applyBorder="1" applyAlignment="1">
      <alignment horizontal="center"/>
    </xf>
    <xf numFmtId="0" fontId="0" fillId="0" borderId="0" xfId="0" applyFont="1" applyAlignment="1">
      <alignment horizontal="center"/>
    </xf>
    <xf numFmtId="42" fontId="2" fillId="0" borderId="6" xfId="0" applyNumberFormat="1" applyFont="1" applyFill="1" applyBorder="1"/>
    <xf numFmtId="166" fontId="5" fillId="0" borderId="7" xfId="0" applyNumberFormat="1" applyFont="1" applyBorder="1"/>
    <xf numFmtId="0" fontId="0" fillId="0" borderId="7" xfId="0" quotePrefix="1" applyNumberFormat="1" applyFill="1" applyBorder="1" applyAlignment="1">
      <alignment horizontal="center" wrapText="1"/>
    </xf>
    <xf numFmtId="0" fontId="0" fillId="0" borderId="0" xfId="0" applyFont="1" applyBorder="1" applyAlignment="1">
      <alignment horizontal="center"/>
    </xf>
    <xf numFmtId="44" fontId="2" fillId="4" borderId="0" xfId="0" applyNumberFormat="1" applyFont="1" applyFill="1" applyBorder="1"/>
    <xf numFmtId="44" fontId="2" fillId="4" borderId="0" xfId="2" applyNumberFormat="1" applyFont="1" applyFill="1" applyBorder="1"/>
    <xf numFmtId="39" fontId="5" fillId="33" borderId="7" xfId="0" quotePrefix="1" applyNumberFormat="1" applyFont="1" applyFill="1" applyBorder="1" applyAlignment="1">
      <alignment horizontal="center" wrapText="1"/>
    </xf>
    <xf numFmtId="166" fontId="0" fillId="33" borderId="7" xfId="0" quotePrefix="1" applyNumberFormat="1" applyFill="1" applyBorder="1" applyAlignment="1">
      <alignment horizontal="center" wrapText="1"/>
    </xf>
    <xf numFmtId="39" fontId="0" fillId="0" borderId="7" xfId="0" quotePrefix="1" applyNumberFormat="1" applyFill="1" applyBorder="1" applyAlignment="1">
      <alignment horizontal="center" wrapText="1"/>
    </xf>
    <xf numFmtId="44" fontId="9" fillId="0" borderId="0" xfId="2" applyNumberFormat="1" applyFont="1"/>
    <xf numFmtId="42" fontId="2" fillId="0" borderId="0" xfId="0" applyNumberFormat="1" applyFont="1" applyAlignment="1"/>
    <xf numFmtId="0" fontId="2" fillId="32" borderId="0" xfId="2" applyFont="1" applyFill="1"/>
    <xf numFmtId="41" fontId="2" fillId="0" borderId="0" xfId="0" applyNumberFormat="1" applyFont="1" applyAlignment="1">
      <alignment horizontal="center"/>
    </xf>
    <xf numFmtId="0" fontId="2" fillId="7" borderId="0" xfId="2" applyFill="1"/>
    <xf numFmtId="164" fontId="40" fillId="0" borderId="24" xfId="77" applyNumberFormat="1" applyFont="1" applyFill="1" applyBorder="1" applyAlignment="1" applyProtection="1">
      <alignment horizontal="center"/>
    </xf>
    <xf numFmtId="38" fontId="47" fillId="7" borderId="0" xfId="1" applyNumberFormat="1" applyFont="1" applyFill="1" applyAlignment="1" applyProtection="1"/>
    <xf numFmtId="0" fontId="2" fillId="0" borderId="6" xfId="2" applyBorder="1" applyAlignment="1">
      <alignment horizontal="center" wrapText="1"/>
    </xf>
    <xf numFmtId="0" fontId="48" fillId="0" borderId="0" xfId="2" quotePrefix="1" applyFont="1" applyFill="1" applyBorder="1" applyAlignment="1">
      <alignment horizontal="center" wrapText="1"/>
    </xf>
    <xf numFmtId="0" fontId="5" fillId="0" borderId="6" xfId="76" applyFont="1" applyBorder="1" applyAlignment="1">
      <alignment horizontal="center" wrapText="1"/>
    </xf>
    <xf numFmtId="0" fontId="5" fillId="0" borderId="0" xfId="2" applyFont="1" applyBorder="1" applyAlignment="1">
      <alignment horizontal="center" wrapText="1"/>
    </xf>
    <xf numFmtId="0" fontId="5" fillId="4" borderId="0" xfId="76" applyFont="1" applyFill="1" applyBorder="1" applyAlignment="1">
      <alignment horizontal="center"/>
    </xf>
    <xf numFmtId="0" fontId="5" fillId="7" borderId="0" xfId="2" applyFont="1" applyFill="1"/>
    <xf numFmtId="0" fontId="6" fillId="0" borderId="0" xfId="2" applyFont="1" applyAlignment="1">
      <alignment horizontal="left"/>
    </xf>
    <xf numFmtId="0" fontId="6" fillId="0" borderId="0" xfId="2" applyFont="1" applyAlignment="1">
      <alignment horizontal="center"/>
    </xf>
    <xf numFmtId="0" fontId="6" fillId="0" borderId="0" xfId="2" applyFont="1" applyAlignment="1">
      <alignment vertical="center"/>
    </xf>
    <xf numFmtId="0" fontId="4" fillId="0" borderId="36" xfId="2" applyFont="1" applyFill="1" applyBorder="1" applyAlignment="1">
      <alignment horizontal="center" wrapText="1"/>
    </xf>
    <xf numFmtId="0" fontId="4" fillId="0" borderId="23" xfId="2" applyFont="1" applyFill="1" applyBorder="1" applyAlignment="1">
      <alignment horizontal="center" wrapText="1"/>
    </xf>
    <xf numFmtId="0" fontId="4" fillId="0" borderId="0" xfId="2" quotePrefix="1" applyFont="1" applyFill="1" applyAlignment="1">
      <alignment horizontal="center" wrapText="1"/>
    </xf>
    <xf numFmtId="0" fontId="6" fillId="0" borderId="0" xfId="2" quotePrefix="1" applyFont="1" applyFill="1" applyAlignment="1">
      <alignment horizontal="center" wrapText="1"/>
    </xf>
    <xf numFmtId="0" fontId="4" fillId="0" borderId="0" xfId="2" applyFont="1" applyBorder="1" applyAlignment="1">
      <alignment horizontal="center"/>
    </xf>
    <xf numFmtId="0" fontId="6" fillId="0" borderId="0" xfId="2" applyFont="1"/>
    <xf numFmtId="0" fontId="2" fillId="0" borderId="0" xfId="2" applyAlignment="1"/>
    <xf numFmtId="0" fontId="2" fillId="0" borderId="0" xfId="2" applyAlignment="1">
      <alignment vertical="center"/>
    </xf>
    <xf numFmtId="0" fontId="9" fillId="0" borderId="0" xfId="0" quotePrefix="1" applyNumberFormat="1" applyFont="1" applyAlignment="1">
      <alignment horizontal="center" wrapText="1"/>
    </xf>
    <xf numFmtId="0" fontId="0" fillId="0" borderId="0" xfId="0" quotePrefix="1" applyNumberFormat="1" applyBorder="1" applyAlignment="1">
      <alignment horizontal="center" wrapText="1"/>
    </xf>
    <xf numFmtId="0" fontId="0" fillId="0" borderId="26" xfId="0" quotePrefix="1" applyNumberFormat="1" applyBorder="1" applyAlignment="1">
      <alignment horizontal="center" wrapText="1"/>
    </xf>
    <xf numFmtId="2" fontId="9" fillId="0" borderId="0" xfId="0" quotePrefix="1" applyNumberFormat="1" applyFont="1" applyAlignment="1">
      <alignment horizontal="center" wrapText="1"/>
    </xf>
    <xf numFmtId="0" fontId="5" fillId="0" borderId="0" xfId="2" applyFont="1" applyBorder="1" applyAlignment="1">
      <alignment horizontal="center"/>
    </xf>
    <xf numFmtId="167" fontId="2" fillId="7" borderId="0" xfId="2" applyNumberFormat="1" applyFont="1" applyFill="1" applyAlignment="1">
      <alignment horizontal="center"/>
    </xf>
    <xf numFmtId="41" fontId="0" fillId="10" borderId="28" xfId="0" applyNumberFormat="1" applyFill="1" applyBorder="1" applyAlignment="1">
      <alignment horizontal="center"/>
    </xf>
    <xf numFmtId="41" fontId="2" fillId="5" borderId="0" xfId="1" applyNumberFormat="1" applyFill="1" applyBorder="1"/>
    <xf numFmtId="168" fontId="2" fillId="5" borderId="0" xfId="1" applyNumberFormat="1" applyFill="1" applyBorder="1"/>
    <xf numFmtId="41" fontId="2" fillId="5" borderId="26" xfId="1" applyNumberFormat="1" applyFill="1" applyBorder="1"/>
    <xf numFmtId="0" fontId="2" fillId="0" borderId="0" xfId="2" applyFill="1" applyAlignment="1">
      <alignment horizontal="center"/>
    </xf>
    <xf numFmtId="0" fontId="2" fillId="0" borderId="0" xfId="2" applyFill="1"/>
    <xf numFmtId="41" fontId="2" fillId="5" borderId="28" xfId="1" applyNumberFormat="1" applyFill="1" applyBorder="1"/>
    <xf numFmtId="43" fontId="2" fillId="4" borderId="0" xfId="1" applyFill="1"/>
    <xf numFmtId="37" fontId="2" fillId="7" borderId="0" xfId="2" applyNumberFormat="1" applyFill="1"/>
    <xf numFmtId="38" fontId="2" fillId="7" borderId="6" xfId="2" applyNumberFormat="1" applyFont="1" applyFill="1" applyBorder="1"/>
    <xf numFmtId="167" fontId="2" fillId="7" borderId="6" xfId="2" applyNumberFormat="1" applyFont="1" applyFill="1" applyBorder="1" applyAlignment="1">
      <alignment horizontal="center"/>
    </xf>
    <xf numFmtId="0" fontId="2" fillId="0" borderId="29" xfId="2" applyBorder="1" applyAlignment="1">
      <alignment horizontal="center"/>
    </xf>
    <xf numFmtId="0" fontId="5" fillId="0" borderId="29" xfId="2" applyFont="1" applyBorder="1"/>
    <xf numFmtId="0" fontId="2" fillId="0" borderId="29" xfId="2" applyFont="1" applyBorder="1" applyAlignment="1">
      <alignment horizontal="center"/>
    </xf>
    <xf numFmtId="167" fontId="2" fillId="0" borderId="29" xfId="2" applyNumberFormat="1" applyBorder="1" applyAlignment="1">
      <alignment horizontal="center"/>
    </xf>
    <xf numFmtId="42" fontId="5" fillId="5" borderId="37" xfId="1" applyNumberFormat="1" applyFont="1" applyFill="1" applyBorder="1"/>
    <xf numFmtId="41" fontId="5" fillId="5" borderId="38" xfId="1" applyNumberFormat="1" applyFont="1" applyFill="1" applyBorder="1"/>
    <xf numFmtId="168" fontId="5" fillId="5" borderId="38" xfId="1" applyNumberFormat="1" applyFont="1" applyFill="1" applyBorder="1"/>
    <xf numFmtId="42" fontId="5" fillId="5" borderId="38" xfId="1" applyNumberFormat="1" applyFont="1" applyFill="1" applyBorder="1"/>
    <xf numFmtId="42" fontId="5" fillId="5" borderId="39" xfId="1" applyNumberFormat="1" applyFont="1" applyFill="1" applyBorder="1"/>
    <xf numFmtId="43" fontId="5" fillId="0" borderId="0" xfId="2" applyNumberFormat="1" applyFont="1" applyBorder="1"/>
    <xf numFmtId="0" fontId="2" fillId="7" borderId="0" xfId="2" applyFill="1" applyAlignment="1">
      <alignment horizontal="center"/>
    </xf>
    <xf numFmtId="43" fontId="2" fillId="7" borderId="0" xfId="1" applyFill="1"/>
    <xf numFmtId="0" fontId="2" fillId="0" borderId="0" xfId="2" applyFill="1" applyBorder="1" applyAlignment="1">
      <alignment horizontal="center"/>
    </xf>
    <xf numFmtId="0" fontId="2" fillId="0" borderId="0" xfId="2" applyFill="1" applyBorder="1"/>
    <xf numFmtId="0" fontId="2" fillId="0" borderId="0" xfId="2" applyFont="1" applyFill="1" applyBorder="1" applyAlignment="1">
      <alignment horizontal="center"/>
    </xf>
    <xf numFmtId="0" fontId="2" fillId="0" borderId="0" xfId="2" applyFill="1" applyBorder="1" applyAlignment="1">
      <alignment wrapText="1"/>
    </xf>
    <xf numFmtId="0" fontId="2" fillId="0" borderId="0" xfId="2" applyFont="1" applyFill="1" applyBorder="1" applyAlignment="1">
      <alignment wrapText="1"/>
    </xf>
    <xf numFmtId="0" fontId="2" fillId="0" borderId="0" xfId="2" applyFont="1" applyFill="1" applyBorder="1"/>
    <xf numFmtId="0" fontId="2" fillId="0" borderId="0" xfId="59" applyFill="1" applyBorder="1" applyAlignment="1">
      <alignment wrapText="1"/>
    </xf>
    <xf numFmtId="0" fontId="5" fillId="0" borderId="0" xfId="59" applyFont="1" applyFill="1" applyBorder="1" applyAlignment="1">
      <alignment wrapText="1"/>
    </xf>
    <xf numFmtId="0" fontId="0" fillId="0" borderId="0" xfId="59" applyFont="1" applyFill="1" applyBorder="1" applyAlignment="1">
      <alignment wrapText="1"/>
    </xf>
    <xf numFmtId="0" fontId="2" fillId="0" borderId="0" xfId="2" applyFill="1" applyBorder="1" applyAlignment="1">
      <alignment horizontal="left"/>
    </xf>
    <xf numFmtId="169" fontId="2" fillId="7" borderId="0" xfId="72" applyNumberFormat="1" applyFill="1"/>
    <xf numFmtId="0" fontId="2" fillId="32" borderId="0" xfId="2" applyFill="1" applyAlignment="1">
      <alignment horizontal="center"/>
    </xf>
    <xf numFmtId="42" fontId="5" fillId="5" borderId="29" xfId="1" applyNumberFormat="1" applyFont="1" applyFill="1" applyBorder="1"/>
    <xf numFmtId="43" fontId="2" fillId="7" borderId="0" xfId="2" applyNumberFormat="1" applyFill="1"/>
    <xf numFmtId="41" fontId="5" fillId="7" borderId="0" xfId="2" applyNumberFormat="1" applyFont="1" applyFill="1"/>
    <xf numFmtId="0" fontId="2" fillId="5" borderId="0" xfId="2" applyFill="1"/>
    <xf numFmtId="0" fontId="4" fillId="0" borderId="0" xfId="0" applyFont="1" applyBorder="1"/>
    <xf numFmtId="0" fontId="5" fillId="0" borderId="0" xfId="2" applyFont="1" applyBorder="1"/>
    <xf numFmtId="0" fontId="5" fillId="0" borderId="0" xfId="0" applyFont="1" applyBorder="1" applyAlignment="1">
      <alignment horizontal="center"/>
    </xf>
    <xf numFmtId="0" fontId="5" fillId="0" borderId="22" xfId="0" applyFont="1" applyBorder="1" applyAlignment="1">
      <alignment horizontal="center"/>
    </xf>
    <xf numFmtId="0" fontId="2" fillId="0" borderId="0" xfId="2" applyAlignment="1">
      <alignment horizontal="center" vertical="top"/>
    </xf>
    <xf numFmtId="0" fontId="5" fillId="0" borderId="27" xfId="0" applyFont="1" applyBorder="1" applyAlignment="1">
      <alignment horizontal="center"/>
    </xf>
    <xf numFmtId="0" fontId="2" fillId="0" borderId="0" xfId="2" applyBorder="1" applyAlignment="1">
      <alignment horizontal="center"/>
    </xf>
    <xf numFmtId="0" fontId="2" fillId="0" borderId="27" xfId="2" applyBorder="1" applyAlignment="1">
      <alignment horizontal="center"/>
    </xf>
    <xf numFmtId="0" fontId="4" fillId="8" borderId="0" xfId="2" applyFont="1" applyFill="1" applyBorder="1" applyAlignment="1">
      <alignment vertical="top" wrapText="1"/>
    </xf>
    <xf numFmtId="0" fontId="49" fillId="0" borderId="0" xfId="84" applyBorder="1" applyAlignment="1" applyProtection="1">
      <alignment horizontal="center" vertical="top" wrapText="1"/>
    </xf>
    <xf numFmtId="0" fontId="49" fillId="0" borderId="27" xfId="84" applyBorder="1" applyAlignment="1" applyProtection="1">
      <alignment horizontal="center" vertical="top" wrapText="1"/>
    </xf>
    <xf numFmtId="0" fontId="49" fillId="0" borderId="0" xfId="84" applyAlignment="1" applyProtection="1">
      <alignment horizontal="center" vertical="top"/>
    </xf>
    <xf numFmtId="0" fontId="49" fillId="0" borderId="0" xfId="84" applyBorder="1" applyAlignment="1" applyProtection="1">
      <alignment vertical="top" wrapText="1"/>
    </xf>
    <xf numFmtId="0" fontId="6" fillId="0" borderId="27" xfId="2" applyFont="1" applyBorder="1" applyAlignment="1">
      <alignment horizontal="center" vertical="top" wrapText="1"/>
    </xf>
    <xf numFmtId="0" fontId="4" fillId="0" borderId="0" xfId="2" applyFont="1" applyBorder="1" applyAlignment="1">
      <alignment horizontal="center" vertical="top" wrapText="1"/>
    </xf>
    <xf numFmtId="0" fontId="4" fillId="0" borderId="27" xfId="2" applyFont="1" applyBorder="1" applyAlignment="1">
      <alignment horizontal="center" vertical="top" wrapText="1"/>
    </xf>
    <xf numFmtId="0" fontId="41" fillId="8" borderId="0" xfId="83" applyFill="1"/>
    <xf numFmtId="0" fontId="49" fillId="0" borderId="0" xfId="84" applyAlignment="1" applyProtection="1">
      <alignment horizontal="center"/>
    </xf>
    <xf numFmtId="0" fontId="49" fillId="0" borderId="27" xfId="84" applyBorder="1" applyAlignment="1" applyProtection="1">
      <alignment horizontal="center" wrapText="1"/>
    </xf>
    <xf numFmtId="0" fontId="49" fillId="0" borderId="0" xfId="84" applyBorder="1" applyAlignment="1" applyProtection="1">
      <alignment horizontal="center" wrapText="1"/>
    </xf>
    <xf numFmtId="0" fontId="49" fillId="0" borderId="15" xfId="84" applyBorder="1" applyAlignment="1" applyProtection="1">
      <alignment horizontal="center" wrapText="1"/>
    </xf>
    <xf numFmtId="0" fontId="4" fillId="0" borderId="0" xfId="2" applyFont="1" applyFill="1" applyBorder="1" applyAlignment="1">
      <alignment vertical="top" wrapText="1"/>
    </xf>
    <xf numFmtId="0" fontId="40" fillId="0" borderId="0" xfId="77" applyBorder="1" applyAlignment="1" applyProtection="1">
      <alignment vertical="top" wrapText="1"/>
    </xf>
    <xf numFmtId="0" fontId="6" fillId="0" borderId="0" xfId="2" applyFont="1" applyBorder="1" applyAlignment="1">
      <alignment horizontal="center" wrapText="1"/>
    </xf>
    <xf numFmtId="0" fontId="2" fillId="33" borderId="0" xfId="83" applyFont="1" applyFill="1" applyAlignment="1"/>
    <xf numFmtId="0" fontId="41" fillId="0" borderId="11" xfId="83" applyBorder="1" applyAlignment="1"/>
    <xf numFmtId="0" fontId="41" fillId="33" borderId="0" xfId="83" applyFill="1" applyAlignment="1"/>
    <xf numFmtId="0" fontId="5" fillId="33" borderId="11" xfId="83" applyNumberFormat="1" applyFont="1" applyFill="1" applyBorder="1" applyAlignment="1">
      <alignment horizontal="center" wrapText="1"/>
    </xf>
    <xf numFmtId="0" fontId="44" fillId="0" borderId="0" xfId="79" applyFont="1"/>
    <xf numFmtId="0" fontId="5" fillId="33" borderId="0" xfId="83" applyNumberFormat="1" applyFont="1" applyFill="1" applyAlignment="1"/>
    <xf numFmtId="0" fontId="1" fillId="0" borderId="0" xfId="79"/>
    <xf numFmtId="0" fontId="50" fillId="0" borderId="0" xfId="79" applyFont="1"/>
    <xf numFmtId="0" fontId="0" fillId="0" borderId="13" xfId="78" applyFont="1" applyBorder="1" applyAlignment="1"/>
    <xf numFmtId="2" fontId="44" fillId="0" borderId="0" xfId="79" applyNumberFormat="1" applyFont="1"/>
    <xf numFmtId="168" fontId="5" fillId="7" borderId="0" xfId="2" applyNumberFormat="1" applyFont="1" applyFill="1"/>
    <xf numFmtId="0" fontId="2" fillId="0" borderId="0" xfId="2" quotePrefix="1" applyNumberFormat="1" applyBorder="1" applyAlignment="1">
      <alignment horizontal="center" wrapText="1"/>
    </xf>
    <xf numFmtId="0" fontId="5" fillId="0" borderId="40" xfId="0" applyFont="1" applyBorder="1" applyAlignment="1">
      <alignment horizontal="center"/>
    </xf>
    <xf numFmtId="0" fontId="5" fillId="0" borderId="41" xfId="0" applyFont="1" applyBorder="1" applyAlignment="1">
      <alignment horizontal="center"/>
    </xf>
    <xf numFmtId="0" fontId="5" fillId="0" borderId="25" xfId="0" applyFont="1" applyBorder="1" applyAlignment="1">
      <alignment horizontal="center"/>
    </xf>
    <xf numFmtId="0" fontId="2" fillId="0" borderId="40" xfId="2" applyBorder="1" applyAlignment="1">
      <alignment horizontal="center"/>
    </xf>
    <xf numFmtId="0" fontId="2" fillId="0" borderId="41" xfId="2" applyBorder="1" applyAlignment="1">
      <alignment horizontal="center"/>
    </xf>
    <xf numFmtId="0" fontId="2" fillId="0" borderId="25" xfId="2" applyBorder="1" applyAlignment="1">
      <alignment horizontal="center"/>
    </xf>
    <xf numFmtId="0" fontId="5" fillId="0" borderId="40" xfId="2" applyFont="1" applyBorder="1" applyAlignment="1">
      <alignment horizontal="center"/>
    </xf>
    <xf numFmtId="0" fontId="5" fillId="0" borderId="41" xfId="2" applyFont="1" applyBorder="1" applyAlignment="1">
      <alignment horizontal="center"/>
    </xf>
    <xf numFmtId="0" fontId="5" fillId="0" borderId="25" xfId="2" applyFont="1" applyBorder="1" applyAlignment="1">
      <alignment horizontal="center"/>
    </xf>
    <xf numFmtId="0" fontId="2" fillId="10" borderId="13" xfId="2" applyFill="1" applyBorder="1" applyAlignment="1">
      <alignment horizontal="center"/>
    </xf>
    <xf numFmtId="0" fontId="2" fillId="10" borderId="11" xfId="2" applyFill="1" applyBorder="1" applyAlignment="1">
      <alignment horizontal="center"/>
    </xf>
    <xf numFmtId="0" fontId="2" fillId="10" borderId="14" xfId="2" applyFill="1" applyBorder="1" applyAlignment="1">
      <alignment horizontal="center"/>
    </xf>
    <xf numFmtId="0" fontId="5" fillId="0" borderId="13" xfId="2" applyFont="1" applyBorder="1" applyAlignment="1">
      <alignment horizontal="center"/>
    </xf>
    <xf numFmtId="0" fontId="5" fillId="0" borderId="11" xfId="2" applyFont="1" applyBorder="1" applyAlignment="1">
      <alignment horizontal="center"/>
    </xf>
    <xf numFmtId="0" fontId="5" fillId="0" borderId="14" xfId="2" applyFont="1" applyBorder="1" applyAlignment="1">
      <alignment horizontal="center"/>
    </xf>
    <xf numFmtId="0" fontId="2" fillId="0" borderId="6" xfId="2" applyBorder="1" applyAlignment="1">
      <alignment horizontal="center" wrapText="1"/>
    </xf>
    <xf numFmtId="0" fontId="5" fillId="0" borderId="6" xfId="0" applyFont="1" applyFill="1" applyBorder="1" applyAlignment="1">
      <alignment horizontal="center"/>
    </xf>
    <xf numFmtId="0" fontId="2" fillId="0" borderId="6" xfId="0" applyFont="1" applyFill="1" applyBorder="1" applyAlignment="1">
      <alignment horizontal="center"/>
    </xf>
    <xf numFmtId="38" fontId="7" fillId="4" borderId="0" xfId="0" applyNumberFormat="1" applyFont="1" applyFill="1" applyBorder="1" applyAlignment="1">
      <alignment horizontal="center"/>
    </xf>
    <xf numFmtId="38" fontId="7" fillId="4" borderId="9" xfId="0" applyNumberFormat="1" applyFont="1" applyFill="1" applyBorder="1" applyAlignment="1">
      <alignment horizontal="center"/>
    </xf>
    <xf numFmtId="38" fontId="7" fillId="0" borderId="0" xfId="0" applyNumberFormat="1" applyFont="1" applyFill="1" applyBorder="1" applyAlignment="1">
      <alignment horizontal="center"/>
    </xf>
    <xf numFmtId="0" fontId="6" fillId="9" borderId="13" xfId="2" applyFont="1" applyFill="1" applyBorder="1" applyAlignment="1">
      <alignment horizontal="center" vertical="top" wrapText="1"/>
    </xf>
    <xf numFmtId="0" fontId="6" fillId="9" borderId="11" xfId="2" applyFont="1" applyFill="1" applyBorder="1" applyAlignment="1">
      <alignment horizontal="center" vertical="top" wrapText="1"/>
    </xf>
    <xf numFmtId="0" fontId="0" fillId="0" borderId="13" xfId="0" applyBorder="1" applyAlignment="1">
      <alignment horizontal="center"/>
    </xf>
    <xf numFmtId="0" fontId="0" fillId="0" borderId="11" xfId="0" applyBorder="1" applyAlignment="1">
      <alignment horizontal="center"/>
    </xf>
    <xf numFmtId="0" fontId="0" fillId="0" borderId="14" xfId="0" applyBorder="1" applyAlignment="1">
      <alignment horizontal="center"/>
    </xf>
    <xf numFmtId="0" fontId="4" fillId="0" borderId="22" xfId="2" applyFont="1" applyBorder="1" applyAlignment="1">
      <alignment horizontal="center" vertical="top" wrapText="1"/>
    </xf>
    <xf numFmtId="0" fontId="4" fillId="0" borderId="15" xfId="2" applyFont="1" applyBorder="1" applyAlignment="1">
      <alignment horizontal="center" vertical="top" wrapText="1"/>
    </xf>
    <xf numFmtId="0" fontId="5" fillId="0" borderId="22" xfId="2" applyFont="1" applyBorder="1" applyAlignment="1">
      <alignment horizontal="center" vertical="top" wrapText="1"/>
    </xf>
    <xf numFmtId="0" fontId="2" fillId="0" borderId="15" xfId="2" applyFont="1" applyBorder="1" applyAlignment="1">
      <alignment horizontal="center" vertical="top" wrapText="1"/>
    </xf>
    <xf numFmtId="42" fontId="2" fillId="0" borderId="22" xfId="2" applyNumberFormat="1" applyFill="1" applyBorder="1" applyAlignment="1">
      <alignment vertical="center"/>
    </xf>
    <xf numFmtId="42" fontId="2" fillId="0" borderId="27" xfId="2" applyNumberFormat="1" applyFill="1" applyBorder="1" applyAlignment="1">
      <alignment vertical="center"/>
    </xf>
    <xf numFmtId="42" fontId="2" fillId="0" borderId="15" xfId="2" applyNumberFormat="1" applyFill="1" applyBorder="1" applyAlignment="1">
      <alignment vertical="center"/>
    </xf>
    <xf numFmtId="0" fontId="6" fillId="0" borderId="0" xfId="66" applyFont="1" applyAlignment="1">
      <alignment horizontal="center"/>
    </xf>
    <xf numFmtId="0" fontId="43" fillId="0" borderId="0" xfId="66" applyFont="1" applyAlignment="1">
      <alignment horizontal="left"/>
    </xf>
    <xf numFmtId="0" fontId="43" fillId="0" borderId="6" xfId="66" applyFont="1" applyBorder="1" applyAlignment="1">
      <alignment horizontal="left" wrapText="1"/>
    </xf>
    <xf numFmtId="0" fontId="43" fillId="0" borderId="6" xfId="66" applyFont="1" applyBorder="1" applyAlignment="1">
      <alignment horizontal="left"/>
    </xf>
    <xf numFmtId="0" fontId="2" fillId="0" borderId="0" xfId="66" applyAlignment="1">
      <alignment horizontal="left" wrapText="1"/>
    </xf>
    <xf numFmtId="0" fontId="2" fillId="0" borderId="0" xfId="66" applyAlignment="1">
      <alignment horizontal="left"/>
    </xf>
  </cellXfs>
  <cellStyles count="85">
    <cellStyle name="20% - Accent1 2" xfId="15"/>
    <cellStyle name="20% - Accent2 2" xfId="16"/>
    <cellStyle name="20% - Accent3 2" xfId="17"/>
    <cellStyle name="20% - Accent4 2" xfId="18"/>
    <cellStyle name="20% - Accent5 2" xfId="19"/>
    <cellStyle name="20% - Accent6 2" xfId="20"/>
    <cellStyle name="40% - Accent1 2" xfId="21"/>
    <cellStyle name="40% - Accent2 2" xfId="22"/>
    <cellStyle name="40% - Accent3 2" xfId="23"/>
    <cellStyle name="40% - Accent4 2" xfId="24"/>
    <cellStyle name="40% - Accent5 2" xfId="25"/>
    <cellStyle name="40% - Accent6 2" xfId="26"/>
    <cellStyle name="60% - Accent1 2" xfId="27"/>
    <cellStyle name="60% - Accent2 2" xfId="28"/>
    <cellStyle name="60% - Accent3 2" xfId="29"/>
    <cellStyle name="60% - Accent4 2" xfId="30"/>
    <cellStyle name="60% - Accent5 2" xfId="31"/>
    <cellStyle name="60% - Accent6 2" xfId="32"/>
    <cellStyle name="Accent1 2" xfId="33"/>
    <cellStyle name="Accent2 2" xfId="34"/>
    <cellStyle name="Accent3 2" xfId="35"/>
    <cellStyle name="Accent4 2" xfId="36"/>
    <cellStyle name="Accent5 2" xfId="37"/>
    <cellStyle name="Accent6 2" xfId="38"/>
    <cellStyle name="Bad 2" xfId="39"/>
    <cellStyle name="Calculation 2" xfId="40"/>
    <cellStyle name="Check Cell 2" xfId="41"/>
    <cellStyle name="Comma" xfId="1" builtinId="3"/>
    <cellStyle name="Comma 2" xfId="81"/>
    <cellStyle name="Comma_AUSAFR01" xfId="4"/>
    <cellStyle name="Comma0" xfId="5"/>
    <cellStyle name="Comma0 2" xfId="42"/>
    <cellStyle name="Comma0 3" xfId="43"/>
    <cellStyle name="Currency0" xfId="6"/>
    <cellStyle name="Currency0 2" xfId="44"/>
    <cellStyle name="Currency0 3" xfId="45"/>
    <cellStyle name="Date" xfId="7"/>
    <cellStyle name="Date 2" xfId="46"/>
    <cellStyle name="Date 3" xfId="47"/>
    <cellStyle name="Explanatory Text 2" xfId="48"/>
    <cellStyle name="Fixed" xfId="8"/>
    <cellStyle name="Fixed 2" xfId="49"/>
    <cellStyle name="Fixed 3" xfId="50"/>
    <cellStyle name="Good 2" xfId="51"/>
    <cellStyle name="Heading 1 2" xfId="9"/>
    <cellStyle name="Heading 1 3" xfId="52"/>
    <cellStyle name="Heading 2 2" xfId="10"/>
    <cellStyle name="Heading 2 3" xfId="53"/>
    <cellStyle name="Heading 3 2" xfId="54"/>
    <cellStyle name="Heading 4 2" xfId="55"/>
    <cellStyle name="Hyperlink" xfId="84" builtinId="8"/>
    <cellStyle name="Hyperlink 2" xfId="77"/>
    <cellStyle name="Input 2" xfId="56"/>
    <cellStyle name="Linked Cell 2" xfId="57"/>
    <cellStyle name="Neutral 2" xfId="58"/>
    <cellStyle name="Normal" xfId="0" builtinId="0"/>
    <cellStyle name="Normal 2" xfId="2"/>
    <cellStyle name="Normal 2 2" xfId="59"/>
    <cellStyle name="Normal 2 2 2" xfId="60"/>
    <cellStyle name="Normal 2 3" xfId="61"/>
    <cellStyle name="Normal 2 3 2" xfId="62"/>
    <cellStyle name="Normal 2 4" xfId="63"/>
    <cellStyle name="Normal 2 5" xfId="64"/>
    <cellStyle name="Normal 2 6" xfId="65"/>
    <cellStyle name="Normal 3" xfId="11"/>
    <cellStyle name="Normal 3 2" xfId="66"/>
    <cellStyle name="Normal 3 2 2" xfId="67"/>
    <cellStyle name="Normal 3 2 3" xfId="82"/>
    <cellStyle name="Normal 3 3" xfId="80"/>
    <cellStyle name="Normal 4" xfId="14"/>
    <cellStyle name="Normal 4 2" xfId="76"/>
    <cellStyle name="Normal 5" xfId="68"/>
    <cellStyle name="Normal 6" xfId="69"/>
    <cellStyle name="Normal 7" xfId="70"/>
    <cellStyle name="Normal 8" xfId="78"/>
    <cellStyle name="Normal 8 2" xfId="79"/>
    <cellStyle name="Normal 9" xfId="83"/>
    <cellStyle name="Normal_AUSAFR01" xfId="3"/>
    <cellStyle name="Note 2" xfId="12"/>
    <cellStyle name="Output 2" xfId="71"/>
    <cellStyle name="Percent 2" xfId="72"/>
    <cellStyle name="Title 2" xfId="73"/>
    <cellStyle name="Total 2" xfId="13"/>
    <cellStyle name="Total 3" xfId="74"/>
    <cellStyle name="Warning Text 2" xfId="75"/>
  </cellStyles>
  <dxfs count="33">
    <dxf>
      <font>
        <color auto="1"/>
      </font>
      <fill>
        <patternFill>
          <bgColor rgb="FFFF7C80"/>
        </patternFill>
      </fill>
    </dxf>
    <dxf>
      <font>
        <color auto="1"/>
      </font>
      <fill>
        <patternFill>
          <bgColor rgb="FFFF7C80"/>
        </patternFill>
      </fill>
    </dxf>
    <dxf>
      <fill>
        <patternFill>
          <bgColor rgb="FFFF7C80"/>
        </patternFill>
      </fill>
    </dxf>
    <dxf>
      <font>
        <color auto="1"/>
      </font>
      <fill>
        <patternFill>
          <bgColor rgb="FFFF7C80"/>
        </patternFill>
      </fill>
    </dxf>
    <dxf>
      <font>
        <color auto="1"/>
      </font>
      <fill>
        <patternFill>
          <bgColor rgb="FFFF7C80"/>
        </patternFill>
      </fill>
    </dxf>
    <dxf>
      <fill>
        <patternFill>
          <bgColor rgb="FFFF7C80"/>
        </patternFill>
      </fill>
    </dxf>
    <dxf>
      <font>
        <color auto="1"/>
      </font>
      <fill>
        <patternFill>
          <bgColor rgb="FFFF7C80"/>
        </patternFill>
      </fill>
    </dxf>
    <dxf>
      <font>
        <color auto="1"/>
      </font>
      <fill>
        <patternFill>
          <bgColor rgb="FFFF7C80"/>
        </patternFill>
      </fill>
    </dxf>
    <dxf>
      <fill>
        <patternFill>
          <bgColor rgb="FFFF7C80"/>
        </patternFill>
      </fill>
    </dxf>
    <dxf>
      <font>
        <color auto="1"/>
      </font>
      <fill>
        <patternFill>
          <bgColor rgb="FFFF7C80"/>
        </patternFill>
      </fill>
    </dxf>
    <dxf>
      <font>
        <color auto="1"/>
      </font>
      <fill>
        <patternFill>
          <bgColor rgb="FFFF7C80"/>
        </patternFill>
      </fill>
    </dxf>
    <dxf>
      <fill>
        <patternFill>
          <bgColor rgb="FFFF7C80"/>
        </patternFill>
      </fill>
    </dxf>
    <dxf>
      <font>
        <color auto="1"/>
      </font>
      <fill>
        <patternFill>
          <bgColor rgb="FFFF7C80"/>
        </patternFill>
      </fill>
    </dxf>
    <dxf>
      <font>
        <color auto="1"/>
      </font>
      <fill>
        <patternFill>
          <bgColor rgb="FFFF7C80"/>
        </patternFill>
      </fill>
    </dxf>
    <dxf>
      <fill>
        <patternFill>
          <bgColor rgb="FFFF7C80"/>
        </patternFill>
      </fill>
    </dxf>
    <dxf>
      <font>
        <color auto="1"/>
      </font>
      <fill>
        <patternFill>
          <bgColor rgb="FFFF7C80"/>
        </patternFill>
      </fill>
    </dxf>
    <dxf>
      <font>
        <color auto="1"/>
      </font>
      <fill>
        <patternFill>
          <bgColor rgb="FFFF7C80"/>
        </patternFill>
      </fill>
    </dxf>
    <dxf>
      <fill>
        <patternFill>
          <bgColor rgb="FFFF7C80"/>
        </patternFill>
      </fill>
    </dxf>
    <dxf>
      <font>
        <color auto="1"/>
      </font>
      <fill>
        <patternFill>
          <bgColor rgb="FFFF7C80"/>
        </patternFill>
      </fill>
    </dxf>
    <dxf>
      <font>
        <color auto="1"/>
      </font>
      <fill>
        <patternFill>
          <bgColor rgb="FFFF7C80"/>
        </patternFill>
      </fill>
    </dxf>
    <dxf>
      <fill>
        <patternFill>
          <bgColor rgb="FFFF7C80"/>
        </patternFill>
      </fill>
    </dxf>
    <dxf>
      <font>
        <color auto="1"/>
      </font>
      <fill>
        <patternFill>
          <bgColor rgb="FFFF7C80"/>
        </patternFill>
      </fill>
    </dxf>
    <dxf>
      <font>
        <color auto="1"/>
      </font>
      <fill>
        <patternFill>
          <bgColor rgb="FFFF7C80"/>
        </patternFill>
      </fill>
    </dxf>
    <dxf>
      <fill>
        <patternFill>
          <bgColor rgb="FFFF7C80"/>
        </patternFill>
      </fill>
    </dxf>
    <dxf>
      <font>
        <color auto="1"/>
      </font>
      <fill>
        <patternFill>
          <bgColor rgb="FFFF7C80"/>
        </patternFill>
      </fill>
    </dxf>
    <dxf>
      <font>
        <color auto="1"/>
      </font>
      <fill>
        <patternFill>
          <bgColor rgb="FFFF7C80"/>
        </patternFill>
      </fill>
    </dxf>
    <dxf>
      <fill>
        <patternFill>
          <bgColor rgb="FFFF7C80"/>
        </patternFill>
      </fill>
    </dxf>
    <dxf>
      <font>
        <color auto="1"/>
      </font>
      <fill>
        <patternFill>
          <bgColor rgb="FFFF7C80"/>
        </patternFill>
      </fill>
    </dxf>
    <dxf>
      <font>
        <color auto="1"/>
      </font>
      <fill>
        <patternFill>
          <bgColor rgb="FFFF7C80"/>
        </patternFill>
      </fill>
    </dxf>
    <dxf>
      <fill>
        <patternFill>
          <bgColor rgb="FFFF7C80"/>
        </patternFill>
      </fill>
    </dxf>
    <dxf>
      <font>
        <color auto="1"/>
      </font>
      <fill>
        <patternFill>
          <bgColor rgb="FFFF7C80"/>
        </patternFill>
      </fill>
    </dxf>
    <dxf>
      <font>
        <color auto="1"/>
      </font>
      <fill>
        <patternFill>
          <bgColor rgb="FFFF7C80"/>
        </patternFill>
      </fill>
    </dxf>
    <dxf>
      <fill>
        <patternFill>
          <bgColor rgb="FFFF7C80"/>
        </patternFill>
      </fill>
    </dxf>
  </dxfs>
  <tableStyles count="0" defaultTableStyle="TableStyleMedium9" defaultPivotStyle="PivotStyleLight16"/>
  <colors>
    <mruColors>
      <color rgb="FF00FF00"/>
      <color rgb="FF00DA6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theme" Target="theme/theme1.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13</xdr:col>
      <xdr:colOff>279400</xdr:colOff>
      <xdr:row>99</xdr:row>
      <xdr:rowOff>0</xdr:rowOff>
    </xdr:from>
    <xdr:to>
      <xdr:col>14</xdr:col>
      <xdr:colOff>228600</xdr:colOff>
      <xdr:row>140</xdr:row>
      <xdr:rowOff>0</xdr:rowOff>
    </xdr:to>
    <xdr:cxnSp macro="">
      <xdr:nvCxnSpPr>
        <xdr:cNvPr id="2" name="Straight Arrow Connector 1"/>
        <xdr:cNvCxnSpPr/>
      </xdr:nvCxnSpPr>
      <xdr:spPr bwMode="auto">
        <a:xfrm>
          <a:off x="13785850" y="3790950"/>
          <a:ext cx="1092200" cy="1219200"/>
        </a:xfrm>
        <a:prstGeom prst="straightConnector1">
          <a:avLst/>
        </a:prstGeom>
        <a:solidFill>
          <a:srgbClr val="FFFFFF"/>
        </a:solidFill>
        <a:ln w="9525" cap="flat" cmpd="sng" algn="ctr">
          <a:noFill/>
          <a:prstDash val="solid"/>
          <a:round/>
          <a:headEnd type="none" w="med" len="med"/>
          <a:tailEnd type="arrow"/>
        </a:ln>
        <a:effectLst/>
      </xdr:spPr>
    </xdr:cxnSp>
    <xdr:clientData/>
  </xdr:twoCellAnchor>
  <xdr:twoCellAnchor>
    <xdr:from>
      <xdr:col>13</xdr:col>
      <xdr:colOff>152400</xdr:colOff>
      <xdr:row>189</xdr:row>
      <xdr:rowOff>0</xdr:rowOff>
    </xdr:from>
    <xdr:to>
      <xdr:col>14</xdr:col>
      <xdr:colOff>469900</xdr:colOff>
      <xdr:row>229</xdr:row>
      <xdr:rowOff>139700</xdr:rowOff>
    </xdr:to>
    <xdr:sp macro="" textlink="">
      <xdr:nvSpPr>
        <xdr:cNvPr id="3" name="TextBox 2"/>
        <xdr:cNvSpPr txBox="1"/>
      </xdr:nvSpPr>
      <xdr:spPr>
        <a:xfrm>
          <a:off x="13658850" y="5810250"/>
          <a:ext cx="1460500"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Difference Must Be "-" and</a:t>
          </a:r>
          <a:r>
            <a:rPr lang="en-US" sz="1100" baseline="0"/>
            <a:t> White in  Color In Order To Submit.</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279400</xdr:colOff>
      <xdr:row>18</xdr:row>
      <xdr:rowOff>0</xdr:rowOff>
    </xdr:from>
    <xdr:to>
      <xdr:col>14</xdr:col>
      <xdr:colOff>228600</xdr:colOff>
      <xdr:row>23</xdr:row>
      <xdr:rowOff>0</xdr:rowOff>
    </xdr:to>
    <xdr:cxnSp macro="">
      <xdr:nvCxnSpPr>
        <xdr:cNvPr id="3" name="Straight Arrow Connector 2"/>
        <xdr:cNvCxnSpPr/>
      </xdr:nvCxnSpPr>
      <xdr:spPr bwMode="auto">
        <a:xfrm>
          <a:off x="13785850" y="3790950"/>
          <a:ext cx="911225" cy="1219200"/>
        </a:xfrm>
        <a:prstGeom prst="straightConnector1">
          <a:avLst/>
        </a:prstGeom>
        <a:solidFill>
          <a:srgbClr val="FFFFFF"/>
        </a:solidFill>
        <a:ln w="9525" cap="flat" cmpd="sng" algn="ctr">
          <a:noFill/>
          <a:prstDash val="solid"/>
          <a:round/>
          <a:headEnd type="none" w="med" len="med"/>
          <a:tailEnd type="arrow"/>
        </a:ln>
        <a:effectLst/>
      </xdr:spPr>
    </xdr:cxnSp>
    <xdr:clientData/>
  </xdr:twoCellAnchor>
  <xdr:twoCellAnchor>
    <xdr:from>
      <xdr:col>13</xdr:col>
      <xdr:colOff>152400</xdr:colOff>
      <xdr:row>27</xdr:row>
      <xdr:rowOff>0</xdr:rowOff>
    </xdr:from>
    <xdr:to>
      <xdr:col>14</xdr:col>
      <xdr:colOff>469900</xdr:colOff>
      <xdr:row>31</xdr:row>
      <xdr:rowOff>139700</xdr:rowOff>
    </xdr:to>
    <xdr:sp macro="" textlink="">
      <xdr:nvSpPr>
        <xdr:cNvPr id="7" name="TextBox 6"/>
        <xdr:cNvSpPr txBox="1"/>
      </xdr:nvSpPr>
      <xdr:spPr>
        <a:xfrm>
          <a:off x="13658850" y="5810250"/>
          <a:ext cx="1279525"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Difference Must Be "-" and</a:t>
          </a:r>
          <a:r>
            <a:rPr lang="en-US" sz="1100" baseline="0"/>
            <a:t> White in  Color In Order To Submit.</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279400</xdr:colOff>
      <xdr:row>18</xdr:row>
      <xdr:rowOff>0</xdr:rowOff>
    </xdr:from>
    <xdr:to>
      <xdr:col>14</xdr:col>
      <xdr:colOff>228600</xdr:colOff>
      <xdr:row>23</xdr:row>
      <xdr:rowOff>0</xdr:rowOff>
    </xdr:to>
    <xdr:cxnSp macro="">
      <xdr:nvCxnSpPr>
        <xdr:cNvPr id="3" name="Straight Arrow Connector 2"/>
        <xdr:cNvCxnSpPr/>
      </xdr:nvCxnSpPr>
      <xdr:spPr bwMode="auto">
        <a:xfrm>
          <a:off x="13785850" y="3790950"/>
          <a:ext cx="911225" cy="1219200"/>
        </a:xfrm>
        <a:prstGeom prst="straightConnector1">
          <a:avLst/>
        </a:prstGeom>
        <a:solidFill>
          <a:srgbClr val="FFFFFF"/>
        </a:solidFill>
        <a:ln w="9525" cap="flat" cmpd="sng" algn="ctr">
          <a:noFill/>
          <a:prstDash val="solid"/>
          <a:round/>
          <a:headEnd type="none" w="med" len="med"/>
          <a:tailEnd type="arrow"/>
        </a:ln>
        <a:effectLst/>
      </xdr:spPr>
    </xdr:cxnSp>
    <xdr:clientData/>
  </xdr:twoCellAnchor>
  <xdr:twoCellAnchor>
    <xdr:from>
      <xdr:col>13</xdr:col>
      <xdr:colOff>152400</xdr:colOff>
      <xdr:row>27</xdr:row>
      <xdr:rowOff>0</xdr:rowOff>
    </xdr:from>
    <xdr:to>
      <xdr:col>14</xdr:col>
      <xdr:colOff>469900</xdr:colOff>
      <xdr:row>31</xdr:row>
      <xdr:rowOff>139700</xdr:rowOff>
    </xdr:to>
    <xdr:sp macro="" textlink="">
      <xdr:nvSpPr>
        <xdr:cNvPr id="7" name="TextBox 6"/>
        <xdr:cNvSpPr txBox="1"/>
      </xdr:nvSpPr>
      <xdr:spPr>
        <a:xfrm>
          <a:off x="13658850" y="5810250"/>
          <a:ext cx="1279525"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Difference Must Be "-" and</a:t>
          </a:r>
          <a:r>
            <a:rPr lang="en-US" sz="1100" baseline="0"/>
            <a:t> White in  Color In Order To Submit.</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279400</xdr:colOff>
      <xdr:row>18</xdr:row>
      <xdr:rowOff>0</xdr:rowOff>
    </xdr:from>
    <xdr:to>
      <xdr:col>14</xdr:col>
      <xdr:colOff>228600</xdr:colOff>
      <xdr:row>23</xdr:row>
      <xdr:rowOff>0</xdr:rowOff>
    </xdr:to>
    <xdr:cxnSp macro="">
      <xdr:nvCxnSpPr>
        <xdr:cNvPr id="3" name="Straight Arrow Connector 2"/>
        <xdr:cNvCxnSpPr/>
      </xdr:nvCxnSpPr>
      <xdr:spPr bwMode="auto">
        <a:xfrm>
          <a:off x="13785850" y="3790950"/>
          <a:ext cx="911225" cy="1219200"/>
        </a:xfrm>
        <a:prstGeom prst="straightConnector1">
          <a:avLst/>
        </a:prstGeom>
        <a:solidFill>
          <a:srgbClr val="FFFFFF"/>
        </a:solidFill>
        <a:ln w="9525" cap="flat" cmpd="sng" algn="ctr">
          <a:noFill/>
          <a:prstDash val="solid"/>
          <a:round/>
          <a:headEnd type="none" w="med" len="med"/>
          <a:tailEnd type="arrow"/>
        </a:ln>
        <a:effectLst/>
      </xdr:spPr>
    </xdr:cxnSp>
    <xdr:clientData/>
  </xdr:twoCellAnchor>
  <xdr:twoCellAnchor>
    <xdr:from>
      <xdr:col>13</xdr:col>
      <xdr:colOff>152400</xdr:colOff>
      <xdr:row>27</xdr:row>
      <xdr:rowOff>0</xdr:rowOff>
    </xdr:from>
    <xdr:to>
      <xdr:col>14</xdr:col>
      <xdr:colOff>469900</xdr:colOff>
      <xdr:row>31</xdr:row>
      <xdr:rowOff>139700</xdr:rowOff>
    </xdr:to>
    <xdr:sp macro="" textlink="">
      <xdr:nvSpPr>
        <xdr:cNvPr id="7" name="TextBox 6"/>
        <xdr:cNvSpPr txBox="1"/>
      </xdr:nvSpPr>
      <xdr:spPr>
        <a:xfrm>
          <a:off x="13658850" y="5810250"/>
          <a:ext cx="1279525"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Difference Must Be "-" and</a:t>
          </a:r>
          <a:r>
            <a:rPr lang="en-US" sz="1100" baseline="0"/>
            <a:t> White in  Color In Order To Submit.</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279400</xdr:colOff>
      <xdr:row>18</xdr:row>
      <xdr:rowOff>0</xdr:rowOff>
    </xdr:from>
    <xdr:to>
      <xdr:col>14</xdr:col>
      <xdr:colOff>228600</xdr:colOff>
      <xdr:row>23</xdr:row>
      <xdr:rowOff>0</xdr:rowOff>
    </xdr:to>
    <xdr:cxnSp macro="">
      <xdr:nvCxnSpPr>
        <xdr:cNvPr id="3" name="Straight Arrow Connector 2"/>
        <xdr:cNvCxnSpPr/>
      </xdr:nvCxnSpPr>
      <xdr:spPr bwMode="auto">
        <a:xfrm>
          <a:off x="13785850" y="3790950"/>
          <a:ext cx="911225" cy="1219200"/>
        </a:xfrm>
        <a:prstGeom prst="straightConnector1">
          <a:avLst/>
        </a:prstGeom>
        <a:solidFill>
          <a:srgbClr val="FFFFFF"/>
        </a:solidFill>
        <a:ln w="9525" cap="flat" cmpd="sng" algn="ctr">
          <a:noFill/>
          <a:prstDash val="solid"/>
          <a:round/>
          <a:headEnd type="none" w="med" len="med"/>
          <a:tailEnd type="arrow"/>
        </a:ln>
        <a:effectLst/>
      </xdr:spPr>
    </xdr:cxnSp>
    <xdr:clientData/>
  </xdr:twoCellAnchor>
  <xdr:twoCellAnchor>
    <xdr:from>
      <xdr:col>13</xdr:col>
      <xdr:colOff>152400</xdr:colOff>
      <xdr:row>27</xdr:row>
      <xdr:rowOff>0</xdr:rowOff>
    </xdr:from>
    <xdr:to>
      <xdr:col>14</xdr:col>
      <xdr:colOff>469900</xdr:colOff>
      <xdr:row>31</xdr:row>
      <xdr:rowOff>139700</xdr:rowOff>
    </xdr:to>
    <xdr:sp macro="" textlink="">
      <xdr:nvSpPr>
        <xdr:cNvPr id="7" name="TextBox 6"/>
        <xdr:cNvSpPr txBox="1"/>
      </xdr:nvSpPr>
      <xdr:spPr>
        <a:xfrm>
          <a:off x="13658850" y="5810250"/>
          <a:ext cx="1279525"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Difference Must Be "-" and</a:t>
          </a:r>
          <a:r>
            <a:rPr lang="en-US" sz="1100" baseline="0"/>
            <a:t> White in  Color In Order To Submit.</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13</xdr:col>
      <xdr:colOff>279400</xdr:colOff>
      <xdr:row>18</xdr:row>
      <xdr:rowOff>0</xdr:rowOff>
    </xdr:from>
    <xdr:to>
      <xdr:col>14</xdr:col>
      <xdr:colOff>228600</xdr:colOff>
      <xdr:row>23</xdr:row>
      <xdr:rowOff>0</xdr:rowOff>
    </xdr:to>
    <xdr:cxnSp macro="">
      <xdr:nvCxnSpPr>
        <xdr:cNvPr id="3" name="Straight Arrow Connector 2"/>
        <xdr:cNvCxnSpPr/>
      </xdr:nvCxnSpPr>
      <xdr:spPr bwMode="auto">
        <a:xfrm>
          <a:off x="13785850" y="3790950"/>
          <a:ext cx="911225" cy="1219200"/>
        </a:xfrm>
        <a:prstGeom prst="straightConnector1">
          <a:avLst/>
        </a:prstGeom>
        <a:solidFill>
          <a:srgbClr val="FFFFFF"/>
        </a:solidFill>
        <a:ln w="9525" cap="flat" cmpd="sng" algn="ctr">
          <a:noFill/>
          <a:prstDash val="solid"/>
          <a:round/>
          <a:headEnd type="none" w="med" len="med"/>
          <a:tailEnd type="arrow"/>
        </a:ln>
        <a:effectLst/>
      </xdr:spPr>
    </xdr:cxnSp>
    <xdr:clientData/>
  </xdr:twoCellAnchor>
  <xdr:twoCellAnchor>
    <xdr:from>
      <xdr:col>13</xdr:col>
      <xdr:colOff>152400</xdr:colOff>
      <xdr:row>27</xdr:row>
      <xdr:rowOff>0</xdr:rowOff>
    </xdr:from>
    <xdr:to>
      <xdr:col>14</xdr:col>
      <xdr:colOff>469900</xdr:colOff>
      <xdr:row>31</xdr:row>
      <xdr:rowOff>139700</xdr:rowOff>
    </xdr:to>
    <xdr:sp macro="" textlink="">
      <xdr:nvSpPr>
        <xdr:cNvPr id="7" name="TextBox 6"/>
        <xdr:cNvSpPr txBox="1"/>
      </xdr:nvSpPr>
      <xdr:spPr>
        <a:xfrm>
          <a:off x="13658850" y="5810250"/>
          <a:ext cx="1279525"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Difference Must Be "-" and</a:t>
          </a:r>
          <a:r>
            <a:rPr lang="en-US" sz="1100" baseline="0"/>
            <a:t> White in  Color In Order To Submit.</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13</xdr:col>
      <xdr:colOff>279400</xdr:colOff>
      <xdr:row>18</xdr:row>
      <xdr:rowOff>0</xdr:rowOff>
    </xdr:from>
    <xdr:to>
      <xdr:col>14</xdr:col>
      <xdr:colOff>228600</xdr:colOff>
      <xdr:row>23</xdr:row>
      <xdr:rowOff>0</xdr:rowOff>
    </xdr:to>
    <xdr:cxnSp macro="">
      <xdr:nvCxnSpPr>
        <xdr:cNvPr id="3" name="Straight Arrow Connector 2"/>
        <xdr:cNvCxnSpPr/>
      </xdr:nvCxnSpPr>
      <xdr:spPr bwMode="auto">
        <a:xfrm>
          <a:off x="13785850" y="3790950"/>
          <a:ext cx="911225" cy="1219200"/>
        </a:xfrm>
        <a:prstGeom prst="straightConnector1">
          <a:avLst/>
        </a:prstGeom>
        <a:solidFill>
          <a:srgbClr val="FFFFFF"/>
        </a:solidFill>
        <a:ln w="9525" cap="flat" cmpd="sng" algn="ctr">
          <a:noFill/>
          <a:prstDash val="solid"/>
          <a:round/>
          <a:headEnd type="none" w="med" len="med"/>
          <a:tailEnd type="arrow"/>
        </a:ln>
        <a:effectLst/>
      </xdr:spPr>
    </xdr:cxnSp>
    <xdr:clientData/>
  </xdr:twoCellAnchor>
  <xdr:twoCellAnchor>
    <xdr:from>
      <xdr:col>13</xdr:col>
      <xdr:colOff>152400</xdr:colOff>
      <xdr:row>27</xdr:row>
      <xdr:rowOff>0</xdr:rowOff>
    </xdr:from>
    <xdr:to>
      <xdr:col>14</xdr:col>
      <xdr:colOff>469900</xdr:colOff>
      <xdr:row>31</xdr:row>
      <xdr:rowOff>139700</xdr:rowOff>
    </xdr:to>
    <xdr:sp macro="" textlink="">
      <xdr:nvSpPr>
        <xdr:cNvPr id="7" name="TextBox 6"/>
        <xdr:cNvSpPr txBox="1"/>
      </xdr:nvSpPr>
      <xdr:spPr>
        <a:xfrm>
          <a:off x="13658850" y="5810250"/>
          <a:ext cx="1279525"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Difference Must Be "-" and</a:t>
          </a:r>
          <a:r>
            <a:rPr lang="en-US" sz="1100" baseline="0"/>
            <a:t> White in  Color In Order To Submit.</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279400</xdr:colOff>
      <xdr:row>18</xdr:row>
      <xdr:rowOff>0</xdr:rowOff>
    </xdr:from>
    <xdr:to>
      <xdr:col>14</xdr:col>
      <xdr:colOff>228600</xdr:colOff>
      <xdr:row>23</xdr:row>
      <xdr:rowOff>0</xdr:rowOff>
    </xdr:to>
    <xdr:cxnSp macro="">
      <xdr:nvCxnSpPr>
        <xdr:cNvPr id="3" name="Straight Arrow Connector 2"/>
        <xdr:cNvCxnSpPr/>
      </xdr:nvCxnSpPr>
      <xdr:spPr bwMode="auto">
        <a:xfrm>
          <a:off x="13785850" y="3790950"/>
          <a:ext cx="911225" cy="1219200"/>
        </a:xfrm>
        <a:prstGeom prst="straightConnector1">
          <a:avLst/>
        </a:prstGeom>
        <a:solidFill>
          <a:srgbClr val="FFFFFF"/>
        </a:solidFill>
        <a:ln w="9525" cap="flat" cmpd="sng" algn="ctr">
          <a:noFill/>
          <a:prstDash val="solid"/>
          <a:round/>
          <a:headEnd type="none" w="med" len="med"/>
          <a:tailEnd type="arrow"/>
        </a:ln>
        <a:effectLst/>
      </xdr:spPr>
    </xdr:cxnSp>
    <xdr:clientData/>
  </xdr:twoCellAnchor>
  <xdr:twoCellAnchor>
    <xdr:from>
      <xdr:col>13</xdr:col>
      <xdr:colOff>152400</xdr:colOff>
      <xdr:row>27</xdr:row>
      <xdr:rowOff>0</xdr:rowOff>
    </xdr:from>
    <xdr:to>
      <xdr:col>14</xdr:col>
      <xdr:colOff>469900</xdr:colOff>
      <xdr:row>31</xdr:row>
      <xdr:rowOff>139700</xdr:rowOff>
    </xdr:to>
    <xdr:sp macro="" textlink="">
      <xdr:nvSpPr>
        <xdr:cNvPr id="7" name="TextBox 6"/>
        <xdr:cNvSpPr txBox="1"/>
      </xdr:nvSpPr>
      <xdr:spPr>
        <a:xfrm>
          <a:off x="13658850" y="5810250"/>
          <a:ext cx="1279525"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Difference Must Be "-" and</a:t>
          </a:r>
          <a:r>
            <a:rPr lang="en-US" sz="1100" baseline="0"/>
            <a:t> White in  Color In Order To Submit.</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13</xdr:col>
      <xdr:colOff>279400</xdr:colOff>
      <xdr:row>18</xdr:row>
      <xdr:rowOff>0</xdr:rowOff>
    </xdr:from>
    <xdr:to>
      <xdr:col>14</xdr:col>
      <xdr:colOff>228600</xdr:colOff>
      <xdr:row>23</xdr:row>
      <xdr:rowOff>0</xdr:rowOff>
    </xdr:to>
    <xdr:cxnSp macro="">
      <xdr:nvCxnSpPr>
        <xdr:cNvPr id="3" name="Straight Arrow Connector 2"/>
        <xdr:cNvCxnSpPr/>
      </xdr:nvCxnSpPr>
      <xdr:spPr bwMode="auto">
        <a:xfrm>
          <a:off x="13785850" y="3790950"/>
          <a:ext cx="911225" cy="1219200"/>
        </a:xfrm>
        <a:prstGeom prst="straightConnector1">
          <a:avLst/>
        </a:prstGeom>
        <a:solidFill>
          <a:srgbClr val="FFFFFF"/>
        </a:solidFill>
        <a:ln w="9525" cap="flat" cmpd="sng" algn="ctr">
          <a:noFill/>
          <a:prstDash val="solid"/>
          <a:round/>
          <a:headEnd type="none" w="med" len="med"/>
          <a:tailEnd type="arrow"/>
        </a:ln>
        <a:effectLst/>
      </xdr:spPr>
    </xdr:cxnSp>
    <xdr:clientData/>
  </xdr:twoCellAnchor>
  <xdr:twoCellAnchor>
    <xdr:from>
      <xdr:col>13</xdr:col>
      <xdr:colOff>152400</xdr:colOff>
      <xdr:row>27</xdr:row>
      <xdr:rowOff>0</xdr:rowOff>
    </xdr:from>
    <xdr:to>
      <xdr:col>14</xdr:col>
      <xdr:colOff>469900</xdr:colOff>
      <xdr:row>31</xdr:row>
      <xdr:rowOff>139700</xdr:rowOff>
    </xdr:to>
    <xdr:sp macro="" textlink="">
      <xdr:nvSpPr>
        <xdr:cNvPr id="7" name="TextBox 6"/>
        <xdr:cNvSpPr txBox="1"/>
      </xdr:nvSpPr>
      <xdr:spPr>
        <a:xfrm>
          <a:off x="13658850" y="5810250"/>
          <a:ext cx="1279525"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Difference Must Be "-" and</a:t>
          </a:r>
          <a:r>
            <a:rPr lang="en-US" sz="1100" baseline="0"/>
            <a:t> White in  Color In Order To Submit.</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279400</xdr:colOff>
      <xdr:row>18</xdr:row>
      <xdr:rowOff>0</xdr:rowOff>
    </xdr:from>
    <xdr:to>
      <xdr:col>14</xdr:col>
      <xdr:colOff>228600</xdr:colOff>
      <xdr:row>23</xdr:row>
      <xdr:rowOff>0</xdr:rowOff>
    </xdr:to>
    <xdr:cxnSp macro="">
      <xdr:nvCxnSpPr>
        <xdr:cNvPr id="3" name="Straight Arrow Connector 2"/>
        <xdr:cNvCxnSpPr/>
      </xdr:nvCxnSpPr>
      <xdr:spPr bwMode="auto">
        <a:xfrm>
          <a:off x="13785850" y="3790950"/>
          <a:ext cx="911225" cy="1219200"/>
        </a:xfrm>
        <a:prstGeom prst="straightConnector1">
          <a:avLst/>
        </a:prstGeom>
        <a:solidFill>
          <a:srgbClr val="FFFFFF"/>
        </a:solidFill>
        <a:ln w="9525" cap="flat" cmpd="sng" algn="ctr">
          <a:noFill/>
          <a:prstDash val="solid"/>
          <a:round/>
          <a:headEnd type="none" w="med" len="med"/>
          <a:tailEnd type="arrow"/>
        </a:ln>
        <a:effectLst/>
      </xdr:spPr>
    </xdr:cxnSp>
    <xdr:clientData/>
  </xdr:twoCellAnchor>
  <xdr:twoCellAnchor>
    <xdr:from>
      <xdr:col>13</xdr:col>
      <xdr:colOff>152400</xdr:colOff>
      <xdr:row>27</xdr:row>
      <xdr:rowOff>0</xdr:rowOff>
    </xdr:from>
    <xdr:to>
      <xdr:col>14</xdr:col>
      <xdr:colOff>469900</xdr:colOff>
      <xdr:row>31</xdr:row>
      <xdr:rowOff>139700</xdr:rowOff>
    </xdr:to>
    <xdr:sp macro="" textlink="">
      <xdr:nvSpPr>
        <xdr:cNvPr id="7" name="TextBox 6"/>
        <xdr:cNvSpPr txBox="1"/>
      </xdr:nvSpPr>
      <xdr:spPr>
        <a:xfrm>
          <a:off x="13658850" y="5810250"/>
          <a:ext cx="1279525"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Difference Must Be "-" and</a:t>
          </a:r>
          <a:r>
            <a:rPr lang="en-US" sz="1100" baseline="0"/>
            <a:t> White in  Color In Order To Submit.</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279400</xdr:colOff>
      <xdr:row>18</xdr:row>
      <xdr:rowOff>0</xdr:rowOff>
    </xdr:from>
    <xdr:to>
      <xdr:col>14</xdr:col>
      <xdr:colOff>228600</xdr:colOff>
      <xdr:row>23</xdr:row>
      <xdr:rowOff>0</xdr:rowOff>
    </xdr:to>
    <xdr:cxnSp macro="">
      <xdr:nvCxnSpPr>
        <xdr:cNvPr id="3" name="Straight Arrow Connector 2"/>
        <xdr:cNvCxnSpPr/>
      </xdr:nvCxnSpPr>
      <xdr:spPr bwMode="auto">
        <a:xfrm>
          <a:off x="13785850" y="3790950"/>
          <a:ext cx="911225" cy="1219200"/>
        </a:xfrm>
        <a:prstGeom prst="straightConnector1">
          <a:avLst/>
        </a:prstGeom>
        <a:solidFill>
          <a:srgbClr val="FFFFFF"/>
        </a:solidFill>
        <a:ln w="9525" cap="flat" cmpd="sng" algn="ctr">
          <a:noFill/>
          <a:prstDash val="solid"/>
          <a:round/>
          <a:headEnd type="none" w="med" len="med"/>
          <a:tailEnd type="arrow"/>
        </a:ln>
        <a:effectLst/>
      </xdr:spPr>
    </xdr:cxnSp>
    <xdr:clientData/>
  </xdr:twoCellAnchor>
  <xdr:twoCellAnchor>
    <xdr:from>
      <xdr:col>13</xdr:col>
      <xdr:colOff>152400</xdr:colOff>
      <xdr:row>27</xdr:row>
      <xdr:rowOff>0</xdr:rowOff>
    </xdr:from>
    <xdr:to>
      <xdr:col>14</xdr:col>
      <xdr:colOff>469900</xdr:colOff>
      <xdr:row>31</xdr:row>
      <xdr:rowOff>139700</xdr:rowOff>
    </xdr:to>
    <xdr:sp macro="" textlink="">
      <xdr:nvSpPr>
        <xdr:cNvPr id="7" name="TextBox 6"/>
        <xdr:cNvSpPr txBox="1"/>
      </xdr:nvSpPr>
      <xdr:spPr>
        <a:xfrm>
          <a:off x="13658850" y="5810250"/>
          <a:ext cx="1279525"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Difference Must Be "-" and</a:t>
          </a:r>
          <a:r>
            <a:rPr lang="en-US" sz="1100" baseline="0"/>
            <a:t> White in  Color In Order To Submit.</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civerje/My%20Documents/MyFiles/SCHCH-CTC/JRHoursFYTot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APP\PA\Resource\FINANCEFILES\Finance\AFR\Univ%20Sources%20&amp;%20Uses%20FY%202010\0%20-%20Univ%20-%20S%20&amp;%20U%20-%20FY%202010%20-%2031%20-%20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20-%20HRI%20-%20S%20&amp;%20U%20-%20FY%202010%20-%2013%20-%20Final%20-%20NF.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chananjs/My%20Documents/Sources%20&amp;%20Uses/Univ%20-%20Sources%20&amp;%20Uses%20FY%202010/0%20-%20Univ%20-%20S%20&amp;%20U%20-%20FY%202010%20-%2031%20-%20Fi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chananjs/My%20Documents/Sources%20&amp;%20Uses/Univ%20-%20Sources%20&amp;%20Uses%20FY%202011/0%20-%20Univ%20-%20S%20&amp;%20U%20-%20FY%202011%20-%2020%20-%20NF%20Final.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civerje/My%20Documents/MyFiles/SCHCH-CTC/JRFTSEFal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civerje/My%20Documents/MyFiles/SCH-Univ/SRSCHLevFYTota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UserDoc$\mciverje\My%20Documents\MyFiles\SCH-Univ\SRSCHLevFYTotal.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nts%20and%20Settings/cernosekj/Local%20Settings/Temporary%20Internet%20Files/OLK2E/FY2006C2swrk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Doc$\Documents%20and%20Settings\cernosekj\Local%20Settings\Temporary%20Internet%20Files\OLK2E\FY2006C2swrk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3_94"/>
      <sheetName val="94_95"/>
      <sheetName val="95_96"/>
      <sheetName val="96_97"/>
      <sheetName val="97_98"/>
      <sheetName val="98_99"/>
      <sheetName val="99_00"/>
      <sheetName val="00_01"/>
      <sheetName val="01_02"/>
      <sheetName val="02_03"/>
      <sheetName val="FY 2003-04"/>
      <sheetName val="FY 2004-05"/>
      <sheetName val="FY 2005-06"/>
      <sheetName val="FY 2006-07"/>
      <sheetName val="FY 2007-08"/>
      <sheetName val="FY 1993-94"/>
      <sheetName val="FY 1994-95"/>
      <sheetName val="FY 1995-96"/>
      <sheetName val="FY 1996-97"/>
      <sheetName val="FY 1997-98"/>
      <sheetName val="FY 1998-99"/>
      <sheetName val="FY 1999-00"/>
      <sheetName val="FY 2000-01"/>
      <sheetName val="FY 2001-02"/>
      <sheetName val="FY 2002-03"/>
      <sheetName val="FY 2008-09"/>
      <sheetName val="FY 2009-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FY 2005-06 Total (State- and Non-funded) Hours by Type</v>
          </cell>
        </row>
        <row r="2">
          <cell r="A2" t="str">
            <v>Texas Community, Technical, and State Colleges</v>
          </cell>
        </row>
        <row r="5">
          <cell r="B5" t="str">
            <v>Academic</v>
          </cell>
          <cell r="C5" t="str">
            <v>Technical</v>
          </cell>
          <cell r="D5" t="str">
            <v>BAT</v>
          </cell>
          <cell r="E5" t="str">
            <v>Continuing</v>
          </cell>
        </row>
        <row r="6">
          <cell r="B6" t="str">
            <v>SCH</v>
          </cell>
          <cell r="C6" t="str">
            <v>SCH</v>
          </cell>
          <cell r="D6" t="str">
            <v>SCH</v>
          </cell>
          <cell r="E6" t="str">
            <v>Ed. CH</v>
          </cell>
          <cell r="F6" t="str">
            <v>FTSE*</v>
          </cell>
        </row>
        <row r="8">
          <cell r="A8" t="str">
            <v>ALAMO CCD NW VISTA COLLEGE</v>
          </cell>
          <cell r="B8">
            <v>171558</v>
          </cell>
          <cell r="C8">
            <v>8042</v>
          </cell>
          <cell r="D8">
            <v>0</v>
          </cell>
          <cell r="E8">
            <v>45022</v>
          </cell>
          <cell r="F8">
            <v>6036.6911111111112</v>
          </cell>
        </row>
        <row r="9">
          <cell r="A9" t="str">
            <v>ALVIN COMMUNITY COLLEGE</v>
          </cell>
          <cell r="B9">
            <v>61098</v>
          </cell>
          <cell r="C9">
            <v>28978</v>
          </cell>
          <cell r="D9">
            <v>0</v>
          </cell>
          <cell r="E9">
            <v>111200</v>
          </cell>
          <cell r="F9">
            <v>3126.088888888889</v>
          </cell>
        </row>
        <row r="10">
          <cell r="A10" t="str">
            <v>AMARILLO COLLEGE</v>
          </cell>
          <cell r="B10">
            <v>139779</v>
          </cell>
          <cell r="C10">
            <v>49023</v>
          </cell>
          <cell r="D10">
            <v>0</v>
          </cell>
          <cell r="E10">
            <v>527279</v>
          </cell>
          <cell r="F10">
            <v>6879.2655555555557</v>
          </cell>
        </row>
        <row r="11">
          <cell r="A11" t="str">
            <v>ANGELINA COLLEGE</v>
          </cell>
          <cell r="B11">
            <v>77170</v>
          </cell>
          <cell r="C11">
            <v>20859</v>
          </cell>
          <cell r="D11">
            <v>0</v>
          </cell>
          <cell r="E11">
            <v>187116</v>
          </cell>
          <cell r="F11">
            <v>3475.54</v>
          </cell>
        </row>
        <row r="12">
          <cell r="A12" t="str">
            <v>AUSTIN COMMUNITY COLLEGE</v>
          </cell>
          <cell r="B12">
            <v>508840</v>
          </cell>
          <cell r="C12">
            <v>96138</v>
          </cell>
          <cell r="D12">
            <v>0</v>
          </cell>
          <cell r="E12">
            <v>384218</v>
          </cell>
          <cell r="F12">
            <v>20592.842222222222</v>
          </cell>
        </row>
        <row r="13">
          <cell r="A13" t="str">
            <v>BLINN COLLEGE</v>
          </cell>
          <cell r="B13">
            <v>296699</v>
          </cell>
          <cell r="C13">
            <v>24636</v>
          </cell>
          <cell r="D13">
            <v>0</v>
          </cell>
          <cell r="E13">
            <v>82573</v>
          </cell>
          <cell r="F13">
            <v>10802.914444444445</v>
          </cell>
        </row>
        <row r="14">
          <cell r="A14" t="str">
            <v>BRAZOSPORT COLLEGE</v>
          </cell>
          <cell r="B14">
            <v>50416</v>
          </cell>
          <cell r="C14">
            <v>16000</v>
          </cell>
          <cell r="D14">
            <v>492</v>
          </cell>
          <cell r="E14">
            <v>98627</v>
          </cell>
          <cell r="F14">
            <v>2339.8522222222223</v>
          </cell>
        </row>
        <row r="15">
          <cell r="A15" t="str">
            <v>CENTRAL TEXAS COLLEGE</v>
          </cell>
          <cell r="B15">
            <v>168702</v>
          </cell>
          <cell r="C15">
            <v>71838</v>
          </cell>
          <cell r="D15">
            <v>0</v>
          </cell>
          <cell r="E15">
            <v>314735</v>
          </cell>
          <cell r="F15">
            <v>8367.7055555555562</v>
          </cell>
        </row>
        <row r="16">
          <cell r="A16" t="str">
            <v>CISCO JUNIOR COLLEGE</v>
          </cell>
          <cell r="B16">
            <v>60558</v>
          </cell>
          <cell r="C16">
            <v>14637</v>
          </cell>
          <cell r="D16">
            <v>0</v>
          </cell>
          <cell r="E16">
            <v>4189</v>
          </cell>
          <cell r="F16">
            <v>2511.1544444444444</v>
          </cell>
        </row>
        <row r="17">
          <cell r="A17" t="str">
            <v>CLARENDON COLLEGE</v>
          </cell>
          <cell r="B17">
            <v>20233</v>
          </cell>
          <cell r="C17">
            <v>5087</v>
          </cell>
          <cell r="D17">
            <v>0</v>
          </cell>
          <cell r="E17">
            <v>3256</v>
          </cell>
          <cell r="F17">
            <v>847.61777777777775</v>
          </cell>
        </row>
        <row r="18">
          <cell r="A18" t="str">
            <v>COASTAL BEND COLLEGE</v>
          </cell>
          <cell r="B18">
            <v>44647</v>
          </cell>
          <cell r="C18">
            <v>20566</v>
          </cell>
          <cell r="D18">
            <v>0</v>
          </cell>
          <cell r="E18">
            <v>111073</v>
          </cell>
          <cell r="F18">
            <v>2297.1811111111115</v>
          </cell>
        </row>
        <row r="19">
          <cell r="A19" t="str">
            <v>COLLEGE OF THE MAINLAND COMMUN</v>
          </cell>
          <cell r="B19">
            <v>64362</v>
          </cell>
          <cell r="C19">
            <v>16760</v>
          </cell>
          <cell r="D19">
            <v>0</v>
          </cell>
          <cell r="E19">
            <v>167315</v>
          </cell>
          <cell r="F19">
            <v>2889.9722222222222</v>
          </cell>
        </row>
        <row r="20">
          <cell r="A20" t="str">
            <v>COLLIN CO COMM COLL DISTRICT</v>
          </cell>
          <cell r="B20">
            <v>329411</v>
          </cell>
          <cell r="C20">
            <v>38476</v>
          </cell>
          <cell r="D20">
            <v>0</v>
          </cell>
          <cell r="E20">
            <v>528978</v>
          </cell>
          <cell r="F20">
            <v>12850.653333333334</v>
          </cell>
        </row>
        <row r="21">
          <cell r="A21" t="str">
            <v>DCCCD BROOKHAVEN COLLEGE</v>
          </cell>
          <cell r="B21">
            <v>161079</v>
          </cell>
          <cell r="C21">
            <v>27535</v>
          </cell>
          <cell r="D21">
            <v>0</v>
          </cell>
          <cell r="E21">
            <v>350723</v>
          </cell>
          <cell r="F21">
            <v>6676.8255555555552</v>
          </cell>
        </row>
        <row r="22">
          <cell r="A22" t="str">
            <v>DCCCD CEDAR VALLEY COLLEGE</v>
          </cell>
          <cell r="B22">
            <v>65999</v>
          </cell>
          <cell r="C22">
            <v>21397</v>
          </cell>
          <cell r="D22">
            <v>0</v>
          </cell>
          <cell r="E22">
            <v>231282</v>
          </cell>
          <cell r="F22">
            <v>3170.18</v>
          </cell>
        </row>
        <row r="23">
          <cell r="A23" t="str">
            <v>DCCCD EASTFIELD COLLEGE</v>
          </cell>
          <cell r="B23">
            <v>160634</v>
          </cell>
          <cell r="C23">
            <v>25954</v>
          </cell>
          <cell r="D23">
            <v>0</v>
          </cell>
          <cell r="E23">
            <v>281923</v>
          </cell>
          <cell r="F23">
            <v>6532.847777777778</v>
          </cell>
        </row>
        <row r="24">
          <cell r="A24" t="str">
            <v>DCCCD EL CENTRO COLLEGE</v>
          </cell>
          <cell r="B24">
            <v>55969</v>
          </cell>
          <cell r="C24">
            <v>61747</v>
          </cell>
          <cell r="D24">
            <v>0</v>
          </cell>
          <cell r="E24">
            <v>681819</v>
          </cell>
          <cell r="F24">
            <v>4681.4433333333336</v>
          </cell>
        </row>
        <row r="25">
          <cell r="A25" t="str">
            <v>DCCCD MOUNTAIN VIEW COLLEGE</v>
          </cell>
          <cell r="B25">
            <v>103992</v>
          </cell>
          <cell r="C25">
            <v>13395</v>
          </cell>
          <cell r="D25">
            <v>0</v>
          </cell>
          <cell r="E25">
            <v>163820</v>
          </cell>
          <cell r="F25">
            <v>4094.9222222222224</v>
          </cell>
        </row>
        <row r="26">
          <cell r="A26" t="str">
            <v>DCCCD NORTH LAKE COLLEGE</v>
          </cell>
          <cell r="B26">
            <v>143678</v>
          </cell>
          <cell r="C26">
            <v>22762</v>
          </cell>
          <cell r="D26">
            <v>0</v>
          </cell>
          <cell r="E26">
            <v>369826</v>
          </cell>
          <cell r="F26">
            <v>5958.9177777777777</v>
          </cell>
        </row>
        <row r="27">
          <cell r="A27" t="str">
            <v>DCCCD RICHLAND COLLEGE</v>
          </cell>
          <cell r="B27">
            <v>250858</v>
          </cell>
          <cell r="C27">
            <v>22326</v>
          </cell>
          <cell r="D27">
            <v>0</v>
          </cell>
          <cell r="E27">
            <v>762704</v>
          </cell>
          <cell r="F27">
            <v>9953.5822222222214</v>
          </cell>
        </row>
        <row r="28">
          <cell r="A28" t="str">
            <v>DEL MAR COLLEGE</v>
          </cell>
          <cell r="B28">
            <v>161344</v>
          </cell>
          <cell r="C28">
            <v>63981</v>
          </cell>
          <cell r="D28">
            <v>0</v>
          </cell>
          <cell r="E28">
            <v>230790</v>
          </cell>
          <cell r="F28">
            <v>7767.2666666666664</v>
          </cell>
        </row>
        <row r="29">
          <cell r="A29" t="str">
            <v>EL PASO COMMUNITY COLLEGE DIST</v>
          </cell>
          <cell r="B29">
            <v>459230</v>
          </cell>
          <cell r="C29">
            <v>54693</v>
          </cell>
          <cell r="D29">
            <v>0</v>
          </cell>
          <cell r="E29">
            <v>687458</v>
          </cell>
          <cell r="F29">
            <v>17894.608888888888</v>
          </cell>
        </row>
        <row r="30">
          <cell r="A30" t="str">
            <v>FRANK PHILLIPS COLLEGE</v>
          </cell>
          <cell r="B30">
            <v>20410</v>
          </cell>
          <cell r="C30">
            <v>5304</v>
          </cell>
          <cell r="D30">
            <v>0</v>
          </cell>
          <cell r="E30">
            <v>136609</v>
          </cell>
          <cell r="F30">
            <v>1008.9211111111111</v>
          </cell>
        </row>
        <row r="31">
          <cell r="A31" t="str">
            <v>GALVESTON COLLEGE</v>
          </cell>
          <cell r="B31">
            <v>31024</v>
          </cell>
          <cell r="C31">
            <v>12025</v>
          </cell>
          <cell r="D31">
            <v>0</v>
          </cell>
          <cell r="E31">
            <v>24550</v>
          </cell>
          <cell r="F31">
            <v>1462.2444444444445</v>
          </cell>
        </row>
        <row r="32">
          <cell r="A32" t="str">
            <v>GRAYSON COUNTY COLLEGE</v>
          </cell>
          <cell r="B32">
            <v>59684</v>
          </cell>
          <cell r="C32">
            <v>21135</v>
          </cell>
          <cell r="D32">
            <v>0</v>
          </cell>
          <cell r="E32">
            <v>123181</v>
          </cell>
          <cell r="F32">
            <v>2830.8344444444447</v>
          </cell>
        </row>
        <row r="33">
          <cell r="A33" t="str">
            <v>HILL COLLEGE</v>
          </cell>
          <cell r="B33">
            <v>49138</v>
          </cell>
          <cell r="C33">
            <v>17387</v>
          </cell>
          <cell r="D33">
            <v>0</v>
          </cell>
          <cell r="E33">
            <v>88683</v>
          </cell>
          <cell r="F33">
            <v>2316.0366666666669</v>
          </cell>
        </row>
        <row r="34">
          <cell r="A34" t="str">
            <v>HOUSTON COMMUNITY COLLEGE</v>
          </cell>
          <cell r="B34">
            <v>639755</v>
          </cell>
          <cell r="C34">
            <v>147453</v>
          </cell>
          <cell r="D34">
            <v>0</v>
          </cell>
          <cell r="E34">
            <v>1994869</v>
          </cell>
          <cell r="F34">
            <v>28456.787777777776</v>
          </cell>
        </row>
        <row r="35">
          <cell r="A35" t="str">
            <v>HOWARD COLLEGE</v>
          </cell>
          <cell r="B35">
            <v>43838</v>
          </cell>
          <cell r="C35">
            <v>11443</v>
          </cell>
          <cell r="D35">
            <v>0</v>
          </cell>
          <cell r="E35">
            <v>1048224</v>
          </cell>
          <cell r="F35">
            <v>3007.3933333333334</v>
          </cell>
        </row>
        <row r="36">
          <cell r="A36" t="str">
            <v>KILGORE COLLEGE</v>
          </cell>
          <cell r="B36">
            <v>85951</v>
          </cell>
          <cell r="C36">
            <v>25332</v>
          </cell>
          <cell r="D36">
            <v>0</v>
          </cell>
          <cell r="E36">
            <v>398963</v>
          </cell>
          <cell r="F36">
            <v>4152.7255555555557</v>
          </cell>
        </row>
        <row r="37">
          <cell r="A37" t="str">
            <v>LAREDO COMMUNITY COLLEGE</v>
          </cell>
          <cell r="B37">
            <v>132713</v>
          </cell>
          <cell r="C37">
            <v>36492</v>
          </cell>
          <cell r="D37">
            <v>0</v>
          </cell>
          <cell r="E37">
            <v>259262</v>
          </cell>
          <cell r="F37">
            <v>5928.2355555555559</v>
          </cell>
        </row>
        <row r="38">
          <cell r="A38" t="str">
            <v>LEE COLLEGE</v>
          </cell>
          <cell r="B38">
            <v>72284</v>
          </cell>
          <cell r="C38">
            <v>42893</v>
          </cell>
          <cell r="D38">
            <v>0</v>
          </cell>
          <cell r="E38">
            <v>143816</v>
          </cell>
          <cell r="F38">
            <v>3999.0288888888886</v>
          </cell>
        </row>
        <row r="39">
          <cell r="A39" t="str">
            <v>LONE STAR COLLEGE - CY-FAIR</v>
          </cell>
          <cell r="B39">
            <v>168240</v>
          </cell>
          <cell r="C39">
            <v>18367</v>
          </cell>
          <cell r="D39">
            <v>0</v>
          </cell>
          <cell r="E39">
            <v>103388</v>
          </cell>
          <cell r="F39">
            <v>6335.1088888888889</v>
          </cell>
        </row>
        <row r="40">
          <cell r="A40" t="str">
            <v>LONE STAR COLLEGE - KINGWOOD</v>
          </cell>
          <cell r="B40">
            <v>102740</v>
          </cell>
          <cell r="C40">
            <v>20295</v>
          </cell>
          <cell r="D40">
            <v>0</v>
          </cell>
          <cell r="E40">
            <v>53732</v>
          </cell>
          <cell r="F40">
            <v>4160.8688888888892</v>
          </cell>
        </row>
        <row r="41">
          <cell r="A41" t="str">
            <v>LONE STAR COLLEGE - MONTGOMERY</v>
          </cell>
          <cell r="B41">
            <v>130467</v>
          </cell>
          <cell r="C41">
            <v>14590</v>
          </cell>
          <cell r="D41">
            <v>0</v>
          </cell>
          <cell r="E41">
            <v>88220</v>
          </cell>
          <cell r="F41">
            <v>4933.2555555555555</v>
          </cell>
        </row>
        <row r="42">
          <cell r="A42" t="str">
            <v>LONE STAR COLLEGE - N. HARRIS</v>
          </cell>
          <cell r="B42">
            <v>143249</v>
          </cell>
          <cell r="C42">
            <v>42283</v>
          </cell>
          <cell r="D42">
            <v>0</v>
          </cell>
          <cell r="E42">
            <v>203026</v>
          </cell>
          <cell r="F42">
            <v>6409.9844444444443</v>
          </cell>
        </row>
        <row r="43">
          <cell r="A43" t="str">
            <v>LONE STAR COLLEGE - TOMBALL</v>
          </cell>
          <cell r="B43">
            <v>114240</v>
          </cell>
          <cell r="C43">
            <v>15592</v>
          </cell>
          <cell r="D43">
            <v>0</v>
          </cell>
          <cell r="E43">
            <v>64472</v>
          </cell>
          <cell r="F43">
            <v>4399.3688888888892</v>
          </cell>
        </row>
        <row r="44">
          <cell r="A44" t="str">
            <v>MCLENNAN COMMUNITY COLLEGE</v>
          </cell>
          <cell r="B44">
            <v>129456</v>
          </cell>
          <cell r="C44">
            <v>41126</v>
          </cell>
          <cell r="D44">
            <v>0</v>
          </cell>
          <cell r="E44">
            <v>242698</v>
          </cell>
          <cell r="F44">
            <v>5955.7311111111112</v>
          </cell>
        </row>
        <row r="45">
          <cell r="A45" t="str">
            <v>MIDLAND COLLEGE</v>
          </cell>
          <cell r="B45">
            <v>88355</v>
          </cell>
          <cell r="C45">
            <v>24399</v>
          </cell>
          <cell r="D45">
            <v>294</v>
          </cell>
          <cell r="E45">
            <v>219266</v>
          </cell>
          <cell r="F45">
            <v>4011.8955555555558</v>
          </cell>
        </row>
        <row r="46">
          <cell r="A46" t="str">
            <v>NAVARRO COLLEGE</v>
          </cell>
          <cell r="B46">
            <v>126414</v>
          </cell>
          <cell r="C46">
            <v>23275</v>
          </cell>
          <cell r="D46">
            <v>0</v>
          </cell>
          <cell r="E46">
            <v>176368</v>
          </cell>
          <cell r="F46">
            <v>5185.597777777778</v>
          </cell>
        </row>
        <row r="47">
          <cell r="A47" t="str">
            <v>NORTH CENTRAL TEXAS COLLEGE</v>
          </cell>
          <cell r="B47">
            <v>114001</v>
          </cell>
          <cell r="C47">
            <v>21435</v>
          </cell>
          <cell r="D47">
            <v>0</v>
          </cell>
          <cell r="E47">
            <v>40110</v>
          </cell>
          <cell r="F47">
            <v>4559.1000000000004</v>
          </cell>
        </row>
        <row r="48">
          <cell r="A48" t="str">
            <v>NORTHEAST TEXAS COMM COLLEGE</v>
          </cell>
          <cell r="B48">
            <v>43957</v>
          </cell>
          <cell r="C48">
            <v>8996</v>
          </cell>
          <cell r="D48">
            <v>0</v>
          </cell>
          <cell r="E48">
            <v>40256</v>
          </cell>
          <cell r="F48">
            <v>1809.8288888888887</v>
          </cell>
        </row>
        <row r="49">
          <cell r="A49" t="str">
            <v>ODESSA COLLEGE</v>
          </cell>
          <cell r="B49">
            <v>71197</v>
          </cell>
          <cell r="C49">
            <v>24071</v>
          </cell>
          <cell r="D49">
            <v>0</v>
          </cell>
          <cell r="E49">
            <v>382846</v>
          </cell>
          <cell r="F49">
            <v>3600.9844444444443</v>
          </cell>
        </row>
        <row r="50">
          <cell r="A50" t="str">
            <v>PALO ALTO COLLEGE</v>
          </cell>
          <cell r="B50">
            <v>150850</v>
          </cell>
          <cell r="C50">
            <v>11707</v>
          </cell>
          <cell r="D50">
            <v>0</v>
          </cell>
          <cell r="E50">
            <v>219089</v>
          </cell>
          <cell r="F50">
            <v>5661.9988888888893</v>
          </cell>
        </row>
        <row r="51">
          <cell r="A51" t="str">
            <v>PANOLA COLLEGE</v>
          </cell>
          <cell r="B51">
            <v>30382</v>
          </cell>
          <cell r="C51">
            <v>11494</v>
          </cell>
          <cell r="D51">
            <v>0</v>
          </cell>
          <cell r="E51">
            <v>41212</v>
          </cell>
          <cell r="F51">
            <v>1441.6577777777777</v>
          </cell>
        </row>
        <row r="52">
          <cell r="A52" t="str">
            <v>PARIS JUNIOR COLLEGE</v>
          </cell>
          <cell r="B52">
            <v>70629</v>
          </cell>
          <cell r="C52">
            <v>18059</v>
          </cell>
          <cell r="D52">
            <v>0</v>
          </cell>
          <cell r="E52">
            <v>84272</v>
          </cell>
          <cell r="F52">
            <v>3049.9022222222225</v>
          </cell>
        </row>
        <row r="53">
          <cell r="A53" t="str">
            <v>RANGER COLLEGE</v>
          </cell>
          <cell r="B53">
            <v>13105</v>
          </cell>
          <cell r="C53">
            <v>5853</v>
          </cell>
          <cell r="D53">
            <v>0</v>
          </cell>
          <cell r="E53">
            <v>6118</v>
          </cell>
          <cell r="F53">
            <v>638.73111111111109</v>
          </cell>
        </row>
        <row r="54">
          <cell r="A54" t="str">
            <v>SAN ANTONIO COLLEGE</v>
          </cell>
          <cell r="B54">
            <v>369875</v>
          </cell>
          <cell r="C54">
            <v>62519</v>
          </cell>
          <cell r="D54">
            <v>0</v>
          </cell>
          <cell r="E54">
            <v>369984</v>
          </cell>
          <cell r="F54">
            <v>14824.226666666667</v>
          </cell>
        </row>
        <row r="55">
          <cell r="A55" t="str">
            <v>SAN JACINTO COLLEGE CEN CAMPUS</v>
          </cell>
          <cell r="B55">
            <v>169710</v>
          </cell>
          <cell r="C55">
            <v>63714</v>
          </cell>
          <cell r="D55">
            <v>0</v>
          </cell>
          <cell r="E55">
            <v>228838</v>
          </cell>
          <cell r="F55">
            <v>8035.0644444444442</v>
          </cell>
        </row>
        <row r="56">
          <cell r="A56" t="str">
            <v>SAN JACINTO COLLEGE N CAMPUS</v>
          </cell>
          <cell r="B56">
            <v>68486</v>
          </cell>
          <cell r="C56">
            <v>30589</v>
          </cell>
          <cell r="D56">
            <v>0</v>
          </cell>
          <cell r="E56">
            <v>85132</v>
          </cell>
          <cell r="F56">
            <v>3397.0911111111109</v>
          </cell>
        </row>
        <row r="57">
          <cell r="A57" t="str">
            <v>SAN JACINTO COLLEGE S CAMPUS</v>
          </cell>
          <cell r="B57">
            <v>135848</v>
          </cell>
          <cell r="C57">
            <v>24225</v>
          </cell>
          <cell r="D57">
            <v>0</v>
          </cell>
          <cell r="E57">
            <v>130079</v>
          </cell>
          <cell r="F57">
            <v>5480.2988888888885</v>
          </cell>
        </row>
        <row r="58">
          <cell r="A58" t="str">
            <v>SOUTH PLAINS COLLEGE</v>
          </cell>
          <cell r="B58">
            <v>153908</v>
          </cell>
          <cell r="C58">
            <v>42443</v>
          </cell>
          <cell r="D58">
            <v>0</v>
          </cell>
          <cell r="E58">
            <v>152681</v>
          </cell>
          <cell r="F58">
            <v>6714.6788888888896</v>
          </cell>
        </row>
        <row r="59">
          <cell r="A59" t="str">
            <v>SOUTH TEXAS COLLEGE</v>
          </cell>
          <cell r="B59">
            <v>277972</v>
          </cell>
          <cell r="C59">
            <v>56042</v>
          </cell>
          <cell r="D59">
            <v>381</v>
          </cell>
          <cell r="E59">
            <v>155042</v>
          </cell>
          <cell r="F59">
            <v>11318.76888888889</v>
          </cell>
        </row>
        <row r="60">
          <cell r="A60" t="str">
            <v>SOUTHWEST COLLEGIATE INSTITUTE</v>
          </cell>
          <cell r="B60">
            <v>1118</v>
          </cell>
          <cell r="C60">
            <v>1243</v>
          </cell>
          <cell r="D60">
            <v>0</v>
          </cell>
          <cell r="E60">
            <v>0</v>
          </cell>
          <cell r="F60">
            <v>78.7</v>
          </cell>
        </row>
        <row r="61">
          <cell r="A61" t="str">
            <v>SOUTHWEST TEXAS JUNIOR COLLEGE</v>
          </cell>
          <cell r="B61">
            <v>85553</v>
          </cell>
          <cell r="C61">
            <v>15251</v>
          </cell>
          <cell r="D61">
            <v>0</v>
          </cell>
          <cell r="E61">
            <v>103211</v>
          </cell>
          <cell r="F61">
            <v>3474.8122222222223</v>
          </cell>
        </row>
        <row r="62">
          <cell r="A62" t="str">
            <v>ST. PHILIP'S COLLEGE</v>
          </cell>
          <cell r="B62">
            <v>142794</v>
          </cell>
          <cell r="C62">
            <v>70360</v>
          </cell>
          <cell r="D62">
            <v>0</v>
          </cell>
          <cell r="E62">
            <v>133005</v>
          </cell>
          <cell r="F62">
            <v>7252.916666666667</v>
          </cell>
        </row>
        <row r="63">
          <cell r="A63" t="str">
            <v>TARRANT CO NORTHEAST CAMPUS</v>
          </cell>
          <cell r="B63">
            <v>197257</v>
          </cell>
          <cell r="C63">
            <v>27286</v>
          </cell>
          <cell r="D63">
            <v>0</v>
          </cell>
          <cell r="E63">
            <v>49938</v>
          </cell>
          <cell r="F63">
            <v>7540.2533333333331</v>
          </cell>
        </row>
        <row r="64">
          <cell r="A64" t="str">
            <v>TARRANT CO NORTHWEST CAMPUS</v>
          </cell>
          <cell r="B64">
            <v>106681</v>
          </cell>
          <cell r="C64">
            <v>16518</v>
          </cell>
          <cell r="D64">
            <v>0</v>
          </cell>
          <cell r="E64">
            <v>260211</v>
          </cell>
          <cell r="F64">
            <v>4395.7566666666662</v>
          </cell>
        </row>
        <row r="65">
          <cell r="A65" t="str">
            <v>TARRANT CO SOUTH CAMPUS</v>
          </cell>
          <cell r="B65">
            <v>144572</v>
          </cell>
          <cell r="C65">
            <v>25778</v>
          </cell>
          <cell r="D65">
            <v>0</v>
          </cell>
          <cell r="E65">
            <v>192561</v>
          </cell>
          <cell r="F65">
            <v>5892.29</v>
          </cell>
        </row>
        <row r="66">
          <cell r="A66" t="str">
            <v>TARRANT CO SOUTHEAST CAMPUS</v>
          </cell>
          <cell r="B66">
            <v>171928</v>
          </cell>
          <cell r="C66">
            <v>8361</v>
          </cell>
          <cell r="D66">
            <v>0</v>
          </cell>
          <cell r="E66">
            <v>53965</v>
          </cell>
          <cell r="F66">
            <v>6069.594444444444</v>
          </cell>
        </row>
        <row r="67">
          <cell r="A67" t="str">
            <v>TEMPLE COLLEGE</v>
          </cell>
          <cell r="B67">
            <v>61255</v>
          </cell>
          <cell r="C67">
            <v>15249</v>
          </cell>
          <cell r="D67">
            <v>0</v>
          </cell>
          <cell r="E67">
            <v>102182</v>
          </cell>
          <cell r="F67">
            <v>2663.6688888888889</v>
          </cell>
        </row>
        <row r="68">
          <cell r="A68" t="str">
            <v>TEXARKANA COLLEGE</v>
          </cell>
          <cell r="B68">
            <v>60545</v>
          </cell>
          <cell r="C68">
            <v>21859</v>
          </cell>
          <cell r="D68">
            <v>0</v>
          </cell>
          <cell r="E68">
            <v>451176</v>
          </cell>
          <cell r="F68">
            <v>3248.106666666667</v>
          </cell>
        </row>
        <row r="69">
          <cell r="A69" t="str">
            <v>TEXAS SOUTHMOST COLLEGE</v>
          </cell>
          <cell r="B69">
            <v>151850</v>
          </cell>
          <cell r="C69">
            <v>38501</v>
          </cell>
          <cell r="D69">
            <v>0</v>
          </cell>
          <cell r="E69">
            <v>49610</v>
          </cell>
          <cell r="F69">
            <v>6400.155555555556</v>
          </cell>
        </row>
        <row r="70">
          <cell r="A70" t="str">
            <v>TRINITY VALLEY COMM COLLEGE</v>
          </cell>
          <cell r="B70">
            <v>96896</v>
          </cell>
          <cell r="C70">
            <v>38007</v>
          </cell>
          <cell r="D70">
            <v>0</v>
          </cell>
          <cell r="E70">
            <v>180139</v>
          </cell>
          <cell r="F70">
            <v>4696.9211111111108</v>
          </cell>
        </row>
        <row r="71">
          <cell r="A71" t="str">
            <v>TYLER JUNIOR COLLEGE</v>
          </cell>
          <cell r="B71">
            <v>173489</v>
          </cell>
          <cell r="C71">
            <v>36771</v>
          </cell>
          <cell r="D71">
            <v>0</v>
          </cell>
          <cell r="E71">
            <v>225451</v>
          </cell>
          <cell r="F71">
            <v>7259.1677777777777</v>
          </cell>
        </row>
        <row r="72">
          <cell r="A72" t="str">
            <v>VERNON COLLEGE</v>
          </cell>
          <cell r="B72">
            <v>37809</v>
          </cell>
          <cell r="C72">
            <v>18751</v>
          </cell>
          <cell r="D72">
            <v>0</v>
          </cell>
          <cell r="E72">
            <v>184648</v>
          </cell>
          <cell r="F72">
            <v>2090.4977777777776</v>
          </cell>
        </row>
        <row r="73">
          <cell r="A73" t="str">
            <v>VICTORIA COLLEGE, THE</v>
          </cell>
          <cell r="B73">
            <v>57236</v>
          </cell>
          <cell r="C73">
            <v>20152</v>
          </cell>
          <cell r="D73">
            <v>0</v>
          </cell>
          <cell r="E73">
            <v>155869</v>
          </cell>
          <cell r="F73">
            <v>2752.7877777777776</v>
          </cell>
        </row>
        <row r="74">
          <cell r="A74" t="str">
            <v>WEATHERFORD COLLEGE</v>
          </cell>
          <cell r="B74">
            <v>74907</v>
          </cell>
          <cell r="C74">
            <v>18011</v>
          </cell>
          <cell r="D74">
            <v>0</v>
          </cell>
          <cell r="E74">
            <v>352115</v>
          </cell>
          <cell r="F74">
            <v>3488.5055555555559</v>
          </cell>
        </row>
        <row r="75">
          <cell r="A75" t="str">
            <v>WESTERN TEXAS COLLEGE</v>
          </cell>
          <cell r="B75">
            <v>27891</v>
          </cell>
          <cell r="C75">
            <v>5729</v>
          </cell>
          <cell r="D75">
            <v>0</v>
          </cell>
          <cell r="E75">
            <v>69789</v>
          </cell>
          <cell r="F75">
            <v>1198.21</v>
          </cell>
        </row>
        <row r="76">
          <cell r="A76" t="str">
            <v>WHARTON COUNTY JUNIOR COLLEGE</v>
          </cell>
          <cell r="B76">
            <v>105899</v>
          </cell>
          <cell r="C76">
            <v>19962</v>
          </cell>
          <cell r="D76">
            <v>0</v>
          </cell>
          <cell r="E76">
            <v>27558</v>
          </cell>
          <cell r="F76">
            <v>4225.9866666666667</v>
          </cell>
        </row>
        <row r="77">
          <cell r="A77" t="str">
            <v xml:space="preserve">     SUBTOTAL</v>
          </cell>
          <cell r="B77">
            <v>9061814</v>
          </cell>
          <cell r="C77">
            <v>2023157</v>
          </cell>
          <cell r="D77">
            <v>1167</v>
          </cell>
          <cell r="E77">
            <v>16222340</v>
          </cell>
          <cell r="F77">
            <v>387562.75555555569</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ademic Space Model Smmy"/>
      <sheetName val="Acad Space Model"/>
      <sheetName val="CS &amp; SP Smmy"/>
      <sheetName val="Acad CTG Costs"/>
      <sheetName val="ICUT Survey"/>
      <sheetName val="Academic Accountability Smmy"/>
      <sheetName val="Smmy Acad SbS"/>
      <sheetName val="Smmy Chrts"/>
      <sheetName val="Smmy Sum"/>
      <sheetName val="Smmy FGD"/>
      <sheetName val="Smmy Fnts"/>
      <sheetName val="ARL Chrts"/>
      <sheetName val="ARL Sum"/>
      <sheetName val="ARL FGD"/>
      <sheetName val="ARL Fnts"/>
      <sheetName val="AUS Chrts"/>
      <sheetName val="AUS Sum"/>
      <sheetName val="AUS FGD"/>
      <sheetName val="AUS Fnts"/>
      <sheetName val="DAL Chrts"/>
      <sheetName val="DAL Sum"/>
      <sheetName val="DAL FGD"/>
      <sheetName val="DAL Fnts"/>
      <sheetName val="E-P Chrts"/>
      <sheetName val="E-P Sum"/>
      <sheetName val="E-P FGD"/>
      <sheetName val="E-P Fnts"/>
      <sheetName val="P-A Chrts"/>
      <sheetName val="P-A Sum"/>
      <sheetName val="P-A FGD"/>
      <sheetName val="P-A Fnts"/>
      <sheetName val="BRW Chrts"/>
      <sheetName val="BRW Sum"/>
      <sheetName val="BRW FGD"/>
      <sheetName val="BRW Fnts"/>
      <sheetName val="P-B Chrts"/>
      <sheetName val="P-B Sum"/>
      <sheetName val="P-B FGD"/>
      <sheetName val="P-B Fnts"/>
      <sheetName val="S-A Chrts"/>
      <sheetName val="S-A Sum"/>
      <sheetName val="S-A FGD"/>
      <sheetName val="S-A Fnts"/>
      <sheetName val="TYL Chrts"/>
      <sheetName val="TYL Sum"/>
      <sheetName val="TYL FGD"/>
      <sheetName val="TYL Fnts"/>
      <sheetName val="TAMU Chrts"/>
      <sheetName val="TAMU Sum"/>
      <sheetName val="TAMU FGD"/>
      <sheetName val="TAMU Fnts"/>
      <sheetName val="TAMUG Chrts"/>
      <sheetName val="TAMUG Sum"/>
      <sheetName val="TAMUG FGD"/>
      <sheetName val="TAMUG Fnts"/>
      <sheetName val="PVAMU Chrts"/>
      <sheetName val="PVAMU Sum"/>
      <sheetName val="PVAMU FGD"/>
      <sheetName val="PVAMU Fnts"/>
      <sheetName val="TARLST Chrts"/>
      <sheetName val="TARLST Sum"/>
      <sheetName val="TARLST FGD"/>
      <sheetName val="TARLST Fnts"/>
      <sheetName val="TAMUCC Chrts"/>
      <sheetName val="TAMUCC Sum"/>
      <sheetName val="TAMUCC FGD"/>
      <sheetName val="TAMUCC Fnts"/>
      <sheetName val="TAMUK Chrts"/>
      <sheetName val="TAMUK Sum"/>
      <sheetName val="TAMUK FGD"/>
      <sheetName val="TAMUK Fnts"/>
      <sheetName val="TAMIU Chrts"/>
      <sheetName val="TAMIU Sum"/>
      <sheetName val="TAMIU FGD"/>
      <sheetName val="TAMIU Fnts"/>
      <sheetName val="WTAMU Chrts"/>
      <sheetName val="WTAMU Sum"/>
      <sheetName val="WTAMU FGD"/>
      <sheetName val="WTAMU Fnts"/>
      <sheetName val="TAMUC Chrts"/>
      <sheetName val="TAMUC Sum"/>
      <sheetName val="TAMUC FGD"/>
      <sheetName val="TAMUC Fnts"/>
      <sheetName val="TAMUT Chrts"/>
      <sheetName val="TAMUT Sum"/>
      <sheetName val="TAMUT FGD"/>
      <sheetName val="TAMUT Fnts"/>
      <sheetName val="TAMUCT Chrts"/>
      <sheetName val="TAMUCT Sum"/>
      <sheetName val="TAMUCT FGD"/>
      <sheetName val="TAMUCT Fnts"/>
      <sheetName val="TAMUSA Chrts"/>
      <sheetName val="TAMUSA Sum"/>
      <sheetName val="TAMUSA FGD"/>
      <sheetName val="TAMUSA Fnts"/>
      <sheetName val="UH Chrts"/>
      <sheetName val="UH Sum"/>
      <sheetName val="UH FGD"/>
      <sheetName val="UH Fnts"/>
      <sheetName val="UHCL Chrts"/>
      <sheetName val="UHCL Sum"/>
      <sheetName val="UHCL FGD"/>
      <sheetName val="UHCL Fnts"/>
      <sheetName val="UHD Chrts"/>
      <sheetName val="UHD Sum"/>
      <sheetName val="UHD FGD"/>
      <sheetName val="UHD Fnts"/>
      <sheetName val="UHV Chrts"/>
      <sheetName val="UHV Sum"/>
      <sheetName val="UHV FGD"/>
      <sheetName val="UHV Fnts"/>
      <sheetName val="LU Chrts"/>
      <sheetName val="LU Sum"/>
      <sheetName val="LU FGD"/>
      <sheetName val="LU Fnts"/>
      <sheetName val="shsu Chrts"/>
      <sheetName val="shsu Sum"/>
      <sheetName val="shsu FGD"/>
      <sheetName val="shsu Fnts"/>
      <sheetName val="TXST Chrts"/>
      <sheetName val="TXST Sum"/>
      <sheetName val="TXST FGD"/>
      <sheetName val="TXST Fnts"/>
      <sheetName val="SRSU Chrts"/>
      <sheetName val="SRSU Sum"/>
      <sheetName val="SRSU FGD"/>
      <sheetName val="SRSU Fnts"/>
      <sheetName val="TTU Chrts"/>
      <sheetName val="TTU Sum"/>
      <sheetName val="TTU FGD"/>
      <sheetName val="TTU Fnts"/>
      <sheetName val="ASU Chrts"/>
      <sheetName val="ASU Sum"/>
      <sheetName val="ASU FGD"/>
      <sheetName val="ASU Fnts"/>
      <sheetName val="UNT Chrts"/>
      <sheetName val="UNT Sum"/>
      <sheetName val="UNT FGD"/>
      <sheetName val="UNT Fnts"/>
      <sheetName val="UNTD Chrts"/>
      <sheetName val="UNTD Sum"/>
      <sheetName val="UNTD FGD"/>
      <sheetName val="UNTD Fnts"/>
      <sheetName val="MidWST Chrts"/>
      <sheetName val="MidWST Sum"/>
      <sheetName val="MidWST FGD"/>
      <sheetName val="MidWST Fnts"/>
      <sheetName val="SFA Chrts"/>
      <sheetName val="SFA Sum"/>
      <sheetName val="SFA FGD"/>
      <sheetName val="SFA Fnts"/>
      <sheetName val="TSU Chrts"/>
      <sheetName val="TSU Sum"/>
      <sheetName val="TSU FGD"/>
      <sheetName val="TSU Fnts"/>
      <sheetName val="TWU Chrts"/>
      <sheetName val="TWU Sum"/>
      <sheetName val="TWU FGD"/>
      <sheetName val="TWU Fnts"/>
      <sheetName val="Names"/>
      <sheetName val="Input"/>
      <sheetName val="FT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row r="11">
          <cell r="B11" t="str">
            <v>The University of Texas System</v>
          </cell>
          <cell r="C11" t="str">
            <v>UTS</v>
          </cell>
          <cell r="D11" t="str">
            <v>S40 - S &amp; U - FY 2010 - UTS.xlsx</v>
          </cell>
        </row>
        <row r="12">
          <cell r="B12" t="str">
            <v>The University of Texas at Arlington</v>
          </cell>
          <cell r="C12" t="str">
            <v>ARL</v>
          </cell>
          <cell r="D12" t="str">
            <v>40 - S &amp; U - FY 2010 - ARL.xlsx</v>
          </cell>
          <cell r="F12">
            <v>3452814</v>
          </cell>
          <cell r="I12" t="str">
            <v>003656</v>
          </cell>
        </row>
        <row r="13">
          <cell r="B13" t="str">
            <v>The University of Texas at Austin</v>
          </cell>
          <cell r="C13" t="str">
            <v>AUS</v>
          </cell>
          <cell r="D13" t="str">
            <v>50 - S &amp; U - FY 2010 - AUS.xlsx</v>
          </cell>
          <cell r="E13">
            <v>27534452</v>
          </cell>
          <cell r="I13" t="str">
            <v>003658</v>
          </cell>
        </row>
        <row r="14">
          <cell r="B14" t="str">
            <v>The University of Texas at Dallas</v>
          </cell>
          <cell r="C14" t="str">
            <v>DAL</v>
          </cell>
          <cell r="D14" t="str">
            <v>60 - S &amp; U - FY 2010 - DAL.xlsx</v>
          </cell>
          <cell r="F14">
            <v>5627594</v>
          </cell>
          <cell r="I14" t="str">
            <v>009741</v>
          </cell>
        </row>
        <row r="15">
          <cell r="B15" t="str">
            <v>The University of Texas at El Paso</v>
          </cell>
          <cell r="C15" t="str">
            <v>E-P</v>
          </cell>
          <cell r="D15" t="str">
            <v>70 - S &amp; U - FY 2010 - E-P.xlsx</v>
          </cell>
          <cell r="F15">
            <v>4263330</v>
          </cell>
          <cell r="I15" t="str">
            <v>003661</v>
          </cell>
        </row>
        <row r="16">
          <cell r="B16" t="str">
            <v>The University of Texas - Pan American</v>
          </cell>
          <cell r="C16" t="str">
            <v>P-A</v>
          </cell>
          <cell r="D16" t="str">
            <v>80 - S &amp; U - FY 2010 - P-A.xlsx</v>
          </cell>
          <cell r="F16">
            <v>740210</v>
          </cell>
          <cell r="G16">
            <v>13176800</v>
          </cell>
          <cell r="I16" t="str">
            <v>003599</v>
          </cell>
        </row>
        <row r="17">
          <cell r="B17" t="str">
            <v>The University of Texas at Brownsville</v>
          </cell>
          <cell r="C17" t="str">
            <v>BRW</v>
          </cell>
          <cell r="D17" t="str">
            <v>90 - S &amp; U - FY 2010 - BRW.xlsx</v>
          </cell>
          <cell r="F17">
            <v>668711</v>
          </cell>
          <cell r="G17">
            <v>4284677</v>
          </cell>
          <cell r="I17" t="str">
            <v>030646</v>
          </cell>
        </row>
        <row r="18">
          <cell r="B18" t="str">
            <v>The University of Texas of the Permian Basin</v>
          </cell>
          <cell r="C18" t="str">
            <v>P-B</v>
          </cell>
          <cell r="D18" t="str">
            <v>100 - S &amp; U - FY 2010 - P-B.xlsx</v>
          </cell>
          <cell r="F18">
            <v>250623</v>
          </cell>
          <cell r="I18" t="str">
            <v>009930</v>
          </cell>
        </row>
        <row r="19">
          <cell r="B19" t="str">
            <v>The University of Texas at San Antonio</v>
          </cell>
          <cell r="C19" t="str">
            <v>S-A</v>
          </cell>
          <cell r="D19" t="str">
            <v>110 - S &amp; U - FY 2010 - S-A.xlsx</v>
          </cell>
          <cell r="F19">
            <v>3402524</v>
          </cell>
          <cell r="I19" t="str">
            <v>010115</v>
          </cell>
        </row>
        <row r="20">
          <cell r="B20" t="str">
            <v>The University of Texas at Tyler</v>
          </cell>
          <cell r="C20" t="str">
            <v>TYL</v>
          </cell>
          <cell r="D20" t="str">
            <v>120 - S &amp; U - FY 2010 - TYL.xlsx</v>
          </cell>
          <cell r="F20">
            <v>228118</v>
          </cell>
          <cell r="I20" t="str">
            <v>011163</v>
          </cell>
        </row>
        <row r="21">
          <cell r="B21" t="str">
            <v>Texas A&amp;M University System</v>
          </cell>
          <cell r="C21" t="str">
            <v>TAMUS</v>
          </cell>
          <cell r="D21" t="str">
            <v>S130 - S &amp; U - FY 2010 - TAMUS.xlsx</v>
          </cell>
        </row>
        <row r="22">
          <cell r="B22" t="str">
            <v>Texas A&amp;M University</v>
          </cell>
          <cell r="C22" t="str">
            <v>TAMU</v>
          </cell>
          <cell r="D22" t="str">
            <v>130 - S &amp; U - FY 2010 - TAMU.xlsx</v>
          </cell>
          <cell r="E22">
            <v>28068280</v>
          </cell>
          <cell r="I22" t="str">
            <v>003632</v>
          </cell>
        </row>
        <row r="23">
          <cell r="B23" t="str">
            <v>Texas A&amp;M University at Galveston</v>
          </cell>
          <cell r="C23" t="str">
            <v>TAMUG</v>
          </cell>
          <cell r="D23" t="str">
            <v>140 - S &amp; U - FY 2010 - TAMUG.xlsx</v>
          </cell>
          <cell r="F23">
            <v>407402</v>
          </cell>
          <cell r="I23" t="str">
            <v>010298</v>
          </cell>
        </row>
        <row r="24">
          <cell r="B24" t="str">
            <v>Prairie View A &amp; M University</v>
          </cell>
          <cell r="C24" t="str">
            <v>PVAMU</v>
          </cell>
          <cell r="D24" t="str">
            <v>150 - S &amp; U - FY 2010 - PVAMU.xlsx</v>
          </cell>
          <cell r="I24" t="str">
            <v>003630</v>
          </cell>
        </row>
        <row r="25">
          <cell r="B25" t="str">
            <v>Tarleton State University</v>
          </cell>
          <cell r="C25" t="str">
            <v>TARLST</v>
          </cell>
          <cell r="D25" t="str">
            <v>160 - S &amp; U - FY 2010 - TARL ST.xlsx</v>
          </cell>
          <cell r="F25">
            <v>1115775</v>
          </cell>
          <cell r="I25" t="str">
            <v>003631</v>
          </cell>
        </row>
        <row r="26">
          <cell r="B26" t="str">
            <v>Texas A&amp;M University - Corpus Christi</v>
          </cell>
          <cell r="C26" t="str">
            <v>TAMUCC</v>
          </cell>
          <cell r="D26" t="str">
            <v>170 - S &amp; U - FY 2010 - TAMUCC.xlsx</v>
          </cell>
          <cell r="F26">
            <v>1495540</v>
          </cell>
          <cell r="G26">
            <v>8471116</v>
          </cell>
          <cell r="I26" t="str">
            <v>011161</v>
          </cell>
        </row>
        <row r="27">
          <cell r="B27" t="str">
            <v>Texas A&amp;M University - Kingsville</v>
          </cell>
          <cell r="C27" t="str">
            <v>TAMUK</v>
          </cell>
          <cell r="D27" t="str">
            <v>180 - S &amp; U - FY 2010 - TAMUK.xlsx</v>
          </cell>
          <cell r="F27">
            <v>1267265</v>
          </cell>
          <cell r="G27">
            <v>5167540</v>
          </cell>
          <cell r="I27" t="str">
            <v>003639</v>
          </cell>
        </row>
        <row r="28">
          <cell r="B28" t="str">
            <v>Texas A&amp;M International University</v>
          </cell>
          <cell r="C28" t="str">
            <v>TAMIU</v>
          </cell>
          <cell r="D28" t="str">
            <v>190 - S &amp; U - FY 2010 - TAMIU.xlsx</v>
          </cell>
          <cell r="F28">
            <v>34904</v>
          </cell>
          <cell r="G28">
            <v>3202241</v>
          </cell>
          <cell r="I28" t="str">
            <v>009651</v>
          </cell>
        </row>
        <row r="29">
          <cell r="B29" t="str">
            <v>West Texas A&amp;M University</v>
          </cell>
          <cell r="C29" t="str">
            <v>WTAMU</v>
          </cell>
          <cell r="D29" t="str">
            <v>200 - S &amp; U - FY 2010 - WTAMU.xlsx</v>
          </cell>
          <cell r="F29">
            <v>527219</v>
          </cell>
          <cell r="G29">
            <v>4886159</v>
          </cell>
          <cell r="I29" t="str">
            <v>003665</v>
          </cell>
        </row>
        <row r="30">
          <cell r="B30" t="str">
            <v>Texas A&amp;M University - Commerce</v>
          </cell>
          <cell r="C30" t="str">
            <v>TAMUC</v>
          </cell>
          <cell r="D30" t="str">
            <v>210 - S &amp; U - FY 2010 - TAMUC.xlsx</v>
          </cell>
          <cell r="F30">
            <v>218046</v>
          </cell>
          <cell r="G30">
            <v>5684047</v>
          </cell>
          <cell r="I30" t="str">
            <v>003565</v>
          </cell>
        </row>
        <row r="31">
          <cell r="B31" t="str">
            <v>Texas A&amp;M University - Texarkana</v>
          </cell>
          <cell r="C31" t="str">
            <v>TAMUT</v>
          </cell>
          <cell r="D31" t="str">
            <v>220 - S &amp; U - FY 2010 - TAMUT.xlsx</v>
          </cell>
          <cell r="G31">
            <v>1684587</v>
          </cell>
          <cell r="I31" t="str">
            <v>029269</v>
          </cell>
        </row>
        <row r="32">
          <cell r="B32" t="str">
            <v>Texas A&amp;M University - Central Texas</v>
          </cell>
          <cell r="C32" t="str">
            <v>TAMUCT</v>
          </cell>
          <cell r="D32" t="str">
            <v>223 - S &amp; U - FY 2010 - TAMUCT.xlsx</v>
          </cell>
          <cell r="I32" t="str">
            <v>103631</v>
          </cell>
        </row>
        <row r="33">
          <cell r="B33" t="str">
            <v>Texas A&amp;M University - San Antonio</v>
          </cell>
          <cell r="C33" t="str">
            <v>TAMUSA</v>
          </cell>
          <cell r="D33" t="str">
            <v>226 - S &amp; U - FY 2010 - TAMUSA.xlsx</v>
          </cell>
          <cell r="I33" t="str">
            <v>103639</v>
          </cell>
        </row>
        <row r="34">
          <cell r="B34" t="str">
            <v>Texas AgriLife Research</v>
          </cell>
          <cell r="C34" t="str">
            <v>TAR</v>
          </cell>
          <cell r="D34" t="str">
            <v>600 - S &amp; U - FY 2010 - TAR.xlsx</v>
          </cell>
          <cell r="I34" t="str">
            <v>000556</v>
          </cell>
        </row>
        <row r="35">
          <cell r="B35" t="str">
            <v>Texas AgriLife Extension Service</v>
          </cell>
          <cell r="C35" t="str">
            <v>TAES</v>
          </cell>
          <cell r="D35" t="str">
            <v>605 - S &amp; U - FY 2010 - TAES.xlsx</v>
          </cell>
          <cell r="I35" t="str">
            <v>000555</v>
          </cell>
        </row>
        <row r="36">
          <cell r="B36" t="str">
            <v>Texas Engineering Experiment Station</v>
          </cell>
          <cell r="C36" t="str">
            <v>TEES1</v>
          </cell>
          <cell r="D36" t="str">
            <v>610 - S &amp; U - FY 2010 - TEES1.xlsx</v>
          </cell>
          <cell r="I36" t="str">
            <v>000712</v>
          </cell>
        </row>
        <row r="37">
          <cell r="B37" t="str">
            <v>Texas Engineering Extension Service</v>
          </cell>
          <cell r="C37" t="str">
            <v>TEES2</v>
          </cell>
          <cell r="D37" t="str">
            <v>615 - S &amp; U - FY 2010 - TEES2.xlsx</v>
          </cell>
          <cell r="I37" t="str">
            <v>000716</v>
          </cell>
        </row>
        <row r="38">
          <cell r="B38" t="str">
            <v>Texas Forest Service</v>
          </cell>
          <cell r="C38" t="str">
            <v>TFS</v>
          </cell>
          <cell r="D38" t="str">
            <v>620 - S &amp; U - FY 2010 - TFS.xlsx</v>
          </cell>
          <cell r="I38" t="str">
            <v>000576</v>
          </cell>
        </row>
        <row r="39">
          <cell r="B39" t="str">
            <v>Texas Transportation Institute</v>
          </cell>
          <cell r="C39" t="str">
            <v>TTI</v>
          </cell>
          <cell r="D39" t="str">
            <v>625 - S &amp; U - FY 2010 - TTI.xlsx</v>
          </cell>
          <cell r="I39" t="str">
            <v>000727</v>
          </cell>
        </row>
        <row r="40">
          <cell r="B40" t="str">
            <v>Texas Vet. Medical Diagnostic Laboratory</v>
          </cell>
          <cell r="C40" t="str">
            <v>TVMDL</v>
          </cell>
          <cell r="D40" t="str">
            <v>630 - S &amp; U - FY 2010 - TVMDL.xlsx</v>
          </cell>
          <cell r="I40" t="str">
            <v>000557</v>
          </cell>
        </row>
        <row r="41">
          <cell r="B41" t="str">
            <v>Texas A&amp;M Research Foundation</v>
          </cell>
          <cell r="C41" t="str">
            <v>TAMRF</v>
          </cell>
          <cell r="D41" t="str">
            <v>635 - S &amp; U - FY 2010 - TAMRF.xlsx</v>
          </cell>
          <cell r="I41" t="str">
            <v>000518</v>
          </cell>
        </row>
        <row r="42">
          <cell r="B42" t="str">
            <v>University of Houston System</v>
          </cell>
          <cell r="C42" t="str">
            <v>UTS</v>
          </cell>
          <cell r="D42" t="str">
            <v>S230 - S &amp; U - FY 2010 - UHS.xlsx</v>
          </cell>
        </row>
        <row r="43">
          <cell r="B43" t="str">
            <v>University of Houston</v>
          </cell>
          <cell r="C43" t="str">
            <v>UH</v>
          </cell>
          <cell r="D43" t="str">
            <v>230 - S &amp; U - FY 2010 - UH.xlsx</v>
          </cell>
          <cell r="E43">
            <v>4535210</v>
          </cell>
          <cell r="F43">
            <v>6380651</v>
          </cell>
          <cell r="G43">
            <v>36091538</v>
          </cell>
          <cell r="I43" t="str">
            <v>003652</v>
          </cell>
        </row>
        <row r="44">
          <cell r="B44" t="str">
            <v>University of Houston - Clear Lake</v>
          </cell>
          <cell r="C44" t="str">
            <v>UHCL</v>
          </cell>
          <cell r="D44" t="str">
            <v>240 - S &amp; U - FY 2010 - UHCL.xlsx</v>
          </cell>
          <cell r="F44">
            <v>74975</v>
          </cell>
          <cell r="G44">
            <v>5355874</v>
          </cell>
          <cell r="I44" t="str">
            <v>011711</v>
          </cell>
        </row>
        <row r="45">
          <cell r="B45" t="str">
            <v>University of Houston - Downtown</v>
          </cell>
          <cell r="C45" t="str">
            <v>UHD</v>
          </cell>
          <cell r="D45" t="str">
            <v>250 - S &amp; U - FY 2010 - UHD.xlsx</v>
          </cell>
          <cell r="F45">
            <v>56984</v>
          </cell>
          <cell r="G45">
            <v>9548995</v>
          </cell>
          <cell r="I45" t="str">
            <v>012826</v>
          </cell>
        </row>
        <row r="46">
          <cell r="B46" t="str">
            <v>University of Houston - Victoria</v>
          </cell>
          <cell r="C46" t="str">
            <v>UHV</v>
          </cell>
          <cell r="D46" t="str">
            <v>260 - S &amp; U - FY 2010 - UHV.xlsx</v>
          </cell>
          <cell r="G46">
            <v>2335692</v>
          </cell>
          <cell r="I46" t="str">
            <v>013231</v>
          </cell>
        </row>
        <row r="47">
          <cell r="B47" t="str">
            <v>Texas State System</v>
          </cell>
          <cell r="C47" t="str">
            <v>TXSTS</v>
          </cell>
          <cell r="D47" t="str">
            <v>S270 - S &amp; U - FY 2010 - TXSTS.xlsx</v>
          </cell>
        </row>
        <row r="48">
          <cell r="B48" t="str">
            <v xml:space="preserve">Lamar University </v>
          </cell>
          <cell r="C48" t="str">
            <v>LU</v>
          </cell>
          <cell r="D48" t="str">
            <v>270 - S &amp; U - FY 2010 - LU.xlsx</v>
          </cell>
          <cell r="F48">
            <v>437890</v>
          </cell>
          <cell r="G48">
            <v>8028333</v>
          </cell>
          <cell r="I48" t="str">
            <v>003581</v>
          </cell>
        </row>
        <row r="49">
          <cell r="B49" t="str">
            <v>Sam Houston State University</v>
          </cell>
          <cell r="C49" t="str">
            <v>SHSU</v>
          </cell>
          <cell r="D49" t="str">
            <v>280 - S &amp; U - FY 2010 - SHSU.xlsx</v>
          </cell>
          <cell r="F49">
            <v>381074</v>
          </cell>
          <cell r="G49">
            <v>10184001</v>
          </cell>
          <cell r="I49" t="str">
            <v>003606</v>
          </cell>
        </row>
        <row r="50">
          <cell r="B50" t="str">
            <v>Texas State University - San Marcos</v>
          </cell>
          <cell r="C50" t="str">
            <v>TXST</v>
          </cell>
          <cell r="D50" t="str">
            <v>290 - S &amp; U - FY 2010 - TXST.xlsx</v>
          </cell>
          <cell r="F50">
            <v>1352702</v>
          </cell>
          <cell r="G50">
            <v>20258248</v>
          </cell>
          <cell r="I50" t="str">
            <v>003615</v>
          </cell>
        </row>
        <row r="51">
          <cell r="B51" t="str">
            <v>Sul Ross State University</v>
          </cell>
          <cell r="C51" t="str">
            <v>SRSU</v>
          </cell>
          <cell r="D51" t="str">
            <v>300 - S &amp; U - FY 2010 - SRSU.xlsx</v>
          </cell>
          <cell r="F51">
            <v>290581</v>
          </cell>
          <cell r="G51">
            <v>2479099</v>
          </cell>
          <cell r="I51" t="str">
            <v>003625</v>
          </cell>
        </row>
        <row r="52">
          <cell r="B52" t="str">
            <v>Texas Tech University System</v>
          </cell>
          <cell r="C52" t="str">
            <v>TTUS</v>
          </cell>
          <cell r="D52" t="str">
            <v>S310 - S &amp; U - FY 2010 - TTUS.xlsx</v>
          </cell>
        </row>
        <row r="53">
          <cell r="B53" t="str">
            <v>Texas Tech University</v>
          </cell>
          <cell r="C53" t="str">
            <v>TTU</v>
          </cell>
          <cell r="D53" t="str">
            <v>310 - S &amp; U - FY 2010 - TTU.xlsx</v>
          </cell>
          <cell r="E53">
            <v>2965865</v>
          </cell>
          <cell r="F53">
            <v>4868296</v>
          </cell>
          <cell r="G53">
            <v>27446656</v>
          </cell>
          <cell r="I53" t="str">
            <v>003644</v>
          </cell>
        </row>
        <row r="54">
          <cell r="B54" t="str">
            <v>Angelo State University</v>
          </cell>
          <cell r="C54" t="str">
            <v>ASU</v>
          </cell>
          <cell r="D54" t="str">
            <v>320 - S &amp; U - FY 2010 - ASU.xlsx</v>
          </cell>
          <cell r="F54">
            <v>41632</v>
          </cell>
          <cell r="G54">
            <v>3667497</v>
          </cell>
          <cell r="I54" t="str">
            <v>003541</v>
          </cell>
        </row>
        <row r="55">
          <cell r="B55" t="str">
            <v>University of North Texas System</v>
          </cell>
          <cell r="C55" t="str">
            <v>UNTS</v>
          </cell>
          <cell r="D55" t="str">
            <v>S330 - S &amp; U - FY 2010 - UNTS.xlsx</v>
          </cell>
        </row>
        <row r="56">
          <cell r="B56" t="str">
            <v>University of North Texas</v>
          </cell>
          <cell r="C56" t="str">
            <v>UNT</v>
          </cell>
          <cell r="D56" t="str">
            <v>330 - S &amp; U - FY 2010 - UNT.xlsx</v>
          </cell>
          <cell r="F56">
            <v>1602313</v>
          </cell>
          <cell r="G56">
            <v>27122687</v>
          </cell>
          <cell r="I56" t="str">
            <v>003594</v>
          </cell>
        </row>
        <row r="57">
          <cell r="B57" t="str">
            <v>University of North Texas at Dallas</v>
          </cell>
          <cell r="C57" t="str">
            <v>UNTD</v>
          </cell>
          <cell r="D57" t="str">
            <v>333 - S &amp; U - FY 2010 - UNTD.xlsx</v>
          </cell>
          <cell r="I57" t="str">
            <v>113594</v>
          </cell>
        </row>
        <row r="58">
          <cell r="B58" t="str">
            <v>Midwestern State University</v>
          </cell>
          <cell r="C58" t="str">
            <v>MidWST</v>
          </cell>
          <cell r="D58" t="str">
            <v>340 - S &amp; U - FY 2010 - MidWST.xlsx</v>
          </cell>
          <cell r="F58">
            <v>8286</v>
          </cell>
          <cell r="G58">
            <v>3810377</v>
          </cell>
          <cell r="I58" t="str">
            <v>003592</v>
          </cell>
        </row>
        <row r="59">
          <cell r="B59" t="str">
            <v>Stephen F. Austin State University</v>
          </cell>
          <cell r="C59" t="str">
            <v>SFA</v>
          </cell>
          <cell r="D59" t="str">
            <v>350 - S &amp; U - FY 2010 - SFA.xlsx</v>
          </cell>
          <cell r="F59">
            <v>634501</v>
          </cell>
          <cell r="G59">
            <v>6907643</v>
          </cell>
          <cell r="I59" t="str">
            <v>003624</v>
          </cell>
        </row>
        <row r="60">
          <cell r="B60" t="str">
            <v>Texas Southern University</v>
          </cell>
          <cell r="C60" t="str">
            <v>TSU</v>
          </cell>
          <cell r="D60" t="str">
            <v>360 - S &amp; U - FY 2010 - TSU.xlsx</v>
          </cell>
          <cell r="F60">
            <v>430341</v>
          </cell>
          <cell r="G60">
            <v>11283387</v>
          </cell>
          <cell r="I60" t="str">
            <v>003642</v>
          </cell>
        </row>
        <row r="61">
          <cell r="B61" t="str">
            <v>Texas Woman's University</v>
          </cell>
          <cell r="C61" t="str">
            <v>TWU</v>
          </cell>
          <cell r="D61" t="str">
            <v>370 - S &amp; U - FY 2010 - TWU.xlsx</v>
          </cell>
          <cell r="F61">
            <v>171113</v>
          </cell>
          <cell r="G61">
            <v>8615167</v>
          </cell>
          <cell r="I61" t="str">
            <v>003646</v>
          </cell>
        </row>
        <row r="62">
          <cell r="B62" t="str">
            <v>Lamar Institute of Technology</v>
          </cell>
          <cell r="C62" t="str">
            <v>LIT</v>
          </cell>
          <cell r="D62" t="str">
            <v>490 - S &amp; U - FY 2010 - LIT.xlsx</v>
          </cell>
          <cell r="G62">
            <v>1825332</v>
          </cell>
          <cell r="I62" t="str">
            <v>036273</v>
          </cell>
        </row>
        <row r="63">
          <cell r="B63" t="str">
            <v>Lamar State College - Orange</v>
          </cell>
          <cell r="C63" t="str">
            <v>LSCO</v>
          </cell>
          <cell r="D63" t="str">
            <v>500 - S &amp; U - FY 2010 - LSCO.xlsx</v>
          </cell>
          <cell r="G63">
            <v>1140745</v>
          </cell>
          <cell r="I63" t="str">
            <v>023582</v>
          </cell>
        </row>
        <row r="64">
          <cell r="B64" t="str">
            <v>Lamar State College - Port Arthur</v>
          </cell>
          <cell r="C64" t="str">
            <v>LSCPA</v>
          </cell>
          <cell r="D64" t="str">
            <v>510 - S &amp; U - FY 2010 - LSCPA.xlsx</v>
          </cell>
          <cell r="G64">
            <v>1217124</v>
          </cell>
          <cell r="I64" t="str">
            <v>023485</v>
          </cell>
        </row>
        <row r="65">
          <cell r="B65" t="str">
            <v>Texas State Technical College - Harlingen</v>
          </cell>
          <cell r="C65" t="str">
            <v>TSTCH</v>
          </cell>
          <cell r="D65" t="str">
            <v>520 - S &amp; U - FY 2010 - TSTCH.xlsx</v>
          </cell>
          <cell r="G65">
            <v>5775000</v>
          </cell>
          <cell r="I65" t="str">
            <v>009225</v>
          </cell>
        </row>
        <row r="66">
          <cell r="B66" t="str">
            <v>Texas State Technical College – West Texas</v>
          </cell>
          <cell r="C66" t="str">
            <v>TSTCWTX</v>
          </cell>
          <cell r="D66" t="str">
            <v>530 - S &amp; U - FY 2010 - TSTCWT.xlsx</v>
          </cell>
          <cell r="I66" t="str">
            <v>009932</v>
          </cell>
        </row>
        <row r="67">
          <cell r="B67" t="str">
            <v>Texas State Technical College - Marshall</v>
          </cell>
          <cell r="C67" t="str">
            <v>TSTCM</v>
          </cell>
          <cell r="D67" t="str">
            <v>540 - S &amp; U - FY 2010 - TSTCM.xlsx</v>
          </cell>
          <cell r="I67" t="str">
            <v>033965</v>
          </cell>
        </row>
        <row r="68">
          <cell r="B68" t="str">
            <v>Texas State Technical College - Waco</v>
          </cell>
          <cell r="C68" t="str">
            <v>TSTCW</v>
          </cell>
          <cell r="D68" t="str">
            <v>550 - S &amp; U - FY 2010 - TSTCW.xlsx</v>
          </cell>
          <cell r="I68" t="str">
            <v>003634</v>
          </cell>
        </row>
      </sheetData>
      <sheetData sheetId="160" refreshError="1"/>
      <sheetData sheetId="1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HRI Space Model"/>
      <sheetName val="SP Smmy"/>
      <sheetName val="HRI CTG Costs"/>
      <sheetName val="HRI Funding Comp"/>
      <sheetName val="Almanac"/>
      <sheetName val="HRI_IE_Context"/>
      <sheetName val="HRI_IE_Keys"/>
      <sheetName val="HRI Accountability Smmy"/>
      <sheetName val="Smmy HRI SbS"/>
      <sheetName val="Smmy Chts"/>
      <sheetName val="Smmy Sum"/>
      <sheetName val="Smmy FGD"/>
      <sheetName val="Smmy Fnts"/>
      <sheetName val="SWM Chts"/>
      <sheetName val="SWM Sum"/>
      <sheetName val="SWM FGD"/>
      <sheetName val="SWM Fnts"/>
      <sheetName val="MBG Chts"/>
      <sheetName val="MBG Sum"/>
      <sheetName val="MBG FGD"/>
      <sheetName val="MBG Fnts"/>
      <sheetName val="HSH Chts"/>
      <sheetName val="HSH Sum"/>
      <sheetName val="HSH FGD"/>
      <sheetName val="HSH Fnts"/>
      <sheetName val="HSSA Chts"/>
      <sheetName val="HSSA Sum"/>
      <sheetName val="HSSA FGD"/>
      <sheetName val="HSSA Fnts"/>
      <sheetName val="MDA Chts"/>
      <sheetName val="MDA Sum"/>
      <sheetName val="MDA FGD"/>
      <sheetName val="MDA Fnts"/>
      <sheetName val="THC Chts"/>
      <sheetName val="THC Sum"/>
      <sheetName val="THC FGD"/>
      <sheetName val="THC Fnts"/>
      <sheetName val="TAMHSC Chts"/>
      <sheetName val="TAMHSC Sum"/>
      <sheetName val="TAMHSC FGD"/>
      <sheetName val="TAMHSC Fnts"/>
      <sheetName val="UNTHSC Chts"/>
      <sheetName val="UNTHSC Sum"/>
      <sheetName val="UNTHSC FGD"/>
      <sheetName val="UNTHSC Fnts"/>
      <sheetName val="TTUHSC Chts"/>
      <sheetName val="TTUHSC Sum"/>
      <sheetName val="TTUHSC FGD"/>
      <sheetName val="TTUHSC Fnts"/>
      <sheetName val="Names"/>
      <sheetName val="Input"/>
      <sheetName val="FT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ow r="75">
          <cell r="B75" t="str">
            <v>The University of Texas Southwestern Medical Center at Dallas</v>
          </cell>
          <cell r="C75" t="str">
            <v>SWM</v>
          </cell>
          <cell r="D75" t="str">
            <v>390 - S &amp; U - FY 2010 - SWM.xlsx</v>
          </cell>
          <cell r="I75" t="str">
            <v>000030</v>
          </cell>
        </row>
        <row r="76">
          <cell r="B76" t="str">
            <v>The University of Texas Medical Branch at Galveston</v>
          </cell>
          <cell r="C76" t="str">
            <v>MBG</v>
          </cell>
          <cell r="D76" t="str">
            <v>400 - S &amp; U - FY 2010 - MBG.xlsx</v>
          </cell>
          <cell r="I76">
            <v>104952</v>
          </cell>
        </row>
        <row r="77">
          <cell r="B77" t="str">
            <v>The University of Texas Health Science Center at Houston</v>
          </cell>
          <cell r="C77" t="str">
            <v>HSH</v>
          </cell>
          <cell r="D77" t="str">
            <v>410 - S &amp; U - FY 2010 - HSH.xlsx</v>
          </cell>
          <cell r="I77" t="str">
            <v>011618</v>
          </cell>
        </row>
        <row r="78">
          <cell r="B78" t="str">
            <v>The University of Texas Health Science Center at San Antonio</v>
          </cell>
          <cell r="C78" t="str">
            <v>HSSA</v>
          </cell>
          <cell r="D78" t="str">
            <v>420 - S &amp; U - FY 2010 - HSSA.xlsx</v>
          </cell>
          <cell r="I78" t="str">
            <v>000040</v>
          </cell>
        </row>
        <row r="79">
          <cell r="B79" t="str">
            <v>The University of Texas M.D. Anderson Cancer Center</v>
          </cell>
          <cell r="C79" t="str">
            <v>MDA</v>
          </cell>
          <cell r="D79" t="str">
            <v>430 - S &amp; U - FY 2010 - MDA.xlsx</v>
          </cell>
          <cell r="I79" t="str">
            <v>025554</v>
          </cell>
        </row>
        <row r="80">
          <cell r="B80" t="str">
            <v>The University of Texas Health Center at Tyler</v>
          </cell>
          <cell r="C80" t="str">
            <v>THC</v>
          </cell>
          <cell r="D80" t="str">
            <v>440 - S &amp; U - FY 2010 - THC.xlsx</v>
          </cell>
          <cell r="I80" t="str">
            <v>000404</v>
          </cell>
        </row>
        <row r="81">
          <cell r="B81" t="str">
            <v>Texas A&amp;M University System Health Science Center</v>
          </cell>
          <cell r="C81" t="str">
            <v>TAMHSC</v>
          </cell>
          <cell r="D81" t="str">
            <v>450 - S &amp; U - FY 2010 - TAMHSC.xlsx</v>
          </cell>
          <cell r="I81" t="str">
            <v>000089</v>
          </cell>
        </row>
        <row r="82">
          <cell r="B82" t="str">
            <v>University of North Texas Health Science Center at Fort Worth</v>
          </cell>
          <cell r="C82" t="str">
            <v>UNTHSC</v>
          </cell>
          <cell r="D82" t="str">
            <v>460 - S &amp; U - FY 2010 - UNTHSC.xlsx</v>
          </cell>
          <cell r="G82">
            <v>7994676</v>
          </cell>
          <cell r="I82" t="str">
            <v>000130</v>
          </cell>
        </row>
        <row r="83">
          <cell r="B83" t="str">
            <v>Texas Tech University Health Sciences Center</v>
          </cell>
          <cell r="C83" t="str">
            <v>TTUHSC</v>
          </cell>
          <cell r="D83" t="str">
            <v>470 - S &amp; U - FY 2010 - TTUHSC.xlsx</v>
          </cell>
          <cell r="G83">
            <v>14854762</v>
          </cell>
          <cell r="I83" t="str">
            <v>000412</v>
          </cell>
        </row>
      </sheetData>
      <sheetData sheetId="51" refreshError="1"/>
      <sheetData sheetId="5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ademic Space Model Smmy"/>
      <sheetName val="Acad Space Model"/>
      <sheetName val="CS &amp; SP Smmy"/>
      <sheetName val="Acad CTG Costs"/>
      <sheetName val="ICUT Survey"/>
      <sheetName val="Almanac"/>
      <sheetName val="Academic Accountability Smmy"/>
      <sheetName val="Smmy Acad SbS"/>
      <sheetName val="Smmy Chrts"/>
      <sheetName val="Smmy Sum"/>
      <sheetName val="Smmy FGD"/>
      <sheetName val="Smmy Fnts"/>
      <sheetName val="ARL Chrts"/>
      <sheetName val="ARL Sum"/>
      <sheetName val="ARL FGD"/>
      <sheetName val="ARL Fnts"/>
      <sheetName val="AUS Chrts"/>
      <sheetName val="AUS Sum"/>
      <sheetName val="AUS FGD"/>
      <sheetName val="AUS Fnts"/>
      <sheetName val="DAL Chrts"/>
      <sheetName val="DAL Sum"/>
      <sheetName val="DAL FGD"/>
      <sheetName val="DAL Fnts"/>
      <sheetName val="E-P Chrts"/>
      <sheetName val="E-P Sum"/>
      <sheetName val="E-P FGD"/>
      <sheetName val="E-P Fnts"/>
      <sheetName val="P-A Chrts"/>
      <sheetName val="P-A Sum"/>
      <sheetName val="P-A FGD"/>
      <sheetName val="P-A Fnts"/>
      <sheetName val="BRW Chrts"/>
      <sheetName val="BRW Sum"/>
      <sheetName val="BRW FGD"/>
      <sheetName val="BRW Fnts"/>
      <sheetName val="P-B Chrts"/>
      <sheetName val="P-B Sum"/>
      <sheetName val="P-B FGD"/>
      <sheetName val="P-B Fnts"/>
      <sheetName val="S-A Chrts"/>
      <sheetName val="S-A Sum"/>
      <sheetName val="S-A FGD"/>
      <sheetName val="S-A Fnts"/>
      <sheetName val="TYL Chrts"/>
      <sheetName val="TYL Sum"/>
      <sheetName val="TYL FGD"/>
      <sheetName val="TYL Fnts"/>
      <sheetName val="TAMU Chrts"/>
      <sheetName val="TAMU Sum"/>
      <sheetName val="TAMU FGD"/>
      <sheetName val="TAMU Fnts"/>
      <sheetName val="TAMUG Chrts"/>
      <sheetName val="TAMUG Sum"/>
      <sheetName val="TAMUG FGD"/>
      <sheetName val="TAMUG Fnts"/>
      <sheetName val="PVAMU Chrts"/>
      <sheetName val="PVAMU Sum"/>
      <sheetName val="PVAMU FGD"/>
      <sheetName val="PVAMU Fnts"/>
      <sheetName val="TARLST Chrts"/>
      <sheetName val="TARLST Sum"/>
      <sheetName val="TARLST FGD"/>
      <sheetName val="TARLST Fnts"/>
      <sheetName val="TAMUCC Chrts"/>
      <sheetName val="TAMUCC Sum"/>
      <sheetName val="TAMUCC FGD"/>
      <sheetName val="TAMUCC Fnts"/>
      <sheetName val="TAMUK Chrts"/>
      <sheetName val="TAMUK Sum"/>
      <sheetName val="TAMUK FGD"/>
      <sheetName val="TAMUK Fnts"/>
      <sheetName val="TAMIU Chrts"/>
      <sheetName val="TAMIU Sum"/>
      <sheetName val="TAMIU FGD"/>
      <sheetName val="TAMIU Fnts"/>
      <sheetName val="WTAMU Chrts"/>
      <sheetName val="WTAMU Sum"/>
      <sheetName val="WTAMU FGD"/>
      <sheetName val="WTAMU Fnts"/>
      <sheetName val="TAMUC Chrts"/>
      <sheetName val="TAMUC Sum"/>
      <sheetName val="TAMUC FGD"/>
      <sheetName val="TAMUC Fnts"/>
      <sheetName val="TAMUT Chrts"/>
      <sheetName val="TAMUT Sum"/>
      <sheetName val="TAMUT FGD"/>
      <sheetName val="TAMUT Fnts"/>
      <sheetName val="TAMUCT Chrts"/>
      <sheetName val="TAMUCT Sum"/>
      <sheetName val="TAMUCT FGD"/>
      <sheetName val="TAMUCT Fnts"/>
      <sheetName val="TAMUSA Chrts"/>
      <sheetName val="TAMUSA Sum"/>
      <sheetName val="TAMUSA FGD"/>
      <sheetName val="TAMUSA Fnts"/>
      <sheetName val="UH Chrts"/>
      <sheetName val="UH Sum"/>
      <sheetName val="UH FGD"/>
      <sheetName val="UH Fnts"/>
      <sheetName val="UHCL Chrts"/>
      <sheetName val="UHCL Sum"/>
      <sheetName val="UHCL FGD"/>
      <sheetName val="UHCL Fnts"/>
      <sheetName val="UHD Chrts"/>
      <sheetName val="UHD Sum"/>
      <sheetName val="UHD FGD"/>
      <sheetName val="UHD Fnts"/>
      <sheetName val="UHV Chrts"/>
      <sheetName val="UHV Sum"/>
      <sheetName val="UHV FGD"/>
      <sheetName val="UHV Fnts"/>
      <sheetName val="LU Chrts"/>
      <sheetName val="LU Sum"/>
      <sheetName val="LU FGD"/>
      <sheetName val="LU Fnts"/>
      <sheetName val="shsu Chrts"/>
      <sheetName val="shsu Sum"/>
      <sheetName val="shsu FGD"/>
      <sheetName val="shsu Fnts"/>
      <sheetName val="TXST Chrts"/>
      <sheetName val="TXST Sum"/>
      <sheetName val="TXST FGD"/>
      <sheetName val="TXST Fnts"/>
      <sheetName val="SRSU Chrts"/>
      <sheetName val="SRSU Sum"/>
      <sheetName val="SRSU FGD"/>
      <sheetName val="SRSU Fnts"/>
      <sheetName val="TTU Chrts"/>
      <sheetName val="TTU Sum"/>
      <sheetName val="TTU FGD"/>
      <sheetName val="TTU Fnts"/>
      <sheetName val="ASU Chrts"/>
      <sheetName val="ASU Sum"/>
      <sheetName val="ASU FGD"/>
      <sheetName val="ASU Fnts"/>
      <sheetName val="UNT Chrts"/>
      <sheetName val="UNT Sum"/>
      <sheetName val="UNT FGD"/>
      <sheetName val="UNT Fnts"/>
      <sheetName val="UNTD Chrts"/>
      <sheetName val="UNTD Sum"/>
      <sheetName val="UNTD FGD"/>
      <sheetName val="UNTD Fnts"/>
      <sheetName val="MidWST Chrts"/>
      <sheetName val="MidWST Sum"/>
      <sheetName val="MidWST FGD"/>
      <sheetName val="MidWST Fnts"/>
      <sheetName val="SFA Chrts"/>
      <sheetName val="SFA Sum"/>
      <sheetName val="SFA FGD"/>
      <sheetName val="SFA Fnts"/>
      <sheetName val="TSU Chrts"/>
      <sheetName val="TSU Sum"/>
      <sheetName val="TSU FGD"/>
      <sheetName val="TSU Fnts"/>
      <sheetName val="TWU Chrts"/>
      <sheetName val="TWU Sum"/>
      <sheetName val="TWU FGD"/>
      <sheetName val="TWU Fnts"/>
      <sheetName val="Names"/>
      <sheetName val="Input"/>
      <sheetName val="FT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row r="11">
          <cell r="B11" t="str">
            <v>The University of Texas System</v>
          </cell>
          <cell r="C11" t="str">
            <v>UTS</v>
          </cell>
          <cell r="D11" t="str">
            <v>S40 - S &amp; U - FY 2010 - UTS.xlsx</v>
          </cell>
        </row>
        <row r="12">
          <cell r="B12" t="str">
            <v>The University of Texas at Arlington</v>
          </cell>
          <cell r="C12" t="str">
            <v>ARL</v>
          </cell>
          <cell r="D12" t="str">
            <v>40 - S &amp; U - FY 2010 - ARL.xlsx</v>
          </cell>
          <cell r="F12">
            <v>3452814</v>
          </cell>
          <cell r="I12" t="str">
            <v>003656</v>
          </cell>
        </row>
        <row r="13">
          <cell r="B13" t="str">
            <v>The University of Texas at Austin</v>
          </cell>
          <cell r="C13" t="str">
            <v>AUS</v>
          </cell>
          <cell r="D13" t="str">
            <v>50 - S &amp; U - FY 2010 - AUS.xlsx</v>
          </cell>
          <cell r="E13">
            <v>27534452</v>
          </cell>
          <cell r="I13" t="str">
            <v>003658</v>
          </cell>
        </row>
        <row r="14">
          <cell r="B14" t="str">
            <v>The University of Texas at Dallas</v>
          </cell>
          <cell r="C14" t="str">
            <v>DAL</v>
          </cell>
          <cell r="D14" t="str">
            <v>60 - S &amp; U - FY 2010 - DAL.xlsx</v>
          </cell>
          <cell r="F14">
            <v>5627594</v>
          </cell>
          <cell r="I14" t="str">
            <v>009741</v>
          </cell>
        </row>
        <row r="15">
          <cell r="B15" t="str">
            <v>The University of Texas at El Paso</v>
          </cell>
          <cell r="C15" t="str">
            <v>E-P</v>
          </cell>
          <cell r="D15" t="str">
            <v>70 - S &amp; U - FY 2010 - E-P.xlsx</v>
          </cell>
          <cell r="F15">
            <v>4263330</v>
          </cell>
          <cell r="I15" t="str">
            <v>003661</v>
          </cell>
        </row>
        <row r="16">
          <cell r="B16" t="str">
            <v>The University of Texas - Pan American</v>
          </cell>
          <cell r="C16" t="str">
            <v>P-A</v>
          </cell>
          <cell r="D16" t="str">
            <v>80 - S &amp; U - FY 2010 - P-A.xlsx</v>
          </cell>
          <cell r="F16">
            <v>740210</v>
          </cell>
          <cell r="G16">
            <v>13176800</v>
          </cell>
          <cell r="I16" t="str">
            <v>003599</v>
          </cell>
        </row>
        <row r="17">
          <cell r="B17" t="str">
            <v>The University of Texas at Brownsville</v>
          </cell>
          <cell r="C17" t="str">
            <v>BRW</v>
          </cell>
          <cell r="D17" t="str">
            <v>90 - S &amp; U - FY 2010 - BRW.xlsx</v>
          </cell>
          <cell r="F17">
            <v>668711</v>
          </cell>
          <cell r="G17">
            <v>4284677</v>
          </cell>
          <cell r="I17" t="str">
            <v>030646</v>
          </cell>
        </row>
        <row r="18">
          <cell r="B18" t="str">
            <v>The University of Texas of the Permian Basin</v>
          </cell>
          <cell r="C18" t="str">
            <v>P-B</v>
          </cell>
          <cell r="D18" t="str">
            <v>100 - S &amp; U - FY 2010 - P-B.xlsx</v>
          </cell>
          <cell r="F18">
            <v>250623</v>
          </cell>
          <cell r="I18" t="str">
            <v>009930</v>
          </cell>
        </row>
        <row r="19">
          <cell r="B19" t="str">
            <v>The University of Texas at San Antonio</v>
          </cell>
          <cell r="C19" t="str">
            <v>S-A</v>
          </cell>
          <cell r="D19" t="str">
            <v>110 - S &amp; U - FY 2010 - S-A.xlsx</v>
          </cell>
          <cell r="F19">
            <v>3402524</v>
          </cell>
          <cell r="I19" t="str">
            <v>010115</v>
          </cell>
        </row>
        <row r="20">
          <cell r="B20" t="str">
            <v>The University of Texas at Tyler</v>
          </cell>
          <cell r="C20" t="str">
            <v>TYL</v>
          </cell>
          <cell r="D20" t="str">
            <v>120 - S &amp; U - FY 2010 - TYL.xlsx</v>
          </cell>
          <cell r="F20">
            <v>228118</v>
          </cell>
          <cell r="I20" t="str">
            <v>011163</v>
          </cell>
        </row>
        <row r="21">
          <cell r="B21" t="str">
            <v>Texas A&amp;M University System</v>
          </cell>
          <cell r="C21" t="str">
            <v>TAMUS</v>
          </cell>
          <cell r="D21" t="str">
            <v>S130 - S &amp; U - FY 2010 - TAMUS.xlsx</v>
          </cell>
        </row>
        <row r="22">
          <cell r="B22" t="str">
            <v>Texas A&amp;M University</v>
          </cell>
          <cell r="C22" t="str">
            <v>TAMU</v>
          </cell>
          <cell r="D22" t="str">
            <v>130 - S &amp; U - FY 2010 - TAMU.xlsx</v>
          </cell>
          <cell r="E22">
            <v>28068280</v>
          </cell>
          <cell r="I22" t="str">
            <v>003632</v>
          </cell>
        </row>
        <row r="23">
          <cell r="B23" t="str">
            <v>Texas A&amp;M University at Galveston</v>
          </cell>
          <cell r="C23" t="str">
            <v>TAMUG</v>
          </cell>
          <cell r="D23" t="str">
            <v>140 - S &amp; U - FY 2010 - TAMUG.xlsx</v>
          </cell>
          <cell r="F23">
            <v>407402</v>
          </cell>
          <cell r="I23" t="str">
            <v>010298</v>
          </cell>
        </row>
        <row r="24">
          <cell r="B24" t="str">
            <v>Prairie View A &amp; M University</v>
          </cell>
          <cell r="C24" t="str">
            <v>PVAMU</v>
          </cell>
          <cell r="D24" t="str">
            <v>150 - S &amp; U - FY 2010 - PVAMU.xlsx</v>
          </cell>
          <cell r="I24" t="str">
            <v>003630</v>
          </cell>
        </row>
        <row r="25">
          <cell r="B25" t="str">
            <v>Tarleton State University</v>
          </cell>
          <cell r="C25" t="str">
            <v>TARLST</v>
          </cell>
          <cell r="D25" t="str">
            <v>160 - S &amp; U - FY 2010 - TARL ST.xlsx</v>
          </cell>
          <cell r="F25">
            <v>1115775</v>
          </cell>
          <cell r="I25" t="str">
            <v>003631</v>
          </cell>
        </row>
        <row r="26">
          <cell r="B26" t="str">
            <v>Texas A&amp;M University - Corpus Christi</v>
          </cell>
          <cell r="C26" t="str">
            <v>TAMUCC</v>
          </cell>
          <cell r="D26" t="str">
            <v>170 - S &amp; U - FY 2010 - TAMUCC.xlsx</v>
          </cell>
          <cell r="F26">
            <v>1495540</v>
          </cell>
          <cell r="G26">
            <v>8471116</v>
          </cell>
          <cell r="I26" t="str">
            <v>011161</v>
          </cell>
        </row>
        <row r="27">
          <cell r="B27" t="str">
            <v>Texas A&amp;M University - Kingsville</v>
          </cell>
          <cell r="C27" t="str">
            <v>TAMUK</v>
          </cell>
          <cell r="D27" t="str">
            <v>180 - S &amp; U - FY 2010 - TAMUK.xlsx</v>
          </cell>
          <cell r="F27">
            <v>1267265</v>
          </cell>
          <cell r="G27">
            <v>5167540</v>
          </cell>
          <cell r="I27" t="str">
            <v>003639</v>
          </cell>
        </row>
        <row r="28">
          <cell r="B28" t="str">
            <v>Texas A&amp;M International University</v>
          </cell>
          <cell r="C28" t="str">
            <v>TAMIU</v>
          </cell>
          <cell r="D28" t="str">
            <v>190 - S &amp; U - FY 2010 - TAMIU.xlsx</v>
          </cell>
          <cell r="F28">
            <v>34904</v>
          </cell>
          <cell r="G28">
            <v>3202241</v>
          </cell>
          <cell r="I28" t="str">
            <v>009651</v>
          </cell>
        </row>
        <row r="29">
          <cell r="B29" t="str">
            <v>West Texas A&amp;M University</v>
          </cell>
          <cell r="C29" t="str">
            <v>WTAMU</v>
          </cell>
          <cell r="D29" t="str">
            <v>200 - S &amp; U - FY 2010 - WTAMU.xlsx</v>
          </cell>
          <cell r="F29">
            <v>527219</v>
          </cell>
          <cell r="G29">
            <v>4886159</v>
          </cell>
          <cell r="I29" t="str">
            <v>003665</v>
          </cell>
        </row>
        <row r="30">
          <cell r="B30" t="str">
            <v>Texas A&amp;M University - Commerce</v>
          </cell>
          <cell r="C30" t="str">
            <v>TAMUC</v>
          </cell>
          <cell r="D30" t="str">
            <v>210 - S &amp; U - FY 2010 - TAMUC.xlsx</v>
          </cell>
          <cell r="F30">
            <v>218046</v>
          </cell>
          <cell r="G30">
            <v>5684047</v>
          </cell>
          <cell r="I30" t="str">
            <v>003565</v>
          </cell>
        </row>
        <row r="31">
          <cell r="B31" t="str">
            <v>Texas A&amp;M University - Texarkana</v>
          </cell>
          <cell r="C31" t="str">
            <v>TAMUT</v>
          </cell>
          <cell r="D31" t="str">
            <v>220 - S &amp; U - FY 2010 - TAMUT.xlsx</v>
          </cell>
          <cell r="G31">
            <v>1684587</v>
          </cell>
          <cell r="I31" t="str">
            <v>029269</v>
          </cell>
        </row>
        <row r="32">
          <cell r="B32" t="str">
            <v>Texas A&amp;M University - Central Texas</v>
          </cell>
          <cell r="C32" t="str">
            <v>TAMUCT</v>
          </cell>
          <cell r="D32" t="str">
            <v>223 - S &amp; U - FY 2010 - TAMUCT.xlsx</v>
          </cell>
          <cell r="I32" t="str">
            <v>103631</v>
          </cell>
        </row>
        <row r="33">
          <cell r="B33" t="str">
            <v>Texas A&amp;M University - San Antonio</v>
          </cell>
          <cell r="C33" t="str">
            <v>TAMUSA</v>
          </cell>
          <cell r="D33" t="str">
            <v>226 - S &amp; U - FY 2010 - TAMUSA.xlsx</v>
          </cell>
          <cell r="I33" t="str">
            <v>103639</v>
          </cell>
        </row>
        <row r="34">
          <cell r="B34" t="str">
            <v>Texas AgriLife Research</v>
          </cell>
          <cell r="C34" t="str">
            <v>TAR</v>
          </cell>
          <cell r="D34" t="str">
            <v>600 - S &amp; U - FY 2010 - TAR.xlsx</v>
          </cell>
          <cell r="I34" t="str">
            <v>000556</v>
          </cell>
        </row>
        <row r="35">
          <cell r="B35" t="str">
            <v>Texas AgriLife Extension Service</v>
          </cell>
          <cell r="C35" t="str">
            <v>TAES</v>
          </cell>
          <cell r="D35" t="str">
            <v>605 - S &amp; U - FY 2010 - TAES.xlsx</v>
          </cell>
          <cell r="I35" t="str">
            <v>000555</v>
          </cell>
        </row>
        <row r="36">
          <cell r="B36" t="str">
            <v>Texas Engineering Experiment Station</v>
          </cell>
          <cell r="C36" t="str">
            <v>TEES1</v>
          </cell>
          <cell r="D36" t="str">
            <v>610 - S &amp; U - FY 2010 - TEES1.xlsx</v>
          </cell>
          <cell r="I36" t="str">
            <v>000712</v>
          </cell>
        </row>
        <row r="37">
          <cell r="B37" t="str">
            <v>Texas Engineering Extension Service</v>
          </cell>
          <cell r="C37" t="str">
            <v>TEES2</v>
          </cell>
          <cell r="D37" t="str">
            <v>615 - S &amp; U - FY 2010 - TEES2.xlsx</v>
          </cell>
          <cell r="I37" t="str">
            <v>000716</v>
          </cell>
        </row>
        <row r="38">
          <cell r="B38" t="str">
            <v>Texas Forest Service</v>
          </cell>
          <cell r="C38" t="str">
            <v>TFS</v>
          </cell>
          <cell r="D38" t="str">
            <v>620 - S &amp; U - FY 2010 - TFS.xlsx</v>
          </cell>
          <cell r="I38" t="str">
            <v>000576</v>
          </cell>
        </row>
        <row r="39">
          <cell r="B39" t="str">
            <v>Texas Transportation Institute</v>
          </cell>
          <cell r="C39" t="str">
            <v>TTI</v>
          </cell>
          <cell r="D39" t="str">
            <v>625 - S &amp; U - FY 2010 - TTI.xlsx</v>
          </cell>
          <cell r="I39" t="str">
            <v>000727</v>
          </cell>
        </row>
        <row r="40">
          <cell r="B40" t="str">
            <v>Texas Vet. Medical Diagnostic Laboratory</v>
          </cell>
          <cell r="C40" t="str">
            <v>TVMDL</v>
          </cell>
          <cell r="D40" t="str">
            <v>630 - S &amp; U - FY 2010 - TVMDL.xlsx</v>
          </cell>
          <cell r="I40" t="str">
            <v>000557</v>
          </cell>
        </row>
        <row r="41">
          <cell r="B41" t="str">
            <v>Texas A&amp;M Research Foundation</v>
          </cell>
          <cell r="C41" t="str">
            <v>TAMRF</v>
          </cell>
          <cell r="D41" t="str">
            <v>635 - S &amp; U - FY 2010 - TAMRF.xlsx</v>
          </cell>
          <cell r="I41" t="str">
            <v>000518</v>
          </cell>
        </row>
        <row r="42">
          <cell r="B42" t="str">
            <v>University of Houston System</v>
          </cell>
          <cell r="C42" t="str">
            <v>UTS</v>
          </cell>
          <cell r="D42" t="str">
            <v>S230 - S &amp; U - FY 2010 - UHS.xlsx</v>
          </cell>
        </row>
        <row r="43">
          <cell r="B43" t="str">
            <v>University of Houston</v>
          </cell>
          <cell r="C43" t="str">
            <v>UH</v>
          </cell>
          <cell r="D43" t="str">
            <v>230 - S &amp; U - FY 2010 - UH.xlsx</v>
          </cell>
          <cell r="E43">
            <v>4535210</v>
          </cell>
          <cell r="F43">
            <v>6380651</v>
          </cell>
          <cell r="G43">
            <v>36091538</v>
          </cell>
          <cell r="I43" t="str">
            <v>003652</v>
          </cell>
        </row>
        <row r="44">
          <cell r="B44" t="str">
            <v>University of Houston - Clear Lake</v>
          </cell>
          <cell r="C44" t="str">
            <v>UHCL</v>
          </cell>
          <cell r="D44" t="str">
            <v>240 - S &amp; U - FY 2010 - UHCL.xlsx</v>
          </cell>
          <cell r="F44">
            <v>74975</v>
          </cell>
          <cell r="G44">
            <v>5355874</v>
          </cell>
          <cell r="I44" t="str">
            <v>011711</v>
          </cell>
        </row>
        <row r="45">
          <cell r="B45" t="str">
            <v>University of Houston - Downtown</v>
          </cell>
          <cell r="C45" t="str">
            <v>UHD</v>
          </cell>
          <cell r="D45" t="str">
            <v>250 - S &amp; U - FY 2010 - UHD.xlsx</v>
          </cell>
          <cell r="F45">
            <v>56984</v>
          </cell>
          <cell r="G45">
            <v>9548995</v>
          </cell>
          <cell r="I45" t="str">
            <v>012826</v>
          </cell>
        </row>
        <row r="46">
          <cell r="B46" t="str">
            <v>University of Houston - Victoria</v>
          </cell>
          <cell r="C46" t="str">
            <v>UHV</v>
          </cell>
          <cell r="D46" t="str">
            <v>260 - S &amp; U - FY 2010 - UHV.xlsx</v>
          </cell>
          <cell r="G46">
            <v>2335692</v>
          </cell>
          <cell r="I46" t="str">
            <v>013231</v>
          </cell>
        </row>
        <row r="47">
          <cell r="B47" t="str">
            <v>Texas State System</v>
          </cell>
          <cell r="C47" t="str">
            <v>TXSTS</v>
          </cell>
          <cell r="D47" t="str">
            <v>S270 - S &amp; U - FY 2010 - TXSTS.xlsx</v>
          </cell>
        </row>
        <row r="48">
          <cell r="B48" t="str">
            <v xml:space="preserve">Lamar University </v>
          </cell>
          <cell r="C48" t="str">
            <v>LU</v>
          </cell>
          <cell r="D48" t="str">
            <v>270 - S &amp; U - FY 2010 - LU.xlsx</v>
          </cell>
          <cell r="F48">
            <v>437890</v>
          </cell>
          <cell r="G48">
            <v>8028333</v>
          </cell>
          <cell r="I48" t="str">
            <v>003581</v>
          </cell>
        </row>
        <row r="49">
          <cell r="B49" t="str">
            <v>Sam Houston State University</v>
          </cell>
          <cell r="C49" t="str">
            <v>SHSU</v>
          </cell>
          <cell r="D49" t="str">
            <v>280 - S &amp; U - FY 2010 - SHSU.xlsx</v>
          </cell>
          <cell r="F49">
            <v>381074</v>
          </cell>
          <cell r="G49">
            <v>10184001</v>
          </cell>
          <cell r="I49" t="str">
            <v>003606</v>
          </cell>
        </row>
        <row r="50">
          <cell r="B50" t="str">
            <v>Texas State University - San Marcos</v>
          </cell>
          <cell r="C50" t="str">
            <v>TXST</v>
          </cell>
          <cell r="D50" t="str">
            <v>290 - S &amp; U - FY 2010 - TXST.xlsx</v>
          </cell>
          <cell r="F50">
            <v>1352702</v>
          </cell>
          <cell r="G50">
            <v>20258248</v>
          </cell>
          <cell r="I50" t="str">
            <v>003615</v>
          </cell>
        </row>
        <row r="51">
          <cell r="B51" t="str">
            <v>Sul Ross State University</v>
          </cell>
          <cell r="C51" t="str">
            <v>SRSU</v>
          </cell>
          <cell r="D51" t="str">
            <v>300 - S &amp; U - FY 2010 - SRSU.xlsx</v>
          </cell>
          <cell r="F51">
            <v>290581</v>
          </cell>
          <cell r="G51">
            <v>2479099</v>
          </cell>
          <cell r="I51" t="str">
            <v>003625</v>
          </cell>
        </row>
        <row r="52">
          <cell r="B52" t="str">
            <v>Texas Tech University System</v>
          </cell>
          <cell r="C52" t="str">
            <v>TTUS</v>
          </cell>
          <cell r="D52" t="str">
            <v>S310 - S &amp; U - FY 2010 - TTUS.xlsx</v>
          </cell>
        </row>
        <row r="53">
          <cell r="B53" t="str">
            <v>Texas Tech University</v>
          </cell>
          <cell r="C53" t="str">
            <v>TTU</v>
          </cell>
          <cell r="D53" t="str">
            <v>310 - S &amp; U - FY 2010 - TTU.xlsx</v>
          </cell>
          <cell r="E53">
            <v>2965865</v>
          </cell>
          <cell r="F53">
            <v>4868296</v>
          </cell>
          <cell r="G53">
            <v>27446656</v>
          </cell>
          <cell r="I53" t="str">
            <v>003644</v>
          </cell>
        </row>
        <row r="54">
          <cell r="B54" t="str">
            <v>Angelo State University</v>
          </cell>
          <cell r="C54" t="str">
            <v>ASU</v>
          </cell>
          <cell r="D54" t="str">
            <v>320 - S &amp; U - FY 2010 - ASU.xlsx</v>
          </cell>
          <cell r="F54">
            <v>41632</v>
          </cell>
          <cell r="G54">
            <v>3667497</v>
          </cell>
          <cell r="I54" t="str">
            <v>003541</v>
          </cell>
        </row>
        <row r="55">
          <cell r="B55" t="str">
            <v>University of North Texas System</v>
          </cell>
          <cell r="C55" t="str">
            <v>UNTS</v>
          </cell>
          <cell r="D55" t="str">
            <v>S330 - S &amp; U - FY 2010 - UNTS.xlsx</v>
          </cell>
        </row>
        <row r="56">
          <cell r="B56" t="str">
            <v>University of North Texas</v>
          </cell>
          <cell r="C56" t="str">
            <v>UNT</v>
          </cell>
          <cell r="D56" t="str">
            <v>330 - S &amp; U - FY 2010 - UNT.xlsx</v>
          </cell>
          <cell r="F56">
            <v>1602313</v>
          </cell>
          <cell r="G56">
            <v>27122687</v>
          </cell>
          <cell r="I56" t="str">
            <v>003594</v>
          </cell>
        </row>
        <row r="57">
          <cell r="B57" t="str">
            <v>University of North Texas at Dallas</v>
          </cell>
          <cell r="C57" t="str">
            <v>UNTD</v>
          </cell>
          <cell r="D57" t="str">
            <v>333 - S &amp; U - FY 2010 - UNTD.xlsx</v>
          </cell>
          <cell r="I57" t="str">
            <v>113594</v>
          </cell>
        </row>
        <row r="58">
          <cell r="B58" t="str">
            <v>Midwestern State University</v>
          </cell>
          <cell r="C58" t="str">
            <v>MidWST</v>
          </cell>
          <cell r="D58" t="str">
            <v>340 - S &amp; U - FY 2010 - MidWST.xlsx</v>
          </cell>
          <cell r="F58">
            <v>8286</v>
          </cell>
          <cell r="G58">
            <v>3810377</v>
          </cell>
          <cell r="I58" t="str">
            <v>003592</v>
          </cell>
        </row>
        <row r="59">
          <cell r="B59" t="str">
            <v>Stephen F. Austin State University</v>
          </cell>
          <cell r="C59" t="str">
            <v>SFA</v>
          </cell>
          <cell r="D59" t="str">
            <v>350 - S &amp; U - FY 2010 - SFA.xlsx</v>
          </cell>
          <cell r="F59">
            <v>634501</v>
          </cell>
          <cell r="G59">
            <v>6907643</v>
          </cell>
          <cell r="I59" t="str">
            <v>003624</v>
          </cell>
        </row>
        <row r="60">
          <cell r="B60" t="str">
            <v>Texas Southern University</v>
          </cell>
          <cell r="C60" t="str">
            <v>TSU</v>
          </cell>
          <cell r="D60" t="str">
            <v>360 - S &amp; U - FY 2010 - TSU.xlsx</v>
          </cell>
          <cell r="F60">
            <v>430341</v>
          </cell>
          <cell r="G60">
            <v>11283387</v>
          </cell>
          <cell r="I60" t="str">
            <v>003642</v>
          </cell>
        </row>
        <row r="61">
          <cell r="B61" t="str">
            <v>Texas Woman's University</v>
          </cell>
          <cell r="C61" t="str">
            <v>TWU</v>
          </cell>
          <cell r="D61" t="str">
            <v>370 - S &amp; U - FY 2010 - TWU.xlsx</v>
          </cell>
          <cell r="F61">
            <v>171113</v>
          </cell>
          <cell r="G61">
            <v>8615167</v>
          </cell>
          <cell r="I61" t="str">
            <v>003646</v>
          </cell>
        </row>
        <row r="62">
          <cell r="B62" t="str">
            <v>Lamar Institute of Technology</v>
          </cell>
          <cell r="C62" t="str">
            <v>LIT</v>
          </cell>
          <cell r="D62" t="str">
            <v>490 - S &amp; U - FY 2010 - LIT.xlsx</v>
          </cell>
          <cell r="G62">
            <v>1825332</v>
          </cell>
          <cell r="I62" t="str">
            <v>036273</v>
          </cell>
        </row>
        <row r="63">
          <cell r="B63" t="str">
            <v>Lamar State College - Orange</v>
          </cell>
          <cell r="C63" t="str">
            <v>LSCO</v>
          </cell>
          <cell r="D63" t="str">
            <v>500 - S &amp; U - FY 2010 - LSCO.xlsx</v>
          </cell>
          <cell r="G63">
            <v>1140745</v>
          </cell>
          <cell r="I63" t="str">
            <v>023582</v>
          </cell>
        </row>
        <row r="64">
          <cell r="B64" t="str">
            <v>Lamar State College - Port Arthur</v>
          </cell>
          <cell r="C64" t="str">
            <v>LSCPA</v>
          </cell>
          <cell r="D64" t="str">
            <v>510 - S &amp; U - FY 2010 - LSCPA.xlsx</v>
          </cell>
          <cell r="G64">
            <v>1217124</v>
          </cell>
          <cell r="I64" t="str">
            <v>023485</v>
          </cell>
        </row>
        <row r="65">
          <cell r="B65" t="str">
            <v>Texas State Technical College - Harlingen</v>
          </cell>
          <cell r="C65" t="str">
            <v>TSTCH</v>
          </cell>
          <cell r="D65" t="str">
            <v>520 - S &amp; U - FY 2010 - TSTCH.xlsx</v>
          </cell>
          <cell r="G65">
            <v>5775000</v>
          </cell>
          <cell r="I65" t="str">
            <v>009225</v>
          </cell>
        </row>
        <row r="66">
          <cell r="B66" t="str">
            <v>Texas State Technical College – West Texas</v>
          </cell>
          <cell r="C66" t="str">
            <v>TSTCWTX</v>
          </cell>
          <cell r="D66" t="str">
            <v>530 - S &amp; U - FY 2010 - TSTCWT.xlsx</v>
          </cell>
          <cell r="I66" t="str">
            <v>009932</v>
          </cell>
        </row>
        <row r="67">
          <cell r="B67" t="str">
            <v>Texas State Technical College - Marshall</v>
          </cell>
          <cell r="C67" t="str">
            <v>TSTCM</v>
          </cell>
          <cell r="D67" t="str">
            <v>540 - S &amp; U - FY 2010 - TSTCM.xlsx</v>
          </cell>
          <cell r="I67" t="str">
            <v>033965</v>
          </cell>
        </row>
        <row r="68">
          <cell r="B68" t="str">
            <v>Texas State Technical College - Waco</v>
          </cell>
          <cell r="C68" t="str">
            <v>TSTCW</v>
          </cell>
          <cell r="D68" t="str">
            <v>550 - S &amp; U - FY 2010 - TSTCW.xlsx</v>
          </cell>
          <cell r="I68" t="str">
            <v>003634</v>
          </cell>
        </row>
      </sheetData>
      <sheetData sheetId="161" refreshError="1"/>
      <sheetData sheetId="16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ademic Space Model Smmy"/>
      <sheetName val="Index"/>
      <sheetName val="Acad Space Model"/>
      <sheetName val="CS &amp; SP Smmy"/>
      <sheetName val="Acad CTG Costs"/>
      <sheetName val="ICUT Survey"/>
      <sheetName val="IFRS Smmy"/>
      <sheetName val="Almanac"/>
      <sheetName val="Univ_IE_Context"/>
      <sheetName val="Univ_IE_Keys"/>
      <sheetName val="Academic Accountability Smmy"/>
      <sheetName val="Smmy Acad SbS"/>
      <sheetName val="Smmy Chrts"/>
      <sheetName val="Smmy Sum"/>
      <sheetName val="Smmy FGD"/>
      <sheetName val="Smmy Fnts"/>
      <sheetName val="ARL Chrts"/>
      <sheetName val="ARL Sum"/>
      <sheetName val="ARL FGD"/>
      <sheetName val="ARL Fnts"/>
      <sheetName val="AUS Chrts"/>
      <sheetName val="AUS Sum"/>
      <sheetName val="AUS FGD"/>
      <sheetName val="AUS Fnts"/>
      <sheetName val="DAL Chrts"/>
      <sheetName val="DAL Sum"/>
      <sheetName val="DAL FGD"/>
      <sheetName val="DAL Fnts"/>
      <sheetName val="E-P Chrts"/>
      <sheetName val="E-P Sum"/>
      <sheetName val="E-P FGD"/>
      <sheetName val="E-P Fnts"/>
      <sheetName val="P-A Chrts"/>
      <sheetName val="P-A Sum"/>
      <sheetName val="P-A FGD"/>
      <sheetName val="P-A Fnts"/>
      <sheetName val="BRW Chrts"/>
      <sheetName val="BRW Sum"/>
      <sheetName val="BRW FGD"/>
      <sheetName val="BRW Fnts"/>
      <sheetName val="P-B Chrts"/>
      <sheetName val="P-B Sum"/>
      <sheetName val="P-B FGD"/>
      <sheetName val="P-B Fnts"/>
      <sheetName val="S-A Chrts"/>
      <sheetName val="S-A Sum"/>
      <sheetName val="S-A FGD"/>
      <sheetName val="S-A Fnts"/>
      <sheetName val="TYL Chrts"/>
      <sheetName val="TYL Sum"/>
      <sheetName val="TYL FGD"/>
      <sheetName val="TYL Fnts"/>
      <sheetName val="TAMU Chrts"/>
      <sheetName val="TAMU Sum"/>
      <sheetName val="TAMU FGD"/>
      <sheetName val="TAMU Fnts"/>
      <sheetName val="TAMUG Chrts"/>
      <sheetName val="TAMUG Sum"/>
      <sheetName val="TAMUG FGD"/>
      <sheetName val="TAMUG Fnts"/>
      <sheetName val="PVAMU Chrts"/>
      <sheetName val="PVAMU Sum"/>
      <sheetName val="PVAMU FGD"/>
      <sheetName val="PVAMU Fnts"/>
      <sheetName val="TARLST Chrts"/>
      <sheetName val="TARLST Sum"/>
      <sheetName val="TARLST FGD"/>
      <sheetName val="TARLST Fnts"/>
      <sheetName val="TAMUCC Chrts"/>
      <sheetName val="TAMUCC Sum"/>
      <sheetName val="TAMUCC FGD"/>
      <sheetName val="TAMUCC Fnts"/>
      <sheetName val="TAMUK Chrts"/>
      <sheetName val="TAMUK Sum"/>
      <sheetName val="TAMUK FGD"/>
      <sheetName val="TAMUK Fnts"/>
      <sheetName val="TAMIU Chrts"/>
      <sheetName val="TAMIU Sum"/>
      <sheetName val="TAMIU FGD"/>
      <sheetName val="TAMIU Fnts"/>
      <sheetName val="WTAMU Chrts"/>
      <sheetName val="WTAMU Sum"/>
      <sheetName val="WTAMU FGD"/>
      <sheetName val="WTAMU Fnts"/>
      <sheetName val="TAMUC Chrts"/>
      <sheetName val="TAMUC Sum"/>
      <sheetName val="TAMUC FGD"/>
      <sheetName val="TAMUC Fnts"/>
      <sheetName val="TAMUT Chrts"/>
      <sheetName val="TAMUT Sum"/>
      <sheetName val="TAMUT FGD"/>
      <sheetName val="TAMUT Fnts"/>
      <sheetName val="TAMUCT Chrts"/>
      <sheetName val="TAMUCT Sum"/>
      <sheetName val="TAMUCT FGD"/>
      <sheetName val="TAMUCT Fnts"/>
      <sheetName val="TAMUSA Chrts"/>
      <sheetName val="TAMUSA Sum"/>
      <sheetName val="TAMUSA FGD"/>
      <sheetName val="TAMUSA Fnts"/>
      <sheetName val="UH Chrts"/>
      <sheetName val="UH Sum"/>
      <sheetName val="UH FGD"/>
      <sheetName val="UH Fnts"/>
      <sheetName val="UHCL Chrts"/>
      <sheetName val="UHCL Sum"/>
      <sheetName val="UHCL FGD"/>
      <sheetName val="UHCL Fnts"/>
      <sheetName val="UHD Chrts"/>
      <sheetName val="UHD Sum"/>
      <sheetName val="UHD FGD"/>
      <sheetName val="UHD Fnts"/>
      <sheetName val="UHV Chrts"/>
      <sheetName val="UHV Sum"/>
      <sheetName val="UHV FGD"/>
      <sheetName val="UHV Fnts"/>
      <sheetName val="LU Chrts"/>
      <sheetName val="LU Sum"/>
      <sheetName val="LU FGD"/>
      <sheetName val="LU Fnts"/>
      <sheetName val="shsu Chrts"/>
      <sheetName val="shsu Sum"/>
      <sheetName val="shsu FGD"/>
      <sheetName val="shsu Fnts"/>
      <sheetName val="TXST Chrts"/>
      <sheetName val="TXST Sum"/>
      <sheetName val="TXST FGD"/>
      <sheetName val="TXST Fnts"/>
      <sheetName val="SRSU Chrts"/>
      <sheetName val="SRSU Sum"/>
      <sheetName val="SRSU FGD"/>
      <sheetName val="SRSU Fnts"/>
      <sheetName val="TTU Chrts"/>
      <sheetName val="TTU Sum"/>
      <sheetName val="TTU FGD"/>
      <sheetName val="TTU Fnts"/>
      <sheetName val="ASU Chrts"/>
      <sheetName val="ASU Sum"/>
      <sheetName val="ASU FGD"/>
      <sheetName val="ASU Fnts"/>
      <sheetName val="UNT Chrts"/>
      <sheetName val="UNT Sum"/>
      <sheetName val="UNT FGD"/>
      <sheetName val="UNT Fnts"/>
      <sheetName val="UNTD Chrts"/>
      <sheetName val="UNTD Sum"/>
      <sheetName val="UNTD FGD"/>
      <sheetName val="UNTD Fnts"/>
      <sheetName val="MidWST Chrts"/>
      <sheetName val="MidWST Sum"/>
      <sheetName val="MidWST FGD"/>
      <sheetName val="MidWST Fnts"/>
      <sheetName val="SFA Chrts"/>
      <sheetName val="SFA Sum"/>
      <sheetName val="SFA FGD"/>
      <sheetName val="SFA Fnts"/>
      <sheetName val="TSU Chrts"/>
      <sheetName val="TSU Sum"/>
      <sheetName val="TSU FGD"/>
      <sheetName val="TSU Fnts"/>
      <sheetName val="TWU Chrts"/>
      <sheetName val="TWU Sum"/>
      <sheetName val="TWU FGD"/>
      <sheetName val="TWU Fnts"/>
      <sheetName val="Names"/>
      <sheetName val="Input"/>
      <sheetName val="FT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11">
          <cell r="B11" t="str">
            <v>The University of Texas System</v>
          </cell>
          <cell r="C11" t="str">
            <v>003655</v>
          </cell>
          <cell r="D11" t="str">
            <v>UTS</v>
          </cell>
          <cell r="E11" t="str">
            <v>S40</v>
          </cell>
          <cell r="F11" t="str">
            <v>S40 - S &amp; U - FY 2010 - UTS.xlsx</v>
          </cell>
        </row>
        <row r="12">
          <cell r="B12" t="str">
            <v>The University of Texas at Arlington</v>
          </cell>
          <cell r="C12" t="str">
            <v>003656</v>
          </cell>
          <cell r="D12" t="str">
            <v>ARL</v>
          </cell>
          <cell r="E12">
            <v>40</v>
          </cell>
          <cell r="F12" t="str">
            <v>40 - S &amp; U - FY 2010 - ARL.xlsx</v>
          </cell>
          <cell r="H12">
            <v>3452814</v>
          </cell>
        </row>
        <row r="13">
          <cell r="B13" t="str">
            <v>The University of Texas at Austin</v>
          </cell>
          <cell r="C13" t="str">
            <v>003658</v>
          </cell>
          <cell r="D13" t="str">
            <v>AUS</v>
          </cell>
          <cell r="E13">
            <v>50</v>
          </cell>
          <cell r="F13" t="str">
            <v>50 - S &amp; U - FY 2010 - AUS.xlsx</v>
          </cell>
          <cell r="G13">
            <v>27534452</v>
          </cell>
        </row>
        <row r="14">
          <cell r="B14" t="str">
            <v>The University of Texas at Dallas</v>
          </cell>
          <cell r="C14" t="str">
            <v>009741</v>
          </cell>
          <cell r="D14" t="str">
            <v>DAL</v>
          </cell>
          <cell r="E14">
            <v>60</v>
          </cell>
          <cell r="F14" t="str">
            <v>60 - S &amp; U - FY 2010 - DAL.xlsx</v>
          </cell>
          <cell r="H14">
            <v>5627594</v>
          </cell>
        </row>
        <row r="15">
          <cell r="B15" t="str">
            <v>The University of Texas at El Paso</v>
          </cell>
          <cell r="C15" t="str">
            <v>003661</v>
          </cell>
          <cell r="D15" t="str">
            <v>E-P</v>
          </cell>
          <cell r="E15">
            <v>70</v>
          </cell>
          <cell r="F15" t="str">
            <v>70 - S &amp; U - FY 2010 - E-P.xlsx</v>
          </cell>
          <cell r="H15">
            <v>4263330</v>
          </cell>
        </row>
        <row r="16">
          <cell r="B16" t="str">
            <v>The University of Texas - Pan American</v>
          </cell>
          <cell r="C16" t="str">
            <v>003599</v>
          </cell>
          <cell r="D16" t="str">
            <v>P-A</v>
          </cell>
          <cell r="E16">
            <v>80</v>
          </cell>
          <cell r="F16" t="str">
            <v>80 - S &amp; U - FY 2010 - P-A.xlsx</v>
          </cell>
          <cell r="H16">
            <v>740210</v>
          </cell>
          <cell r="I16">
            <v>12311123</v>
          </cell>
        </row>
        <row r="17">
          <cell r="B17" t="str">
            <v>The University of Texas at Brownsville (Incl. Texas Southmost College)</v>
          </cell>
          <cell r="C17" t="str">
            <v>030646</v>
          </cell>
          <cell r="D17" t="str">
            <v>BRW</v>
          </cell>
          <cell r="E17">
            <v>90</v>
          </cell>
          <cell r="F17" t="str">
            <v>90 - S &amp; U - FY 2010 - BRW.xlsx</v>
          </cell>
          <cell r="H17">
            <v>668711</v>
          </cell>
          <cell r="I17">
            <v>5057420</v>
          </cell>
        </row>
        <row r="18">
          <cell r="B18" t="str">
            <v>The University of Texas of the Permian Basin</v>
          </cell>
          <cell r="C18" t="str">
            <v>009930</v>
          </cell>
          <cell r="D18" t="str">
            <v>P-B</v>
          </cell>
          <cell r="E18">
            <v>100</v>
          </cell>
          <cell r="F18" t="str">
            <v>100 - S &amp; U - FY 2010 - P-B.xlsx</v>
          </cell>
          <cell r="H18">
            <v>250623</v>
          </cell>
        </row>
        <row r="19">
          <cell r="B19" t="str">
            <v>The University of Texas at San Antonio</v>
          </cell>
          <cell r="C19" t="str">
            <v>010115</v>
          </cell>
          <cell r="D19" t="str">
            <v>S-A</v>
          </cell>
          <cell r="E19">
            <v>110</v>
          </cell>
          <cell r="F19" t="str">
            <v>110 - S &amp; U - FY 2010 - S-A.xlsx</v>
          </cell>
          <cell r="H19">
            <v>3402524</v>
          </cell>
        </row>
        <row r="20">
          <cell r="B20" t="str">
            <v>The University of Texas at Tyler</v>
          </cell>
          <cell r="C20" t="str">
            <v>011163</v>
          </cell>
          <cell r="D20" t="str">
            <v>TYL</v>
          </cell>
          <cell r="E20">
            <v>120</v>
          </cell>
          <cell r="F20" t="str">
            <v>120 - S &amp; U - FY 2010 - TYL.xlsx</v>
          </cell>
          <cell r="H20">
            <v>228118</v>
          </cell>
        </row>
        <row r="21">
          <cell r="B21" t="str">
            <v>Texas A&amp;M University System</v>
          </cell>
          <cell r="C21" t="str">
            <v>003629</v>
          </cell>
          <cell r="D21" t="str">
            <v>TAMUS</v>
          </cell>
          <cell r="E21" t="str">
            <v>S130</v>
          </cell>
          <cell r="F21" t="str">
            <v>S130 - S &amp; U - FY 2010 - TAMUS.xlsx</v>
          </cell>
        </row>
        <row r="22">
          <cell r="B22" t="str">
            <v>Texas A&amp;M University</v>
          </cell>
          <cell r="C22" t="str">
            <v>003632</v>
          </cell>
          <cell r="D22" t="str">
            <v>TAMU</v>
          </cell>
          <cell r="E22">
            <v>130</v>
          </cell>
          <cell r="F22" t="str">
            <v>130 - S &amp; U - FY 2010 - TAMU.xlsx</v>
          </cell>
          <cell r="G22">
            <v>28068280</v>
          </cell>
        </row>
        <row r="23">
          <cell r="B23" t="str">
            <v>Texas A&amp;M University at Galveston</v>
          </cell>
          <cell r="C23" t="str">
            <v>010298</v>
          </cell>
          <cell r="D23" t="str">
            <v>TAMUG</v>
          </cell>
          <cell r="E23">
            <v>140</v>
          </cell>
          <cell r="F23" t="str">
            <v>140 - S &amp; U - FY 2010 - TAMUG.xlsx</v>
          </cell>
          <cell r="H23">
            <v>407402</v>
          </cell>
        </row>
        <row r="24">
          <cell r="B24" t="str">
            <v>Prairie View A&amp;M University</v>
          </cell>
          <cell r="C24" t="str">
            <v>003630</v>
          </cell>
          <cell r="D24" t="str">
            <v>PVAMU</v>
          </cell>
          <cell r="E24">
            <v>150</v>
          </cell>
          <cell r="F24" t="str">
            <v>150 - S &amp; U - FY 2010 - PVAMU.xlsx</v>
          </cell>
        </row>
        <row r="25">
          <cell r="B25" t="str">
            <v>Tarleton State University</v>
          </cell>
          <cell r="C25" t="str">
            <v>003631</v>
          </cell>
          <cell r="D25" t="str">
            <v>TARLST</v>
          </cell>
          <cell r="E25">
            <v>160</v>
          </cell>
          <cell r="F25" t="str">
            <v>160 - S &amp; U - FY 2010 - TARL ST.xlsx</v>
          </cell>
          <cell r="H25">
            <v>1115775</v>
          </cell>
        </row>
        <row r="26">
          <cell r="B26" t="str">
            <v>Texas A&amp;M University - Corpus Christi</v>
          </cell>
          <cell r="C26" t="str">
            <v>011161</v>
          </cell>
          <cell r="D26" t="str">
            <v>TAMUCC</v>
          </cell>
          <cell r="E26">
            <v>170</v>
          </cell>
          <cell r="F26" t="str">
            <v>170 - S &amp; U - FY 2010 - TAMUCC.xlsx</v>
          </cell>
          <cell r="H26">
            <v>1495540</v>
          </cell>
          <cell r="I26">
            <v>7139067</v>
          </cell>
        </row>
        <row r="27">
          <cell r="B27" t="str">
            <v>Texas A&amp;M University - Kingsville</v>
          </cell>
          <cell r="C27" t="str">
            <v>003639</v>
          </cell>
          <cell r="D27" t="str">
            <v>TAMUK</v>
          </cell>
          <cell r="E27">
            <v>180</v>
          </cell>
          <cell r="F27" t="str">
            <v>180 - S &amp; U - FY 2010 - TAMUK.xlsx</v>
          </cell>
          <cell r="H27">
            <v>1267265</v>
          </cell>
          <cell r="I27">
            <v>5046885</v>
          </cell>
        </row>
        <row r="28">
          <cell r="B28" t="str">
            <v>Texas A&amp;M International University</v>
          </cell>
          <cell r="C28" t="str">
            <v>009651</v>
          </cell>
          <cell r="D28" t="str">
            <v>TAMIU</v>
          </cell>
          <cell r="E28">
            <v>190</v>
          </cell>
          <cell r="F28" t="str">
            <v>190 - S &amp; U - FY 2010 - TAMIU.xlsx</v>
          </cell>
          <cell r="H28">
            <v>34904</v>
          </cell>
          <cell r="I28">
            <v>3796436</v>
          </cell>
        </row>
        <row r="29">
          <cell r="B29" t="str">
            <v>West Texas A&amp;M University</v>
          </cell>
          <cell r="C29" t="str">
            <v>003665</v>
          </cell>
          <cell r="D29" t="str">
            <v>WTAMU</v>
          </cell>
          <cell r="E29">
            <v>200</v>
          </cell>
          <cell r="F29" t="str">
            <v>200 - S &amp; U - FY 2010 - WTAMU.xlsx</v>
          </cell>
          <cell r="H29">
            <v>527219</v>
          </cell>
          <cell r="I29">
            <v>4652995</v>
          </cell>
        </row>
        <row r="30">
          <cell r="B30" t="str">
            <v>Texas A&amp;M University - Commerce</v>
          </cell>
          <cell r="C30" t="str">
            <v>003565</v>
          </cell>
          <cell r="D30" t="str">
            <v>TAMUC</v>
          </cell>
          <cell r="E30">
            <v>210</v>
          </cell>
          <cell r="F30" t="str">
            <v>210 - S &amp; U - FY 2010 - TAMUC.xlsx</v>
          </cell>
          <cell r="H30">
            <v>218046</v>
          </cell>
          <cell r="I30">
            <v>5193232</v>
          </cell>
        </row>
        <row r="31">
          <cell r="B31" t="str">
            <v>Texas A&amp;M University - Texarkana</v>
          </cell>
          <cell r="C31" t="str">
            <v>029269</v>
          </cell>
          <cell r="D31" t="str">
            <v>TAMUT</v>
          </cell>
          <cell r="E31">
            <v>220</v>
          </cell>
          <cell r="F31" t="str">
            <v>220 - S &amp; U - FY 2010 - TAMUT.xlsx</v>
          </cell>
          <cell r="I31">
            <v>1307907</v>
          </cell>
        </row>
        <row r="32">
          <cell r="B32" t="str">
            <v>Texas A&amp;M University - Central Texas</v>
          </cell>
          <cell r="C32" t="str">
            <v>103631</v>
          </cell>
          <cell r="D32" t="str">
            <v>TAMUCT</v>
          </cell>
          <cell r="E32">
            <v>223</v>
          </cell>
          <cell r="F32" t="str">
            <v>223 - S &amp; U - FY 2010 - TAMUCT.xlsx</v>
          </cell>
        </row>
        <row r="33">
          <cell r="B33" t="str">
            <v>Texas A&amp;M University - San Antonio</v>
          </cell>
          <cell r="C33" t="str">
            <v>103639</v>
          </cell>
          <cell r="D33" t="str">
            <v>TAMUSA</v>
          </cell>
          <cell r="E33">
            <v>226</v>
          </cell>
          <cell r="F33" t="str">
            <v>226 - S &amp; U - FY 2010 - TAMUSA.xlsx</v>
          </cell>
        </row>
        <row r="34">
          <cell r="B34" t="str">
            <v>Texas AgriLife Research</v>
          </cell>
          <cell r="C34" t="str">
            <v>000556</v>
          </cell>
          <cell r="D34" t="str">
            <v>TAR</v>
          </cell>
          <cell r="E34">
            <v>600</v>
          </cell>
          <cell r="F34" t="str">
            <v>600 - S &amp; U - FY 2010 - TAR.xlsx</v>
          </cell>
        </row>
        <row r="35">
          <cell r="B35" t="str">
            <v>Texas AgriLife Extension Service</v>
          </cell>
          <cell r="C35" t="str">
            <v>000555</v>
          </cell>
          <cell r="D35" t="str">
            <v>TAES</v>
          </cell>
          <cell r="E35">
            <v>605</v>
          </cell>
          <cell r="F35" t="str">
            <v>605 - S &amp; U - FY 2010 - TAES.xlsx</v>
          </cell>
        </row>
        <row r="36">
          <cell r="B36" t="str">
            <v>Texas Engineering Experiment Station</v>
          </cell>
          <cell r="C36" t="str">
            <v>000712</v>
          </cell>
          <cell r="D36" t="str">
            <v>TEES1</v>
          </cell>
          <cell r="E36">
            <v>610</v>
          </cell>
          <cell r="F36" t="str">
            <v>610 - S &amp; U - FY 2010 - TEES1.xlsx</v>
          </cell>
        </row>
        <row r="37">
          <cell r="B37" t="str">
            <v>Texas Engineering Extension Service</v>
          </cell>
          <cell r="C37" t="str">
            <v>000716</v>
          </cell>
          <cell r="D37" t="str">
            <v>TEES2</v>
          </cell>
          <cell r="E37">
            <v>615</v>
          </cell>
          <cell r="F37" t="str">
            <v>615 - S &amp; U - FY 2010 - TEES2.xlsx</v>
          </cell>
        </row>
        <row r="38">
          <cell r="B38" t="str">
            <v>Texas Forest Service</v>
          </cell>
          <cell r="C38" t="str">
            <v>000576</v>
          </cell>
          <cell r="D38" t="str">
            <v>TFS</v>
          </cell>
          <cell r="E38">
            <v>620</v>
          </cell>
          <cell r="F38" t="str">
            <v>620 - S &amp; U - FY 2010 - TFS.xlsx</v>
          </cell>
        </row>
        <row r="39">
          <cell r="B39" t="str">
            <v>Texas Transportation Institute</v>
          </cell>
          <cell r="C39" t="str">
            <v>000727</v>
          </cell>
          <cell r="D39" t="str">
            <v>TTI</v>
          </cell>
          <cell r="E39">
            <v>625</v>
          </cell>
          <cell r="F39" t="str">
            <v>625 - S &amp; U - FY 2010 - TTI.xlsx</v>
          </cell>
        </row>
        <row r="40">
          <cell r="B40" t="str">
            <v>Texas Vet. Medical Diagnostic Laboratory</v>
          </cell>
          <cell r="C40" t="str">
            <v>000557</v>
          </cell>
          <cell r="D40" t="str">
            <v>TVMDL</v>
          </cell>
          <cell r="E40">
            <v>630</v>
          </cell>
          <cell r="F40" t="str">
            <v>630 - S &amp; U - FY 2010 - TVMDL.xlsx</v>
          </cell>
        </row>
        <row r="41">
          <cell r="B41" t="str">
            <v>Texas A&amp;M Research Foundation</v>
          </cell>
          <cell r="C41" t="str">
            <v>000518</v>
          </cell>
          <cell r="D41" t="str">
            <v>TAMRF</v>
          </cell>
          <cell r="E41">
            <v>635</v>
          </cell>
          <cell r="F41" t="str">
            <v>635 - S &amp; U - FY 2010 - TAMRF.xlsx</v>
          </cell>
        </row>
        <row r="42">
          <cell r="B42" t="str">
            <v>University of Houston System</v>
          </cell>
          <cell r="C42" t="str">
            <v>011721</v>
          </cell>
          <cell r="D42" t="str">
            <v>UTS</v>
          </cell>
          <cell r="E42" t="str">
            <v>S230</v>
          </cell>
          <cell r="F42" t="str">
            <v>S230 - S &amp; U - FY 2010 - UTS.xlsx</v>
          </cell>
        </row>
        <row r="43">
          <cell r="B43" t="str">
            <v>University of Houston</v>
          </cell>
          <cell r="C43" t="str">
            <v>003652</v>
          </cell>
          <cell r="D43" t="str">
            <v>UH</v>
          </cell>
          <cell r="E43">
            <v>230</v>
          </cell>
          <cell r="F43" t="str">
            <v>230 - S &amp; U - FY 2010 - UH.xlsx</v>
          </cell>
          <cell r="G43">
            <v>4535210</v>
          </cell>
          <cell r="H43">
            <v>6380651</v>
          </cell>
          <cell r="I43">
            <v>35885768</v>
          </cell>
        </row>
        <row r="44">
          <cell r="B44" t="str">
            <v>University of Houston - Clear Lake</v>
          </cell>
          <cell r="C44" t="str">
            <v>011711</v>
          </cell>
          <cell r="D44" t="str">
            <v>UHCL</v>
          </cell>
          <cell r="E44">
            <v>240</v>
          </cell>
          <cell r="F44" t="str">
            <v>240 - S &amp; U - FY 2010 - UHCL.xlsx</v>
          </cell>
          <cell r="H44">
            <v>74975</v>
          </cell>
          <cell r="I44">
            <v>5214167</v>
          </cell>
        </row>
        <row r="45">
          <cell r="B45" t="str">
            <v>University of Houston - Clear Lake</v>
          </cell>
          <cell r="C45" t="str">
            <v>012826</v>
          </cell>
          <cell r="D45" t="str">
            <v>UHD</v>
          </cell>
          <cell r="E45">
            <v>250</v>
          </cell>
          <cell r="F45" t="str">
            <v>250 - S &amp; U - FY 2010 - UHD.xlsx</v>
          </cell>
          <cell r="H45">
            <v>56984</v>
          </cell>
          <cell r="I45">
            <v>7435238</v>
          </cell>
        </row>
        <row r="46">
          <cell r="B46" t="str">
            <v>University of Houston - Downtown</v>
          </cell>
          <cell r="C46" t="str">
            <v>013231</v>
          </cell>
          <cell r="D46" t="str">
            <v>UHV</v>
          </cell>
          <cell r="E46">
            <v>260</v>
          </cell>
          <cell r="F46" t="str">
            <v>260 - S &amp; U - FY 2010 - UHV.xlsx</v>
          </cell>
          <cell r="I46">
            <v>2393921</v>
          </cell>
        </row>
        <row r="47">
          <cell r="B47" t="str">
            <v>Texas State System</v>
          </cell>
          <cell r="C47" t="str">
            <v>000110</v>
          </cell>
          <cell r="D47" t="str">
            <v>TXSTS</v>
          </cell>
          <cell r="E47" t="str">
            <v>S270</v>
          </cell>
          <cell r="F47" t="str">
            <v>S270 - S &amp; U - FY 2010 - TXSTS.xlsx</v>
          </cell>
        </row>
        <row r="48">
          <cell r="B48" t="str">
            <v xml:space="preserve">Lamar University </v>
          </cell>
          <cell r="C48" t="str">
            <v>003581</v>
          </cell>
          <cell r="D48" t="str">
            <v>LU</v>
          </cell>
          <cell r="E48">
            <v>270</v>
          </cell>
          <cell r="F48" t="str">
            <v>270 - S &amp; U - FY 2010 - LU.xlsx</v>
          </cell>
          <cell r="H48">
            <v>437890</v>
          </cell>
          <cell r="I48">
            <v>8330933</v>
          </cell>
        </row>
        <row r="49">
          <cell r="B49" t="str">
            <v>Sam Houston State University</v>
          </cell>
          <cell r="C49" t="str">
            <v>003606</v>
          </cell>
          <cell r="D49" t="str">
            <v>SHSU</v>
          </cell>
          <cell r="E49">
            <v>280</v>
          </cell>
          <cell r="F49" t="str">
            <v>280 - S &amp; U - FY 2010 - SHSU.xlsx</v>
          </cell>
          <cell r="H49">
            <v>381074</v>
          </cell>
          <cell r="I49">
            <v>11893110</v>
          </cell>
        </row>
        <row r="50">
          <cell r="B50" t="str">
            <v>Texas State University - San Marcos</v>
          </cell>
          <cell r="C50" t="str">
            <v>003615</v>
          </cell>
          <cell r="D50" t="str">
            <v>TXST</v>
          </cell>
          <cell r="E50">
            <v>290</v>
          </cell>
          <cell r="F50" t="str">
            <v>290 - S &amp; U - FY 2010 - TXST.xlsx</v>
          </cell>
          <cell r="H50">
            <v>1352702</v>
          </cell>
          <cell r="I50">
            <v>21863258</v>
          </cell>
        </row>
        <row r="51">
          <cell r="B51" t="str">
            <v>Sul Ross State University</v>
          </cell>
          <cell r="C51" t="str">
            <v>003625</v>
          </cell>
          <cell r="D51" t="str">
            <v>SRSU</v>
          </cell>
          <cell r="E51">
            <v>300</v>
          </cell>
          <cell r="F51" t="str">
            <v>300 - S &amp; U - FY 2010 - SRSU.xlsx</v>
          </cell>
          <cell r="H51">
            <v>290581</v>
          </cell>
          <cell r="I51">
            <v>2070441</v>
          </cell>
        </row>
        <row r="52">
          <cell r="B52" t="str">
            <v>Texas Tech University System</v>
          </cell>
          <cell r="C52" t="str">
            <v>439154</v>
          </cell>
          <cell r="D52" t="str">
            <v>TTUS</v>
          </cell>
          <cell r="E52" t="str">
            <v>S310</v>
          </cell>
          <cell r="F52" t="str">
            <v>S310 - S &amp; U - FY 2010 - TTUS.xlsx</v>
          </cell>
        </row>
        <row r="53">
          <cell r="B53" t="str">
            <v>Texas Tech University</v>
          </cell>
          <cell r="C53" t="str">
            <v>003644</v>
          </cell>
          <cell r="D53" t="str">
            <v>TTU</v>
          </cell>
          <cell r="E53">
            <v>310</v>
          </cell>
          <cell r="F53" t="str">
            <v>310 - S &amp; U - FY 2010 - TTU.xlsx</v>
          </cell>
          <cell r="G53">
            <v>2965865</v>
          </cell>
          <cell r="H53">
            <v>4868296</v>
          </cell>
          <cell r="I53">
            <v>23936088</v>
          </cell>
        </row>
        <row r="54">
          <cell r="B54" t="str">
            <v>Angelo State University</v>
          </cell>
          <cell r="C54" t="str">
            <v>003541</v>
          </cell>
          <cell r="D54" t="str">
            <v>ASU</v>
          </cell>
          <cell r="E54">
            <v>320</v>
          </cell>
          <cell r="F54" t="str">
            <v>320 - S &amp; U - FY 2010 - ASU.xlsx</v>
          </cell>
          <cell r="H54">
            <v>41632</v>
          </cell>
          <cell r="I54">
            <v>3743027</v>
          </cell>
        </row>
        <row r="55">
          <cell r="B55" t="str">
            <v>University of North Texas System</v>
          </cell>
          <cell r="C55" t="str">
            <v>103594</v>
          </cell>
          <cell r="D55" t="str">
            <v>UNTS</v>
          </cell>
          <cell r="E55" t="str">
            <v>S330</v>
          </cell>
          <cell r="F55" t="str">
            <v>S330 - S &amp; U - FY 2010 - UNTS.xlsx</v>
          </cell>
        </row>
        <row r="56">
          <cell r="B56" t="str">
            <v>University of North Texas</v>
          </cell>
          <cell r="C56" t="str">
            <v>003594</v>
          </cell>
          <cell r="D56" t="str">
            <v>UNT</v>
          </cell>
          <cell r="E56">
            <v>330</v>
          </cell>
          <cell r="F56" t="str">
            <v>330 - S &amp; U - FY 2010 - UNT.xlsx</v>
          </cell>
          <cell r="H56">
            <v>1602313</v>
          </cell>
          <cell r="I56">
            <v>27846476</v>
          </cell>
        </row>
        <row r="57">
          <cell r="B57" t="str">
            <v>University of North Texas at Dallas</v>
          </cell>
          <cell r="C57" t="str">
            <v>113594</v>
          </cell>
          <cell r="D57" t="str">
            <v>UNTD</v>
          </cell>
          <cell r="E57">
            <v>333</v>
          </cell>
          <cell r="F57" t="str">
            <v>333 - S &amp; U - FY 2010 - UNTD.xlsx</v>
          </cell>
        </row>
        <row r="58">
          <cell r="B58" t="str">
            <v>Midwestern State University</v>
          </cell>
          <cell r="C58" t="str">
            <v>003592</v>
          </cell>
          <cell r="D58" t="str">
            <v>MidWST</v>
          </cell>
          <cell r="E58">
            <v>340</v>
          </cell>
          <cell r="F58" t="str">
            <v>340 - S &amp; U - FY 2010 - MidWST.xlsx</v>
          </cell>
          <cell r="H58">
            <v>8286</v>
          </cell>
          <cell r="I58">
            <v>3559433</v>
          </cell>
        </row>
        <row r="59">
          <cell r="B59" t="str">
            <v>Stephen F. Austin State University</v>
          </cell>
          <cell r="C59" t="str">
            <v>003624</v>
          </cell>
          <cell r="D59" t="str">
            <v>SFA</v>
          </cell>
          <cell r="E59">
            <v>350</v>
          </cell>
          <cell r="F59" t="str">
            <v>350 - S &amp; U - FY 2010 - SFA.xlsx</v>
          </cell>
          <cell r="H59">
            <v>634501</v>
          </cell>
          <cell r="I59">
            <v>8425937</v>
          </cell>
        </row>
        <row r="60">
          <cell r="B60" t="str">
            <v>Texas Southern University</v>
          </cell>
          <cell r="C60" t="str">
            <v>003642</v>
          </cell>
          <cell r="D60" t="str">
            <v>TSU</v>
          </cell>
          <cell r="E60">
            <v>360</v>
          </cell>
          <cell r="F60" t="str">
            <v>360 - S &amp; U - FY 2010 - TSU.xlsx</v>
          </cell>
          <cell r="H60">
            <v>430341</v>
          </cell>
          <cell r="I60">
            <v>8894700</v>
          </cell>
        </row>
        <row r="61">
          <cell r="B61" t="str">
            <v>Texas Woman's University</v>
          </cell>
          <cell r="C61" t="str">
            <v>003646</v>
          </cell>
          <cell r="D61" t="str">
            <v>TWU</v>
          </cell>
          <cell r="E61">
            <v>370</v>
          </cell>
          <cell r="F61" t="str">
            <v>370 - S &amp; U - FY 2010 - TWU.xlsx</v>
          </cell>
          <cell r="H61">
            <v>171113</v>
          </cell>
          <cell r="I61">
            <v>10169695</v>
          </cell>
        </row>
        <row r="62">
          <cell r="B62" t="str">
            <v>Lamar Institute of Technology</v>
          </cell>
          <cell r="C62" t="str">
            <v>036273</v>
          </cell>
          <cell r="D62" t="str">
            <v>LIT</v>
          </cell>
          <cell r="E62">
            <v>490</v>
          </cell>
          <cell r="F62" t="str">
            <v>490 - S &amp; U - FY 2010 - LIT.xlsx</v>
          </cell>
          <cell r="I62">
            <v>2332463</v>
          </cell>
        </row>
        <row r="63">
          <cell r="B63" t="str">
            <v>Lamar State College - Orange</v>
          </cell>
          <cell r="C63" t="str">
            <v>023582</v>
          </cell>
          <cell r="D63" t="str">
            <v>LSCO</v>
          </cell>
          <cell r="E63">
            <v>500</v>
          </cell>
          <cell r="F63" t="str">
            <v>500 - S &amp; U - FY 2010 - LSCO.xlsx</v>
          </cell>
          <cell r="I63">
            <v>1235752</v>
          </cell>
        </row>
        <row r="64">
          <cell r="B64" t="str">
            <v>Lamar State College - Port Arthur</v>
          </cell>
          <cell r="C64" t="str">
            <v>023485</v>
          </cell>
          <cell r="D64" t="str">
            <v>LSCPA</v>
          </cell>
          <cell r="E64">
            <v>510</v>
          </cell>
          <cell r="F64" t="str">
            <v>510 - S &amp; U - FY 2010 - LSCPA.xlsx</v>
          </cell>
          <cell r="I64">
            <v>1244694</v>
          </cell>
        </row>
        <row r="65">
          <cell r="B65" t="str">
            <v>Texas State Technical College - Harlingen</v>
          </cell>
          <cell r="C65" t="str">
            <v>009225</v>
          </cell>
          <cell r="D65" t="str">
            <v>TSTCH</v>
          </cell>
          <cell r="E65">
            <v>520</v>
          </cell>
          <cell r="F65" t="str">
            <v>520 - S &amp; U - FY 2010 - TSTCH.xlsx</v>
          </cell>
          <cell r="I65">
            <v>5775000</v>
          </cell>
        </row>
        <row r="66">
          <cell r="B66" t="str">
            <v>Texas State Technical College – West Texas</v>
          </cell>
          <cell r="C66" t="str">
            <v>009932</v>
          </cell>
          <cell r="D66" t="str">
            <v>TSTCWTX</v>
          </cell>
          <cell r="E66">
            <v>530</v>
          </cell>
          <cell r="F66" t="str">
            <v>530 - S &amp; U - FY 2010 - TSTCWT.xlsx</v>
          </cell>
        </row>
        <row r="67">
          <cell r="B67" t="str">
            <v>Texas State Technical College - Marshall</v>
          </cell>
          <cell r="C67" t="str">
            <v>033965</v>
          </cell>
          <cell r="D67" t="str">
            <v>TSTCM</v>
          </cell>
          <cell r="E67">
            <v>540</v>
          </cell>
          <cell r="F67" t="str">
            <v>540 - S &amp; U - FY 2010 - TSTCM.xlsx</v>
          </cell>
        </row>
        <row r="68">
          <cell r="B68" t="str">
            <v>Texas State Technical College - Waco</v>
          </cell>
          <cell r="C68" t="str">
            <v>003634</v>
          </cell>
          <cell r="D68" t="str">
            <v>TSTCW</v>
          </cell>
          <cell r="E68">
            <v>550</v>
          </cell>
          <cell r="F68" t="str">
            <v>550 - S &amp; U - FY 2010 - TSTCW.xlsx</v>
          </cell>
        </row>
        <row r="69">
          <cell r="B69" t="str">
            <v>Texas State Technical College - System</v>
          </cell>
          <cell r="C69" t="str">
            <v>009642</v>
          </cell>
          <cell r="D69" t="str">
            <v>TSTCS</v>
          </cell>
          <cell r="E69">
            <v>555</v>
          </cell>
          <cell r="F69" t="str">
            <v>555 - S &amp; U - FY 2010 - TSTCS.xlsx</v>
          </cell>
        </row>
      </sheetData>
      <sheetData sheetId="165" refreshError="1"/>
      <sheetData sheetId="16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l 1990"/>
      <sheetName val="Fall 1991"/>
      <sheetName val="Fall 1992"/>
      <sheetName val="Fall 1993"/>
      <sheetName val="Fall 1994"/>
      <sheetName val="Fall 1995"/>
      <sheetName val="Fall 1996"/>
      <sheetName val="Fall 1997"/>
      <sheetName val="Fall 1998"/>
      <sheetName val="Fall 1999"/>
      <sheetName val="Fall 2000"/>
      <sheetName val="Fall 2001"/>
      <sheetName val="Fall 2002"/>
      <sheetName val="Fall 2003"/>
      <sheetName val="Fall 2004"/>
      <sheetName val="Fall 2005"/>
      <sheetName val="Fall 2006"/>
      <sheetName val="Fall 2007"/>
      <sheetName val="Fall 2003 Total"/>
      <sheetName val="Fall 2004 Total"/>
      <sheetName val="Fall 2005 Total"/>
      <sheetName val="Fall 2006 Total"/>
      <sheetName val="Fall 2007 Total"/>
      <sheetName val="Fall_2008"/>
      <sheetName val="New_Fall_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
          <cell r="A1" t="str">
            <v>instname</v>
          </cell>
          <cell r="B1" t="str">
            <v>AcadSCH</v>
          </cell>
          <cell r="C1" t="str">
            <v>TechSCH</v>
          </cell>
          <cell r="D1" t="str">
            <v>BATSCH</v>
          </cell>
          <cell r="E1" t="str">
            <v>TotalCH</v>
          </cell>
          <cell r="F1" t="str">
            <v>FTSE</v>
          </cell>
          <cell r="G1" t="str">
            <v>_BREAK_</v>
          </cell>
        </row>
        <row r="2">
          <cell r="A2" t="str">
            <v>ALAMO CCD NE LAKEVIEW COLLEGE</v>
          </cell>
          <cell r="B2">
            <v>3851</v>
          </cell>
          <cell r="C2">
            <v>0</v>
          </cell>
          <cell r="D2">
            <v>0</v>
          </cell>
          <cell r="E2">
            <v>0</v>
          </cell>
          <cell r="F2">
            <v>256.73333333333335</v>
          </cell>
        </row>
        <row r="3">
          <cell r="A3" t="str">
            <v>ALAMO CCD NW VISTA COLLEGE</v>
          </cell>
          <cell r="B3">
            <v>96210</v>
          </cell>
          <cell r="C3">
            <v>4331</v>
          </cell>
          <cell r="D3">
            <v>0</v>
          </cell>
          <cell r="E3">
            <v>18628</v>
          </cell>
          <cell r="F3">
            <v>6764.8266666666668</v>
          </cell>
        </row>
        <row r="4">
          <cell r="A4" t="str">
            <v>ALVIN COMMUNITY COLLEGE</v>
          </cell>
          <cell r="B4">
            <v>28375</v>
          </cell>
          <cell r="C4">
            <v>9540</v>
          </cell>
          <cell r="D4">
            <v>0</v>
          </cell>
          <cell r="E4">
            <v>100385</v>
          </cell>
          <cell r="F4">
            <v>2862.2833333333333</v>
          </cell>
        </row>
        <row r="5">
          <cell r="A5" t="str">
            <v>AMARILLO COLLEGE</v>
          </cell>
          <cell r="B5">
            <v>63085</v>
          </cell>
          <cell r="C5">
            <v>17595</v>
          </cell>
          <cell r="D5">
            <v>0</v>
          </cell>
          <cell r="E5">
            <v>168811</v>
          </cell>
          <cell r="F5">
            <v>5941.3700000000008</v>
          </cell>
        </row>
        <row r="6">
          <cell r="A6" t="str">
            <v>ANGELINA COLLEGE</v>
          </cell>
          <cell r="B6">
            <v>35191</v>
          </cell>
          <cell r="C6">
            <v>9047</v>
          </cell>
          <cell r="D6">
            <v>0</v>
          </cell>
          <cell r="E6">
            <v>28913</v>
          </cell>
          <cell r="F6">
            <v>3045.5766666666664</v>
          </cell>
        </row>
        <row r="7">
          <cell r="A7" t="str">
            <v>AUSTIN COMMUNITY COLLEGE</v>
          </cell>
          <cell r="B7">
            <v>215995</v>
          </cell>
          <cell r="C7">
            <v>40426</v>
          </cell>
          <cell r="D7">
            <v>0</v>
          </cell>
          <cell r="E7">
            <v>134823</v>
          </cell>
          <cell r="F7">
            <v>17544.143333333333</v>
          </cell>
        </row>
        <row r="8">
          <cell r="A8" t="str">
            <v>BLINN COLLEGE</v>
          </cell>
          <cell r="E8">
            <v>34296</v>
          </cell>
          <cell r="F8">
            <v>114.32</v>
          </cell>
        </row>
        <row r="9">
          <cell r="A9" t="str">
            <v>BRAZOSPORT COLLEGE</v>
          </cell>
          <cell r="B9">
            <v>21818</v>
          </cell>
          <cell r="C9">
            <v>8657</v>
          </cell>
          <cell r="D9">
            <v>512</v>
          </cell>
          <cell r="E9">
            <v>18310</v>
          </cell>
          <cell r="F9">
            <v>2126.8333333333335</v>
          </cell>
        </row>
        <row r="10">
          <cell r="A10" t="str">
            <v>CENTRAL TEXAS COLLEGE</v>
          </cell>
          <cell r="B10">
            <v>56699</v>
          </cell>
          <cell r="C10">
            <v>17803</v>
          </cell>
          <cell r="D10">
            <v>0</v>
          </cell>
          <cell r="E10">
            <v>76729</v>
          </cell>
          <cell r="F10">
            <v>5222.5633333333335</v>
          </cell>
        </row>
        <row r="11">
          <cell r="A11" t="str">
            <v>CISCO JUNIOR COLLEGE</v>
          </cell>
          <cell r="B11">
            <v>30292</v>
          </cell>
          <cell r="C11">
            <v>6014</v>
          </cell>
          <cell r="D11">
            <v>0</v>
          </cell>
          <cell r="E11">
            <v>1994</v>
          </cell>
          <cell r="F11">
            <v>2427.0466666666666</v>
          </cell>
        </row>
        <row r="12">
          <cell r="A12" t="str">
            <v>CLARENDON COLLEGE</v>
          </cell>
          <cell r="B12">
            <v>11133</v>
          </cell>
          <cell r="C12">
            <v>2272</v>
          </cell>
          <cell r="D12">
            <v>0</v>
          </cell>
          <cell r="E12">
            <v>3290</v>
          </cell>
          <cell r="F12">
            <v>904.63333333333333</v>
          </cell>
        </row>
        <row r="13">
          <cell r="A13" t="str">
            <v>COASTAL BEND COLLEGE</v>
          </cell>
          <cell r="B13">
            <v>23035</v>
          </cell>
          <cell r="C13">
            <v>8300</v>
          </cell>
          <cell r="D13">
            <v>0</v>
          </cell>
          <cell r="E13">
            <v>20513</v>
          </cell>
          <cell r="F13">
            <v>2157.3766666666666</v>
          </cell>
        </row>
        <row r="14">
          <cell r="A14" t="str">
            <v>COLLEGE OF THE MAINLAND COMMUN</v>
          </cell>
          <cell r="B14">
            <v>24095</v>
          </cell>
          <cell r="C14">
            <v>5880</v>
          </cell>
          <cell r="D14">
            <v>0</v>
          </cell>
          <cell r="E14">
            <v>62305</v>
          </cell>
          <cell r="F14">
            <v>2206.0166666666664</v>
          </cell>
        </row>
        <row r="15">
          <cell r="A15" t="str">
            <v>COLLIN CO COMM COLL DISTRICT</v>
          </cell>
          <cell r="E15">
            <v>189354</v>
          </cell>
          <cell r="F15">
            <v>631.17999999999995</v>
          </cell>
        </row>
        <row r="16">
          <cell r="A16" t="str">
            <v>DCCCD BROOKHAVEN COLLEGE</v>
          </cell>
          <cell r="B16">
            <v>61584</v>
          </cell>
          <cell r="C16">
            <v>8927</v>
          </cell>
          <cell r="D16">
            <v>0</v>
          </cell>
          <cell r="E16">
            <v>100862</v>
          </cell>
          <cell r="F16">
            <v>5036.9400000000005</v>
          </cell>
        </row>
        <row r="17">
          <cell r="A17" t="str">
            <v>DCCCD CEDAR VALLEY COLLEGE</v>
          </cell>
          <cell r="B17">
            <v>29111</v>
          </cell>
          <cell r="C17">
            <v>6302</v>
          </cell>
          <cell r="D17">
            <v>0</v>
          </cell>
          <cell r="E17">
            <v>95481</v>
          </cell>
          <cell r="F17">
            <v>2679.1366666666668</v>
          </cell>
        </row>
        <row r="18">
          <cell r="A18" t="str">
            <v>DCCCD EASTFIELD COLLEGE</v>
          </cell>
          <cell r="B18">
            <v>60338</v>
          </cell>
          <cell r="C18">
            <v>9757</v>
          </cell>
          <cell r="D18">
            <v>0</v>
          </cell>
          <cell r="E18">
            <v>76622</v>
          </cell>
          <cell r="F18">
            <v>4928.4066666666668</v>
          </cell>
        </row>
        <row r="19">
          <cell r="A19" t="str">
            <v>DCCCD EL CENTRO COLLEGE</v>
          </cell>
          <cell r="B19">
            <v>27807</v>
          </cell>
          <cell r="C19">
            <v>27043</v>
          </cell>
          <cell r="D19">
            <v>0</v>
          </cell>
          <cell r="E19">
            <v>239169</v>
          </cell>
          <cell r="F19">
            <v>4453.8966666666665</v>
          </cell>
        </row>
        <row r="20">
          <cell r="A20" t="str">
            <v>DCCCD MOUNTAIN VIEW COLLEGE</v>
          </cell>
          <cell r="B20">
            <v>42952</v>
          </cell>
          <cell r="C20">
            <v>5207</v>
          </cell>
          <cell r="D20">
            <v>0</v>
          </cell>
          <cell r="E20">
            <v>37151</v>
          </cell>
          <cell r="F20">
            <v>3334.4366666666665</v>
          </cell>
        </row>
        <row r="21">
          <cell r="A21" t="str">
            <v>DCCCD NORTH LAKE COLLEGE</v>
          </cell>
          <cell r="B21">
            <v>68928</v>
          </cell>
          <cell r="C21">
            <v>7017</v>
          </cell>
          <cell r="D21">
            <v>0</v>
          </cell>
          <cell r="E21">
            <v>163390</v>
          </cell>
          <cell r="F21">
            <v>5607.6333333333332</v>
          </cell>
        </row>
        <row r="22">
          <cell r="A22" t="str">
            <v>DCCCD RICHLAND COLLEGE</v>
          </cell>
          <cell r="B22">
            <v>99823</v>
          </cell>
          <cell r="C22">
            <v>7868</v>
          </cell>
          <cell r="D22">
            <v>0</v>
          </cell>
          <cell r="E22">
            <v>244706</v>
          </cell>
          <cell r="F22">
            <v>7995.0866666666661</v>
          </cell>
        </row>
        <row r="23">
          <cell r="A23" t="str">
            <v>DEL MAR COLLEGE</v>
          </cell>
          <cell r="B23">
            <v>68372</v>
          </cell>
          <cell r="C23">
            <v>25273</v>
          </cell>
          <cell r="D23">
            <v>0</v>
          </cell>
          <cell r="E23">
            <v>59666</v>
          </cell>
          <cell r="F23">
            <v>6441.8866666666663</v>
          </cell>
        </row>
        <row r="24">
          <cell r="A24" t="str">
            <v>EL PASO COMMUNITY COLLEGE DIST</v>
          </cell>
          <cell r="B24">
            <v>207468</v>
          </cell>
          <cell r="C24">
            <v>23239</v>
          </cell>
          <cell r="D24">
            <v>0</v>
          </cell>
          <cell r="E24">
            <v>150155</v>
          </cell>
          <cell r="F24">
            <v>15880.983333333334</v>
          </cell>
        </row>
        <row r="25">
          <cell r="A25" t="str">
            <v>FRANK PHILLIPS COLLEGE</v>
          </cell>
          <cell r="B25">
            <v>9330</v>
          </cell>
          <cell r="C25">
            <v>2132</v>
          </cell>
          <cell r="D25">
            <v>0</v>
          </cell>
          <cell r="E25">
            <v>29834</v>
          </cell>
          <cell r="F25">
            <v>863.58</v>
          </cell>
        </row>
        <row r="26">
          <cell r="A26" t="str">
            <v>GALVESTON COLLEGE</v>
          </cell>
          <cell r="B26">
            <v>13694</v>
          </cell>
          <cell r="C26">
            <v>3832</v>
          </cell>
          <cell r="D26">
            <v>0</v>
          </cell>
          <cell r="E26">
            <v>12171</v>
          </cell>
          <cell r="F26">
            <v>1208.97</v>
          </cell>
        </row>
        <row r="27">
          <cell r="A27" t="str">
            <v>GRAYSON COUNTY COLLEGE</v>
          </cell>
          <cell r="B27">
            <v>31080</v>
          </cell>
          <cell r="C27">
            <v>9743</v>
          </cell>
          <cell r="D27">
            <v>0</v>
          </cell>
          <cell r="E27">
            <v>43706</v>
          </cell>
          <cell r="F27">
            <v>2867.22</v>
          </cell>
        </row>
        <row r="28">
          <cell r="A28" t="str">
            <v>HILL COLLEGE</v>
          </cell>
          <cell r="E28">
            <v>16995</v>
          </cell>
          <cell r="F28">
            <v>56.65</v>
          </cell>
        </row>
        <row r="29">
          <cell r="A29" t="str">
            <v>HOUSTON COMMUNITY COLLEGE</v>
          </cell>
          <cell r="B29">
            <v>247758</v>
          </cell>
          <cell r="C29">
            <v>55651</v>
          </cell>
          <cell r="D29">
            <v>0</v>
          </cell>
          <cell r="E29">
            <v>605073</v>
          </cell>
          <cell r="F29">
            <v>22244.176666666666</v>
          </cell>
        </row>
        <row r="30">
          <cell r="A30" t="str">
            <v>HOWARD COLLEGE</v>
          </cell>
          <cell r="B30">
            <v>21935</v>
          </cell>
          <cell r="C30">
            <v>6803</v>
          </cell>
          <cell r="D30">
            <v>0</v>
          </cell>
          <cell r="E30">
            <v>234493</v>
          </cell>
          <cell r="F30">
            <v>2697.5099999999998</v>
          </cell>
        </row>
        <row r="31">
          <cell r="A31" t="str">
            <v>KILGORE COLLEGE</v>
          </cell>
          <cell r="B31">
            <v>42003</v>
          </cell>
          <cell r="C31">
            <v>11671</v>
          </cell>
          <cell r="D31">
            <v>0</v>
          </cell>
          <cell r="E31">
            <v>231844</v>
          </cell>
          <cell r="F31">
            <v>4351.08</v>
          </cell>
        </row>
        <row r="32">
          <cell r="A32" t="str">
            <v>LAMAR INSTITUTE OF TECHNOLOGY</v>
          </cell>
          <cell r="B32">
            <v>11423</v>
          </cell>
          <cell r="C32">
            <v>19893</v>
          </cell>
          <cell r="D32">
            <v>0</v>
          </cell>
          <cell r="E32">
            <v>57915</v>
          </cell>
          <cell r="F32">
            <v>2280.7833333333333</v>
          </cell>
        </row>
        <row r="33">
          <cell r="A33" t="str">
            <v>LAMAR STATE COLL-ORANGE</v>
          </cell>
          <cell r="B33">
            <v>14123</v>
          </cell>
          <cell r="C33">
            <v>6261</v>
          </cell>
          <cell r="D33">
            <v>0</v>
          </cell>
          <cell r="E33">
            <v>13136</v>
          </cell>
          <cell r="F33">
            <v>1402.72</v>
          </cell>
        </row>
        <row r="34">
          <cell r="A34" t="str">
            <v>LAMAR STATE COLL-PORT ARTHUR</v>
          </cell>
          <cell r="B34">
            <v>12306</v>
          </cell>
          <cell r="C34">
            <v>6012</v>
          </cell>
          <cell r="D34">
            <v>0</v>
          </cell>
          <cell r="E34">
            <v>66764</v>
          </cell>
          <cell r="F34">
            <v>1443.7466666666667</v>
          </cell>
        </row>
        <row r="35">
          <cell r="A35" t="str">
            <v>LAREDO COMMUNITY COLLEGE</v>
          </cell>
          <cell r="E35">
            <v>23796</v>
          </cell>
          <cell r="F35">
            <v>79.319999999999993</v>
          </cell>
        </row>
        <row r="36">
          <cell r="A36" t="str">
            <v>LEE COLLEGE</v>
          </cell>
          <cell r="E36">
            <v>27897</v>
          </cell>
          <cell r="F36">
            <v>92.99</v>
          </cell>
        </row>
        <row r="37">
          <cell r="A37" t="str">
            <v>LONE STAR COLLEGE - CY-FAIR</v>
          </cell>
          <cell r="B37">
            <v>84478</v>
          </cell>
          <cell r="C37">
            <v>9509</v>
          </cell>
          <cell r="D37">
            <v>0</v>
          </cell>
          <cell r="E37">
            <v>35042</v>
          </cell>
          <cell r="F37">
            <v>6382.6066666666666</v>
          </cell>
        </row>
        <row r="38">
          <cell r="A38" t="str">
            <v>LONE STAR COLLEGE - KINGWOOD</v>
          </cell>
          <cell r="B38">
            <v>44902</v>
          </cell>
          <cell r="C38">
            <v>7240</v>
          </cell>
          <cell r="D38">
            <v>0</v>
          </cell>
          <cell r="E38">
            <v>18787</v>
          </cell>
          <cell r="F38">
            <v>3538.7566666666667</v>
          </cell>
        </row>
        <row r="39">
          <cell r="A39" t="str">
            <v>LONE STAR COLLEGE - MONTGOMERY</v>
          </cell>
          <cell r="B39">
            <v>62560</v>
          </cell>
          <cell r="C39">
            <v>6816</v>
          </cell>
          <cell r="D39">
            <v>0</v>
          </cell>
          <cell r="E39">
            <v>36828</v>
          </cell>
          <cell r="F39">
            <v>4747.8266666666668</v>
          </cell>
        </row>
        <row r="40">
          <cell r="A40" t="str">
            <v>LONE STAR COLLEGE - N. HARRIS</v>
          </cell>
          <cell r="B40">
            <v>56661</v>
          </cell>
          <cell r="C40">
            <v>17633</v>
          </cell>
          <cell r="D40">
            <v>0</v>
          </cell>
          <cell r="E40">
            <v>48553</v>
          </cell>
          <cell r="F40">
            <v>5114.7766666666666</v>
          </cell>
        </row>
        <row r="41">
          <cell r="A41" t="str">
            <v>LONE STAR COLLEGE - TOMBALL</v>
          </cell>
          <cell r="B41">
            <v>51993</v>
          </cell>
          <cell r="C41">
            <v>5842</v>
          </cell>
          <cell r="D41">
            <v>0</v>
          </cell>
          <cell r="E41">
            <v>14694</v>
          </cell>
          <cell r="F41">
            <v>3904.6466666666665</v>
          </cell>
        </row>
        <row r="42">
          <cell r="A42" t="str">
            <v>MCLENNAN COMMUNITY COLLEGE</v>
          </cell>
          <cell r="B42">
            <v>57985</v>
          </cell>
          <cell r="C42">
            <v>15106</v>
          </cell>
          <cell r="D42">
            <v>0</v>
          </cell>
          <cell r="E42">
            <v>54517</v>
          </cell>
          <cell r="F42">
            <v>5054.4566666666669</v>
          </cell>
        </row>
        <row r="43">
          <cell r="A43" t="str">
            <v>MIDLAND COLLEGE</v>
          </cell>
          <cell r="B43">
            <v>36230</v>
          </cell>
          <cell r="C43">
            <v>10800</v>
          </cell>
          <cell r="D43">
            <v>354</v>
          </cell>
          <cell r="E43">
            <v>64755</v>
          </cell>
          <cell r="F43">
            <v>3374.7833333333333</v>
          </cell>
        </row>
        <row r="44">
          <cell r="A44" t="str">
            <v>NAVARRO COLLEGE</v>
          </cell>
          <cell r="B44">
            <v>61491</v>
          </cell>
          <cell r="C44">
            <v>16608</v>
          </cell>
          <cell r="D44">
            <v>0</v>
          </cell>
          <cell r="E44">
            <v>33267</v>
          </cell>
          <cell r="F44">
            <v>5317.4900000000007</v>
          </cell>
        </row>
        <row r="45">
          <cell r="A45" t="str">
            <v>NORTH CENTRAL TEXAS COLLEGE</v>
          </cell>
          <cell r="B45">
            <v>61396</v>
          </cell>
          <cell r="C45">
            <v>9755</v>
          </cell>
          <cell r="D45">
            <v>0</v>
          </cell>
          <cell r="E45">
            <v>14462</v>
          </cell>
          <cell r="F45">
            <v>4791.6066666666666</v>
          </cell>
        </row>
        <row r="46">
          <cell r="A46" t="str">
            <v>NORTHEAST TEXAS COMM COLLEGE</v>
          </cell>
          <cell r="B46">
            <v>19602</v>
          </cell>
          <cell r="C46">
            <v>4331</v>
          </cell>
          <cell r="D46">
            <v>0</v>
          </cell>
          <cell r="E46">
            <v>3854</v>
          </cell>
          <cell r="F46">
            <v>1608.3799999999999</v>
          </cell>
        </row>
        <row r="47">
          <cell r="A47" t="str">
            <v>ODESSA COLLEGE</v>
          </cell>
          <cell r="B47">
            <v>30328</v>
          </cell>
          <cell r="C47">
            <v>9210</v>
          </cell>
          <cell r="D47">
            <v>0</v>
          </cell>
          <cell r="E47">
            <v>70979</v>
          </cell>
          <cell r="F47">
            <v>2872.4633333333336</v>
          </cell>
        </row>
        <row r="48">
          <cell r="A48" t="str">
            <v>PALO ALTO COLLEGE</v>
          </cell>
          <cell r="B48">
            <v>63909</v>
          </cell>
          <cell r="C48">
            <v>3592</v>
          </cell>
          <cell r="D48">
            <v>0</v>
          </cell>
          <cell r="E48">
            <v>63600</v>
          </cell>
          <cell r="F48">
            <v>4712.0666666666666</v>
          </cell>
        </row>
        <row r="49">
          <cell r="A49" t="str">
            <v>PANOLA COLLEGE</v>
          </cell>
          <cell r="B49">
            <v>13372</v>
          </cell>
          <cell r="C49">
            <v>5971</v>
          </cell>
          <cell r="D49">
            <v>0</v>
          </cell>
          <cell r="E49">
            <v>9289</v>
          </cell>
          <cell r="F49">
            <v>1320.4966666666667</v>
          </cell>
        </row>
        <row r="50">
          <cell r="A50" t="str">
            <v>PARIS JUNIOR COLLEGE</v>
          </cell>
          <cell r="B50">
            <v>35569</v>
          </cell>
          <cell r="C50">
            <v>7251</v>
          </cell>
          <cell r="D50">
            <v>0</v>
          </cell>
          <cell r="E50">
            <v>14321</v>
          </cell>
          <cell r="F50">
            <v>2902.4033333333332</v>
          </cell>
        </row>
        <row r="51">
          <cell r="A51" t="str">
            <v>RANGER COLLEGE</v>
          </cell>
          <cell r="B51">
            <v>7538</v>
          </cell>
          <cell r="C51">
            <v>2519</v>
          </cell>
          <cell r="D51">
            <v>0</v>
          </cell>
          <cell r="E51">
            <v>2941</v>
          </cell>
          <cell r="F51">
            <v>680.27</v>
          </cell>
        </row>
        <row r="52">
          <cell r="A52" t="str">
            <v>SAN ANTONIO COLLEGE</v>
          </cell>
          <cell r="B52">
            <v>166887</v>
          </cell>
          <cell r="C52">
            <v>22276</v>
          </cell>
          <cell r="D52">
            <v>0</v>
          </cell>
          <cell r="E52">
            <v>120704</v>
          </cell>
          <cell r="F52">
            <v>13013.213333333333</v>
          </cell>
        </row>
        <row r="53">
          <cell r="A53" t="str">
            <v>SAN JACINTO COLLEGE CEN CAMPUS</v>
          </cell>
          <cell r="B53">
            <v>86446</v>
          </cell>
          <cell r="C53">
            <v>24994</v>
          </cell>
          <cell r="D53">
            <v>0</v>
          </cell>
          <cell r="E53">
            <v>79395</v>
          </cell>
          <cell r="F53">
            <v>7693.9833333333327</v>
          </cell>
        </row>
        <row r="54">
          <cell r="A54" t="str">
            <v>SAN JACINTO COLLEGE N CAMPUS</v>
          </cell>
          <cell r="B54">
            <v>35241</v>
          </cell>
          <cell r="C54">
            <v>11252</v>
          </cell>
          <cell r="D54">
            <v>0</v>
          </cell>
          <cell r="E54">
            <v>42116</v>
          </cell>
          <cell r="F54">
            <v>3239.92</v>
          </cell>
        </row>
        <row r="55">
          <cell r="A55" t="str">
            <v>SAN JACINTO COLLEGE S CAMPUS</v>
          </cell>
          <cell r="B55">
            <v>72740</v>
          </cell>
          <cell r="C55">
            <v>9374</v>
          </cell>
          <cell r="D55">
            <v>0</v>
          </cell>
          <cell r="E55">
            <v>37990</v>
          </cell>
          <cell r="F55">
            <v>5600.9</v>
          </cell>
        </row>
        <row r="56">
          <cell r="A56" t="str">
            <v>SOUTH PLAINS COLLEGE</v>
          </cell>
          <cell r="B56">
            <v>71449</v>
          </cell>
          <cell r="C56">
            <v>18264</v>
          </cell>
          <cell r="D56">
            <v>0</v>
          </cell>
          <cell r="E56">
            <v>47124</v>
          </cell>
          <cell r="F56">
            <v>6137.9466666666667</v>
          </cell>
        </row>
        <row r="57">
          <cell r="A57" t="str">
            <v>SOUTH TEXAS COLLEGE</v>
          </cell>
          <cell r="B57">
            <v>139454</v>
          </cell>
          <cell r="C57">
            <v>37706</v>
          </cell>
          <cell r="D57">
            <v>1791</v>
          </cell>
          <cell r="E57">
            <v>39112</v>
          </cell>
          <cell r="F57">
            <v>12060.44</v>
          </cell>
        </row>
        <row r="58">
          <cell r="A58" t="str">
            <v>SOUTHWEST COLLEGIATE INSTITUTE</v>
          </cell>
          <cell r="B58">
            <v>694</v>
          </cell>
          <cell r="C58">
            <v>415</v>
          </cell>
          <cell r="D58">
            <v>0</v>
          </cell>
          <cell r="E58">
            <v>0</v>
          </cell>
          <cell r="F58">
            <v>73.933333333333337</v>
          </cell>
        </row>
        <row r="59">
          <cell r="A59" t="str">
            <v>SOUTHWEST TEXAS JUNIOR COLLEGE</v>
          </cell>
          <cell r="B59">
            <v>36766</v>
          </cell>
          <cell r="C59">
            <v>7067</v>
          </cell>
          <cell r="D59">
            <v>0</v>
          </cell>
          <cell r="E59">
            <v>21965</v>
          </cell>
          <cell r="F59">
            <v>2995.4166666666665</v>
          </cell>
        </row>
        <row r="60">
          <cell r="A60" t="str">
            <v>ST. PHILIP'S COLLEGE</v>
          </cell>
          <cell r="B60">
            <v>61461</v>
          </cell>
          <cell r="C60">
            <v>22118</v>
          </cell>
          <cell r="D60">
            <v>0</v>
          </cell>
          <cell r="E60">
            <v>40552</v>
          </cell>
          <cell r="F60">
            <v>5707.1066666666666</v>
          </cell>
        </row>
        <row r="61">
          <cell r="A61" t="str">
            <v>TARRANT CO NORTHEAST CAMPUS</v>
          </cell>
          <cell r="B61">
            <v>90487</v>
          </cell>
          <cell r="C61">
            <v>12281</v>
          </cell>
          <cell r="D61">
            <v>0</v>
          </cell>
          <cell r="E61">
            <v>39570</v>
          </cell>
          <cell r="F61">
            <v>6983.0999999999995</v>
          </cell>
        </row>
        <row r="62">
          <cell r="A62" t="str">
            <v>TARRANT CO NORTHWEST CAMPUS</v>
          </cell>
          <cell r="B62">
            <v>57190</v>
          </cell>
          <cell r="C62">
            <v>7365</v>
          </cell>
          <cell r="D62">
            <v>0</v>
          </cell>
          <cell r="E62">
            <v>56681</v>
          </cell>
          <cell r="F62">
            <v>4492.6033333333335</v>
          </cell>
        </row>
        <row r="63">
          <cell r="A63" t="str">
            <v>TARRANT CO SOUTH CAMPUS</v>
          </cell>
          <cell r="B63">
            <v>61115</v>
          </cell>
          <cell r="C63">
            <v>11243</v>
          </cell>
          <cell r="D63">
            <v>0</v>
          </cell>
          <cell r="E63">
            <v>54957</v>
          </cell>
          <cell r="F63">
            <v>5007.0566666666664</v>
          </cell>
        </row>
        <row r="64">
          <cell r="A64" t="str">
            <v>TARRANT CO SOUTHEAST CAMPUS</v>
          </cell>
          <cell r="B64">
            <v>78512</v>
          </cell>
          <cell r="C64">
            <v>4149</v>
          </cell>
          <cell r="D64">
            <v>0</v>
          </cell>
          <cell r="E64">
            <v>16664</v>
          </cell>
          <cell r="F64">
            <v>5566.2800000000007</v>
          </cell>
        </row>
        <row r="65">
          <cell r="A65" t="str">
            <v>TEMPLE COLLEGE</v>
          </cell>
          <cell r="B65">
            <v>39067</v>
          </cell>
          <cell r="C65">
            <v>9203</v>
          </cell>
          <cell r="D65">
            <v>0</v>
          </cell>
          <cell r="E65">
            <v>28456</v>
          </cell>
          <cell r="F65">
            <v>3312.8533333333335</v>
          </cell>
        </row>
        <row r="66">
          <cell r="A66" t="str">
            <v>TEXARKANA COLLEGE</v>
          </cell>
          <cell r="B66">
            <v>32627</v>
          </cell>
          <cell r="C66">
            <v>9411</v>
          </cell>
          <cell r="D66">
            <v>0</v>
          </cell>
          <cell r="E66">
            <v>114998</v>
          </cell>
          <cell r="F66">
            <v>3185.86</v>
          </cell>
        </row>
        <row r="67">
          <cell r="A67" t="str">
            <v>TEXAS SOUTHMOST COLLEGE</v>
          </cell>
          <cell r="B67">
            <v>63103</v>
          </cell>
          <cell r="C67">
            <v>25081</v>
          </cell>
          <cell r="D67">
            <v>0</v>
          </cell>
          <cell r="E67">
            <v>19443</v>
          </cell>
          <cell r="F67">
            <v>5943.7433333333338</v>
          </cell>
        </row>
        <row r="68">
          <cell r="A68" t="str">
            <v>TEXAS STATE T. C. HARLINGEN</v>
          </cell>
          <cell r="B68">
            <v>27793</v>
          </cell>
          <cell r="C68">
            <v>19348</v>
          </cell>
          <cell r="D68">
            <v>0</v>
          </cell>
          <cell r="E68">
            <v>41384</v>
          </cell>
          <cell r="F68">
            <v>3280.68</v>
          </cell>
        </row>
        <row r="69">
          <cell r="A69" t="str">
            <v>TEXAS STATE T. C. MARSHALL</v>
          </cell>
          <cell r="B69">
            <v>2233</v>
          </cell>
          <cell r="C69">
            <v>5459</v>
          </cell>
          <cell r="D69">
            <v>0</v>
          </cell>
          <cell r="E69">
            <v>4646</v>
          </cell>
          <cell r="F69">
            <v>528.28666666666663</v>
          </cell>
        </row>
        <row r="70">
          <cell r="A70" t="str">
            <v>TEXAS STATE T. C. WACO</v>
          </cell>
          <cell r="B70">
            <v>14604</v>
          </cell>
          <cell r="C70">
            <v>39574</v>
          </cell>
          <cell r="D70">
            <v>0</v>
          </cell>
          <cell r="E70">
            <v>27913</v>
          </cell>
          <cell r="F70">
            <v>3704.9100000000003</v>
          </cell>
        </row>
        <row r="71">
          <cell r="A71" t="str">
            <v>TEXAS STATE T. C. WEST TEXAS</v>
          </cell>
          <cell r="B71">
            <v>4286</v>
          </cell>
          <cell r="C71">
            <v>11482</v>
          </cell>
          <cell r="D71">
            <v>0</v>
          </cell>
          <cell r="E71">
            <v>55272</v>
          </cell>
          <cell r="F71">
            <v>1235.44</v>
          </cell>
        </row>
        <row r="72">
          <cell r="A72" t="str">
            <v>TRINITY VALLEY COMM COLLEGE</v>
          </cell>
          <cell r="B72">
            <v>42955</v>
          </cell>
          <cell r="C72">
            <v>13253</v>
          </cell>
          <cell r="D72">
            <v>0</v>
          </cell>
          <cell r="E72">
            <v>64956</v>
          </cell>
          <cell r="F72">
            <v>3963.72</v>
          </cell>
        </row>
        <row r="73">
          <cell r="A73" t="str">
            <v>TYLER JUNIOR COLLEGE</v>
          </cell>
          <cell r="B73">
            <v>86654</v>
          </cell>
          <cell r="C73">
            <v>18486</v>
          </cell>
          <cell r="D73">
            <v>0</v>
          </cell>
          <cell r="E73">
            <v>60433</v>
          </cell>
          <cell r="F73">
            <v>7210.7766666666666</v>
          </cell>
        </row>
        <row r="74">
          <cell r="A74" t="str">
            <v>VERNON COLLEGE</v>
          </cell>
          <cell r="B74">
            <v>17336</v>
          </cell>
          <cell r="C74">
            <v>6676</v>
          </cell>
          <cell r="D74">
            <v>0</v>
          </cell>
          <cell r="E74">
            <v>40143</v>
          </cell>
          <cell r="F74">
            <v>1734.61</v>
          </cell>
        </row>
        <row r="75">
          <cell r="A75" t="str">
            <v>VICTORIA COLLEGE, THE</v>
          </cell>
          <cell r="B75">
            <v>26088</v>
          </cell>
          <cell r="C75">
            <v>8139</v>
          </cell>
          <cell r="D75">
            <v>0</v>
          </cell>
          <cell r="E75">
            <v>27823</v>
          </cell>
          <cell r="F75">
            <v>2374.5433333333335</v>
          </cell>
        </row>
        <row r="76">
          <cell r="A76" t="str">
            <v>WEATHERFORD COLLEGE</v>
          </cell>
          <cell r="B76">
            <v>37964</v>
          </cell>
          <cell r="C76">
            <v>7630</v>
          </cell>
          <cell r="D76">
            <v>0</v>
          </cell>
          <cell r="E76">
            <v>87219</v>
          </cell>
          <cell r="F76">
            <v>3330.33</v>
          </cell>
        </row>
        <row r="77">
          <cell r="A77" t="str">
            <v>WESTERN TEXAS COLLEGE</v>
          </cell>
          <cell r="B77">
            <v>13494</v>
          </cell>
          <cell r="C77">
            <v>1852</v>
          </cell>
          <cell r="D77">
            <v>0</v>
          </cell>
          <cell r="E77">
            <v>19324</v>
          </cell>
          <cell r="F77">
            <v>1087.48</v>
          </cell>
        </row>
        <row r="78">
          <cell r="A78" t="str">
            <v>WHARTON COUNTY JUNIOR COLLEGE</v>
          </cell>
          <cell r="B78">
            <v>46758</v>
          </cell>
          <cell r="C78">
            <v>10180</v>
          </cell>
          <cell r="D78">
            <v>0</v>
          </cell>
          <cell r="E78">
            <v>6851</v>
          </cell>
          <cell r="F78">
            <v>3818.7033333333334</v>
          </cell>
        </row>
        <row r="79">
          <cell r="B79">
            <v>3781232</v>
          </cell>
          <cell r="C79">
            <v>878957</v>
          </cell>
          <cell r="D79">
            <v>2657</v>
          </cell>
          <cell r="E79">
            <v>5070757</v>
          </cell>
          <cell r="F79">
            <v>327758.92333333322</v>
          </cell>
          <cell r="G79" t="str">
            <v>_RBREAK_</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Y84"/>
      <sheetName val="FY85"/>
      <sheetName val="FY86"/>
      <sheetName val="FY87"/>
      <sheetName val="FY88"/>
      <sheetName val="FY89"/>
      <sheetName val="FY90"/>
      <sheetName val="FY91"/>
      <sheetName val="FY92"/>
      <sheetName val="FY93"/>
      <sheetName val="FY94"/>
      <sheetName val="FY95"/>
      <sheetName val="FY96"/>
      <sheetName val="FY97"/>
      <sheetName val="FY98"/>
      <sheetName val="FY99"/>
      <sheetName val="FY00"/>
      <sheetName val="FY01"/>
      <sheetName val="FY02"/>
      <sheetName val="FY03"/>
      <sheetName val="FY04"/>
      <sheetName val="FY05"/>
      <sheetName val="FY06"/>
      <sheetName val="FY07"/>
      <sheetName val="FY08"/>
      <sheetName val="FY09"/>
      <sheetName val="Sheet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1" t="str">
            <v>STATE-FUNDED SEMESTER CREDIT HOURS BY LEVEL</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Y84"/>
      <sheetName val="FY85"/>
      <sheetName val="FY86"/>
      <sheetName val="FY87"/>
      <sheetName val="FY88"/>
      <sheetName val="FY89"/>
      <sheetName val="FY90"/>
      <sheetName val="FY91"/>
      <sheetName val="FY92"/>
      <sheetName val="FY93"/>
      <sheetName val="FY94"/>
      <sheetName val="FY95"/>
      <sheetName val="FY96"/>
      <sheetName val="FY97"/>
      <sheetName val="FY98"/>
      <sheetName val="FY99"/>
      <sheetName val="FY00"/>
      <sheetName val="FY01"/>
      <sheetName val="FY02"/>
      <sheetName val="FY03"/>
      <sheetName val="FY04"/>
      <sheetName val="FY05"/>
      <sheetName val="FY06"/>
      <sheetName val="FY07"/>
      <sheetName val="FY08"/>
      <sheetName val="FY09"/>
      <sheetName val="Sheet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1" t="str">
            <v>STATE-FUNDED SEMESTER CREDIT HOURS BY LEVEL</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TArl"/>
      <sheetName val="UTAustin"/>
      <sheetName val="UTDallas"/>
      <sheetName val="UTEP"/>
      <sheetName val="UTPanAm"/>
      <sheetName val="UTBrwnsville"/>
      <sheetName val="UTPB"/>
      <sheetName val="UTSA"/>
      <sheetName val="UTTyler"/>
      <sheetName val="TAMU"/>
      <sheetName val="TAMUG"/>
      <sheetName val="PVAMU"/>
      <sheetName val="Tarleton"/>
      <sheetName val="TAMUCommerce"/>
      <sheetName val="TAMUCorpusChristi"/>
      <sheetName val="TAMUKingsville"/>
      <sheetName val="TAMUInternational"/>
      <sheetName val="TAMUTexarkana"/>
      <sheetName val="WTAMU"/>
      <sheetName val="UH"/>
      <sheetName val="UHClearLake"/>
      <sheetName val="UHDowntown"/>
      <sheetName val="UHVictoria"/>
      <sheetName val="Midwestern"/>
      <sheetName val="UNorthTexas"/>
      <sheetName val="SFASU"/>
      <sheetName val="TSU"/>
      <sheetName val="Tech"/>
      <sheetName val="TWU"/>
      <sheetName val="AngeloState"/>
      <sheetName val="Lamar"/>
      <sheetName val="SamHouston"/>
      <sheetName val="TxStateSanMarcos"/>
      <sheetName val="SulRo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1">
          <cell r="A1" t="str">
            <v>Midwestern State University</v>
          </cell>
        </row>
        <row r="2">
          <cell r="A2" t="str">
            <v>SCHEDULE C-2:  EXPENSES BY OBJECT AND FUND GROUP</v>
          </cell>
          <cell r="AE2" t="str">
            <v>Schcol &amp; Fell</v>
          </cell>
          <cell r="AF2" t="str">
            <v>Schcol &amp; Fell</v>
          </cell>
        </row>
        <row r="3">
          <cell r="A3" t="str">
            <v>For the year ended August 31, 2006</v>
          </cell>
          <cell r="AF3" t="str">
            <v>Allowances</v>
          </cell>
        </row>
        <row r="4">
          <cell r="A4" t="str">
            <v>UNAUDITED</v>
          </cell>
        </row>
        <row r="5">
          <cell r="A5">
            <v>24</v>
          </cell>
        </row>
        <row r="6">
          <cell r="C6" t="str">
            <v>Salaries</v>
          </cell>
          <cell r="E6" t="str">
            <v>Payroll</v>
          </cell>
          <cell r="G6" t="str">
            <v>Costs of</v>
          </cell>
          <cell r="I6" t="str">
            <v>Professional</v>
          </cell>
          <cell r="M6" t="str">
            <v>Materials</v>
          </cell>
          <cell r="S6" t="str">
            <v>Repairs and</v>
          </cell>
          <cell r="U6" t="str">
            <v>Rentals and</v>
          </cell>
          <cell r="W6" t="str">
            <v>Printing and</v>
          </cell>
          <cell r="Y6" t="str">
            <v>Bad Debt</v>
          </cell>
          <cell r="AA6" t="str">
            <v xml:space="preserve">Claims and </v>
          </cell>
          <cell r="AC6" t="str">
            <v>Scholarships</v>
          </cell>
          <cell r="AG6" t="str">
            <v>Depreciation</v>
          </cell>
          <cell r="AI6" t="str">
            <v>Federal Sponsored</v>
          </cell>
          <cell r="AK6" t="str">
            <v>State Sponsored</v>
          </cell>
          <cell r="AM6" t="str">
            <v>Other</v>
          </cell>
          <cell r="AO6" t="str">
            <v>Subtotal</v>
          </cell>
          <cell r="AQ6" t="str">
            <v>Capital</v>
          </cell>
        </row>
        <row r="7">
          <cell r="C7" t="str">
            <v>and Wages</v>
          </cell>
          <cell r="E7" t="str">
            <v>Related Costs</v>
          </cell>
          <cell r="G7" t="str">
            <v>Goods Sold</v>
          </cell>
          <cell r="I7" t="str">
            <v>Fees and Services</v>
          </cell>
          <cell r="K7" t="str">
            <v>Travel</v>
          </cell>
          <cell r="M7" t="str">
            <v>and Supplies</v>
          </cell>
          <cell r="O7" t="str">
            <v>Utilities</v>
          </cell>
          <cell r="Q7" t="str">
            <v>Telecomm</v>
          </cell>
          <cell r="S7" t="str">
            <v>Maintenance</v>
          </cell>
          <cell r="U7" t="str">
            <v>Leases</v>
          </cell>
          <cell r="W7" t="str">
            <v>Reproduction</v>
          </cell>
          <cell r="Y7" t="str">
            <v>Expense</v>
          </cell>
          <cell r="AA7" t="str">
            <v>Losses</v>
          </cell>
          <cell r="AC7" t="str">
            <v>and Fellowships</v>
          </cell>
          <cell r="AG7" t="str">
            <v>and Amortization</v>
          </cell>
          <cell r="AI7" t="str">
            <v>Pass-Throughs</v>
          </cell>
          <cell r="AK7" t="str">
            <v>Pass-Throughs</v>
          </cell>
          <cell r="AM7" t="str">
            <v>Expenses</v>
          </cell>
          <cell r="AO7" t="str">
            <v>Operating Expenses</v>
          </cell>
          <cell r="AQ7" t="str">
            <v>Outlay</v>
          </cell>
          <cell r="AS7" t="str">
            <v>Total</v>
          </cell>
        </row>
        <row r="9">
          <cell r="A9" t="str">
            <v>EDUCATIONAL AND GENERAL</v>
          </cell>
        </row>
        <row r="10">
          <cell r="A10" t="str">
            <v xml:space="preserve">     Instruction</v>
          </cell>
          <cell r="B10" t="str">
            <v>$</v>
          </cell>
        </row>
        <row r="11">
          <cell r="A11" t="str">
            <v xml:space="preserve">     Research</v>
          </cell>
        </row>
        <row r="12">
          <cell r="A12" t="str">
            <v xml:space="preserve">     Public Service</v>
          </cell>
        </row>
        <row r="13">
          <cell r="A13" t="str">
            <v xml:space="preserve">     Hospitals/Clinics</v>
          </cell>
        </row>
        <row r="14">
          <cell r="A14" t="str">
            <v xml:space="preserve">     Academic Support</v>
          </cell>
        </row>
        <row r="15">
          <cell r="A15" t="str">
            <v xml:space="preserve">     Student Services</v>
          </cell>
        </row>
        <row r="16">
          <cell r="A16" t="str">
            <v xml:space="preserve">     Institutional Support</v>
          </cell>
        </row>
        <row r="17">
          <cell r="A17" t="str">
            <v xml:space="preserve">     Operation and Maintenance of Plant</v>
          </cell>
        </row>
        <row r="18">
          <cell r="A18" t="str">
            <v xml:space="preserve">     Scholarships and Fellowships</v>
          </cell>
        </row>
        <row r="19">
          <cell r="A19" t="str">
            <v xml:space="preserve">           Scholarship allowances</v>
          </cell>
        </row>
        <row r="20">
          <cell r="A20" t="str">
            <v xml:space="preserve">     Auxiliary Enterprises</v>
          </cell>
        </row>
        <row r="21">
          <cell r="A21" t="str">
            <v xml:space="preserve">     Amortization</v>
          </cell>
        </row>
        <row r="22">
          <cell r="A22" t="str">
            <v xml:space="preserve">   Total Educational and General</v>
          </cell>
        </row>
        <row r="25">
          <cell r="A25" t="str">
            <v>DESIGNATED</v>
          </cell>
        </row>
        <row r="26">
          <cell r="A26" t="str">
            <v xml:space="preserve">     Instruction</v>
          </cell>
        </row>
        <row r="27">
          <cell r="A27" t="str">
            <v xml:space="preserve">     Research</v>
          </cell>
        </row>
        <row r="28">
          <cell r="A28" t="str">
            <v xml:space="preserve">     Public Service</v>
          </cell>
        </row>
        <row r="29">
          <cell r="A29" t="str">
            <v xml:space="preserve">     Hospitals/Clinics</v>
          </cell>
        </row>
        <row r="30">
          <cell r="A30" t="str">
            <v xml:space="preserve">     Academic Support</v>
          </cell>
        </row>
        <row r="31">
          <cell r="A31" t="str">
            <v xml:space="preserve">     Student Services</v>
          </cell>
        </row>
        <row r="32">
          <cell r="A32" t="str">
            <v xml:space="preserve">     Institutional Support</v>
          </cell>
        </row>
        <row r="33">
          <cell r="A33" t="str">
            <v xml:space="preserve">     Operation and Maintenance of Plant</v>
          </cell>
        </row>
        <row r="34">
          <cell r="A34" t="str">
            <v xml:space="preserve">     Scholarships and Fellowships</v>
          </cell>
        </row>
        <row r="35">
          <cell r="A35" t="str">
            <v xml:space="preserve">          Scholarship Allowances</v>
          </cell>
        </row>
        <row r="36">
          <cell r="A36" t="str">
            <v xml:space="preserve">     Auxiliary Enterprises</v>
          </cell>
        </row>
        <row r="37">
          <cell r="A37" t="str">
            <v xml:space="preserve">     Amortization</v>
          </cell>
        </row>
        <row r="38">
          <cell r="A38" t="str">
            <v xml:space="preserve">   Total Designated</v>
          </cell>
        </row>
        <row r="41">
          <cell r="A41" t="str">
            <v>AUXILIARY ENTERPRISES</v>
          </cell>
        </row>
        <row r="42">
          <cell r="A42" t="str">
            <v xml:space="preserve">     Auxiliary Enterprises</v>
          </cell>
        </row>
        <row r="43">
          <cell r="A43" t="str">
            <v xml:space="preserve">          Scholarship Allowances</v>
          </cell>
        </row>
        <row r="44">
          <cell r="A44" t="str">
            <v xml:space="preserve">   Total Auxiliary Enterprises</v>
          </cell>
        </row>
        <row r="48">
          <cell r="A48" t="str">
            <v>RESTRICTED EXPENDABLE</v>
          </cell>
        </row>
        <row r="49">
          <cell r="A49" t="str">
            <v xml:space="preserve">     Instruction</v>
          </cell>
        </row>
        <row r="50">
          <cell r="A50" t="str">
            <v xml:space="preserve">     Research</v>
          </cell>
        </row>
        <row r="51">
          <cell r="A51" t="str">
            <v xml:space="preserve">     Public Service</v>
          </cell>
        </row>
        <row r="52">
          <cell r="A52" t="str">
            <v xml:space="preserve">     Hospitals/Clinics</v>
          </cell>
        </row>
        <row r="53">
          <cell r="A53" t="str">
            <v xml:space="preserve">     Academic Support</v>
          </cell>
        </row>
        <row r="54">
          <cell r="A54" t="str">
            <v xml:space="preserve">     Student Services</v>
          </cell>
        </row>
        <row r="55">
          <cell r="A55" t="str">
            <v xml:space="preserve">     Institutional Support</v>
          </cell>
        </row>
        <row r="56">
          <cell r="A56" t="str">
            <v xml:space="preserve">     Operation and Maintenance of Plant</v>
          </cell>
        </row>
        <row r="57">
          <cell r="A57" t="str">
            <v xml:space="preserve">     Scholarships and Fellowships</v>
          </cell>
        </row>
        <row r="58">
          <cell r="A58" t="str">
            <v xml:space="preserve">          Scholarship Allowances</v>
          </cell>
        </row>
        <row r="59">
          <cell r="A59" t="str">
            <v xml:space="preserve">     Auxiliary Enterprises</v>
          </cell>
        </row>
        <row r="60">
          <cell r="A60" t="str">
            <v xml:space="preserve">     Amortization</v>
          </cell>
        </row>
        <row r="61">
          <cell r="A61" t="str">
            <v xml:space="preserve">   Total Restricted Expendable</v>
          </cell>
        </row>
        <row r="64">
          <cell r="A64" t="str">
            <v>LOAN FUNDS</v>
          </cell>
        </row>
        <row r="65">
          <cell r="A65" t="str">
            <v xml:space="preserve">     Student Services</v>
          </cell>
        </row>
        <row r="68">
          <cell r="A68" t="str">
            <v>PLANT FUNDS</v>
          </cell>
        </row>
        <row r="69">
          <cell r="A69" t="str">
            <v xml:space="preserve">     Instruction</v>
          </cell>
        </row>
        <row r="70">
          <cell r="A70" t="str">
            <v xml:space="preserve">     Research</v>
          </cell>
        </row>
        <row r="71">
          <cell r="A71" t="str">
            <v xml:space="preserve">     Public Service</v>
          </cell>
        </row>
        <row r="72">
          <cell r="A72" t="str">
            <v xml:space="preserve">     Hospitals/Clinics</v>
          </cell>
        </row>
        <row r="73">
          <cell r="A73" t="str">
            <v xml:space="preserve">     Academic Support</v>
          </cell>
        </row>
        <row r="74">
          <cell r="A74" t="str">
            <v xml:space="preserve">     Student Services</v>
          </cell>
        </row>
        <row r="75">
          <cell r="A75" t="str">
            <v xml:space="preserve">     Institutional Support</v>
          </cell>
        </row>
        <row r="76">
          <cell r="A76" t="str">
            <v xml:space="preserve">     Operation and Maintenance of Plant</v>
          </cell>
        </row>
        <row r="77">
          <cell r="A77" t="str">
            <v xml:space="preserve">     Auxiliary Enterprises</v>
          </cell>
        </row>
        <row r="78">
          <cell r="A78" t="str">
            <v xml:space="preserve">     Depreciation (Investment in Plant)</v>
          </cell>
        </row>
        <row r="79">
          <cell r="A79" t="str">
            <v xml:space="preserve">   Total Plant Funds</v>
          </cell>
        </row>
        <row r="81">
          <cell r="A81" t="str">
            <v>AVAILABLE UNIVERSITY FUND</v>
          </cell>
        </row>
        <row r="82">
          <cell r="A82" t="str">
            <v>TOTAL OPERATING EXPENSES (Exh. B)</v>
          </cell>
          <cell r="B82" t="str">
            <v>$</v>
          </cell>
        </row>
        <row r="84">
          <cell r="A84" t="str">
            <v>Relevant Data Collection Totals</v>
          </cell>
        </row>
        <row r="85">
          <cell r="A85" t="str">
            <v xml:space="preserve">     Instruction</v>
          </cell>
          <cell r="B85" t="str">
            <v>$</v>
          </cell>
        </row>
        <row r="86">
          <cell r="A86" t="str">
            <v xml:space="preserve">     Research</v>
          </cell>
        </row>
        <row r="87">
          <cell r="A87" t="str">
            <v xml:space="preserve">     Public Service</v>
          </cell>
        </row>
        <row r="88">
          <cell r="A88" t="str">
            <v xml:space="preserve">     Hospitals/Clinics</v>
          </cell>
        </row>
        <row r="89">
          <cell r="A89" t="str">
            <v xml:space="preserve">     Academic Support</v>
          </cell>
        </row>
        <row r="90">
          <cell r="A90" t="str">
            <v xml:space="preserve">     Student Services</v>
          </cell>
        </row>
        <row r="91">
          <cell r="A91" t="str">
            <v xml:space="preserve">     Institutional Support</v>
          </cell>
        </row>
        <row r="92">
          <cell r="A92" t="str">
            <v xml:space="preserve">     Operation and Maintenance of Plant</v>
          </cell>
        </row>
        <row r="93">
          <cell r="A93" t="str">
            <v xml:space="preserve">     Scholarships and Fellowships</v>
          </cell>
        </row>
        <row r="94">
          <cell r="A94" t="str">
            <v xml:space="preserve">     Auxiliary Enterprises</v>
          </cell>
        </row>
        <row r="95">
          <cell r="A95" t="str">
            <v xml:space="preserve">     Depreciation (Investment in Plant)</v>
          </cell>
        </row>
        <row r="96">
          <cell r="A96" t="str">
            <v xml:space="preserve">   Totals</v>
          </cell>
          <cell r="B96" t="str">
            <v>$</v>
          </cell>
        </row>
        <row r="98">
          <cell r="A98" t="str">
            <v>Difference</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TArl"/>
      <sheetName val="UTAustin"/>
      <sheetName val="UTDallas"/>
      <sheetName val="UTEP"/>
      <sheetName val="UTPanAm"/>
      <sheetName val="UTBrwnsville"/>
      <sheetName val="UTPB"/>
      <sheetName val="UTSA"/>
      <sheetName val="UTTyler"/>
      <sheetName val="TAMU"/>
      <sheetName val="TAMUG"/>
      <sheetName val="PVAMU"/>
      <sheetName val="Tarleton"/>
      <sheetName val="TAMUCommerce"/>
      <sheetName val="TAMUCorpusChristi"/>
      <sheetName val="TAMUKingsville"/>
      <sheetName val="TAMUInternational"/>
      <sheetName val="TAMUTexarkana"/>
      <sheetName val="WTAMU"/>
      <sheetName val="UH"/>
      <sheetName val="UHClearLake"/>
      <sheetName val="UHDowntown"/>
      <sheetName val="UHVictoria"/>
      <sheetName val="Midwestern"/>
      <sheetName val="UNorthTexas"/>
      <sheetName val="SFASU"/>
      <sheetName val="TSU"/>
      <sheetName val="Tech"/>
      <sheetName val="TWU"/>
      <sheetName val="AngeloState"/>
      <sheetName val="Lamar"/>
      <sheetName val="SamHouston"/>
      <sheetName val="TxStateSanMarcos"/>
      <sheetName val="SulRo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1">
          <cell r="A1" t="str">
            <v>Midwestern State University</v>
          </cell>
        </row>
        <row r="2">
          <cell r="A2" t="str">
            <v>SCHEDULE C-2:  EXPENSES BY OBJECT AND FUND GROUP</v>
          </cell>
          <cell r="AE2" t="str">
            <v>Schcol &amp; Fell</v>
          </cell>
          <cell r="AF2" t="str">
            <v>Schcol &amp; Fell</v>
          </cell>
        </row>
        <row r="3">
          <cell r="A3" t="str">
            <v>For the year ended August 31, 2006</v>
          </cell>
          <cell r="AF3" t="str">
            <v>Allowances</v>
          </cell>
        </row>
        <row r="4">
          <cell r="A4" t="str">
            <v>UNAUDITED</v>
          </cell>
        </row>
        <row r="5">
          <cell r="A5">
            <v>24</v>
          </cell>
        </row>
        <row r="6">
          <cell r="C6" t="str">
            <v>Salaries</v>
          </cell>
          <cell r="E6" t="str">
            <v>Payroll</v>
          </cell>
          <cell r="G6" t="str">
            <v>Costs of</v>
          </cell>
          <cell r="I6" t="str">
            <v>Professional</v>
          </cell>
          <cell r="M6" t="str">
            <v>Materials</v>
          </cell>
          <cell r="S6" t="str">
            <v>Repairs and</v>
          </cell>
          <cell r="U6" t="str">
            <v>Rentals and</v>
          </cell>
          <cell r="W6" t="str">
            <v>Printing and</v>
          </cell>
          <cell r="Y6" t="str">
            <v>Bad Debt</v>
          </cell>
          <cell r="AA6" t="str">
            <v xml:space="preserve">Claims and </v>
          </cell>
          <cell r="AC6" t="str">
            <v>Scholarships</v>
          </cell>
          <cell r="AG6" t="str">
            <v>Depreciation</v>
          </cell>
          <cell r="AI6" t="str">
            <v>Federal Sponsored</v>
          </cell>
          <cell r="AK6" t="str">
            <v>State Sponsored</v>
          </cell>
          <cell r="AM6" t="str">
            <v>Other</v>
          </cell>
          <cell r="AO6" t="str">
            <v>Subtotal</v>
          </cell>
          <cell r="AQ6" t="str">
            <v>Capital</v>
          </cell>
        </row>
        <row r="7">
          <cell r="C7" t="str">
            <v>and Wages</v>
          </cell>
          <cell r="E7" t="str">
            <v>Related Costs</v>
          </cell>
          <cell r="G7" t="str">
            <v>Goods Sold</v>
          </cell>
          <cell r="I7" t="str">
            <v>Fees and Services</v>
          </cell>
          <cell r="K7" t="str">
            <v>Travel</v>
          </cell>
          <cell r="M7" t="str">
            <v>and Supplies</v>
          </cell>
          <cell r="O7" t="str">
            <v>Utilities</v>
          </cell>
          <cell r="Q7" t="str">
            <v>Telecomm</v>
          </cell>
          <cell r="S7" t="str">
            <v>Maintenance</v>
          </cell>
          <cell r="U7" t="str">
            <v>Leases</v>
          </cell>
          <cell r="W7" t="str">
            <v>Reproduction</v>
          </cell>
          <cell r="Y7" t="str">
            <v>Expense</v>
          </cell>
          <cell r="AA7" t="str">
            <v>Losses</v>
          </cell>
          <cell r="AC7" t="str">
            <v>and Fellowships</v>
          </cell>
          <cell r="AG7" t="str">
            <v>and Amortization</v>
          </cell>
          <cell r="AI7" t="str">
            <v>Pass-Throughs</v>
          </cell>
          <cell r="AK7" t="str">
            <v>Pass-Throughs</v>
          </cell>
          <cell r="AM7" t="str">
            <v>Expenses</v>
          </cell>
          <cell r="AO7" t="str">
            <v>Operating Expenses</v>
          </cell>
          <cell r="AQ7" t="str">
            <v>Outlay</v>
          </cell>
          <cell r="AS7" t="str">
            <v>Total</v>
          </cell>
        </row>
        <row r="9">
          <cell r="A9" t="str">
            <v>EDUCATIONAL AND GENERAL</v>
          </cell>
        </row>
        <row r="10">
          <cell r="A10" t="str">
            <v xml:space="preserve">     Instruction</v>
          </cell>
          <cell r="B10" t="str">
            <v>$</v>
          </cell>
        </row>
        <row r="11">
          <cell r="A11" t="str">
            <v xml:space="preserve">     Research</v>
          </cell>
        </row>
        <row r="12">
          <cell r="A12" t="str">
            <v xml:space="preserve">     Public Service</v>
          </cell>
        </row>
        <row r="13">
          <cell r="A13" t="str">
            <v xml:space="preserve">     Hospitals/Clinics</v>
          </cell>
        </row>
        <row r="14">
          <cell r="A14" t="str">
            <v xml:space="preserve">     Academic Support</v>
          </cell>
        </row>
        <row r="15">
          <cell r="A15" t="str">
            <v xml:space="preserve">     Student Services</v>
          </cell>
        </row>
        <row r="16">
          <cell r="A16" t="str">
            <v xml:space="preserve">     Institutional Support</v>
          </cell>
        </row>
        <row r="17">
          <cell r="A17" t="str">
            <v xml:space="preserve">     Operation and Maintenance of Plant</v>
          </cell>
        </row>
        <row r="18">
          <cell r="A18" t="str">
            <v xml:space="preserve">     Scholarships and Fellowships</v>
          </cell>
        </row>
        <row r="19">
          <cell r="A19" t="str">
            <v xml:space="preserve">           Scholarship allowances</v>
          </cell>
        </row>
        <row r="20">
          <cell r="A20" t="str">
            <v xml:space="preserve">     Auxiliary Enterprises</v>
          </cell>
        </row>
        <row r="21">
          <cell r="A21" t="str">
            <v xml:space="preserve">     Amortization</v>
          </cell>
        </row>
        <row r="22">
          <cell r="A22" t="str">
            <v xml:space="preserve">   Total Educational and General</v>
          </cell>
        </row>
        <row r="25">
          <cell r="A25" t="str">
            <v>DESIGNATED</v>
          </cell>
        </row>
        <row r="26">
          <cell r="A26" t="str">
            <v xml:space="preserve">     Instruction</v>
          </cell>
        </row>
        <row r="27">
          <cell r="A27" t="str">
            <v xml:space="preserve">     Research</v>
          </cell>
        </row>
        <row r="28">
          <cell r="A28" t="str">
            <v xml:space="preserve">     Public Service</v>
          </cell>
        </row>
        <row r="29">
          <cell r="A29" t="str">
            <v xml:space="preserve">     Hospitals/Clinics</v>
          </cell>
        </row>
        <row r="30">
          <cell r="A30" t="str">
            <v xml:space="preserve">     Academic Support</v>
          </cell>
        </row>
        <row r="31">
          <cell r="A31" t="str">
            <v xml:space="preserve">     Student Services</v>
          </cell>
        </row>
        <row r="32">
          <cell r="A32" t="str">
            <v xml:space="preserve">     Institutional Support</v>
          </cell>
        </row>
        <row r="33">
          <cell r="A33" t="str">
            <v xml:space="preserve">     Operation and Maintenance of Plant</v>
          </cell>
        </row>
        <row r="34">
          <cell r="A34" t="str">
            <v xml:space="preserve">     Scholarships and Fellowships</v>
          </cell>
        </row>
        <row r="35">
          <cell r="A35" t="str">
            <v xml:space="preserve">          Scholarship Allowances</v>
          </cell>
        </row>
        <row r="36">
          <cell r="A36" t="str">
            <v xml:space="preserve">     Auxiliary Enterprises</v>
          </cell>
        </row>
        <row r="37">
          <cell r="A37" t="str">
            <v xml:space="preserve">     Amortization</v>
          </cell>
        </row>
        <row r="38">
          <cell r="A38" t="str">
            <v xml:space="preserve">   Total Designated</v>
          </cell>
        </row>
        <row r="41">
          <cell r="A41" t="str">
            <v>AUXILIARY ENTERPRISES</v>
          </cell>
        </row>
        <row r="42">
          <cell r="A42" t="str">
            <v xml:space="preserve">     Auxiliary Enterprises</v>
          </cell>
        </row>
        <row r="43">
          <cell r="A43" t="str">
            <v xml:space="preserve">          Scholarship Allowances</v>
          </cell>
        </row>
        <row r="44">
          <cell r="A44" t="str">
            <v xml:space="preserve">   Total Auxiliary Enterprises</v>
          </cell>
        </row>
        <row r="48">
          <cell r="A48" t="str">
            <v>RESTRICTED EXPENDABLE</v>
          </cell>
        </row>
        <row r="49">
          <cell r="A49" t="str">
            <v xml:space="preserve">     Instruction</v>
          </cell>
        </row>
        <row r="50">
          <cell r="A50" t="str">
            <v xml:space="preserve">     Research</v>
          </cell>
        </row>
        <row r="51">
          <cell r="A51" t="str">
            <v xml:space="preserve">     Public Service</v>
          </cell>
        </row>
        <row r="52">
          <cell r="A52" t="str">
            <v xml:space="preserve">     Hospitals/Clinics</v>
          </cell>
        </row>
        <row r="53">
          <cell r="A53" t="str">
            <v xml:space="preserve">     Academic Support</v>
          </cell>
        </row>
        <row r="54">
          <cell r="A54" t="str">
            <v xml:space="preserve">     Student Services</v>
          </cell>
        </row>
        <row r="55">
          <cell r="A55" t="str">
            <v xml:space="preserve">     Institutional Support</v>
          </cell>
        </row>
        <row r="56">
          <cell r="A56" t="str">
            <v xml:space="preserve">     Operation and Maintenance of Plant</v>
          </cell>
        </row>
        <row r="57">
          <cell r="A57" t="str">
            <v xml:space="preserve">     Scholarships and Fellowships</v>
          </cell>
        </row>
        <row r="58">
          <cell r="A58" t="str">
            <v xml:space="preserve">          Scholarship Allowances</v>
          </cell>
        </row>
        <row r="59">
          <cell r="A59" t="str">
            <v xml:space="preserve">     Auxiliary Enterprises</v>
          </cell>
        </row>
        <row r="60">
          <cell r="A60" t="str">
            <v xml:space="preserve">     Amortization</v>
          </cell>
        </row>
        <row r="61">
          <cell r="A61" t="str">
            <v xml:space="preserve">   Total Restricted Expendable</v>
          </cell>
        </row>
        <row r="64">
          <cell r="A64" t="str">
            <v>LOAN FUNDS</v>
          </cell>
        </row>
        <row r="65">
          <cell r="A65" t="str">
            <v xml:space="preserve">     Student Services</v>
          </cell>
        </row>
        <row r="68">
          <cell r="A68" t="str">
            <v>PLANT FUNDS</v>
          </cell>
        </row>
        <row r="69">
          <cell r="A69" t="str">
            <v xml:space="preserve">     Instruction</v>
          </cell>
        </row>
        <row r="70">
          <cell r="A70" t="str">
            <v xml:space="preserve">     Research</v>
          </cell>
        </row>
        <row r="71">
          <cell r="A71" t="str">
            <v xml:space="preserve">     Public Service</v>
          </cell>
        </row>
        <row r="72">
          <cell r="A72" t="str">
            <v xml:space="preserve">     Hospitals/Clinics</v>
          </cell>
        </row>
        <row r="73">
          <cell r="A73" t="str">
            <v xml:space="preserve">     Academic Support</v>
          </cell>
        </row>
        <row r="74">
          <cell r="A74" t="str">
            <v xml:space="preserve">     Student Services</v>
          </cell>
        </row>
        <row r="75">
          <cell r="A75" t="str">
            <v xml:space="preserve">     Institutional Support</v>
          </cell>
        </row>
        <row r="76">
          <cell r="A76" t="str">
            <v xml:space="preserve">     Operation and Maintenance of Plant</v>
          </cell>
        </row>
        <row r="77">
          <cell r="A77" t="str">
            <v xml:space="preserve">     Auxiliary Enterprises</v>
          </cell>
        </row>
        <row r="78">
          <cell r="A78" t="str">
            <v xml:space="preserve">     Depreciation (Investment in Plant)</v>
          </cell>
        </row>
        <row r="79">
          <cell r="A79" t="str">
            <v xml:space="preserve">   Total Plant Funds</v>
          </cell>
        </row>
        <row r="81">
          <cell r="A81" t="str">
            <v>AVAILABLE UNIVERSITY FUND</v>
          </cell>
        </row>
        <row r="82">
          <cell r="A82" t="str">
            <v>TOTAL OPERATING EXPENSES (Exh. B)</v>
          </cell>
          <cell r="B82" t="str">
            <v>$</v>
          </cell>
        </row>
        <row r="84">
          <cell r="A84" t="str">
            <v>Relevant Data Collection Totals</v>
          </cell>
        </row>
        <row r="85">
          <cell r="A85" t="str">
            <v xml:space="preserve">     Instruction</v>
          </cell>
          <cell r="B85" t="str">
            <v>$</v>
          </cell>
        </row>
        <row r="86">
          <cell r="A86" t="str">
            <v xml:space="preserve">     Research</v>
          </cell>
        </row>
        <row r="87">
          <cell r="A87" t="str">
            <v xml:space="preserve">     Public Service</v>
          </cell>
        </row>
        <row r="88">
          <cell r="A88" t="str">
            <v xml:space="preserve">     Hospitals/Clinics</v>
          </cell>
        </row>
        <row r="89">
          <cell r="A89" t="str">
            <v xml:space="preserve">     Academic Support</v>
          </cell>
        </row>
        <row r="90">
          <cell r="A90" t="str">
            <v xml:space="preserve">     Student Services</v>
          </cell>
        </row>
        <row r="91">
          <cell r="A91" t="str">
            <v xml:space="preserve">     Institutional Support</v>
          </cell>
        </row>
        <row r="92">
          <cell r="A92" t="str">
            <v xml:space="preserve">     Operation and Maintenance of Plant</v>
          </cell>
        </row>
        <row r="93">
          <cell r="A93" t="str">
            <v xml:space="preserve">     Scholarships and Fellowships</v>
          </cell>
        </row>
        <row r="94">
          <cell r="A94" t="str">
            <v xml:space="preserve">     Auxiliary Enterprises</v>
          </cell>
        </row>
        <row r="95">
          <cell r="A95" t="str">
            <v xml:space="preserve">     Depreciation (Investment in Plant)</v>
          </cell>
        </row>
        <row r="96">
          <cell r="A96" t="str">
            <v xml:space="preserve">   Totals</v>
          </cell>
          <cell r="B96" t="str">
            <v>$</v>
          </cell>
        </row>
        <row r="98">
          <cell r="A98" t="str">
            <v>Difference</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13.bin"/><Relationship Id="rId4"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4.bin"/><Relationship Id="rId4"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5.bin"/><Relationship Id="rId4" Type="http://schemas.openxmlformats.org/officeDocument/2006/relationships/comments" Target="../comments1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1.xml"/><Relationship Id="rId1" Type="http://schemas.openxmlformats.org/officeDocument/2006/relationships/printerSettings" Target="../printerSettings/printerSettings19.bin"/><Relationship Id="rId4"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J777"/>
  <sheetViews>
    <sheetView showGridLines="0" tabSelected="1" workbookViewId="0">
      <selection activeCell="D7" sqref="D7"/>
    </sheetView>
  </sheetViews>
  <sheetFormatPr defaultRowHeight="12.75"/>
  <cols>
    <col min="1" max="1" width="3.140625" style="122" customWidth="1"/>
    <col min="2" max="2" width="52.140625" style="197" customWidth="1"/>
    <col min="3" max="3" width="5.42578125" style="407" customWidth="1"/>
    <col min="4" max="4" width="14" style="407" customWidth="1"/>
    <col min="5" max="5" width="8.140625" style="407" customWidth="1"/>
    <col min="6" max="6" width="3.7109375" style="405" customWidth="1"/>
    <col min="7" max="7" width="2.7109375" style="121" customWidth="1"/>
    <col min="8" max="8" width="27.140625" style="122" customWidth="1"/>
    <col min="9" max="9" width="15.85546875" style="122" customWidth="1"/>
    <col min="10" max="10" width="28.85546875" style="122" customWidth="1"/>
    <col min="11" max="16384" width="9.140625" style="122"/>
  </cols>
  <sheetData>
    <row r="1" spans="2:10" ht="22.5" customHeight="1" thickBot="1">
      <c r="B1" s="401" t="s">
        <v>683</v>
      </c>
      <c r="C1" s="437" t="s">
        <v>684</v>
      </c>
      <c r="D1" s="438"/>
      <c r="E1" s="439"/>
      <c r="F1" s="122"/>
      <c r="G1" s="360"/>
    </row>
    <row r="2" spans="2:10">
      <c r="B2" s="402" t="s">
        <v>700</v>
      </c>
      <c r="C2" s="403"/>
      <c r="D2" s="404" t="s">
        <v>685</v>
      </c>
      <c r="E2" s="403"/>
    </row>
    <row r="3" spans="2:10">
      <c r="B3" s="402"/>
      <c r="C3" s="403"/>
      <c r="D3" s="406" t="s">
        <v>686</v>
      </c>
      <c r="E3" s="403"/>
    </row>
    <row r="4" spans="2:10" ht="13.5" thickBot="1">
      <c r="B4" s="402"/>
      <c r="C4" s="403"/>
      <c r="D4" s="406" t="s">
        <v>687</v>
      </c>
      <c r="E4" s="403"/>
    </row>
    <row r="5" spans="2:10" ht="13.5" thickBot="1">
      <c r="D5" s="408"/>
      <c r="H5" s="440" t="s">
        <v>688</v>
      </c>
      <c r="I5" s="441"/>
      <c r="J5" s="442"/>
    </row>
    <row r="6" spans="2:10" ht="16.5" thickBot="1">
      <c r="B6" s="409" t="s">
        <v>689</v>
      </c>
      <c r="C6" s="410"/>
      <c r="D6" s="411" t="s">
        <v>690</v>
      </c>
      <c r="E6" s="410"/>
      <c r="F6" s="412"/>
      <c r="G6" s="76"/>
      <c r="H6" s="443" t="s">
        <v>691</v>
      </c>
      <c r="I6" s="444"/>
      <c r="J6" s="445"/>
    </row>
    <row r="7" spans="2:10" ht="15">
      <c r="B7" s="413"/>
      <c r="C7" s="125"/>
      <c r="D7" s="414"/>
      <c r="E7" s="125"/>
      <c r="H7" s="214" t="s">
        <v>652</v>
      </c>
      <c r="I7" s="344" t="s">
        <v>653</v>
      </c>
      <c r="J7" s="214" t="s">
        <v>654</v>
      </c>
    </row>
    <row r="8" spans="2:10" ht="15">
      <c r="B8" s="124"/>
      <c r="C8" s="125"/>
      <c r="D8" s="414"/>
      <c r="E8" s="125"/>
      <c r="H8" s="214"/>
      <c r="I8" s="344"/>
      <c r="J8" s="214"/>
    </row>
    <row r="9" spans="2:10" ht="15.75">
      <c r="B9" s="123"/>
      <c r="C9" s="415"/>
      <c r="D9" s="416"/>
      <c r="E9" s="415"/>
      <c r="H9" s="360"/>
      <c r="I9" s="360"/>
      <c r="J9" s="360"/>
    </row>
    <row r="10" spans="2:10">
      <c r="B10" s="417" t="s">
        <v>487</v>
      </c>
      <c r="C10" s="410"/>
      <c r="D10" s="411" t="s">
        <v>690</v>
      </c>
      <c r="E10" s="410"/>
      <c r="F10" s="412"/>
      <c r="G10" s="76"/>
      <c r="H10" s="370"/>
      <c r="I10" s="370"/>
      <c r="J10" s="370"/>
    </row>
    <row r="11" spans="2:10">
      <c r="B11" s="417" t="s">
        <v>491</v>
      </c>
      <c r="C11" s="410"/>
      <c r="D11" s="411" t="s">
        <v>690</v>
      </c>
      <c r="E11" s="410"/>
      <c r="F11" s="412"/>
      <c r="G11" s="76"/>
      <c r="H11" s="370"/>
      <c r="I11" s="370"/>
      <c r="J11" s="370"/>
    </row>
    <row r="12" spans="2:10">
      <c r="B12" s="417" t="s">
        <v>494</v>
      </c>
      <c r="C12" s="418"/>
      <c r="D12" s="411" t="s">
        <v>690</v>
      </c>
      <c r="E12" s="410"/>
      <c r="F12" s="412"/>
      <c r="G12" s="76"/>
      <c r="H12" s="370"/>
      <c r="I12" s="370"/>
      <c r="J12" s="370"/>
    </row>
    <row r="13" spans="2:10">
      <c r="B13" s="417" t="s">
        <v>498</v>
      </c>
      <c r="C13" s="418"/>
      <c r="D13" s="411" t="s">
        <v>690</v>
      </c>
      <c r="E13" s="410"/>
      <c r="F13" s="412"/>
      <c r="G13" s="76"/>
      <c r="H13" s="370"/>
      <c r="I13" s="370"/>
      <c r="J13" s="370"/>
    </row>
    <row r="14" spans="2:10">
      <c r="B14" s="417" t="s">
        <v>502</v>
      </c>
      <c r="C14" s="418"/>
      <c r="D14" s="411" t="s">
        <v>690</v>
      </c>
      <c r="E14" s="410"/>
      <c r="F14" s="412"/>
      <c r="G14" s="76"/>
      <c r="H14" s="370"/>
      <c r="I14" s="370"/>
      <c r="J14" s="370"/>
    </row>
    <row r="15" spans="2:10">
      <c r="B15" s="417" t="s">
        <v>506</v>
      </c>
      <c r="C15" s="418"/>
      <c r="D15" s="419" t="s">
        <v>690</v>
      </c>
      <c r="E15" s="420"/>
      <c r="F15" s="418"/>
      <c r="G15" s="76"/>
      <c r="H15" s="370"/>
      <c r="I15" s="370"/>
      <c r="J15" s="370"/>
    </row>
    <row r="16" spans="2:10">
      <c r="B16" s="417" t="s">
        <v>510</v>
      </c>
      <c r="C16" s="418"/>
      <c r="D16" s="419" t="s">
        <v>690</v>
      </c>
      <c r="E16" s="410"/>
      <c r="F16" s="412"/>
      <c r="G16" s="76"/>
      <c r="H16" s="370"/>
      <c r="I16" s="370"/>
      <c r="J16" s="370"/>
    </row>
    <row r="17" spans="2:10">
      <c r="B17" s="417" t="s">
        <v>692</v>
      </c>
      <c r="C17" s="418"/>
      <c r="D17" s="419" t="s">
        <v>690</v>
      </c>
      <c r="E17" s="420"/>
      <c r="F17" s="418"/>
      <c r="G17" s="76"/>
      <c r="H17" s="370"/>
      <c r="I17" s="370"/>
      <c r="J17" s="370"/>
    </row>
    <row r="18" spans="2:10" ht="13.5" thickBot="1">
      <c r="B18" s="417" t="s">
        <v>518</v>
      </c>
      <c r="C18" s="418"/>
      <c r="D18" s="421" t="s">
        <v>690</v>
      </c>
      <c r="E18" s="420"/>
      <c r="F18" s="418"/>
      <c r="H18" s="370"/>
      <c r="I18" s="370"/>
      <c r="J18" s="370"/>
    </row>
    <row r="19" spans="2:10" ht="15">
      <c r="C19" s="125"/>
      <c r="D19" s="125"/>
      <c r="E19" s="125"/>
      <c r="H19" s="370"/>
      <c r="I19" s="370"/>
      <c r="J19" s="370"/>
    </row>
    <row r="20" spans="2:10" ht="15.75">
      <c r="B20" s="422" t="s">
        <v>693</v>
      </c>
      <c r="C20" s="125"/>
      <c r="D20" s="125"/>
      <c r="E20" s="125"/>
      <c r="H20" s="336"/>
      <c r="I20" s="336"/>
      <c r="J20" s="336"/>
    </row>
    <row r="21" spans="2:10" ht="15">
      <c r="B21" s="423" t="s">
        <v>694</v>
      </c>
      <c r="C21" s="125"/>
      <c r="D21" s="125"/>
      <c r="E21" s="125"/>
      <c r="H21" s="336"/>
      <c r="I21" s="336"/>
      <c r="J21" s="336"/>
    </row>
    <row r="22" spans="2:10" ht="15">
      <c r="B22" s="423" t="s">
        <v>695</v>
      </c>
      <c r="C22" s="125"/>
      <c r="D22" s="125"/>
      <c r="E22" s="125"/>
      <c r="H22" s="336"/>
      <c r="I22" s="336"/>
      <c r="J22" s="336"/>
    </row>
    <row r="23" spans="2:10" ht="15">
      <c r="B23" s="423" t="s">
        <v>696</v>
      </c>
      <c r="C23" s="125"/>
      <c r="D23" s="125"/>
      <c r="E23" s="125"/>
      <c r="H23" s="336"/>
      <c r="I23" s="336"/>
      <c r="J23" s="336"/>
    </row>
    <row r="24" spans="2:10" ht="15">
      <c r="B24" s="124"/>
      <c r="C24" s="125"/>
      <c r="D24" s="125"/>
      <c r="E24" s="125"/>
      <c r="H24" s="336"/>
      <c r="I24" s="336"/>
      <c r="J24" s="336"/>
    </row>
    <row r="25" spans="2:10" ht="15.75">
      <c r="B25" s="422" t="s">
        <v>697</v>
      </c>
      <c r="C25" s="125"/>
      <c r="D25" s="125"/>
      <c r="E25" s="125"/>
      <c r="H25" s="336"/>
      <c r="I25" s="336"/>
      <c r="J25" s="336"/>
    </row>
    <row r="26" spans="2:10" ht="15">
      <c r="B26" s="423" t="s">
        <v>698</v>
      </c>
      <c r="C26" s="424"/>
      <c r="D26" s="424"/>
      <c r="E26" s="424"/>
      <c r="H26" s="336"/>
      <c r="I26" s="336"/>
      <c r="J26" s="336"/>
    </row>
    <row r="27" spans="2:10" ht="15">
      <c r="B27" s="413" t="s">
        <v>699</v>
      </c>
      <c r="C27" s="424"/>
      <c r="D27" s="424"/>
      <c r="E27" s="424"/>
      <c r="H27" s="336"/>
      <c r="I27" s="336"/>
      <c r="J27" s="336"/>
    </row>
    <row r="28" spans="2:10" ht="15">
      <c r="B28" s="413"/>
      <c r="C28" s="424"/>
      <c r="D28" s="424"/>
      <c r="E28" s="424"/>
      <c r="H28" s="336"/>
      <c r="I28" s="336"/>
      <c r="J28" s="336"/>
    </row>
    <row r="29" spans="2:10">
      <c r="B29" s="413"/>
      <c r="H29" s="336"/>
      <c r="I29" s="336"/>
      <c r="J29" s="336"/>
    </row>
    <row r="30" spans="2:10">
      <c r="B30" s="423"/>
      <c r="H30" s="336"/>
      <c r="I30" s="336"/>
      <c r="J30" s="336"/>
    </row>
    <row r="31" spans="2:10">
      <c r="H31" s="336"/>
      <c r="I31" s="336"/>
      <c r="J31" s="336"/>
    </row>
    <row r="32" spans="2:10">
      <c r="H32" s="336"/>
      <c r="I32" s="336"/>
      <c r="J32" s="336"/>
    </row>
    <row r="33" spans="8:10">
      <c r="H33" s="395"/>
      <c r="I33" s="336"/>
      <c r="J33" s="336"/>
    </row>
    <row r="34" spans="8:10">
      <c r="H34" s="336"/>
      <c r="I34" s="336"/>
      <c r="J34" s="336"/>
    </row>
    <row r="35" spans="8:10">
      <c r="H35" s="336"/>
      <c r="I35" s="336"/>
      <c r="J35" s="336"/>
    </row>
    <row r="36" spans="8:10">
      <c r="H36" s="336"/>
      <c r="I36" s="336"/>
      <c r="J36" s="336"/>
    </row>
    <row r="37" spans="8:10">
      <c r="H37" s="336"/>
      <c r="I37" s="336"/>
      <c r="J37" s="336"/>
    </row>
    <row r="38" spans="8:10">
      <c r="H38" s="336"/>
      <c r="I38" s="336"/>
      <c r="J38" s="336"/>
    </row>
    <row r="39" spans="8:10">
      <c r="H39" s="336"/>
      <c r="I39" s="336"/>
      <c r="J39" s="336"/>
    </row>
    <row r="40" spans="8:10">
      <c r="H40" s="336"/>
      <c r="I40" s="336"/>
      <c r="J40" s="336"/>
    </row>
    <row r="41" spans="8:10">
      <c r="H41" s="336"/>
      <c r="I41" s="336"/>
      <c r="J41" s="336"/>
    </row>
    <row r="42" spans="8:10">
      <c r="H42" s="336"/>
      <c r="I42" s="336"/>
      <c r="J42" s="336"/>
    </row>
    <row r="43" spans="8:10">
      <c r="H43" s="336"/>
      <c r="I43" s="336"/>
      <c r="J43" s="336"/>
    </row>
    <row r="44" spans="8:10">
      <c r="H44" s="336"/>
      <c r="I44" s="336"/>
      <c r="J44" s="336"/>
    </row>
    <row r="45" spans="8:10">
      <c r="H45" s="336"/>
      <c r="I45" s="336"/>
      <c r="J45" s="336"/>
    </row>
    <row r="46" spans="8:10">
      <c r="H46" s="336"/>
      <c r="I46" s="336"/>
      <c r="J46" s="336"/>
    </row>
    <row r="47" spans="8:10">
      <c r="H47" s="336"/>
      <c r="I47" s="336"/>
      <c r="J47" s="336"/>
    </row>
    <row r="48" spans="8:10">
      <c r="H48" s="336"/>
      <c r="I48" s="336"/>
      <c r="J48" s="336"/>
    </row>
    <row r="49" spans="8:10">
      <c r="H49" s="336"/>
      <c r="I49" s="336"/>
      <c r="J49" s="336"/>
    </row>
    <row r="50" spans="8:10">
      <c r="H50" s="336"/>
      <c r="I50" s="336"/>
      <c r="J50" s="336"/>
    </row>
    <row r="51" spans="8:10">
      <c r="H51" s="336"/>
      <c r="I51" s="336"/>
      <c r="J51" s="336"/>
    </row>
    <row r="52" spans="8:10">
      <c r="H52" s="336"/>
      <c r="I52" s="336"/>
      <c r="J52" s="336"/>
    </row>
    <row r="53" spans="8:10">
      <c r="H53" s="336"/>
      <c r="I53" s="336"/>
      <c r="J53" s="336"/>
    </row>
    <row r="54" spans="8:10">
      <c r="H54" s="336"/>
      <c r="I54" s="336"/>
      <c r="J54" s="336"/>
    </row>
    <row r="55" spans="8:10">
      <c r="H55" s="336"/>
      <c r="I55" s="336"/>
      <c r="J55" s="336"/>
    </row>
    <row r="56" spans="8:10">
      <c r="H56" s="336"/>
      <c r="I56" s="336"/>
      <c r="J56" s="336"/>
    </row>
    <row r="57" spans="8:10">
      <c r="H57" s="336"/>
      <c r="I57" s="336"/>
      <c r="J57" s="336"/>
    </row>
    <row r="58" spans="8:10">
      <c r="H58" s="336"/>
      <c r="I58" s="336"/>
      <c r="J58" s="336"/>
    </row>
    <row r="59" spans="8:10">
      <c r="H59" s="336"/>
      <c r="I59" s="336"/>
      <c r="J59" s="336"/>
    </row>
    <row r="60" spans="8:10">
      <c r="H60" s="336"/>
      <c r="I60" s="336"/>
      <c r="J60" s="336"/>
    </row>
    <row r="61" spans="8:10">
      <c r="H61" s="336"/>
      <c r="I61" s="336"/>
      <c r="J61" s="336"/>
    </row>
    <row r="62" spans="8:10">
      <c r="H62" s="336"/>
      <c r="I62" s="336"/>
      <c r="J62" s="336"/>
    </row>
    <row r="63" spans="8:10">
      <c r="H63" s="336"/>
      <c r="I63" s="336"/>
      <c r="J63" s="336"/>
    </row>
    <row r="64" spans="8:10">
      <c r="H64" s="336"/>
      <c r="I64" s="336"/>
      <c r="J64" s="336"/>
    </row>
    <row r="65" spans="8:10">
      <c r="H65" s="336"/>
      <c r="I65" s="336"/>
      <c r="J65" s="336"/>
    </row>
    <row r="66" spans="8:10">
      <c r="H66" s="336"/>
      <c r="I66" s="336"/>
      <c r="J66" s="336"/>
    </row>
    <row r="67" spans="8:10">
      <c r="H67" s="336"/>
      <c r="I67" s="336"/>
      <c r="J67" s="336"/>
    </row>
    <row r="68" spans="8:10">
      <c r="H68" s="336"/>
      <c r="I68" s="336"/>
      <c r="J68" s="336"/>
    </row>
    <row r="69" spans="8:10">
      <c r="H69" s="336"/>
      <c r="I69" s="336"/>
      <c r="J69" s="336"/>
    </row>
    <row r="70" spans="8:10">
      <c r="H70" s="336"/>
      <c r="I70" s="336"/>
      <c r="J70" s="336"/>
    </row>
    <row r="71" spans="8:10">
      <c r="H71" s="336"/>
      <c r="I71" s="336"/>
      <c r="J71" s="336"/>
    </row>
    <row r="72" spans="8:10">
      <c r="H72" s="336"/>
      <c r="I72" s="336"/>
      <c r="J72" s="336"/>
    </row>
    <row r="73" spans="8:10">
      <c r="H73" s="336"/>
      <c r="I73" s="336"/>
      <c r="J73" s="336"/>
    </row>
    <row r="74" spans="8:10">
      <c r="H74" s="336"/>
      <c r="I74" s="336"/>
      <c r="J74" s="336"/>
    </row>
    <row r="75" spans="8:10">
      <c r="H75" s="336"/>
      <c r="I75" s="336"/>
      <c r="J75" s="336"/>
    </row>
    <row r="76" spans="8:10">
      <c r="H76" s="336"/>
      <c r="I76" s="336"/>
      <c r="J76" s="336"/>
    </row>
    <row r="77" spans="8:10">
      <c r="H77" s="336"/>
      <c r="I77" s="336"/>
      <c r="J77" s="336"/>
    </row>
    <row r="78" spans="8:10">
      <c r="H78" s="336"/>
      <c r="I78" s="336"/>
      <c r="J78" s="336"/>
    </row>
    <row r="79" spans="8:10">
      <c r="H79" s="336"/>
      <c r="I79" s="336"/>
      <c r="J79" s="336"/>
    </row>
    <row r="80" spans="8:10">
      <c r="H80" s="336"/>
      <c r="I80" s="336"/>
      <c r="J80" s="336"/>
    </row>
    <row r="81" spans="8:10">
      <c r="H81" s="336"/>
      <c r="I81" s="336"/>
      <c r="J81" s="336"/>
    </row>
    <row r="82" spans="8:10">
      <c r="H82" s="336"/>
      <c r="I82" s="336"/>
      <c r="J82" s="336"/>
    </row>
    <row r="83" spans="8:10">
      <c r="H83" s="336"/>
      <c r="I83" s="336"/>
      <c r="J83" s="336"/>
    </row>
    <row r="84" spans="8:10">
      <c r="H84" s="336"/>
      <c r="I84" s="336"/>
      <c r="J84" s="336"/>
    </row>
    <row r="85" spans="8:10">
      <c r="H85" s="336"/>
      <c r="I85" s="336"/>
      <c r="J85" s="336"/>
    </row>
    <row r="86" spans="8:10">
      <c r="H86" s="336"/>
      <c r="I86" s="336"/>
      <c r="J86" s="336"/>
    </row>
    <row r="87" spans="8:10">
      <c r="H87" s="336"/>
      <c r="I87" s="336"/>
      <c r="J87" s="336"/>
    </row>
    <row r="88" spans="8:10">
      <c r="H88" s="336"/>
      <c r="I88" s="336"/>
      <c r="J88" s="336"/>
    </row>
    <row r="89" spans="8:10">
      <c r="H89" s="336"/>
      <c r="I89" s="336"/>
      <c r="J89" s="336"/>
    </row>
    <row r="90" spans="8:10">
      <c r="H90" s="336"/>
      <c r="I90" s="336"/>
      <c r="J90" s="336"/>
    </row>
    <row r="91" spans="8:10">
      <c r="H91" s="336"/>
      <c r="I91" s="336"/>
      <c r="J91" s="336"/>
    </row>
    <row r="92" spans="8:10">
      <c r="H92" s="336"/>
      <c r="I92" s="336"/>
      <c r="J92" s="336"/>
    </row>
    <row r="93" spans="8:10">
      <c r="H93" s="336"/>
      <c r="I93" s="336"/>
      <c r="J93" s="336"/>
    </row>
    <row r="94" spans="8:10">
      <c r="H94" s="336"/>
      <c r="I94" s="336"/>
      <c r="J94" s="336"/>
    </row>
    <row r="95" spans="8:10">
      <c r="H95" s="336"/>
      <c r="I95" s="336"/>
      <c r="J95" s="336"/>
    </row>
    <row r="96" spans="8:10">
      <c r="H96" s="336"/>
      <c r="I96" s="336"/>
      <c r="J96" s="336"/>
    </row>
    <row r="97" spans="8:10">
      <c r="H97" s="336"/>
      <c r="I97" s="336"/>
      <c r="J97" s="336"/>
    </row>
    <row r="98" spans="8:10">
      <c r="H98" s="336"/>
      <c r="I98" s="336"/>
      <c r="J98" s="336"/>
    </row>
    <row r="99" spans="8:10">
      <c r="H99" s="336"/>
      <c r="I99" s="336"/>
      <c r="J99" s="336"/>
    </row>
    <row r="100" spans="8:10">
      <c r="H100" s="336"/>
      <c r="I100" s="336"/>
      <c r="J100" s="336"/>
    </row>
    <row r="101" spans="8:10">
      <c r="H101" s="336"/>
      <c r="I101" s="336"/>
      <c r="J101" s="336"/>
    </row>
    <row r="102" spans="8:10">
      <c r="H102" s="336"/>
      <c r="I102" s="336"/>
      <c r="J102" s="336"/>
    </row>
    <row r="103" spans="8:10">
      <c r="H103" s="336"/>
      <c r="I103" s="336"/>
      <c r="J103" s="336"/>
    </row>
    <row r="104" spans="8:10">
      <c r="H104" s="336"/>
      <c r="I104" s="336"/>
      <c r="J104" s="336"/>
    </row>
    <row r="105" spans="8:10">
      <c r="H105" s="336"/>
      <c r="I105" s="336"/>
      <c r="J105" s="336"/>
    </row>
    <row r="106" spans="8:10">
      <c r="H106" s="336"/>
      <c r="I106" s="336"/>
      <c r="J106" s="336"/>
    </row>
    <row r="107" spans="8:10">
      <c r="H107" s="336"/>
      <c r="I107" s="336"/>
      <c r="J107" s="336"/>
    </row>
    <row r="108" spans="8:10">
      <c r="H108" s="336"/>
      <c r="I108" s="336"/>
      <c r="J108" s="336"/>
    </row>
    <row r="109" spans="8:10">
      <c r="H109" s="336"/>
      <c r="I109" s="336"/>
      <c r="J109" s="336"/>
    </row>
    <row r="110" spans="8:10">
      <c r="H110" s="336"/>
      <c r="I110" s="336"/>
      <c r="J110" s="336"/>
    </row>
    <row r="111" spans="8:10">
      <c r="H111" s="336"/>
      <c r="I111" s="336"/>
      <c r="J111" s="336"/>
    </row>
    <row r="112" spans="8:10">
      <c r="H112" s="336"/>
      <c r="I112" s="336"/>
      <c r="J112" s="336"/>
    </row>
    <row r="113" spans="8:10">
      <c r="H113" s="336"/>
      <c r="I113" s="336"/>
      <c r="J113" s="336"/>
    </row>
    <row r="114" spans="8:10">
      <c r="H114" s="336"/>
      <c r="I114" s="336"/>
      <c r="J114" s="336"/>
    </row>
    <row r="115" spans="8:10">
      <c r="H115" s="336"/>
      <c r="I115" s="336"/>
      <c r="J115" s="336"/>
    </row>
    <row r="116" spans="8:10">
      <c r="H116" s="336"/>
      <c r="I116" s="336"/>
      <c r="J116" s="336"/>
    </row>
    <row r="117" spans="8:10">
      <c r="H117" s="336"/>
      <c r="I117" s="336"/>
      <c r="J117" s="336"/>
    </row>
    <row r="118" spans="8:10">
      <c r="H118" s="336"/>
      <c r="I118" s="336"/>
      <c r="J118" s="336"/>
    </row>
    <row r="119" spans="8:10">
      <c r="H119" s="336"/>
      <c r="I119" s="336"/>
      <c r="J119" s="336"/>
    </row>
    <row r="120" spans="8:10">
      <c r="H120" s="336"/>
      <c r="I120" s="336"/>
      <c r="J120" s="336"/>
    </row>
    <row r="121" spans="8:10">
      <c r="H121" s="336"/>
      <c r="I121" s="336"/>
      <c r="J121" s="336"/>
    </row>
    <row r="122" spans="8:10">
      <c r="H122" s="336"/>
      <c r="I122" s="336"/>
      <c r="J122" s="336"/>
    </row>
    <row r="123" spans="8:10">
      <c r="H123" s="336"/>
      <c r="I123" s="336"/>
      <c r="J123" s="336"/>
    </row>
    <row r="124" spans="8:10">
      <c r="H124" s="336"/>
      <c r="I124" s="336"/>
      <c r="J124" s="336"/>
    </row>
    <row r="125" spans="8:10">
      <c r="H125" s="336"/>
      <c r="I125" s="336"/>
      <c r="J125" s="336"/>
    </row>
    <row r="126" spans="8:10">
      <c r="H126" s="336"/>
      <c r="I126" s="336"/>
      <c r="J126" s="336"/>
    </row>
    <row r="127" spans="8:10">
      <c r="H127" s="336"/>
      <c r="I127" s="336"/>
      <c r="J127" s="336"/>
    </row>
    <row r="128" spans="8:10">
      <c r="H128" s="336"/>
      <c r="I128" s="336"/>
      <c r="J128" s="336"/>
    </row>
    <row r="129" spans="8:10">
      <c r="H129" s="336"/>
      <c r="I129" s="336"/>
      <c r="J129" s="336"/>
    </row>
    <row r="130" spans="8:10">
      <c r="H130" s="336"/>
      <c r="I130" s="336"/>
      <c r="J130" s="336"/>
    </row>
    <row r="131" spans="8:10">
      <c r="H131" s="336"/>
      <c r="I131" s="336"/>
      <c r="J131" s="336"/>
    </row>
    <row r="132" spans="8:10">
      <c r="H132" s="336"/>
      <c r="I132" s="336"/>
      <c r="J132" s="336"/>
    </row>
    <row r="133" spans="8:10">
      <c r="H133" s="336"/>
      <c r="I133" s="336"/>
      <c r="J133" s="336"/>
    </row>
    <row r="134" spans="8:10">
      <c r="H134" s="336"/>
      <c r="I134" s="336"/>
      <c r="J134" s="336"/>
    </row>
    <row r="135" spans="8:10">
      <c r="H135" s="336"/>
      <c r="I135" s="336"/>
      <c r="J135" s="336"/>
    </row>
    <row r="136" spans="8:10">
      <c r="H136" s="336"/>
      <c r="I136" s="336"/>
      <c r="J136" s="336"/>
    </row>
    <row r="137" spans="8:10">
      <c r="H137" s="336"/>
      <c r="I137" s="336"/>
      <c r="J137" s="336"/>
    </row>
    <row r="138" spans="8:10">
      <c r="H138" s="336"/>
      <c r="I138" s="336"/>
      <c r="J138" s="336"/>
    </row>
    <row r="139" spans="8:10">
      <c r="H139" s="336"/>
      <c r="I139" s="336"/>
      <c r="J139" s="336"/>
    </row>
    <row r="140" spans="8:10">
      <c r="H140" s="336"/>
      <c r="I140" s="336"/>
      <c r="J140" s="336"/>
    </row>
    <row r="141" spans="8:10">
      <c r="H141" s="336"/>
      <c r="I141" s="336"/>
      <c r="J141" s="336"/>
    </row>
    <row r="142" spans="8:10">
      <c r="H142" s="336"/>
      <c r="I142" s="336"/>
      <c r="J142" s="336"/>
    </row>
    <row r="143" spans="8:10">
      <c r="H143" s="336"/>
      <c r="I143" s="336"/>
      <c r="J143" s="336"/>
    </row>
    <row r="144" spans="8:10">
      <c r="H144" s="336"/>
      <c r="I144" s="336"/>
      <c r="J144" s="336"/>
    </row>
    <row r="145" spans="8:10">
      <c r="H145" s="336"/>
      <c r="I145" s="336"/>
      <c r="J145" s="336"/>
    </row>
    <row r="146" spans="8:10">
      <c r="H146" s="336"/>
      <c r="I146" s="336"/>
      <c r="J146" s="336"/>
    </row>
    <row r="147" spans="8:10">
      <c r="H147" s="336"/>
      <c r="I147" s="336"/>
      <c r="J147" s="336"/>
    </row>
    <row r="148" spans="8:10">
      <c r="H148" s="336"/>
      <c r="I148" s="336"/>
      <c r="J148" s="336"/>
    </row>
    <row r="149" spans="8:10">
      <c r="H149" s="336"/>
      <c r="I149" s="336"/>
      <c r="J149" s="336"/>
    </row>
    <row r="150" spans="8:10">
      <c r="H150" s="336"/>
      <c r="I150" s="336"/>
      <c r="J150" s="336"/>
    </row>
    <row r="151" spans="8:10">
      <c r="H151" s="336"/>
      <c r="I151" s="336"/>
      <c r="J151" s="336"/>
    </row>
    <row r="152" spans="8:10">
      <c r="H152" s="336"/>
      <c r="I152" s="336"/>
      <c r="J152" s="336"/>
    </row>
    <row r="153" spans="8:10">
      <c r="H153" s="336"/>
      <c r="I153" s="336"/>
      <c r="J153" s="336"/>
    </row>
    <row r="154" spans="8:10">
      <c r="H154" s="336"/>
      <c r="I154" s="336"/>
      <c r="J154" s="336"/>
    </row>
    <row r="155" spans="8:10">
      <c r="H155" s="336"/>
      <c r="I155" s="336"/>
      <c r="J155" s="336"/>
    </row>
    <row r="156" spans="8:10">
      <c r="H156" s="336"/>
      <c r="I156" s="336"/>
      <c r="J156" s="336"/>
    </row>
    <row r="157" spans="8:10">
      <c r="H157" s="336"/>
      <c r="I157" s="336"/>
      <c r="J157" s="336"/>
    </row>
    <row r="158" spans="8:10">
      <c r="H158" s="336"/>
      <c r="I158" s="336"/>
      <c r="J158" s="336"/>
    </row>
    <row r="159" spans="8:10">
      <c r="H159" s="336"/>
      <c r="I159" s="336"/>
      <c r="J159" s="336"/>
    </row>
    <row r="160" spans="8:10">
      <c r="H160" s="336"/>
      <c r="I160" s="336"/>
      <c r="J160" s="336"/>
    </row>
    <row r="161" spans="8:10">
      <c r="H161" s="336"/>
      <c r="I161" s="336"/>
      <c r="J161" s="336"/>
    </row>
    <row r="162" spans="8:10">
      <c r="H162" s="336"/>
      <c r="I162" s="336"/>
      <c r="J162" s="336"/>
    </row>
    <row r="163" spans="8:10">
      <c r="H163" s="336"/>
      <c r="I163" s="336"/>
      <c r="J163" s="336"/>
    </row>
    <row r="164" spans="8:10">
      <c r="H164" s="336"/>
      <c r="I164" s="336"/>
      <c r="J164" s="336"/>
    </row>
    <row r="165" spans="8:10">
      <c r="H165" s="336"/>
      <c r="I165" s="336"/>
      <c r="J165" s="336"/>
    </row>
    <row r="166" spans="8:10">
      <c r="H166" s="336"/>
      <c r="I166" s="336"/>
      <c r="J166" s="336"/>
    </row>
    <row r="167" spans="8:10">
      <c r="H167" s="336"/>
      <c r="I167" s="336"/>
      <c r="J167" s="336"/>
    </row>
    <row r="168" spans="8:10">
      <c r="H168" s="336"/>
      <c r="I168" s="336"/>
      <c r="J168" s="336"/>
    </row>
    <row r="169" spans="8:10">
      <c r="H169" s="336"/>
      <c r="I169" s="336"/>
      <c r="J169" s="336"/>
    </row>
    <row r="170" spans="8:10">
      <c r="H170" s="336"/>
      <c r="I170" s="336"/>
      <c r="J170" s="336"/>
    </row>
    <row r="171" spans="8:10">
      <c r="H171" s="336"/>
      <c r="I171" s="336"/>
      <c r="J171" s="336"/>
    </row>
    <row r="172" spans="8:10">
      <c r="H172" s="336"/>
      <c r="I172" s="336"/>
      <c r="J172" s="336"/>
    </row>
    <row r="173" spans="8:10">
      <c r="H173" s="336"/>
      <c r="I173" s="336"/>
      <c r="J173" s="336"/>
    </row>
    <row r="174" spans="8:10">
      <c r="H174" s="336"/>
      <c r="I174" s="336"/>
      <c r="J174" s="336"/>
    </row>
    <row r="175" spans="8:10">
      <c r="H175" s="336"/>
      <c r="I175" s="336"/>
      <c r="J175" s="336"/>
    </row>
    <row r="176" spans="8:10">
      <c r="H176" s="336"/>
      <c r="I176" s="336"/>
      <c r="J176" s="336"/>
    </row>
    <row r="177" spans="8:10">
      <c r="H177" s="336"/>
      <c r="I177" s="336"/>
      <c r="J177" s="336"/>
    </row>
    <row r="178" spans="8:10">
      <c r="H178" s="336"/>
      <c r="I178" s="336"/>
      <c r="J178" s="336"/>
    </row>
    <row r="179" spans="8:10">
      <c r="H179" s="336"/>
      <c r="I179" s="336"/>
      <c r="J179" s="336"/>
    </row>
    <row r="180" spans="8:10">
      <c r="H180" s="336"/>
      <c r="I180" s="336"/>
      <c r="J180" s="336"/>
    </row>
    <row r="181" spans="8:10">
      <c r="H181" s="336"/>
      <c r="I181" s="336"/>
      <c r="J181" s="336"/>
    </row>
    <row r="182" spans="8:10">
      <c r="H182" s="336"/>
      <c r="I182" s="336"/>
      <c r="J182" s="336"/>
    </row>
    <row r="183" spans="8:10">
      <c r="H183" s="336"/>
      <c r="I183" s="336"/>
      <c r="J183" s="336"/>
    </row>
    <row r="184" spans="8:10">
      <c r="H184" s="336"/>
      <c r="I184" s="336"/>
      <c r="J184" s="336"/>
    </row>
    <row r="185" spans="8:10">
      <c r="H185" s="336"/>
      <c r="I185" s="336"/>
      <c r="J185" s="336"/>
    </row>
    <row r="186" spans="8:10">
      <c r="H186" s="336"/>
      <c r="I186" s="336"/>
      <c r="J186" s="336"/>
    </row>
    <row r="187" spans="8:10">
      <c r="H187" s="336"/>
      <c r="I187" s="336"/>
      <c r="J187" s="336"/>
    </row>
    <row r="188" spans="8:10">
      <c r="H188" s="336"/>
      <c r="I188" s="336"/>
      <c r="J188" s="336"/>
    </row>
    <row r="189" spans="8:10">
      <c r="H189" s="336"/>
      <c r="I189" s="336"/>
      <c r="J189" s="336"/>
    </row>
    <row r="190" spans="8:10">
      <c r="H190" s="336"/>
      <c r="I190" s="336"/>
      <c r="J190" s="336"/>
    </row>
    <row r="191" spans="8:10">
      <c r="H191" s="336"/>
      <c r="I191" s="336"/>
      <c r="J191" s="336"/>
    </row>
    <row r="192" spans="8:10">
      <c r="H192" s="336"/>
      <c r="I192" s="336"/>
      <c r="J192" s="336"/>
    </row>
    <row r="193" spans="8:10">
      <c r="H193" s="336"/>
      <c r="I193" s="336"/>
      <c r="J193" s="336"/>
    </row>
    <row r="194" spans="8:10">
      <c r="H194" s="336"/>
      <c r="I194" s="336"/>
      <c r="J194" s="336"/>
    </row>
    <row r="195" spans="8:10">
      <c r="H195" s="336"/>
      <c r="I195" s="336"/>
      <c r="J195" s="336"/>
    </row>
    <row r="196" spans="8:10">
      <c r="H196" s="336"/>
      <c r="I196" s="336"/>
      <c r="J196" s="336"/>
    </row>
    <row r="197" spans="8:10">
      <c r="H197" s="336"/>
      <c r="I197" s="336"/>
      <c r="J197" s="336"/>
    </row>
    <row r="198" spans="8:10">
      <c r="H198" s="336"/>
      <c r="I198" s="336"/>
      <c r="J198" s="336"/>
    </row>
    <row r="199" spans="8:10">
      <c r="H199" s="336"/>
      <c r="I199" s="336"/>
      <c r="J199" s="336"/>
    </row>
    <row r="200" spans="8:10">
      <c r="H200" s="336"/>
      <c r="I200" s="336"/>
      <c r="J200" s="336"/>
    </row>
    <row r="201" spans="8:10">
      <c r="H201" s="336"/>
      <c r="I201" s="336"/>
      <c r="J201" s="336"/>
    </row>
    <row r="202" spans="8:10">
      <c r="H202" s="336"/>
      <c r="I202" s="336"/>
      <c r="J202" s="336"/>
    </row>
    <row r="203" spans="8:10">
      <c r="H203" s="336"/>
      <c r="I203" s="336"/>
      <c r="J203" s="336"/>
    </row>
    <row r="204" spans="8:10">
      <c r="H204" s="336"/>
      <c r="I204" s="336"/>
      <c r="J204" s="336"/>
    </row>
    <row r="205" spans="8:10">
      <c r="H205" s="336"/>
      <c r="I205" s="336"/>
      <c r="J205" s="336"/>
    </row>
    <row r="206" spans="8:10">
      <c r="H206" s="336"/>
      <c r="I206" s="336"/>
      <c r="J206" s="336"/>
    </row>
    <row r="207" spans="8:10">
      <c r="H207" s="336"/>
      <c r="I207" s="336"/>
      <c r="J207" s="336"/>
    </row>
    <row r="208" spans="8:10">
      <c r="H208" s="336"/>
      <c r="I208" s="336"/>
      <c r="J208" s="336"/>
    </row>
    <row r="209" spans="8:10">
      <c r="H209" s="336"/>
      <c r="I209" s="336"/>
      <c r="J209" s="336"/>
    </row>
    <row r="210" spans="8:10">
      <c r="H210" s="336"/>
      <c r="I210" s="336"/>
      <c r="J210" s="336"/>
    </row>
    <row r="211" spans="8:10">
      <c r="H211" s="336"/>
      <c r="I211" s="336"/>
      <c r="J211" s="336"/>
    </row>
    <row r="212" spans="8:10">
      <c r="H212" s="336"/>
      <c r="I212" s="336"/>
      <c r="J212" s="336"/>
    </row>
    <row r="213" spans="8:10">
      <c r="H213" s="336"/>
      <c r="I213" s="336"/>
      <c r="J213" s="336"/>
    </row>
    <row r="214" spans="8:10">
      <c r="H214" s="336"/>
      <c r="I214" s="336"/>
      <c r="J214" s="336"/>
    </row>
    <row r="215" spans="8:10">
      <c r="H215" s="336"/>
      <c r="I215" s="336"/>
      <c r="J215" s="336"/>
    </row>
    <row r="216" spans="8:10">
      <c r="H216" s="336"/>
      <c r="I216" s="336"/>
      <c r="J216" s="336"/>
    </row>
    <row r="217" spans="8:10">
      <c r="H217" s="336"/>
      <c r="I217" s="336"/>
      <c r="J217" s="336"/>
    </row>
    <row r="218" spans="8:10">
      <c r="H218" s="336"/>
      <c r="I218" s="336"/>
      <c r="J218" s="336"/>
    </row>
    <row r="219" spans="8:10">
      <c r="H219" s="336"/>
      <c r="I219" s="336"/>
      <c r="J219" s="336"/>
    </row>
    <row r="220" spans="8:10">
      <c r="H220" s="336"/>
      <c r="I220" s="336"/>
      <c r="J220" s="336"/>
    </row>
    <row r="221" spans="8:10">
      <c r="H221" s="336"/>
      <c r="I221" s="336"/>
      <c r="J221" s="336"/>
    </row>
    <row r="222" spans="8:10">
      <c r="H222" s="336"/>
      <c r="I222" s="336"/>
      <c r="J222" s="336"/>
    </row>
    <row r="223" spans="8:10">
      <c r="H223" s="336"/>
      <c r="I223" s="336"/>
      <c r="J223" s="336"/>
    </row>
    <row r="224" spans="8:10">
      <c r="H224" s="336"/>
      <c r="I224" s="336"/>
      <c r="J224" s="336"/>
    </row>
    <row r="225" spans="8:10">
      <c r="H225" s="336"/>
      <c r="I225" s="336"/>
      <c r="J225" s="336"/>
    </row>
    <row r="226" spans="8:10">
      <c r="H226" s="336"/>
      <c r="I226" s="336"/>
      <c r="J226" s="336"/>
    </row>
    <row r="227" spans="8:10">
      <c r="H227" s="336"/>
      <c r="I227" s="336"/>
      <c r="J227" s="336"/>
    </row>
    <row r="228" spans="8:10">
      <c r="H228" s="336"/>
      <c r="I228" s="336"/>
      <c r="J228" s="336"/>
    </row>
    <row r="229" spans="8:10">
      <c r="H229" s="336"/>
      <c r="I229" s="336"/>
      <c r="J229" s="336"/>
    </row>
    <row r="230" spans="8:10">
      <c r="H230" s="336"/>
      <c r="I230" s="336"/>
      <c r="J230" s="336"/>
    </row>
    <row r="231" spans="8:10">
      <c r="H231" s="336"/>
      <c r="I231" s="336"/>
      <c r="J231" s="336"/>
    </row>
    <row r="232" spans="8:10">
      <c r="H232" s="336"/>
      <c r="I232" s="336"/>
      <c r="J232" s="336"/>
    </row>
    <row r="233" spans="8:10">
      <c r="H233" s="336"/>
      <c r="I233" s="336"/>
      <c r="J233" s="336"/>
    </row>
    <row r="234" spans="8:10">
      <c r="H234" s="336"/>
      <c r="I234" s="336"/>
      <c r="J234" s="336"/>
    </row>
    <row r="235" spans="8:10">
      <c r="H235" s="336"/>
      <c r="I235" s="336"/>
      <c r="J235" s="336"/>
    </row>
    <row r="236" spans="8:10">
      <c r="H236" s="336"/>
      <c r="I236" s="336"/>
      <c r="J236" s="336"/>
    </row>
    <row r="237" spans="8:10">
      <c r="H237" s="336"/>
      <c r="I237" s="336"/>
      <c r="J237" s="336"/>
    </row>
    <row r="238" spans="8:10">
      <c r="H238" s="336"/>
      <c r="I238" s="336"/>
      <c r="J238" s="336"/>
    </row>
    <row r="239" spans="8:10">
      <c r="H239" s="336"/>
      <c r="I239" s="336"/>
      <c r="J239" s="336"/>
    </row>
    <row r="240" spans="8:10">
      <c r="H240" s="336"/>
      <c r="I240" s="336"/>
      <c r="J240" s="336"/>
    </row>
    <row r="241" spans="8:10">
      <c r="H241" s="336"/>
      <c r="I241" s="336"/>
      <c r="J241" s="336"/>
    </row>
    <row r="242" spans="8:10">
      <c r="H242" s="336"/>
      <c r="I242" s="336"/>
      <c r="J242" s="336"/>
    </row>
    <row r="243" spans="8:10">
      <c r="H243" s="336"/>
      <c r="I243" s="336"/>
      <c r="J243" s="336"/>
    </row>
    <row r="244" spans="8:10">
      <c r="H244" s="336"/>
      <c r="I244" s="336"/>
      <c r="J244" s="336"/>
    </row>
    <row r="245" spans="8:10">
      <c r="H245" s="336"/>
      <c r="I245" s="336"/>
      <c r="J245" s="336"/>
    </row>
    <row r="246" spans="8:10">
      <c r="H246" s="336"/>
      <c r="I246" s="336"/>
      <c r="J246" s="336"/>
    </row>
    <row r="247" spans="8:10">
      <c r="H247" s="336"/>
      <c r="I247" s="336"/>
      <c r="J247" s="336"/>
    </row>
    <row r="248" spans="8:10">
      <c r="H248" s="336"/>
      <c r="I248" s="336"/>
      <c r="J248" s="336"/>
    </row>
    <row r="249" spans="8:10">
      <c r="H249" s="336"/>
      <c r="I249" s="336"/>
      <c r="J249" s="336"/>
    </row>
    <row r="250" spans="8:10">
      <c r="H250" s="336"/>
      <c r="I250" s="336"/>
      <c r="J250" s="336"/>
    </row>
    <row r="251" spans="8:10">
      <c r="H251" s="336"/>
      <c r="I251" s="336"/>
      <c r="J251" s="336"/>
    </row>
    <row r="252" spans="8:10">
      <c r="H252" s="336"/>
      <c r="I252" s="336"/>
      <c r="J252" s="336"/>
    </row>
    <row r="253" spans="8:10">
      <c r="H253" s="336"/>
      <c r="I253" s="336"/>
      <c r="J253" s="336"/>
    </row>
    <row r="254" spans="8:10">
      <c r="H254" s="336"/>
      <c r="I254" s="336"/>
      <c r="J254" s="336"/>
    </row>
    <row r="255" spans="8:10">
      <c r="H255" s="336"/>
      <c r="I255" s="336"/>
      <c r="J255" s="336"/>
    </row>
    <row r="256" spans="8:10">
      <c r="H256" s="336"/>
      <c r="I256" s="336"/>
      <c r="J256" s="336"/>
    </row>
    <row r="257" spans="8:10">
      <c r="H257" s="336"/>
      <c r="I257" s="336"/>
      <c r="J257" s="336"/>
    </row>
    <row r="258" spans="8:10">
      <c r="H258" s="336"/>
      <c r="I258" s="336"/>
      <c r="J258" s="336"/>
    </row>
    <row r="259" spans="8:10">
      <c r="H259" s="336"/>
      <c r="I259" s="336"/>
      <c r="J259" s="336"/>
    </row>
    <row r="260" spans="8:10">
      <c r="H260" s="336"/>
      <c r="I260" s="336"/>
      <c r="J260" s="336"/>
    </row>
    <row r="261" spans="8:10">
      <c r="H261" s="336"/>
      <c r="I261" s="336"/>
      <c r="J261" s="336"/>
    </row>
    <row r="262" spans="8:10">
      <c r="H262" s="336"/>
      <c r="I262" s="336"/>
      <c r="J262" s="336"/>
    </row>
    <row r="263" spans="8:10">
      <c r="H263" s="336"/>
      <c r="I263" s="336"/>
      <c r="J263" s="336"/>
    </row>
    <row r="264" spans="8:10">
      <c r="H264" s="336"/>
      <c r="I264" s="336"/>
      <c r="J264" s="336"/>
    </row>
    <row r="265" spans="8:10">
      <c r="H265" s="336"/>
      <c r="I265" s="336"/>
      <c r="J265" s="336"/>
    </row>
    <row r="266" spans="8:10">
      <c r="H266" s="336"/>
      <c r="I266" s="336"/>
      <c r="J266" s="336"/>
    </row>
    <row r="267" spans="8:10">
      <c r="H267" s="336"/>
      <c r="I267" s="336"/>
      <c r="J267" s="336"/>
    </row>
    <row r="268" spans="8:10">
      <c r="H268" s="336"/>
      <c r="I268" s="336"/>
      <c r="J268" s="336"/>
    </row>
    <row r="269" spans="8:10">
      <c r="H269" s="336"/>
      <c r="I269" s="336"/>
      <c r="J269" s="336"/>
    </row>
    <row r="270" spans="8:10">
      <c r="H270" s="336"/>
      <c r="I270" s="336"/>
      <c r="J270" s="336"/>
    </row>
    <row r="271" spans="8:10">
      <c r="H271" s="336"/>
      <c r="I271" s="336"/>
      <c r="J271" s="336"/>
    </row>
    <row r="272" spans="8:10">
      <c r="H272" s="336"/>
      <c r="I272" s="336"/>
      <c r="J272" s="336"/>
    </row>
    <row r="273" spans="8:10">
      <c r="H273" s="336"/>
      <c r="I273" s="336"/>
      <c r="J273" s="336"/>
    </row>
    <row r="274" spans="8:10">
      <c r="H274" s="336"/>
      <c r="I274" s="336"/>
      <c r="J274" s="336"/>
    </row>
    <row r="275" spans="8:10">
      <c r="H275" s="336"/>
      <c r="I275" s="336"/>
      <c r="J275" s="336"/>
    </row>
    <row r="276" spans="8:10">
      <c r="H276" s="336"/>
      <c r="I276" s="336"/>
      <c r="J276" s="336"/>
    </row>
    <row r="277" spans="8:10">
      <c r="H277" s="336"/>
      <c r="I277" s="336"/>
      <c r="J277" s="336"/>
    </row>
    <row r="278" spans="8:10">
      <c r="H278" s="336"/>
      <c r="I278" s="336"/>
      <c r="J278" s="336"/>
    </row>
    <row r="279" spans="8:10">
      <c r="H279" s="336"/>
      <c r="I279" s="336"/>
      <c r="J279" s="336"/>
    </row>
    <row r="280" spans="8:10">
      <c r="H280" s="336"/>
      <c r="I280" s="336"/>
      <c r="J280" s="336"/>
    </row>
    <row r="281" spans="8:10">
      <c r="H281" s="336"/>
      <c r="I281" s="336"/>
      <c r="J281" s="336"/>
    </row>
    <row r="282" spans="8:10">
      <c r="H282" s="336"/>
      <c r="I282" s="336"/>
      <c r="J282" s="336"/>
    </row>
    <row r="283" spans="8:10">
      <c r="H283" s="336"/>
      <c r="I283" s="336"/>
      <c r="J283" s="336"/>
    </row>
    <row r="284" spans="8:10">
      <c r="H284" s="336"/>
      <c r="I284" s="336"/>
      <c r="J284" s="336"/>
    </row>
    <row r="285" spans="8:10">
      <c r="H285" s="336"/>
      <c r="I285" s="336"/>
      <c r="J285" s="336"/>
    </row>
    <row r="286" spans="8:10">
      <c r="H286" s="336"/>
      <c r="I286" s="336"/>
      <c r="J286" s="336"/>
    </row>
    <row r="287" spans="8:10">
      <c r="H287" s="336"/>
      <c r="I287" s="336"/>
      <c r="J287" s="336"/>
    </row>
    <row r="288" spans="8:10">
      <c r="H288" s="336"/>
      <c r="I288" s="336"/>
      <c r="J288" s="336"/>
    </row>
    <row r="289" spans="8:10">
      <c r="H289" s="336"/>
      <c r="I289" s="336"/>
      <c r="J289" s="336"/>
    </row>
    <row r="290" spans="8:10">
      <c r="H290" s="336"/>
      <c r="I290" s="336"/>
      <c r="J290" s="336"/>
    </row>
    <row r="291" spans="8:10">
      <c r="H291" s="336"/>
      <c r="I291" s="336"/>
      <c r="J291" s="336"/>
    </row>
    <row r="292" spans="8:10">
      <c r="H292" s="336"/>
      <c r="I292" s="336"/>
      <c r="J292" s="336"/>
    </row>
    <row r="293" spans="8:10">
      <c r="H293" s="336"/>
      <c r="I293" s="336"/>
      <c r="J293" s="336"/>
    </row>
    <row r="294" spans="8:10">
      <c r="H294" s="336"/>
      <c r="I294" s="336"/>
      <c r="J294" s="336"/>
    </row>
    <row r="295" spans="8:10">
      <c r="H295" s="336"/>
      <c r="I295" s="336"/>
      <c r="J295" s="336"/>
    </row>
    <row r="296" spans="8:10">
      <c r="H296" s="336"/>
      <c r="I296" s="336"/>
      <c r="J296" s="336"/>
    </row>
    <row r="297" spans="8:10">
      <c r="H297" s="336"/>
      <c r="I297" s="336"/>
      <c r="J297" s="336"/>
    </row>
    <row r="298" spans="8:10">
      <c r="H298" s="336"/>
      <c r="I298" s="336"/>
      <c r="J298" s="336"/>
    </row>
    <row r="299" spans="8:10">
      <c r="H299" s="336"/>
      <c r="I299" s="336"/>
      <c r="J299" s="336"/>
    </row>
    <row r="300" spans="8:10">
      <c r="H300" s="336"/>
      <c r="I300" s="336"/>
      <c r="J300" s="336"/>
    </row>
    <row r="301" spans="8:10">
      <c r="H301" s="336"/>
      <c r="I301" s="336"/>
      <c r="J301" s="336"/>
    </row>
    <row r="302" spans="8:10">
      <c r="H302" s="336"/>
      <c r="I302" s="336"/>
      <c r="J302" s="336"/>
    </row>
    <row r="303" spans="8:10">
      <c r="H303" s="336"/>
      <c r="I303" s="336"/>
      <c r="J303" s="336"/>
    </row>
    <row r="304" spans="8:10">
      <c r="H304" s="336"/>
      <c r="I304" s="336"/>
      <c r="J304" s="336"/>
    </row>
    <row r="305" spans="8:10">
      <c r="H305" s="336"/>
      <c r="I305" s="336"/>
      <c r="J305" s="336"/>
    </row>
    <row r="306" spans="8:10">
      <c r="H306" s="336"/>
      <c r="I306" s="336"/>
      <c r="J306" s="336"/>
    </row>
    <row r="307" spans="8:10">
      <c r="H307" s="336"/>
      <c r="I307" s="336"/>
      <c r="J307" s="336"/>
    </row>
    <row r="308" spans="8:10">
      <c r="H308" s="336"/>
      <c r="I308" s="336"/>
      <c r="J308" s="336"/>
    </row>
    <row r="309" spans="8:10">
      <c r="H309" s="336"/>
      <c r="I309" s="336"/>
      <c r="J309" s="336"/>
    </row>
    <row r="310" spans="8:10">
      <c r="H310" s="336"/>
      <c r="I310" s="336"/>
      <c r="J310" s="336"/>
    </row>
    <row r="311" spans="8:10">
      <c r="H311" s="336"/>
      <c r="I311" s="336"/>
      <c r="J311" s="336"/>
    </row>
    <row r="312" spans="8:10">
      <c r="H312" s="336"/>
      <c r="I312" s="336"/>
      <c r="J312" s="336"/>
    </row>
    <row r="313" spans="8:10">
      <c r="H313" s="336"/>
      <c r="I313" s="336"/>
      <c r="J313" s="336"/>
    </row>
    <row r="314" spans="8:10">
      <c r="H314" s="336"/>
      <c r="I314" s="336"/>
      <c r="J314" s="336"/>
    </row>
    <row r="315" spans="8:10">
      <c r="H315" s="336"/>
      <c r="I315" s="336"/>
      <c r="J315" s="336"/>
    </row>
    <row r="316" spans="8:10">
      <c r="H316" s="336"/>
      <c r="I316" s="336"/>
      <c r="J316" s="336"/>
    </row>
    <row r="317" spans="8:10">
      <c r="H317" s="336"/>
      <c r="I317" s="336"/>
      <c r="J317" s="336"/>
    </row>
    <row r="318" spans="8:10">
      <c r="H318" s="336"/>
      <c r="I318" s="336"/>
      <c r="J318" s="336"/>
    </row>
    <row r="319" spans="8:10">
      <c r="H319" s="336"/>
      <c r="I319" s="336"/>
      <c r="J319" s="336"/>
    </row>
    <row r="320" spans="8:10">
      <c r="H320" s="336"/>
      <c r="I320" s="336"/>
      <c r="J320" s="336"/>
    </row>
    <row r="321" spans="8:10">
      <c r="H321" s="336"/>
      <c r="I321" s="336"/>
      <c r="J321" s="336"/>
    </row>
    <row r="322" spans="8:10">
      <c r="H322" s="336"/>
      <c r="I322" s="336"/>
      <c r="J322" s="336"/>
    </row>
    <row r="323" spans="8:10">
      <c r="H323" s="336"/>
      <c r="I323" s="336"/>
      <c r="J323" s="336"/>
    </row>
    <row r="324" spans="8:10">
      <c r="H324" s="336"/>
      <c r="I324" s="336"/>
      <c r="J324" s="336"/>
    </row>
    <row r="325" spans="8:10">
      <c r="H325" s="336"/>
      <c r="I325" s="336"/>
      <c r="J325" s="336"/>
    </row>
    <row r="326" spans="8:10">
      <c r="H326" s="336"/>
      <c r="I326" s="336"/>
      <c r="J326" s="336"/>
    </row>
    <row r="327" spans="8:10">
      <c r="H327" s="336"/>
      <c r="I327" s="336"/>
      <c r="J327" s="336"/>
    </row>
    <row r="328" spans="8:10">
      <c r="H328" s="336"/>
      <c r="I328" s="336"/>
      <c r="J328" s="336"/>
    </row>
    <row r="329" spans="8:10">
      <c r="H329" s="336"/>
      <c r="I329" s="336"/>
      <c r="J329" s="336"/>
    </row>
    <row r="330" spans="8:10">
      <c r="H330" s="336"/>
      <c r="I330" s="336"/>
      <c r="J330" s="336"/>
    </row>
    <row r="331" spans="8:10">
      <c r="H331" s="336"/>
      <c r="I331" s="336"/>
      <c r="J331" s="336"/>
    </row>
    <row r="332" spans="8:10">
      <c r="H332" s="336"/>
      <c r="I332" s="336"/>
      <c r="J332" s="336"/>
    </row>
    <row r="333" spans="8:10">
      <c r="H333" s="336"/>
      <c r="I333" s="336"/>
      <c r="J333" s="336"/>
    </row>
    <row r="334" spans="8:10">
      <c r="H334" s="336"/>
      <c r="I334" s="336"/>
      <c r="J334" s="336"/>
    </row>
    <row r="335" spans="8:10">
      <c r="H335" s="336"/>
      <c r="I335" s="336"/>
      <c r="J335" s="336"/>
    </row>
    <row r="336" spans="8:10">
      <c r="H336" s="336"/>
      <c r="I336" s="336"/>
      <c r="J336" s="336"/>
    </row>
    <row r="337" spans="8:10">
      <c r="H337" s="336"/>
      <c r="I337" s="336"/>
      <c r="J337" s="336"/>
    </row>
    <row r="338" spans="8:10">
      <c r="H338" s="336"/>
      <c r="I338" s="336"/>
      <c r="J338" s="336"/>
    </row>
    <row r="339" spans="8:10">
      <c r="H339" s="336"/>
      <c r="I339" s="336"/>
      <c r="J339" s="336"/>
    </row>
    <row r="340" spans="8:10">
      <c r="H340" s="336"/>
      <c r="I340" s="336"/>
      <c r="J340" s="336"/>
    </row>
    <row r="341" spans="8:10">
      <c r="H341" s="336"/>
      <c r="I341" s="336"/>
      <c r="J341" s="336"/>
    </row>
    <row r="342" spans="8:10">
      <c r="H342" s="336"/>
      <c r="I342" s="336"/>
      <c r="J342" s="336"/>
    </row>
    <row r="343" spans="8:10">
      <c r="H343" s="336"/>
      <c r="I343" s="336"/>
      <c r="J343" s="336"/>
    </row>
    <row r="344" spans="8:10">
      <c r="H344" s="336"/>
      <c r="I344" s="336"/>
      <c r="J344" s="336"/>
    </row>
    <row r="345" spans="8:10">
      <c r="H345" s="336"/>
      <c r="I345" s="336"/>
      <c r="J345" s="336"/>
    </row>
    <row r="346" spans="8:10">
      <c r="H346" s="336"/>
      <c r="I346" s="336"/>
      <c r="J346" s="336"/>
    </row>
    <row r="347" spans="8:10">
      <c r="H347" s="336"/>
      <c r="I347" s="336"/>
      <c r="J347" s="336"/>
    </row>
    <row r="348" spans="8:10">
      <c r="H348" s="336"/>
      <c r="I348" s="336"/>
      <c r="J348" s="336"/>
    </row>
    <row r="349" spans="8:10">
      <c r="H349" s="336"/>
      <c r="I349" s="336"/>
      <c r="J349" s="336"/>
    </row>
    <row r="350" spans="8:10">
      <c r="H350" s="336"/>
      <c r="I350" s="336"/>
      <c r="J350" s="336"/>
    </row>
    <row r="351" spans="8:10">
      <c r="H351" s="336"/>
      <c r="I351" s="336"/>
      <c r="J351" s="336"/>
    </row>
    <row r="352" spans="8:10">
      <c r="H352" s="336"/>
      <c r="I352" s="336"/>
      <c r="J352" s="336"/>
    </row>
    <row r="353" spans="8:10">
      <c r="H353" s="336"/>
      <c r="I353" s="336"/>
      <c r="J353" s="336"/>
    </row>
    <row r="354" spans="8:10">
      <c r="H354" s="336"/>
      <c r="I354" s="336"/>
      <c r="J354" s="336"/>
    </row>
    <row r="355" spans="8:10">
      <c r="H355" s="336"/>
      <c r="I355" s="336"/>
      <c r="J355" s="336"/>
    </row>
    <row r="356" spans="8:10">
      <c r="H356" s="336"/>
      <c r="I356" s="336"/>
      <c r="J356" s="336"/>
    </row>
    <row r="357" spans="8:10">
      <c r="H357" s="336"/>
      <c r="I357" s="336"/>
      <c r="J357" s="336"/>
    </row>
    <row r="358" spans="8:10">
      <c r="H358" s="336"/>
      <c r="I358" s="336"/>
      <c r="J358" s="336"/>
    </row>
    <row r="359" spans="8:10">
      <c r="H359" s="336"/>
      <c r="I359" s="336"/>
      <c r="J359" s="336"/>
    </row>
    <row r="360" spans="8:10">
      <c r="H360" s="336"/>
      <c r="I360" s="336"/>
      <c r="J360" s="336"/>
    </row>
    <row r="361" spans="8:10">
      <c r="H361" s="336"/>
      <c r="I361" s="336"/>
      <c r="J361" s="336"/>
    </row>
    <row r="362" spans="8:10">
      <c r="H362" s="336"/>
      <c r="I362" s="336"/>
      <c r="J362" s="336"/>
    </row>
    <row r="363" spans="8:10">
      <c r="H363" s="336"/>
      <c r="I363" s="336"/>
      <c r="J363" s="336"/>
    </row>
    <row r="364" spans="8:10">
      <c r="H364" s="336"/>
      <c r="I364" s="336"/>
      <c r="J364" s="336"/>
    </row>
    <row r="365" spans="8:10">
      <c r="H365" s="336"/>
      <c r="I365" s="336"/>
      <c r="J365" s="336"/>
    </row>
    <row r="366" spans="8:10">
      <c r="H366" s="336"/>
      <c r="I366" s="336"/>
      <c r="J366" s="336"/>
    </row>
    <row r="367" spans="8:10">
      <c r="H367" s="336"/>
      <c r="I367" s="336"/>
      <c r="J367" s="336"/>
    </row>
    <row r="368" spans="8:10">
      <c r="H368" s="336"/>
      <c r="I368" s="336"/>
      <c r="J368" s="336"/>
    </row>
    <row r="369" spans="8:10">
      <c r="H369" s="336"/>
      <c r="I369" s="336"/>
      <c r="J369" s="336"/>
    </row>
    <row r="370" spans="8:10">
      <c r="H370" s="336"/>
      <c r="I370" s="336"/>
      <c r="J370" s="336"/>
    </row>
    <row r="371" spans="8:10">
      <c r="H371" s="336"/>
      <c r="I371" s="336"/>
      <c r="J371" s="336"/>
    </row>
    <row r="372" spans="8:10">
      <c r="H372" s="336"/>
      <c r="I372" s="336"/>
      <c r="J372" s="336"/>
    </row>
    <row r="373" spans="8:10">
      <c r="H373" s="336"/>
      <c r="I373" s="336"/>
      <c r="J373" s="336"/>
    </row>
    <row r="374" spans="8:10">
      <c r="H374" s="336"/>
      <c r="I374" s="336"/>
      <c r="J374" s="336"/>
    </row>
    <row r="375" spans="8:10">
      <c r="H375" s="336"/>
      <c r="I375" s="336"/>
      <c r="J375" s="336"/>
    </row>
    <row r="376" spans="8:10">
      <c r="H376" s="336"/>
      <c r="I376" s="336"/>
      <c r="J376" s="336"/>
    </row>
    <row r="377" spans="8:10">
      <c r="H377" s="336"/>
      <c r="I377" s="336"/>
      <c r="J377" s="336"/>
    </row>
    <row r="378" spans="8:10">
      <c r="H378" s="336"/>
      <c r="I378" s="336"/>
      <c r="J378" s="336"/>
    </row>
    <row r="379" spans="8:10">
      <c r="H379" s="336"/>
      <c r="I379" s="336"/>
      <c r="J379" s="336"/>
    </row>
    <row r="380" spans="8:10">
      <c r="H380" s="336"/>
      <c r="I380" s="336"/>
      <c r="J380" s="336"/>
    </row>
    <row r="381" spans="8:10">
      <c r="H381" s="336"/>
      <c r="I381" s="336"/>
      <c r="J381" s="336"/>
    </row>
    <row r="382" spans="8:10">
      <c r="H382" s="336"/>
      <c r="I382" s="336"/>
      <c r="J382" s="336"/>
    </row>
    <row r="383" spans="8:10">
      <c r="H383" s="336"/>
      <c r="I383" s="336"/>
      <c r="J383" s="336"/>
    </row>
    <row r="384" spans="8:10">
      <c r="H384" s="336"/>
      <c r="I384" s="336"/>
      <c r="J384" s="336"/>
    </row>
    <row r="385" spans="8:10">
      <c r="H385" s="336"/>
      <c r="I385" s="336"/>
      <c r="J385" s="336"/>
    </row>
    <row r="386" spans="8:10">
      <c r="H386" s="336"/>
      <c r="I386" s="336"/>
      <c r="J386" s="336"/>
    </row>
    <row r="387" spans="8:10">
      <c r="H387" s="336"/>
      <c r="I387" s="336"/>
      <c r="J387" s="336"/>
    </row>
    <row r="388" spans="8:10">
      <c r="H388" s="336"/>
      <c r="I388" s="336"/>
      <c r="J388" s="336"/>
    </row>
    <row r="389" spans="8:10">
      <c r="H389" s="336"/>
      <c r="I389" s="336"/>
      <c r="J389" s="336"/>
    </row>
    <row r="390" spans="8:10">
      <c r="H390" s="336"/>
      <c r="I390" s="336"/>
      <c r="J390" s="336"/>
    </row>
    <row r="391" spans="8:10">
      <c r="H391" s="336"/>
      <c r="I391" s="336"/>
      <c r="J391" s="336"/>
    </row>
    <row r="392" spans="8:10">
      <c r="H392" s="336"/>
      <c r="I392" s="336"/>
      <c r="J392" s="336"/>
    </row>
    <row r="393" spans="8:10">
      <c r="H393" s="336"/>
      <c r="I393" s="336"/>
      <c r="J393" s="336"/>
    </row>
    <row r="394" spans="8:10">
      <c r="H394" s="336"/>
      <c r="I394" s="336"/>
      <c r="J394" s="336"/>
    </row>
    <row r="395" spans="8:10">
      <c r="H395" s="336"/>
      <c r="I395" s="336"/>
      <c r="J395" s="336"/>
    </row>
    <row r="396" spans="8:10">
      <c r="H396" s="336"/>
      <c r="I396" s="336"/>
      <c r="J396" s="336"/>
    </row>
    <row r="397" spans="8:10">
      <c r="H397" s="336"/>
      <c r="I397" s="336"/>
      <c r="J397" s="336"/>
    </row>
    <row r="398" spans="8:10">
      <c r="H398" s="336"/>
      <c r="I398" s="336"/>
      <c r="J398" s="336"/>
    </row>
    <row r="399" spans="8:10">
      <c r="H399" s="336"/>
      <c r="I399" s="336"/>
      <c r="J399" s="336"/>
    </row>
    <row r="400" spans="8:10">
      <c r="H400" s="336"/>
      <c r="I400" s="336"/>
      <c r="J400" s="336"/>
    </row>
    <row r="401" spans="8:10">
      <c r="H401" s="336"/>
      <c r="I401" s="336"/>
      <c r="J401" s="336"/>
    </row>
    <row r="402" spans="8:10">
      <c r="H402" s="336"/>
      <c r="I402" s="336"/>
      <c r="J402" s="336"/>
    </row>
    <row r="403" spans="8:10">
      <c r="H403" s="336"/>
      <c r="I403" s="336"/>
      <c r="J403" s="336"/>
    </row>
    <row r="404" spans="8:10">
      <c r="H404" s="336"/>
      <c r="I404" s="336"/>
      <c r="J404" s="336"/>
    </row>
    <row r="405" spans="8:10">
      <c r="H405" s="336"/>
      <c r="I405" s="336"/>
      <c r="J405" s="336"/>
    </row>
    <row r="406" spans="8:10">
      <c r="H406" s="336"/>
      <c r="I406" s="336"/>
      <c r="J406" s="336"/>
    </row>
    <row r="407" spans="8:10">
      <c r="H407" s="336"/>
      <c r="I407" s="336"/>
      <c r="J407" s="336"/>
    </row>
    <row r="408" spans="8:10">
      <c r="H408" s="336"/>
      <c r="I408" s="336"/>
      <c r="J408" s="336"/>
    </row>
    <row r="409" spans="8:10">
      <c r="H409" s="336"/>
      <c r="I409" s="336"/>
      <c r="J409" s="336"/>
    </row>
    <row r="410" spans="8:10">
      <c r="H410" s="336"/>
      <c r="I410" s="336"/>
      <c r="J410" s="336"/>
    </row>
    <row r="411" spans="8:10">
      <c r="H411" s="336"/>
      <c r="I411" s="336"/>
      <c r="J411" s="336"/>
    </row>
    <row r="412" spans="8:10">
      <c r="H412" s="336"/>
      <c r="I412" s="336"/>
      <c r="J412" s="336"/>
    </row>
    <row r="413" spans="8:10">
      <c r="H413" s="336"/>
      <c r="I413" s="336"/>
      <c r="J413" s="336"/>
    </row>
    <row r="414" spans="8:10">
      <c r="H414" s="336"/>
      <c r="I414" s="336"/>
      <c r="J414" s="336"/>
    </row>
    <row r="415" spans="8:10">
      <c r="H415" s="336"/>
      <c r="I415" s="336"/>
      <c r="J415" s="336"/>
    </row>
    <row r="416" spans="8:10">
      <c r="H416" s="336"/>
      <c r="I416" s="336"/>
      <c r="J416" s="336"/>
    </row>
    <row r="417" spans="8:10">
      <c r="H417" s="336"/>
      <c r="I417" s="336"/>
      <c r="J417" s="336"/>
    </row>
    <row r="418" spans="8:10">
      <c r="H418" s="336"/>
      <c r="I418" s="336"/>
      <c r="J418" s="336"/>
    </row>
    <row r="419" spans="8:10">
      <c r="H419" s="336"/>
      <c r="I419" s="336"/>
      <c r="J419" s="336"/>
    </row>
    <row r="420" spans="8:10">
      <c r="H420" s="336"/>
      <c r="I420" s="336"/>
      <c r="J420" s="336"/>
    </row>
    <row r="421" spans="8:10">
      <c r="H421" s="336"/>
      <c r="I421" s="336"/>
      <c r="J421" s="336"/>
    </row>
    <row r="422" spans="8:10">
      <c r="H422" s="336"/>
      <c r="I422" s="336"/>
      <c r="J422" s="336"/>
    </row>
    <row r="423" spans="8:10">
      <c r="H423" s="336"/>
      <c r="I423" s="336"/>
      <c r="J423" s="336"/>
    </row>
    <row r="424" spans="8:10">
      <c r="H424" s="336"/>
      <c r="I424" s="336"/>
      <c r="J424" s="336"/>
    </row>
    <row r="425" spans="8:10">
      <c r="H425" s="336"/>
      <c r="I425" s="336"/>
      <c r="J425" s="336"/>
    </row>
    <row r="426" spans="8:10">
      <c r="H426" s="336"/>
      <c r="I426" s="336"/>
      <c r="J426" s="336"/>
    </row>
    <row r="427" spans="8:10">
      <c r="H427" s="336"/>
      <c r="I427" s="336"/>
      <c r="J427" s="336"/>
    </row>
    <row r="428" spans="8:10">
      <c r="H428" s="336"/>
      <c r="I428" s="336"/>
      <c r="J428" s="336"/>
    </row>
    <row r="429" spans="8:10">
      <c r="H429" s="336"/>
      <c r="I429" s="336"/>
      <c r="J429" s="336"/>
    </row>
    <row r="430" spans="8:10">
      <c r="H430" s="336"/>
      <c r="I430" s="336"/>
      <c r="J430" s="336"/>
    </row>
    <row r="431" spans="8:10">
      <c r="H431" s="336"/>
      <c r="I431" s="336"/>
      <c r="J431" s="336"/>
    </row>
    <row r="432" spans="8:10">
      <c r="H432" s="336"/>
      <c r="I432" s="336"/>
      <c r="J432" s="336"/>
    </row>
    <row r="433" spans="8:10">
      <c r="H433" s="336"/>
      <c r="I433" s="336"/>
      <c r="J433" s="336"/>
    </row>
    <row r="434" spans="8:10">
      <c r="H434" s="336"/>
      <c r="I434" s="336"/>
      <c r="J434" s="336"/>
    </row>
    <row r="435" spans="8:10">
      <c r="H435" s="336"/>
      <c r="I435" s="336"/>
      <c r="J435" s="336"/>
    </row>
    <row r="436" spans="8:10">
      <c r="H436" s="336"/>
      <c r="I436" s="336"/>
      <c r="J436" s="336"/>
    </row>
    <row r="437" spans="8:10">
      <c r="H437" s="336"/>
      <c r="I437" s="336"/>
      <c r="J437" s="336"/>
    </row>
    <row r="438" spans="8:10">
      <c r="H438" s="336"/>
      <c r="I438" s="336"/>
      <c r="J438" s="336"/>
    </row>
    <row r="439" spans="8:10">
      <c r="H439" s="336"/>
      <c r="I439" s="336"/>
      <c r="J439" s="336"/>
    </row>
    <row r="440" spans="8:10">
      <c r="H440" s="336"/>
      <c r="I440" s="336"/>
      <c r="J440" s="336"/>
    </row>
    <row r="441" spans="8:10">
      <c r="H441" s="336"/>
      <c r="I441" s="336"/>
      <c r="J441" s="336"/>
    </row>
    <row r="442" spans="8:10">
      <c r="H442" s="336"/>
      <c r="I442" s="336"/>
      <c r="J442" s="336"/>
    </row>
    <row r="443" spans="8:10">
      <c r="H443" s="336"/>
      <c r="I443" s="336"/>
      <c r="J443" s="336"/>
    </row>
    <row r="444" spans="8:10">
      <c r="H444" s="336"/>
      <c r="I444" s="336"/>
      <c r="J444" s="336"/>
    </row>
    <row r="445" spans="8:10">
      <c r="H445" s="336"/>
      <c r="I445" s="336"/>
      <c r="J445" s="336"/>
    </row>
    <row r="446" spans="8:10">
      <c r="H446" s="336"/>
      <c r="I446" s="336"/>
      <c r="J446" s="336"/>
    </row>
    <row r="447" spans="8:10">
      <c r="H447" s="336"/>
      <c r="I447" s="336"/>
      <c r="J447" s="336"/>
    </row>
    <row r="448" spans="8:10">
      <c r="H448" s="336"/>
      <c r="I448" s="336"/>
      <c r="J448" s="336"/>
    </row>
    <row r="449" spans="8:10">
      <c r="H449" s="336"/>
      <c r="I449" s="336"/>
      <c r="J449" s="336"/>
    </row>
    <row r="450" spans="8:10">
      <c r="H450" s="336"/>
      <c r="I450" s="336"/>
      <c r="J450" s="336"/>
    </row>
    <row r="451" spans="8:10">
      <c r="H451" s="336"/>
      <c r="I451" s="336"/>
      <c r="J451" s="336"/>
    </row>
    <row r="452" spans="8:10">
      <c r="H452" s="336"/>
      <c r="I452" s="336"/>
      <c r="J452" s="336"/>
    </row>
    <row r="453" spans="8:10">
      <c r="H453" s="336"/>
      <c r="I453" s="336"/>
      <c r="J453" s="336"/>
    </row>
    <row r="454" spans="8:10">
      <c r="H454" s="336"/>
      <c r="I454" s="336"/>
      <c r="J454" s="336"/>
    </row>
    <row r="455" spans="8:10">
      <c r="H455" s="336"/>
      <c r="I455" s="336"/>
      <c r="J455" s="336"/>
    </row>
    <row r="456" spans="8:10">
      <c r="H456" s="336"/>
      <c r="I456" s="336"/>
      <c r="J456" s="336"/>
    </row>
    <row r="457" spans="8:10">
      <c r="H457" s="336"/>
      <c r="I457" s="336"/>
      <c r="J457" s="336"/>
    </row>
    <row r="458" spans="8:10">
      <c r="H458" s="336"/>
      <c r="I458" s="336"/>
      <c r="J458" s="336"/>
    </row>
    <row r="459" spans="8:10">
      <c r="H459" s="336"/>
      <c r="I459" s="336"/>
      <c r="J459" s="336"/>
    </row>
    <row r="460" spans="8:10">
      <c r="H460" s="336"/>
      <c r="I460" s="336"/>
      <c r="J460" s="336"/>
    </row>
    <row r="461" spans="8:10">
      <c r="H461" s="336"/>
      <c r="I461" s="336"/>
      <c r="J461" s="336"/>
    </row>
    <row r="462" spans="8:10">
      <c r="H462" s="336"/>
      <c r="I462" s="336"/>
      <c r="J462" s="336"/>
    </row>
    <row r="463" spans="8:10">
      <c r="H463" s="336"/>
      <c r="I463" s="336"/>
      <c r="J463" s="336"/>
    </row>
    <row r="464" spans="8:10">
      <c r="H464" s="336"/>
      <c r="I464" s="336"/>
      <c r="J464" s="336"/>
    </row>
    <row r="465" spans="8:10">
      <c r="H465" s="336"/>
      <c r="I465" s="336"/>
      <c r="J465" s="336"/>
    </row>
    <row r="466" spans="8:10">
      <c r="H466" s="336"/>
      <c r="I466" s="336"/>
      <c r="J466" s="336"/>
    </row>
    <row r="467" spans="8:10">
      <c r="H467" s="336"/>
      <c r="I467" s="336"/>
      <c r="J467" s="336"/>
    </row>
    <row r="468" spans="8:10">
      <c r="H468" s="336"/>
      <c r="I468" s="336"/>
      <c r="J468" s="336"/>
    </row>
    <row r="469" spans="8:10">
      <c r="H469" s="336"/>
      <c r="I469" s="336"/>
      <c r="J469" s="336"/>
    </row>
    <row r="470" spans="8:10">
      <c r="H470" s="336"/>
      <c r="I470" s="336"/>
      <c r="J470" s="336"/>
    </row>
    <row r="471" spans="8:10">
      <c r="H471" s="336"/>
      <c r="I471" s="336"/>
      <c r="J471" s="336"/>
    </row>
    <row r="472" spans="8:10">
      <c r="H472" s="336"/>
      <c r="I472" s="336"/>
      <c r="J472" s="336"/>
    </row>
    <row r="473" spans="8:10">
      <c r="H473" s="336"/>
      <c r="I473" s="336"/>
      <c r="J473" s="336"/>
    </row>
    <row r="474" spans="8:10">
      <c r="H474" s="336"/>
      <c r="I474" s="336"/>
      <c r="J474" s="336"/>
    </row>
    <row r="475" spans="8:10">
      <c r="H475" s="336"/>
      <c r="I475" s="336"/>
      <c r="J475" s="336"/>
    </row>
    <row r="476" spans="8:10">
      <c r="H476" s="336"/>
      <c r="I476" s="336"/>
      <c r="J476" s="336"/>
    </row>
    <row r="477" spans="8:10">
      <c r="H477" s="336"/>
      <c r="I477" s="336"/>
      <c r="J477" s="336"/>
    </row>
    <row r="478" spans="8:10">
      <c r="H478" s="336"/>
      <c r="I478" s="336"/>
      <c r="J478" s="336"/>
    </row>
    <row r="479" spans="8:10">
      <c r="H479" s="336"/>
      <c r="I479" s="336"/>
      <c r="J479" s="336"/>
    </row>
    <row r="480" spans="8:10">
      <c r="H480" s="336"/>
      <c r="I480" s="336"/>
      <c r="J480" s="336"/>
    </row>
    <row r="481" spans="8:10">
      <c r="H481" s="336"/>
      <c r="I481" s="336"/>
      <c r="J481" s="336"/>
    </row>
    <row r="482" spans="8:10">
      <c r="H482" s="336"/>
      <c r="I482" s="336"/>
      <c r="J482" s="336"/>
    </row>
    <row r="483" spans="8:10">
      <c r="H483" s="336"/>
      <c r="I483" s="336"/>
      <c r="J483" s="336"/>
    </row>
    <row r="484" spans="8:10">
      <c r="H484" s="336"/>
      <c r="I484" s="336"/>
      <c r="J484" s="336"/>
    </row>
    <row r="485" spans="8:10">
      <c r="H485" s="336"/>
      <c r="I485" s="336"/>
      <c r="J485" s="336"/>
    </row>
    <row r="486" spans="8:10">
      <c r="H486" s="336"/>
      <c r="I486" s="336"/>
      <c r="J486" s="336"/>
    </row>
    <row r="487" spans="8:10">
      <c r="H487" s="336"/>
      <c r="I487" s="336"/>
      <c r="J487" s="336"/>
    </row>
    <row r="488" spans="8:10">
      <c r="H488" s="336"/>
      <c r="I488" s="336"/>
      <c r="J488" s="336"/>
    </row>
    <row r="489" spans="8:10">
      <c r="H489" s="336"/>
      <c r="I489" s="336"/>
      <c r="J489" s="336"/>
    </row>
    <row r="490" spans="8:10">
      <c r="H490" s="336"/>
      <c r="I490" s="336"/>
      <c r="J490" s="336"/>
    </row>
    <row r="491" spans="8:10">
      <c r="H491" s="336"/>
      <c r="I491" s="336"/>
      <c r="J491" s="336"/>
    </row>
    <row r="492" spans="8:10">
      <c r="H492" s="336"/>
      <c r="I492" s="336"/>
      <c r="J492" s="336"/>
    </row>
    <row r="493" spans="8:10">
      <c r="H493" s="336"/>
      <c r="I493" s="336"/>
      <c r="J493" s="336"/>
    </row>
    <row r="494" spans="8:10">
      <c r="H494" s="336"/>
      <c r="I494" s="336"/>
      <c r="J494" s="336"/>
    </row>
    <row r="495" spans="8:10">
      <c r="H495" s="336"/>
      <c r="I495" s="336"/>
      <c r="J495" s="336"/>
    </row>
    <row r="496" spans="8:10">
      <c r="H496" s="336"/>
      <c r="I496" s="336"/>
      <c r="J496" s="336"/>
    </row>
    <row r="497" spans="8:10">
      <c r="H497" s="336"/>
      <c r="I497" s="336"/>
      <c r="J497" s="336"/>
    </row>
    <row r="498" spans="8:10">
      <c r="H498" s="336"/>
      <c r="I498" s="336"/>
      <c r="J498" s="336"/>
    </row>
    <row r="499" spans="8:10">
      <c r="H499" s="336"/>
      <c r="I499" s="336"/>
      <c r="J499" s="336"/>
    </row>
    <row r="500" spans="8:10">
      <c r="H500" s="336"/>
      <c r="I500" s="336"/>
      <c r="J500" s="336"/>
    </row>
    <row r="501" spans="8:10">
      <c r="H501" s="336"/>
      <c r="I501" s="336"/>
      <c r="J501" s="336"/>
    </row>
    <row r="502" spans="8:10">
      <c r="H502" s="336"/>
      <c r="I502" s="336"/>
      <c r="J502" s="336"/>
    </row>
    <row r="503" spans="8:10">
      <c r="H503" s="336"/>
      <c r="I503" s="336"/>
      <c r="J503" s="336"/>
    </row>
    <row r="504" spans="8:10">
      <c r="H504" s="336"/>
      <c r="I504" s="336"/>
      <c r="J504" s="336"/>
    </row>
    <row r="505" spans="8:10">
      <c r="H505" s="336"/>
      <c r="I505" s="336"/>
      <c r="J505" s="336"/>
    </row>
    <row r="506" spans="8:10">
      <c r="H506" s="336"/>
      <c r="I506" s="336"/>
      <c r="J506" s="336"/>
    </row>
    <row r="507" spans="8:10">
      <c r="H507" s="336"/>
      <c r="I507" s="336"/>
      <c r="J507" s="336"/>
    </row>
    <row r="508" spans="8:10">
      <c r="H508" s="336"/>
      <c r="I508" s="336"/>
      <c r="J508" s="336"/>
    </row>
    <row r="509" spans="8:10">
      <c r="H509" s="336"/>
      <c r="I509" s="336"/>
      <c r="J509" s="336"/>
    </row>
    <row r="510" spans="8:10">
      <c r="H510" s="336"/>
      <c r="I510" s="336"/>
      <c r="J510" s="336"/>
    </row>
    <row r="511" spans="8:10">
      <c r="H511" s="336"/>
      <c r="I511" s="336"/>
      <c r="J511" s="336"/>
    </row>
    <row r="512" spans="8:10">
      <c r="H512" s="336"/>
      <c r="I512" s="336"/>
      <c r="J512" s="336"/>
    </row>
    <row r="513" spans="8:10">
      <c r="H513" s="336"/>
      <c r="I513" s="336"/>
      <c r="J513" s="336"/>
    </row>
    <row r="514" spans="8:10">
      <c r="H514" s="336"/>
      <c r="I514" s="336"/>
      <c r="J514" s="336"/>
    </row>
    <row r="515" spans="8:10">
      <c r="H515" s="336"/>
      <c r="I515" s="336"/>
      <c r="J515" s="336"/>
    </row>
    <row r="516" spans="8:10">
      <c r="H516" s="336"/>
      <c r="I516" s="336"/>
      <c r="J516" s="336"/>
    </row>
    <row r="517" spans="8:10">
      <c r="H517" s="336"/>
      <c r="I517" s="336"/>
      <c r="J517" s="336"/>
    </row>
    <row r="518" spans="8:10">
      <c r="H518" s="336"/>
      <c r="I518" s="336"/>
      <c r="J518" s="336"/>
    </row>
    <row r="519" spans="8:10">
      <c r="H519" s="336"/>
      <c r="I519" s="336"/>
      <c r="J519" s="336"/>
    </row>
    <row r="520" spans="8:10">
      <c r="H520" s="336"/>
      <c r="I520" s="336"/>
      <c r="J520" s="336"/>
    </row>
    <row r="521" spans="8:10">
      <c r="H521" s="336"/>
      <c r="I521" s="336"/>
      <c r="J521" s="336"/>
    </row>
    <row r="522" spans="8:10">
      <c r="H522" s="336"/>
      <c r="I522" s="336"/>
      <c r="J522" s="336"/>
    </row>
    <row r="523" spans="8:10">
      <c r="H523" s="336"/>
      <c r="I523" s="336"/>
      <c r="J523" s="336"/>
    </row>
    <row r="524" spans="8:10">
      <c r="H524" s="336"/>
      <c r="I524" s="336"/>
      <c r="J524" s="336"/>
    </row>
    <row r="525" spans="8:10">
      <c r="H525" s="336"/>
      <c r="I525" s="336"/>
      <c r="J525" s="336"/>
    </row>
    <row r="526" spans="8:10">
      <c r="H526" s="336"/>
      <c r="I526" s="336"/>
      <c r="J526" s="336"/>
    </row>
    <row r="527" spans="8:10">
      <c r="H527" s="336"/>
      <c r="I527" s="336"/>
      <c r="J527" s="336"/>
    </row>
    <row r="528" spans="8:10">
      <c r="H528" s="336"/>
      <c r="I528" s="336"/>
      <c r="J528" s="336"/>
    </row>
    <row r="529" spans="8:10">
      <c r="H529" s="336"/>
      <c r="I529" s="336"/>
      <c r="J529" s="336"/>
    </row>
    <row r="530" spans="8:10">
      <c r="H530" s="336"/>
      <c r="I530" s="336"/>
      <c r="J530" s="336"/>
    </row>
    <row r="531" spans="8:10">
      <c r="H531" s="336"/>
      <c r="I531" s="336"/>
      <c r="J531" s="336"/>
    </row>
    <row r="532" spans="8:10">
      <c r="H532" s="336"/>
      <c r="I532" s="336"/>
      <c r="J532" s="336"/>
    </row>
    <row r="533" spans="8:10">
      <c r="H533" s="336"/>
      <c r="I533" s="336"/>
      <c r="J533" s="336"/>
    </row>
    <row r="534" spans="8:10">
      <c r="H534" s="336"/>
      <c r="I534" s="336"/>
      <c r="J534" s="336"/>
    </row>
    <row r="535" spans="8:10">
      <c r="H535" s="336"/>
      <c r="I535" s="336"/>
      <c r="J535" s="336"/>
    </row>
    <row r="536" spans="8:10">
      <c r="H536" s="336"/>
      <c r="I536" s="336"/>
      <c r="J536" s="336"/>
    </row>
    <row r="537" spans="8:10">
      <c r="H537" s="336"/>
      <c r="I537" s="336"/>
      <c r="J537" s="336"/>
    </row>
    <row r="538" spans="8:10">
      <c r="H538" s="336"/>
      <c r="I538" s="336"/>
      <c r="J538" s="336"/>
    </row>
    <row r="539" spans="8:10">
      <c r="H539" s="336"/>
      <c r="I539" s="336"/>
      <c r="J539" s="336"/>
    </row>
    <row r="540" spans="8:10">
      <c r="H540" s="336"/>
      <c r="I540" s="336"/>
      <c r="J540" s="336"/>
    </row>
    <row r="541" spans="8:10">
      <c r="H541" s="336"/>
      <c r="I541" s="336"/>
      <c r="J541" s="336"/>
    </row>
    <row r="542" spans="8:10">
      <c r="H542" s="336"/>
      <c r="I542" s="336"/>
      <c r="J542" s="336"/>
    </row>
    <row r="543" spans="8:10">
      <c r="H543" s="336"/>
      <c r="I543" s="336"/>
      <c r="J543" s="336"/>
    </row>
    <row r="544" spans="8:10">
      <c r="H544" s="336"/>
      <c r="I544" s="336"/>
      <c r="J544" s="336"/>
    </row>
    <row r="545" spans="8:10">
      <c r="H545" s="336"/>
      <c r="I545" s="336"/>
      <c r="J545" s="336"/>
    </row>
    <row r="546" spans="8:10">
      <c r="H546" s="336"/>
      <c r="I546" s="336"/>
      <c r="J546" s="336"/>
    </row>
    <row r="547" spans="8:10">
      <c r="H547" s="336"/>
      <c r="I547" s="336"/>
      <c r="J547" s="336"/>
    </row>
    <row r="548" spans="8:10">
      <c r="H548" s="336"/>
      <c r="I548" s="336"/>
      <c r="J548" s="336"/>
    </row>
    <row r="549" spans="8:10">
      <c r="H549" s="336"/>
      <c r="I549" s="336"/>
      <c r="J549" s="336"/>
    </row>
    <row r="550" spans="8:10">
      <c r="H550" s="336"/>
      <c r="I550" s="336"/>
      <c r="J550" s="336"/>
    </row>
    <row r="551" spans="8:10">
      <c r="H551" s="336"/>
      <c r="I551" s="336"/>
      <c r="J551" s="336"/>
    </row>
    <row r="552" spans="8:10">
      <c r="H552" s="336"/>
      <c r="I552" s="336"/>
      <c r="J552" s="336"/>
    </row>
    <row r="553" spans="8:10">
      <c r="H553" s="336"/>
      <c r="I553" s="336"/>
      <c r="J553" s="336"/>
    </row>
    <row r="554" spans="8:10">
      <c r="H554" s="336"/>
      <c r="I554" s="336"/>
      <c r="J554" s="336"/>
    </row>
    <row r="555" spans="8:10">
      <c r="H555" s="336"/>
      <c r="I555" s="336"/>
      <c r="J555" s="336"/>
    </row>
    <row r="556" spans="8:10">
      <c r="H556" s="336"/>
      <c r="I556" s="336"/>
      <c r="J556" s="336"/>
    </row>
    <row r="557" spans="8:10">
      <c r="H557" s="336"/>
      <c r="I557" s="336"/>
      <c r="J557" s="336"/>
    </row>
    <row r="558" spans="8:10">
      <c r="H558" s="336"/>
      <c r="I558" s="336"/>
      <c r="J558" s="336"/>
    </row>
    <row r="559" spans="8:10">
      <c r="H559" s="336"/>
      <c r="I559" s="336"/>
      <c r="J559" s="336"/>
    </row>
    <row r="560" spans="8:10">
      <c r="H560" s="336"/>
      <c r="I560" s="336"/>
      <c r="J560" s="336"/>
    </row>
    <row r="561" spans="8:10">
      <c r="H561" s="336"/>
      <c r="I561" s="336"/>
      <c r="J561" s="336"/>
    </row>
    <row r="562" spans="8:10">
      <c r="H562" s="336"/>
      <c r="I562" s="336"/>
      <c r="J562" s="336"/>
    </row>
    <row r="563" spans="8:10">
      <c r="H563" s="336"/>
      <c r="I563" s="336"/>
      <c r="J563" s="336"/>
    </row>
    <row r="564" spans="8:10">
      <c r="H564" s="336"/>
      <c r="I564" s="336"/>
      <c r="J564" s="336"/>
    </row>
    <row r="565" spans="8:10">
      <c r="H565" s="336"/>
      <c r="I565" s="336"/>
      <c r="J565" s="336"/>
    </row>
    <row r="566" spans="8:10">
      <c r="H566" s="336"/>
      <c r="I566" s="336"/>
      <c r="J566" s="336"/>
    </row>
    <row r="567" spans="8:10">
      <c r="H567" s="336"/>
      <c r="I567" s="336"/>
      <c r="J567" s="336"/>
    </row>
    <row r="568" spans="8:10">
      <c r="H568" s="336"/>
      <c r="I568" s="336"/>
      <c r="J568" s="336"/>
    </row>
    <row r="569" spans="8:10">
      <c r="H569" s="336"/>
      <c r="I569" s="336"/>
      <c r="J569" s="336"/>
    </row>
    <row r="570" spans="8:10">
      <c r="H570" s="336"/>
      <c r="I570" s="336"/>
      <c r="J570" s="336"/>
    </row>
    <row r="571" spans="8:10">
      <c r="H571" s="336"/>
      <c r="I571" s="336"/>
      <c r="J571" s="336"/>
    </row>
    <row r="572" spans="8:10">
      <c r="H572" s="336"/>
      <c r="I572" s="336"/>
      <c r="J572" s="336"/>
    </row>
    <row r="573" spans="8:10">
      <c r="H573" s="336"/>
      <c r="I573" s="336"/>
      <c r="J573" s="336"/>
    </row>
    <row r="574" spans="8:10">
      <c r="H574" s="336"/>
      <c r="I574" s="336"/>
      <c r="J574" s="336"/>
    </row>
    <row r="575" spans="8:10">
      <c r="H575" s="336"/>
      <c r="I575" s="336"/>
      <c r="J575" s="336"/>
    </row>
    <row r="576" spans="8:10">
      <c r="H576" s="336"/>
      <c r="I576" s="336"/>
      <c r="J576" s="336"/>
    </row>
    <row r="577" spans="8:10">
      <c r="H577" s="336"/>
      <c r="I577" s="336"/>
      <c r="J577" s="336"/>
    </row>
    <row r="578" spans="8:10">
      <c r="H578" s="336"/>
      <c r="I578" s="336"/>
      <c r="J578" s="336"/>
    </row>
    <row r="579" spans="8:10">
      <c r="H579" s="336"/>
      <c r="I579" s="336"/>
      <c r="J579" s="336"/>
    </row>
    <row r="580" spans="8:10">
      <c r="H580" s="336"/>
      <c r="I580" s="336"/>
      <c r="J580" s="336"/>
    </row>
    <row r="581" spans="8:10">
      <c r="H581" s="336"/>
      <c r="I581" s="336"/>
      <c r="J581" s="336"/>
    </row>
    <row r="582" spans="8:10">
      <c r="H582" s="336"/>
      <c r="I582" s="336"/>
      <c r="J582" s="336"/>
    </row>
    <row r="583" spans="8:10">
      <c r="H583" s="336"/>
      <c r="I583" s="336"/>
      <c r="J583" s="336"/>
    </row>
    <row r="584" spans="8:10">
      <c r="H584" s="336"/>
      <c r="I584" s="336"/>
      <c r="J584" s="336"/>
    </row>
    <row r="585" spans="8:10">
      <c r="H585" s="336"/>
      <c r="I585" s="336"/>
      <c r="J585" s="336"/>
    </row>
    <row r="586" spans="8:10">
      <c r="H586" s="336"/>
      <c r="I586" s="336"/>
      <c r="J586" s="336"/>
    </row>
    <row r="587" spans="8:10">
      <c r="H587" s="336"/>
      <c r="I587" s="336"/>
      <c r="J587" s="336"/>
    </row>
    <row r="588" spans="8:10">
      <c r="H588" s="336"/>
      <c r="I588" s="336"/>
      <c r="J588" s="336"/>
    </row>
    <row r="589" spans="8:10">
      <c r="H589" s="336"/>
      <c r="I589" s="336"/>
      <c r="J589" s="336"/>
    </row>
    <row r="590" spans="8:10">
      <c r="H590" s="336"/>
      <c r="I590" s="336"/>
      <c r="J590" s="336"/>
    </row>
    <row r="591" spans="8:10">
      <c r="H591" s="336"/>
      <c r="I591" s="336"/>
      <c r="J591" s="336"/>
    </row>
    <row r="592" spans="8:10">
      <c r="H592" s="336"/>
      <c r="I592" s="336"/>
      <c r="J592" s="336"/>
    </row>
    <row r="593" spans="8:10">
      <c r="H593" s="336"/>
      <c r="I593" s="336"/>
      <c r="J593" s="336"/>
    </row>
    <row r="594" spans="8:10">
      <c r="H594" s="336"/>
      <c r="I594" s="336"/>
      <c r="J594" s="336"/>
    </row>
    <row r="595" spans="8:10">
      <c r="H595" s="336"/>
      <c r="I595" s="336"/>
      <c r="J595" s="336"/>
    </row>
    <row r="596" spans="8:10">
      <c r="H596" s="336"/>
      <c r="I596" s="336"/>
      <c r="J596" s="336"/>
    </row>
    <row r="597" spans="8:10">
      <c r="H597" s="336"/>
      <c r="I597" s="336"/>
      <c r="J597" s="336"/>
    </row>
    <row r="598" spans="8:10">
      <c r="H598" s="336"/>
      <c r="I598" s="336"/>
      <c r="J598" s="336"/>
    </row>
    <row r="599" spans="8:10">
      <c r="H599" s="336"/>
      <c r="I599" s="336"/>
      <c r="J599" s="336"/>
    </row>
    <row r="600" spans="8:10">
      <c r="H600" s="336"/>
      <c r="I600" s="336"/>
      <c r="J600" s="336"/>
    </row>
    <row r="601" spans="8:10">
      <c r="H601" s="336"/>
      <c r="I601" s="336"/>
      <c r="J601" s="336"/>
    </row>
    <row r="602" spans="8:10">
      <c r="H602" s="336"/>
      <c r="I602" s="336"/>
      <c r="J602" s="336"/>
    </row>
    <row r="603" spans="8:10">
      <c r="H603" s="336"/>
      <c r="I603" s="336"/>
      <c r="J603" s="336"/>
    </row>
    <row r="604" spans="8:10">
      <c r="H604" s="336"/>
      <c r="I604" s="336"/>
      <c r="J604" s="336"/>
    </row>
    <row r="605" spans="8:10">
      <c r="H605" s="336"/>
      <c r="I605" s="336"/>
      <c r="J605" s="336"/>
    </row>
    <row r="606" spans="8:10">
      <c r="H606" s="336"/>
      <c r="I606" s="336"/>
      <c r="J606" s="336"/>
    </row>
    <row r="607" spans="8:10">
      <c r="H607" s="336"/>
      <c r="I607" s="336"/>
      <c r="J607" s="336"/>
    </row>
    <row r="608" spans="8:10">
      <c r="H608" s="336"/>
      <c r="I608" s="336"/>
      <c r="J608" s="336"/>
    </row>
    <row r="609" spans="8:10">
      <c r="H609" s="336"/>
      <c r="I609" s="336"/>
      <c r="J609" s="336"/>
    </row>
    <row r="610" spans="8:10">
      <c r="H610" s="336"/>
      <c r="I610" s="336"/>
      <c r="J610" s="336"/>
    </row>
    <row r="611" spans="8:10">
      <c r="H611" s="336"/>
      <c r="I611" s="336"/>
      <c r="J611" s="336"/>
    </row>
    <row r="612" spans="8:10">
      <c r="H612" s="336"/>
      <c r="I612" s="336"/>
      <c r="J612" s="336"/>
    </row>
    <row r="613" spans="8:10">
      <c r="H613" s="336"/>
      <c r="I613" s="336"/>
      <c r="J613" s="336"/>
    </row>
    <row r="614" spans="8:10">
      <c r="H614" s="336"/>
      <c r="I614" s="336"/>
      <c r="J614" s="336"/>
    </row>
    <row r="615" spans="8:10">
      <c r="H615" s="336"/>
      <c r="I615" s="336"/>
      <c r="J615" s="336"/>
    </row>
    <row r="616" spans="8:10">
      <c r="H616" s="336"/>
      <c r="I616" s="336"/>
      <c r="J616" s="336"/>
    </row>
    <row r="617" spans="8:10">
      <c r="H617" s="336"/>
      <c r="I617" s="336"/>
      <c r="J617" s="336"/>
    </row>
    <row r="618" spans="8:10">
      <c r="H618" s="336"/>
      <c r="I618" s="336"/>
      <c r="J618" s="336"/>
    </row>
    <row r="619" spans="8:10">
      <c r="H619" s="336"/>
      <c r="I619" s="336"/>
      <c r="J619" s="336"/>
    </row>
    <row r="620" spans="8:10">
      <c r="H620" s="336"/>
      <c r="I620" s="336"/>
      <c r="J620" s="336"/>
    </row>
    <row r="621" spans="8:10">
      <c r="H621" s="336"/>
      <c r="I621" s="336"/>
      <c r="J621" s="336"/>
    </row>
    <row r="622" spans="8:10">
      <c r="H622" s="336"/>
      <c r="I622" s="336"/>
      <c r="J622" s="336"/>
    </row>
    <row r="623" spans="8:10">
      <c r="H623" s="336"/>
      <c r="I623" s="336"/>
      <c r="J623" s="336"/>
    </row>
    <row r="624" spans="8:10">
      <c r="H624" s="336"/>
      <c r="I624" s="336"/>
      <c r="J624" s="336"/>
    </row>
    <row r="625" spans="8:10">
      <c r="H625" s="336"/>
      <c r="I625" s="336"/>
      <c r="J625" s="336"/>
    </row>
    <row r="626" spans="8:10">
      <c r="H626" s="336"/>
      <c r="I626" s="336"/>
      <c r="J626" s="336"/>
    </row>
    <row r="627" spans="8:10">
      <c r="H627" s="336"/>
      <c r="I627" s="336"/>
      <c r="J627" s="336"/>
    </row>
    <row r="628" spans="8:10">
      <c r="H628" s="336"/>
      <c r="I628" s="336"/>
      <c r="J628" s="336"/>
    </row>
    <row r="629" spans="8:10">
      <c r="H629" s="336"/>
      <c r="I629" s="336"/>
      <c r="J629" s="336"/>
    </row>
    <row r="630" spans="8:10">
      <c r="H630" s="336"/>
      <c r="I630" s="336"/>
      <c r="J630" s="336"/>
    </row>
    <row r="631" spans="8:10">
      <c r="H631" s="336"/>
      <c r="I631" s="336"/>
      <c r="J631" s="336"/>
    </row>
    <row r="632" spans="8:10">
      <c r="H632" s="336"/>
      <c r="I632" s="336"/>
      <c r="J632" s="336"/>
    </row>
    <row r="633" spans="8:10">
      <c r="H633" s="336"/>
      <c r="I633" s="336"/>
      <c r="J633" s="336"/>
    </row>
    <row r="634" spans="8:10">
      <c r="H634" s="336"/>
      <c r="I634" s="336"/>
      <c r="J634" s="336"/>
    </row>
    <row r="635" spans="8:10">
      <c r="H635" s="336"/>
      <c r="I635" s="336"/>
      <c r="J635" s="336"/>
    </row>
    <row r="636" spans="8:10">
      <c r="H636" s="336"/>
      <c r="I636" s="336"/>
      <c r="J636" s="336"/>
    </row>
    <row r="637" spans="8:10">
      <c r="H637" s="336"/>
      <c r="I637" s="336"/>
      <c r="J637" s="336"/>
    </row>
    <row r="638" spans="8:10">
      <c r="H638" s="336"/>
      <c r="I638" s="336"/>
      <c r="J638" s="336"/>
    </row>
    <row r="639" spans="8:10">
      <c r="H639" s="336"/>
      <c r="I639" s="336"/>
      <c r="J639" s="336"/>
    </row>
    <row r="640" spans="8:10">
      <c r="H640" s="336"/>
      <c r="I640" s="336"/>
      <c r="J640" s="336"/>
    </row>
    <row r="641" spans="8:10">
      <c r="H641" s="336"/>
      <c r="I641" s="336"/>
      <c r="J641" s="336"/>
    </row>
    <row r="642" spans="8:10">
      <c r="H642" s="336"/>
      <c r="I642" s="336"/>
      <c r="J642" s="336"/>
    </row>
    <row r="643" spans="8:10">
      <c r="H643" s="336"/>
      <c r="I643" s="336"/>
      <c r="J643" s="336"/>
    </row>
    <row r="644" spans="8:10">
      <c r="H644" s="336"/>
      <c r="I644" s="336"/>
      <c r="J644" s="336"/>
    </row>
    <row r="645" spans="8:10">
      <c r="H645" s="336"/>
      <c r="I645" s="336"/>
      <c r="J645" s="336"/>
    </row>
    <row r="646" spans="8:10">
      <c r="H646" s="336"/>
      <c r="I646" s="336"/>
      <c r="J646" s="336"/>
    </row>
    <row r="647" spans="8:10">
      <c r="H647" s="336"/>
      <c r="I647" s="336"/>
      <c r="J647" s="336"/>
    </row>
    <row r="648" spans="8:10">
      <c r="H648" s="336"/>
      <c r="I648" s="336"/>
      <c r="J648" s="336"/>
    </row>
    <row r="649" spans="8:10">
      <c r="H649" s="336"/>
      <c r="I649" s="336"/>
      <c r="J649" s="336"/>
    </row>
    <row r="650" spans="8:10">
      <c r="H650" s="336"/>
      <c r="I650" s="336"/>
      <c r="J650" s="336"/>
    </row>
    <row r="651" spans="8:10">
      <c r="H651" s="336"/>
      <c r="I651" s="336"/>
      <c r="J651" s="336"/>
    </row>
    <row r="652" spans="8:10">
      <c r="H652" s="336"/>
      <c r="I652" s="336"/>
      <c r="J652" s="336"/>
    </row>
    <row r="653" spans="8:10">
      <c r="H653" s="336"/>
      <c r="I653" s="336"/>
      <c r="J653" s="336"/>
    </row>
    <row r="654" spans="8:10">
      <c r="H654" s="336"/>
      <c r="I654" s="336"/>
      <c r="J654" s="336"/>
    </row>
    <row r="655" spans="8:10">
      <c r="H655" s="336"/>
      <c r="I655" s="336"/>
      <c r="J655" s="336"/>
    </row>
    <row r="656" spans="8:10">
      <c r="H656" s="336"/>
      <c r="I656" s="336"/>
      <c r="J656" s="336"/>
    </row>
    <row r="657" spans="8:10">
      <c r="H657" s="336"/>
      <c r="I657" s="336"/>
      <c r="J657" s="336"/>
    </row>
    <row r="658" spans="8:10">
      <c r="H658" s="336"/>
      <c r="I658" s="336"/>
      <c r="J658" s="336"/>
    </row>
    <row r="659" spans="8:10">
      <c r="H659" s="336"/>
      <c r="I659" s="336"/>
      <c r="J659" s="336"/>
    </row>
    <row r="660" spans="8:10">
      <c r="H660" s="336"/>
      <c r="I660" s="336"/>
      <c r="J660" s="336"/>
    </row>
    <row r="661" spans="8:10">
      <c r="H661" s="336"/>
      <c r="I661" s="336"/>
      <c r="J661" s="336"/>
    </row>
    <row r="662" spans="8:10">
      <c r="H662" s="336"/>
      <c r="I662" s="336"/>
      <c r="J662" s="336"/>
    </row>
    <row r="663" spans="8:10">
      <c r="H663" s="336"/>
      <c r="I663" s="336"/>
      <c r="J663" s="336"/>
    </row>
    <row r="664" spans="8:10">
      <c r="H664" s="336"/>
      <c r="I664" s="336"/>
      <c r="J664" s="336"/>
    </row>
    <row r="665" spans="8:10">
      <c r="H665" s="336"/>
      <c r="I665" s="336"/>
      <c r="J665" s="336"/>
    </row>
    <row r="666" spans="8:10">
      <c r="H666" s="336"/>
      <c r="I666" s="336"/>
      <c r="J666" s="336"/>
    </row>
    <row r="667" spans="8:10">
      <c r="H667" s="336"/>
      <c r="I667" s="336"/>
      <c r="J667" s="336"/>
    </row>
    <row r="668" spans="8:10">
      <c r="H668" s="336"/>
      <c r="I668" s="336"/>
      <c r="J668" s="336"/>
    </row>
    <row r="669" spans="8:10">
      <c r="H669" s="336"/>
      <c r="I669" s="336"/>
      <c r="J669" s="336"/>
    </row>
    <row r="670" spans="8:10">
      <c r="H670" s="336"/>
      <c r="I670" s="336"/>
      <c r="J670" s="336"/>
    </row>
    <row r="671" spans="8:10">
      <c r="H671" s="336"/>
      <c r="I671" s="336"/>
      <c r="J671" s="336"/>
    </row>
    <row r="672" spans="8:10">
      <c r="H672" s="336"/>
      <c r="I672" s="336"/>
      <c r="J672" s="336"/>
    </row>
    <row r="673" spans="8:10">
      <c r="H673" s="336"/>
      <c r="I673" s="336"/>
      <c r="J673" s="336"/>
    </row>
    <row r="674" spans="8:10">
      <c r="H674" s="336"/>
      <c r="I674" s="336"/>
      <c r="J674" s="336"/>
    </row>
    <row r="675" spans="8:10">
      <c r="H675" s="336"/>
      <c r="I675" s="336"/>
      <c r="J675" s="336"/>
    </row>
    <row r="676" spans="8:10">
      <c r="H676" s="336"/>
      <c r="I676" s="336"/>
      <c r="J676" s="336"/>
    </row>
    <row r="677" spans="8:10">
      <c r="H677" s="336"/>
      <c r="I677" s="336"/>
      <c r="J677" s="336"/>
    </row>
    <row r="678" spans="8:10">
      <c r="H678" s="336"/>
      <c r="I678" s="336"/>
      <c r="J678" s="336"/>
    </row>
    <row r="679" spans="8:10">
      <c r="H679" s="336"/>
      <c r="I679" s="336"/>
      <c r="J679" s="336"/>
    </row>
    <row r="680" spans="8:10">
      <c r="H680" s="336"/>
      <c r="I680" s="336"/>
      <c r="J680" s="336"/>
    </row>
    <row r="681" spans="8:10">
      <c r="H681" s="336"/>
      <c r="I681" s="336"/>
      <c r="J681" s="336"/>
    </row>
    <row r="682" spans="8:10">
      <c r="H682" s="336"/>
      <c r="I682" s="336"/>
      <c r="J682" s="336"/>
    </row>
    <row r="683" spans="8:10">
      <c r="H683" s="336"/>
      <c r="I683" s="336"/>
      <c r="J683" s="336"/>
    </row>
    <row r="684" spans="8:10">
      <c r="H684" s="336"/>
      <c r="I684" s="336"/>
      <c r="J684" s="336"/>
    </row>
    <row r="685" spans="8:10">
      <c r="H685" s="336"/>
      <c r="I685" s="336"/>
      <c r="J685" s="336"/>
    </row>
    <row r="686" spans="8:10">
      <c r="H686" s="336"/>
      <c r="I686" s="336"/>
      <c r="J686" s="336"/>
    </row>
    <row r="687" spans="8:10">
      <c r="H687" s="336"/>
      <c r="I687" s="336"/>
      <c r="J687" s="336"/>
    </row>
    <row r="688" spans="8:10">
      <c r="H688" s="336"/>
      <c r="I688" s="336"/>
      <c r="J688" s="336"/>
    </row>
    <row r="689" spans="8:10">
      <c r="H689" s="336"/>
      <c r="I689" s="336"/>
      <c r="J689" s="336"/>
    </row>
    <row r="690" spans="8:10">
      <c r="H690" s="336"/>
      <c r="I690" s="336"/>
      <c r="J690" s="336"/>
    </row>
    <row r="691" spans="8:10">
      <c r="H691" s="336"/>
      <c r="I691" s="336"/>
      <c r="J691" s="336"/>
    </row>
    <row r="692" spans="8:10">
      <c r="H692" s="336"/>
      <c r="I692" s="336"/>
      <c r="J692" s="336"/>
    </row>
    <row r="693" spans="8:10">
      <c r="H693" s="336"/>
      <c r="I693" s="336"/>
      <c r="J693" s="336"/>
    </row>
    <row r="694" spans="8:10">
      <c r="H694" s="336"/>
      <c r="I694" s="336"/>
      <c r="J694" s="336"/>
    </row>
    <row r="695" spans="8:10">
      <c r="H695" s="336"/>
      <c r="I695" s="336"/>
      <c r="J695" s="336"/>
    </row>
    <row r="696" spans="8:10">
      <c r="H696" s="336"/>
      <c r="I696" s="336"/>
      <c r="J696" s="336"/>
    </row>
    <row r="697" spans="8:10">
      <c r="H697" s="336"/>
      <c r="I697" s="336"/>
      <c r="J697" s="336"/>
    </row>
    <row r="698" spans="8:10">
      <c r="H698" s="336"/>
      <c r="I698" s="336"/>
      <c r="J698" s="336"/>
    </row>
    <row r="699" spans="8:10">
      <c r="H699" s="336"/>
      <c r="I699" s="336"/>
      <c r="J699" s="336"/>
    </row>
    <row r="700" spans="8:10">
      <c r="H700" s="336"/>
      <c r="I700" s="336"/>
      <c r="J700" s="336"/>
    </row>
    <row r="701" spans="8:10">
      <c r="H701" s="336"/>
      <c r="I701" s="336"/>
      <c r="J701" s="336"/>
    </row>
    <row r="702" spans="8:10">
      <c r="H702" s="336"/>
      <c r="I702" s="336"/>
      <c r="J702" s="336"/>
    </row>
    <row r="703" spans="8:10">
      <c r="H703" s="336"/>
      <c r="I703" s="336"/>
      <c r="J703" s="336"/>
    </row>
    <row r="704" spans="8:10">
      <c r="H704" s="336"/>
      <c r="I704" s="336"/>
      <c r="J704" s="336"/>
    </row>
    <row r="705" spans="8:10">
      <c r="H705" s="336"/>
      <c r="I705" s="336"/>
      <c r="J705" s="336"/>
    </row>
    <row r="706" spans="8:10">
      <c r="H706" s="336"/>
      <c r="I706" s="336"/>
      <c r="J706" s="336"/>
    </row>
    <row r="707" spans="8:10">
      <c r="H707" s="336"/>
      <c r="I707" s="336"/>
      <c r="J707" s="336"/>
    </row>
    <row r="708" spans="8:10">
      <c r="H708" s="336"/>
      <c r="I708" s="336"/>
      <c r="J708" s="336"/>
    </row>
    <row r="709" spans="8:10">
      <c r="H709" s="336"/>
      <c r="I709" s="336"/>
      <c r="J709" s="336"/>
    </row>
    <row r="710" spans="8:10">
      <c r="H710" s="336"/>
      <c r="I710" s="336"/>
      <c r="J710" s="336"/>
    </row>
    <row r="711" spans="8:10">
      <c r="H711" s="336"/>
      <c r="I711" s="336"/>
      <c r="J711" s="336"/>
    </row>
    <row r="712" spans="8:10">
      <c r="H712" s="336"/>
      <c r="I712" s="336"/>
      <c r="J712" s="336"/>
    </row>
    <row r="713" spans="8:10">
      <c r="H713" s="336"/>
      <c r="I713" s="336"/>
      <c r="J713" s="336"/>
    </row>
    <row r="714" spans="8:10">
      <c r="H714" s="336"/>
      <c r="I714" s="336"/>
      <c r="J714" s="336"/>
    </row>
    <row r="715" spans="8:10">
      <c r="H715" s="336"/>
      <c r="I715" s="336"/>
      <c r="J715" s="336"/>
    </row>
    <row r="716" spans="8:10">
      <c r="H716" s="336"/>
      <c r="I716" s="336"/>
      <c r="J716" s="336"/>
    </row>
    <row r="717" spans="8:10">
      <c r="H717" s="336"/>
      <c r="I717" s="336"/>
      <c r="J717" s="336"/>
    </row>
    <row r="718" spans="8:10">
      <c r="H718" s="336"/>
      <c r="I718" s="336"/>
      <c r="J718" s="336"/>
    </row>
    <row r="719" spans="8:10">
      <c r="H719" s="336"/>
      <c r="I719" s="336"/>
      <c r="J719" s="336"/>
    </row>
    <row r="720" spans="8:10">
      <c r="H720" s="336"/>
      <c r="I720" s="336"/>
      <c r="J720" s="336"/>
    </row>
    <row r="721" spans="8:10">
      <c r="H721" s="336"/>
      <c r="I721" s="336"/>
      <c r="J721" s="336"/>
    </row>
    <row r="722" spans="8:10">
      <c r="H722" s="336"/>
      <c r="I722" s="336"/>
      <c r="J722" s="336"/>
    </row>
    <row r="723" spans="8:10">
      <c r="H723" s="336"/>
      <c r="I723" s="336"/>
      <c r="J723" s="336"/>
    </row>
    <row r="724" spans="8:10">
      <c r="H724" s="336"/>
      <c r="I724" s="336"/>
      <c r="J724" s="336"/>
    </row>
    <row r="725" spans="8:10">
      <c r="H725" s="336"/>
      <c r="I725" s="336"/>
      <c r="J725" s="336"/>
    </row>
    <row r="726" spans="8:10">
      <c r="H726" s="336"/>
      <c r="I726" s="336"/>
      <c r="J726" s="336"/>
    </row>
    <row r="727" spans="8:10">
      <c r="H727" s="336"/>
      <c r="I727" s="336"/>
      <c r="J727" s="336"/>
    </row>
    <row r="728" spans="8:10">
      <c r="H728" s="336"/>
      <c r="I728" s="336"/>
      <c r="J728" s="336"/>
    </row>
    <row r="729" spans="8:10">
      <c r="H729" s="336"/>
      <c r="I729" s="336"/>
      <c r="J729" s="336"/>
    </row>
    <row r="730" spans="8:10">
      <c r="H730" s="336"/>
      <c r="I730" s="336"/>
      <c r="J730" s="336"/>
    </row>
    <row r="731" spans="8:10">
      <c r="H731" s="336"/>
      <c r="I731" s="336"/>
      <c r="J731" s="336"/>
    </row>
    <row r="732" spans="8:10">
      <c r="H732" s="336"/>
      <c r="I732" s="336"/>
      <c r="J732" s="336"/>
    </row>
    <row r="733" spans="8:10">
      <c r="H733" s="336"/>
      <c r="I733" s="336"/>
      <c r="J733" s="336"/>
    </row>
    <row r="734" spans="8:10">
      <c r="H734" s="336"/>
      <c r="I734" s="336"/>
      <c r="J734" s="336"/>
    </row>
    <row r="735" spans="8:10">
      <c r="H735" s="336"/>
      <c r="I735" s="336"/>
      <c r="J735" s="336"/>
    </row>
    <row r="736" spans="8:10">
      <c r="H736" s="336"/>
      <c r="I736" s="336"/>
      <c r="J736" s="336"/>
    </row>
    <row r="737" spans="8:10">
      <c r="H737" s="336"/>
      <c r="I737" s="336"/>
      <c r="J737" s="336"/>
    </row>
    <row r="738" spans="8:10">
      <c r="H738" s="336"/>
      <c r="I738" s="336"/>
      <c r="J738" s="336"/>
    </row>
    <row r="739" spans="8:10">
      <c r="H739" s="336"/>
      <c r="I739" s="336"/>
      <c r="J739" s="336"/>
    </row>
    <row r="740" spans="8:10">
      <c r="H740" s="336"/>
      <c r="I740" s="336"/>
      <c r="J740" s="336"/>
    </row>
    <row r="741" spans="8:10">
      <c r="H741" s="336"/>
      <c r="I741" s="336"/>
      <c r="J741" s="336"/>
    </row>
    <row r="742" spans="8:10">
      <c r="H742" s="336"/>
      <c r="I742" s="336"/>
      <c r="J742" s="336"/>
    </row>
    <row r="743" spans="8:10">
      <c r="H743" s="336"/>
      <c r="I743" s="336"/>
      <c r="J743" s="336"/>
    </row>
    <row r="744" spans="8:10">
      <c r="H744" s="336"/>
      <c r="I744" s="336"/>
      <c r="J744" s="336"/>
    </row>
    <row r="745" spans="8:10">
      <c r="H745" s="336"/>
      <c r="I745" s="336"/>
      <c r="J745" s="336"/>
    </row>
    <row r="746" spans="8:10">
      <c r="H746" s="336"/>
      <c r="I746" s="336"/>
      <c r="J746" s="336"/>
    </row>
    <row r="747" spans="8:10">
      <c r="H747" s="336"/>
      <c r="I747" s="336"/>
      <c r="J747" s="336"/>
    </row>
    <row r="748" spans="8:10">
      <c r="H748" s="336"/>
      <c r="I748" s="336"/>
      <c r="J748" s="336"/>
    </row>
    <row r="749" spans="8:10">
      <c r="H749" s="336"/>
      <c r="I749" s="336"/>
      <c r="J749" s="336"/>
    </row>
    <row r="750" spans="8:10">
      <c r="H750" s="336"/>
      <c r="I750" s="336"/>
      <c r="J750" s="336"/>
    </row>
    <row r="751" spans="8:10">
      <c r="H751" s="336"/>
      <c r="I751" s="336"/>
      <c r="J751" s="336"/>
    </row>
    <row r="752" spans="8:10">
      <c r="H752" s="336"/>
      <c r="I752" s="336"/>
      <c r="J752" s="336"/>
    </row>
    <row r="753" spans="8:10">
      <c r="H753" s="336"/>
      <c r="I753" s="336"/>
      <c r="J753" s="336"/>
    </row>
    <row r="754" spans="8:10">
      <c r="H754" s="336"/>
      <c r="I754" s="336"/>
      <c r="J754" s="336"/>
    </row>
    <row r="755" spans="8:10">
      <c r="H755" s="336"/>
      <c r="I755" s="336"/>
      <c r="J755" s="336"/>
    </row>
    <row r="756" spans="8:10">
      <c r="H756" s="336"/>
      <c r="I756" s="336"/>
      <c r="J756" s="336"/>
    </row>
    <row r="757" spans="8:10">
      <c r="H757" s="336"/>
      <c r="I757" s="336"/>
      <c r="J757" s="336"/>
    </row>
    <row r="758" spans="8:10">
      <c r="H758" s="336"/>
      <c r="I758" s="336"/>
      <c r="J758" s="336"/>
    </row>
    <row r="759" spans="8:10">
      <c r="H759" s="336"/>
      <c r="I759" s="336"/>
      <c r="J759" s="336"/>
    </row>
    <row r="760" spans="8:10">
      <c r="H760" s="336"/>
      <c r="I760" s="336"/>
      <c r="J760" s="336"/>
    </row>
    <row r="761" spans="8:10">
      <c r="H761" s="336"/>
      <c r="I761" s="336"/>
      <c r="J761" s="336"/>
    </row>
    <row r="762" spans="8:10">
      <c r="H762" s="336"/>
      <c r="I762" s="336"/>
      <c r="J762" s="336"/>
    </row>
    <row r="763" spans="8:10">
      <c r="H763" s="336"/>
      <c r="I763" s="336"/>
      <c r="J763" s="336"/>
    </row>
    <row r="764" spans="8:10">
      <c r="H764" s="336"/>
      <c r="I764" s="336"/>
      <c r="J764" s="336"/>
    </row>
    <row r="765" spans="8:10">
      <c r="H765" s="336"/>
      <c r="I765" s="336"/>
      <c r="J765" s="336"/>
    </row>
    <row r="766" spans="8:10">
      <c r="H766" s="336"/>
      <c r="I766" s="336"/>
      <c r="J766" s="336"/>
    </row>
    <row r="767" spans="8:10">
      <c r="H767" s="336"/>
      <c r="I767" s="336"/>
      <c r="J767" s="336"/>
    </row>
    <row r="768" spans="8:10">
      <c r="H768" s="336"/>
      <c r="I768" s="336"/>
      <c r="J768" s="336"/>
    </row>
    <row r="769" spans="8:10">
      <c r="H769" s="336"/>
      <c r="I769" s="336"/>
      <c r="J769" s="336"/>
    </row>
    <row r="770" spans="8:10">
      <c r="H770" s="336"/>
      <c r="I770" s="336"/>
      <c r="J770" s="336"/>
    </row>
    <row r="771" spans="8:10">
      <c r="H771" s="336"/>
      <c r="I771" s="336"/>
      <c r="J771" s="336"/>
    </row>
    <row r="772" spans="8:10">
      <c r="H772" s="336"/>
      <c r="I772" s="336"/>
      <c r="J772" s="336"/>
    </row>
    <row r="773" spans="8:10">
      <c r="H773" s="336"/>
      <c r="I773" s="336"/>
      <c r="J773" s="336"/>
    </row>
    <row r="774" spans="8:10">
      <c r="H774" s="336"/>
      <c r="I774" s="336"/>
      <c r="J774" s="336"/>
    </row>
    <row r="775" spans="8:10">
      <c r="H775" s="336"/>
      <c r="I775" s="336"/>
      <c r="J775" s="336"/>
    </row>
    <row r="776" spans="8:10">
      <c r="H776" s="336"/>
      <c r="I776" s="336"/>
      <c r="J776" s="336"/>
    </row>
    <row r="777" spans="8:10">
      <c r="H777" s="336"/>
      <c r="I777" s="336"/>
      <c r="J777" s="336"/>
    </row>
  </sheetData>
  <mergeCells count="3">
    <mergeCell ref="C1:E1"/>
    <mergeCell ref="H5:J5"/>
    <mergeCell ref="H6:J6"/>
  </mergeCells>
  <hyperlinks>
    <hyperlink ref="D10" location="SWM!A1" display="Click Here"/>
    <hyperlink ref="D11" location="MBG!A1" display="Click Here"/>
    <hyperlink ref="D12" location="HSH!A1" display="Click Here"/>
    <hyperlink ref="D13" location="HSSA!A1" display="Click Here"/>
    <hyperlink ref="D14" location="MDA!A1" display="Click Here"/>
    <hyperlink ref="D15" location="THC!A1" display="Click Here"/>
    <hyperlink ref="B21" location="FTSE!A1" display="FTSE &amp; FTFE "/>
    <hyperlink ref="B22" location="Names!A1" display="Names Schedule"/>
    <hyperlink ref="B23" location="Input!A1" display="Template Input Schedule"/>
    <hyperlink ref="B26" location="Almanac!A1" display="Almanac"/>
    <hyperlink ref="B27" location="HRI_IE_Research!A1" display="Accountability - HRI_IE_Research"/>
    <hyperlink ref="D17" location="UNTHSC!A1" display="Click Here"/>
    <hyperlink ref="D18" location="TTUHSC!A1" display="Click Here"/>
    <hyperlink ref="D16" location="TAMHSC!A1" display="Click Here"/>
    <hyperlink ref="D6" location="Summary!A1" display="Click Here"/>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K21"/>
  <sheetViews>
    <sheetView showGridLines="0" zoomScale="95" zoomScaleNormal="95" workbookViewId="0">
      <pane xSplit="4" ySplit="5" topLeftCell="E6" activePane="bottomRight" state="frozen"/>
      <selection activeCell="C26" sqref="C26"/>
      <selection pane="topRight" activeCell="C26" sqref="C26"/>
      <selection pane="bottomLeft" activeCell="C26" sqref="C26"/>
      <selection pane="bottomRight" activeCell="K1" sqref="K1"/>
    </sheetView>
  </sheetViews>
  <sheetFormatPr defaultRowHeight="12.75"/>
  <cols>
    <col min="1" max="2" width="9.42578125" style="242" customWidth="1"/>
    <col min="3" max="3" width="7.7109375" style="242" customWidth="1"/>
    <col min="4" max="4" width="46.42578125" style="243" customWidth="1"/>
    <col min="5" max="5" width="16.7109375" style="243" customWidth="1"/>
    <col min="6" max="6" width="9.140625" style="243"/>
    <col min="7" max="7" width="15.5703125" style="243" customWidth="1"/>
    <col min="8" max="16384" width="9.140625" style="243"/>
  </cols>
  <sheetData>
    <row r="1" spans="1:11" ht="13.5" thickBot="1">
      <c r="F1" s="214" t="s">
        <v>542</v>
      </c>
      <c r="K1" s="337" t="s">
        <v>579</v>
      </c>
    </row>
    <row r="2" spans="1:11">
      <c r="F2" s="215" t="s">
        <v>576</v>
      </c>
    </row>
    <row r="3" spans="1:11">
      <c r="F3" s="214"/>
    </row>
    <row r="4" spans="1:11">
      <c r="A4" s="244" t="s">
        <v>554</v>
      </c>
    </row>
    <row r="5" spans="1:11" ht="63" customHeight="1">
      <c r="A5" s="245" t="s">
        <v>555</v>
      </c>
      <c r="B5" s="246" t="s">
        <v>344</v>
      </c>
      <c r="C5" s="246" t="s">
        <v>556</v>
      </c>
      <c r="D5" s="247" t="s">
        <v>533</v>
      </c>
      <c r="E5" s="248" t="s">
        <v>540</v>
      </c>
    </row>
    <row r="6" spans="1:11">
      <c r="A6" s="242">
        <v>1</v>
      </c>
      <c r="B6" s="249" t="s">
        <v>513</v>
      </c>
      <c r="C6" s="267" t="s">
        <v>575</v>
      </c>
      <c r="D6" s="250" t="s">
        <v>557</v>
      </c>
      <c r="E6" s="251">
        <f>TAMHSC!$L$17</f>
        <v>78170881</v>
      </c>
    </row>
    <row r="7" spans="1:11">
      <c r="A7" s="242">
        <v>2</v>
      </c>
      <c r="B7" s="249" t="s">
        <v>521</v>
      </c>
      <c r="C7" s="249" t="str">
        <f t="shared" ref="C7:C14" si="0">C6</f>
        <v>FY 10</v>
      </c>
      <c r="D7" s="250" t="s">
        <v>558</v>
      </c>
      <c r="E7" s="252">
        <f>TTUHSC!$L$17</f>
        <v>50888460</v>
      </c>
    </row>
    <row r="8" spans="1:11">
      <c r="A8" s="242">
        <v>3</v>
      </c>
      <c r="B8" s="249" t="s">
        <v>517</v>
      </c>
      <c r="C8" s="249" t="str">
        <f t="shared" si="0"/>
        <v>FY 10</v>
      </c>
      <c r="D8" s="250" t="s">
        <v>559</v>
      </c>
      <c r="E8" s="252">
        <f>UNTHSC!$L$17</f>
        <v>39854879</v>
      </c>
    </row>
    <row r="9" spans="1:11">
      <c r="A9" s="242">
        <v>4</v>
      </c>
      <c r="B9" s="249">
        <v>104952</v>
      </c>
      <c r="C9" s="249" t="str">
        <f t="shared" si="0"/>
        <v>FY 10</v>
      </c>
      <c r="D9" s="250" t="s">
        <v>560</v>
      </c>
      <c r="E9" s="252">
        <f>MBG!$L$17</f>
        <v>156825004</v>
      </c>
    </row>
    <row r="10" spans="1:11">
      <c r="A10" s="242">
        <v>5</v>
      </c>
      <c r="B10" s="249" t="s">
        <v>509</v>
      </c>
      <c r="C10" s="249" t="str">
        <f t="shared" si="0"/>
        <v>FY 10</v>
      </c>
      <c r="D10" s="250" t="s">
        <v>561</v>
      </c>
      <c r="E10" s="252">
        <f>THC!$L$17</f>
        <v>14378132</v>
      </c>
    </row>
    <row r="11" spans="1:11">
      <c r="A11" s="242">
        <v>6</v>
      </c>
      <c r="B11" s="249" t="s">
        <v>497</v>
      </c>
      <c r="C11" s="249" t="str">
        <f t="shared" si="0"/>
        <v>FY 10</v>
      </c>
      <c r="D11" s="250" t="s">
        <v>562</v>
      </c>
      <c r="E11" s="252">
        <f>HSH!$L$17</f>
        <v>240772552</v>
      </c>
    </row>
    <row r="12" spans="1:11">
      <c r="A12" s="242">
        <v>7</v>
      </c>
      <c r="B12" s="249" t="s">
        <v>505</v>
      </c>
      <c r="C12" s="249" t="str">
        <f t="shared" si="0"/>
        <v>FY 10</v>
      </c>
      <c r="D12" s="250" t="s">
        <v>563</v>
      </c>
      <c r="E12" s="252">
        <f>MDA!$L$17</f>
        <v>547034744</v>
      </c>
    </row>
    <row r="13" spans="1:11">
      <c r="A13" s="242">
        <v>8</v>
      </c>
      <c r="B13" s="249" t="s">
        <v>501</v>
      </c>
      <c r="C13" s="249" t="str">
        <f t="shared" si="0"/>
        <v>FY 10</v>
      </c>
      <c r="D13" s="250" t="s">
        <v>564</v>
      </c>
      <c r="E13" s="253">
        <f>HSSA!$L$17</f>
        <v>185229018</v>
      </c>
    </row>
    <row r="14" spans="1:11">
      <c r="A14" s="242">
        <v>9</v>
      </c>
      <c r="B14" s="249" t="s">
        <v>490</v>
      </c>
      <c r="C14" s="249" t="str">
        <f t="shared" si="0"/>
        <v>FY 10</v>
      </c>
      <c r="D14" s="250" t="s">
        <v>565</v>
      </c>
      <c r="E14" s="252">
        <f>SWM!$L$17</f>
        <v>395314936</v>
      </c>
    </row>
    <row r="15" spans="1:11" ht="13.5" thickBot="1">
      <c r="D15" s="254" t="s">
        <v>22</v>
      </c>
      <c r="E15" s="255">
        <f>SUM(E6:E14)</f>
        <v>1708468606</v>
      </c>
    </row>
    <row r="16" spans="1:11" ht="13.5" thickTop="1">
      <c r="D16" s="256">
        <f>COUNTA(D6:D14)</f>
        <v>9</v>
      </c>
    </row>
    <row r="18" spans="4:5">
      <c r="D18" s="244" t="s">
        <v>566</v>
      </c>
    </row>
    <row r="19" spans="4:5">
      <c r="E19" s="242" t="str">
        <f>IF(E15&lt;&gt;Summary!L98,"Error","Balanced")</f>
        <v>Balanced</v>
      </c>
    </row>
    <row r="21" spans="4:5">
      <c r="E21" s="257"/>
    </row>
  </sheetData>
  <hyperlinks>
    <hyperlink ref="K1" location="Index!A1" display="Return to Index"/>
  </hyperlink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1"/>
  </sheetPr>
  <dimension ref="A1:T775"/>
  <sheetViews>
    <sheetView showGridLines="0" zoomScale="85" zoomScaleNormal="85" workbookViewId="0">
      <pane xSplit="6" ySplit="10" topLeftCell="I11" activePane="bottomRight" state="frozen"/>
      <selection activeCell="I37" sqref="I37"/>
      <selection pane="topRight" activeCell="I37" sqref="I37"/>
      <selection pane="bottomLeft" activeCell="I37" sqref="I37"/>
      <selection pane="bottomRight" activeCell="I10" sqref="I10"/>
    </sheetView>
  </sheetViews>
  <sheetFormatPr defaultRowHeight="12.75"/>
  <cols>
    <col min="1" max="1" width="7.28515625" style="121" customWidth="1"/>
    <col min="2" max="2" width="3" style="121" customWidth="1"/>
    <col min="3" max="3" width="3.28515625" style="121" customWidth="1"/>
    <col min="4" max="4" width="25.140625" style="122" customWidth="1"/>
    <col min="5" max="5" width="10.28515625" style="122" customWidth="1"/>
    <col min="6" max="6" width="9.140625" style="122"/>
    <col min="7" max="8" width="15.5703125" style="400" customWidth="1"/>
    <col min="9" max="9" width="16.140625" style="400" customWidth="1"/>
    <col min="10" max="10" width="16.28515625" style="400" customWidth="1"/>
    <col min="11" max="11" width="15.85546875" style="400" customWidth="1"/>
    <col min="12" max="12" width="16" style="400" customWidth="1"/>
    <col min="13" max="13" width="15.140625" style="400" customWidth="1"/>
    <col min="14" max="14" width="16.7109375" style="400" customWidth="1"/>
    <col min="15" max="15" width="10" style="122" customWidth="1"/>
    <col min="16" max="16" width="17.5703125" style="122" customWidth="1"/>
    <col min="17" max="17" width="11.42578125" style="122" customWidth="1"/>
    <col min="18" max="18" width="19.42578125" style="122" customWidth="1"/>
    <col min="19" max="19" width="16.5703125" style="122" customWidth="1"/>
    <col min="20" max="20" width="26.85546875" style="122" customWidth="1"/>
    <col min="21" max="16384" width="9.140625" style="122"/>
  </cols>
  <sheetData>
    <row r="1" spans="1:20" ht="13.5" thickBot="1">
      <c r="G1" s="214" t="s">
        <v>639</v>
      </c>
      <c r="H1" s="336"/>
      <c r="I1" s="336"/>
      <c r="J1" s="336"/>
      <c r="K1" s="336"/>
      <c r="L1" s="336"/>
      <c r="M1" s="336"/>
      <c r="N1" s="337" t="s">
        <v>579</v>
      </c>
    </row>
    <row r="2" spans="1:20">
      <c r="G2" s="214" t="s">
        <v>701</v>
      </c>
      <c r="H2" s="336"/>
      <c r="I2" s="336"/>
      <c r="J2" s="336"/>
      <c r="K2" s="336"/>
      <c r="L2" s="336"/>
      <c r="M2" s="336"/>
      <c r="N2" s="336"/>
    </row>
    <row r="3" spans="1:20">
      <c r="A3" s="338" t="s">
        <v>640</v>
      </c>
      <c r="G3" s="214" t="s">
        <v>641</v>
      </c>
      <c r="H3" s="336"/>
      <c r="I3" s="336"/>
      <c r="J3" s="336"/>
      <c r="K3" s="336"/>
      <c r="L3" s="336"/>
      <c r="M3" s="336"/>
      <c r="N3" s="336"/>
    </row>
    <row r="4" spans="1:20">
      <c r="G4" s="336"/>
      <c r="H4" s="336"/>
      <c r="I4" s="336"/>
      <c r="J4" s="336"/>
      <c r="K4" s="336"/>
      <c r="L4" s="336"/>
      <c r="M4" s="336"/>
      <c r="N4" s="336"/>
    </row>
    <row r="5" spans="1:20">
      <c r="A5" s="446" t="s">
        <v>642</v>
      </c>
      <c r="B5" s="447"/>
      <c r="C5" s="448"/>
      <c r="F5" s="121" t="s">
        <v>643</v>
      </c>
      <c r="G5" s="336"/>
      <c r="H5" s="336"/>
      <c r="I5" s="336"/>
      <c r="J5" s="336"/>
      <c r="K5" s="336"/>
      <c r="L5" s="336"/>
      <c r="M5" s="336"/>
      <c r="N5" s="336"/>
    </row>
    <row r="6" spans="1:20">
      <c r="E6" s="121">
        <v>2010</v>
      </c>
      <c r="F6" s="121" t="s">
        <v>644</v>
      </c>
      <c r="G6" s="336"/>
      <c r="H6" s="336"/>
      <c r="I6" s="336"/>
      <c r="J6" s="336"/>
      <c r="K6" s="336"/>
      <c r="L6" s="336"/>
      <c r="M6" s="336"/>
      <c r="N6" s="336"/>
    </row>
    <row r="7" spans="1:20">
      <c r="F7" s="121" t="s">
        <v>645</v>
      </c>
      <c r="G7" s="336"/>
      <c r="H7" s="336"/>
      <c r="I7" s="336"/>
      <c r="J7" s="336"/>
      <c r="K7" s="336"/>
      <c r="L7" s="336"/>
      <c r="M7" s="336"/>
      <c r="N7" s="336"/>
      <c r="R7" s="449" t="s">
        <v>646</v>
      </c>
      <c r="S7" s="450"/>
      <c r="T7" s="451"/>
    </row>
    <row r="8" spans="1:20" s="245" customFormat="1" ht="48.75" customHeight="1" thickBot="1">
      <c r="A8" s="339" t="s">
        <v>647</v>
      </c>
      <c r="B8" s="452"/>
      <c r="C8" s="452"/>
      <c r="D8" s="246" t="s">
        <v>337</v>
      </c>
      <c r="E8" s="246" t="s">
        <v>648</v>
      </c>
      <c r="F8" s="246" t="s">
        <v>344</v>
      </c>
      <c r="G8" s="340" t="s">
        <v>649</v>
      </c>
      <c r="H8" s="341" t="s">
        <v>650</v>
      </c>
      <c r="I8" s="341" t="s">
        <v>651</v>
      </c>
      <c r="J8" s="340" t="s">
        <v>16</v>
      </c>
      <c r="K8" s="340" t="s">
        <v>569</v>
      </c>
      <c r="L8" s="340" t="s">
        <v>570</v>
      </c>
      <c r="M8" s="340" t="s">
        <v>571</v>
      </c>
      <c r="N8" s="340" t="s">
        <v>568</v>
      </c>
      <c r="O8" s="342"/>
      <c r="P8" s="342"/>
      <c r="Q8" s="343"/>
      <c r="R8" s="214" t="s">
        <v>652</v>
      </c>
      <c r="S8" s="344" t="s">
        <v>653</v>
      </c>
      <c r="T8" s="214" t="s">
        <v>654</v>
      </c>
    </row>
    <row r="9" spans="1:20" s="353" customFormat="1" ht="18.75" customHeight="1">
      <c r="A9" s="345" t="s">
        <v>655</v>
      </c>
      <c r="B9" s="346"/>
      <c r="C9" s="346"/>
      <c r="D9" s="347"/>
      <c r="E9" s="346" t="s">
        <v>656</v>
      </c>
      <c r="F9" s="346" t="s">
        <v>657</v>
      </c>
      <c r="G9" s="348" t="s">
        <v>658</v>
      </c>
      <c r="H9" s="348" t="s">
        <v>659</v>
      </c>
      <c r="I9" s="348" t="s">
        <v>660</v>
      </c>
      <c r="J9" s="348" t="s">
        <v>661</v>
      </c>
      <c r="K9" s="348" t="s">
        <v>662</v>
      </c>
      <c r="L9" s="348" t="s">
        <v>663</v>
      </c>
      <c r="M9" s="348" t="s">
        <v>664</v>
      </c>
      <c r="N9" s="349" t="s">
        <v>665</v>
      </c>
      <c r="O9" s="350" t="s">
        <v>666</v>
      </c>
      <c r="P9" s="351" t="s">
        <v>667</v>
      </c>
      <c r="Q9" s="346" t="s">
        <v>668</v>
      </c>
      <c r="R9" s="352"/>
      <c r="S9" s="352"/>
      <c r="T9" s="352"/>
    </row>
    <row r="10" spans="1:20" ht="17.25" customHeight="1">
      <c r="A10" s="354" t="s">
        <v>669</v>
      </c>
      <c r="D10" s="355"/>
      <c r="E10" s="356" t="s">
        <v>670</v>
      </c>
      <c r="F10" s="121" t="s">
        <v>268</v>
      </c>
      <c r="G10" s="357" t="s">
        <v>671</v>
      </c>
      <c r="H10" s="357" t="s">
        <v>632</v>
      </c>
      <c r="I10" s="436" t="s">
        <v>707</v>
      </c>
      <c r="J10" s="357" t="s">
        <v>672</v>
      </c>
      <c r="K10" s="357" t="s">
        <v>673</v>
      </c>
      <c r="L10" s="357" t="s">
        <v>674</v>
      </c>
      <c r="M10" s="357" t="s">
        <v>675</v>
      </c>
      <c r="N10" s="358" t="s">
        <v>676</v>
      </c>
      <c r="O10" s="357" t="s">
        <v>677</v>
      </c>
      <c r="P10" s="359" t="s">
        <v>678</v>
      </c>
      <c r="Q10" s="122" t="s">
        <v>679</v>
      </c>
      <c r="R10" s="360"/>
      <c r="S10" s="360"/>
      <c r="T10" s="360"/>
    </row>
    <row r="11" spans="1:20" ht="14.25" customHeight="1">
      <c r="A11" s="121">
        <v>390</v>
      </c>
      <c r="D11" s="192" t="s">
        <v>565</v>
      </c>
      <c r="E11" s="249">
        <f t="shared" ref="E11:E20" si="0">$E$6</f>
        <v>2010</v>
      </c>
      <c r="F11" s="361">
        <v>30</v>
      </c>
      <c r="G11" s="362">
        <f>J11+L11</f>
        <v>326768776</v>
      </c>
      <c r="H11" s="363">
        <f>SWM!$O$44</f>
        <v>905578</v>
      </c>
      <c r="I11" s="364">
        <f>SWM!$O$42</f>
        <v>186.3</v>
      </c>
      <c r="J11" s="363">
        <f>SWM!$F$41</f>
        <v>232026985</v>
      </c>
      <c r="K11" s="363">
        <f>SWM!$G$41+SWM!$H$41</f>
        <v>49817136</v>
      </c>
      <c r="L11" s="363">
        <f>SWM!$J$41+SWM!$K$41</f>
        <v>94741791</v>
      </c>
      <c r="M11" s="363">
        <f>SWM!$I$41</f>
        <v>18729024</v>
      </c>
      <c r="N11" s="365">
        <f>SWM!$L$17</f>
        <v>395314936</v>
      </c>
      <c r="O11" s="359"/>
      <c r="P11" s="359"/>
      <c r="R11" s="360"/>
      <c r="S11" s="360"/>
      <c r="T11" s="360"/>
    </row>
    <row r="12" spans="1:20" ht="14.25" customHeight="1">
      <c r="A12" s="121">
        <v>420</v>
      </c>
      <c r="B12" s="366"/>
      <c r="C12" s="367"/>
      <c r="D12" s="192" t="s">
        <v>564</v>
      </c>
      <c r="E12" s="249">
        <f t="shared" si="0"/>
        <v>2010</v>
      </c>
      <c r="F12" s="361">
        <v>40</v>
      </c>
      <c r="G12" s="368">
        <f t="shared" ref="G12:G20" si="1">J12+L12</f>
        <v>157403572</v>
      </c>
      <c r="H12" s="363">
        <f>HSSA!$O$44</f>
        <v>476980521</v>
      </c>
      <c r="I12" s="364">
        <f>HSSA!$O$42</f>
        <v>235.5</v>
      </c>
      <c r="J12" s="363">
        <f>HSSA!$F$41</f>
        <v>121723410</v>
      </c>
      <c r="K12" s="363">
        <f>HSSA!$G$41+HSSA!$H$41</f>
        <v>6949370</v>
      </c>
      <c r="L12" s="363">
        <f>HSSA!$J$41+HSSA!$K$41</f>
        <v>35680162</v>
      </c>
      <c r="M12" s="363">
        <f>HSSA!$I$41</f>
        <v>20876076</v>
      </c>
      <c r="N12" s="365">
        <f>HSSA!$L$17</f>
        <v>185229018</v>
      </c>
      <c r="O12" s="369"/>
      <c r="P12" s="369"/>
      <c r="R12" s="370"/>
      <c r="S12" s="370"/>
      <c r="T12" s="370"/>
    </row>
    <row r="13" spans="1:20">
      <c r="A13" s="121">
        <v>450</v>
      </c>
      <c r="B13" s="366"/>
      <c r="C13" s="367"/>
      <c r="D13" s="192" t="s">
        <v>557</v>
      </c>
      <c r="E13" s="249">
        <f t="shared" si="0"/>
        <v>2010</v>
      </c>
      <c r="F13" s="361">
        <v>89</v>
      </c>
      <c r="G13" s="368">
        <f t="shared" si="1"/>
        <v>39619168</v>
      </c>
      <c r="H13" s="363">
        <f>TAMHSC!$O$44</f>
        <v>1760852</v>
      </c>
      <c r="I13" s="364">
        <f>TAMHSC!$O$42</f>
        <v>21.39</v>
      </c>
      <c r="J13" s="363">
        <f>TAMHSC!$F$41</f>
        <v>33511244</v>
      </c>
      <c r="K13" s="363">
        <f>TAMHSC!$G$41+TAMHSC!$H$41</f>
        <v>11348288</v>
      </c>
      <c r="L13" s="363">
        <f>TAMHSC!$J$41+TAMHSC!$K$41</f>
        <v>6107924</v>
      </c>
      <c r="M13" s="363">
        <f>TAMHSC!$I$41</f>
        <v>27203425</v>
      </c>
      <c r="N13" s="365">
        <f>TAMHSC!$L$17</f>
        <v>78170881</v>
      </c>
      <c r="O13" s="369"/>
      <c r="P13" s="369"/>
      <c r="R13" s="370"/>
      <c r="S13" s="370"/>
      <c r="T13" s="370"/>
    </row>
    <row r="14" spans="1:20">
      <c r="A14" s="121">
        <v>460</v>
      </c>
      <c r="B14" s="366"/>
      <c r="C14" s="367"/>
      <c r="D14" s="192" t="s">
        <v>559</v>
      </c>
      <c r="E14" s="249">
        <f t="shared" si="0"/>
        <v>2010</v>
      </c>
      <c r="F14" s="361">
        <v>130</v>
      </c>
      <c r="G14" s="368">
        <f t="shared" si="1"/>
        <v>29666539</v>
      </c>
      <c r="H14" s="363">
        <f>UNTHSC!$O$44</f>
        <v>725343</v>
      </c>
      <c r="I14" s="364">
        <f>UNTHSC!$O$42</f>
        <v>16.47</v>
      </c>
      <c r="J14" s="363">
        <f>UNTHSC!$F$41</f>
        <v>25935870</v>
      </c>
      <c r="K14" s="363">
        <f>UNTHSC!$G$41+UNTHSC!$H$41</f>
        <v>1316900</v>
      </c>
      <c r="L14" s="363">
        <f>UNTHSC!$J$41+UNTHSC!$K$41</f>
        <v>3730669</v>
      </c>
      <c r="M14" s="363">
        <f>UNTHSC!$I$41</f>
        <v>8871440</v>
      </c>
      <c r="N14" s="365">
        <f>UNTHSC!$L$17</f>
        <v>39854879</v>
      </c>
      <c r="O14" s="369"/>
      <c r="P14" s="369"/>
      <c r="R14" s="370"/>
      <c r="S14" s="370"/>
      <c r="T14" s="370"/>
    </row>
    <row r="15" spans="1:20">
      <c r="A15" s="121">
        <v>440</v>
      </c>
      <c r="B15" s="366"/>
      <c r="C15" s="367"/>
      <c r="D15" s="192" t="s">
        <v>561</v>
      </c>
      <c r="E15" s="249">
        <f t="shared" si="0"/>
        <v>2010</v>
      </c>
      <c r="F15" s="361">
        <v>404</v>
      </c>
      <c r="G15" s="368">
        <f t="shared" si="1"/>
        <v>8798651</v>
      </c>
      <c r="H15" s="363" t="str">
        <f>THC!$O$44</f>
        <v>N/A</v>
      </c>
      <c r="I15" s="364">
        <f>THC!$O$42</f>
        <v>4.54</v>
      </c>
      <c r="J15" s="363">
        <f>THC!$F$41</f>
        <v>7250324</v>
      </c>
      <c r="K15" s="363">
        <f>THC!$G$41+THC!$H$41</f>
        <v>2339810</v>
      </c>
      <c r="L15" s="363">
        <f>THC!$J$41+THC!$K$41</f>
        <v>1548327</v>
      </c>
      <c r="M15" s="363">
        <f>THC!$I$41</f>
        <v>3239671</v>
      </c>
      <c r="N15" s="365">
        <f>THC!$L$17</f>
        <v>14378132</v>
      </c>
      <c r="O15" s="369"/>
      <c r="P15" s="369"/>
      <c r="R15" s="370"/>
      <c r="S15" s="370"/>
      <c r="T15" s="370"/>
    </row>
    <row r="16" spans="1:20">
      <c r="A16" s="121">
        <v>470</v>
      </c>
      <c r="B16" s="366"/>
      <c r="C16" s="367"/>
      <c r="D16" s="192" t="s">
        <v>558</v>
      </c>
      <c r="E16" s="249">
        <f t="shared" si="0"/>
        <v>2010</v>
      </c>
      <c r="F16" s="361">
        <v>412</v>
      </c>
      <c r="G16" s="368">
        <f t="shared" si="1"/>
        <v>16905019</v>
      </c>
      <c r="H16" s="363">
        <f>TTUHSC!$O$44</f>
        <v>211313</v>
      </c>
      <c r="I16" s="364">
        <f>TTUHSC!$O$42</f>
        <v>3.96</v>
      </c>
      <c r="J16" s="363">
        <f>TTUHSC!$F$41</f>
        <v>12950246</v>
      </c>
      <c r="K16" s="363">
        <f>TTUHSC!$G$41+TTUHSC!$H$41</f>
        <v>29208029</v>
      </c>
      <c r="L16" s="363">
        <f>TTUHSC!$J$41+TTUHSC!$K$41</f>
        <v>3954773</v>
      </c>
      <c r="M16" s="363">
        <f>TTUHSC!$I$41</f>
        <v>4775412</v>
      </c>
      <c r="N16" s="365">
        <f>TTUHSC!$L$17</f>
        <v>50888460</v>
      </c>
      <c r="O16" s="369"/>
      <c r="P16" s="369"/>
      <c r="R16" s="370"/>
      <c r="S16" s="370"/>
      <c r="T16" s="370"/>
    </row>
    <row r="17" spans="1:20">
      <c r="A17" s="121">
        <v>410</v>
      </c>
      <c r="B17" s="366"/>
      <c r="C17" s="367"/>
      <c r="D17" s="192" t="s">
        <v>562</v>
      </c>
      <c r="E17" s="249">
        <f t="shared" si="0"/>
        <v>2010</v>
      </c>
      <c r="F17" s="361">
        <v>11618</v>
      </c>
      <c r="G17" s="368">
        <f t="shared" si="1"/>
        <v>185676139</v>
      </c>
      <c r="H17" s="363">
        <f>HSH!$O$44</f>
        <v>676687</v>
      </c>
      <c r="I17" s="364">
        <f>HSH!$O$42</f>
        <v>158.08000000000001</v>
      </c>
      <c r="J17" s="363">
        <f>HSH!$F$41</f>
        <v>150323653</v>
      </c>
      <c r="K17" s="363">
        <f>HSH!$G$41+HSH!$H$41</f>
        <v>43517011</v>
      </c>
      <c r="L17" s="363">
        <f>HSH!$J$41+HSH!$K$41</f>
        <v>35352486</v>
      </c>
      <c r="M17" s="363">
        <f>HSH!$I$41</f>
        <v>11579402</v>
      </c>
      <c r="N17" s="365">
        <f>HSH!$L$17</f>
        <v>240772552</v>
      </c>
      <c r="O17" s="369"/>
      <c r="P17" s="369"/>
      <c r="R17" s="370"/>
      <c r="S17" s="370"/>
      <c r="T17" s="370"/>
    </row>
    <row r="18" spans="1:20">
      <c r="A18" s="121">
        <v>430</v>
      </c>
      <c r="B18" s="366"/>
      <c r="C18" s="367"/>
      <c r="D18" s="192" t="s">
        <v>563</v>
      </c>
      <c r="E18" s="249">
        <f t="shared" si="0"/>
        <v>2010</v>
      </c>
      <c r="F18" s="361">
        <v>25554</v>
      </c>
      <c r="G18" s="368">
        <f t="shared" si="1"/>
        <v>339032775</v>
      </c>
      <c r="H18" s="363">
        <f>MDA!$O$44</f>
        <v>832595</v>
      </c>
      <c r="I18" s="364">
        <f>MDA!$O$42</f>
        <v>769.99</v>
      </c>
      <c r="J18" s="363">
        <f>MDA!$F$41</f>
        <v>206664447</v>
      </c>
      <c r="K18" s="363">
        <f>MDA!$G$41+MDA!$H$41</f>
        <v>176805729</v>
      </c>
      <c r="L18" s="363">
        <f>MDA!$J$41+MDA!$K$41</f>
        <v>132368328</v>
      </c>
      <c r="M18" s="363">
        <f>MDA!$I$41</f>
        <v>31196240</v>
      </c>
      <c r="N18" s="365">
        <f>MDA!$L$17</f>
        <v>547034744</v>
      </c>
      <c r="O18" s="369"/>
      <c r="P18" s="369"/>
      <c r="R18" s="370"/>
      <c r="S18" s="370"/>
      <c r="T18" s="370"/>
    </row>
    <row r="19" spans="1:20">
      <c r="A19" s="121">
        <v>400</v>
      </c>
      <c r="B19" s="366"/>
      <c r="C19" s="367"/>
      <c r="D19" s="371" t="s">
        <v>560</v>
      </c>
      <c r="E19" s="249">
        <f t="shared" si="0"/>
        <v>2010</v>
      </c>
      <c r="F19" s="372">
        <v>104952</v>
      </c>
      <c r="G19" s="368">
        <f t="shared" si="1"/>
        <v>147318206</v>
      </c>
      <c r="H19" s="363">
        <f>MBG!$O$44</f>
        <v>449772</v>
      </c>
      <c r="I19" s="364">
        <f>MBG!$O$42</f>
        <v>81.099999999999994</v>
      </c>
      <c r="J19" s="363">
        <f>MBG!$F$41</f>
        <v>128839602</v>
      </c>
      <c r="K19" s="363">
        <f>MBG!$G$41+MBG!$H$41</f>
        <v>1674687</v>
      </c>
      <c r="L19" s="363">
        <f>MBG!$J$41+MBG!$K$41</f>
        <v>18478604</v>
      </c>
      <c r="M19" s="363">
        <f>MBG!$I$41</f>
        <v>7832111</v>
      </c>
      <c r="N19" s="365">
        <f>MBG!$L$17</f>
        <v>156825004</v>
      </c>
      <c r="O19" s="369"/>
      <c r="P19" s="369"/>
      <c r="R19" s="370"/>
      <c r="S19" s="370"/>
      <c r="T19" s="370"/>
    </row>
    <row r="20" spans="1:20" ht="13.5" thickBot="1">
      <c r="A20" s="373"/>
      <c r="B20" s="373"/>
      <c r="C20" s="373"/>
      <c r="D20" s="374" t="s">
        <v>680</v>
      </c>
      <c r="E20" s="375">
        <f t="shared" si="0"/>
        <v>2010</v>
      </c>
      <c r="F20" s="376">
        <v>445566</v>
      </c>
      <c r="G20" s="377">
        <f t="shared" si="1"/>
        <v>1251188845</v>
      </c>
      <c r="H20" s="378">
        <f>Summary!$O$341</f>
        <v>826576</v>
      </c>
      <c r="I20" s="379">
        <f>Summary!$O$330</f>
        <v>79.599999999999994</v>
      </c>
      <c r="J20" s="380">
        <f t="shared" ref="J20:N20" si="2">SUM(J11:J19)</f>
        <v>919225781</v>
      </c>
      <c r="K20" s="380">
        <f t="shared" si="2"/>
        <v>322976960</v>
      </c>
      <c r="L20" s="380">
        <f t="shared" si="2"/>
        <v>331963064</v>
      </c>
      <c r="M20" s="380">
        <f t="shared" si="2"/>
        <v>134302801</v>
      </c>
      <c r="N20" s="381">
        <f t="shared" si="2"/>
        <v>1708468606</v>
      </c>
      <c r="O20" s="382"/>
      <c r="P20" s="382"/>
      <c r="R20" s="336"/>
      <c r="S20" s="336"/>
      <c r="T20" s="336"/>
    </row>
    <row r="21" spans="1:20" s="336" customFormat="1" ht="14.25" thickTop="1" thickBot="1">
      <c r="A21" s="383"/>
      <c r="B21" s="383"/>
      <c r="C21" s="383"/>
      <c r="E21" s="373">
        <f>COUNTA(E11:E19)</f>
        <v>9</v>
      </c>
      <c r="O21" s="384"/>
      <c r="P21" s="384"/>
    </row>
    <row r="22" spans="1:20" s="336" customFormat="1" ht="13.5" thickTop="1">
      <c r="A22" s="383"/>
      <c r="B22" s="336" t="s">
        <v>681</v>
      </c>
      <c r="C22" s="383"/>
      <c r="O22" s="384"/>
      <c r="P22" s="384"/>
    </row>
    <row r="23" spans="1:20" s="336" customFormat="1">
      <c r="A23" s="383"/>
      <c r="B23" s="336" t="s">
        <v>682</v>
      </c>
      <c r="C23" s="383"/>
      <c r="G23" s="383"/>
      <c r="H23" s="383"/>
      <c r="I23" s="383"/>
      <c r="J23" s="383"/>
      <c r="K23" s="383"/>
      <c r="L23" s="383"/>
      <c r="M23" s="383"/>
      <c r="N23" s="383"/>
      <c r="O23" s="384"/>
      <c r="P23" s="384"/>
    </row>
    <row r="24" spans="1:20" s="386" customFormat="1">
      <c r="A24" s="385"/>
      <c r="B24" s="385"/>
      <c r="C24" s="385"/>
      <c r="G24" s="387"/>
      <c r="H24" s="388"/>
      <c r="I24" s="389"/>
      <c r="J24" s="389"/>
      <c r="K24" s="389"/>
      <c r="L24" s="389"/>
      <c r="M24" s="388"/>
      <c r="N24" s="388"/>
    </row>
    <row r="25" spans="1:20" s="386" customFormat="1">
      <c r="A25" s="385"/>
      <c r="B25" s="385"/>
      <c r="C25" s="385"/>
      <c r="D25" s="390"/>
      <c r="G25" s="391"/>
      <c r="H25" s="388"/>
      <c r="I25" s="389"/>
      <c r="J25" s="389"/>
      <c r="K25" s="389"/>
      <c r="L25" s="389"/>
      <c r="M25" s="392"/>
      <c r="N25" s="388"/>
      <c r="O25" s="390"/>
      <c r="P25" s="390"/>
    </row>
    <row r="26" spans="1:20" s="386" customFormat="1">
      <c r="A26" s="385"/>
      <c r="B26" s="385"/>
      <c r="C26" s="385"/>
      <c r="G26" s="391"/>
      <c r="H26" s="393"/>
      <c r="I26" s="389"/>
      <c r="J26" s="389"/>
      <c r="K26" s="389"/>
      <c r="L26" s="389"/>
      <c r="M26" s="391"/>
      <c r="N26" s="388"/>
    </row>
    <row r="27" spans="1:20" s="386" customFormat="1">
      <c r="A27" s="385"/>
      <c r="B27" s="385"/>
      <c r="C27" s="385"/>
      <c r="G27" s="394"/>
      <c r="H27" s="394"/>
      <c r="I27" s="394"/>
      <c r="J27" s="394"/>
      <c r="K27" s="394"/>
      <c r="L27" s="394"/>
      <c r="M27" s="394"/>
      <c r="N27" s="394"/>
    </row>
    <row r="28" spans="1:20" s="386" customFormat="1">
      <c r="A28" s="385"/>
      <c r="B28" s="385"/>
      <c r="C28" s="385"/>
      <c r="G28" s="394"/>
      <c r="H28" s="394"/>
      <c r="I28" s="394"/>
      <c r="J28" s="394"/>
      <c r="K28" s="394"/>
      <c r="L28" s="394"/>
      <c r="M28" s="394"/>
      <c r="N28" s="394"/>
    </row>
    <row r="29" spans="1:20" s="386" customFormat="1">
      <c r="A29" s="385"/>
      <c r="B29" s="385"/>
      <c r="C29" s="385"/>
      <c r="G29" s="394"/>
      <c r="H29" s="394"/>
      <c r="I29" s="394"/>
      <c r="J29" s="394"/>
      <c r="K29" s="394"/>
      <c r="L29" s="394"/>
      <c r="M29" s="394"/>
      <c r="N29" s="394"/>
    </row>
    <row r="30" spans="1:20" s="336" customFormat="1">
      <c r="A30" s="383"/>
      <c r="B30" s="383"/>
      <c r="C30" s="383"/>
      <c r="R30" s="395"/>
    </row>
    <row r="31" spans="1:20" s="336" customFormat="1">
      <c r="A31" s="383"/>
      <c r="B31" s="383"/>
      <c r="C31" s="383"/>
    </row>
    <row r="32" spans="1:20" s="336" customFormat="1">
      <c r="A32" s="383"/>
      <c r="B32" s="383"/>
      <c r="C32" s="383"/>
      <c r="G32" s="242"/>
      <c r="H32" s="242"/>
      <c r="I32" s="242"/>
      <c r="J32" s="242" t="str">
        <f>IF(J20&lt;&gt;Summary!$F$320,"Error","Balanced")</f>
        <v>Balanced</v>
      </c>
      <c r="K32" s="242" t="str">
        <f>IF(K20&lt;&gt;(Summary!$G$320+Summary!$H$320),"Error","Balanced")</f>
        <v>Balanced</v>
      </c>
      <c r="L32" s="242" t="str">
        <f>IF(L20&lt;&gt;(Summary!$J$320+Summary!$K$320),"Error","Balanced")</f>
        <v>Balanced</v>
      </c>
      <c r="M32" s="242" t="str">
        <f>IF(M20&lt;&gt;Summary!$I$320,"Error","Balanced")</f>
        <v>Balanced</v>
      </c>
      <c r="N32" s="242" t="str">
        <f>IF(N20&lt;&gt;Summary!$L$320,"Error","Balanced")</f>
        <v>Balanced</v>
      </c>
      <c r="O32" s="396"/>
      <c r="P32" s="396"/>
    </row>
    <row r="33" spans="1:16" s="336" customFormat="1">
      <c r="A33" s="383"/>
      <c r="B33" s="383"/>
      <c r="C33" s="383"/>
    </row>
    <row r="34" spans="1:16" s="336" customFormat="1">
      <c r="A34" s="383"/>
      <c r="B34" s="383"/>
      <c r="C34" s="383"/>
      <c r="G34" s="383"/>
      <c r="H34" s="383"/>
      <c r="I34" s="383"/>
      <c r="J34" s="383"/>
      <c r="K34" s="383"/>
      <c r="L34" s="383"/>
      <c r="M34" s="383"/>
      <c r="N34" s="383"/>
      <c r="O34" s="383"/>
      <c r="P34" s="383"/>
    </row>
    <row r="35" spans="1:16" s="336" customFormat="1">
      <c r="A35" s="383"/>
      <c r="B35" s="383"/>
      <c r="C35" s="383"/>
    </row>
    <row r="36" spans="1:16" s="336" customFormat="1">
      <c r="A36" s="383"/>
      <c r="B36" s="383"/>
      <c r="C36" s="383"/>
    </row>
    <row r="37" spans="1:16" s="336" customFormat="1">
      <c r="A37" s="383"/>
      <c r="B37" s="383"/>
      <c r="C37" s="383"/>
    </row>
    <row r="38" spans="1:16" s="336" customFormat="1" ht="13.5" thickBot="1">
      <c r="A38" s="383"/>
      <c r="B38" s="383"/>
      <c r="G38" s="377">
        <v>1251188845</v>
      </c>
      <c r="H38" s="397"/>
      <c r="I38" s="397"/>
      <c r="J38" s="397">
        <v>919225781</v>
      </c>
      <c r="K38" s="397">
        <v>322976960</v>
      </c>
      <c r="L38" s="397">
        <v>331963064</v>
      </c>
      <c r="M38" s="397">
        <v>134302801</v>
      </c>
      <c r="N38" s="397">
        <v>1708468606</v>
      </c>
      <c r="O38" s="382"/>
      <c r="P38" s="382"/>
    </row>
    <row r="39" spans="1:16" s="336" customFormat="1">
      <c r="A39" s="383"/>
      <c r="B39" s="383"/>
      <c r="C39" s="383"/>
    </row>
    <row r="40" spans="1:16" s="336" customFormat="1">
      <c r="A40" s="383"/>
      <c r="B40" s="383"/>
      <c r="C40" s="383"/>
      <c r="G40" s="398">
        <f>G38-G20</f>
        <v>0</v>
      </c>
      <c r="H40" s="398"/>
      <c r="I40" s="398"/>
      <c r="J40" s="398"/>
      <c r="K40" s="398"/>
      <c r="L40" s="398"/>
      <c r="M40" s="398"/>
      <c r="N40" s="398">
        <f>N38-N20</f>
        <v>0</v>
      </c>
      <c r="O40" s="398"/>
      <c r="P40" s="398"/>
    </row>
    <row r="41" spans="1:16" s="336" customFormat="1">
      <c r="A41" s="383"/>
      <c r="B41" s="383"/>
      <c r="C41" s="383"/>
    </row>
    <row r="42" spans="1:16" s="336" customFormat="1">
      <c r="A42" s="383"/>
      <c r="B42" s="383"/>
      <c r="C42" s="383"/>
      <c r="D42" s="214" t="s">
        <v>706</v>
      </c>
      <c r="E42" s="399"/>
      <c r="F42" s="399">
        <f t="shared" ref="F42:N42" si="3">SUM(F11:F20)</f>
        <v>588795</v>
      </c>
      <c r="G42" s="399">
        <f t="shared" si="3"/>
        <v>2502377690</v>
      </c>
      <c r="H42" s="399">
        <f t="shared" si="3"/>
        <v>483369237</v>
      </c>
      <c r="I42" s="435">
        <f t="shared" si="3"/>
        <v>1556.9299999999998</v>
      </c>
      <c r="J42" s="399">
        <f t="shared" si="3"/>
        <v>1838451562</v>
      </c>
      <c r="K42" s="399">
        <f t="shared" si="3"/>
        <v>645953920</v>
      </c>
      <c r="L42" s="399">
        <f t="shared" si="3"/>
        <v>663926128</v>
      </c>
      <c r="M42" s="399">
        <f t="shared" si="3"/>
        <v>268605602</v>
      </c>
      <c r="N42" s="399">
        <f t="shared" si="3"/>
        <v>3416937212</v>
      </c>
      <c r="P42" s="435">
        <f>SUM(F42:O42)</f>
        <v>9820211702.9300003</v>
      </c>
    </row>
    <row r="43" spans="1:16" s="336" customFormat="1">
      <c r="A43" s="383"/>
      <c r="B43" s="383"/>
      <c r="C43" s="383"/>
    </row>
    <row r="44" spans="1:16" s="336" customFormat="1">
      <c r="A44" s="383"/>
      <c r="B44" s="383"/>
      <c r="C44" s="383"/>
    </row>
    <row r="45" spans="1:16" s="336" customFormat="1">
      <c r="A45" s="383"/>
      <c r="B45" s="383"/>
      <c r="C45" s="383"/>
    </row>
    <row r="46" spans="1:16" s="336" customFormat="1">
      <c r="A46" s="383"/>
      <c r="B46" s="383"/>
      <c r="C46" s="383"/>
    </row>
    <row r="47" spans="1:16" s="336" customFormat="1">
      <c r="A47" s="383"/>
      <c r="B47" s="383"/>
      <c r="C47" s="383"/>
    </row>
    <row r="48" spans="1:16" s="336" customFormat="1">
      <c r="A48" s="383"/>
      <c r="B48" s="383"/>
      <c r="C48" s="383"/>
    </row>
    <row r="49" spans="1:3" s="336" customFormat="1">
      <c r="A49" s="383"/>
      <c r="B49" s="383"/>
      <c r="C49" s="383"/>
    </row>
    <row r="50" spans="1:3" s="336" customFormat="1">
      <c r="A50" s="383"/>
      <c r="B50" s="383"/>
      <c r="C50" s="383"/>
    </row>
    <row r="51" spans="1:3" s="336" customFormat="1">
      <c r="A51" s="383"/>
      <c r="B51" s="383"/>
      <c r="C51" s="383"/>
    </row>
    <row r="52" spans="1:3" s="336" customFormat="1">
      <c r="A52" s="383"/>
      <c r="B52" s="383"/>
      <c r="C52" s="383"/>
    </row>
    <row r="53" spans="1:3" s="336" customFormat="1">
      <c r="A53" s="383"/>
      <c r="B53" s="383"/>
      <c r="C53" s="383"/>
    </row>
    <row r="54" spans="1:3" s="336" customFormat="1">
      <c r="A54" s="383"/>
      <c r="B54" s="383"/>
      <c r="C54" s="383"/>
    </row>
    <row r="55" spans="1:3" s="336" customFormat="1">
      <c r="A55" s="383"/>
      <c r="B55" s="383"/>
      <c r="C55" s="383"/>
    </row>
    <row r="56" spans="1:3" s="336" customFormat="1">
      <c r="A56" s="383"/>
      <c r="B56" s="383"/>
      <c r="C56" s="383"/>
    </row>
    <row r="57" spans="1:3" s="336" customFormat="1">
      <c r="A57" s="383"/>
      <c r="B57" s="383"/>
      <c r="C57" s="383"/>
    </row>
    <row r="58" spans="1:3" s="336" customFormat="1">
      <c r="A58" s="383"/>
      <c r="B58" s="383"/>
      <c r="C58" s="383"/>
    </row>
    <row r="59" spans="1:3" s="336" customFormat="1">
      <c r="A59" s="383"/>
      <c r="B59" s="383"/>
      <c r="C59" s="383"/>
    </row>
    <row r="60" spans="1:3" s="336" customFormat="1">
      <c r="A60" s="383"/>
      <c r="B60" s="383"/>
      <c r="C60" s="383"/>
    </row>
    <row r="61" spans="1:3" s="336" customFormat="1">
      <c r="A61" s="383"/>
      <c r="B61" s="383"/>
      <c r="C61" s="383"/>
    </row>
    <row r="62" spans="1:3" s="336" customFormat="1">
      <c r="A62" s="383"/>
      <c r="B62" s="383"/>
      <c r="C62" s="383"/>
    </row>
    <row r="63" spans="1:3" s="336" customFormat="1">
      <c r="A63" s="383"/>
      <c r="B63" s="383"/>
      <c r="C63" s="383"/>
    </row>
    <row r="64" spans="1:3" s="336" customFormat="1">
      <c r="A64" s="383"/>
      <c r="B64" s="383"/>
      <c r="C64" s="383"/>
    </row>
    <row r="65" spans="1:3" s="336" customFormat="1">
      <c r="A65" s="383"/>
      <c r="B65" s="383"/>
      <c r="C65" s="383"/>
    </row>
    <row r="66" spans="1:3" s="336" customFormat="1">
      <c r="A66" s="383"/>
      <c r="B66" s="383"/>
      <c r="C66" s="383"/>
    </row>
    <row r="67" spans="1:3" s="336" customFormat="1">
      <c r="A67" s="383"/>
      <c r="B67" s="383"/>
      <c r="C67" s="383"/>
    </row>
    <row r="68" spans="1:3" s="336" customFormat="1">
      <c r="A68" s="383"/>
      <c r="B68" s="383"/>
      <c r="C68" s="383"/>
    </row>
    <row r="69" spans="1:3" s="336" customFormat="1">
      <c r="A69" s="383"/>
      <c r="B69" s="383"/>
      <c r="C69" s="383"/>
    </row>
    <row r="70" spans="1:3" s="336" customFormat="1">
      <c r="A70" s="383"/>
      <c r="B70" s="383"/>
      <c r="C70" s="383"/>
    </row>
    <row r="71" spans="1:3" s="336" customFormat="1">
      <c r="A71" s="383"/>
      <c r="B71" s="383"/>
      <c r="C71" s="383"/>
    </row>
    <row r="72" spans="1:3" s="336" customFormat="1">
      <c r="A72" s="383"/>
      <c r="B72" s="383"/>
      <c r="C72" s="383"/>
    </row>
    <row r="73" spans="1:3" s="336" customFormat="1">
      <c r="A73" s="383"/>
      <c r="B73" s="383"/>
      <c r="C73" s="383"/>
    </row>
    <row r="74" spans="1:3" s="336" customFormat="1">
      <c r="A74" s="383"/>
      <c r="B74" s="383"/>
      <c r="C74" s="383"/>
    </row>
    <row r="75" spans="1:3" s="336" customFormat="1">
      <c r="A75" s="383"/>
      <c r="B75" s="383"/>
      <c r="C75" s="383"/>
    </row>
    <row r="76" spans="1:3" s="336" customFormat="1">
      <c r="A76" s="383"/>
      <c r="B76" s="383"/>
      <c r="C76" s="383"/>
    </row>
    <row r="77" spans="1:3" s="336" customFormat="1">
      <c r="A77" s="383"/>
      <c r="B77" s="383"/>
      <c r="C77" s="383"/>
    </row>
    <row r="78" spans="1:3" s="336" customFormat="1">
      <c r="A78" s="383"/>
      <c r="B78" s="383"/>
      <c r="C78" s="383"/>
    </row>
    <row r="79" spans="1:3" s="336" customFormat="1">
      <c r="A79" s="383"/>
      <c r="B79" s="383"/>
      <c r="C79" s="383"/>
    </row>
    <row r="80" spans="1:3" s="336" customFormat="1">
      <c r="A80" s="383"/>
      <c r="B80" s="383"/>
      <c r="C80" s="383"/>
    </row>
    <row r="81" spans="1:3" s="336" customFormat="1">
      <c r="A81" s="383"/>
      <c r="B81" s="383"/>
      <c r="C81" s="383"/>
    </row>
    <row r="82" spans="1:3" s="336" customFormat="1">
      <c r="A82" s="383"/>
      <c r="B82" s="383"/>
      <c r="C82" s="383"/>
    </row>
    <row r="83" spans="1:3" s="336" customFormat="1">
      <c r="A83" s="383"/>
      <c r="B83" s="383"/>
      <c r="C83" s="383"/>
    </row>
    <row r="84" spans="1:3" s="336" customFormat="1">
      <c r="A84" s="383"/>
      <c r="B84" s="383"/>
      <c r="C84" s="383"/>
    </row>
    <row r="85" spans="1:3" s="336" customFormat="1">
      <c r="A85" s="383"/>
      <c r="B85" s="383"/>
      <c r="C85" s="383"/>
    </row>
    <row r="86" spans="1:3" s="336" customFormat="1">
      <c r="A86" s="383"/>
      <c r="B86" s="383"/>
      <c r="C86" s="383"/>
    </row>
    <row r="87" spans="1:3" s="336" customFormat="1">
      <c r="A87" s="383"/>
      <c r="B87" s="383"/>
      <c r="C87" s="383"/>
    </row>
    <row r="88" spans="1:3" s="336" customFormat="1">
      <c r="A88" s="383"/>
      <c r="B88" s="383"/>
      <c r="C88" s="383"/>
    </row>
    <row r="89" spans="1:3" s="336" customFormat="1">
      <c r="A89" s="383"/>
      <c r="B89" s="383"/>
      <c r="C89" s="383"/>
    </row>
    <row r="90" spans="1:3" s="336" customFormat="1">
      <c r="A90" s="383"/>
      <c r="B90" s="383"/>
      <c r="C90" s="383"/>
    </row>
    <row r="91" spans="1:3" s="336" customFormat="1">
      <c r="A91" s="383"/>
      <c r="B91" s="383"/>
      <c r="C91" s="383"/>
    </row>
    <row r="92" spans="1:3" s="336" customFormat="1">
      <c r="A92" s="383"/>
      <c r="B92" s="383"/>
      <c r="C92" s="383"/>
    </row>
    <row r="93" spans="1:3" s="336" customFormat="1">
      <c r="A93" s="383"/>
      <c r="B93" s="383"/>
      <c r="C93" s="383"/>
    </row>
    <row r="94" spans="1:3" s="336" customFormat="1">
      <c r="A94" s="383"/>
      <c r="B94" s="383"/>
      <c r="C94" s="383"/>
    </row>
    <row r="95" spans="1:3" s="336" customFormat="1">
      <c r="A95" s="383"/>
      <c r="B95" s="383"/>
      <c r="C95" s="383"/>
    </row>
    <row r="96" spans="1:3" s="336" customFormat="1">
      <c r="A96" s="383"/>
      <c r="B96" s="383"/>
      <c r="C96" s="383"/>
    </row>
    <row r="97" spans="1:3" s="336" customFormat="1">
      <c r="A97" s="383"/>
      <c r="B97" s="383"/>
      <c r="C97" s="383"/>
    </row>
    <row r="98" spans="1:3" s="336" customFormat="1">
      <c r="A98" s="383"/>
      <c r="B98" s="383"/>
      <c r="C98" s="383"/>
    </row>
    <row r="99" spans="1:3" s="336" customFormat="1">
      <c r="A99" s="383"/>
      <c r="B99" s="383"/>
      <c r="C99" s="383"/>
    </row>
    <row r="100" spans="1:3" s="336" customFormat="1">
      <c r="A100" s="383"/>
      <c r="B100" s="383"/>
      <c r="C100" s="383"/>
    </row>
    <row r="101" spans="1:3" s="336" customFormat="1">
      <c r="A101" s="383"/>
      <c r="B101" s="383"/>
      <c r="C101" s="383"/>
    </row>
    <row r="102" spans="1:3" s="336" customFormat="1">
      <c r="A102" s="383"/>
      <c r="B102" s="383"/>
      <c r="C102" s="383"/>
    </row>
    <row r="103" spans="1:3" s="336" customFormat="1">
      <c r="A103" s="383"/>
      <c r="B103" s="383"/>
      <c r="C103" s="383"/>
    </row>
    <row r="104" spans="1:3" s="336" customFormat="1">
      <c r="A104" s="383"/>
      <c r="B104" s="383"/>
      <c r="C104" s="383"/>
    </row>
    <row r="105" spans="1:3" s="336" customFormat="1">
      <c r="A105" s="383"/>
      <c r="B105" s="383"/>
      <c r="C105" s="383"/>
    </row>
    <row r="106" spans="1:3" s="336" customFormat="1">
      <c r="A106" s="383"/>
      <c r="B106" s="383"/>
      <c r="C106" s="383"/>
    </row>
    <row r="107" spans="1:3" s="336" customFormat="1">
      <c r="A107" s="383"/>
      <c r="B107" s="383"/>
      <c r="C107" s="383"/>
    </row>
    <row r="108" spans="1:3" s="336" customFormat="1">
      <c r="A108" s="383"/>
      <c r="B108" s="383"/>
      <c r="C108" s="383"/>
    </row>
    <row r="109" spans="1:3" s="336" customFormat="1">
      <c r="A109" s="383"/>
      <c r="B109" s="383"/>
      <c r="C109" s="383"/>
    </row>
    <row r="110" spans="1:3" s="336" customFormat="1">
      <c r="A110" s="383"/>
      <c r="B110" s="383"/>
      <c r="C110" s="383"/>
    </row>
    <row r="111" spans="1:3" s="336" customFormat="1">
      <c r="A111" s="383"/>
      <c r="B111" s="383"/>
      <c r="C111" s="383"/>
    </row>
    <row r="112" spans="1:3" s="336" customFormat="1">
      <c r="A112" s="383"/>
      <c r="B112" s="383"/>
      <c r="C112" s="383"/>
    </row>
    <row r="113" spans="1:3" s="336" customFormat="1">
      <c r="A113" s="383"/>
      <c r="B113" s="383"/>
      <c r="C113" s="383"/>
    </row>
    <row r="114" spans="1:3" s="336" customFormat="1">
      <c r="A114" s="383"/>
      <c r="B114" s="383"/>
      <c r="C114" s="383"/>
    </row>
    <row r="115" spans="1:3" s="336" customFormat="1">
      <c r="A115" s="383"/>
      <c r="B115" s="383"/>
      <c r="C115" s="383"/>
    </row>
    <row r="116" spans="1:3" s="336" customFormat="1">
      <c r="A116" s="383"/>
      <c r="B116" s="383"/>
      <c r="C116" s="383"/>
    </row>
    <row r="117" spans="1:3" s="336" customFormat="1">
      <c r="A117" s="383"/>
      <c r="B117" s="383"/>
      <c r="C117" s="383"/>
    </row>
    <row r="118" spans="1:3" s="336" customFormat="1">
      <c r="A118" s="383"/>
      <c r="B118" s="383"/>
      <c r="C118" s="383"/>
    </row>
    <row r="119" spans="1:3" s="336" customFormat="1">
      <c r="A119" s="383"/>
      <c r="B119" s="383"/>
      <c r="C119" s="383"/>
    </row>
    <row r="120" spans="1:3" s="336" customFormat="1">
      <c r="A120" s="383"/>
      <c r="B120" s="383"/>
      <c r="C120" s="383"/>
    </row>
    <row r="121" spans="1:3" s="336" customFormat="1">
      <c r="A121" s="383"/>
      <c r="B121" s="383"/>
      <c r="C121" s="383"/>
    </row>
    <row r="122" spans="1:3" s="336" customFormat="1">
      <c r="A122" s="383"/>
      <c r="B122" s="383"/>
      <c r="C122" s="383"/>
    </row>
    <row r="123" spans="1:3" s="336" customFormat="1">
      <c r="A123" s="383"/>
      <c r="B123" s="383"/>
      <c r="C123" s="383"/>
    </row>
    <row r="124" spans="1:3" s="336" customFormat="1">
      <c r="A124" s="383"/>
      <c r="B124" s="383"/>
      <c r="C124" s="383"/>
    </row>
    <row r="125" spans="1:3" s="336" customFormat="1">
      <c r="A125" s="383"/>
      <c r="B125" s="383"/>
      <c r="C125" s="383"/>
    </row>
    <row r="126" spans="1:3" s="336" customFormat="1">
      <c r="A126" s="383"/>
      <c r="B126" s="383"/>
      <c r="C126" s="383"/>
    </row>
    <row r="127" spans="1:3" s="336" customFormat="1">
      <c r="A127" s="383"/>
      <c r="B127" s="383"/>
      <c r="C127" s="383"/>
    </row>
    <row r="128" spans="1:3" s="336" customFormat="1">
      <c r="A128" s="383"/>
      <c r="B128" s="383"/>
      <c r="C128" s="383"/>
    </row>
    <row r="129" spans="1:3" s="336" customFormat="1">
      <c r="A129" s="383"/>
      <c r="B129" s="383"/>
      <c r="C129" s="383"/>
    </row>
    <row r="130" spans="1:3" s="336" customFormat="1">
      <c r="A130" s="383"/>
      <c r="B130" s="383"/>
      <c r="C130" s="383"/>
    </row>
    <row r="131" spans="1:3" s="336" customFormat="1">
      <c r="A131" s="383"/>
      <c r="B131" s="383"/>
      <c r="C131" s="383"/>
    </row>
    <row r="132" spans="1:3" s="336" customFormat="1">
      <c r="A132" s="383"/>
      <c r="B132" s="383"/>
      <c r="C132" s="383"/>
    </row>
    <row r="133" spans="1:3" s="336" customFormat="1">
      <c r="A133" s="383"/>
      <c r="B133" s="383"/>
      <c r="C133" s="383"/>
    </row>
    <row r="134" spans="1:3" s="336" customFormat="1">
      <c r="A134" s="383"/>
      <c r="B134" s="383"/>
      <c r="C134" s="383"/>
    </row>
    <row r="135" spans="1:3" s="336" customFormat="1">
      <c r="A135" s="383"/>
      <c r="B135" s="383"/>
      <c r="C135" s="383"/>
    </row>
    <row r="136" spans="1:3" s="336" customFormat="1">
      <c r="A136" s="383"/>
      <c r="B136" s="383"/>
      <c r="C136" s="383"/>
    </row>
    <row r="137" spans="1:3" s="336" customFormat="1">
      <c r="A137" s="383"/>
      <c r="B137" s="383"/>
      <c r="C137" s="383"/>
    </row>
    <row r="138" spans="1:3" s="336" customFormat="1">
      <c r="A138" s="383"/>
      <c r="B138" s="383"/>
      <c r="C138" s="383"/>
    </row>
    <row r="139" spans="1:3" s="336" customFormat="1">
      <c r="A139" s="383"/>
      <c r="B139" s="383"/>
      <c r="C139" s="383"/>
    </row>
    <row r="140" spans="1:3" s="336" customFormat="1">
      <c r="A140" s="383"/>
      <c r="B140" s="383"/>
      <c r="C140" s="383"/>
    </row>
    <row r="141" spans="1:3" s="336" customFormat="1">
      <c r="A141" s="383"/>
      <c r="B141" s="383"/>
      <c r="C141" s="383"/>
    </row>
    <row r="142" spans="1:3" s="336" customFormat="1">
      <c r="A142" s="383"/>
      <c r="B142" s="383"/>
      <c r="C142" s="383"/>
    </row>
    <row r="143" spans="1:3" s="336" customFormat="1">
      <c r="A143" s="383"/>
      <c r="B143" s="383"/>
      <c r="C143" s="383"/>
    </row>
    <row r="144" spans="1:3" s="336" customFormat="1">
      <c r="A144" s="383"/>
      <c r="B144" s="383"/>
      <c r="C144" s="383"/>
    </row>
    <row r="145" spans="1:3" s="336" customFormat="1">
      <c r="A145" s="383"/>
      <c r="B145" s="383"/>
      <c r="C145" s="383"/>
    </row>
    <row r="146" spans="1:3" s="336" customFormat="1">
      <c r="A146" s="383"/>
      <c r="B146" s="383"/>
      <c r="C146" s="383"/>
    </row>
    <row r="147" spans="1:3" s="336" customFormat="1">
      <c r="A147" s="383"/>
      <c r="B147" s="383"/>
      <c r="C147" s="383"/>
    </row>
    <row r="148" spans="1:3" s="336" customFormat="1">
      <c r="A148" s="383"/>
      <c r="B148" s="383"/>
      <c r="C148" s="383"/>
    </row>
    <row r="149" spans="1:3" s="336" customFormat="1">
      <c r="A149" s="383"/>
      <c r="B149" s="383"/>
      <c r="C149" s="383"/>
    </row>
    <row r="150" spans="1:3" s="336" customFormat="1">
      <c r="A150" s="383"/>
      <c r="B150" s="383"/>
      <c r="C150" s="383"/>
    </row>
    <row r="151" spans="1:3" s="336" customFormat="1">
      <c r="A151" s="383"/>
      <c r="B151" s="383"/>
      <c r="C151" s="383"/>
    </row>
    <row r="152" spans="1:3" s="336" customFormat="1">
      <c r="A152" s="383"/>
      <c r="B152" s="383"/>
      <c r="C152" s="383"/>
    </row>
    <row r="153" spans="1:3" s="336" customFormat="1">
      <c r="A153" s="383"/>
      <c r="B153" s="383"/>
      <c r="C153" s="383"/>
    </row>
    <row r="154" spans="1:3" s="336" customFormat="1">
      <c r="A154" s="383"/>
      <c r="B154" s="383"/>
      <c r="C154" s="383"/>
    </row>
    <row r="155" spans="1:3" s="336" customFormat="1">
      <c r="A155" s="383"/>
      <c r="B155" s="383"/>
      <c r="C155" s="383"/>
    </row>
    <row r="156" spans="1:3" s="336" customFormat="1">
      <c r="A156" s="383"/>
      <c r="B156" s="383"/>
      <c r="C156" s="383"/>
    </row>
    <row r="157" spans="1:3" s="336" customFormat="1">
      <c r="A157" s="383"/>
      <c r="B157" s="383"/>
      <c r="C157" s="383"/>
    </row>
    <row r="158" spans="1:3" s="336" customFormat="1">
      <c r="A158" s="383"/>
      <c r="B158" s="383"/>
      <c r="C158" s="383"/>
    </row>
    <row r="159" spans="1:3" s="336" customFormat="1">
      <c r="A159" s="383"/>
      <c r="B159" s="383"/>
      <c r="C159" s="383"/>
    </row>
    <row r="160" spans="1:3" s="336" customFormat="1">
      <c r="A160" s="383"/>
      <c r="B160" s="383"/>
      <c r="C160" s="383"/>
    </row>
    <row r="161" spans="1:3" s="336" customFormat="1">
      <c r="A161" s="383"/>
      <c r="B161" s="383"/>
      <c r="C161" s="383"/>
    </row>
    <row r="162" spans="1:3" s="336" customFormat="1">
      <c r="A162" s="383"/>
      <c r="B162" s="383"/>
      <c r="C162" s="383"/>
    </row>
    <row r="163" spans="1:3" s="336" customFormat="1">
      <c r="A163" s="383"/>
      <c r="B163" s="383"/>
      <c r="C163" s="383"/>
    </row>
    <row r="164" spans="1:3" s="336" customFormat="1">
      <c r="A164" s="383"/>
      <c r="B164" s="383"/>
      <c r="C164" s="383"/>
    </row>
    <row r="165" spans="1:3" s="336" customFormat="1">
      <c r="A165" s="383"/>
      <c r="B165" s="383"/>
      <c r="C165" s="383"/>
    </row>
    <row r="166" spans="1:3" s="336" customFormat="1">
      <c r="A166" s="383"/>
      <c r="B166" s="383"/>
      <c r="C166" s="383"/>
    </row>
    <row r="167" spans="1:3" s="336" customFormat="1">
      <c r="A167" s="383"/>
      <c r="B167" s="383"/>
      <c r="C167" s="383"/>
    </row>
    <row r="168" spans="1:3" s="336" customFormat="1">
      <c r="A168" s="383"/>
      <c r="B168" s="383"/>
      <c r="C168" s="383"/>
    </row>
    <row r="169" spans="1:3" s="336" customFormat="1">
      <c r="A169" s="383"/>
      <c r="B169" s="383"/>
      <c r="C169" s="383"/>
    </row>
    <row r="170" spans="1:3" s="336" customFormat="1">
      <c r="A170" s="383"/>
      <c r="B170" s="383"/>
      <c r="C170" s="383"/>
    </row>
    <row r="171" spans="1:3" s="336" customFormat="1">
      <c r="A171" s="383"/>
      <c r="B171" s="383"/>
      <c r="C171" s="383"/>
    </row>
    <row r="172" spans="1:3" s="336" customFormat="1">
      <c r="A172" s="383"/>
      <c r="B172" s="383"/>
      <c r="C172" s="383"/>
    </row>
    <row r="173" spans="1:3" s="336" customFormat="1">
      <c r="A173" s="383"/>
      <c r="B173" s="383"/>
      <c r="C173" s="383"/>
    </row>
    <row r="174" spans="1:3" s="336" customFormat="1">
      <c r="A174" s="383"/>
      <c r="B174" s="383"/>
      <c r="C174" s="383"/>
    </row>
    <row r="175" spans="1:3" s="336" customFormat="1">
      <c r="A175" s="383"/>
      <c r="B175" s="383"/>
      <c r="C175" s="383"/>
    </row>
    <row r="176" spans="1:3" s="336" customFormat="1">
      <c r="A176" s="383"/>
      <c r="B176" s="383"/>
      <c r="C176" s="383"/>
    </row>
    <row r="177" spans="1:3" s="336" customFormat="1">
      <c r="A177" s="383"/>
      <c r="B177" s="383"/>
      <c r="C177" s="383"/>
    </row>
    <row r="178" spans="1:3" s="336" customFormat="1">
      <c r="A178" s="383"/>
      <c r="B178" s="383"/>
      <c r="C178" s="383"/>
    </row>
    <row r="179" spans="1:3" s="336" customFormat="1">
      <c r="A179" s="383"/>
      <c r="B179" s="383"/>
      <c r="C179" s="383"/>
    </row>
    <row r="180" spans="1:3" s="336" customFormat="1">
      <c r="A180" s="383"/>
      <c r="B180" s="383"/>
      <c r="C180" s="383"/>
    </row>
    <row r="181" spans="1:3" s="336" customFormat="1">
      <c r="A181" s="383"/>
      <c r="B181" s="383"/>
      <c r="C181" s="383"/>
    </row>
    <row r="182" spans="1:3" s="336" customFormat="1">
      <c r="A182" s="383"/>
      <c r="B182" s="383"/>
      <c r="C182" s="383"/>
    </row>
    <row r="183" spans="1:3" s="336" customFormat="1">
      <c r="A183" s="383"/>
      <c r="B183" s="383"/>
      <c r="C183" s="383"/>
    </row>
    <row r="184" spans="1:3" s="336" customFormat="1">
      <c r="A184" s="383"/>
      <c r="B184" s="383"/>
      <c r="C184" s="383"/>
    </row>
    <row r="185" spans="1:3" s="336" customFormat="1">
      <c r="A185" s="383"/>
      <c r="B185" s="383"/>
      <c r="C185" s="383"/>
    </row>
    <row r="186" spans="1:3" s="336" customFormat="1">
      <c r="A186" s="383"/>
      <c r="B186" s="383"/>
      <c r="C186" s="383"/>
    </row>
    <row r="187" spans="1:3" s="336" customFormat="1">
      <c r="A187" s="383"/>
      <c r="B187" s="383"/>
      <c r="C187" s="383"/>
    </row>
    <row r="188" spans="1:3" s="336" customFormat="1">
      <c r="A188" s="383"/>
      <c r="B188" s="383"/>
      <c r="C188" s="383"/>
    </row>
    <row r="189" spans="1:3" s="336" customFormat="1">
      <c r="A189" s="383"/>
      <c r="B189" s="383"/>
      <c r="C189" s="383"/>
    </row>
    <row r="190" spans="1:3" s="336" customFormat="1">
      <c r="A190" s="383"/>
      <c r="B190" s="383"/>
      <c r="C190" s="383"/>
    </row>
    <row r="191" spans="1:3" s="336" customFormat="1">
      <c r="A191" s="383"/>
      <c r="B191" s="383"/>
      <c r="C191" s="383"/>
    </row>
    <row r="192" spans="1:3" s="336" customFormat="1">
      <c r="A192" s="383"/>
      <c r="B192" s="383"/>
      <c r="C192" s="383"/>
    </row>
    <row r="193" spans="1:3" s="336" customFormat="1">
      <c r="A193" s="383"/>
      <c r="B193" s="383"/>
      <c r="C193" s="383"/>
    </row>
    <row r="194" spans="1:3" s="336" customFormat="1">
      <c r="A194" s="383"/>
      <c r="B194" s="383"/>
      <c r="C194" s="383"/>
    </row>
    <row r="195" spans="1:3" s="336" customFormat="1">
      <c r="A195" s="383"/>
      <c r="B195" s="383"/>
      <c r="C195" s="383"/>
    </row>
    <row r="196" spans="1:3" s="336" customFormat="1">
      <c r="A196" s="383"/>
      <c r="B196" s="383"/>
      <c r="C196" s="383"/>
    </row>
    <row r="197" spans="1:3" s="336" customFormat="1">
      <c r="A197" s="383"/>
      <c r="B197" s="383"/>
      <c r="C197" s="383"/>
    </row>
    <row r="198" spans="1:3" s="336" customFormat="1">
      <c r="A198" s="383"/>
      <c r="B198" s="383"/>
      <c r="C198" s="383"/>
    </row>
    <row r="199" spans="1:3" s="336" customFormat="1">
      <c r="A199" s="383"/>
      <c r="B199" s="383"/>
      <c r="C199" s="383"/>
    </row>
    <row r="200" spans="1:3" s="336" customFormat="1">
      <c r="A200" s="383"/>
      <c r="B200" s="383"/>
      <c r="C200" s="383"/>
    </row>
    <row r="201" spans="1:3" s="336" customFormat="1">
      <c r="A201" s="383"/>
      <c r="B201" s="383"/>
      <c r="C201" s="383"/>
    </row>
    <row r="202" spans="1:3" s="336" customFormat="1">
      <c r="A202" s="383"/>
      <c r="B202" s="383"/>
      <c r="C202" s="383"/>
    </row>
    <row r="203" spans="1:3" s="336" customFormat="1">
      <c r="A203" s="383"/>
      <c r="B203" s="383"/>
      <c r="C203" s="383"/>
    </row>
    <row r="204" spans="1:3" s="336" customFormat="1">
      <c r="A204" s="383"/>
      <c r="B204" s="383"/>
      <c r="C204" s="383"/>
    </row>
    <row r="205" spans="1:3" s="336" customFormat="1">
      <c r="A205" s="383"/>
      <c r="B205" s="383"/>
      <c r="C205" s="383"/>
    </row>
    <row r="206" spans="1:3" s="336" customFormat="1">
      <c r="A206" s="383"/>
      <c r="B206" s="383"/>
      <c r="C206" s="383"/>
    </row>
    <row r="207" spans="1:3" s="336" customFormat="1">
      <c r="A207" s="383"/>
      <c r="B207" s="383"/>
      <c r="C207" s="383"/>
    </row>
    <row r="208" spans="1:3" s="336" customFormat="1">
      <c r="A208" s="383"/>
      <c r="B208" s="383"/>
      <c r="C208" s="383"/>
    </row>
    <row r="209" spans="1:3" s="336" customFormat="1">
      <c r="A209" s="383"/>
      <c r="B209" s="383"/>
      <c r="C209" s="383"/>
    </row>
    <row r="210" spans="1:3" s="336" customFormat="1">
      <c r="A210" s="383"/>
      <c r="B210" s="383"/>
      <c r="C210" s="383"/>
    </row>
    <row r="211" spans="1:3" s="336" customFormat="1">
      <c r="A211" s="383"/>
      <c r="B211" s="383"/>
      <c r="C211" s="383"/>
    </row>
    <row r="212" spans="1:3" s="336" customFormat="1">
      <c r="A212" s="383"/>
      <c r="B212" s="383"/>
      <c r="C212" s="383"/>
    </row>
    <row r="213" spans="1:3" s="336" customFormat="1">
      <c r="A213" s="383"/>
      <c r="B213" s="383"/>
      <c r="C213" s="383"/>
    </row>
    <row r="214" spans="1:3" s="336" customFormat="1">
      <c r="A214" s="383"/>
      <c r="B214" s="383"/>
      <c r="C214" s="383"/>
    </row>
    <row r="215" spans="1:3" s="336" customFormat="1">
      <c r="A215" s="383"/>
      <c r="B215" s="383"/>
      <c r="C215" s="383"/>
    </row>
    <row r="216" spans="1:3" s="336" customFormat="1">
      <c r="A216" s="383"/>
      <c r="B216" s="383"/>
      <c r="C216" s="383"/>
    </row>
    <row r="217" spans="1:3" s="336" customFormat="1">
      <c r="A217" s="383"/>
      <c r="B217" s="383"/>
      <c r="C217" s="383"/>
    </row>
    <row r="218" spans="1:3" s="336" customFormat="1">
      <c r="A218" s="383"/>
      <c r="B218" s="383"/>
      <c r="C218" s="383"/>
    </row>
    <row r="219" spans="1:3" s="336" customFormat="1">
      <c r="A219" s="383"/>
      <c r="B219" s="383"/>
      <c r="C219" s="383"/>
    </row>
    <row r="220" spans="1:3" s="336" customFormat="1">
      <c r="A220" s="383"/>
      <c r="B220" s="383"/>
      <c r="C220" s="383"/>
    </row>
    <row r="221" spans="1:3" s="336" customFormat="1">
      <c r="A221" s="383"/>
      <c r="B221" s="383"/>
      <c r="C221" s="383"/>
    </row>
    <row r="222" spans="1:3" s="336" customFormat="1">
      <c r="A222" s="383"/>
      <c r="B222" s="383"/>
      <c r="C222" s="383"/>
    </row>
    <row r="223" spans="1:3" s="336" customFormat="1">
      <c r="A223" s="383"/>
      <c r="B223" s="383"/>
      <c r="C223" s="383"/>
    </row>
    <row r="224" spans="1:3" s="336" customFormat="1">
      <c r="A224" s="383"/>
      <c r="B224" s="383"/>
      <c r="C224" s="383"/>
    </row>
    <row r="225" spans="1:3" s="336" customFormat="1">
      <c r="A225" s="383"/>
      <c r="B225" s="383"/>
      <c r="C225" s="383"/>
    </row>
    <row r="226" spans="1:3" s="336" customFormat="1">
      <c r="A226" s="383"/>
      <c r="B226" s="383"/>
      <c r="C226" s="383"/>
    </row>
    <row r="227" spans="1:3" s="336" customFormat="1">
      <c r="A227" s="383"/>
      <c r="B227" s="383"/>
      <c r="C227" s="383"/>
    </row>
    <row r="228" spans="1:3" s="336" customFormat="1">
      <c r="A228" s="383"/>
      <c r="B228" s="383"/>
      <c r="C228" s="383"/>
    </row>
    <row r="229" spans="1:3" s="336" customFormat="1">
      <c r="A229" s="383"/>
      <c r="B229" s="383"/>
      <c r="C229" s="383"/>
    </row>
    <row r="230" spans="1:3" s="336" customFormat="1">
      <c r="A230" s="383"/>
      <c r="B230" s="383"/>
      <c r="C230" s="383"/>
    </row>
    <row r="231" spans="1:3" s="336" customFormat="1">
      <c r="A231" s="383"/>
      <c r="B231" s="383"/>
      <c r="C231" s="383"/>
    </row>
    <row r="232" spans="1:3" s="336" customFormat="1">
      <c r="A232" s="383"/>
      <c r="B232" s="383"/>
      <c r="C232" s="383"/>
    </row>
    <row r="233" spans="1:3" s="336" customFormat="1">
      <c r="A233" s="383"/>
      <c r="B233" s="383"/>
      <c r="C233" s="383"/>
    </row>
    <row r="234" spans="1:3" s="336" customFormat="1">
      <c r="A234" s="383"/>
      <c r="B234" s="383"/>
      <c r="C234" s="383"/>
    </row>
    <row r="235" spans="1:3" s="336" customFormat="1">
      <c r="A235" s="383"/>
      <c r="B235" s="383"/>
      <c r="C235" s="383"/>
    </row>
    <row r="236" spans="1:3" s="336" customFormat="1">
      <c r="A236" s="383"/>
      <c r="B236" s="383"/>
      <c r="C236" s="383"/>
    </row>
    <row r="237" spans="1:3" s="336" customFormat="1">
      <c r="A237" s="383"/>
      <c r="B237" s="383"/>
      <c r="C237" s="383"/>
    </row>
    <row r="238" spans="1:3" s="336" customFormat="1">
      <c r="A238" s="383"/>
      <c r="B238" s="383"/>
      <c r="C238" s="383"/>
    </row>
    <row r="239" spans="1:3" s="336" customFormat="1">
      <c r="A239" s="383"/>
      <c r="B239" s="383"/>
      <c r="C239" s="383"/>
    </row>
    <row r="240" spans="1:3" s="336" customFormat="1">
      <c r="A240" s="383"/>
      <c r="B240" s="383"/>
      <c r="C240" s="383"/>
    </row>
    <row r="241" spans="1:3" s="336" customFormat="1">
      <c r="A241" s="383"/>
      <c r="B241" s="383"/>
      <c r="C241" s="383"/>
    </row>
    <row r="242" spans="1:3" s="336" customFormat="1">
      <c r="A242" s="383"/>
      <c r="B242" s="383"/>
      <c r="C242" s="383"/>
    </row>
    <row r="243" spans="1:3" s="336" customFormat="1">
      <c r="A243" s="383"/>
      <c r="B243" s="383"/>
      <c r="C243" s="383"/>
    </row>
    <row r="244" spans="1:3" s="336" customFormat="1">
      <c r="A244" s="383"/>
      <c r="B244" s="383"/>
      <c r="C244" s="383"/>
    </row>
    <row r="245" spans="1:3" s="336" customFormat="1">
      <c r="A245" s="383"/>
      <c r="B245" s="383"/>
      <c r="C245" s="383"/>
    </row>
    <row r="246" spans="1:3" s="336" customFormat="1">
      <c r="A246" s="383"/>
      <c r="B246" s="383"/>
      <c r="C246" s="383"/>
    </row>
    <row r="247" spans="1:3" s="336" customFormat="1">
      <c r="A247" s="383"/>
      <c r="B247" s="383"/>
      <c r="C247" s="383"/>
    </row>
    <row r="248" spans="1:3" s="336" customFormat="1">
      <c r="A248" s="383"/>
      <c r="B248" s="383"/>
      <c r="C248" s="383"/>
    </row>
    <row r="249" spans="1:3" s="336" customFormat="1">
      <c r="A249" s="383"/>
      <c r="B249" s="383"/>
      <c r="C249" s="383"/>
    </row>
    <row r="250" spans="1:3" s="336" customFormat="1">
      <c r="A250" s="383"/>
      <c r="B250" s="383"/>
      <c r="C250" s="383"/>
    </row>
    <row r="251" spans="1:3" s="336" customFormat="1">
      <c r="A251" s="383"/>
      <c r="B251" s="383"/>
      <c r="C251" s="383"/>
    </row>
    <row r="252" spans="1:3" s="336" customFormat="1">
      <c r="A252" s="383"/>
      <c r="B252" s="383"/>
      <c r="C252" s="383"/>
    </row>
    <row r="253" spans="1:3" s="336" customFormat="1">
      <c r="A253" s="383"/>
      <c r="B253" s="383"/>
      <c r="C253" s="383"/>
    </row>
    <row r="254" spans="1:3" s="336" customFormat="1">
      <c r="A254" s="383"/>
      <c r="B254" s="383"/>
      <c r="C254" s="383"/>
    </row>
    <row r="255" spans="1:3" s="336" customFormat="1">
      <c r="A255" s="383"/>
      <c r="B255" s="383"/>
      <c r="C255" s="383"/>
    </row>
    <row r="256" spans="1:3" s="336" customFormat="1">
      <c r="A256" s="383"/>
      <c r="B256" s="383"/>
      <c r="C256" s="383"/>
    </row>
    <row r="257" spans="1:3" s="336" customFormat="1">
      <c r="A257" s="383"/>
      <c r="B257" s="383"/>
      <c r="C257" s="383"/>
    </row>
    <row r="258" spans="1:3" s="336" customFormat="1">
      <c r="A258" s="383"/>
      <c r="B258" s="383"/>
      <c r="C258" s="383"/>
    </row>
    <row r="259" spans="1:3" s="336" customFormat="1">
      <c r="A259" s="383"/>
      <c r="B259" s="383"/>
      <c r="C259" s="383"/>
    </row>
    <row r="260" spans="1:3" s="336" customFormat="1">
      <c r="A260" s="383"/>
      <c r="B260" s="383"/>
      <c r="C260" s="383"/>
    </row>
    <row r="261" spans="1:3" s="336" customFormat="1">
      <c r="A261" s="383"/>
      <c r="B261" s="383"/>
      <c r="C261" s="383"/>
    </row>
    <row r="262" spans="1:3" s="336" customFormat="1">
      <c r="A262" s="383"/>
      <c r="B262" s="383"/>
      <c r="C262" s="383"/>
    </row>
    <row r="263" spans="1:3" s="336" customFormat="1">
      <c r="A263" s="383"/>
      <c r="B263" s="383"/>
      <c r="C263" s="383"/>
    </row>
    <row r="264" spans="1:3" s="336" customFormat="1">
      <c r="A264" s="383"/>
      <c r="B264" s="383"/>
      <c r="C264" s="383"/>
    </row>
    <row r="265" spans="1:3" s="336" customFormat="1">
      <c r="A265" s="383"/>
      <c r="B265" s="383"/>
      <c r="C265" s="383"/>
    </row>
    <row r="266" spans="1:3" s="336" customFormat="1">
      <c r="A266" s="383"/>
      <c r="B266" s="383"/>
      <c r="C266" s="383"/>
    </row>
    <row r="267" spans="1:3" s="336" customFormat="1">
      <c r="A267" s="383"/>
      <c r="B267" s="383"/>
      <c r="C267" s="383"/>
    </row>
    <row r="268" spans="1:3" s="336" customFormat="1">
      <c r="A268" s="383"/>
      <c r="B268" s="383"/>
      <c r="C268" s="383"/>
    </row>
    <row r="269" spans="1:3" s="336" customFormat="1">
      <c r="A269" s="383"/>
      <c r="B269" s="383"/>
      <c r="C269" s="383"/>
    </row>
    <row r="270" spans="1:3" s="336" customFormat="1">
      <c r="A270" s="383"/>
      <c r="B270" s="383"/>
      <c r="C270" s="383"/>
    </row>
    <row r="271" spans="1:3" s="336" customFormat="1">
      <c r="A271" s="383"/>
      <c r="B271" s="383"/>
      <c r="C271" s="383"/>
    </row>
    <row r="272" spans="1:3" s="336" customFormat="1">
      <c r="A272" s="383"/>
      <c r="B272" s="383"/>
      <c r="C272" s="383"/>
    </row>
    <row r="273" spans="1:3" s="336" customFormat="1">
      <c r="A273" s="383"/>
      <c r="B273" s="383"/>
      <c r="C273" s="383"/>
    </row>
    <row r="274" spans="1:3" s="336" customFormat="1">
      <c r="A274" s="383"/>
      <c r="B274" s="383"/>
      <c r="C274" s="383"/>
    </row>
    <row r="275" spans="1:3" s="336" customFormat="1">
      <c r="A275" s="383"/>
      <c r="B275" s="383"/>
      <c r="C275" s="383"/>
    </row>
    <row r="276" spans="1:3" s="336" customFormat="1">
      <c r="A276" s="383"/>
      <c r="B276" s="383"/>
      <c r="C276" s="383"/>
    </row>
    <row r="277" spans="1:3" s="336" customFormat="1">
      <c r="A277" s="383"/>
      <c r="B277" s="383"/>
      <c r="C277" s="383"/>
    </row>
    <row r="278" spans="1:3" s="336" customFormat="1">
      <c r="A278" s="383"/>
      <c r="B278" s="383"/>
      <c r="C278" s="383"/>
    </row>
    <row r="279" spans="1:3" s="336" customFormat="1">
      <c r="A279" s="383"/>
      <c r="B279" s="383"/>
      <c r="C279" s="383"/>
    </row>
    <row r="280" spans="1:3" s="336" customFormat="1">
      <c r="A280" s="383"/>
      <c r="B280" s="383"/>
      <c r="C280" s="383"/>
    </row>
    <row r="281" spans="1:3" s="336" customFormat="1">
      <c r="A281" s="383"/>
      <c r="B281" s="383"/>
      <c r="C281" s="383"/>
    </row>
    <row r="282" spans="1:3" s="336" customFormat="1">
      <c r="A282" s="383"/>
      <c r="B282" s="383"/>
      <c r="C282" s="383"/>
    </row>
    <row r="283" spans="1:3" s="336" customFormat="1">
      <c r="A283" s="383"/>
      <c r="B283" s="383"/>
      <c r="C283" s="383"/>
    </row>
    <row r="284" spans="1:3" s="336" customFormat="1">
      <c r="A284" s="383"/>
      <c r="B284" s="383"/>
      <c r="C284" s="383"/>
    </row>
    <row r="285" spans="1:3" s="336" customFormat="1">
      <c r="A285" s="383"/>
      <c r="B285" s="383"/>
      <c r="C285" s="383"/>
    </row>
    <row r="286" spans="1:3" s="336" customFormat="1">
      <c r="A286" s="383"/>
      <c r="B286" s="383"/>
      <c r="C286" s="383"/>
    </row>
    <row r="287" spans="1:3" s="336" customFormat="1">
      <c r="A287" s="383"/>
      <c r="B287" s="383"/>
      <c r="C287" s="383"/>
    </row>
    <row r="288" spans="1:3" s="336" customFormat="1">
      <c r="A288" s="383"/>
      <c r="B288" s="383"/>
      <c r="C288" s="383"/>
    </row>
    <row r="289" spans="1:3" s="336" customFormat="1">
      <c r="A289" s="383"/>
      <c r="B289" s="383"/>
      <c r="C289" s="383"/>
    </row>
    <row r="290" spans="1:3" s="336" customFormat="1">
      <c r="A290" s="383"/>
      <c r="B290" s="383"/>
      <c r="C290" s="383"/>
    </row>
    <row r="291" spans="1:3" s="336" customFormat="1">
      <c r="A291" s="383"/>
      <c r="B291" s="383"/>
      <c r="C291" s="383"/>
    </row>
    <row r="292" spans="1:3" s="336" customFormat="1">
      <c r="A292" s="383"/>
      <c r="B292" s="383"/>
      <c r="C292" s="383"/>
    </row>
    <row r="293" spans="1:3" s="336" customFormat="1">
      <c r="A293" s="383"/>
      <c r="B293" s="383"/>
      <c r="C293" s="383"/>
    </row>
    <row r="294" spans="1:3" s="336" customFormat="1">
      <c r="A294" s="383"/>
      <c r="B294" s="383"/>
      <c r="C294" s="383"/>
    </row>
    <row r="295" spans="1:3" s="336" customFormat="1">
      <c r="A295" s="383"/>
      <c r="B295" s="383"/>
      <c r="C295" s="383"/>
    </row>
    <row r="296" spans="1:3" s="336" customFormat="1">
      <c r="A296" s="383"/>
      <c r="B296" s="383"/>
      <c r="C296" s="383"/>
    </row>
    <row r="297" spans="1:3" s="336" customFormat="1">
      <c r="A297" s="383"/>
      <c r="B297" s="383"/>
      <c r="C297" s="383"/>
    </row>
    <row r="298" spans="1:3" s="336" customFormat="1">
      <c r="A298" s="383"/>
      <c r="B298" s="383"/>
      <c r="C298" s="383"/>
    </row>
    <row r="299" spans="1:3" s="336" customFormat="1">
      <c r="A299" s="383"/>
      <c r="B299" s="383"/>
      <c r="C299" s="383"/>
    </row>
    <row r="300" spans="1:3" s="336" customFormat="1">
      <c r="A300" s="383"/>
      <c r="B300" s="383"/>
      <c r="C300" s="383"/>
    </row>
    <row r="301" spans="1:3" s="336" customFormat="1">
      <c r="A301" s="383"/>
      <c r="B301" s="383"/>
      <c r="C301" s="383"/>
    </row>
    <row r="302" spans="1:3" s="336" customFormat="1">
      <c r="A302" s="383"/>
      <c r="B302" s="383"/>
      <c r="C302" s="383"/>
    </row>
    <row r="303" spans="1:3" s="336" customFormat="1">
      <c r="A303" s="383"/>
      <c r="B303" s="383"/>
      <c r="C303" s="383"/>
    </row>
    <row r="304" spans="1:3" s="336" customFormat="1">
      <c r="A304" s="383"/>
      <c r="B304" s="383"/>
      <c r="C304" s="383"/>
    </row>
    <row r="305" spans="1:3" s="336" customFormat="1">
      <c r="A305" s="383"/>
      <c r="B305" s="383"/>
      <c r="C305" s="383"/>
    </row>
    <row r="306" spans="1:3" s="336" customFormat="1">
      <c r="A306" s="383"/>
      <c r="B306" s="383"/>
      <c r="C306" s="383"/>
    </row>
    <row r="307" spans="1:3" s="336" customFormat="1">
      <c r="A307" s="383"/>
      <c r="B307" s="383"/>
      <c r="C307" s="383"/>
    </row>
    <row r="308" spans="1:3" s="336" customFormat="1">
      <c r="A308" s="383"/>
      <c r="B308" s="383"/>
      <c r="C308" s="383"/>
    </row>
    <row r="309" spans="1:3" s="336" customFormat="1">
      <c r="A309" s="383"/>
      <c r="B309" s="383"/>
      <c r="C309" s="383"/>
    </row>
    <row r="310" spans="1:3" s="336" customFormat="1">
      <c r="A310" s="383"/>
      <c r="B310" s="383"/>
      <c r="C310" s="383"/>
    </row>
    <row r="311" spans="1:3" s="336" customFormat="1">
      <c r="A311" s="383"/>
      <c r="B311" s="383"/>
      <c r="C311" s="383"/>
    </row>
    <row r="312" spans="1:3" s="336" customFormat="1">
      <c r="A312" s="383"/>
      <c r="B312" s="383"/>
      <c r="C312" s="383"/>
    </row>
    <row r="313" spans="1:3" s="336" customFormat="1">
      <c r="A313" s="383"/>
      <c r="B313" s="383"/>
      <c r="C313" s="383"/>
    </row>
    <row r="314" spans="1:3" s="336" customFormat="1">
      <c r="A314" s="383"/>
      <c r="B314" s="383"/>
      <c r="C314" s="383"/>
    </row>
    <row r="315" spans="1:3" s="336" customFormat="1">
      <c r="A315" s="383"/>
      <c r="B315" s="383"/>
      <c r="C315" s="383"/>
    </row>
    <row r="316" spans="1:3" s="336" customFormat="1">
      <c r="A316" s="383"/>
      <c r="B316" s="383"/>
      <c r="C316" s="383"/>
    </row>
    <row r="317" spans="1:3" s="336" customFormat="1">
      <c r="A317" s="383"/>
      <c r="B317" s="383"/>
      <c r="C317" s="383"/>
    </row>
    <row r="318" spans="1:3" s="336" customFormat="1">
      <c r="A318" s="383"/>
      <c r="B318" s="383"/>
      <c r="C318" s="383"/>
    </row>
    <row r="319" spans="1:3" s="336" customFormat="1">
      <c r="A319" s="383"/>
      <c r="B319" s="383"/>
      <c r="C319" s="383"/>
    </row>
    <row r="320" spans="1:3" s="336" customFormat="1">
      <c r="A320" s="383"/>
      <c r="B320" s="383"/>
      <c r="C320" s="383"/>
    </row>
    <row r="321" spans="1:3" s="336" customFormat="1">
      <c r="A321" s="383"/>
      <c r="B321" s="383"/>
      <c r="C321" s="383"/>
    </row>
    <row r="322" spans="1:3" s="336" customFormat="1">
      <c r="A322" s="383"/>
      <c r="B322" s="383"/>
      <c r="C322" s="383"/>
    </row>
    <row r="323" spans="1:3" s="336" customFormat="1">
      <c r="A323" s="383"/>
      <c r="B323" s="383"/>
      <c r="C323" s="383"/>
    </row>
    <row r="324" spans="1:3" s="336" customFormat="1">
      <c r="A324" s="383"/>
      <c r="B324" s="383"/>
      <c r="C324" s="383"/>
    </row>
    <row r="325" spans="1:3" s="336" customFormat="1">
      <c r="A325" s="383"/>
      <c r="B325" s="383"/>
      <c r="C325" s="383"/>
    </row>
    <row r="326" spans="1:3" s="336" customFormat="1">
      <c r="A326" s="383"/>
      <c r="B326" s="383"/>
      <c r="C326" s="383"/>
    </row>
    <row r="327" spans="1:3" s="336" customFormat="1">
      <c r="A327" s="383"/>
      <c r="B327" s="383"/>
      <c r="C327" s="383"/>
    </row>
    <row r="328" spans="1:3" s="336" customFormat="1">
      <c r="A328" s="383"/>
      <c r="B328" s="383"/>
      <c r="C328" s="383"/>
    </row>
    <row r="329" spans="1:3" s="336" customFormat="1">
      <c r="A329" s="383"/>
      <c r="B329" s="383"/>
      <c r="C329" s="383"/>
    </row>
    <row r="330" spans="1:3" s="336" customFormat="1">
      <c r="A330" s="383"/>
      <c r="B330" s="383"/>
      <c r="C330" s="383"/>
    </row>
    <row r="331" spans="1:3" s="336" customFormat="1">
      <c r="A331" s="383"/>
      <c r="B331" s="383"/>
      <c r="C331" s="383"/>
    </row>
    <row r="332" spans="1:3" s="336" customFormat="1">
      <c r="A332" s="383"/>
      <c r="B332" s="383"/>
      <c r="C332" s="383"/>
    </row>
    <row r="333" spans="1:3" s="336" customFormat="1">
      <c r="A333" s="383"/>
      <c r="B333" s="383"/>
      <c r="C333" s="383"/>
    </row>
    <row r="334" spans="1:3" s="336" customFormat="1">
      <c r="A334" s="383"/>
      <c r="B334" s="383"/>
      <c r="C334" s="383"/>
    </row>
    <row r="335" spans="1:3" s="336" customFormat="1">
      <c r="A335" s="383"/>
      <c r="B335" s="383"/>
      <c r="C335" s="383"/>
    </row>
    <row r="336" spans="1:3" s="336" customFormat="1">
      <c r="A336" s="383"/>
      <c r="B336" s="383"/>
      <c r="C336" s="383"/>
    </row>
    <row r="337" spans="1:3" s="336" customFormat="1">
      <c r="A337" s="383"/>
      <c r="B337" s="383"/>
      <c r="C337" s="383"/>
    </row>
    <row r="338" spans="1:3" s="336" customFormat="1">
      <c r="A338" s="383"/>
      <c r="B338" s="383"/>
      <c r="C338" s="383"/>
    </row>
    <row r="339" spans="1:3" s="336" customFormat="1">
      <c r="A339" s="383"/>
      <c r="B339" s="383"/>
      <c r="C339" s="383"/>
    </row>
    <row r="340" spans="1:3" s="336" customFormat="1">
      <c r="A340" s="383"/>
      <c r="B340" s="383"/>
      <c r="C340" s="383"/>
    </row>
    <row r="341" spans="1:3" s="336" customFormat="1">
      <c r="A341" s="383"/>
      <c r="B341" s="383"/>
      <c r="C341" s="383"/>
    </row>
    <row r="342" spans="1:3" s="336" customFormat="1">
      <c r="A342" s="383"/>
      <c r="B342" s="383"/>
      <c r="C342" s="383"/>
    </row>
    <row r="343" spans="1:3" s="336" customFormat="1">
      <c r="A343" s="383"/>
      <c r="B343" s="383"/>
      <c r="C343" s="383"/>
    </row>
    <row r="344" spans="1:3" s="336" customFormat="1">
      <c r="A344" s="383"/>
      <c r="B344" s="383"/>
      <c r="C344" s="383"/>
    </row>
    <row r="345" spans="1:3" s="336" customFormat="1">
      <c r="A345" s="383"/>
      <c r="B345" s="383"/>
      <c r="C345" s="383"/>
    </row>
    <row r="346" spans="1:3" s="336" customFormat="1">
      <c r="A346" s="383"/>
      <c r="B346" s="383"/>
      <c r="C346" s="383"/>
    </row>
    <row r="347" spans="1:3" s="336" customFormat="1">
      <c r="A347" s="383"/>
      <c r="B347" s="383"/>
      <c r="C347" s="383"/>
    </row>
    <row r="348" spans="1:3" s="336" customFormat="1">
      <c r="A348" s="383"/>
      <c r="B348" s="383"/>
      <c r="C348" s="383"/>
    </row>
    <row r="349" spans="1:3" s="336" customFormat="1">
      <c r="A349" s="383"/>
      <c r="B349" s="383"/>
      <c r="C349" s="383"/>
    </row>
    <row r="350" spans="1:3" s="336" customFormat="1">
      <c r="A350" s="383"/>
      <c r="B350" s="383"/>
      <c r="C350" s="383"/>
    </row>
    <row r="351" spans="1:3" s="336" customFormat="1">
      <c r="A351" s="383"/>
      <c r="B351" s="383"/>
      <c r="C351" s="383"/>
    </row>
    <row r="352" spans="1:3" s="336" customFormat="1">
      <c r="A352" s="383"/>
      <c r="B352" s="383"/>
      <c r="C352" s="383"/>
    </row>
    <row r="353" spans="1:3" s="336" customFormat="1">
      <c r="A353" s="383"/>
      <c r="B353" s="383"/>
      <c r="C353" s="383"/>
    </row>
    <row r="354" spans="1:3" s="336" customFormat="1">
      <c r="A354" s="383"/>
      <c r="B354" s="383"/>
      <c r="C354" s="383"/>
    </row>
    <row r="355" spans="1:3" s="336" customFormat="1">
      <c r="A355" s="383"/>
      <c r="B355" s="383"/>
      <c r="C355" s="383"/>
    </row>
    <row r="356" spans="1:3" s="336" customFormat="1">
      <c r="A356" s="383"/>
      <c r="B356" s="383"/>
      <c r="C356" s="383"/>
    </row>
    <row r="357" spans="1:3" s="336" customFormat="1">
      <c r="A357" s="383"/>
      <c r="B357" s="383"/>
      <c r="C357" s="383"/>
    </row>
    <row r="358" spans="1:3" s="336" customFormat="1">
      <c r="A358" s="383"/>
      <c r="B358" s="383"/>
      <c r="C358" s="383"/>
    </row>
    <row r="359" spans="1:3" s="336" customFormat="1">
      <c r="A359" s="383"/>
      <c r="B359" s="383"/>
      <c r="C359" s="383"/>
    </row>
    <row r="360" spans="1:3" s="336" customFormat="1">
      <c r="A360" s="383"/>
      <c r="B360" s="383"/>
      <c r="C360" s="383"/>
    </row>
    <row r="361" spans="1:3" s="336" customFormat="1">
      <c r="A361" s="383"/>
      <c r="B361" s="383"/>
      <c r="C361" s="383"/>
    </row>
    <row r="362" spans="1:3" s="336" customFormat="1">
      <c r="A362" s="383"/>
      <c r="B362" s="383"/>
      <c r="C362" s="383"/>
    </row>
    <row r="363" spans="1:3" s="336" customFormat="1">
      <c r="A363" s="383"/>
      <c r="B363" s="383"/>
      <c r="C363" s="383"/>
    </row>
    <row r="364" spans="1:3" s="336" customFormat="1">
      <c r="A364" s="383"/>
      <c r="B364" s="383"/>
      <c r="C364" s="383"/>
    </row>
    <row r="365" spans="1:3" s="336" customFormat="1">
      <c r="A365" s="383"/>
      <c r="B365" s="383"/>
      <c r="C365" s="383"/>
    </row>
    <row r="366" spans="1:3" s="336" customFormat="1">
      <c r="A366" s="383"/>
      <c r="B366" s="383"/>
      <c r="C366" s="383"/>
    </row>
    <row r="367" spans="1:3" s="336" customFormat="1">
      <c r="A367" s="383"/>
      <c r="B367" s="383"/>
      <c r="C367" s="383"/>
    </row>
    <row r="368" spans="1:3" s="336" customFormat="1">
      <c r="A368" s="383"/>
      <c r="B368" s="383"/>
      <c r="C368" s="383"/>
    </row>
    <row r="369" spans="1:3" s="336" customFormat="1">
      <c r="A369" s="383"/>
      <c r="B369" s="383"/>
      <c r="C369" s="383"/>
    </row>
    <row r="370" spans="1:3" s="336" customFormat="1">
      <c r="A370" s="383"/>
      <c r="B370" s="383"/>
      <c r="C370" s="383"/>
    </row>
    <row r="371" spans="1:3" s="336" customFormat="1">
      <c r="A371" s="383"/>
      <c r="B371" s="383"/>
      <c r="C371" s="383"/>
    </row>
    <row r="372" spans="1:3" s="336" customFormat="1">
      <c r="A372" s="383"/>
      <c r="B372" s="383"/>
      <c r="C372" s="383"/>
    </row>
    <row r="373" spans="1:3" s="336" customFormat="1">
      <c r="A373" s="383"/>
      <c r="B373" s="383"/>
      <c r="C373" s="383"/>
    </row>
    <row r="374" spans="1:3" s="336" customFormat="1">
      <c r="A374" s="383"/>
      <c r="B374" s="383"/>
      <c r="C374" s="383"/>
    </row>
    <row r="375" spans="1:3" s="336" customFormat="1">
      <c r="A375" s="383"/>
      <c r="B375" s="383"/>
      <c r="C375" s="383"/>
    </row>
    <row r="376" spans="1:3" s="336" customFormat="1">
      <c r="A376" s="383"/>
      <c r="B376" s="383"/>
      <c r="C376" s="383"/>
    </row>
    <row r="377" spans="1:3" s="336" customFormat="1">
      <c r="A377" s="383"/>
      <c r="B377" s="383"/>
      <c r="C377" s="383"/>
    </row>
    <row r="378" spans="1:3" s="336" customFormat="1">
      <c r="A378" s="383"/>
      <c r="B378" s="383"/>
      <c r="C378" s="383"/>
    </row>
    <row r="379" spans="1:3" s="336" customFormat="1">
      <c r="A379" s="383"/>
      <c r="B379" s="383"/>
      <c r="C379" s="383"/>
    </row>
    <row r="380" spans="1:3" s="336" customFormat="1">
      <c r="A380" s="383"/>
      <c r="B380" s="383"/>
      <c r="C380" s="383"/>
    </row>
    <row r="381" spans="1:3" s="336" customFormat="1">
      <c r="A381" s="383"/>
      <c r="B381" s="383"/>
      <c r="C381" s="383"/>
    </row>
    <row r="382" spans="1:3" s="336" customFormat="1">
      <c r="A382" s="383"/>
      <c r="B382" s="383"/>
      <c r="C382" s="383"/>
    </row>
    <row r="383" spans="1:3" s="336" customFormat="1">
      <c r="A383" s="383"/>
      <c r="B383" s="383"/>
      <c r="C383" s="383"/>
    </row>
    <row r="384" spans="1:3" s="336" customFormat="1">
      <c r="A384" s="383"/>
      <c r="B384" s="383"/>
      <c r="C384" s="383"/>
    </row>
    <row r="385" spans="1:3" s="336" customFormat="1">
      <c r="A385" s="383"/>
      <c r="B385" s="383"/>
      <c r="C385" s="383"/>
    </row>
    <row r="386" spans="1:3" s="336" customFormat="1">
      <c r="A386" s="383"/>
      <c r="B386" s="383"/>
      <c r="C386" s="383"/>
    </row>
    <row r="387" spans="1:3" s="336" customFormat="1">
      <c r="A387" s="383"/>
      <c r="B387" s="383"/>
      <c r="C387" s="383"/>
    </row>
    <row r="388" spans="1:3" s="336" customFormat="1">
      <c r="A388" s="383"/>
      <c r="B388" s="383"/>
      <c r="C388" s="383"/>
    </row>
    <row r="389" spans="1:3" s="336" customFormat="1">
      <c r="A389" s="383"/>
      <c r="B389" s="383"/>
      <c r="C389" s="383"/>
    </row>
    <row r="390" spans="1:3" s="336" customFormat="1">
      <c r="A390" s="383"/>
      <c r="B390" s="383"/>
      <c r="C390" s="383"/>
    </row>
    <row r="391" spans="1:3" s="336" customFormat="1">
      <c r="A391" s="383"/>
      <c r="B391" s="383"/>
      <c r="C391" s="383"/>
    </row>
    <row r="392" spans="1:3" s="336" customFormat="1">
      <c r="A392" s="383"/>
      <c r="B392" s="383"/>
      <c r="C392" s="383"/>
    </row>
    <row r="393" spans="1:3" s="336" customFormat="1">
      <c r="A393" s="383"/>
      <c r="B393" s="383"/>
      <c r="C393" s="383"/>
    </row>
    <row r="394" spans="1:3" s="336" customFormat="1">
      <c r="A394" s="383"/>
      <c r="B394" s="383"/>
      <c r="C394" s="383"/>
    </row>
    <row r="395" spans="1:3" s="336" customFormat="1">
      <c r="A395" s="383"/>
      <c r="B395" s="383"/>
      <c r="C395" s="383"/>
    </row>
    <row r="396" spans="1:3" s="336" customFormat="1">
      <c r="A396" s="383"/>
      <c r="B396" s="383"/>
      <c r="C396" s="383"/>
    </row>
    <row r="397" spans="1:3" s="336" customFormat="1">
      <c r="A397" s="383"/>
      <c r="B397" s="383"/>
      <c r="C397" s="383"/>
    </row>
    <row r="398" spans="1:3" s="336" customFormat="1">
      <c r="A398" s="383"/>
      <c r="B398" s="383"/>
      <c r="C398" s="383"/>
    </row>
    <row r="399" spans="1:3" s="336" customFormat="1">
      <c r="A399" s="383"/>
      <c r="B399" s="383"/>
      <c r="C399" s="383"/>
    </row>
    <row r="400" spans="1:3" s="336" customFormat="1">
      <c r="A400" s="383"/>
      <c r="B400" s="383"/>
      <c r="C400" s="383"/>
    </row>
    <row r="401" spans="1:3" s="336" customFormat="1">
      <c r="A401" s="383"/>
      <c r="B401" s="383"/>
      <c r="C401" s="383"/>
    </row>
    <row r="402" spans="1:3" s="336" customFormat="1">
      <c r="A402" s="383"/>
      <c r="B402" s="383"/>
      <c r="C402" s="383"/>
    </row>
    <row r="403" spans="1:3" s="336" customFormat="1">
      <c r="A403" s="383"/>
      <c r="B403" s="383"/>
      <c r="C403" s="383"/>
    </row>
    <row r="404" spans="1:3" s="336" customFormat="1">
      <c r="A404" s="383"/>
      <c r="B404" s="383"/>
      <c r="C404" s="383"/>
    </row>
    <row r="405" spans="1:3" s="336" customFormat="1">
      <c r="A405" s="383"/>
      <c r="B405" s="383"/>
      <c r="C405" s="383"/>
    </row>
    <row r="406" spans="1:3" s="336" customFormat="1">
      <c r="A406" s="383"/>
      <c r="B406" s="383"/>
      <c r="C406" s="383"/>
    </row>
    <row r="407" spans="1:3" s="336" customFormat="1">
      <c r="A407" s="383"/>
      <c r="B407" s="383"/>
      <c r="C407" s="383"/>
    </row>
    <row r="408" spans="1:3" s="336" customFormat="1">
      <c r="A408" s="383"/>
      <c r="B408" s="383"/>
      <c r="C408" s="383"/>
    </row>
    <row r="409" spans="1:3" s="336" customFormat="1">
      <c r="A409" s="383"/>
      <c r="B409" s="383"/>
      <c r="C409" s="383"/>
    </row>
    <row r="410" spans="1:3" s="336" customFormat="1">
      <c r="A410" s="383"/>
      <c r="B410" s="383"/>
      <c r="C410" s="383"/>
    </row>
    <row r="411" spans="1:3" s="336" customFormat="1">
      <c r="A411" s="383"/>
      <c r="B411" s="383"/>
      <c r="C411" s="383"/>
    </row>
    <row r="412" spans="1:3" s="336" customFormat="1">
      <c r="A412" s="383"/>
      <c r="B412" s="383"/>
      <c r="C412" s="383"/>
    </row>
    <row r="413" spans="1:3" s="336" customFormat="1">
      <c r="A413" s="383"/>
      <c r="B413" s="383"/>
      <c r="C413" s="383"/>
    </row>
    <row r="414" spans="1:3" s="336" customFormat="1">
      <c r="A414" s="383"/>
      <c r="B414" s="383"/>
      <c r="C414" s="383"/>
    </row>
    <row r="415" spans="1:3" s="336" customFormat="1">
      <c r="A415" s="383"/>
      <c r="B415" s="383"/>
      <c r="C415" s="383"/>
    </row>
    <row r="416" spans="1:3" s="336" customFormat="1">
      <c r="A416" s="383"/>
      <c r="B416" s="383"/>
      <c r="C416" s="383"/>
    </row>
    <row r="417" spans="1:3" s="336" customFormat="1">
      <c r="A417" s="383"/>
      <c r="B417" s="383"/>
      <c r="C417" s="383"/>
    </row>
    <row r="418" spans="1:3" s="336" customFormat="1">
      <c r="A418" s="383"/>
      <c r="B418" s="383"/>
      <c r="C418" s="383"/>
    </row>
    <row r="419" spans="1:3" s="336" customFormat="1">
      <c r="A419" s="383"/>
      <c r="B419" s="383"/>
      <c r="C419" s="383"/>
    </row>
    <row r="420" spans="1:3" s="336" customFormat="1">
      <c r="A420" s="383"/>
      <c r="B420" s="383"/>
      <c r="C420" s="383"/>
    </row>
    <row r="421" spans="1:3" s="336" customFormat="1">
      <c r="A421" s="383"/>
      <c r="B421" s="383"/>
      <c r="C421" s="383"/>
    </row>
    <row r="422" spans="1:3" s="336" customFormat="1">
      <c r="A422" s="383"/>
      <c r="B422" s="383"/>
      <c r="C422" s="383"/>
    </row>
    <row r="423" spans="1:3" s="336" customFormat="1">
      <c r="A423" s="383"/>
      <c r="B423" s="383"/>
      <c r="C423" s="383"/>
    </row>
    <row r="424" spans="1:3" s="336" customFormat="1">
      <c r="A424" s="383"/>
      <c r="B424" s="383"/>
      <c r="C424" s="383"/>
    </row>
    <row r="425" spans="1:3" s="336" customFormat="1">
      <c r="A425" s="383"/>
      <c r="B425" s="383"/>
      <c r="C425" s="383"/>
    </row>
    <row r="426" spans="1:3" s="336" customFormat="1">
      <c r="A426" s="383"/>
      <c r="B426" s="383"/>
      <c r="C426" s="383"/>
    </row>
    <row r="427" spans="1:3" s="336" customFormat="1">
      <c r="A427" s="383"/>
      <c r="B427" s="383"/>
      <c r="C427" s="383"/>
    </row>
    <row r="428" spans="1:3" s="336" customFormat="1">
      <c r="A428" s="383"/>
      <c r="B428" s="383"/>
      <c r="C428" s="383"/>
    </row>
    <row r="429" spans="1:3" s="336" customFormat="1">
      <c r="A429" s="383"/>
      <c r="B429" s="383"/>
      <c r="C429" s="383"/>
    </row>
    <row r="430" spans="1:3" s="336" customFormat="1">
      <c r="A430" s="383"/>
      <c r="B430" s="383"/>
      <c r="C430" s="383"/>
    </row>
    <row r="431" spans="1:3" s="336" customFormat="1">
      <c r="A431" s="383"/>
      <c r="B431" s="383"/>
      <c r="C431" s="383"/>
    </row>
    <row r="432" spans="1:3" s="336" customFormat="1">
      <c r="A432" s="383"/>
      <c r="B432" s="383"/>
      <c r="C432" s="383"/>
    </row>
    <row r="433" spans="1:3" s="336" customFormat="1">
      <c r="A433" s="383"/>
      <c r="B433" s="383"/>
      <c r="C433" s="383"/>
    </row>
    <row r="434" spans="1:3" s="336" customFormat="1">
      <c r="A434" s="383"/>
      <c r="B434" s="383"/>
      <c r="C434" s="383"/>
    </row>
    <row r="435" spans="1:3" s="336" customFormat="1">
      <c r="A435" s="383"/>
      <c r="B435" s="383"/>
      <c r="C435" s="383"/>
    </row>
    <row r="436" spans="1:3" s="336" customFormat="1">
      <c r="A436" s="383"/>
      <c r="B436" s="383"/>
      <c r="C436" s="383"/>
    </row>
    <row r="437" spans="1:3" s="336" customFormat="1">
      <c r="A437" s="383"/>
      <c r="B437" s="383"/>
      <c r="C437" s="383"/>
    </row>
    <row r="438" spans="1:3" s="336" customFormat="1">
      <c r="A438" s="383"/>
      <c r="B438" s="383"/>
      <c r="C438" s="383"/>
    </row>
    <row r="439" spans="1:3" s="336" customFormat="1">
      <c r="A439" s="383"/>
      <c r="B439" s="383"/>
      <c r="C439" s="383"/>
    </row>
    <row r="440" spans="1:3" s="336" customFormat="1">
      <c r="A440" s="383"/>
      <c r="B440" s="383"/>
      <c r="C440" s="383"/>
    </row>
    <row r="441" spans="1:3" s="336" customFormat="1">
      <c r="A441" s="383"/>
      <c r="B441" s="383"/>
      <c r="C441" s="383"/>
    </row>
    <row r="442" spans="1:3" s="336" customFormat="1">
      <c r="A442" s="383"/>
      <c r="B442" s="383"/>
      <c r="C442" s="383"/>
    </row>
    <row r="443" spans="1:3" s="336" customFormat="1">
      <c r="A443" s="383"/>
      <c r="B443" s="383"/>
      <c r="C443" s="383"/>
    </row>
    <row r="444" spans="1:3" s="336" customFormat="1">
      <c r="A444" s="383"/>
      <c r="B444" s="383"/>
      <c r="C444" s="383"/>
    </row>
    <row r="445" spans="1:3" s="336" customFormat="1">
      <c r="A445" s="383"/>
      <c r="B445" s="383"/>
      <c r="C445" s="383"/>
    </row>
    <row r="446" spans="1:3" s="336" customFormat="1">
      <c r="A446" s="383"/>
      <c r="B446" s="383"/>
      <c r="C446" s="383"/>
    </row>
    <row r="447" spans="1:3" s="336" customFormat="1">
      <c r="A447" s="383"/>
      <c r="B447" s="383"/>
      <c r="C447" s="383"/>
    </row>
    <row r="448" spans="1:3" s="336" customFormat="1">
      <c r="A448" s="383"/>
      <c r="B448" s="383"/>
      <c r="C448" s="383"/>
    </row>
    <row r="449" spans="1:3" s="336" customFormat="1">
      <c r="A449" s="383"/>
      <c r="B449" s="383"/>
      <c r="C449" s="383"/>
    </row>
    <row r="450" spans="1:3" s="336" customFormat="1">
      <c r="A450" s="383"/>
      <c r="B450" s="383"/>
      <c r="C450" s="383"/>
    </row>
    <row r="451" spans="1:3" s="336" customFormat="1">
      <c r="A451" s="383"/>
      <c r="B451" s="383"/>
      <c r="C451" s="383"/>
    </row>
    <row r="452" spans="1:3" s="336" customFormat="1">
      <c r="A452" s="383"/>
      <c r="B452" s="383"/>
      <c r="C452" s="383"/>
    </row>
    <row r="453" spans="1:3" s="336" customFormat="1">
      <c r="A453" s="383"/>
      <c r="B453" s="383"/>
      <c r="C453" s="383"/>
    </row>
    <row r="454" spans="1:3" s="336" customFormat="1">
      <c r="A454" s="383"/>
      <c r="B454" s="383"/>
      <c r="C454" s="383"/>
    </row>
    <row r="455" spans="1:3" s="336" customFormat="1">
      <c r="A455" s="383"/>
      <c r="B455" s="383"/>
      <c r="C455" s="383"/>
    </row>
    <row r="456" spans="1:3" s="336" customFormat="1">
      <c r="A456" s="383"/>
      <c r="B456" s="383"/>
      <c r="C456" s="383"/>
    </row>
    <row r="457" spans="1:3" s="336" customFormat="1">
      <c r="A457" s="383"/>
      <c r="B457" s="383"/>
      <c r="C457" s="383"/>
    </row>
    <row r="458" spans="1:3" s="336" customFormat="1">
      <c r="A458" s="383"/>
      <c r="B458" s="383"/>
      <c r="C458" s="383"/>
    </row>
    <row r="459" spans="1:3" s="336" customFormat="1">
      <c r="A459" s="383"/>
      <c r="B459" s="383"/>
      <c r="C459" s="383"/>
    </row>
    <row r="460" spans="1:3" s="336" customFormat="1">
      <c r="A460" s="383"/>
      <c r="B460" s="383"/>
      <c r="C460" s="383"/>
    </row>
    <row r="461" spans="1:3" s="336" customFormat="1">
      <c r="A461" s="383"/>
      <c r="B461" s="383"/>
      <c r="C461" s="383"/>
    </row>
    <row r="462" spans="1:3" s="336" customFormat="1">
      <c r="A462" s="383"/>
      <c r="B462" s="383"/>
      <c r="C462" s="383"/>
    </row>
    <row r="463" spans="1:3" s="336" customFormat="1">
      <c r="A463" s="383"/>
      <c r="B463" s="383"/>
      <c r="C463" s="383"/>
    </row>
    <row r="464" spans="1:3" s="336" customFormat="1">
      <c r="A464" s="383"/>
      <c r="B464" s="383"/>
      <c r="C464" s="383"/>
    </row>
    <row r="465" spans="1:3" s="336" customFormat="1">
      <c r="A465" s="383"/>
      <c r="B465" s="383"/>
      <c r="C465" s="383"/>
    </row>
    <row r="466" spans="1:3" s="336" customFormat="1">
      <c r="A466" s="383"/>
      <c r="B466" s="383"/>
      <c r="C466" s="383"/>
    </row>
    <row r="467" spans="1:3" s="336" customFormat="1">
      <c r="A467" s="383"/>
      <c r="B467" s="383"/>
      <c r="C467" s="383"/>
    </row>
    <row r="468" spans="1:3" s="336" customFormat="1">
      <c r="A468" s="383"/>
      <c r="B468" s="383"/>
      <c r="C468" s="383"/>
    </row>
    <row r="469" spans="1:3" s="336" customFormat="1">
      <c r="A469" s="383"/>
      <c r="B469" s="383"/>
      <c r="C469" s="383"/>
    </row>
    <row r="470" spans="1:3" s="336" customFormat="1">
      <c r="A470" s="383"/>
      <c r="B470" s="383"/>
      <c r="C470" s="383"/>
    </row>
    <row r="471" spans="1:3" s="336" customFormat="1">
      <c r="A471" s="383"/>
      <c r="B471" s="383"/>
      <c r="C471" s="383"/>
    </row>
    <row r="472" spans="1:3" s="336" customFormat="1">
      <c r="A472" s="383"/>
      <c r="B472" s="383"/>
      <c r="C472" s="383"/>
    </row>
    <row r="473" spans="1:3" s="336" customFormat="1">
      <c r="A473" s="383"/>
      <c r="B473" s="383"/>
      <c r="C473" s="383"/>
    </row>
    <row r="474" spans="1:3" s="336" customFormat="1">
      <c r="A474" s="383"/>
      <c r="B474" s="383"/>
      <c r="C474" s="383"/>
    </row>
    <row r="475" spans="1:3" s="336" customFormat="1">
      <c r="A475" s="383"/>
      <c r="B475" s="383"/>
      <c r="C475" s="383"/>
    </row>
    <row r="476" spans="1:3" s="336" customFormat="1">
      <c r="A476" s="383"/>
      <c r="B476" s="383"/>
      <c r="C476" s="383"/>
    </row>
    <row r="477" spans="1:3" s="336" customFormat="1">
      <c r="A477" s="383"/>
      <c r="B477" s="383"/>
      <c r="C477" s="383"/>
    </row>
    <row r="478" spans="1:3" s="336" customFormat="1">
      <c r="A478" s="383"/>
      <c r="B478" s="383"/>
      <c r="C478" s="383"/>
    </row>
    <row r="479" spans="1:3" s="336" customFormat="1">
      <c r="A479" s="383"/>
      <c r="B479" s="383"/>
      <c r="C479" s="383"/>
    </row>
    <row r="480" spans="1:3" s="336" customFormat="1">
      <c r="A480" s="383"/>
      <c r="B480" s="383"/>
      <c r="C480" s="383"/>
    </row>
    <row r="481" spans="1:3" s="336" customFormat="1">
      <c r="A481" s="383"/>
      <c r="B481" s="383"/>
      <c r="C481" s="383"/>
    </row>
    <row r="482" spans="1:3" s="336" customFormat="1">
      <c r="A482" s="383"/>
      <c r="B482" s="383"/>
      <c r="C482" s="383"/>
    </row>
    <row r="483" spans="1:3" s="336" customFormat="1">
      <c r="A483" s="383"/>
      <c r="B483" s="383"/>
      <c r="C483" s="383"/>
    </row>
    <row r="484" spans="1:3" s="336" customFormat="1">
      <c r="A484" s="383"/>
      <c r="B484" s="383"/>
      <c r="C484" s="383"/>
    </row>
    <row r="485" spans="1:3" s="336" customFormat="1">
      <c r="A485" s="383"/>
      <c r="B485" s="383"/>
      <c r="C485" s="383"/>
    </row>
    <row r="486" spans="1:3" s="336" customFormat="1">
      <c r="A486" s="383"/>
      <c r="B486" s="383"/>
      <c r="C486" s="383"/>
    </row>
    <row r="487" spans="1:3" s="336" customFormat="1">
      <c r="A487" s="383"/>
      <c r="B487" s="383"/>
      <c r="C487" s="383"/>
    </row>
    <row r="488" spans="1:3" s="336" customFormat="1">
      <c r="A488" s="383"/>
      <c r="B488" s="383"/>
      <c r="C488" s="383"/>
    </row>
    <row r="489" spans="1:3" s="336" customFormat="1">
      <c r="A489" s="383"/>
      <c r="B489" s="383"/>
      <c r="C489" s="383"/>
    </row>
    <row r="490" spans="1:3" s="336" customFormat="1">
      <c r="A490" s="383"/>
      <c r="B490" s="383"/>
      <c r="C490" s="383"/>
    </row>
    <row r="491" spans="1:3" s="336" customFormat="1">
      <c r="A491" s="383"/>
      <c r="B491" s="383"/>
      <c r="C491" s="383"/>
    </row>
    <row r="492" spans="1:3" s="336" customFormat="1">
      <c r="A492" s="383"/>
      <c r="B492" s="383"/>
      <c r="C492" s="383"/>
    </row>
    <row r="493" spans="1:3" s="336" customFormat="1">
      <c r="A493" s="383"/>
      <c r="B493" s="383"/>
      <c r="C493" s="383"/>
    </row>
    <row r="494" spans="1:3" s="336" customFormat="1">
      <c r="A494" s="383"/>
      <c r="B494" s="383"/>
      <c r="C494" s="383"/>
    </row>
    <row r="495" spans="1:3" s="336" customFormat="1">
      <c r="A495" s="383"/>
      <c r="B495" s="383"/>
      <c r="C495" s="383"/>
    </row>
    <row r="496" spans="1:3" s="336" customFormat="1">
      <c r="A496" s="383"/>
      <c r="B496" s="383"/>
      <c r="C496" s="383"/>
    </row>
    <row r="497" spans="1:3" s="336" customFormat="1">
      <c r="A497" s="383"/>
      <c r="B497" s="383"/>
      <c r="C497" s="383"/>
    </row>
    <row r="498" spans="1:3" s="336" customFormat="1">
      <c r="A498" s="383"/>
      <c r="B498" s="383"/>
      <c r="C498" s="383"/>
    </row>
    <row r="499" spans="1:3" s="336" customFormat="1">
      <c r="A499" s="383"/>
      <c r="B499" s="383"/>
      <c r="C499" s="383"/>
    </row>
    <row r="500" spans="1:3" s="336" customFormat="1">
      <c r="A500" s="383"/>
      <c r="B500" s="383"/>
      <c r="C500" s="383"/>
    </row>
    <row r="501" spans="1:3" s="336" customFormat="1">
      <c r="A501" s="383"/>
      <c r="B501" s="383"/>
      <c r="C501" s="383"/>
    </row>
    <row r="502" spans="1:3" s="336" customFormat="1">
      <c r="A502" s="383"/>
      <c r="B502" s="383"/>
      <c r="C502" s="383"/>
    </row>
    <row r="503" spans="1:3" s="336" customFormat="1">
      <c r="A503" s="383"/>
      <c r="B503" s="383"/>
      <c r="C503" s="383"/>
    </row>
    <row r="504" spans="1:3" s="336" customFormat="1">
      <c r="A504" s="383"/>
      <c r="B504" s="383"/>
      <c r="C504" s="383"/>
    </row>
    <row r="505" spans="1:3" s="336" customFormat="1">
      <c r="A505" s="383"/>
      <c r="B505" s="383"/>
      <c r="C505" s="383"/>
    </row>
    <row r="506" spans="1:3" s="336" customFormat="1">
      <c r="A506" s="383"/>
      <c r="B506" s="383"/>
      <c r="C506" s="383"/>
    </row>
    <row r="507" spans="1:3" s="336" customFormat="1">
      <c r="A507" s="383"/>
      <c r="B507" s="383"/>
      <c r="C507" s="383"/>
    </row>
    <row r="508" spans="1:3" s="336" customFormat="1">
      <c r="A508" s="383"/>
      <c r="B508" s="383"/>
      <c r="C508" s="383"/>
    </row>
    <row r="509" spans="1:3" s="336" customFormat="1">
      <c r="A509" s="383"/>
      <c r="B509" s="383"/>
      <c r="C509" s="383"/>
    </row>
    <row r="510" spans="1:3" s="336" customFormat="1">
      <c r="A510" s="383"/>
      <c r="B510" s="383"/>
      <c r="C510" s="383"/>
    </row>
    <row r="511" spans="1:3" s="336" customFormat="1">
      <c r="A511" s="383"/>
      <c r="B511" s="383"/>
      <c r="C511" s="383"/>
    </row>
    <row r="512" spans="1:3" s="336" customFormat="1">
      <c r="A512" s="383"/>
      <c r="B512" s="383"/>
      <c r="C512" s="383"/>
    </row>
    <row r="513" spans="1:3" s="336" customFormat="1">
      <c r="A513" s="383"/>
      <c r="B513" s="383"/>
      <c r="C513" s="383"/>
    </row>
    <row r="514" spans="1:3" s="336" customFormat="1">
      <c r="A514" s="383"/>
      <c r="B514" s="383"/>
      <c r="C514" s="383"/>
    </row>
    <row r="515" spans="1:3" s="336" customFormat="1">
      <c r="A515" s="383"/>
      <c r="B515" s="383"/>
      <c r="C515" s="383"/>
    </row>
    <row r="516" spans="1:3" s="336" customFormat="1">
      <c r="A516" s="383"/>
      <c r="B516" s="383"/>
      <c r="C516" s="383"/>
    </row>
    <row r="517" spans="1:3" s="336" customFormat="1">
      <c r="A517" s="383"/>
      <c r="B517" s="383"/>
      <c r="C517" s="383"/>
    </row>
    <row r="518" spans="1:3" s="336" customFormat="1">
      <c r="A518" s="383"/>
      <c r="B518" s="383"/>
      <c r="C518" s="383"/>
    </row>
    <row r="519" spans="1:3" s="336" customFormat="1">
      <c r="A519" s="383"/>
      <c r="B519" s="383"/>
      <c r="C519" s="383"/>
    </row>
    <row r="520" spans="1:3" s="336" customFormat="1">
      <c r="A520" s="383"/>
      <c r="B520" s="383"/>
      <c r="C520" s="383"/>
    </row>
    <row r="521" spans="1:3" s="336" customFormat="1">
      <c r="A521" s="383"/>
      <c r="B521" s="383"/>
      <c r="C521" s="383"/>
    </row>
    <row r="522" spans="1:3" s="336" customFormat="1">
      <c r="A522" s="383"/>
      <c r="B522" s="383"/>
      <c r="C522" s="383"/>
    </row>
    <row r="523" spans="1:3" s="336" customFormat="1">
      <c r="A523" s="383"/>
      <c r="B523" s="383"/>
      <c r="C523" s="383"/>
    </row>
    <row r="524" spans="1:3" s="336" customFormat="1">
      <c r="A524" s="383"/>
      <c r="B524" s="383"/>
      <c r="C524" s="383"/>
    </row>
    <row r="525" spans="1:3" s="336" customFormat="1">
      <c r="A525" s="383"/>
      <c r="B525" s="383"/>
      <c r="C525" s="383"/>
    </row>
    <row r="526" spans="1:3" s="336" customFormat="1">
      <c r="A526" s="383"/>
      <c r="B526" s="383"/>
      <c r="C526" s="383"/>
    </row>
    <row r="527" spans="1:3" s="336" customFormat="1">
      <c r="A527" s="383"/>
      <c r="B527" s="383"/>
      <c r="C527" s="383"/>
    </row>
    <row r="528" spans="1:3" s="336" customFormat="1">
      <c r="A528" s="383"/>
      <c r="B528" s="383"/>
      <c r="C528" s="383"/>
    </row>
    <row r="529" spans="1:3" s="336" customFormat="1">
      <c r="A529" s="383"/>
      <c r="B529" s="383"/>
      <c r="C529" s="383"/>
    </row>
    <row r="530" spans="1:3" s="336" customFormat="1">
      <c r="A530" s="383"/>
      <c r="B530" s="383"/>
      <c r="C530" s="383"/>
    </row>
    <row r="531" spans="1:3" s="336" customFormat="1">
      <c r="A531" s="383"/>
      <c r="B531" s="383"/>
      <c r="C531" s="383"/>
    </row>
    <row r="532" spans="1:3" s="336" customFormat="1">
      <c r="A532" s="383"/>
      <c r="B532" s="383"/>
      <c r="C532" s="383"/>
    </row>
    <row r="533" spans="1:3" s="336" customFormat="1">
      <c r="A533" s="383"/>
      <c r="B533" s="383"/>
      <c r="C533" s="383"/>
    </row>
    <row r="534" spans="1:3" s="336" customFormat="1">
      <c r="A534" s="383"/>
      <c r="B534" s="383"/>
      <c r="C534" s="383"/>
    </row>
    <row r="535" spans="1:3" s="336" customFormat="1">
      <c r="A535" s="383"/>
      <c r="B535" s="383"/>
      <c r="C535" s="383"/>
    </row>
    <row r="536" spans="1:3" s="336" customFormat="1">
      <c r="A536" s="383"/>
      <c r="B536" s="383"/>
      <c r="C536" s="383"/>
    </row>
    <row r="537" spans="1:3" s="336" customFormat="1">
      <c r="A537" s="383"/>
      <c r="B537" s="383"/>
      <c r="C537" s="383"/>
    </row>
    <row r="538" spans="1:3" s="336" customFormat="1">
      <c r="A538" s="383"/>
      <c r="B538" s="383"/>
      <c r="C538" s="383"/>
    </row>
    <row r="539" spans="1:3" s="336" customFormat="1">
      <c r="A539" s="383"/>
      <c r="B539" s="383"/>
      <c r="C539" s="383"/>
    </row>
    <row r="540" spans="1:3" s="336" customFormat="1">
      <c r="A540" s="383"/>
      <c r="B540" s="383"/>
      <c r="C540" s="383"/>
    </row>
    <row r="541" spans="1:3" s="336" customFormat="1">
      <c r="A541" s="383"/>
      <c r="B541" s="383"/>
      <c r="C541" s="383"/>
    </row>
    <row r="542" spans="1:3" s="336" customFormat="1">
      <c r="A542" s="383"/>
      <c r="B542" s="383"/>
      <c r="C542" s="383"/>
    </row>
    <row r="543" spans="1:3" s="336" customFormat="1">
      <c r="A543" s="383"/>
      <c r="B543" s="383"/>
      <c r="C543" s="383"/>
    </row>
    <row r="544" spans="1:3" s="336" customFormat="1">
      <c r="A544" s="383"/>
      <c r="B544" s="383"/>
      <c r="C544" s="383"/>
    </row>
    <row r="545" spans="1:3" s="336" customFormat="1">
      <c r="A545" s="383"/>
      <c r="B545" s="383"/>
      <c r="C545" s="383"/>
    </row>
    <row r="546" spans="1:3" s="336" customFormat="1">
      <c r="A546" s="383"/>
      <c r="B546" s="383"/>
      <c r="C546" s="383"/>
    </row>
    <row r="547" spans="1:3" s="336" customFormat="1">
      <c r="A547" s="383"/>
      <c r="B547" s="383"/>
      <c r="C547" s="383"/>
    </row>
    <row r="548" spans="1:3" s="336" customFormat="1">
      <c r="A548" s="383"/>
      <c r="B548" s="383"/>
      <c r="C548" s="383"/>
    </row>
    <row r="549" spans="1:3" s="336" customFormat="1">
      <c r="A549" s="383"/>
      <c r="B549" s="383"/>
      <c r="C549" s="383"/>
    </row>
    <row r="550" spans="1:3" s="336" customFormat="1">
      <c r="A550" s="383"/>
      <c r="B550" s="383"/>
      <c r="C550" s="383"/>
    </row>
    <row r="551" spans="1:3" s="336" customFormat="1">
      <c r="A551" s="383"/>
      <c r="B551" s="383"/>
      <c r="C551" s="383"/>
    </row>
    <row r="552" spans="1:3" s="336" customFormat="1">
      <c r="A552" s="383"/>
      <c r="B552" s="383"/>
      <c r="C552" s="383"/>
    </row>
    <row r="553" spans="1:3" s="336" customFormat="1">
      <c r="A553" s="383"/>
      <c r="B553" s="383"/>
      <c r="C553" s="383"/>
    </row>
    <row r="554" spans="1:3" s="336" customFormat="1">
      <c r="A554" s="383"/>
      <c r="B554" s="383"/>
      <c r="C554" s="383"/>
    </row>
    <row r="555" spans="1:3" s="336" customFormat="1">
      <c r="A555" s="383"/>
      <c r="B555" s="383"/>
      <c r="C555" s="383"/>
    </row>
    <row r="556" spans="1:3" s="336" customFormat="1">
      <c r="A556" s="383"/>
      <c r="B556" s="383"/>
      <c r="C556" s="383"/>
    </row>
    <row r="557" spans="1:3" s="336" customFormat="1">
      <c r="A557" s="383"/>
      <c r="B557" s="383"/>
      <c r="C557" s="383"/>
    </row>
    <row r="558" spans="1:3" s="336" customFormat="1">
      <c r="A558" s="383"/>
      <c r="B558" s="383"/>
      <c r="C558" s="383"/>
    </row>
    <row r="559" spans="1:3" s="336" customFormat="1">
      <c r="A559" s="383"/>
      <c r="B559" s="383"/>
      <c r="C559" s="383"/>
    </row>
    <row r="560" spans="1:3" s="336" customFormat="1">
      <c r="A560" s="383"/>
      <c r="B560" s="383"/>
      <c r="C560" s="383"/>
    </row>
    <row r="561" spans="1:3" s="336" customFormat="1">
      <c r="A561" s="383"/>
      <c r="B561" s="383"/>
      <c r="C561" s="383"/>
    </row>
    <row r="562" spans="1:3" s="336" customFormat="1">
      <c r="A562" s="383"/>
      <c r="B562" s="383"/>
      <c r="C562" s="383"/>
    </row>
    <row r="563" spans="1:3" s="336" customFormat="1">
      <c r="A563" s="383"/>
      <c r="B563" s="383"/>
      <c r="C563" s="383"/>
    </row>
    <row r="564" spans="1:3" s="336" customFormat="1">
      <c r="A564" s="383"/>
      <c r="B564" s="383"/>
      <c r="C564" s="383"/>
    </row>
    <row r="565" spans="1:3" s="336" customFormat="1">
      <c r="A565" s="383"/>
      <c r="B565" s="383"/>
      <c r="C565" s="383"/>
    </row>
    <row r="566" spans="1:3" s="336" customFormat="1">
      <c r="A566" s="383"/>
      <c r="B566" s="383"/>
      <c r="C566" s="383"/>
    </row>
    <row r="567" spans="1:3" s="336" customFormat="1">
      <c r="A567" s="383"/>
      <c r="B567" s="383"/>
      <c r="C567" s="383"/>
    </row>
    <row r="568" spans="1:3" s="336" customFormat="1">
      <c r="A568" s="383"/>
      <c r="B568" s="383"/>
      <c r="C568" s="383"/>
    </row>
    <row r="569" spans="1:3" s="336" customFormat="1">
      <c r="A569" s="383"/>
      <c r="B569" s="383"/>
      <c r="C569" s="383"/>
    </row>
    <row r="570" spans="1:3" s="336" customFormat="1">
      <c r="A570" s="383"/>
      <c r="B570" s="383"/>
      <c r="C570" s="383"/>
    </row>
    <row r="571" spans="1:3" s="336" customFormat="1">
      <c r="A571" s="383"/>
      <c r="B571" s="383"/>
      <c r="C571" s="383"/>
    </row>
    <row r="572" spans="1:3" s="336" customFormat="1">
      <c r="A572" s="383"/>
      <c r="B572" s="383"/>
      <c r="C572" s="383"/>
    </row>
    <row r="573" spans="1:3" s="336" customFormat="1">
      <c r="A573" s="383"/>
      <c r="B573" s="383"/>
      <c r="C573" s="383"/>
    </row>
    <row r="574" spans="1:3" s="336" customFormat="1">
      <c r="A574" s="383"/>
      <c r="B574" s="383"/>
      <c r="C574" s="383"/>
    </row>
    <row r="575" spans="1:3" s="336" customFormat="1">
      <c r="A575" s="383"/>
      <c r="B575" s="383"/>
      <c r="C575" s="383"/>
    </row>
    <row r="576" spans="1:3" s="336" customFormat="1">
      <c r="A576" s="383"/>
      <c r="B576" s="383"/>
      <c r="C576" s="383"/>
    </row>
    <row r="577" spans="1:3" s="336" customFormat="1">
      <c r="A577" s="383"/>
      <c r="B577" s="383"/>
      <c r="C577" s="383"/>
    </row>
    <row r="578" spans="1:3" s="336" customFormat="1">
      <c r="A578" s="383"/>
      <c r="B578" s="383"/>
      <c r="C578" s="383"/>
    </row>
    <row r="579" spans="1:3" s="336" customFormat="1">
      <c r="A579" s="383"/>
      <c r="B579" s="383"/>
      <c r="C579" s="383"/>
    </row>
    <row r="580" spans="1:3" s="336" customFormat="1">
      <c r="A580" s="383"/>
      <c r="B580" s="383"/>
      <c r="C580" s="383"/>
    </row>
    <row r="581" spans="1:3" s="336" customFormat="1">
      <c r="A581" s="383"/>
      <c r="B581" s="383"/>
      <c r="C581" s="383"/>
    </row>
    <row r="582" spans="1:3" s="336" customFormat="1">
      <c r="A582" s="383"/>
      <c r="B582" s="383"/>
      <c r="C582" s="383"/>
    </row>
    <row r="583" spans="1:3" s="336" customFormat="1">
      <c r="A583" s="383"/>
      <c r="B583" s="383"/>
      <c r="C583" s="383"/>
    </row>
    <row r="584" spans="1:3" s="336" customFormat="1">
      <c r="A584" s="383"/>
      <c r="B584" s="383"/>
      <c r="C584" s="383"/>
    </row>
    <row r="585" spans="1:3" s="336" customFormat="1">
      <c r="A585" s="383"/>
      <c r="B585" s="383"/>
      <c r="C585" s="383"/>
    </row>
    <row r="586" spans="1:3" s="336" customFormat="1">
      <c r="A586" s="383"/>
      <c r="B586" s="383"/>
      <c r="C586" s="383"/>
    </row>
    <row r="587" spans="1:3" s="336" customFormat="1">
      <c r="A587" s="383"/>
      <c r="B587" s="383"/>
      <c r="C587" s="383"/>
    </row>
    <row r="588" spans="1:3" s="336" customFormat="1">
      <c r="A588" s="383"/>
      <c r="B588" s="383"/>
      <c r="C588" s="383"/>
    </row>
    <row r="589" spans="1:3" s="336" customFormat="1">
      <c r="A589" s="383"/>
      <c r="B589" s="383"/>
      <c r="C589" s="383"/>
    </row>
    <row r="590" spans="1:3" s="336" customFormat="1">
      <c r="A590" s="383"/>
      <c r="B590" s="383"/>
      <c r="C590" s="383"/>
    </row>
    <row r="591" spans="1:3" s="336" customFormat="1">
      <c r="A591" s="383"/>
      <c r="B591" s="383"/>
      <c r="C591" s="383"/>
    </row>
    <row r="592" spans="1:3" s="336" customFormat="1">
      <c r="A592" s="383"/>
      <c r="B592" s="383"/>
      <c r="C592" s="383"/>
    </row>
    <row r="593" spans="1:3" s="336" customFormat="1">
      <c r="A593" s="383"/>
      <c r="B593" s="383"/>
      <c r="C593" s="383"/>
    </row>
    <row r="594" spans="1:3" s="336" customFormat="1">
      <c r="A594" s="383"/>
      <c r="B594" s="383"/>
      <c r="C594" s="383"/>
    </row>
    <row r="595" spans="1:3" s="336" customFormat="1">
      <c r="A595" s="383"/>
      <c r="B595" s="383"/>
      <c r="C595" s="383"/>
    </row>
    <row r="596" spans="1:3" s="336" customFormat="1">
      <c r="A596" s="383"/>
      <c r="B596" s="383"/>
      <c r="C596" s="383"/>
    </row>
    <row r="597" spans="1:3" s="336" customFormat="1">
      <c r="A597" s="383"/>
      <c r="B597" s="383"/>
      <c r="C597" s="383"/>
    </row>
    <row r="598" spans="1:3" s="336" customFormat="1">
      <c r="A598" s="383"/>
      <c r="B598" s="383"/>
      <c r="C598" s="383"/>
    </row>
    <row r="599" spans="1:3" s="336" customFormat="1">
      <c r="A599" s="383"/>
      <c r="B599" s="383"/>
      <c r="C599" s="383"/>
    </row>
    <row r="600" spans="1:3" s="336" customFormat="1">
      <c r="A600" s="383"/>
      <c r="B600" s="383"/>
      <c r="C600" s="383"/>
    </row>
    <row r="601" spans="1:3" s="336" customFormat="1">
      <c r="A601" s="383"/>
      <c r="B601" s="383"/>
      <c r="C601" s="383"/>
    </row>
    <row r="602" spans="1:3" s="336" customFormat="1">
      <c r="A602" s="383"/>
      <c r="B602" s="383"/>
      <c r="C602" s="383"/>
    </row>
    <row r="603" spans="1:3" s="336" customFormat="1">
      <c r="A603" s="383"/>
      <c r="B603" s="383"/>
      <c r="C603" s="383"/>
    </row>
    <row r="604" spans="1:3" s="336" customFormat="1">
      <c r="A604" s="383"/>
      <c r="B604" s="383"/>
      <c r="C604" s="383"/>
    </row>
    <row r="605" spans="1:3" s="336" customFormat="1">
      <c r="A605" s="383"/>
      <c r="B605" s="383"/>
      <c r="C605" s="383"/>
    </row>
    <row r="606" spans="1:3" s="336" customFormat="1">
      <c r="A606" s="383"/>
      <c r="B606" s="383"/>
      <c r="C606" s="383"/>
    </row>
    <row r="607" spans="1:3" s="336" customFormat="1">
      <c r="A607" s="383"/>
      <c r="B607" s="383"/>
      <c r="C607" s="383"/>
    </row>
    <row r="608" spans="1:3" s="336" customFormat="1">
      <c r="A608" s="383"/>
      <c r="B608" s="383"/>
      <c r="C608" s="383"/>
    </row>
    <row r="609" spans="1:3" s="336" customFormat="1">
      <c r="A609" s="383"/>
      <c r="B609" s="383"/>
      <c r="C609" s="383"/>
    </row>
    <row r="610" spans="1:3" s="336" customFormat="1">
      <c r="A610" s="383"/>
      <c r="B610" s="383"/>
      <c r="C610" s="383"/>
    </row>
    <row r="611" spans="1:3" s="336" customFormat="1">
      <c r="A611" s="383"/>
      <c r="B611" s="383"/>
      <c r="C611" s="383"/>
    </row>
    <row r="612" spans="1:3" s="336" customFormat="1">
      <c r="A612" s="383"/>
      <c r="B612" s="383"/>
      <c r="C612" s="383"/>
    </row>
    <row r="613" spans="1:3" s="336" customFormat="1">
      <c r="A613" s="383"/>
      <c r="B613" s="383"/>
      <c r="C613" s="383"/>
    </row>
    <row r="614" spans="1:3" s="336" customFormat="1">
      <c r="A614" s="383"/>
      <c r="B614" s="383"/>
      <c r="C614" s="383"/>
    </row>
    <row r="615" spans="1:3" s="336" customFormat="1">
      <c r="A615" s="383"/>
      <c r="B615" s="383"/>
      <c r="C615" s="383"/>
    </row>
    <row r="616" spans="1:3" s="336" customFormat="1">
      <c r="A616" s="383"/>
      <c r="B616" s="383"/>
      <c r="C616" s="383"/>
    </row>
    <row r="617" spans="1:3" s="336" customFormat="1">
      <c r="A617" s="383"/>
      <c r="B617" s="383"/>
      <c r="C617" s="383"/>
    </row>
    <row r="618" spans="1:3" s="336" customFormat="1">
      <c r="A618" s="383"/>
      <c r="B618" s="383"/>
      <c r="C618" s="383"/>
    </row>
    <row r="619" spans="1:3" s="336" customFormat="1">
      <c r="A619" s="383"/>
      <c r="B619" s="383"/>
      <c r="C619" s="383"/>
    </row>
    <row r="620" spans="1:3" s="336" customFormat="1">
      <c r="A620" s="383"/>
      <c r="B620" s="383"/>
      <c r="C620" s="383"/>
    </row>
    <row r="621" spans="1:3" s="336" customFormat="1">
      <c r="A621" s="383"/>
      <c r="B621" s="383"/>
      <c r="C621" s="383"/>
    </row>
    <row r="622" spans="1:3" s="336" customFormat="1">
      <c r="A622" s="383"/>
      <c r="B622" s="383"/>
      <c r="C622" s="383"/>
    </row>
    <row r="623" spans="1:3" s="336" customFormat="1">
      <c r="A623" s="383"/>
      <c r="B623" s="383"/>
      <c r="C623" s="383"/>
    </row>
    <row r="624" spans="1:3" s="336" customFormat="1">
      <c r="A624" s="383"/>
      <c r="B624" s="383"/>
      <c r="C624" s="383"/>
    </row>
    <row r="625" spans="1:3" s="336" customFormat="1">
      <c r="A625" s="383"/>
      <c r="B625" s="383"/>
      <c r="C625" s="383"/>
    </row>
    <row r="626" spans="1:3" s="336" customFormat="1">
      <c r="A626" s="383"/>
      <c r="B626" s="383"/>
      <c r="C626" s="383"/>
    </row>
    <row r="627" spans="1:3" s="336" customFormat="1">
      <c r="A627" s="383"/>
      <c r="B627" s="383"/>
      <c r="C627" s="383"/>
    </row>
    <row r="628" spans="1:3" s="336" customFormat="1">
      <c r="A628" s="383"/>
      <c r="B628" s="383"/>
      <c r="C628" s="383"/>
    </row>
    <row r="629" spans="1:3" s="336" customFormat="1">
      <c r="A629" s="383"/>
      <c r="B629" s="383"/>
      <c r="C629" s="383"/>
    </row>
    <row r="630" spans="1:3" s="336" customFormat="1">
      <c r="A630" s="383"/>
      <c r="B630" s="383"/>
      <c r="C630" s="383"/>
    </row>
    <row r="631" spans="1:3" s="336" customFormat="1">
      <c r="A631" s="383"/>
      <c r="B631" s="383"/>
      <c r="C631" s="383"/>
    </row>
    <row r="632" spans="1:3" s="336" customFormat="1">
      <c r="A632" s="383"/>
      <c r="B632" s="383"/>
      <c r="C632" s="383"/>
    </row>
    <row r="633" spans="1:3" s="336" customFormat="1">
      <c r="A633" s="383"/>
      <c r="B633" s="383"/>
      <c r="C633" s="383"/>
    </row>
    <row r="634" spans="1:3" s="336" customFormat="1">
      <c r="A634" s="383"/>
      <c r="B634" s="383"/>
      <c r="C634" s="383"/>
    </row>
    <row r="635" spans="1:3" s="336" customFormat="1">
      <c r="A635" s="383"/>
      <c r="B635" s="383"/>
      <c r="C635" s="383"/>
    </row>
    <row r="636" spans="1:3" s="336" customFormat="1">
      <c r="A636" s="383"/>
      <c r="B636" s="383"/>
      <c r="C636" s="383"/>
    </row>
    <row r="637" spans="1:3" s="336" customFormat="1">
      <c r="A637" s="383"/>
      <c r="B637" s="383"/>
      <c r="C637" s="383"/>
    </row>
    <row r="638" spans="1:3" s="336" customFormat="1">
      <c r="A638" s="383"/>
      <c r="B638" s="383"/>
      <c r="C638" s="383"/>
    </row>
    <row r="639" spans="1:3" s="336" customFormat="1">
      <c r="A639" s="383"/>
      <c r="B639" s="383"/>
      <c r="C639" s="383"/>
    </row>
    <row r="640" spans="1:3" s="336" customFormat="1">
      <c r="A640" s="383"/>
      <c r="B640" s="383"/>
      <c r="C640" s="383"/>
    </row>
    <row r="641" spans="1:3" s="336" customFormat="1">
      <c r="A641" s="383"/>
      <c r="B641" s="383"/>
      <c r="C641" s="383"/>
    </row>
    <row r="642" spans="1:3" s="336" customFormat="1">
      <c r="A642" s="383"/>
      <c r="B642" s="383"/>
      <c r="C642" s="383"/>
    </row>
    <row r="643" spans="1:3" s="336" customFormat="1">
      <c r="A643" s="383"/>
      <c r="B643" s="383"/>
      <c r="C643" s="383"/>
    </row>
    <row r="644" spans="1:3" s="336" customFormat="1">
      <c r="A644" s="383"/>
      <c r="B644" s="383"/>
      <c r="C644" s="383"/>
    </row>
    <row r="645" spans="1:3" s="336" customFormat="1">
      <c r="A645" s="383"/>
      <c r="B645" s="383"/>
      <c r="C645" s="383"/>
    </row>
    <row r="646" spans="1:3" s="336" customFormat="1">
      <c r="A646" s="383"/>
      <c r="B646" s="383"/>
      <c r="C646" s="383"/>
    </row>
    <row r="647" spans="1:3" s="336" customFormat="1">
      <c r="A647" s="383"/>
      <c r="B647" s="383"/>
      <c r="C647" s="383"/>
    </row>
    <row r="648" spans="1:3" s="336" customFormat="1">
      <c r="A648" s="383"/>
      <c r="B648" s="383"/>
      <c r="C648" s="383"/>
    </row>
    <row r="649" spans="1:3" s="336" customFormat="1">
      <c r="A649" s="383"/>
      <c r="B649" s="383"/>
      <c r="C649" s="383"/>
    </row>
    <row r="650" spans="1:3" s="336" customFormat="1">
      <c r="A650" s="383"/>
      <c r="B650" s="383"/>
      <c r="C650" s="383"/>
    </row>
    <row r="651" spans="1:3" s="336" customFormat="1">
      <c r="A651" s="383"/>
      <c r="B651" s="383"/>
      <c r="C651" s="383"/>
    </row>
    <row r="652" spans="1:3" s="336" customFormat="1">
      <c r="A652" s="383"/>
      <c r="B652" s="383"/>
      <c r="C652" s="383"/>
    </row>
    <row r="653" spans="1:3" s="336" customFormat="1">
      <c r="A653" s="383"/>
      <c r="B653" s="383"/>
      <c r="C653" s="383"/>
    </row>
    <row r="654" spans="1:3" s="336" customFormat="1">
      <c r="A654" s="383"/>
      <c r="B654" s="383"/>
      <c r="C654" s="383"/>
    </row>
    <row r="655" spans="1:3" s="336" customFormat="1">
      <c r="A655" s="383"/>
      <c r="B655" s="383"/>
      <c r="C655" s="383"/>
    </row>
    <row r="656" spans="1:3" s="336" customFormat="1">
      <c r="A656" s="383"/>
      <c r="B656" s="383"/>
      <c r="C656" s="383"/>
    </row>
    <row r="657" spans="1:3" s="336" customFormat="1">
      <c r="A657" s="383"/>
      <c r="B657" s="383"/>
      <c r="C657" s="383"/>
    </row>
    <row r="658" spans="1:3" s="336" customFormat="1">
      <c r="A658" s="383"/>
      <c r="B658" s="383"/>
      <c r="C658" s="383"/>
    </row>
    <row r="659" spans="1:3" s="336" customFormat="1">
      <c r="A659" s="383"/>
      <c r="B659" s="383"/>
      <c r="C659" s="383"/>
    </row>
    <row r="660" spans="1:3" s="336" customFormat="1">
      <c r="A660" s="383"/>
      <c r="B660" s="383"/>
      <c r="C660" s="383"/>
    </row>
    <row r="661" spans="1:3" s="336" customFormat="1">
      <c r="A661" s="383"/>
      <c r="B661" s="383"/>
      <c r="C661" s="383"/>
    </row>
    <row r="662" spans="1:3" s="336" customFormat="1">
      <c r="A662" s="383"/>
      <c r="B662" s="383"/>
      <c r="C662" s="383"/>
    </row>
    <row r="663" spans="1:3" s="336" customFormat="1">
      <c r="A663" s="383"/>
      <c r="B663" s="383"/>
      <c r="C663" s="383"/>
    </row>
    <row r="664" spans="1:3" s="336" customFormat="1">
      <c r="A664" s="383"/>
      <c r="B664" s="383"/>
      <c r="C664" s="383"/>
    </row>
    <row r="665" spans="1:3" s="336" customFormat="1">
      <c r="A665" s="383"/>
      <c r="B665" s="383"/>
      <c r="C665" s="383"/>
    </row>
    <row r="666" spans="1:3" s="336" customFormat="1">
      <c r="A666" s="383"/>
      <c r="B666" s="383"/>
      <c r="C666" s="383"/>
    </row>
    <row r="667" spans="1:3" s="336" customFormat="1">
      <c r="A667" s="383"/>
      <c r="B667" s="383"/>
      <c r="C667" s="383"/>
    </row>
    <row r="668" spans="1:3" s="336" customFormat="1">
      <c r="A668" s="383"/>
      <c r="B668" s="383"/>
      <c r="C668" s="383"/>
    </row>
    <row r="669" spans="1:3" s="336" customFormat="1">
      <c r="A669" s="383"/>
      <c r="B669" s="383"/>
      <c r="C669" s="383"/>
    </row>
    <row r="670" spans="1:3" s="336" customFormat="1">
      <c r="A670" s="383"/>
      <c r="B670" s="383"/>
      <c r="C670" s="383"/>
    </row>
    <row r="671" spans="1:3" s="336" customFormat="1">
      <c r="A671" s="383"/>
      <c r="B671" s="383"/>
      <c r="C671" s="383"/>
    </row>
    <row r="672" spans="1:3" s="336" customFormat="1">
      <c r="A672" s="383"/>
      <c r="B672" s="383"/>
      <c r="C672" s="383"/>
    </row>
    <row r="673" spans="1:3" s="336" customFormat="1">
      <c r="A673" s="383"/>
      <c r="B673" s="383"/>
      <c r="C673" s="383"/>
    </row>
    <row r="674" spans="1:3" s="336" customFormat="1">
      <c r="A674" s="383"/>
      <c r="B674" s="383"/>
      <c r="C674" s="383"/>
    </row>
    <row r="675" spans="1:3" s="336" customFormat="1">
      <c r="A675" s="383"/>
      <c r="B675" s="383"/>
      <c r="C675" s="383"/>
    </row>
    <row r="676" spans="1:3" s="336" customFormat="1">
      <c r="A676" s="383"/>
      <c r="B676" s="383"/>
      <c r="C676" s="383"/>
    </row>
    <row r="677" spans="1:3" s="336" customFormat="1">
      <c r="A677" s="383"/>
      <c r="B677" s="383"/>
      <c r="C677" s="383"/>
    </row>
    <row r="678" spans="1:3" s="336" customFormat="1">
      <c r="A678" s="383"/>
      <c r="B678" s="383"/>
      <c r="C678" s="383"/>
    </row>
    <row r="679" spans="1:3" s="336" customFormat="1">
      <c r="A679" s="383"/>
      <c r="B679" s="383"/>
      <c r="C679" s="383"/>
    </row>
    <row r="680" spans="1:3" s="336" customFormat="1">
      <c r="A680" s="383"/>
      <c r="B680" s="383"/>
      <c r="C680" s="383"/>
    </row>
    <row r="681" spans="1:3" s="336" customFormat="1">
      <c r="A681" s="383"/>
      <c r="B681" s="383"/>
      <c r="C681" s="383"/>
    </row>
    <row r="682" spans="1:3" s="336" customFormat="1">
      <c r="A682" s="383"/>
      <c r="B682" s="383"/>
      <c r="C682" s="383"/>
    </row>
    <row r="683" spans="1:3" s="336" customFormat="1">
      <c r="A683" s="383"/>
      <c r="B683" s="383"/>
      <c r="C683" s="383"/>
    </row>
    <row r="684" spans="1:3" s="336" customFormat="1">
      <c r="A684" s="383"/>
      <c r="B684" s="383"/>
      <c r="C684" s="383"/>
    </row>
    <row r="685" spans="1:3" s="336" customFormat="1">
      <c r="A685" s="383"/>
      <c r="B685" s="383"/>
      <c r="C685" s="383"/>
    </row>
    <row r="686" spans="1:3" s="336" customFormat="1">
      <c r="A686" s="383"/>
      <c r="B686" s="383"/>
      <c r="C686" s="383"/>
    </row>
    <row r="687" spans="1:3" s="336" customFormat="1">
      <c r="A687" s="383"/>
      <c r="B687" s="383"/>
      <c r="C687" s="383"/>
    </row>
    <row r="688" spans="1:3" s="336" customFormat="1">
      <c r="A688" s="383"/>
      <c r="B688" s="383"/>
      <c r="C688" s="383"/>
    </row>
    <row r="689" spans="1:3" s="336" customFormat="1">
      <c r="A689" s="383"/>
      <c r="B689" s="383"/>
      <c r="C689" s="383"/>
    </row>
    <row r="690" spans="1:3" s="336" customFormat="1">
      <c r="A690" s="383"/>
      <c r="B690" s="383"/>
      <c r="C690" s="383"/>
    </row>
    <row r="691" spans="1:3" s="336" customFormat="1">
      <c r="A691" s="383"/>
      <c r="B691" s="383"/>
      <c r="C691" s="383"/>
    </row>
    <row r="692" spans="1:3" s="336" customFormat="1">
      <c r="A692" s="383"/>
      <c r="B692" s="383"/>
      <c r="C692" s="383"/>
    </row>
    <row r="693" spans="1:3" s="336" customFormat="1">
      <c r="A693" s="383"/>
      <c r="B693" s="383"/>
      <c r="C693" s="383"/>
    </row>
    <row r="694" spans="1:3" s="336" customFormat="1">
      <c r="A694" s="383"/>
      <c r="B694" s="383"/>
      <c r="C694" s="383"/>
    </row>
    <row r="695" spans="1:3" s="336" customFormat="1">
      <c r="A695" s="383"/>
      <c r="B695" s="383"/>
      <c r="C695" s="383"/>
    </row>
    <row r="696" spans="1:3" s="336" customFormat="1">
      <c r="A696" s="383"/>
      <c r="B696" s="383"/>
      <c r="C696" s="383"/>
    </row>
    <row r="697" spans="1:3" s="336" customFormat="1">
      <c r="A697" s="383"/>
      <c r="B697" s="383"/>
      <c r="C697" s="383"/>
    </row>
    <row r="698" spans="1:3" s="336" customFormat="1">
      <c r="A698" s="383"/>
      <c r="B698" s="383"/>
      <c r="C698" s="383"/>
    </row>
    <row r="699" spans="1:3" s="336" customFormat="1">
      <c r="A699" s="383"/>
      <c r="B699" s="383"/>
      <c r="C699" s="383"/>
    </row>
    <row r="700" spans="1:3" s="336" customFormat="1">
      <c r="A700" s="383"/>
      <c r="B700" s="383"/>
      <c r="C700" s="383"/>
    </row>
    <row r="701" spans="1:3" s="336" customFormat="1">
      <c r="A701" s="383"/>
      <c r="B701" s="383"/>
      <c r="C701" s="383"/>
    </row>
    <row r="702" spans="1:3" s="336" customFormat="1">
      <c r="A702" s="383"/>
      <c r="B702" s="383"/>
      <c r="C702" s="383"/>
    </row>
    <row r="703" spans="1:3" s="336" customFormat="1">
      <c r="A703" s="383"/>
      <c r="B703" s="383"/>
      <c r="C703" s="383"/>
    </row>
    <row r="704" spans="1:3" s="336" customFormat="1">
      <c r="A704" s="383"/>
      <c r="B704" s="383"/>
      <c r="C704" s="383"/>
    </row>
    <row r="705" spans="1:3" s="336" customFormat="1">
      <c r="A705" s="383"/>
      <c r="B705" s="383"/>
      <c r="C705" s="383"/>
    </row>
    <row r="706" spans="1:3" s="336" customFormat="1">
      <c r="A706" s="383"/>
      <c r="B706" s="383"/>
      <c r="C706" s="383"/>
    </row>
    <row r="707" spans="1:3" s="336" customFormat="1">
      <c r="A707" s="383"/>
      <c r="B707" s="383"/>
      <c r="C707" s="383"/>
    </row>
    <row r="708" spans="1:3" s="336" customFormat="1">
      <c r="A708" s="383"/>
      <c r="B708" s="383"/>
      <c r="C708" s="383"/>
    </row>
    <row r="709" spans="1:3" s="336" customFormat="1">
      <c r="A709" s="383"/>
      <c r="B709" s="383"/>
      <c r="C709" s="383"/>
    </row>
    <row r="710" spans="1:3" s="336" customFormat="1">
      <c r="A710" s="383"/>
      <c r="B710" s="383"/>
      <c r="C710" s="383"/>
    </row>
    <row r="711" spans="1:3" s="336" customFormat="1">
      <c r="A711" s="383"/>
      <c r="B711" s="383"/>
      <c r="C711" s="383"/>
    </row>
    <row r="712" spans="1:3" s="336" customFormat="1">
      <c r="A712" s="383"/>
      <c r="B712" s="383"/>
      <c r="C712" s="383"/>
    </row>
    <row r="713" spans="1:3" s="336" customFormat="1">
      <c r="A713" s="383"/>
      <c r="B713" s="383"/>
      <c r="C713" s="383"/>
    </row>
    <row r="714" spans="1:3" s="336" customFormat="1">
      <c r="A714" s="383"/>
      <c r="B714" s="383"/>
      <c r="C714" s="383"/>
    </row>
    <row r="715" spans="1:3" s="336" customFormat="1">
      <c r="A715" s="383"/>
      <c r="B715" s="383"/>
      <c r="C715" s="383"/>
    </row>
    <row r="716" spans="1:3" s="336" customFormat="1">
      <c r="A716" s="383"/>
      <c r="B716" s="383"/>
      <c r="C716" s="383"/>
    </row>
    <row r="717" spans="1:3" s="336" customFormat="1">
      <c r="A717" s="383"/>
      <c r="B717" s="383"/>
      <c r="C717" s="383"/>
    </row>
    <row r="718" spans="1:3" s="336" customFormat="1">
      <c r="A718" s="383"/>
      <c r="B718" s="383"/>
      <c r="C718" s="383"/>
    </row>
    <row r="719" spans="1:3" s="336" customFormat="1">
      <c r="A719" s="383"/>
      <c r="B719" s="383"/>
      <c r="C719" s="383"/>
    </row>
    <row r="720" spans="1:3" s="336" customFormat="1">
      <c r="A720" s="383"/>
      <c r="B720" s="383"/>
      <c r="C720" s="383"/>
    </row>
    <row r="721" spans="1:3" s="336" customFormat="1">
      <c r="A721" s="383"/>
      <c r="B721" s="383"/>
      <c r="C721" s="383"/>
    </row>
    <row r="722" spans="1:3" s="336" customFormat="1">
      <c r="A722" s="383"/>
      <c r="B722" s="383"/>
      <c r="C722" s="383"/>
    </row>
    <row r="723" spans="1:3" s="336" customFormat="1">
      <c r="A723" s="383"/>
      <c r="B723" s="383"/>
      <c r="C723" s="383"/>
    </row>
    <row r="724" spans="1:3" s="336" customFormat="1">
      <c r="A724" s="383"/>
      <c r="B724" s="383"/>
      <c r="C724" s="383"/>
    </row>
    <row r="725" spans="1:3" s="336" customFormat="1">
      <c r="A725" s="383"/>
      <c r="B725" s="383"/>
      <c r="C725" s="383"/>
    </row>
    <row r="726" spans="1:3" s="336" customFormat="1">
      <c r="A726" s="383"/>
      <c r="B726" s="383"/>
      <c r="C726" s="383"/>
    </row>
    <row r="727" spans="1:3" s="336" customFormat="1">
      <c r="A727" s="383"/>
      <c r="B727" s="383"/>
      <c r="C727" s="383"/>
    </row>
    <row r="728" spans="1:3" s="336" customFormat="1">
      <c r="A728" s="383"/>
      <c r="B728" s="383"/>
      <c r="C728" s="383"/>
    </row>
    <row r="729" spans="1:3" s="336" customFormat="1">
      <c r="A729" s="383"/>
      <c r="B729" s="383"/>
      <c r="C729" s="383"/>
    </row>
    <row r="730" spans="1:3" s="336" customFormat="1">
      <c r="A730" s="383"/>
      <c r="B730" s="383"/>
      <c r="C730" s="383"/>
    </row>
    <row r="731" spans="1:3" s="336" customFormat="1">
      <c r="A731" s="383"/>
      <c r="B731" s="383"/>
      <c r="C731" s="383"/>
    </row>
    <row r="732" spans="1:3" s="336" customFormat="1">
      <c r="A732" s="383"/>
      <c r="B732" s="383"/>
      <c r="C732" s="383"/>
    </row>
    <row r="733" spans="1:3" s="336" customFormat="1">
      <c r="A733" s="383"/>
      <c r="B733" s="383"/>
      <c r="C733" s="383"/>
    </row>
    <row r="734" spans="1:3" s="336" customFormat="1">
      <c r="A734" s="383"/>
      <c r="B734" s="383"/>
      <c r="C734" s="383"/>
    </row>
    <row r="735" spans="1:3" s="336" customFormat="1">
      <c r="A735" s="383"/>
      <c r="B735" s="383"/>
      <c r="C735" s="383"/>
    </row>
    <row r="736" spans="1:3" s="336" customFormat="1">
      <c r="A736" s="383"/>
      <c r="B736" s="383"/>
      <c r="C736" s="383"/>
    </row>
    <row r="737" spans="1:3" s="336" customFormat="1">
      <c r="A737" s="383"/>
      <c r="B737" s="383"/>
      <c r="C737" s="383"/>
    </row>
    <row r="738" spans="1:3" s="336" customFormat="1">
      <c r="A738" s="383"/>
      <c r="B738" s="383"/>
      <c r="C738" s="383"/>
    </row>
    <row r="739" spans="1:3" s="336" customFormat="1">
      <c r="A739" s="383"/>
      <c r="B739" s="383"/>
      <c r="C739" s="383"/>
    </row>
    <row r="740" spans="1:3" s="336" customFormat="1">
      <c r="A740" s="383"/>
      <c r="B740" s="383"/>
      <c r="C740" s="383"/>
    </row>
    <row r="741" spans="1:3" s="336" customFormat="1">
      <c r="A741" s="383"/>
      <c r="B741" s="383"/>
      <c r="C741" s="383"/>
    </row>
    <row r="742" spans="1:3" s="336" customFormat="1">
      <c r="A742" s="383"/>
      <c r="B742" s="383"/>
      <c r="C742" s="383"/>
    </row>
    <row r="743" spans="1:3" s="336" customFormat="1">
      <c r="A743" s="383"/>
      <c r="B743" s="383"/>
      <c r="C743" s="383"/>
    </row>
    <row r="744" spans="1:3" s="336" customFormat="1">
      <c r="A744" s="383"/>
      <c r="B744" s="383"/>
      <c r="C744" s="383"/>
    </row>
    <row r="745" spans="1:3" s="336" customFormat="1">
      <c r="A745" s="383"/>
      <c r="B745" s="383"/>
      <c r="C745" s="383"/>
    </row>
    <row r="746" spans="1:3" s="336" customFormat="1">
      <c r="A746" s="383"/>
      <c r="B746" s="383"/>
      <c r="C746" s="383"/>
    </row>
    <row r="747" spans="1:3" s="336" customFormat="1">
      <c r="A747" s="383"/>
      <c r="B747" s="383"/>
      <c r="C747" s="383"/>
    </row>
    <row r="748" spans="1:3" s="336" customFormat="1">
      <c r="A748" s="383"/>
      <c r="B748" s="383"/>
      <c r="C748" s="383"/>
    </row>
    <row r="749" spans="1:3" s="336" customFormat="1">
      <c r="A749" s="383"/>
      <c r="B749" s="383"/>
      <c r="C749" s="383"/>
    </row>
    <row r="750" spans="1:3" s="336" customFormat="1">
      <c r="A750" s="383"/>
      <c r="B750" s="383"/>
      <c r="C750" s="383"/>
    </row>
    <row r="751" spans="1:3" s="336" customFormat="1">
      <c r="A751" s="383"/>
      <c r="B751" s="383"/>
      <c r="C751" s="383"/>
    </row>
    <row r="752" spans="1:3" s="336" customFormat="1">
      <c r="A752" s="383"/>
      <c r="B752" s="383"/>
      <c r="C752" s="383"/>
    </row>
    <row r="753" spans="1:3" s="336" customFormat="1">
      <c r="A753" s="383"/>
      <c r="B753" s="383"/>
      <c r="C753" s="383"/>
    </row>
    <row r="754" spans="1:3" s="336" customFormat="1">
      <c r="A754" s="383"/>
      <c r="B754" s="383"/>
      <c r="C754" s="383"/>
    </row>
    <row r="755" spans="1:3" s="336" customFormat="1">
      <c r="A755" s="383"/>
      <c r="B755" s="383"/>
      <c r="C755" s="383"/>
    </row>
    <row r="756" spans="1:3" s="336" customFormat="1">
      <c r="A756" s="383"/>
      <c r="B756" s="383"/>
      <c r="C756" s="383"/>
    </row>
    <row r="757" spans="1:3" s="336" customFormat="1">
      <c r="A757" s="383"/>
      <c r="B757" s="383"/>
      <c r="C757" s="383"/>
    </row>
    <row r="758" spans="1:3" s="336" customFormat="1">
      <c r="A758" s="383"/>
      <c r="B758" s="383"/>
      <c r="C758" s="383"/>
    </row>
    <row r="759" spans="1:3" s="336" customFormat="1">
      <c r="A759" s="383"/>
      <c r="B759" s="383"/>
      <c r="C759" s="383"/>
    </row>
    <row r="760" spans="1:3" s="336" customFormat="1">
      <c r="A760" s="383"/>
      <c r="B760" s="383"/>
      <c r="C760" s="383"/>
    </row>
    <row r="761" spans="1:3" s="336" customFormat="1">
      <c r="A761" s="383"/>
      <c r="B761" s="383"/>
      <c r="C761" s="383"/>
    </row>
    <row r="762" spans="1:3" s="336" customFormat="1">
      <c r="A762" s="383"/>
      <c r="B762" s="383"/>
      <c r="C762" s="383"/>
    </row>
    <row r="763" spans="1:3" s="336" customFormat="1">
      <c r="A763" s="383"/>
      <c r="B763" s="383"/>
      <c r="C763" s="383"/>
    </row>
    <row r="764" spans="1:3" s="336" customFormat="1">
      <c r="A764" s="383"/>
      <c r="B764" s="383"/>
      <c r="C764" s="383"/>
    </row>
    <row r="765" spans="1:3" s="336" customFormat="1">
      <c r="A765" s="383"/>
      <c r="B765" s="383"/>
      <c r="C765" s="383"/>
    </row>
    <row r="766" spans="1:3" s="336" customFormat="1">
      <c r="A766" s="383"/>
      <c r="B766" s="383"/>
      <c r="C766" s="383"/>
    </row>
    <row r="767" spans="1:3" s="336" customFormat="1">
      <c r="A767" s="383"/>
      <c r="B767" s="383"/>
      <c r="C767" s="383"/>
    </row>
    <row r="768" spans="1:3" s="336" customFormat="1">
      <c r="A768" s="383"/>
      <c r="B768" s="383"/>
      <c r="C768" s="383"/>
    </row>
    <row r="769" spans="1:20" s="336" customFormat="1">
      <c r="A769" s="383"/>
      <c r="B769" s="383"/>
      <c r="C769" s="383"/>
    </row>
    <row r="770" spans="1:20" s="336" customFormat="1">
      <c r="A770" s="383"/>
      <c r="B770" s="383"/>
      <c r="C770" s="383"/>
    </row>
    <row r="771" spans="1:20" s="336" customFormat="1">
      <c r="A771" s="383"/>
      <c r="B771" s="383"/>
      <c r="C771" s="383"/>
    </row>
    <row r="772" spans="1:20" s="336" customFormat="1">
      <c r="A772" s="383"/>
      <c r="B772" s="383"/>
      <c r="C772" s="383"/>
    </row>
    <row r="773" spans="1:20" s="336" customFormat="1">
      <c r="A773" s="383"/>
      <c r="B773" s="383"/>
      <c r="C773" s="383"/>
    </row>
    <row r="774" spans="1:20" s="336" customFormat="1">
      <c r="A774" s="383"/>
      <c r="B774" s="383"/>
      <c r="C774" s="383"/>
    </row>
    <row r="775" spans="1:20" s="336" customFormat="1">
      <c r="A775" s="383"/>
      <c r="B775" s="383"/>
      <c r="C775" s="383"/>
      <c r="R775" s="122"/>
      <c r="S775" s="122"/>
      <c r="T775" s="122"/>
    </row>
  </sheetData>
  <mergeCells count="3">
    <mergeCell ref="A5:C5"/>
    <mergeCell ref="R7:T7"/>
    <mergeCell ref="B8:C8"/>
  </mergeCells>
  <hyperlinks>
    <hyperlink ref="N1" location="Index!A1" display="Return to Index"/>
  </hyperlinks>
  <printOptions horizontalCentered="1"/>
  <pageMargins left="0.25" right="0.25" top="0.5" bottom="0.5" header="0.5" footer="0.5"/>
  <pageSetup scale="80" orientation="landscape" horizontalDpi="1200" verticalDpi="1200" r:id="rId1"/>
  <headerFooter alignWithMargins="0">
    <oddFooter>&amp;L&amp;8Planning &amp; Accountability&amp;R&amp;8&amp;D</oddFooter>
  </headerFooter>
  <rowBreaks count="1" manualBreakCount="1">
    <brk id="21" max="1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GridLines="0" zoomScale="95" zoomScaleNormal="95" workbookViewId="0">
      <pane xSplit="3" ySplit="6" topLeftCell="D7" activePane="bottomRight" state="frozen"/>
      <selection activeCell="G19" sqref="G19"/>
      <selection pane="topRight" activeCell="G19" sqref="G19"/>
      <selection pane="bottomLeft" activeCell="G19" sqref="G19"/>
      <selection pane="bottomRight" activeCell="I1" sqref="I1"/>
    </sheetView>
  </sheetViews>
  <sheetFormatPr defaultRowHeight="12.75"/>
  <cols>
    <col min="1" max="1" width="9.42578125" style="242" customWidth="1"/>
    <col min="2" max="2" width="7.7109375" style="242" customWidth="1"/>
    <col min="3" max="3" width="46.42578125" style="243" customWidth="1"/>
    <col min="4" max="4" width="16.7109375" style="243" customWidth="1"/>
    <col min="5" max="5" width="17.140625" style="258" customWidth="1"/>
    <col min="6" max="7" width="15.42578125" style="258" customWidth="1"/>
    <col min="8" max="8" width="14.5703125" style="258" customWidth="1"/>
    <col min="9" max="9" width="16.85546875" style="242" customWidth="1"/>
    <col min="10" max="10" width="15.5703125" style="243" customWidth="1"/>
    <col min="11" max="16384" width="9.140625" style="243"/>
  </cols>
  <sheetData>
    <row r="1" spans="1:10" ht="13.5" thickBot="1">
      <c r="E1" s="214" t="s">
        <v>542</v>
      </c>
      <c r="I1" s="337" t="s">
        <v>579</v>
      </c>
    </row>
    <row r="2" spans="1:10">
      <c r="E2" s="215" t="s">
        <v>573</v>
      </c>
    </row>
    <row r="3" spans="1:10">
      <c r="E3" s="266" t="s">
        <v>574</v>
      </c>
    </row>
    <row r="4" spans="1:10">
      <c r="E4" s="214"/>
    </row>
    <row r="5" spans="1:10">
      <c r="A5" s="244" t="s">
        <v>567</v>
      </c>
    </row>
    <row r="6" spans="1:10" ht="29.25" customHeight="1">
      <c r="A6" s="246" t="s">
        <v>344</v>
      </c>
      <c r="B6" s="246" t="s">
        <v>556</v>
      </c>
      <c r="C6" s="247" t="s">
        <v>533</v>
      </c>
      <c r="D6" s="248" t="s">
        <v>568</v>
      </c>
      <c r="E6" s="259" t="s">
        <v>16</v>
      </c>
      <c r="F6" s="259" t="s">
        <v>569</v>
      </c>
      <c r="G6" s="259" t="s">
        <v>570</v>
      </c>
      <c r="H6" s="259" t="s">
        <v>571</v>
      </c>
      <c r="I6" s="260" t="s">
        <v>572</v>
      </c>
    </row>
    <row r="7" spans="1:10">
      <c r="A7" s="249" t="s">
        <v>490</v>
      </c>
      <c r="B7" s="267" t="s">
        <v>575</v>
      </c>
      <c r="C7" s="250" t="s">
        <v>565</v>
      </c>
      <c r="D7" s="251">
        <f>SWM!$L$17</f>
        <v>395314936</v>
      </c>
      <c r="E7" s="251">
        <f>SWM!$F$41</f>
        <v>232026985</v>
      </c>
      <c r="F7" s="251">
        <f>SWM!$G$41+SWM!$H$41</f>
        <v>49817136</v>
      </c>
      <c r="G7" s="251">
        <f>SWM!$J$41+SWM!$K$41</f>
        <v>94741791</v>
      </c>
      <c r="H7" s="251">
        <f>SWM!$I$41</f>
        <v>18729024</v>
      </c>
      <c r="I7" s="260" t="str">
        <f t="shared" ref="I7:I16" si="0">IF(SUM(E7:H7)&lt;&gt;D7,"Error", "Balanced")</f>
        <v>Balanced</v>
      </c>
    </row>
    <row r="8" spans="1:10">
      <c r="A8" s="249" t="s">
        <v>501</v>
      </c>
      <c r="B8" s="249" t="str">
        <f t="shared" ref="B8:B15" si="1">B7</f>
        <v>FY 10</v>
      </c>
      <c r="C8" s="250" t="s">
        <v>564</v>
      </c>
      <c r="D8" s="252">
        <f>HSSA!$L$17</f>
        <v>185229018</v>
      </c>
      <c r="E8" s="252">
        <f>HSSA!$F$41</f>
        <v>121723410</v>
      </c>
      <c r="F8" s="252">
        <f>HSSA!$G$41+HSSA!$H$41</f>
        <v>6949370</v>
      </c>
      <c r="G8" s="252">
        <f>HSSA!$J$41+HSSA!$K$41</f>
        <v>35680162</v>
      </c>
      <c r="H8" s="252">
        <f>HSSA!$I$41</f>
        <v>20876076</v>
      </c>
      <c r="I8" s="260" t="str">
        <f t="shared" si="0"/>
        <v>Balanced</v>
      </c>
    </row>
    <row r="9" spans="1:10">
      <c r="A9" s="249" t="s">
        <v>513</v>
      </c>
      <c r="B9" s="249" t="str">
        <f t="shared" si="1"/>
        <v>FY 10</v>
      </c>
      <c r="C9" s="250" t="s">
        <v>557</v>
      </c>
      <c r="D9" s="252">
        <f>TAMHSC!$L$17</f>
        <v>78170881</v>
      </c>
      <c r="E9" s="252">
        <f>TAMHSC!$F$41</f>
        <v>33511244</v>
      </c>
      <c r="F9" s="252">
        <f>TAMHSC!$G$41+TAMHSC!$H$41</f>
        <v>11348288</v>
      </c>
      <c r="G9" s="252">
        <f>TAMHSC!$J$41+TAMHSC!$K$41</f>
        <v>6107924</v>
      </c>
      <c r="H9" s="252">
        <f>TAMHSC!$I$41</f>
        <v>27203425</v>
      </c>
      <c r="I9" s="260" t="str">
        <f t="shared" si="0"/>
        <v>Balanced</v>
      </c>
    </row>
    <row r="10" spans="1:10">
      <c r="A10" s="249" t="s">
        <v>517</v>
      </c>
      <c r="B10" s="249" t="str">
        <f t="shared" si="1"/>
        <v>FY 10</v>
      </c>
      <c r="C10" s="250" t="s">
        <v>559</v>
      </c>
      <c r="D10" s="252">
        <f>UNTHSC!$L$17</f>
        <v>39854879</v>
      </c>
      <c r="E10" s="252">
        <f>UNTHSC!$F$41</f>
        <v>25935870</v>
      </c>
      <c r="F10" s="252">
        <f>UNTHSC!$G$41+UNTHSC!$H$41</f>
        <v>1316900</v>
      </c>
      <c r="G10" s="252">
        <f>UNTHSC!$J$41+UNTHSC!$K$41</f>
        <v>3730669</v>
      </c>
      <c r="H10" s="252">
        <f>UNTHSC!$I$41</f>
        <v>8871440</v>
      </c>
      <c r="I10" s="260" t="str">
        <f t="shared" si="0"/>
        <v>Balanced</v>
      </c>
      <c r="J10" s="244"/>
    </row>
    <row r="11" spans="1:10">
      <c r="A11" s="249" t="s">
        <v>509</v>
      </c>
      <c r="B11" s="249" t="str">
        <f t="shared" si="1"/>
        <v>FY 10</v>
      </c>
      <c r="C11" s="250" t="s">
        <v>561</v>
      </c>
      <c r="D11" s="252">
        <f>THC!$L$17</f>
        <v>14378132</v>
      </c>
      <c r="E11" s="252">
        <f>THC!$F$41</f>
        <v>7250324</v>
      </c>
      <c r="F11" s="252">
        <f>THC!$G$41+THC!$H$41</f>
        <v>2339810</v>
      </c>
      <c r="G11" s="252">
        <f>THC!$J$41+THC!$K$41</f>
        <v>1548327</v>
      </c>
      <c r="H11" s="252">
        <f>THC!$I$41</f>
        <v>3239671</v>
      </c>
      <c r="I11" s="260" t="str">
        <f t="shared" si="0"/>
        <v>Balanced</v>
      </c>
    </row>
    <row r="12" spans="1:10">
      <c r="A12" s="249" t="s">
        <v>521</v>
      </c>
      <c r="B12" s="249" t="str">
        <f t="shared" si="1"/>
        <v>FY 10</v>
      </c>
      <c r="C12" s="250" t="s">
        <v>558</v>
      </c>
      <c r="D12" s="252">
        <f>TTUHSC!$L$17</f>
        <v>50888460</v>
      </c>
      <c r="E12" s="252">
        <f>TTUHSC!$F$41</f>
        <v>12950246</v>
      </c>
      <c r="F12" s="252">
        <f>TTUHSC!$G$41+TTUHSC!$H$41</f>
        <v>29208029</v>
      </c>
      <c r="G12" s="252">
        <f>TTUHSC!$J$41+TTUHSC!$K$41</f>
        <v>3954773</v>
      </c>
      <c r="H12" s="252">
        <f>TTUHSC!$I$41</f>
        <v>4775412</v>
      </c>
      <c r="I12" s="260" t="str">
        <f t="shared" si="0"/>
        <v>Balanced</v>
      </c>
    </row>
    <row r="13" spans="1:10">
      <c r="A13" s="249" t="s">
        <v>497</v>
      </c>
      <c r="B13" s="249" t="str">
        <f t="shared" si="1"/>
        <v>FY 10</v>
      </c>
      <c r="C13" s="250" t="s">
        <v>562</v>
      </c>
      <c r="D13" s="252">
        <f>HSH!$L$17</f>
        <v>240772552</v>
      </c>
      <c r="E13" s="252">
        <f>HSH!$F$41</f>
        <v>150323653</v>
      </c>
      <c r="F13" s="252">
        <f>HSH!$G$41+HSH!$H$41</f>
        <v>43517011</v>
      </c>
      <c r="G13" s="252">
        <f>HSH!$J$41+HSH!$K$41</f>
        <v>35352486</v>
      </c>
      <c r="H13" s="252">
        <f>HSH!$I$41</f>
        <v>11579402</v>
      </c>
      <c r="I13" s="260" t="str">
        <f t="shared" si="0"/>
        <v>Balanced</v>
      </c>
    </row>
    <row r="14" spans="1:10">
      <c r="A14" s="249" t="s">
        <v>505</v>
      </c>
      <c r="B14" s="249" t="str">
        <f t="shared" si="1"/>
        <v>FY 10</v>
      </c>
      <c r="C14" s="250" t="s">
        <v>563</v>
      </c>
      <c r="D14" s="252">
        <f>MDA!$L$17</f>
        <v>547034744</v>
      </c>
      <c r="E14" s="252">
        <f>MDA!$F$41</f>
        <v>206664447</v>
      </c>
      <c r="F14" s="252">
        <f>MDA!$G$41+MDA!$H$41</f>
        <v>176805729</v>
      </c>
      <c r="G14" s="252">
        <f>MDA!$J$41+MDA!$K$41</f>
        <v>132368328</v>
      </c>
      <c r="H14" s="252">
        <f>MDA!$I$41</f>
        <v>31196240</v>
      </c>
      <c r="I14" s="260" t="str">
        <f t="shared" si="0"/>
        <v>Balanced</v>
      </c>
    </row>
    <row r="15" spans="1:10">
      <c r="A15" s="249">
        <v>104952</v>
      </c>
      <c r="B15" s="249" t="str">
        <f t="shared" si="1"/>
        <v>FY 10</v>
      </c>
      <c r="C15" s="250" t="s">
        <v>560</v>
      </c>
      <c r="D15" s="252">
        <f>MBG!$L$17</f>
        <v>156825004</v>
      </c>
      <c r="E15" s="252">
        <f>MBG!$F$41</f>
        <v>128839602</v>
      </c>
      <c r="F15" s="252">
        <f>MBG!$G$41+MBG!$H$41</f>
        <v>1674687</v>
      </c>
      <c r="G15" s="252">
        <f>MBG!$J$41+MBG!$K$41</f>
        <v>18478604</v>
      </c>
      <c r="H15" s="252">
        <f>MBG!$I$41</f>
        <v>7832111</v>
      </c>
      <c r="I15" s="260" t="str">
        <f t="shared" si="0"/>
        <v>Balanced</v>
      </c>
    </row>
    <row r="16" spans="1:10" ht="13.5" thickBot="1">
      <c r="C16" s="254" t="s">
        <v>22</v>
      </c>
      <c r="D16" s="255">
        <f>SUM(D7:D15)</f>
        <v>1708468606</v>
      </c>
      <c r="E16" s="255">
        <f>SUM(E7:E15)</f>
        <v>919225781</v>
      </c>
      <c r="F16" s="255">
        <f>SUM(F7:F15)</f>
        <v>322976960</v>
      </c>
      <c r="G16" s="255">
        <f>SUM(G7:G15)</f>
        <v>331963064</v>
      </c>
      <c r="H16" s="255">
        <f>SUM(H7:H15)</f>
        <v>134302801</v>
      </c>
      <c r="I16" s="260" t="str">
        <f t="shared" si="0"/>
        <v>Balanced</v>
      </c>
    </row>
    <row r="17" spans="3:8" ht="13.5" thickTop="1">
      <c r="C17" s="256">
        <f>COUNTA(C7:C15)</f>
        <v>9</v>
      </c>
      <c r="E17" s="261"/>
      <c r="F17" s="261"/>
      <c r="G17" s="261"/>
      <c r="H17" s="261"/>
    </row>
    <row r="19" spans="3:8">
      <c r="C19" s="244" t="s">
        <v>566</v>
      </c>
      <c r="E19" s="262"/>
      <c r="F19" s="262"/>
      <c r="G19" s="262"/>
      <c r="H19" s="262"/>
    </row>
    <row r="21" spans="3:8">
      <c r="D21" s="242" t="str">
        <f>IF(D16&lt;&gt;Summary!L98,"Error","Balanced")</f>
        <v>Balanced</v>
      </c>
      <c r="E21" s="263" t="str">
        <f>IF(E16&lt;&gt;Summary!F320,"Error","Balanced")</f>
        <v>Balanced</v>
      </c>
      <c r="F21" s="263" t="str">
        <f>IF(F16&lt;&gt;Summary!G320+Summary!H320,"Error","Balanced")</f>
        <v>Balanced</v>
      </c>
      <c r="G21" s="263" t="str">
        <f>IF(G16&lt;&gt;Summary!J320+Summary!K320,"Error","Balanced")</f>
        <v>Balanced</v>
      </c>
      <c r="H21" s="263" t="str">
        <f>IF(H16&lt;&gt;Summary!I320,"Error","Balanced")</f>
        <v>Balanced</v>
      </c>
    </row>
    <row r="22" spans="3:8">
      <c r="D22" s="257"/>
    </row>
    <row r="23" spans="3:8">
      <c r="D23" s="252"/>
      <c r="E23" s="252"/>
      <c r="F23" s="252"/>
      <c r="G23" s="252"/>
      <c r="H23" s="252"/>
    </row>
    <row r="24" spans="3:8">
      <c r="D24" s="252"/>
    </row>
    <row r="28" spans="3:8">
      <c r="D28" s="264"/>
      <c r="E28" s="265"/>
      <c r="F28" s="265"/>
      <c r="G28" s="265"/>
      <c r="H28" s="265"/>
    </row>
  </sheetData>
  <hyperlinks>
    <hyperlink ref="I1" location="Index!A1" display="Return to Index"/>
  </hyperlink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showGridLines="0" zoomScale="95" zoomScaleNormal="95" workbookViewId="0">
      <pane xSplit="1" ySplit="5" topLeftCell="B6" activePane="bottomRight" state="frozen"/>
      <selection pane="topRight" activeCell="B1" sqref="B1"/>
      <selection pane="bottomLeft" activeCell="A6" sqref="A6"/>
      <selection pane="bottomRight" activeCell="H1" sqref="H1"/>
    </sheetView>
  </sheetViews>
  <sheetFormatPr defaultRowHeight="12.75"/>
  <cols>
    <col min="1" max="1" width="57.85546875" style="129" customWidth="1"/>
    <col min="2" max="2" width="16.5703125" style="129" customWidth="1"/>
    <col min="3" max="3" width="14" style="129" customWidth="1"/>
    <col min="4" max="4" width="14.5703125" style="129" customWidth="1"/>
    <col min="5" max="5" width="14.85546875" style="129" customWidth="1"/>
    <col min="6" max="6" width="15.7109375" style="129" customWidth="1"/>
    <col min="7" max="7" width="12.140625" style="129" customWidth="1"/>
    <col min="8" max="8" width="16.7109375" style="129" customWidth="1"/>
    <col min="9" max="16384" width="9.140625" style="129"/>
  </cols>
  <sheetData>
    <row r="1" spans="1:8" ht="13.5" thickBot="1">
      <c r="D1" s="214" t="s">
        <v>542</v>
      </c>
      <c r="H1" s="337" t="s">
        <v>579</v>
      </c>
    </row>
    <row r="2" spans="1:8">
      <c r="D2" s="215" t="s">
        <v>531</v>
      </c>
    </row>
    <row r="3" spans="1:8">
      <c r="D3" s="214" t="s">
        <v>532</v>
      </c>
    </row>
    <row r="5" spans="1:8" ht="63" customHeight="1">
      <c r="A5" s="224" t="s">
        <v>533</v>
      </c>
      <c r="B5" s="216" t="s">
        <v>534</v>
      </c>
      <c r="C5" s="216" t="s">
        <v>535</v>
      </c>
      <c r="D5" s="216" t="s">
        <v>537</v>
      </c>
      <c r="E5" s="216" t="s">
        <v>536</v>
      </c>
      <c r="F5" s="216" t="s">
        <v>538</v>
      </c>
      <c r="G5" s="216" t="s">
        <v>539</v>
      </c>
      <c r="H5" s="216" t="s">
        <v>540</v>
      </c>
    </row>
    <row r="6" spans="1:8">
      <c r="A6" s="218" t="str">
        <f>SWM!$B$1</f>
        <v>The University of Texas Southwestern Medical Center at Dallas</v>
      </c>
      <c r="B6" s="223">
        <f>SWM!$K$10</f>
        <v>308606969</v>
      </c>
      <c r="C6" s="223">
        <f>SWM!$K$9*-1</f>
        <v>0</v>
      </c>
      <c r="D6" s="217">
        <f>SWM!$L$13</f>
        <v>75968647</v>
      </c>
      <c r="E6" s="223">
        <f>SWM!$L$14</f>
        <v>10739320</v>
      </c>
      <c r="F6" s="223">
        <f>SWM!$L$15</f>
        <v>0</v>
      </c>
      <c r="G6" s="223">
        <f>SWM!$L$16</f>
        <v>0</v>
      </c>
      <c r="H6" s="223">
        <f>SUM(B6:G6)</f>
        <v>395314936</v>
      </c>
    </row>
    <row r="7" spans="1:8">
      <c r="A7" s="218" t="str">
        <f>MBG!$B$1</f>
        <v>The University of Texas Medical Branch at Galveston</v>
      </c>
      <c r="B7" s="220">
        <f>MBG!$K$10</f>
        <v>116760151</v>
      </c>
      <c r="C7" s="220">
        <f>MBG!$K$9*-1</f>
        <v>0</v>
      </c>
      <c r="D7" s="219">
        <f>MBG!$L$13</f>
        <v>35455128</v>
      </c>
      <c r="E7" s="220">
        <f>MBG!$L$14</f>
        <v>4609725</v>
      </c>
      <c r="F7" s="220">
        <f>MBG!$L$15</f>
        <v>0</v>
      </c>
      <c r="G7" s="220">
        <f>MBG!$L$16</f>
        <v>0</v>
      </c>
      <c r="H7" s="220">
        <f t="shared" ref="H7:H14" si="0">SUM(B7:G7)</f>
        <v>156825004</v>
      </c>
    </row>
    <row r="8" spans="1:8">
      <c r="A8" s="218" t="str">
        <f>HSH!$B$1</f>
        <v>The University of Texas Health Science Center at Houston</v>
      </c>
      <c r="B8" s="220">
        <f>HSH!$K$10</f>
        <v>194367928</v>
      </c>
      <c r="C8" s="220">
        <f>HSH!$K$9*-1</f>
        <v>0</v>
      </c>
      <c r="D8" s="219">
        <f>HSH!$L$13</f>
        <v>42189454</v>
      </c>
      <c r="E8" s="220">
        <f>HSH!$L$14</f>
        <v>4215170</v>
      </c>
      <c r="F8" s="220">
        <f>HSH!$L$15</f>
        <v>0</v>
      </c>
      <c r="G8" s="220">
        <f>HSH!$L$16</f>
        <v>0</v>
      </c>
      <c r="H8" s="220">
        <f t="shared" si="0"/>
        <v>240772552</v>
      </c>
    </row>
    <row r="9" spans="1:8">
      <c r="A9" s="218" t="str">
        <f>HSSA!$B$1</f>
        <v>The University of Texas Health Science Center at San Antonio</v>
      </c>
      <c r="B9" s="220">
        <f>HSSA!$K$10</f>
        <v>145165310</v>
      </c>
      <c r="C9" s="220">
        <f>HSSA!$K$9*-1</f>
        <v>0</v>
      </c>
      <c r="D9" s="219">
        <f>HSSA!$L$13</f>
        <v>33528292</v>
      </c>
      <c r="E9" s="220">
        <f>HSSA!$L$14</f>
        <v>6535416</v>
      </c>
      <c r="F9" s="220">
        <f>HSSA!$L$15</f>
        <v>0</v>
      </c>
      <c r="G9" s="220">
        <f>HSSA!$L$16</f>
        <v>0</v>
      </c>
      <c r="H9" s="220">
        <f t="shared" si="0"/>
        <v>185229018</v>
      </c>
    </row>
    <row r="10" spans="1:8">
      <c r="A10" s="218" t="str">
        <f>MDA!$B$1</f>
        <v>The University of Texas M.D. Anderson Cancer Center</v>
      </c>
      <c r="B10" s="220">
        <f>MDA!$K$10</f>
        <v>463104671</v>
      </c>
      <c r="C10" s="220">
        <f>MDA!$K$9*-1</f>
        <v>0</v>
      </c>
      <c r="D10" s="219">
        <f>MDA!$L$13</f>
        <v>75631023</v>
      </c>
      <c r="E10" s="220">
        <f>MDA!$L$14</f>
        <v>8299050</v>
      </c>
      <c r="F10" s="220">
        <f>MDA!$L$15</f>
        <v>0</v>
      </c>
      <c r="G10" s="220">
        <f>MDA!$L$16</f>
        <v>0</v>
      </c>
      <c r="H10" s="220">
        <f t="shared" si="0"/>
        <v>547034744</v>
      </c>
    </row>
    <row r="11" spans="1:8">
      <c r="A11" s="218" t="str">
        <f>THC!$B$1</f>
        <v>The University of Texas Health Center at Tyler</v>
      </c>
      <c r="B11" s="220">
        <f>THC!$K$10</f>
        <v>12168890</v>
      </c>
      <c r="C11" s="220">
        <f>THC!$K$9*-1</f>
        <v>0</v>
      </c>
      <c r="D11" s="219">
        <f>THC!$L$13</f>
        <v>1844206</v>
      </c>
      <c r="E11" s="220">
        <f>THC!$L$14</f>
        <v>365036</v>
      </c>
      <c r="F11" s="220">
        <f>THC!$L$15</f>
        <v>0</v>
      </c>
      <c r="G11" s="220">
        <f>THC!$L$16</f>
        <v>0</v>
      </c>
      <c r="H11" s="220">
        <f t="shared" si="0"/>
        <v>14378132</v>
      </c>
    </row>
    <row r="12" spans="1:8">
      <c r="A12" s="218" t="str">
        <f>TAMHSC!$B$1</f>
        <v>Texas A&amp;M University System Health Science Center</v>
      </c>
      <c r="B12" s="220">
        <f>TAMHSC!$K$10</f>
        <v>39877051</v>
      </c>
      <c r="C12" s="220">
        <f>TAMHSC!$K$9*-1</f>
        <v>-1645160</v>
      </c>
      <c r="D12" s="219">
        <f>TAMHSC!$L$13</f>
        <v>678676</v>
      </c>
      <c r="E12" s="220">
        <f>TAMHSC!$L$14</f>
        <v>1386271</v>
      </c>
      <c r="F12" s="220">
        <f>TAMHSC!$L$15</f>
        <v>37511984</v>
      </c>
      <c r="G12" s="220">
        <f>TAMHSC!$L$16</f>
        <v>362059</v>
      </c>
      <c r="H12" s="220">
        <f t="shared" si="0"/>
        <v>78170881</v>
      </c>
    </row>
    <row r="13" spans="1:8">
      <c r="A13" s="218" t="str">
        <f>UNTHSC!$B$1</f>
        <v>University of North Texas Health Science Center at Fort Worth</v>
      </c>
      <c r="B13" s="220">
        <f>UNTHSC!$K$10</f>
        <v>33368122</v>
      </c>
      <c r="C13" s="220">
        <f>UNTHSC!$K$9*-1</f>
        <v>0</v>
      </c>
      <c r="D13" s="219">
        <f>UNTHSC!$L$13</f>
        <v>5567035</v>
      </c>
      <c r="E13" s="220">
        <f>UNTHSC!$L$14</f>
        <v>919722</v>
      </c>
      <c r="F13" s="220">
        <f>UNTHSC!$L$15</f>
        <v>0</v>
      </c>
      <c r="G13" s="220">
        <f>UNTHSC!$L$16</f>
        <v>0</v>
      </c>
      <c r="H13" s="220">
        <f t="shared" si="0"/>
        <v>39854879</v>
      </c>
    </row>
    <row r="14" spans="1:8">
      <c r="A14" s="218" t="str">
        <f>TTUHSC!$B$1</f>
        <v>Texas Tech University Health Sciences Center</v>
      </c>
      <c r="B14" s="220">
        <f>TTUHSC!$K$10</f>
        <v>41854717</v>
      </c>
      <c r="C14" s="220">
        <f>TTUHSC!$K$9*-1</f>
        <v>0</v>
      </c>
      <c r="D14" s="219">
        <f>TTUHSC!$L$13</f>
        <v>3872809</v>
      </c>
      <c r="E14" s="220">
        <f>TTUHSC!$L$14</f>
        <v>5160934</v>
      </c>
      <c r="F14" s="220">
        <f>TTUHSC!$L$15</f>
        <v>0</v>
      </c>
      <c r="G14" s="220">
        <f>TTUHSC!$L$16</f>
        <v>0</v>
      </c>
      <c r="H14" s="220">
        <f t="shared" si="0"/>
        <v>50888460</v>
      </c>
    </row>
    <row r="15" spans="1:8" ht="13.5" thickBot="1">
      <c r="A15" s="222" t="s">
        <v>22</v>
      </c>
      <c r="B15" s="221">
        <f t="shared" ref="B15:H15" si="1">SUM(B6:B14)</f>
        <v>1355273809</v>
      </c>
      <c r="C15" s="221">
        <f t="shared" si="1"/>
        <v>-1645160</v>
      </c>
      <c r="D15" s="221">
        <f t="shared" si="1"/>
        <v>274735270</v>
      </c>
      <c r="E15" s="221">
        <f t="shared" si="1"/>
        <v>42230644</v>
      </c>
      <c r="F15" s="221">
        <f t="shared" si="1"/>
        <v>37511984</v>
      </c>
      <c r="G15" s="221">
        <f t="shared" si="1"/>
        <v>362059</v>
      </c>
      <c r="H15" s="221">
        <f t="shared" si="1"/>
        <v>1708468606</v>
      </c>
    </row>
    <row r="16" spans="1:8" ht="13.5" thickTop="1">
      <c r="A16" s="225">
        <f>COUNTA(A6:A14)</f>
        <v>9</v>
      </c>
    </row>
    <row r="18" spans="8:8">
      <c r="H18" s="240" t="str">
        <f>IF(H15&lt;&gt;Summary!L98,"Error","")</f>
        <v/>
      </c>
    </row>
    <row r="20" spans="8:8">
      <c r="H20" s="270" t="s">
        <v>577</v>
      </c>
    </row>
    <row r="21" spans="8:8">
      <c r="H21" s="217"/>
    </row>
  </sheetData>
  <hyperlinks>
    <hyperlink ref="H1" location="Index!A1" display="Return to Index"/>
  </hyperlink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00"/>
    <pageSetUpPr fitToPage="1"/>
  </sheetPr>
  <dimension ref="A1:AB458"/>
  <sheetViews>
    <sheetView showGridLines="0" zoomScale="75" zoomScaleNormal="75" workbookViewId="0">
      <pane xSplit="4" ySplit="3" topLeftCell="I120" activePane="bottomRight" state="frozen"/>
      <selection pane="topRight" activeCell="E1" sqref="E1"/>
      <selection pane="bottomLeft" activeCell="A4" sqref="A4"/>
      <selection pane="bottomRight" activeCell="O341" sqref="O341"/>
    </sheetView>
  </sheetViews>
  <sheetFormatPr defaultRowHeight="15.75" customHeight="1" outlineLevelRow="1"/>
  <cols>
    <col min="1" max="1" width="4.7109375" style="1" customWidth="1"/>
    <col min="2" max="2" width="60.140625" style="6" customWidth="1"/>
    <col min="3" max="4" width="3.42578125" style="6" customWidth="1"/>
    <col min="5" max="5" width="10.85546875" style="6" customWidth="1"/>
    <col min="6" max="7" width="16" style="6" customWidth="1"/>
    <col min="8" max="8" width="17.42578125" style="6" customWidth="1"/>
    <col min="9" max="9" width="15.5703125" style="6" customWidth="1"/>
    <col min="10" max="10" width="16" style="6" customWidth="1"/>
    <col min="11" max="11" width="20.28515625" style="6" bestFit="1" customWidth="1"/>
    <col min="12" max="12" width="21.5703125" style="6" customWidth="1"/>
    <col min="13" max="13" width="2.28515625" style="9" customWidth="1"/>
    <col min="14" max="14" width="17.140625" style="6" customWidth="1"/>
    <col min="15" max="15" width="20.5703125" style="9" customWidth="1"/>
    <col min="16" max="16" width="22.5703125" style="9" customWidth="1"/>
    <col min="17" max="17" width="1.140625" style="9" customWidth="1"/>
    <col min="18" max="19" width="14.42578125" style="9" customWidth="1"/>
    <col min="20" max="20" width="12.7109375" style="9" customWidth="1"/>
    <col min="21" max="21" width="10.7109375" style="9" customWidth="1"/>
    <col min="22" max="22" width="16.85546875" style="9" customWidth="1"/>
    <col min="23" max="23" width="1.85546875" style="9" customWidth="1"/>
    <col min="24" max="24" width="26.42578125" style="9" customWidth="1"/>
    <col min="25" max="25" width="17" style="9" customWidth="1"/>
    <col min="26" max="26" width="16.7109375" style="9" customWidth="1"/>
    <col min="27" max="27" width="18.85546875" style="9" customWidth="1"/>
    <col min="28" max="28" width="22.28515625" style="9" customWidth="1"/>
    <col min="29" max="16384" width="9.140625" style="9"/>
  </cols>
  <sheetData>
    <row r="1" spans="2:28" s="1" customFormat="1" ht="18" customHeight="1" thickBot="1">
      <c r="B1" s="2" t="s">
        <v>541</v>
      </c>
      <c r="C1" s="3"/>
      <c r="D1" s="3"/>
      <c r="E1" s="3"/>
      <c r="F1" s="3"/>
      <c r="G1" s="3"/>
      <c r="H1" s="3"/>
      <c r="I1" s="4"/>
      <c r="J1" s="3"/>
      <c r="K1" s="3"/>
      <c r="L1" s="3"/>
      <c r="M1" s="3"/>
      <c r="N1" s="337" t="s">
        <v>579</v>
      </c>
      <c r="AA1" s="3">
        <v>12</v>
      </c>
      <c r="AB1" s="3">
        <v>13</v>
      </c>
    </row>
    <row r="2" spans="2:28" ht="15.75" customHeight="1">
      <c r="B2" s="2" t="str">
        <f>Input!$B$5</f>
        <v>For the Year Ended August 31, 2010</v>
      </c>
      <c r="C2" s="5"/>
      <c r="D2" s="5"/>
      <c r="E2" s="5"/>
      <c r="G2" s="5"/>
      <c r="H2" s="5"/>
      <c r="I2" s="7"/>
      <c r="J2" s="5"/>
      <c r="K2" s="5"/>
      <c r="L2" s="8"/>
      <c r="N2" s="8"/>
      <c r="O2" s="10"/>
    </row>
    <row r="3" spans="2:28" ht="15.75" customHeight="1">
      <c r="B3" s="2" t="str">
        <f>Input!$B$6</f>
        <v>Source: FY 2010 Research Expenditure Survey</v>
      </c>
      <c r="C3" s="5"/>
      <c r="D3" s="5"/>
      <c r="E3" s="5"/>
      <c r="F3" s="5"/>
      <c r="G3" s="5"/>
      <c r="H3" s="5"/>
      <c r="I3" s="7"/>
      <c r="J3" s="5"/>
      <c r="K3" s="5"/>
      <c r="L3" s="8"/>
      <c r="N3" s="8"/>
    </row>
    <row r="4" spans="2:28" ht="15.75" customHeight="1">
      <c r="B4" s="11"/>
      <c r="C4" s="5"/>
      <c r="D4" s="5"/>
      <c r="E4" s="5"/>
      <c r="F4" s="5"/>
      <c r="G4" s="5"/>
      <c r="H4" s="5"/>
      <c r="I4" s="7"/>
      <c r="J4" s="5"/>
      <c r="K4" s="5"/>
      <c r="L4" s="8"/>
      <c r="N4" s="10" t="s">
        <v>0</v>
      </c>
      <c r="P4" s="12"/>
    </row>
    <row r="5" spans="2:28" ht="15.75" customHeight="1">
      <c r="L5" s="3"/>
      <c r="N5" s="3"/>
    </row>
    <row r="6" spans="2:28" ht="15.75" customHeight="1">
      <c r="B6" s="453" t="str">
        <f>Input!$B$7</f>
        <v>FY 2010</v>
      </c>
      <c r="C6" s="454"/>
      <c r="D6" s="454"/>
      <c r="E6" s="454"/>
      <c r="F6" s="454"/>
      <c r="G6" s="454"/>
      <c r="H6" s="454"/>
      <c r="I6" s="454"/>
      <c r="J6" s="454"/>
      <c r="K6" s="454"/>
      <c r="L6" s="454"/>
      <c r="N6" s="13"/>
    </row>
    <row r="7" spans="2:28" ht="28.5" customHeight="1">
      <c r="B7" s="14" t="s">
        <v>2</v>
      </c>
      <c r="C7" s="15"/>
      <c r="D7" s="15"/>
      <c r="E7" s="15"/>
      <c r="F7" s="15"/>
      <c r="G7" s="15"/>
      <c r="H7" s="15"/>
      <c r="I7" s="15"/>
      <c r="J7" s="15"/>
      <c r="K7" s="16" t="s">
        <v>3</v>
      </c>
      <c r="L7" s="16" t="s">
        <v>4</v>
      </c>
      <c r="N7" s="17"/>
      <c r="O7" s="18"/>
      <c r="P7" s="19"/>
      <c r="Q7" s="19"/>
      <c r="R7" s="19"/>
      <c r="S7" s="19"/>
      <c r="T7" s="19"/>
    </row>
    <row r="8" spans="2:28" ht="28.5" hidden="1" customHeight="1" outlineLevel="1">
      <c r="B8" s="230"/>
      <c r="C8" s="231"/>
      <c r="D8" s="231"/>
      <c r="E8" s="231"/>
      <c r="F8" s="231"/>
      <c r="G8" s="231"/>
      <c r="H8" s="231"/>
      <c r="I8" s="231"/>
      <c r="J8" s="231"/>
      <c r="K8" s="233">
        <f>HSH!$K$8</f>
        <v>194367928</v>
      </c>
      <c r="L8" s="233">
        <f>HSH!$L$8</f>
        <v>194367928</v>
      </c>
      <c r="N8" s="17"/>
      <c r="O8" s="18"/>
      <c r="P8" s="19"/>
      <c r="Q8" s="19"/>
      <c r="R8" s="19"/>
      <c r="S8" s="19"/>
      <c r="T8" s="19"/>
    </row>
    <row r="9" spans="2:28" ht="28.5" hidden="1" customHeight="1" outlineLevel="1">
      <c r="B9" s="230"/>
      <c r="C9" s="231"/>
      <c r="D9" s="231"/>
      <c r="E9" s="231"/>
      <c r="F9" s="231"/>
      <c r="G9" s="231"/>
      <c r="H9" s="231"/>
      <c r="I9" s="231"/>
      <c r="J9" s="231"/>
      <c r="K9" s="233">
        <f>HSSA!$K$8</f>
        <v>145165310</v>
      </c>
      <c r="L9" s="233">
        <f>HSSA!$L$8</f>
        <v>145165310</v>
      </c>
      <c r="N9" s="17"/>
      <c r="O9" s="18"/>
      <c r="P9" s="19"/>
      <c r="Q9" s="19"/>
      <c r="R9" s="19"/>
      <c r="S9" s="19"/>
      <c r="T9" s="19"/>
    </row>
    <row r="10" spans="2:28" ht="28.5" hidden="1" customHeight="1" outlineLevel="1">
      <c r="B10" s="230"/>
      <c r="C10" s="231"/>
      <c r="D10" s="231"/>
      <c r="E10" s="231"/>
      <c r="F10" s="231"/>
      <c r="G10" s="231"/>
      <c r="H10" s="231"/>
      <c r="I10" s="231"/>
      <c r="J10" s="231"/>
      <c r="K10" s="233">
        <f>MBG!$K$8</f>
        <v>116760151</v>
      </c>
      <c r="L10" s="233">
        <f>MBG!$L$8</f>
        <v>116760151</v>
      </c>
      <c r="N10" s="17"/>
      <c r="O10" s="18"/>
      <c r="P10" s="19"/>
      <c r="Q10" s="19"/>
      <c r="R10" s="19"/>
      <c r="S10" s="19"/>
      <c r="T10" s="19"/>
    </row>
    <row r="11" spans="2:28" ht="28.5" hidden="1" customHeight="1" outlineLevel="1">
      <c r="B11" s="230"/>
      <c r="C11" s="231"/>
      <c r="D11" s="231"/>
      <c r="E11" s="231"/>
      <c r="F11" s="231"/>
      <c r="G11" s="231"/>
      <c r="H11" s="231"/>
      <c r="I11" s="231"/>
      <c r="J11" s="231"/>
      <c r="K11" s="233">
        <f>MDA!$K$8</f>
        <v>463104671</v>
      </c>
      <c r="L11" s="233">
        <f>MDA!$L$8</f>
        <v>463104671</v>
      </c>
      <c r="N11" s="17"/>
      <c r="O11" s="18"/>
      <c r="P11" s="19"/>
      <c r="Q11" s="19"/>
      <c r="R11" s="19"/>
      <c r="S11" s="19"/>
      <c r="T11" s="19"/>
    </row>
    <row r="12" spans="2:28" ht="28.5" hidden="1" customHeight="1" outlineLevel="1">
      <c r="B12" s="230"/>
      <c r="C12" s="231"/>
      <c r="D12" s="231"/>
      <c r="E12" s="231"/>
      <c r="F12" s="231"/>
      <c r="G12" s="231"/>
      <c r="H12" s="231"/>
      <c r="I12" s="231"/>
      <c r="J12" s="231"/>
      <c r="K12" s="233">
        <f>SWM!$K$8</f>
        <v>308606969</v>
      </c>
      <c r="L12" s="233">
        <f>SWM!$L$8</f>
        <v>308606969</v>
      </c>
      <c r="N12" s="17"/>
      <c r="O12" s="18"/>
      <c r="P12" s="19"/>
      <c r="Q12" s="19"/>
      <c r="R12" s="19"/>
      <c r="S12" s="19"/>
      <c r="T12" s="19"/>
    </row>
    <row r="13" spans="2:28" ht="28.5" hidden="1" customHeight="1" outlineLevel="1">
      <c r="B13" s="230"/>
      <c r="C13" s="231"/>
      <c r="D13" s="231"/>
      <c r="E13" s="231"/>
      <c r="F13" s="231"/>
      <c r="G13" s="231"/>
      <c r="H13" s="231"/>
      <c r="I13" s="231"/>
      <c r="J13" s="231"/>
      <c r="K13" s="233">
        <f>TAMHSC!$K$8</f>
        <v>38231891</v>
      </c>
      <c r="L13" s="233">
        <f>TAMHSC!$L$8</f>
        <v>38231891</v>
      </c>
      <c r="N13" s="17"/>
      <c r="O13" s="18"/>
      <c r="P13" s="19"/>
      <c r="Q13" s="19"/>
      <c r="R13" s="19"/>
      <c r="S13" s="19"/>
      <c r="T13" s="19"/>
    </row>
    <row r="14" spans="2:28" ht="28.5" hidden="1" customHeight="1" outlineLevel="1">
      <c r="B14" s="230"/>
      <c r="C14" s="231"/>
      <c r="D14" s="231"/>
      <c r="E14" s="231"/>
      <c r="F14" s="231"/>
      <c r="G14" s="231"/>
      <c r="H14" s="231"/>
      <c r="I14" s="231"/>
      <c r="J14" s="231"/>
      <c r="K14" s="233">
        <f>THC!$K$8</f>
        <v>12168890</v>
      </c>
      <c r="L14" s="233">
        <f>THC!$L$8</f>
        <v>12168890</v>
      </c>
      <c r="N14" s="17"/>
      <c r="O14" s="18"/>
      <c r="P14" s="19"/>
      <c r="Q14" s="19"/>
      <c r="R14" s="19"/>
      <c r="S14" s="19"/>
      <c r="T14" s="19"/>
    </row>
    <row r="15" spans="2:28" ht="28.5" hidden="1" customHeight="1" outlineLevel="1">
      <c r="B15" s="230"/>
      <c r="C15" s="231"/>
      <c r="D15" s="231"/>
      <c r="E15" s="231"/>
      <c r="F15" s="231"/>
      <c r="G15" s="231"/>
      <c r="H15" s="231"/>
      <c r="I15" s="231"/>
      <c r="J15" s="231"/>
      <c r="K15" s="233">
        <f>TTUHSC!$K$8</f>
        <v>41854717</v>
      </c>
      <c r="L15" s="233">
        <f>TTUHSC!$L$8</f>
        <v>41854717</v>
      </c>
      <c r="N15" s="17"/>
      <c r="O15" s="18"/>
      <c r="P15" s="19"/>
      <c r="Q15" s="19"/>
      <c r="R15" s="19"/>
      <c r="S15" s="19"/>
      <c r="T15" s="19"/>
    </row>
    <row r="16" spans="2:28" ht="28.5" hidden="1" customHeight="1" outlineLevel="1">
      <c r="B16" s="230"/>
      <c r="C16" s="231"/>
      <c r="D16" s="231"/>
      <c r="E16" s="231"/>
      <c r="F16" s="231"/>
      <c r="G16" s="231"/>
      <c r="H16" s="231"/>
      <c r="I16" s="231"/>
      <c r="J16" s="231"/>
      <c r="K16" s="233">
        <f>UNTHSC!$K$8</f>
        <v>33368122</v>
      </c>
      <c r="L16" s="233">
        <f>UNTHSC!$L$8</f>
        <v>33368122</v>
      </c>
      <c r="N16" s="17"/>
      <c r="O16" s="18"/>
      <c r="P16" s="19"/>
      <c r="Q16" s="19"/>
      <c r="R16" s="19"/>
      <c r="S16" s="19"/>
      <c r="T16" s="19"/>
    </row>
    <row r="17" spans="2:28" ht="15.75" customHeight="1" collapsed="1">
      <c r="B17" s="20" t="s">
        <v>5</v>
      </c>
      <c r="C17" s="21"/>
      <c r="D17" s="21"/>
      <c r="E17" s="21"/>
      <c r="F17" s="21"/>
      <c r="G17" s="21"/>
      <c r="H17" s="21"/>
      <c r="I17" s="21"/>
      <c r="J17" s="21"/>
      <c r="K17" s="22">
        <f>SUM(K8:K16)</f>
        <v>1353628649</v>
      </c>
      <c r="L17" s="23">
        <f>SUM(L8:L16)</f>
        <v>1353628649</v>
      </c>
      <c r="N17" s="115"/>
      <c r="O17" s="116"/>
      <c r="P17" s="19"/>
      <c r="Q17" s="19"/>
      <c r="R17" s="19"/>
      <c r="S17" s="19"/>
      <c r="T17" s="19"/>
      <c r="AB17" s="24">
        <f>SUM(C17:L17)</f>
        <v>2707257298</v>
      </c>
    </row>
    <row r="18" spans="2:28" ht="15.75" hidden="1" customHeight="1" outlineLevel="1">
      <c r="B18" s="20"/>
      <c r="C18" s="21"/>
      <c r="D18" s="21"/>
      <c r="E18" s="21"/>
      <c r="F18" s="21"/>
      <c r="G18" s="21"/>
      <c r="H18" s="21"/>
      <c r="I18" s="21"/>
      <c r="J18" s="21"/>
      <c r="K18" s="33">
        <f>HSH!$K$9</f>
        <v>0</v>
      </c>
      <c r="L18" s="23"/>
      <c r="N18" s="115"/>
      <c r="O18" s="116"/>
      <c r="P18" s="19"/>
      <c r="Q18" s="19"/>
      <c r="R18" s="19"/>
      <c r="S18" s="19"/>
      <c r="T18" s="19"/>
      <c r="AB18" s="24"/>
    </row>
    <row r="19" spans="2:28" ht="15.75" hidden="1" customHeight="1" outlineLevel="1">
      <c r="B19" s="20"/>
      <c r="C19" s="21"/>
      <c r="D19" s="21"/>
      <c r="E19" s="21"/>
      <c r="F19" s="21"/>
      <c r="G19" s="21"/>
      <c r="H19" s="21"/>
      <c r="I19" s="21"/>
      <c r="J19" s="21"/>
      <c r="K19" s="33">
        <f>HSSA!$K$9</f>
        <v>0</v>
      </c>
      <c r="L19" s="23"/>
      <c r="N19" s="115"/>
      <c r="O19" s="116"/>
      <c r="P19" s="19"/>
      <c r="Q19" s="19"/>
      <c r="R19" s="19"/>
      <c r="S19" s="19"/>
      <c r="T19" s="19"/>
      <c r="AB19" s="24"/>
    </row>
    <row r="20" spans="2:28" ht="15.75" hidden="1" customHeight="1" outlineLevel="1">
      <c r="B20" s="20"/>
      <c r="C20" s="21"/>
      <c r="D20" s="21"/>
      <c r="E20" s="21"/>
      <c r="F20" s="21"/>
      <c r="G20" s="21"/>
      <c r="H20" s="21"/>
      <c r="I20" s="21"/>
      <c r="J20" s="21"/>
      <c r="K20" s="33">
        <f>MBG!$K$9</f>
        <v>0</v>
      </c>
      <c r="L20" s="23"/>
      <c r="N20" s="115"/>
      <c r="O20" s="116"/>
      <c r="P20" s="19"/>
      <c r="Q20" s="19"/>
      <c r="R20" s="19"/>
      <c r="S20" s="19"/>
      <c r="T20" s="19"/>
      <c r="AB20" s="24"/>
    </row>
    <row r="21" spans="2:28" ht="15.75" hidden="1" customHeight="1" outlineLevel="1">
      <c r="B21" s="20"/>
      <c r="C21" s="21"/>
      <c r="D21" s="21"/>
      <c r="E21" s="21"/>
      <c r="F21" s="21"/>
      <c r="G21" s="21"/>
      <c r="H21" s="21"/>
      <c r="I21" s="21"/>
      <c r="J21" s="21"/>
      <c r="K21" s="33">
        <f>MDA!$K$9</f>
        <v>0</v>
      </c>
      <c r="L21" s="23"/>
      <c r="N21" s="115"/>
      <c r="O21" s="116"/>
      <c r="P21" s="19"/>
      <c r="Q21" s="19"/>
      <c r="R21" s="19"/>
      <c r="S21" s="19"/>
      <c r="T21" s="19"/>
      <c r="AB21" s="24"/>
    </row>
    <row r="22" spans="2:28" ht="15.75" hidden="1" customHeight="1" outlineLevel="1">
      <c r="B22" s="20"/>
      <c r="C22" s="21"/>
      <c r="D22" s="21"/>
      <c r="E22" s="21"/>
      <c r="F22" s="21"/>
      <c r="G22" s="21"/>
      <c r="H22" s="21"/>
      <c r="I22" s="21"/>
      <c r="J22" s="21"/>
      <c r="K22" s="33">
        <f>SWM!$K$9</f>
        <v>0</v>
      </c>
      <c r="L22" s="23"/>
      <c r="N22" s="115"/>
      <c r="O22" s="116"/>
      <c r="P22" s="19"/>
      <c r="Q22" s="19"/>
      <c r="R22" s="19"/>
      <c r="S22" s="19"/>
      <c r="T22" s="19"/>
      <c r="AB22" s="24"/>
    </row>
    <row r="23" spans="2:28" ht="15.75" hidden="1" customHeight="1" outlineLevel="1">
      <c r="B23" s="20"/>
      <c r="C23" s="21"/>
      <c r="D23" s="21"/>
      <c r="E23" s="21"/>
      <c r="F23" s="21"/>
      <c r="G23" s="21"/>
      <c r="H23" s="21"/>
      <c r="I23" s="21"/>
      <c r="J23" s="21"/>
      <c r="K23" s="33">
        <f>TAMHSC!$K$9</f>
        <v>1645160</v>
      </c>
      <c r="L23" s="23"/>
      <c r="N23" s="115"/>
      <c r="O23" s="116"/>
      <c r="P23" s="19"/>
      <c r="Q23" s="19"/>
      <c r="R23" s="19"/>
      <c r="S23" s="19"/>
      <c r="T23" s="19"/>
      <c r="AB23" s="24"/>
    </row>
    <row r="24" spans="2:28" ht="15.75" hidden="1" customHeight="1" outlineLevel="1">
      <c r="B24" s="20"/>
      <c r="C24" s="21"/>
      <c r="D24" s="21"/>
      <c r="E24" s="21"/>
      <c r="F24" s="21"/>
      <c r="G24" s="21"/>
      <c r="H24" s="21"/>
      <c r="I24" s="21"/>
      <c r="J24" s="21"/>
      <c r="K24" s="33">
        <f>THC!$K$9</f>
        <v>0</v>
      </c>
      <c r="L24" s="23"/>
      <c r="N24" s="115"/>
      <c r="O24" s="116"/>
      <c r="P24" s="19"/>
      <c r="Q24" s="19"/>
      <c r="R24" s="19"/>
      <c r="S24" s="19"/>
      <c r="T24" s="19"/>
      <c r="AB24" s="24"/>
    </row>
    <row r="25" spans="2:28" ht="15.75" hidden="1" customHeight="1" outlineLevel="1">
      <c r="B25" s="20"/>
      <c r="C25" s="21"/>
      <c r="D25" s="21"/>
      <c r="E25" s="21"/>
      <c r="F25" s="21"/>
      <c r="G25" s="21"/>
      <c r="H25" s="21"/>
      <c r="I25" s="21"/>
      <c r="J25" s="21"/>
      <c r="K25" s="33">
        <f>TTUHSC!$K$9</f>
        <v>0</v>
      </c>
      <c r="L25" s="23"/>
      <c r="N25" s="115"/>
      <c r="O25" s="116"/>
      <c r="P25" s="19"/>
      <c r="Q25" s="19"/>
      <c r="R25" s="19"/>
      <c r="S25" s="19"/>
      <c r="T25" s="19"/>
      <c r="AB25" s="24"/>
    </row>
    <row r="26" spans="2:28" ht="15.75" hidden="1" customHeight="1" outlineLevel="1">
      <c r="B26" s="20"/>
      <c r="C26" s="21"/>
      <c r="D26" s="21"/>
      <c r="E26" s="21"/>
      <c r="F26" s="21"/>
      <c r="G26" s="21"/>
      <c r="H26" s="21"/>
      <c r="I26" s="21"/>
      <c r="J26" s="21"/>
      <c r="K26" s="33">
        <f>UNTHSC!$K$9</f>
        <v>0</v>
      </c>
      <c r="L26" s="23"/>
      <c r="N26" s="115"/>
      <c r="O26" s="116"/>
      <c r="P26" s="19"/>
      <c r="Q26" s="19"/>
      <c r="R26" s="19"/>
      <c r="S26" s="19"/>
      <c r="T26" s="19"/>
      <c r="AB26" s="24"/>
    </row>
    <row r="27" spans="2:28" ht="15.75" customHeight="1" collapsed="1">
      <c r="B27" s="20" t="s">
        <v>7</v>
      </c>
      <c r="C27" s="21"/>
      <c r="D27" s="21"/>
      <c r="E27" s="21"/>
      <c r="F27" s="21"/>
      <c r="G27" s="21"/>
      <c r="H27" s="21"/>
      <c r="I27" s="21"/>
      <c r="J27" s="21"/>
      <c r="K27" s="25">
        <f>SUM(K18:K26)</f>
        <v>1645160</v>
      </c>
      <c r="L27" s="26"/>
      <c r="N27" s="115"/>
      <c r="O27" s="28"/>
      <c r="P27" s="19"/>
      <c r="Q27" s="19"/>
      <c r="R27" s="19"/>
      <c r="S27" s="19"/>
      <c r="T27" s="19"/>
      <c r="AB27" s="24">
        <f>SUM(C27:L27)</f>
        <v>1645160</v>
      </c>
    </row>
    <row r="28" spans="2:28" ht="15.75" hidden="1" customHeight="1" outlineLevel="1">
      <c r="B28" s="20"/>
      <c r="C28" s="21"/>
      <c r="D28" s="21"/>
      <c r="E28" s="21"/>
      <c r="F28" s="21"/>
      <c r="G28" s="21"/>
      <c r="H28" s="21"/>
      <c r="I28" s="21"/>
      <c r="J28" s="21"/>
      <c r="K28" s="234">
        <f>HSH!$K$10</f>
        <v>194367928</v>
      </c>
      <c r="L28" s="26"/>
      <c r="N28" s="115"/>
      <c r="O28" s="28"/>
      <c r="P28" s="19"/>
      <c r="Q28" s="19"/>
      <c r="R28" s="19"/>
      <c r="S28" s="19"/>
      <c r="T28" s="19"/>
      <c r="AB28" s="24"/>
    </row>
    <row r="29" spans="2:28" ht="15.75" hidden="1" customHeight="1" outlineLevel="1">
      <c r="B29" s="20"/>
      <c r="C29" s="21"/>
      <c r="D29" s="21"/>
      <c r="E29" s="21"/>
      <c r="F29" s="21"/>
      <c r="G29" s="21"/>
      <c r="H29" s="21"/>
      <c r="I29" s="21"/>
      <c r="J29" s="21"/>
      <c r="K29" s="234">
        <f>HSSA!$K$10</f>
        <v>145165310</v>
      </c>
      <c r="L29" s="26"/>
      <c r="N29" s="115"/>
      <c r="O29" s="28"/>
      <c r="P29" s="19"/>
      <c r="Q29" s="19"/>
      <c r="R29" s="19"/>
      <c r="S29" s="19"/>
      <c r="T29" s="19"/>
      <c r="AB29" s="24"/>
    </row>
    <row r="30" spans="2:28" ht="15.75" hidden="1" customHeight="1" outlineLevel="1">
      <c r="B30" s="20"/>
      <c r="C30" s="21"/>
      <c r="D30" s="21"/>
      <c r="E30" s="21"/>
      <c r="F30" s="21"/>
      <c r="G30" s="21"/>
      <c r="H30" s="21"/>
      <c r="I30" s="21"/>
      <c r="J30" s="21"/>
      <c r="K30" s="234">
        <f>MBG!$K$10</f>
        <v>116760151</v>
      </c>
      <c r="L30" s="26"/>
      <c r="N30" s="115"/>
      <c r="O30" s="28"/>
      <c r="P30" s="19"/>
      <c r="Q30" s="19"/>
      <c r="R30" s="19"/>
      <c r="S30" s="19"/>
      <c r="T30" s="19"/>
      <c r="AB30" s="24"/>
    </row>
    <row r="31" spans="2:28" ht="15.75" hidden="1" customHeight="1" outlineLevel="1">
      <c r="B31" s="20"/>
      <c r="C31" s="21"/>
      <c r="D31" s="21"/>
      <c r="E31" s="21"/>
      <c r="F31" s="21"/>
      <c r="G31" s="21"/>
      <c r="H31" s="21"/>
      <c r="I31" s="21"/>
      <c r="J31" s="21"/>
      <c r="K31" s="234">
        <f>MDA!$K$10</f>
        <v>463104671</v>
      </c>
      <c r="L31" s="26"/>
      <c r="N31" s="115"/>
      <c r="O31" s="28"/>
      <c r="P31" s="19"/>
      <c r="Q31" s="19"/>
      <c r="R31" s="19"/>
      <c r="S31" s="19"/>
      <c r="T31" s="19"/>
      <c r="AB31" s="24"/>
    </row>
    <row r="32" spans="2:28" ht="15.75" hidden="1" customHeight="1" outlineLevel="1">
      <c r="B32" s="20"/>
      <c r="C32" s="21"/>
      <c r="D32" s="21"/>
      <c r="E32" s="21"/>
      <c r="F32" s="21"/>
      <c r="G32" s="21"/>
      <c r="H32" s="21"/>
      <c r="I32" s="21"/>
      <c r="J32" s="21"/>
      <c r="K32" s="234">
        <f>SWM!$K$10</f>
        <v>308606969</v>
      </c>
      <c r="L32" s="26"/>
      <c r="N32" s="115"/>
      <c r="O32" s="28"/>
      <c r="P32" s="19"/>
      <c r="Q32" s="19"/>
      <c r="R32" s="19"/>
      <c r="S32" s="19"/>
      <c r="T32" s="19"/>
      <c r="AB32" s="24"/>
    </row>
    <row r="33" spans="2:28" ht="15.75" hidden="1" customHeight="1" outlineLevel="1">
      <c r="B33" s="20"/>
      <c r="C33" s="21"/>
      <c r="D33" s="21"/>
      <c r="E33" s="21"/>
      <c r="F33" s="21"/>
      <c r="G33" s="21"/>
      <c r="H33" s="21"/>
      <c r="I33" s="21"/>
      <c r="J33" s="21"/>
      <c r="K33" s="234">
        <f>TAMHSC!$K$10</f>
        <v>39877051</v>
      </c>
      <c r="L33" s="26"/>
      <c r="N33" s="115"/>
      <c r="O33" s="28"/>
      <c r="P33" s="19"/>
      <c r="Q33" s="19"/>
      <c r="R33" s="19"/>
      <c r="S33" s="19"/>
      <c r="T33" s="19"/>
      <c r="AB33" s="24"/>
    </row>
    <row r="34" spans="2:28" ht="15.75" hidden="1" customHeight="1" outlineLevel="1">
      <c r="B34" s="20"/>
      <c r="C34" s="21"/>
      <c r="D34" s="21"/>
      <c r="E34" s="21"/>
      <c r="F34" s="21"/>
      <c r="G34" s="21"/>
      <c r="H34" s="21"/>
      <c r="I34" s="21"/>
      <c r="J34" s="21"/>
      <c r="K34" s="234">
        <f>THC!$K$10</f>
        <v>12168890</v>
      </c>
      <c r="L34" s="26"/>
      <c r="N34" s="115"/>
      <c r="O34" s="28"/>
      <c r="P34" s="19"/>
      <c r="Q34" s="19"/>
      <c r="R34" s="19"/>
      <c r="S34" s="19"/>
      <c r="T34" s="19"/>
      <c r="AB34" s="24"/>
    </row>
    <row r="35" spans="2:28" ht="15.75" hidden="1" customHeight="1" outlineLevel="1">
      <c r="B35" s="20"/>
      <c r="C35" s="21"/>
      <c r="D35" s="21"/>
      <c r="E35" s="21"/>
      <c r="F35" s="21"/>
      <c r="G35" s="21"/>
      <c r="H35" s="21"/>
      <c r="I35" s="21"/>
      <c r="J35" s="21"/>
      <c r="K35" s="234">
        <f>TTUHSC!$K$10</f>
        <v>41854717</v>
      </c>
      <c r="L35" s="26"/>
      <c r="N35" s="115"/>
      <c r="O35" s="28"/>
      <c r="P35" s="19"/>
      <c r="Q35" s="19"/>
      <c r="R35" s="19"/>
      <c r="S35" s="19"/>
      <c r="T35" s="19"/>
      <c r="AB35" s="24"/>
    </row>
    <row r="36" spans="2:28" ht="15.75" hidden="1" customHeight="1" outlineLevel="1">
      <c r="B36" s="20"/>
      <c r="C36" s="21"/>
      <c r="D36" s="21"/>
      <c r="E36" s="21"/>
      <c r="F36" s="21"/>
      <c r="G36" s="21"/>
      <c r="H36" s="21"/>
      <c r="I36" s="21"/>
      <c r="J36" s="21"/>
      <c r="K36" s="234">
        <f>UNTHSC!$K$10</f>
        <v>33368122</v>
      </c>
      <c r="L36" s="26"/>
      <c r="N36" s="115"/>
      <c r="O36" s="28"/>
      <c r="P36" s="19"/>
      <c r="Q36" s="19"/>
      <c r="R36" s="19"/>
      <c r="S36" s="19"/>
      <c r="T36" s="19"/>
      <c r="AB36" s="24"/>
    </row>
    <row r="37" spans="2:28" ht="15.75" customHeight="1" collapsed="1">
      <c r="B37" s="27" t="s">
        <v>8</v>
      </c>
      <c r="C37" s="28"/>
      <c r="D37" s="21"/>
      <c r="E37" s="21"/>
      <c r="F37" s="9"/>
      <c r="G37" s="268"/>
      <c r="H37" s="455"/>
      <c r="I37" s="455"/>
      <c r="J37" s="456"/>
      <c r="K37" s="31">
        <f>SUM(K28:K36)</f>
        <v>1355273809</v>
      </c>
      <c r="L37" s="32"/>
      <c r="N37" s="117"/>
      <c r="O37" s="118"/>
      <c r="P37" s="19"/>
      <c r="Q37" s="19"/>
      <c r="R37" s="19"/>
      <c r="S37" s="19"/>
      <c r="T37" s="19"/>
      <c r="AB37" s="24"/>
    </row>
    <row r="38" spans="2:28" ht="15.75" customHeight="1">
      <c r="B38" s="20"/>
      <c r="C38" s="21"/>
      <c r="D38" s="21"/>
      <c r="E38" s="21"/>
      <c r="F38" s="9"/>
      <c r="G38" s="9"/>
      <c r="H38" s="9"/>
      <c r="I38" s="9"/>
      <c r="J38" s="9"/>
      <c r="K38" s="33"/>
      <c r="L38" s="26"/>
      <c r="N38" s="17"/>
      <c r="O38" s="95"/>
      <c r="P38" s="34"/>
      <c r="Q38" s="34"/>
      <c r="R38" s="34"/>
      <c r="S38" s="34"/>
      <c r="T38" s="35"/>
      <c r="AB38" s="24">
        <f t="shared" ref="AB38" si="0">SUM(C37:L37)</f>
        <v>1355273809</v>
      </c>
    </row>
    <row r="39" spans="2:28" ht="15.75" hidden="1" customHeight="1" outlineLevel="1">
      <c r="B39" s="20"/>
      <c r="C39" s="21"/>
      <c r="D39" s="21"/>
      <c r="E39" s="21"/>
      <c r="F39" s="9"/>
      <c r="G39" s="9"/>
      <c r="H39" s="9"/>
      <c r="I39" s="9"/>
      <c r="J39" s="9"/>
      <c r="K39" s="33">
        <f>HSH!$K$12</f>
        <v>0</v>
      </c>
      <c r="L39" s="26"/>
      <c r="N39" s="17"/>
      <c r="O39" s="95"/>
      <c r="P39" s="34"/>
      <c r="Q39" s="34"/>
      <c r="R39" s="34"/>
      <c r="S39" s="34"/>
      <c r="T39" s="35"/>
      <c r="AB39" s="24"/>
    </row>
    <row r="40" spans="2:28" ht="15.75" hidden="1" customHeight="1" outlineLevel="1">
      <c r="B40" s="20"/>
      <c r="C40" s="21"/>
      <c r="D40" s="21"/>
      <c r="E40" s="21"/>
      <c r="F40" s="9"/>
      <c r="G40" s="9"/>
      <c r="H40" s="9"/>
      <c r="I40" s="9"/>
      <c r="J40" s="9"/>
      <c r="K40" s="33">
        <f>HSSA!$K$12</f>
        <v>0</v>
      </c>
      <c r="L40" s="26"/>
      <c r="N40" s="17"/>
      <c r="O40" s="95"/>
      <c r="P40" s="34"/>
      <c r="Q40" s="34"/>
      <c r="R40" s="34"/>
      <c r="S40" s="34"/>
      <c r="T40" s="35"/>
      <c r="AB40" s="24"/>
    </row>
    <row r="41" spans="2:28" ht="15.75" hidden="1" customHeight="1" outlineLevel="1">
      <c r="B41" s="20"/>
      <c r="C41" s="21"/>
      <c r="D41" s="21"/>
      <c r="E41" s="21"/>
      <c r="F41" s="9"/>
      <c r="G41" s="9"/>
      <c r="H41" s="9"/>
      <c r="I41" s="9"/>
      <c r="J41" s="9"/>
      <c r="K41" s="33">
        <f>MBG!$K$12</f>
        <v>0</v>
      </c>
      <c r="L41" s="26"/>
      <c r="N41" s="17"/>
      <c r="O41" s="95"/>
      <c r="P41" s="34"/>
      <c r="Q41" s="34"/>
      <c r="R41" s="34"/>
      <c r="S41" s="34"/>
      <c r="T41" s="35"/>
      <c r="AB41" s="24"/>
    </row>
    <row r="42" spans="2:28" ht="15.75" hidden="1" customHeight="1" outlineLevel="1">
      <c r="B42" s="20"/>
      <c r="C42" s="21"/>
      <c r="D42" s="21"/>
      <c r="E42" s="21"/>
      <c r="F42" s="9"/>
      <c r="G42" s="9"/>
      <c r="H42" s="9"/>
      <c r="I42" s="9"/>
      <c r="J42" s="9"/>
      <c r="K42" s="33">
        <f>MDA!$K$12</f>
        <v>0</v>
      </c>
      <c r="L42" s="26"/>
      <c r="N42" s="17"/>
      <c r="O42" s="95"/>
      <c r="P42" s="34"/>
      <c r="Q42" s="34"/>
      <c r="R42" s="34"/>
      <c r="S42" s="34"/>
      <c r="T42" s="35"/>
      <c r="AB42" s="24"/>
    </row>
    <row r="43" spans="2:28" ht="15.75" hidden="1" customHeight="1" outlineLevel="1">
      <c r="B43" s="20"/>
      <c r="C43" s="21"/>
      <c r="D43" s="21"/>
      <c r="E43" s="21"/>
      <c r="F43" s="9"/>
      <c r="G43" s="9"/>
      <c r="H43" s="9"/>
      <c r="I43" s="9"/>
      <c r="J43" s="9"/>
      <c r="K43" s="33">
        <f>SWM!$K$12</f>
        <v>806596</v>
      </c>
      <c r="L43" s="26"/>
      <c r="N43" s="17"/>
      <c r="O43" s="95"/>
      <c r="P43" s="34"/>
      <c r="Q43" s="34"/>
      <c r="R43" s="34"/>
      <c r="S43" s="34"/>
      <c r="T43" s="35"/>
      <c r="AB43" s="24"/>
    </row>
    <row r="44" spans="2:28" ht="15.75" hidden="1" customHeight="1" outlineLevel="1">
      <c r="B44" s="20"/>
      <c r="C44" s="21"/>
      <c r="D44" s="21"/>
      <c r="E44" s="21"/>
      <c r="F44" s="9"/>
      <c r="G44" s="9"/>
      <c r="H44" s="9"/>
      <c r="I44" s="9"/>
      <c r="J44" s="9"/>
      <c r="K44" s="33">
        <f>TAMHSC!$K$12</f>
        <v>0</v>
      </c>
      <c r="L44" s="26"/>
      <c r="N44" s="17"/>
      <c r="O44" s="95"/>
      <c r="P44" s="34"/>
      <c r="Q44" s="34"/>
      <c r="R44" s="34"/>
      <c r="S44" s="34"/>
      <c r="T44" s="35"/>
      <c r="AB44" s="24"/>
    </row>
    <row r="45" spans="2:28" ht="15.75" hidden="1" customHeight="1" outlineLevel="1">
      <c r="B45" s="20"/>
      <c r="C45" s="21"/>
      <c r="D45" s="21"/>
      <c r="E45" s="21"/>
      <c r="F45" s="9"/>
      <c r="G45" s="9"/>
      <c r="H45" s="9"/>
      <c r="I45" s="9"/>
      <c r="J45" s="9"/>
      <c r="K45" s="33">
        <f>THC!$K$12</f>
        <v>0</v>
      </c>
      <c r="L45" s="26"/>
      <c r="N45" s="17"/>
      <c r="O45" s="95"/>
      <c r="P45" s="34"/>
      <c r="Q45" s="34"/>
      <c r="R45" s="34"/>
      <c r="S45" s="34"/>
      <c r="T45" s="35"/>
      <c r="AB45" s="24"/>
    </row>
    <row r="46" spans="2:28" ht="15.75" hidden="1" customHeight="1" outlineLevel="1">
      <c r="B46" s="20"/>
      <c r="C46" s="21"/>
      <c r="D46" s="21"/>
      <c r="E46" s="21"/>
      <c r="F46" s="9"/>
      <c r="G46" s="9"/>
      <c r="H46" s="9"/>
      <c r="I46" s="9"/>
      <c r="J46" s="9"/>
      <c r="K46" s="33">
        <f>TTUHSC!$K$12</f>
        <v>99282</v>
      </c>
      <c r="L46" s="26"/>
      <c r="N46" s="17"/>
      <c r="O46" s="95"/>
      <c r="P46" s="34"/>
      <c r="Q46" s="34"/>
      <c r="R46" s="34"/>
      <c r="S46" s="34"/>
      <c r="T46" s="35"/>
      <c r="AB46" s="24"/>
    </row>
    <row r="47" spans="2:28" ht="15.75" hidden="1" customHeight="1" outlineLevel="1">
      <c r="B47" s="20"/>
      <c r="C47" s="21"/>
      <c r="D47" s="21"/>
      <c r="E47" s="21"/>
      <c r="F47" s="9"/>
      <c r="G47" s="9"/>
      <c r="H47" s="9"/>
      <c r="I47" s="9"/>
      <c r="J47" s="9"/>
      <c r="K47" s="33">
        <f>UNTHSC!$K$12</f>
        <v>0</v>
      </c>
      <c r="L47" s="26"/>
      <c r="N47" s="17"/>
      <c r="O47" s="95"/>
      <c r="P47" s="34"/>
      <c r="Q47" s="34"/>
      <c r="R47" s="34"/>
      <c r="S47" s="34"/>
      <c r="T47" s="35"/>
      <c r="AB47" s="24"/>
    </row>
    <row r="48" spans="2:28" ht="15.75" customHeight="1" collapsed="1">
      <c r="B48" s="20" t="s">
        <v>9</v>
      </c>
      <c r="C48" s="21"/>
      <c r="D48" s="21"/>
      <c r="E48" s="21"/>
      <c r="F48" s="21"/>
      <c r="G48" s="21"/>
      <c r="H48" s="21"/>
      <c r="I48" s="21"/>
      <c r="J48" s="21"/>
      <c r="K48" s="36">
        <f>SUM(K39:K47)</f>
        <v>905878</v>
      </c>
      <c r="L48" s="26"/>
      <c r="N48" s="37"/>
      <c r="O48" s="19"/>
      <c r="P48" s="19"/>
      <c r="Q48" s="19"/>
      <c r="R48" s="19"/>
      <c r="S48" s="19"/>
      <c r="T48" s="19"/>
      <c r="AB48" s="24">
        <f>SUM(C38:L38)</f>
        <v>0</v>
      </c>
    </row>
    <row r="49" spans="2:28" ht="15.75" hidden="1" customHeight="1" outlineLevel="1">
      <c r="B49" s="20"/>
      <c r="C49" s="21"/>
      <c r="D49" s="21"/>
      <c r="E49" s="21"/>
      <c r="F49" s="21"/>
      <c r="G49" s="21"/>
      <c r="H49" s="21"/>
      <c r="I49" s="21"/>
      <c r="J49" s="21"/>
      <c r="K49" s="36">
        <f>HSH!$K$13</f>
        <v>42189454</v>
      </c>
      <c r="L49" s="26">
        <f>HSH!$L$13</f>
        <v>42189454</v>
      </c>
      <c r="N49" s="37"/>
      <c r="O49" s="19"/>
      <c r="P49" s="19"/>
      <c r="Q49" s="19"/>
      <c r="R49" s="19"/>
      <c r="S49" s="19"/>
      <c r="T49" s="19"/>
      <c r="AB49" s="24"/>
    </row>
    <row r="50" spans="2:28" ht="15.75" hidden="1" customHeight="1" outlineLevel="1">
      <c r="B50" s="20"/>
      <c r="C50" s="21"/>
      <c r="D50" s="21"/>
      <c r="E50" s="21"/>
      <c r="F50" s="21"/>
      <c r="G50" s="21"/>
      <c r="H50" s="21"/>
      <c r="I50" s="21"/>
      <c r="J50" s="21"/>
      <c r="K50" s="36">
        <f>HSSA!$K$13</f>
        <v>33528292</v>
      </c>
      <c r="L50" s="26">
        <f>HSSA!$L$13</f>
        <v>33528292</v>
      </c>
      <c r="N50" s="37"/>
      <c r="O50" s="19"/>
      <c r="P50" s="19"/>
      <c r="Q50" s="19"/>
      <c r="R50" s="19"/>
      <c r="S50" s="19"/>
      <c r="T50" s="19"/>
      <c r="AB50" s="24"/>
    </row>
    <row r="51" spans="2:28" ht="15.75" hidden="1" customHeight="1" outlineLevel="1">
      <c r="B51" s="20"/>
      <c r="C51" s="21"/>
      <c r="D51" s="21"/>
      <c r="E51" s="21"/>
      <c r="F51" s="21"/>
      <c r="G51" s="21"/>
      <c r="H51" s="21"/>
      <c r="I51" s="21"/>
      <c r="J51" s="21"/>
      <c r="K51" s="36">
        <f>MBG!$K$13</f>
        <v>35455128</v>
      </c>
      <c r="L51" s="26">
        <f>MBG!$L$13</f>
        <v>35455128</v>
      </c>
      <c r="N51" s="37"/>
      <c r="O51" s="19"/>
      <c r="P51" s="19"/>
      <c r="Q51" s="19"/>
      <c r="R51" s="19"/>
      <c r="S51" s="19"/>
      <c r="T51" s="19"/>
      <c r="AB51" s="24"/>
    </row>
    <row r="52" spans="2:28" ht="15.75" hidden="1" customHeight="1" outlineLevel="1">
      <c r="B52" s="20"/>
      <c r="C52" s="21"/>
      <c r="D52" s="21"/>
      <c r="E52" s="21"/>
      <c r="F52" s="21"/>
      <c r="G52" s="21"/>
      <c r="H52" s="21"/>
      <c r="I52" s="21"/>
      <c r="J52" s="21"/>
      <c r="K52" s="36">
        <f>MDA!$K$13</f>
        <v>75631023</v>
      </c>
      <c r="L52" s="26">
        <f>MDA!$L$13</f>
        <v>75631023</v>
      </c>
      <c r="N52" s="37"/>
      <c r="O52" s="19"/>
      <c r="P52" s="19"/>
      <c r="Q52" s="19"/>
      <c r="R52" s="19"/>
      <c r="S52" s="19"/>
      <c r="T52" s="19"/>
      <c r="AB52" s="24"/>
    </row>
    <row r="53" spans="2:28" ht="15.75" hidden="1" customHeight="1" outlineLevel="1">
      <c r="B53" s="20"/>
      <c r="C53" s="21"/>
      <c r="D53" s="21"/>
      <c r="E53" s="21"/>
      <c r="F53" s="21"/>
      <c r="G53" s="21"/>
      <c r="H53" s="21"/>
      <c r="I53" s="21"/>
      <c r="J53" s="21"/>
      <c r="K53" s="36">
        <f>SWM!$K$13</f>
        <v>75968647</v>
      </c>
      <c r="L53" s="26">
        <f>SWM!$L$13</f>
        <v>75968647</v>
      </c>
      <c r="N53" s="37"/>
      <c r="O53" s="19"/>
      <c r="P53" s="19"/>
      <c r="Q53" s="19"/>
      <c r="R53" s="19"/>
      <c r="S53" s="19"/>
      <c r="T53" s="19"/>
      <c r="AB53" s="24"/>
    </row>
    <row r="54" spans="2:28" ht="15.75" hidden="1" customHeight="1" outlineLevel="1">
      <c r="B54" s="20"/>
      <c r="C54" s="21"/>
      <c r="D54" s="21"/>
      <c r="E54" s="21"/>
      <c r="F54" s="21"/>
      <c r="G54" s="21"/>
      <c r="H54" s="21"/>
      <c r="I54" s="21"/>
      <c r="J54" s="21"/>
      <c r="K54" s="36">
        <f>TAMHSC!$K$13</f>
        <v>678676</v>
      </c>
      <c r="L54" s="26">
        <f>TAMHSC!$L$13</f>
        <v>678676</v>
      </c>
      <c r="N54" s="37"/>
      <c r="O54" s="19"/>
      <c r="P54" s="19"/>
      <c r="Q54" s="19"/>
      <c r="R54" s="19"/>
      <c r="S54" s="19"/>
      <c r="T54" s="19"/>
      <c r="AB54" s="24"/>
    </row>
    <row r="55" spans="2:28" ht="15.75" hidden="1" customHeight="1" outlineLevel="1">
      <c r="B55" s="20"/>
      <c r="C55" s="21"/>
      <c r="D55" s="21"/>
      <c r="E55" s="21"/>
      <c r="F55" s="21"/>
      <c r="G55" s="21"/>
      <c r="H55" s="21"/>
      <c r="I55" s="21"/>
      <c r="J55" s="21"/>
      <c r="K55" s="36">
        <f>THC!$K$13</f>
        <v>1844206</v>
      </c>
      <c r="L55" s="26">
        <f>THC!$L$13</f>
        <v>1844206</v>
      </c>
      <c r="N55" s="37"/>
      <c r="O55" s="19"/>
      <c r="P55" s="19"/>
      <c r="Q55" s="19"/>
      <c r="R55" s="19"/>
      <c r="S55" s="19"/>
      <c r="T55" s="19"/>
      <c r="AB55" s="24"/>
    </row>
    <row r="56" spans="2:28" ht="15.75" hidden="1" customHeight="1" outlineLevel="1">
      <c r="B56" s="20"/>
      <c r="C56" s="21"/>
      <c r="D56" s="21"/>
      <c r="E56" s="21"/>
      <c r="F56" s="21"/>
      <c r="G56" s="21"/>
      <c r="H56" s="21"/>
      <c r="I56" s="21"/>
      <c r="J56" s="21"/>
      <c r="K56" s="36">
        <f>TTUHSC!$K$13</f>
        <v>3872809</v>
      </c>
      <c r="L56" s="26">
        <f>TTUHSC!$L$13</f>
        <v>3872809</v>
      </c>
      <c r="N56" s="37"/>
      <c r="O56" s="19"/>
      <c r="P56" s="19"/>
      <c r="Q56" s="19"/>
      <c r="R56" s="19"/>
      <c r="S56" s="19"/>
      <c r="T56" s="19"/>
      <c r="AB56" s="24"/>
    </row>
    <row r="57" spans="2:28" ht="15.75" hidden="1" customHeight="1" outlineLevel="1">
      <c r="B57" s="20"/>
      <c r="C57" s="21"/>
      <c r="D57" s="21"/>
      <c r="E57" s="21"/>
      <c r="F57" s="21"/>
      <c r="G57" s="21"/>
      <c r="H57" s="21"/>
      <c r="I57" s="21"/>
      <c r="J57" s="21"/>
      <c r="K57" s="36">
        <f>UNTHSC!$K$13</f>
        <v>5567035</v>
      </c>
      <c r="L57" s="26">
        <f>UNTHSC!$L$13</f>
        <v>5567035</v>
      </c>
      <c r="N57" s="37"/>
      <c r="O57" s="19"/>
      <c r="P57" s="19"/>
      <c r="Q57" s="19"/>
      <c r="R57" s="19"/>
      <c r="S57" s="19"/>
      <c r="T57" s="19"/>
      <c r="AB57" s="24"/>
    </row>
    <row r="58" spans="2:28" ht="15.75" customHeight="1" collapsed="1">
      <c r="B58" s="20" t="s">
        <v>10</v>
      </c>
      <c r="C58" s="21"/>
      <c r="D58" s="21"/>
      <c r="E58" s="21"/>
      <c r="F58" s="21"/>
      <c r="G58" s="21"/>
      <c r="H58" s="21"/>
      <c r="I58" s="21"/>
      <c r="J58" s="21"/>
      <c r="K58" s="33">
        <f>SUM(K49:K57)</f>
        <v>274735270</v>
      </c>
      <c r="L58" s="36">
        <f>SUM(L49:L57)</f>
        <v>274735270</v>
      </c>
      <c r="N58" s="37"/>
      <c r="O58" s="119"/>
      <c r="AB58" s="24">
        <f>SUM(C58:L58)</f>
        <v>549470540</v>
      </c>
    </row>
    <row r="59" spans="2:28" ht="15.75" hidden="1" customHeight="1" outlineLevel="1">
      <c r="B59" s="20"/>
      <c r="C59" s="21"/>
      <c r="D59" s="21"/>
      <c r="E59" s="21"/>
      <c r="F59" s="21"/>
      <c r="G59" s="21"/>
      <c r="H59" s="21"/>
      <c r="I59" s="21"/>
      <c r="J59" s="21"/>
      <c r="K59" s="33">
        <f>HSH!$K$14</f>
        <v>4215170</v>
      </c>
      <c r="L59" s="36">
        <f>HSH!$L$14</f>
        <v>4215170</v>
      </c>
      <c r="N59" s="37"/>
      <c r="O59" s="119"/>
      <c r="AB59" s="24"/>
    </row>
    <row r="60" spans="2:28" ht="15.75" hidden="1" customHeight="1" outlineLevel="1">
      <c r="B60" s="20"/>
      <c r="C60" s="21"/>
      <c r="D60" s="21"/>
      <c r="E60" s="21"/>
      <c r="F60" s="21"/>
      <c r="G60" s="21"/>
      <c r="H60" s="21"/>
      <c r="I60" s="21"/>
      <c r="J60" s="21"/>
      <c r="K60" s="33">
        <f>HSSA!$K$14</f>
        <v>6535416</v>
      </c>
      <c r="L60" s="36">
        <f>HSSA!$L$14</f>
        <v>6535416</v>
      </c>
      <c r="N60" s="37"/>
      <c r="O60" s="119"/>
      <c r="AB60" s="24"/>
    </row>
    <row r="61" spans="2:28" ht="15.75" hidden="1" customHeight="1" outlineLevel="1">
      <c r="B61" s="20"/>
      <c r="C61" s="21"/>
      <c r="D61" s="21"/>
      <c r="E61" s="21"/>
      <c r="F61" s="21"/>
      <c r="G61" s="21"/>
      <c r="H61" s="21"/>
      <c r="I61" s="21"/>
      <c r="J61" s="21"/>
      <c r="K61" s="33">
        <f>MBG!$K$14</f>
        <v>4609725</v>
      </c>
      <c r="L61" s="36">
        <f>MBG!$L$14</f>
        <v>4609725</v>
      </c>
      <c r="N61" s="37"/>
      <c r="O61" s="119"/>
      <c r="AB61" s="24"/>
    </row>
    <row r="62" spans="2:28" ht="15.75" hidden="1" customHeight="1" outlineLevel="1">
      <c r="B62" s="20"/>
      <c r="C62" s="21"/>
      <c r="D62" s="21"/>
      <c r="E62" s="21"/>
      <c r="F62" s="21"/>
      <c r="G62" s="21"/>
      <c r="H62" s="21"/>
      <c r="I62" s="21"/>
      <c r="J62" s="21"/>
      <c r="K62" s="33">
        <f>MDA!$K$14</f>
        <v>8299050</v>
      </c>
      <c r="L62" s="36">
        <f>MDA!$L$14</f>
        <v>8299050</v>
      </c>
      <c r="N62" s="37"/>
      <c r="O62" s="119"/>
      <c r="AB62" s="24"/>
    </row>
    <row r="63" spans="2:28" ht="15.75" hidden="1" customHeight="1" outlineLevel="1">
      <c r="B63" s="20"/>
      <c r="C63" s="21"/>
      <c r="D63" s="21"/>
      <c r="E63" s="21"/>
      <c r="F63" s="21"/>
      <c r="G63" s="21"/>
      <c r="H63" s="21"/>
      <c r="I63" s="21"/>
      <c r="J63" s="21"/>
      <c r="K63" s="33">
        <f>SWM!$K$14</f>
        <v>10739320</v>
      </c>
      <c r="L63" s="36">
        <f>SWM!$L$14</f>
        <v>10739320</v>
      </c>
      <c r="N63" s="37"/>
      <c r="O63" s="119"/>
      <c r="AB63" s="24"/>
    </row>
    <row r="64" spans="2:28" ht="15.75" hidden="1" customHeight="1" outlineLevel="1">
      <c r="B64" s="20"/>
      <c r="C64" s="21"/>
      <c r="D64" s="21"/>
      <c r="E64" s="21"/>
      <c r="F64" s="21"/>
      <c r="G64" s="21"/>
      <c r="H64" s="21"/>
      <c r="I64" s="21"/>
      <c r="J64" s="21"/>
      <c r="K64" s="33">
        <f>TAMHSC!$K$14</f>
        <v>1386271</v>
      </c>
      <c r="L64" s="36">
        <f>TAMHSC!$L$14</f>
        <v>1386271</v>
      </c>
      <c r="N64" s="37"/>
      <c r="O64" s="119"/>
      <c r="AB64" s="24"/>
    </row>
    <row r="65" spans="2:28" ht="15.75" hidden="1" customHeight="1" outlineLevel="1">
      <c r="B65" s="20"/>
      <c r="C65" s="21"/>
      <c r="D65" s="21"/>
      <c r="E65" s="21"/>
      <c r="F65" s="21"/>
      <c r="G65" s="21"/>
      <c r="H65" s="21"/>
      <c r="I65" s="21"/>
      <c r="J65" s="21"/>
      <c r="K65" s="33">
        <f>THC!$K$14</f>
        <v>365036</v>
      </c>
      <c r="L65" s="36">
        <f>THC!$L$14</f>
        <v>365036</v>
      </c>
      <c r="N65" s="37"/>
      <c r="O65" s="119"/>
      <c r="AB65" s="24"/>
    </row>
    <row r="66" spans="2:28" ht="15.75" hidden="1" customHeight="1" outlineLevel="1">
      <c r="B66" s="20"/>
      <c r="C66" s="21"/>
      <c r="D66" s="21"/>
      <c r="E66" s="21"/>
      <c r="F66" s="21"/>
      <c r="G66" s="21"/>
      <c r="H66" s="21"/>
      <c r="I66" s="21"/>
      <c r="J66" s="21"/>
      <c r="K66" s="33">
        <f>TTUHSC!$K$14</f>
        <v>5160934</v>
      </c>
      <c r="L66" s="36">
        <f>TTUHSC!$L$14</f>
        <v>5160934</v>
      </c>
      <c r="N66" s="37"/>
      <c r="O66" s="119"/>
      <c r="AB66" s="24"/>
    </row>
    <row r="67" spans="2:28" ht="15.75" hidden="1" customHeight="1" outlineLevel="1">
      <c r="B67" s="20"/>
      <c r="C67" s="21"/>
      <c r="D67" s="21"/>
      <c r="E67" s="21"/>
      <c r="F67" s="21"/>
      <c r="G67" s="21"/>
      <c r="H67" s="21"/>
      <c r="I67" s="21"/>
      <c r="J67" s="21"/>
      <c r="K67" s="33">
        <f>UNTHSC!$K$14</f>
        <v>919722</v>
      </c>
      <c r="L67" s="36">
        <f>UNTHSC!$L$14</f>
        <v>919722</v>
      </c>
      <c r="N67" s="37"/>
      <c r="O67" s="119"/>
      <c r="AB67" s="24"/>
    </row>
    <row r="68" spans="2:28" ht="15.75" customHeight="1" collapsed="1">
      <c r="B68" s="20" t="s">
        <v>11</v>
      </c>
      <c r="C68" s="21"/>
      <c r="D68" s="21"/>
      <c r="E68" s="21"/>
      <c r="F68" s="21"/>
      <c r="G68" s="21"/>
      <c r="H68" s="21"/>
      <c r="I68" s="21"/>
      <c r="J68" s="21"/>
      <c r="K68" s="33">
        <f>SUM(K59:K67)</f>
        <v>42230644</v>
      </c>
      <c r="L68" s="36">
        <f>SUM(L59:L67)</f>
        <v>42230644</v>
      </c>
      <c r="N68" s="17"/>
      <c r="O68" s="28"/>
      <c r="P68" s="19"/>
      <c r="Q68" s="19"/>
      <c r="R68" s="19"/>
      <c r="S68" s="19"/>
      <c r="T68" s="39"/>
      <c r="U68" s="19"/>
      <c r="V68" s="19"/>
      <c r="W68" s="19"/>
      <c r="X68" s="19"/>
      <c r="Y68" s="19"/>
      <c r="Z68" s="19"/>
      <c r="AA68" s="19"/>
      <c r="AB68" s="24">
        <f>SUM(C68:L68)</f>
        <v>84461288</v>
      </c>
    </row>
    <row r="69" spans="2:28" ht="15.75" hidden="1" customHeight="1" outlineLevel="1">
      <c r="B69" s="20"/>
      <c r="C69" s="21"/>
      <c r="D69" s="21"/>
      <c r="E69" s="21"/>
      <c r="F69" s="21"/>
      <c r="G69" s="21"/>
      <c r="H69" s="21"/>
      <c r="I69" s="21"/>
      <c r="J69" s="21"/>
      <c r="K69" s="33">
        <f>HSH!$K$15</f>
        <v>0</v>
      </c>
      <c r="L69" s="36">
        <f>HSH!$L$15</f>
        <v>0</v>
      </c>
      <c r="N69" s="17"/>
      <c r="O69" s="28"/>
      <c r="P69" s="19"/>
      <c r="Q69" s="19"/>
      <c r="R69" s="19"/>
      <c r="S69" s="19"/>
      <c r="T69" s="39"/>
      <c r="U69" s="19"/>
      <c r="V69" s="19"/>
      <c r="W69" s="19"/>
      <c r="X69" s="19"/>
      <c r="Y69" s="19"/>
      <c r="Z69" s="19"/>
      <c r="AA69" s="19"/>
      <c r="AB69" s="24"/>
    </row>
    <row r="70" spans="2:28" ht="15.75" hidden="1" customHeight="1" outlineLevel="1">
      <c r="B70" s="20"/>
      <c r="C70" s="21"/>
      <c r="D70" s="21"/>
      <c r="E70" s="21"/>
      <c r="F70" s="21"/>
      <c r="G70" s="21"/>
      <c r="H70" s="21"/>
      <c r="I70" s="21"/>
      <c r="J70" s="21"/>
      <c r="K70" s="33">
        <f>HSSA!$K$15</f>
        <v>0</v>
      </c>
      <c r="L70" s="36">
        <f>HSSA!$L$15</f>
        <v>0</v>
      </c>
      <c r="N70" s="17"/>
      <c r="O70" s="28"/>
      <c r="P70" s="19"/>
      <c r="Q70" s="19"/>
      <c r="R70" s="19"/>
      <c r="S70" s="19"/>
      <c r="T70" s="39"/>
      <c r="U70" s="19"/>
      <c r="V70" s="19"/>
      <c r="W70" s="19"/>
      <c r="X70" s="19"/>
      <c r="Y70" s="19"/>
      <c r="Z70" s="19"/>
      <c r="AA70" s="19"/>
      <c r="AB70" s="24"/>
    </row>
    <row r="71" spans="2:28" ht="15.75" hidden="1" customHeight="1" outlineLevel="1">
      <c r="B71" s="20"/>
      <c r="C71" s="21"/>
      <c r="D71" s="21"/>
      <c r="E71" s="21"/>
      <c r="F71" s="21"/>
      <c r="G71" s="21"/>
      <c r="H71" s="21"/>
      <c r="I71" s="21"/>
      <c r="J71" s="21"/>
      <c r="K71" s="33">
        <f>MBG!$K$15</f>
        <v>0</v>
      </c>
      <c r="L71" s="36">
        <f>MBG!$L$15</f>
        <v>0</v>
      </c>
      <c r="N71" s="17"/>
      <c r="O71" s="28"/>
      <c r="P71" s="19"/>
      <c r="Q71" s="19"/>
      <c r="R71" s="19"/>
      <c r="S71" s="19"/>
      <c r="T71" s="39"/>
      <c r="U71" s="19"/>
      <c r="V71" s="19"/>
      <c r="W71" s="19"/>
      <c r="X71" s="19"/>
      <c r="Y71" s="19"/>
      <c r="Z71" s="19"/>
      <c r="AA71" s="19"/>
      <c r="AB71" s="24"/>
    </row>
    <row r="72" spans="2:28" ht="15.75" hidden="1" customHeight="1" outlineLevel="1">
      <c r="B72" s="20"/>
      <c r="C72" s="21"/>
      <c r="D72" s="21"/>
      <c r="E72" s="21"/>
      <c r="F72" s="21"/>
      <c r="G72" s="21"/>
      <c r="H72" s="21"/>
      <c r="I72" s="21"/>
      <c r="J72" s="21"/>
      <c r="K72" s="33">
        <f>MDA!$K$15</f>
        <v>0</v>
      </c>
      <c r="L72" s="36">
        <f>MDA!$L$15</f>
        <v>0</v>
      </c>
      <c r="N72" s="17"/>
      <c r="O72" s="28"/>
      <c r="P72" s="19"/>
      <c r="Q72" s="19"/>
      <c r="R72" s="19"/>
      <c r="S72" s="19"/>
      <c r="T72" s="39"/>
      <c r="U72" s="19"/>
      <c r="V72" s="19"/>
      <c r="W72" s="19"/>
      <c r="X72" s="19"/>
      <c r="Y72" s="19"/>
      <c r="Z72" s="19"/>
      <c r="AA72" s="19"/>
      <c r="AB72" s="24"/>
    </row>
    <row r="73" spans="2:28" ht="15.75" hidden="1" customHeight="1" outlineLevel="1">
      <c r="B73" s="20"/>
      <c r="C73" s="21"/>
      <c r="D73" s="21"/>
      <c r="E73" s="21"/>
      <c r="F73" s="21"/>
      <c r="G73" s="21"/>
      <c r="H73" s="21"/>
      <c r="I73" s="21"/>
      <c r="J73" s="21"/>
      <c r="K73" s="33">
        <f>SWM!$K$15</f>
        <v>0</v>
      </c>
      <c r="L73" s="36">
        <f>SWM!$L$15</f>
        <v>0</v>
      </c>
      <c r="N73" s="17"/>
      <c r="O73" s="28"/>
      <c r="P73" s="19"/>
      <c r="Q73" s="19"/>
      <c r="R73" s="19"/>
      <c r="S73" s="19"/>
      <c r="T73" s="39"/>
      <c r="U73" s="19"/>
      <c r="V73" s="19"/>
      <c r="W73" s="19"/>
      <c r="X73" s="19"/>
      <c r="Y73" s="19"/>
      <c r="Z73" s="19"/>
      <c r="AA73" s="19"/>
      <c r="AB73" s="24"/>
    </row>
    <row r="74" spans="2:28" ht="15.75" hidden="1" customHeight="1" outlineLevel="1">
      <c r="B74" s="20"/>
      <c r="C74" s="21"/>
      <c r="D74" s="21"/>
      <c r="E74" s="21"/>
      <c r="F74" s="21"/>
      <c r="G74" s="21"/>
      <c r="H74" s="21"/>
      <c r="I74" s="21"/>
      <c r="J74" s="21"/>
      <c r="K74" s="33">
        <f>TAMHSC!$K$15</f>
        <v>37511984</v>
      </c>
      <c r="L74" s="36">
        <f>TAMHSC!$L$15</f>
        <v>37511984</v>
      </c>
      <c r="N74" s="17"/>
      <c r="O74" s="28"/>
      <c r="P74" s="19"/>
      <c r="Q74" s="19"/>
      <c r="R74" s="19"/>
      <c r="S74" s="19"/>
      <c r="T74" s="39"/>
      <c r="U74" s="19"/>
      <c r="V74" s="19"/>
      <c r="W74" s="19"/>
      <c r="X74" s="19"/>
      <c r="Y74" s="19"/>
      <c r="Z74" s="19"/>
      <c r="AA74" s="19"/>
      <c r="AB74" s="24"/>
    </row>
    <row r="75" spans="2:28" ht="15.75" hidden="1" customHeight="1" outlineLevel="1">
      <c r="B75" s="20"/>
      <c r="C75" s="21"/>
      <c r="D75" s="21"/>
      <c r="E75" s="21"/>
      <c r="F75" s="21"/>
      <c r="G75" s="21"/>
      <c r="H75" s="21"/>
      <c r="I75" s="21"/>
      <c r="J75" s="21"/>
      <c r="K75" s="33">
        <f>THC!$K$15</f>
        <v>0</v>
      </c>
      <c r="L75" s="36">
        <f>THC!$L$15</f>
        <v>0</v>
      </c>
      <c r="N75" s="17"/>
      <c r="O75" s="28"/>
      <c r="P75" s="19"/>
      <c r="Q75" s="19"/>
      <c r="R75" s="19"/>
      <c r="S75" s="19"/>
      <c r="T75" s="39"/>
      <c r="U75" s="19"/>
      <c r="V75" s="19"/>
      <c r="W75" s="19"/>
      <c r="X75" s="19"/>
      <c r="Y75" s="19"/>
      <c r="Z75" s="19"/>
      <c r="AA75" s="19"/>
      <c r="AB75" s="24"/>
    </row>
    <row r="76" spans="2:28" ht="15.75" hidden="1" customHeight="1" outlineLevel="1">
      <c r="B76" s="20"/>
      <c r="C76" s="21"/>
      <c r="D76" s="21"/>
      <c r="E76" s="21"/>
      <c r="F76" s="21"/>
      <c r="G76" s="21"/>
      <c r="H76" s="21"/>
      <c r="I76" s="21"/>
      <c r="J76" s="21"/>
      <c r="K76" s="33">
        <f>TTUHSC!$K$15</f>
        <v>0</v>
      </c>
      <c r="L76" s="36">
        <f>TTUHSC!$L$15</f>
        <v>0</v>
      </c>
      <c r="N76" s="17"/>
      <c r="O76" s="28"/>
      <c r="P76" s="19"/>
      <c r="Q76" s="19"/>
      <c r="R76" s="19"/>
      <c r="S76" s="19"/>
      <c r="T76" s="39"/>
      <c r="U76" s="19"/>
      <c r="V76" s="19"/>
      <c r="W76" s="19"/>
      <c r="X76" s="19"/>
      <c r="Y76" s="19"/>
      <c r="Z76" s="19"/>
      <c r="AA76" s="19"/>
      <c r="AB76" s="24"/>
    </row>
    <row r="77" spans="2:28" ht="15.75" hidden="1" customHeight="1" outlineLevel="1">
      <c r="B77" s="20"/>
      <c r="C77" s="21"/>
      <c r="D77" s="21"/>
      <c r="E77" s="21"/>
      <c r="F77" s="21"/>
      <c r="G77" s="21"/>
      <c r="H77" s="21"/>
      <c r="I77" s="21"/>
      <c r="J77" s="21"/>
      <c r="K77" s="33">
        <f>UNTHSC!$K$15</f>
        <v>0</v>
      </c>
      <c r="L77" s="36">
        <f>UNTHSC!$L$15</f>
        <v>0</v>
      </c>
      <c r="N77" s="17"/>
      <c r="O77" s="28"/>
      <c r="P77" s="19"/>
      <c r="Q77" s="19"/>
      <c r="R77" s="19"/>
      <c r="S77" s="19"/>
      <c r="T77" s="39"/>
      <c r="U77" s="19"/>
      <c r="V77" s="19"/>
      <c r="W77" s="19"/>
      <c r="X77" s="19"/>
      <c r="Y77" s="19"/>
      <c r="Z77" s="19"/>
      <c r="AA77" s="19"/>
      <c r="AB77" s="24"/>
    </row>
    <row r="78" spans="2:28" ht="15.75" customHeight="1" collapsed="1">
      <c r="B78" s="20" t="s">
        <v>12</v>
      </c>
      <c r="C78" s="21"/>
      <c r="D78" s="21"/>
      <c r="E78" s="21"/>
      <c r="F78" s="21"/>
      <c r="G78" s="21"/>
      <c r="H78" s="21"/>
      <c r="I78" s="21"/>
      <c r="J78" s="21"/>
      <c r="K78" s="40">
        <f>SUM(K69:K77)</f>
        <v>37511984</v>
      </c>
      <c r="L78" s="36">
        <f>SUM(L69:L77)</f>
        <v>37511984</v>
      </c>
      <c r="N78" s="19"/>
      <c r="O78" s="19"/>
      <c r="P78" s="19"/>
      <c r="Q78" s="19"/>
      <c r="R78" s="19"/>
      <c r="S78" s="19"/>
      <c r="T78" s="19"/>
      <c r="U78" s="19"/>
      <c r="V78" s="19"/>
      <c r="W78" s="41"/>
      <c r="X78" s="19"/>
      <c r="Y78" s="19"/>
      <c r="Z78" s="19"/>
      <c r="AA78" s="19"/>
      <c r="AB78" s="24">
        <f>SUM(C78:L78)</f>
        <v>75023968</v>
      </c>
    </row>
    <row r="79" spans="2:28" ht="15.75" hidden="1" customHeight="1" outlineLevel="1">
      <c r="B79" s="20"/>
      <c r="C79" s="21"/>
      <c r="D79" s="21"/>
      <c r="E79" s="21"/>
      <c r="F79" s="21"/>
      <c r="G79" s="21"/>
      <c r="H79" s="21"/>
      <c r="I79" s="21"/>
      <c r="J79" s="21"/>
      <c r="K79" s="40">
        <f>HSH!$K$16</f>
        <v>0</v>
      </c>
      <c r="L79" s="36">
        <f>HSH!$L$16</f>
        <v>0</v>
      </c>
      <c r="N79" s="19"/>
      <c r="O79" s="19"/>
      <c r="P79" s="19"/>
      <c r="Q79" s="19"/>
      <c r="R79" s="19"/>
      <c r="S79" s="19"/>
      <c r="T79" s="19"/>
      <c r="U79" s="19"/>
      <c r="V79" s="19"/>
      <c r="W79" s="41"/>
      <c r="X79" s="19"/>
      <c r="Y79" s="19"/>
      <c r="Z79" s="19"/>
      <c r="AA79" s="19"/>
      <c r="AB79" s="24"/>
    </row>
    <row r="80" spans="2:28" ht="15.75" hidden="1" customHeight="1" outlineLevel="1">
      <c r="B80" s="20"/>
      <c r="C80" s="21"/>
      <c r="D80" s="21"/>
      <c r="E80" s="21"/>
      <c r="F80" s="21"/>
      <c r="G80" s="21"/>
      <c r="H80" s="21"/>
      <c r="I80" s="21"/>
      <c r="J80" s="21"/>
      <c r="K80" s="40">
        <f>HSSA!$K$16</f>
        <v>0</v>
      </c>
      <c r="L80" s="36">
        <f>HSSA!$L$16</f>
        <v>0</v>
      </c>
      <c r="N80" s="19"/>
      <c r="O80" s="19"/>
      <c r="P80" s="19"/>
      <c r="Q80" s="19"/>
      <c r="R80" s="19"/>
      <c r="S80" s="19"/>
      <c r="T80" s="19"/>
      <c r="U80" s="19"/>
      <c r="V80" s="19"/>
      <c r="W80" s="41"/>
      <c r="X80" s="19"/>
      <c r="Y80" s="19"/>
      <c r="Z80" s="19"/>
      <c r="AA80" s="19"/>
      <c r="AB80" s="24"/>
    </row>
    <row r="81" spans="2:28" ht="15.75" hidden="1" customHeight="1" outlineLevel="1">
      <c r="B81" s="20"/>
      <c r="C81" s="21"/>
      <c r="D81" s="21"/>
      <c r="E81" s="21"/>
      <c r="F81" s="21"/>
      <c r="G81" s="21"/>
      <c r="H81" s="21"/>
      <c r="I81" s="21"/>
      <c r="J81" s="21"/>
      <c r="K81" s="40">
        <f>MBG!$K$16</f>
        <v>0</v>
      </c>
      <c r="L81" s="36">
        <f>MBG!$L$16</f>
        <v>0</v>
      </c>
      <c r="N81" s="19"/>
      <c r="O81" s="19"/>
      <c r="P81" s="19"/>
      <c r="Q81" s="19"/>
      <c r="R81" s="19"/>
      <c r="S81" s="19"/>
      <c r="T81" s="19"/>
      <c r="U81" s="19"/>
      <c r="V81" s="19"/>
      <c r="W81" s="41"/>
      <c r="X81" s="19"/>
      <c r="Y81" s="19"/>
      <c r="Z81" s="19"/>
      <c r="AA81" s="19"/>
      <c r="AB81" s="24"/>
    </row>
    <row r="82" spans="2:28" ht="15.75" hidden="1" customHeight="1" outlineLevel="1">
      <c r="B82" s="20"/>
      <c r="C82" s="21"/>
      <c r="D82" s="21"/>
      <c r="E82" s="21"/>
      <c r="F82" s="21"/>
      <c r="G82" s="21"/>
      <c r="H82" s="21"/>
      <c r="I82" s="21"/>
      <c r="J82" s="21"/>
      <c r="K82" s="40">
        <f>MDA!$K$16</f>
        <v>0</v>
      </c>
      <c r="L82" s="36">
        <f>MDA!$L$16</f>
        <v>0</v>
      </c>
      <c r="N82" s="19"/>
      <c r="O82" s="19"/>
      <c r="P82" s="19"/>
      <c r="Q82" s="19"/>
      <c r="R82" s="19"/>
      <c r="S82" s="19"/>
      <c r="T82" s="19"/>
      <c r="U82" s="19"/>
      <c r="V82" s="19"/>
      <c r="W82" s="41"/>
      <c r="X82" s="19"/>
      <c r="Y82" s="19"/>
      <c r="Z82" s="19"/>
      <c r="AA82" s="19"/>
      <c r="AB82" s="24"/>
    </row>
    <row r="83" spans="2:28" ht="15.75" hidden="1" customHeight="1" outlineLevel="1">
      <c r="B83" s="20"/>
      <c r="C83" s="21"/>
      <c r="D83" s="21"/>
      <c r="E83" s="21"/>
      <c r="F83" s="21"/>
      <c r="G83" s="21"/>
      <c r="H83" s="21"/>
      <c r="I83" s="21"/>
      <c r="J83" s="21"/>
      <c r="K83" s="40">
        <f>SWM!$K$16</f>
        <v>0</v>
      </c>
      <c r="L83" s="36">
        <f>SWM!$L$16</f>
        <v>0</v>
      </c>
      <c r="N83" s="19"/>
      <c r="O83" s="19"/>
      <c r="P83" s="19"/>
      <c r="Q83" s="19"/>
      <c r="R83" s="19"/>
      <c r="S83" s="19"/>
      <c r="T83" s="19"/>
      <c r="U83" s="19"/>
      <c r="V83" s="19"/>
      <c r="W83" s="41"/>
      <c r="X83" s="19"/>
      <c r="Y83" s="19"/>
      <c r="Z83" s="19"/>
      <c r="AA83" s="19"/>
      <c r="AB83" s="24"/>
    </row>
    <row r="84" spans="2:28" ht="15.75" hidden="1" customHeight="1" outlineLevel="1">
      <c r="B84" s="20"/>
      <c r="C84" s="21"/>
      <c r="D84" s="21"/>
      <c r="E84" s="21"/>
      <c r="F84" s="21"/>
      <c r="G84" s="21"/>
      <c r="H84" s="21"/>
      <c r="I84" s="21"/>
      <c r="J84" s="21"/>
      <c r="K84" s="40">
        <f>TAMHSC!$K$16</f>
        <v>362059</v>
      </c>
      <c r="L84" s="36">
        <f>TAMHSC!$L$16</f>
        <v>362059</v>
      </c>
      <c r="N84" s="19"/>
      <c r="O84" s="19"/>
      <c r="P84" s="19"/>
      <c r="Q84" s="19"/>
      <c r="R84" s="19"/>
      <c r="S84" s="19"/>
      <c r="T84" s="19"/>
      <c r="U84" s="19"/>
      <c r="V84" s="19"/>
      <c r="W84" s="41"/>
      <c r="X84" s="19"/>
      <c r="Y84" s="19"/>
      <c r="Z84" s="19"/>
      <c r="AA84" s="19"/>
      <c r="AB84" s="24"/>
    </row>
    <row r="85" spans="2:28" ht="15.75" hidden="1" customHeight="1" outlineLevel="1">
      <c r="B85" s="20"/>
      <c r="C85" s="21"/>
      <c r="D85" s="21"/>
      <c r="E85" s="21"/>
      <c r="F85" s="21"/>
      <c r="G85" s="21"/>
      <c r="H85" s="21"/>
      <c r="I85" s="21"/>
      <c r="J85" s="21"/>
      <c r="K85" s="40">
        <f>THC!$K$16</f>
        <v>0</v>
      </c>
      <c r="L85" s="36">
        <f>THC!$L$16</f>
        <v>0</v>
      </c>
      <c r="N85" s="19"/>
      <c r="O85" s="19"/>
      <c r="P85" s="19"/>
      <c r="Q85" s="19"/>
      <c r="R85" s="19"/>
      <c r="S85" s="19"/>
      <c r="T85" s="19"/>
      <c r="U85" s="19"/>
      <c r="V85" s="19"/>
      <c r="W85" s="41"/>
      <c r="X85" s="19"/>
      <c r="Y85" s="19"/>
      <c r="Z85" s="19"/>
      <c r="AA85" s="19"/>
      <c r="AB85" s="24"/>
    </row>
    <row r="86" spans="2:28" ht="15.75" hidden="1" customHeight="1" outlineLevel="1">
      <c r="B86" s="20"/>
      <c r="C86" s="21"/>
      <c r="D86" s="21"/>
      <c r="E86" s="21"/>
      <c r="F86" s="21"/>
      <c r="G86" s="21"/>
      <c r="H86" s="21"/>
      <c r="I86" s="21"/>
      <c r="J86" s="21"/>
      <c r="K86" s="40">
        <f>TTUHSC!$K$16</f>
        <v>0</v>
      </c>
      <c r="L86" s="36">
        <f>TTUHSC!$L$16</f>
        <v>0</v>
      </c>
      <c r="N86" s="19"/>
      <c r="O86" s="19"/>
      <c r="P86" s="19"/>
      <c r="Q86" s="19"/>
      <c r="R86" s="19"/>
      <c r="S86" s="19"/>
      <c r="T86" s="19"/>
      <c r="U86" s="19"/>
      <c r="V86" s="19"/>
      <c r="W86" s="41"/>
      <c r="X86" s="19"/>
      <c r="Y86" s="19"/>
      <c r="Z86" s="19"/>
      <c r="AA86" s="19"/>
      <c r="AB86" s="24"/>
    </row>
    <row r="87" spans="2:28" ht="15.75" hidden="1" customHeight="1" outlineLevel="1">
      <c r="B87" s="20"/>
      <c r="C87" s="21"/>
      <c r="D87" s="21"/>
      <c r="E87" s="21"/>
      <c r="F87" s="21"/>
      <c r="G87" s="21"/>
      <c r="H87" s="21"/>
      <c r="I87" s="21"/>
      <c r="J87" s="21"/>
      <c r="K87" s="40">
        <f>UNTHSC!$K$16</f>
        <v>0</v>
      </c>
      <c r="L87" s="36">
        <f>UNTHSC!$L$16</f>
        <v>0</v>
      </c>
      <c r="N87" s="19"/>
      <c r="O87" s="19"/>
      <c r="P87" s="19"/>
      <c r="Q87" s="19"/>
      <c r="R87" s="19"/>
      <c r="S87" s="19"/>
      <c r="T87" s="19"/>
      <c r="U87" s="19"/>
      <c r="V87" s="19"/>
      <c r="W87" s="41"/>
      <c r="X87" s="19"/>
      <c r="Y87" s="19"/>
      <c r="Z87" s="19"/>
      <c r="AA87" s="19"/>
      <c r="AB87" s="24"/>
    </row>
    <row r="88" spans="2:28" ht="15.75" customHeight="1" collapsed="1">
      <c r="B88" s="20" t="s">
        <v>13</v>
      </c>
      <c r="C88" s="21"/>
      <c r="D88" s="21"/>
      <c r="E88" s="21"/>
      <c r="F88" s="21"/>
      <c r="G88" s="21"/>
      <c r="H88" s="21"/>
      <c r="I88" s="21"/>
      <c r="J88" s="21"/>
      <c r="K88" s="40">
        <f>SUM(K79:K87)</f>
        <v>362059</v>
      </c>
      <c r="L88" s="36">
        <f>SUM(L79:L87)</f>
        <v>362059</v>
      </c>
      <c r="N88" s="28"/>
      <c r="O88" s="42"/>
      <c r="P88" s="19"/>
      <c r="Q88" s="19"/>
      <c r="R88" s="19"/>
      <c r="S88" s="19"/>
      <c r="T88" s="19"/>
      <c r="U88" s="19"/>
      <c r="V88" s="19"/>
      <c r="W88" s="19"/>
      <c r="X88" s="19"/>
      <c r="Y88" s="19"/>
      <c r="Z88" s="19"/>
      <c r="AA88" s="19"/>
      <c r="AB88" s="24">
        <f>SUM(C88:L88)</f>
        <v>724118</v>
      </c>
    </row>
    <row r="89" spans="2:28" ht="15.75" hidden="1" customHeight="1" outlineLevel="1">
      <c r="B89" s="20"/>
      <c r="C89" s="21"/>
      <c r="D89" s="21"/>
      <c r="E89" s="21"/>
      <c r="F89" s="21"/>
      <c r="G89" s="21"/>
      <c r="H89" s="21"/>
      <c r="I89" s="21"/>
      <c r="J89" s="21"/>
      <c r="K89" s="235">
        <f>HSH!$K$17</f>
        <v>240772552</v>
      </c>
      <c r="L89" s="23">
        <f>HSH!$L$17</f>
        <v>240772552</v>
      </c>
      <c r="N89" s="28"/>
      <c r="O89" s="42"/>
      <c r="P89" s="19"/>
      <c r="Q89" s="19"/>
      <c r="R89" s="19"/>
      <c r="S89" s="327">
        <f>HSH!$S$17</f>
        <v>0</v>
      </c>
      <c r="T89" s="19"/>
      <c r="U89" s="19"/>
      <c r="V89" s="19"/>
      <c r="W89" s="19"/>
      <c r="X89" s="19"/>
      <c r="Y89" s="19"/>
      <c r="Z89" s="19"/>
      <c r="AA89" s="19"/>
      <c r="AB89" s="24"/>
    </row>
    <row r="90" spans="2:28" ht="15.75" hidden="1" customHeight="1" outlineLevel="1">
      <c r="B90" s="20"/>
      <c r="C90" s="21"/>
      <c r="D90" s="21"/>
      <c r="E90" s="21"/>
      <c r="F90" s="21"/>
      <c r="G90" s="21"/>
      <c r="H90" s="21"/>
      <c r="I90" s="21"/>
      <c r="J90" s="21"/>
      <c r="K90" s="235">
        <f>HSSA!$K$17</f>
        <v>185229018</v>
      </c>
      <c r="L90" s="23">
        <f>HSSA!$L$17</f>
        <v>185229018</v>
      </c>
      <c r="N90" s="28"/>
      <c r="O90" s="42"/>
      <c r="P90" s="19"/>
      <c r="Q90" s="19"/>
      <c r="R90" s="19"/>
      <c r="S90" s="327">
        <f>HSSA!$S$17</f>
        <v>0</v>
      </c>
      <c r="T90" s="19"/>
      <c r="U90" s="19"/>
      <c r="V90" s="19"/>
      <c r="W90" s="19"/>
      <c r="X90" s="19"/>
      <c r="Y90" s="19"/>
      <c r="Z90" s="19"/>
      <c r="AA90" s="19"/>
      <c r="AB90" s="24"/>
    </row>
    <row r="91" spans="2:28" ht="15.75" hidden="1" customHeight="1" outlineLevel="1">
      <c r="B91" s="20"/>
      <c r="C91" s="21"/>
      <c r="D91" s="21"/>
      <c r="E91" s="21"/>
      <c r="F91" s="21"/>
      <c r="G91" s="21"/>
      <c r="H91" s="21"/>
      <c r="I91" s="21"/>
      <c r="J91" s="21"/>
      <c r="K91" s="235">
        <f>MBG!$K$17</f>
        <v>156825004</v>
      </c>
      <c r="L91" s="23">
        <f>MBG!$L$17</f>
        <v>156825004</v>
      </c>
      <c r="N91" s="28"/>
      <c r="O91" s="42"/>
      <c r="P91" s="19"/>
      <c r="Q91" s="19"/>
      <c r="R91" s="19"/>
      <c r="S91" s="327">
        <f>MBG!$S$17</f>
        <v>0</v>
      </c>
      <c r="T91" s="19"/>
      <c r="U91" s="19"/>
      <c r="V91" s="19"/>
      <c r="W91" s="19"/>
      <c r="X91" s="19"/>
      <c r="Y91" s="19"/>
      <c r="Z91" s="19"/>
      <c r="AA91" s="19"/>
      <c r="AB91" s="24"/>
    </row>
    <row r="92" spans="2:28" ht="15.75" hidden="1" customHeight="1" outlineLevel="1">
      <c r="B92" s="20"/>
      <c r="C92" s="21"/>
      <c r="D92" s="21"/>
      <c r="E92" s="21"/>
      <c r="F92" s="21"/>
      <c r="G92" s="21"/>
      <c r="H92" s="21"/>
      <c r="I92" s="21"/>
      <c r="J92" s="21"/>
      <c r="K92" s="235">
        <f>MDA!$K$17</f>
        <v>547034744</v>
      </c>
      <c r="L92" s="23">
        <f>MDA!$L$17</f>
        <v>547034744</v>
      </c>
      <c r="N92" s="28"/>
      <c r="O92" s="42"/>
      <c r="P92" s="19"/>
      <c r="Q92" s="19"/>
      <c r="R92" s="19"/>
      <c r="S92" s="327">
        <f>MDA!$S$17</f>
        <v>0</v>
      </c>
      <c r="T92" s="19"/>
      <c r="U92" s="19"/>
      <c r="V92" s="19"/>
      <c r="W92" s="19"/>
      <c r="X92" s="19"/>
      <c r="Y92" s="19"/>
      <c r="Z92" s="19"/>
      <c r="AA92" s="19"/>
      <c r="AB92" s="24"/>
    </row>
    <row r="93" spans="2:28" ht="15.75" hidden="1" customHeight="1" outlineLevel="1">
      <c r="B93" s="20"/>
      <c r="C93" s="21"/>
      <c r="D93" s="21"/>
      <c r="E93" s="21"/>
      <c r="F93" s="21"/>
      <c r="G93" s="21"/>
      <c r="H93" s="21"/>
      <c r="I93" s="21"/>
      <c r="J93" s="21"/>
      <c r="K93" s="235">
        <f>SWM!$K$17</f>
        <v>396121532</v>
      </c>
      <c r="L93" s="23">
        <f>SWM!$L$17</f>
        <v>395314936</v>
      </c>
      <c r="N93" s="28"/>
      <c r="O93" s="42"/>
      <c r="P93" s="19"/>
      <c r="Q93" s="19"/>
      <c r="R93" s="19"/>
      <c r="S93" s="327">
        <f>SWM!$S$17</f>
        <v>0</v>
      </c>
      <c r="T93" s="19"/>
      <c r="U93" s="19"/>
      <c r="V93" s="19"/>
      <c r="W93" s="19"/>
      <c r="X93" s="19"/>
      <c r="Y93" s="19"/>
      <c r="Z93" s="19"/>
      <c r="AA93" s="19"/>
      <c r="AB93" s="24"/>
    </row>
    <row r="94" spans="2:28" ht="15.75" hidden="1" customHeight="1" outlineLevel="1">
      <c r="B94" s="20"/>
      <c r="C94" s="21"/>
      <c r="D94" s="21"/>
      <c r="E94" s="21"/>
      <c r="F94" s="21"/>
      <c r="G94" s="21"/>
      <c r="H94" s="21"/>
      <c r="I94" s="21"/>
      <c r="J94" s="21"/>
      <c r="K94" s="235">
        <f>TAMHSC!$K$17</f>
        <v>79816041</v>
      </c>
      <c r="L94" s="23">
        <f>TAMHSC!$L$17</f>
        <v>78170881</v>
      </c>
      <c r="N94" s="28"/>
      <c r="O94" s="42"/>
      <c r="P94" s="19"/>
      <c r="Q94" s="19"/>
      <c r="R94" s="19"/>
      <c r="S94" s="327">
        <f>TAMHSC!$S$17</f>
        <v>0</v>
      </c>
      <c r="T94" s="19"/>
      <c r="U94" s="19"/>
      <c r="V94" s="19"/>
      <c r="W94" s="19"/>
      <c r="X94" s="19"/>
      <c r="Y94" s="19"/>
      <c r="Z94" s="19"/>
      <c r="AA94" s="19"/>
      <c r="AB94" s="24"/>
    </row>
    <row r="95" spans="2:28" ht="15.75" hidden="1" customHeight="1" outlineLevel="1">
      <c r="B95" s="20"/>
      <c r="C95" s="21"/>
      <c r="D95" s="21"/>
      <c r="E95" s="21"/>
      <c r="F95" s="21"/>
      <c r="G95" s="21"/>
      <c r="H95" s="21"/>
      <c r="I95" s="21"/>
      <c r="J95" s="21"/>
      <c r="K95" s="235">
        <f>THC!$K$17</f>
        <v>14378132</v>
      </c>
      <c r="L95" s="23">
        <f>THC!$L$17</f>
        <v>14378132</v>
      </c>
      <c r="N95" s="28"/>
      <c r="O95" s="42"/>
      <c r="P95" s="19"/>
      <c r="Q95" s="19"/>
      <c r="R95" s="19"/>
      <c r="S95" s="327">
        <f>THC!$S$17</f>
        <v>0</v>
      </c>
      <c r="T95" s="19"/>
      <c r="U95" s="19"/>
      <c r="V95" s="19"/>
      <c r="W95" s="19"/>
      <c r="X95" s="19"/>
      <c r="Y95" s="19"/>
      <c r="Z95" s="19"/>
      <c r="AA95" s="19"/>
      <c r="AB95" s="24"/>
    </row>
    <row r="96" spans="2:28" ht="15.75" hidden="1" customHeight="1" outlineLevel="1">
      <c r="B96" s="20"/>
      <c r="C96" s="21"/>
      <c r="D96" s="21"/>
      <c r="E96" s="21"/>
      <c r="F96" s="21"/>
      <c r="G96" s="21"/>
      <c r="H96" s="21"/>
      <c r="I96" s="21"/>
      <c r="J96" s="21"/>
      <c r="K96" s="235">
        <f>TTUHSC!$K$17</f>
        <v>50987742</v>
      </c>
      <c r="L96" s="23">
        <f>TTUHSC!$L$17</f>
        <v>50888460</v>
      </c>
      <c r="N96" s="28"/>
      <c r="O96" s="42"/>
      <c r="P96" s="19"/>
      <c r="Q96" s="19"/>
      <c r="R96" s="19"/>
      <c r="S96" s="327">
        <f>TTUHSC!$S$17</f>
        <v>0</v>
      </c>
      <c r="T96" s="19"/>
      <c r="U96" s="19"/>
      <c r="V96" s="19"/>
      <c r="W96" s="19"/>
      <c r="X96" s="19"/>
      <c r="Y96" s="19"/>
      <c r="Z96" s="19"/>
      <c r="AA96" s="19"/>
      <c r="AB96" s="24"/>
    </row>
    <row r="97" spans="2:28" ht="15.75" hidden="1" customHeight="1" outlineLevel="1">
      <c r="B97" s="20"/>
      <c r="C97" s="21"/>
      <c r="D97" s="21"/>
      <c r="E97" s="21"/>
      <c r="F97" s="21"/>
      <c r="G97" s="21"/>
      <c r="H97" s="21"/>
      <c r="I97" s="21"/>
      <c r="J97" s="21"/>
      <c r="K97" s="235">
        <f>UNTHSC!$K$17</f>
        <v>39854879</v>
      </c>
      <c r="L97" s="23">
        <f>UNTHSC!$L$17</f>
        <v>39854879</v>
      </c>
      <c r="N97" s="28"/>
      <c r="O97" s="42"/>
      <c r="P97" s="19"/>
      <c r="Q97" s="19"/>
      <c r="R97" s="19"/>
      <c r="S97" s="327">
        <f>UNTHSC!$S$17</f>
        <v>0</v>
      </c>
      <c r="T97" s="19"/>
      <c r="U97" s="19"/>
      <c r="V97" s="19"/>
      <c r="W97" s="19"/>
      <c r="X97" s="19"/>
      <c r="Y97" s="19"/>
      <c r="Z97" s="19"/>
      <c r="AA97" s="19"/>
      <c r="AB97" s="24"/>
    </row>
    <row r="98" spans="2:28" ht="15.75" customHeight="1" collapsed="1">
      <c r="B98" s="43" t="s">
        <v>14</v>
      </c>
      <c r="C98" s="44"/>
      <c r="D98" s="44"/>
      <c r="E98" s="44"/>
      <c r="F98" s="44"/>
      <c r="G98" s="44"/>
      <c r="H98" s="44"/>
      <c r="I98" s="44"/>
      <c r="J98" s="44"/>
      <c r="K98" s="45">
        <f>SUM(K89:K97)</f>
        <v>1711019644</v>
      </c>
      <c r="L98" s="46">
        <f>SUM(L89:L97)</f>
        <v>1708468606</v>
      </c>
      <c r="N98" s="47"/>
      <c r="O98" s="48"/>
      <c r="P98" s="48"/>
      <c r="Q98" s="48"/>
      <c r="R98" s="49"/>
      <c r="S98" s="50">
        <f>SUM(S89:S97)</f>
        <v>0</v>
      </c>
      <c r="T98" s="49">
        <v>0</v>
      </c>
      <c r="U98" s="48">
        <v>0</v>
      </c>
      <c r="V98" s="48">
        <v>0</v>
      </c>
      <c r="W98" s="48"/>
      <c r="X98" s="48"/>
      <c r="Y98" s="51"/>
      <c r="Z98" s="41"/>
      <c r="AA98" s="19"/>
      <c r="AB98" s="44" t="e">
        <f>#REF!+#REF!+#REF!+#REF!</f>
        <v>#REF!</v>
      </c>
    </row>
    <row r="99" spans="2:28" ht="15.75" customHeight="1">
      <c r="C99" s="38"/>
      <c r="D99" s="38"/>
      <c r="E99" s="38"/>
      <c r="F99" s="457"/>
      <c r="G99" s="457"/>
      <c r="H99" s="457"/>
      <c r="I99" s="457"/>
      <c r="J99" s="457"/>
      <c r="K99" s="38"/>
      <c r="L99" s="38"/>
      <c r="N99" s="47"/>
      <c r="O99" s="48"/>
      <c r="P99" s="48"/>
      <c r="Q99" s="48"/>
      <c r="R99" s="49"/>
      <c r="S99" s="52"/>
      <c r="T99" s="49"/>
      <c r="U99" s="48"/>
      <c r="V99" s="48"/>
      <c r="W99" s="48"/>
      <c r="X99" s="48"/>
      <c r="Y99" s="51"/>
      <c r="Z99" s="41"/>
      <c r="AA99" s="19"/>
    </row>
    <row r="100" spans="2:28" ht="33" customHeight="1">
      <c r="B100" s="14" t="s">
        <v>15</v>
      </c>
      <c r="C100" s="53"/>
      <c r="D100" s="53"/>
      <c r="E100" s="53"/>
      <c r="F100" s="54"/>
      <c r="G100" s="54"/>
      <c r="H100" s="54"/>
      <c r="I100" s="54"/>
      <c r="J100" s="54"/>
      <c r="K100" s="54"/>
      <c r="L100" s="54"/>
      <c r="N100" s="47"/>
      <c r="O100" s="48"/>
      <c r="P100" s="48"/>
      <c r="Q100" s="48"/>
      <c r="R100" s="49"/>
      <c r="S100" s="52"/>
      <c r="T100" s="49"/>
      <c r="U100" s="48"/>
      <c r="V100" s="48"/>
      <c r="W100" s="48"/>
      <c r="X100" s="48"/>
      <c r="Y100" s="51"/>
      <c r="Z100" s="41"/>
      <c r="AA100" s="19"/>
    </row>
    <row r="101" spans="2:28" ht="33" hidden="1" customHeight="1" outlineLevel="1">
      <c r="B101" s="230"/>
      <c r="C101" s="37"/>
      <c r="D101" s="37"/>
      <c r="E101" s="37"/>
      <c r="F101" s="236">
        <f>HSH!$F$20</f>
        <v>0</v>
      </c>
      <c r="G101" s="236">
        <f>HSH!$G$20</f>
        <v>0</v>
      </c>
      <c r="H101" s="236">
        <f>HSH!$H$20</f>
        <v>0</v>
      </c>
      <c r="I101" s="236">
        <f>HSH!$I$20</f>
        <v>0</v>
      </c>
      <c r="J101" s="236">
        <f>HSH!$J$20</f>
        <v>0</v>
      </c>
      <c r="K101" s="236">
        <f>HSH!$K$20</f>
        <v>0</v>
      </c>
      <c r="L101" s="236">
        <f>HSH!$L$20</f>
        <v>0</v>
      </c>
      <c r="N101" s="47"/>
      <c r="O101" s="48"/>
      <c r="P101" s="48"/>
      <c r="Q101" s="48"/>
      <c r="R101" s="49"/>
      <c r="S101" s="52"/>
      <c r="T101" s="49"/>
      <c r="U101" s="48"/>
      <c r="V101" s="48"/>
      <c r="W101" s="48"/>
      <c r="X101" s="48"/>
      <c r="Y101" s="51"/>
      <c r="Z101" s="41"/>
      <c r="AA101" s="19"/>
    </row>
    <row r="102" spans="2:28" ht="33" hidden="1" customHeight="1" outlineLevel="1">
      <c r="B102" s="230"/>
      <c r="C102" s="37"/>
      <c r="D102" s="37"/>
      <c r="E102" s="37"/>
      <c r="F102" s="236">
        <f>HSSA!$F$20</f>
        <v>0</v>
      </c>
      <c r="G102" s="236">
        <f>HSSA!$G$20</f>
        <v>0</v>
      </c>
      <c r="H102" s="236">
        <f>HSSA!$H$20</f>
        <v>0</v>
      </c>
      <c r="I102" s="236">
        <f>HSSA!$I$20</f>
        <v>0</v>
      </c>
      <c r="J102" s="236">
        <f>HSSA!$J$20</f>
        <v>0</v>
      </c>
      <c r="K102" s="236">
        <f>HSSA!$K$20</f>
        <v>0</v>
      </c>
      <c r="L102" s="236">
        <f>HSSA!$L$20</f>
        <v>0</v>
      </c>
      <c r="N102" s="47"/>
      <c r="O102" s="48"/>
      <c r="P102" s="48"/>
      <c r="Q102" s="48"/>
      <c r="R102" s="49"/>
      <c r="S102" s="52"/>
      <c r="T102" s="49"/>
      <c r="U102" s="48"/>
      <c r="V102" s="48"/>
      <c r="W102" s="48"/>
      <c r="X102" s="48"/>
      <c r="Y102" s="51"/>
      <c r="Z102" s="41"/>
      <c r="AA102" s="19"/>
    </row>
    <row r="103" spans="2:28" ht="33" hidden="1" customHeight="1" outlineLevel="1">
      <c r="B103" s="230"/>
      <c r="C103" s="37"/>
      <c r="D103" s="37"/>
      <c r="E103" s="37"/>
      <c r="F103" s="236">
        <f>MBG!$F$20</f>
        <v>0</v>
      </c>
      <c r="G103" s="236">
        <f>MBG!$G$20</f>
        <v>0</v>
      </c>
      <c r="H103" s="236">
        <f>MBG!$H$20</f>
        <v>0</v>
      </c>
      <c r="I103" s="236">
        <f>MBG!$I$20</f>
        <v>0</v>
      </c>
      <c r="J103" s="236">
        <f>MBG!$J$20</f>
        <v>0</v>
      </c>
      <c r="K103" s="236">
        <f>MBG!$K$20</f>
        <v>0</v>
      </c>
      <c r="L103" s="236">
        <f>MBG!$L$20</f>
        <v>0</v>
      </c>
      <c r="N103" s="47"/>
      <c r="O103" s="48"/>
      <c r="P103" s="48"/>
      <c r="Q103" s="48"/>
      <c r="R103" s="49"/>
      <c r="S103" s="52"/>
      <c r="T103" s="49"/>
      <c r="U103" s="48"/>
      <c r="V103" s="48"/>
      <c r="W103" s="48"/>
      <c r="X103" s="48"/>
      <c r="Y103" s="51"/>
      <c r="Z103" s="41"/>
      <c r="AA103" s="19"/>
    </row>
    <row r="104" spans="2:28" ht="33" hidden="1" customHeight="1" outlineLevel="1">
      <c r="B104" s="230"/>
      <c r="C104" s="37"/>
      <c r="D104" s="37"/>
      <c r="E104" s="37"/>
      <c r="F104" s="236">
        <f>MDA!$F$20</f>
        <v>0</v>
      </c>
      <c r="G104" s="236">
        <f>MDA!$G$20</f>
        <v>0</v>
      </c>
      <c r="H104" s="236">
        <f>MDA!$H$20</f>
        <v>0</v>
      </c>
      <c r="I104" s="236">
        <f>MDA!$I$20</f>
        <v>0</v>
      </c>
      <c r="J104" s="236">
        <f>MDA!$J$20</f>
        <v>0</v>
      </c>
      <c r="K104" s="236">
        <f>MDA!$K$20</f>
        <v>0</v>
      </c>
      <c r="L104" s="236">
        <f>MDA!$L$20</f>
        <v>0</v>
      </c>
      <c r="N104" s="47"/>
      <c r="O104" s="48"/>
      <c r="P104" s="48"/>
      <c r="Q104" s="48"/>
      <c r="R104" s="49"/>
      <c r="S104" s="52"/>
      <c r="T104" s="49"/>
      <c r="U104" s="48"/>
      <c r="V104" s="48"/>
      <c r="W104" s="48"/>
      <c r="X104" s="48"/>
      <c r="Y104" s="51"/>
      <c r="Z104" s="41"/>
      <c r="AA104" s="19"/>
    </row>
    <row r="105" spans="2:28" ht="33" hidden="1" customHeight="1" outlineLevel="1">
      <c r="B105" s="230"/>
      <c r="C105" s="37"/>
      <c r="D105" s="37"/>
      <c r="E105" s="37"/>
      <c r="F105" s="236">
        <f>SWM!$F$20</f>
        <v>0</v>
      </c>
      <c r="G105" s="236">
        <f>SWM!$G$20</f>
        <v>0</v>
      </c>
      <c r="H105" s="236">
        <f>SWM!$H$20</f>
        <v>0</v>
      </c>
      <c r="I105" s="236">
        <f>SWM!$I$20</f>
        <v>0</v>
      </c>
      <c r="J105" s="236">
        <f>SWM!$J$20</f>
        <v>0</v>
      </c>
      <c r="K105" s="236">
        <f>SWM!$K$20</f>
        <v>0</v>
      </c>
      <c r="L105" s="236">
        <f>SWM!$L$20</f>
        <v>0</v>
      </c>
      <c r="N105" s="47"/>
      <c r="O105" s="48"/>
      <c r="P105" s="48"/>
      <c r="Q105" s="48"/>
      <c r="R105" s="49"/>
      <c r="S105" s="52"/>
      <c r="T105" s="49"/>
      <c r="U105" s="48"/>
      <c r="V105" s="48"/>
      <c r="W105" s="48"/>
      <c r="X105" s="48"/>
      <c r="Y105" s="51"/>
      <c r="Z105" s="41"/>
      <c r="AA105" s="19"/>
    </row>
    <row r="106" spans="2:28" ht="33" hidden="1" customHeight="1" outlineLevel="1">
      <c r="B106" s="230"/>
      <c r="C106" s="37"/>
      <c r="D106" s="37"/>
      <c r="E106" s="37"/>
      <c r="F106" s="236">
        <f>TAMHSC!$F$20</f>
        <v>179076</v>
      </c>
      <c r="G106" s="236">
        <f>TAMHSC!$G$20</f>
        <v>0</v>
      </c>
      <c r="H106" s="236">
        <f>TAMHSC!$H$20</f>
        <v>0</v>
      </c>
      <c r="I106" s="236">
        <f>TAMHSC!$I$20</f>
        <v>97183</v>
      </c>
      <c r="J106" s="236">
        <f>TAMHSC!$J$20</f>
        <v>0</v>
      </c>
      <c r="K106" s="236">
        <f>TAMHSC!$K$20</f>
        <v>0</v>
      </c>
      <c r="L106" s="236">
        <f>TAMHSC!$L$20</f>
        <v>276259</v>
      </c>
      <c r="N106" s="47"/>
      <c r="O106" s="48"/>
      <c r="P106" s="48"/>
      <c r="Q106" s="48"/>
      <c r="R106" s="49"/>
      <c r="S106" s="52"/>
      <c r="T106" s="49"/>
      <c r="U106" s="48"/>
      <c r="V106" s="48"/>
      <c r="W106" s="48"/>
      <c r="X106" s="48"/>
      <c r="Y106" s="51"/>
      <c r="Z106" s="41"/>
      <c r="AA106" s="19"/>
    </row>
    <row r="107" spans="2:28" ht="33" hidden="1" customHeight="1" outlineLevel="1">
      <c r="B107" s="230"/>
      <c r="C107" s="37"/>
      <c r="D107" s="37"/>
      <c r="E107" s="37"/>
      <c r="F107" s="236">
        <f>THC!$F$20</f>
        <v>1299948</v>
      </c>
      <c r="G107" s="236">
        <f>THC!$G$20</f>
        <v>0</v>
      </c>
      <c r="H107" s="236">
        <f>THC!$H$20</f>
        <v>0</v>
      </c>
      <c r="I107" s="236">
        <f>THC!$I$20</f>
        <v>0</v>
      </c>
      <c r="J107" s="236">
        <f>THC!$J$20</f>
        <v>0</v>
      </c>
      <c r="K107" s="236">
        <f>THC!$K$20</f>
        <v>0</v>
      </c>
      <c r="L107" s="236">
        <f>THC!$L$20</f>
        <v>1299948</v>
      </c>
      <c r="N107" s="47"/>
      <c r="O107" s="48"/>
      <c r="P107" s="48"/>
      <c r="Q107" s="48"/>
      <c r="R107" s="49"/>
      <c r="S107" s="52"/>
      <c r="T107" s="49"/>
      <c r="U107" s="48"/>
      <c r="V107" s="48"/>
      <c r="W107" s="48"/>
      <c r="X107" s="48"/>
      <c r="Y107" s="51"/>
      <c r="Z107" s="41"/>
      <c r="AA107" s="19"/>
    </row>
    <row r="108" spans="2:28" ht="33" hidden="1" customHeight="1" outlineLevel="1">
      <c r="B108" s="230"/>
      <c r="C108" s="37"/>
      <c r="D108" s="37"/>
      <c r="E108" s="37"/>
      <c r="F108" s="236">
        <f>TTUHSC!$F$20</f>
        <v>0</v>
      </c>
      <c r="G108" s="236">
        <f>TTUHSC!$G$20</f>
        <v>0</v>
      </c>
      <c r="H108" s="236">
        <f>TTUHSC!$H$20</f>
        <v>0</v>
      </c>
      <c r="I108" s="236">
        <f>TTUHSC!$I$20</f>
        <v>0</v>
      </c>
      <c r="J108" s="236">
        <f>TTUHSC!$J$20</f>
        <v>0</v>
      </c>
      <c r="K108" s="236">
        <f>TTUHSC!$K$20</f>
        <v>0</v>
      </c>
      <c r="L108" s="236">
        <f>TTUHSC!$L$20</f>
        <v>0</v>
      </c>
      <c r="N108" s="47"/>
      <c r="O108" s="48"/>
      <c r="P108" s="48"/>
      <c r="Q108" s="48"/>
      <c r="R108" s="49"/>
      <c r="S108" s="52"/>
      <c r="T108" s="49"/>
      <c r="U108" s="48"/>
      <c r="V108" s="48"/>
      <c r="W108" s="48"/>
      <c r="X108" s="48"/>
      <c r="Y108" s="51"/>
      <c r="Z108" s="41"/>
      <c r="AA108" s="19"/>
    </row>
    <row r="109" spans="2:28" ht="33" hidden="1" customHeight="1" outlineLevel="1">
      <c r="B109" s="230"/>
      <c r="C109" s="37"/>
      <c r="D109" s="37"/>
      <c r="E109" s="37"/>
      <c r="F109" s="236">
        <f>UNTHSC!$F$20</f>
        <v>0</v>
      </c>
      <c r="G109" s="236">
        <f>UNTHSC!$G$20</f>
        <v>0</v>
      </c>
      <c r="H109" s="236">
        <f>UNTHSC!$H$20</f>
        <v>0</v>
      </c>
      <c r="I109" s="236">
        <f>UNTHSC!$I$20</f>
        <v>0</v>
      </c>
      <c r="J109" s="236">
        <f>UNTHSC!$J$20</f>
        <v>0</v>
      </c>
      <c r="K109" s="236">
        <f>UNTHSC!$K$20</f>
        <v>0</v>
      </c>
      <c r="L109" s="236">
        <f>UNTHSC!$L$20</f>
        <v>0</v>
      </c>
      <c r="N109" s="47"/>
      <c r="O109" s="48"/>
      <c r="P109" s="48"/>
      <c r="Q109" s="48"/>
      <c r="R109" s="49"/>
      <c r="S109" s="52"/>
      <c r="T109" s="49"/>
      <c r="U109" s="48"/>
      <c r="V109" s="48"/>
      <c r="W109" s="48"/>
      <c r="X109" s="48"/>
      <c r="Y109" s="51"/>
      <c r="Z109" s="41"/>
      <c r="AA109" s="19"/>
    </row>
    <row r="110" spans="2:28" ht="15.75" customHeight="1" collapsed="1">
      <c r="B110" s="55" t="s">
        <v>23</v>
      </c>
      <c r="C110" s="21"/>
      <c r="D110" s="21"/>
      <c r="F110" s="56">
        <f t="shared" ref="F110:L110" si="1">SUM(F101:F109)</f>
        <v>1479024</v>
      </c>
      <c r="G110" s="56">
        <f t="shared" si="1"/>
        <v>0</v>
      </c>
      <c r="H110" s="56">
        <f t="shared" si="1"/>
        <v>0</v>
      </c>
      <c r="I110" s="56">
        <f t="shared" si="1"/>
        <v>97183</v>
      </c>
      <c r="J110" s="56">
        <f t="shared" si="1"/>
        <v>0</v>
      </c>
      <c r="K110" s="56">
        <f t="shared" si="1"/>
        <v>0</v>
      </c>
      <c r="L110" s="57">
        <f t="shared" si="1"/>
        <v>1576207</v>
      </c>
      <c r="N110" s="58"/>
      <c r="O110" s="59"/>
      <c r="P110" s="60"/>
      <c r="Q110" s="61"/>
      <c r="R110" s="58"/>
      <c r="S110" s="58"/>
      <c r="T110" s="58"/>
      <c r="U110" s="61"/>
      <c r="V110" s="58"/>
      <c r="W110" s="61"/>
      <c r="X110" s="62"/>
      <c r="Y110" s="59"/>
      <c r="Z110" s="61"/>
      <c r="AA110" s="19"/>
      <c r="AB110" s="24">
        <f t="shared" ref="AB110:AB160" si="2">SUM(C110:L110)</f>
        <v>3152414</v>
      </c>
    </row>
    <row r="111" spans="2:28" ht="15.75" hidden="1" customHeight="1" outlineLevel="1">
      <c r="B111" s="55"/>
      <c r="C111" s="21"/>
      <c r="D111" s="21"/>
      <c r="F111" s="64">
        <f>HSH!$F$21</f>
        <v>35368893</v>
      </c>
      <c r="G111" s="64">
        <f>HSH!$G$21</f>
        <v>1162935</v>
      </c>
      <c r="H111" s="64">
        <f>HSH!$H$21</f>
        <v>388260</v>
      </c>
      <c r="I111" s="64">
        <f>HSH!$I$21</f>
        <v>1126511</v>
      </c>
      <c r="J111" s="64">
        <f>HSH!$J$21</f>
        <v>399375</v>
      </c>
      <c r="K111" s="64">
        <f>HSH!$K$21</f>
        <v>2807980</v>
      </c>
      <c r="L111" s="65">
        <f>HSH!$L$21</f>
        <v>41253954</v>
      </c>
      <c r="N111" s="58"/>
      <c r="O111" s="59"/>
      <c r="P111" s="60"/>
      <c r="Q111" s="61"/>
      <c r="R111" s="58"/>
      <c r="S111" s="58"/>
      <c r="T111" s="58"/>
      <c r="U111" s="61"/>
      <c r="V111" s="58"/>
      <c r="W111" s="61"/>
      <c r="X111" s="62"/>
      <c r="Y111" s="59"/>
      <c r="Z111" s="61"/>
      <c r="AA111" s="19"/>
      <c r="AB111" s="24"/>
    </row>
    <row r="112" spans="2:28" ht="15.75" hidden="1" customHeight="1" outlineLevel="1">
      <c r="B112" s="55"/>
      <c r="C112" s="21"/>
      <c r="D112" s="21"/>
      <c r="F112" s="64">
        <f>HSSA!$F$21</f>
        <v>0</v>
      </c>
      <c r="G112" s="64">
        <f>HSSA!$G$21</f>
        <v>0</v>
      </c>
      <c r="H112" s="64">
        <f>HSSA!$H$21</f>
        <v>0</v>
      </c>
      <c r="I112" s="64">
        <f>HSSA!$I$21</f>
        <v>0</v>
      </c>
      <c r="J112" s="64">
        <f>HSSA!$J$21</f>
        <v>0</v>
      </c>
      <c r="K112" s="64">
        <f>HSSA!$K$21</f>
        <v>0</v>
      </c>
      <c r="L112" s="65">
        <f>HSSA!$L$21</f>
        <v>0</v>
      </c>
      <c r="N112" s="58"/>
      <c r="O112" s="59"/>
      <c r="P112" s="60"/>
      <c r="Q112" s="61"/>
      <c r="R112" s="58"/>
      <c r="S112" s="58"/>
      <c r="T112" s="58"/>
      <c r="U112" s="61"/>
      <c r="V112" s="58"/>
      <c r="W112" s="61"/>
      <c r="X112" s="62"/>
      <c r="Y112" s="59"/>
      <c r="Z112" s="61"/>
      <c r="AA112" s="19"/>
      <c r="AB112" s="24"/>
    </row>
    <row r="113" spans="2:28" ht="15.75" hidden="1" customHeight="1" outlineLevel="1">
      <c r="B113" s="55"/>
      <c r="C113" s="21"/>
      <c r="D113" s="21"/>
      <c r="F113" s="64">
        <f>MBG!$F$21</f>
        <v>51523589</v>
      </c>
      <c r="G113" s="64">
        <f>MBG!$G$21</f>
        <v>318588</v>
      </c>
      <c r="H113" s="64">
        <f>MBG!$H$21</f>
        <v>90752</v>
      </c>
      <c r="I113" s="64">
        <f>MBG!$I$21</f>
        <v>4497868</v>
      </c>
      <c r="J113" s="64">
        <f>MBG!$J$21</f>
        <v>1321290</v>
      </c>
      <c r="K113" s="64">
        <f>MBG!$K$21</f>
        <v>5361267</v>
      </c>
      <c r="L113" s="65">
        <f>MBG!$L$21</f>
        <v>63113354</v>
      </c>
      <c r="N113" s="58"/>
      <c r="O113" s="59"/>
      <c r="P113" s="60"/>
      <c r="Q113" s="61"/>
      <c r="R113" s="58"/>
      <c r="S113" s="58"/>
      <c r="T113" s="58"/>
      <c r="U113" s="61"/>
      <c r="V113" s="58"/>
      <c r="W113" s="61"/>
      <c r="X113" s="62"/>
      <c r="Y113" s="59"/>
      <c r="Z113" s="61"/>
      <c r="AA113" s="19"/>
      <c r="AB113" s="24"/>
    </row>
    <row r="114" spans="2:28" ht="15.75" hidden="1" customHeight="1" outlineLevel="1">
      <c r="B114" s="55"/>
      <c r="C114" s="21"/>
      <c r="D114" s="21"/>
      <c r="F114" s="64">
        <f>MDA!$F$21</f>
        <v>65655783</v>
      </c>
      <c r="G114" s="64">
        <f>MDA!$G$21</f>
        <v>65613402</v>
      </c>
      <c r="H114" s="64">
        <f>MDA!$H$21</f>
        <v>217616</v>
      </c>
      <c r="I114" s="64">
        <f>MDA!$I$21</f>
        <v>7409082</v>
      </c>
      <c r="J114" s="64">
        <f>MDA!$J$21</f>
        <v>4646129</v>
      </c>
      <c r="K114" s="64">
        <f>MDA!$K$21</f>
        <v>20725473</v>
      </c>
      <c r="L114" s="65">
        <f>MDA!$L$21</f>
        <v>164267485</v>
      </c>
      <c r="N114" s="58"/>
      <c r="O114" s="59"/>
      <c r="P114" s="60"/>
      <c r="Q114" s="61"/>
      <c r="R114" s="58"/>
      <c r="S114" s="58"/>
      <c r="T114" s="58"/>
      <c r="U114" s="61"/>
      <c r="V114" s="58"/>
      <c r="W114" s="61"/>
      <c r="X114" s="62"/>
      <c r="Y114" s="59"/>
      <c r="Z114" s="61"/>
      <c r="AA114" s="19"/>
      <c r="AB114" s="24"/>
    </row>
    <row r="115" spans="2:28" ht="15.75" hidden="1" customHeight="1" outlineLevel="1">
      <c r="B115" s="55"/>
      <c r="C115" s="21"/>
      <c r="D115" s="21"/>
      <c r="F115" s="64">
        <f>SWM!$F$21</f>
        <v>106280934</v>
      </c>
      <c r="G115" s="64">
        <f>SWM!$G$21</f>
        <v>18291963</v>
      </c>
      <c r="H115" s="64">
        <f>SWM!$H$21</f>
        <v>1441732</v>
      </c>
      <c r="I115" s="64">
        <f>SWM!$I$21</f>
        <v>4367700</v>
      </c>
      <c r="J115" s="64">
        <f>SWM!$J$21</f>
        <v>2442520</v>
      </c>
      <c r="K115" s="64">
        <f>SWM!$K$21</f>
        <v>32004547</v>
      </c>
      <c r="L115" s="65">
        <f>SWM!$L$21</f>
        <v>164829396</v>
      </c>
      <c r="N115" s="58"/>
      <c r="O115" s="59"/>
      <c r="P115" s="60"/>
      <c r="Q115" s="61"/>
      <c r="R115" s="58"/>
      <c r="S115" s="58"/>
      <c r="T115" s="58"/>
      <c r="U115" s="61"/>
      <c r="V115" s="58"/>
      <c r="W115" s="61"/>
      <c r="X115" s="62"/>
      <c r="Y115" s="59"/>
      <c r="Z115" s="61"/>
      <c r="AA115" s="19"/>
      <c r="AB115" s="24"/>
    </row>
    <row r="116" spans="2:28" ht="15.75" hidden="1" customHeight="1" outlineLevel="1">
      <c r="B116" s="55"/>
      <c r="C116" s="21"/>
      <c r="D116" s="21"/>
      <c r="F116" s="64">
        <f>TAMHSC!$F$21</f>
        <v>225501</v>
      </c>
      <c r="G116" s="64">
        <f>TAMHSC!$G$21</f>
        <v>0</v>
      </c>
      <c r="H116" s="64">
        <f>TAMHSC!$H$21</f>
        <v>0</v>
      </c>
      <c r="I116" s="64">
        <f>TAMHSC!$I$21</f>
        <v>12760</v>
      </c>
      <c r="J116" s="64">
        <f>TAMHSC!$J$21</f>
        <v>0</v>
      </c>
      <c r="K116" s="64">
        <f>TAMHSC!$K$21</f>
        <v>0</v>
      </c>
      <c r="L116" s="65">
        <f>TAMHSC!$L$21</f>
        <v>238261</v>
      </c>
      <c r="N116" s="58"/>
      <c r="O116" s="59"/>
      <c r="P116" s="60"/>
      <c r="Q116" s="61"/>
      <c r="R116" s="58"/>
      <c r="S116" s="58"/>
      <c r="T116" s="58"/>
      <c r="U116" s="61"/>
      <c r="V116" s="58"/>
      <c r="W116" s="61"/>
      <c r="X116" s="62"/>
      <c r="Y116" s="59"/>
      <c r="Z116" s="61"/>
      <c r="AA116" s="19"/>
      <c r="AB116" s="24"/>
    </row>
    <row r="117" spans="2:28" ht="15.75" hidden="1" customHeight="1" outlineLevel="1">
      <c r="B117" s="55"/>
      <c r="C117" s="21"/>
      <c r="D117" s="21"/>
      <c r="F117" s="64">
        <f>THC!$F$21</f>
        <v>0</v>
      </c>
      <c r="G117" s="64">
        <f>THC!$G$21</f>
        <v>0</v>
      </c>
      <c r="H117" s="64">
        <f>THC!$H$21</f>
        <v>0</v>
      </c>
      <c r="I117" s="64">
        <f>THC!$I$21</f>
        <v>0</v>
      </c>
      <c r="J117" s="64">
        <f>THC!$J$21</f>
        <v>0</v>
      </c>
      <c r="K117" s="64">
        <f>THC!$K$21</f>
        <v>0</v>
      </c>
      <c r="L117" s="65">
        <f>THC!$L$21</f>
        <v>0</v>
      </c>
      <c r="N117" s="58"/>
      <c r="O117" s="59"/>
      <c r="P117" s="60"/>
      <c r="Q117" s="61"/>
      <c r="R117" s="58"/>
      <c r="S117" s="58"/>
      <c r="T117" s="58"/>
      <c r="U117" s="61"/>
      <c r="V117" s="58"/>
      <c r="W117" s="61"/>
      <c r="X117" s="62"/>
      <c r="Y117" s="59"/>
      <c r="Z117" s="61"/>
      <c r="AA117" s="19"/>
      <c r="AB117" s="24"/>
    </row>
    <row r="118" spans="2:28" ht="15.75" hidden="1" customHeight="1" outlineLevel="1">
      <c r="B118" s="55"/>
      <c r="C118" s="21"/>
      <c r="D118" s="21"/>
      <c r="F118" s="64">
        <f>TTUHSC!$F$21</f>
        <v>8162590</v>
      </c>
      <c r="G118" s="64">
        <f>TTUHSC!$G$21</f>
        <v>7878037</v>
      </c>
      <c r="H118" s="64">
        <f>TTUHSC!$H$21</f>
        <v>135985</v>
      </c>
      <c r="I118" s="64">
        <f>TTUHSC!$I$21</f>
        <v>1848257</v>
      </c>
      <c r="J118" s="64">
        <f>TTUHSC!$J$21</f>
        <v>387508</v>
      </c>
      <c r="K118" s="64">
        <f>TTUHSC!$K$21</f>
        <v>961705</v>
      </c>
      <c r="L118" s="65">
        <f>TTUHSC!$L$21</f>
        <v>19374082</v>
      </c>
      <c r="N118" s="58"/>
      <c r="O118" s="59"/>
      <c r="P118" s="60"/>
      <c r="Q118" s="61"/>
      <c r="R118" s="58"/>
      <c r="S118" s="58"/>
      <c r="T118" s="58"/>
      <c r="U118" s="61"/>
      <c r="V118" s="58"/>
      <c r="W118" s="61"/>
      <c r="X118" s="62"/>
      <c r="Y118" s="59"/>
      <c r="Z118" s="61"/>
      <c r="AA118" s="19"/>
      <c r="AB118" s="24"/>
    </row>
    <row r="119" spans="2:28" ht="15.75" hidden="1" customHeight="1" outlineLevel="1">
      <c r="B119" s="55"/>
      <c r="C119" s="21"/>
      <c r="D119" s="21"/>
      <c r="F119" s="64">
        <f>UNTHSC!$F$21</f>
        <v>22251110</v>
      </c>
      <c r="G119" s="64">
        <f>UNTHSC!$G$21</f>
        <v>0</v>
      </c>
      <c r="H119" s="64">
        <f>UNTHSC!$H$21</f>
        <v>947302</v>
      </c>
      <c r="I119" s="64">
        <f>UNTHSC!$I$21</f>
        <v>6448897</v>
      </c>
      <c r="J119" s="64">
        <f>UNTHSC!$J$21</f>
        <v>1778661</v>
      </c>
      <c r="K119" s="64">
        <f>UNTHSC!$K$21</f>
        <v>886844</v>
      </c>
      <c r="L119" s="65">
        <f>UNTHSC!$L$21</f>
        <v>32312814</v>
      </c>
      <c r="N119" s="58"/>
      <c r="O119" s="59"/>
      <c r="P119" s="60"/>
      <c r="Q119" s="61"/>
      <c r="R119" s="58"/>
      <c r="S119" s="58"/>
      <c r="T119" s="58"/>
      <c r="U119" s="61"/>
      <c r="V119" s="58"/>
      <c r="W119" s="61"/>
      <c r="X119" s="62"/>
      <c r="Y119" s="59"/>
      <c r="Z119" s="61"/>
      <c r="AA119" s="19"/>
      <c r="AB119" s="24"/>
    </row>
    <row r="120" spans="2:28" ht="15.75" customHeight="1" collapsed="1">
      <c r="B120" s="63" t="s">
        <v>24</v>
      </c>
      <c r="C120" s="21"/>
      <c r="D120" s="21"/>
      <c r="F120" s="64">
        <f t="shared" ref="F120:L120" si="3">SUM(F111:F119)</f>
        <v>289468400</v>
      </c>
      <c r="G120" s="64">
        <f t="shared" si="3"/>
        <v>93264925</v>
      </c>
      <c r="H120" s="64">
        <f t="shared" si="3"/>
        <v>3221647</v>
      </c>
      <c r="I120" s="64">
        <f t="shared" si="3"/>
        <v>25711075</v>
      </c>
      <c r="J120" s="64">
        <f t="shared" si="3"/>
        <v>10975483</v>
      </c>
      <c r="K120" s="64">
        <f t="shared" si="3"/>
        <v>62747816</v>
      </c>
      <c r="L120" s="65">
        <f t="shared" si="3"/>
        <v>485389346</v>
      </c>
      <c r="N120" s="66"/>
      <c r="O120" s="67"/>
      <c r="P120" s="68"/>
      <c r="Q120" s="69"/>
      <c r="R120" s="70"/>
      <c r="S120" s="70"/>
      <c r="T120" s="70"/>
      <c r="U120" s="69"/>
      <c r="V120" s="71"/>
      <c r="W120" s="61"/>
      <c r="X120" s="62"/>
      <c r="Y120" s="67"/>
      <c r="Z120" s="69"/>
      <c r="AA120" s="19"/>
      <c r="AB120" s="24">
        <f t="shared" si="2"/>
        <v>970778692</v>
      </c>
    </row>
    <row r="121" spans="2:28" ht="15.75" hidden="1" customHeight="1" outlineLevel="1">
      <c r="B121" s="63"/>
      <c r="C121" s="21"/>
      <c r="D121" s="21"/>
      <c r="F121" s="64">
        <f>HSH!$F$22</f>
        <v>0</v>
      </c>
      <c r="G121" s="64">
        <f>HSH!$G$22</f>
        <v>0</v>
      </c>
      <c r="H121" s="64">
        <f>HSH!$H$22</f>
        <v>0</v>
      </c>
      <c r="I121" s="64">
        <f>HSH!$I$22</f>
        <v>0</v>
      </c>
      <c r="J121" s="64">
        <f>HSH!$J$22</f>
        <v>0</v>
      </c>
      <c r="K121" s="64">
        <f>HSH!$K$22</f>
        <v>0</v>
      </c>
      <c r="L121" s="65">
        <f>HSH!$L$22</f>
        <v>0</v>
      </c>
      <c r="N121" s="66"/>
      <c r="O121" s="67"/>
      <c r="P121" s="68"/>
      <c r="Q121" s="69"/>
      <c r="R121" s="70"/>
      <c r="S121" s="70"/>
      <c r="T121" s="70"/>
      <c r="U121" s="69"/>
      <c r="V121" s="71"/>
      <c r="W121" s="61"/>
      <c r="X121" s="62"/>
      <c r="Y121" s="67"/>
      <c r="Z121" s="69"/>
      <c r="AA121" s="19"/>
      <c r="AB121" s="24"/>
    </row>
    <row r="122" spans="2:28" ht="15.75" hidden="1" customHeight="1" outlineLevel="1">
      <c r="B122" s="63"/>
      <c r="C122" s="21"/>
      <c r="D122" s="21"/>
      <c r="F122" s="64">
        <f>HSSA!$F$22</f>
        <v>0</v>
      </c>
      <c r="G122" s="64">
        <f>HSSA!$G$22</f>
        <v>0</v>
      </c>
      <c r="H122" s="64">
        <f>HSSA!$H$22</f>
        <v>0</v>
      </c>
      <c r="I122" s="64">
        <f>HSSA!$I$22</f>
        <v>0</v>
      </c>
      <c r="J122" s="64">
        <f>HSSA!$J$22</f>
        <v>0</v>
      </c>
      <c r="K122" s="64">
        <f>HSSA!$K$22</f>
        <v>0</v>
      </c>
      <c r="L122" s="65">
        <f>HSSA!$L$22</f>
        <v>0</v>
      </c>
      <c r="N122" s="66"/>
      <c r="O122" s="67"/>
      <c r="P122" s="68"/>
      <c r="Q122" s="69"/>
      <c r="R122" s="70"/>
      <c r="S122" s="70"/>
      <c r="T122" s="70"/>
      <c r="U122" s="69"/>
      <c r="V122" s="71"/>
      <c r="W122" s="61"/>
      <c r="X122" s="62"/>
      <c r="Y122" s="67"/>
      <c r="Z122" s="69"/>
      <c r="AA122" s="19"/>
      <c r="AB122" s="24"/>
    </row>
    <row r="123" spans="2:28" ht="15.75" hidden="1" customHeight="1" outlineLevel="1">
      <c r="B123" s="63"/>
      <c r="C123" s="21"/>
      <c r="D123" s="21"/>
      <c r="F123" s="64">
        <f>MBG!$F$22</f>
        <v>0</v>
      </c>
      <c r="G123" s="64">
        <f>MBG!$G$22</f>
        <v>0</v>
      </c>
      <c r="H123" s="64">
        <f>MBG!$H$22</f>
        <v>0</v>
      </c>
      <c r="I123" s="64">
        <f>MBG!$I$22</f>
        <v>0</v>
      </c>
      <c r="J123" s="64">
        <f>MBG!$J$22</f>
        <v>0</v>
      </c>
      <c r="K123" s="64">
        <f>MBG!$K$22</f>
        <v>0</v>
      </c>
      <c r="L123" s="65">
        <f>MBG!$L$22</f>
        <v>0</v>
      </c>
      <c r="N123" s="66"/>
      <c r="O123" s="67"/>
      <c r="P123" s="68"/>
      <c r="Q123" s="69"/>
      <c r="R123" s="70"/>
      <c r="S123" s="70"/>
      <c r="T123" s="70"/>
      <c r="U123" s="69"/>
      <c r="V123" s="71"/>
      <c r="W123" s="61"/>
      <c r="X123" s="62"/>
      <c r="Y123" s="67"/>
      <c r="Z123" s="69"/>
      <c r="AA123" s="19"/>
      <c r="AB123" s="24"/>
    </row>
    <row r="124" spans="2:28" ht="15.75" hidden="1" customHeight="1" outlineLevel="1">
      <c r="B124" s="63"/>
      <c r="C124" s="21"/>
      <c r="D124" s="21"/>
      <c r="F124" s="64">
        <f>MDA!$F$22</f>
        <v>0</v>
      </c>
      <c r="G124" s="64">
        <f>MDA!$G$22</f>
        <v>0</v>
      </c>
      <c r="H124" s="64">
        <f>MDA!$H$22</f>
        <v>0</v>
      </c>
      <c r="I124" s="64">
        <f>MDA!$I$22</f>
        <v>0</v>
      </c>
      <c r="J124" s="64">
        <f>MDA!$J$22</f>
        <v>0</v>
      </c>
      <c r="K124" s="64">
        <f>MDA!$K$22</f>
        <v>0</v>
      </c>
      <c r="L124" s="65">
        <f>MDA!$L$22</f>
        <v>0</v>
      </c>
      <c r="N124" s="66"/>
      <c r="O124" s="67"/>
      <c r="P124" s="68"/>
      <c r="Q124" s="69"/>
      <c r="R124" s="70"/>
      <c r="S124" s="70"/>
      <c r="T124" s="70"/>
      <c r="U124" s="69"/>
      <c r="V124" s="71"/>
      <c r="W124" s="61"/>
      <c r="X124" s="62"/>
      <c r="Y124" s="67"/>
      <c r="Z124" s="69"/>
      <c r="AA124" s="19"/>
      <c r="AB124" s="24"/>
    </row>
    <row r="125" spans="2:28" ht="15.75" hidden="1" customHeight="1" outlineLevel="1">
      <c r="B125" s="63"/>
      <c r="C125" s="21"/>
      <c r="D125" s="21"/>
      <c r="F125" s="64">
        <f>SWM!$F$22</f>
        <v>0</v>
      </c>
      <c r="G125" s="64">
        <f>SWM!$G$22</f>
        <v>0</v>
      </c>
      <c r="H125" s="64">
        <f>SWM!$H$22</f>
        <v>0</v>
      </c>
      <c r="I125" s="64">
        <f>SWM!$I$22</f>
        <v>0</v>
      </c>
      <c r="J125" s="64">
        <f>SWM!$J$22</f>
        <v>0</v>
      </c>
      <c r="K125" s="64">
        <f>SWM!$K$22</f>
        <v>0</v>
      </c>
      <c r="L125" s="65">
        <f>SWM!$L$22</f>
        <v>0</v>
      </c>
      <c r="N125" s="66"/>
      <c r="O125" s="67"/>
      <c r="P125" s="68"/>
      <c r="Q125" s="69"/>
      <c r="R125" s="70"/>
      <c r="S125" s="70"/>
      <c r="T125" s="70"/>
      <c r="U125" s="69"/>
      <c r="V125" s="71"/>
      <c r="W125" s="61"/>
      <c r="X125" s="62"/>
      <c r="Y125" s="67"/>
      <c r="Z125" s="69"/>
      <c r="AA125" s="19"/>
      <c r="AB125" s="24"/>
    </row>
    <row r="126" spans="2:28" ht="15.75" hidden="1" customHeight="1" outlineLevel="1">
      <c r="B126" s="63"/>
      <c r="C126" s="21"/>
      <c r="D126" s="21"/>
      <c r="F126" s="64">
        <f>TAMHSC!$F$22</f>
        <v>0</v>
      </c>
      <c r="G126" s="64">
        <f>TAMHSC!$G$22</f>
        <v>0</v>
      </c>
      <c r="H126" s="64">
        <f>TAMHSC!$H$22</f>
        <v>0</v>
      </c>
      <c r="I126" s="64">
        <f>TAMHSC!$I$22</f>
        <v>1530</v>
      </c>
      <c r="J126" s="64">
        <f>TAMHSC!$J$22</f>
        <v>0</v>
      </c>
      <c r="K126" s="64">
        <f>TAMHSC!$K$22</f>
        <v>0</v>
      </c>
      <c r="L126" s="65">
        <f>TAMHSC!$L$22</f>
        <v>1530</v>
      </c>
      <c r="N126" s="66"/>
      <c r="O126" s="67"/>
      <c r="P126" s="68"/>
      <c r="Q126" s="69"/>
      <c r="R126" s="70"/>
      <c r="S126" s="70"/>
      <c r="T126" s="70"/>
      <c r="U126" s="69"/>
      <c r="V126" s="71"/>
      <c r="W126" s="61"/>
      <c r="X126" s="62"/>
      <c r="Y126" s="67"/>
      <c r="Z126" s="69"/>
      <c r="AA126" s="19"/>
      <c r="AB126" s="24"/>
    </row>
    <row r="127" spans="2:28" ht="15.75" hidden="1" customHeight="1" outlineLevel="1">
      <c r="B127" s="63"/>
      <c r="C127" s="21"/>
      <c r="D127" s="21"/>
      <c r="F127" s="64">
        <f>THC!$F$22</f>
        <v>0</v>
      </c>
      <c r="G127" s="64">
        <f>THC!$G$22</f>
        <v>0</v>
      </c>
      <c r="H127" s="64">
        <f>THC!$H$22</f>
        <v>0</v>
      </c>
      <c r="I127" s="64">
        <f>THC!$I$22</f>
        <v>0</v>
      </c>
      <c r="J127" s="64">
        <f>THC!$J$22</f>
        <v>0</v>
      </c>
      <c r="K127" s="64">
        <f>THC!$K$22</f>
        <v>0</v>
      </c>
      <c r="L127" s="65">
        <f>THC!$L$22</f>
        <v>0</v>
      </c>
      <c r="N127" s="66"/>
      <c r="O127" s="67"/>
      <c r="P127" s="68"/>
      <c r="Q127" s="69"/>
      <c r="R127" s="70"/>
      <c r="S127" s="70"/>
      <c r="T127" s="70"/>
      <c r="U127" s="69"/>
      <c r="V127" s="71"/>
      <c r="W127" s="61"/>
      <c r="X127" s="62"/>
      <c r="Y127" s="67"/>
      <c r="Z127" s="69"/>
      <c r="AA127" s="19"/>
      <c r="AB127" s="24"/>
    </row>
    <row r="128" spans="2:28" ht="15.75" hidden="1" customHeight="1" outlineLevel="1">
      <c r="B128" s="63"/>
      <c r="C128" s="21"/>
      <c r="D128" s="21"/>
      <c r="F128" s="64">
        <f>TTUHSC!$F$22</f>
        <v>0</v>
      </c>
      <c r="G128" s="64">
        <f>TTUHSC!$G$22</f>
        <v>0</v>
      </c>
      <c r="H128" s="64">
        <f>TTUHSC!$H$22</f>
        <v>0</v>
      </c>
      <c r="I128" s="64">
        <f>TTUHSC!$I$22</f>
        <v>0</v>
      </c>
      <c r="J128" s="64">
        <f>TTUHSC!$J$22</f>
        <v>0</v>
      </c>
      <c r="K128" s="64">
        <f>TTUHSC!$K$22</f>
        <v>0</v>
      </c>
      <c r="L128" s="65">
        <f>TTUHSC!$L$22</f>
        <v>0</v>
      </c>
      <c r="N128" s="66"/>
      <c r="O128" s="67"/>
      <c r="P128" s="68"/>
      <c r="Q128" s="69"/>
      <c r="R128" s="70"/>
      <c r="S128" s="70"/>
      <c r="T128" s="70"/>
      <c r="U128" s="69"/>
      <c r="V128" s="71"/>
      <c r="W128" s="61"/>
      <c r="X128" s="62"/>
      <c r="Y128" s="67"/>
      <c r="Z128" s="69"/>
      <c r="AA128" s="19"/>
      <c r="AB128" s="24"/>
    </row>
    <row r="129" spans="2:28" ht="15.75" hidden="1" customHeight="1" outlineLevel="1">
      <c r="B129" s="63"/>
      <c r="C129" s="21"/>
      <c r="D129" s="21"/>
      <c r="F129" s="64">
        <f>UNTHSC!$F$22</f>
        <v>0</v>
      </c>
      <c r="G129" s="64">
        <f>UNTHSC!$G$22</f>
        <v>0</v>
      </c>
      <c r="H129" s="64">
        <f>UNTHSC!$H$22</f>
        <v>0</v>
      </c>
      <c r="I129" s="64">
        <f>UNTHSC!$I$22</f>
        <v>0</v>
      </c>
      <c r="J129" s="64">
        <f>UNTHSC!$J$22</f>
        <v>0</v>
      </c>
      <c r="K129" s="64">
        <f>UNTHSC!$K$22</f>
        <v>0</v>
      </c>
      <c r="L129" s="65">
        <f>UNTHSC!$L$22</f>
        <v>0</v>
      </c>
      <c r="N129" s="66"/>
      <c r="O129" s="67"/>
      <c r="P129" s="68"/>
      <c r="Q129" s="69"/>
      <c r="R129" s="70"/>
      <c r="S129" s="70"/>
      <c r="T129" s="70"/>
      <c r="U129" s="69"/>
      <c r="V129" s="71"/>
      <c r="W129" s="61"/>
      <c r="X129" s="62"/>
      <c r="Y129" s="67"/>
      <c r="Z129" s="69"/>
      <c r="AA129" s="19"/>
      <c r="AB129" s="24"/>
    </row>
    <row r="130" spans="2:28" ht="15.75" customHeight="1" collapsed="1">
      <c r="B130" s="55" t="s">
        <v>25</v>
      </c>
      <c r="C130" s="21"/>
      <c r="D130" s="21"/>
      <c r="F130" s="64">
        <f t="shared" ref="F130:L130" si="4">SUM(F121:F129)</f>
        <v>0</v>
      </c>
      <c r="G130" s="64">
        <f t="shared" si="4"/>
        <v>0</v>
      </c>
      <c r="H130" s="64">
        <f t="shared" si="4"/>
        <v>0</v>
      </c>
      <c r="I130" s="64">
        <f t="shared" si="4"/>
        <v>1530</v>
      </c>
      <c r="J130" s="64">
        <f t="shared" si="4"/>
        <v>0</v>
      </c>
      <c r="K130" s="64">
        <f t="shared" si="4"/>
        <v>0</v>
      </c>
      <c r="L130" s="65">
        <f t="shared" si="4"/>
        <v>1530</v>
      </c>
      <c r="N130" s="66"/>
      <c r="O130" s="67"/>
      <c r="P130" s="72"/>
      <c r="Q130" s="69"/>
      <c r="R130" s="70"/>
      <c r="S130" s="70"/>
      <c r="T130" s="70"/>
      <c r="U130" s="69"/>
      <c r="V130" s="70"/>
      <c r="W130" s="69"/>
      <c r="X130" s="62"/>
      <c r="Y130" s="67"/>
      <c r="Z130" s="69"/>
      <c r="AA130" s="19"/>
      <c r="AB130" s="24">
        <f t="shared" si="2"/>
        <v>3060</v>
      </c>
    </row>
    <row r="131" spans="2:28" ht="15.75" hidden="1" customHeight="1" outlineLevel="1">
      <c r="B131" s="55"/>
      <c r="C131" s="21"/>
      <c r="D131" s="21"/>
      <c r="F131" s="64">
        <f>HSH!$F$23</f>
        <v>0</v>
      </c>
      <c r="G131" s="64">
        <f>HSH!$G$23</f>
        <v>0</v>
      </c>
      <c r="H131" s="64">
        <f>HSH!$H$23</f>
        <v>0</v>
      </c>
      <c r="I131" s="64">
        <f>HSH!$I$23</f>
        <v>0</v>
      </c>
      <c r="J131" s="64">
        <f>HSH!$J$23</f>
        <v>0</v>
      </c>
      <c r="K131" s="64">
        <f>HSH!$K$23</f>
        <v>0</v>
      </c>
      <c r="L131" s="65">
        <f>HSH!$L$23</f>
        <v>0</v>
      </c>
      <c r="N131" s="66"/>
      <c r="O131" s="67"/>
      <c r="P131" s="72"/>
      <c r="Q131" s="69"/>
      <c r="R131" s="70"/>
      <c r="S131" s="70"/>
      <c r="T131" s="70"/>
      <c r="U131" s="69"/>
      <c r="V131" s="70"/>
      <c r="W131" s="69"/>
      <c r="X131" s="62"/>
      <c r="Y131" s="67"/>
      <c r="Z131" s="69"/>
      <c r="AA131" s="19"/>
      <c r="AB131" s="24"/>
    </row>
    <row r="132" spans="2:28" ht="15.75" hidden="1" customHeight="1" outlineLevel="1">
      <c r="B132" s="55"/>
      <c r="C132" s="21"/>
      <c r="D132" s="21"/>
      <c r="F132" s="64">
        <f>HSSA!$F$23</f>
        <v>0</v>
      </c>
      <c r="G132" s="64">
        <f>HSSA!$G$23</f>
        <v>0</v>
      </c>
      <c r="H132" s="64">
        <f>HSSA!$H$23</f>
        <v>0</v>
      </c>
      <c r="I132" s="64">
        <f>HSSA!$I$23</f>
        <v>0</v>
      </c>
      <c r="J132" s="64">
        <f>HSSA!$J$23</f>
        <v>0</v>
      </c>
      <c r="K132" s="64">
        <f>HSSA!$K$23</f>
        <v>0</v>
      </c>
      <c r="L132" s="65">
        <f>HSSA!$L$23</f>
        <v>0</v>
      </c>
      <c r="N132" s="66"/>
      <c r="O132" s="67"/>
      <c r="P132" s="72"/>
      <c r="Q132" s="69"/>
      <c r="R132" s="70"/>
      <c r="S132" s="70"/>
      <c r="T132" s="70"/>
      <c r="U132" s="69"/>
      <c r="V132" s="70"/>
      <c r="W132" s="69"/>
      <c r="X132" s="62"/>
      <c r="Y132" s="67"/>
      <c r="Z132" s="69"/>
      <c r="AA132" s="19"/>
      <c r="AB132" s="24"/>
    </row>
    <row r="133" spans="2:28" ht="15.75" hidden="1" customHeight="1" outlineLevel="1">
      <c r="B133" s="55"/>
      <c r="C133" s="21"/>
      <c r="D133" s="21"/>
      <c r="F133" s="64">
        <f>MBG!$F$23</f>
        <v>886702</v>
      </c>
      <c r="G133" s="64">
        <f>MBG!$G$23</f>
        <v>398247</v>
      </c>
      <c r="H133" s="64">
        <f>MBG!$H$23</f>
        <v>0</v>
      </c>
      <c r="I133" s="64">
        <f>MBG!$I$23</f>
        <v>99878</v>
      </c>
      <c r="J133" s="64">
        <f>MBG!$J$23</f>
        <v>54945</v>
      </c>
      <c r="K133" s="64">
        <f>MBG!$K$23</f>
        <v>1482</v>
      </c>
      <c r="L133" s="65">
        <f>MBG!$L$23</f>
        <v>1441254</v>
      </c>
      <c r="N133" s="66"/>
      <c r="O133" s="67"/>
      <c r="P133" s="72"/>
      <c r="Q133" s="69"/>
      <c r="R133" s="70"/>
      <c r="S133" s="70"/>
      <c r="T133" s="70"/>
      <c r="U133" s="69"/>
      <c r="V133" s="70"/>
      <c r="W133" s="69"/>
      <c r="X133" s="62"/>
      <c r="Y133" s="67"/>
      <c r="Z133" s="69"/>
      <c r="AA133" s="19"/>
      <c r="AB133" s="24"/>
    </row>
    <row r="134" spans="2:28" ht="15.75" hidden="1" customHeight="1" outlineLevel="1">
      <c r="B134" s="55"/>
      <c r="C134" s="21"/>
      <c r="D134" s="21"/>
      <c r="F134" s="64">
        <f>MDA!$F$23</f>
        <v>0</v>
      </c>
      <c r="G134" s="64">
        <f>MDA!$G$23</f>
        <v>0</v>
      </c>
      <c r="H134" s="64">
        <f>MDA!$H$23</f>
        <v>0</v>
      </c>
      <c r="I134" s="64">
        <f>MDA!$I$23</f>
        <v>0</v>
      </c>
      <c r="J134" s="64">
        <f>MDA!$J$23</f>
        <v>0</v>
      </c>
      <c r="K134" s="64">
        <f>MDA!$K$23</f>
        <v>0</v>
      </c>
      <c r="L134" s="65">
        <f>MDA!$L$23</f>
        <v>0</v>
      </c>
      <c r="N134" s="66"/>
      <c r="O134" s="67"/>
      <c r="P134" s="72"/>
      <c r="Q134" s="69"/>
      <c r="R134" s="70"/>
      <c r="S134" s="70"/>
      <c r="T134" s="70"/>
      <c r="U134" s="69"/>
      <c r="V134" s="70"/>
      <c r="W134" s="69"/>
      <c r="X134" s="62"/>
      <c r="Y134" s="67"/>
      <c r="Z134" s="69"/>
      <c r="AA134" s="19"/>
      <c r="AB134" s="24"/>
    </row>
    <row r="135" spans="2:28" ht="15.75" hidden="1" customHeight="1" outlineLevel="1">
      <c r="B135" s="55"/>
      <c r="C135" s="21"/>
      <c r="D135" s="21"/>
      <c r="F135" s="64">
        <f>SWM!$F$23</f>
        <v>0</v>
      </c>
      <c r="G135" s="64">
        <f>SWM!$G$23</f>
        <v>0</v>
      </c>
      <c r="H135" s="64">
        <f>SWM!$H$23</f>
        <v>0</v>
      </c>
      <c r="I135" s="64">
        <f>SWM!$I$23</f>
        <v>0</v>
      </c>
      <c r="J135" s="64">
        <f>SWM!$J$23</f>
        <v>0</v>
      </c>
      <c r="K135" s="64">
        <f>SWM!$K$23</f>
        <v>0</v>
      </c>
      <c r="L135" s="65">
        <f>SWM!$L$23</f>
        <v>0</v>
      </c>
      <c r="N135" s="66"/>
      <c r="O135" s="67"/>
      <c r="P135" s="72"/>
      <c r="Q135" s="69"/>
      <c r="R135" s="70"/>
      <c r="S135" s="70"/>
      <c r="T135" s="70"/>
      <c r="U135" s="69"/>
      <c r="V135" s="70"/>
      <c r="W135" s="69"/>
      <c r="X135" s="62"/>
      <c r="Y135" s="67"/>
      <c r="Z135" s="69"/>
      <c r="AA135" s="19"/>
      <c r="AB135" s="24"/>
    </row>
    <row r="136" spans="2:28" ht="15.75" hidden="1" customHeight="1" outlineLevel="1">
      <c r="B136" s="55"/>
      <c r="C136" s="21"/>
      <c r="D136" s="21"/>
      <c r="F136" s="64">
        <f>TAMHSC!$F$23</f>
        <v>214490</v>
      </c>
      <c r="G136" s="64">
        <f>TAMHSC!$G$23</f>
        <v>0</v>
      </c>
      <c r="H136" s="64">
        <f>TAMHSC!$H$23</f>
        <v>0</v>
      </c>
      <c r="I136" s="64">
        <f>TAMHSC!$I$23</f>
        <v>2616</v>
      </c>
      <c r="J136" s="64">
        <f>TAMHSC!$J$23</f>
        <v>0</v>
      </c>
      <c r="K136" s="64">
        <f>TAMHSC!$K$23</f>
        <v>0</v>
      </c>
      <c r="L136" s="65">
        <f>TAMHSC!$L$23</f>
        <v>217106</v>
      </c>
      <c r="N136" s="66"/>
      <c r="O136" s="67"/>
      <c r="P136" s="72"/>
      <c r="Q136" s="69"/>
      <c r="R136" s="70"/>
      <c r="S136" s="70"/>
      <c r="T136" s="70"/>
      <c r="U136" s="69"/>
      <c r="V136" s="70"/>
      <c r="W136" s="69"/>
      <c r="X136" s="62"/>
      <c r="Y136" s="67"/>
      <c r="Z136" s="69"/>
      <c r="AA136" s="19"/>
      <c r="AB136" s="24"/>
    </row>
    <row r="137" spans="2:28" ht="15.75" hidden="1" customHeight="1" outlineLevel="1">
      <c r="B137" s="55"/>
      <c r="C137" s="21"/>
      <c r="D137" s="21"/>
      <c r="F137" s="64">
        <f>THC!$F$23</f>
        <v>0</v>
      </c>
      <c r="G137" s="64">
        <f>THC!$G$23</f>
        <v>0</v>
      </c>
      <c r="H137" s="64">
        <f>THC!$H$23</f>
        <v>0</v>
      </c>
      <c r="I137" s="64">
        <f>THC!$I$23</f>
        <v>0</v>
      </c>
      <c r="J137" s="64">
        <f>THC!$J$23</f>
        <v>0</v>
      </c>
      <c r="K137" s="64">
        <f>THC!$K$23</f>
        <v>0</v>
      </c>
      <c r="L137" s="65">
        <f>THC!$L$23</f>
        <v>0</v>
      </c>
      <c r="N137" s="66"/>
      <c r="O137" s="67"/>
      <c r="P137" s="72"/>
      <c r="Q137" s="69"/>
      <c r="R137" s="70"/>
      <c r="S137" s="70"/>
      <c r="T137" s="70"/>
      <c r="U137" s="69"/>
      <c r="V137" s="70"/>
      <c r="W137" s="69"/>
      <c r="X137" s="62"/>
      <c r="Y137" s="67"/>
      <c r="Z137" s="69"/>
      <c r="AA137" s="19"/>
      <c r="AB137" s="24"/>
    </row>
    <row r="138" spans="2:28" ht="15.75" hidden="1" customHeight="1" outlineLevel="1">
      <c r="B138" s="55"/>
      <c r="C138" s="21"/>
      <c r="D138" s="21"/>
      <c r="F138" s="64">
        <f>TTUHSC!$F$23</f>
        <v>0</v>
      </c>
      <c r="G138" s="64">
        <f>TTUHSC!$G$23</f>
        <v>0</v>
      </c>
      <c r="H138" s="64">
        <f>TTUHSC!$H$23</f>
        <v>0</v>
      </c>
      <c r="I138" s="64">
        <f>TTUHSC!$I$23</f>
        <v>0</v>
      </c>
      <c r="J138" s="64">
        <f>TTUHSC!$J$23</f>
        <v>0</v>
      </c>
      <c r="K138" s="64">
        <f>TTUHSC!$K$23</f>
        <v>0</v>
      </c>
      <c r="L138" s="65">
        <f>TTUHSC!$L$23</f>
        <v>0</v>
      </c>
      <c r="N138" s="66"/>
      <c r="O138" s="67"/>
      <c r="P138" s="72"/>
      <c r="Q138" s="69"/>
      <c r="R138" s="70"/>
      <c r="S138" s="70"/>
      <c r="T138" s="70"/>
      <c r="U138" s="69"/>
      <c r="V138" s="70"/>
      <c r="W138" s="69"/>
      <c r="X138" s="62"/>
      <c r="Y138" s="67"/>
      <c r="Z138" s="69"/>
      <c r="AA138" s="19"/>
      <c r="AB138" s="24"/>
    </row>
    <row r="139" spans="2:28" ht="15.75" hidden="1" customHeight="1" outlineLevel="1">
      <c r="B139" s="55"/>
      <c r="C139" s="21"/>
      <c r="D139" s="21"/>
      <c r="F139" s="64">
        <f>UNTHSC!$F$23</f>
        <v>0</v>
      </c>
      <c r="G139" s="64">
        <f>UNTHSC!$G$23</f>
        <v>0</v>
      </c>
      <c r="H139" s="64">
        <f>UNTHSC!$H$23</f>
        <v>0</v>
      </c>
      <c r="I139" s="64">
        <f>UNTHSC!$I$23</f>
        <v>0</v>
      </c>
      <c r="J139" s="64">
        <f>UNTHSC!$J$23</f>
        <v>0</v>
      </c>
      <c r="K139" s="64">
        <f>UNTHSC!$K$23</f>
        <v>0</v>
      </c>
      <c r="L139" s="65">
        <f>UNTHSC!$L$23</f>
        <v>0</v>
      </c>
      <c r="N139" s="66"/>
      <c r="O139" s="67"/>
      <c r="P139" s="72"/>
      <c r="Q139" s="69"/>
      <c r="R139" s="70"/>
      <c r="S139" s="70"/>
      <c r="T139" s="70"/>
      <c r="U139" s="69"/>
      <c r="V139" s="70"/>
      <c r="W139" s="69"/>
      <c r="X139" s="62"/>
      <c r="Y139" s="67"/>
      <c r="Z139" s="69"/>
      <c r="AA139" s="19"/>
      <c r="AB139" s="24"/>
    </row>
    <row r="140" spans="2:28" ht="15.75" customHeight="1" collapsed="1">
      <c r="B140" s="55" t="s">
        <v>26</v>
      </c>
      <c r="C140" s="21"/>
      <c r="D140" s="21"/>
      <c r="F140" s="64">
        <f t="shared" ref="F140:L140" si="5">SUM(F131:F139)</f>
        <v>1101192</v>
      </c>
      <c r="G140" s="64">
        <f t="shared" si="5"/>
        <v>398247</v>
      </c>
      <c r="H140" s="64">
        <f t="shared" si="5"/>
        <v>0</v>
      </c>
      <c r="I140" s="64">
        <f t="shared" si="5"/>
        <v>102494</v>
      </c>
      <c r="J140" s="64">
        <f t="shared" si="5"/>
        <v>54945</v>
      </c>
      <c r="K140" s="64">
        <f t="shared" si="5"/>
        <v>1482</v>
      </c>
      <c r="L140" s="65">
        <f t="shared" si="5"/>
        <v>1658360</v>
      </c>
      <c r="N140" s="66"/>
      <c r="O140" s="67"/>
      <c r="P140" s="68"/>
      <c r="Q140" s="69"/>
      <c r="R140" s="70"/>
      <c r="S140" s="70"/>
      <c r="T140" s="70"/>
      <c r="U140" s="69"/>
      <c r="V140" s="70"/>
      <c r="W140" s="69"/>
      <c r="X140" s="62"/>
      <c r="Y140" s="67"/>
      <c r="Z140" s="69"/>
      <c r="AA140" s="19"/>
      <c r="AB140" s="24">
        <f t="shared" si="2"/>
        <v>3316720</v>
      </c>
    </row>
    <row r="141" spans="2:28" ht="15.75" hidden="1" customHeight="1" outlineLevel="1">
      <c r="B141" s="55"/>
      <c r="C141" s="21"/>
      <c r="D141" s="21"/>
      <c r="F141" s="64">
        <f>HSH!$F$24</f>
        <v>0</v>
      </c>
      <c r="G141" s="64">
        <f>HSH!$G$24</f>
        <v>0</v>
      </c>
      <c r="H141" s="64">
        <f>HSH!$H$24</f>
        <v>0</v>
      </c>
      <c r="I141" s="64">
        <f>HSH!$I$24</f>
        <v>0</v>
      </c>
      <c r="J141" s="64">
        <f>HSH!$J$24</f>
        <v>0</v>
      </c>
      <c r="K141" s="64">
        <f>HSH!$K$24</f>
        <v>0</v>
      </c>
      <c r="L141" s="65">
        <f>HSH!$L$24</f>
        <v>0</v>
      </c>
      <c r="N141" s="66"/>
      <c r="O141" s="67"/>
      <c r="P141" s="68"/>
      <c r="Q141" s="69"/>
      <c r="R141" s="70"/>
      <c r="S141" s="70"/>
      <c r="T141" s="70"/>
      <c r="U141" s="69"/>
      <c r="V141" s="70"/>
      <c r="W141" s="69"/>
      <c r="X141" s="62"/>
      <c r="Y141" s="67"/>
      <c r="Z141" s="69"/>
      <c r="AA141" s="19"/>
      <c r="AB141" s="24"/>
    </row>
    <row r="142" spans="2:28" ht="15.75" hidden="1" customHeight="1" outlineLevel="1">
      <c r="B142" s="55"/>
      <c r="C142" s="21"/>
      <c r="D142" s="21"/>
      <c r="F142" s="64">
        <f>HSSA!$F$24</f>
        <v>0</v>
      </c>
      <c r="G142" s="64">
        <f>HSSA!$G$24</f>
        <v>0</v>
      </c>
      <c r="H142" s="64">
        <f>HSSA!$H$24</f>
        <v>0</v>
      </c>
      <c r="I142" s="64">
        <f>HSSA!$I$24</f>
        <v>0</v>
      </c>
      <c r="J142" s="64">
        <f>HSSA!$J$24</f>
        <v>0</v>
      </c>
      <c r="K142" s="64">
        <f>HSSA!$K$24</f>
        <v>0</v>
      </c>
      <c r="L142" s="65">
        <f>HSSA!$L$24</f>
        <v>0</v>
      </c>
      <c r="N142" s="66"/>
      <c r="O142" s="67"/>
      <c r="P142" s="68"/>
      <c r="Q142" s="69"/>
      <c r="R142" s="70"/>
      <c r="S142" s="70"/>
      <c r="T142" s="70"/>
      <c r="U142" s="69"/>
      <c r="V142" s="70"/>
      <c r="W142" s="69"/>
      <c r="X142" s="62"/>
      <c r="Y142" s="67"/>
      <c r="Z142" s="69"/>
      <c r="AA142" s="19"/>
      <c r="AB142" s="24"/>
    </row>
    <row r="143" spans="2:28" ht="15.75" hidden="1" customHeight="1" outlineLevel="1">
      <c r="B143" s="55"/>
      <c r="C143" s="21"/>
      <c r="D143" s="21"/>
      <c r="F143" s="64">
        <f>MBG!$F$24</f>
        <v>0</v>
      </c>
      <c r="G143" s="64">
        <f>MBG!$G$24</f>
        <v>0</v>
      </c>
      <c r="H143" s="64">
        <f>MBG!$H$24</f>
        <v>0</v>
      </c>
      <c r="I143" s="64">
        <f>MBG!$I$24</f>
        <v>0</v>
      </c>
      <c r="J143" s="64">
        <f>MBG!$J$24</f>
        <v>0</v>
      </c>
      <c r="K143" s="64">
        <f>MBG!$K$24</f>
        <v>0</v>
      </c>
      <c r="L143" s="65">
        <f>MBG!$L$24</f>
        <v>0</v>
      </c>
      <c r="N143" s="66"/>
      <c r="O143" s="67"/>
      <c r="P143" s="68"/>
      <c r="Q143" s="69"/>
      <c r="R143" s="70"/>
      <c r="S143" s="70"/>
      <c r="T143" s="70"/>
      <c r="U143" s="69"/>
      <c r="V143" s="70"/>
      <c r="W143" s="69"/>
      <c r="X143" s="62"/>
      <c r="Y143" s="67"/>
      <c r="Z143" s="69"/>
      <c r="AA143" s="19"/>
      <c r="AB143" s="24"/>
    </row>
    <row r="144" spans="2:28" ht="15.75" hidden="1" customHeight="1" outlineLevel="1">
      <c r="B144" s="55"/>
      <c r="C144" s="21"/>
      <c r="D144" s="21"/>
      <c r="F144" s="64">
        <f>MDA!$F$24</f>
        <v>0</v>
      </c>
      <c r="G144" s="64">
        <f>MDA!$G$24</f>
        <v>0</v>
      </c>
      <c r="H144" s="64">
        <f>MDA!$H$24</f>
        <v>0</v>
      </c>
      <c r="I144" s="64">
        <f>MDA!$I$24</f>
        <v>0</v>
      </c>
      <c r="J144" s="64">
        <f>MDA!$J$24</f>
        <v>0</v>
      </c>
      <c r="K144" s="64">
        <f>MDA!$K$24</f>
        <v>0</v>
      </c>
      <c r="L144" s="65">
        <f>MDA!$L$24</f>
        <v>0</v>
      </c>
      <c r="N144" s="66"/>
      <c r="O144" s="67"/>
      <c r="P144" s="68"/>
      <c r="Q144" s="69"/>
      <c r="R144" s="70"/>
      <c r="S144" s="70"/>
      <c r="T144" s="70"/>
      <c r="U144" s="69"/>
      <c r="V144" s="70"/>
      <c r="W144" s="69"/>
      <c r="X144" s="62"/>
      <c r="Y144" s="67"/>
      <c r="Z144" s="69"/>
      <c r="AA144" s="19"/>
      <c r="AB144" s="24"/>
    </row>
    <row r="145" spans="2:28" ht="15.75" hidden="1" customHeight="1" outlineLevel="1">
      <c r="B145" s="55"/>
      <c r="C145" s="21"/>
      <c r="D145" s="21"/>
      <c r="F145" s="64">
        <f>SWM!$F$24</f>
        <v>0</v>
      </c>
      <c r="G145" s="64">
        <f>SWM!$G$24</f>
        <v>0</v>
      </c>
      <c r="H145" s="64">
        <f>SWM!$H$24</f>
        <v>0</v>
      </c>
      <c r="I145" s="64">
        <f>SWM!$I$24</f>
        <v>0</v>
      </c>
      <c r="J145" s="64">
        <f>SWM!$J$24</f>
        <v>0</v>
      </c>
      <c r="K145" s="64">
        <f>SWM!$K$24</f>
        <v>0</v>
      </c>
      <c r="L145" s="65">
        <f>SWM!$L$24</f>
        <v>0</v>
      </c>
      <c r="N145" s="66"/>
      <c r="O145" s="67"/>
      <c r="P145" s="68"/>
      <c r="Q145" s="69"/>
      <c r="R145" s="70"/>
      <c r="S145" s="70"/>
      <c r="T145" s="70"/>
      <c r="U145" s="69"/>
      <c r="V145" s="70"/>
      <c r="W145" s="69"/>
      <c r="X145" s="62"/>
      <c r="Y145" s="67"/>
      <c r="Z145" s="69"/>
      <c r="AA145" s="19"/>
      <c r="AB145" s="24"/>
    </row>
    <row r="146" spans="2:28" ht="15.75" hidden="1" customHeight="1" outlineLevel="1">
      <c r="B146" s="55"/>
      <c r="C146" s="21"/>
      <c r="D146" s="21"/>
      <c r="F146" s="64">
        <f>TAMHSC!$F$24</f>
        <v>0</v>
      </c>
      <c r="G146" s="64">
        <f>TAMHSC!$G$24</f>
        <v>0</v>
      </c>
      <c r="H146" s="64">
        <f>TAMHSC!$H$24</f>
        <v>0</v>
      </c>
      <c r="I146" s="64">
        <f>TAMHSC!$I$24</f>
        <v>0</v>
      </c>
      <c r="J146" s="64">
        <f>TAMHSC!$J$24</f>
        <v>0</v>
      </c>
      <c r="K146" s="64">
        <f>TAMHSC!$K$24</f>
        <v>0</v>
      </c>
      <c r="L146" s="65">
        <f>TAMHSC!$L$24</f>
        <v>0</v>
      </c>
      <c r="N146" s="66"/>
      <c r="O146" s="67"/>
      <c r="P146" s="68"/>
      <c r="Q146" s="69"/>
      <c r="R146" s="70"/>
      <c r="S146" s="70"/>
      <c r="T146" s="70"/>
      <c r="U146" s="69"/>
      <c r="V146" s="70"/>
      <c r="W146" s="69"/>
      <c r="X146" s="62"/>
      <c r="Y146" s="67"/>
      <c r="Z146" s="69"/>
      <c r="AA146" s="19"/>
      <c r="AB146" s="24"/>
    </row>
    <row r="147" spans="2:28" ht="15.75" hidden="1" customHeight="1" outlineLevel="1">
      <c r="B147" s="55"/>
      <c r="C147" s="21"/>
      <c r="D147" s="21"/>
      <c r="F147" s="64">
        <f>THC!$F$24</f>
        <v>0</v>
      </c>
      <c r="G147" s="64">
        <f>THC!$G$24</f>
        <v>0</v>
      </c>
      <c r="H147" s="64">
        <f>THC!$H$24</f>
        <v>0</v>
      </c>
      <c r="I147" s="64">
        <f>THC!$I$24</f>
        <v>0</v>
      </c>
      <c r="J147" s="64">
        <f>THC!$J$24</f>
        <v>0</v>
      </c>
      <c r="K147" s="64">
        <f>THC!$K$24</f>
        <v>0</v>
      </c>
      <c r="L147" s="65">
        <f>THC!$L$24</f>
        <v>0</v>
      </c>
      <c r="N147" s="66"/>
      <c r="O147" s="67"/>
      <c r="P147" s="68"/>
      <c r="Q147" s="69"/>
      <c r="R147" s="70"/>
      <c r="S147" s="70"/>
      <c r="T147" s="70"/>
      <c r="U147" s="69"/>
      <c r="V147" s="70"/>
      <c r="W147" s="69"/>
      <c r="X147" s="62"/>
      <c r="Y147" s="67"/>
      <c r="Z147" s="69"/>
      <c r="AA147" s="19"/>
      <c r="AB147" s="24"/>
    </row>
    <row r="148" spans="2:28" ht="15.75" hidden="1" customHeight="1" outlineLevel="1">
      <c r="B148" s="55"/>
      <c r="C148" s="21"/>
      <c r="D148" s="21"/>
      <c r="F148" s="64">
        <f>TTUHSC!$F$24</f>
        <v>0</v>
      </c>
      <c r="G148" s="64">
        <f>TTUHSC!$G$24</f>
        <v>0</v>
      </c>
      <c r="H148" s="64">
        <f>TTUHSC!$H$24</f>
        <v>0</v>
      </c>
      <c r="I148" s="64">
        <f>TTUHSC!$I$24</f>
        <v>0</v>
      </c>
      <c r="J148" s="64">
        <f>TTUHSC!$J$24</f>
        <v>0</v>
      </c>
      <c r="K148" s="64">
        <f>TTUHSC!$K$24</f>
        <v>0</v>
      </c>
      <c r="L148" s="65">
        <f>TTUHSC!$L$24</f>
        <v>0</v>
      </c>
      <c r="N148" s="66"/>
      <c r="O148" s="67"/>
      <c r="P148" s="68"/>
      <c r="Q148" s="69"/>
      <c r="R148" s="70"/>
      <c r="S148" s="70"/>
      <c r="T148" s="70"/>
      <c r="U148" s="69"/>
      <c r="V148" s="70"/>
      <c r="W148" s="69"/>
      <c r="X148" s="62"/>
      <c r="Y148" s="67"/>
      <c r="Z148" s="69"/>
      <c r="AA148" s="19"/>
      <c r="AB148" s="24"/>
    </row>
    <row r="149" spans="2:28" ht="15.75" hidden="1" customHeight="1" outlineLevel="1">
      <c r="B149" s="55"/>
      <c r="C149" s="21"/>
      <c r="D149" s="21"/>
      <c r="F149" s="64">
        <f>UNTHSC!$F$24</f>
        <v>0</v>
      </c>
      <c r="G149" s="64">
        <f>UNTHSC!$G$24</f>
        <v>0</v>
      </c>
      <c r="H149" s="64">
        <f>UNTHSC!$H$24</f>
        <v>0</v>
      </c>
      <c r="I149" s="64">
        <f>UNTHSC!$I$24</f>
        <v>0</v>
      </c>
      <c r="J149" s="64">
        <f>UNTHSC!$J$24</f>
        <v>0</v>
      </c>
      <c r="K149" s="64">
        <f>UNTHSC!$K$24</f>
        <v>0</v>
      </c>
      <c r="L149" s="65">
        <f>UNTHSC!$L$24</f>
        <v>0</v>
      </c>
      <c r="N149" s="66"/>
      <c r="O149" s="67"/>
      <c r="P149" s="68"/>
      <c r="Q149" s="69"/>
      <c r="R149" s="70"/>
      <c r="S149" s="70"/>
      <c r="T149" s="70"/>
      <c r="U149" s="69"/>
      <c r="V149" s="70"/>
      <c r="W149" s="69"/>
      <c r="X149" s="62"/>
      <c r="Y149" s="67"/>
      <c r="Z149" s="69"/>
      <c r="AA149" s="19"/>
      <c r="AB149" s="24"/>
    </row>
    <row r="150" spans="2:28" ht="15.75" customHeight="1" collapsed="1">
      <c r="B150" s="55" t="s">
        <v>27</v>
      </c>
      <c r="C150" s="21"/>
      <c r="D150" s="21"/>
      <c r="F150" s="64">
        <f t="shared" ref="F150:L150" si="6">SUM(F141:F149)</f>
        <v>0</v>
      </c>
      <c r="G150" s="64">
        <f t="shared" si="6"/>
        <v>0</v>
      </c>
      <c r="H150" s="64">
        <f t="shared" si="6"/>
        <v>0</v>
      </c>
      <c r="I150" s="64">
        <f t="shared" si="6"/>
        <v>0</v>
      </c>
      <c r="J150" s="64">
        <f t="shared" si="6"/>
        <v>0</v>
      </c>
      <c r="K150" s="64">
        <f t="shared" si="6"/>
        <v>0</v>
      </c>
      <c r="L150" s="65">
        <f t="shared" si="6"/>
        <v>0</v>
      </c>
      <c r="N150" s="66"/>
      <c r="O150" s="67"/>
      <c r="P150" s="68"/>
      <c r="Q150" s="69"/>
      <c r="R150" s="70"/>
      <c r="S150" s="70"/>
      <c r="T150" s="70"/>
      <c r="U150" s="69"/>
      <c r="V150" s="70"/>
      <c r="W150" s="69"/>
      <c r="X150" s="62"/>
      <c r="Y150" s="67"/>
      <c r="Z150" s="69"/>
      <c r="AA150" s="19"/>
      <c r="AB150" s="24">
        <f t="shared" si="2"/>
        <v>0</v>
      </c>
    </row>
    <row r="151" spans="2:28" ht="15.75" hidden="1" customHeight="1" outlineLevel="1">
      <c r="B151" s="55"/>
      <c r="C151" s="21"/>
      <c r="D151" s="21"/>
      <c r="F151" s="64">
        <f>HSH!$F$25</f>
        <v>0</v>
      </c>
      <c r="G151" s="64">
        <f>HSH!$G$25</f>
        <v>0</v>
      </c>
      <c r="H151" s="64">
        <f>HSH!$H$25</f>
        <v>0</v>
      </c>
      <c r="I151" s="64">
        <f>HSH!$I$25</f>
        <v>0</v>
      </c>
      <c r="J151" s="64">
        <f>HSH!$J$25</f>
        <v>0</v>
      </c>
      <c r="K151" s="64">
        <f>HSH!$K$25</f>
        <v>0</v>
      </c>
      <c r="L151" s="65">
        <f>HSH!$L$25</f>
        <v>0</v>
      </c>
      <c r="N151" s="66"/>
      <c r="O151" s="67"/>
      <c r="P151" s="68"/>
      <c r="Q151" s="69"/>
      <c r="R151" s="70"/>
      <c r="S151" s="70"/>
      <c r="T151" s="70"/>
      <c r="U151" s="69"/>
      <c r="V151" s="70"/>
      <c r="W151" s="69"/>
      <c r="X151" s="62"/>
      <c r="Y151" s="67"/>
      <c r="Z151" s="69"/>
      <c r="AA151" s="19"/>
      <c r="AB151" s="24"/>
    </row>
    <row r="152" spans="2:28" ht="15.75" hidden="1" customHeight="1" outlineLevel="1">
      <c r="B152" s="55"/>
      <c r="C152" s="21"/>
      <c r="D152" s="21"/>
      <c r="F152" s="64">
        <f>HSSA!$F$25</f>
        <v>0</v>
      </c>
      <c r="G152" s="64">
        <f>HSSA!$G$25</f>
        <v>0</v>
      </c>
      <c r="H152" s="64">
        <f>HSSA!$H$25</f>
        <v>0</v>
      </c>
      <c r="I152" s="64">
        <f>HSSA!$I$25</f>
        <v>0</v>
      </c>
      <c r="J152" s="64">
        <f>HSSA!$J$25</f>
        <v>0</v>
      </c>
      <c r="K152" s="64">
        <f>HSSA!$K$25</f>
        <v>0</v>
      </c>
      <c r="L152" s="65">
        <f>HSSA!$L$25</f>
        <v>0</v>
      </c>
      <c r="N152" s="66"/>
      <c r="O152" s="67"/>
      <c r="P152" s="68"/>
      <c r="Q152" s="69"/>
      <c r="R152" s="70"/>
      <c r="S152" s="70"/>
      <c r="T152" s="70"/>
      <c r="U152" s="69"/>
      <c r="V152" s="70"/>
      <c r="W152" s="69"/>
      <c r="X152" s="62"/>
      <c r="Y152" s="67"/>
      <c r="Z152" s="69"/>
      <c r="AA152" s="19"/>
      <c r="AB152" s="24"/>
    </row>
    <row r="153" spans="2:28" ht="15.75" hidden="1" customHeight="1" outlineLevel="1">
      <c r="B153" s="55"/>
      <c r="C153" s="21"/>
      <c r="D153" s="21"/>
      <c r="F153" s="64">
        <f>MBG!$F$25</f>
        <v>0</v>
      </c>
      <c r="G153" s="64">
        <f>MBG!$G$25</f>
        <v>0</v>
      </c>
      <c r="H153" s="64">
        <f>MBG!$H$25</f>
        <v>0</v>
      </c>
      <c r="I153" s="64">
        <f>MBG!$I$25</f>
        <v>0</v>
      </c>
      <c r="J153" s="64">
        <f>MBG!$J$25</f>
        <v>0</v>
      </c>
      <c r="K153" s="64">
        <f>MBG!$K$25</f>
        <v>0</v>
      </c>
      <c r="L153" s="65">
        <f>MBG!$L$25</f>
        <v>0</v>
      </c>
      <c r="N153" s="66"/>
      <c r="O153" s="67"/>
      <c r="P153" s="68"/>
      <c r="Q153" s="69"/>
      <c r="R153" s="70"/>
      <c r="S153" s="70"/>
      <c r="T153" s="70"/>
      <c r="U153" s="69"/>
      <c r="V153" s="70"/>
      <c r="W153" s="69"/>
      <c r="X153" s="62"/>
      <c r="Y153" s="67"/>
      <c r="Z153" s="69"/>
      <c r="AA153" s="19"/>
      <c r="AB153" s="24"/>
    </row>
    <row r="154" spans="2:28" ht="15.75" hidden="1" customHeight="1" outlineLevel="1">
      <c r="B154" s="55"/>
      <c r="C154" s="21"/>
      <c r="D154" s="21"/>
      <c r="F154" s="64">
        <f>MDA!$F$25</f>
        <v>5614173</v>
      </c>
      <c r="G154" s="64">
        <f>MDA!$G$25</f>
        <v>13409038</v>
      </c>
      <c r="H154" s="64">
        <f>MDA!$H$25</f>
        <v>0</v>
      </c>
      <c r="I154" s="64">
        <f>MDA!$I$25</f>
        <v>355017</v>
      </c>
      <c r="J154" s="64">
        <f>MDA!$J$25</f>
        <v>59418</v>
      </c>
      <c r="K154" s="64">
        <f>MDA!$K$25</f>
        <v>396902</v>
      </c>
      <c r="L154" s="65">
        <f>MDA!$L$25</f>
        <v>19834548</v>
      </c>
      <c r="N154" s="66"/>
      <c r="O154" s="67"/>
      <c r="P154" s="68"/>
      <c r="Q154" s="69"/>
      <c r="R154" s="70"/>
      <c r="S154" s="70"/>
      <c r="T154" s="70"/>
      <c r="U154" s="69"/>
      <c r="V154" s="70"/>
      <c r="W154" s="69"/>
      <c r="X154" s="62"/>
      <c r="Y154" s="67"/>
      <c r="Z154" s="69"/>
      <c r="AA154" s="19"/>
      <c r="AB154" s="24"/>
    </row>
    <row r="155" spans="2:28" ht="15.75" hidden="1" customHeight="1" outlineLevel="1">
      <c r="B155" s="55"/>
      <c r="C155" s="21"/>
      <c r="D155" s="21"/>
      <c r="F155" s="64">
        <f>SWM!$F$25</f>
        <v>0</v>
      </c>
      <c r="G155" s="64">
        <f>SWM!$G$25</f>
        <v>0</v>
      </c>
      <c r="H155" s="64">
        <f>SWM!$H$25</f>
        <v>0</v>
      </c>
      <c r="I155" s="64">
        <f>SWM!$I$25</f>
        <v>0</v>
      </c>
      <c r="J155" s="64">
        <f>SWM!$J$25</f>
        <v>0</v>
      </c>
      <c r="K155" s="64">
        <f>SWM!$K$25</f>
        <v>0</v>
      </c>
      <c r="L155" s="65">
        <f>SWM!$L$25</f>
        <v>0</v>
      </c>
      <c r="N155" s="66"/>
      <c r="O155" s="67"/>
      <c r="P155" s="68"/>
      <c r="Q155" s="69"/>
      <c r="R155" s="70"/>
      <c r="S155" s="70"/>
      <c r="T155" s="70"/>
      <c r="U155" s="69"/>
      <c r="V155" s="70"/>
      <c r="W155" s="69"/>
      <c r="X155" s="62"/>
      <c r="Y155" s="67"/>
      <c r="Z155" s="69"/>
      <c r="AA155" s="19"/>
      <c r="AB155" s="24"/>
    </row>
    <row r="156" spans="2:28" ht="15.75" hidden="1" customHeight="1" outlineLevel="1">
      <c r="B156" s="55"/>
      <c r="C156" s="21"/>
      <c r="D156" s="21"/>
      <c r="F156" s="64">
        <f>TAMHSC!$F$25</f>
        <v>0</v>
      </c>
      <c r="G156" s="64">
        <f>TAMHSC!$G$25</f>
        <v>0</v>
      </c>
      <c r="H156" s="64">
        <f>TAMHSC!$H$25</f>
        <v>0</v>
      </c>
      <c r="I156" s="64">
        <f>TAMHSC!$I$25</f>
        <v>0</v>
      </c>
      <c r="J156" s="64">
        <f>TAMHSC!$J$25</f>
        <v>0</v>
      </c>
      <c r="K156" s="64">
        <f>TAMHSC!$K$25</f>
        <v>0</v>
      </c>
      <c r="L156" s="65">
        <f>TAMHSC!$L$25</f>
        <v>0</v>
      </c>
      <c r="N156" s="66"/>
      <c r="O156" s="67"/>
      <c r="P156" s="68"/>
      <c r="Q156" s="69"/>
      <c r="R156" s="70"/>
      <c r="S156" s="70"/>
      <c r="T156" s="70"/>
      <c r="U156" s="69"/>
      <c r="V156" s="70"/>
      <c r="W156" s="69"/>
      <c r="X156" s="62"/>
      <c r="Y156" s="67"/>
      <c r="Z156" s="69"/>
      <c r="AA156" s="19"/>
      <c r="AB156" s="24"/>
    </row>
    <row r="157" spans="2:28" ht="15.75" hidden="1" customHeight="1" outlineLevel="1">
      <c r="B157" s="55"/>
      <c r="C157" s="21"/>
      <c r="D157" s="21"/>
      <c r="F157" s="64">
        <f>THC!$F$25</f>
        <v>0</v>
      </c>
      <c r="G157" s="64">
        <f>THC!$G$25</f>
        <v>0</v>
      </c>
      <c r="H157" s="64">
        <f>THC!$H$25</f>
        <v>0</v>
      </c>
      <c r="I157" s="64">
        <f>THC!$I$25</f>
        <v>0</v>
      </c>
      <c r="J157" s="64">
        <f>THC!$J$25</f>
        <v>0</v>
      </c>
      <c r="K157" s="64">
        <f>THC!$K$25</f>
        <v>0</v>
      </c>
      <c r="L157" s="65">
        <f>THC!$L$25</f>
        <v>0</v>
      </c>
      <c r="N157" s="66"/>
      <c r="O157" s="67"/>
      <c r="P157" s="68"/>
      <c r="Q157" s="69"/>
      <c r="R157" s="70"/>
      <c r="S157" s="70"/>
      <c r="T157" s="70"/>
      <c r="U157" s="69"/>
      <c r="V157" s="70"/>
      <c r="W157" s="69"/>
      <c r="X157" s="62"/>
      <c r="Y157" s="67"/>
      <c r="Z157" s="69"/>
      <c r="AA157" s="19"/>
      <c r="AB157" s="24"/>
    </row>
    <row r="158" spans="2:28" ht="15.75" hidden="1" customHeight="1" outlineLevel="1">
      <c r="B158" s="55"/>
      <c r="C158" s="21"/>
      <c r="D158" s="21"/>
      <c r="F158" s="64">
        <f>TTUHSC!$F$25</f>
        <v>0</v>
      </c>
      <c r="G158" s="64">
        <f>TTUHSC!$G$25</f>
        <v>0</v>
      </c>
      <c r="H158" s="64">
        <f>TTUHSC!$H$25</f>
        <v>0</v>
      </c>
      <c r="I158" s="64">
        <f>TTUHSC!$I$25</f>
        <v>0</v>
      </c>
      <c r="J158" s="64">
        <f>TTUHSC!$J$25</f>
        <v>0</v>
      </c>
      <c r="K158" s="64">
        <f>TTUHSC!$K$25</f>
        <v>0</v>
      </c>
      <c r="L158" s="65">
        <f>TTUHSC!$L$25</f>
        <v>0</v>
      </c>
      <c r="N158" s="66"/>
      <c r="O158" s="67"/>
      <c r="P158" s="68"/>
      <c r="Q158" s="69"/>
      <c r="R158" s="70"/>
      <c r="S158" s="70"/>
      <c r="T158" s="70"/>
      <c r="U158" s="69"/>
      <c r="V158" s="70"/>
      <c r="W158" s="69"/>
      <c r="X158" s="62"/>
      <c r="Y158" s="67"/>
      <c r="Z158" s="69"/>
      <c r="AA158" s="19"/>
      <c r="AB158" s="24"/>
    </row>
    <row r="159" spans="2:28" ht="15.75" hidden="1" customHeight="1" outlineLevel="1">
      <c r="B159" s="55"/>
      <c r="C159" s="21"/>
      <c r="D159" s="21"/>
      <c r="F159" s="64">
        <f>UNTHSC!$F$25</f>
        <v>0</v>
      </c>
      <c r="G159" s="64">
        <f>UNTHSC!$G$25</f>
        <v>0</v>
      </c>
      <c r="H159" s="64">
        <f>UNTHSC!$H$25</f>
        <v>0</v>
      </c>
      <c r="I159" s="64">
        <f>UNTHSC!$I$25</f>
        <v>0</v>
      </c>
      <c r="J159" s="64">
        <f>UNTHSC!$J$25</f>
        <v>0</v>
      </c>
      <c r="K159" s="64">
        <f>UNTHSC!$K$25</f>
        <v>0</v>
      </c>
      <c r="L159" s="65">
        <f>UNTHSC!$L$25</f>
        <v>0</v>
      </c>
      <c r="N159" s="66"/>
      <c r="O159" s="67"/>
      <c r="P159" s="68"/>
      <c r="Q159" s="69"/>
      <c r="R159" s="70"/>
      <c r="S159" s="70"/>
      <c r="T159" s="70"/>
      <c r="U159" s="69"/>
      <c r="V159" s="70"/>
      <c r="W159" s="69"/>
      <c r="X159" s="62"/>
      <c r="Y159" s="67"/>
      <c r="Z159" s="69"/>
      <c r="AA159" s="19"/>
      <c r="AB159" s="24"/>
    </row>
    <row r="160" spans="2:28" ht="15.75" customHeight="1" collapsed="1">
      <c r="B160" s="55" t="s">
        <v>28</v>
      </c>
      <c r="C160" s="21"/>
      <c r="D160" s="21"/>
      <c r="F160" s="64">
        <f t="shared" ref="F160:L160" si="7">SUM(F151:F159)</f>
        <v>5614173</v>
      </c>
      <c r="G160" s="64">
        <f t="shared" si="7"/>
        <v>13409038</v>
      </c>
      <c r="H160" s="64">
        <f t="shared" si="7"/>
        <v>0</v>
      </c>
      <c r="I160" s="64">
        <f t="shared" si="7"/>
        <v>355017</v>
      </c>
      <c r="J160" s="64">
        <f t="shared" si="7"/>
        <v>59418</v>
      </c>
      <c r="K160" s="64">
        <f t="shared" si="7"/>
        <v>396902</v>
      </c>
      <c r="L160" s="65">
        <f t="shared" si="7"/>
        <v>19834548</v>
      </c>
      <c r="N160" s="66"/>
      <c r="O160" s="73"/>
      <c r="P160" s="68"/>
      <c r="Q160" s="69"/>
      <c r="R160" s="70"/>
      <c r="S160" s="70"/>
      <c r="T160" s="70"/>
      <c r="U160" s="69"/>
      <c r="V160" s="70"/>
      <c r="W160" s="69"/>
      <c r="X160" s="62"/>
      <c r="Y160" s="67"/>
      <c r="Z160" s="69"/>
      <c r="AA160" s="19"/>
      <c r="AB160" s="24">
        <f t="shared" si="2"/>
        <v>39669096</v>
      </c>
    </row>
    <row r="161" spans="2:28" ht="15.75" hidden="1" customHeight="1" outlineLevel="1">
      <c r="B161" s="55"/>
      <c r="C161" s="21"/>
      <c r="D161" s="21"/>
      <c r="F161" s="64">
        <f>HSH!$F$26</f>
        <v>114954760</v>
      </c>
      <c r="G161" s="64">
        <f>HSH!$G$26</f>
        <v>16759332</v>
      </c>
      <c r="H161" s="64">
        <f>HSH!$H$26</f>
        <v>25206484</v>
      </c>
      <c r="I161" s="64">
        <f>HSH!$I$26</f>
        <v>10452891</v>
      </c>
      <c r="J161" s="64">
        <f>HSH!$J$26</f>
        <v>8712860</v>
      </c>
      <c r="K161" s="64">
        <f>HSH!$K$26</f>
        <v>23432271</v>
      </c>
      <c r="L161" s="65">
        <f>HSH!$L$26</f>
        <v>199518598</v>
      </c>
      <c r="N161" s="66"/>
      <c r="O161" s="237">
        <f>HSH!$O$26</f>
        <v>0</v>
      </c>
      <c r="P161" s="68"/>
      <c r="Q161" s="69"/>
      <c r="R161" s="70"/>
      <c r="S161" s="70"/>
      <c r="T161" s="70"/>
      <c r="U161" s="69"/>
      <c r="V161" s="70"/>
      <c r="W161" s="69"/>
      <c r="X161" s="62"/>
      <c r="Y161" s="67"/>
      <c r="Z161" s="69"/>
      <c r="AA161" s="19"/>
      <c r="AB161" s="24"/>
    </row>
    <row r="162" spans="2:28" ht="15.75" hidden="1" customHeight="1" outlineLevel="1">
      <c r="B162" s="55"/>
      <c r="C162" s="21"/>
      <c r="D162" s="21"/>
      <c r="F162" s="64">
        <f>HSSA!$F$26</f>
        <v>121723410</v>
      </c>
      <c r="G162" s="64">
        <f>HSSA!$G$26</f>
        <v>6240743</v>
      </c>
      <c r="H162" s="64">
        <f>HSSA!$H$26</f>
        <v>708627</v>
      </c>
      <c r="I162" s="64">
        <f>HSSA!$I$26</f>
        <v>20876076</v>
      </c>
      <c r="J162" s="64">
        <f>HSSA!$J$26</f>
        <v>22353048</v>
      </c>
      <c r="K162" s="64">
        <f>HSSA!$K$26</f>
        <v>13327114</v>
      </c>
      <c r="L162" s="65">
        <f>HSSA!$L$26</f>
        <v>185229018</v>
      </c>
      <c r="N162" s="66"/>
      <c r="O162" s="237">
        <f>HSSA!$O$26</f>
        <v>0</v>
      </c>
      <c r="P162" s="68"/>
      <c r="Q162" s="69"/>
      <c r="R162" s="70"/>
      <c r="S162" s="70"/>
      <c r="T162" s="70"/>
      <c r="U162" s="69"/>
      <c r="V162" s="70"/>
      <c r="W162" s="69"/>
      <c r="X162" s="62"/>
      <c r="Y162" s="67"/>
      <c r="Z162" s="69"/>
      <c r="AA162" s="19"/>
      <c r="AB162" s="24"/>
    </row>
    <row r="163" spans="2:28" ht="15.75" hidden="1" customHeight="1" outlineLevel="1">
      <c r="B163" s="55"/>
      <c r="C163" s="21"/>
      <c r="D163" s="21"/>
      <c r="F163" s="64">
        <f>MBG!$F$26</f>
        <v>76429311</v>
      </c>
      <c r="G163" s="64">
        <f>MBG!$G$26</f>
        <v>187413</v>
      </c>
      <c r="H163" s="64">
        <f>MBG!$H$26</f>
        <v>679687</v>
      </c>
      <c r="I163" s="64">
        <f>MBG!$I$26</f>
        <v>3234365</v>
      </c>
      <c r="J163" s="64">
        <f>MBG!$J$26</f>
        <v>2288952</v>
      </c>
      <c r="K163" s="64">
        <f>MBG!$K$26</f>
        <v>9450668</v>
      </c>
      <c r="L163" s="65">
        <f>MBG!$L$26</f>
        <v>92270396</v>
      </c>
      <c r="N163" s="66"/>
      <c r="O163" s="237">
        <f>MBG!$O$26</f>
        <v>0</v>
      </c>
      <c r="P163" s="68"/>
      <c r="Q163" s="69"/>
      <c r="R163" s="70"/>
      <c r="S163" s="70"/>
      <c r="T163" s="70"/>
      <c r="U163" s="69"/>
      <c r="V163" s="70"/>
      <c r="W163" s="69"/>
      <c r="X163" s="62"/>
      <c r="Y163" s="67"/>
      <c r="Z163" s="69"/>
      <c r="AA163" s="19"/>
      <c r="AB163" s="24"/>
    </row>
    <row r="164" spans="2:28" ht="15.75" hidden="1" customHeight="1" outlineLevel="1">
      <c r="B164" s="55"/>
      <c r="C164" s="21"/>
      <c r="D164" s="21"/>
      <c r="F164" s="64">
        <f>MDA!$F$26</f>
        <v>114729585</v>
      </c>
      <c r="G164" s="64">
        <f>MDA!$G$26</f>
        <v>86116417</v>
      </c>
      <c r="H164" s="64">
        <f>MDA!$H$26</f>
        <v>62296</v>
      </c>
      <c r="I164" s="64">
        <f>MDA!$I$26</f>
        <v>18723770</v>
      </c>
      <c r="J164" s="64">
        <f>MDA!$J$26</f>
        <v>44912739</v>
      </c>
      <c r="K164" s="64">
        <f>MDA!$K$26</f>
        <v>58303336</v>
      </c>
      <c r="L164" s="65">
        <f>MDA!$L$26</f>
        <v>322848143</v>
      </c>
      <c r="N164" s="66"/>
      <c r="O164" s="237">
        <f>MDA!$O$26</f>
        <v>0</v>
      </c>
      <c r="P164" s="68"/>
      <c r="Q164" s="69"/>
      <c r="R164" s="70"/>
      <c r="S164" s="70"/>
      <c r="T164" s="70"/>
      <c r="U164" s="69"/>
      <c r="V164" s="70"/>
      <c r="W164" s="69"/>
      <c r="X164" s="62"/>
      <c r="Y164" s="67"/>
      <c r="Z164" s="69"/>
      <c r="AA164" s="19"/>
      <c r="AB164" s="24"/>
    </row>
    <row r="165" spans="2:28" ht="15.75" hidden="1" customHeight="1" outlineLevel="1">
      <c r="B165" s="55"/>
      <c r="C165" s="21"/>
      <c r="D165" s="21"/>
      <c r="F165" s="64">
        <f>SWM!$F$26</f>
        <v>125591611</v>
      </c>
      <c r="G165" s="64">
        <f>SWM!$G$26</f>
        <v>24005050</v>
      </c>
      <c r="H165" s="64">
        <f>SWM!$H$26</f>
        <v>2302310</v>
      </c>
      <c r="I165" s="64">
        <f>SWM!$I$26</f>
        <v>12131179</v>
      </c>
      <c r="J165" s="64">
        <f>SWM!$J$26</f>
        <v>17165769</v>
      </c>
      <c r="K165" s="64">
        <f>SWM!$K$26</f>
        <v>39115472</v>
      </c>
      <c r="L165" s="65">
        <f>SWM!$L$26</f>
        <v>220311391</v>
      </c>
      <c r="N165" s="66"/>
      <c r="O165" s="237">
        <f>SWM!$O$26</f>
        <v>0</v>
      </c>
      <c r="P165" s="68"/>
      <c r="Q165" s="69"/>
      <c r="R165" s="70"/>
      <c r="S165" s="70"/>
      <c r="T165" s="70"/>
      <c r="U165" s="69"/>
      <c r="V165" s="70"/>
      <c r="W165" s="69"/>
      <c r="X165" s="62"/>
      <c r="Y165" s="67"/>
      <c r="Z165" s="69"/>
      <c r="AA165" s="19"/>
      <c r="AB165" s="24"/>
    </row>
    <row r="166" spans="2:28" ht="15.75" hidden="1" customHeight="1" outlineLevel="1">
      <c r="B166" s="55"/>
      <c r="C166" s="21"/>
      <c r="D166" s="21"/>
      <c r="F166" s="64">
        <f>TAMHSC!$F$26</f>
        <v>31734365</v>
      </c>
      <c r="G166" s="64">
        <f>TAMHSC!$G$26</f>
        <v>9283802</v>
      </c>
      <c r="H166" s="64">
        <f>TAMHSC!$H$26</f>
        <v>2064486</v>
      </c>
      <c r="I166" s="64">
        <f>TAMHSC!$I$26</f>
        <v>27089336</v>
      </c>
      <c r="J166" s="64">
        <f>TAMHSC!$J$26</f>
        <v>1231008</v>
      </c>
      <c r="K166" s="64">
        <f>TAMHSC!$K$26</f>
        <v>4876916</v>
      </c>
      <c r="L166" s="65">
        <f>TAMHSC!$L$26</f>
        <v>76279913</v>
      </c>
      <c r="N166" s="66"/>
      <c r="O166" s="237">
        <f>TAMHSC!$O$26</f>
        <v>0</v>
      </c>
      <c r="P166" s="68"/>
      <c r="Q166" s="69"/>
      <c r="R166" s="70"/>
      <c r="S166" s="70"/>
      <c r="T166" s="70"/>
      <c r="U166" s="69"/>
      <c r="V166" s="70"/>
      <c r="W166" s="69"/>
      <c r="X166" s="62"/>
      <c r="Y166" s="67"/>
      <c r="Z166" s="69"/>
      <c r="AA166" s="19"/>
      <c r="AB166" s="24"/>
    </row>
    <row r="167" spans="2:28" ht="15.75" hidden="1" customHeight="1" outlineLevel="1">
      <c r="B167" s="55"/>
      <c r="C167" s="21"/>
      <c r="D167" s="21"/>
      <c r="F167" s="64">
        <f>THC!$F$26</f>
        <v>5950376</v>
      </c>
      <c r="G167" s="64">
        <f>THC!$G$26</f>
        <v>2339810</v>
      </c>
      <c r="H167" s="64">
        <f>THC!$H$26</f>
        <v>0</v>
      </c>
      <c r="I167" s="64">
        <f>THC!$I$26</f>
        <v>3239671</v>
      </c>
      <c r="J167" s="64">
        <f>THC!$J$26</f>
        <v>505126</v>
      </c>
      <c r="K167" s="64">
        <f>THC!$K$26</f>
        <v>1043201</v>
      </c>
      <c r="L167" s="65">
        <f>THC!$L$26</f>
        <v>13078184</v>
      </c>
      <c r="N167" s="66"/>
      <c r="O167" s="237">
        <f>THC!$O$26</f>
        <v>0</v>
      </c>
      <c r="P167" s="68"/>
      <c r="Q167" s="69"/>
      <c r="R167" s="70"/>
      <c r="S167" s="70"/>
      <c r="T167" s="70"/>
      <c r="U167" s="69"/>
      <c r="V167" s="70"/>
      <c r="W167" s="69"/>
      <c r="X167" s="62"/>
      <c r="Y167" s="67"/>
      <c r="Z167" s="69"/>
      <c r="AA167" s="19"/>
      <c r="AB167" s="24"/>
    </row>
    <row r="168" spans="2:28" ht="15.75" hidden="1" customHeight="1" outlineLevel="1">
      <c r="B168" s="55"/>
      <c r="C168" s="21"/>
      <c r="D168" s="21"/>
      <c r="F168" s="64">
        <f>TTUHSC!$F$26</f>
        <v>4787656</v>
      </c>
      <c r="G168" s="64">
        <f>TTUHSC!$G$26</f>
        <v>17890230</v>
      </c>
      <c r="H168" s="64">
        <f>TTUHSC!$H$26</f>
        <v>3303777</v>
      </c>
      <c r="I168" s="64">
        <f>TTUHSC!$I$26</f>
        <v>2927155</v>
      </c>
      <c r="J168" s="64">
        <f>TTUHSC!$J$26</f>
        <v>647358</v>
      </c>
      <c r="K168" s="64">
        <f>TTUHSC!$K$26</f>
        <v>1958202</v>
      </c>
      <c r="L168" s="65">
        <f>TTUHSC!$L$26</f>
        <v>31514378</v>
      </c>
      <c r="N168" s="66"/>
      <c r="O168" s="237">
        <f>TTUHSC!$O$26</f>
        <v>0</v>
      </c>
      <c r="P168" s="68"/>
      <c r="Q168" s="69"/>
      <c r="R168" s="70"/>
      <c r="S168" s="70"/>
      <c r="T168" s="70"/>
      <c r="U168" s="69"/>
      <c r="V168" s="70"/>
      <c r="W168" s="69"/>
      <c r="X168" s="62"/>
      <c r="Y168" s="67"/>
      <c r="Z168" s="69"/>
      <c r="AA168" s="19"/>
      <c r="AB168" s="24"/>
    </row>
    <row r="169" spans="2:28" ht="15.75" hidden="1" customHeight="1" outlineLevel="1">
      <c r="B169" s="55"/>
      <c r="C169" s="21"/>
      <c r="D169" s="21"/>
      <c r="F169" s="64">
        <f>UNTHSC!$F$26</f>
        <v>3684760</v>
      </c>
      <c r="G169" s="64">
        <f>UNTHSC!$G$26</f>
        <v>0</v>
      </c>
      <c r="H169" s="64">
        <f>UNTHSC!$H$26</f>
        <v>369598</v>
      </c>
      <c r="I169" s="64">
        <f>UNTHSC!$I$26</f>
        <v>2422543</v>
      </c>
      <c r="J169" s="64">
        <f>UNTHSC!$J$26</f>
        <v>154249</v>
      </c>
      <c r="K169" s="64">
        <f>UNTHSC!$K$26</f>
        <v>910915</v>
      </c>
      <c r="L169" s="65">
        <f>UNTHSC!$L$26</f>
        <v>7542065</v>
      </c>
      <c r="N169" s="66"/>
      <c r="O169" s="237">
        <f>UNTHSC!$O$26</f>
        <v>0</v>
      </c>
      <c r="P169" s="68"/>
      <c r="Q169" s="69"/>
      <c r="R169" s="70"/>
      <c r="S169" s="70"/>
      <c r="T169" s="70"/>
      <c r="U169" s="69"/>
      <c r="V169" s="70"/>
      <c r="W169" s="69"/>
      <c r="X169" s="62"/>
      <c r="Y169" s="67"/>
      <c r="Z169" s="69"/>
      <c r="AA169" s="19"/>
      <c r="AB169" s="24"/>
    </row>
    <row r="170" spans="2:28" ht="15.75" customHeight="1" collapsed="1">
      <c r="B170" s="55" t="s">
        <v>29</v>
      </c>
      <c r="C170" s="21"/>
      <c r="D170" s="21"/>
      <c r="F170" s="64">
        <f t="shared" ref="F170:L170" si="8">SUM(F161:F169)</f>
        <v>599585834</v>
      </c>
      <c r="G170" s="64">
        <f t="shared" si="8"/>
        <v>162822797</v>
      </c>
      <c r="H170" s="64">
        <f t="shared" si="8"/>
        <v>34697265</v>
      </c>
      <c r="I170" s="64">
        <f t="shared" si="8"/>
        <v>101096986</v>
      </c>
      <c r="J170" s="64">
        <f t="shared" si="8"/>
        <v>97971109</v>
      </c>
      <c r="K170" s="64">
        <f t="shared" si="8"/>
        <v>152418095</v>
      </c>
      <c r="L170" s="65">
        <f t="shared" si="8"/>
        <v>1148592086</v>
      </c>
      <c r="N170" s="74"/>
      <c r="O170" s="75">
        <f>SUM(O161:O169)</f>
        <v>0</v>
      </c>
      <c r="Q170" s="69"/>
      <c r="R170" s="70"/>
      <c r="S170" s="70"/>
      <c r="T170" s="70"/>
      <c r="U170" s="69"/>
      <c r="V170" s="70"/>
      <c r="W170" s="69"/>
      <c r="X170" s="62"/>
      <c r="Y170" s="67"/>
      <c r="Z170" s="69"/>
      <c r="AA170" s="19"/>
      <c r="AB170" s="24"/>
    </row>
    <row r="171" spans="2:28" ht="15.75" hidden="1" customHeight="1" outlineLevel="1">
      <c r="B171" s="55"/>
      <c r="C171" s="21"/>
      <c r="D171" s="21"/>
      <c r="F171" s="64">
        <f>HSH!$F$27</f>
        <v>0</v>
      </c>
      <c r="G171" s="64">
        <f>HSH!$G$27</f>
        <v>0</v>
      </c>
      <c r="H171" s="64">
        <f>HSH!$H$27</f>
        <v>0</v>
      </c>
      <c r="I171" s="64">
        <f>HSH!$I$27</f>
        <v>0</v>
      </c>
      <c r="J171" s="64">
        <f>HSH!$J$27</f>
        <v>0</v>
      </c>
      <c r="K171" s="64">
        <f>HSH!$K$27</f>
        <v>0</v>
      </c>
      <c r="L171" s="65">
        <f>HSH!$L$27</f>
        <v>0</v>
      </c>
      <c r="N171" s="74"/>
      <c r="O171" s="232"/>
      <c r="Q171" s="69"/>
      <c r="R171" s="70"/>
      <c r="S171" s="70"/>
      <c r="T171" s="70"/>
      <c r="U171" s="69"/>
      <c r="V171" s="70"/>
      <c r="W171" s="69"/>
      <c r="X171" s="62"/>
      <c r="Y171" s="67"/>
      <c r="Z171" s="69"/>
      <c r="AA171" s="19"/>
      <c r="AB171" s="24"/>
    </row>
    <row r="172" spans="2:28" ht="15.75" hidden="1" customHeight="1" outlineLevel="1">
      <c r="B172" s="55"/>
      <c r="C172" s="21"/>
      <c r="D172" s="21"/>
      <c r="F172" s="64">
        <f>HSSA!$F$27</f>
        <v>0</v>
      </c>
      <c r="G172" s="64">
        <f>HSSA!$G$27</f>
        <v>0</v>
      </c>
      <c r="H172" s="64">
        <f>HSSA!$H$27</f>
        <v>0</v>
      </c>
      <c r="I172" s="64">
        <f>HSSA!$I$27</f>
        <v>0</v>
      </c>
      <c r="J172" s="64">
        <f>HSSA!$J$27</f>
        <v>0</v>
      </c>
      <c r="K172" s="64">
        <f>HSSA!$K$27</f>
        <v>0</v>
      </c>
      <c r="L172" s="65">
        <f>HSSA!$L$27</f>
        <v>0</v>
      </c>
      <c r="N172" s="74"/>
      <c r="O172" s="232"/>
      <c r="Q172" s="69"/>
      <c r="R172" s="70"/>
      <c r="S172" s="70"/>
      <c r="T172" s="70"/>
      <c r="U172" s="69"/>
      <c r="V172" s="70"/>
      <c r="W172" s="69"/>
      <c r="X172" s="62"/>
      <c r="Y172" s="67"/>
      <c r="Z172" s="69"/>
      <c r="AA172" s="19"/>
      <c r="AB172" s="24"/>
    </row>
    <row r="173" spans="2:28" ht="15.75" hidden="1" customHeight="1" outlineLevel="1">
      <c r="B173" s="55"/>
      <c r="C173" s="21"/>
      <c r="D173" s="21"/>
      <c r="F173" s="64">
        <f>MBG!$F$27</f>
        <v>0</v>
      </c>
      <c r="G173" s="64">
        <f>MBG!$G$27</f>
        <v>0</v>
      </c>
      <c r="H173" s="64">
        <f>MBG!$H$27</f>
        <v>0</v>
      </c>
      <c r="I173" s="64">
        <f>MBG!$I$27</f>
        <v>0</v>
      </c>
      <c r="J173" s="64">
        <f>MBG!$J$27</f>
        <v>0</v>
      </c>
      <c r="K173" s="64">
        <f>MBG!$K$27</f>
        <v>0</v>
      </c>
      <c r="L173" s="65">
        <f>MBG!$L$27</f>
        <v>0</v>
      </c>
      <c r="N173" s="74"/>
      <c r="O173" s="232"/>
      <c r="Q173" s="69"/>
      <c r="R173" s="70"/>
      <c r="S173" s="70"/>
      <c r="T173" s="70"/>
      <c r="U173" s="69"/>
      <c r="V173" s="70"/>
      <c r="W173" s="69"/>
      <c r="X173" s="62"/>
      <c r="Y173" s="67"/>
      <c r="Z173" s="69"/>
      <c r="AA173" s="19"/>
      <c r="AB173" s="24"/>
    </row>
    <row r="174" spans="2:28" ht="15.75" hidden="1" customHeight="1" outlineLevel="1">
      <c r="B174" s="55"/>
      <c r="C174" s="21"/>
      <c r="D174" s="21"/>
      <c r="F174" s="64">
        <f>MDA!$F$27</f>
        <v>7389134</v>
      </c>
      <c r="G174" s="64">
        <f>MDA!$G$27</f>
        <v>3855001</v>
      </c>
      <c r="H174" s="64">
        <f>MDA!$H$27</f>
        <v>64055</v>
      </c>
      <c r="I174" s="64">
        <f>MDA!$I$27</f>
        <v>871307</v>
      </c>
      <c r="J174" s="64">
        <f>MDA!$J$27</f>
        <v>752820</v>
      </c>
      <c r="K174" s="64">
        <f>MDA!$K$27</f>
        <v>97414</v>
      </c>
      <c r="L174" s="65">
        <f>MDA!$L$27</f>
        <v>13029731</v>
      </c>
      <c r="N174" s="74"/>
      <c r="O174" s="232"/>
      <c r="Q174" s="69"/>
      <c r="R174" s="70"/>
      <c r="S174" s="70"/>
      <c r="T174" s="70"/>
      <c r="U174" s="69"/>
      <c r="V174" s="70"/>
      <c r="W174" s="69"/>
      <c r="X174" s="62"/>
      <c r="Y174" s="67"/>
      <c r="Z174" s="69"/>
      <c r="AA174" s="19"/>
      <c r="AB174" s="24"/>
    </row>
    <row r="175" spans="2:28" ht="15.75" hidden="1" customHeight="1" outlineLevel="1">
      <c r="B175" s="55"/>
      <c r="C175" s="21"/>
      <c r="D175" s="21"/>
      <c r="F175" s="64">
        <f>SWM!$F$27</f>
        <v>0</v>
      </c>
      <c r="G175" s="64">
        <f>SWM!$G$27</f>
        <v>0</v>
      </c>
      <c r="H175" s="64">
        <f>SWM!$H$27</f>
        <v>0</v>
      </c>
      <c r="I175" s="64">
        <f>SWM!$I$27</f>
        <v>0</v>
      </c>
      <c r="J175" s="64">
        <f>SWM!$J$27</f>
        <v>0</v>
      </c>
      <c r="K175" s="64">
        <f>SWM!$K$27</f>
        <v>0</v>
      </c>
      <c r="L175" s="65">
        <f>SWM!$L$27</f>
        <v>0</v>
      </c>
      <c r="N175" s="74"/>
      <c r="O175" s="232"/>
      <c r="Q175" s="69"/>
      <c r="R175" s="70"/>
      <c r="S175" s="70"/>
      <c r="T175" s="70"/>
      <c r="U175" s="69"/>
      <c r="V175" s="70"/>
      <c r="W175" s="69"/>
      <c r="X175" s="62"/>
      <c r="Y175" s="67"/>
      <c r="Z175" s="69"/>
      <c r="AA175" s="19"/>
      <c r="AB175" s="24"/>
    </row>
    <row r="176" spans="2:28" ht="15.75" hidden="1" customHeight="1" outlineLevel="1">
      <c r="B176" s="55"/>
      <c r="C176" s="21"/>
      <c r="D176" s="21"/>
      <c r="F176" s="64">
        <f>TAMHSC!$F$27</f>
        <v>12184</v>
      </c>
      <c r="G176" s="64">
        <f>TAMHSC!$G$27</f>
        <v>0</v>
      </c>
      <c r="H176" s="64">
        <f>TAMHSC!$H$27</f>
        <v>0</v>
      </c>
      <c r="I176" s="64">
        <f>TAMHSC!$I$27</f>
        <v>0</v>
      </c>
      <c r="J176" s="64">
        <f>TAMHSC!$J$27</f>
        <v>0</v>
      </c>
      <c r="K176" s="64">
        <f>TAMHSC!$K$27</f>
        <v>0</v>
      </c>
      <c r="L176" s="65">
        <f>TAMHSC!$L$27</f>
        <v>12184</v>
      </c>
      <c r="N176" s="74"/>
      <c r="O176" s="232"/>
      <c r="Q176" s="69"/>
      <c r="R176" s="70"/>
      <c r="S176" s="70"/>
      <c r="T176" s="70"/>
      <c r="U176" s="69"/>
      <c r="V176" s="70"/>
      <c r="W176" s="69"/>
      <c r="X176" s="62"/>
      <c r="Y176" s="67"/>
      <c r="Z176" s="69"/>
      <c r="AA176" s="19"/>
      <c r="AB176" s="24"/>
    </row>
    <row r="177" spans="2:28" ht="15.75" hidden="1" customHeight="1" outlineLevel="1">
      <c r="B177" s="55"/>
      <c r="C177" s="21"/>
      <c r="D177" s="21"/>
      <c r="F177" s="64">
        <f>THC!$F$27</f>
        <v>0</v>
      </c>
      <c r="G177" s="64">
        <f>THC!$G$27</f>
        <v>0</v>
      </c>
      <c r="H177" s="64">
        <f>THC!$H$27</f>
        <v>0</v>
      </c>
      <c r="I177" s="64">
        <f>THC!$I$27</f>
        <v>0</v>
      </c>
      <c r="J177" s="64">
        <f>THC!$J$27</f>
        <v>0</v>
      </c>
      <c r="K177" s="64">
        <f>THC!$K$27</f>
        <v>0</v>
      </c>
      <c r="L177" s="65">
        <f>THC!$L$27</f>
        <v>0</v>
      </c>
      <c r="N177" s="74"/>
      <c r="O177" s="232"/>
      <c r="Q177" s="69"/>
      <c r="R177" s="70"/>
      <c r="S177" s="70"/>
      <c r="T177" s="70"/>
      <c r="U177" s="69"/>
      <c r="V177" s="70"/>
      <c r="W177" s="69"/>
      <c r="X177" s="62"/>
      <c r="Y177" s="67"/>
      <c r="Z177" s="69"/>
      <c r="AA177" s="19"/>
      <c r="AB177" s="24"/>
    </row>
    <row r="178" spans="2:28" ht="15.75" hidden="1" customHeight="1" outlineLevel="1">
      <c r="B178" s="55"/>
      <c r="C178" s="21"/>
      <c r="D178" s="21"/>
      <c r="F178" s="64">
        <f>TTUHSC!$F$27</f>
        <v>0</v>
      </c>
      <c r="G178" s="64">
        <f>TTUHSC!$G$27</f>
        <v>0</v>
      </c>
      <c r="H178" s="64">
        <f>TTUHSC!$H$27</f>
        <v>0</v>
      </c>
      <c r="I178" s="64">
        <f>TTUHSC!$I$27</f>
        <v>0</v>
      </c>
      <c r="J178" s="64">
        <f>TTUHSC!$J$27</f>
        <v>0</v>
      </c>
      <c r="K178" s="64">
        <f>TTUHSC!$K$27</f>
        <v>0</v>
      </c>
      <c r="L178" s="65">
        <f>TTUHSC!$L$27</f>
        <v>0</v>
      </c>
      <c r="N178" s="74"/>
      <c r="O178" s="232"/>
      <c r="Q178" s="69"/>
      <c r="R178" s="70"/>
      <c r="S178" s="70"/>
      <c r="T178" s="70"/>
      <c r="U178" s="69"/>
      <c r="V178" s="70"/>
      <c r="W178" s="69"/>
      <c r="X178" s="62"/>
      <c r="Y178" s="67"/>
      <c r="Z178" s="69"/>
      <c r="AA178" s="19"/>
      <c r="AB178" s="24"/>
    </row>
    <row r="179" spans="2:28" ht="15.75" hidden="1" customHeight="1" outlineLevel="1">
      <c r="B179" s="55"/>
      <c r="C179" s="21"/>
      <c r="D179" s="21"/>
      <c r="F179" s="64">
        <f>UNTHSC!$F$27</f>
        <v>0</v>
      </c>
      <c r="G179" s="64">
        <f>UNTHSC!$G$27</f>
        <v>0</v>
      </c>
      <c r="H179" s="64">
        <f>UNTHSC!$H$27</f>
        <v>0</v>
      </c>
      <c r="I179" s="64">
        <f>UNTHSC!$I$27</f>
        <v>0</v>
      </c>
      <c r="J179" s="64">
        <f>UNTHSC!$J$27</f>
        <v>0</v>
      </c>
      <c r="K179" s="64">
        <f>UNTHSC!$K$27</f>
        <v>0</v>
      </c>
      <c r="L179" s="65">
        <f>UNTHSC!$L$27</f>
        <v>0</v>
      </c>
      <c r="N179" s="74"/>
      <c r="O179" s="232"/>
      <c r="Q179" s="69"/>
      <c r="R179" s="70"/>
      <c r="S179" s="70"/>
      <c r="T179" s="70"/>
      <c r="U179" s="69"/>
      <c r="V179" s="70"/>
      <c r="W179" s="69"/>
      <c r="X179" s="62"/>
      <c r="Y179" s="67"/>
      <c r="Z179" s="69"/>
      <c r="AA179" s="19"/>
      <c r="AB179" s="24"/>
    </row>
    <row r="180" spans="2:28" ht="15.75" customHeight="1" collapsed="1">
      <c r="B180" s="55" t="s">
        <v>30</v>
      </c>
      <c r="C180" s="21"/>
      <c r="D180" s="21"/>
      <c r="F180" s="64">
        <f t="shared" ref="F180:L180" si="9">SUM(F171:F179)</f>
        <v>7401318</v>
      </c>
      <c r="G180" s="64">
        <f t="shared" si="9"/>
        <v>3855001</v>
      </c>
      <c r="H180" s="64">
        <f t="shared" si="9"/>
        <v>64055</v>
      </c>
      <c r="I180" s="64">
        <f t="shared" si="9"/>
        <v>871307</v>
      </c>
      <c r="J180" s="64">
        <f t="shared" si="9"/>
        <v>752820</v>
      </c>
      <c r="K180" s="64">
        <f t="shared" si="9"/>
        <v>97414</v>
      </c>
      <c r="L180" s="65">
        <f t="shared" si="9"/>
        <v>13041915</v>
      </c>
      <c r="N180" s="66"/>
      <c r="O180" s="67"/>
      <c r="P180" s="68"/>
      <c r="Q180" s="69"/>
      <c r="R180" s="70"/>
      <c r="S180" s="70"/>
      <c r="T180" s="70"/>
      <c r="U180" s="69"/>
      <c r="V180" s="70"/>
      <c r="W180" s="69"/>
      <c r="X180" s="62"/>
      <c r="Y180" s="67"/>
      <c r="Z180" s="69"/>
      <c r="AA180" s="19"/>
      <c r="AB180" s="24"/>
    </row>
    <row r="181" spans="2:28" ht="15.75" hidden="1" customHeight="1" outlineLevel="1">
      <c r="B181" s="55"/>
      <c r="C181" s="21"/>
      <c r="D181" s="21"/>
      <c r="F181" s="64">
        <f>HSH!$F$28</f>
        <v>0</v>
      </c>
      <c r="G181" s="64">
        <f>HSH!$G$28</f>
        <v>0</v>
      </c>
      <c r="H181" s="64">
        <f>HSH!$H$28</f>
        <v>0</v>
      </c>
      <c r="I181" s="64">
        <f>HSH!$I$28</f>
        <v>0</v>
      </c>
      <c r="J181" s="64">
        <f>HSH!$J$28</f>
        <v>0</v>
      </c>
      <c r="K181" s="64">
        <f>HSH!$K$28</f>
        <v>0</v>
      </c>
      <c r="L181" s="65">
        <f>HSH!$L$28</f>
        <v>0</v>
      </c>
      <c r="N181" s="66"/>
      <c r="O181" s="67"/>
      <c r="P181" s="68"/>
      <c r="Q181" s="69"/>
      <c r="R181" s="70"/>
      <c r="S181" s="70"/>
      <c r="T181" s="70"/>
      <c r="U181" s="69"/>
      <c r="V181" s="70"/>
      <c r="W181" s="69"/>
      <c r="X181" s="62"/>
      <c r="Y181" s="67"/>
      <c r="Z181" s="69"/>
      <c r="AA181" s="19"/>
      <c r="AB181" s="24"/>
    </row>
    <row r="182" spans="2:28" ht="15.75" hidden="1" customHeight="1" outlineLevel="1">
      <c r="B182" s="55"/>
      <c r="C182" s="21"/>
      <c r="D182" s="21"/>
      <c r="F182" s="64">
        <f>HSSA!$F$28</f>
        <v>0</v>
      </c>
      <c r="G182" s="64">
        <f>HSSA!$G$28</f>
        <v>0</v>
      </c>
      <c r="H182" s="64">
        <f>HSSA!$H$28</f>
        <v>0</v>
      </c>
      <c r="I182" s="64">
        <f>HSSA!$I$28</f>
        <v>0</v>
      </c>
      <c r="J182" s="64">
        <f>HSSA!$J$28</f>
        <v>0</v>
      </c>
      <c r="K182" s="64">
        <f>HSSA!$K$28</f>
        <v>0</v>
      </c>
      <c r="L182" s="65">
        <f>HSSA!$L$28</f>
        <v>0</v>
      </c>
      <c r="N182" s="66"/>
      <c r="O182" s="67"/>
      <c r="P182" s="68"/>
      <c r="Q182" s="69"/>
      <c r="R182" s="70"/>
      <c r="S182" s="70"/>
      <c r="T182" s="70"/>
      <c r="U182" s="69"/>
      <c r="V182" s="70"/>
      <c r="W182" s="69"/>
      <c r="X182" s="62"/>
      <c r="Y182" s="67"/>
      <c r="Z182" s="69"/>
      <c r="AA182" s="19"/>
      <c r="AB182" s="24"/>
    </row>
    <row r="183" spans="2:28" ht="15.75" hidden="1" customHeight="1" outlineLevel="1">
      <c r="B183" s="55"/>
      <c r="C183" s="21"/>
      <c r="D183" s="21"/>
      <c r="F183" s="64">
        <f>MBG!$F$28</f>
        <v>0</v>
      </c>
      <c r="G183" s="64">
        <f>MBG!$G$28</f>
        <v>0</v>
      </c>
      <c r="H183" s="64">
        <f>MBG!$H$28</f>
        <v>0</v>
      </c>
      <c r="I183" s="64">
        <f>MBG!$I$28</f>
        <v>0</v>
      </c>
      <c r="J183" s="64">
        <f>MBG!$J$28</f>
        <v>0</v>
      </c>
      <c r="K183" s="64">
        <f>MBG!$K$28</f>
        <v>0</v>
      </c>
      <c r="L183" s="65">
        <f>MBG!$L$28</f>
        <v>0</v>
      </c>
      <c r="N183" s="66"/>
      <c r="O183" s="67"/>
      <c r="P183" s="68"/>
      <c r="Q183" s="69"/>
      <c r="R183" s="70"/>
      <c r="S183" s="70"/>
      <c r="T183" s="70"/>
      <c r="U183" s="69"/>
      <c r="V183" s="70"/>
      <c r="W183" s="69"/>
      <c r="X183" s="62"/>
      <c r="Y183" s="67"/>
      <c r="Z183" s="69"/>
      <c r="AA183" s="19"/>
      <c r="AB183" s="24"/>
    </row>
    <row r="184" spans="2:28" ht="15.75" hidden="1" customHeight="1" outlineLevel="1">
      <c r="B184" s="55"/>
      <c r="C184" s="21"/>
      <c r="D184" s="21"/>
      <c r="F184" s="64">
        <f>MDA!$F$28</f>
        <v>6777540</v>
      </c>
      <c r="G184" s="64">
        <f>MDA!$G$28</f>
        <v>5125903</v>
      </c>
      <c r="H184" s="64">
        <f>MDA!$H$28</f>
        <v>0</v>
      </c>
      <c r="I184" s="64">
        <f>MDA!$I$28</f>
        <v>2875185</v>
      </c>
      <c r="J184" s="64">
        <f>MDA!$J$28</f>
        <v>341015</v>
      </c>
      <c r="K184" s="64">
        <f>MDA!$K$28</f>
        <v>1299904</v>
      </c>
      <c r="L184" s="65">
        <f>MDA!$L$28</f>
        <v>16419547</v>
      </c>
      <c r="N184" s="66"/>
      <c r="O184" s="67"/>
      <c r="P184" s="68"/>
      <c r="Q184" s="69"/>
      <c r="R184" s="70"/>
      <c r="S184" s="70"/>
      <c r="T184" s="70"/>
      <c r="U184" s="69"/>
      <c r="V184" s="70"/>
      <c r="W184" s="69"/>
      <c r="X184" s="62"/>
      <c r="Y184" s="67"/>
      <c r="Z184" s="69"/>
      <c r="AA184" s="19"/>
      <c r="AB184" s="24"/>
    </row>
    <row r="185" spans="2:28" ht="15.75" hidden="1" customHeight="1" outlineLevel="1">
      <c r="B185" s="55"/>
      <c r="C185" s="21"/>
      <c r="D185" s="21"/>
      <c r="F185" s="64">
        <f>SWM!$F$28</f>
        <v>0</v>
      </c>
      <c r="G185" s="64">
        <f>SWM!$G$28</f>
        <v>0</v>
      </c>
      <c r="H185" s="64">
        <f>SWM!$H$28</f>
        <v>0</v>
      </c>
      <c r="I185" s="64">
        <f>SWM!$I$28</f>
        <v>0</v>
      </c>
      <c r="J185" s="64">
        <f>SWM!$J$28</f>
        <v>0</v>
      </c>
      <c r="K185" s="64">
        <f>SWM!$K$28</f>
        <v>0</v>
      </c>
      <c r="L185" s="65">
        <f>SWM!$L$28</f>
        <v>0</v>
      </c>
      <c r="N185" s="66"/>
      <c r="O185" s="67"/>
      <c r="P185" s="68"/>
      <c r="Q185" s="69"/>
      <c r="R185" s="70"/>
      <c r="S185" s="70"/>
      <c r="T185" s="70"/>
      <c r="U185" s="69"/>
      <c r="V185" s="70"/>
      <c r="W185" s="69"/>
      <c r="X185" s="62"/>
      <c r="Y185" s="67"/>
      <c r="Z185" s="69"/>
      <c r="AA185" s="19"/>
      <c r="AB185" s="24"/>
    </row>
    <row r="186" spans="2:28" ht="15.75" hidden="1" customHeight="1" outlineLevel="1">
      <c r="B186" s="55"/>
      <c r="C186" s="21"/>
      <c r="D186" s="21"/>
      <c r="F186" s="64">
        <f>TAMHSC!$F$28</f>
        <v>216476</v>
      </c>
      <c r="G186" s="64">
        <f>TAMHSC!$G$28</f>
        <v>0</v>
      </c>
      <c r="H186" s="64">
        <f>TAMHSC!$H$28</f>
        <v>0</v>
      </c>
      <c r="I186" s="64">
        <f>TAMHSC!$I$28</f>
        <v>0</v>
      </c>
      <c r="J186" s="64">
        <f>TAMHSC!$J$28</f>
        <v>0</v>
      </c>
      <c r="K186" s="64">
        <f>TAMHSC!$K$28</f>
        <v>0</v>
      </c>
      <c r="L186" s="65">
        <f>TAMHSC!$L$28</f>
        <v>216476</v>
      </c>
      <c r="N186" s="66"/>
      <c r="O186" s="67"/>
      <c r="P186" s="68"/>
      <c r="Q186" s="69"/>
      <c r="R186" s="70"/>
      <c r="S186" s="70"/>
      <c r="T186" s="70"/>
      <c r="U186" s="69"/>
      <c r="V186" s="70"/>
      <c r="W186" s="69"/>
      <c r="X186" s="62"/>
      <c r="Y186" s="67"/>
      <c r="Z186" s="69"/>
      <c r="AA186" s="19"/>
      <c r="AB186" s="24"/>
    </row>
    <row r="187" spans="2:28" ht="15.75" hidden="1" customHeight="1" outlineLevel="1">
      <c r="B187" s="55"/>
      <c r="C187" s="21"/>
      <c r="D187" s="21"/>
      <c r="F187" s="64">
        <f>THC!$F$28</f>
        <v>0</v>
      </c>
      <c r="G187" s="64">
        <f>THC!$G$28</f>
        <v>0</v>
      </c>
      <c r="H187" s="64">
        <f>THC!$H$28</f>
        <v>0</v>
      </c>
      <c r="I187" s="64">
        <f>THC!$I$28</f>
        <v>0</v>
      </c>
      <c r="J187" s="64">
        <f>THC!$J$28</f>
        <v>0</v>
      </c>
      <c r="K187" s="64">
        <f>THC!$K$28</f>
        <v>0</v>
      </c>
      <c r="L187" s="65">
        <f>THC!$L$28</f>
        <v>0</v>
      </c>
      <c r="N187" s="66"/>
      <c r="O187" s="67"/>
      <c r="P187" s="68"/>
      <c r="Q187" s="69"/>
      <c r="R187" s="70"/>
      <c r="S187" s="70"/>
      <c r="T187" s="70"/>
      <c r="U187" s="69"/>
      <c r="V187" s="70"/>
      <c r="W187" s="69"/>
      <c r="X187" s="62"/>
      <c r="Y187" s="67"/>
      <c r="Z187" s="69"/>
      <c r="AA187" s="19"/>
      <c r="AB187" s="24"/>
    </row>
    <row r="188" spans="2:28" ht="15.75" hidden="1" customHeight="1" outlineLevel="1">
      <c r="B188" s="55"/>
      <c r="C188" s="21"/>
      <c r="D188" s="21"/>
      <c r="F188" s="64">
        <f>TTUHSC!$F$28</f>
        <v>0</v>
      </c>
      <c r="G188" s="64">
        <f>TTUHSC!$G$28</f>
        <v>0</v>
      </c>
      <c r="H188" s="64">
        <f>TTUHSC!$H$28</f>
        <v>0</v>
      </c>
      <c r="I188" s="64">
        <f>TTUHSC!$I$28</f>
        <v>0</v>
      </c>
      <c r="J188" s="64">
        <f>TTUHSC!$J$28</f>
        <v>0</v>
      </c>
      <c r="K188" s="64">
        <f>TTUHSC!$K$28</f>
        <v>0</v>
      </c>
      <c r="L188" s="65">
        <f>TTUHSC!$L$28</f>
        <v>0</v>
      </c>
      <c r="N188" s="66"/>
      <c r="O188" s="67"/>
      <c r="P188" s="68"/>
      <c r="Q188" s="69"/>
      <c r="R188" s="70"/>
      <c r="S188" s="70"/>
      <c r="T188" s="70"/>
      <c r="U188" s="69"/>
      <c r="V188" s="70"/>
      <c r="W188" s="69"/>
      <c r="X188" s="62"/>
      <c r="Y188" s="67"/>
      <c r="Z188" s="69"/>
      <c r="AA188" s="19"/>
      <c r="AB188" s="24"/>
    </row>
    <row r="189" spans="2:28" ht="15.75" hidden="1" customHeight="1" outlineLevel="1">
      <c r="B189" s="55"/>
      <c r="C189" s="21"/>
      <c r="D189" s="21"/>
      <c r="F189" s="64">
        <f>UNTHSC!$F$28</f>
        <v>0</v>
      </c>
      <c r="G189" s="64">
        <f>UNTHSC!$G$28</f>
        <v>0</v>
      </c>
      <c r="H189" s="64">
        <f>UNTHSC!$H$28</f>
        <v>0</v>
      </c>
      <c r="I189" s="64">
        <f>UNTHSC!$I$28</f>
        <v>0</v>
      </c>
      <c r="J189" s="64">
        <f>UNTHSC!$J$28</f>
        <v>0</v>
      </c>
      <c r="K189" s="64">
        <f>UNTHSC!$K$28</f>
        <v>0</v>
      </c>
      <c r="L189" s="65">
        <f>UNTHSC!$L$28</f>
        <v>0</v>
      </c>
      <c r="N189" s="66"/>
      <c r="O189" s="67"/>
      <c r="P189" s="68"/>
      <c r="Q189" s="69"/>
      <c r="R189" s="70"/>
      <c r="S189" s="70"/>
      <c r="T189" s="70"/>
      <c r="U189" s="69"/>
      <c r="V189" s="70"/>
      <c r="W189" s="69"/>
      <c r="X189" s="62"/>
      <c r="Y189" s="67"/>
      <c r="Z189" s="69"/>
      <c r="AA189" s="19"/>
      <c r="AB189" s="24"/>
    </row>
    <row r="190" spans="2:28" ht="15.75" customHeight="1" collapsed="1">
      <c r="B190" s="63" t="s">
        <v>31</v>
      </c>
      <c r="C190" s="21"/>
      <c r="D190" s="21"/>
      <c r="F190" s="64">
        <f t="shared" ref="F190:L190" si="10">SUM(F181:F189)</f>
        <v>6994016</v>
      </c>
      <c r="G190" s="64">
        <f t="shared" si="10"/>
        <v>5125903</v>
      </c>
      <c r="H190" s="64">
        <f t="shared" si="10"/>
        <v>0</v>
      </c>
      <c r="I190" s="64">
        <f t="shared" si="10"/>
        <v>2875185</v>
      </c>
      <c r="J190" s="64">
        <f t="shared" si="10"/>
        <v>341015</v>
      </c>
      <c r="K190" s="64">
        <f t="shared" si="10"/>
        <v>1299904</v>
      </c>
      <c r="L190" s="65">
        <f t="shared" si="10"/>
        <v>16636023</v>
      </c>
      <c r="N190" s="66"/>
      <c r="O190" s="67"/>
      <c r="P190" s="68"/>
      <c r="Q190" s="69"/>
      <c r="R190" s="70"/>
      <c r="S190" s="70"/>
      <c r="T190" s="70"/>
      <c r="U190" s="69"/>
      <c r="V190" s="70"/>
      <c r="W190" s="69"/>
      <c r="X190" s="62"/>
      <c r="Y190" s="67"/>
      <c r="Z190" s="69"/>
      <c r="AA190" s="19"/>
      <c r="AB190" s="24"/>
    </row>
    <row r="191" spans="2:28" ht="15.75" hidden="1" customHeight="1" outlineLevel="1">
      <c r="B191" s="63"/>
      <c r="C191" s="21"/>
      <c r="D191" s="21"/>
      <c r="F191" s="64">
        <f>HSH!$F$29</f>
        <v>0</v>
      </c>
      <c r="G191" s="64">
        <f>HSH!$G$29</f>
        <v>0</v>
      </c>
      <c r="H191" s="64">
        <f>HSH!$H$29</f>
        <v>0</v>
      </c>
      <c r="I191" s="64">
        <f>HSH!$I$29</f>
        <v>0</v>
      </c>
      <c r="J191" s="64">
        <f>HSH!$J$29</f>
        <v>0</v>
      </c>
      <c r="K191" s="64">
        <f>HSH!$K$29</f>
        <v>0</v>
      </c>
      <c r="L191" s="65">
        <f>HSH!$L$29</f>
        <v>0</v>
      </c>
      <c r="N191" s="66"/>
      <c r="O191" s="67"/>
      <c r="P191" s="68"/>
      <c r="Q191" s="69"/>
      <c r="R191" s="70"/>
      <c r="S191" s="70"/>
      <c r="T191" s="70"/>
      <c r="U191" s="69"/>
      <c r="V191" s="70"/>
      <c r="W191" s="69"/>
      <c r="X191" s="62"/>
      <c r="Y191" s="67"/>
      <c r="Z191" s="69"/>
      <c r="AA191" s="19"/>
      <c r="AB191" s="24"/>
    </row>
    <row r="192" spans="2:28" ht="15.75" hidden="1" customHeight="1" outlineLevel="1">
      <c r="B192" s="63"/>
      <c r="C192" s="21"/>
      <c r="D192" s="21"/>
      <c r="F192" s="64">
        <f>HSSA!$F$29</f>
        <v>0</v>
      </c>
      <c r="G192" s="64">
        <f>HSSA!$G$29</f>
        <v>0</v>
      </c>
      <c r="H192" s="64">
        <f>HSSA!$H$29</f>
        <v>0</v>
      </c>
      <c r="I192" s="64">
        <f>HSSA!$I$29</f>
        <v>0</v>
      </c>
      <c r="J192" s="64">
        <f>HSSA!$J$29</f>
        <v>0</v>
      </c>
      <c r="K192" s="64">
        <f>HSSA!$K$29</f>
        <v>0</v>
      </c>
      <c r="L192" s="65">
        <f>HSSA!$L$29</f>
        <v>0</v>
      </c>
      <c r="N192" s="66"/>
      <c r="O192" s="67"/>
      <c r="P192" s="68"/>
      <c r="Q192" s="69"/>
      <c r="R192" s="70"/>
      <c r="S192" s="70"/>
      <c r="T192" s="70"/>
      <c r="U192" s="69"/>
      <c r="V192" s="70"/>
      <c r="W192" s="69"/>
      <c r="X192" s="62"/>
      <c r="Y192" s="67"/>
      <c r="Z192" s="69"/>
      <c r="AA192" s="19"/>
      <c r="AB192" s="24"/>
    </row>
    <row r="193" spans="2:28" ht="15.75" hidden="1" customHeight="1" outlineLevel="1">
      <c r="B193" s="63"/>
      <c r="C193" s="21"/>
      <c r="D193" s="21"/>
      <c r="F193" s="64">
        <f>MBG!$F$29</f>
        <v>0</v>
      </c>
      <c r="G193" s="64">
        <f>MBG!$G$29</f>
        <v>0</v>
      </c>
      <c r="H193" s="64">
        <f>MBG!$H$29</f>
        <v>0</v>
      </c>
      <c r="I193" s="64">
        <f>MBG!$I$29</f>
        <v>0</v>
      </c>
      <c r="J193" s="64">
        <f>MBG!$J$29</f>
        <v>0</v>
      </c>
      <c r="K193" s="64">
        <f>MBG!$K$29</f>
        <v>0</v>
      </c>
      <c r="L193" s="65">
        <f>MBG!$L$29</f>
        <v>0</v>
      </c>
      <c r="N193" s="66"/>
      <c r="O193" s="67"/>
      <c r="P193" s="68"/>
      <c r="Q193" s="69"/>
      <c r="R193" s="70"/>
      <c r="S193" s="70"/>
      <c r="T193" s="70"/>
      <c r="U193" s="69"/>
      <c r="V193" s="70"/>
      <c r="W193" s="69"/>
      <c r="X193" s="62"/>
      <c r="Y193" s="67"/>
      <c r="Z193" s="69"/>
      <c r="AA193" s="19"/>
      <c r="AB193" s="24"/>
    </row>
    <row r="194" spans="2:28" ht="15.75" hidden="1" customHeight="1" outlineLevel="1">
      <c r="B194" s="63"/>
      <c r="C194" s="21"/>
      <c r="D194" s="21"/>
      <c r="F194" s="64">
        <f>MDA!$F$29</f>
        <v>6498232</v>
      </c>
      <c r="G194" s="64">
        <f>MDA!$G$29</f>
        <v>2342001</v>
      </c>
      <c r="H194" s="64">
        <f>MDA!$H$29</f>
        <v>0</v>
      </c>
      <c r="I194" s="64">
        <f>MDA!$I$29</f>
        <v>961879</v>
      </c>
      <c r="J194" s="64">
        <f>MDA!$J$29</f>
        <v>0</v>
      </c>
      <c r="K194" s="64">
        <f>MDA!$K$29</f>
        <v>833178</v>
      </c>
      <c r="L194" s="65">
        <f>MDA!$L$29</f>
        <v>10635290</v>
      </c>
      <c r="N194" s="66"/>
      <c r="O194" s="67"/>
      <c r="P194" s="68"/>
      <c r="Q194" s="69"/>
      <c r="R194" s="70"/>
      <c r="S194" s="70"/>
      <c r="T194" s="70"/>
      <c r="U194" s="69"/>
      <c r="V194" s="70"/>
      <c r="W194" s="69"/>
      <c r="X194" s="62"/>
      <c r="Y194" s="67"/>
      <c r="Z194" s="69"/>
      <c r="AA194" s="19"/>
      <c r="AB194" s="24"/>
    </row>
    <row r="195" spans="2:28" ht="15.75" hidden="1" customHeight="1" outlineLevel="1">
      <c r="B195" s="63"/>
      <c r="C195" s="21"/>
      <c r="D195" s="21"/>
      <c r="F195" s="64">
        <f>SWM!$F$29</f>
        <v>0</v>
      </c>
      <c r="G195" s="64">
        <f>SWM!$G$29</f>
        <v>0</v>
      </c>
      <c r="H195" s="64">
        <f>SWM!$H$29</f>
        <v>0</v>
      </c>
      <c r="I195" s="64">
        <f>SWM!$I$29</f>
        <v>0</v>
      </c>
      <c r="J195" s="64">
        <f>SWM!$J$29</f>
        <v>0</v>
      </c>
      <c r="K195" s="64">
        <f>SWM!$K$29</f>
        <v>0</v>
      </c>
      <c r="L195" s="65">
        <f>SWM!$L$29</f>
        <v>0</v>
      </c>
      <c r="N195" s="66"/>
      <c r="O195" s="67"/>
      <c r="P195" s="68"/>
      <c r="Q195" s="69"/>
      <c r="R195" s="70"/>
      <c r="S195" s="70"/>
      <c r="T195" s="70"/>
      <c r="U195" s="69"/>
      <c r="V195" s="70"/>
      <c r="W195" s="69"/>
      <c r="X195" s="62"/>
      <c r="Y195" s="67"/>
      <c r="Z195" s="69"/>
      <c r="AA195" s="19"/>
      <c r="AB195" s="24"/>
    </row>
    <row r="196" spans="2:28" ht="15.75" hidden="1" customHeight="1" outlineLevel="1">
      <c r="B196" s="63"/>
      <c r="C196" s="21"/>
      <c r="D196" s="21"/>
      <c r="F196" s="64">
        <f>TAMHSC!$F$29</f>
        <v>929152</v>
      </c>
      <c r="G196" s="64">
        <f>TAMHSC!$G$29</f>
        <v>0</v>
      </c>
      <c r="H196" s="64">
        <f>TAMHSC!$H$29</f>
        <v>0</v>
      </c>
      <c r="I196" s="64">
        <f>TAMHSC!$I$29</f>
        <v>0</v>
      </c>
      <c r="J196" s="64">
        <f>TAMHSC!$J$29</f>
        <v>0</v>
      </c>
      <c r="K196" s="64">
        <f>TAMHSC!$K$29</f>
        <v>0</v>
      </c>
      <c r="L196" s="65">
        <f>TAMHSC!$L$29</f>
        <v>929152</v>
      </c>
      <c r="N196" s="66"/>
      <c r="O196" s="67"/>
      <c r="P196" s="68"/>
      <c r="Q196" s="69"/>
      <c r="R196" s="70"/>
      <c r="S196" s="70"/>
      <c r="T196" s="70"/>
      <c r="U196" s="69"/>
      <c r="V196" s="70"/>
      <c r="W196" s="69"/>
      <c r="X196" s="62"/>
      <c r="Y196" s="67"/>
      <c r="Z196" s="69"/>
      <c r="AA196" s="19"/>
      <c r="AB196" s="24"/>
    </row>
    <row r="197" spans="2:28" ht="15.75" hidden="1" customHeight="1" outlineLevel="1">
      <c r="B197" s="63"/>
      <c r="C197" s="21"/>
      <c r="D197" s="21"/>
      <c r="F197" s="64">
        <f>THC!$F$29</f>
        <v>0</v>
      </c>
      <c r="G197" s="64">
        <f>THC!$G$29</f>
        <v>0</v>
      </c>
      <c r="H197" s="64">
        <f>THC!$H$29</f>
        <v>0</v>
      </c>
      <c r="I197" s="64">
        <f>THC!$I$29</f>
        <v>0</v>
      </c>
      <c r="J197" s="64">
        <f>THC!$J$29</f>
        <v>0</v>
      </c>
      <c r="K197" s="64">
        <f>THC!$K$29</f>
        <v>0</v>
      </c>
      <c r="L197" s="65">
        <f>THC!$L$29</f>
        <v>0</v>
      </c>
      <c r="N197" s="66"/>
      <c r="O197" s="67"/>
      <c r="P197" s="68"/>
      <c r="Q197" s="69"/>
      <c r="R197" s="70"/>
      <c r="S197" s="70"/>
      <c r="T197" s="70"/>
      <c r="U197" s="69"/>
      <c r="V197" s="70"/>
      <c r="W197" s="69"/>
      <c r="X197" s="62"/>
      <c r="Y197" s="67"/>
      <c r="Z197" s="69"/>
      <c r="AA197" s="19"/>
      <c r="AB197" s="24"/>
    </row>
    <row r="198" spans="2:28" ht="15.75" hidden="1" customHeight="1" outlineLevel="1">
      <c r="B198" s="63"/>
      <c r="C198" s="21"/>
      <c r="D198" s="21"/>
      <c r="F198" s="64">
        <f>TTUHSC!$F$29</f>
        <v>0</v>
      </c>
      <c r="G198" s="64">
        <f>TTUHSC!$G$29</f>
        <v>0</v>
      </c>
      <c r="H198" s="64">
        <f>TTUHSC!$H$29</f>
        <v>0</v>
      </c>
      <c r="I198" s="64">
        <f>TTUHSC!$I$29</f>
        <v>0</v>
      </c>
      <c r="J198" s="64">
        <f>TTUHSC!$J$29</f>
        <v>0</v>
      </c>
      <c r="K198" s="64">
        <f>TTUHSC!$K$29</f>
        <v>0</v>
      </c>
      <c r="L198" s="65">
        <f>TTUHSC!$L$29</f>
        <v>0</v>
      </c>
      <c r="N198" s="66"/>
      <c r="O198" s="67"/>
      <c r="P198" s="68"/>
      <c r="Q198" s="69"/>
      <c r="R198" s="70"/>
      <c r="S198" s="70"/>
      <c r="T198" s="70"/>
      <c r="U198" s="69"/>
      <c r="V198" s="70"/>
      <c r="W198" s="69"/>
      <c r="X198" s="62"/>
      <c r="Y198" s="67"/>
      <c r="Z198" s="69"/>
      <c r="AA198" s="19"/>
      <c r="AB198" s="24"/>
    </row>
    <row r="199" spans="2:28" ht="15.75" hidden="1" customHeight="1" outlineLevel="1">
      <c r="B199" s="63"/>
      <c r="C199" s="21"/>
      <c r="D199" s="21"/>
      <c r="F199" s="64">
        <f>UNTHSC!$F$29</f>
        <v>0</v>
      </c>
      <c r="G199" s="64">
        <f>UNTHSC!$G$29</f>
        <v>0</v>
      </c>
      <c r="H199" s="64">
        <f>UNTHSC!$H$29</f>
        <v>0</v>
      </c>
      <c r="I199" s="64">
        <f>UNTHSC!$I$29</f>
        <v>0</v>
      </c>
      <c r="J199" s="64">
        <f>UNTHSC!$J$29</f>
        <v>0</v>
      </c>
      <c r="K199" s="64">
        <f>UNTHSC!$K$29</f>
        <v>0</v>
      </c>
      <c r="L199" s="65">
        <f>UNTHSC!$L$29</f>
        <v>0</v>
      </c>
      <c r="N199" s="66"/>
      <c r="O199" s="67"/>
      <c r="P199" s="68"/>
      <c r="Q199" s="69"/>
      <c r="R199" s="70"/>
      <c r="S199" s="70"/>
      <c r="T199" s="70"/>
      <c r="U199" s="69"/>
      <c r="V199" s="70"/>
      <c r="W199" s="69"/>
      <c r="X199" s="62"/>
      <c r="Y199" s="67"/>
      <c r="Z199" s="69"/>
      <c r="AA199" s="19"/>
      <c r="AB199" s="24"/>
    </row>
    <row r="200" spans="2:28" ht="15.75" customHeight="1" collapsed="1">
      <c r="B200" s="63" t="s">
        <v>32</v>
      </c>
      <c r="C200" s="21"/>
      <c r="D200" s="21"/>
      <c r="F200" s="64">
        <f t="shared" ref="F200:L200" si="11">SUM(F191:F199)</f>
        <v>7427384</v>
      </c>
      <c r="G200" s="64">
        <f t="shared" si="11"/>
        <v>2342001</v>
      </c>
      <c r="H200" s="64">
        <f t="shared" si="11"/>
        <v>0</v>
      </c>
      <c r="I200" s="64">
        <f t="shared" si="11"/>
        <v>961879</v>
      </c>
      <c r="J200" s="64">
        <f t="shared" si="11"/>
        <v>0</v>
      </c>
      <c r="K200" s="64">
        <f t="shared" si="11"/>
        <v>833178</v>
      </c>
      <c r="L200" s="65">
        <f t="shared" si="11"/>
        <v>11564442</v>
      </c>
      <c r="N200" s="66"/>
      <c r="O200" s="67"/>
      <c r="P200" s="68"/>
      <c r="Q200" s="69"/>
      <c r="R200" s="70"/>
      <c r="S200" s="70"/>
      <c r="T200" s="70"/>
      <c r="U200" s="69"/>
      <c r="V200" s="70"/>
      <c r="W200" s="69"/>
      <c r="X200" s="62"/>
      <c r="Y200" s="67"/>
      <c r="Z200" s="69"/>
      <c r="AA200" s="19"/>
      <c r="AB200" s="24"/>
    </row>
    <row r="201" spans="2:28" ht="15.75" hidden="1" customHeight="1" outlineLevel="1">
      <c r="B201" s="63"/>
      <c r="C201" s="21"/>
      <c r="D201" s="21"/>
      <c r="F201" s="64">
        <f>HSH!$F$30</f>
        <v>0</v>
      </c>
      <c r="G201" s="64">
        <f>HSH!$G$30</f>
        <v>0</v>
      </c>
      <c r="H201" s="64">
        <f>HSH!$H$30</f>
        <v>0</v>
      </c>
      <c r="I201" s="64">
        <f>HSH!$I$30</f>
        <v>0</v>
      </c>
      <c r="J201" s="64">
        <f>HSH!$J$30</f>
        <v>0</v>
      </c>
      <c r="K201" s="64">
        <f>HSH!$K$30</f>
        <v>0</v>
      </c>
      <c r="L201" s="65">
        <f>HSH!$L$30</f>
        <v>0</v>
      </c>
      <c r="N201" s="66"/>
      <c r="O201" s="67"/>
      <c r="P201" s="68"/>
      <c r="Q201" s="69"/>
      <c r="R201" s="70"/>
      <c r="S201" s="70"/>
      <c r="T201" s="70"/>
      <c r="U201" s="69"/>
      <c r="V201" s="70"/>
      <c r="W201" s="69"/>
      <c r="X201" s="62"/>
      <c r="Y201" s="67"/>
      <c r="Z201" s="69"/>
      <c r="AA201" s="19"/>
      <c r="AB201" s="24"/>
    </row>
    <row r="202" spans="2:28" ht="15.75" hidden="1" customHeight="1" outlineLevel="1">
      <c r="B202" s="63"/>
      <c r="C202" s="21"/>
      <c r="D202" s="21"/>
      <c r="F202" s="64">
        <f>HSSA!$F$30</f>
        <v>0</v>
      </c>
      <c r="G202" s="64">
        <f>HSSA!$G$30</f>
        <v>0</v>
      </c>
      <c r="H202" s="64">
        <f>HSSA!$H$30</f>
        <v>0</v>
      </c>
      <c r="I202" s="64">
        <f>HSSA!$I$30</f>
        <v>0</v>
      </c>
      <c r="J202" s="64">
        <f>HSSA!$J$30</f>
        <v>0</v>
      </c>
      <c r="K202" s="64">
        <f>HSSA!$K$30</f>
        <v>0</v>
      </c>
      <c r="L202" s="65">
        <f>HSSA!$L$30</f>
        <v>0</v>
      </c>
      <c r="N202" s="66"/>
      <c r="O202" s="67"/>
      <c r="P202" s="68"/>
      <c r="Q202" s="69"/>
      <c r="R202" s="70"/>
      <c r="S202" s="70"/>
      <c r="T202" s="70"/>
      <c r="U202" s="69"/>
      <c r="V202" s="70"/>
      <c r="W202" s="69"/>
      <c r="X202" s="62"/>
      <c r="Y202" s="67"/>
      <c r="Z202" s="69"/>
      <c r="AA202" s="19"/>
      <c r="AB202" s="24"/>
    </row>
    <row r="203" spans="2:28" ht="15.75" hidden="1" customHeight="1" outlineLevel="1">
      <c r="B203" s="63"/>
      <c r="C203" s="21"/>
      <c r="D203" s="21"/>
      <c r="F203" s="64">
        <f>MBG!$F$30</f>
        <v>0</v>
      </c>
      <c r="G203" s="64">
        <f>MBG!$G$30</f>
        <v>0</v>
      </c>
      <c r="H203" s="64">
        <f>MBG!$H$30</f>
        <v>0</v>
      </c>
      <c r="I203" s="64">
        <f>MBG!$I$30</f>
        <v>0</v>
      </c>
      <c r="J203" s="64">
        <f>MBG!$J$30</f>
        <v>0</v>
      </c>
      <c r="K203" s="64">
        <f>MBG!$K$30</f>
        <v>0</v>
      </c>
      <c r="L203" s="65">
        <f>MBG!$L$30</f>
        <v>0</v>
      </c>
      <c r="N203" s="66"/>
      <c r="O203" s="67"/>
      <c r="P203" s="68"/>
      <c r="Q203" s="69"/>
      <c r="R203" s="70"/>
      <c r="S203" s="70"/>
      <c r="T203" s="70"/>
      <c r="U203" s="69"/>
      <c r="V203" s="70"/>
      <c r="W203" s="69"/>
      <c r="X203" s="62"/>
      <c r="Y203" s="67"/>
      <c r="Z203" s="69"/>
      <c r="AA203" s="19"/>
      <c r="AB203" s="24"/>
    </row>
    <row r="204" spans="2:28" ht="15.75" hidden="1" customHeight="1" outlineLevel="1">
      <c r="B204" s="63"/>
      <c r="C204" s="21"/>
      <c r="D204" s="21"/>
      <c r="F204" s="64">
        <f>MDA!$F$30</f>
        <v>0</v>
      </c>
      <c r="G204" s="64">
        <f>MDA!$G$30</f>
        <v>0</v>
      </c>
      <c r="H204" s="64">
        <f>MDA!$H$30</f>
        <v>0</v>
      </c>
      <c r="I204" s="64">
        <f>MDA!$I$30</f>
        <v>0</v>
      </c>
      <c r="J204" s="64">
        <f>MDA!$J$30</f>
        <v>0</v>
      </c>
      <c r="K204" s="64">
        <f>MDA!$K$30</f>
        <v>0</v>
      </c>
      <c r="L204" s="65">
        <f>MDA!$L$30</f>
        <v>0</v>
      </c>
      <c r="N204" s="66"/>
      <c r="O204" s="67"/>
      <c r="P204" s="68"/>
      <c r="Q204" s="69"/>
      <c r="R204" s="70"/>
      <c r="S204" s="70"/>
      <c r="T204" s="70"/>
      <c r="U204" s="69"/>
      <c r="V204" s="70"/>
      <c r="W204" s="69"/>
      <c r="X204" s="62"/>
      <c r="Y204" s="67"/>
      <c r="Z204" s="69"/>
      <c r="AA204" s="19"/>
      <c r="AB204" s="24"/>
    </row>
    <row r="205" spans="2:28" ht="15.75" hidden="1" customHeight="1" outlineLevel="1">
      <c r="B205" s="63"/>
      <c r="C205" s="21"/>
      <c r="D205" s="21"/>
      <c r="F205" s="64">
        <f>SWM!$F$30</f>
        <v>154440</v>
      </c>
      <c r="G205" s="64">
        <f>SWM!$G$30</f>
        <v>3548064</v>
      </c>
      <c r="H205" s="64">
        <f>SWM!$H$30</f>
        <v>228017</v>
      </c>
      <c r="I205" s="64">
        <f>SWM!$I$30</f>
        <v>2230145</v>
      </c>
      <c r="J205" s="64">
        <f>SWM!$J$30</f>
        <v>7569</v>
      </c>
      <c r="K205" s="64">
        <f>SWM!$K$30</f>
        <v>4005914</v>
      </c>
      <c r="L205" s="65">
        <f>SWM!$L$30</f>
        <v>10174149</v>
      </c>
      <c r="N205" s="66"/>
      <c r="O205" s="67"/>
      <c r="P205" s="68"/>
      <c r="Q205" s="69"/>
      <c r="R205" s="70"/>
      <c r="S205" s="70"/>
      <c r="T205" s="70"/>
      <c r="U205" s="69"/>
      <c r="V205" s="70"/>
      <c r="W205" s="69"/>
      <c r="X205" s="62"/>
      <c r="Y205" s="67"/>
      <c r="Z205" s="69"/>
      <c r="AA205" s="19"/>
      <c r="AB205" s="24"/>
    </row>
    <row r="206" spans="2:28" ht="15.75" hidden="1" customHeight="1" outlineLevel="1">
      <c r="B206" s="63"/>
      <c r="C206" s="21"/>
      <c r="D206" s="21"/>
      <c r="F206" s="64">
        <f>TAMHSC!$F$30</f>
        <v>0</v>
      </c>
      <c r="G206" s="64">
        <f>TAMHSC!$G$30</f>
        <v>0</v>
      </c>
      <c r="H206" s="64">
        <f>TAMHSC!$H$30</f>
        <v>0</v>
      </c>
      <c r="I206" s="64">
        <f>TAMHSC!$I$30</f>
        <v>0</v>
      </c>
      <c r="J206" s="64">
        <f>TAMHSC!$J$30</f>
        <v>0</v>
      </c>
      <c r="K206" s="64">
        <f>TAMHSC!$K$30</f>
        <v>0</v>
      </c>
      <c r="L206" s="65">
        <f>TAMHSC!$L$30</f>
        <v>0</v>
      </c>
      <c r="N206" s="66"/>
      <c r="O206" s="67"/>
      <c r="P206" s="68"/>
      <c r="Q206" s="69"/>
      <c r="R206" s="70"/>
      <c r="S206" s="70"/>
      <c r="T206" s="70"/>
      <c r="U206" s="69"/>
      <c r="V206" s="70"/>
      <c r="W206" s="69"/>
      <c r="X206" s="62"/>
      <c r="Y206" s="67"/>
      <c r="Z206" s="69"/>
      <c r="AA206" s="19"/>
      <c r="AB206" s="24"/>
    </row>
    <row r="207" spans="2:28" ht="15.75" hidden="1" customHeight="1" outlineLevel="1">
      <c r="B207" s="63"/>
      <c r="C207" s="21"/>
      <c r="D207" s="21"/>
      <c r="F207" s="64">
        <f>THC!$F$30</f>
        <v>0</v>
      </c>
      <c r="G207" s="64">
        <f>THC!$G$30</f>
        <v>0</v>
      </c>
      <c r="H207" s="64">
        <f>THC!$H$30</f>
        <v>0</v>
      </c>
      <c r="I207" s="64">
        <f>THC!$I$30</f>
        <v>0</v>
      </c>
      <c r="J207" s="64">
        <f>THC!$J$30</f>
        <v>0</v>
      </c>
      <c r="K207" s="64">
        <f>THC!$K$30</f>
        <v>0</v>
      </c>
      <c r="L207" s="65">
        <f>THC!$L$30</f>
        <v>0</v>
      </c>
      <c r="N207" s="66"/>
      <c r="O207" s="67"/>
      <c r="P207" s="68"/>
      <c r="Q207" s="69"/>
      <c r="R207" s="70"/>
      <c r="S207" s="70"/>
      <c r="T207" s="70"/>
      <c r="U207" s="69"/>
      <c r="V207" s="70"/>
      <c r="W207" s="69"/>
      <c r="X207" s="62"/>
      <c r="Y207" s="67"/>
      <c r="Z207" s="69"/>
      <c r="AA207" s="19"/>
      <c r="AB207" s="24"/>
    </row>
    <row r="208" spans="2:28" ht="15.75" hidden="1" customHeight="1" outlineLevel="1">
      <c r="B208" s="63"/>
      <c r="C208" s="21"/>
      <c r="D208" s="21"/>
      <c r="F208" s="64">
        <f>TTUHSC!$F$30</f>
        <v>0</v>
      </c>
      <c r="G208" s="64">
        <f>TTUHSC!$G$30</f>
        <v>0</v>
      </c>
      <c r="H208" s="64">
        <f>TTUHSC!$H$30</f>
        <v>0</v>
      </c>
      <c r="I208" s="64">
        <f>TTUHSC!$I$30</f>
        <v>0</v>
      </c>
      <c r="J208" s="64">
        <f>TTUHSC!$J$30</f>
        <v>0</v>
      </c>
      <c r="K208" s="64">
        <f>TTUHSC!$K$30</f>
        <v>0</v>
      </c>
      <c r="L208" s="65">
        <f>TTUHSC!$L$30</f>
        <v>0</v>
      </c>
      <c r="N208" s="66"/>
      <c r="O208" s="67"/>
      <c r="P208" s="68"/>
      <c r="Q208" s="69"/>
      <c r="R208" s="70"/>
      <c r="S208" s="70"/>
      <c r="T208" s="70"/>
      <c r="U208" s="69"/>
      <c r="V208" s="70"/>
      <c r="W208" s="69"/>
      <c r="X208" s="62"/>
      <c r="Y208" s="67"/>
      <c r="Z208" s="69"/>
      <c r="AA208" s="19"/>
      <c r="AB208" s="24"/>
    </row>
    <row r="209" spans="2:28" ht="15.75" hidden="1" customHeight="1" outlineLevel="1">
      <c r="B209" s="63"/>
      <c r="C209" s="21"/>
      <c r="D209" s="21"/>
      <c r="F209" s="64">
        <f>UNTHSC!$F$30</f>
        <v>0</v>
      </c>
      <c r="G209" s="64">
        <f>UNTHSC!$G$30</f>
        <v>0</v>
      </c>
      <c r="H209" s="64">
        <f>UNTHSC!$H$30</f>
        <v>0</v>
      </c>
      <c r="I209" s="64">
        <f>UNTHSC!$I$30</f>
        <v>0</v>
      </c>
      <c r="J209" s="64">
        <f>UNTHSC!$J$30</f>
        <v>0</v>
      </c>
      <c r="K209" s="64">
        <f>UNTHSC!$K$30</f>
        <v>0</v>
      </c>
      <c r="L209" s="65">
        <f>UNTHSC!$L$30</f>
        <v>0</v>
      </c>
      <c r="N209" s="66"/>
      <c r="O209" s="67"/>
      <c r="P209" s="68"/>
      <c r="Q209" s="69"/>
      <c r="R209" s="70"/>
      <c r="S209" s="70"/>
      <c r="T209" s="70"/>
      <c r="U209" s="69"/>
      <c r="V209" s="70"/>
      <c r="W209" s="69"/>
      <c r="X209" s="62"/>
      <c r="Y209" s="67"/>
      <c r="Z209" s="69"/>
      <c r="AA209" s="19"/>
      <c r="AB209" s="24"/>
    </row>
    <row r="210" spans="2:28" ht="15.75" customHeight="1" collapsed="1">
      <c r="B210" s="63" t="s">
        <v>33</v>
      </c>
      <c r="C210" s="21"/>
      <c r="D210" s="21"/>
      <c r="F210" s="64">
        <f t="shared" ref="F210:L210" si="12">SUM(F201:F209)</f>
        <v>154440</v>
      </c>
      <c r="G210" s="64">
        <f t="shared" si="12"/>
        <v>3548064</v>
      </c>
      <c r="H210" s="64">
        <f t="shared" si="12"/>
        <v>228017</v>
      </c>
      <c r="I210" s="64">
        <f t="shared" si="12"/>
        <v>2230145</v>
      </c>
      <c r="J210" s="64">
        <f t="shared" si="12"/>
        <v>7569</v>
      </c>
      <c r="K210" s="64">
        <f t="shared" si="12"/>
        <v>4005914</v>
      </c>
      <c r="L210" s="65">
        <f t="shared" si="12"/>
        <v>10174149</v>
      </c>
      <c r="N210" s="66"/>
      <c r="O210" s="67"/>
      <c r="P210" s="68"/>
      <c r="Q210" s="69"/>
      <c r="R210" s="70"/>
      <c r="S210" s="70"/>
      <c r="T210" s="70"/>
      <c r="U210" s="69"/>
      <c r="V210" s="70"/>
      <c r="W210" s="69"/>
      <c r="X210" s="62"/>
      <c r="Y210" s="67"/>
      <c r="Z210" s="69"/>
      <c r="AA210" s="19"/>
      <c r="AB210" s="24"/>
    </row>
    <row r="211" spans="2:28" ht="15.75" hidden="1" customHeight="1" outlineLevel="1">
      <c r="B211" s="63"/>
      <c r="C211" s="21"/>
      <c r="D211" s="21"/>
      <c r="F211" s="64">
        <f>HSH!$F$31</f>
        <v>0</v>
      </c>
      <c r="G211" s="64">
        <f>HSH!$G$31</f>
        <v>0</v>
      </c>
      <c r="H211" s="64">
        <f>HSH!$H$31</f>
        <v>0</v>
      </c>
      <c r="I211" s="64">
        <f>HSH!$I$31</f>
        <v>0</v>
      </c>
      <c r="J211" s="64">
        <f>HSH!$J$31</f>
        <v>0</v>
      </c>
      <c r="K211" s="64">
        <f>HSH!$K$31</f>
        <v>0</v>
      </c>
      <c r="L211" s="65">
        <f>HSH!$L$31</f>
        <v>0</v>
      </c>
      <c r="N211" s="66"/>
      <c r="O211" s="67"/>
      <c r="P211" s="68"/>
      <c r="Q211" s="69"/>
      <c r="R211" s="70"/>
      <c r="S211" s="70"/>
      <c r="T211" s="70"/>
      <c r="U211" s="69"/>
      <c r="V211" s="70"/>
      <c r="W211" s="69"/>
      <c r="X211" s="62"/>
      <c r="Y211" s="67"/>
      <c r="Z211" s="69"/>
      <c r="AA211" s="19"/>
      <c r="AB211" s="24"/>
    </row>
    <row r="212" spans="2:28" ht="15.75" hidden="1" customHeight="1" outlineLevel="1">
      <c r="B212" s="63"/>
      <c r="C212" s="21"/>
      <c r="D212" s="21"/>
      <c r="F212" s="64">
        <f>HSSA!$F$31</f>
        <v>0</v>
      </c>
      <c r="G212" s="64">
        <f>HSSA!$G$31</f>
        <v>0</v>
      </c>
      <c r="H212" s="64">
        <f>HSSA!$H$31</f>
        <v>0</v>
      </c>
      <c r="I212" s="64">
        <f>HSSA!$I$31</f>
        <v>0</v>
      </c>
      <c r="J212" s="64">
        <f>HSSA!$J$31</f>
        <v>0</v>
      </c>
      <c r="K212" s="64">
        <f>HSSA!$K$31</f>
        <v>0</v>
      </c>
      <c r="L212" s="65">
        <f>HSSA!$L$31</f>
        <v>0</v>
      </c>
      <c r="N212" s="66"/>
      <c r="O212" s="67"/>
      <c r="P212" s="68"/>
      <c r="Q212" s="69"/>
      <c r="R212" s="70"/>
      <c r="S212" s="70"/>
      <c r="T212" s="70"/>
      <c r="U212" s="69"/>
      <c r="V212" s="70"/>
      <c r="W212" s="69"/>
      <c r="X212" s="62"/>
      <c r="Y212" s="67"/>
      <c r="Z212" s="69"/>
      <c r="AA212" s="19"/>
      <c r="AB212" s="24"/>
    </row>
    <row r="213" spans="2:28" ht="15.75" hidden="1" customHeight="1" outlineLevel="1">
      <c r="B213" s="63"/>
      <c r="C213" s="21"/>
      <c r="D213" s="21"/>
      <c r="F213" s="64">
        <f>MBG!$F$31</f>
        <v>0</v>
      </c>
      <c r="G213" s="64">
        <f>MBG!$G$31</f>
        <v>0</v>
      </c>
      <c r="H213" s="64">
        <f>MBG!$H$31</f>
        <v>0</v>
      </c>
      <c r="I213" s="64">
        <f>MBG!$I$31</f>
        <v>0</v>
      </c>
      <c r="J213" s="64">
        <f>MBG!$J$31</f>
        <v>0</v>
      </c>
      <c r="K213" s="64">
        <f>MBG!$K$31</f>
        <v>0</v>
      </c>
      <c r="L213" s="65">
        <f>MBG!$L$31</f>
        <v>0</v>
      </c>
      <c r="N213" s="66"/>
      <c r="O213" s="67"/>
      <c r="P213" s="68"/>
      <c r="Q213" s="69"/>
      <c r="R213" s="70"/>
      <c r="S213" s="70"/>
      <c r="T213" s="70"/>
      <c r="U213" s="69"/>
      <c r="V213" s="70"/>
      <c r="W213" s="69"/>
      <c r="X213" s="62"/>
      <c r="Y213" s="67"/>
      <c r="Z213" s="69"/>
      <c r="AA213" s="19"/>
      <c r="AB213" s="24"/>
    </row>
    <row r="214" spans="2:28" ht="15.75" hidden="1" customHeight="1" outlineLevel="1">
      <c r="B214" s="63"/>
      <c r="C214" s="21"/>
      <c r="D214" s="21"/>
      <c r="F214" s="64">
        <f>MDA!$F$31</f>
        <v>0</v>
      </c>
      <c r="G214" s="64">
        <f>MDA!$G$31</f>
        <v>0</v>
      </c>
      <c r="H214" s="64">
        <f>MDA!$H$31</f>
        <v>0</v>
      </c>
      <c r="I214" s="64">
        <f>MDA!$I$31</f>
        <v>0</v>
      </c>
      <c r="J214" s="64">
        <f>MDA!$J$31</f>
        <v>0</v>
      </c>
      <c r="K214" s="64">
        <f>MDA!$K$31</f>
        <v>0</v>
      </c>
      <c r="L214" s="65">
        <f>MDA!$L$31</f>
        <v>0</v>
      </c>
      <c r="N214" s="66"/>
      <c r="O214" s="67"/>
      <c r="P214" s="68"/>
      <c r="Q214" s="69"/>
      <c r="R214" s="70"/>
      <c r="S214" s="70"/>
      <c r="T214" s="70"/>
      <c r="U214" s="69"/>
      <c r="V214" s="70"/>
      <c r="W214" s="69"/>
      <c r="X214" s="62"/>
      <c r="Y214" s="67"/>
      <c r="Z214" s="69"/>
      <c r="AA214" s="19"/>
      <c r="AB214" s="24"/>
    </row>
    <row r="215" spans="2:28" ht="15.75" hidden="1" customHeight="1" outlineLevel="1">
      <c r="B215" s="63"/>
      <c r="C215" s="21"/>
      <c r="D215" s="21"/>
      <c r="F215" s="64">
        <f>SWM!$F$31</f>
        <v>0</v>
      </c>
      <c r="G215" s="64">
        <f>SWM!$G$31</f>
        <v>0</v>
      </c>
      <c r="H215" s="64">
        <f>SWM!$H$31</f>
        <v>0</v>
      </c>
      <c r="I215" s="64">
        <f>SWM!$I$31</f>
        <v>0</v>
      </c>
      <c r="J215" s="64">
        <f>SWM!$J$31</f>
        <v>0</v>
      </c>
      <c r="K215" s="64">
        <f>SWM!$K$31</f>
        <v>0</v>
      </c>
      <c r="L215" s="65">
        <f>SWM!$L$31</f>
        <v>0</v>
      </c>
      <c r="N215" s="66"/>
      <c r="O215" s="67"/>
      <c r="P215" s="68"/>
      <c r="Q215" s="69"/>
      <c r="R215" s="70"/>
      <c r="S215" s="70"/>
      <c r="T215" s="70"/>
      <c r="U215" s="69"/>
      <c r="V215" s="70"/>
      <c r="W215" s="69"/>
      <c r="X215" s="62"/>
      <c r="Y215" s="67"/>
      <c r="Z215" s="69"/>
      <c r="AA215" s="19"/>
      <c r="AB215" s="24"/>
    </row>
    <row r="216" spans="2:28" ht="15.75" hidden="1" customHeight="1" outlineLevel="1">
      <c r="B216" s="63"/>
      <c r="C216" s="21"/>
      <c r="D216" s="21"/>
      <c r="F216" s="64">
        <f>TAMHSC!$F$31</f>
        <v>0</v>
      </c>
      <c r="G216" s="64">
        <f>TAMHSC!$G$31</f>
        <v>0</v>
      </c>
      <c r="H216" s="64">
        <f>TAMHSC!$H$31</f>
        <v>0</v>
      </c>
      <c r="I216" s="64">
        <f>TAMHSC!$I$31</f>
        <v>0</v>
      </c>
      <c r="J216" s="64">
        <f>TAMHSC!$J$31</f>
        <v>0</v>
      </c>
      <c r="K216" s="64">
        <f>TAMHSC!$K$31</f>
        <v>0</v>
      </c>
      <c r="L216" s="65">
        <f>TAMHSC!$L$31</f>
        <v>0</v>
      </c>
      <c r="N216" s="66"/>
      <c r="O216" s="67"/>
      <c r="P216" s="68"/>
      <c r="Q216" s="69"/>
      <c r="R216" s="70"/>
      <c r="S216" s="70"/>
      <c r="T216" s="70"/>
      <c r="U216" s="69"/>
      <c r="V216" s="70"/>
      <c r="W216" s="69"/>
      <c r="X216" s="62"/>
      <c r="Y216" s="67"/>
      <c r="Z216" s="69"/>
      <c r="AA216" s="19"/>
      <c r="AB216" s="24"/>
    </row>
    <row r="217" spans="2:28" ht="15.75" hidden="1" customHeight="1" outlineLevel="1">
      <c r="B217" s="63"/>
      <c r="C217" s="21"/>
      <c r="D217" s="21"/>
      <c r="F217" s="64">
        <f>THC!$F$31</f>
        <v>0</v>
      </c>
      <c r="G217" s="64">
        <f>THC!$G$31</f>
        <v>0</v>
      </c>
      <c r="H217" s="64">
        <f>THC!$H$31</f>
        <v>0</v>
      </c>
      <c r="I217" s="64">
        <f>THC!$I$31</f>
        <v>0</v>
      </c>
      <c r="J217" s="64">
        <f>THC!$J$31</f>
        <v>0</v>
      </c>
      <c r="K217" s="64">
        <f>THC!$K$31</f>
        <v>0</v>
      </c>
      <c r="L217" s="65">
        <f>THC!$L$31</f>
        <v>0</v>
      </c>
      <c r="N217" s="66"/>
      <c r="O217" s="67"/>
      <c r="P217" s="68"/>
      <c r="Q217" s="69"/>
      <c r="R217" s="70"/>
      <c r="S217" s="70"/>
      <c r="T217" s="70"/>
      <c r="U217" s="69"/>
      <c r="V217" s="70"/>
      <c r="W217" s="69"/>
      <c r="X217" s="62"/>
      <c r="Y217" s="67"/>
      <c r="Z217" s="69"/>
      <c r="AA217" s="19"/>
      <c r="AB217" s="24"/>
    </row>
    <row r="218" spans="2:28" ht="15.75" hidden="1" customHeight="1" outlineLevel="1">
      <c r="B218" s="63"/>
      <c r="C218" s="21"/>
      <c r="D218" s="21"/>
      <c r="F218" s="64">
        <f>TTUHSC!$F$31</f>
        <v>0</v>
      </c>
      <c r="G218" s="64">
        <f>TTUHSC!$G$31</f>
        <v>0</v>
      </c>
      <c r="H218" s="64">
        <f>TTUHSC!$H$31</f>
        <v>0</v>
      </c>
      <c r="I218" s="64">
        <f>TTUHSC!$I$31</f>
        <v>0</v>
      </c>
      <c r="J218" s="64">
        <f>TTUHSC!$J$31</f>
        <v>0</v>
      </c>
      <c r="K218" s="64">
        <f>TTUHSC!$K$31</f>
        <v>0</v>
      </c>
      <c r="L218" s="65">
        <f>TTUHSC!$L$31</f>
        <v>0</v>
      </c>
      <c r="N218" s="66"/>
      <c r="O218" s="67"/>
      <c r="P218" s="68"/>
      <c r="Q218" s="69"/>
      <c r="R218" s="70"/>
      <c r="S218" s="70"/>
      <c r="T218" s="70"/>
      <c r="U218" s="69"/>
      <c r="V218" s="70"/>
      <c r="W218" s="69"/>
      <c r="X218" s="62"/>
      <c r="Y218" s="67"/>
      <c r="Z218" s="69"/>
      <c r="AA218" s="19"/>
      <c r="AB218" s="24"/>
    </row>
    <row r="219" spans="2:28" ht="15.75" hidden="1" customHeight="1" outlineLevel="1">
      <c r="B219" s="63"/>
      <c r="C219" s="21"/>
      <c r="D219" s="21"/>
      <c r="F219" s="64">
        <f>UNTHSC!$F$31</f>
        <v>0</v>
      </c>
      <c r="G219" s="64">
        <f>UNTHSC!$G$31</f>
        <v>0</v>
      </c>
      <c r="H219" s="64">
        <f>UNTHSC!$H$31</f>
        <v>0</v>
      </c>
      <c r="I219" s="64">
        <f>UNTHSC!$I$31</f>
        <v>0</v>
      </c>
      <c r="J219" s="64">
        <f>UNTHSC!$J$31</f>
        <v>0</v>
      </c>
      <c r="K219" s="64">
        <f>UNTHSC!$K$31</f>
        <v>0</v>
      </c>
      <c r="L219" s="65">
        <f>UNTHSC!$L$31</f>
        <v>0</v>
      </c>
      <c r="N219" s="66"/>
      <c r="O219" s="67"/>
      <c r="P219" s="68"/>
      <c r="Q219" s="69"/>
      <c r="R219" s="70"/>
      <c r="S219" s="70"/>
      <c r="T219" s="70"/>
      <c r="U219" s="69"/>
      <c r="V219" s="70"/>
      <c r="W219" s="69"/>
      <c r="X219" s="62"/>
      <c r="Y219" s="67"/>
      <c r="Z219" s="69"/>
      <c r="AA219" s="19"/>
      <c r="AB219" s="24"/>
    </row>
    <row r="220" spans="2:28" ht="15.75" customHeight="1" collapsed="1">
      <c r="B220" s="63" t="s">
        <v>34</v>
      </c>
      <c r="C220" s="21"/>
      <c r="D220" s="21"/>
      <c r="F220" s="64">
        <f t="shared" ref="F220:L220" si="13">SUM(F211:F219)</f>
        <v>0</v>
      </c>
      <c r="G220" s="64">
        <f t="shared" si="13"/>
        <v>0</v>
      </c>
      <c r="H220" s="64">
        <f t="shared" si="13"/>
        <v>0</v>
      </c>
      <c r="I220" s="64">
        <f t="shared" si="13"/>
        <v>0</v>
      </c>
      <c r="J220" s="64">
        <f t="shared" si="13"/>
        <v>0</v>
      </c>
      <c r="K220" s="64">
        <f t="shared" si="13"/>
        <v>0</v>
      </c>
      <c r="L220" s="65">
        <f t="shared" si="13"/>
        <v>0</v>
      </c>
      <c r="N220" s="66"/>
      <c r="O220" s="67"/>
      <c r="P220" s="68"/>
      <c r="Q220" s="69"/>
      <c r="R220" s="70"/>
      <c r="S220" s="70"/>
      <c r="T220" s="70"/>
      <c r="U220" s="69"/>
      <c r="V220" s="70"/>
      <c r="W220" s="69"/>
      <c r="X220" s="62"/>
      <c r="Y220" s="67"/>
      <c r="Z220" s="69"/>
      <c r="AA220" s="19"/>
      <c r="AB220" s="24"/>
    </row>
    <row r="221" spans="2:28" ht="15.75" hidden="1" customHeight="1" outlineLevel="1">
      <c r="B221" s="63"/>
      <c r="C221" s="21"/>
      <c r="D221" s="21"/>
      <c r="F221" s="64">
        <f>HSH!$F$32</f>
        <v>0</v>
      </c>
      <c r="G221" s="64">
        <f>HSH!$G$32</f>
        <v>0</v>
      </c>
      <c r="H221" s="64">
        <f>HSH!$H$32</f>
        <v>0</v>
      </c>
      <c r="I221" s="64">
        <f>HSH!$I$32</f>
        <v>0</v>
      </c>
      <c r="J221" s="64">
        <f>HSH!$J$32</f>
        <v>0</v>
      </c>
      <c r="K221" s="64">
        <f>HSH!$K$32</f>
        <v>0</v>
      </c>
      <c r="L221" s="65">
        <f>HSH!$L$32</f>
        <v>0</v>
      </c>
      <c r="N221" s="66"/>
      <c r="O221" s="67"/>
      <c r="P221" s="68"/>
      <c r="Q221" s="69"/>
      <c r="R221" s="70"/>
      <c r="S221" s="70"/>
      <c r="T221" s="70"/>
      <c r="U221" s="69"/>
      <c r="V221" s="70"/>
      <c r="W221" s="69"/>
      <c r="X221" s="62"/>
      <c r="Y221" s="67"/>
      <c r="Z221" s="69"/>
      <c r="AA221" s="19"/>
      <c r="AB221" s="24"/>
    </row>
    <row r="222" spans="2:28" ht="15.75" hidden="1" customHeight="1" outlineLevel="1">
      <c r="B222" s="63"/>
      <c r="C222" s="21"/>
      <c r="D222" s="21"/>
      <c r="F222" s="64">
        <f>HSSA!$F$32</f>
        <v>0</v>
      </c>
      <c r="G222" s="64">
        <f>HSSA!$G$32</f>
        <v>0</v>
      </c>
      <c r="H222" s="64">
        <f>HSSA!$H$32</f>
        <v>0</v>
      </c>
      <c r="I222" s="64">
        <f>HSSA!$I$32</f>
        <v>0</v>
      </c>
      <c r="J222" s="64">
        <f>HSSA!$J$32</f>
        <v>0</v>
      </c>
      <c r="K222" s="64">
        <f>HSSA!$K$32</f>
        <v>0</v>
      </c>
      <c r="L222" s="65">
        <f>HSSA!$L$32</f>
        <v>0</v>
      </c>
      <c r="N222" s="66"/>
      <c r="O222" s="67"/>
      <c r="P222" s="68"/>
      <c r="Q222" s="69"/>
      <c r="R222" s="70"/>
      <c r="S222" s="70"/>
      <c r="T222" s="70"/>
      <c r="U222" s="69"/>
      <c r="V222" s="70"/>
      <c r="W222" s="69"/>
      <c r="X222" s="62"/>
      <c r="Y222" s="67"/>
      <c r="Z222" s="69"/>
      <c r="AA222" s="19"/>
      <c r="AB222" s="24"/>
    </row>
    <row r="223" spans="2:28" ht="15.75" hidden="1" customHeight="1" outlineLevel="1">
      <c r="B223" s="63"/>
      <c r="C223" s="21"/>
      <c r="D223" s="21"/>
      <c r="F223" s="64">
        <f>MBG!$F$32</f>
        <v>0</v>
      </c>
      <c r="G223" s="64">
        <f>MBG!$G$32</f>
        <v>0</v>
      </c>
      <c r="H223" s="64">
        <f>MBG!$H$32</f>
        <v>0</v>
      </c>
      <c r="I223" s="64">
        <f>MBG!$I$32</f>
        <v>0</v>
      </c>
      <c r="J223" s="64">
        <f>MBG!$J$32</f>
        <v>0</v>
      </c>
      <c r="K223" s="64">
        <f>MBG!$K$32</f>
        <v>0</v>
      </c>
      <c r="L223" s="65">
        <f>MBG!$L$32</f>
        <v>0</v>
      </c>
      <c r="N223" s="66"/>
      <c r="O223" s="67"/>
      <c r="P223" s="68"/>
      <c r="Q223" s="69"/>
      <c r="R223" s="70"/>
      <c r="S223" s="70"/>
      <c r="T223" s="70"/>
      <c r="U223" s="69"/>
      <c r="V223" s="70"/>
      <c r="W223" s="69"/>
      <c r="X223" s="62"/>
      <c r="Y223" s="67"/>
      <c r="Z223" s="69"/>
      <c r="AA223" s="19"/>
      <c r="AB223" s="24"/>
    </row>
    <row r="224" spans="2:28" ht="15.75" hidden="1" customHeight="1" outlineLevel="1">
      <c r="B224" s="63"/>
      <c r="C224" s="21"/>
      <c r="D224" s="21"/>
      <c r="F224" s="64">
        <f>MDA!$F$32</f>
        <v>0</v>
      </c>
      <c r="G224" s="64">
        <f>MDA!$G$32</f>
        <v>0</v>
      </c>
      <c r="H224" s="64">
        <f>MDA!$H$32</f>
        <v>0</v>
      </c>
      <c r="I224" s="64">
        <f>MDA!$I$32</f>
        <v>0</v>
      </c>
      <c r="J224" s="64">
        <f>MDA!$J$32</f>
        <v>0</v>
      </c>
      <c r="K224" s="64">
        <f>MDA!$K$32</f>
        <v>0</v>
      </c>
      <c r="L224" s="65">
        <f>MDA!$L$32</f>
        <v>0</v>
      </c>
      <c r="N224" s="66"/>
      <c r="O224" s="67"/>
      <c r="P224" s="68"/>
      <c r="Q224" s="69"/>
      <c r="R224" s="70"/>
      <c r="S224" s="70"/>
      <c r="T224" s="70"/>
      <c r="U224" s="69"/>
      <c r="V224" s="70"/>
      <c r="W224" s="69"/>
      <c r="X224" s="62"/>
      <c r="Y224" s="67"/>
      <c r="Z224" s="69"/>
      <c r="AA224" s="19"/>
      <c r="AB224" s="24"/>
    </row>
    <row r="225" spans="2:28" ht="15.75" hidden="1" customHeight="1" outlineLevel="1">
      <c r="B225" s="63"/>
      <c r="C225" s="21"/>
      <c r="D225" s="21"/>
      <c r="F225" s="64">
        <f>SWM!$F$32</f>
        <v>0</v>
      </c>
      <c r="G225" s="64">
        <f>SWM!$G$32</f>
        <v>0</v>
      </c>
      <c r="H225" s="64">
        <f>SWM!$H$32</f>
        <v>0</v>
      </c>
      <c r="I225" s="64">
        <f>SWM!$I$32</f>
        <v>0</v>
      </c>
      <c r="J225" s="64">
        <f>SWM!$J$32</f>
        <v>0</v>
      </c>
      <c r="K225" s="64">
        <f>SWM!$K$32</f>
        <v>0</v>
      </c>
      <c r="L225" s="65">
        <f>SWM!$L$32</f>
        <v>0</v>
      </c>
      <c r="N225" s="66"/>
      <c r="O225" s="67"/>
      <c r="P225" s="68"/>
      <c r="Q225" s="69"/>
      <c r="R225" s="70"/>
      <c r="S225" s="70"/>
      <c r="T225" s="70"/>
      <c r="U225" s="69"/>
      <c r="V225" s="70"/>
      <c r="W225" s="69"/>
      <c r="X225" s="62"/>
      <c r="Y225" s="67"/>
      <c r="Z225" s="69"/>
      <c r="AA225" s="19"/>
      <c r="AB225" s="24"/>
    </row>
    <row r="226" spans="2:28" ht="15.75" hidden="1" customHeight="1" outlineLevel="1">
      <c r="B226" s="63"/>
      <c r="C226" s="21"/>
      <c r="D226" s="21"/>
      <c r="F226" s="64">
        <f>TAMHSC!$F$32</f>
        <v>0</v>
      </c>
      <c r="G226" s="64">
        <f>TAMHSC!$G$32</f>
        <v>0</v>
      </c>
      <c r="H226" s="64">
        <f>TAMHSC!$H$32</f>
        <v>0</v>
      </c>
      <c r="I226" s="64">
        <f>TAMHSC!$I$32</f>
        <v>0</v>
      </c>
      <c r="J226" s="64">
        <f>TAMHSC!$J$32</f>
        <v>0</v>
      </c>
      <c r="K226" s="64">
        <f>TAMHSC!$K$32</f>
        <v>0</v>
      </c>
      <c r="L226" s="65">
        <f>TAMHSC!$L$32</f>
        <v>0</v>
      </c>
      <c r="N226" s="66"/>
      <c r="O226" s="67"/>
      <c r="P226" s="68"/>
      <c r="Q226" s="69"/>
      <c r="R226" s="70"/>
      <c r="S226" s="70"/>
      <c r="T226" s="70"/>
      <c r="U226" s="69"/>
      <c r="V226" s="70"/>
      <c r="W226" s="69"/>
      <c r="X226" s="62"/>
      <c r="Y226" s="67"/>
      <c r="Z226" s="69"/>
      <c r="AA226" s="19"/>
      <c r="AB226" s="24"/>
    </row>
    <row r="227" spans="2:28" ht="15.75" hidden="1" customHeight="1" outlineLevel="1">
      <c r="B227" s="63"/>
      <c r="C227" s="21"/>
      <c r="D227" s="21"/>
      <c r="F227" s="64">
        <f>THC!$F$32</f>
        <v>0</v>
      </c>
      <c r="G227" s="64">
        <f>THC!$G$32</f>
        <v>0</v>
      </c>
      <c r="H227" s="64">
        <f>THC!$H$32</f>
        <v>0</v>
      </c>
      <c r="I227" s="64">
        <f>THC!$I$32</f>
        <v>0</v>
      </c>
      <c r="J227" s="64">
        <f>THC!$J$32</f>
        <v>0</v>
      </c>
      <c r="K227" s="64">
        <f>THC!$K$32</f>
        <v>0</v>
      </c>
      <c r="L227" s="65">
        <f>THC!$L$32</f>
        <v>0</v>
      </c>
      <c r="N227" s="66"/>
      <c r="O227" s="67"/>
      <c r="P227" s="68"/>
      <c r="Q227" s="69"/>
      <c r="R227" s="70"/>
      <c r="S227" s="70"/>
      <c r="T227" s="70"/>
      <c r="U227" s="69"/>
      <c r="V227" s="70"/>
      <c r="W227" s="69"/>
      <c r="X227" s="62"/>
      <c r="Y227" s="67"/>
      <c r="Z227" s="69"/>
      <c r="AA227" s="19"/>
      <c r="AB227" s="24"/>
    </row>
    <row r="228" spans="2:28" ht="15.75" hidden="1" customHeight="1" outlineLevel="1">
      <c r="B228" s="63"/>
      <c r="C228" s="21"/>
      <c r="D228" s="21"/>
      <c r="F228" s="64">
        <f>TTUHSC!$F$32</f>
        <v>0</v>
      </c>
      <c r="G228" s="64">
        <f>TTUHSC!$G$32</f>
        <v>0</v>
      </c>
      <c r="H228" s="64">
        <f>TTUHSC!$H$32</f>
        <v>0</v>
      </c>
      <c r="I228" s="64">
        <f>TTUHSC!$I$32</f>
        <v>0</v>
      </c>
      <c r="J228" s="64">
        <f>TTUHSC!$J$32</f>
        <v>0</v>
      </c>
      <c r="K228" s="64">
        <f>TTUHSC!$K$32</f>
        <v>0</v>
      </c>
      <c r="L228" s="65">
        <f>TTUHSC!$L$32</f>
        <v>0</v>
      </c>
      <c r="N228" s="66"/>
      <c r="O228" s="67"/>
      <c r="P228" s="68"/>
      <c r="Q228" s="69"/>
      <c r="R228" s="70"/>
      <c r="S228" s="70"/>
      <c r="T228" s="70"/>
      <c r="U228" s="69"/>
      <c r="V228" s="70"/>
      <c r="W228" s="69"/>
      <c r="X228" s="62"/>
      <c r="Y228" s="67"/>
      <c r="Z228" s="69"/>
      <c r="AA228" s="19"/>
      <c r="AB228" s="24"/>
    </row>
    <row r="229" spans="2:28" ht="15.75" hidden="1" customHeight="1" outlineLevel="1">
      <c r="B229" s="63"/>
      <c r="C229" s="21"/>
      <c r="D229" s="21"/>
      <c r="F229" s="64">
        <f>UNTHSC!$F$32</f>
        <v>0</v>
      </c>
      <c r="G229" s="64">
        <f>UNTHSC!$G$32</f>
        <v>0</v>
      </c>
      <c r="H229" s="64">
        <f>UNTHSC!$H$32</f>
        <v>0</v>
      </c>
      <c r="I229" s="64">
        <f>UNTHSC!$I$32</f>
        <v>0</v>
      </c>
      <c r="J229" s="64">
        <f>UNTHSC!$J$32</f>
        <v>0</v>
      </c>
      <c r="K229" s="64">
        <f>UNTHSC!$K$32</f>
        <v>0</v>
      </c>
      <c r="L229" s="65">
        <f>UNTHSC!$L$32</f>
        <v>0</v>
      </c>
      <c r="N229" s="66"/>
      <c r="O229" s="67"/>
      <c r="P229" s="68"/>
      <c r="Q229" s="69"/>
      <c r="R229" s="70"/>
      <c r="S229" s="70"/>
      <c r="T229" s="70"/>
      <c r="U229" s="69"/>
      <c r="V229" s="70"/>
      <c r="W229" s="69"/>
      <c r="X229" s="62"/>
      <c r="Y229" s="67"/>
      <c r="Z229" s="69"/>
      <c r="AA229" s="19"/>
      <c r="AB229" s="24"/>
    </row>
    <row r="230" spans="2:28" ht="15.75" customHeight="1" collapsed="1">
      <c r="B230" s="63" t="s">
        <v>35</v>
      </c>
      <c r="C230" s="21"/>
      <c r="D230" s="21"/>
      <c r="F230" s="64">
        <f t="shared" ref="F230:L230" si="14">SUM(F221:F229)</f>
        <v>0</v>
      </c>
      <c r="G230" s="64">
        <f t="shared" si="14"/>
        <v>0</v>
      </c>
      <c r="H230" s="64">
        <f t="shared" si="14"/>
        <v>0</v>
      </c>
      <c r="I230" s="64">
        <f t="shared" si="14"/>
        <v>0</v>
      </c>
      <c r="J230" s="64">
        <f t="shared" si="14"/>
        <v>0</v>
      </c>
      <c r="K230" s="64">
        <f t="shared" si="14"/>
        <v>0</v>
      </c>
      <c r="L230" s="65">
        <f t="shared" si="14"/>
        <v>0</v>
      </c>
      <c r="N230" s="66"/>
      <c r="O230" s="67"/>
      <c r="P230" s="68"/>
      <c r="Q230" s="69"/>
      <c r="R230" s="70"/>
      <c r="S230" s="70"/>
      <c r="T230" s="70"/>
      <c r="U230" s="69"/>
      <c r="V230" s="70"/>
      <c r="W230" s="69"/>
      <c r="X230" s="62"/>
      <c r="Y230" s="67"/>
      <c r="Z230" s="69"/>
      <c r="AA230" s="19"/>
      <c r="AB230" s="24"/>
    </row>
    <row r="231" spans="2:28" ht="15.75" hidden="1" customHeight="1" outlineLevel="1">
      <c r="B231" s="63"/>
      <c r="C231" s="21"/>
      <c r="D231" s="21"/>
      <c r="F231" s="64">
        <f>HSH!$F$33</f>
        <v>0</v>
      </c>
      <c r="G231" s="64">
        <f>HSH!$G$33</f>
        <v>0</v>
      </c>
      <c r="H231" s="64">
        <f>HSH!$H$33</f>
        <v>0</v>
      </c>
      <c r="I231" s="64">
        <f>HSH!$I$33</f>
        <v>0</v>
      </c>
      <c r="J231" s="64">
        <f>HSH!$J$33</f>
        <v>0</v>
      </c>
      <c r="K231" s="64">
        <f>HSH!$K$33</f>
        <v>0</v>
      </c>
      <c r="L231" s="65">
        <f>HSH!$L$33</f>
        <v>0</v>
      </c>
      <c r="N231" s="66"/>
      <c r="O231" s="67"/>
      <c r="P231" s="68"/>
      <c r="Q231" s="69"/>
      <c r="R231" s="70"/>
      <c r="S231" s="70"/>
      <c r="T231" s="70"/>
      <c r="U231" s="69"/>
      <c r="V231" s="70"/>
      <c r="W231" s="69"/>
      <c r="X231" s="62"/>
      <c r="Y231" s="67"/>
      <c r="Z231" s="69"/>
      <c r="AA231" s="19"/>
      <c r="AB231" s="24"/>
    </row>
    <row r="232" spans="2:28" ht="15.75" hidden="1" customHeight="1" outlineLevel="1">
      <c r="B232" s="63"/>
      <c r="C232" s="21"/>
      <c r="D232" s="21"/>
      <c r="F232" s="64">
        <f>HSSA!$F$33</f>
        <v>0</v>
      </c>
      <c r="G232" s="64">
        <f>HSSA!$G$33</f>
        <v>0</v>
      </c>
      <c r="H232" s="64">
        <f>HSSA!$H$33</f>
        <v>0</v>
      </c>
      <c r="I232" s="64">
        <f>HSSA!$I$33</f>
        <v>0</v>
      </c>
      <c r="J232" s="64">
        <f>HSSA!$J$33</f>
        <v>0</v>
      </c>
      <c r="K232" s="64">
        <f>HSSA!$K$33</f>
        <v>0</v>
      </c>
      <c r="L232" s="65">
        <f>HSSA!$L$33</f>
        <v>0</v>
      </c>
      <c r="N232" s="66"/>
      <c r="O232" s="67"/>
      <c r="P232" s="68"/>
      <c r="Q232" s="69"/>
      <c r="R232" s="70"/>
      <c r="S232" s="70"/>
      <c r="T232" s="70"/>
      <c r="U232" s="69"/>
      <c r="V232" s="70"/>
      <c r="W232" s="69"/>
      <c r="X232" s="62"/>
      <c r="Y232" s="67"/>
      <c r="Z232" s="69"/>
      <c r="AA232" s="19"/>
      <c r="AB232" s="24"/>
    </row>
    <row r="233" spans="2:28" ht="15.75" hidden="1" customHeight="1" outlineLevel="1">
      <c r="B233" s="63"/>
      <c r="C233" s="21"/>
      <c r="D233" s="21"/>
      <c r="F233" s="64">
        <f>MBG!$F$33</f>
        <v>0</v>
      </c>
      <c r="G233" s="64">
        <f>MBG!$G$33</f>
        <v>0</v>
      </c>
      <c r="H233" s="64">
        <f>MBG!$H$33</f>
        <v>0</v>
      </c>
      <c r="I233" s="64">
        <f>MBG!$I$33</f>
        <v>0</v>
      </c>
      <c r="J233" s="64">
        <f>MBG!$J$33</f>
        <v>0</v>
      </c>
      <c r="K233" s="64">
        <f>MBG!$K$33</f>
        <v>0</v>
      </c>
      <c r="L233" s="65">
        <f>MBG!$L$33</f>
        <v>0</v>
      </c>
      <c r="N233" s="66"/>
      <c r="O233" s="67"/>
      <c r="P233" s="68"/>
      <c r="Q233" s="69"/>
      <c r="R233" s="70"/>
      <c r="S233" s="70"/>
      <c r="T233" s="70"/>
      <c r="U233" s="69"/>
      <c r="V233" s="70"/>
      <c r="W233" s="69"/>
      <c r="X233" s="62"/>
      <c r="Y233" s="67"/>
      <c r="Z233" s="69"/>
      <c r="AA233" s="19"/>
      <c r="AB233" s="24"/>
    </row>
    <row r="234" spans="2:28" ht="15.75" hidden="1" customHeight="1" outlineLevel="1">
      <c r="B234" s="63"/>
      <c r="C234" s="21"/>
      <c r="D234" s="21"/>
      <c r="F234" s="64">
        <f>MDA!$F$33</f>
        <v>0</v>
      </c>
      <c r="G234" s="64">
        <f>MDA!$G$33</f>
        <v>0</v>
      </c>
      <c r="H234" s="64">
        <f>MDA!$H$33</f>
        <v>0</v>
      </c>
      <c r="I234" s="64">
        <f>MDA!$I$33</f>
        <v>0</v>
      </c>
      <c r="J234" s="64">
        <f>MDA!$J$33</f>
        <v>0</v>
      </c>
      <c r="K234" s="64">
        <f>MDA!$K$33</f>
        <v>0</v>
      </c>
      <c r="L234" s="65">
        <f>MDA!$L$33</f>
        <v>0</v>
      </c>
      <c r="N234" s="66"/>
      <c r="O234" s="67"/>
      <c r="P234" s="68"/>
      <c r="Q234" s="69"/>
      <c r="R234" s="70"/>
      <c r="S234" s="70"/>
      <c r="T234" s="70"/>
      <c r="U234" s="69"/>
      <c r="V234" s="70"/>
      <c r="W234" s="69"/>
      <c r="X234" s="62"/>
      <c r="Y234" s="67"/>
      <c r="Z234" s="69"/>
      <c r="AA234" s="19"/>
      <c r="AB234" s="24"/>
    </row>
    <row r="235" spans="2:28" ht="15.75" hidden="1" customHeight="1" outlineLevel="1">
      <c r="B235" s="63"/>
      <c r="C235" s="21"/>
      <c r="D235" s="21"/>
      <c r="F235" s="64">
        <f>SWM!$F$33</f>
        <v>0</v>
      </c>
      <c r="G235" s="64">
        <f>SWM!$G$33</f>
        <v>0</v>
      </c>
      <c r="H235" s="64">
        <f>SWM!$H$33</f>
        <v>0</v>
      </c>
      <c r="I235" s="64">
        <f>SWM!$I$33</f>
        <v>0</v>
      </c>
      <c r="J235" s="64">
        <f>SWM!$J$33</f>
        <v>0</v>
      </c>
      <c r="K235" s="64">
        <f>SWM!$K$33</f>
        <v>0</v>
      </c>
      <c r="L235" s="65">
        <f>SWM!$L$33</f>
        <v>0</v>
      </c>
      <c r="N235" s="66"/>
      <c r="O235" s="67"/>
      <c r="P235" s="68"/>
      <c r="Q235" s="69"/>
      <c r="R235" s="70"/>
      <c r="S235" s="70"/>
      <c r="T235" s="70"/>
      <c r="U235" s="69"/>
      <c r="V235" s="70"/>
      <c r="W235" s="69"/>
      <c r="X235" s="62"/>
      <c r="Y235" s="67"/>
      <c r="Z235" s="69"/>
      <c r="AA235" s="19"/>
      <c r="AB235" s="24"/>
    </row>
    <row r="236" spans="2:28" ht="15.75" hidden="1" customHeight="1" outlineLevel="1">
      <c r="B236" s="63"/>
      <c r="C236" s="21"/>
      <c r="D236" s="21"/>
      <c r="F236" s="64">
        <f>TAMHSC!$F$33</f>
        <v>0</v>
      </c>
      <c r="G236" s="64">
        <f>TAMHSC!$G$33</f>
        <v>0</v>
      </c>
      <c r="H236" s="64">
        <f>TAMHSC!$H$33</f>
        <v>0</v>
      </c>
      <c r="I236" s="64">
        <f>TAMHSC!$I$33</f>
        <v>0</v>
      </c>
      <c r="J236" s="64">
        <f>TAMHSC!$J$33</f>
        <v>0</v>
      </c>
      <c r="K236" s="64">
        <f>TAMHSC!$K$33</f>
        <v>0</v>
      </c>
      <c r="L236" s="65">
        <f>TAMHSC!$L$33</f>
        <v>0</v>
      </c>
      <c r="N236" s="66"/>
      <c r="O236" s="67"/>
      <c r="P236" s="68"/>
      <c r="Q236" s="69"/>
      <c r="R236" s="70"/>
      <c r="S236" s="70"/>
      <c r="T236" s="70"/>
      <c r="U236" s="69"/>
      <c r="V236" s="70"/>
      <c r="W236" s="69"/>
      <c r="X236" s="62"/>
      <c r="Y236" s="67"/>
      <c r="Z236" s="69"/>
      <c r="AA236" s="19"/>
      <c r="AB236" s="24"/>
    </row>
    <row r="237" spans="2:28" ht="15.75" hidden="1" customHeight="1" outlineLevel="1">
      <c r="B237" s="63"/>
      <c r="C237" s="21"/>
      <c r="D237" s="21"/>
      <c r="F237" s="64">
        <f>THC!$F$33</f>
        <v>0</v>
      </c>
      <c r="G237" s="64">
        <f>THC!$G$33</f>
        <v>0</v>
      </c>
      <c r="H237" s="64">
        <f>THC!$H$33</f>
        <v>0</v>
      </c>
      <c r="I237" s="64">
        <f>THC!$I$33</f>
        <v>0</v>
      </c>
      <c r="J237" s="64">
        <f>THC!$J$33</f>
        <v>0</v>
      </c>
      <c r="K237" s="64">
        <f>THC!$K$33</f>
        <v>0</v>
      </c>
      <c r="L237" s="65">
        <f>THC!$L$33</f>
        <v>0</v>
      </c>
      <c r="N237" s="66"/>
      <c r="O237" s="67"/>
      <c r="P237" s="68"/>
      <c r="Q237" s="69"/>
      <c r="R237" s="70"/>
      <c r="S237" s="70"/>
      <c r="T237" s="70"/>
      <c r="U237" s="69"/>
      <c r="V237" s="70"/>
      <c r="W237" s="69"/>
      <c r="X237" s="62"/>
      <c r="Y237" s="67"/>
      <c r="Z237" s="69"/>
      <c r="AA237" s="19"/>
      <c r="AB237" s="24"/>
    </row>
    <row r="238" spans="2:28" ht="15.75" hidden="1" customHeight="1" outlineLevel="1">
      <c r="B238" s="63"/>
      <c r="C238" s="21"/>
      <c r="D238" s="21"/>
      <c r="F238" s="64">
        <f>TTUHSC!$F$33</f>
        <v>0</v>
      </c>
      <c r="G238" s="64">
        <f>TTUHSC!$G$33</f>
        <v>0</v>
      </c>
      <c r="H238" s="64">
        <f>TTUHSC!$H$33</f>
        <v>0</v>
      </c>
      <c r="I238" s="64">
        <f>TTUHSC!$I$33</f>
        <v>0</v>
      </c>
      <c r="J238" s="64">
        <f>TTUHSC!$J$33</f>
        <v>0</v>
      </c>
      <c r="K238" s="64">
        <f>TTUHSC!$K$33</f>
        <v>0</v>
      </c>
      <c r="L238" s="65">
        <f>TTUHSC!$L$33</f>
        <v>0</v>
      </c>
      <c r="N238" s="66"/>
      <c r="O238" s="67"/>
      <c r="P238" s="68"/>
      <c r="Q238" s="69"/>
      <c r="R238" s="70"/>
      <c r="S238" s="70"/>
      <c r="T238" s="70"/>
      <c r="U238" s="69"/>
      <c r="V238" s="70"/>
      <c r="W238" s="69"/>
      <c r="X238" s="62"/>
      <c r="Y238" s="67"/>
      <c r="Z238" s="69"/>
      <c r="AA238" s="19"/>
      <c r="AB238" s="24"/>
    </row>
    <row r="239" spans="2:28" ht="15.75" hidden="1" customHeight="1" outlineLevel="1">
      <c r="B239" s="63"/>
      <c r="C239" s="21"/>
      <c r="D239" s="21"/>
      <c r="F239" s="64">
        <f>UNTHSC!$F$33</f>
        <v>0</v>
      </c>
      <c r="G239" s="64">
        <f>UNTHSC!$G$33</f>
        <v>0</v>
      </c>
      <c r="H239" s="64">
        <f>UNTHSC!$H$33</f>
        <v>0</v>
      </c>
      <c r="I239" s="64">
        <f>UNTHSC!$I$33</f>
        <v>0</v>
      </c>
      <c r="J239" s="64">
        <f>UNTHSC!$J$33</f>
        <v>0</v>
      </c>
      <c r="K239" s="64">
        <f>UNTHSC!$K$33</f>
        <v>0</v>
      </c>
      <c r="L239" s="65">
        <f>UNTHSC!$L$33</f>
        <v>0</v>
      </c>
      <c r="N239" s="66"/>
      <c r="O239" s="67"/>
      <c r="P239" s="68"/>
      <c r="Q239" s="69"/>
      <c r="R239" s="70"/>
      <c r="S239" s="70"/>
      <c r="T239" s="70"/>
      <c r="U239" s="69"/>
      <c r="V239" s="70"/>
      <c r="W239" s="69"/>
      <c r="X239" s="62"/>
      <c r="Y239" s="67"/>
      <c r="Z239" s="69"/>
      <c r="AA239" s="19"/>
      <c r="AB239" s="24"/>
    </row>
    <row r="240" spans="2:28" ht="15.75" customHeight="1" collapsed="1">
      <c r="B240" s="55" t="s">
        <v>36</v>
      </c>
      <c r="C240" s="21"/>
      <c r="D240" s="21"/>
      <c r="F240" s="64">
        <f t="shared" ref="F240:L240" si="15">SUM(F231:F239)</f>
        <v>0</v>
      </c>
      <c r="G240" s="64">
        <f t="shared" si="15"/>
        <v>0</v>
      </c>
      <c r="H240" s="64">
        <f t="shared" si="15"/>
        <v>0</v>
      </c>
      <c r="I240" s="64">
        <f t="shared" si="15"/>
        <v>0</v>
      </c>
      <c r="J240" s="64">
        <f t="shared" si="15"/>
        <v>0</v>
      </c>
      <c r="K240" s="64">
        <f t="shared" si="15"/>
        <v>0</v>
      </c>
      <c r="L240" s="65">
        <f t="shared" si="15"/>
        <v>0</v>
      </c>
      <c r="N240" s="66"/>
      <c r="O240" s="67"/>
      <c r="P240" s="68"/>
      <c r="Q240" s="69"/>
      <c r="R240" s="70"/>
      <c r="S240" s="70"/>
      <c r="T240" s="70"/>
      <c r="U240" s="69"/>
      <c r="V240" s="70"/>
      <c r="W240" s="69"/>
      <c r="X240" s="62"/>
      <c r="Y240" s="67"/>
      <c r="Z240" s="69"/>
      <c r="AA240" s="19"/>
      <c r="AB240" s="24"/>
    </row>
    <row r="241" spans="2:28" ht="15.75" hidden="1" customHeight="1" outlineLevel="1">
      <c r="B241" s="55"/>
      <c r="C241" s="21"/>
      <c r="D241" s="21"/>
      <c r="F241" s="64">
        <f>HSH!$F$34</f>
        <v>0</v>
      </c>
      <c r="G241" s="64">
        <f>HSH!$G$34</f>
        <v>0</v>
      </c>
      <c r="H241" s="64">
        <f>HSH!$H$34</f>
        <v>0</v>
      </c>
      <c r="I241" s="64">
        <f>HSH!$I$34</f>
        <v>0</v>
      </c>
      <c r="J241" s="64">
        <f>HSH!$J$34</f>
        <v>0</v>
      </c>
      <c r="K241" s="64">
        <f>HSH!$K$34</f>
        <v>0</v>
      </c>
      <c r="L241" s="65">
        <f>HSH!$L$34</f>
        <v>0</v>
      </c>
      <c r="N241" s="66"/>
      <c r="O241" s="67"/>
      <c r="P241" s="68"/>
      <c r="Q241" s="69"/>
      <c r="R241" s="70"/>
      <c r="S241" s="70"/>
      <c r="T241" s="70"/>
      <c r="U241" s="69"/>
      <c r="V241" s="70"/>
      <c r="W241" s="69"/>
      <c r="X241" s="62"/>
      <c r="Y241" s="67"/>
      <c r="Z241" s="69"/>
      <c r="AA241" s="19"/>
      <c r="AB241" s="24"/>
    </row>
    <row r="242" spans="2:28" ht="15.75" hidden="1" customHeight="1" outlineLevel="1">
      <c r="B242" s="55"/>
      <c r="C242" s="21"/>
      <c r="D242" s="21"/>
      <c r="F242" s="64">
        <f>HSSA!$F$34</f>
        <v>0</v>
      </c>
      <c r="G242" s="64">
        <f>HSSA!$G$34</f>
        <v>0</v>
      </c>
      <c r="H242" s="64">
        <f>HSSA!$H$34</f>
        <v>0</v>
      </c>
      <c r="I242" s="64">
        <f>HSSA!$I$34</f>
        <v>0</v>
      </c>
      <c r="J242" s="64">
        <f>HSSA!$J$34</f>
        <v>0</v>
      </c>
      <c r="K242" s="64">
        <f>HSSA!$K$34</f>
        <v>0</v>
      </c>
      <c r="L242" s="65">
        <f>HSSA!$L$34</f>
        <v>0</v>
      </c>
      <c r="N242" s="66"/>
      <c r="O242" s="67"/>
      <c r="P242" s="68"/>
      <c r="Q242" s="69"/>
      <c r="R242" s="70"/>
      <c r="S242" s="70"/>
      <c r="T242" s="70"/>
      <c r="U242" s="69"/>
      <c r="V242" s="70"/>
      <c r="W242" s="69"/>
      <c r="X242" s="62"/>
      <c r="Y242" s="67"/>
      <c r="Z242" s="69"/>
      <c r="AA242" s="19"/>
      <c r="AB242" s="24"/>
    </row>
    <row r="243" spans="2:28" ht="15.75" hidden="1" customHeight="1" outlineLevel="1">
      <c r="B243" s="55"/>
      <c r="C243" s="21"/>
      <c r="D243" s="21"/>
      <c r="F243" s="64">
        <f>MBG!$F$34</f>
        <v>0</v>
      </c>
      <c r="G243" s="64">
        <f>MBG!$G$34</f>
        <v>0</v>
      </c>
      <c r="H243" s="64">
        <f>MBG!$H$34</f>
        <v>0</v>
      </c>
      <c r="I243" s="64">
        <f>MBG!$I$34</f>
        <v>0</v>
      </c>
      <c r="J243" s="64">
        <f>MBG!$J$34</f>
        <v>0</v>
      </c>
      <c r="K243" s="64">
        <f>MBG!$K$34</f>
        <v>0</v>
      </c>
      <c r="L243" s="65">
        <f>MBG!$L$34</f>
        <v>0</v>
      </c>
      <c r="N243" s="66"/>
      <c r="O243" s="67"/>
      <c r="P243" s="68"/>
      <c r="Q243" s="69"/>
      <c r="R243" s="70"/>
      <c r="S243" s="70"/>
      <c r="T243" s="70"/>
      <c r="U243" s="69"/>
      <c r="V243" s="70"/>
      <c r="W243" s="69"/>
      <c r="X243" s="62"/>
      <c r="Y243" s="67"/>
      <c r="Z243" s="69"/>
      <c r="AA243" s="19"/>
      <c r="AB243" s="24"/>
    </row>
    <row r="244" spans="2:28" ht="15.75" hidden="1" customHeight="1" outlineLevel="1">
      <c r="B244" s="55"/>
      <c r="C244" s="21"/>
      <c r="D244" s="21"/>
      <c r="F244" s="64">
        <f>MDA!$F$34</f>
        <v>0</v>
      </c>
      <c r="G244" s="64">
        <f>MDA!$G$34</f>
        <v>0</v>
      </c>
      <c r="H244" s="64">
        <f>MDA!$H$34</f>
        <v>0</v>
      </c>
      <c r="I244" s="64">
        <f>MDA!$I$34</f>
        <v>0</v>
      </c>
      <c r="J244" s="64">
        <f>MDA!$J$34</f>
        <v>0</v>
      </c>
      <c r="K244" s="64">
        <f>MDA!$K$34</f>
        <v>0</v>
      </c>
      <c r="L244" s="65">
        <f>MDA!$L$34</f>
        <v>0</v>
      </c>
      <c r="N244" s="66"/>
      <c r="O244" s="67"/>
      <c r="P244" s="68"/>
      <c r="Q244" s="69"/>
      <c r="R244" s="70"/>
      <c r="S244" s="70"/>
      <c r="T244" s="70"/>
      <c r="U244" s="69"/>
      <c r="V244" s="70"/>
      <c r="W244" s="69"/>
      <c r="X244" s="62"/>
      <c r="Y244" s="67"/>
      <c r="Z244" s="69"/>
      <c r="AA244" s="19"/>
      <c r="AB244" s="24"/>
    </row>
    <row r="245" spans="2:28" ht="15.75" hidden="1" customHeight="1" outlineLevel="1">
      <c r="B245" s="55"/>
      <c r="C245" s="21"/>
      <c r="D245" s="21"/>
      <c r="F245" s="64">
        <f>SWM!$F$34</f>
        <v>0</v>
      </c>
      <c r="G245" s="64">
        <f>SWM!$G$34</f>
        <v>0</v>
      </c>
      <c r="H245" s="64">
        <f>SWM!$H$34</f>
        <v>0</v>
      </c>
      <c r="I245" s="64">
        <f>SWM!$I$34</f>
        <v>0</v>
      </c>
      <c r="J245" s="64">
        <f>SWM!$J$34</f>
        <v>0</v>
      </c>
      <c r="K245" s="64">
        <f>SWM!$K$34</f>
        <v>0</v>
      </c>
      <c r="L245" s="65">
        <f>SWM!$L$34</f>
        <v>0</v>
      </c>
      <c r="N245" s="66"/>
      <c r="O245" s="67"/>
      <c r="P245" s="68"/>
      <c r="Q245" s="69"/>
      <c r="R245" s="70"/>
      <c r="S245" s="70"/>
      <c r="T245" s="70"/>
      <c r="U245" s="69"/>
      <c r="V245" s="70"/>
      <c r="W245" s="69"/>
      <c r="X245" s="62"/>
      <c r="Y245" s="67"/>
      <c r="Z245" s="69"/>
      <c r="AA245" s="19"/>
      <c r="AB245" s="24"/>
    </row>
    <row r="246" spans="2:28" ht="15.75" hidden="1" customHeight="1" outlineLevel="1">
      <c r="B246" s="55"/>
      <c r="C246" s="21"/>
      <c r="D246" s="21"/>
      <c r="F246" s="64">
        <f>TAMHSC!$F$34</f>
        <v>0</v>
      </c>
      <c r="G246" s="64">
        <f>TAMHSC!$G$34</f>
        <v>0</v>
      </c>
      <c r="H246" s="64">
        <f>TAMHSC!$H$34</f>
        <v>0</v>
      </c>
      <c r="I246" s="64">
        <f>TAMHSC!$I$34</f>
        <v>0</v>
      </c>
      <c r="J246" s="64">
        <f>TAMHSC!$J$34</f>
        <v>0</v>
      </c>
      <c r="K246" s="64">
        <f>TAMHSC!$K$34</f>
        <v>0</v>
      </c>
      <c r="L246" s="65">
        <f>TAMHSC!$L$34</f>
        <v>0</v>
      </c>
      <c r="N246" s="66"/>
      <c r="O246" s="67"/>
      <c r="P246" s="68"/>
      <c r="Q246" s="69"/>
      <c r="R246" s="70"/>
      <c r="S246" s="70"/>
      <c r="T246" s="70"/>
      <c r="U246" s="69"/>
      <c r="V246" s="70"/>
      <c r="W246" s="69"/>
      <c r="X246" s="62"/>
      <c r="Y246" s="67"/>
      <c r="Z246" s="69"/>
      <c r="AA246" s="19"/>
      <c r="AB246" s="24"/>
    </row>
    <row r="247" spans="2:28" ht="15.75" hidden="1" customHeight="1" outlineLevel="1">
      <c r="B247" s="55"/>
      <c r="C247" s="21"/>
      <c r="D247" s="21"/>
      <c r="F247" s="64">
        <f>THC!$F$34</f>
        <v>0</v>
      </c>
      <c r="G247" s="64">
        <f>THC!$G$34</f>
        <v>0</v>
      </c>
      <c r="H247" s="64">
        <f>THC!$H$34</f>
        <v>0</v>
      </c>
      <c r="I247" s="64">
        <f>THC!$I$34</f>
        <v>0</v>
      </c>
      <c r="J247" s="64">
        <f>THC!$J$34</f>
        <v>0</v>
      </c>
      <c r="K247" s="64">
        <f>THC!$K$34</f>
        <v>0</v>
      </c>
      <c r="L247" s="65">
        <f>THC!$L$34</f>
        <v>0</v>
      </c>
      <c r="N247" s="66"/>
      <c r="O247" s="67"/>
      <c r="P247" s="68"/>
      <c r="Q247" s="69"/>
      <c r="R247" s="70"/>
      <c r="S247" s="70"/>
      <c r="T247" s="70"/>
      <c r="U247" s="69"/>
      <c r="V247" s="70"/>
      <c r="W247" s="69"/>
      <c r="X247" s="62"/>
      <c r="Y247" s="67"/>
      <c r="Z247" s="69"/>
      <c r="AA247" s="19"/>
      <c r="AB247" s="24"/>
    </row>
    <row r="248" spans="2:28" ht="15.75" hidden="1" customHeight="1" outlineLevel="1">
      <c r="B248" s="55"/>
      <c r="C248" s="21"/>
      <c r="D248" s="21"/>
      <c r="F248" s="64">
        <f>TTUHSC!$F$34</f>
        <v>0</v>
      </c>
      <c r="G248" s="64">
        <f>TTUHSC!$G$34</f>
        <v>0</v>
      </c>
      <c r="H248" s="64">
        <f>TTUHSC!$H$34</f>
        <v>0</v>
      </c>
      <c r="I248" s="64">
        <f>TTUHSC!$I$34</f>
        <v>0</v>
      </c>
      <c r="J248" s="64">
        <f>TTUHSC!$J$34</f>
        <v>0</v>
      </c>
      <c r="K248" s="64">
        <f>TTUHSC!$K$34</f>
        <v>0</v>
      </c>
      <c r="L248" s="65">
        <f>TTUHSC!$L$34</f>
        <v>0</v>
      </c>
      <c r="N248" s="66"/>
      <c r="O248" s="67"/>
      <c r="P248" s="68"/>
      <c r="Q248" s="69"/>
      <c r="R248" s="70"/>
      <c r="S248" s="70"/>
      <c r="T248" s="70"/>
      <c r="U248" s="69"/>
      <c r="V248" s="70"/>
      <c r="W248" s="69"/>
      <c r="X248" s="62"/>
      <c r="Y248" s="67"/>
      <c r="Z248" s="69"/>
      <c r="AA248" s="19"/>
      <c r="AB248" s="24"/>
    </row>
    <row r="249" spans="2:28" ht="15.75" hidden="1" customHeight="1" outlineLevel="1">
      <c r="B249" s="55"/>
      <c r="C249" s="21"/>
      <c r="D249" s="21"/>
      <c r="F249" s="64">
        <f>UNTHSC!$F$34</f>
        <v>0</v>
      </c>
      <c r="G249" s="64">
        <f>UNTHSC!$G$34</f>
        <v>0</v>
      </c>
      <c r="H249" s="64">
        <f>UNTHSC!$H$34</f>
        <v>0</v>
      </c>
      <c r="I249" s="64">
        <f>UNTHSC!$I$34</f>
        <v>0</v>
      </c>
      <c r="J249" s="64">
        <f>UNTHSC!$J$34</f>
        <v>0</v>
      </c>
      <c r="K249" s="64">
        <f>UNTHSC!$K$34</f>
        <v>0</v>
      </c>
      <c r="L249" s="65">
        <f>UNTHSC!$L$34</f>
        <v>0</v>
      </c>
      <c r="N249" s="66"/>
      <c r="O249" s="67"/>
      <c r="P249" s="68"/>
      <c r="Q249" s="69"/>
      <c r="R249" s="70"/>
      <c r="S249" s="70"/>
      <c r="T249" s="70"/>
      <c r="U249" s="69"/>
      <c r="V249" s="70"/>
      <c r="W249" s="69"/>
      <c r="X249" s="62"/>
      <c r="Y249" s="67"/>
      <c r="Z249" s="69"/>
      <c r="AA249" s="19"/>
      <c r="AB249" s="24"/>
    </row>
    <row r="250" spans="2:28" ht="15.75" customHeight="1" collapsed="1">
      <c r="B250" s="55" t="s">
        <v>37</v>
      </c>
      <c r="C250" s="21"/>
      <c r="D250" s="21"/>
      <c r="F250" s="64">
        <f t="shared" ref="F250:L250" si="16">SUM(F241:F249)</f>
        <v>0</v>
      </c>
      <c r="G250" s="64">
        <f t="shared" si="16"/>
        <v>0</v>
      </c>
      <c r="H250" s="64">
        <f t="shared" si="16"/>
        <v>0</v>
      </c>
      <c r="I250" s="64">
        <f t="shared" si="16"/>
        <v>0</v>
      </c>
      <c r="J250" s="64">
        <f t="shared" si="16"/>
        <v>0</v>
      </c>
      <c r="K250" s="64">
        <f t="shared" si="16"/>
        <v>0</v>
      </c>
      <c r="L250" s="65">
        <f t="shared" si="16"/>
        <v>0</v>
      </c>
      <c r="N250" s="66"/>
      <c r="O250" s="67"/>
      <c r="P250" s="68"/>
      <c r="Q250" s="69"/>
      <c r="R250" s="70"/>
      <c r="S250" s="70"/>
      <c r="T250" s="70"/>
      <c r="U250" s="69"/>
      <c r="V250" s="70"/>
      <c r="W250" s="69"/>
      <c r="X250" s="62"/>
      <c r="Y250" s="67"/>
      <c r="Z250" s="69"/>
      <c r="AA250" s="19"/>
      <c r="AB250" s="24"/>
    </row>
    <row r="251" spans="2:28" ht="15.75" hidden="1" customHeight="1" outlineLevel="1">
      <c r="B251" s="55"/>
      <c r="C251" s="21"/>
      <c r="D251" s="21"/>
      <c r="F251" s="64">
        <f>HSH!$F$35</f>
        <v>0</v>
      </c>
      <c r="G251" s="64">
        <f>HSH!$G$35</f>
        <v>0</v>
      </c>
      <c r="H251" s="64">
        <f>HSH!$H$35</f>
        <v>0</v>
      </c>
      <c r="I251" s="64">
        <f>HSH!$I$35</f>
        <v>0</v>
      </c>
      <c r="J251" s="64">
        <f>HSH!$J$35</f>
        <v>0</v>
      </c>
      <c r="K251" s="64">
        <f>HSH!$K$35</f>
        <v>0</v>
      </c>
      <c r="L251" s="65">
        <f>HSH!$L$35</f>
        <v>0</v>
      </c>
      <c r="N251" s="66"/>
      <c r="O251" s="67"/>
      <c r="P251" s="68"/>
      <c r="Q251" s="69"/>
      <c r="R251" s="70"/>
      <c r="S251" s="70"/>
      <c r="T251" s="70"/>
      <c r="U251" s="69"/>
      <c r="V251" s="70"/>
      <c r="W251" s="69"/>
      <c r="X251" s="62"/>
      <c r="Y251" s="67"/>
      <c r="Z251" s="69"/>
      <c r="AA251" s="19"/>
      <c r="AB251" s="24"/>
    </row>
    <row r="252" spans="2:28" ht="15.75" hidden="1" customHeight="1" outlineLevel="1">
      <c r="B252" s="55"/>
      <c r="C252" s="21"/>
      <c r="D252" s="21"/>
      <c r="F252" s="64">
        <f>HSSA!$F$35</f>
        <v>0</v>
      </c>
      <c r="G252" s="64">
        <f>HSSA!$G$35</f>
        <v>0</v>
      </c>
      <c r="H252" s="64">
        <f>HSSA!$H$35</f>
        <v>0</v>
      </c>
      <c r="I252" s="64">
        <f>HSSA!$I$35</f>
        <v>0</v>
      </c>
      <c r="J252" s="64">
        <f>HSSA!$J$35</f>
        <v>0</v>
      </c>
      <c r="K252" s="64">
        <f>HSSA!$K$35</f>
        <v>0</v>
      </c>
      <c r="L252" s="65">
        <f>HSSA!$L$35</f>
        <v>0</v>
      </c>
      <c r="N252" s="66"/>
      <c r="O252" s="67"/>
      <c r="P252" s="68"/>
      <c r="Q252" s="69"/>
      <c r="R252" s="70"/>
      <c r="S252" s="70"/>
      <c r="T252" s="70"/>
      <c r="U252" s="69"/>
      <c r="V252" s="70"/>
      <c r="W252" s="69"/>
      <c r="X252" s="62"/>
      <c r="Y252" s="67"/>
      <c r="Z252" s="69"/>
      <c r="AA252" s="19"/>
      <c r="AB252" s="24"/>
    </row>
    <row r="253" spans="2:28" ht="15.75" hidden="1" customHeight="1" outlineLevel="1">
      <c r="B253" s="55"/>
      <c r="C253" s="21"/>
      <c r="D253" s="21"/>
      <c r="F253" s="64">
        <f>MBG!$F$35</f>
        <v>0</v>
      </c>
      <c r="G253" s="64">
        <f>MBG!$G$35</f>
        <v>0</v>
      </c>
      <c r="H253" s="64">
        <f>MBG!$H$35</f>
        <v>0</v>
      </c>
      <c r="I253" s="64">
        <f>MBG!$I$35</f>
        <v>0</v>
      </c>
      <c r="J253" s="64">
        <f>MBG!$J$35</f>
        <v>0</v>
      </c>
      <c r="K253" s="64">
        <f>MBG!$K$35</f>
        <v>0</v>
      </c>
      <c r="L253" s="65">
        <f>MBG!$L$35</f>
        <v>0</v>
      </c>
      <c r="N253" s="66"/>
      <c r="O253" s="67"/>
      <c r="P253" s="68"/>
      <c r="Q253" s="69"/>
      <c r="R253" s="70"/>
      <c r="S253" s="70"/>
      <c r="T253" s="70"/>
      <c r="U253" s="69"/>
      <c r="V253" s="70"/>
      <c r="W253" s="69"/>
      <c r="X253" s="62"/>
      <c r="Y253" s="67"/>
      <c r="Z253" s="69"/>
      <c r="AA253" s="19"/>
      <c r="AB253" s="24"/>
    </row>
    <row r="254" spans="2:28" ht="15.75" hidden="1" customHeight="1" outlineLevel="1">
      <c r="B254" s="55"/>
      <c r="C254" s="21"/>
      <c r="D254" s="21"/>
      <c r="F254" s="64">
        <f>MDA!$F$35</f>
        <v>0</v>
      </c>
      <c r="G254" s="64">
        <f>MDA!$G$35</f>
        <v>0</v>
      </c>
      <c r="H254" s="64">
        <f>MDA!$H$35</f>
        <v>0</v>
      </c>
      <c r="I254" s="64">
        <f>MDA!$I$35</f>
        <v>0</v>
      </c>
      <c r="J254" s="64">
        <f>MDA!$J$35</f>
        <v>0</v>
      </c>
      <c r="K254" s="64">
        <f>MDA!$K$35</f>
        <v>0</v>
      </c>
      <c r="L254" s="65">
        <f>MDA!$L$35</f>
        <v>0</v>
      </c>
      <c r="N254" s="66"/>
      <c r="O254" s="67"/>
      <c r="P254" s="68"/>
      <c r="Q254" s="69"/>
      <c r="R254" s="70"/>
      <c r="S254" s="70"/>
      <c r="T254" s="70"/>
      <c r="U254" s="69"/>
      <c r="V254" s="70"/>
      <c r="W254" s="69"/>
      <c r="X254" s="62"/>
      <c r="Y254" s="67"/>
      <c r="Z254" s="69"/>
      <c r="AA254" s="19"/>
      <c r="AB254" s="24"/>
    </row>
    <row r="255" spans="2:28" ht="15.75" hidden="1" customHeight="1" outlineLevel="1">
      <c r="B255" s="55"/>
      <c r="C255" s="21"/>
      <c r="D255" s="21"/>
      <c r="F255" s="64">
        <f>SWM!$F$35</f>
        <v>0</v>
      </c>
      <c r="G255" s="64">
        <f>SWM!$G$35</f>
        <v>0</v>
      </c>
      <c r="H255" s="64">
        <f>SWM!$H$35</f>
        <v>0</v>
      </c>
      <c r="I255" s="64">
        <f>SWM!$I$35</f>
        <v>0</v>
      </c>
      <c r="J255" s="64">
        <f>SWM!$J$35</f>
        <v>0</v>
      </c>
      <c r="K255" s="64">
        <f>SWM!$K$35</f>
        <v>0</v>
      </c>
      <c r="L255" s="65">
        <f>SWM!$L$35</f>
        <v>0</v>
      </c>
      <c r="N255" s="66"/>
      <c r="O255" s="67"/>
      <c r="P255" s="68"/>
      <c r="Q255" s="69"/>
      <c r="R255" s="70"/>
      <c r="S255" s="70"/>
      <c r="T255" s="70"/>
      <c r="U255" s="69"/>
      <c r="V255" s="70"/>
      <c r="W255" s="69"/>
      <c r="X255" s="62"/>
      <c r="Y255" s="67"/>
      <c r="Z255" s="69"/>
      <c r="AA255" s="19"/>
      <c r="AB255" s="24"/>
    </row>
    <row r="256" spans="2:28" ht="15.75" hidden="1" customHeight="1" outlineLevel="1">
      <c r="B256" s="55"/>
      <c r="C256" s="21"/>
      <c r="D256" s="21"/>
      <c r="F256" s="64">
        <f>TAMHSC!$F$35</f>
        <v>0</v>
      </c>
      <c r="G256" s="64">
        <f>TAMHSC!$G$35</f>
        <v>0</v>
      </c>
      <c r="H256" s="64">
        <f>TAMHSC!$H$35</f>
        <v>0</v>
      </c>
      <c r="I256" s="64">
        <f>TAMHSC!$I$35</f>
        <v>0</v>
      </c>
      <c r="J256" s="64">
        <f>TAMHSC!$J$35</f>
        <v>0</v>
      </c>
      <c r="K256" s="64">
        <f>TAMHSC!$K$35</f>
        <v>0</v>
      </c>
      <c r="L256" s="65">
        <f>TAMHSC!$L$35</f>
        <v>0</v>
      </c>
      <c r="N256" s="66"/>
      <c r="O256" s="67"/>
      <c r="P256" s="68"/>
      <c r="Q256" s="69"/>
      <c r="R256" s="70"/>
      <c r="S256" s="70"/>
      <c r="T256" s="70"/>
      <c r="U256" s="69"/>
      <c r="V256" s="70"/>
      <c r="W256" s="69"/>
      <c r="X256" s="62"/>
      <c r="Y256" s="67"/>
      <c r="Z256" s="69"/>
      <c r="AA256" s="19"/>
      <c r="AB256" s="24"/>
    </row>
    <row r="257" spans="1:28" ht="15.75" hidden="1" customHeight="1" outlineLevel="1">
      <c r="B257" s="55"/>
      <c r="C257" s="21"/>
      <c r="D257" s="21"/>
      <c r="F257" s="64">
        <f>THC!$F$35</f>
        <v>0</v>
      </c>
      <c r="G257" s="64">
        <f>THC!$G$35</f>
        <v>0</v>
      </c>
      <c r="H257" s="64">
        <f>THC!$H$35</f>
        <v>0</v>
      </c>
      <c r="I257" s="64">
        <f>THC!$I$35</f>
        <v>0</v>
      </c>
      <c r="J257" s="64">
        <f>THC!$J$35</f>
        <v>0</v>
      </c>
      <c r="K257" s="64">
        <f>THC!$K$35</f>
        <v>0</v>
      </c>
      <c r="L257" s="65">
        <f>THC!$L$35</f>
        <v>0</v>
      </c>
      <c r="N257" s="66"/>
      <c r="O257" s="67"/>
      <c r="P257" s="68"/>
      <c r="Q257" s="69"/>
      <c r="R257" s="70"/>
      <c r="S257" s="70"/>
      <c r="T257" s="70"/>
      <c r="U257" s="69"/>
      <c r="V257" s="70"/>
      <c r="W257" s="69"/>
      <c r="X257" s="62"/>
      <c r="Y257" s="67"/>
      <c r="Z257" s="69"/>
      <c r="AA257" s="19"/>
      <c r="AB257" s="24"/>
    </row>
    <row r="258" spans="1:28" ht="15.75" hidden="1" customHeight="1" outlineLevel="1">
      <c r="B258" s="55"/>
      <c r="C258" s="21"/>
      <c r="D258" s="21"/>
      <c r="F258" s="64">
        <f>TTUHSC!$F$35</f>
        <v>0</v>
      </c>
      <c r="G258" s="64">
        <f>TTUHSC!$G$35</f>
        <v>0</v>
      </c>
      <c r="H258" s="64">
        <f>TTUHSC!$H$35</f>
        <v>0</v>
      </c>
      <c r="I258" s="64">
        <f>TTUHSC!$I$35</f>
        <v>0</v>
      </c>
      <c r="J258" s="64">
        <f>TTUHSC!$J$35</f>
        <v>0</v>
      </c>
      <c r="K258" s="64">
        <f>TTUHSC!$K$35</f>
        <v>0</v>
      </c>
      <c r="L258" s="65">
        <f>TTUHSC!$L$35</f>
        <v>0</v>
      </c>
      <c r="N258" s="66"/>
      <c r="O258" s="67"/>
      <c r="P258" s="68"/>
      <c r="Q258" s="69"/>
      <c r="R258" s="70"/>
      <c r="S258" s="70"/>
      <c r="T258" s="70"/>
      <c r="U258" s="69"/>
      <c r="V258" s="70"/>
      <c r="W258" s="69"/>
      <c r="X258" s="62"/>
      <c r="Y258" s="67"/>
      <c r="Z258" s="69"/>
      <c r="AA258" s="19"/>
      <c r="AB258" s="24"/>
    </row>
    <row r="259" spans="1:28" ht="15.75" hidden="1" customHeight="1" outlineLevel="1">
      <c r="B259" s="55"/>
      <c r="C259" s="21"/>
      <c r="D259" s="21"/>
      <c r="F259" s="64">
        <f>UNTHSC!$F$35</f>
        <v>0</v>
      </c>
      <c r="G259" s="64">
        <f>UNTHSC!$G$35</f>
        <v>0</v>
      </c>
      <c r="H259" s="64">
        <f>UNTHSC!$H$35</f>
        <v>0</v>
      </c>
      <c r="I259" s="64">
        <f>UNTHSC!$I$35</f>
        <v>0</v>
      </c>
      <c r="J259" s="64">
        <f>UNTHSC!$J$35</f>
        <v>0</v>
      </c>
      <c r="K259" s="64">
        <f>UNTHSC!$K$35</f>
        <v>0</v>
      </c>
      <c r="L259" s="65">
        <f>UNTHSC!$L$35</f>
        <v>0</v>
      </c>
      <c r="N259" s="66"/>
      <c r="O259" s="67"/>
      <c r="P259" s="68"/>
      <c r="Q259" s="69"/>
      <c r="R259" s="70"/>
      <c r="S259" s="70"/>
      <c r="T259" s="70"/>
      <c r="U259" s="69"/>
      <c r="V259" s="70"/>
      <c r="W259" s="69"/>
      <c r="X259" s="62"/>
      <c r="Y259" s="67"/>
      <c r="Z259" s="69"/>
      <c r="AA259" s="19"/>
      <c r="AB259" s="24"/>
    </row>
    <row r="260" spans="1:28" s="79" customFormat="1" ht="15.75" customHeight="1" collapsed="1">
      <c r="A260" s="76"/>
      <c r="B260" s="77" t="s">
        <v>38</v>
      </c>
      <c r="C260" s="78"/>
      <c r="D260" s="78"/>
      <c r="E260" s="20"/>
      <c r="F260" s="64">
        <f t="shared" ref="F260:L260" si="17">SUM(F251:F259)</f>
        <v>0</v>
      </c>
      <c r="G260" s="64">
        <f t="shared" si="17"/>
        <v>0</v>
      </c>
      <c r="H260" s="64">
        <f t="shared" si="17"/>
        <v>0</v>
      </c>
      <c r="I260" s="64">
        <f t="shared" si="17"/>
        <v>0</v>
      </c>
      <c r="J260" s="64">
        <f t="shared" si="17"/>
        <v>0</v>
      </c>
      <c r="K260" s="64">
        <f t="shared" si="17"/>
        <v>0</v>
      </c>
      <c r="L260" s="65">
        <f t="shared" si="17"/>
        <v>0</v>
      </c>
      <c r="N260" s="66"/>
      <c r="O260" s="67"/>
      <c r="P260" s="80"/>
      <c r="Q260" s="81"/>
      <c r="R260" s="70"/>
      <c r="S260" s="70"/>
      <c r="T260" s="70"/>
      <c r="U260" s="81"/>
      <c r="V260" s="70"/>
      <c r="W260" s="81"/>
      <c r="X260" s="62"/>
      <c r="Y260" s="67"/>
      <c r="Z260" s="81"/>
      <c r="AA260" s="82"/>
      <c r="AB260" s="83"/>
    </row>
    <row r="261" spans="1:28" s="79" customFormat="1" ht="15.75" hidden="1" customHeight="1" outlineLevel="1">
      <c r="A261" s="76"/>
      <c r="B261" s="77"/>
      <c r="C261" s="78"/>
      <c r="D261" s="78"/>
      <c r="E261" s="20"/>
      <c r="F261" s="64">
        <f>HSH!$F$36</f>
        <v>0</v>
      </c>
      <c r="G261" s="64">
        <f>HSH!$G$36</f>
        <v>0</v>
      </c>
      <c r="H261" s="64">
        <f>HSH!$H$36</f>
        <v>0</v>
      </c>
      <c r="I261" s="64">
        <f>HSH!$I$36</f>
        <v>0</v>
      </c>
      <c r="J261" s="64">
        <f>HSH!$J$36</f>
        <v>0</v>
      </c>
      <c r="K261" s="64">
        <f>HSH!$K$36</f>
        <v>0</v>
      </c>
      <c r="L261" s="65">
        <f>HSH!$L$36</f>
        <v>0</v>
      </c>
      <c r="N261" s="66"/>
      <c r="O261" s="67"/>
      <c r="P261" s="80"/>
      <c r="Q261" s="81"/>
      <c r="R261" s="70"/>
      <c r="S261" s="70"/>
      <c r="T261" s="70"/>
      <c r="U261" s="81"/>
      <c r="V261" s="70"/>
      <c r="W261" s="81"/>
      <c r="X261" s="62"/>
      <c r="Y261" s="67"/>
      <c r="Z261" s="81"/>
      <c r="AA261" s="82"/>
      <c r="AB261" s="83"/>
    </row>
    <row r="262" spans="1:28" s="79" customFormat="1" ht="15.75" hidden="1" customHeight="1" outlineLevel="1">
      <c r="A262" s="76"/>
      <c r="B262" s="77"/>
      <c r="C262" s="78"/>
      <c r="D262" s="78"/>
      <c r="E262" s="20"/>
      <c r="F262" s="64">
        <f>HSSA!$F$36</f>
        <v>0</v>
      </c>
      <c r="G262" s="64">
        <f>HSSA!$G$36</f>
        <v>0</v>
      </c>
      <c r="H262" s="64">
        <f>HSSA!$H$36</f>
        <v>0</v>
      </c>
      <c r="I262" s="64">
        <f>HSSA!$I$36</f>
        <v>0</v>
      </c>
      <c r="J262" s="64">
        <f>HSSA!$J$36</f>
        <v>0</v>
      </c>
      <c r="K262" s="64">
        <f>HSSA!$K$36</f>
        <v>0</v>
      </c>
      <c r="L262" s="65">
        <f>HSSA!$L$36</f>
        <v>0</v>
      </c>
      <c r="N262" s="66"/>
      <c r="O262" s="67"/>
      <c r="P262" s="80"/>
      <c r="Q262" s="81"/>
      <c r="R262" s="70"/>
      <c r="S262" s="70"/>
      <c r="T262" s="70"/>
      <c r="U262" s="81"/>
      <c r="V262" s="70"/>
      <c r="W262" s="81"/>
      <c r="X262" s="62"/>
      <c r="Y262" s="67"/>
      <c r="Z262" s="81"/>
      <c r="AA262" s="82"/>
      <c r="AB262" s="83"/>
    </row>
    <row r="263" spans="1:28" s="79" customFormat="1" ht="15.75" hidden="1" customHeight="1" outlineLevel="1">
      <c r="A263" s="76"/>
      <c r="B263" s="77"/>
      <c r="C263" s="78"/>
      <c r="D263" s="78"/>
      <c r="E263" s="20"/>
      <c r="F263" s="64">
        <f>MBG!$F$36</f>
        <v>0</v>
      </c>
      <c r="G263" s="64">
        <f>MBG!$G$36</f>
        <v>0</v>
      </c>
      <c r="H263" s="64">
        <f>MBG!$H$36</f>
        <v>0</v>
      </c>
      <c r="I263" s="64">
        <f>MBG!$I$36</f>
        <v>0</v>
      </c>
      <c r="J263" s="64">
        <f>MBG!$J$36</f>
        <v>0</v>
      </c>
      <c r="K263" s="64">
        <f>MBG!$K$36</f>
        <v>0</v>
      </c>
      <c r="L263" s="65">
        <f>MBG!$L$36</f>
        <v>0</v>
      </c>
      <c r="N263" s="66"/>
      <c r="O263" s="67"/>
      <c r="P263" s="80"/>
      <c r="Q263" s="81"/>
      <c r="R263" s="70"/>
      <c r="S263" s="70"/>
      <c r="T263" s="70"/>
      <c r="U263" s="81"/>
      <c r="V263" s="70"/>
      <c r="W263" s="81"/>
      <c r="X263" s="62"/>
      <c r="Y263" s="67"/>
      <c r="Z263" s="81"/>
      <c r="AA263" s="82"/>
      <c r="AB263" s="83"/>
    </row>
    <row r="264" spans="1:28" s="79" customFormat="1" ht="15.75" hidden="1" customHeight="1" outlineLevel="1">
      <c r="A264" s="76"/>
      <c r="B264" s="77"/>
      <c r="C264" s="78"/>
      <c r="D264" s="78"/>
      <c r="E264" s="20"/>
      <c r="F264" s="64">
        <f>MDA!$F$36</f>
        <v>0</v>
      </c>
      <c r="G264" s="64">
        <f>MDA!$G$36</f>
        <v>0</v>
      </c>
      <c r="H264" s="64">
        <f>MDA!$H$36</f>
        <v>0</v>
      </c>
      <c r="I264" s="64">
        <f>MDA!$I$36</f>
        <v>0</v>
      </c>
      <c r="J264" s="64">
        <f>MDA!$J$36</f>
        <v>0</v>
      </c>
      <c r="K264" s="64">
        <f>MDA!$K$36</f>
        <v>0</v>
      </c>
      <c r="L264" s="65">
        <f>MDA!$L$36</f>
        <v>0</v>
      </c>
      <c r="N264" s="66"/>
      <c r="O264" s="67"/>
      <c r="P264" s="80"/>
      <c r="Q264" s="81"/>
      <c r="R264" s="70"/>
      <c r="S264" s="70"/>
      <c r="T264" s="70"/>
      <c r="U264" s="81"/>
      <c r="V264" s="70"/>
      <c r="W264" s="81"/>
      <c r="X264" s="62"/>
      <c r="Y264" s="67"/>
      <c r="Z264" s="81"/>
      <c r="AA264" s="82"/>
      <c r="AB264" s="83"/>
    </row>
    <row r="265" spans="1:28" s="79" customFormat="1" ht="15.75" hidden="1" customHeight="1" outlineLevel="1">
      <c r="A265" s="76"/>
      <c r="B265" s="77"/>
      <c r="C265" s="78"/>
      <c r="D265" s="78"/>
      <c r="E265" s="20"/>
      <c r="F265" s="64">
        <f>SWM!$F$36</f>
        <v>0</v>
      </c>
      <c r="G265" s="64">
        <f>SWM!$G$36</f>
        <v>0</v>
      </c>
      <c r="H265" s="64">
        <f>SWM!$H$36</f>
        <v>0</v>
      </c>
      <c r="I265" s="64">
        <f>SWM!$I$36</f>
        <v>0</v>
      </c>
      <c r="J265" s="64">
        <f>SWM!$J$36</f>
        <v>0</v>
      </c>
      <c r="K265" s="64">
        <f>SWM!$K$36</f>
        <v>0</v>
      </c>
      <c r="L265" s="65">
        <f>SWM!$L$36</f>
        <v>0</v>
      </c>
      <c r="N265" s="66"/>
      <c r="O265" s="67"/>
      <c r="P265" s="80"/>
      <c r="Q265" s="81"/>
      <c r="R265" s="70"/>
      <c r="S265" s="70"/>
      <c r="T265" s="70"/>
      <c r="U265" s="81"/>
      <c r="V265" s="70"/>
      <c r="W265" s="81"/>
      <c r="X265" s="62"/>
      <c r="Y265" s="67"/>
      <c r="Z265" s="81"/>
      <c r="AA265" s="82"/>
      <c r="AB265" s="83"/>
    </row>
    <row r="266" spans="1:28" s="79" customFormat="1" ht="15.75" hidden="1" customHeight="1" outlineLevel="1">
      <c r="A266" s="76"/>
      <c r="B266" s="77"/>
      <c r="C266" s="78"/>
      <c r="D266" s="78"/>
      <c r="E266" s="20"/>
      <c r="F266" s="64">
        <f>TAMHSC!$F$36</f>
        <v>0</v>
      </c>
      <c r="G266" s="64">
        <f>TAMHSC!$G$36</f>
        <v>0</v>
      </c>
      <c r="H266" s="64">
        <f>TAMHSC!$H$36</f>
        <v>0</v>
      </c>
      <c r="I266" s="64">
        <f>TAMHSC!$I$36</f>
        <v>0</v>
      </c>
      <c r="J266" s="64">
        <f>TAMHSC!$J$36</f>
        <v>0</v>
      </c>
      <c r="K266" s="64">
        <f>TAMHSC!$K$36</f>
        <v>0</v>
      </c>
      <c r="L266" s="65">
        <f>TAMHSC!$L$36</f>
        <v>0</v>
      </c>
      <c r="N266" s="66"/>
      <c r="O266" s="67"/>
      <c r="P266" s="80"/>
      <c r="Q266" s="81"/>
      <c r="R266" s="70"/>
      <c r="S266" s="70"/>
      <c r="T266" s="70"/>
      <c r="U266" s="81"/>
      <c r="V266" s="70"/>
      <c r="W266" s="81"/>
      <c r="X266" s="62"/>
      <c r="Y266" s="67"/>
      <c r="Z266" s="81"/>
      <c r="AA266" s="82"/>
      <c r="AB266" s="83"/>
    </row>
    <row r="267" spans="1:28" s="79" customFormat="1" ht="15.75" hidden="1" customHeight="1" outlineLevel="1">
      <c r="A267" s="76"/>
      <c r="B267" s="77"/>
      <c r="C267" s="78"/>
      <c r="D267" s="78"/>
      <c r="E267" s="20"/>
      <c r="F267" s="64">
        <f>THC!$F$36</f>
        <v>0</v>
      </c>
      <c r="G267" s="64">
        <f>THC!$G$36</f>
        <v>0</v>
      </c>
      <c r="H267" s="64">
        <f>THC!$H$36</f>
        <v>0</v>
      </c>
      <c r="I267" s="64">
        <f>THC!$I$36</f>
        <v>0</v>
      </c>
      <c r="J267" s="64">
        <f>THC!$J$36</f>
        <v>0</v>
      </c>
      <c r="K267" s="64">
        <f>THC!$K$36</f>
        <v>0</v>
      </c>
      <c r="L267" s="65">
        <f>THC!$L$36</f>
        <v>0</v>
      </c>
      <c r="N267" s="66"/>
      <c r="O267" s="67"/>
      <c r="P267" s="80"/>
      <c r="Q267" s="81"/>
      <c r="R267" s="70"/>
      <c r="S267" s="70"/>
      <c r="T267" s="70"/>
      <c r="U267" s="81"/>
      <c r="V267" s="70"/>
      <c r="W267" s="81"/>
      <c r="X267" s="62"/>
      <c r="Y267" s="67"/>
      <c r="Z267" s="81"/>
      <c r="AA267" s="82"/>
      <c r="AB267" s="83"/>
    </row>
    <row r="268" spans="1:28" s="79" customFormat="1" ht="15.75" hidden="1" customHeight="1" outlineLevel="1">
      <c r="A268" s="76"/>
      <c r="B268" s="77"/>
      <c r="C268" s="78"/>
      <c r="D268" s="78"/>
      <c r="E268" s="20"/>
      <c r="F268" s="64">
        <f>TTUHSC!$F$36</f>
        <v>0</v>
      </c>
      <c r="G268" s="64">
        <f>TTUHSC!$G$36</f>
        <v>0</v>
      </c>
      <c r="H268" s="64">
        <f>TTUHSC!$H$36</f>
        <v>0</v>
      </c>
      <c r="I268" s="64">
        <f>TTUHSC!$I$36</f>
        <v>0</v>
      </c>
      <c r="J268" s="64">
        <f>TTUHSC!$J$36</f>
        <v>0</v>
      </c>
      <c r="K268" s="64">
        <f>TTUHSC!$K$36</f>
        <v>0</v>
      </c>
      <c r="L268" s="65">
        <f>TTUHSC!$L$36</f>
        <v>0</v>
      </c>
      <c r="N268" s="66"/>
      <c r="O268" s="67"/>
      <c r="P268" s="80"/>
      <c r="Q268" s="81"/>
      <c r="R268" s="70"/>
      <c r="S268" s="70"/>
      <c r="T268" s="70"/>
      <c r="U268" s="81"/>
      <c r="V268" s="70"/>
      <c r="W268" s="81"/>
      <c r="X268" s="62"/>
      <c r="Y268" s="67"/>
      <c r="Z268" s="81"/>
      <c r="AA268" s="82"/>
      <c r="AB268" s="83"/>
    </row>
    <row r="269" spans="1:28" s="79" customFormat="1" ht="15.75" hidden="1" customHeight="1" outlineLevel="1">
      <c r="A269" s="76"/>
      <c r="B269" s="77"/>
      <c r="C269" s="78"/>
      <c r="D269" s="78"/>
      <c r="E269" s="20"/>
      <c r="F269" s="64">
        <f>UNTHSC!$F$36</f>
        <v>0</v>
      </c>
      <c r="G269" s="64">
        <f>UNTHSC!$G$36</f>
        <v>0</v>
      </c>
      <c r="H269" s="64">
        <f>UNTHSC!$H$36</f>
        <v>0</v>
      </c>
      <c r="I269" s="64">
        <f>UNTHSC!$I$36</f>
        <v>0</v>
      </c>
      <c r="J269" s="64">
        <f>UNTHSC!$J$36</f>
        <v>0</v>
      </c>
      <c r="K269" s="64">
        <f>UNTHSC!$K$36</f>
        <v>0</v>
      </c>
      <c r="L269" s="65">
        <f>UNTHSC!$L$36</f>
        <v>0</v>
      </c>
      <c r="N269" s="66"/>
      <c r="O269" s="67"/>
      <c r="P269" s="80"/>
      <c r="Q269" s="81"/>
      <c r="R269" s="70"/>
      <c r="S269" s="70"/>
      <c r="T269" s="70"/>
      <c r="U269" s="81"/>
      <c r="V269" s="70"/>
      <c r="W269" s="81"/>
      <c r="X269" s="62"/>
      <c r="Y269" s="67"/>
      <c r="Z269" s="81"/>
      <c r="AA269" s="82"/>
      <c r="AB269" s="83"/>
    </row>
    <row r="270" spans="1:28" s="79" customFormat="1" ht="15.75" customHeight="1" collapsed="1">
      <c r="A270" s="76"/>
      <c r="B270" s="77" t="s">
        <v>39</v>
      </c>
      <c r="C270" s="78"/>
      <c r="D270" s="78"/>
      <c r="E270" s="20"/>
      <c r="F270" s="64">
        <f t="shared" ref="F270:L270" si="18">SUM(F261:F269)</f>
        <v>0</v>
      </c>
      <c r="G270" s="64">
        <f t="shared" si="18"/>
        <v>0</v>
      </c>
      <c r="H270" s="64">
        <f t="shared" si="18"/>
        <v>0</v>
      </c>
      <c r="I270" s="64">
        <f t="shared" si="18"/>
        <v>0</v>
      </c>
      <c r="J270" s="64">
        <f t="shared" si="18"/>
        <v>0</v>
      </c>
      <c r="K270" s="64">
        <f t="shared" si="18"/>
        <v>0</v>
      </c>
      <c r="L270" s="65">
        <f t="shared" si="18"/>
        <v>0</v>
      </c>
      <c r="N270" s="66"/>
      <c r="O270" s="67"/>
      <c r="P270" s="80"/>
      <c r="Q270" s="81"/>
      <c r="R270" s="70"/>
      <c r="S270" s="70"/>
      <c r="T270" s="70"/>
      <c r="U270" s="81"/>
      <c r="V270" s="70"/>
      <c r="W270" s="81"/>
      <c r="X270" s="62"/>
      <c r="Y270" s="67"/>
      <c r="Z270" s="81"/>
      <c r="AA270" s="82"/>
      <c r="AB270" s="83"/>
    </row>
    <row r="271" spans="1:28" s="79" customFormat="1" ht="15.75" hidden="1" customHeight="1" outlineLevel="1">
      <c r="A271" s="76"/>
      <c r="B271" s="77"/>
      <c r="C271" s="78"/>
      <c r="D271" s="78"/>
      <c r="E271" s="20"/>
      <c r="F271" s="64">
        <f>HSH!$F$37</f>
        <v>0</v>
      </c>
      <c r="G271" s="64">
        <f>HSH!$G$37</f>
        <v>0</v>
      </c>
      <c r="H271" s="64">
        <f>HSH!$H$37</f>
        <v>0</v>
      </c>
      <c r="I271" s="64">
        <f>HSH!$I$37</f>
        <v>0</v>
      </c>
      <c r="J271" s="64">
        <f>HSH!$J$37</f>
        <v>0</v>
      </c>
      <c r="K271" s="64">
        <f>HSH!$K$37</f>
        <v>0</v>
      </c>
      <c r="L271" s="65">
        <f>HSH!$L$37</f>
        <v>0</v>
      </c>
      <c r="N271" s="66"/>
      <c r="O271" s="67"/>
      <c r="P271" s="80"/>
      <c r="Q271" s="81"/>
      <c r="R271" s="70"/>
      <c r="S271" s="70"/>
      <c r="T271" s="70"/>
      <c r="U271" s="81"/>
      <c r="V271" s="70"/>
      <c r="W271" s="81"/>
      <c r="X271" s="62"/>
      <c r="Y271" s="67"/>
      <c r="Z271" s="81"/>
      <c r="AA271" s="82"/>
      <c r="AB271" s="83"/>
    </row>
    <row r="272" spans="1:28" s="79" customFormat="1" ht="15.75" hidden="1" customHeight="1" outlineLevel="1">
      <c r="A272" s="76"/>
      <c r="B272" s="77"/>
      <c r="C272" s="78"/>
      <c r="D272" s="78"/>
      <c r="E272" s="20"/>
      <c r="F272" s="64">
        <f>HSSA!$F$37</f>
        <v>0</v>
      </c>
      <c r="G272" s="64">
        <f>HSSA!$G$37</f>
        <v>0</v>
      </c>
      <c r="H272" s="64">
        <f>HSSA!$H$37</f>
        <v>0</v>
      </c>
      <c r="I272" s="64">
        <f>HSSA!$I$37</f>
        <v>0</v>
      </c>
      <c r="J272" s="64">
        <f>HSSA!$J$37</f>
        <v>0</v>
      </c>
      <c r="K272" s="64">
        <f>HSSA!$K$37</f>
        <v>0</v>
      </c>
      <c r="L272" s="65">
        <f>HSSA!$L$37</f>
        <v>0</v>
      </c>
      <c r="N272" s="66"/>
      <c r="O272" s="67"/>
      <c r="P272" s="80"/>
      <c r="Q272" s="81"/>
      <c r="R272" s="70"/>
      <c r="S272" s="70"/>
      <c r="T272" s="70"/>
      <c r="U272" s="81"/>
      <c r="V272" s="70"/>
      <c r="W272" s="81"/>
      <c r="X272" s="62"/>
      <c r="Y272" s="67"/>
      <c r="Z272" s="81"/>
      <c r="AA272" s="82"/>
      <c r="AB272" s="83"/>
    </row>
    <row r="273" spans="1:28" s="79" customFormat="1" ht="15.75" hidden="1" customHeight="1" outlineLevel="1">
      <c r="A273" s="76"/>
      <c r="B273" s="77"/>
      <c r="C273" s="78"/>
      <c r="D273" s="78"/>
      <c r="E273" s="20"/>
      <c r="F273" s="64">
        <f>MBG!$F$37</f>
        <v>0</v>
      </c>
      <c r="G273" s="64">
        <f>MBG!$G$37</f>
        <v>0</v>
      </c>
      <c r="H273" s="64">
        <f>MBG!$H$37</f>
        <v>0</v>
      </c>
      <c r="I273" s="64">
        <f>MBG!$I$37</f>
        <v>0</v>
      </c>
      <c r="J273" s="64">
        <f>MBG!$J$37</f>
        <v>0</v>
      </c>
      <c r="K273" s="64">
        <f>MBG!$K$37</f>
        <v>0</v>
      </c>
      <c r="L273" s="65">
        <f>MBG!$L$37</f>
        <v>0</v>
      </c>
      <c r="N273" s="66"/>
      <c r="O273" s="67"/>
      <c r="P273" s="80"/>
      <c r="Q273" s="81"/>
      <c r="R273" s="70"/>
      <c r="S273" s="70"/>
      <c r="T273" s="70"/>
      <c r="U273" s="81"/>
      <c r="V273" s="70"/>
      <c r="W273" s="81"/>
      <c r="X273" s="62"/>
      <c r="Y273" s="67"/>
      <c r="Z273" s="81"/>
      <c r="AA273" s="82"/>
      <c r="AB273" s="83"/>
    </row>
    <row r="274" spans="1:28" s="79" customFormat="1" ht="15.75" hidden="1" customHeight="1" outlineLevel="1">
      <c r="A274" s="76"/>
      <c r="B274" s="77"/>
      <c r="C274" s="78"/>
      <c r="D274" s="78"/>
      <c r="E274" s="20"/>
      <c r="F274" s="64">
        <f>MDA!$F$37</f>
        <v>0</v>
      </c>
      <c r="G274" s="64">
        <f>MDA!$G$37</f>
        <v>0</v>
      </c>
      <c r="H274" s="64">
        <f>MDA!$H$37</f>
        <v>0</v>
      </c>
      <c r="I274" s="64">
        <f>MDA!$I$37</f>
        <v>0</v>
      </c>
      <c r="J274" s="64">
        <f>MDA!$J$37</f>
        <v>0</v>
      </c>
      <c r="K274" s="64">
        <f>MDA!$K$37</f>
        <v>0</v>
      </c>
      <c r="L274" s="65">
        <f>MDA!$L$37</f>
        <v>0</v>
      </c>
      <c r="N274" s="66"/>
      <c r="O274" s="67"/>
      <c r="P274" s="80"/>
      <c r="Q274" s="81"/>
      <c r="R274" s="70"/>
      <c r="S274" s="70"/>
      <c r="T274" s="70"/>
      <c r="U274" s="81"/>
      <c r="V274" s="70"/>
      <c r="W274" s="81"/>
      <c r="X274" s="62"/>
      <c r="Y274" s="67"/>
      <c r="Z274" s="81"/>
      <c r="AA274" s="82"/>
      <c r="AB274" s="83"/>
    </row>
    <row r="275" spans="1:28" s="79" customFormat="1" ht="15.75" hidden="1" customHeight="1" outlineLevel="1">
      <c r="A275" s="76"/>
      <c r="B275" s="77"/>
      <c r="C275" s="78"/>
      <c r="D275" s="78"/>
      <c r="E275" s="20"/>
      <c r="F275" s="64">
        <f>SWM!$F$37</f>
        <v>0</v>
      </c>
      <c r="G275" s="64">
        <f>SWM!$G$37</f>
        <v>0</v>
      </c>
      <c r="H275" s="64">
        <f>SWM!$H$37</f>
        <v>0</v>
      </c>
      <c r="I275" s="64">
        <f>SWM!$I$37</f>
        <v>0</v>
      </c>
      <c r="J275" s="64">
        <f>SWM!$J$37</f>
        <v>0</v>
      </c>
      <c r="K275" s="64">
        <f>SWM!$K$37</f>
        <v>0</v>
      </c>
      <c r="L275" s="65">
        <f>SWM!$L$37</f>
        <v>0</v>
      </c>
      <c r="N275" s="66"/>
      <c r="O275" s="67"/>
      <c r="P275" s="80"/>
      <c r="Q275" s="81"/>
      <c r="R275" s="70"/>
      <c r="S275" s="70"/>
      <c r="T275" s="70"/>
      <c r="U275" s="81"/>
      <c r="V275" s="70"/>
      <c r="W275" s="81"/>
      <c r="X275" s="62"/>
      <c r="Y275" s="67"/>
      <c r="Z275" s="81"/>
      <c r="AA275" s="82"/>
      <c r="AB275" s="83"/>
    </row>
    <row r="276" spans="1:28" s="79" customFormat="1" ht="15.75" hidden="1" customHeight="1" outlineLevel="1">
      <c r="A276" s="76"/>
      <c r="B276" s="77"/>
      <c r="C276" s="78"/>
      <c r="D276" s="78"/>
      <c r="E276" s="20"/>
      <c r="F276" s="64">
        <f>TAMHSC!$F$37</f>
        <v>0</v>
      </c>
      <c r="G276" s="64">
        <f>TAMHSC!$G$37</f>
        <v>0</v>
      </c>
      <c r="H276" s="64">
        <f>TAMHSC!$H$37</f>
        <v>0</v>
      </c>
      <c r="I276" s="64">
        <f>TAMHSC!$I$37</f>
        <v>0</v>
      </c>
      <c r="J276" s="64">
        <f>TAMHSC!$J$37</f>
        <v>0</v>
      </c>
      <c r="K276" s="64">
        <f>TAMHSC!$K$37</f>
        <v>0</v>
      </c>
      <c r="L276" s="65">
        <f>TAMHSC!$L$37</f>
        <v>0</v>
      </c>
      <c r="N276" s="66"/>
      <c r="O276" s="67"/>
      <c r="P276" s="80"/>
      <c r="Q276" s="81"/>
      <c r="R276" s="70"/>
      <c r="S276" s="70"/>
      <c r="T276" s="70"/>
      <c r="U276" s="81"/>
      <c r="V276" s="70"/>
      <c r="W276" s="81"/>
      <c r="X276" s="62"/>
      <c r="Y276" s="67"/>
      <c r="Z276" s="81"/>
      <c r="AA276" s="82"/>
      <c r="AB276" s="83"/>
    </row>
    <row r="277" spans="1:28" s="79" customFormat="1" ht="15.75" hidden="1" customHeight="1" outlineLevel="1">
      <c r="A277" s="76"/>
      <c r="B277" s="77"/>
      <c r="C277" s="78"/>
      <c r="D277" s="78"/>
      <c r="E277" s="20"/>
      <c r="F277" s="64">
        <f>THC!$F$37</f>
        <v>0</v>
      </c>
      <c r="G277" s="64">
        <f>THC!$G$37</f>
        <v>0</v>
      </c>
      <c r="H277" s="64">
        <f>THC!$H$37</f>
        <v>0</v>
      </c>
      <c r="I277" s="64">
        <f>THC!$I$37</f>
        <v>0</v>
      </c>
      <c r="J277" s="64">
        <f>THC!$J$37</f>
        <v>0</v>
      </c>
      <c r="K277" s="64">
        <f>THC!$K$37</f>
        <v>0</v>
      </c>
      <c r="L277" s="65">
        <f>THC!$L$37</f>
        <v>0</v>
      </c>
      <c r="N277" s="66"/>
      <c r="O277" s="67"/>
      <c r="P277" s="80"/>
      <c r="Q277" s="81"/>
      <c r="R277" s="70"/>
      <c r="S277" s="70"/>
      <c r="T277" s="70"/>
      <c r="U277" s="81"/>
      <c r="V277" s="70"/>
      <c r="W277" s="81"/>
      <c r="X277" s="62"/>
      <c r="Y277" s="67"/>
      <c r="Z277" s="81"/>
      <c r="AA277" s="82"/>
      <c r="AB277" s="83"/>
    </row>
    <row r="278" spans="1:28" s="79" customFormat="1" ht="15.75" hidden="1" customHeight="1" outlineLevel="1">
      <c r="A278" s="76"/>
      <c r="B278" s="77"/>
      <c r="C278" s="78"/>
      <c r="D278" s="78"/>
      <c r="E278" s="20"/>
      <c r="F278" s="64">
        <f>TTUHSC!$F$37</f>
        <v>0</v>
      </c>
      <c r="G278" s="64">
        <f>TTUHSC!$G$37</f>
        <v>0</v>
      </c>
      <c r="H278" s="64">
        <f>TTUHSC!$H$37</f>
        <v>0</v>
      </c>
      <c r="I278" s="64">
        <f>TTUHSC!$I$37</f>
        <v>0</v>
      </c>
      <c r="J278" s="64">
        <f>TTUHSC!$J$37</f>
        <v>0</v>
      </c>
      <c r="K278" s="64">
        <f>TTUHSC!$K$37</f>
        <v>0</v>
      </c>
      <c r="L278" s="65">
        <f>TTUHSC!$L$37</f>
        <v>0</v>
      </c>
      <c r="N278" s="66"/>
      <c r="O278" s="67"/>
      <c r="P278" s="80"/>
      <c r="Q278" s="81"/>
      <c r="R278" s="70"/>
      <c r="S278" s="70"/>
      <c r="T278" s="70"/>
      <c r="U278" s="81"/>
      <c r="V278" s="70"/>
      <c r="W278" s="81"/>
      <c r="X278" s="62"/>
      <c r="Y278" s="67"/>
      <c r="Z278" s="81"/>
      <c r="AA278" s="82"/>
      <c r="AB278" s="83"/>
    </row>
    <row r="279" spans="1:28" s="79" customFormat="1" ht="15.75" hidden="1" customHeight="1" outlineLevel="1">
      <c r="A279" s="76"/>
      <c r="B279" s="77"/>
      <c r="C279" s="78"/>
      <c r="D279" s="78"/>
      <c r="E279" s="20"/>
      <c r="F279" s="64">
        <f>UNTHSC!$F$37</f>
        <v>0</v>
      </c>
      <c r="G279" s="64">
        <f>UNTHSC!$G$37</f>
        <v>0</v>
      </c>
      <c r="H279" s="64">
        <f>UNTHSC!$H$37</f>
        <v>0</v>
      </c>
      <c r="I279" s="64">
        <f>UNTHSC!$I$37</f>
        <v>0</v>
      </c>
      <c r="J279" s="64">
        <f>UNTHSC!$J$37</f>
        <v>0</v>
      </c>
      <c r="K279" s="64">
        <f>UNTHSC!$K$37</f>
        <v>0</v>
      </c>
      <c r="L279" s="65">
        <f>UNTHSC!$L$37</f>
        <v>0</v>
      </c>
      <c r="N279" s="66"/>
      <c r="O279" s="67"/>
      <c r="P279" s="80"/>
      <c r="Q279" s="81"/>
      <c r="R279" s="70"/>
      <c r="S279" s="70"/>
      <c r="T279" s="70"/>
      <c r="U279" s="81"/>
      <c r="V279" s="70"/>
      <c r="W279" s="81"/>
      <c r="X279" s="62"/>
      <c r="Y279" s="67"/>
      <c r="Z279" s="81"/>
      <c r="AA279" s="82"/>
      <c r="AB279" s="83"/>
    </row>
    <row r="280" spans="1:28" s="79" customFormat="1" ht="15.75" customHeight="1" collapsed="1">
      <c r="A280" s="76"/>
      <c r="B280" s="77" t="s">
        <v>40</v>
      </c>
      <c r="C280" s="78"/>
      <c r="D280" s="78"/>
      <c r="E280" s="20"/>
      <c r="F280" s="64">
        <f t="shared" ref="F280:L280" si="19">SUM(F271:F279)</f>
        <v>0</v>
      </c>
      <c r="G280" s="64">
        <f t="shared" si="19"/>
        <v>0</v>
      </c>
      <c r="H280" s="64">
        <f t="shared" si="19"/>
        <v>0</v>
      </c>
      <c r="I280" s="64">
        <f t="shared" si="19"/>
        <v>0</v>
      </c>
      <c r="J280" s="64">
        <f t="shared" si="19"/>
        <v>0</v>
      </c>
      <c r="K280" s="64">
        <f t="shared" si="19"/>
        <v>0</v>
      </c>
      <c r="L280" s="65">
        <f t="shared" si="19"/>
        <v>0</v>
      </c>
      <c r="N280" s="66"/>
      <c r="O280" s="67"/>
      <c r="P280" s="80"/>
      <c r="Q280" s="81"/>
      <c r="R280" s="70"/>
      <c r="S280" s="70"/>
      <c r="T280" s="70"/>
      <c r="U280" s="81"/>
      <c r="V280" s="70"/>
      <c r="W280" s="81"/>
      <c r="X280" s="62"/>
      <c r="Y280" s="67"/>
      <c r="Z280" s="81"/>
      <c r="AA280" s="82"/>
      <c r="AB280" s="83"/>
    </row>
    <row r="281" spans="1:28" s="79" customFormat="1" ht="15.75" hidden="1" customHeight="1" outlineLevel="1">
      <c r="A281" s="76"/>
      <c r="B281" s="77"/>
      <c r="C281" s="78"/>
      <c r="D281" s="78"/>
      <c r="E281" s="20"/>
      <c r="F281" s="64">
        <f>HSH!$F$38</f>
        <v>0</v>
      </c>
      <c r="G281" s="64">
        <f>HSH!$G$38</f>
        <v>0</v>
      </c>
      <c r="H281" s="64">
        <f>HSH!$H$38</f>
        <v>0</v>
      </c>
      <c r="I281" s="64">
        <f>HSH!$I$38</f>
        <v>0</v>
      </c>
      <c r="J281" s="64">
        <f>HSH!$J$38</f>
        <v>0</v>
      </c>
      <c r="K281" s="64">
        <f>HSH!$K$38</f>
        <v>0</v>
      </c>
      <c r="L281" s="65">
        <f>HSH!$L$38</f>
        <v>0</v>
      </c>
      <c r="N281" s="66"/>
      <c r="O281" s="67"/>
      <c r="P281" s="80"/>
      <c r="Q281" s="81"/>
      <c r="R281" s="70"/>
      <c r="S281" s="70"/>
      <c r="T281" s="70"/>
      <c r="U281" s="81"/>
      <c r="V281" s="70"/>
      <c r="W281" s="81"/>
      <c r="X281" s="62"/>
      <c r="Y281" s="67"/>
      <c r="Z281" s="81"/>
      <c r="AA281" s="82"/>
      <c r="AB281" s="83"/>
    </row>
    <row r="282" spans="1:28" s="79" customFormat="1" ht="15.75" hidden="1" customHeight="1" outlineLevel="1">
      <c r="A282" s="76"/>
      <c r="B282" s="77"/>
      <c r="C282" s="78"/>
      <c r="D282" s="78"/>
      <c r="E282" s="20"/>
      <c r="F282" s="64">
        <f>HSSA!$F$38</f>
        <v>0</v>
      </c>
      <c r="G282" s="64">
        <f>HSSA!$G$38</f>
        <v>0</v>
      </c>
      <c r="H282" s="64">
        <f>HSSA!$H$38</f>
        <v>0</v>
      </c>
      <c r="I282" s="64">
        <f>HSSA!$I$38</f>
        <v>0</v>
      </c>
      <c r="J282" s="64">
        <f>HSSA!$J$38</f>
        <v>0</v>
      </c>
      <c r="K282" s="64">
        <f>HSSA!$K$38</f>
        <v>0</v>
      </c>
      <c r="L282" s="65">
        <f>HSSA!$L$38</f>
        <v>0</v>
      </c>
      <c r="N282" s="66"/>
      <c r="O282" s="67"/>
      <c r="P282" s="80"/>
      <c r="Q282" s="81"/>
      <c r="R282" s="70"/>
      <c r="S282" s="70"/>
      <c r="T282" s="70"/>
      <c r="U282" s="81"/>
      <c r="V282" s="70"/>
      <c r="W282" s="81"/>
      <c r="X282" s="62"/>
      <c r="Y282" s="67"/>
      <c r="Z282" s="81"/>
      <c r="AA282" s="82"/>
      <c r="AB282" s="83"/>
    </row>
    <row r="283" spans="1:28" s="79" customFormat="1" ht="15.75" hidden="1" customHeight="1" outlineLevel="1">
      <c r="A283" s="76"/>
      <c r="B283" s="77"/>
      <c r="C283" s="78"/>
      <c r="D283" s="78"/>
      <c r="E283" s="20"/>
      <c r="F283" s="64">
        <f>MBG!$F$38</f>
        <v>0</v>
      </c>
      <c r="G283" s="64">
        <f>MBG!$G$38</f>
        <v>0</v>
      </c>
      <c r="H283" s="64">
        <f>MBG!$H$38</f>
        <v>0</v>
      </c>
      <c r="I283" s="64">
        <f>MBG!$I$38</f>
        <v>0</v>
      </c>
      <c r="J283" s="64">
        <f>MBG!$J$38</f>
        <v>0</v>
      </c>
      <c r="K283" s="64">
        <f>MBG!$K$38</f>
        <v>0</v>
      </c>
      <c r="L283" s="65">
        <f>MBG!$L$38</f>
        <v>0</v>
      </c>
      <c r="N283" s="66"/>
      <c r="O283" s="67"/>
      <c r="P283" s="80"/>
      <c r="Q283" s="81"/>
      <c r="R283" s="70"/>
      <c r="S283" s="70"/>
      <c r="T283" s="70"/>
      <c r="U283" s="81"/>
      <c r="V283" s="70"/>
      <c r="W283" s="81"/>
      <c r="X283" s="62"/>
      <c r="Y283" s="67"/>
      <c r="Z283" s="81"/>
      <c r="AA283" s="82"/>
      <c r="AB283" s="83"/>
    </row>
    <row r="284" spans="1:28" s="79" customFormat="1" ht="15.75" hidden="1" customHeight="1" outlineLevel="1">
      <c r="A284" s="76"/>
      <c r="B284" s="77"/>
      <c r="C284" s="78"/>
      <c r="D284" s="78"/>
      <c r="E284" s="20"/>
      <c r="F284" s="64">
        <f>MDA!$F$38</f>
        <v>0</v>
      </c>
      <c r="G284" s="64">
        <f>MDA!$G$38</f>
        <v>0</v>
      </c>
      <c r="H284" s="64">
        <f>MDA!$H$38</f>
        <v>0</v>
      </c>
      <c r="I284" s="64">
        <f>MDA!$I$38</f>
        <v>0</v>
      </c>
      <c r="J284" s="64">
        <f>MDA!$J$38</f>
        <v>0</v>
      </c>
      <c r="K284" s="64">
        <f>MDA!$K$38</f>
        <v>0</v>
      </c>
      <c r="L284" s="65">
        <f>MDA!$L$38</f>
        <v>0</v>
      </c>
      <c r="N284" s="66"/>
      <c r="O284" s="67"/>
      <c r="P284" s="80"/>
      <c r="Q284" s="81"/>
      <c r="R284" s="70"/>
      <c r="S284" s="70"/>
      <c r="T284" s="70"/>
      <c r="U284" s="81"/>
      <c r="V284" s="70"/>
      <c r="W284" s="81"/>
      <c r="X284" s="62"/>
      <c r="Y284" s="67"/>
      <c r="Z284" s="81"/>
      <c r="AA284" s="82"/>
      <c r="AB284" s="83"/>
    </row>
    <row r="285" spans="1:28" s="79" customFormat="1" ht="15.75" hidden="1" customHeight="1" outlineLevel="1">
      <c r="A285" s="76"/>
      <c r="B285" s="77"/>
      <c r="C285" s="78"/>
      <c r="D285" s="78"/>
      <c r="E285" s="20"/>
      <c r="F285" s="64">
        <f>SWM!$F$38</f>
        <v>0</v>
      </c>
      <c r="G285" s="64">
        <f>SWM!$G$38</f>
        <v>0</v>
      </c>
      <c r="H285" s="64">
        <f>SWM!$H$38</f>
        <v>0</v>
      </c>
      <c r="I285" s="64">
        <f>SWM!$I$38</f>
        <v>0</v>
      </c>
      <c r="J285" s="64">
        <f>SWM!$J$38</f>
        <v>0</v>
      </c>
      <c r="K285" s="64">
        <f>SWM!$K$38</f>
        <v>0</v>
      </c>
      <c r="L285" s="65">
        <f>SWM!$L$38</f>
        <v>0</v>
      </c>
      <c r="N285" s="66"/>
      <c r="O285" s="67"/>
      <c r="P285" s="80"/>
      <c r="Q285" s="81"/>
      <c r="R285" s="70"/>
      <c r="S285" s="70"/>
      <c r="T285" s="70"/>
      <c r="U285" s="81"/>
      <c r="V285" s="70"/>
      <c r="W285" s="81"/>
      <c r="X285" s="62"/>
      <c r="Y285" s="67"/>
      <c r="Z285" s="81"/>
      <c r="AA285" s="82"/>
      <c r="AB285" s="83"/>
    </row>
    <row r="286" spans="1:28" s="79" customFormat="1" ht="15.75" hidden="1" customHeight="1" outlineLevel="1">
      <c r="A286" s="76"/>
      <c r="B286" s="77"/>
      <c r="C286" s="78"/>
      <c r="D286" s="78"/>
      <c r="E286" s="20"/>
      <c r="F286" s="64">
        <f>TAMHSC!$F$38</f>
        <v>0</v>
      </c>
      <c r="G286" s="64">
        <f>TAMHSC!$G$38</f>
        <v>0</v>
      </c>
      <c r="H286" s="64">
        <f>TAMHSC!$H$38</f>
        <v>0</v>
      </c>
      <c r="I286" s="64">
        <f>TAMHSC!$I$38</f>
        <v>0</v>
      </c>
      <c r="J286" s="64">
        <f>TAMHSC!$J$38</f>
        <v>0</v>
      </c>
      <c r="K286" s="64">
        <f>TAMHSC!$K$38</f>
        <v>0</v>
      </c>
      <c r="L286" s="65">
        <f>TAMHSC!$L$38</f>
        <v>0</v>
      </c>
      <c r="N286" s="66"/>
      <c r="O286" s="67"/>
      <c r="P286" s="80"/>
      <c r="Q286" s="81"/>
      <c r="R286" s="70"/>
      <c r="S286" s="70"/>
      <c r="T286" s="70"/>
      <c r="U286" s="81"/>
      <c r="V286" s="70"/>
      <c r="W286" s="81"/>
      <c r="X286" s="62"/>
      <c r="Y286" s="67"/>
      <c r="Z286" s="81"/>
      <c r="AA286" s="82"/>
      <c r="AB286" s="83"/>
    </row>
    <row r="287" spans="1:28" s="79" customFormat="1" ht="15.75" hidden="1" customHeight="1" outlineLevel="1">
      <c r="A287" s="76"/>
      <c r="B287" s="77"/>
      <c r="C287" s="78"/>
      <c r="D287" s="78"/>
      <c r="E287" s="20"/>
      <c r="F287" s="64">
        <f>THC!$F$38</f>
        <v>0</v>
      </c>
      <c r="G287" s="64">
        <f>THC!$G$38</f>
        <v>0</v>
      </c>
      <c r="H287" s="64">
        <f>THC!$H$38</f>
        <v>0</v>
      </c>
      <c r="I287" s="64">
        <f>THC!$I$38</f>
        <v>0</v>
      </c>
      <c r="J287" s="64">
        <f>THC!$J$38</f>
        <v>0</v>
      </c>
      <c r="K287" s="64">
        <f>THC!$K$38</f>
        <v>0</v>
      </c>
      <c r="L287" s="65">
        <f>THC!$L$38</f>
        <v>0</v>
      </c>
      <c r="N287" s="66"/>
      <c r="O287" s="67"/>
      <c r="P287" s="80"/>
      <c r="Q287" s="81"/>
      <c r="R287" s="70"/>
      <c r="S287" s="70"/>
      <c r="T287" s="70"/>
      <c r="U287" s="81"/>
      <c r="V287" s="70"/>
      <c r="W287" s="81"/>
      <c r="X287" s="62"/>
      <c r="Y287" s="67"/>
      <c r="Z287" s="81"/>
      <c r="AA287" s="82"/>
      <c r="AB287" s="83"/>
    </row>
    <row r="288" spans="1:28" s="79" customFormat="1" ht="15.75" hidden="1" customHeight="1" outlineLevel="1">
      <c r="A288" s="76"/>
      <c r="B288" s="77"/>
      <c r="C288" s="78"/>
      <c r="D288" s="78"/>
      <c r="E288" s="20"/>
      <c r="F288" s="64">
        <f>TTUHSC!$F$38</f>
        <v>0</v>
      </c>
      <c r="G288" s="64">
        <f>TTUHSC!$G$38</f>
        <v>0</v>
      </c>
      <c r="H288" s="64">
        <f>TTUHSC!$H$38</f>
        <v>0</v>
      </c>
      <c r="I288" s="64">
        <f>TTUHSC!$I$38</f>
        <v>0</v>
      </c>
      <c r="J288" s="64">
        <f>TTUHSC!$J$38</f>
        <v>0</v>
      </c>
      <c r="K288" s="64">
        <f>TTUHSC!$K$38</f>
        <v>0</v>
      </c>
      <c r="L288" s="65">
        <f>TTUHSC!$L$38</f>
        <v>0</v>
      </c>
      <c r="N288" s="66"/>
      <c r="O288" s="67"/>
      <c r="P288" s="80"/>
      <c r="Q288" s="81"/>
      <c r="R288" s="70"/>
      <c r="S288" s="70"/>
      <c r="T288" s="70"/>
      <c r="U288" s="81"/>
      <c r="V288" s="70"/>
      <c r="W288" s="81"/>
      <c r="X288" s="62"/>
      <c r="Y288" s="67"/>
      <c r="Z288" s="81"/>
      <c r="AA288" s="82"/>
      <c r="AB288" s="83"/>
    </row>
    <row r="289" spans="1:28" s="79" customFormat="1" ht="15.75" hidden="1" customHeight="1" outlineLevel="1">
      <c r="A289" s="76"/>
      <c r="B289" s="77"/>
      <c r="C289" s="78"/>
      <c r="D289" s="78"/>
      <c r="E289" s="20"/>
      <c r="F289" s="64">
        <f>UNTHSC!$F$38</f>
        <v>0</v>
      </c>
      <c r="G289" s="64">
        <f>UNTHSC!$G$38</f>
        <v>0</v>
      </c>
      <c r="H289" s="64">
        <f>UNTHSC!$H$38</f>
        <v>0</v>
      </c>
      <c r="I289" s="64">
        <f>UNTHSC!$I$38</f>
        <v>0</v>
      </c>
      <c r="J289" s="64">
        <f>UNTHSC!$J$38</f>
        <v>0</v>
      </c>
      <c r="K289" s="64">
        <f>UNTHSC!$K$38</f>
        <v>0</v>
      </c>
      <c r="L289" s="65">
        <f>UNTHSC!$L$38</f>
        <v>0</v>
      </c>
      <c r="N289" s="66"/>
      <c r="O289" s="67"/>
      <c r="P289" s="80"/>
      <c r="Q289" s="81"/>
      <c r="R289" s="70"/>
      <c r="S289" s="70"/>
      <c r="T289" s="70"/>
      <c r="U289" s="81"/>
      <c r="V289" s="70"/>
      <c r="W289" s="81"/>
      <c r="X289" s="62"/>
      <c r="Y289" s="67"/>
      <c r="Z289" s="81"/>
      <c r="AA289" s="82"/>
      <c r="AB289" s="83"/>
    </row>
    <row r="290" spans="1:28" s="79" customFormat="1" ht="15.75" customHeight="1" collapsed="1">
      <c r="A290" s="76"/>
      <c r="B290" s="77" t="s">
        <v>41</v>
      </c>
      <c r="C290" s="78"/>
      <c r="D290" s="78"/>
      <c r="E290" s="20"/>
      <c r="F290" s="64">
        <f t="shared" ref="F290:L290" si="20">SUM(F281:F289)</f>
        <v>0</v>
      </c>
      <c r="G290" s="64">
        <f t="shared" si="20"/>
        <v>0</v>
      </c>
      <c r="H290" s="64">
        <f t="shared" si="20"/>
        <v>0</v>
      </c>
      <c r="I290" s="64">
        <f t="shared" si="20"/>
        <v>0</v>
      </c>
      <c r="J290" s="64">
        <f t="shared" si="20"/>
        <v>0</v>
      </c>
      <c r="K290" s="64">
        <f t="shared" si="20"/>
        <v>0</v>
      </c>
      <c r="L290" s="65">
        <f t="shared" si="20"/>
        <v>0</v>
      </c>
      <c r="N290" s="66"/>
      <c r="O290" s="67"/>
      <c r="P290" s="80"/>
      <c r="Q290" s="81"/>
      <c r="R290" s="70"/>
      <c r="S290" s="70"/>
      <c r="T290" s="70"/>
      <c r="U290" s="81"/>
      <c r="V290" s="70"/>
      <c r="W290" s="81"/>
      <c r="X290" s="62"/>
      <c r="Y290" s="67"/>
      <c r="Z290" s="81"/>
      <c r="AA290" s="82"/>
      <c r="AB290" s="83"/>
    </row>
    <row r="291" spans="1:28" s="79" customFormat="1" ht="15.75" hidden="1" customHeight="1" outlineLevel="1">
      <c r="A291" s="76"/>
      <c r="B291" s="77"/>
      <c r="C291" s="78"/>
      <c r="D291" s="78"/>
      <c r="E291" s="20"/>
      <c r="F291" s="64">
        <f>HSH!$F$39</f>
        <v>0</v>
      </c>
      <c r="G291" s="64">
        <f>HSH!$G$39</f>
        <v>0</v>
      </c>
      <c r="H291" s="64">
        <f>HSH!$H$39</f>
        <v>0</v>
      </c>
      <c r="I291" s="64">
        <f>HSH!$I$39</f>
        <v>0</v>
      </c>
      <c r="J291" s="64">
        <f>HSH!$J$39</f>
        <v>0</v>
      </c>
      <c r="K291" s="64">
        <f>HSH!$K$39</f>
        <v>0</v>
      </c>
      <c r="L291" s="65">
        <f>HSH!$L$39</f>
        <v>0</v>
      </c>
      <c r="N291" s="66"/>
      <c r="O291" s="67"/>
      <c r="P291" s="80"/>
      <c r="Q291" s="81"/>
      <c r="R291" s="70"/>
      <c r="S291" s="70"/>
      <c r="T291" s="70"/>
      <c r="U291" s="81"/>
      <c r="V291" s="70"/>
      <c r="W291" s="81"/>
      <c r="X291" s="62"/>
      <c r="Y291" s="67"/>
      <c r="Z291" s="81"/>
      <c r="AA291" s="82"/>
      <c r="AB291" s="83"/>
    </row>
    <row r="292" spans="1:28" s="79" customFormat="1" ht="15.75" hidden="1" customHeight="1" outlineLevel="1">
      <c r="A292" s="76"/>
      <c r="B292" s="77"/>
      <c r="C292" s="78"/>
      <c r="D292" s="78"/>
      <c r="E292" s="20"/>
      <c r="F292" s="64">
        <f>HSSA!$F$39</f>
        <v>0</v>
      </c>
      <c r="G292" s="64">
        <f>HSSA!$G$39</f>
        <v>0</v>
      </c>
      <c r="H292" s="64">
        <f>HSSA!$H$39</f>
        <v>0</v>
      </c>
      <c r="I292" s="64">
        <f>HSSA!$I$39</f>
        <v>0</v>
      </c>
      <c r="J292" s="64">
        <f>HSSA!$J$39</f>
        <v>0</v>
      </c>
      <c r="K292" s="64">
        <f>HSSA!$K$39</f>
        <v>0</v>
      </c>
      <c r="L292" s="65">
        <f>HSSA!$L$39</f>
        <v>0</v>
      </c>
      <c r="N292" s="66"/>
      <c r="O292" s="67"/>
      <c r="P292" s="80"/>
      <c r="Q292" s="81"/>
      <c r="R292" s="70"/>
      <c r="S292" s="70"/>
      <c r="T292" s="70"/>
      <c r="U292" s="81"/>
      <c r="V292" s="70"/>
      <c r="W292" s="81"/>
      <c r="X292" s="62"/>
      <c r="Y292" s="67"/>
      <c r="Z292" s="81"/>
      <c r="AA292" s="82"/>
      <c r="AB292" s="83"/>
    </row>
    <row r="293" spans="1:28" s="79" customFormat="1" ht="15.75" hidden="1" customHeight="1" outlineLevel="1">
      <c r="A293" s="76"/>
      <c r="B293" s="77"/>
      <c r="C293" s="78"/>
      <c r="D293" s="78"/>
      <c r="E293" s="20"/>
      <c r="F293" s="64">
        <f>MBG!$F$39</f>
        <v>0</v>
      </c>
      <c r="G293" s="64">
        <f>MBG!$G$39</f>
        <v>0</v>
      </c>
      <c r="H293" s="64">
        <f>MBG!$H$39</f>
        <v>0</v>
      </c>
      <c r="I293" s="64">
        <f>MBG!$I$39</f>
        <v>0</v>
      </c>
      <c r="J293" s="64">
        <f>MBG!$J$39</f>
        <v>0</v>
      </c>
      <c r="K293" s="64">
        <f>MBG!$K$39</f>
        <v>0</v>
      </c>
      <c r="L293" s="65">
        <f>MBG!$L$39</f>
        <v>0</v>
      </c>
      <c r="N293" s="66"/>
      <c r="O293" s="67"/>
      <c r="P293" s="80"/>
      <c r="Q293" s="81"/>
      <c r="R293" s="70"/>
      <c r="S293" s="70"/>
      <c r="T293" s="70"/>
      <c r="U293" s="81"/>
      <c r="V293" s="70"/>
      <c r="W293" s="81"/>
      <c r="X293" s="62"/>
      <c r="Y293" s="67"/>
      <c r="Z293" s="81"/>
      <c r="AA293" s="82"/>
      <c r="AB293" s="83"/>
    </row>
    <row r="294" spans="1:28" s="79" customFormat="1" ht="15.75" hidden="1" customHeight="1" outlineLevel="1">
      <c r="A294" s="76"/>
      <c r="B294" s="77"/>
      <c r="C294" s="78"/>
      <c r="D294" s="78"/>
      <c r="E294" s="20"/>
      <c r="F294" s="64">
        <f>MDA!$F$39</f>
        <v>0</v>
      </c>
      <c r="G294" s="64">
        <f>MDA!$G$39</f>
        <v>0</v>
      </c>
      <c r="H294" s="64">
        <f>MDA!$H$39</f>
        <v>0</v>
      </c>
      <c r="I294" s="64">
        <f>MDA!$I$39</f>
        <v>0</v>
      </c>
      <c r="J294" s="64">
        <f>MDA!$J$39</f>
        <v>0</v>
      </c>
      <c r="K294" s="64">
        <f>MDA!$K$39</f>
        <v>0</v>
      </c>
      <c r="L294" s="65">
        <f>MDA!$L$39</f>
        <v>0</v>
      </c>
      <c r="N294" s="66"/>
      <c r="O294" s="67"/>
      <c r="P294" s="80"/>
      <c r="Q294" s="81"/>
      <c r="R294" s="70"/>
      <c r="S294" s="70"/>
      <c r="T294" s="70"/>
      <c r="U294" s="81"/>
      <c r="V294" s="70"/>
      <c r="W294" s="81"/>
      <c r="X294" s="62"/>
      <c r="Y294" s="67"/>
      <c r="Z294" s="81"/>
      <c r="AA294" s="82"/>
      <c r="AB294" s="83"/>
    </row>
    <row r="295" spans="1:28" s="79" customFormat="1" ht="15.75" hidden="1" customHeight="1" outlineLevel="1">
      <c r="A295" s="76"/>
      <c r="B295" s="77"/>
      <c r="C295" s="78"/>
      <c r="D295" s="78"/>
      <c r="E295" s="20"/>
      <c r="F295" s="64">
        <f>SWM!$F$39</f>
        <v>0</v>
      </c>
      <c r="G295" s="64">
        <f>SWM!$G$39</f>
        <v>0</v>
      </c>
      <c r="H295" s="64">
        <f>SWM!$H$39</f>
        <v>0</v>
      </c>
      <c r="I295" s="64">
        <f>SWM!$I$39</f>
        <v>0</v>
      </c>
      <c r="J295" s="64">
        <f>SWM!$J$39</f>
        <v>0</v>
      </c>
      <c r="K295" s="64">
        <f>SWM!$K$39</f>
        <v>0</v>
      </c>
      <c r="L295" s="65">
        <f>SWM!$L$39</f>
        <v>0</v>
      </c>
      <c r="N295" s="66"/>
      <c r="O295" s="67"/>
      <c r="P295" s="80"/>
      <c r="Q295" s="81"/>
      <c r="R295" s="70"/>
      <c r="S295" s="70"/>
      <c r="T295" s="70"/>
      <c r="U295" s="81"/>
      <c r="V295" s="70"/>
      <c r="W295" s="81"/>
      <c r="X295" s="62"/>
      <c r="Y295" s="67"/>
      <c r="Z295" s="81"/>
      <c r="AA295" s="82"/>
      <c r="AB295" s="83"/>
    </row>
    <row r="296" spans="1:28" s="79" customFormat="1" ht="15.75" hidden="1" customHeight="1" outlineLevel="1">
      <c r="A296" s="76"/>
      <c r="B296" s="77"/>
      <c r="C296" s="78"/>
      <c r="D296" s="78"/>
      <c r="E296" s="20"/>
      <c r="F296" s="64">
        <f>TAMHSC!$F$39</f>
        <v>0</v>
      </c>
      <c r="G296" s="64">
        <f>TAMHSC!$G$39</f>
        <v>0</v>
      </c>
      <c r="H296" s="64">
        <f>TAMHSC!$H$39</f>
        <v>0</v>
      </c>
      <c r="I296" s="64">
        <f>TAMHSC!$I$39</f>
        <v>0</v>
      </c>
      <c r="J296" s="64">
        <f>TAMHSC!$J$39</f>
        <v>0</v>
      </c>
      <c r="K296" s="64">
        <f>TAMHSC!$K$39</f>
        <v>0</v>
      </c>
      <c r="L296" s="65">
        <f>TAMHSC!$L$39</f>
        <v>0</v>
      </c>
      <c r="N296" s="66"/>
      <c r="O296" s="67"/>
      <c r="P296" s="80"/>
      <c r="Q296" s="81"/>
      <c r="R296" s="70"/>
      <c r="S296" s="70"/>
      <c r="T296" s="70"/>
      <c r="U296" s="81"/>
      <c r="V296" s="70"/>
      <c r="W296" s="81"/>
      <c r="X296" s="62"/>
      <c r="Y296" s="67"/>
      <c r="Z296" s="81"/>
      <c r="AA296" s="82"/>
      <c r="AB296" s="83"/>
    </row>
    <row r="297" spans="1:28" s="79" customFormat="1" ht="15.75" hidden="1" customHeight="1" outlineLevel="1">
      <c r="A297" s="76"/>
      <c r="B297" s="77"/>
      <c r="C297" s="78"/>
      <c r="D297" s="78"/>
      <c r="E297" s="20"/>
      <c r="F297" s="64">
        <f>THC!$F$39</f>
        <v>0</v>
      </c>
      <c r="G297" s="64">
        <f>THC!$G$39</f>
        <v>0</v>
      </c>
      <c r="H297" s="64">
        <f>THC!$H$39</f>
        <v>0</v>
      </c>
      <c r="I297" s="64">
        <f>THC!$I$39</f>
        <v>0</v>
      </c>
      <c r="J297" s="64">
        <f>THC!$J$39</f>
        <v>0</v>
      </c>
      <c r="K297" s="64">
        <f>THC!$K$39</f>
        <v>0</v>
      </c>
      <c r="L297" s="65">
        <f>THC!$L$39</f>
        <v>0</v>
      </c>
      <c r="N297" s="66"/>
      <c r="O297" s="67"/>
      <c r="P297" s="80"/>
      <c r="Q297" s="81"/>
      <c r="R297" s="70"/>
      <c r="S297" s="70"/>
      <c r="T297" s="70"/>
      <c r="U297" s="81"/>
      <c r="V297" s="70"/>
      <c r="W297" s="81"/>
      <c r="X297" s="62"/>
      <c r="Y297" s="67"/>
      <c r="Z297" s="81"/>
      <c r="AA297" s="82"/>
      <c r="AB297" s="83"/>
    </row>
    <row r="298" spans="1:28" s="79" customFormat="1" ht="15.75" hidden="1" customHeight="1" outlineLevel="1">
      <c r="A298" s="76"/>
      <c r="B298" s="77"/>
      <c r="C298" s="78"/>
      <c r="D298" s="78"/>
      <c r="E298" s="20"/>
      <c r="F298" s="64">
        <f>TTUHSC!$F$39</f>
        <v>0</v>
      </c>
      <c r="G298" s="64">
        <f>TTUHSC!$G$39</f>
        <v>0</v>
      </c>
      <c r="H298" s="64">
        <f>TTUHSC!$H$39</f>
        <v>0</v>
      </c>
      <c r="I298" s="64">
        <f>TTUHSC!$I$39</f>
        <v>0</v>
      </c>
      <c r="J298" s="64">
        <f>TTUHSC!$J$39</f>
        <v>0</v>
      </c>
      <c r="K298" s="64">
        <f>TTUHSC!$K$39</f>
        <v>0</v>
      </c>
      <c r="L298" s="65">
        <f>TTUHSC!$L$39</f>
        <v>0</v>
      </c>
      <c r="N298" s="66"/>
      <c r="O298" s="67"/>
      <c r="P298" s="80"/>
      <c r="Q298" s="81"/>
      <c r="R298" s="70"/>
      <c r="S298" s="70"/>
      <c r="T298" s="70"/>
      <c r="U298" s="81"/>
      <c r="V298" s="70"/>
      <c r="W298" s="81"/>
      <c r="X298" s="62"/>
      <c r="Y298" s="67"/>
      <c r="Z298" s="81"/>
      <c r="AA298" s="82"/>
      <c r="AB298" s="83"/>
    </row>
    <row r="299" spans="1:28" s="79" customFormat="1" ht="15.75" hidden="1" customHeight="1" outlineLevel="1">
      <c r="A299" s="76"/>
      <c r="B299" s="77"/>
      <c r="C299" s="78"/>
      <c r="D299" s="78"/>
      <c r="E299" s="20"/>
      <c r="F299" s="64">
        <f>UNTHSC!$F$39</f>
        <v>0</v>
      </c>
      <c r="G299" s="64">
        <f>UNTHSC!$G$39</f>
        <v>0</v>
      </c>
      <c r="H299" s="64">
        <f>UNTHSC!$H$39</f>
        <v>0</v>
      </c>
      <c r="I299" s="64">
        <f>UNTHSC!$I$39</f>
        <v>0</v>
      </c>
      <c r="J299" s="64">
        <f>UNTHSC!$J$39</f>
        <v>0</v>
      </c>
      <c r="K299" s="64">
        <f>UNTHSC!$K$39</f>
        <v>0</v>
      </c>
      <c r="L299" s="65">
        <f>UNTHSC!$L$39</f>
        <v>0</v>
      </c>
      <c r="N299" s="66"/>
      <c r="O299" s="67"/>
      <c r="P299" s="80"/>
      <c r="Q299" s="81"/>
      <c r="R299" s="70"/>
      <c r="S299" s="70"/>
      <c r="T299" s="70"/>
      <c r="U299" s="81"/>
      <c r="V299" s="70"/>
      <c r="W299" s="81"/>
      <c r="X299" s="62"/>
      <c r="Y299" s="67"/>
      <c r="Z299" s="81"/>
      <c r="AA299" s="82"/>
      <c r="AB299" s="83"/>
    </row>
    <row r="300" spans="1:28" s="79" customFormat="1" ht="15.75" customHeight="1" collapsed="1">
      <c r="A300" s="76"/>
      <c r="B300" s="77" t="s">
        <v>42</v>
      </c>
      <c r="C300" s="78"/>
      <c r="D300" s="78"/>
      <c r="E300" s="20"/>
      <c r="F300" s="64">
        <f t="shared" ref="F300:L300" si="21">SUM(F291:F299)</f>
        <v>0</v>
      </c>
      <c r="G300" s="64">
        <f t="shared" si="21"/>
        <v>0</v>
      </c>
      <c r="H300" s="64">
        <f t="shared" si="21"/>
        <v>0</v>
      </c>
      <c r="I300" s="64">
        <f t="shared" si="21"/>
        <v>0</v>
      </c>
      <c r="J300" s="64">
        <f t="shared" si="21"/>
        <v>0</v>
      </c>
      <c r="K300" s="64">
        <f t="shared" si="21"/>
        <v>0</v>
      </c>
      <c r="L300" s="65">
        <f t="shared" si="21"/>
        <v>0</v>
      </c>
      <c r="N300" s="66"/>
      <c r="O300" s="67"/>
      <c r="P300" s="80"/>
      <c r="Q300" s="81"/>
      <c r="R300" s="70"/>
      <c r="S300" s="70"/>
      <c r="T300" s="70"/>
      <c r="U300" s="81"/>
      <c r="V300" s="70"/>
      <c r="W300" s="81"/>
      <c r="X300" s="62"/>
      <c r="Y300" s="67"/>
      <c r="Z300" s="81"/>
      <c r="AA300" s="82"/>
      <c r="AB300" s="83"/>
    </row>
    <row r="301" spans="1:28" s="79" customFormat="1" ht="15.75" hidden="1" customHeight="1" outlineLevel="1">
      <c r="A301" s="76"/>
      <c r="B301" s="77"/>
      <c r="C301" s="78"/>
      <c r="D301" s="78"/>
      <c r="E301" s="20"/>
      <c r="F301" s="64">
        <f>HSH!$F$40</f>
        <v>0</v>
      </c>
      <c r="G301" s="64">
        <f>HSH!$G$40</f>
        <v>0</v>
      </c>
      <c r="H301" s="64">
        <f>HSH!$H$40</f>
        <v>0</v>
      </c>
      <c r="I301" s="64">
        <f>HSH!$I$40</f>
        <v>0</v>
      </c>
      <c r="J301" s="64">
        <f>HSH!$J$40</f>
        <v>0</v>
      </c>
      <c r="K301" s="64">
        <f>HSH!$K$40</f>
        <v>0</v>
      </c>
      <c r="L301" s="65">
        <f>HSH!$L$40</f>
        <v>0</v>
      </c>
      <c r="N301" s="66"/>
      <c r="O301" s="67"/>
      <c r="P301" s="80"/>
      <c r="Q301" s="81"/>
      <c r="R301" s="70"/>
      <c r="S301" s="70"/>
      <c r="T301" s="70"/>
      <c r="U301" s="81"/>
      <c r="V301" s="70"/>
      <c r="W301" s="81"/>
      <c r="X301" s="62"/>
      <c r="Y301" s="67"/>
      <c r="Z301" s="81"/>
      <c r="AA301" s="82"/>
      <c r="AB301" s="83"/>
    </row>
    <row r="302" spans="1:28" s="79" customFormat="1" ht="15.75" hidden="1" customHeight="1" outlineLevel="1">
      <c r="A302" s="76"/>
      <c r="B302" s="77"/>
      <c r="C302" s="78"/>
      <c r="D302" s="78"/>
      <c r="E302" s="20"/>
      <c r="F302" s="64">
        <f>HSSA!$F$40</f>
        <v>0</v>
      </c>
      <c r="G302" s="64">
        <f>HSSA!$G$40</f>
        <v>0</v>
      </c>
      <c r="H302" s="64">
        <f>HSSA!$H$40</f>
        <v>0</v>
      </c>
      <c r="I302" s="64">
        <f>HSSA!$I$40</f>
        <v>0</v>
      </c>
      <c r="J302" s="64">
        <f>HSSA!$J$40</f>
        <v>0</v>
      </c>
      <c r="K302" s="64">
        <f>HSSA!$K$40</f>
        <v>0</v>
      </c>
      <c r="L302" s="65">
        <f>HSSA!$L$40</f>
        <v>0</v>
      </c>
      <c r="N302" s="66"/>
      <c r="O302" s="67"/>
      <c r="P302" s="80"/>
      <c r="Q302" s="81"/>
      <c r="R302" s="70"/>
      <c r="S302" s="70"/>
      <c r="T302" s="70"/>
      <c r="U302" s="81"/>
      <c r="V302" s="70"/>
      <c r="W302" s="81"/>
      <c r="X302" s="62"/>
      <c r="Y302" s="67"/>
      <c r="Z302" s="81"/>
      <c r="AA302" s="82"/>
      <c r="AB302" s="83"/>
    </row>
    <row r="303" spans="1:28" s="79" customFormat="1" ht="15.75" hidden="1" customHeight="1" outlineLevel="1">
      <c r="A303" s="76"/>
      <c r="B303" s="77"/>
      <c r="C303" s="78"/>
      <c r="D303" s="78"/>
      <c r="E303" s="20"/>
      <c r="F303" s="64">
        <f>MBG!$F$40</f>
        <v>0</v>
      </c>
      <c r="G303" s="64">
        <f>MBG!$G$40</f>
        <v>0</v>
      </c>
      <c r="H303" s="64">
        <f>MBG!$H$40</f>
        <v>0</v>
      </c>
      <c r="I303" s="64">
        <f>MBG!$I$40</f>
        <v>0</v>
      </c>
      <c r="J303" s="64">
        <f>MBG!$J$40</f>
        <v>0</v>
      </c>
      <c r="K303" s="64">
        <f>MBG!$K$40</f>
        <v>0</v>
      </c>
      <c r="L303" s="65">
        <f>MBG!$L$40</f>
        <v>0</v>
      </c>
      <c r="N303" s="66"/>
      <c r="O303" s="67"/>
      <c r="P303" s="80"/>
      <c r="Q303" s="81"/>
      <c r="R303" s="70"/>
      <c r="S303" s="70"/>
      <c r="T303" s="70"/>
      <c r="U303" s="81"/>
      <c r="V303" s="70"/>
      <c r="W303" s="81"/>
      <c r="X303" s="62"/>
      <c r="Y303" s="67"/>
      <c r="Z303" s="81"/>
      <c r="AA303" s="82"/>
      <c r="AB303" s="83"/>
    </row>
    <row r="304" spans="1:28" s="79" customFormat="1" ht="15.75" hidden="1" customHeight="1" outlineLevel="1">
      <c r="A304" s="76"/>
      <c r="B304" s="77"/>
      <c r="C304" s="78"/>
      <c r="D304" s="78"/>
      <c r="E304" s="20"/>
      <c r="F304" s="64">
        <f>MDA!$F$40</f>
        <v>0</v>
      </c>
      <c r="G304" s="64">
        <f>MDA!$G$40</f>
        <v>0</v>
      </c>
      <c r="H304" s="64">
        <f>MDA!$H$40</f>
        <v>0</v>
      </c>
      <c r="I304" s="64">
        <f>MDA!$I$40</f>
        <v>0</v>
      </c>
      <c r="J304" s="64">
        <f>MDA!$J$40</f>
        <v>0</v>
      </c>
      <c r="K304" s="64">
        <f>MDA!$K$40</f>
        <v>0</v>
      </c>
      <c r="L304" s="65">
        <f>MDA!$L$40</f>
        <v>0</v>
      </c>
      <c r="N304" s="66"/>
      <c r="O304" s="67"/>
      <c r="P304" s="80"/>
      <c r="Q304" s="81"/>
      <c r="R304" s="70"/>
      <c r="S304" s="70"/>
      <c r="T304" s="70"/>
      <c r="U304" s="81"/>
      <c r="V304" s="70"/>
      <c r="W304" s="81"/>
      <c r="X304" s="62"/>
      <c r="Y304" s="67"/>
      <c r="Z304" s="81"/>
      <c r="AA304" s="82"/>
      <c r="AB304" s="83"/>
    </row>
    <row r="305" spans="1:28" s="79" customFormat="1" ht="15.75" hidden="1" customHeight="1" outlineLevel="1">
      <c r="A305" s="76"/>
      <c r="B305" s="77"/>
      <c r="C305" s="78"/>
      <c r="D305" s="78"/>
      <c r="E305" s="20"/>
      <c r="F305" s="64">
        <f>SWM!$F$40</f>
        <v>0</v>
      </c>
      <c r="G305" s="64">
        <f>SWM!$G$40</f>
        <v>0</v>
      </c>
      <c r="H305" s="64">
        <f>SWM!$H$40</f>
        <v>0</v>
      </c>
      <c r="I305" s="64">
        <f>SWM!$I$40</f>
        <v>0</v>
      </c>
      <c r="J305" s="64">
        <f>SWM!$J$40</f>
        <v>0</v>
      </c>
      <c r="K305" s="64">
        <f>SWM!$K$40</f>
        <v>0</v>
      </c>
      <c r="L305" s="65">
        <f>SWM!$L$40</f>
        <v>0</v>
      </c>
      <c r="N305" s="66"/>
      <c r="O305" s="67"/>
      <c r="P305" s="80"/>
      <c r="Q305" s="81"/>
      <c r="R305" s="70"/>
      <c r="S305" s="70"/>
      <c r="T305" s="70"/>
      <c r="U305" s="81"/>
      <c r="V305" s="70"/>
      <c r="W305" s="81"/>
      <c r="X305" s="62"/>
      <c r="Y305" s="67"/>
      <c r="Z305" s="81"/>
      <c r="AA305" s="82"/>
      <c r="AB305" s="83"/>
    </row>
    <row r="306" spans="1:28" s="79" customFormat="1" ht="15.75" hidden="1" customHeight="1" outlineLevel="1">
      <c r="A306" s="76"/>
      <c r="B306" s="77"/>
      <c r="C306" s="78"/>
      <c r="D306" s="78"/>
      <c r="E306" s="20"/>
      <c r="F306" s="64">
        <f>TAMHSC!$F$40</f>
        <v>0</v>
      </c>
      <c r="G306" s="64">
        <f>TAMHSC!$G$40</f>
        <v>0</v>
      </c>
      <c r="H306" s="64">
        <f>TAMHSC!$H$40</f>
        <v>0</v>
      </c>
      <c r="I306" s="64">
        <f>TAMHSC!$I$40</f>
        <v>0</v>
      </c>
      <c r="J306" s="64">
        <f>TAMHSC!$J$40</f>
        <v>0</v>
      </c>
      <c r="K306" s="64">
        <f>TAMHSC!$K$40</f>
        <v>0</v>
      </c>
      <c r="L306" s="65">
        <f>TAMHSC!$L$40</f>
        <v>0</v>
      </c>
      <c r="N306" s="66"/>
      <c r="O306" s="67"/>
      <c r="P306" s="80"/>
      <c r="Q306" s="81"/>
      <c r="R306" s="70"/>
      <c r="S306" s="70"/>
      <c r="T306" s="70"/>
      <c r="U306" s="81"/>
      <c r="V306" s="70"/>
      <c r="W306" s="81"/>
      <c r="X306" s="62"/>
      <c r="Y306" s="67"/>
      <c r="Z306" s="81"/>
      <c r="AA306" s="82"/>
      <c r="AB306" s="83"/>
    </row>
    <row r="307" spans="1:28" s="79" customFormat="1" ht="15.75" hidden="1" customHeight="1" outlineLevel="1">
      <c r="A307" s="76"/>
      <c r="B307" s="77"/>
      <c r="C307" s="78"/>
      <c r="D307" s="78"/>
      <c r="E307" s="20"/>
      <c r="F307" s="64">
        <f>THC!$F$40</f>
        <v>0</v>
      </c>
      <c r="G307" s="64">
        <f>THC!$G$40</f>
        <v>0</v>
      </c>
      <c r="H307" s="64">
        <f>THC!$H$40</f>
        <v>0</v>
      </c>
      <c r="I307" s="64">
        <f>THC!$I$40</f>
        <v>0</v>
      </c>
      <c r="J307" s="64">
        <f>THC!$J$40</f>
        <v>0</v>
      </c>
      <c r="K307" s="64">
        <f>THC!$K$40</f>
        <v>0</v>
      </c>
      <c r="L307" s="65">
        <f>THC!$L$40</f>
        <v>0</v>
      </c>
      <c r="N307" s="66"/>
      <c r="O307" s="67"/>
      <c r="P307" s="80"/>
      <c r="Q307" s="81"/>
      <c r="R307" s="70"/>
      <c r="S307" s="70"/>
      <c r="T307" s="70"/>
      <c r="U307" s="81"/>
      <c r="V307" s="70"/>
      <c r="W307" s="81"/>
      <c r="X307" s="62"/>
      <c r="Y307" s="67"/>
      <c r="Z307" s="81"/>
      <c r="AA307" s="82"/>
      <c r="AB307" s="83"/>
    </row>
    <row r="308" spans="1:28" s="79" customFormat="1" ht="15.75" hidden="1" customHeight="1" outlineLevel="1">
      <c r="A308" s="76"/>
      <c r="B308" s="77"/>
      <c r="C308" s="78"/>
      <c r="D308" s="78"/>
      <c r="E308" s="20"/>
      <c r="F308" s="64">
        <f>TTUHSC!$F$40</f>
        <v>0</v>
      </c>
      <c r="G308" s="64">
        <f>TTUHSC!$G$40</f>
        <v>0</v>
      </c>
      <c r="H308" s="64">
        <f>TTUHSC!$H$40</f>
        <v>0</v>
      </c>
      <c r="I308" s="64">
        <f>TTUHSC!$I$40</f>
        <v>0</v>
      </c>
      <c r="J308" s="64">
        <f>TTUHSC!$J$40</f>
        <v>0</v>
      </c>
      <c r="K308" s="64">
        <f>TTUHSC!$K$40</f>
        <v>0</v>
      </c>
      <c r="L308" s="65">
        <f>TTUHSC!$L$40</f>
        <v>0</v>
      </c>
      <c r="N308" s="66"/>
      <c r="O308" s="67"/>
      <c r="P308" s="80"/>
      <c r="Q308" s="81"/>
      <c r="R308" s="70"/>
      <c r="S308" s="70"/>
      <c r="T308" s="70"/>
      <c r="U308" s="81"/>
      <c r="V308" s="70"/>
      <c r="W308" s="81"/>
      <c r="X308" s="62"/>
      <c r="Y308" s="67"/>
      <c r="Z308" s="81"/>
      <c r="AA308" s="82"/>
      <c r="AB308" s="83"/>
    </row>
    <row r="309" spans="1:28" s="79" customFormat="1" ht="15.75" hidden="1" customHeight="1" outlineLevel="1">
      <c r="A309" s="76"/>
      <c r="B309" s="77"/>
      <c r="C309" s="78"/>
      <c r="D309" s="78"/>
      <c r="E309" s="20"/>
      <c r="F309" s="64">
        <f>UNTHSC!$F$40</f>
        <v>0</v>
      </c>
      <c r="G309" s="64">
        <f>UNTHSC!$G$40</f>
        <v>0</v>
      </c>
      <c r="H309" s="64">
        <f>UNTHSC!$H$40</f>
        <v>0</v>
      </c>
      <c r="I309" s="64">
        <f>UNTHSC!$I$40</f>
        <v>0</v>
      </c>
      <c r="J309" s="64">
        <f>UNTHSC!$J$40</f>
        <v>0</v>
      </c>
      <c r="K309" s="64">
        <f>UNTHSC!$K$40</f>
        <v>0</v>
      </c>
      <c r="L309" s="65">
        <f>UNTHSC!$L$40</f>
        <v>0</v>
      </c>
      <c r="N309" s="66"/>
      <c r="O309" s="67"/>
      <c r="P309" s="80"/>
      <c r="Q309" s="81"/>
      <c r="R309" s="70"/>
      <c r="S309" s="70"/>
      <c r="T309" s="70"/>
      <c r="U309" s="81"/>
      <c r="V309" s="70"/>
      <c r="W309" s="81"/>
      <c r="X309" s="62"/>
      <c r="Y309" s="67"/>
      <c r="Z309" s="81"/>
      <c r="AA309" s="82"/>
      <c r="AB309" s="83"/>
    </row>
    <row r="310" spans="1:28" ht="15.75" customHeight="1" collapsed="1">
      <c r="A310" s="76"/>
      <c r="B310" s="55" t="s">
        <v>43</v>
      </c>
      <c r="C310" s="21"/>
      <c r="D310" s="21"/>
      <c r="E310" s="21"/>
      <c r="F310" s="84">
        <f t="shared" ref="F310:L310" si="22">SUM(F301:F309)</f>
        <v>0</v>
      </c>
      <c r="G310" s="84">
        <f t="shared" si="22"/>
        <v>0</v>
      </c>
      <c r="H310" s="84">
        <f t="shared" si="22"/>
        <v>0</v>
      </c>
      <c r="I310" s="84">
        <f t="shared" si="22"/>
        <v>0</v>
      </c>
      <c r="J310" s="84">
        <f t="shared" si="22"/>
        <v>0</v>
      </c>
      <c r="K310" s="84">
        <f t="shared" si="22"/>
        <v>0</v>
      </c>
      <c r="L310" s="65">
        <f t="shared" si="22"/>
        <v>0</v>
      </c>
      <c r="N310" s="66"/>
      <c r="O310" s="317" t="s">
        <v>633</v>
      </c>
      <c r="P310" s="41" t="s">
        <v>634</v>
      </c>
      <c r="Q310" s="85"/>
      <c r="R310" s="70"/>
      <c r="S310" s="70"/>
      <c r="T310" s="70"/>
      <c r="U310" s="69"/>
      <c r="V310" s="70"/>
      <c r="W310" s="69"/>
      <c r="X310" s="62"/>
      <c r="Y310" s="67"/>
      <c r="Z310" s="69"/>
      <c r="AA310" s="19"/>
      <c r="AB310" s="24">
        <f>SUM(C310:L310)</f>
        <v>0</v>
      </c>
    </row>
    <row r="311" spans="1:28" ht="15.75" hidden="1" customHeight="1" outlineLevel="1">
      <c r="A311" s="76"/>
      <c r="B311" s="55"/>
      <c r="C311" s="21"/>
      <c r="D311" s="21"/>
      <c r="E311" s="21"/>
      <c r="F311" s="238">
        <f>HSH!$F$41</f>
        <v>150323653</v>
      </c>
      <c r="G311" s="238">
        <f>HSH!$G$41</f>
        <v>17922267</v>
      </c>
      <c r="H311" s="238">
        <f>HSH!$H$41</f>
        <v>25594744</v>
      </c>
      <c r="I311" s="238">
        <f>HSH!$I$41</f>
        <v>11579402</v>
      </c>
      <c r="J311" s="238">
        <f>HSH!$J$41</f>
        <v>9112235</v>
      </c>
      <c r="K311" s="238">
        <f>HSH!$K$41</f>
        <v>26240251</v>
      </c>
      <c r="L311" s="57">
        <f>HSH!$L$41</f>
        <v>240772552</v>
      </c>
      <c r="N311" s="66"/>
      <c r="O311" s="317"/>
      <c r="P311" s="41"/>
      <c r="Q311" s="85"/>
      <c r="R311" s="70"/>
      <c r="S311" s="328">
        <f>HSH!$S$41</f>
        <v>0</v>
      </c>
      <c r="T311" s="70"/>
      <c r="U311" s="69"/>
      <c r="V311" s="70"/>
      <c r="W311" s="69"/>
      <c r="X311" s="62"/>
      <c r="Y311" s="67"/>
      <c r="Z311" s="69"/>
      <c r="AA311" s="19"/>
      <c r="AB311" s="24"/>
    </row>
    <row r="312" spans="1:28" ht="15.75" hidden="1" customHeight="1" outlineLevel="1">
      <c r="A312" s="76"/>
      <c r="B312" s="55"/>
      <c r="C312" s="21"/>
      <c r="D312" s="21"/>
      <c r="E312" s="21"/>
      <c r="F312" s="238">
        <f>HSSA!$F$41</f>
        <v>121723410</v>
      </c>
      <c r="G312" s="238">
        <f>HSSA!$G$41</f>
        <v>6240743</v>
      </c>
      <c r="H312" s="238">
        <f>HSSA!$H$41</f>
        <v>708627</v>
      </c>
      <c r="I312" s="238">
        <f>HSSA!$I$41</f>
        <v>20876076</v>
      </c>
      <c r="J312" s="238">
        <f>HSSA!$J$41</f>
        <v>22353048</v>
      </c>
      <c r="K312" s="238">
        <f>HSSA!$K$41</f>
        <v>13327114</v>
      </c>
      <c r="L312" s="57">
        <f>HSSA!$L$41</f>
        <v>185229018</v>
      </c>
      <c r="N312" s="66"/>
      <c r="O312" s="317"/>
      <c r="P312" s="41"/>
      <c r="Q312" s="85"/>
      <c r="R312" s="70"/>
      <c r="S312" s="328">
        <f>HSSA!$S$41</f>
        <v>0</v>
      </c>
      <c r="T312" s="70"/>
      <c r="U312" s="69"/>
      <c r="V312" s="70"/>
      <c r="W312" s="69"/>
      <c r="X312" s="62"/>
      <c r="Y312" s="67"/>
      <c r="Z312" s="69"/>
      <c r="AA312" s="19"/>
      <c r="AB312" s="24"/>
    </row>
    <row r="313" spans="1:28" ht="15.75" hidden="1" customHeight="1" outlineLevel="1">
      <c r="A313" s="76"/>
      <c r="B313" s="55"/>
      <c r="C313" s="21"/>
      <c r="D313" s="21"/>
      <c r="E313" s="21"/>
      <c r="F313" s="238">
        <f>MBG!$F$41</f>
        <v>128839602</v>
      </c>
      <c r="G313" s="238">
        <f>MBG!$G$41</f>
        <v>904248</v>
      </c>
      <c r="H313" s="238">
        <f>MBG!$H$41</f>
        <v>770439</v>
      </c>
      <c r="I313" s="238">
        <f>MBG!$I$41</f>
        <v>7832111</v>
      </c>
      <c r="J313" s="238">
        <f>MBG!$J$41</f>
        <v>3665187</v>
      </c>
      <c r="K313" s="238">
        <f>MBG!$K$41</f>
        <v>14813417</v>
      </c>
      <c r="L313" s="57">
        <f>MBG!$L$41</f>
        <v>156825004</v>
      </c>
      <c r="N313" s="66"/>
      <c r="O313" s="317"/>
      <c r="P313" s="41"/>
      <c r="Q313" s="85"/>
      <c r="R313" s="70"/>
      <c r="S313" s="328">
        <f>MBG!$S$41</f>
        <v>0</v>
      </c>
      <c r="T313" s="70"/>
      <c r="U313" s="69"/>
      <c r="V313" s="70"/>
      <c r="W313" s="69"/>
      <c r="X313" s="62"/>
      <c r="Y313" s="67"/>
      <c r="Z313" s="69"/>
      <c r="AA313" s="19"/>
      <c r="AB313" s="24"/>
    </row>
    <row r="314" spans="1:28" ht="15.75" hidden="1" customHeight="1" outlineLevel="1">
      <c r="A314" s="76"/>
      <c r="B314" s="55"/>
      <c r="C314" s="21"/>
      <c r="D314" s="21"/>
      <c r="E314" s="21"/>
      <c r="F314" s="238">
        <f>MDA!$F$41</f>
        <v>206664447</v>
      </c>
      <c r="G314" s="238">
        <f>MDA!$G$41</f>
        <v>176461762</v>
      </c>
      <c r="H314" s="238">
        <f>MDA!$H$41</f>
        <v>343967</v>
      </c>
      <c r="I314" s="238">
        <f>MDA!$I$41</f>
        <v>31196240</v>
      </c>
      <c r="J314" s="238">
        <f>MDA!$J$41</f>
        <v>50712121</v>
      </c>
      <c r="K314" s="238">
        <f>MDA!$K$41</f>
        <v>81656207</v>
      </c>
      <c r="L314" s="57">
        <f>MDA!$L$41</f>
        <v>547034744</v>
      </c>
      <c r="N314" s="66"/>
      <c r="O314" s="317"/>
      <c r="P314" s="41"/>
      <c r="Q314" s="85"/>
      <c r="R314" s="70"/>
      <c r="S314" s="328">
        <f>MDA!$S$41</f>
        <v>0</v>
      </c>
      <c r="T314" s="70"/>
      <c r="U314" s="69"/>
      <c r="V314" s="70"/>
      <c r="W314" s="69"/>
      <c r="X314" s="62"/>
      <c r="Y314" s="67"/>
      <c r="Z314" s="69"/>
      <c r="AA314" s="19"/>
      <c r="AB314" s="24"/>
    </row>
    <row r="315" spans="1:28" ht="15.75" hidden="1" customHeight="1" outlineLevel="1">
      <c r="A315" s="76"/>
      <c r="B315" s="55"/>
      <c r="C315" s="21"/>
      <c r="D315" s="21"/>
      <c r="E315" s="21"/>
      <c r="F315" s="238">
        <f>SWM!$F$41</f>
        <v>232026985</v>
      </c>
      <c r="G315" s="238">
        <f>SWM!$G$41</f>
        <v>45845077</v>
      </c>
      <c r="H315" s="238">
        <f>SWM!$H$41</f>
        <v>3972059</v>
      </c>
      <c r="I315" s="238">
        <f>SWM!$I$41</f>
        <v>18729024</v>
      </c>
      <c r="J315" s="238">
        <f>SWM!$J$41</f>
        <v>19615858</v>
      </c>
      <c r="K315" s="238">
        <f>SWM!$K$41</f>
        <v>75125933</v>
      </c>
      <c r="L315" s="57">
        <f>SWM!$L$41</f>
        <v>395314936</v>
      </c>
      <c r="N315" s="66"/>
      <c r="O315" s="317"/>
      <c r="P315" s="41"/>
      <c r="Q315" s="85"/>
      <c r="R315" s="70"/>
      <c r="S315" s="328">
        <f>SWM!$S$41</f>
        <v>0</v>
      </c>
      <c r="T315" s="70"/>
      <c r="U315" s="69"/>
      <c r="V315" s="70"/>
      <c r="W315" s="69"/>
      <c r="X315" s="62"/>
      <c r="Y315" s="67"/>
      <c r="Z315" s="69"/>
      <c r="AA315" s="19"/>
      <c r="AB315" s="24"/>
    </row>
    <row r="316" spans="1:28" ht="15.75" hidden="1" customHeight="1" outlineLevel="1">
      <c r="A316" s="76"/>
      <c r="B316" s="55"/>
      <c r="C316" s="21"/>
      <c r="D316" s="21"/>
      <c r="E316" s="21"/>
      <c r="F316" s="238">
        <f>TAMHSC!$F$41</f>
        <v>33511244</v>
      </c>
      <c r="G316" s="238">
        <f>TAMHSC!$G$41</f>
        <v>9283802</v>
      </c>
      <c r="H316" s="238">
        <f>TAMHSC!$H$41</f>
        <v>2064486</v>
      </c>
      <c r="I316" s="238">
        <f>TAMHSC!$I$41</f>
        <v>27203425</v>
      </c>
      <c r="J316" s="238">
        <f>TAMHSC!$J$41</f>
        <v>1231008</v>
      </c>
      <c r="K316" s="238">
        <f>TAMHSC!$K$41</f>
        <v>4876916</v>
      </c>
      <c r="L316" s="57">
        <f>TAMHSC!$L$41</f>
        <v>78170881</v>
      </c>
      <c r="N316" s="66"/>
      <c r="O316" s="317"/>
      <c r="P316" s="41"/>
      <c r="Q316" s="85"/>
      <c r="R316" s="70"/>
      <c r="S316" s="328">
        <f>TAMHSC!$S$41</f>
        <v>0</v>
      </c>
      <c r="T316" s="70"/>
      <c r="U316" s="69"/>
      <c r="V316" s="70"/>
      <c r="W316" s="69"/>
      <c r="X316" s="62"/>
      <c r="Y316" s="67"/>
      <c r="Z316" s="69"/>
      <c r="AA316" s="19"/>
      <c r="AB316" s="24"/>
    </row>
    <row r="317" spans="1:28" ht="15.75" hidden="1" customHeight="1" outlineLevel="1">
      <c r="A317" s="76"/>
      <c r="B317" s="55"/>
      <c r="C317" s="21"/>
      <c r="D317" s="21"/>
      <c r="E317" s="21"/>
      <c r="F317" s="238">
        <f>THC!$F$41</f>
        <v>7250324</v>
      </c>
      <c r="G317" s="238">
        <f>THC!$G$41</f>
        <v>2339810</v>
      </c>
      <c r="H317" s="238">
        <f>THC!$H$41</f>
        <v>0</v>
      </c>
      <c r="I317" s="238">
        <f>THC!$I$41</f>
        <v>3239671</v>
      </c>
      <c r="J317" s="238">
        <f>THC!$J$41</f>
        <v>505126</v>
      </c>
      <c r="K317" s="238">
        <f>THC!$K$41</f>
        <v>1043201</v>
      </c>
      <c r="L317" s="57">
        <f>THC!$L$41</f>
        <v>14378132</v>
      </c>
      <c r="N317" s="66"/>
      <c r="O317" s="317"/>
      <c r="P317" s="41"/>
      <c r="Q317" s="85"/>
      <c r="R317" s="70"/>
      <c r="S317" s="328">
        <f>THC!$S$41</f>
        <v>0</v>
      </c>
      <c r="T317" s="70"/>
      <c r="U317" s="69"/>
      <c r="V317" s="70"/>
      <c r="W317" s="69"/>
      <c r="X317" s="62"/>
      <c r="Y317" s="67"/>
      <c r="Z317" s="69"/>
      <c r="AA317" s="19"/>
      <c r="AB317" s="24"/>
    </row>
    <row r="318" spans="1:28" ht="15.75" hidden="1" customHeight="1" outlineLevel="1">
      <c r="A318" s="76"/>
      <c r="B318" s="55"/>
      <c r="C318" s="21"/>
      <c r="D318" s="21"/>
      <c r="E318" s="21"/>
      <c r="F318" s="238">
        <f>TTUHSC!$F$41</f>
        <v>12950246</v>
      </c>
      <c r="G318" s="238">
        <f>TTUHSC!$G$41</f>
        <v>25768267</v>
      </c>
      <c r="H318" s="238">
        <f>TTUHSC!$H$41</f>
        <v>3439762</v>
      </c>
      <c r="I318" s="238">
        <f>TTUHSC!$I$41</f>
        <v>4775412</v>
      </c>
      <c r="J318" s="238">
        <f>TTUHSC!$J$41</f>
        <v>1034866</v>
      </c>
      <c r="K318" s="238">
        <f>TTUHSC!$K$41</f>
        <v>2919907</v>
      </c>
      <c r="L318" s="57">
        <f>TTUHSC!$L$41</f>
        <v>50888460</v>
      </c>
      <c r="N318" s="66"/>
      <c r="O318" s="317"/>
      <c r="P318" s="41"/>
      <c r="Q318" s="85"/>
      <c r="R318" s="70"/>
      <c r="S318" s="328">
        <f>TTUHSC!$S$41</f>
        <v>0</v>
      </c>
      <c r="T318" s="70"/>
      <c r="U318" s="69"/>
      <c r="V318" s="70"/>
      <c r="W318" s="69"/>
      <c r="X318" s="62"/>
      <c r="Y318" s="67"/>
      <c r="Z318" s="69"/>
      <c r="AA318" s="19"/>
      <c r="AB318" s="24"/>
    </row>
    <row r="319" spans="1:28" ht="15.75" hidden="1" customHeight="1" outlineLevel="1">
      <c r="A319" s="76"/>
      <c r="B319" s="55"/>
      <c r="C319" s="21"/>
      <c r="D319" s="21"/>
      <c r="E319" s="21"/>
      <c r="F319" s="238">
        <f>UNTHSC!$F$41</f>
        <v>25935870</v>
      </c>
      <c r="G319" s="238">
        <f>UNTHSC!$G$41</f>
        <v>0</v>
      </c>
      <c r="H319" s="238">
        <f>UNTHSC!$H$41</f>
        <v>1316900</v>
      </c>
      <c r="I319" s="238">
        <f>UNTHSC!$I$41</f>
        <v>8871440</v>
      </c>
      <c r="J319" s="238">
        <f>UNTHSC!$J$41</f>
        <v>1932910</v>
      </c>
      <c r="K319" s="238">
        <f>UNTHSC!$K$41</f>
        <v>1797759</v>
      </c>
      <c r="L319" s="57">
        <f>UNTHSC!$L$41</f>
        <v>39854879</v>
      </c>
      <c r="N319" s="66"/>
      <c r="O319" s="317"/>
      <c r="P319" s="41"/>
      <c r="Q319" s="85"/>
      <c r="R319" s="70"/>
      <c r="S319" s="328">
        <f>UNTHSC!$S$41</f>
        <v>0</v>
      </c>
      <c r="T319" s="70"/>
      <c r="U319" s="69"/>
      <c r="V319" s="70"/>
      <c r="W319" s="69"/>
      <c r="X319" s="62"/>
      <c r="Y319" s="67"/>
      <c r="Z319" s="69"/>
      <c r="AA319" s="19"/>
      <c r="AB319" s="24"/>
    </row>
    <row r="320" spans="1:28" ht="15.75" customHeight="1" collapsed="1">
      <c r="A320" s="76"/>
      <c r="B320" s="43" t="s">
        <v>44</v>
      </c>
      <c r="C320" s="44"/>
      <c r="D320" s="44"/>
      <c r="E320" s="44"/>
      <c r="F320" s="86">
        <f t="shared" ref="F320:L320" si="23">SUM(F311:F319)</f>
        <v>919225781</v>
      </c>
      <c r="G320" s="86">
        <f t="shared" si="23"/>
        <v>284765976</v>
      </c>
      <c r="H320" s="86">
        <f t="shared" si="23"/>
        <v>38210984</v>
      </c>
      <c r="I320" s="86">
        <f t="shared" si="23"/>
        <v>134302801</v>
      </c>
      <c r="J320" s="86">
        <f t="shared" si="23"/>
        <v>110162359</v>
      </c>
      <c r="K320" s="86">
        <f t="shared" si="23"/>
        <v>221800705</v>
      </c>
      <c r="L320" s="87">
        <f t="shared" si="23"/>
        <v>1708468606</v>
      </c>
      <c r="N320" s="88"/>
      <c r="O320" s="308" t="s">
        <v>628</v>
      </c>
      <c r="P320" s="309" t="s">
        <v>17</v>
      </c>
      <c r="Q320" s="89"/>
      <c r="R320" s="89"/>
      <c r="S320" s="50">
        <f>SUM(S311:S319)</f>
        <v>0</v>
      </c>
      <c r="T320" s="61"/>
      <c r="U320" s="90"/>
      <c r="V320" s="61"/>
      <c r="W320" s="61"/>
      <c r="X320" s="85"/>
      <c r="Y320" s="60"/>
      <c r="Z320" s="91"/>
      <c r="AA320" s="19"/>
      <c r="AB320" s="44">
        <f>SUM(AB110:AB310)</f>
        <v>1016919982</v>
      </c>
    </row>
    <row r="321" spans="1:28" ht="15.75" hidden="1" customHeight="1" outlineLevel="1">
      <c r="A321" s="76"/>
      <c r="B321" s="230"/>
      <c r="C321" s="37"/>
      <c r="D321" s="37"/>
      <c r="E321" s="37"/>
      <c r="F321" s="239"/>
      <c r="G321" s="86"/>
      <c r="H321" s="44">
        <f>HSH!$H$42</f>
        <v>43517011</v>
      </c>
      <c r="I321" s="323"/>
      <c r="J321" s="86"/>
      <c r="K321" s="44">
        <f>HSH!$K$42</f>
        <v>35352486</v>
      </c>
      <c r="L321" s="87"/>
      <c r="N321" s="72">
        <f>HSH!$N$42</f>
        <v>185676139</v>
      </c>
      <c r="O321" s="329">
        <f>HSH!$O$42</f>
        <v>158.08000000000001</v>
      </c>
      <c r="P321" s="309">
        <f>HSH!$P$42</f>
        <v>117456319</v>
      </c>
      <c r="Q321" s="89"/>
      <c r="R321" s="89"/>
      <c r="S321" s="50"/>
      <c r="T321" s="61"/>
      <c r="U321" s="90"/>
      <c r="V321" s="61"/>
      <c r="W321" s="61"/>
      <c r="X321" s="85"/>
      <c r="Y321" s="60"/>
      <c r="Z321" s="91"/>
      <c r="AA321" s="19"/>
      <c r="AB321" s="37"/>
    </row>
    <row r="322" spans="1:28" ht="15.75" hidden="1" customHeight="1" outlineLevel="1">
      <c r="A322" s="76"/>
      <c r="B322" s="230"/>
      <c r="C322" s="37"/>
      <c r="D322" s="37"/>
      <c r="E322" s="37"/>
      <c r="F322" s="239"/>
      <c r="G322" s="86"/>
      <c r="H322" s="44">
        <f>HSSA!$H$42</f>
        <v>6949370</v>
      </c>
      <c r="I322" s="323"/>
      <c r="J322" s="86"/>
      <c r="K322" s="44">
        <f>HSSA!$K$42</f>
        <v>35680162</v>
      </c>
      <c r="L322" s="87"/>
      <c r="N322" s="72">
        <f>HSSA!$N$42</f>
        <v>157403572</v>
      </c>
      <c r="O322" s="329">
        <f>HSSA!$O$42</f>
        <v>235.5</v>
      </c>
      <c r="P322" s="309">
        <f>HSSA!$P$42</f>
        <v>66838749</v>
      </c>
      <c r="Q322" s="89"/>
      <c r="R322" s="89"/>
      <c r="S322" s="50"/>
      <c r="T322" s="61"/>
      <c r="U322" s="90"/>
      <c r="V322" s="61"/>
      <c r="W322" s="61"/>
      <c r="X322" s="85"/>
      <c r="Y322" s="60"/>
      <c r="Z322" s="91"/>
      <c r="AA322" s="19"/>
      <c r="AB322" s="37"/>
    </row>
    <row r="323" spans="1:28" ht="15.75" hidden="1" customHeight="1" outlineLevel="1">
      <c r="A323" s="76"/>
      <c r="B323" s="230"/>
      <c r="C323" s="37"/>
      <c r="D323" s="37"/>
      <c r="E323" s="37"/>
      <c r="F323" s="239"/>
      <c r="G323" s="86"/>
      <c r="H323" s="44">
        <f>MBG!$H$42</f>
        <v>1674687</v>
      </c>
      <c r="I323" s="323"/>
      <c r="J323" s="86"/>
      <c r="K323" s="44">
        <f>MBG!$K$42</f>
        <v>18478604</v>
      </c>
      <c r="L323" s="87"/>
      <c r="N323" s="72">
        <f>MBG!$N$42</f>
        <v>147318206</v>
      </c>
      <c r="O323" s="329">
        <f>MBG!$O$42</f>
        <v>81.099999999999994</v>
      </c>
      <c r="P323" s="309">
        <f>MBG!$P$42</f>
        <v>181651995</v>
      </c>
      <c r="Q323" s="89"/>
      <c r="R323" s="89"/>
      <c r="S323" s="50"/>
      <c r="T323" s="61"/>
      <c r="U323" s="90"/>
      <c r="V323" s="61"/>
      <c r="W323" s="61"/>
      <c r="X323" s="85"/>
      <c r="Y323" s="60"/>
      <c r="Z323" s="91"/>
      <c r="AA323" s="19"/>
      <c r="AB323" s="37"/>
    </row>
    <row r="324" spans="1:28" ht="15.75" hidden="1" customHeight="1" outlineLevel="1">
      <c r="A324" s="76"/>
      <c r="B324" s="230"/>
      <c r="C324" s="37"/>
      <c r="D324" s="37"/>
      <c r="E324" s="37"/>
      <c r="F324" s="239"/>
      <c r="G324" s="86"/>
      <c r="H324" s="44">
        <f>MDA!$H$42</f>
        <v>176805729</v>
      </c>
      <c r="I324" s="323"/>
      <c r="J324" s="86"/>
      <c r="K324" s="44">
        <f>MDA!$K$42</f>
        <v>132368328</v>
      </c>
      <c r="L324" s="87"/>
      <c r="N324" s="72">
        <f>MDA!$N$42</f>
        <v>339032775</v>
      </c>
      <c r="O324" s="329">
        <f>MDA!$O$42</f>
        <v>769.99</v>
      </c>
      <c r="P324" s="309">
        <f>MDA!$P$42</f>
        <v>44031032</v>
      </c>
      <c r="Q324" s="89"/>
      <c r="R324" s="89"/>
      <c r="S324" s="50"/>
      <c r="T324" s="61"/>
      <c r="U324" s="90"/>
      <c r="V324" s="61"/>
      <c r="W324" s="61"/>
      <c r="X324" s="85"/>
      <c r="Y324" s="60"/>
      <c r="Z324" s="91"/>
      <c r="AA324" s="19"/>
      <c r="AB324" s="37"/>
    </row>
    <row r="325" spans="1:28" ht="15.75" hidden="1" customHeight="1" outlineLevel="1">
      <c r="A325" s="76"/>
      <c r="B325" s="230"/>
      <c r="C325" s="37"/>
      <c r="D325" s="37"/>
      <c r="E325" s="37"/>
      <c r="F325" s="239"/>
      <c r="G325" s="86"/>
      <c r="H325" s="44">
        <f>SWM!$H$42</f>
        <v>49817136</v>
      </c>
      <c r="I325" s="323"/>
      <c r="J325" s="86"/>
      <c r="K325" s="44">
        <f>SWM!$K$42</f>
        <v>94741791</v>
      </c>
      <c r="L325" s="87"/>
      <c r="N325" s="72">
        <f>SWM!$N$42</f>
        <v>326768776</v>
      </c>
      <c r="O325" s="329">
        <f>SWM!$O$42</f>
        <v>186.3</v>
      </c>
      <c r="P325" s="309">
        <f>SWM!$P$42</f>
        <v>175412063</v>
      </c>
      <c r="Q325" s="89"/>
      <c r="R325" s="89"/>
      <c r="S325" s="50"/>
      <c r="T325" s="61"/>
      <c r="U325" s="90"/>
      <c r="V325" s="61"/>
      <c r="W325" s="61"/>
      <c r="X325" s="85"/>
      <c r="Y325" s="60"/>
      <c r="Z325" s="91"/>
      <c r="AA325" s="19"/>
      <c r="AB325" s="37"/>
    </row>
    <row r="326" spans="1:28" ht="15.75" hidden="1" customHeight="1" outlineLevel="1">
      <c r="A326" s="76"/>
      <c r="B326" s="230"/>
      <c r="C326" s="37"/>
      <c r="D326" s="37"/>
      <c r="E326" s="37"/>
      <c r="F326" s="239"/>
      <c r="G326" s="86"/>
      <c r="H326" s="44">
        <f>TAMHSC!$H$42</f>
        <v>11348288</v>
      </c>
      <c r="I326" s="323"/>
      <c r="J326" s="86"/>
      <c r="K326" s="44">
        <f>TAMHSC!$K$42</f>
        <v>6107924</v>
      </c>
      <c r="L326" s="87"/>
      <c r="N326" s="72">
        <f>TAMHSC!$N$42</f>
        <v>39619168</v>
      </c>
      <c r="O326" s="329">
        <f>TAMHSC!$O$42</f>
        <v>21.39</v>
      </c>
      <c r="P326" s="309">
        <f>TAMHSC!$P$42</f>
        <v>185190976</v>
      </c>
      <c r="Q326" s="89"/>
      <c r="R326" s="89"/>
      <c r="S326" s="50"/>
      <c r="T326" s="61"/>
      <c r="U326" s="90"/>
      <c r="V326" s="61"/>
      <c r="W326" s="61"/>
      <c r="X326" s="85"/>
      <c r="Y326" s="60"/>
      <c r="Z326" s="91"/>
      <c r="AA326" s="19"/>
      <c r="AB326" s="37"/>
    </row>
    <row r="327" spans="1:28" ht="15.75" hidden="1" customHeight="1" outlineLevel="1">
      <c r="A327" s="76"/>
      <c r="B327" s="230"/>
      <c r="C327" s="37"/>
      <c r="D327" s="37"/>
      <c r="E327" s="37"/>
      <c r="F327" s="239"/>
      <c r="G327" s="86"/>
      <c r="H327" s="44">
        <f>THC!$H$42</f>
        <v>2339810</v>
      </c>
      <c r="I327" s="323"/>
      <c r="J327" s="86"/>
      <c r="K327" s="44">
        <f>THC!$K$42</f>
        <v>1548327</v>
      </c>
      <c r="L327" s="87"/>
      <c r="N327" s="72">
        <f>THC!$N$42</f>
        <v>8798651</v>
      </c>
      <c r="O327" s="329">
        <f>THC!$O$42</f>
        <v>4.54</v>
      </c>
      <c r="P327" s="309">
        <f>THC!$P$42</f>
        <v>193696298</v>
      </c>
      <c r="Q327" s="89"/>
      <c r="R327" s="89"/>
      <c r="S327" s="50"/>
      <c r="T327" s="61"/>
      <c r="U327" s="90"/>
      <c r="V327" s="61"/>
      <c r="W327" s="61"/>
      <c r="X327" s="85"/>
      <c r="Y327" s="60"/>
      <c r="Z327" s="91"/>
      <c r="AA327" s="19"/>
      <c r="AB327" s="37"/>
    </row>
    <row r="328" spans="1:28" ht="15.75" hidden="1" customHeight="1" outlineLevel="1">
      <c r="A328" s="76"/>
      <c r="B328" s="230"/>
      <c r="C328" s="37"/>
      <c r="D328" s="37"/>
      <c r="E328" s="37"/>
      <c r="F328" s="239"/>
      <c r="G328" s="86"/>
      <c r="H328" s="44">
        <f>TTUHSC!$H$42</f>
        <v>29208029</v>
      </c>
      <c r="I328" s="323"/>
      <c r="J328" s="86"/>
      <c r="K328" s="44">
        <f>TTUHSC!$K$42</f>
        <v>3954773</v>
      </c>
      <c r="L328" s="87"/>
      <c r="N328" s="72">
        <f>TTUHSC!$N$42</f>
        <v>16905019</v>
      </c>
      <c r="O328" s="329">
        <f>TTUHSC!$O$42</f>
        <v>3.96</v>
      </c>
      <c r="P328" s="309">
        <f>TTUHSC!$P$42</f>
        <v>427245097</v>
      </c>
      <c r="Q328" s="89"/>
      <c r="R328" s="89"/>
      <c r="S328" s="50"/>
      <c r="T328" s="61"/>
      <c r="U328" s="90"/>
      <c r="V328" s="61"/>
      <c r="W328" s="61"/>
      <c r="X328" s="85"/>
      <c r="Y328" s="60"/>
      <c r="Z328" s="91"/>
      <c r="AA328" s="19"/>
      <c r="AB328" s="37"/>
    </row>
    <row r="329" spans="1:28" ht="15.75" hidden="1" customHeight="1" outlineLevel="1">
      <c r="A329" s="76"/>
      <c r="B329" s="230"/>
      <c r="C329" s="37"/>
      <c r="D329" s="37"/>
      <c r="E329" s="37"/>
      <c r="F329" s="239"/>
      <c r="G329" s="86"/>
      <c r="H329" s="44">
        <f>UNTHSC!$H$42</f>
        <v>1316900</v>
      </c>
      <c r="I329" s="323"/>
      <c r="J329" s="86"/>
      <c r="K329" s="44">
        <f>UNTHSC!$K$42</f>
        <v>3730669</v>
      </c>
      <c r="L329" s="87"/>
      <c r="N329" s="72">
        <f>UNTHSC!$N$42</f>
        <v>29666539</v>
      </c>
      <c r="O329" s="329">
        <f>UNTHSC!$O$42</f>
        <v>16.47</v>
      </c>
      <c r="P329" s="309">
        <f>UNTHSC!$P$42</f>
        <v>180110173</v>
      </c>
      <c r="Q329" s="89"/>
      <c r="R329" s="89"/>
      <c r="S329" s="50"/>
      <c r="T329" s="61"/>
      <c r="U329" s="90"/>
      <c r="V329" s="61"/>
      <c r="W329" s="61"/>
      <c r="X329" s="85"/>
      <c r="Y329" s="60"/>
      <c r="Z329" s="91"/>
      <c r="AA329" s="19"/>
      <c r="AB329" s="37"/>
    </row>
    <row r="330" spans="1:28" ht="15.75" customHeight="1" collapsed="1">
      <c r="A330" s="76"/>
      <c r="C330" s="38"/>
      <c r="D330" s="38"/>
      <c r="F330" s="38"/>
      <c r="G330" s="310" t="s">
        <v>629</v>
      </c>
      <c r="H330" s="311">
        <f>SUM(H321:H329)</f>
        <v>322976960</v>
      </c>
      <c r="I330" s="53"/>
      <c r="J330" s="310" t="s">
        <v>630</v>
      </c>
      <c r="K330" s="311">
        <f>SUM(K321:K329)</f>
        <v>331963064</v>
      </c>
      <c r="L330" s="310" t="s">
        <v>631</v>
      </c>
      <c r="M330" s="312"/>
      <c r="N330" s="313">
        <f>SUM(N321:N329)</f>
        <v>1251188845</v>
      </c>
      <c r="O330" s="314">
        <f>ROUND((N330/P330)*100,1)</f>
        <v>79.599999999999994</v>
      </c>
      <c r="P330" s="93">
        <f>SUM(P321:P329)</f>
        <v>1571632702</v>
      </c>
      <c r="Q330" s="92"/>
      <c r="R330" s="92"/>
      <c r="S330" s="92"/>
      <c r="T330" s="94"/>
      <c r="U330" s="95"/>
      <c r="V330" s="96"/>
      <c r="W330" s="92"/>
      <c r="X330" s="92"/>
      <c r="Y330" s="92"/>
      <c r="Z330" s="92" t="str">
        <f>IF(Z320&lt;&gt;0,"Out of Balance","")</f>
        <v/>
      </c>
    </row>
    <row r="331" spans="1:28" ht="15.75" customHeight="1">
      <c r="A331" s="76"/>
      <c r="B331" s="14" t="s">
        <v>45</v>
      </c>
      <c r="C331" s="53"/>
      <c r="D331" s="53"/>
      <c r="E331" s="53"/>
      <c r="F331" s="53"/>
      <c r="G331" s="315"/>
      <c r="H331" s="315"/>
      <c r="I331" s="315"/>
      <c r="J331" s="315"/>
      <c r="K331" s="315"/>
      <c r="L331" s="315"/>
      <c r="O331" s="316" t="s">
        <v>632</v>
      </c>
      <c r="Q331" s="92"/>
      <c r="R331" s="92"/>
      <c r="S331" s="92"/>
      <c r="T331" s="94"/>
      <c r="U331" s="95"/>
      <c r="V331" s="96"/>
      <c r="W331" s="92"/>
      <c r="X331" s="92"/>
      <c r="Y331" s="92"/>
      <c r="Z331" s="92"/>
    </row>
    <row r="332" spans="1:28" ht="15.75" hidden="1" customHeight="1" outlineLevel="1">
      <c r="A332" s="76"/>
      <c r="B332" s="230"/>
      <c r="C332" s="37"/>
      <c r="D332" s="37"/>
      <c r="E332" s="37"/>
      <c r="F332" s="97">
        <f>HSH!$F$44</f>
        <v>608411</v>
      </c>
      <c r="G332" s="97">
        <f>HSH!$G$44</f>
        <v>0</v>
      </c>
      <c r="H332" s="97">
        <f>HSH!$H$44</f>
        <v>0</v>
      </c>
      <c r="I332" s="97">
        <f>HSH!$I$44</f>
        <v>0</v>
      </c>
      <c r="J332" s="97">
        <f>HSH!$J$44</f>
        <v>0</v>
      </c>
      <c r="K332" s="97">
        <f>HSH!$K$44</f>
        <v>24062</v>
      </c>
      <c r="L332" s="239">
        <f>HSH!$L$44</f>
        <v>632473</v>
      </c>
      <c r="O332" s="330">
        <f>HSH!$O$44</f>
        <v>676687</v>
      </c>
      <c r="Q332" s="92"/>
      <c r="R332" s="92"/>
      <c r="S332" s="92"/>
      <c r="T332" s="94"/>
      <c r="U332" s="95"/>
      <c r="V332" s="96"/>
      <c r="W332" s="92"/>
      <c r="X332" s="92"/>
      <c r="Y332" s="92"/>
      <c r="Z332" s="92"/>
    </row>
    <row r="333" spans="1:28" ht="15.75" hidden="1" customHeight="1" outlineLevel="1">
      <c r="A333" s="76"/>
      <c r="B333" s="230"/>
      <c r="C333" s="37"/>
      <c r="D333" s="37"/>
      <c r="E333" s="37"/>
      <c r="F333" s="97">
        <f>HSSA!$F$44</f>
        <v>20440616</v>
      </c>
      <c r="G333" s="97">
        <f>HSSA!$G$44</f>
        <v>74736</v>
      </c>
      <c r="H333" s="97">
        <f>HSSA!$H$44</f>
        <v>388019</v>
      </c>
      <c r="I333" s="97">
        <f>HSSA!$I$44</f>
        <v>57450</v>
      </c>
      <c r="J333" s="97">
        <f>HSSA!$J$44</f>
        <v>2063641</v>
      </c>
      <c r="K333" s="97">
        <f>HSSA!$K$44</f>
        <v>2454936</v>
      </c>
      <c r="L333" s="239">
        <f>HSSA!$L$44</f>
        <v>25479398</v>
      </c>
      <c r="O333" s="330">
        <f>HSSA!$O$44</f>
        <v>476980521</v>
      </c>
      <c r="Q333" s="92"/>
      <c r="R333" s="92"/>
      <c r="S333" s="92"/>
      <c r="T333" s="94"/>
      <c r="U333" s="95"/>
      <c r="V333" s="96"/>
      <c r="W333" s="92"/>
      <c r="X333" s="92"/>
      <c r="Y333" s="92"/>
      <c r="Z333" s="92"/>
    </row>
    <row r="334" spans="1:28" ht="15.75" hidden="1" customHeight="1" outlineLevel="1">
      <c r="A334" s="76"/>
      <c r="B334" s="230"/>
      <c r="C334" s="37"/>
      <c r="D334" s="37"/>
      <c r="E334" s="37"/>
      <c r="F334" s="97">
        <f>MBG!$F$44</f>
        <v>8597797</v>
      </c>
      <c r="G334" s="97">
        <f>MBG!$G$44</f>
        <v>0</v>
      </c>
      <c r="H334" s="97">
        <f>MBG!$H$44</f>
        <v>6194</v>
      </c>
      <c r="I334" s="97">
        <f>MBG!$I$44</f>
        <v>0</v>
      </c>
      <c r="J334" s="97">
        <f>MBG!$J$44</f>
        <v>326773</v>
      </c>
      <c r="K334" s="97">
        <f>MBG!$K$44</f>
        <v>583641</v>
      </c>
      <c r="L334" s="239">
        <f>MBG!$L$44</f>
        <v>9514405</v>
      </c>
      <c r="O334" s="330">
        <f>MBG!$O$44</f>
        <v>449772</v>
      </c>
      <c r="Q334" s="92"/>
      <c r="R334" s="92"/>
      <c r="S334" s="92"/>
      <c r="T334" s="94"/>
      <c r="U334" s="95"/>
      <c r="V334" s="96"/>
      <c r="W334" s="92"/>
      <c r="X334" s="92"/>
      <c r="Y334" s="92"/>
      <c r="Z334" s="92"/>
    </row>
    <row r="335" spans="1:28" ht="15.75" hidden="1" customHeight="1" outlineLevel="1">
      <c r="A335" s="76"/>
      <c r="B335" s="230"/>
      <c r="C335" s="37"/>
      <c r="D335" s="37"/>
      <c r="E335" s="37"/>
      <c r="F335" s="97">
        <f>MDA!$F$44</f>
        <v>0</v>
      </c>
      <c r="G335" s="97">
        <f>MDA!$G$44</f>
        <v>0</v>
      </c>
      <c r="H335" s="97">
        <f>MDA!$H$44</f>
        <v>0</v>
      </c>
      <c r="I335" s="97">
        <f>MDA!$I$44</f>
        <v>0</v>
      </c>
      <c r="J335" s="97">
        <f>MDA!$J$44</f>
        <v>0</v>
      </c>
      <c r="K335" s="97">
        <f>MDA!$K$44</f>
        <v>0</v>
      </c>
      <c r="L335" s="239">
        <f>MDA!$L$44</f>
        <v>0</v>
      </c>
      <c r="O335" s="330">
        <f>MDA!$O$44</f>
        <v>832595</v>
      </c>
      <c r="Q335" s="92"/>
      <c r="R335" s="92"/>
      <c r="S335" s="92"/>
      <c r="T335" s="94"/>
      <c r="U335" s="95"/>
      <c r="V335" s="96"/>
      <c r="W335" s="92"/>
      <c r="X335" s="92"/>
      <c r="Y335" s="92"/>
      <c r="Z335" s="92"/>
    </row>
    <row r="336" spans="1:28" ht="15.75" hidden="1" customHeight="1" outlineLevel="1">
      <c r="A336" s="76"/>
      <c r="B336" s="230"/>
      <c r="C336" s="37"/>
      <c r="D336" s="37"/>
      <c r="E336" s="37"/>
      <c r="F336" s="97">
        <f>SWM!$F$44</f>
        <v>6384572</v>
      </c>
      <c r="G336" s="97">
        <f>SWM!$G$44</f>
        <v>68577</v>
      </c>
      <c r="H336" s="97">
        <f>SWM!$H$44</f>
        <v>1252750</v>
      </c>
      <c r="I336" s="97">
        <f>SWM!$I$44</f>
        <v>186711</v>
      </c>
      <c r="J336" s="97">
        <f>SWM!$J$44</f>
        <v>300461</v>
      </c>
      <c r="K336" s="97">
        <f>SWM!$K$44</f>
        <v>1990416</v>
      </c>
      <c r="L336" s="239">
        <f>SWM!$L$44</f>
        <v>10183487</v>
      </c>
      <c r="O336" s="330">
        <f>SWM!$O$44</f>
        <v>905578</v>
      </c>
      <c r="Q336" s="92"/>
      <c r="R336" s="92"/>
      <c r="S336" s="92"/>
      <c r="T336" s="94"/>
      <c r="U336" s="95"/>
      <c r="V336" s="96"/>
      <c r="W336" s="92"/>
      <c r="X336" s="92"/>
      <c r="Y336" s="92"/>
      <c r="Z336" s="92"/>
    </row>
    <row r="337" spans="1:28" ht="15.75" hidden="1" customHeight="1" outlineLevel="1">
      <c r="A337" s="76"/>
      <c r="B337" s="230"/>
      <c r="C337" s="37"/>
      <c r="D337" s="37"/>
      <c r="E337" s="37"/>
      <c r="F337" s="97">
        <f>TAMHSC!$F$44</f>
        <v>944421</v>
      </c>
      <c r="G337" s="97">
        <f>TAMHSC!$G$44</f>
        <v>0</v>
      </c>
      <c r="H337" s="97">
        <f>TAMHSC!$H$44</f>
        <v>25994</v>
      </c>
      <c r="I337" s="97">
        <f>TAMHSC!$I$44</f>
        <v>5799</v>
      </c>
      <c r="J337" s="97">
        <f>TAMHSC!$J$44</f>
        <v>150562</v>
      </c>
      <c r="K337" s="97">
        <f>TAMHSC!$K$44</f>
        <v>86453</v>
      </c>
      <c r="L337" s="239">
        <f>TAMHSC!$L$44</f>
        <v>1213229</v>
      </c>
      <c r="O337" s="330">
        <f>TAMHSC!$O$44</f>
        <v>1760852</v>
      </c>
      <c r="Q337" s="92"/>
      <c r="R337" s="92"/>
      <c r="S337" s="92"/>
      <c r="T337" s="94"/>
      <c r="U337" s="95"/>
      <c r="V337" s="96"/>
      <c r="W337" s="92"/>
      <c r="X337" s="92"/>
      <c r="Y337" s="92"/>
      <c r="Z337" s="92"/>
    </row>
    <row r="338" spans="1:28" ht="15.75" hidden="1" customHeight="1" outlineLevel="1">
      <c r="A338" s="76"/>
      <c r="B338" s="230"/>
      <c r="C338" s="37"/>
      <c r="D338" s="37"/>
      <c r="E338" s="37"/>
      <c r="F338" s="97">
        <f>THC!$F$44</f>
        <v>0</v>
      </c>
      <c r="G338" s="97">
        <f>THC!$G$44</f>
        <v>0</v>
      </c>
      <c r="H338" s="97">
        <f>THC!$H$44</f>
        <v>0</v>
      </c>
      <c r="I338" s="97">
        <f>THC!$I$44</f>
        <v>0</v>
      </c>
      <c r="J338" s="97">
        <f>THC!$J$44</f>
        <v>0</v>
      </c>
      <c r="K338" s="97">
        <f>THC!$K$44</f>
        <v>2406</v>
      </c>
      <c r="L338" s="239">
        <f>THC!$L$44</f>
        <v>2406</v>
      </c>
      <c r="O338" s="330" t="str">
        <f>THC!$O$44</f>
        <v>N/A</v>
      </c>
      <c r="Q338" s="92"/>
      <c r="R338" s="92"/>
      <c r="S338" s="92"/>
      <c r="T338" s="94"/>
      <c r="U338" s="95"/>
      <c r="V338" s="96"/>
      <c r="W338" s="92"/>
      <c r="X338" s="92"/>
      <c r="Y338" s="92"/>
      <c r="Z338" s="92"/>
    </row>
    <row r="339" spans="1:28" ht="15.75" hidden="1" customHeight="1" outlineLevel="1">
      <c r="A339" s="76"/>
      <c r="B339" s="230"/>
      <c r="C339" s="37"/>
      <c r="D339" s="37"/>
      <c r="E339" s="37"/>
      <c r="F339" s="97">
        <f>TTUHSC!$F$44</f>
        <v>991806</v>
      </c>
      <c r="G339" s="97">
        <f>TTUHSC!$G$44</f>
        <v>1712024</v>
      </c>
      <c r="H339" s="97">
        <f>TTUHSC!$H$44</f>
        <v>397120</v>
      </c>
      <c r="I339" s="97">
        <f>TTUHSC!$I$44</f>
        <v>988967</v>
      </c>
      <c r="J339" s="97">
        <f>TTUHSC!$J$44</f>
        <v>205164</v>
      </c>
      <c r="K339" s="97">
        <f>TTUHSC!$K$44</f>
        <v>493076</v>
      </c>
      <c r="L339" s="239">
        <f>TTUHSC!$L$44</f>
        <v>4788157</v>
      </c>
      <c r="O339" s="330">
        <f>TTUHSC!$O$44</f>
        <v>211313</v>
      </c>
      <c r="Q339" s="92"/>
      <c r="R339" s="92"/>
      <c r="S339" s="92"/>
      <c r="T339" s="94"/>
      <c r="U339" s="95"/>
      <c r="V339" s="96"/>
      <c r="W339" s="92"/>
      <c r="X339" s="92"/>
      <c r="Y339" s="92"/>
      <c r="Z339" s="92"/>
    </row>
    <row r="340" spans="1:28" ht="15.75" hidden="1" customHeight="1" outlineLevel="1">
      <c r="A340" s="76"/>
      <c r="B340" s="230"/>
      <c r="C340" s="37"/>
      <c r="D340" s="37"/>
      <c r="E340" s="37"/>
      <c r="F340" s="97">
        <f>UNTHSC!$F$44</f>
        <v>6872512</v>
      </c>
      <c r="G340" s="97">
        <f>UNTHSC!$G$44</f>
        <v>0</v>
      </c>
      <c r="H340" s="97">
        <f>UNTHSC!$H$44</f>
        <v>371839</v>
      </c>
      <c r="I340" s="97">
        <f>UNTHSC!$I$44</f>
        <v>173495</v>
      </c>
      <c r="J340" s="97">
        <f>UNTHSC!$J$44</f>
        <v>65065</v>
      </c>
      <c r="K340" s="97">
        <f>UNTHSC!$K$44</f>
        <v>235472</v>
      </c>
      <c r="L340" s="239">
        <f>UNTHSC!$L$44</f>
        <v>7718383</v>
      </c>
      <c r="O340" s="330">
        <f>UNTHSC!$O$44</f>
        <v>725343</v>
      </c>
      <c r="Q340" s="92"/>
      <c r="R340" s="92"/>
      <c r="S340" s="92"/>
      <c r="T340" s="94"/>
      <c r="U340" s="95"/>
      <c r="V340" s="96"/>
      <c r="W340" s="92"/>
      <c r="X340" s="92"/>
      <c r="Y340" s="92"/>
      <c r="Z340" s="92"/>
    </row>
    <row r="341" spans="1:28" ht="15.75" customHeight="1" collapsed="1">
      <c r="A341" s="76"/>
      <c r="B341" s="55" t="s">
        <v>544</v>
      </c>
      <c r="C341" s="21"/>
      <c r="D341" s="21"/>
      <c r="F341" s="64">
        <f t="shared" ref="F341:L341" si="24">SUM(F332:F340)</f>
        <v>44840135</v>
      </c>
      <c r="G341" s="64">
        <f t="shared" si="24"/>
        <v>1855337</v>
      </c>
      <c r="H341" s="64">
        <f t="shared" si="24"/>
        <v>2441916</v>
      </c>
      <c r="I341" s="64">
        <f t="shared" si="24"/>
        <v>1412422</v>
      </c>
      <c r="J341" s="64">
        <f t="shared" si="24"/>
        <v>3111666</v>
      </c>
      <c r="K341" s="64">
        <f t="shared" si="24"/>
        <v>5870462</v>
      </c>
      <c r="L341" s="57">
        <f t="shared" si="24"/>
        <v>59531938</v>
      </c>
      <c r="N341" s="9"/>
      <c r="O341" s="318">
        <f>ROUND(N330/O361,0)</f>
        <v>826576</v>
      </c>
      <c r="Q341" s="93"/>
      <c r="R341" s="93"/>
      <c r="S341" s="93"/>
      <c r="T341" s="94"/>
      <c r="U341" s="95"/>
      <c r="V341" s="99"/>
      <c r="W341" s="93"/>
      <c r="X341" s="101"/>
      <c r="Y341" s="92"/>
      <c r="Z341" s="100"/>
      <c r="AB341" s="24">
        <f>SUM(C341:L341)</f>
        <v>119063876</v>
      </c>
    </row>
    <row r="342" spans="1:28" ht="15.75" hidden="1" customHeight="1" outlineLevel="1">
      <c r="A342" s="76"/>
      <c r="B342" s="55"/>
      <c r="C342" s="21"/>
      <c r="D342" s="21"/>
      <c r="F342" s="64">
        <f>HSH!$F$45</f>
        <v>6646285</v>
      </c>
      <c r="G342" s="64">
        <f>HSH!$G$45</f>
        <v>0</v>
      </c>
      <c r="H342" s="64">
        <f>HSH!$H$45</f>
        <v>369604</v>
      </c>
      <c r="I342" s="64">
        <f>HSH!$I$45</f>
        <v>0</v>
      </c>
      <c r="J342" s="64">
        <f>HSH!$J$45</f>
        <v>3338</v>
      </c>
      <c r="K342" s="64">
        <f>HSH!$K$45</f>
        <v>559101</v>
      </c>
      <c r="L342" s="65">
        <f>HSH!$L$45</f>
        <v>7578328</v>
      </c>
      <c r="N342" s="9"/>
      <c r="O342" s="324"/>
      <c r="Q342" s="93"/>
      <c r="R342" s="93"/>
      <c r="S342" s="93"/>
      <c r="T342" s="94"/>
      <c r="U342" s="95"/>
      <c r="V342" s="99"/>
      <c r="W342" s="93"/>
      <c r="X342" s="101"/>
      <c r="Y342" s="92"/>
      <c r="Z342" s="100"/>
      <c r="AB342" s="24"/>
    </row>
    <row r="343" spans="1:28" ht="15.75" hidden="1" customHeight="1" outlineLevel="1">
      <c r="A343" s="76"/>
      <c r="B343" s="55"/>
      <c r="C343" s="21"/>
      <c r="D343" s="21"/>
      <c r="F343" s="64">
        <f>HSSA!$F$45</f>
        <v>22013135</v>
      </c>
      <c r="G343" s="64">
        <f>HSSA!$G$45</f>
        <v>85619</v>
      </c>
      <c r="H343" s="64">
        <f>HSSA!$H$45</f>
        <v>14784</v>
      </c>
      <c r="I343" s="64">
        <f>HSSA!$I$45</f>
        <v>9086254</v>
      </c>
      <c r="J343" s="64">
        <f>HSSA!$J$45</f>
        <v>8881781</v>
      </c>
      <c r="K343" s="64">
        <f>HSSA!$K$45</f>
        <v>1932546</v>
      </c>
      <c r="L343" s="65">
        <f>HSSA!$L$45</f>
        <v>42014119</v>
      </c>
      <c r="N343" s="9"/>
      <c r="O343" s="324"/>
      <c r="Q343" s="93"/>
      <c r="R343" s="93"/>
      <c r="S343" s="93"/>
      <c r="T343" s="94"/>
      <c r="U343" s="95"/>
      <c r="V343" s="99"/>
      <c r="W343" s="93"/>
      <c r="X343" s="101"/>
      <c r="Y343" s="92"/>
      <c r="Z343" s="100"/>
      <c r="AB343" s="24"/>
    </row>
    <row r="344" spans="1:28" ht="15.75" hidden="1" customHeight="1" outlineLevel="1">
      <c r="A344" s="76"/>
      <c r="B344" s="55"/>
      <c r="C344" s="21"/>
      <c r="D344" s="21"/>
      <c r="F344" s="64">
        <f>MBG!$F$45</f>
        <v>10417568</v>
      </c>
      <c r="G344" s="64">
        <f>MBG!$G$45</f>
        <v>0</v>
      </c>
      <c r="H344" s="64">
        <f>MBG!$H$45</f>
        <v>14033</v>
      </c>
      <c r="I344" s="64">
        <f>MBG!$I$45</f>
        <v>0</v>
      </c>
      <c r="J344" s="64">
        <f>MBG!$J$45</f>
        <v>77508</v>
      </c>
      <c r="K344" s="64">
        <f>MBG!$K$45</f>
        <v>415488</v>
      </c>
      <c r="L344" s="65">
        <f>MBG!$L$45</f>
        <v>10924597</v>
      </c>
      <c r="N344" s="9"/>
      <c r="O344" s="324"/>
      <c r="Q344" s="93"/>
      <c r="R344" s="93"/>
      <c r="S344" s="93"/>
      <c r="T344" s="94"/>
      <c r="U344" s="95"/>
      <c r="V344" s="99"/>
      <c r="W344" s="93"/>
      <c r="X344" s="101"/>
      <c r="Y344" s="92"/>
      <c r="Z344" s="100"/>
      <c r="AB344" s="24"/>
    </row>
    <row r="345" spans="1:28" ht="15.75" hidden="1" customHeight="1" outlineLevel="1">
      <c r="A345" s="76"/>
      <c r="B345" s="55"/>
      <c r="C345" s="21"/>
      <c r="D345" s="21"/>
      <c r="F345" s="64">
        <f>MDA!$F$45</f>
        <v>206664447</v>
      </c>
      <c r="G345" s="64">
        <f>MDA!$G$45</f>
        <v>176461762</v>
      </c>
      <c r="H345" s="64">
        <f>MDA!$H$45</f>
        <v>343967</v>
      </c>
      <c r="I345" s="64">
        <f>MDA!$I$45</f>
        <v>31196240</v>
      </c>
      <c r="J345" s="64">
        <f>MDA!$J$45</f>
        <v>50712121</v>
      </c>
      <c r="K345" s="64">
        <f>MDA!$K$45</f>
        <v>81656207</v>
      </c>
      <c r="L345" s="65">
        <f>MDA!$L$45</f>
        <v>547034744</v>
      </c>
      <c r="N345" s="9"/>
      <c r="O345" s="324"/>
      <c r="Q345" s="93"/>
      <c r="R345" s="93"/>
      <c r="S345" s="93"/>
      <c r="T345" s="94"/>
      <c r="U345" s="95"/>
      <c r="V345" s="99"/>
      <c r="W345" s="93"/>
      <c r="X345" s="101"/>
      <c r="Y345" s="92"/>
      <c r="Z345" s="100"/>
      <c r="AB345" s="24"/>
    </row>
    <row r="346" spans="1:28" ht="15.75" hidden="1" customHeight="1" outlineLevel="1">
      <c r="A346" s="76"/>
      <c r="B346" s="55"/>
      <c r="C346" s="21"/>
      <c r="D346" s="21"/>
      <c r="F346" s="64">
        <f>SWM!$F$45</f>
        <v>39702425</v>
      </c>
      <c r="G346" s="64">
        <f>SWM!$G$45</f>
        <v>1273457</v>
      </c>
      <c r="H346" s="64">
        <f>SWM!$H$45</f>
        <v>1469560</v>
      </c>
      <c r="I346" s="64">
        <f>SWM!$I$45</f>
        <v>2082484</v>
      </c>
      <c r="J346" s="64">
        <f>SWM!$J$45</f>
        <v>6297255</v>
      </c>
      <c r="K346" s="64">
        <f>SWM!$K$45</f>
        <v>10060710</v>
      </c>
      <c r="L346" s="65">
        <f>SWM!$L$45</f>
        <v>60885891</v>
      </c>
      <c r="N346" s="9"/>
      <c r="O346" s="324"/>
      <c r="Q346" s="93"/>
      <c r="R346" s="93"/>
      <c r="S346" s="93"/>
      <c r="T346" s="94"/>
      <c r="U346" s="95"/>
      <c r="V346" s="99"/>
      <c r="W346" s="93"/>
      <c r="X346" s="101"/>
      <c r="Y346" s="92"/>
      <c r="Z346" s="100"/>
      <c r="AB346" s="24"/>
    </row>
    <row r="347" spans="1:28" ht="15.75" hidden="1" customHeight="1" outlineLevel="1">
      <c r="A347" s="76"/>
      <c r="B347" s="55"/>
      <c r="C347" s="21"/>
      <c r="D347" s="21"/>
      <c r="F347" s="64">
        <f>TAMHSC!$F$45</f>
        <v>2921403</v>
      </c>
      <c r="G347" s="64">
        <f>TAMHSC!$G$45</f>
        <v>0</v>
      </c>
      <c r="H347" s="64">
        <f>TAMHSC!$H$45</f>
        <v>396344</v>
      </c>
      <c r="I347" s="64">
        <f>TAMHSC!$I$45</f>
        <v>20627</v>
      </c>
      <c r="J347" s="64">
        <f>TAMHSC!$J$45</f>
        <v>805636</v>
      </c>
      <c r="K347" s="64">
        <f>TAMHSC!$K$45</f>
        <v>654872</v>
      </c>
      <c r="L347" s="65">
        <f>TAMHSC!$L$45</f>
        <v>4798882</v>
      </c>
      <c r="N347" s="9"/>
      <c r="O347" s="324"/>
      <c r="Q347" s="93"/>
      <c r="R347" s="93"/>
      <c r="S347" s="93"/>
      <c r="T347" s="94"/>
      <c r="U347" s="95"/>
      <c r="V347" s="99"/>
      <c r="W347" s="93"/>
      <c r="X347" s="101"/>
      <c r="Y347" s="92"/>
      <c r="Z347" s="100"/>
      <c r="AB347" s="24"/>
    </row>
    <row r="348" spans="1:28" ht="15.75" hidden="1" customHeight="1" outlineLevel="1">
      <c r="A348" s="76"/>
      <c r="B348" s="55"/>
      <c r="C348" s="21"/>
      <c r="D348" s="21"/>
      <c r="F348" s="64">
        <f>THC!$F$45</f>
        <v>22813</v>
      </c>
      <c r="G348" s="64">
        <f>THC!$G$45</f>
        <v>0</v>
      </c>
      <c r="H348" s="64">
        <f>THC!$H$45</f>
        <v>0</v>
      </c>
      <c r="I348" s="64">
        <f>THC!$I$45</f>
        <v>0</v>
      </c>
      <c r="J348" s="64">
        <f>THC!$J$45</f>
        <v>0</v>
      </c>
      <c r="K348" s="64">
        <f>THC!$K$45</f>
        <v>9737</v>
      </c>
      <c r="L348" s="65">
        <f>THC!$L$45</f>
        <v>32550</v>
      </c>
      <c r="N348" s="9"/>
      <c r="O348" s="324"/>
      <c r="Q348" s="93"/>
      <c r="R348" s="93"/>
      <c r="S348" s="93"/>
      <c r="T348" s="94"/>
      <c r="U348" s="95"/>
      <c r="V348" s="99"/>
      <c r="W348" s="93"/>
      <c r="X348" s="101"/>
      <c r="Y348" s="92"/>
      <c r="Z348" s="100"/>
      <c r="AB348" s="24"/>
    </row>
    <row r="349" spans="1:28" ht="15.75" hidden="1" customHeight="1" outlineLevel="1">
      <c r="A349" s="76"/>
      <c r="B349" s="55"/>
      <c r="C349" s="21"/>
      <c r="D349" s="21"/>
      <c r="F349" s="64">
        <f>TTUHSC!$F$45</f>
        <v>4634425</v>
      </c>
      <c r="G349" s="64">
        <f>TTUHSC!$G$45</f>
        <v>9548039</v>
      </c>
      <c r="H349" s="64">
        <f>TTUHSC!$H$45</f>
        <v>693015</v>
      </c>
      <c r="I349" s="64">
        <f>TTUHSC!$I$45</f>
        <v>1552901</v>
      </c>
      <c r="J349" s="64">
        <f>TTUHSC!$J$45</f>
        <v>461864</v>
      </c>
      <c r="K349" s="64">
        <f>TTUHSC!$K$45</f>
        <v>573290</v>
      </c>
      <c r="L349" s="65">
        <f>TTUHSC!$L$45</f>
        <v>17463534</v>
      </c>
      <c r="N349" s="9"/>
      <c r="O349" s="324"/>
      <c r="Q349" s="93"/>
      <c r="R349" s="93"/>
      <c r="S349" s="93"/>
      <c r="T349" s="94"/>
      <c r="U349" s="95"/>
      <c r="V349" s="99"/>
      <c r="W349" s="93"/>
      <c r="X349" s="101"/>
      <c r="Y349" s="92"/>
      <c r="Z349" s="100"/>
      <c r="AB349" s="24"/>
    </row>
    <row r="350" spans="1:28" ht="15.75" hidden="1" customHeight="1" outlineLevel="1">
      <c r="A350" s="76"/>
      <c r="B350" s="55"/>
      <c r="C350" s="21"/>
      <c r="D350" s="21"/>
      <c r="F350" s="64">
        <f>UNTHSC!$F$45</f>
        <v>2968045</v>
      </c>
      <c r="G350" s="64">
        <f>UNTHSC!$G$45</f>
        <v>0</v>
      </c>
      <c r="H350" s="64">
        <f>UNTHSC!$H$45</f>
        <v>121598</v>
      </c>
      <c r="I350" s="64">
        <f>UNTHSC!$I$45</f>
        <v>136838</v>
      </c>
      <c r="J350" s="64">
        <f>UNTHSC!$J$45</f>
        <v>8066</v>
      </c>
      <c r="K350" s="64">
        <f>UNTHSC!$K$45</f>
        <v>171566</v>
      </c>
      <c r="L350" s="65">
        <f>UNTHSC!$L$45</f>
        <v>3406113</v>
      </c>
      <c r="N350" s="9"/>
      <c r="O350" s="324"/>
      <c r="Q350" s="93"/>
      <c r="R350" s="93"/>
      <c r="S350" s="93"/>
      <c r="T350" s="94"/>
      <c r="U350" s="95"/>
      <c r="V350" s="99"/>
      <c r="W350" s="93"/>
      <c r="X350" s="101"/>
      <c r="Y350" s="92"/>
      <c r="Z350" s="100"/>
      <c r="AB350" s="24"/>
    </row>
    <row r="351" spans="1:28" ht="15.75" customHeight="1" collapsed="1">
      <c r="A351" s="76"/>
      <c r="B351" s="55" t="s">
        <v>46</v>
      </c>
      <c r="C351" s="21"/>
      <c r="D351" s="21"/>
      <c r="F351" s="64">
        <f t="shared" ref="F351:L351" si="25">SUM(F342:F350)</f>
        <v>295990546</v>
      </c>
      <c r="G351" s="64">
        <f t="shared" si="25"/>
        <v>187368877</v>
      </c>
      <c r="H351" s="64">
        <f t="shared" si="25"/>
        <v>3422905</v>
      </c>
      <c r="I351" s="64">
        <f t="shared" si="25"/>
        <v>44075344</v>
      </c>
      <c r="J351" s="64">
        <f t="shared" si="25"/>
        <v>67247569</v>
      </c>
      <c r="K351" s="64">
        <f t="shared" si="25"/>
        <v>96033517</v>
      </c>
      <c r="L351" s="65">
        <f t="shared" si="25"/>
        <v>694138758</v>
      </c>
      <c r="N351" s="97"/>
      <c r="O351" s="319" t="s">
        <v>635</v>
      </c>
      <c r="P351" s="98"/>
      <c r="Q351" s="93"/>
      <c r="R351" s="93"/>
      <c r="S351" s="93"/>
      <c r="T351" s="94"/>
      <c r="U351" s="95"/>
      <c r="V351" s="99"/>
      <c r="W351" s="93"/>
      <c r="X351" s="101"/>
      <c r="Y351" s="92"/>
      <c r="Z351" s="100"/>
      <c r="AB351" s="24"/>
    </row>
    <row r="352" spans="1:28" ht="15.75" hidden="1" customHeight="1" outlineLevel="1">
      <c r="A352" s="76"/>
      <c r="B352" s="55"/>
      <c r="C352" s="21"/>
      <c r="D352" s="21"/>
      <c r="F352" s="64">
        <f>HSH!$F$46</f>
        <v>13576432</v>
      </c>
      <c r="G352" s="64">
        <f>HSH!$G$46</f>
        <v>1259657</v>
      </c>
      <c r="H352" s="64">
        <f>HSH!$H$46</f>
        <v>0</v>
      </c>
      <c r="I352" s="64">
        <f>HSH!$I$46</f>
        <v>74990</v>
      </c>
      <c r="J352" s="64">
        <f>HSH!$J$46</f>
        <v>153349</v>
      </c>
      <c r="K352" s="64">
        <f>HSH!$K$46</f>
        <v>2782673</v>
      </c>
      <c r="L352" s="65">
        <f>HSH!$L$46</f>
        <v>17847101</v>
      </c>
      <c r="N352" s="97"/>
      <c r="O352" s="325"/>
      <c r="P352" s="98"/>
      <c r="Q352" s="93"/>
      <c r="R352" s="93"/>
      <c r="S352" s="93"/>
      <c r="T352" s="94"/>
      <c r="U352" s="95"/>
      <c r="V352" s="99"/>
      <c r="W352" s="93"/>
      <c r="X352" s="101"/>
      <c r="Y352" s="92"/>
      <c r="Z352" s="100"/>
      <c r="AB352" s="24"/>
    </row>
    <row r="353" spans="1:28" ht="15.75" hidden="1" customHeight="1" outlineLevel="1">
      <c r="A353" s="76"/>
      <c r="B353" s="55"/>
      <c r="C353" s="21"/>
      <c r="D353" s="21"/>
      <c r="F353" s="64">
        <f>HSSA!$F$46</f>
        <v>12310269</v>
      </c>
      <c r="G353" s="64">
        <f>HSSA!$G$46</f>
        <v>22949</v>
      </c>
      <c r="H353" s="64">
        <f>HSSA!$H$46</f>
        <v>0</v>
      </c>
      <c r="I353" s="64">
        <f>HSSA!$I$46</f>
        <v>55092</v>
      </c>
      <c r="J353" s="64">
        <f>HSSA!$J$46</f>
        <v>728720</v>
      </c>
      <c r="K353" s="64">
        <f>HSSA!$K$46</f>
        <v>1694519</v>
      </c>
      <c r="L353" s="65">
        <f>HSSA!$L$46</f>
        <v>14811549</v>
      </c>
      <c r="N353" s="97"/>
      <c r="O353" s="325"/>
      <c r="P353" s="98"/>
      <c r="Q353" s="93"/>
      <c r="R353" s="93"/>
      <c r="S353" s="93"/>
      <c r="T353" s="94"/>
      <c r="U353" s="95"/>
      <c r="V353" s="99"/>
      <c r="W353" s="93"/>
      <c r="X353" s="101"/>
      <c r="Y353" s="92"/>
      <c r="Z353" s="100"/>
      <c r="AB353" s="24"/>
    </row>
    <row r="354" spans="1:28" ht="15.75" hidden="1" customHeight="1" outlineLevel="1">
      <c r="A354" s="76"/>
      <c r="B354" s="55"/>
      <c r="C354" s="21"/>
      <c r="D354" s="21"/>
      <c r="F354" s="64">
        <f>MBG!$F$46</f>
        <v>2398159</v>
      </c>
      <c r="G354" s="64">
        <f>MBG!$G$46</f>
        <v>0</v>
      </c>
      <c r="H354" s="64">
        <f>MBG!$H$46</f>
        <v>0</v>
      </c>
      <c r="I354" s="64">
        <f>MBG!$I$46</f>
        <v>0</v>
      </c>
      <c r="J354" s="64">
        <f>MBG!$J$46</f>
        <v>518794</v>
      </c>
      <c r="K354" s="64">
        <f>MBG!$K$46</f>
        <v>1030055</v>
      </c>
      <c r="L354" s="65">
        <f>MBG!$L$46</f>
        <v>3947008</v>
      </c>
      <c r="N354" s="97"/>
      <c r="O354" s="325"/>
      <c r="P354" s="98"/>
      <c r="Q354" s="93"/>
      <c r="R354" s="93"/>
      <c r="S354" s="93"/>
      <c r="T354" s="94"/>
      <c r="U354" s="95"/>
      <c r="V354" s="99"/>
      <c r="W354" s="93"/>
      <c r="X354" s="101"/>
      <c r="Y354" s="92"/>
      <c r="Z354" s="100"/>
      <c r="AB354" s="24"/>
    </row>
    <row r="355" spans="1:28" ht="15.75" hidden="1" customHeight="1" outlineLevel="1">
      <c r="A355" s="76"/>
      <c r="B355" s="55"/>
      <c r="C355" s="21"/>
      <c r="D355" s="21"/>
      <c r="F355" s="64">
        <f>MDA!$F$46</f>
        <v>0</v>
      </c>
      <c r="G355" s="64">
        <f>MDA!$G$46</f>
        <v>0</v>
      </c>
      <c r="H355" s="64">
        <f>MDA!$H$46</f>
        <v>0</v>
      </c>
      <c r="I355" s="64">
        <f>MDA!$I$46</f>
        <v>0</v>
      </c>
      <c r="J355" s="64">
        <f>MDA!$J$46</f>
        <v>0</v>
      </c>
      <c r="K355" s="64">
        <f>MDA!$K$46</f>
        <v>0</v>
      </c>
      <c r="L355" s="65">
        <f>MDA!$L$46</f>
        <v>0</v>
      </c>
      <c r="N355" s="97"/>
      <c r="O355" s="325"/>
      <c r="P355" s="98"/>
      <c r="Q355" s="93"/>
      <c r="R355" s="93"/>
      <c r="S355" s="93"/>
      <c r="T355" s="94"/>
      <c r="U355" s="95"/>
      <c r="V355" s="99"/>
      <c r="W355" s="93"/>
      <c r="X355" s="101"/>
      <c r="Y355" s="92"/>
      <c r="Z355" s="100"/>
      <c r="AB355" s="24"/>
    </row>
    <row r="356" spans="1:28" ht="15.75" hidden="1" customHeight="1" outlineLevel="1">
      <c r="A356" s="76"/>
      <c r="B356" s="55"/>
      <c r="C356" s="21"/>
      <c r="D356" s="21"/>
      <c r="F356" s="64">
        <f>SWM!$F$46</f>
        <v>21268029</v>
      </c>
      <c r="G356" s="64">
        <f>SWM!$G$46</f>
        <v>915079</v>
      </c>
      <c r="H356" s="64">
        <f>SWM!$H$46</f>
        <v>74519</v>
      </c>
      <c r="I356" s="64">
        <f>SWM!$I$46</f>
        <v>912012</v>
      </c>
      <c r="J356" s="64">
        <f>SWM!$J$46</f>
        <v>538872</v>
      </c>
      <c r="K356" s="64">
        <f>SWM!$K$46</f>
        <v>7957458</v>
      </c>
      <c r="L356" s="65">
        <f>SWM!$L$46</f>
        <v>31665969</v>
      </c>
      <c r="N356" s="97"/>
      <c r="O356" s="331">
        <f>SWM!$O$46</f>
        <v>360.84</v>
      </c>
      <c r="P356" s="98"/>
      <c r="Q356" s="93"/>
      <c r="R356" s="93"/>
      <c r="S356" s="93"/>
      <c r="T356" s="94"/>
      <c r="U356" s="95"/>
      <c r="V356" s="99"/>
      <c r="W356" s="93"/>
      <c r="X356" s="101"/>
      <c r="Y356" s="92"/>
      <c r="Z356" s="100"/>
      <c r="AB356" s="24"/>
    </row>
    <row r="357" spans="1:28" ht="15.75" hidden="1" customHeight="1" outlineLevel="1">
      <c r="A357" s="76"/>
      <c r="B357" s="55"/>
      <c r="C357" s="21"/>
      <c r="D357" s="21"/>
      <c r="F357" s="64">
        <f>TAMHSC!$F$46</f>
        <v>2250872</v>
      </c>
      <c r="G357" s="64">
        <f>TAMHSC!$G$46</f>
        <v>0</v>
      </c>
      <c r="H357" s="64">
        <f>TAMHSC!$H$46</f>
        <v>0</v>
      </c>
      <c r="I357" s="64">
        <f>TAMHSC!$I$46</f>
        <v>66907</v>
      </c>
      <c r="J357" s="64">
        <f>TAMHSC!$J$46</f>
        <v>244146</v>
      </c>
      <c r="K357" s="64">
        <f>TAMHSC!$K$46</f>
        <v>830311</v>
      </c>
      <c r="L357" s="65">
        <f>TAMHSC!$L$46</f>
        <v>3392236</v>
      </c>
      <c r="N357" s="97"/>
      <c r="O357" s="325"/>
      <c r="P357" s="98"/>
      <c r="Q357" s="93"/>
      <c r="R357" s="93"/>
      <c r="S357" s="93"/>
      <c r="T357" s="94"/>
      <c r="U357" s="95"/>
      <c r="V357" s="99"/>
      <c r="W357" s="93"/>
      <c r="X357" s="101"/>
      <c r="Y357" s="92"/>
      <c r="Z357" s="100"/>
      <c r="AB357" s="24"/>
    </row>
    <row r="358" spans="1:28" ht="15.75" hidden="1" customHeight="1" outlineLevel="1">
      <c r="A358" s="76"/>
      <c r="B358" s="55"/>
      <c r="C358" s="21"/>
      <c r="D358" s="21"/>
      <c r="F358" s="64">
        <f>THC!$F$46</f>
        <v>554099</v>
      </c>
      <c r="G358" s="64">
        <f>THC!$G$46</f>
        <v>0</v>
      </c>
      <c r="H358" s="64">
        <f>THC!$H$46</f>
        <v>0</v>
      </c>
      <c r="I358" s="64">
        <f>THC!$I$46</f>
        <v>0</v>
      </c>
      <c r="J358" s="64">
        <f>THC!$J$46</f>
        <v>0</v>
      </c>
      <c r="K358" s="64">
        <f>THC!$K$46</f>
        <v>0</v>
      </c>
      <c r="L358" s="65">
        <f>THC!$L$46</f>
        <v>554099</v>
      </c>
      <c r="N358" s="97"/>
      <c r="O358" s="325"/>
      <c r="P358" s="98"/>
      <c r="Q358" s="93"/>
      <c r="R358" s="93"/>
      <c r="S358" s="93"/>
      <c r="T358" s="94"/>
      <c r="U358" s="95"/>
      <c r="V358" s="99"/>
      <c r="W358" s="93"/>
      <c r="X358" s="101"/>
      <c r="Y358" s="92"/>
      <c r="Z358" s="100"/>
      <c r="AB358" s="24"/>
    </row>
    <row r="359" spans="1:28" ht="15.75" hidden="1" customHeight="1" outlineLevel="1">
      <c r="A359" s="76"/>
      <c r="B359" s="55"/>
      <c r="C359" s="21"/>
      <c r="D359" s="21"/>
      <c r="F359" s="64">
        <f>TTUHSC!$F$46</f>
        <v>2395297</v>
      </c>
      <c r="G359" s="64">
        <f>TTUHSC!$G$46</f>
        <v>5474769</v>
      </c>
      <c r="H359" s="64">
        <f>TTUHSC!$H$46</f>
        <v>335809</v>
      </c>
      <c r="I359" s="64">
        <f>TTUHSC!$I$46</f>
        <v>1837397</v>
      </c>
      <c r="J359" s="64">
        <f>TTUHSC!$J$46</f>
        <v>428055</v>
      </c>
      <c r="K359" s="64">
        <f>TTUHSC!$K$46</f>
        <v>270066</v>
      </c>
      <c r="L359" s="65">
        <f>TTUHSC!$L$46</f>
        <v>10741393</v>
      </c>
      <c r="N359" s="97"/>
      <c r="O359" s="325"/>
      <c r="P359" s="98"/>
      <c r="Q359" s="93"/>
      <c r="R359" s="93"/>
      <c r="S359" s="93"/>
      <c r="T359" s="94"/>
      <c r="U359" s="95"/>
      <c r="V359" s="99"/>
      <c r="W359" s="93"/>
      <c r="X359" s="101"/>
      <c r="Y359" s="92"/>
      <c r="Z359" s="100"/>
      <c r="AB359" s="24"/>
    </row>
    <row r="360" spans="1:28" ht="15.75" hidden="1" customHeight="1" outlineLevel="1">
      <c r="A360" s="76"/>
      <c r="B360" s="55"/>
      <c r="C360" s="21"/>
      <c r="D360" s="21"/>
      <c r="F360" s="64">
        <f>UNTHSC!$F$46</f>
        <v>3940808</v>
      </c>
      <c r="G360" s="64">
        <f>UNTHSC!$G$46</f>
        <v>0</v>
      </c>
      <c r="H360" s="64">
        <f>UNTHSC!$H$46</f>
        <v>0</v>
      </c>
      <c r="I360" s="64">
        <f>UNTHSC!$I$46</f>
        <v>98518</v>
      </c>
      <c r="J360" s="64">
        <f>UNTHSC!$J$46</f>
        <v>3725</v>
      </c>
      <c r="K360" s="64">
        <f>UNTHSC!$K$46</f>
        <v>201704</v>
      </c>
      <c r="L360" s="65">
        <f>UNTHSC!$L$46</f>
        <v>4244755</v>
      </c>
      <c r="N360" s="97"/>
      <c r="O360" s="325"/>
      <c r="P360" s="98"/>
      <c r="Q360" s="93"/>
      <c r="R360" s="93"/>
      <c r="S360" s="93"/>
      <c r="T360" s="94"/>
      <c r="U360" s="95"/>
      <c r="V360" s="99"/>
      <c r="W360" s="93"/>
      <c r="X360" s="101"/>
      <c r="Y360" s="92"/>
      <c r="Z360" s="100"/>
      <c r="AB360" s="24"/>
    </row>
    <row r="361" spans="1:28" ht="15.75" customHeight="1" collapsed="1">
      <c r="A361" s="76"/>
      <c r="B361" s="55" t="s">
        <v>545</v>
      </c>
      <c r="C361" s="21"/>
      <c r="D361" s="21"/>
      <c r="F361" s="64">
        <f t="shared" ref="F361:L361" si="26">SUM(F352:F360)</f>
        <v>58693965</v>
      </c>
      <c r="G361" s="64">
        <f t="shared" si="26"/>
        <v>7672454</v>
      </c>
      <c r="H361" s="64">
        <f t="shared" si="26"/>
        <v>410328</v>
      </c>
      <c r="I361" s="64">
        <f t="shared" si="26"/>
        <v>3044916</v>
      </c>
      <c r="J361" s="64">
        <f t="shared" si="26"/>
        <v>2615661</v>
      </c>
      <c r="K361" s="64">
        <f t="shared" si="26"/>
        <v>14766786</v>
      </c>
      <c r="L361" s="65">
        <f t="shared" si="26"/>
        <v>87204110</v>
      </c>
      <c r="N361" s="97"/>
      <c r="O361" s="320">
        <f>FTSE!$O$55</f>
        <v>1513.7</v>
      </c>
      <c r="P361" s="98"/>
      <c r="Q361" s="93"/>
      <c r="R361" s="93"/>
      <c r="S361" s="93"/>
      <c r="T361" s="94"/>
      <c r="U361" s="95"/>
      <c r="V361" s="99"/>
      <c r="W361" s="93"/>
      <c r="X361" s="101"/>
      <c r="Y361" s="92"/>
      <c r="Z361" s="100"/>
      <c r="AB361" s="24"/>
    </row>
    <row r="362" spans="1:28" ht="15.75" hidden="1" customHeight="1" outlineLevel="1">
      <c r="A362" s="76"/>
      <c r="B362" s="55"/>
      <c r="C362" s="21"/>
      <c r="D362" s="21"/>
      <c r="F362" s="64">
        <f>HSH!$F$47</f>
        <v>8274088</v>
      </c>
      <c r="G362" s="64">
        <f>HSH!$G$47</f>
        <v>1849578</v>
      </c>
      <c r="H362" s="64">
        <f>HSH!$H$47</f>
        <v>4850362</v>
      </c>
      <c r="I362" s="64">
        <f>HSH!$I$47</f>
        <v>15262</v>
      </c>
      <c r="J362" s="64">
        <f>HSH!$J$47</f>
        <v>186302</v>
      </c>
      <c r="K362" s="64">
        <f>HSH!$K$47</f>
        <v>1617912</v>
      </c>
      <c r="L362" s="65">
        <f>HSH!$L$47</f>
        <v>16793504</v>
      </c>
      <c r="N362" s="97"/>
      <c r="O362" s="320"/>
      <c r="P362" s="98"/>
      <c r="Q362" s="93"/>
      <c r="R362" s="93"/>
      <c r="S362" s="93"/>
      <c r="T362" s="94"/>
      <c r="U362" s="95"/>
      <c r="V362" s="99"/>
      <c r="W362" s="93"/>
      <c r="X362" s="101"/>
      <c r="Y362" s="92"/>
      <c r="Z362" s="100"/>
      <c r="AB362" s="24"/>
    </row>
    <row r="363" spans="1:28" ht="15.75" hidden="1" customHeight="1" outlineLevel="1">
      <c r="A363" s="76"/>
      <c r="B363" s="55"/>
      <c r="C363" s="21"/>
      <c r="D363" s="21"/>
      <c r="F363" s="64">
        <f>HSSA!$F$47</f>
        <v>13948080</v>
      </c>
      <c r="G363" s="64">
        <f>HSSA!$G$47</f>
        <v>10443</v>
      </c>
      <c r="H363" s="64">
        <f>HSSA!$H$47</f>
        <v>132833</v>
      </c>
      <c r="I363" s="64">
        <f>HSSA!$I$47</f>
        <v>8402333</v>
      </c>
      <c r="J363" s="64">
        <f>HSSA!$J$47</f>
        <v>995968</v>
      </c>
      <c r="K363" s="64">
        <f>HSSA!$K$47</f>
        <v>1909613</v>
      </c>
      <c r="L363" s="65">
        <f>HSSA!$L$47</f>
        <v>25399270</v>
      </c>
      <c r="N363" s="97"/>
      <c r="O363" s="320"/>
      <c r="P363" s="98"/>
      <c r="Q363" s="93"/>
      <c r="R363" s="93"/>
      <c r="S363" s="93"/>
      <c r="T363" s="94"/>
      <c r="U363" s="95"/>
      <c r="V363" s="99"/>
      <c r="W363" s="93"/>
      <c r="X363" s="101"/>
      <c r="Y363" s="92"/>
      <c r="Z363" s="100"/>
      <c r="AB363" s="24"/>
    </row>
    <row r="364" spans="1:28" ht="15.75" hidden="1" customHeight="1" outlineLevel="1">
      <c r="A364" s="76"/>
      <c r="B364" s="55"/>
      <c r="C364" s="21"/>
      <c r="D364" s="21"/>
      <c r="F364" s="64">
        <f>MBG!$F$47</f>
        <v>5352931</v>
      </c>
      <c r="G364" s="64">
        <f>MBG!$G$47</f>
        <v>0</v>
      </c>
      <c r="H364" s="64">
        <f>MBG!$H$47</f>
        <v>0</v>
      </c>
      <c r="I364" s="64">
        <f>MBG!$I$47</f>
        <v>0</v>
      </c>
      <c r="J364" s="64">
        <f>MBG!$J$47</f>
        <v>254205</v>
      </c>
      <c r="K364" s="64">
        <f>MBG!$K$47</f>
        <v>258248</v>
      </c>
      <c r="L364" s="65">
        <f>MBG!$L$47</f>
        <v>5865384</v>
      </c>
      <c r="N364" s="97"/>
      <c r="O364" s="320"/>
      <c r="P364" s="98"/>
      <c r="Q364" s="93"/>
      <c r="R364" s="93"/>
      <c r="S364" s="93"/>
      <c r="T364" s="94"/>
      <c r="U364" s="95"/>
      <c r="V364" s="99"/>
      <c r="W364" s="93"/>
      <c r="X364" s="101"/>
      <c r="Y364" s="92"/>
      <c r="Z364" s="100"/>
      <c r="AB364" s="24"/>
    </row>
    <row r="365" spans="1:28" ht="15.75" hidden="1" customHeight="1" outlineLevel="1">
      <c r="A365" s="76"/>
      <c r="B365" s="55"/>
      <c r="C365" s="21"/>
      <c r="D365" s="21"/>
      <c r="F365" s="64">
        <f>MDA!$F$47</f>
        <v>0</v>
      </c>
      <c r="G365" s="64">
        <f>MDA!$G$47</f>
        <v>0</v>
      </c>
      <c r="H365" s="64">
        <f>MDA!$H$47</f>
        <v>0</v>
      </c>
      <c r="I365" s="64">
        <f>MDA!$I$47</f>
        <v>0</v>
      </c>
      <c r="J365" s="64">
        <f>MDA!$J$47</f>
        <v>0</v>
      </c>
      <c r="K365" s="64">
        <f>MDA!$K$47</f>
        <v>0</v>
      </c>
      <c r="L365" s="65">
        <f>MDA!$L$47</f>
        <v>0</v>
      </c>
      <c r="N365" s="97"/>
      <c r="O365" s="320"/>
      <c r="P365" s="98"/>
      <c r="Q365" s="93"/>
      <c r="R365" s="93"/>
      <c r="S365" s="93"/>
      <c r="T365" s="94"/>
      <c r="U365" s="95"/>
      <c r="V365" s="99"/>
      <c r="W365" s="93"/>
      <c r="X365" s="101"/>
      <c r="Y365" s="92"/>
      <c r="Z365" s="100"/>
      <c r="AB365" s="24"/>
    </row>
    <row r="366" spans="1:28" ht="15.75" hidden="1" customHeight="1" outlineLevel="1">
      <c r="A366" s="76"/>
      <c r="B366" s="55"/>
      <c r="C366" s="21"/>
      <c r="D366" s="21"/>
      <c r="F366" s="64">
        <f>SWM!$F$47</f>
        <v>10822319</v>
      </c>
      <c r="G366" s="64">
        <f>SWM!$G$47</f>
        <v>846276</v>
      </c>
      <c r="H366" s="64">
        <f>SWM!$H$47</f>
        <v>17821</v>
      </c>
      <c r="I366" s="64">
        <f>SWM!$I$47</f>
        <v>677136</v>
      </c>
      <c r="J366" s="64">
        <f>SWM!$J$47</f>
        <v>471342</v>
      </c>
      <c r="K366" s="64">
        <f>SWM!$K$47</f>
        <v>3122225</v>
      </c>
      <c r="L366" s="65">
        <f>SWM!$L$47</f>
        <v>15957119</v>
      </c>
      <c r="N366" s="97"/>
      <c r="O366" s="320"/>
      <c r="P366" s="98"/>
      <c r="Q366" s="93"/>
      <c r="R366" s="93"/>
      <c r="S366" s="93"/>
      <c r="T366" s="94"/>
      <c r="U366" s="95"/>
      <c r="V366" s="99"/>
      <c r="W366" s="93"/>
      <c r="X366" s="101"/>
      <c r="Y366" s="92"/>
      <c r="Z366" s="100"/>
      <c r="AB366" s="24"/>
    </row>
    <row r="367" spans="1:28" ht="15.75" hidden="1" customHeight="1" outlineLevel="1">
      <c r="A367" s="76"/>
      <c r="B367" s="55"/>
      <c r="C367" s="21"/>
      <c r="D367" s="21"/>
      <c r="F367" s="64">
        <f>TAMHSC!$F$47</f>
        <v>1195464</v>
      </c>
      <c r="G367" s="64">
        <f>TAMHSC!$G$47</f>
        <v>0</v>
      </c>
      <c r="H367" s="64">
        <f>TAMHSC!$H$47</f>
        <v>268125</v>
      </c>
      <c r="I367" s="64">
        <f>TAMHSC!$I$47</f>
        <v>22000</v>
      </c>
      <c r="J367" s="64">
        <f>TAMHSC!$J$47</f>
        <v>3894</v>
      </c>
      <c r="K367" s="64">
        <f>TAMHSC!$K$47</f>
        <v>609324</v>
      </c>
      <c r="L367" s="65">
        <f>TAMHSC!$L$47</f>
        <v>2098807</v>
      </c>
      <c r="N367" s="97"/>
      <c r="O367" s="320"/>
      <c r="P367" s="98"/>
      <c r="Q367" s="93"/>
      <c r="R367" s="93"/>
      <c r="S367" s="93"/>
      <c r="T367" s="94"/>
      <c r="U367" s="95"/>
      <c r="V367" s="99"/>
      <c r="W367" s="93"/>
      <c r="X367" s="101"/>
      <c r="Y367" s="92"/>
      <c r="Z367" s="100"/>
      <c r="AB367" s="24"/>
    </row>
    <row r="368" spans="1:28" ht="15.75" hidden="1" customHeight="1" outlineLevel="1">
      <c r="A368" s="76"/>
      <c r="B368" s="55"/>
      <c r="C368" s="21"/>
      <c r="D368" s="21"/>
      <c r="F368" s="64">
        <f>THC!$F$47</f>
        <v>0</v>
      </c>
      <c r="G368" s="64">
        <f>THC!$G$47</f>
        <v>0</v>
      </c>
      <c r="H368" s="64">
        <f>THC!$H$47</f>
        <v>0</v>
      </c>
      <c r="I368" s="64">
        <f>THC!$I$47</f>
        <v>0</v>
      </c>
      <c r="J368" s="64">
        <f>THC!$J$47</f>
        <v>0</v>
      </c>
      <c r="K368" s="64">
        <f>THC!$K$47</f>
        <v>0</v>
      </c>
      <c r="L368" s="65">
        <f>THC!$L$47</f>
        <v>0</v>
      </c>
      <c r="N368" s="97"/>
      <c r="O368" s="320"/>
      <c r="P368" s="98"/>
      <c r="Q368" s="93"/>
      <c r="R368" s="93"/>
      <c r="S368" s="93"/>
      <c r="T368" s="94"/>
      <c r="U368" s="95"/>
      <c r="V368" s="99"/>
      <c r="W368" s="93"/>
      <c r="X368" s="101"/>
      <c r="Y368" s="92"/>
      <c r="Z368" s="100"/>
      <c r="AB368" s="24"/>
    </row>
    <row r="369" spans="1:28" ht="15.75" hidden="1" customHeight="1" outlineLevel="1">
      <c r="A369" s="76"/>
      <c r="B369" s="55"/>
      <c r="C369" s="21"/>
      <c r="D369" s="21"/>
      <c r="F369" s="64">
        <f>TTUHSC!$F$47</f>
        <v>509291</v>
      </c>
      <c r="G369" s="64">
        <f>TTUHSC!$G$47</f>
        <v>963902</v>
      </c>
      <c r="H369" s="64">
        <f>TTUHSC!$H$47</f>
        <v>619634</v>
      </c>
      <c r="I369" s="64">
        <f>TTUHSC!$I$47</f>
        <v>590036</v>
      </c>
      <c r="J369" s="64">
        <f>TTUHSC!$J$47</f>
        <v>192568</v>
      </c>
      <c r="K369" s="64">
        <f>TTUHSC!$K$47</f>
        <v>174701</v>
      </c>
      <c r="L369" s="65">
        <f>TTUHSC!$L$47</f>
        <v>3050132</v>
      </c>
      <c r="N369" s="97"/>
      <c r="O369" s="320"/>
      <c r="P369" s="98"/>
      <c r="Q369" s="93"/>
      <c r="R369" s="93"/>
      <c r="S369" s="93"/>
      <c r="T369" s="94"/>
      <c r="U369" s="95"/>
      <c r="V369" s="99"/>
      <c r="W369" s="93"/>
      <c r="X369" s="101"/>
      <c r="Y369" s="92"/>
      <c r="Z369" s="100"/>
      <c r="AB369" s="24"/>
    </row>
    <row r="370" spans="1:28" ht="15.75" hidden="1" customHeight="1" outlineLevel="1">
      <c r="A370" s="76"/>
      <c r="B370" s="55"/>
      <c r="C370" s="21"/>
      <c r="D370" s="21"/>
      <c r="F370" s="64">
        <f>UNTHSC!$F$47</f>
        <v>114194</v>
      </c>
      <c r="G370" s="64">
        <f>UNTHSC!$G$47</f>
        <v>0</v>
      </c>
      <c r="H370" s="64">
        <f>UNTHSC!$H$47</f>
        <v>0</v>
      </c>
      <c r="I370" s="64">
        <f>UNTHSC!$I$47</f>
        <v>14976</v>
      </c>
      <c r="J370" s="64">
        <f>UNTHSC!$J$47</f>
        <v>80</v>
      </c>
      <c r="K370" s="64">
        <f>UNTHSC!$K$47</f>
        <v>0</v>
      </c>
      <c r="L370" s="65">
        <f>UNTHSC!$L$47</f>
        <v>129250</v>
      </c>
      <c r="N370" s="97"/>
      <c r="O370" s="320"/>
      <c r="P370" s="98"/>
      <c r="Q370" s="93"/>
      <c r="R370" s="93"/>
      <c r="S370" s="93"/>
      <c r="T370" s="94"/>
      <c r="U370" s="95"/>
      <c r="V370" s="99"/>
      <c r="W370" s="93"/>
      <c r="X370" s="101"/>
      <c r="Y370" s="92"/>
      <c r="Z370" s="100"/>
      <c r="AB370" s="24"/>
    </row>
    <row r="371" spans="1:28" ht="15.75" customHeight="1" collapsed="1">
      <c r="A371" s="76"/>
      <c r="B371" s="63" t="s">
        <v>546</v>
      </c>
      <c r="C371" s="21"/>
      <c r="D371" s="21"/>
      <c r="F371" s="64">
        <f t="shared" ref="F371:L371" si="27">SUM(F362:F370)</f>
        <v>40216367</v>
      </c>
      <c r="G371" s="64">
        <f t="shared" si="27"/>
        <v>3670199</v>
      </c>
      <c r="H371" s="64">
        <f t="shared" si="27"/>
        <v>5888775</v>
      </c>
      <c r="I371" s="64">
        <f t="shared" si="27"/>
        <v>9721743</v>
      </c>
      <c r="J371" s="64">
        <f t="shared" si="27"/>
        <v>2104359</v>
      </c>
      <c r="K371" s="64">
        <f t="shared" si="27"/>
        <v>7692023</v>
      </c>
      <c r="L371" s="65">
        <f t="shared" si="27"/>
        <v>69293466</v>
      </c>
      <c r="N371" s="97"/>
      <c r="O371" s="321" t="s">
        <v>636</v>
      </c>
      <c r="P371" s="98"/>
      <c r="Q371" s="93"/>
      <c r="R371" s="93"/>
      <c r="S371" s="93"/>
      <c r="T371" s="94"/>
      <c r="U371" s="95"/>
      <c r="V371" s="99"/>
      <c r="W371" s="93"/>
      <c r="X371" s="101"/>
      <c r="Y371" s="92"/>
      <c r="Z371" s="100"/>
      <c r="AB371" s="24"/>
    </row>
    <row r="372" spans="1:28" ht="15.75" hidden="1" customHeight="1" outlineLevel="1">
      <c r="A372" s="76"/>
      <c r="B372" s="63"/>
      <c r="C372" s="21"/>
      <c r="D372" s="21"/>
      <c r="F372" s="64">
        <f>HSH!$F$48</f>
        <v>2759354</v>
      </c>
      <c r="G372" s="64">
        <f>HSH!$G$48</f>
        <v>6408</v>
      </c>
      <c r="H372" s="64">
        <f>HSH!$H$48</f>
        <v>29881</v>
      </c>
      <c r="I372" s="64">
        <f>HSH!$I$48</f>
        <v>0</v>
      </c>
      <c r="J372" s="64">
        <f>HSH!$J$48</f>
        <v>273037</v>
      </c>
      <c r="K372" s="64">
        <f>HSH!$K$48</f>
        <v>55167</v>
      </c>
      <c r="L372" s="65">
        <f>HSH!$L$48</f>
        <v>3123847</v>
      </c>
      <c r="N372" s="97"/>
      <c r="O372" s="326"/>
      <c r="P372" s="98"/>
      <c r="Q372" s="93"/>
      <c r="R372" s="93"/>
      <c r="S372" s="93"/>
      <c r="T372" s="94"/>
      <c r="U372" s="95"/>
      <c r="V372" s="99"/>
      <c r="W372" s="93"/>
      <c r="X372" s="101"/>
      <c r="Y372" s="92"/>
      <c r="Z372" s="100"/>
      <c r="AB372" s="24"/>
    </row>
    <row r="373" spans="1:28" ht="15.75" hidden="1" customHeight="1" outlineLevel="1">
      <c r="A373" s="76"/>
      <c r="B373" s="63"/>
      <c r="C373" s="21"/>
      <c r="D373" s="21"/>
      <c r="F373" s="64">
        <f>HSSA!$F$48</f>
        <v>20708771</v>
      </c>
      <c r="G373" s="64">
        <f>HSSA!$G$48</f>
        <v>0</v>
      </c>
      <c r="H373" s="64">
        <f>HSSA!$H$48</f>
        <v>388019</v>
      </c>
      <c r="I373" s="64">
        <f>HSSA!$I$48</f>
        <v>0</v>
      </c>
      <c r="J373" s="64">
        <f>HSSA!$J$48</f>
        <v>1286588</v>
      </c>
      <c r="K373" s="64">
        <f>HSSA!$K$48</f>
        <v>174526</v>
      </c>
      <c r="L373" s="65">
        <f>HSSA!$L$48</f>
        <v>22557904</v>
      </c>
      <c r="N373" s="97"/>
      <c r="O373" s="326"/>
      <c r="P373" s="98"/>
      <c r="Q373" s="93"/>
      <c r="R373" s="93"/>
      <c r="S373" s="93"/>
      <c r="T373" s="94"/>
      <c r="U373" s="95"/>
      <c r="V373" s="99"/>
      <c r="W373" s="93"/>
      <c r="X373" s="101"/>
      <c r="Y373" s="92"/>
      <c r="Z373" s="100"/>
      <c r="AB373" s="24"/>
    </row>
    <row r="374" spans="1:28" ht="15.75" hidden="1" customHeight="1" outlineLevel="1">
      <c r="A374" s="76"/>
      <c r="B374" s="63"/>
      <c r="C374" s="21"/>
      <c r="D374" s="21"/>
      <c r="F374" s="64">
        <f>MBG!$F$48</f>
        <v>325035</v>
      </c>
      <c r="G374" s="64">
        <f>MBG!$G$48</f>
        <v>0</v>
      </c>
      <c r="H374" s="64">
        <f>MBG!$H$48</f>
        <v>0</v>
      </c>
      <c r="I374" s="64">
        <f>MBG!$I$48</f>
        <v>0</v>
      </c>
      <c r="J374" s="64">
        <f>MBG!$J$48</f>
        <v>286186</v>
      </c>
      <c r="K374" s="64">
        <f>MBG!$K$48</f>
        <v>415022</v>
      </c>
      <c r="L374" s="65">
        <f>MBG!$L$48</f>
        <v>1026243</v>
      </c>
      <c r="N374" s="97"/>
      <c r="O374" s="326"/>
      <c r="P374" s="98"/>
      <c r="Q374" s="93"/>
      <c r="R374" s="93"/>
      <c r="S374" s="93"/>
      <c r="T374" s="94"/>
      <c r="U374" s="95"/>
      <c r="V374" s="99"/>
      <c r="W374" s="93"/>
      <c r="X374" s="101"/>
      <c r="Y374" s="92"/>
      <c r="Z374" s="100"/>
      <c r="AB374" s="24"/>
    </row>
    <row r="375" spans="1:28" ht="15.75" hidden="1" customHeight="1" outlineLevel="1">
      <c r="A375" s="76"/>
      <c r="B375" s="63"/>
      <c r="C375" s="21"/>
      <c r="D375" s="21"/>
      <c r="F375" s="64">
        <f>MDA!$F$48</f>
        <v>0</v>
      </c>
      <c r="G375" s="64">
        <f>MDA!$G$48</f>
        <v>0</v>
      </c>
      <c r="H375" s="64">
        <f>MDA!$H$48</f>
        <v>0</v>
      </c>
      <c r="I375" s="64">
        <f>MDA!$I$48</f>
        <v>0</v>
      </c>
      <c r="J375" s="64">
        <f>MDA!$J$48</f>
        <v>0</v>
      </c>
      <c r="K375" s="64">
        <f>MDA!$K$48</f>
        <v>0</v>
      </c>
      <c r="L375" s="65">
        <f>MDA!$L$48</f>
        <v>0</v>
      </c>
      <c r="N375" s="97"/>
      <c r="O375" s="326"/>
      <c r="P375" s="98"/>
      <c r="Q375" s="93"/>
      <c r="R375" s="93"/>
      <c r="S375" s="93"/>
      <c r="T375" s="94"/>
      <c r="U375" s="95"/>
      <c r="V375" s="99"/>
      <c r="W375" s="93"/>
      <c r="X375" s="101"/>
      <c r="Y375" s="92"/>
      <c r="Z375" s="100"/>
      <c r="AB375" s="24"/>
    </row>
    <row r="376" spans="1:28" ht="15.75" hidden="1" customHeight="1" outlineLevel="1">
      <c r="A376" s="76"/>
      <c r="B376" s="63"/>
      <c r="C376" s="21"/>
      <c r="D376" s="21"/>
      <c r="F376" s="64">
        <f>SWM!$F$48</f>
        <v>20270635</v>
      </c>
      <c r="G376" s="64">
        <f>SWM!$G$48</f>
        <v>320640</v>
      </c>
      <c r="H376" s="64">
        <f>SWM!$H$48</f>
        <v>0</v>
      </c>
      <c r="I376" s="64">
        <f>SWM!$I$48</f>
        <v>80797</v>
      </c>
      <c r="J376" s="64">
        <f>SWM!$J$48</f>
        <v>824241</v>
      </c>
      <c r="K376" s="64">
        <f>SWM!$K$48</f>
        <v>3227401</v>
      </c>
      <c r="L376" s="65">
        <f>SWM!$L$48</f>
        <v>24723714</v>
      </c>
      <c r="N376" s="97"/>
      <c r="O376" s="326"/>
      <c r="P376" s="98"/>
      <c r="Q376" s="93"/>
      <c r="R376" s="93"/>
      <c r="S376" s="93"/>
      <c r="T376" s="94"/>
      <c r="U376" s="95"/>
      <c r="V376" s="99"/>
      <c r="W376" s="93"/>
      <c r="X376" s="101"/>
      <c r="Y376" s="92"/>
      <c r="Z376" s="100"/>
      <c r="AB376" s="24"/>
    </row>
    <row r="377" spans="1:28" ht="15.75" hidden="1" customHeight="1" outlineLevel="1">
      <c r="A377" s="76"/>
      <c r="B377" s="63"/>
      <c r="C377" s="21"/>
      <c r="D377" s="21"/>
      <c r="F377" s="64">
        <f>TAMHSC!$F$48</f>
        <v>3443521</v>
      </c>
      <c r="G377" s="64">
        <f>TAMHSC!$G$48</f>
        <v>0</v>
      </c>
      <c r="H377" s="64">
        <f>TAMHSC!$H$48</f>
        <v>0</v>
      </c>
      <c r="I377" s="64">
        <f>TAMHSC!$I$48</f>
        <v>0</v>
      </c>
      <c r="J377" s="64">
        <f>TAMHSC!$J$48</f>
        <v>0</v>
      </c>
      <c r="K377" s="64">
        <f>TAMHSC!$K$48</f>
        <v>138198</v>
      </c>
      <c r="L377" s="65">
        <f>TAMHSC!$L$48</f>
        <v>3581719</v>
      </c>
      <c r="N377" s="97"/>
      <c r="O377" s="326"/>
      <c r="P377" s="98"/>
      <c r="Q377" s="93"/>
      <c r="R377" s="93"/>
      <c r="S377" s="93"/>
      <c r="T377" s="94"/>
      <c r="U377" s="95"/>
      <c r="V377" s="99"/>
      <c r="W377" s="93"/>
      <c r="X377" s="101"/>
      <c r="Y377" s="92"/>
      <c r="Z377" s="100"/>
      <c r="AB377" s="24"/>
    </row>
    <row r="378" spans="1:28" ht="15.75" hidden="1" customHeight="1" outlineLevel="1">
      <c r="A378" s="76"/>
      <c r="B378" s="63"/>
      <c r="C378" s="21"/>
      <c r="D378" s="21"/>
      <c r="F378" s="64">
        <f>THC!$F$48</f>
        <v>0</v>
      </c>
      <c r="G378" s="64">
        <f>THC!$G$48</f>
        <v>0</v>
      </c>
      <c r="H378" s="64">
        <f>THC!$H$48</f>
        <v>0</v>
      </c>
      <c r="I378" s="64">
        <f>THC!$I$48</f>
        <v>0</v>
      </c>
      <c r="J378" s="64">
        <f>THC!$J$48</f>
        <v>0</v>
      </c>
      <c r="K378" s="64">
        <f>THC!$K$48</f>
        <v>0</v>
      </c>
      <c r="L378" s="65">
        <f>THC!$L$48</f>
        <v>0</v>
      </c>
      <c r="N378" s="97"/>
      <c r="O378" s="326"/>
      <c r="P378" s="98"/>
      <c r="Q378" s="93"/>
      <c r="R378" s="93"/>
      <c r="S378" s="93"/>
      <c r="T378" s="94"/>
      <c r="U378" s="95"/>
      <c r="V378" s="99"/>
      <c r="W378" s="93"/>
      <c r="X378" s="101"/>
      <c r="Y378" s="92"/>
      <c r="Z378" s="100"/>
      <c r="AB378" s="24"/>
    </row>
    <row r="379" spans="1:28" ht="15.75" hidden="1" customHeight="1" outlineLevel="1">
      <c r="A379" s="76"/>
      <c r="B379" s="63"/>
      <c r="C379" s="21"/>
      <c r="D379" s="21"/>
      <c r="F379" s="64">
        <f>TTUHSC!$F$48</f>
        <v>1141029</v>
      </c>
      <c r="G379" s="64">
        <f>TTUHSC!$G$48</f>
        <v>2252485</v>
      </c>
      <c r="H379" s="64">
        <f>TTUHSC!$H$48</f>
        <v>387998</v>
      </c>
      <c r="I379" s="64">
        <f>TTUHSC!$I$48</f>
        <v>830984</v>
      </c>
      <c r="J379" s="64">
        <f>TTUHSC!$J$48</f>
        <v>200533</v>
      </c>
      <c r="K379" s="64">
        <f>TTUHSC!$K$48</f>
        <v>168435</v>
      </c>
      <c r="L379" s="65">
        <f>TTUHSC!$L$48</f>
        <v>4981464</v>
      </c>
      <c r="N379" s="97"/>
      <c r="O379" s="326"/>
      <c r="P379" s="98"/>
      <c r="Q379" s="93"/>
      <c r="R379" s="93"/>
      <c r="S379" s="93"/>
      <c r="T379" s="94"/>
      <c r="U379" s="95"/>
      <c r="V379" s="99"/>
      <c r="W379" s="93"/>
      <c r="X379" s="101"/>
      <c r="Y379" s="92"/>
      <c r="Z379" s="100"/>
      <c r="AB379" s="24"/>
    </row>
    <row r="380" spans="1:28" ht="15.75" hidden="1" customHeight="1" outlineLevel="1">
      <c r="A380" s="76"/>
      <c r="B380" s="63"/>
      <c r="C380" s="21"/>
      <c r="D380" s="21"/>
      <c r="F380" s="64">
        <f>UNTHSC!$F$48</f>
        <v>1260051</v>
      </c>
      <c r="G380" s="64">
        <f>UNTHSC!$G$48</f>
        <v>0</v>
      </c>
      <c r="H380" s="64">
        <f>UNTHSC!$H$48</f>
        <v>0</v>
      </c>
      <c r="I380" s="64">
        <f>UNTHSC!$I$48</f>
        <v>19766</v>
      </c>
      <c r="J380" s="64">
        <f>UNTHSC!$J$48</f>
        <v>5612</v>
      </c>
      <c r="K380" s="64">
        <f>UNTHSC!$K$48</f>
        <v>415483</v>
      </c>
      <c r="L380" s="65">
        <f>UNTHSC!$L$48</f>
        <v>1700912</v>
      </c>
      <c r="N380" s="97"/>
      <c r="O380" s="326"/>
      <c r="P380" s="98"/>
      <c r="Q380" s="93"/>
      <c r="R380" s="93"/>
      <c r="S380" s="93"/>
      <c r="T380" s="94"/>
      <c r="U380" s="95"/>
      <c r="V380" s="99"/>
      <c r="W380" s="93"/>
      <c r="X380" s="101"/>
      <c r="Y380" s="92"/>
      <c r="Z380" s="100"/>
      <c r="AB380" s="24"/>
    </row>
    <row r="381" spans="1:28" ht="15.75" customHeight="1" collapsed="1">
      <c r="A381" s="76"/>
      <c r="B381" s="55" t="s">
        <v>547</v>
      </c>
      <c r="C381" s="21"/>
      <c r="D381" s="21"/>
      <c r="F381" s="64">
        <f t="shared" ref="F381:L381" si="28">SUM(F372:F380)</f>
        <v>49908396</v>
      </c>
      <c r="G381" s="64">
        <f t="shared" si="28"/>
        <v>2579533</v>
      </c>
      <c r="H381" s="64">
        <f t="shared" si="28"/>
        <v>805898</v>
      </c>
      <c r="I381" s="64">
        <f t="shared" si="28"/>
        <v>931547</v>
      </c>
      <c r="J381" s="64">
        <f t="shared" si="28"/>
        <v>2876197</v>
      </c>
      <c r="K381" s="64">
        <f t="shared" si="28"/>
        <v>4594232</v>
      </c>
      <c r="L381" s="65">
        <f t="shared" si="28"/>
        <v>61695803</v>
      </c>
      <c r="N381" s="97"/>
      <c r="P381" s="98"/>
      <c r="Q381" s="93"/>
      <c r="R381" s="93"/>
      <c r="S381" s="93"/>
      <c r="T381" s="94"/>
      <c r="U381" s="95"/>
      <c r="V381" s="99"/>
      <c r="W381" s="93"/>
      <c r="X381" s="101"/>
      <c r="Y381" s="92"/>
      <c r="Z381" s="100"/>
      <c r="AB381" s="24"/>
    </row>
    <row r="382" spans="1:28" ht="15.75" hidden="1" customHeight="1" outlineLevel="1">
      <c r="A382" s="76"/>
      <c r="B382" s="55"/>
      <c r="C382" s="21"/>
      <c r="D382" s="21"/>
      <c r="F382" s="64">
        <f>HSH!$F$49</f>
        <v>0</v>
      </c>
      <c r="G382" s="64">
        <f>HSH!$G$49</f>
        <v>0</v>
      </c>
      <c r="H382" s="64">
        <f>HSH!$H$49</f>
        <v>0</v>
      </c>
      <c r="I382" s="64">
        <f>HSH!$I$49</f>
        <v>0</v>
      </c>
      <c r="J382" s="64">
        <f>HSH!$J$49</f>
        <v>0</v>
      </c>
      <c r="K382" s="64">
        <f>HSH!$K$49</f>
        <v>0</v>
      </c>
      <c r="L382" s="65">
        <f>HSH!$L$49</f>
        <v>0</v>
      </c>
      <c r="N382" s="97"/>
      <c r="P382" s="98"/>
      <c r="Q382" s="93"/>
      <c r="R382" s="93"/>
      <c r="S382" s="93"/>
      <c r="T382" s="94"/>
      <c r="U382" s="95"/>
      <c r="V382" s="99"/>
      <c r="W382" s="93"/>
      <c r="X382" s="101"/>
      <c r="Y382" s="92"/>
      <c r="Z382" s="100"/>
      <c r="AB382" s="24"/>
    </row>
    <row r="383" spans="1:28" ht="15.75" hidden="1" customHeight="1" outlineLevel="1">
      <c r="A383" s="76"/>
      <c r="B383" s="55"/>
      <c r="C383" s="21"/>
      <c r="D383" s="21"/>
      <c r="F383" s="64">
        <f>HSSA!$F$49</f>
        <v>0</v>
      </c>
      <c r="G383" s="64">
        <f>HSSA!$G$49</f>
        <v>0</v>
      </c>
      <c r="H383" s="64">
        <f>HSSA!$H$49</f>
        <v>0</v>
      </c>
      <c r="I383" s="64">
        <f>HSSA!$I$49</f>
        <v>0</v>
      </c>
      <c r="J383" s="64">
        <f>HSSA!$J$49</f>
        <v>0</v>
      </c>
      <c r="K383" s="64">
        <f>HSSA!$K$49</f>
        <v>0</v>
      </c>
      <c r="L383" s="65">
        <f>HSSA!$L$49</f>
        <v>0</v>
      </c>
      <c r="N383" s="97"/>
      <c r="P383" s="98"/>
      <c r="Q383" s="93"/>
      <c r="R383" s="93"/>
      <c r="S383" s="93"/>
      <c r="T383" s="94"/>
      <c r="U383" s="95"/>
      <c r="V383" s="99"/>
      <c r="W383" s="93"/>
      <c r="X383" s="101"/>
      <c r="Y383" s="92"/>
      <c r="Z383" s="100"/>
      <c r="AB383" s="24"/>
    </row>
    <row r="384" spans="1:28" ht="15.75" hidden="1" customHeight="1" outlineLevel="1">
      <c r="A384" s="76"/>
      <c r="B384" s="55"/>
      <c r="C384" s="21"/>
      <c r="D384" s="21"/>
      <c r="F384" s="64">
        <f>MBG!$F$49</f>
        <v>0</v>
      </c>
      <c r="G384" s="64">
        <f>MBG!$G$49</f>
        <v>0</v>
      </c>
      <c r="H384" s="64">
        <f>MBG!$H$49</f>
        <v>0</v>
      </c>
      <c r="I384" s="64">
        <f>MBG!$I$49</f>
        <v>0</v>
      </c>
      <c r="J384" s="64">
        <f>MBG!$J$49</f>
        <v>0</v>
      </c>
      <c r="K384" s="64">
        <f>MBG!$K$49</f>
        <v>0</v>
      </c>
      <c r="L384" s="65">
        <f>MBG!$L$49</f>
        <v>0</v>
      </c>
      <c r="N384" s="97"/>
      <c r="P384" s="98"/>
      <c r="Q384" s="93"/>
      <c r="R384" s="93"/>
      <c r="S384" s="93"/>
      <c r="T384" s="94"/>
      <c r="U384" s="95"/>
      <c r="V384" s="99"/>
      <c r="W384" s="93"/>
      <c r="X384" s="101"/>
      <c r="Y384" s="92"/>
      <c r="Z384" s="100"/>
      <c r="AB384" s="24"/>
    </row>
    <row r="385" spans="1:28" ht="15.75" hidden="1" customHeight="1" outlineLevel="1">
      <c r="A385" s="76"/>
      <c r="B385" s="55"/>
      <c r="C385" s="21"/>
      <c r="D385" s="21"/>
      <c r="F385" s="64">
        <f>MDA!$F$49</f>
        <v>0</v>
      </c>
      <c r="G385" s="64">
        <f>MDA!$G$49</f>
        <v>0</v>
      </c>
      <c r="H385" s="64">
        <f>MDA!$H$49</f>
        <v>0</v>
      </c>
      <c r="I385" s="64">
        <f>MDA!$I$49</f>
        <v>0</v>
      </c>
      <c r="J385" s="64">
        <f>MDA!$J$49</f>
        <v>0</v>
      </c>
      <c r="K385" s="64">
        <f>MDA!$K$49</f>
        <v>0</v>
      </c>
      <c r="L385" s="65">
        <f>MDA!$L$49</f>
        <v>0</v>
      </c>
      <c r="N385" s="97"/>
      <c r="P385" s="98"/>
      <c r="Q385" s="93"/>
      <c r="R385" s="93"/>
      <c r="S385" s="93"/>
      <c r="T385" s="94"/>
      <c r="U385" s="95"/>
      <c r="V385" s="99"/>
      <c r="W385" s="93"/>
      <c r="X385" s="101"/>
      <c r="Y385" s="92"/>
      <c r="Z385" s="100"/>
      <c r="AB385" s="24"/>
    </row>
    <row r="386" spans="1:28" ht="15.75" hidden="1" customHeight="1" outlineLevel="1">
      <c r="A386" s="76"/>
      <c r="B386" s="55"/>
      <c r="C386" s="21"/>
      <c r="D386" s="21"/>
      <c r="F386" s="64">
        <f>SWM!$F$49</f>
        <v>0</v>
      </c>
      <c r="G386" s="64">
        <f>SWM!$G$49</f>
        <v>0</v>
      </c>
      <c r="H386" s="64">
        <f>SWM!$H$49</f>
        <v>0</v>
      </c>
      <c r="I386" s="64">
        <f>SWM!$I$49</f>
        <v>0</v>
      </c>
      <c r="J386" s="64">
        <f>SWM!$J$49</f>
        <v>0</v>
      </c>
      <c r="K386" s="64">
        <f>SWM!$K$49</f>
        <v>0</v>
      </c>
      <c r="L386" s="65">
        <f>SWM!$L$49</f>
        <v>0</v>
      </c>
      <c r="N386" s="97"/>
      <c r="P386" s="98"/>
      <c r="Q386" s="93"/>
      <c r="R386" s="93"/>
      <c r="S386" s="93"/>
      <c r="T386" s="94"/>
      <c r="U386" s="95"/>
      <c r="V386" s="99"/>
      <c r="W386" s="93"/>
      <c r="X386" s="101"/>
      <c r="Y386" s="92"/>
      <c r="Z386" s="100"/>
      <c r="AB386" s="24"/>
    </row>
    <row r="387" spans="1:28" ht="15.75" hidden="1" customHeight="1" outlineLevel="1">
      <c r="A387" s="76"/>
      <c r="B387" s="55"/>
      <c r="C387" s="21"/>
      <c r="D387" s="21"/>
      <c r="F387" s="64">
        <f>TAMHSC!$F$49</f>
        <v>0</v>
      </c>
      <c r="G387" s="64">
        <f>TAMHSC!$G$49</f>
        <v>0</v>
      </c>
      <c r="H387" s="64">
        <f>TAMHSC!$H$49</f>
        <v>0</v>
      </c>
      <c r="I387" s="64">
        <f>TAMHSC!$I$49</f>
        <v>0</v>
      </c>
      <c r="J387" s="64">
        <f>TAMHSC!$J$49</f>
        <v>0</v>
      </c>
      <c r="K387" s="64">
        <f>TAMHSC!$K$49</f>
        <v>0</v>
      </c>
      <c r="L387" s="65">
        <f>TAMHSC!$L$49</f>
        <v>0</v>
      </c>
      <c r="N387" s="97"/>
      <c r="P387" s="98"/>
      <c r="Q387" s="93"/>
      <c r="R387" s="93"/>
      <c r="S387" s="93"/>
      <c r="T387" s="94"/>
      <c r="U387" s="95"/>
      <c r="V387" s="99"/>
      <c r="W387" s="93"/>
      <c r="X387" s="101"/>
      <c r="Y387" s="92"/>
      <c r="Z387" s="100"/>
      <c r="AB387" s="24"/>
    </row>
    <row r="388" spans="1:28" ht="15.75" hidden="1" customHeight="1" outlineLevel="1">
      <c r="A388" s="76"/>
      <c r="B388" s="55"/>
      <c r="C388" s="21"/>
      <c r="D388" s="21"/>
      <c r="F388" s="64">
        <f>THC!$F$49</f>
        <v>0</v>
      </c>
      <c r="G388" s="64">
        <f>THC!$G$49</f>
        <v>0</v>
      </c>
      <c r="H388" s="64">
        <f>THC!$H$49</f>
        <v>0</v>
      </c>
      <c r="I388" s="64">
        <f>THC!$I$49</f>
        <v>0</v>
      </c>
      <c r="J388" s="64">
        <f>THC!$J$49</f>
        <v>0</v>
      </c>
      <c r="K388" s="64">
        <f>THC!$K$49</f>
        <v>0</v>
      </c>
      <c r="L388" s="65">
        <f>THC!$L$49</f>
        <v>0</v>
      </c>
      <c r="N388" s="97"/>
      <c r="P388" s="98"/>
      <c r="Q388" s="93"/>
      <c r="R388" s="93"/>
      <c r="S388" s="93"/>
      <c r="T388" s="94"/>
      <c r="U388" s="95"/>
      <c r="V388" s="99"/>
      <c r="W388" s="93"/>
      <c r="X388" s="101"/>
      <c r="Y388" s="92"/>
      <c r="Z388" s="100"/>
      <c r="AB388" s="24"/>
    </row>
    <row r="389" spans="1:28" ht="15.75" hidden="1" customHeight="1" outlineLevel="1">
      <c r="A389" s="76"/>
      <c r="B389" s="55"/>
      <c r="C389" s="21"/>
      <c r="D389" s="21"/>
      <c r="F389" s="64">
        <f>TTUHSC!$F$49</f>
        <v>0</v>
      </c>
      <c r="G389" s="64">
        <f>TTUHSC!$G$49</f>
        <v>0</v>
      </c>
      <c r="H389" s="64">
        <f>TTUHSC!$H$49</f>
        <v>0</v>
      </c>
      <c r="I389" s="64">
        <f>TTUHSC!$I$49</f>
        <v>0</v>
      </c>
      <c r="J389" s="64">
        <f>TTUHSC!$J$49</f>
        <v>0</v>
      </c>
      <c r="K389" s="64">
        <f>TTUHSC!$K$49</f>
        <v>0</v>
      </c>
      <c r="L389" s="65">
        <f>TTUHSC!$L$49</f>
        <v>0</v>
      </c>
      <c r="N389" s="97"/>
      <c r="P389" s="98"/>
      <c r="Q389" s="93"/>
      <c r="R389" s="93"/>
      <c r="S389" s="93"/>
      <c r="T389" s="94"/>
      <c r="U389" s="95"/>
      <c r="V389" s="99"/>
      <c r="W389" s="93"/>
      <c r="X389" s="101"/>
      <c r="Y389" s="92"/>
      <c r="Z389" s="100"/>
      <c r="AB389" s="24"/>
    </row>
    <row r="390" spans="1:28" ht="15.75" hidden="1" customHeight="1" outlineLevel="1">
      <c r="A390" s="76"/>
      <c r="B390" s="55"/>
      <c r="C390" s="21"/>
      <c r="D390" s="21"/>
      <c r="F390" s="64">
        <f>UNTHSC!$F$49</f>
        <v>0</v>
      </c>
      <c r="G390" s="64">
        <f>UNTHSC!$G$49</f>
        <v>0</v>
      </c>
      <c r="H390" s="64">
        <f>UNTHSC!$H$49</f>
        <v>0</v>
      </c>
      <c r="I390" s="64">
        <f>UNTHSC!$I$49</f>
        <v>0</v>
      </c>
      <c r="J390" s="64">
        <f>UNTHSC!$J$49</f>
        <v>0</v>
      </c>
      <c r="K390" s="64">
        <f>UNTHSC!$K$49</f>
        <v>0</v>
      </c>
      <c r="L390" s="65">
        <f>UNTHSC!$L$49</f>
        <v>0</v>
      </c>
      <c r="N390" s="97"/>
      <c r="P390" s="98"/>
      <c r="Q390" s="93"/>
      <c r="R390" s="93"/>
      <c r="S390" s="93"/>
      <c r="T390" s="94"/>
      <c r="U390" s="95"/>
      <c r="V390" s="99"/>
      <c r="W390" s="93"/>
      <c r="X390" s="101"/>
      <c r="Y390" s="92"/>
      <c r="Z390" s="100"/>
      <c r="AB390" s="24"/>
    </row>
    <row r="391" spans="1:28" ht="15.75" customHeight="1" collapsed="1">
      <c r="A391" s="76"/>
      <c r="B391" s="228" t="s">
        <v>548</v>
      </c>
      <c r="C391" s="21"/>
      <c r="D391" s="21"/>
      <c r="F391" s="64">
        <f t="shared" ref="F391:L391" si="29">SUM(F382:F390)</f>
        <v>0</v>
      </c>
      <c r="G391" s="64">
        <f t="shared" si="29"/>
        <v>0</v>
      </c>
      <c r="H391" s="64">
        <f t="shared" si="29"/>
        <v>0</v>
      </c>
      <c r="I391" s="64">
        <f t="shared" si="29"/>
        <v>0</v>
      </c>
      <c r="J391" s="64">
        <f t="shared" si="29"/>
        <v>0</v>
      </c>
      <c r="K391" s="64">
        <f t="shared" si="29"/>
        <v>0</v>
      </c>
      <c r="L391" s="65">
        <f t="shared" si="29"/>
        <v>0</v>
      </c>
      <c r="N391" s="97"/>
      <c r="P391" s="98"/>
      <c r="Q391" s="93"/>
      <c r="R391" s="93"/>
      <c r="S391" s="93"/>
      <c r="T391" s="94"/>
      <c r="U391" s="95"/>
      <c r="V391" s="99"/>
      <c r="W391" s="93"/>
      <c r="X391" s="101"/>
      <c r="Y391" s="92"/>
      <c r="Z391" s="100"/>
      <c r="AB391" s="24"/>
    </row>
    <row r="392" spans="1:28" ht="15.75" hidden="1" customHeight="1" outlineLevel="1">
      <c r="A392" s="76"/>
      <c r="B392" s="228"/>
      <c r="C392" s="21"/>
      <c r="D392" s="21"/>
      <c r="F392" s="64">
        <f>HSH!$F$50</f>
        <v>0</v>
      </c>
      <c r="G392" s="64">
        <f>HSH!$G$50</f>
        <v>0</v>
      </c>
      <c r="H392" s="64">
        <f>HSH!$H$50</f>
        <v>0</v>
      </c>
      <c r="I392" s="64">
        <f>HSH!$I$50</f>
        <v>0</v>
      </c>
      <c r="J392" s="64">
        <f>HSH!$J$50</f>
        <v>0</v>
      </c>
      <c r="K392" s="64">
        <f>HSH!$K$50</f>
        <v>0</v>
      </c>
      <c r="L392" s="65">
        <f>HSH!$L$50</f>
        <v>0</v>
      </c>
      <c r="N392" s="97"/>
      <c r="P392" s="98"/>
      <c r="Q392" s="93"/>
      <c r="R392" s="93"/>
      <c r="S392" s="93"/>
      <c r="T392" s="94"/>
      <c r="U392" s="95"/>
      <c r="V392" s="99"/>
      <c r="W392" s="93"/>
      <c r="X392" s="101"/>
      <c r="Y392" s="92"/>
      <c r="Z392" s="100"/>
      <c r="AB392" s="24"/>
    </row>
    <row r="393" spans="1:28" ht="15.75" hidden="1" customHeight="1" outlineLevel="1">
      <c r="A393" s="76"/>
      <c r="B393" s="228"/>
      <c r="C393" s="21"/>
      <c r="D393" s="21"/>
      <c r="F393" s="64">
        <f>HSSA!$F$50</f>
        <v>0</v>
      </c>
      <c r="G393" s="64">
        <f>HSSA!$G$50</f>
        <v>0</v>
      </c>
      <c r="H393" s="64">
        <f>HSSA!$H$50</f>
        <v>0</v>
      </c>
      <c r="I393" s="64">
        <f>HSSA!$I$50</f>
        <v>0</v>
      </c>
      <c r="J393" s="64">
        <f>HSSA!$J$50</f>
        <v>0</v>
      </c>
      <c r="K393" s="64">
        <f>HSSA!$K$50</f>
        <v>0</v>
      </c>
      <c r="L393" s="65">
        <f>HSSA!$L$50</f>
        <v>0</v>
      </c>
      <c r="N393" s="97"/>
      <c r="P393" s="98"/>
      <c r="Q393" s="93"/>
      <c r="R393" s="93"/>
      <c r="S393" s="93"/>
      <c r="T393" s="94"/>
      <c r="U393" s="95"/>
      <c r="V393" s="99"/>
      <c r="W393" s="93"/>
      <c r="X393" s="101"/>
      <c r="Y393" s="92"/>
      <c r="Z393" s="100"/>
      <c r="AB393" s="24"/>
    </row>
    <row r="394" spans="1:28" ht="15.75" hidden="1" customHeight="1" outlineLevel="1">
      <c r="A394" s="76"/>
      <c r="B394" s="228"/>
      <c r="C394" s="21"/>
      <c r="D394" s="21"/>
      <c r="F394" s="64">
        <f>MBG!$F$50</f>
        <v>0</v>
      </c>
      <c r="G394" s="64">
        <f>MBG!$G$50</f>
        <v>0</v>
      </c>
      <c r="H394" s="64">
        <f>MBG!$H$50</f>
        <v>0</v>
      </c>
      <c r="I394" s="64">
        <f>MBG!$I$50</f>
        <v>0</v>
      </c>
      <c r="J394" s="64">
        <f>MBG!$J$50</f>
        <v>0</v>
      </c>
      <c r="K394" s="64">
        <f>MBG!$K$50</f>
        <v>0</v>
      </c>
      <c r="L394" s="65">
        <f>MBG!$L$50</f>
        <v>0</v>
      </c>
      <c r="N394" s="97"/>
      <c r="P394" s="98"/>
      <c r="Q394" s="93"/>
      <c r="R394" s="93"/>
      <c r="S394" s="93"/>
      <c r="T394" s="94"/>
      <c r="U394" s="95"/>
      <c r="V394" s="99"/>
      <c r="W394" s="93"/>
      <c r="X394" s="101"/>
      <c r="Y394" s="92"/>
      <c r="Z394" s="100"/>
      <c r="AB394" s="24"/>
    </row>
    <row r="395" spans="1:28" ht="15.75" hidden="1" customHeight="1" outlineLevel="1">
      <c r="A395" s="76"/>
      <c r="B395" s="228"/>
      <c r="C395" s="21"/>
      <c r="D395" s="21"/>
      <c r="F395" s="64">
        <f>MDA!$F$50</f>
        <v>0</v>
      </c>
      <c r="G395" s="64">
        <f>MDA!$G$50</f>
        <v>0</v>
      </c>
      <c r="H395" s="64">
        <f>MDA!$H$50</f>
        <v>0</v>
      </c>
      <c r="I395" s="64">
        <f>MDA!$I$50</f>
        <v>0</v>
      </c>
      <c r="J395" s="64">
        <f>MDA!$J$50</f>
        <v>0</v>
      </c>
      <c r="K395" s="64">
        <f>MDA!$K$50</f>
        <v>0</v>
      </c>
      <c r="L395" s="65">
        <f>MDA!$L$50</f>
        <v>0</v>
      </c>
      <c r="N395" s="97"/>
      <c r="P395" s="98"/>
      <c r="Q395" s="93"/>
      <c r="R395" s="93"/>
      <c r="S395" s="93"/>
      <c r="T395" s="94"/>
      <c r="U395" s="95"/>
      <c r="V395" s="99"/>
      <c r="W395" s="93"/>
      <c r="X395" s="101"/>
      <c r="Y395" s="92"/>
      <c r="Z395" s="100"/>
      <c r="AB395" s="24"/>
    </row>
    <row r="396" spans="1:28" ht="15.75" hidden="1" customHeight="1" outlineLevel="1">
      <c r="A396" s="76"/>
      <c r="B396" s="228"/>
      <c r="C396" s="21"/>
      <c r="D396" s="21"/>
      <c r="F396" s="64">
        <f>SWM!$F$50</f>
        <v>0</v>
      </c>
      <c r="G396" s="64">
        <f>SWM!$G$50</f>
        <v>0</v>
      </c>
      <c r="H396" s="64">
        <f>SWM!$H$50</f>
        <v>0</v>
      </c>
      <c r="I396" s="64">
        <f>SWM!$I$50</f>
        <v>0</v>
      </c>
      <c r="J396" s="64">
        <f>SWM!$J$50</f>
        <v>0</v>
      </c>
      <c r="K396" s="64">
        <f>SWM!$K$50</f>
        <v>0</v>
      </c>
      <c r="L396" s="65">
        <f>SWM!$L$50</f>
        <v>0</v>
      </c>
      <c r="N396" s="97"/>
      <c r="P396" s="98"/>
      <c r="Q396" s="93"/>
      <c r="R396" s="93"/>
      <c r="S396" s="93"/>
      <c r="T396" s="94"/>
      <c r="U396" s="95"/>
      <c r="V396" s="99"/>
      <c r="W396" s="93"/>
      <c r="X396" s="101"/>
      <c r="Y396" s="92"/>
      <c r="Z396" s="100"/>
      <c r="AB396" s="24"/>
    </row>
    <row r="397" spans="1:28" ht="15.75" hidden="1" customHeight="1" outlineLevel="1">
      <c r="A397" s="76"/>
      <c r="B397" s="228"/>
      <c r="C397" s="21"/>
      <c r="D397" s="21"/>
      <c r="F397" s="64">
        <f>TAMHSC!$F$50</f>
        <v>0</v>
      </c>
      <c r="G397" s="64">
        <f>TAMHSC!$G$50</f>
        <v>0</v>
      </c>
      <c r="H397" s="64">
        <f>TAMHSC!$H$50</f>
        <v>0</v>
      </c>
      <c r="I397" s="64">
        <f>TAMHSC!$I$50</f>
        <v>0</v>
      </c>
      <c r="J397" s="64">
        <f>TAMHSC!$J$50</f>
        <v>0</v>
      </c>
      <c r="K397" s="64">
        <f>TAMHSC!$K$50</f>
        <v>0</v>
      </c>
      <c r="L397" s="65">
        <f>TAMHSC!$L$50</f>
        <v>0</v>
      </c>
      <c r="N397" s="97"/>
      <c r="P397" s="98"/>
      <c r="Q397" s="93"/>
      <c r="R397" s="93"/>
      <c r="S397" s="93"/>
      <c r="T397" s="94"/>
      <c r="U397" s="95"/>
      <c r="V397" s="99"/>
      <c r="W397" s="93"/>
      <c r="X397" s="101"/>
      <c r="Y397" s="92"/>
      <c r="Z397" s="100"/>
      <c r="AB397" s="24"/>
    </row>
    <row r="398" spans="1:28" ht="15.75" hidden="1" customHeight="1" outlineLevel="1">
      <c r="A398" s="76"/>
      <c r="B398" s="228"/>
      <c r="C398" s="21"/>
      <c r="D398" s="21"/>
      <c r="F398" s="64">
        <f>THC!$F$50</f>
        <v>0</v>
      </c>
      <c r="G398" s="64">
        <f>THC!$G$50</f>
        <v>0</v>
      </c>
      <c r="H398" s="64">
        <f>THC!$H$50</f>
        <v>0</v>
      </c>
      <c r="I398" s="64">
        <f>THC!$I$50</f>
        <v>0</v>
      </c>
      <c r="J398" s="64">
        <f>THC!$J$50</f>
        <v>0</v>
      </c>
      <c r="K398" s="64">
        <f>THC!$K$50</f>
        <v>0</v>
      </c>
      <c r="L398" s="65">
        <f>THC!$L$50</f>
        <v>0</v>
      </c>
      <c r="N398" s="97"/>
      <c r="P398" s="98"/>
      <c r="Q398" s="93"/>
      <c r="R398" s="93"/>
      <c r="S398" s="93"/>
      <c r="T398" s="94"/>
      <c r="U398" s="95"/>
      <c r="V398" s="99"/>
      <c r="W398" s="93"/>
      <c r="X398" s="101"/>
      <c r="Y398" s="92"/>
      <c r="Z398" s="100"/>
      <c r="AB398" s="24"/>
    </row>
    <row r="399" spans="1:28" ht="15.75" hidden="1" customHeight="1" outlineLevel="1">
      <c r="A399" s="76"/>
      <c r="B399" s="228"/>
      <c r="C399" s="21"/>
      <c r="D399" s="21"/>
      <c r="F399" s="64">
        <f>TTUHSC!$F$50</f>
        <v>0</v>
      </c>
      <c r="G399" s="64">
        <f>TTUHSC!$G$50</f>
        <v>0</v>
      </c>
      <c r="H399" s="64">
        <f>TTUHSC!$H$50</f>
        <v>0</v>
      </c>
      <c r="I399" s="64">
        <f>TTUHSC!$I$50</f>
        <v>0</v>
      </c>
      <c r="J399" s="64">
        <f>TTUHSC!$J$50</f>
        <v>0</v>
      </c>
      <c r="K399" s="64">
        <f>TTUHSC!$K$50</f>
        <v>0</v>
      </c>
      <c r="L399" s="65">
        <f>TTUHSC!$L$50</f>
        <v>0</v>
      </c>
      <c r="N399" s="97"/>
      <c r="P399" s="98"/>
      <c r="Q399" s="93"/>
      <c r="R399" s="93"/>
      <c r="S399" s="93"/>
      <c r="T399" s="94"/>
      <c r="U399" s="95"/>
      <c r="V399" s="99"/>
      <c r="W399" s="93"/>
      <c r="X399" s="101"/>
      <c r="Y399" s="92"/>
      <c r="Z399" s="100"/>
      <c r="AB399" s="24"/>
    </row>
    <row r="400" spans="1:28" ht="15.75" hidden="1" customHeight="1" outlineLevel="1">
      <c r="A400" s="76"/>
      <c r="B400" s="228"/>
      <c r="C400" s="21"/>
      <c r="D400" s="21"/>
      <c r="F400" s="64">
        <f>UNTHSC!$F$50</f>
        <v>0</v>
      </c>
      <c r="G400" s="64">
        <f>UNTHSC!$G$50</f>
        <v>0</v>
      </c>
      <c r="H400" s="64">
        <f>UNTHSC!$H$50</f>
        <v>0</v>
      </c>
      <c r="I400" s="64">
        <f>UNTHSC!$I$50</f>
        <v>0</v>
      </c>
      <c r="J400" s="64">
        <f>UNTHSC!$J$50</f>
        <v>0</v>
      </c>
      <c r="K400" s="64">
        <f>UNTHSC!$K$50</f>
        <v>0</v>
      </c>
      <c r="L400" s="65">
        <f>UNTHSC!$L$50</f>
        <v>0</v>
      </c>
      <c r="N400" s="97"/>
      <c r="P400" s="98"/>
      <c r="Q400" s="93"/>
      <c r="R400" s="93"/>
      <c r="S400" s="93"/>
      <c r="T400" s="94"/>
      <c r="U400" s="95"/>
      <c r="V400" s="99"/>
      <c r="W400" s="93"/>
      <c r="X400" s="101"/>
      <c r="Y400" s="92"/>
      <c r="Z400" s="100"/>
      <c r="AB400" s="24"/>
    </row>
    <row r="401" spans="1:28" ht="15.75" customHeight="1" collapsed="1">
      <c r="A401" s="76"/>
      <c r="B401" s="228" t="s">
        <v>549</v>
      </c>
      <c r="C401" s="21"/>
      <c r="D401" s="21"/>
      <c r="F401" s="64">
        <f t="shared" ref="F401:L401" si="30">SUM(F392:F400)</f>
        <v>0</v>
      </c>
      <c r="G401" s="64">
        <f t="shared" si="30"/>
        <v>0</v>
      </c>
      <c r="H401" s="64">
        <f t="shared" si="30"/>
        <v>0</v>
      </c>
      <c r="I401" s="64">
        <f t="shared" si="30"/>
        <v>0</v>
      </c>
      <c r="J401" s="64">
        <f t="shared" si="30"/>
        <v>0</v>
      </c>
      <c r="K401" s="64">
        <f t="shared" si="30"/>
        <v>0</v>
      </c>
      <c r="L401" s="65">
        <f t="shared" si="30"/>
        <v>0</v>
      </c>
      <c r="N401" s="97"/>
      <c r="P401" s="98"/>
      <c r="Q401" s="93"/>
      <c r="R401" s="93"/>
      <c r="S401" s="93"/>
      <c r="T401" s="94"/>
      <c r="U401" s="95"/>
      <c r="V401" s="99"/>
      <c r="W401" s="93"/>
      <c r="X401" s="101"/>
      <c r="Y401" s="92"/>
      <c r="Z401" s="100"/>
      <c r="AB401" s="24"/>
    </row>
    <row r="402" spans="1:28" ht="15.75" hidden="1" customHeight="1" outlineLevel="1">
      <c r="A402" s="76"/>
      <c r="B402" s="228"/>
      <c r="C402" s="21"/>
      <c r="D402" s="21"/>
      <c r="F402" s="64">
        <f>HSH!$F$51</f>
        <v>0</v>
      </c>
      <c r="G402" s="64">
        <f>HSH!$G$51</f>
        <v>0</v>
      </c>
      <c r="H402" s="64">
        <f>HSH!$H$51</f>
        <v>0</v>
      </c>
      <c r="I402" s="64">
        <f>HSH!$I$51</f>
        <v>0</v>
      </c>
      <c r="J402" s="64">
        <f>HSH!$J$51</f>
        <v>0</v>
      </c>
      <c r="K402" s="64">
        <f>HSH!$K$51</f>
        <v>0</v>
      </c>
      <c r="L402" s="65">
        <f>HSH!$L$51</f>
        <v>0</v>
      </c>
      <c r="N402" s="97"/>
      <c r="P402" s="98"/>
      <c r="Q402" s="93"/>
      <c r="R402" s="93"/>
      <c r="S402" s="93"/>
      <c r="T402" s="94"/>
      <c r="U402" s="95"/>
      <c r="V402" s="99"/>
      <c r="W402" s="93"/>
      <c r="X402" s="101"/>
      <c r="Y402" s="92"/>
      <c r="Z402" s="100"/>
      <c r="AB402" s="24"/>
    </row>
    <row r="403" spans="1:28" ht="15.75" hidden="1" customHeight="1" outlineLevel="1">
      <c r="A403" s="76"/>
      <c r="B403" s="228"/>
      <c r="C403" s="21"/>
      <c r="D403" s="21"/>
      <c r="F403" s="64">
        <f>HSSA!$F$51</f>
        <v>0</v>
      </c>
      <c r="G403" s="64">
        <f>HSSA!$G$51</f>
        <v>0</v>
      </c>
      <c r="H403" s="64">
        <f>HSSA!$H$51</f>
        <v>0</v>
      </c>
      <c r="I403" s="64">
        <f>HSSA!$I$51</f>
        <v>0</v>
      </c>
      <c r="J403" s="64">
        <f>HSSA!$J$51</f>
        <v>0</v>
      </c>
      <c r="K403" s="64">
        <f>HSSA!$K$51</f>
        <v>0</v>
      </c>
      <c r="L403" s="65">
        <f>HSSA!$L$51</f>
        <v>0</v>
      </c>
      <c r="N403" s="97"/>
      <c r="P403" s="98"/>
      <c r="Q403" s="93"/>
      <c r="R403" s="93"/>
      <c r="S403" s="93"/>
      <c r="T403" s="94"/>
      <c r="U403" s="95"/>
      <c r="V403" s="99"/>
      <c r="W403" s="93"/>
      <c r="X403" s="101"/>
      <c r="Y403" s="92"/>
      <c r="Z403" s="100"/>
      <c r="AB403" s="24"/>
    </row>
    <row r="404" spans="1:28" ht="15.75" hidden="1" customHeight="1" outlineLevel="1">
      <c r="A404" s="76"/>
      <c r="B404" s="228"/>
      <c r="C404" s="21"/>
      <c r="D404" s="21"/>
      <c r="F404" s="64">
        <f>MBG!$F$51</f>
        <v>0</v>
      </c>
      <c r="G404" s="64">
        <f>MBG!$G$51</f>
        <v>0</v>
      </c>
      <c r="H404" s="64">
        <f>MBG!$H$51</f>
        <v>0</v>
      </c>
      <c r="I404" s="64">
        <f>MBG!$I$51</f>
        <v>0</v>
      </c>
      <c r="J404" s="64">
        <f>MBG!$J$51</f>
        <v>0</v>
      </c>
      <c r="K404" s="64">
        <f>MBG!$K$51</f>
        <v>0</v>
      </c>
      <c r="L404" s="65">
        <f>MBG!$L$51</f>
        <v>0</v>
      </c>
      <c r="N404" s="97"/>
      <c r="P404" s="98"/>
      <c r="Q404" s="93"/>
      <c r="R404" s="93"/>
      <c r="S404" s="93"/>
      <c r="T404" s="94"/>
      <c r="U404" s="95"/>
      <c r="V404" s="99"/>
      <c r="W404" s="93"/>
      <c r="X404" s="101"/>
      <c r="Y404" s="92"/>
      <c r="Z404" s="100"/>
      <c r="AB404" s="24"/>
    </row>
    <row r="405" spans="1:28" ht="15.75" hidden="1" customHeight="1" outlineLevel="1">
      <c r="A405" s="76"/>
      <c r="B405" s="228"/>
      <c r="C405" s="21"/>
      <c r="D405" s="21"/>
      <c r="F405" s="64">
        <f>MDA!$F$51</f>
        <v>0</v>
      </c>
      <c r="G405" s="64">
        <f>MDA!$G$51</f>
        <v>0</v>
      </c>
      <c r="H405" s="64">
        <f>MDA!$H$51</f>
        <v>0</v>
      </c>
      <c r="I405" s="64">
        <f>MDA!$I$51</f>
        <v>0</v>
      </c>
      <c r="J405" s="64">
        <f>MDA!$J$51</f>
        <v>0</v>
      </c>
      <c r="K405" s="64">
        <f>MDA!$K$51</f>
        <v>0</v>
      </c>
      <c r="L405" s="65">
        <f>MDA!$L$51</f>
        <v>0</v>
      </c>
      <c r="N405" s="97"/>
      <c r="P405" s="98"/>
      <c r="Q405" s="93"/>
      <c r="R405" s="93"/>
      <c r="S405" s="93"/>
      <c r="T405" s="94"/>
      <c r="U405" s="95"/>
      <c r="V405" s="99"/>
      <c r="W405" s="93"/>
      <c r="X405" s="101"/>
      <c r="Y405" s="92"/>
      <c r="Z405" s="100"/>
      <c r="AB405" s="24"/>
    </row>
    <row r="406" spans="1:28" ht="15.75" hidden="1" customHeight="1" outlineLevel="1">
      <c r="A406" s="76"/>
      <c r="B406" s="228"/>
      <c r="C406" s="21"/>
      <c r="D406" s="21"/>
      <c r="F406" s="64">
        <f>SWM!$F$51</f>
        <v>0</v>
      </c>
      <c r="G406" s="64">
        <f>SWM!$G$51</f>
        <v>0</v>
      </c>
      <c r="H406" s="64">
        <f>SWM!$H$51</f>
        <v>0</v>
      </c>
      <c r="I406" s="64">
        <f>SWM!$I$51</f>
        <v>0</v>
      </c>
      <c r="J406" s="64">
        <f>SWM!$J$51</f>
        <v>0</v>
      </c>
      <c r="K406" s="64">
        <f>SWM!$K$51</f>
        <v>0</v>
      </c>
      <c r="L406" s="65">
        <f>SWM!$L$51</f>
        <v>0</v>
      </c>
      <c r="N406" s="97"/>
      <c r="P406" s="98"/>
      <c r="Q406" s="93"/>
      <c r="R406" s="93"/>
      <c r="S406" s="93"/>
      <c r="T406" s="94"/>
      <c r="U406" s="95"/>
      <c r="V406" s="99"/>
      <c r="W406" s="93"/>
      <c r="X406" s="101"/>
      <c r="Y406" s="92"/>
      <c r="Z406" s="100"/>
      <c r="AB406" s="24"/>
    </row>
    <row r="407" spans="1:28" ht="15.75" hidden="1" customHeight="1" outlineLevel="1">
      <c r="A407" s="76"/>
      <c r="B407" s="228"/>
      <c r="C407" s="21"/>
      <c r="D407" s="21"/>
      <c r="F407" s="64">
        <f>TAMHSC!$F$51</f>
        <v>0</v>
      </c>
      <c r="G407" s="64">
        <f>TAMHSC!$G$51</f>
        <v>0</v>
      </c>
      <c r="H407" s="64">
        <f>TAMHSC!$H$51</f>
        <v>0</v>
      </c>
      <c r="I407" s="64">
        <f>TAMHSC!$I$51</f>
        <v>0</v>
      </c>
      <c r="J407" s="64">
        <f>TAMHSC!$J$51</f>
        <v>0</v>
      </c>
      <c r="K407" s="64">
        <f>TAMHSC!$K$51</f>
        <v>0</v>
      </c>
      <c r="L407" s="65">
        <f>TAMHSC!$L$51</f>
        <v>0</v>
      </c>
      <c r="N407" s="97"/>
      <c r="P407" s="98"/>
      <c r="Q407" s="93"/>
      <c r="R407" s="93"/>
      <c r="S407" s="93"/>
      <c r="T407" s="94"/>
      <c r="U407" s="95"/>
      <c r="V407" s="99"/>
      <c r="W407" s="93"/>
      <c r="X407" s="101"/>
      <c r="Y407" s="92"/>
      <c r="Z407" s="100"/>
      <c r="AB407" s="24"/>
    </row>
    <row r="408" spans="1:28" ht="15.75" hidden="1" customHeight="1" outlineLevel="1">
      <c r="A408" s="76"/>
      <c r="B408" s="228"/>
      <c r="C408" s="21"/>
      <c r="D408" s="21"/>
      <c r="F408" s="64">
        <f>THC!$F$51</f>
        <v>0</v>
      </c>
      <c r="G408" s="64">
        <f>THC!$G$51</f>
        <v>0</v>
      </c>
      <c r="H408" s="64">
        <f>THC!$H$51</f>
        <v>0</v>
      </c>
      <c r="I408" s="64">
        <f>THC!$I$51</f>
        <v>0</v>
      </c>
      <c r="J408" s="64">
        <f>THC!$J$51</f>
        <v>0</v>
      </c>
      <c r="K408" s="64">
        <f>THC!$K$51</f>
        <v>0</v>
      </c>
      <c r="L408" s="65">
        <f>THC!$L$51</f>
        <v>0</v>
      </c>
      <c r="N408" s="97"/>
      <c r="P408" s="98"/>
      <c r="Q408" s="93"/>
      <c r="R408" s="93"/>
      <c r="S408" s="93"/>
      <c r="T408" s="94"/>
      <c r="U408" s="95"/>
      <c r="V408" s="99"/>
      <c r="W408" s="93"/>
      <c r="X408" s="101"/>
      <c r="Y408" s="92"/>
      <c r="Z408" s="100"/>
      <c r="AB408" s="24"/>
    </row>
    <row r="409" spans="1:28" ht="15.75" hidden="1" customHeight="1" outlineLevel="1">
      <c r="A409" s="76"/>
      <c r="B409" s="228"/>
      <c r="C409" s="21"/>
      <c r="D409" s="21"/>
      <c r="F409" s="64">
        <f>TTUHSC!$F$51</f>
        <v>0</v>
      </c>
      <c r="G409" s="64">
        <f>TTUHSC!$G$51</f>
        <v>0</v>
      </c>
      <c r="H409" s="64">
        <f>TTUHSC!$H$51</f>
        <v>0</v>
      </c>
      <c r="I409" s="64">
        <f>TTUHSC!$I$51</f>
        <v>0</v>
      </c>
      <c r="J409" s="64">
        <f>TTUHSC!$J$51</f>
        <v>0</v>
      </c>
      <c r="K409" s="64">
        <f>TTUHSC!$K$51</f>
        <v>0</v>
      </c>
      <c r="L409" s="65">
        <f>TTUHSC!$L$51</f>
        <v>0</v>
      </c>
      <c r="N409" s="97"/>
      <c r="P409" s="98"/>
      <c r="Q409" s="93"/>
      <c r="R409" s="93"/>
      <c r="S409" s="93"/>
      <c r="T409" s="94"/>
      <c r="U409" s="95"/>
      <c r="V409" s="99"/>
      <c r="W409" s="93"/>
      <c r="X409" s="101"/>
      <c r="Y409" s="92"/>
      <c r="Z409" s="100"/>
      <c r="AB409" s="24"/>
    </row>
    <row r="410" spans="1:28" ht="15.75" hidden="1" customHeight="1" outlineLevel="1">
      <c r="A410" s="76"/>
      <c r="B410" s="228"/>
      <c r="C410" s="21"/>
      <c r="D410" s="21"/>
      <c r="F410" s="64">
        <f>UNTHSC!$F$51</f>
        <v>0</v>
      </c>
      <c r="G410" s="64">
        <f>UNTHSC!$G$51</f>
        <v>0</v>
      </c>
      <c r="H410" s="64">
        <f>UNTHSC!$H$51</f>
        <v>0</v>
      </c>
      <c r="I410" s="64">
        <f>UNTHSC!$I$51</f>
        <v>0</v>
      </c>
      <c r="J410" s="64">
        <f>UNTHSC!$J$51</f>
        <v>0</v>
      </c>
      <c r="K410" s="64">
        <f>UNTHSC!$K$51</f>
        <v>0</v>
      </c>
      <c r="L410" s="65">
        <f>UNTHSC!$L$51</f>
        <v>0</v>
      </c>
      <c r="N410" s="97"/>
      <c r="P410" s="98"/>
      <c r="Q410" s="93"/>
      <c r="R410" s="93"/>
      <c r="S410" s="93"/>
      <c r="T410" s="94"/>
      <c r="U410" s="95"/>
      <c r="V410" s="99"/>
      <c r="W410" s="93"/>
      <c r="X410" s="101"/>
      <c r="Y410" s="92"/>
      <c r="Z410" s="100"/>
      <c r="AB410" s="24"/>
    </row>
    <row r="411" spans="1:28" ht="15.75" customHeight="1" collapsed="1">
      <c r="A411" s="76"/>
      <c r="B411" s="228" t="s">
        <v>550</v>
      </c>
      <c r="C411" s="21"/>
      <c r="D411" s="21"/>
      <c r="E411" s="21"/>
      <c r="F411" s="64">
        <f t="shared" ref="F411:L411" si="31">SUM(F402:F410)</f>
        <v>0</v>
      </c>
      <c r="G411" s="64">
        <f t="shared" si="31"/>
        <v>0</v>
      </c>
      <c r="H411" s="64">
        <f t="shared" si="31"/>
        <v>0</v>
      </c>
      <c r="I411" s="64">
        <f t="shared" si="31"/>
        <v>0</v>
      </c>
      <c r="J411" s="64">
        <f t="shared" si="31"/>
        <v>0</v>
      </c>
      <c r="K411" s="64">
        <f t="shared" si="31"/>
        <v>0</v>
      </c>
      <c r="L411" s="65">
        <f t="shared" si="31"/>
        <v>0</v>
      </c>
      <c r="N411" s="97"/>
      <c r="P411" s="98"/>
      <c r="Q411" s="93"/>
      <c r="R411" s="93"/>
      <c r="S411" s="93"/>
      <c r="T411" s="94"/>
      <c r="U411" s="95"/>
      <c r="V411" s="99"/>
      <c r="W411" s="93"/>
      <c r="X411" s="101"/>
      <c r="Y411" s="92"/>
      <c r="Z411" s="100"/>
      <c r="AB411" s="24"/>
    </row>
    <row r="412" spans="1:28" ht="15.75" hidden="1" customHeight="1" outlineLevel="1">
      <c r="A412" s="76"/>
      <c r="B412" s="228"/>
      <c r="C412" s="21"/>
      <c r="D412" s="21"/>
      <c r="E412" s="21"/>
      <c r="F412" s="64">
        <f>HSH!$F$52</f>
        <v>0</v>
      </c>
      <c r="G412" s="64">
        <f>HSH!$G$52</f>
        <v>0</v>
      </c>
      <c r="H412" s="64">
        <f>HSH!$H$52</f>
        <v>0</v>
      </c>
      <c r="I412" s="64">
        <f>HSH!$I$52</f>
        <v>0</v>
      </c>
      <c r="J412" s="64">
        <f>HSH!$J$52</f>
        <v>0</v>
      </c>
      <c r="K412" s="64">
        <f>HSH!$K$52</f>
        <v>0</v>
      </c>
      <c r="L412" s="65">
        <f>HSH!$L$52</f>
        <v>0</v>
      </c>
      <c r="N412" s="97"/>
      <c r="P412" s="98"/>
      <c r="Q412" s="93"/>
      <c r="R412" s="93"/>
      <c r="S412" s="93"/>
      <c r="T412" s="94"/>
      <c r="U412" s="95"/>
      <c r="V412" s="99"/>
      <c r="W412" s="93"/>
      <c r="X412" s="101"/>
      <c r="Y412" s="92"/>
      <c r="Z412" s="100"/>
      <c r="AB412" s="24"/>
    </row>
    <row r="413" spans="1:28" ht="15.75" hidden="1" customHeight="1" outlineLevel="1">
      <c r="A413" s="76"/>
      <c r="B413" s="228"/>
      <c r="C413" s="21"/>
      <c r="D413" s="21"/>
      <c r="E413" s="21"/>
      <c r="F413" s="64">
        <f>HSSA!$F$52</f>
        <v>0</v>
      </c>
      <c r="G413" s="64">
        <f>HSSA!$G$52</f>
        <v>0</v>
      </c>
      <c r="H413" s="64">
        <f>HSSA!$H$52</f>
        <v>0</v>
      </c>
      <c r="I413" s="64">
        <f>HSSA!$I$52</f>
        <v>0</v>
      </c>
      <c r="J413" s="64">
        <f>HSSA!$J$52</f>
        <v>0</v>
      </c>
      <c r="K413" s="64">
        <f>HSSA!$K$52</f>
        <v>0</v>
      </c>
      <c r="L413" s="65">
        <f>HSSA!$L$52</f>
        <v>0</v>
      </c>
      <c r="N413" s="97"/>
      <c r="P413" s="98"/>
      <c r="Q413" s="93"/>
      <c r="R413" s="93"/>
      <c r="S413" s="93"/>
      <c r="T413" s="94"/>
      <c r="U413" s="95"/>
      <c r="V413" s="99"/>
      <c r="W413" s="93"/>
      <c r="X413" s="101"/>
      <c r="Y413" s="92"/>
      <c r="Z413" s="100"/>
      <c r="AB413" s="24"/>
    </row>
    <row r="414" spans="1:28" ht="15.75" hidden="1" customHeight="1" outlineLevel="1">
      <c r="A414" s="76"/>
      <c r="B414" s="228"/>
      <c r="C414" s="21"/>
      <c r="D414" s="21"/>
      <c r="E414" s="21"/>
      <c r="F414" s="64">
        <f>MBG!$F$52</f>
        <v>0</v>
      </c>
      <c r="G414" s="64">
        <f>MBG!$G$52</f>
        <v>0</v>
      </c>
      <c r="H414" s="64">
        <f>MBG!$H$52</f>
        <v>0</v>
      </c>
      <c r="I414" s="64">
        <f>MBG!$I$52</f>
        <v>0</v>
      </c>
      <c r="J414" s="64">
        <f>MBG!$J$52</f>
        <v>0</v>
      </c>
      <c r="K414" s="64">
        <f>MBG!$K$52</f>
        <v>0</v>
      </c>
      <c r="L414" s="65">
        <f>MBG!$L$52</f>
        <v>0</v>
      </c>
      <c r="N414" s="97"/>
      <c r="P414" s="98"/>
      <c r="Q414" s="93"/>
      <c r="R414" s="93"/>
      <c r="S414" s="93"/>
      <c r="T414" s="94"/>
      <c r="U414" s="95"/>
      <c r="V414" s="99"/>
      <c r="W414" s="93"/>
      <c r="X414" s="101"/>
      <c r="Y414" s="92"/>
      <c r="Z414" s="100"/>
      <c r="AB414" s="24"/>
    </row>
    <row r="415" spans="1:28" ht="15.75" hidden="1" customHeight="1" outlineLevel="1">
      <c r="A415" s="76"/>
      <c r="B415" s="228"/>
      <c r="C415" s="21"/>
      <c r="D415" s="21"/>
      <c r="E415" s="21"/>
      <c r="F415" s="64">
        <f>MDA!$F$52</f>
        <v>0</v>
      </c>
      <c r="G415" s="64">
        <f>MDA!$G$52</f>
        <v>0</v>
      </c>
      <c r="H415" s="64">
        <f>MDA!$H$52</f>
        <v>0</v>
      </c>
      <c r="I415" s="64">
        <f>MDA!$I$52</f>
        <v>0</v>
      </c>
      <c r="J415" s="64">
        <f>MDA!$J$52</f>
        <v>0</v>
      </c>
      <c r="K415" s="64">
        <f>MDA!$K$52</f>
        <v>0</v>
      </c>
      <c r="L415" s="65">
        <f>MDA!$L$52</f>
        <v>0</v>
      </c>
      <c r="N415" s="97"/>
      <c r="P415" s="98"/>
      <c r="Q415" s="93"/>
      <c r="R415" s="93"/>
      <c r="S415" s="93"/>
      <c r="T415" s="94"/>
      <c r="U415" s="95"/>
      <c r="V415" s="99"/>
      <c r="W415" s="93"/>
      <c r="X415" s="101"/>
      <c r="Y415" s="92"/>
      <c r="Z415" s="100"/>
      <c r="AB415" s="24"/>
    </row>
    <row r="416" spans="1:28" ht="15.75" hidden="1" customHeight="1" outlineLevel="1">
      <c r="A416" s="76"/>
      <c r="B416" s="228"/>
      <c r="C416" s="21"/>
      <c r="D416" s="21"/>
      <c r="E416" s="21"/>
      <c r="F416" s="64">
        <f>SWM!$F$52</f>
        <v>0</v>
      </c>
      <c r="G416" s="64">
        <f>SWM!$G$52</f>
        <v>0</v>
      </c>
      <c r="H416" s="64">
        <f>SWM!$H$52</f>
        <v>0</v>
      </c>
      <c r="I416" s="64">
        <f>SWM!$I$52</f>
        <v>0</v>
      </c>
      <c r="J416" s="64">
        <f>SWM!$J$52</f>
        <v>0</v>
      </c>
      <c r="K416" s="64">
        <f>SWM!$K$52</f>
        <v>0</v>
      </c>
      <c r="L416" s="65">
        <f>SWM!$L$52</f>
        <v>0</v>
      </c>
      <c r="N416" s="97"/>
      <c r="P416" s="98"/>
      <c r="Q416" s="93"/>
      <c r="R416" s="93"/>
      <c r="S416" s="93"/>
      <c r="T416" s="94"/>
      <c r="U416" s="95"/>
      <c r="V416" s="99"/>
      <c r="W416" s="93"/>
      <c r="X416" s="101"/>
      <c r="Y416" s="92"/>
      <c r="Z416" s="100"/>
      <c r="AB416" s="24"/>
    </row>
    <row r="417" spans="1:28" ht="15.75" hidden="1" customHeight="1" outlineLevel="1">
      <c r="A417" s="76"/>
      <c r="B417" s="228"/>
      <c r="C417" s="21"/>
      <c r="D417" s="21"/>
      <c r="E417" s="21"/>
      <c r="F417" s="64">
        <f>TAMHSC!$F$52</f>
        <v>0</v>
      </c>
      <c r="G417" s="64">
        <f>TAMHSC!$G$52</f>
        <v>0</v>
      </c>
      <c r="H417" s="64">
        <f>TAMHSC!$H$52</f>
        <v>0</v>
      </c>
      <c r="I417" s="64">
        <f>TAMHSC!$I$52</f>
        <v>0</v>
      </c>
      <c r="J417" s="64">
        <f>TAMHSC!$J$52</f>
        <v>0</v>
      </c>
      <c r="K417" s="64">
        <f>TAMHSC!$K$52</f>
        <v>0</v>
      </c>
      <c r="L417" s="65">
        <f>TAMHSC!$L$52</f>
        <v>0</v>
      </c>
      <c r="N417" s="97"/>
      <c r="P417" s="98"/>
      <c r="Q417" s="93"/>
      <c r="R417" s="93"/>
      <c r="S417" s="93"/>
      <c r="T417" s="94"/>
      <c r="U417" s="95"/>
      <c r="V417" s="99"/>
      <c r="W417" s="93"/>
      <c r="X417" s="101"/>
      <c r="Y417" s="92"/>
      <c r="Z417" s="100"/>
      <c r="AB417" s="24"/>
    </row>
    <row r="418" spans="1:28" ht="15.75" hidden="1" customHeight="1" outlineLevel="1">
      <c r="A418" s="76"/>
      <c r="B418" s="228"/>
      <c r="C418" s="21"/>
      <c r="D418" s="21"/>
      <c r="E418" s="21"/>
      <c r="F418" s="64">
        <f>THC!$F$52</f>
        <v>0</v>
      </c>
      <c r="G418" s="64">
        <f>THC!$G$52</f>
        <v>0</v>
      </c>
      <c r="H418" s="64">
        <f>THC!$H$52</f>
        <v>0</v>
      </c>
      <c r="I418" s="64">
        <f>THC!$I$52</f>
        <v>0</v>
      </c>
      <c r="J418" s="64">
        <f>THC!$J$52</f>
        <v>0</v>
      </c>
      <c r="K418" s="64">
        <f>THC!$K$52</f>
        <v>0</v>
      </c>
      <c r="L418" s="65">
        <f>THC!$L$52</f>
        <v>0</v>
      </c>
      <c r="N418" s="97"/>
      <c r="P418" s="98"/>
      <c r="Q418" s="93"/>
      <c r="R418" s="93"/>
      <c r="S418" s="93"/>
      <c r="T418" s="94"/>
      <c r="U418" s="95"/>
      <c r="V418" s="99"/>
      <c r="W418" s="93"/>
      <c r="X418" s="101"/>
      <c r="Y418" s="92"/>
      <c r="Z418" s="100"/>
      <c r="AB418" s="24"/>
    </row>
    <row r="419" spans="1:28" ht="15.75" hidden="1" customHeight="1" outlineLevel="1">
      <c r="A419" s="76"/>
      <c r="B419" s="228"/>
      <c r="C419" s="21"/>
      <c r="D419" s="21"/>
      <c r="E419" s="21"/>
      <c r="F419" s="64">
        <f>TTUHSC!$F$52</f>
        <v>0</v>
      </c>
      <c r="G419" s="64">
        <f>TTUHSC!$G$52</f>
        <v>0</v>
      </c>
      <c r="H419" s="64">
        <f>TTUHSC!$H$52</f>
        <v>0</v>
      </c>
      <c r="I419" s="64">
        <f>TTUHSC!$I$52</f>
        <v>0</v>
      </c>
      <c r="J419" s="64">
        <f>TTUHSC!$J$52</f>
        <v>0</v>
      </c>
      <c r="K419" s="64">
        <f>TTUHSC!$K$52</f>
        <v>0</v>
      </c>
      <c r="L419" s="65">
        <f>TTUHSC!$L$52</f>
        <v>0</v>
      </c>
      <c r="N419" s="97"/>
      <c r="P419" s="98"/>
      <c r="Q419" s="93"/>
      <c r="R419" s="93"/>
      <c r="S419" s="93"/>
      <c r="T419" s="94"/>
      <c r="U419" s="95"/>
      <c r="V419" s="99"/>
      <c r="W419" s="93"/>
      <c r="X419" s="101"/>
      <c r="Y419" s="92"/>
      <c r="Z419" s="100"/>
      <c r="AB419" s="24"/>
    </row>
    <row r="420" spans="1:28" ht="15.75" hidden="1" customHeight="1" outlineLevel="1">
      <c r="A420" s="76"/>
      <c r="B420" s="228"/>
      <c r="C420" s="21"/>
      <c r="D420" s="21"/>
      <c r="E420" s="21"/>
      <c r="F420" s="64">
        <f>UNTHSC!$F$52</f>
        <v>0</v>
      </c>
      <c r="G420" s="64">
        <f>UNTHSC!$G$52</f>
        <v>0</v>
      </c>
      <c r="H420" s="64">
        <f>UNTHSC!$H$52</f>
        <v>0</v>
      </c>
      <c r="I420" s="64">
        <f>UNTHSC!$I$52</f>
        <v>0</v>
      </c>
      <c r="J420" s="64">
        <f>UNTHSC!$J$52</f>
        <v>0</v>
      </c>
      <c r="K420" s="64">
        <f>UNTHSC!$K$52</f>
        <v>0</v>
      </c>
      <c r="L420" s="65">
        <f>UNTHSC!$L$52</f>
        <v>0</v>
      </c>
      <c r="N420" s="97"/>
      <c r="P420" s="98"/>
      <c r="Q420" s="93"/>
      <c r="R420" s="93"/>
      <c r="S420" s="93"/>
      <c r="T420" s="94"/>
      <c r="U420" s="95"/>
      <c r="V420" s="99"/>
      <c r="W420" s="93"/>
      <c r="X420" s="101"/>
      <c r="Y420" s="92"/>
      <c r="Z420" s="100"/>
      <c r="AB420" s="24"/>
    </row>
    <row r="421" spans="1:28" s="79" customFormat="1" ht="15.75" customHeight="1" collapsed="1">
      <c r="A421" s="76"/>
      <c r="B421" s="228" t="s">
        <v>551</v>
      </c>
      <c r="C421" s="78"/>
      <c r="D421" s="78"/>
      <c r="E421" s="20"/>
      <c r="F421" s="64">
        <f t="shared" ref="F421:L421" si="32">SUM(F412:F420)</f>
        <v>0</v>
      </c>
      <c r="G421" s="64">
        <f t="shared" si="32"/>
        <v>0</v>
      </c>
      <c r="H421" s="64">
        <f t="shared" si="32"/>
        <v>0</v>
      </c>
      <c r="I421" s="64">
        <f t="shared" si="32"/>
        <v>0</v>
      </c>
      <c r="J421" s="64">
        <f t="shared" si="32"/>
        <v>0</v>
      </c>
      <c r="K421" s="64">
        <f t="shared" si="32"/>
        <v>0</v>
      </c>
      <c r="L421" s="65">
        <f t="shared" si="32"/>
        <v>0</v>
      </c>
      <c r="N421" s="102"/>
      <c r="P421" s="103"/>
      <c r="Q421" s="104"/>
      <c r="R421" s="104"/>
      <c r="S421" s="104"/>
      <c r="T421" s="105"/>
      <c r="U421" s="106"/>
      <c r="V421" s="107"/>
      <c r="W421" s="104"/>
      <c r="X421" s="108"/>
      <c r="Y421" s="109"/>
      <c r="Z421" s="110"/>
      <c r="AB421" s="83"/>
    </row>
    <row r="422" spans="1:28" s="79" customFormat="1" ht="15.75" hidden="1" customHeight="1" outlineLevel="1">
      <c r="A422" s="76"/>
      <c r="B422" s="228"/>
      <c r="C422" s="78"/>
      <c r="D422" s="78"/>
      <c r="E422" s="20"/>
      <c r="F422" s="64">
        <f>HSH!$F$53</f>
        <v>0</v>
      </c>
      <c r="G422" s="64">
        <f>HSH!$G$53</f>
        <v>0</v>
      </c>
      <c r="H422" s="64">
        <f>HSH!$H$53</f>
        <v>0</v>
      </c>
      <c r="I422" s="64">
        <f>HSH!$I$53</f>
        <v>0</v>
      </c>
      <c r="J422" s="64">
        <f>HSH!$J$53</f>
        <v>0</v>
      </c>
      <c r="K422" s="64">
        <f>HSH!$K$53</f>
        <v>0</v>
      </c>
      <c r="L422" s="65">
        <f>HSH!$L$53</f>
        <v>0</v>
      </c>
      <c r="N422" s="102"/>
      <c r="P422" s="103"/>
      <c r="Q422" s="104"/>
      <c r="R422" s="104"/>
      <c r="S422" s="104"/>
      <c r="T422" s="105"/>
      <c r="U422" s="106"/>
      <c r="V422" s="107"/>
      <c r="W422" s="104"/>
      <c r="X422" s="108"/>
      <c r="Y422" s="109"/>
      <c r="Z422" s="110"/>
      <c r="AB422" s="83"/>
    </row>
    <row r="423" spans="1:28" s="79" customFormat="1" ht="15.75" hidden="1" customHeight="1" outlineLevel="1">
      <c r="A423" s="76"/>
      <c r="B423" s="228"/>
      <c r="C423" s="78"/>
      <c r="D423" s="78"/>
      <c r="E423" s="20"/>
      <c r="F423" s="64">
        <f>HSSA!$F$53</f>
        <v>0</v>
      </c>
      <c r="G423" s="64">
        <f>HSSA!$G$53</f>
        <v>0</v>
      </c>
      <c r="H423" s="64">
        <f>HSSA!$H$53</f>
        <v>0</v>
      </c>
      <c r="I423" s="64">
        <f>HSSA!$I$53</f>
        <v>0</v>
      </c>
      <c r="J423" s="64">
        <f>HSSA!$J$53</f>
        <v>0</v>
      </c>
      <c r="K423" s="64">
        <f>HSSA!$K$53</f>
        <v>0</v>
      </c>
      <c r="L423" s="65">
        <f>HSSA!$L$53</f>
        <v>0</v>
      </c>
      <c r="N423" s="102"/>
      <c r="P423" s="103"/>
      <c r="Q423" s="104"/>
      <c r="R423" s="104"/>
      <c r="S423" s="104"/>
      <c r="T423" s="105"/>
      <c r="U423" s="106"/>
      <c r="V423" s="107"/>
      <c r="W423" s="104"/>
      <c r="X423" s="108"/>
      <c r="Y423" s="109"/>
      <c r="Z423" s="110"/>
      <c r="AB423" s="83"/>
    </row>
    <row r="424" spans="1:28" s="79" customFormat="1" ht="15.75" hidden="1" customHeight="1" outlineLevel="1">
      <c r="A424" s="76"/>
      <c r="B424" s="228"/>
      <c r="C424" s="78"/>
      <c r="D424" s="78"/>
      <c r="E424" s="20"/>
      <c r="F424" s="64">
        <f>MBG!$F$53</f>
        <v>0</v>
      </c>
      <c r="G424" s="64">
        <f>MBG!$G$53</f>
        <v>0</v>
      </c>
      <c r="H424" s="64">
        <f>MBG!$H$53</f>
        <v>0</v>
      </c>
      <c r="I424" s="64">
        <f>MBG!$I$53</f>
        <v>0</v>
      </c>
      <c r="J424" s="64">
        <f>MBG!$J$53</f>
        <v>0</v>
      </c>
      <c r="K424" s="64">
        <f>MBG!$K$53</f>
        <v>0</v>
      </c>
      <c r="L424" s="65">
        <f>MBG!$L$53</f>
        <v>0</v>
      </c>
      <c r="N424" s="102"/>
      <c r="P424" s="103"/>
      <c r="Q424" s="104"/>
      <c r="R424" s="104"/>
      <c r="S424" s="104"/>
      <c r="T424" s="105"/>
      <c r="U424" s="106"/>
      <c r="V424" s="107"/>
      <c r="W424" s="104"/>
      <c r="X424" s="108"/>
      <c r="Y424" s="109"/>
      <c r="Z424" s="110"/>
      <c r="AB424" s="83"/>
    </row>
    <row r="425" spans="1:28" s="79" customFormat="1" ht="15.75" hidden="1" customHeight="1" outlineLevel="1">
      <c r="A425" s="76"/>
      <c r="B425" s="228"/>
      <c r="C425" s="78"/>
      <c r="D425" s="78"/>
      <c r="E425" s="20"/>
      <c r="F425" s="64">
        <f>MDA!$F$53</f>
        <v>0</v>
      </c>
      <c r="G425" s="64">
        <f>MDA!$G$53</f>
        <v>0</v>
      </c>
      <c r="H425" s="64">
        <f>MDA!$H$53</f>
        <v>0</v>
      </c>
      <c r="I425" s="64">
        <f>MDA!$I$53</f>
        <v>0</v>
      </c>
      <c r="J425" s="64">
        <f>MDA!$J$53</f>
        <v>0</v>
      </c>
      <c r="K425" s="64">
        <f>MDA!$K$53</f>
        <v>0</v>
      </c>
      <c r="L425" s="65">
        <f>MDA!$L$53</f>
        <v>0</v>
      </c>
      <c r="N425" s="102"/>
      <c r="P425" s="103"/>
      <c r="Q425" s="104"/>
      <c r="R425" s="104"/>
      <c r="S425" s="104"/>
      <c r="T425" s="105"/>
      <c r="U425" s="106"/>
      <c r="V425" s="107"/>
      <c r="W425" s="104"/>
      <c r="X425" s="108"/>
      <c r="Y425" s="109"/>
      <c r="Z425" s="110"/>
      <c r="AB425" s="83"/>
    </row>
    <row r="426" spans="1:28" s="79" customFormat="1" ht="15.75" hidden="1" customHeight="1" outlineLevel="1">
      <c r="A426" s="76"/>
      <c r="B426" s="228"/>
      <c r="C426" s="78"/>
      <c r="D426" s="78"/>
      <c r="E426" s="20"/>
      <c r="F426" s="64">
        <f>SWM!$F$53</f>
        <v>0</v>
      </c>
      <c r="G426" s="64">
        <f>SWM!$G$53</f>
        <v>0</v>
      </c>
      <c r="H426" s="64">
        <f>SWM!$H$53</f>
        <v>0</v>
      </c>
      <c r="I426" s="64">
        <f>SWM!$I$53</f>
        <v>0</v>
      </c>
      <c r="J426" s="64">
        <f>SWM!$J$53</f>
        <v>0</v>
      </c>
      <c r="K426" s="64">
        <f>SWM!$K$53</f>
        <v>0</v>
      </c>
      <c r="L426" s="65">
        <f>SWM!$L$53</f>
        <v>0</v>
      </c>
      <c r="N426" s="102"/>
      <c r="P426" s="103"/>
      <c r="Q426" s="104"/>
      <c r="R426" s="104"/>
      <c r="S426" s="104"/>
      <c r="T426" s="105"/>
      <c r="U426" s="106"/>
      <c r="V426" s="107"/>
      <c r="W426" s="104"/>
      <c r="X426" s="108"/>
      <c r="Y426" s="109"/>
      <c r="Z426" s="110"/>
      <c r="AB426" s="83"/>
    </row>
    <row r="427" spans="1:28" s="79" customFormat="1" ht="15.75" hidden="1" customHeight="1" outlineLevel="1">
      <c r="A427" s="76"/>
      <c r="B427" s="228"/>
      <c r="C427" s="78"/>
      <c r="D427" s="78"/>
      <c r="E427" s="20"/>
      <c r="F427" s="64">
        <f>TAMHSC!$F$53</f>
        <v>0</v>
      </c>
      <c r="G427" s="64">
        <f>TAMHSC!$G$53</f>
        <v>0</v>
      </c>
      <c r="H427" s="64">
        <f>TAMHSC!$H$53</f>
        <v>0</v>
      </c>
      <c r="I427" s="64">
        <f>TAMHSC!$I$53</f>
        <v>0</v>
      </c>
      <c r="J427" s="64">
        <f>TAMHSC!$J$53</f>
        <v>0</v>
      </c>
      <c r="K427" s="64">
        <f>TAMHSC!$K$53</f>
        <v>0</v>
      </c>
      <c r="L427" s="65">
        <f>TAMHSC!$L$53</f>
        <v>0</v>
      </c>
      <c r="N427" s="102"/>
      <c r="P427" s="103"/>
      <c r="Q427" s="104"/>
      <c r="R427" s="104"/>
      <c r="S427" s="104"/>
      <c r="T427" s="105"/>
      <c r="U427" s="106"/>
      <c r="V427" s="107"/>
      <c r="W427" s="104"/>
      <c r="X427" s="108"/>
      <c r="Y427" s="109"/>
      <c r="Z427" s="110"/>
      <c r="AB427" s="83"/>
    </row>
    <row r="428" spans="1:28" s="79" customFormat="1" ht="15.75" hidden="1" customHeight="1" outlineLevel="1">
      <c r="A428" s="76"/>
      <c r="B428" s="228"/>
      <c r="C428" s="78"/>
      <c r="D428" s="78"/>
      <c r="E428" s="20"/>
      <c r="F428" s="64">
        <f>THC!$F$53</f>
        <v>0</v>
      </c>
      <c r="G428" s="64">
        <f>THC!$G$53</f>
        <v>0</v>
      </c>
      <c r="H428" s="64">
        <f>THC!$H$53</f>
        <v>0</v>
      </c>
      <c r="I428" s="64">
        <f>THC!$I$53</f>
        <v>0</v>
      </c>
      <c r="J428" s="64">
        <f>THC!$J$53</f>
        <v>0</v>
      </c>
      <c r="K428" s="64">
        <f>THC!$K$53</f>
        <v>0</v>
      </c>
      <c r="L428" s="65">
        <f>THC!$L$53</f>
        <v>0</v>
      </c>
      <c r="N428" s="102"/>
      <c r="P428" s="103"/>
      <c r="Q428" s="104"/>
      <c r="R428" s="104"/>
      <c r="S428" s="104"/>
      <c r="T428" s="105"/>
      <c r="U428" s="106"/>
      <c r="V428" s="107"/>
      <c r="W428" s="104"/>
      <c r="X428" s="108"/>
      <c r="Y428" s="109"/>
      <c r="Z428" s="110"/>
      <c r="AB428" s="83"/>
    </row>
    <row r="429" spans="1:28" s="79" customFormat="1" ht="15.75" hidden="1" customHeight="1" outlineLevel="1">
      <c r="A429" s="76"/>
      <c r="B429" s="228"/>
      <c r="C429" s="78"/>
      <c r="D429" s="78"/>
      <c r="E429" s="20"/>
      <c r="F429" s="64">
        <f>TTUHSC!$F$53</f>
        <v>0</v>
      </c>
      <c r="G429" s="64">
        <f>TTUHSC!$G$53</f>
        <v>0</v>
      </c>
      <c r="H429" s="64">
        <f>TTUHSC!$H$53</f>
        <v>0</v>
      </c>
      <c r="I429" s="64">
        <f>TTUHSC!$I$53</f>
        <v>0</v>
      </c>
      <c r="J429" s="64">
        <f>TTUHSC!$J$53</f>
        <v>0</v>
      </c>
      <c r="K429" s="64">
        <f>TTUHSC!$K$53</f>
        <v>0</v>
      </c>
      <c r="L429" s="65">
        <f>TTUHSC!$L$53</f>
        <v>0</v>
      </c>
      <c r="N429" s="102"/>
      <c r="P429" s="103"/>
      <c r="Q429" s="104"/>
      <c r="R429" s="104"/>
      <c r="S429" s="104"/>
      <c r="T429" s="105"/>
      <c r="U429" s="106"/>
      <c r="V429" s="107"/>
      <c r="W429" s="104"/>
      <c r="X429" s="108"/>
      <c r="Y429" s="109"/>
      <c r="Z429" s="110"/>
      <c r="AB429" s="83"/>
    </row>
    <row r="430" spans="1:28" s="79" customFormat="1" ht="15.75" hidden="1" customHeight="1" outlineLevel="1">
      <c r="A430" s="76"/>
      <c r="B430" s="228"/>
      <c r="C430" s="78"/>
      <c r="D430" s="78"/>
      <c r="E430" s="20"/>
      <c r="F430" s="64">
        <f>UNTHSC!$F$53</f>
        <v>0</v>
      </c>
      <c r="G430" s="64">
        <f>UNTHSC!$G$53</f>
        <v>0</v>
      </c>
      <c r="H430" s="64">
        <f>UNTHSC!$H$53</f>
        <v>0</v>
      </c>
      <c r="I430" s="64">
        <f>UNTHSC!$I$53</f>
        <v>0</v>
      </c>
      <c r="J430" s="64">
        <f>UNTHSC!$J$53</f>
        <v>0</v>
      </c>
      <c r="K430" s="64">
        <f>UNTHSC!$K$53</f>
        <v>0</v>
      </c>
      <c r="L430" s="65">
        <f>UNTHSC!$L$53</f>
        <v>0</v>
      </c>
      <c r="N430" s="102"/>
      <c r="P430" s="103"/>
      <c r="Q430" s="104"/>
      <c r="R430" s="104"/>
      <c r="S430" s="104"/>
      <c r="T430" s="105"/>
      <c r="U430" s="106"/>
      <c r="V430" s="107"/>
      <c r="W430" s="104"/>
      <c r="X430" s="108"/>
      <c r="Y430" s="109"/>
      <c r="Z430" s="110"/>
      <c r="AB430" s="83"/>
    </row>
    <row r="431" spans="1:28" s="79" customFormat="1" ht="15.75" customHeight="1" collapsed="1">
      <c r="A431" s="76"/>
      <c r="B431" s="228" t="s">
        <v>552</v>
      </c>
      <c r="C431" s="78"/>
      <c r="D431" s="78"/>
      <c r="E431" s="20"/>
      <c r="F431" s="64">
        <f t="shared" ref="F431:L431" si="33">SUM(F422:F430)</f>
        <v>0</v>
      </c>
      <c r="G431" s="64">
        <f t="shared" si="33"/>
        <v>0</v>
      </c>
      <c r="H431" s="64">
        <f t="shared" si="33"/>
        <v>0</v>
      </c>
      <c r="I431" s="64">
        <f t="shared" si="33"/>
        <v>0</v>
      </c>
      <c r="J431" s="64">
        <f t="shared" si="33"/>
        <v>0</v>
      </c>
      <c r="K431" s="64">
        <f t="shared" si="33"/>
        <v>0</v>
      </c>
      <c r="L431" s="65">
        <f t="shared" si="33"/>
        <v>0</v>
      </c>
      <c r="N431" s="102"/>
      <c r="P431" s="103"/>
      <c r="Q431" s="104"/>
      <c r="R431" s="104"/>
      <c r="S431" s="104"/>
      <c r="T431" s="105"/>
      <c r="U431" s="106"/>
      <c r="V431" s="107"/>
      <c r="W431" s="104"/>
      <c r="X431" s="108"/>
      <c r="Y431" s="109"/>
      <c r="Z431" s="110"/>
      <c r="AB431" s="83"/>
    </row>
    <row r="432" spans="1:28" s="79" customFormat="1" ht="15.75" hidden="1" customHeight="1" outlineLevel="1">
      <c r="A432" s="76"/>
      <c r="B432" s="228"/>
      <c r="C432" s="78"/>
      <c r="D432" s="78"/>
      <c r="E432" s="20"/>
      <c r="F432" s="56">
        <f>HSH!$F$54</f>
        <v>31864570</v>
      </c>
      <c r="G432" s="56">
        <f>HSH!$G$54</f>
        <v>3115643</v>
      </c>
      <c r="H432" s="56">
        <f>HSH!$H$54</f>
        <v>5249847</v>
      </c>
      <c r="I432" s="56">
        <f>HSH!$I$54</f>
        <v>90252</v>
      </c>
      <c r="J432" s="56">
        <f>HSH!$J$54</f>
        <v>616026</v>
      </c>
      <c r="K432" s="56">
        <f>HSH!$K$54</f>
        <v>5038915</v>
      </c>
      <c r="L432" s="57">
        <f>HSH!$L$54</f>
        <v>45975253</v>
      </c>
      <c r="N432" s="102"/>
      <c r="P432" s="103"/>
      <c r="Q432" s="104"/>
      <c r="R432" s="104"/>
      <c r="S432" s="332">
        <f>HSH!$S$54</f>
        <v>0</v>
      </c>
      <c r="T432" s="105"/>
      <c r="U432" s="106"/>
      <c r="V432" s="107"/>
      <c r="W432" s="104"/>
      <c r="X432" s="108"/>
      <c r="Y432" s="109"/>
      <c r="Z432" s="110"/>
      <c r="AB432" s="83"/>
    </row>
    <row r="433" spans="1:28" s="79" customFormat="1" ht="15.75" hidden="1" customHeight="1" outlineLevel="1">
      <c r="A433" s="76"/>
      <c r="B433" s="228"/>
      <c r="C433" s="78"/>
      <c r="D433" s="78"/>
      <c r="E433" s="20"/>
      <c r="F433" s="56">
        <f>HSSA!$F$54</f>
        <v>89420871</v>
      </c>
      <c r="G433" s="56">
        <f>HSSA!$G$54</f>
        <v>193747</v>
      </c>
      <c r="H433" s="56">
        <f>HSSA!$H$54</f>
        <v>923655</v>
      </c>
      <c r="I433" s="56">
        <f>HSSA!$I$54</f>
        <v>17601129</v>
      </c>
      <c r="J433" s="56">
        <f>HSSA!$J$54</f>
        <v>13956698</v>
      </c>
      <c r="K433" s="56">
        <f>HSSA!$K$54</f>
        <v>8166140</v>
      </c>
      <c r="L433" s="57">
        <f>HSSA!$L$54</f>
        <v>130262240</v>
      </c>
      <c r="N433" s="102"/>
      <c r="P433" s="103"/>
      <c r="Q433" s="104"/>
      <c r="R433" s="104"/>
      <c r="S433" s="332">
        <f>HSSA!$S$54</f>
        <v>0</v>
      </c>
      <c r="T433" s="105"/>
      <c r="U433" s="106"/>
      <c r="V433" s="107"/>
      <c r="W433" s="104"/>
      <c r="X433" s="108"/>
      <c r="Y433" s="109"/>
      <c r="Z433" s="110"/>
      <c r="AB433" s="83"/>
    </row>
    <row r="434" spans="1:28" s="79" customFormat="1" ht="15.75" hidden="1" customHeight="1" outlineLevel="1">
      <c r="A434" s="76"/>
      <c r="B434" s="228"/>
      <c r="C434" s="78"/>
      <c r="D434" s="78"/>
      <c r="E434" s="20"/>
      <c r="F434" s="56">
        <f>MBG!$F$54</f>
        <v>27091490</v>
      </c>
      <c r="G434" s="56">
        <f>MBG!$G$54</f>
        <v>0</v>
      </c>
      <c r="H434" s="56">
        <f>MBG!$H$54</f>
        <v>20227</v>
      </c>
      <c r="I434" s="56">
        <f>MBG!$I$54</f>
        <v>0</v>
      </c>
      <c r="J434" s="56">
        <f>MBG!$J$54</f>
        <v>1463466</v>
      </c>
      <c r="K434" s="56">
        <f>MBG!$K$54</f>
        <v>2702454</v>
      </c>
      <c r="L434" s="57">
        <f>MBG!$L$54</f>
        <v>31277637</v>
      </c>
      <c r="N434" s="102"/>
      <c r="P434" s="103"/>
      <c r="Q434" s="104"/>
      <c r="R434" s="104"/>
      <c r="S434" s="332">
        <f>MBG!$S$54</f>
        <v>0</v>
      </c>
      <c r="T434" s="105"/>
      <c r="U434" s="106"/>
      <c r="V434" s="107"/>
      <c r="W434" s="104"/>
      <c r="X434" s="108"/>
      <c r="Y434" s="109"/>
      <c r="Z434" s="110"/>
      <c r="AB434" s="83"/>
    </row>
    <row r="435" spans="1:28" s="79" customFormat="1" ht="15.75" hidden="1" customHeight="1" outlineLevel="1">
      <c r="A435" s="76"/>
      <c r="B435" s="228"/>
      <c r="C435" s="78"/>
      <c r="D435" s="78"/>
      <c r="E435" s="20"/>
      <c r="F435" s="56">
        <f>MDA!$F$54</f>
        <v>206664447</v>
      </c>
      <c r="G435" s="56">
        <f>MDA!$G$54</f>
        <v>176461762</v>
      </c>
      <c r="H435" s="56">
        <f>MDA!$H$54</f>
        <v>343967</v>
      </c>
      <c r="I435" s="56">
        <f>MDA!$I$54</f>
        <v>31196240</v>
      </c>
      <c r="J435" s="56">
        <f>MDA!$J$54</f>
        <v>50712121</v>
      </c>
      <c r="K435" s="56">
        <f>MDA!$K$54</f>
        <v>81656207</v>
      </c>
      <c r="L435" s="57">
        <f>MDA!$L$54</f>
        <v>547034744</v>
      </c>
      <c r="N435" s="102"/>
      <c r="P435" s="103"/>
      <c r="Q435" s="104"/>
      <c r="R435" s="104"/>
      <c r="S435" s="332">
        <f>MDA!$S$54</f>
        <v>0</v>
      </c>
      <c r="T435" s="105"/>
      <c r="U435" s="106"/>
      <c r="V435" s="107"/>
      <c r="W435" s="104"/>
      <c r="X435" s="108"/>
      <c r="Y435" s="109"/>
      <c r="Z435" s="110"/>
      <c r="AB435" s="83"/>
    </row>
    <row r="436" spans="1:28" s="79" customFormat="1" ht="15.75" hidden="1" customHeight="1" outlineLevel="1">
      <c r="A436" s="76"/>
      <c r="B436" s="228"/>
      <c r="C436" s="78"/>
      <c r="D436" s="78"/>
      <c r="E436" s="20"/>
      <c r="F436" s="56">
        <f>SWM!$F$54</f>
        <v>98447980</v>
      </c>
      <c r="G436" s="56">
        <f>SWM!$G$54</f>
        <v>3424029</v>
      </c>
      <c r="H436" s="56">
        <f>SWM!$H$54</f>
        <v>2814650</v>
      </c>
      <c r="I436" s="56">
        <f>SWM!$I$54</f>
        <v>3939140</v>
      </c>
      <c r="J436" s="56">
        <f>SWM!$J$54</f>
        <v>8432171</v>
      </c>
      <c r="K436" s="56">
        <f>SWM!$K$54</f>
        <v>26358210</v>
      </c>
      <c r="L436" s="57">
        <f>SWM!$L$54</f>
        <v>143416180</v>
      </c>
      <c r="N436" s="102"/>
      <c r="P436" s="103"/>
      <c r="Q436" s="104"/>
      <c r="R436" s="104"/>
      <c r="S436" s="332">
        <f>SWM!$S$54</f>
        <v>0</v>
      </c>
      <c r="T436" s="105"/>
      <c r="U436" s="106"/>
      <c r="V436" s="107"/>
      <c r="W436" s="104"/>
      <c r="X436" s="108"/>
      <c r="Y436" s="109"/>
      <c r="Z436" s="110"/>
      <c r="AB436" s="83"/>
    </row>
    <row r="437" spans="1:28" s="79" customFormat="1" ht="15.75" hidden="1" customHeight="1" outlineLevel="1">
      <c r="A437" s="76"/>
      <c r="B437" s="228"/>
      <c r="C437" s="78"/>
      <c r="D437" s="78"/>
      <c r="E437" s="20"/>
      <c r="F437" s="56">
        <f>TAMHSC!$F$54</f>
        <v>10755681</v>
      </c>
      <c r="G437" s="56">
        <f>TAMHSC!$G$54</f>
        <v>0</v>
      </c>
      <c r="H437" s="56">
        <f>TAMHSC!$H$54</f>
        <v>690463</v>
      </c>
      <c r="I437" s="56">
        <f>TAMHSC!$I$54</f>
        <v>115333</v>
      </c>
      <c r="J437" s="56">
        <f>TAMHSC!$J$54</f>
        <v>1204238</v>
      </c>
      <c r="K437" s="56">
        <f>TAMHSC!$K$54</f>
        <v>2319158</v>
      </c>
      <c r="L437" s="57">
        <f>TAMHSC!$L$54</f>
        <v>15084873</v>
      </c>
      <c r="N437" s="102"/>
      <c r="P437" s="103"/>
      <c r="Q437" s="104"/>
      <c r="R437" s="104"/>
      <c r="S437" s="332">
        <f>TAMHSC!$S$54</f>
        <v>0</v>
      </c>
      <c r="T437" s="105"/>
      <c r="U437" s="106"/>
      <c r="V437" s="107"/>
      <c r="W437" s="104"/>
      <c r="X437" s="108"/>
      <c r="Y437" s="109"/>
      <c r="Z437" s="110"/>
      <c r="AB437" s="83"/>
    </row>
    <row r="438" spans="1:28" s="79" customFormat="1" ht="15.75" hidden="1" customHeight="1" outlineLevel="1">
      <c r="A438" s="76"/>
      <c r="B438" s="228"/>
      <c r="C438" s="78"/>
      <c r="D438" s="78"/>
      <c r="E438" s="20"/>
      <c r="F438" s="56">
        <f>THC!$F$54</f>
        <v>576912</v>
      </c>
      <c r="G438" s="56">
        <f>THC!$G$54</f>
        <v>0</v>
      </c>
      <c r="H438" s="56">
        <f>THC!$H$54</f>
        <v>0</v>
      </c>
      <c r="I438" s="56">
        <f>THC!$I$54</f>
        <v>0</v>
      </c>
      <c r="J438" s="56">
        <f>THC!$J$54</f>
        <v>0</v>
      </c>
      <c r="K438" s="56">
        <f>THC!$K$54</f>
        <v>12143</v>
      </c>
      <c r="L438" s="57">
        <f>THC!$L$54</f>
        <v>589055</v>
      </c>
      <c r="N438" s="102"/>
      <c r="P438" s="103"/>
      <c r="Q438" s="104"/>
      <c r="R438" s="104"/>
      <c r="S438" s="332">
        <f>THC!$S$54</f>
        <v>0</v>
      </c>
      <c r="T438" s="105"/>
      <c r="U438" s="106"/>
      <c r="V438" s="107"/>
      <c r="W438" s="104"/>
      <c r="X438" s="108"/>
      <c r="Y438" s="109"/>
      <c r="Z438" s="110"/>
      <c r="AB438" s="83"/>
    </row>
    <row r="439" spans="1:28" s="79" customFormat="1" ht="15.75" hidden="1" customHeight="1" outlineLevel="1">
      <c r="A439" s="76"/>
      <c r="B439" s="228"/>
      <c r="C439" s="78"/>
      <c r="D439" s="78"/>
      <c r="E439" s="20"/>
      <c r="F439" s="56">
        <f>TTUHSC!$F$54</f>
        <v>9671848</v>
      </c>
      <c r="G439" s="56">
        <f>TTUHSC!$G$54</f>
        <v>19951219</v>
      </c>
      <c r="H439" s="56">
        <f>TTUHSC!$H$54</f>
        <v>2433576</v>
      </c>
      <c r="I439" s="56">
        <f>TTUHSC!$I$54</f>
        <v>5800285</v>
      </c>
      <c r="J439" s="56">
        <f>TTUHSC!$J$54</f>
        <v>1488184</v>
      </c>
      <c r="K439" s="56">
        <f>TTUHSC!$K$54</f>
        <v>1679568</v>
      </c>
      <c r="L439" s="57">
        <f>TTUHSC!$L$54</f>
        <v>41024680</v>
      </c>
      <c r="N439" s="102"/>
      <c r="P439" s="103"/>
      <c r="Q439" s="104"/>
      <c r="R439" s="104"/>
      <c r="S439" s="332">
        <f>TTUHSC!$S$54</f>
        <v>0</v>
      </c>
      <c r="T439" s="105"/>
      <c r="U439" s="106"/>
      <c r="V439" s="107"/>
      <c r="W439" s="104"/>
      <c r="X439" s="108"/>
      <c r="Y439" s="109"/>
      <c r="Z439" s="110"/>
      <c r="AB439" s="83"/>
    </row>
    <row r="440" spans="1:28" s="79" customFormat="1" ht="15.75" hidden="1" customHeight="1" outlineLevel="1">
      <c r="A440" s="76"/>
      <c r="B440" s="228"/>
      <c r="C440" s="78"/>
      <c r="D440" s="78"/>
      <c r="E440" s="20"/>
      <c r="F440" s="56">
        <f>UNTHSC!$F$54</f>
        <v>15155610</v>
      </c>
      <c r="G440" s="56">
        <f>UNTHSC!$G$54</f>
        <v>0</v>
      </c>
      <c r="H440" s="56">
        <f>UNTHSC!$H$54</f>
        <v>493437</v>
      </c>
      <c r="I440" s="56">
        <f>UNTHSC!$I$54</f>
        <v>443593</v>
      </c>
      <c r="J440" s="56">
        <f>UNTHSC!$J$54</f>
        <v>82548</v>
      </c>
      <c r="K440" s="56">
        <f>UNTHSC!$K$54</f>
        <v>1024225</v>
      </c>
      <c r="L440" s="57">
        <f>UNTHSC!$L$54</f>
        <v>17199413</v>
      </c>
      <c r="N440" s="102"/>
      <c r="P440" s="103"/>
      <c r="Q440" s="104"/>
      <c r="R440" s="104"/>
      <c r="S440" s="332">
        <f>UNTHSC!$S$54</f>
        <v>0</v>
      </c>
      <c r="T440" s="105"/>
      <c r="U440" s="106"/>
      <c r="V440" s="107"/>
      <c r="W440" s="104"/>
      <c r="X440" s="108"/>
      <c r="Y440" s="109"/>
      <c r="Z440" s="110"/>
      <c r="AB440" s="83"/>
    </row>
    <row r="441" spans="1:28" ht="15.75" customHeight="1" collapsed="1">
      <c r="A441" s="76"/>
      <c r="B441" s="43" t="s">
        <v>47</v>
      </c>
      <c r="C441" s="44"/>
      <c r="D441" s="44"/>
      <c r="E441" s="44"/>
      <c r="F441" s="86">
        <f t="shared" ref="F441:L441" si="34">SUM(F432:F440)</f>
        <v>489649409</v>
      </c>
      <c r="G441" s="86">
        <f t="shared" si="34"/>
        <v>203146400</v>
      </c>
      <c r="H441" s="86">
        <f t="shared" si="34"/>
        <v>12969822</v>
      </c>
      <c r="I441" s="86">
        <f t="shared" si="34"/>
        <v>59185972</v>
      </c>
      <c r="J441" s="86">
        <f t="shared" si="34"/>
        <v>77955452</v>
      </c>
      <c r="K441" s="86">
        <f t="shared" si="34"/>
        <v>128957020</v>
      </c>
      <c r="L441" s="86">
        <f t="shared" si="34"/>
        <v>971864075</v>
      </c>
      <c r="N441" s="97"/>
      <c r="P441" s="98"/>
      <c r="Q441" s="98"/>
      <c r="R441" s="98"/>
      <c r="S441" s="50">
        <f>SUM(S432:S440)</f>
        <v>0</v>
      </c>
      <c r="T441" s="94"/>
      <c r="U441" s="95"/>
      <c r="V441" s="99"/>
      <c r="W441" s="99"/>
      <c r="X441" s="99"/>
      <c r="Y441" s="95"/>
      <c r="Z441" s="95"/>
      <c r="AB441" s="44">
        <f>SUM(AB341:AB411)</f>
        <v>119063876</v>
      </c>
    </row>
    <row r="442" spans="1:28" ht="15.75" customHeight="1">
      <c r="A442" s="76"/>
      <c r="C442" s="38"/>
      <c r="D442" s="38"/>
      <c r="E442" s="38"/>
      <c r="F442" s="38"/>
      <c r="G442" s="38"/>
      <c r="H442" s="38"/>
      <c r="I442" s="38"/>
      <c r="J442" s="38"/>
      <c r="K442" s="38"/>
      <c r="L442" s="38"/>
      <c r="N442" s="97"/>
      <c r="P442" s="98"/>
      <c r="Q442" s="98"/>
      <c r="R442" s="98"/>
      <c r="S442" s="98"/>
      <c r="T442" s="94"/>
      <c r="U442" s="95"/>
      <c r="V442" s="99"/>
      <c r="W442" s="99"/>
      <c r="X442" s="99"/>
      <c r="Y442" s="95"/>
      <c r="Z442" s="95"/>
    </row>
    <row r="443" spans="1:28" ht="15.75" customHeight="1">
      <c r="A443" s="76"/>
      <c r="L443" s="6" t="s">
        <v>48</v>
      </c>
      <c r="N443" s="111"/>
      <c r="Q443" s="112"/>
      <c r="R443" s="112"/>
      <c r="S443" s="112"/>
      <c r="W443" s="112"/>
      <c r="X443" s="112"/>
      <c r="Y443" s="112"/>
      <c r="Z443" s="112"/>
    </row>
    <row r="444" spans="1:28" ht="15.75" customHeight="1">
      <c r="A444" s="76"/>
      <c r="N444" s="113"/>
    </row>
    <row r="445" spans="1:28" s="112" customFormat="1" ht="15.75" customHeight="1">
      <c r="A445" s="76"/>
      <c r="N445" s="113"/>
      <c r="O445" s="9"/>
      <c r="P445" s="9"/>
      <c r="Q445" s="9"/>
      <c r="R445" s="9"/>
      <c r="S445" s="9"/>
      <c r="T445" s="9"/>
      <c r="U445" s="9"/>
      <c r="V445" s="9"/>
      <c r="W445" s="9"/>
      <c r="X445" s="9"/>
      <c r="Y445" s="9"/>
      <c r="Z445" s="9"/>
    </row>
    <row r="446" spans="1:28" s="112" customFormat="1" ht="15.75" customHeight="1">
      <c r="A446" s="76"/>
      <c r="F446" s="333">
        <f>F110+F310+F300+F290+F280+F270+F260+F250+F240+F230+F220+F210+F200+F190+F180+F170+F160+F150+F140+F130+F120</f>
        <v>919225781</v>
      </c>
      <c r="G446" s="333">
        <f t="shared" ref="G446:L446" si="35">G110+G310+G300+G290+G280+G270+G260+G250+G240+G230+G220+G210+G200+G190+G180+G170+G160+G150+G140+G130+G120</f>
        <v>284765976</v>
      </c>
      <c r="H446" s="333">
        <f t="shared" si="35"/>
        <v>38210984</v>
      </c>
      <c r="I446" s="333">
        <f t="shared" si="35"/>
        <v>134302801</v>
      </c>
      <c r="J446" s="333">
        <f t="shared" si="35"/>
        <v>110162359</v>
      </c>
      <c r="K446" s="333">
        <f t="shared" si="35"/>
        <v>221800705</v>
      </c>
      <c r="L446" s="333">
        <f t="shared" si="35"/>
        <v>1708468606</v>
      </c>
      <c r="N446" s="334" t="str">
        <f>IF(SUM(F446:K446)&lt;&gt;L446,"Error","")</f>
        <v/>
      </c>
      <c r="O446" s="9"/>
      <c r="P446" s="9"/>
      <c r="Q446" s="9"/>
      <c r="R446" s="9"/>
      <c r="S446" s="9"/>
      <c r="T446" s="9"/>
      <c r="U446" s="9"/>
      <c r="V446" s="9"/>
      <c r="W446" s="9"/>
      <c r="X446" s="9"/>
      <c r="Y446" s="9"/>
      <c r="Z446" s="9"/>
    </row>
    <row r="447" spans="1:28" s="112" customFormat="1" ht="15.75" customHeight="1">
      <c r="A447" s="76"/>
      <c r="F447" s="1" t="str">
        <f>IF(F446&lt;&gt;F320,"Error","Balanced")</f>
        <v>Balanced</v>
      </c>
      <c r="G447" s="1" t="str">
        <f t="shared" ref="G447:L447" si="36">IF(G446&lt;&gt;G320,"Error","Balanced")</f>
        <v>Balanced</v>
      </c>
      <c r="H447" s="1" t="str">
        <f t="shared" si="36"/>
        <v>Balanced</v>
      </c>
      <c r="I447" s="1" t="str">
        <f t="shared" si="36"/>
        <v>Balanced</v>
      </c>
      <c r="J447" s="1" t="str">
        <f t="shared" si="36"/>
        <v>Balanced</v>
      </c>
      <c r="K447" s="1" t="str">
        <f t="shared" si="36"/>
        <v>Balanced</v>
      </c>
      <c r="L447" s="1" t="str">
        <f t="shared" si="36"/>
        <v>Balanced</v>
      </c>
      <c r="N447" s="113"/>
      <c r="O447" s="9"/>
      <c r="P447" s="9"/>
      <c r="Q447" s="9"/>
      <c r="R447" s="9"/>
      <c r="S447" s="9"/>
      <c r="T447" s="9"/>
      <c r="U447" s="9"/>
      <c r="V447" s="9"/>
      <c r="W447" s="9"/>
      <c r="X447" s="9"/>
      <c r="Y447" s="9"/>
      <c r="Z447" s="9"/>
    </row>
    <row r="448" spans="1:28" s="112" customFormat="1" ht="15.75" customHeight="1">
      <c r="A448" s="76"/>
      <c r="F448" s="335">
        <f>F431+F421+F411+F401+F391+F381+F371+F361+F351+F341</f>
        <v>489649409</v>
      </c>
      <c r="G448" s="335">
        <f t="shared" ref="G448:L448" si="37">G431+G421+G411+G401+G391+G381+G371+G361+G351+G341</f>
        <v>203146400</v>
      </c>
      <c r="H448" s="335">
        <f t="shared" si="37"/>
        <v>12969822</v>
      </c>
      <c r="I448" s="335">
        <f t="shared" si="37"/>
        <v>59185972</v>
      </c>
      <c r="J448" s="335">
        <f t="shared" si="37"/>
        <v>77955452</v>
      </c>
      <c r="K448" s="335">
        <f t="shared" si="37"/>
        <v>128957020</v>
      </c>
      <c r="L448" s="335">
        <f t="shared" si="37"/>
        <v>971864075</v>
      </c>
      <c r="N448" s="334" t="str">
        <f>IF(SUM(F448:K448)&lt;&gt;L448,"Error","")</f>
        <v/>
      </c>
      <c r="O448" s="9"/>
      <c r="P448" s="9"/>
      <c r="Q448" s="9"/>
      <c r="R448" s="9"/>
      <c r="S448" s="9"/>
      <c r="T448" s="9"/>
      <c r="U448" s="9"/>
      <c r="V448" s="9"/>
      <c r="W448" s="9"/>
      <c r="X448" s="9"/>
      <c r="Y448" s="9"/>
      <c r="Z448" s="9"/>
    </row>
    <row r="449" spans="1:26" s="112" customFormat="1" ht="15.75" customHeight="1">
      <c r="A449" s="76"/>
      <c r="F449" s="1" t="str">
        <f>IF(F448&lt;&gt;F441,"Error","Balanced")</f>
        <v>Balanced</v>
      </c>
      <c r="G449" s="1" t="str">
        <f t="shared" ref="G449:L449" si="38">IF(G448&lt;&gt;G441,"Error","Balanced")</f>
        <v>Balanced</v>
      </c>
      <c r="H449" s="1" t="str">
        <f t="shared" si="38"/>
        <v>Balanced</v>
      </c>
      <c r="I449" s="1" t="str">
        <f t="shared" si="38"/>
        <v>Balanced</v>
      </c>
      <c r="J449" s="1" t="str">
        <f t="shared" si="38"/>
        <v>Balanced</v>
      </c>
      <c r="K449" s="1" t="str">
        <f t="shared" si="38"/>
        <v>Balanced</v>
      </c>
      <c r="L449" s="1" t="str">
        <f t="shared" si="38"/>
        <v>Balanced</v>
      </c>
      <c r="N449" s="113"/>
      <c r="O449" s="9"/>
      <c r="P449" s="9"/>
      <c r="Q449" s="9"/>
      <c r="R449" s="9"/>
      <c r="S449" s="9"/>
      <c r="T449" s="9"/>
      <c r="U449" s="9"/>
      <c r="V449" s="9"/>
      <c r="W449" s="9"/>
      <c r="X449" s="9"/>
      <c r="Y449" s="9"/>
      <c r="Z449" s="9"/>
    </row>
    <row r="450" spans="1:26" s="112" customFormat="1" ht="15.75" customHeight="1">
      <c r="A450" s="76"/>
      <c r="N450" s="113"/>
      <c r="O450" s="9"/>
      <c r="P450" s="9"/>
      <c r="Q450" s="9"/>
      <c r="R450" s="9"/>
      <c r="S450" s="9"/>
      <c r="T450" s="9"/>
      <c r="U450" s="9"/>
      <c r="V450" s="9"/>
      <c r="W450" s="9"/>
      <c r="X450" s="9"/>
      <c r="Y450" s="9"/>
      <c r="Z450" s="9"/>
    </row>
    <row r="451" spans="1:26" s="79" customFormat="1" ht="15.75" customHeight="1">
      <c r="A451" s="76"/>
      <c r="B451" s="20"/>
      <c r="C451" s="20"/>
      <c r="D451" s="20"/>
      <c r="E451" s="20"/>
      <c r="F451" s="114">
        <f>F441+F320</f>
        <v>1408875190</v>
      </c>
      <c r="G451" s="114">
        <f t="shared" ref="G451:L451" si="39">G441+G320</f>
        <v>487912376</v>
      </c>
      <c r="H451" s="114">
        <f t="shared" si="39"/>
        <v>51180806</v>
      </c>
      <c r="I451" s="114">
        <f t="shared" si="39"/>
        <v>193488773</v>
      </c>
      <c r="J451" s="114">
        <f t="shared" si="39"/>
        <v>188117811</v>
      </c>
      <c r="K451" s="114">
        <f t="shared" si="39"/>
        <v>350757725</v>
      </c>
      <c r="L451" s="114">
        <f t="shared" si="39"/>
        <v>2680332681</v>
      </c>
      <c r="N451" s="334" t="str">
        <f>IF(SUM(F451:K451)&lt;&gt;L451,"Error","")</f>
        <v/>
      </c>
    </row>
    <row r="452" spans="1:26" s="79" customFormat="1" ht="15.75" customHeight="1">
      <c r="A452" s="76"/>
      <c r="B452" s="20"/>
      <c r="C452" s="20"/>
      <c r="D452" s="20"/>
      <c r="E452" s="20"/>
      <c r="F452" s="20"/>
      <c r="G452" s="20"/>
      <c r="H452" s="20"/>
      <c r="I452" s="20"/>
      <c r="J452" s="20"/>
      <c r="K452" s="20"/>
      <c r="L452" s="114">
        <f>K27+K48+L17+L68+L78+L88+L58</f>
        <v>1711019644</v>
      </c>
      <c r="N452" s="20"/>
    </row>
    <row r="453" spans="1:26" s="79" customFormat="1" ht="15.75" customHeight="1">
      <c r="A453" s="76"/>
      <c r="B453" s="20"/>
      <c r="C453" s="20"/>
      <c r="D453" s="20"/>
      <c r="E453" s="20"/>
      <c r="F453" s="20"/>
      <c r="G453" s="20"/>
      <c r="H453" s="20"/>
      <c r="I453" s="20"/>
      <c r="J453" s="20"/>
      <c r="K453" s="20"/>
      <c r="L453" s="114">
        <f>SUM(L451:L452)</f>
        <v>4391352325</v>
      </c>
      <c r="N453" s="20"/>
    </row>
    <row r="454" spans="1:26" ht="15.75" customHeight="1">
      <c r="L454" s="3" t="str">
        <f>IF($L$453&lt;&gt;Input!$D$19,"Error","Input Balanced")</f>
        <v>Input Balanced</v>
      </c>
    </row>
    <row r="457" spans="1:26" ht="15.75" customHeight="1">
      <c r="L457" s="114">
        <v>4391352325</v>
      </c>
    </row>
    <row r="458" spans="1:26" ht="15.75" customHeight="1">
      <c r="L458" s="241">
        <f>L453-L457</f>
        <v>0</v>
      </c>
    </row>
  </sheetData>
  <dataConsolidate link="1">
    <dataRefs count="9">
      <dataRef ref="F8:S54" sheet="HSH"/>
      <dataRef ref="F8:S54" sheet="HSSA"/>
      <dataRef ref="F8:S54" sheet="MBG"/>
      <dataRef ref="F8:S54" sheet="MDA"/>
      <dataRef ref="F8:S54" sheet="SWM"/>
      <dataRef ref="F8:S54" sheet="TAMHSC"/>
      <dataRef ref="F8:S54" sheet="THC"/>
      <dataRef ref="F8:S54" sheet="TTUHSC"/>
      <dataRef ref="F8:S54" sheet="UNTHSC"/>
    </dataRefs>
  </dataConsolidate>
  <mergeCells count="3">
    <mergeCell ref="B6:L6"/>
    <mergeCell ref="H37:J37"/>
    <mergeCell ref="F99:J99"/>
  </mergeCells>
  <conditionalFormatting sqref="O160:O179">
    <cfRule type="expression" dxfId="32" priority="2">
      <formula>$O$170&lt;&gt;0</formula>
    </cfRule>
  </conditionalFormatting>
  <conditionalFormatting sqref="H37:J37">
    <cfRule type="expression" dxfId="31" priority="1">
      <formula>$O$37&lt;&gt;0</formula>
    </cfRule>
  </conditionalFormatting>
  <conditionalFormatting sqref="F99:J99">
    <cfRule type="expression" dxfId="30" priority="3">
      <formula>OR($S$98&lt;&gt;0,$S$320&lt;&gt;0,$S$441&lt;&gt;0)</formula>
    </cfRule>
  </conditionalFormatting>
  <hyperlinks>
    <hyperlink ref="N1" location="Index!A1" display="Return to Index"/>
  </hyperlinks>
  <printOptions horizontalCentered="1"/>
  <pageMargins left="0.25" right="0.25" top="0.25" bottom="0.25" header="0.5" footer="0.5"/>
  <pageSetup scale="60" pageOrder="overThenDown" orientation="landscape" r:id="rId1"/>
  <headerFooter alignWithMargins="0"/>
  <colBreaks count="1" manualBreakCount="1">
    <brk id="12" max="80" man="1"/>
  </col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00"/>
    <pageSetUpPr fitToPage="1"/>
  </sheetPr>
  <dimension ref="A1:AB65"/>
  <sheetViews>
    <sheetView showGridLines="0" zoomScale="75" zoomScaleNormal="75" workbookViewId="0">
      <pane xSplit="4" ySplit="3" topLeftCell="J8" activePane="bottomRight" state="frozen"/>
      <selection pane="topRight" activeCell="E1" sqref="E1"/>
      <selection pane="bottomLeft" activeCell="A4" sqref="A4"/>
      <selection pane="bottomRight" activeCell="O42" sqref="O42"/>
    </sheetView>
  </sheetViews>
  <sheetFormatPr defaultRowHeight="15.75" customHeight="1"/>
  <cols>
    <col min="1" max="1" width="4.7109375" style="1" customWidth="1"/>
    <col min="2" max="2" width="60.140625" style="6" customWidth="1"/>
    <col min="3" max="4" width="3.42578125" style="6" customWidth="1"/>
    <col min="5" max="5" width="10.85546875" style="6" customWidth="1"/>
    <col min="6" max="7" width="16" style="6" customWidth="1"/>
    <col min="8" max="8" width="17.42578125" style="6" customWidth="1"/>
    <col min="9" max="9" width="15.5703125" style="6" customWidth="1"/>
    <col min="10" max="10" width="16" style="6" customWidth="1"/>
    <col min="11" max="11" width="20.28515625" style="6" bestFit="1" customWidth="1"/>
    <col min="12" max="12" width="17.7109375" style="6" customWidth="1"/>
    <col min="13" max="13" width="2.28515625" style="9" customWidth="1"/>
    <col min="14" max="14" width="17.140625" style="6" customWidth="1"/>
    <col min="15" max="15" width="19.42578125" style="9" customWidth="1"/>
    <col min="16" max="16" width="19.7109375" style="9" customWidth="1"/>
    <col min="17" max="17" width="1.140625" style="9" customWidth="1"/>
    <col min="18" max="19" width="14.42578125" style="9" customWidth="1"/>
    <col min="20" max="20" width="12.7109375" style="9" customWidth="1"/>
    <col min="21" max="21" width="10.7109375" style="9" customWidth="1"/>
    <col min="22" max="22" width="16.85546875" style="9" customWidth="1"/>
    <col min="23" max="23" width="1.85546875" style="9" customWidth="1"/>
    <col min="24" max="24" width="26.42578125" style="9" customWidth="1"/>
    <col min="25" max="25" width="17" style="9" customWidth="1"/>
    <col min="26" max="26" width="16.7109375" style="9" customWidth="1"/>
    <col min="27" max="27" width="18.85546875" style="9" customWidth="1"/>
    <col min="28" max="28" width="22.28515625" style="9" customWidth="1"/>
    <col min="29" max="16384" width="9.140625" style="9"/>
  </cols>
  <sheetData>
    <row r="1" spans="2:28" s="1" customFormat="1" ht="18" customHeight="1" thickBot="1">
      <c r="B1" s="2" t="s">
        <v>487</v>
      </c>
      <c r="C1" s="3"/>
      <c r="D1" s="3"/>
      <c r="E1" s="3"/>
      <c r="F1" s="3"/>
      <c r="G1" s="3"/>
      <c r="H1" s="3"/>
      <c r="I1" s="4"/>
      <c r="J1" s="3"/>
      <c r="K1" s="3"/>
      <c r="L1" s="3"/>
      <c r="M1" s="3"/>
      <c r="N1" s="337" t="s">
        <v>579</v>
      </c>
      <c r="AA1" s="3">
        <v>12</v>
      </c>
      <c r="AB1" s="3">
        <v>13</v>
      </c>
    </row>
    <row r="2" spans="2:28" ht="15.75" customHeight="1">
      <c r="B2" s="2" t="str">
        <f>Input!$B$5</f>
        <v>For the Year Ended August 31, 2010</v>
      </c>
      <c r="C2" s="5"/>
      <c r="D2" s="5"/>
      <c r="E2" s="5"/>
      <c r="G2" s="5"/>
      <c r="H2" s="5"/>
      <c r="I2" s="7"/>
      <c r="J2" s="5"/>
      <c r="K2" s="5"/>
      <c r="L2" s="8"/>
      <c r="N2" s="8"/>
      <c r="O2" s="10"/>
    </row>
    <row r="3" spans="2:28" ht="15.75" customHeight="1">
      <c r="B3" s="2" t="str">
        <f>Input!$B$6</f>
        <v>Source: FY 2010 Research Expenditure Survey</v>
      </c>
      <c r="C3" s="5"/>
      <c r="D3" s="5"/>
      <c r="E3" s="5"/>
      <c r="F3" s="5"/>
      <c r="G3" s="5"/>
      <c r="H3" s="5"/>
      <c r="I3" s="7"/>
      <c r="J3" s="5"/>
      <c r="K3" s="5"/>
      <c r="L3" s="8"/>
      <c r="N3" s="8"/>
    </row>
    <row r="4" spans="2:28" ht="15.75" customHeight="1">
      <c r="B4" s="11"/>
      <c r="C4" s="5"/>
      <c r="D4" s="5"/>
      <c r="E4" s="5"/>
      <c r="F4" s="5"/>
      <c r="G4" s="5"/>
      <c r="H4" s="5"/>
      <c r="I4" s="7"/>
      <c r="J4" s="5"/>
      <c r="K4" s="5"/>
      <c r="L4" s="8"/>
      <c r="N4" s="10" t="s">
        <v>0</v>
      </c>
      <c r="P4" s="12"/>
    </row>
    <row r="5" spans="2:28" ht="15.75" customHeight="1">
      <c r="L5" s="3"/>
      <c r="N5" s="3"/>
    </row>
    <row r="6" spans="2:28" ht="15.75" customHeight="1">
      <c r="B6" s="453" t="str">
        <f>Input!$B$7</f>
        <v>FY 2010</v>
      </c>
      <c r="C6" s="454"/>
      <c r="D6" s="454"/>
      <c r="E6" s="454"/>
      <c r="F6" s="454"/>
      <c r="G6" s="454"/>
      <c r="H6" s="454"/>
      <c r="I6" s="454"/>
      <c r="J6" s="454"/>
      <c r="K6" s="454"/>
      <c r="L6" s="454"/>
      <c r="N6" s="13"/>
    </row>
    <row r="7" spans="2:28" ht="28.5" customHeight="1">
      <c r="B7" s="14" t="s">
        <v>2</v>
      </c>
      <c r="C7" s="15"/>
      <c r="D7" s="15"/>
      <c r="E7" s="15"/>
      <c r="F7" s="15"/>
      <c r="G7" s="15"/>
      <c r="H7" s="15"/>
      <c r="I7" s="15"/>
      <c r="J7" s="15"/>
      <c r="K7" s="16" t="s">
        <v>3</v>
      </c>
      <c r="L7" s="16" t="s">
        <v>4</v>
      </c>
      <c r="N7" s="17"/>
      <c r="O7" s="18"/>
      <c r="P7" s="19"/>
      <c r="Q7" s="19"/>
      <c r="R7" s="19"/>
      <c r="S7" s="19"/>
      <c r="T7" s="19"/>
    </row>
    <row r="8" spans="2:28" ht="15.75" customHeight="1">
      <c r="B8" s="20" t="s">
        <v>5</v>
      </c>
      <c r="C8" s="21"/>
      <c r="D8" s="21"/>
      <c r="E8" s="21"/>
      <c r="F8" s="21"/>
      <c r="G8" s="21"/>
      <c r="H8" s="21"/>
      <c r="I8" s="21"/>
      <c r="J8" s="21"/>
      <c r="K8" s="22">
        <f>L8</f>
        <v>308606969</v>
      </c>
      <c r="L8" s="23">
        <f>Input!$H$10</f>
        <v>308606969</v>
      </c>
      <c r="N8" s="115"/>
      <c r="O8" s="116"/>
      <c r="P8" s="19"/>
      <c r="Q8" s="19"/>
      <c r="R8" s="19"/>
      <c r="S8" s="19"/>
      <c r="T8" s="19"/>
      <c r="AB8" s="24">
        <f>SUM(C8:L8)</f>
        <v>617213938</v>
      </c>
    </row>
    <row r="9" spans="2:28" ht="15.75" customHeight="1">
      <c r="B9" s="20" t="s">
        <v>7</v>
      </c>
      <c r="C9" s="21"/>
      <c r="D9" s="21"/>
      <c r="E9" s="21"/>
      <c r="F9" s="21"/>
      <c r="G9" s="21"/>
      <c r="H9" s="21"/>
      <c r="I9" s="21"/>
      <c r="J9" s="21"/>
      <c r="K9" s="25">
        <f>Input!$F$10</f>
        <v>0</v>
      </c>
      <c r="L9" s="26"/>
      <c r="N9" s="115"/>
      <c r="O9" s="28"/>
      <c r="P9" s="19"/>
      <c r="Q9" s="19"/>
      <c r="R9" s="19"/>
      <c r="S9" s="19"/>
      <c r="T9" s="19"/>
      <c r="AB9" s="24">
        <f>SUM(C9:L9)</f>
        <v>0</v>
      </c>
    </row>
    <row r="10" spans="2:28" ht="15.75" customHeight="1">
      <c r="B10" s="27" t="s">
        <v>8</v>
      </c>
      <c r="C10" s="28"/>
      <c r="D10" s="21"/>
      <c r="E10" s="21"/>
      <c r="F10" s="9"/>
      <c r="G10" s="29"/>
      <c r="H10" s="455" t="str">
        <f>IF(O10&lt;&gt;0,"Out of Balance with SRECNA","")</f>
        <v/>
      </c>
      <c r="I10" s="455"/>
      <c r="J10" s="456"/>
      <c r="K10" s="31">
        <f>SUM(K8:K9)</f>
        <v>308606969</v>
      </c>
      <c r="L10" s="32"/>
      <c r="N10" s="117"/>
      <c r="O10" s="118"/>
      <c r="P10" s="19"/>
      <c r="Q10" s="19"/>
      <c r="R10" s="19"/>
      <c r="S10" s="19"/>
      <c r="T10" s="19"/>
      <c r="AB10" s="24"/>
    </row>
    <row r="11" spans="2:28" ht="15.75" customHeight="1">
      <c r="B11" s="20"/>
      <c r="C11" s="21"/>
      <c r="D11" s="21"/>
      <c r="E11" s="21"/>
      <c r="F11" s="9"/>
      <c r="G11" s="9"/>
      <c r="H11" s="9"/>
      <c r="I11" s="9"/>
      <c r="J11" s="9"/>
      <c r="K11" s="33"/>
      <c r="L11" s="26"/>
      <c r="N11" s="17"/>
      <c r="O11" s="95"/>
      <c r="P11" s="34"/>
      <c r="Q11" s="34"/>
      <c r="R11" s="34"/>
      <c r="S11" s="34"/>
      <c r="T11" s="35"/>
      <c r="AB11" s="24">
        <f t="shared" ref="AB11:AB12" si="0">SUM(C10:L10)</f>
        <v>308606969</v>
      </c>
    </row>
    <row r="12" spans="2:28" ht="15.75" customHeight="1">
      <c r="B12" s="20" t="s">
        <v>9</v>
      </c>
      <c r="C12" s="21"/>
      <c r="D12" s="21"/>
      <c r="E12" s="21"/>
      <c r="F12" s="21"/>
      <c r="G12" s="21"/>
      <c r="H12" s="21"/>
      <c r="I12" s="21"/>
      <c r="J12" s="21"/>
      <c r="K12" s="36">
        <f>Input!$G$10</f>
        <v>806596</v>
      </c>
      <c r="L12" s="26"/>
      <c r="N12" s="37"/>
      <c r="O12" s="19"/>
      <c r="P12" s="19"/>
      <c r="Q12" s="19"/>
      <c r="R12" s="19"/>
      <c r="S12" s="19"/>
      <c r="T12" s="19"/>
      <c r="AB12" s="24">
        <f t="shared" si="0"/>
        <v>0</v>
      </c>
    </row>
    <row r="13" spans="2:28" ht="15.75" customHeight="1">
      <c r="B13" s="20" t="s">
        <v>10</v>
      </c>
      <c r="C13" s="21"/>
      <c r="D13" s="21"/>
      <c r="E13" s="21"/>
      <c r="F13" s="21"/>
      <c r="G13" s="21"/>
      <c r="H13" s="21"/>
      <c r="I13" s="21"/>
      <c r="J13" s="21"/>
      <c r="K13" s="33">
        <f>L13</f>
        <v>75968647</v>
      </c>
      <c r="L13" s="36">
        <f>Input!$I$10</f>
        <v>75968647</v>
      </c>
      <c r="N13" s="37"/>
      <c r="O13" s="119"/>
      <c r="AB13" s="24">
        <f>SUM(C13:L13)</f>
        <v>151937294</v>
      </c>
    </row>
    <row r="14" spans="2:28" ht="15.75" customHeight="1">
      <c r="B14" s="20" t="s">
        <v>11</v>
      </c>
      <c r="C14" s="21"/>
      <c r="D14" s="21"/>
      <c r="E14" s="21"/>
      <c r="F14" s="21"/>
      <c r="G14" s="21"/>
      <c r="H14" s="21"/>
      <c r="I14" s="21"/>
      <c r="J14" s="21"/>
      <c r="K14" s="33">
        <f>L14</f>
        <v>10739320</v>
      </c>
      <c r="L14" s="36">
        <f>Input!$J$10</f>
        <v>10739320</v>
      </c>
      <c r="N14" s="17"/>
      <c r="O14" s="28"/>
      <c r="P14" s="19"/>
      <c r="Q14" s="19"/>
      <c r="R14" s="19"/>
      <c r="S14" s="19"/>
      <c r="T14" s="39"/>
      <c r="U14" s="19"/>
      <c r="V14" s="19"/>
      <c r="W14" s="19"/>
      <c r="X14" s="19"/>
      <c r="Y14" s="19"/>
      <c r="Z14" s="19"/>
      <c r="AA14" s="19"/>
      <c r="AB14" s="24">
        <f>SUM(C14:L14)</f>
        <v>21478640</v>
      </c>
    </row>
    <row r="15" spans="2:28" ht="15.75" customHeight="1">
      <c r="B15" s="20" t="s">
        <v>12</v>
      </c>
      <c r="C15" s="21"/>
      <c r="D15" s="21"/>
      <c r="E15" s="21"/>
      <c r="F15" s="21"/>
      <c r="G15" s="21"/>
      <c r="H15" s="21"/>
      <c r="I15" s="21"/>
      <c r="J15" s="21"/>
      <c r="K15" s="40">
        <f>L15</f>
        <v>0</v>
      </c>
      <c r="L15" s="36">
        <f>Input!$K$10</f>
        <v>0</v>
      </c>
      <c r="N15" s="19"/>
      <c r="O15" s="19"/>
      <c r="P15" s="19"/>
      <c r="Q15" s="19"/>
      <c r="R15" s="19"/>
      <c r="S15" s="19"/>
      <c r="T15" s="19"/>
      <c r="U15" s="19"/>
      <c r="V15" s="19"/>
      <c r="W15" s="41"/>
      <c r="X15" s="19"/>
      <c r="Y15" s="19"/>
      <c r="Z15" s="19"/>
      <c r="AA15" s="19"/>
      <c r="AB15" s="24">
        <f>SUM(C15:L15)</f>
        <v>0</v>
      </c>
    </row>
    <row r="16" spans="2:28" ht="15.75" customHeight="1">
      <c r="B16" s="20" t="s">
        <v>13</v>
      </c>
      <c r="C16" s="21"/>
      <c r="D16" s="21"/>
      <c r="E16" s="21"/>
      <c r="F16" s="21"/>
      <c r="G16" s="21"/>
      <c r="H16" s="21"/>
      <c r="I16" s="21"/>
      <c r="J16" s="21"/>
      <c r="K16" s="40">
        <f>L16</f>
        <v>0</v>
      </c>
      <c r="L16" s="36">
        <f>Input!$L$10</f>
        <v>0</v>
      </c>
      <c r="N16" s="28"/>
      <c r="O16" s="42"/>
      <c r="P16" s="19"/>
      <c r="Q16" s="19"/>
      <c r="R16" s="19"/>
      <c r="S16" s="19"/>
      <c r="T16" s="19"/>
      <c r="U16" s="19"/>
      <c r="V16" s="19"/>
      <c r="W16" s="19"/>
      <c r="X16" s="19"/>
      <c r="Y16" s="19"/>
      <c r="Z16" s="19"/>
      <c r="AA16" s="19"/>
      <c r="AB16" s="24">
        <f>SUM(C16:L16)</f>
        <v>0</v>
      </c>
    </row>
    <row r="17" spans="2:28" ht="15.75" customHeight="1">
      <c r="B17" s="43" t="s">
        <v>14</v>
      </c>
      <c r="C17" s="44"/>
      <c r="D17" s="44"/>
      <c r="E17" s="44"/>
      <c r="F17" s="44"/>
      <c r="G17" s="44"/>
      <c r="H17" s="44"/>
      <c r="I17" s="44"/>
      <c r="J17" s="44"/>
      <c r="K17" s="45">
        <f>SUM(K10:K16)</f>
        <v>396121532</v>
      </c>
      <c r="L17" s="46">
        <f>SUM(L8:L16)</f>
        <v>395314936</v>
      </c>
      <c r="N17" s="47"/>
      <c r="O17" s="48"/>
      <c r="P17" s="48"/>
      <c r="Q17" s="48"/>
      <c r="R17" s="49"/>
      <c r="S17" s="50">
        <f>L17-INT(L17)</f>
        <v>0</v>
      </c>
      <c r="T17" s="49">
        <v>0</v>
      </c>
      <c r="U17" s="48">
        <v>0</v>
      </c>
      <c r="V17" s="48">
        <v>0</v>
      </c>
      <c r="W17" s="48"/>
      <c r="X17" s="48"/>
      <c r="Y17" s="51"/>
      <c r="Z17" s="41"/>
      <c r="AA17" s="19"/>
      <c r="AB17" s="44" t="e">
        <f>#REF!+#REF!+#REF!+#REF!</f>
        <v>#REF!</v>
      </c>
    </row>
    <row r="18" spans="2:28" ht="15.75" customHeight="1">
      <c r="C18" s="38"/>
      <c r="D18" s="38"/>
      <c r="E18" s="38"/>
      <c r="F18" s="457" t="str">
        <f>IF(OR(S17&lt;&gt;0,S41&lt;&gt;0,S54&lt;&gt;0),"Do not Enter Cents - Whole Dollars Only","")</f>
        <v/>
      </c>
      <c r="G18" s="457"/>
      <c r="H18" s="457"/>
      <c r="I18" s="457"/>
      <c r="J18" s="457"/>
      <c r="K18" s="38"/>
      <c r="L18" s="38"/>
      <c r="N18" s="47"/>
      <c r="O18" s="48"/>
      <c r="P18" s="48"/>
      <c r="Q18" s="48"/>
      <c r="R18" s="49"/>
      <c r="S18" s="52"/>
      <c r="T18" s="49"/>
      <c r="U18" s="48"/>
      <c r="V18" s="48"/>
      <c r="W18" s="48"/>
      <c r="X18" s="48"/>
      <c r="Y18" s="51"/>
      <c r="Z18" s="41"/>
      <c r="AA18" s="19"/>
    </row>
    <row r="19" spans="2:28" ht="33" customHeight="1">
      <c r="B19" s="14" t="s">
        <v>15</v>
      </c>
      <c r="C19" s="53"/>
      <c r="D19" s="53"/>
      <c r="E19" s="53"/>
      <c r="F19" s="54" t="s">
        <v>16</v>
      </c>
      <c r="G19" s="54" t="s">
        <v>17</v>
      </c>
      <c r="H19" s="54" t="s">
        <v>18</v>
      </c>
      <c r="I19" s="54" t="s">
        <v>19</v>
      </c>
      <c r="J19" s="54" t="s">
        <v>20</v>
      </c>
      <c r="K19" s="54" t="s">
        <v>21</v>
      </c>
      <c r="L19" s="54" t="s">
        <v>22</v>
      </c>
      <c r="N19" s="47"/>
      <c r="O19" s="48"/>
      <c r="P19" s="48"/>
      <c r="Q19" s="48"/>
      <c r="R19" s="49"/>
      <c r="S19" s="52"/>
      <c r="T19" s="49"/>
      <c r="U19" s="48"/>
      <c r="V19" s="48"/>
      <c r="W19" s="48"/>
      <c r="X19" s="48"/>
      <c r="Y19" s="51"/>
      <c r="Z19" s="41"/>
      <c r="AA19" s="19"/>
    </row>
    <row r="20" spans="2:28" ht="15.75" customHeight="1">
      <c r="B20" s="55" t="s">
        <v>23</v>
      </c>
      <c r="C20" s="21"/>
      <c r="D20" s="21"/>
      <c r="F20" s="56">
        <f>Input!$M$10</f>
        <v>0</v>
      </c>
      <c r="G20" s="56">
        <f>Input!$N$10</f>
        <v>0</v>
      </c>
      <c r="H20" s="56">
        <f>Input!$O$10</f>
        <v>0</v>
      </c>
      <c r="I20" s="56">
        <f>Input!$P$10</f>
        <v>0</v>
      </c>
      <c r="J20" s="56">
        <f>Input!$Q$10</f>
        <v>0</v>
      </c>
      <c r="K20" s="56">
        <f>Input!$R$10</f>
        <v>0</v>
      </c>
      <c r="L20" s="57">
        <f>SUM(F20:K20)</f>
        <v>0</v>
      </c>
      <c r="N20" s="58"/>
      <c r="O20" s="59"/>
      <c r="P20" s="60"/>
      <c r="Q20" s="61"/>
      <c r="R20" s="58"/>
      <c r="S20" s="58"/>
      <c r="T20" s="58"/>
      <c r="U20" s="61"/>
      <c r="V20" s="58"/>
      <c r="W20" s="61"/>
      <c r="X20" s="62"/>
      <c r="Y20" s="59"/>
      <c r="Z20" s="61"/>
      <c r="AA20" s="19"/>
      <c r="AB20" s="24">
        <f t="shared" ref="AB20:AB25" si="1">SUM(C20:L20)</f>
        <v>0</v>
      </c>
    </row>
    <row r="21" spans="2:28" ht="15.75" customHeight="1">
      <c r="B21" s="63" t="s">
        <v>24</v>
      </c>
      <c r="C21" s="21"/>
      <c r="D21" s="21"/>
      <c r="F21" s="64">
        <f>Input!$S$10</f>
        <v>106280934</v>
      </c>
      <c r="G21" s="64">
        <f>Input!$T$10</f>
        <v>18291963</v>
      </c>
      <c r="H21" s="64">
        <f>Input!$U$10</f>
        <v>1441732</v>
      </c>
      <c r="I21" s="64">
        <f>Input!$V$10</f>
        <v>4367700</v>
      </c>
      <c r="J21" s="64">
        <f>Input!$W$10</f>
        <v>2442520</v>
      </c>
      <c r="K21" s="64">
        <f>Input!$X$10</f>
        <v>32004547</v>
      </c>
      <c r="L21" s="65">
        <f t="shared" ref="L21:L40" si="2">SUM(F21:K21)</f>
        <v>164829396</v>
      </c>
      <c r="N21" s="66"/>
      <c r="O21" s="67"/>
      <c r="P21" s="68"/>
      <c r="Q21" s="69"/>
      <c r="R21" s="70"/>
      <c r="S21" s="70"/>
      <c r="T21" s="70"/>
      <c r="U21" s="69"/>
      <c r="V21" s="71"/>
      <c r="W21" s="61"/>
      <c r="X21" s="62"/>
      <c r="Y21" s="67"/>
      <c r="Z21" s="69"/>
      <c r="AA21" s="19"/>
      <c r="AB21" s="24">
        <f t="shared" si="1"/>
        <v>329658792</v>
      </c>
    </row>
    <row r="22" spans="2:28" ht="15.75" customHeight="1">
      <c r="B22" s="55" t="s">
        <v>25</v>
      </c>
      <c r="C22" s="21"/>
      <c r="D22" s="21"/>
      <c r="F22" s="64">
        <f>Input!$Y$10</f>
        <v>0</v>
      </c>
      <c r="G22" s="64">
        <f>Input!$Z$10</f>
        <v>0</v>
      </c>
      <c r="H22" s="64">
        <f>Input!$AA$10</f>
        <v>0</v>
      </c>
      <c r="I22" s="64">
        <f>Input!$AB$10</f>
        <v>0</v>
      </c>
      <c r="J22" s="64">
        <f>Input!$AC$10</f>
        <v>0</v>
      </c>
      <c r="K22" s="64">
        <f>Input!$AD$10</f>
        <v>0</v>
      </c>
      <c r="L22" s="65">
        <f t="shared" si="2"/>
        <v>0</v>
      </c>
      <c r="N22" s="66"/>
      <c r="O22" s="67"/>
      <c r="P22" s="72"/>
      <c r="Q22" s="69"/>
      <c r="R22" s="70"/>
      <c r="S22" s="70"/>
      <c r="T22" s="70"/>
      <c r="U22" s="69"/>
      <c r="V22" s="70"/>
      <c r="W22" s="69"/>
      <c r="X22" s="62"/>
      <c r="Y22" s="67"/>
      <c r="Z22" s="69"/>
      <c r="AA22" s="19"/>
      <c r="AB22" s="24">
        <f t="shared" si="1"/>
        <v>0</v>
      </c>
    </row>
    <row r="23" spans="2:28" ht="15.75" customHeight="1">
      <c r="B23" s="55" t="s">
        <v>26</v>
      </c>
      <c r="C23" s="21"/>
      <c r="D23" s="21"/>
      <c r="F23" s="64">
        <f>Input!$AE$10</f>
        <v>0</v>
      </c>
      <c r="G23" s="64">
        <f>Input!$AF$10</f>
        <v>0</v>
      </c>
      <c r="H23" s="64">
        <f>Input!$AG$10</f>
        <v>0</v>
      </c>
      <c r="I23" s="64">
        <f>Input!$AH$10</f>
        <v>0</v>
      </c>
      <c r="J23" s="64">
        <f>Input!$AI$10</f>
        <v>0</v>
      </c>
      <c r="K23" s="64">
        <f>Input!$AJ$10</f>
        <v>0</v>
      </c>
      <c r="L23" s="65">
        <f t="shared" si="2"/>
        <v>0</v>
      </c>
      <c r="N23" s="66"/>
      <c r="O23" s="67"/>
      <c r="P23" s="68"/>
      <c r="Q23" s="69"/>
      <c r="R23" s="70"/>
      <c r="S23" s="70"/>
      <c r="T23" s="70"/>
      <c r="U23" s="69"/>
      <c r="V23" s="70"/>
      <c r="W23" s="69"/>
      <c r="X23" s="62"/>
      <c r="Y23" s="67"/>
      <c r="Z23" s="69"/>
      <c r="AA23" s="19"/>
      <c r="AB23" s="24">
        <f t="shared" si="1"/>
        <v>0</v>
      </c>
    </row>
    <row r="24" spans="2:28" ht="15.75" customHeight="1">
      <c r="B24" s="55" t="s">
        <v>27</v>
      </c>
      <c r="C24" s="21"/>
      <c r="D24" s="21"/>
      <c r="F24" s="64">
        <f>Input!$AK$10</f>
        <v>0</v>
      </c>
      <c r="G24" s="64">
        <f>Input!$AL$10</f>
        <v>0</v>
      </c>
      <c r="H24" s="64">
        <f>Input!$AM$10</f>
        <v>0</v>
      </c>
      <c r="I24" s="64">
        <f>Input!$AN$10</f>
        <v>0</v>
      </c>
      <c r="J24" s="64">
        <f>Input!$AO$10</f>
        <v>0</v>
      </c>
      <c r="K24" s="64">
        <f>Input!$AP$10</f>
        <v>0</v>
      </c>
      <c r="L24" s="65">
        <f t="shared" si="2"/>
        <v>0</v>
      </c>
      <c r="N24" s="66"/>
      <c r="O24" s="67"/>
      <c r="P24" s="68"/>
      <c r="Q24" s="69"/>
      <c r="R24" s="70"/>
      <c r="S24" s="70"/>
      <c r="T24" s="70"/>
      <c r="U24" s="69"/>
      <c r="V24" s="70"/>
      <c r="W24" s="69"/>
      <c r="X24" s="62"/>
      <c r="Y24" s="67"/>
      <c r="Z24" s="69"/>
      <c r="AA24" s="19"/>
      <c r="AB24" s="24">
        <f t="shared" si="1"/>
        <v>0</v>
      </c>
    </row>
    <row r="25" spans="2:28" ht="15.75" customHeight="1">
      <c r="B25" s="55" t="s">
        <v>28</v>
      </c>
      <c r="C25" s="21"/>
      <c r="D25" s="21"/>
      <c r="F25" s="64">
        <f>Input!$AQ$10</f>
        <v>0</v>
      </c>
      <c r="G25" s="64">
        <f>Input!$AR$10</f>
        <v>0</v>
      </c>
      <c r="H25" s="64">
        <f>Input!$AS$10</f>
        <v>0</v>
      </c>
      <c r="I25" s="64">
        <f>Input!$AT$10</f>
        <v>0</v>
      </c>
      <c r="J25" s="64">
        <f>Input!$AU$10</f>
        <v>0</v>
      </c>
      <c r="K25" s="64">
        <f>Input!$AV$10</f>
        <v>0</v>
      </c>
      <c r="L25" s="65">
        <f t="shared" si="2"/>
        <v>0</v>
      </c>
      <c r="N25" s="66"/>
      <c r="O25" s="73" t="s">
        <v>6</v>
      </c>
      <c r="P25" s="68"/>
      <c r="Q25" s="69"/>
      <c r="R25" s="70"/>
      <c r="S25" s="70"/>
      <c r="T25" s="70"/>
      <c r="U25" s="69"/>
      <c r="V25" s="70"/>
      <c r="W25" s="69"/>
      <c r="X25" s="62"/>
      <c r="Y25" s="67"/>
      <c r="Z25" s="69"/>
      <c r="AA25" s="19"/>
      <c r="AB25" s="24">
        <f t="shared" si="1"/>
        <v>0</v>
      </c>
    </row>
    <row r="26" spans="2:28" ht="15.75" customHeight="1">
      <c r="B26" s="55" t="s">
        <v>29</v>
      </c>
      <c r="C26" s="21"/>
      <c r="D26" s="21"/>
      <c r="F26" s="64">
        <f>Input!$AW$10</f>
        <v>125591611</v>
      </c>
      <c r="G26" s="64">
        <f>Input!$AX$10</f>
        <v>24005050</v>
      </c>
      <c r="H26" s="64">
        <f>Input!$AY$10</f>
        <v>2302310</v>
      </c>
      <c r="I26" s="64">
        <f>Input!$AZ$10</f>
        <v>12131179</v>
      </c>
      <c r="J26" s="64">
        <f>Input!$BA$10</f>
        <v>17165769</v>
      </c>
      <c r="K26" s="64">
        <f>Input!$BB$10</f>
        <v>39115472</v>
      </c>
      <c r="L26" s="65">
        <f t="shared" si="2"/>
        <v>220311391</v>
      </c>
      <c r="N26" s="74" t="str">
        <f>IF(O26&lt;&gt;0,"Out of Balance","Balanced")</f>
        <v>Balanced</v>
      </c>
      <c r="O26" s="75">
        <f>L17-L41</f>
        <v>0</v>
      </c>
      <c r="Q26" s="69"/>
      <c r="R26" s="70"/>
      <c r="S26" s="70"/>
      <c r="T26" s="70"/>
      <c r="U26" s="69"/>
      <c r="V26" s="70"/>
      <c r="W26" s="69"/>
      <c r="X26" s="62"/>
      <c r="Y26" s="67"/>
      <c r="Z26" s="69"/>
      <c r="AA26" s="19"/>
      <c r="AB26" s="24"/>
    </row>
    <row r="27" spans="2:28" ht="15.75" customHeight="1">
      <c r="B27" s="55" t="s">
        <v>30</v>
      </c>
      <c r="C27" s="21"/>
      <c r="D27" s="21"/>
      <c r="F27" s="64">
        <f>Input!$BC$10</f>
        <v>0</v>
      </c>
      <c r="G27" s="64">
        <f>Input!$BD$10</f>
        <v>0</v>
      </c>
      <c r="H27" s="64">
        <f>Input!$BE$10</f>
        <v>0</v>
      </c>
      <c r="I27" s="64">
        <f>Input!$BF$10</f>
        <v>0</v>
      </c>
      <c r="J27" s="64">
        <f>Input!$BG$10</f>
        <v>0</v>
      </c>
      <c r="K27" s="64">
        <f>Input!$BH$10</f>
        <v>0</v>
      </c>
      <c r="L27" s="65">
        <f t="shared" si="2"/>
        <v>0</v>
      </c>
      <c r="N27" s="66"/>
      <c r="O27" s="67"/>
      <c r="P27" s="68"/>
      <c r="Q27" s="69"/>
      <c r="R27" s="70"/>
      <c r="S27" s="70"/>
      <c r="T27" s="70"/>
      <c r="U27" s="69"/>
      <c r="V27" s="70"/>
      <c r="W27" s="69"/>
      <c r="X27" s="62"/>
      <c r="Y27" s="67"/>
      <c r="Z27" s="69"/>
      <c r="AA27" s="19"/>
      <c r="AB27" s="24"/>
    </row>
    <row r="28" spans="2:28" ht="15.75" customHeight="1">
      <c r="B28" s="63" t="s">
        <v>31</v>
      </c>
      <c r="C28" s="21"/>
      <c r="D28" s="21"/>
      <c r="F28" s="64">
        <f>Input!$BI$10</f>
        <v>0</v>
      </c>
      <c r="G28" s="64">
        <f>Input!$BJ$10</f>
        <v>0</v>
      </c>
      <c r="H28" s="64">
        <f>Input!$BK$10</f>
        <v>0</v>
      </c>
      <c r="I28" s="64">
        <f>Input!$BL$10</f>
        <v>0</v>
      </c>
      <c r="J28" s="64">
        <f>Input!$BM$10</f>
        <v>0</v>
      </c>
      <c r="K28" s="64">
        <f>Input!$BN$10</f>
        <v>0</v>
      </c>
      <c r="L28" s="65">
        <f t="shared" si="2"/>
        <v>0</v>
      </c>
      <c r="N28" s="66"/>
      <c r="O28" s="67"/>
      <c r="P28" s="68"/>
      <c r="Q28" s="69"/>
      <c r="R28" s="70"/>
      <c r="S28" s="70"/>
      <c r="T28" s="70"/>
      <c r="U28" s="69"/>
      <c r="V28" s="70"/>
      <c r="W28" s="69"/>
      <c r="X28" s="62"/>
      <c r="Y28" s="67"/>
      <c r="Z28" s="69"/>
      <c r="AA28" s="19"/>
      <c r="AB28" s="24"/>
    </row>
    <row r="29" spans="2:28" ht="15.75" customHeight="1">
      <c r="B29" s="63" t="s">
        <v>32</v>
      </c>
      <c r="C29" s="21"/>
      <c r="D29" s="21"/>
      <c r="F29" s="64">
        <f>Input!$BO$10</f>
        <v>0</v>
      </c>
      <c r="G29" s="64">
        <f>Input!$BP$10</f>
        <v>0</v>
      </c>
      <c r="H29" s="64">
        <f>Input!$BQ$10</f>
        <v>0</v>
      </c>
      <c r="I29" s="64">
        <f>Input!$BR$10</f>
        <v>0</v>
      </c>
      <c r="J29" s="64">
        <f>Input!$BS$10</f>
        <v>0</v>
      </c>
      <c r="K29" s="64">
        <f>Input!$BT$10</f>
        <v>0</v>
      </c>
      <c r="L29" s="65">
        <f t="shared" si="2"/>
        <v>0</v>
      </c>
      <c r="N29" s="66"/>
      <c r="O29" s="67"/>
      <c r="P29" s="68"/>
      <c r="Q29" s="69"/>
      <c r="R29" s="70"/>
      <c r="S29" s="70"/>
      <c r="T29" s="70"/>
      <c r="U29" s="69"/>
      <c r="V29" s="70"/>
      <c r="W29" s="69"/>
      <c r="X29" s="62"/>
      <c r="Y29" s="67"/>
      <c r="Z29" s="69"/>
      <c r="AA29" s="19"/>
      <c r="AB29" s="24"/>
    </row>
    <row r="30" spans="2:28" ht="15.75" customHeight="1">
      <c r="B30" s="63" t="s">
        <v>33</v>
      </c>
      <c r="C30" s="21"/>
      <c r="D30" s="21"/>
      <c r="F30" s="64">
        <f>Input!$BU$10</f>
        <v>154440</v>
      </c>
      <c r="G30" s="64">
        <f>Input!$BV$10</f>
        <v>3548064</v>
      </c>
      <c r="H30" s="64">
        <f>Input!$BW$10</f>
        <v>228017</v>
      </c>
      <c r="I30" s="64">
        <f>Input!$BX$10</f>
        <v>2230145</v>
      </c>
      <c r="J30" s="64">
        <f>Input!$BY$10</f>
        <v>7569</v>
      </c>
      <c r="K30" s="64">
        <f>Input!$BZ$10</f>
        <v>4005914</v>
      </c>
      <c r="L30" s="65">
        <f t="shared" si="2"/>
        <v>10174149</v>
      </c>
      <c r="N30" s="66"/>
      <c r="O30" s="67"/>
      <c r="P30" s="68"/>
      <c r="Q30" s="69"/>
      <c r="R30" s="70"/>
      <c r="S30" s="70"/>
      <c r="T30" s="70"/>
      <c r="U30" s="69"/>
      <c r="V30" s="70"/>
      <c r="W30" s="69"/>
      <c r="X30" s="62"/>
      <c r="Y30" s="67"/>
      <c r="Z30" s="69"/>
      <c r="AA30" s="19"/>
      <c r="AB30" s="24"/>
    </row>
    <row r="31" spans="2:28" ht="15.75" customHeight="1">
      <c r="B31" s="63" t="s">
        <v>34</v>
      </c>
      <c r="C31" s="21"/>
      <c r="D31" s="21"/>
      <c r="F31" s="64">
        <f>Input!$CA$10</f>
        <v>0</v>
      </c>
      <c r="G31" s="64">
        <f>Input!$CB$10</f>
        <v>0</v>
      </c>
      <c r="H31" s="64">
        <f>Input!$CC$10</f>
        <v>0</v>
      </c>
      <c r="I31" s="64">
        <f>Input!$CD$10</f>
        <v>0</v>
      </c>
      <c r="J31" s="64">
        <f>Input!$CE$10</f>
        <v>0</v>
      </c>
      <c r="K31" s="64">
        <f>Input!$CF$10</f>
        <v>0</v>
      </c>
      <c r="L31" s="65">
        <f t="shared" si="2"/>
        <v>0</v>
      </c>
      <c r="N31" s="66"/>
      <c r="O31" s="67"/>
      <c r="P31" s="68"/>
      <c r="Q31" s="69"/>
      <c r="R31" s="70"/>
      <c r="S31" s="70"/>
      <c r="T31" s="70"/>
      <c r="U31" s="69"/>
      <c r="V31" s="70"/>
      <c r="W31" s="69"/>
      <c r="X31" s="62"/>
      <c r="Y31" s="67"/>
      <c r="Z31" s="69"/>
      <c r="AA31" s="19"/>
      <c r="AB31" s="24"/>
    </row>
    <row r="32" spans="2:28" ht="15.75" customHeight="1">
      <c r="B32" s="63" t="s">
        <v>35</v>
      </c>
      <c r="C32" s="21"/>
      <c r="D32" s="21"/>
      <c r="F32" s="64">
        <f>Input!$CG$10</f>
        <v>0</v>
      </c>
      <c r="G32" s="64">
        <f>Input!$CH$10</f>
        <v>0</v>
      </c>
      <c r="H32" s="64">
        <f>Input!$CI$10</f>
        <v>0</v>
      </c>
      <c r="I32" s="64">
        <f>Input!$CJ$10</f>
        <v>0</v>
      </c>
      <c r="J32" s="64">
        <f>Input!$CK$10</f>
        <v>0</v>
      </c>
      <c r="K32" s="64">
        <f>Input!$CL$10</f>
        <v>0</v>
      </c>
      <c r="L32" s="65">
        <f t="shared" si="2"/>
        <v>0</v>
      </c>
      <c r="N32" s="66"/>
      <c r="O32" s="67"/>
      <c r="P32" s="68"/>
      <c r="Q32" s="69"/>
      <c r="R32" s="70"/>
      <c r="S32" s="70"/>
      <c r="T32" s="70"/>
      <c r="U32" s="69"/>
      <c r="V32" s="70"/>
      <c r="W32" s="69"/>
      <c r="X32" s="62"/>
      <c r="Y32" s="67"/>
      <c r="Z32" s="69"/>
      <c r="AA32" s="19"/>
      <c r="AB32" s="24"/>
    </row>
    <row r="33" spans="1:28" ht="15.75" customHeight="1">
      <c r="B33" s="55" t="s">
        <v>36</v>
      </c>
      <c r="C33" s="21"/>
      <c r="D33" s="21"/>
      <c r="F33" s="64">
        <f>Input!$CM$10</f>
        <v>0</v>
      </c>
      <c r="G33" s="64">
        <f>Input!$CN$10</f>
        <v>0</v>
      </c>
      <c r="H33" s="64">
        <f>Input!$CO$10</f>
        <v>0</v>
      </c>
      <c r="I33" s="64">
        <f>Input!$CP$10</f>
        <v>0</v>
      </c>
      <c r="J33" s="64">
        <f>Input!$CQ$10</f>
        <v>0</v>
      </c>
      <c r="K33" s="64">
        <f>Input!$CR$10</f>
        <v>0</v>
      </c>
      <c r="L33" s="65">
        <f t="shared" si="2"/>
        <v>0</v>
      </c>
      <c r="N33" s="66"/>
      <c r="O33" s="67"/>
      <c r="P33" s="68"/>
      <c r="Q33" s="69"/>
      <c r="R33" s="70"/>
      <c r="S33" s="70"/>
      <c r="T33" s="70"/>
      <c r="U33" s="69"/>
      <c r="V33" s="70"/>
      <c r="W33" s="69"/>
      <c r="X33" s="62"/>
      <c r="Y33" s="67"/>
      <c r="Z33" s="69"/>
      <c r="AA33" s="19"/>
      <c r="AB33" s="24"/>
    </row>
    <row r="34" spans="1:28" ht="15.75" customHeight="1">
      <c r="B34" s="55" t="s">
        <v>37</v>
      </c>
      <c r="C34" s="21"/>
      <c r="D34" s="21"/>
      <c r="F34" s="64">
        <f>Input!$CS$10</f>
        <v>0</v>
      </c>
      <c r="G34" s="64">
        <f>Input!$CT$10</f>
        <v>0</v>
      </c>
      <c r="H34" s="64">
        <f>Input!$CU$10</f>
        <v>0</v>
      </c>
      <c r="I34" s="64">
        <f>Input!$CV$10</f>
        <v>0</v>
      </c>
      <c r="J34" s="64">
        <f>Input!$CW$10</f>
        <v>0</v>
      </c>
      <c r="K34" s="64">
        <f>Input!$CX$10</f>
        <v>0</v>
      </c>
      <c r="L34" s="65">
        <f t="shared" si="2"/>
        <v>0</v>
      </c>
      <c r="N34" s="66"/>
      <c r="O34" s="67"/>
      <c r="P34" s="68"/>
      <c r="Q34" s="69"/>
      <c r="R34" s="70"/>
      <c r="S34" s="70"/>
      <c r="T34" s="70"/>
      <c r="U34" s="69"/>
      <c r="V34" s="70"/>
      <c r="W34" s="69"/>
      <c r="X34" s="62"/>
      <c r="Y34" s="67"/>
      <c r="Z34" s="69"/>
      <c r="AA34" s="19"/>
      <c r="AB34" s="24"/>
    </row>
    <row r="35" spans="1:28" s="79" customFormat="1" ht="15.75" customHeight="1">
      <c r="A35" s="76"/>
      <c r="B35" s="77" t="s">
        <v>38</v>
      </c>
      <c r="C35" s="78"/>
      <c r="D35" s="78"/>
      <c r="E35" s="20"/>
      <c r="F35" s="64">
        <f>Input!$CY$10</f>
        <v>0</v>
      </c>
      <c r="G35" s="64">
        <f>Input!$CZ$10</f>
        <v>0</v>
      </c>
      <c r="H35" s="64">
        <f>Input!$DA$10</f>
        <v>0</v>
      </c>
      <c r="I35" s="64">
        <f>Input!$DB$10</f>
        <v>0</v>
      </c>
      <c r="J35" s="64">
        <f>Input!$DC$10</f>
        <v>0</v>
      </c>
      <c r="K35" s="64">
        <f>Input!$DD$10</f>
        <v>0</v>
      </c>
      <c r="L35" s="65">
        <f t="shared" si="2"/>
        <v>0</v>
      </c>
      <c r="N35" s="66"/>
      <c r="O35" s="67"/>
      <c r="P35" s="80"/>
      <c r="Q35" s="81"/>
      <c r="R35" s="70"/>
      <c r="S35" s="70"/>
      <c r="T35" s="70"/>
      <c r="U35" s="81"/>
      <c r="V35" s="70"/>
      <c r="W35" s="81"/>
      <c r="X35" s="62"/>
      <c r="Y35" s="67"/>
      <c r="Z35" s="81"/>
      <c r="AA35" s="82"/>
      <c r="AB35" s="83"/>
    </row>
    <row r="36" spans="1:28" s="79" customFormat="1" ht="15.75" customHeight="1">
      <c r="A36" s="76"/>
      <c r="B36" s="77" t="s">
        <v>39</v>
      </c>
      <c r="C36" s="78"/>
      <c r="D36" s="78"/>
      <c r="E36" s="20"/>
      <c r="F36" s="64">
        <f>Input!$DE$10</f>
        <v>0</v>
      </c>
      <c r="G36" s="64">
        <f>Input!$DF$10</f>
        <v>0</v>
      </c>
      <c r="H36" s="64">
        <f>Input!$DG$10</f>
        <v>0</v>
      </c>
      <c r="I36" s="64">
        <f>Input!$DH$10</f>
        <v>0</v>
      </c>
      <c r="J36" s="64">
        <f>Input!$DI$10</f>
        <v>0</v>
      </c>
      <c r="K36" s="64">
        <f>Input!$DJ$10</f>
        <v>0</v>
      </c>
      <c r="L36" s="65">
        <f t="shared" si="2"/>
        <v>0</v>
      </c>
      <c r="N36" s="66"/>
      <c r="O36" s="67"/>
      <c r="P36" s="80"/>
      <c r="Q36" s="81"/>
      <c r="R36" s="70"/>
      <c r="S36" s="70"/>
      <c r="T36" s="70"/>
      <c r="U36" s="81"/>
      <c r="V36" s="70"/>
      <c r="W36" s="81"/>
      <c r="X36" s="62"/>
      <c r="Y36" s="67"/>
      <c r="Z36" s="81"/>
      <c r="AA36" s="82"/>
      <c r="AB36" s="83"/>
    </row>
    <row r="37" spans="1:28" s="79" customFormat="1" ht="15.75" customHeight="1">
      <c r="A37" s="76"/>
      <c r="B37" s="77" t="s">
        <v>40</v>
      </c>
      <c r="C37" s="78"/>
      <c r="D37" s="78"/>
      <c r="E37" s="20"/>
      <c r="F37" s="64">
        <f>Input!$DK$10</f>
        <v>0</v>
      </c>
      <c r="G37" s="64">
        <f>Input!$DL$10</f>
        <v>0</v>
      </c>
      <c r="H37" s="64">
        <f>Input!$DM$10</f>
        <v>0</v>
      </c>
      <c r="I37" s="64">
        <f>Input!$DN$10</f>
        <v>0</v>
      </c>
      <c r="J37" s="64">
        <f>Input!$DO$10</f>
        <v>0</v>
      </c>
      <c r="K37" s="64">
        <f>Input!$DP$10</f>
        <v>0</v>
      </c>
      <c r="L37" s="65">
        <f t="shared" si="2"/>
        <v>0</v>
      </c>
      <c r="N37" s="66"/>
      <c r="O37" s="67"/>
      <c r="P37" s="80"/>
      <c r="Q37" s="81"/>
      <c r="R37" s="70"/>
      <c r="S37" s="70"/>
      <c r="T37" s="70"/>
      <c r="U37" s="81"/>
      <c r="V37" s="70"/>
      <c r="W37" s="81"/>
      <c r="X37" s="62"/>
      <c r="Y37" s="67"/>
      <c r="Z37" s="81"/>
      <c r="AA37" s="82"/>
      <c r="AB37" s="83"/>
    </row>
    <row r="38" spans="1:28" s="79" customFormat="1" ht="15.75" customHeight="1">
      <c r="A38" s="76"/>
      <c r="B38" s="77" t="s">
        <v>41</v>
      </c>
      <c r="C38" s="78"/>
      <c r="D38" s="78"/>
      <c r="E38" s="20"/>
      <c r="F38" s="64">
        <f>Input!$DQ$10</f>
        <v>0</v>
      </c>
      <c r="G38" s="64">
        <f>Input!$DR$10</f>
        <v>0</v>
      </c>
      <c r="H38" s="64">
        <f>Input!$DS$10</f>
        <v>0</v>
      </c>
      <c r="I38" s="64">
        <f>Input!$DT$10</f>
        <v>0</v>
      </c>
      <c r="J38" s="64">
        <f>Input!$DU$10</f>
        <v>0</v>
      </c>
      <c r="K38" s="64">
        <f>Input!$DV$10</f>
        <v>0</v>
      </c>
      <c r="L38" s="65">
        <f t="shared" si="2"/>
        <v>0</v>
      </c>
      <c r="N38" s="66"/>
      <c r="O38" s="67"/>
      <c r="P38" s="80"/>
      <c r="Q38" s="81"/>
      <c r="R38" s="70"/>
      <c r="S38" s="70"/>
      <c r="T38" s="70"/>
      <c r="U38" s="81"/>
      <c r="V38" s="70"/>
      <c r="W38" s="81"/>
      <c r="X38" s="62"/>
      <c r="Y38" s="67"/>
      <c r="Z38" s="81"/>
      <c r="AA38" s="82"/>
      <c r="AB38" s="83"/>
    </row>
    <row r="39" spans="1:28" s="79" customFormat="1" ht="15.75" customHeight="1">
      <c r="A39" s="76"/>
      <c r="B39" s="77" t="s">
        <v>42</v>
      </c>
      <c r="C39" s="78"/>
      <c r="D39" s="78"/>
      <c r="E39" s="20"/>
      <c r="F39" s="64">
        <f>Input!$DW$10</f>
        <v>0</v>
      </c>
      <c r="G39" s="64">
        <f>Input!$DX$10</f>
        <v>0</v>
      </c>
      <c r="H39" s="64">
        <f>Input!$DY$10</f>
        <v>0</v>
      </c>
      <c r="I39" s="64">
        <f>Input!$DZ$10</f>
        <v>0</v>
      </c>
      <c r="J39" s="64">
        <f>Input!$EA$10</f>
        <v>0</v>
      </c>
      <c r="K39" s="64">
        <f>Input!$EB$10</f>
        <v>0</v>
      </c>
      <c r="L39" s="65">
        <f t="shared" si="2"/>
        <v>0</v>
      </c>
      <c r="N39" s="66"/>
      <c r="O39" s="67"/>
      <c r="P39" s="80"/>
      <c r="Q39" s="81"/>
      <c r="R39" s="70"/>
      <c r="S39" s="70"/>
      <c r="T39" s="70"/>
      <c r="U39" s="81"/>
      <c r="V39" s="70"/>
      <c r="W39" s="81"/>
      <c r="X39" s="62"/>
      <c r="Y39" s="67"/>
      <c r="Z39" s="81"/>
      <c r="AA39" s="82"/>
      <c r="AB39" s="83"/>
    </row>
    <row r="40" spans="1:28" ht="15.75" customHeight="1">
      <c r="A40" s="76"/>
      <c r="B40" s="55" t="s">
        <v>43</v>
      </c>
      <c r="C40" s="21"/>
      <c r="D40" s="21"/>
      <c r="E40" s="21"/>
      <c r="F40" s="84">
        <f>Input!$EC$10</f>
        <v>0</v>
      </c>
      <c r="G40" s="84">
        <f>Input!$ED$10</f>
        <v>0</v>
      </c>
      <c r="H40" s="84">
        <f>Input!$EE$10</f>
        <v>0</v>
      </c>
      <c r="I40" s="84">
        <f>Input!$EF$10</f>
        <v>0</v>
      </c>
      <c r="J40" s="84">
        <f>Input!$EG$10</f>
        <v>0</v>
      </c>
      <c r="K40" s="84">
        <f>Input!$EH$10</f>
        <v>0</v>
      </c>
      <c r="L40" s="65">
        <f t="shared" si="2"/>
        <v>0</v>
      </c>
      <c r="N40" s="66"/>
      <c r="O40" s="317" t="s">
        <v>633</v>
      </c>
      <c r="P40" s="41" t="s">
        <v>634</v>
      </c>
      <c r="Q40" s="85"/>
      <c r="R40" s="70"/>
      <c r="S40" s="70"/>
      <c r="T40" s="70"/>
      <c r="U40" s="69"/>
      <c r="V40" s="70"/>
      <c r="W40" s="69"/>
      <c r="X40" s="62"/>
      <c r="Y40" s="67"/>
      <c r="Z40" s="69"/>
      <c r="AA40" s="19"/>
      <c r="AB40" s="24">
        <f>SUM(C40:L40)</f>
        <v>0</v>
      </c>
    </row>
    <row r="41" spans="1:28" ht="15.75" customHeight="1">
      <c r="A41" s="76"/>
      <c r="B41" s="43" t="s">
        <v>44</v>
      </c>
      <c r="C41" s="44"/>
      <c r="D41" s="44"/>
      <c r="E41" s="44"/>
      <c r="F41" s="86">
        <f t="shared" ref="F41:L41" si="3">SUM(F20:F40)</f>
        <v>232026985</v>
      </c>
      <c r="G41" s="86">
        <f t="shared" si="3"/>
        <v>45845077</v>
      </c>
      <c r="H41" s="86">
        <f t="shared" si="3"/>
        <v>3972059</v>
      </c>
      <c r="I41" s="86">
        <f t="shared" si="3"/>
        <v>18729024</v>
      </c>
      <c r="J41" s="86">
        <f t="shared" si="3"/>
        <v>19615858</v>
      </c>
      <c r="K41" s="86">
        <f t="shared" si="3"/>
        <v>75125933</v>
      </c>
      <c r="L41" s="87">
        <f t="shared" si="3"/>
        <v>395314936</v>
      </c>
      <c r="N41" s="88"/>
      <c r="O41" s="308" t="s">
        <v>628</v>
      </c>
      <c r="P41" s="309" t="s">
        <v>17</v>
      </c>
      <c r="Q41" s="89"/>
      <c r="R41" s="89"/>
      <c r="S41" s="50">
        <f>L41-INT(L41)</f>
        <v>0</v>
      </c>
      <c r="T41" s="61"/>
      <c r="U41" s="90"/>
      <c r="V41" s="61"/>
      <c r="W41" s="61"/>
      <c r="X41" s="85"/>
      <c r="Y41" s="60"/>
      <c r="Z41" s="91"/>
      <c r="AA41" s="19"/>
      <c r="AB41" s="44">
        <f>SUM(AB20:AB40)</f>
        <v>329658792</v>
      </c>
    </row>
    <row r="42" spans="1:28" ht="15.75" customHeight="1">
      <c r="A42" s="76"/>
      <c r="C42" s="38"/>
      <c r="D42" s="38"/>
      <c r="F42" s="38"/>
      <c r="G42" s="310" t="s">
        <v>629</v>
      </c>
      <c r="H42" s="311">
        <f>H41+G41</f>
        <v>49817136</v>
      </c>
      <c r="I42" s="53"/>
      <c r="J42" s="310" t="s">
        <v>630</v>
      </c>
      <c r="K42" s="311">
        <f>K41+J41</f>
        <v>94741791</v>
      </c>
      <c r="L42" s="310" t="s">
        <v>631</v>
      </c>
      <c r="M42" s="312"/>
      <c r="N42" s="313">
        <f>K42+F41</f>
        <v>326768776</v>
      </c>
      <c r="O42" s="314">
        <f>ROUND((N42/P42)*100,1)</f>
        <v>186.3</v>
      </c>
      <c r="P42" s="93">
        <f>Input!$GR$10</f>
        <v>175412063</v>
      </c>
      <c r="Q42" s="92"/>
      <c r="R42" s="92"/>
      <c r="S42" s="92"/>
      <c r="T42" s="94"/>
      <c r="U42" s="95"/>
      <c r="V42" s="96"/>
      <c r="W42" s="92"/>
      <c r="X42" s="92"/>
      <c r="Y42" s="92"/>
      <c r="Z42" s="92" t="str">
        <f>IF(Z41&lt;&gt;0,"Out of Balance","")</f>
        <v/>
      </c>
    </row>
    <row r="43" spans="1:28" ht="15.75" customHeight="1">
      <c r="A43" s="76"/>
      <c r="B43" s="14" t="s">
        <v>45</v>
      </c>
      <c r="C43" s="53"/>
      <c r="D43" s="53"/>
      <c r="E43" s="53"/>
      <c r="F43" s="53"/>
      <c r="G43" s="315"/>
      <c r="H43" s="315"/>
      <c r="I43" s="315"/>
      <c r="J43" s="315"/>
      <c r="K43" s="315"/>
      <c r="L43" s="315"/>
      <c r="O43" s="316" t="s">
        <v>632</v>
      </c>
      <c r="Q43" s="92"/>
      <c r="R43" s="92"/>
      <c r="S43" s="92"/>
      <c r="T43" s="94"/>
      <c r="U43" s="95"/>
      <c r="V43" s="96"/>
      <c r="W43" s="92"/>
      <c r="X43" s="92"/>
      <c r="Y43" s="92"/>
      <c r="Z43" s="92"/>
    </row>
    <row r="44" spans="1:28" ht="15.75" customHeight="1">
      <c r="A44" s="76"/>
      <c r="B44" s="55" t="s">
        <v>544</v>
      </c>
      <c r="C44" s="21"/>
      <c r="D44" s="21"/>
      <c r="F44" s="64">
        <f>Input!$EI$10</f>
        <v>6384572</v>
      </c>
      <c r="G44" s="64">
        <f>Input!$EJ$10</f>
        <v>68577</v>
      </c>
      <c r="H44" s="64">
        <f>Input!$EK$10</f>
        <v>1252750</v>
      </c>
      <c r="I44" s="64">
        <f>Input!$EL$10</f>
        <v>186711</v>
      </c>
      <c r="J44" s="64">
        <f>Input!$EM$10</f>
        <v>300461</v>
      </c>
      <c r="K44" s="64">
        <f>Input!$EN$10</f>
        <v>1990416</v>
      </c>
      <c r="L44" s="57">
        <f>SUM(F44:K44)</f>
        <v>10183487</v>
      </c>
      <c r="N44" s="9"/>
      <c r="O44" s="318">
        <f>ROUND(N42/O46,0)</f>
        <v>905578</v>
      </c>
      <c r="Q44" s="93"/>
      <c r="R44" s="93"/>
      <c r="S44" s="93"/>
      <c r="T44" s="94"/>
      <c r="U44" s="95"/>
      <c r="V44" s="99"/>
      <c r="W44" s="93"/>
      <c r="X44" s="101"/>
      <c r="Y44" s="92"/>
      <c r="Z44" s="100"/>
      <c r="AB44" s="24">
        <f>SUM(C44:L44)</f>
        <v>20366974</v>
      </c>
    </row>
    <row r="45" spans="1:28" ht="15.75" customHeight="1">
      <c r="A45" s="76"/>
      <c r="B45" s="55" t="s">
        <v>46</v>
      </c>
      <c r="C45" s="21"/>
      <c r="D45" s="21"/>
      <c r="F45" s="64">
        <f>Input!$EO$10</f>
        <v>39702425</v>
      </c>
      <c r="G45" s="64">
        <f>Input!$EP$10</f>
        <v>1273457</v>
      </c>
      <c r="H45" s="64">
        <f>Input!$EQ$10</f>
        <v>1469560</v>
      </c>
      <c r="I45" s="64">
        <f>Input!$ER$10</f>
        <v>2082484</v>
      </c>
      <c r="J45" s="64">
        <f>Input!$ES$10</f>
        <v>6297255</v>
      </c>
      <c r="K45" s="64">
        <f>Input!$ET$10</f>
        <v>10060710</v>
      </c>
      <c r="L45" s="65">
        <f t="shared" ref="L45:L53" si="4">SUM(F45:K45)</f>
        <v>60885891</v>
      </c>
      <c r="N45" s="97"/>
      <c r="O45" s="319" t="s">
        <v>635</v>
      </c>
      <c r="P45" s="98"/>
      <c r="Q45" s="93"/>
      <c r="R45" s="93"/>
      <c r="S45" s="93"/>
      <c r="T45" s="94"/>
      <c r="U45" s="95"/>
      <c r="V45" s="99"/>
      <c r="W45" s="93"/>
      <c r="X45" s="101"/>
      <c r="Y45" s="92"/>
      <c r="Z45" s="100"/>
      <c r="AB45" s="24"/>
    </row>
    <row r="46" spans="1:28" ht="15.75" customHeight="1">
      <c r="A46" s="76"/>
      <c r="B46" s="55" t="s">
        <v>545</v>
      </c>
      <c r="C46" s="21"/>
      <c r="D46" s="21"/>
      <c r="F46" s="64">
        <f>Input!$EU$10</f>
        <v>21268029</v>
      </c>
      <c r="G46" s="64">
        <f>Input!$EV$10</f>
        <v>915079</v>
      </c>
      <c r="H46" s="64">
        <f>Input!$EW$10</f>
        <v>74519</v>
      </c>
      <c r="I46" s="64">
        <f>Input!$EX$10</f>
        <v>912012</v>
      </c>
      <c r="J46" s="64">
        <f>Input!$EY$10</f>
        <v>538872</v>
      </c>
      <c r="K46" s="64">
        <f>Input!$EZ$10</f>
        <v>7957458</v>
      </c>
      <c r="L46" s="65">
        <f t="shared" si="4"/>
        <v>31665969</v>
      </c>
      <c r="N46" s="97"/>
      <c r="O46" s="320">
        <f>FTSE!$O$6</f>
        <v>360.84</v>
      </c>
      <c r="P46" s="98"/>
      <c r="Q46" s="93"/>
      <c r="R46" s="93"/>
      <c r="S46" s="93"/>
      <c r="T46" s="94"/>
      <c r="U46" s="95"/>
      <c r="V46" s="99"/>
      <c r="W46" s="93"/>
      <c r="X46" s="101"/>
      <c r="Y46" s="92"/>
      <c r="Z46" s="100"/>
      <c r="AB46" s="24"/>
    </row>
    <row r="47" spans="1:28" ht="15.75" customHeight="1">
      <c r="A47" s="76"/>
      <c r="B47" s="63" t="s">
        <v>546</v>
      </c>
      <c r="C47" s="21"/>
      <c r="D47" s="21"/>
      <c r="F47" s="64">
        <f>Input!$FA$10</f>
        <v>10822319</v>
      </c>
      <c r="G47" s="64">
        <f>Input!$FB$10</f>
        <v>846276</v>
      </c>
      <c r="H47" s="64">
        <f>Input!$FC$10</f>
        <v>17821</v>
      </c>
      <c r="I47" s="64">
        <f>Input!$FD$10</f>
        <v>677136</v>
      </c>
      <c r="J47" s="64">
        <f>Input!$FE$10</f>
        <v>471342</v>
      </c>
      <c r="K47" s="64">
        <f>Input!$FF$10</f>
        <v>3122225</v>
      </c>
      <c r="L47" s="65">
        <f t="shared" si="4"/>
        <v>15957119</v>
      </c>
      <c r="N47" s="97"/>
      <c r="O47" s="321" t="s">
        <v>636</v>
      </c>
      <c r="P47" s="98"/>
      <c r="Q47" s="93"/>
      <c r="R47" s="93"/>
      <c r="S47" s="93"/>
      <c r="T47" s="94"/>
      <c r="U47" s="95"/>
      <c r="V47" s="99"/>
      <c r="W47" s="93"/>
      <c r="X47" s="101"/>
      <c r="Y47" s="92"/>
      <c r="Z47" s="100"/>
      <c r="AB47" s="24"/>
    </row>
    <row r="48" spans="1:28" ht="15.75" customHeight="1">
      <c r="A48" s="76"/>
      <c r="B48" s="55" t="s">
        <v>547</v>
      </c>
      <c r="C48" s="21"/>
      <c r="D48" s="21"/>
      <c r="F48" s="64">
        <f>Input!$FG$10</f>
        <v>20270635</v>
      </c>
      <c r="G48" s="64">
        <f>Input!$FH$10</f>
        <v>320640</v>
      </c>
      <c r="H48" s="64">
        <f>Input!$FI$10</f>
        <v>0</v>
      </c>
      <c r="I48" s="64">
        <f>Input!$FJ$10</f>
        <v>80797</v>
      </c>
      <c r="J48" s="64">
        <f>Input!$FK$10</f>
        <v>824241</v>
      </c>
      <c r="K48" s="64">
        <f>Input!$FL$10</f>
        <v>3227401</v>
      </c>
      <c r="L48" s="65">
        <f t="shared" si="4"/>
        <v>24723714</v>
      </c>
      <c r="N48" s="97"/>
      <c r="P48" s="98"/>
      <c r="Q48" s="93"/>
      <c r="R48" s="93"/>
      <c r="S48" s="93"/>
      <c r="T48" s="94"/>
      <c r="U48" s="95"/>
      <c r="V48" s="99"/>
      <c r="W48" s="93"/>
      <c r="X48" s="101"/>
      <c r="Y48" s="92"/>
      <c r="Z48" s="100"/>
      <c r="AB48" s="24"/>
    </row>
    <row r="49" spans="1:28" s="79" customFormat="1" ht="15.75" customHeight="1">
      <c r="A49" s="76"/>
      <c r="B49" s="228" t="s">
        <v>548</v>
      </c>
      <c r="C49" s="78"/>
      <c r="D49" s="78"/>
      <c r="E49" s="20"/>
      <c r="F49" s="64">
        <f>Input!$FM$10</f>
        <v>0</v>
      </c>
      <c r="G49" s="64">
        <f>Input!$FN$10</f>
        <v>0</v>
      </c>
      <c r="H49" s="64">
        <f>Input!$FO$10</f>
        <v>0</v>
      </c>
      <c r="I49" s="64">
        <f>Input!$FP$10</f>
        <v>0</v>
      </c>
      <c r="J49" s="64">
        <f>Input!$FQ$10</f>
        <v>0</v>
      </c>
      <c r="K49" s="64">
        <f>Input!$FR$10</f>
        <v>0</v>
      </c>
      <c r="L49" s="65">
        <f t="shared" si="4"/>
        <v>0</v>
      </c>
      <c r="N49" s="102"/>
      <c r="P49" s="103"/>
      <c r="Q49" s="104"/>
      <c r="R49" s="104"/>
      <c r="S49" s="104"/>
      <c r="T49" s="105"/>
      <c r="U49" s="106"/>
      <c r="V49" s="107"/>
      <c r="W49" s="104"/>
      <c r="X49" s="108"/>
      <c r="Y49" s="109"/>
      <c r="Z49" s="110"/>
      <c r="AB49" s="83"/>
    </row>
    <row r="50" spans="1:28" s="79" customFormat="1" ht="15.75" customHeight="1">
      <c r="A50" s="76"/>
      <c r="B50" s="228" t="s">
        <v>549</v>
      </c>
      <c r="C50" s="78"/>
      <c r="D50" s="78"/>
      <c r="E50" s="20"/>
      <c r="F50" s="64">
        <f>Input!$FS$10</f>
        <v>0</v>
      </c>
      <c r="G50" s="64">
        <f>Input!$FT$10</f>
        <v>0</v>
      </c>
      <c r="H50" s="64">
        <f>Input!$FU$10</f>
        <v>0</v>
      </c>
      <c r="I50" s="64">
        <f>Input!$FV$10</f>
        <v>0</v>
      </c>
      <c r="J50" s="64">
        <f>Input!$FW$10</f>
        <v>0</v>
      </c>
      <c r="K50" s="64">
        <f>Input!$FX$10</f>
        <v>0</v>
      </c>
      <c r="L50" s="65">
        <f t="shared" si="4"/>
        <v>0</v>
      </c>
      <c r="N50" s="102"/>
      <c r="P50" s="103"/>
      <c r="Q50" s="104"/>
      <c r="R50" s="104"/>
      <c r="S50" s="104"/>
      <c r="T50" s="105"/>
      <c r="U50" s="106"/>
      <c r="V50" s="107"/>
      <c r="W50" s="104"/>
      <c r="X50" s="108"/>
      <c r="Y50" s="109"/>
      <c r="Z50" s="110"/>
      <c r="AB50" s="83"/>
    </row>
    <row r="51" spans="1:28" s="79" customFormat="1" ht="15.75" customHeight="1">
      <c r="A51" s="76"/>
      <c r="B51" s="228" t="s">
        <v>550</v>
      </c>
      <c r="C51" s="78"/>
      <c r="D51" s="78"/>
      <c r="E51" s="20"/>
      <c r="F51" s="64">
        <f>Input!$FY$10</f>
        <v>0</v>
      </c>
      <c r="G51" s="64">
        <f>Input!$FZ$10</f>
        <v>0</v>
      </c>
      <c r="H51" s="64">
        <f>Input!$GA$10</f>
        <v>0</v>
      </c>
      <c r="I51" s="64">
        <f>Input!$GB$10</f>
        <v>0</v>
      </c>
      <c r="J51" s="64">
        <f>Input!$GC$10</f>
        <v>0</v>
      </c>
      <c r="K51" s="64">
        <f>Input!$GD$10</f>
        <v>0</v>
      </c>
      <c r="L51" s="65">
        <f t="shared" si="4"/>
        <v>0</v>
      </c>
      <c r="N51" s="102"/>
      <c r="P51" s="103"/>
      <c r="Q51" s="104"/>
      <c r="R51" s="104"/>
      <c r="S51" s="104"/>
      <c r="T51" s="105"/>
      <c r="U51" s="106"/>
      <c r="V51" s="107"/>
      <c r="W51" s="104"/>
      <c r="X51" s="108"/>
      <c r="Y51" s="109"/>
      <c r="Z51" s="110"/>
      <c r="AB51" s="83"/>
    </row>
    <row r="52" spans="1:28" s="79" customFormat="1" ht="15.75" customHeight="1">
      <c r="A52" s="76"/>
      <c r="B52" s="228" t="s">
        <v>551</v>
      </c>
      <c r="C52" s="78"/>
      <c r="D52" s="78"/>
      <c r="E52" s="20"/>
      <c r="F52" s="64">
        <f>Input!$GE$10</f>
        <v>0</v>
      </c>
      <c r="G52" s="64">
        <f>Input!$GF$10</f>
        <v>0</v>
      </c>
      <c r="H52" s="64">
        <f>Input!$GG$10</f>
        <v>0</v>
      </c>
      <c r="I52" s="64">
        <f>Input!$GH$10</f>
        <v>0</v>
      </c>
      <c r="J52" s="64">
        <f>Input!$GI$10</f>
        <v>0</v>
      </c>
      <c r="K52" s="64">
        <f>Input!$GJ$10</f>
        <v>0</v>
      </c>
      <c r="L52" s="65">
        <f t="shared" si="4"/>
        <v>0</v>
      </c>
      <c r="N52" s="102"/>
      <c r="P52" s="103"/>
      <c r="Q52" s="104"/>
      <c r="R52" s="104"/>
      <c r="S52" s="104"/>
      <c r="T52" s="105"/>
      <c r="U52" s="106"/>
      <c r="V52" s="107"/>
      <c r="W52" s="104"/>
      <c r="X52" s="108"/>
      <c r="Y52" s="109"/>
      <c r="Z52" s="110"/>
      <c r="AB52" s="83"/>
    </row>
    <row r="53" spans="1:28" s="79" customFormat="1" ht="15.75" customHeight="1">
      <c r="A53" s="76"/>
      <c r="B53" s="228" t="s">
        <v>552</v>
      </c>
      <c r="C53" s="78"/>
      <c r="D53" s="78"/>
      <c r="E53" s="20"/>
      <c r="F53" s="64">
        <f>Input!$GK$10</f>
        <v>0</v>
      </c>
      <c r="G53" s="64">
        <f>Input!$GL$10</f>
        <v>0</v>
      </c>
      <c r="H53" s="64">
        <f>Input!$GM$10</f>
        <v>0</v>
      </c>
      <c r="I53" s="64">
        <f>Input!$GN$10</f>
        <v>0</v>
      </c>
      <c r="J53" s="64">
        <f>Input!$GO$10</f>
        <v>0</v>
      </c>
      <c r="K53" s="64">
        <f>Input!$GP$10</f>
        <v>0</v>
      </c>
      <c r="L53" s="65">
        <f t="shared" si="4"/>
        <v>0</v>
      </c>
      <c r="N53" s="102"/>
      <c r="P53" s="103"/>
      <c r="Q53" s="104"/>
      <c r="R53" s="104"/>
      <c r="S53" s="104"/>
      <c r="T53" s="105"/>
      <c r="U53" s="106"/>
      <c r="V53" s="107"/>
      <c r="W53" s="104"/>
      <c r="X53" s="108"/>
      <c r="Y53" s="109"/>
      <c r="Z53" s="110"/>
      <c r="AB53" s="83"/>
    </row>
    <row r="54" spans="1:28" ht="15.75" customHeight="1">
      <c r="A54" s="76"/>
      <c r="B54" s="43" t="s">
        <v>47</v>
      </c>
      <c r="C54" s="44"/>
      <c r="D54" s="44"/>
      <c r="E54" s="44"/>
      <c r="F54" s="86">
        <f>SUM(F44:F53)</f>
        <v>98447980</v>
      </c>
      <c r="G54" s="86">
        <f t="shared" ref="G54:L54" si="5">SUM(G44:G53)</f>
        <v>3424029</v>
      </c>
      <c r="H54" s="86">
        <f t="shared" si="5"/>
        <v>2814650</v>
      </c>
      <c r="I54" s="86">
        <f t="shared" si="5"/>
        <v>3939140</v>
      </c>
      <c r="J54" s="86">
        <f t="shared" si="5"/>
        <v>8432171</v>
      </c>
      <c r="K54" s="86">
        <f t="shared" si="5"/>
        <v>26358210</v>
      </c>
      <c r="L54" s="86">
        <f t="shared" si="5"/>
        <v>143416180</v>
      </c>
      <c r="N54" s="97"/>
      <c r="P54" s="98"/>
      <c r="Q54" s="98"/>
      <c r="R54" s="98"/>
      <c r="S54" s="50">
        <f>L54-INT(L54)</f>
        <v>0</v>
      </c>
      <c r="T54" s="94"/>
      <c r="U54" s="95"/>
      <c r="V54" s="99"/>
      <c r="W54" s="99"/>
      <c r="X54" s="99"/>
      <c r="Y54" s="95"/>
      <c r="Z54" s="95"/>
      <c r="AB54" s="44">
        <f>SUM(AB44:AB48)</f>
        <v>20366974</v>
      </c>
    </row>
    <row r="55" spans="1:28" ht="15.75" customHeight="1">
      <c r="A55" s="76"/>
      <c r="C55" s="38"/>
      <c r="D55" s="38"/>
      <c r="E55" s="38"/>
      <c r="F55" s="38"/>
      <c r="G55" s="38"/>
      <c r="H55" s="38"/>
      <c r="I55" s="38"/>
      <c r="J55" s="38"/>
      <c r="K55" s="38"/>
      <c r="L55" s="38"/>
      <c r="N55" s="97"/>
      <c r="P55" s="98"/>
      <c r="Q55" s="98"/>
      <c r="R55" s="98"/>
      <c r="S55" s="98"/>
      <c r="T55" s="94"/>
      <c r="U55" s="95"/>
      <c r="V55" s="99"/>
      <c r="W55" s="99"/>
      <c r="X55" s="99"/>
      <c r="Y55" s="95"/>
      <c r="Z55" s="95"/>
    </row>
    <row r="56" spans="1:28" ht="15.75" customHeight="1">
      <c r="A56" s="76"/>
      <c r="L56" s="6" t="s">
        <v>48</v>
      </c>
      <c r="N56" s="111"/>
      <c r="Q56" s="112"/>
      <c r="R56" s="112"/>
      <c r="S56" s="112"/>
      <c r="W56" s="112"/>
      <c r="X56" s="112"/>
      <c r="Y56" s="112"/>
      <c r="Z56" s="112"/>
    </row>
    <row r="57" spans="1:28" ht="15.75" customHeight="1">
      <c r="A57" s="76"/>
      <c r="N57" s="113"/>
    </row>
    <row r="58" spans="1:28" s="112" customFormat="1" ht="15.75" customHeight="1">
      <c r="A58" s="76"/>
      <c r="N58" s="113"/>
      <c r="O58" s="9"/>
      <c r="P58" s="9"/>
      <c r="Q58" s="9"/>
      <c r="R58" s="9"/>
      <c r="S58" s="9"/>
      <c r="T58" s="9"/>
      <c r="U58" s="9"/>
      <c r="V58" s="9"/>
      <c r="W58" s="9"/>
      <c r="X58" s="9"/>
      <c r="Y58" s="9"/>
      <c r="Z58" s="9"/>
    </row>
    <row r="59" spans="1:28" s="112" customFormat="1" ht="15.75" customHeight="1">
      <c r="A59" s="76"/>
      <c r="N59" s="113"/>
      <c r="O59" s="9"/>
      <c r="P59" s="9"/>
      <c r="Q59" s="9"/>
      <c r="R59" s="9"/>
      <c r="S59" s="9"/>
      <c r="T59" s="9"/>
      <c r="U59" s="9"/>
      <c r="V59" s="9"/>
      <c r="W59" s="9"/>
      <c r="X59" s="9"/>
      <c r="Y59" s="9"/>
      <c r="Z59" s="9"/>
    </row>
    <row r="60" spans="1:28" s="112" customFormat="1" ht="15.75" customHeight="1">
      <c r="A60" s="76"/>
      <c r="N60" s="113"/>
      <c r="O60" s="9"/>
      <c r="P60" s="9"/>
      <c r="Q60" s="9"/>
      <c r="R60" s="9"/>
      <c r="S60" s="9"/>
      <c r="T60" s="9"/>
      <c r="U60" s="9"/>
      <c r="V60" s="9"/>
      <c r="W60" s="9"/>
      <c r="X60" s="9"/>
      <c r="Y60" s="9"/>
      <c r="Z60" s="9"/>
    </row>
    <row r="61" spans="1:28" s="79" customFormat="1" ht="15.75" customHeight="1">
      <c r="A61" s="76"/>
      <c r="B61" s="20"/>
      <c r="C61" s="20"/>
      <c r="D61" s="20"/>
      <c r="E61" s="20"/>
      <c r="F61" s="114">
        <f t="shared" ref="F61:L61" si="6">F54+F41</f>
        <v>330474965</v>
      </c>
      <c r="G61" s="114">
        <f t="shared" si="6"/>
        <v>49269106</v>
      </c>
      <c r="H61" s="114">
        <f t="shared" si="6"/>
        <v>6786709</v>
      </c>
      <c r="I61" s="114">
        <f t="shared" si="6"/>
        <v>22668164</v>
      </c>
      <c r="J61" s="114">
        <f t="shared" si="6"/>
        <v>28048029</v>
      </c>
      <c r="K61" s="114">
        <f t="shared" si="6"/>
        <v>101484143</v>
      </c>
      <c r="L61" s="114">
        <f t="shared" si="6"/>
        <v>538731116</v>
      </c>
      <c r="N61" s="20"/>
    </row>
    <row r="62" spans="1:28" s="79" customFormat="1" ht="15.75" customHeight="1">
      <c r="A62" s="76"/>
      <c r="B62" s="20"/>
      <c r="C62" s="20"/>
      <c r="D62" s="20"/>
      <c r="E62" s="20"/>
      <c r="F62" s="20"/>
      <c r="G62" s="20"/>
      <c r="H62" s="20"/>
      <c r="I62" s="20"/>
      <c r="J62" s="20"/>
      <c r="K62" s="20"/>
      <c r="L62" s="114">
        <f>SUM(K8:K9)+SUM(K12:K16)</f>
        <v>396121532</v>
      </c>
      <c r="N62" s="20"/>
    </row>
    <row r="63" spans="1:28" s="79" customFormat="1" ht="15.75" customHeight="1">
      <c r="A63" s="76"/>
      <c r="B63" s="20"/>
      <c r="C63" s="20"/>
      <c r="D63" s="20"/>
      <c r="E63" s="20"/>
      <c r="F63" s="20"/>
      <c r="G63" s="20"/>
      <c r="H63" s="20"/>
      <c r="I63" s="20"/>
      <c r="J63" s="20"/>
      <c r="K63" s="20"/>
      <c r="L63" s="114">
        <f>SUM(L61:L62)</f>
        <v>934852648</v>
      </c>
      <c r="N63" s="20"/>
    </row>
    <row r="65" spans="12:12" ht="15.75" customHeight="1">
      <c r="L65" s="3" t="str">
        <f>IF($L$63+L64&lt;&gt;Input!$D$10,"Error","Balanced")</f>
        <v>Balanced</v>
      </c>
    </row>
  </sheetData>
  <mergeCells count="3">
    <mergeCell ref="B6:L6"/>
    <mergeCell ref="H10:J10"/>
    <mergeCell ref="F18:J18"/>
  </mergeCells>
  <conditionalFormatting sqref="O25:O26">
    <cfRule type="expression" dxfId="29" priority="3">
      <formula>$O$26&lt;&gt;0</formula>
    </cfRule>
  </conditionalFormatting>
  <conditionalFormatting sqref="H10:J10">
    <cfRule type="expression" dxfId="28" priority="1">
      <formula>$O$10&lt;&gt;0</formula>
    </cfRule>
  </conditionalFormatting>
  <conditionalFormatting sqref="F18:J18">
    <cfRule type="expression" dxfId="27" priority="5">
      <formula>OR($S$17&lt;&gt;0,$S$41&lt;&gt;0,$S$54&lt;&gt;0)</formula>
    </cfRule>
  </conditionalFormatting>
  <hyperlinks>
    <hyperlink ref="N1" location="Index!A1" display="Return to Index"/>
  </hyperlinks>
  <printOptions horizontalCentered="1"/>
  <pageMargins left="0.25" right="0.25" top="0.25" bottom="0.25" header="0.5" footer="0.5"/>
  <pageSetup scale="60" pageOrder="overThenDown" orientation="landscape" r:id="rId1"/>
  <headerFooter alignWithMargins="0"/>
  <colBreaks count="1" manualBreakCount="1">
    <brk id="12" max="80" man="1"/>
  </col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pageSetUpPr fitToPage="1"/>
  </sheetPr>
  <dimension ref="A1:AB65"/>
  <sheetViews>
    <sheetView showGridLines="0" zoomScale="75" zoomScaleNormal="75" workbookViewId="0">
      <pane xSplit="4" ySplit="3" topLeftCell="J8" activePane="bottomRight" state="frozen"/>
      <selection pane="topRight" activeCell="E1" sqref="E1"/>
      <selection pane="bottomLeft" activeCell="A4" sqref="A4"/>
      <selection pane="bottomRight" activeCell="P43" sqref="P43"/>
    </sheetView>
  </sheetViews>
  <sheetFormatPr defaultRowHeight="15.75" customHeight="1"/>
  <cols>
    <col min="1" max="1" width="4.7109375" style="1" customWidth="1"/>
    <col min="2" max="2" width="60.140625" style="6" customWidth="1"/>
    <col min="3" max="4" width="3.42578125" style="6" customWidth="1"/>
    <col min="5" max="5" width="10.85546875" style="6" customWidth="1"/>
    <col min="6" max="7" width="16" style="6" customWidth="1"/>
    <col min="8" max="8" width="17.42578125" style="6" customWidth="1"/>
    <col min="9" max="9" width="15.5703125" style="6" customWidth="1"/>
    <col min="10" max="10" width="16" style="6" customWidth="1"/>
    <col min="11" max="11" width="20.28515625" style="6" bestFit="1" customWidth="1"/>
    <col min="12" max="12" width="18.7109375" style="6" customWidth="1"/>
    <col min="13" max="13" width="2.28515625" style="9" customWidth="1"/>
    <col min="14" max="14" width="18" style="6" customWidth="1"/>
    <col min="15" max="15" width="19.28515625" style="9" customWidth="1"/>
    <col min="16" max="16" width="20.85546875" style="9" customWidth="1"/>
    <col min="17" max="17" width="1.140625" style="9" customWidth="1"/>
    <col min="18" max="19" width="14.42578125" style="9" customWidth="1"/>
    <col min="20" max="20" width="12.7109375" style="9" customWidth="1"/>
    <col min="21" max="21" width="10.7109375" style="9" customWidth="1"/>
    <col min="22" max="22" width="16.85546875" style="9" customWidth="1"/>
    <col min="23" max="23" width="1.85546875" style="9" customWidth="1"/>
    <col min="24" max="24" width="26.42578125" style="9" customWidth="1"/>
    <col min="25" max="25" width="17" style="9" customWidth="1"/>
    <col min="26" max="26" width="16.7109375" style="9" customWidth="1"/>
    <col min="27" max="27" width="18.85546875" style="9" customWidth="1"/>
    <col min="28" max="28" width="22.28515625" style="9" customWidth="1"/>
    <col min="29" max="16384" width="9.140625" style="9"/>
  </cols>
  <sheetData>
    <row r="1" spans="2:28" s="1" customFormat="1" ht="18" customHeight="1" thickBot="1">
      <c r="B1" s="2" t="s">
        <v>491</v>
      </c>
      <c r="C1" s="3"/>
      <c r="D1" s="3"/>
      <c r="E1" s="3"/>
      <c r="F1" s="3"/>
      <c r="G1" s="3"/>
      <c r="H1" s="3"/>
      <c r="I1" s="4"/>
      <c r="J1" s="3"/>
      <c r="K1" s="3"/>
      <c r="L1" s="3"/>
      <c r="M1" s="3"/>
      <c r="N1" s="337" t="s">
        <v>579</v>
      </c>
      <c r="AA1" s="3">
        <v>12</v>
      </c>
      <c r="AB1" s="3">
        <v>13</v>
      </c>
    </row>
    <row r="2" spans="2:28" ht="15.75" customHeight="1">
      <c r="B2" s="2" t="str">
        <f>Input!$B$5</f>
        <v>For the Year Ended August 31, 2010</v>
      </c>
      <c r="C2" s="5"/>
      <c r="D2" s="5"/>
      <c r="E2" s="5"/>
      <c r="G2" s="5"/>
      <c r="H2" s="5"/>
      <c r="I2" s="7"/>
      <c r="J2" s="5"/>
      <c r="K2" s="5"/>
      <c r="L2" s="8"/>
      <c r="N2" s="8"/>
      <c r="O2" s="10"/>
    </row>
    <row r="3" spans="2:28" ht="15.75" customHeight="1">
      <c r="B3" s="2" t="str">
        <f>Input!$B$6</f>
        <v>Source: FY 2010 Research Expenditure Survey</v>
      </c>
      <c r="C3" s="5"/>
      <c r="D3" s="5"/>
      <c r="E3" s="5"/>
      <c r="F3" s="5"/>
      <c r="G3" s="5"/>
      <c r="H3" s="5"/>
      <c r="I3" s="7"/>
      <c r="J3" s="5"/>
      <c r="K3" s="5"/>
      <c r="L3" s="8"/>
      <c r="N3" s="8"/>
    </row>
    <row r="4" spans="2:28" ht="15.75" customHeight="1">
      <c r="B4" s="11"/>
      <c r="C4" s="5"/>
      <c r="D4" s="5"/>
      <c r="E4" s="5"/>
      <c r="F4" s="5"/>
      <c r="G4" s="5"/>
      <c r="H4" s="5"/>
      <c r="I4" s="7"/>
      <c r="J4" s="5"/>
      <c r="K4" s="5"/>
      <c r="L4" s="8"/>
      <c r="N4" s="10" t="s">
        <v>0</v>
      </c>
      <c r="P4" s="12"/>
    </row>
    <row r="5" spans="2:28" ht="15.75" customHeight="1">
      <c r="L5" s="3"/>
      <c r="N5" s="3"/>
    </row>
    <row r="6" spans="2:28" ht="15.75" customHeight="1">
      <c r="B6" s="453" t="str">
        <f>Input!$B$7</f>
        <v>FY 2010</v>
      </c>
      <c r="C6" s="454"/>
      <c r="D6" s="454"/>
      <c r="E6" s="454"/>
      <c r="F6" s="454"/>
      <c r="G6" s="454"/>
      <c r="H6" s="454"/>
      <c r="I6" s="454"/>
      <c r="J6" s="454"/>
      <c r="K6" s="454"/>
      <c r="L6" s="454"/>
      <c r="N6" s="13"/>
    </row>
    <row r="7" spans="2:28" ht="28.5" customHeight="1">
      <c r="B7" s="14" t="s">
        <v>2</v>
      </c>
      <c r="C7" s="15"/>
      <c r="D7" s="15"/>
      <c r="E7" s="15"/>
      <c r="F7" s="15"/>
      <c r="G7" s="15"/>
      <c r="H7" s="15"/>
      <c r="I7" s="15"/>
      <c r="J7" s="15"/>
      <c r="K7" s="16" t="s">
        <v>3</v>
      </c>
      <c r="L7" s="16" t="s">
        <v>4</v>
      </c>
      <c r="N7" s="17"/>
      <c r="O7" s="18"/>
      <c r="P7" s="19"/>
      <c r="Q7" s="19"/>
      <c r="R7" s="19"/>
      <c r="S7" s="19"/>
      <c r="T7" s="19"/>
    </row>
    <row r="8" spans="2:28" ht="15.75" customHeight="1">
      <c r="B8" s="20" t="s">
        <v>5</v>
      </c>
      <c r="C8" s="21"/>
      <c r="D8" s="21"/>
      <c r="E8" s="21"/>
      <c r="F8" s="21"/>
      <c r="G8" s="21"/>
      <c r="H8" s="21"/>
      <c r="I8" s="21"/>
      <c r="J8" s="21"/>
      <c r="K8" s="22">
        <f>L8</f>
        <v>116760151</v>
      </c>
      <c r="L8" s="23">
        <f>Input!$H$11</f>
        <v>116760151</v>
      </c>
      <c r="N8" s="115"/>
      <c r="O8" s="116"/>
      <c r="P8" s="19"/>
      <c r="Q8" s="19"/>
      <c r="R8" s="19"/>
      <c r="S8" s="19"/>
      <c r="T8" s="19"/>
      <c r="AB8" s="24">
        <f>SUM(C8:L8)</f>
        <v>233520302</v>
      </c>
    </row>
    <row r="9" spans="2:28" ht="15.75" customHeight="1">
      <c r="B9" s="20" t="s">
        <v>7</v>
      </c>
      <c r="C9" s="21"/>
      <c r="D9" s="21"/>
      <c r="E9" s="21"/>
      <c r="F9" s="21"/>
      <c r="G9" s="21"/>
      <c r="H9" s="21"/>
      <c r="I9" s="21"/>
      <c r="J9" s="21"/>
      <c r="K9" s="25">
        <f>Input!$F$11</f>
        <v>0</v>
      </c>
      <c r="L9" s="26"/>
      <c r="N9" s="115"/>
      <c r="O9" s="28"/>
      <c r="P9" s="19"/>
      <c r="Q9" s="19"/>
      <c r="R9" s="19"/>
      <c r="S9" s="19"/>
      <c r="T9" s="19"/>
      <c r="AB9" s="24">
        <f>SUM(C9:L9)</f>
        <v>0</v>
      </c>
    </row>
    <row r="10" spans="2:28" ht="15.75" customHeight="1">
      <c r="B10" s="27" t="s">
        <v>8</v>
      </c>
      <c r="C10" s="28"/>
      <c r="D10" s="21"/>
      <c r="E10" s="21"/>
      <c r="F10" s="9"/>
      <c r="G10" s="30"/>
      <c r="H10" s="455" t="str">
        <f>IF(O10&lt;&gt;0,"Out of Balance with SRECNA","")</f>
        <v/>
      </c>
      <c r="I10" s="455"/>
      <c r="J10" s="456"/>
      <c r="K10" s="31">
        <f>SUM(K8:K9)</f>
        <v>116760151</v>
      </c>
      <c r="L10" s="32"/>
      <c r="N10" s="117"/>
      <c r="O10" s="118"/>
      <c r="P10" s="19"/>
      <c r="Q10" s="19"/>
      <c r="R10" s="19"/>
      <c r="S10" s="19"/>
      <c r="T10" s="19"/>
      <c r="AB10" s="24"/>
    </row>
    <row r="11" spans="2:28" ht="15.75" customHeight="1">
      <c r="B11" s="20"/>
      <c r="C11" s="21"/>
      <c r="D11" s="21"/>
      <c r="E11" s="21"/>
      <c r="F11" s="9"/>
      <c r="G11" s="9"/>
      <c r="H11" s="9"/>
      <c r="I11" s="9"/>
      <c r="J11" s="9"/>
      <c r="K11" s="33"/>
      <c r="L11" s="26"/>
      <c r="N11" s="17"/>
      <c r="O11" s="95"/>
      <c r="P11" s="34"/>
      <c r="Q11" s="34"/>
      <c r="R11" s="34"/>
      <c r="S11" s="34"/>
      <c r="T11" s="35"/>
      <c r="AB11" s="24">
        <f t="shared" ref="AB11:AB12" si="0">SUM(C10:L10)</f>
        <v>116760151</v>
      </c>
    </row>
    <row r="12" spans="2:28" ht="15.75" customHeight="1">
      <c r="B12" s="20" t="s">
        <v>9</v>
      </c>
      <c r="C12" s="21"/>
      <c r="D12" s="21"/>
      <c r="E12" s="21"/>
      <c r="F12" s="21"/>
      <c r="G12" s="21"/>
      <c r="H12" s="21"/>
      <c r="I12" s="21"/>
      <c r="J12" s="21"/>
      <c r="K12" s="36">
        <f>Input!$G$11</f>
        <v>0</v>
      </c>
      <c r="L12" s="26"/>
      <c r="N12" s="37"/>
      <c r="O12" s="19"/>
      <c r="P12" s="19"/>
      <c r="Q12" s="19"/>
      <c r="R12" s="19"/>
      <c r="S12" s="19"/>
      <c r="T12" s="19"/>
      <c r="AB12" s="24">
        <f t="shared" si="0"/>
        <v>0</v>
      </c>
    </row>
    <row r="13" spans="2:28" ht="15.75" customHeight="1">
      <c r="B13" s="20" t="s">
        <v>10</v>
      </c>
      <c r="C13" s="21"/>
      <c r="D13" s="21"/>
      <c r="E13" s="21"/>
      <c r="F13" s="21"/>
      <c r="G13" s="21"/>
      <c r="H13" s="21"/>
      <c r="I13" s="21"/>
      <c r="J13" s="21"/>
      <c r="K13" s="33">
        <f>L13</f>
        <v>35455128</v>
      </c>
      <c r="L13" s="36">
        <f>Input!$I$11</f>
        <v>35455128</v>
      </c>
      <c r="N13" s="37"/>
      <c r="O13" s="119"/>
      <c r="AB13" s="24">
        <f>SUM(C13:L13)</f>
        <v>70910256</v>
      </c>
    </row>
    <row r="14" spans="2:28" ht="15.75" customHeight="1">
      <c r="B14" s="20" t="s">
        <v>11</v>
      </c>
      <c r="C14" s="21"/>
      <c r="D14" s="21"/>
      <c r="E14" s="21"/>
      <c r="F14" s="21"/>
      <c r="G14" s="21"/>
      <c r="H14" s="21"/>
      <c r="I14" s="21"/>
      <c r="J14" s="21"/>
      <c r="K14" s="33">
        <f>L14</f>
        <v>4609725</v>
      </c>
      <c r="L14" s="36">
        <f>Input!$J$11</f>
        <v>4609725</v>
      </c>
      <c r="N14" s="17"/>
      <c r="O14" s="28"/>
      <c r="P14" s="19"/>
      <c r="Q14" s="19"/>
      <c r="R14" s="19"/>
      <c r="S14" s="19"/>
      <c r="T14" s="39"/>
      <c r="U14" s="19"/>
      <c r="V14" s="19"/>
      <c r="W14" s="19"/>
      <c r="X14" s="19"/>
      <c r="Y14" s="19"/>
      <c r="Z14" s="19"/>
      <c r="AA14" s="19"/>
      <c r="AB14" s="24">
        <f>SUM(C14:L14)</f>
        <v>9219450</v>
      </c>
    </row>
    <row r="15" spans="2:28" ht="15.75" customHeight="1">
      <c r="B15" s="20" t="s">
        <v>12</v>
      </c>
      <c r="C15" s="21"/>
      <c r="D15" s="21"/>
      <c r="E15" s="21"/>
      <c r="F15" s="21"/>
      <c r="G15" s="21"/>
      <c r="H15" s="21"/>
      <c r="I15" s="21"/>
      <c r="J15" s="21"/>
      <c r="K15" s="40">
        <f>L15</f>
        <v>0</v>
      </c>
      <c r="L15" s="36">
        <f>Input!$K$11</f>
        <v>0</v>
      </c>
      <c r="N15" s="19"/>
      <c r="O15" s="19"/>
      <c r="P15" s="19"/>
      <c r="Q15" s="19"/>
      <c r="R15" s="19"/>
      <c r="S15" s="19"/>
      <c r="T15" s="19"/>
      <c r="U15" s="19"/>
      <c r="V15" s="19"/>
      <c r="W15" s="41"/>
      <c r="X15" s="19"/>
      <c r="Y15" s="19"/>
      <c r="Z15" s="19"/>
      <c r="AA15" s="19"/>
      <c r="AB15" s="24">
        <f>SUM(C15:L15)</f>
        <v>0</v>
      </c>
    </row>
    <row r="16" spans="2:28" ht="15.75" customHeight="1">
      <c r="B16" s="20" t="s">
        <v>13</v>
      </c>
      <c r="C16" s="21"/>
      <c r="D16" s="21"/>
      <c r="E16" s="21"/>
      <c r="F16" s="21"/>
      <c r="G16" s="21"/>
      <c r="H16" s="21"/>
      <c r="I16" s="21"/>
      <c r="J16" s="21"/>
      <c r="K16" s="40">
        <f>L16</f>
        <v>0</v>
      </c>
      <c r="L16" s="36">
        <f>Input!$L$11</f>
        <v>0</v>
      </c>
      <c r="N16" s="28"/>
      <c r="O16" s="42"/>
      <c r="P16" s="19"/>
      <c r="Q16" s="19"/>
      <c r="R16" s="19"/>
      <c r="S16" s="19"/>
      <c r="T16" s="19"/>
      <c r="U16" s="19"/>
      <c r="V16" s="19"/>
      <c r="W16" s="19"/>
      <c r="X16" s="19"/>
      <c r="Y16" s="19"/>
      <c r="Z16" s="19"/>
      <c r="AA16" s="19"/>
      <c r="AB16" s="24">
        <f>SUM(C16:L16)</f>
        <v>0</v>
      </c>
    </row>
    <row r="17" spans="2:28" ht="15.75" customHeight="1">
      <c r="B17" s="43" t="s">
        <v>14</v>
      </c>
      <c r="C17" s="44"/>
      <c r="D17" s="44"/>
      <c r="E17" s="44"/>
      <c r="F17" s="44"/>
      <c r="G17" s="44"/>
      <c r="H17" s="44"/>
      <c r="I17" s="44"/>
      <c r="J17" s="44"/>
      <c r="K17" s="45">
        <f>SUM(K10:K16)</f>
        <v>156825004</v>
      </c>
      <c r="L17" s="46">
        <f>SUM(L8:L16)</f>
        <v>156825004</v>
      </c>
      <c r="N17" s="47"/>
      <c r="O17" s="48"/>
      <c r="P17" s="48"/>
      <c r="Q17" s="48"/>
      <c r="R17" s="49"/>
      <c r="S17" s="50">
        <f>L17-INT(L17)</f>
        <v>0</v>
      </c>
      <c r="T17" s="49">
        <v>0</v>
      </c>
      <c r="U17" s="48">
        <v>0</v>
      </c>
      <c r="V17" s="48">
        <v>0</v>
      </c>
      <c r="W17" s="48"/>
      <c r="X17" s="48"/>
      <c r="Y17" s="51"/>
      <c r="Z17" s="41"/>
      <c r="AA17" s="19"/>
      <c r="AB17" s="44" t="e">
        <f>#REF!+#REF!+#REF!+#REF!</f>
        <v>#REF!</v>
      </c>
    </row>
    <row r="18" spans="2:28" ht="15.75" customHeight="1">
      <c r="C18" s="38"/>
      <c r="D18" s="38"/>
      <c r="E18" s="38"/>
      <c r="F18" s="457" t="str">
        <f>IF(OR(S17&lt;&gt;0,S41&lt;&gt;0,S54&lt;&gt;0),"Do not Enter Cents - Whole Dollars Only","")</f>
        <v/>
      </c>
      <c r="G18" s="457"/>
      <c r="H18" s="457"/>
      <c r="I18" s="457"/>
      <c r="J18" s="457"/>
      <c r="K18" s="38"/>
      <c r="L18" s="38"/>
      <c r="N18" s="47"/>
      <c r="O18" s="48"/>
      <c r="P18" s="48"/>
      <c r="Q18" s="48"/>
      <c r="R18" s="49"/>
      <c r="S18" s="52"/>
      <c r="T18" s="49"/>
      <c r="U18" s="48"/>
      <c r="V18" s="48"/>
      <c r="W18" s="48"/>
      <c r="X18" s="48"/>
      <c r="Y18" s="51"/>
      <c r="Z18" s="41"/>
      <c r="AA18" s="19"/>
    </row>
    <row r="19" spans="2:28" ht="33" customHeight="1">
      <c r="B19" s="14" t="s">
        <v>15</v>
      </c>
      <c r="C19" s="53"/>
      <c r="D19" s="53"/>
      <c r="E19" s="53"/>
      <c r="F19" s="54" t="s">
        <v>16</v>
      </c>
      <c r="G19" s="54" t="s">
        <v>17</v>
      </c>
      <c r="H19" s="54" t="s">
        <v>18</v>
      </c>
      <c r="I19" s="54" t="s">
        <v>19</v>
      </c>
      <c r="J19" s="54" t="s">
        <v>20</v>
      </c>
      <c r="K19" s="54" t="s">
        <v>21</v>
      </c>
      <c r="L19" s="54" t="s">
        <v>22</v>
      </c>
      <c r="N19" s="47"/>
      <c r="O19" s="48"/>
      <c r="P19" s="48"/>
      <c r="Q19" s="48"/>
      <c r="R19" s="49"/>
      <c r="S19" s="52"/>
      <c r="T19" s="49"/>
      <c r="U19" s="48"/>
      <c r="V19" s="48"/>
      <c r="W19" s="48"/>
      <c r="X19" s="48"/>
      <c r="Y19" s="51"/>
      <c r="Z19" s="41"/>
      <c r="AA19" s="19"/>
    </row>
    <row r="20" spans="2:28" ht="15.75" customHeight="1">
      <c r="B20" s="55" t="s">
        <v>23</v>
      </c>
      <c r="C20" s="21"/>
      <c r="D20" s="21"/>
      <c r="F20" s="56">
        <f>Input!$M$11</f>
        <v>0</v>
      </c>
      <c r="G20" s="56">
        <f>Input!$N$11</f>
        <v>0</v>
      </c>
      <c r="H20" s="56">
        <f>Input!$O$11</f>
        <v>0</v>
      </c>
      <c r="I20" s="56">
        <f>Input!$P$11</f>
        <v>0</v>
      </c>
      <c r="J20" s="56">
        <f>Input!$Q$11</f>
        <v>0</v>
      </c>
      <c r="K20" s="56">
        <f>Input!$R$11</f>
        <v>0</v>
      </c>
      <c r="L20" s="57">
        <f>SUM(F20:K20)</f>
        <v>0</v>
      </c>
      <c r="N20" s="58"/>
      <c r="O20" s="59"/>
      <c r="P20" s="60"/>
      <c r="Q20" s="61"/>
      <c r="R20" s="58"/>
      <c r="S20" s="58"/>
      <c r="T20" s="58"/>
      <c r="U20" s="61"/>
      <c r="V20" s="58"/>
      <c r="W20" s="61"/>
      <c r="X20" s="62"/>
      <c r="Y20" s="59"/>
      <c r="Z20" s="61"/>
      <c r="AA20" s="19"/>
      <c r="AB20" s="24">
        <f t="shared" ref="AB20:AB25" si="1">SUM(C20:L20)</f>
        <v>0</v>
      </c>
    </row>
    <row r="21" spans="2:28" ht="15.75" customHeight="1">
      <c r="B21" s="63" t="s">
        <v>24</v>
      </c>
      <c r="C21" s="21"/>
      <c r="D21" s="21"/>
      <c r="F21" s="64">
        <f>Input!$S$11</f>
        <v>51523589</v>
      </c>
      <c r="G21" s="64">
        <f>Input!$T$11</f>
        <v>318588</v>
      </c>
      <c r="H21" s="64">
        <f>Input!$U$11</f>
        <v>90752</v>
      </c>
      <c r="I21" s="64">
        <f>Input!$V$11</f>
        <v>4497868</v>
      </c>
      <c r="J21" s="64">
        <f>Input!$W$11</f>
        <v>1321290</v>
      </c>
      <c r="K21" s="64">
        <f>Input!$X$11</f>
        <v>5361267</v>
      </c>
      <c r="L21" s="65">
        <f t="shared" ref="L21:L40" si="2">SUM(F21:K21)</f>
        <v>63113354</v>
      </c>
      <c r="N21" s="66"/>
      <c r="O21" s="67"/>
      <c r="P21" s="68"/>
      <c r="Q21" s="69"/>
      <c r="R21" s="70"/>
      <c r="S21" s="70"/>
      <c r="T21" s="70"/>
      <c r="U21" s="69"/>
      <c r="V21" s="71"/>
      <c r="W21" s="61"/>
      <c r="X21" s="62"/>
      <c r="Y21" s="67"/>
      <c r="Z21" s="69"/>
      <c r="AA21" s="19"/>
      <c r="AB21" s="24">
        <f t="shared" si="1"/>
        <v>126226708</v>
      </c>
    </row>
    <row r="22" spans="2:28" ht="15.75" customHeight="1">
      <c r="B22" s="55" t="s">
        <v>25</v>
      </c>
      <c r="C22" s="21"/>
      <c r="D22" s="21"/>
      <c r="F22" s="64">
        <f>Input!$Y$11</f>
        <v>0</v>
      </c>
      <c r="G22" s="64">
        <f>Input!$Z$11</f>
        <v>0</v>
      </c>
      <c r="H22" s="64">
        <f>Input!$AA$11</f>
        <v>0</v>
      </c>
      <c r="I22" s="64">
        <f>Input!$AB$11</f>
        <v>0</v>
      </c>
      <c r="J22" s="64">
        <f>Input!$AC$11</f>
        <v>0</v>
      </c>
      <c r="K22" s="64">
        <f>Input!$AD$11</f>
        <v>0</v>
      </c>
      <c r="L22" s="65">
        <f t="shared" si="2"/>
        <v>0</v>
      </c>
      <c r="N22" s="66"/>
      <c r="O22" s="67"/>
      <c r="P22" s="72"/>
      <c r="Q22" s="69"/>
      <c r="R22" s="70"/>
      <c r="S22" s="70"/>
      <c r="T22" s="70"/>
      <c r="U22" s="69"/>
      <c r="V22" s="70"/>
      <c r="W22" s="69"/>
      <c r="X22" s="62"/>
      <c r="Y22" s="67"/>
      <c r="Z22" s="69"/>
      <c r="AA22" s="19"/>
      <c r="AB22" s="24">
        <f t="shared" si="1"/>
        <v>0</v>
      </c>
    </row>
    <row r="23" spans="2:28" ht="15.75" customHeight="1">
      <c r="B23" s="55" t="s">
        <v>26</v>
      </c>
      <c r="C23" s="21"/>
      <c r="D23" s="21"/>
      <c r="F23" s="64">
        <f>Input!$AE$11</f>
        <v>886702</v>
      </c>
      <c r="G23" s="64">
        <f>Input!$AF$11</f>
        <v>398247</v>
      </c>
      <c r="H23" s="64">
        <f>Input!$AG$11</f>
        <v>0</v>
      </c>
      <c r="I23" s="64">
        <f>Input!$AH$11</f>
        <v>99878</v>
      </c>
      <c r="J23" s="64">
        <f>Input!$AI$11</f>
        <v>54945</v>
      </c>
      <c r="K23" s="64">
        <f>Input!$AJ$11</f>
        <v>1482</v>
      </c>
      <c r="L23" s="65">
        <f t="shared" si="2"/>
        <v>1441254</v>
      </c>
      <c r="N23" s="66"/>
      <c r="O23" s="67"/>
      <c r="P23" s="68"/>
      <c r="Q23" s="69"/>
      <c r="R23" s="70"/>
      <c r="S23" s="70"/>
      <c r="T23" s="70"/>
      <c r="U23" s="69"/>
      <c r="V23" s="70"/>
      <c r="W23" s="69"/>
      <c r="X23" s="62"/>
      <c r="Y23" s="67"/>
      <c r="Z23" s="69"/>
      <c r="AA23" s="19"/>
      <c r="AB23" s="24">
        <f t="shared" si="1"/>
        <v>2882508</v>
      </c>
    </row>
    <row r="24" spans="2:28" ht="15.75" customHeight="1">
      <c r="B24" s="55" t="s">
        <v>27</v>
      </c>
      <c r="C24" s="21"/>
      <c r="D24" s="21"/>
      <c r="F24" s="64">
        <f>Input!$AK$11</f>
        <v>0</v>
      </c>
      <c r="G24" s="64">
        <f>Input!$AL$11</f>
        <v>0</v>
      </c>
      <c r="H24" s="64">
        <f>Input!$AM$11</f>
        <v>0</v>
      </c>
      <c r="I24" s="64">
        <f>Input!$AN$11</f>
        <v>0</v>
      </c>
      <c r="J24" s="64">
        <f>Input!$AO$11</f>
        <v>0</v>
      </c>
      <c r="K24" s="64">
        <f>Input!$AP$11</f>
        <v>0</v>
      </c>
      <c r="L24" s="65">
        <f t="shared" si="2"/>
        <v>0</v>
      </c>
      <c r="N24" s="66"/>
      <c r="O24" s="67"/>
      <c r="P24" s="68"/>
      <c r="Q24" s="69"/>
      <c r="R24" s="70"/>
      <c r="S24" s="70"/>
      <c r="T24" s="70"/>
      <c r="U24" s="69"/>
      <c r="V24" s="70"/>
      <c r="W24" s="69"/>
      <c r="X24" s="62"/>
      <c r="Y24" s="67"/>
      <c r="Z24" s="69"/>
      <c r="AA24" s="19"/>
      <c r="AB24" s="24">
        <f t="shared" si="1"/>
        <v>0</v>
      </c>
    </row>
    <row r="25" spans="2:28" ht="15.75" customHeight="1">
      <c r="B25" s="55" t="s">
        <v>28</v>
      </c>
      <c r="C25" s="21"/>
      <c r="D25" s="21"/>
      <c r="F25" s="64">
        <f>Input!$AQ$11</f>
        <v>0</v>
      </c>
      <c r="G25" s="64">
        <f>Input!$AR$11</f>
        <v>0</v>
      </c>
      <c r="H25" s="64">
        <f>Input!$AS$11</f>
        <v>0</v>
      </c>
      <c r="I25" s="64">
        <f>Input!$AT$11</f>
        <v>0</v>
      </c>
      <c r="J25" s="64">
        <f>Input!$AU$11</f>
        <v>0</v>
      </c>
      <c r="K25" s="64">
        <f>Input!$AV$11</f>
        <v>0</v>
      </c>
      <c r="L25" s="65">
        <f t="shared" si="2"/>
        <v>0</v>
      </c>
      <c r="N25" s="66"/>
      <c r="O25" s="73" t="s">
        <v>6</v>
      </c>
      <c r="P25" s="68"/>
      <c r="Q25" s="69"/>
      <c r="R25" s="70"/>
      <c r="S25" s="70"/>
      <c r="T25" s="70"/>
      <c r="U25" s="69"/>
      <c r="V25" s="70"/>
      <c r="W25" s="69"/>
      <c r="X25" s="62"/>
      <c r="Y25" s="67"/>
      <c r="Z25" s="69"/>
      <c r="AA25" s="19"/>
      <c r="AB25" s="24">
        <f t="shared" si="1"/>
        <v>0</v>
      </c>
    </row>
    <row r="26" spans="2:28" ht="15.75" customHeight="1">
      <c r="B26" s="55" t="s">
        <v>29</v>
      </c>
      <c r="C26" s="21"/>
      <c r="D26" s="21"/>
      <c r="F26" s="64">
        <f>Input!$AW$11</f>
        <v>76429311</v>
      </c>
      <c r="G26" s="64">
        <f>Input!$AX$11</f>
        <v>187413</v>
      </c>
      <c r="H26" s="64">
        <f>Input!$AY$11</f>
        <v>679687</v>
      </c>
      <c r="I26" s="64">
        <f>Input!$AZ$11</f>
        <v>3234365</v>
      </c>
      <c r="J26" s="64">
        <f>Input!$BA$11</f>
        <v>2288952</v>
      </c>
      <c r="K26" s="64">
        <f>Input!$BB$11</f>
        <v>9450668</v>
      </c>
      <c r="L26" s="65">
        <f t="shared" si="2"/>
        <v>92270396</v>
      </c>
      <c r="N26" s="74" t="str">
        <f>IF(O26&lt;&gt;0,"Out of Balance","Balanced")</f>
        <v>Balanced</v>
      </c>
      <c r="O26" s="75">
        <f>L17-L41</f>
        <v>0</v>
      </c>
      <c r="Q26" s="69"/>
      <c r="R26" s="70"/>
      <c r="S26" s="70"/>
      <c r="T26" s="70"/>
      <c r="U26" s="69"/>
      <c r="V26" s="70"/>
      <c r="W26" s="69"/>
      <c r="X26" s="62"/>
      <c r="Y26" s="67"/>
      <c r="Z26" s="69"/>
      <c r="AA26" s="19"/>
      <c r="AB26" s="24"/>
    </row>
    <row r="27" spans="2:28" ht="15.75" customHeight="1">
      <c r="B27" s="55" t="s">
        <v>30</v>
      </c>
      <c r="C27" s="21"/>
      <c r="D27" s="21"/>
      <c r="F27" s="64">
        <f>Input!$BC$11</f>
        <v>0</v>
      </c>
      <c r="G27" s="64">
        <f>Input!$BD$11</f>
        <v>0</v>
      </c>
      <c r="H27" s="64">
        <f>Input!$BE$11</f>
        <v>0</v>
      </c>
      <c r="I27" s="64">
        <f>Input!$BF$11</f>
        <v>0</v>
      </c>
      <c r="J27" s="64">
        <f>Input!$BG$11</f>
        <v>0</v>
      </c>
      <c r="K27" s="64">
        <f>Input!$BH$11</f>
        <v>0</v>
      </c>
      <c r="L27" s="65">
        <f t="shared" si="2"/>
        <v>0</v>
      </c>
      <c r="N27" s="66"/>
      <c r="O27" s="67"/>
      <c r="P27" s="68"/>
      <c r="Q27" s="69"/>
      <c r="R27" s="70"/>
      <c r="S27" s="70"/>
      <c r="T27" s="70"/>
      <c r="U27" s="69"/>
      <c r="V27" s="70"/>
      <c r="W27" s="69"/>
      <c r="X27" s="62"/>
      <c r="Y27" s="67"/>
      <c r="Z27" s="69"/>
      <c r="AA27" s="19"/>
      <c r="AB27" s="24"/>
    </row>
    <row r="28" spans="2:28" ht="15.75" customHeight="1">
      <c r="B28" s="63" t="s">
        <v>31</v>
      </c>
      <c r="C28" s="21"/>
      <c r="D28" s="21"/>
      <c r="F28" s="64">
        <f>Input!$BI$11</f>
        <v>0</v>
      </c>
      <c r="G28" s="64">
        <f>Input!$BJ$11</f>
        <v>0</v>
      </c>
      <c r="H28" s="64">
        <f>Input!$BK$11</f>
        <v>0</v>
      </c>
      <c r="I28" s="64">
        <f>Input!$BL$11</f>
        <v>0</v>
      </c>
      <c r="J28" s="64">
        <f>Input!$BM$11</f>
        <v>0</v>
      </c>
      <c r="K28" s="64">
        <f>Input!$BN$11</f>
        <v>0</v>
      </c>
      <c r="L28" s="65">
        <f t="shared" si="2"/>
        <v>0</v>
      </c>
      <c r="N28" s="66"/>
      <c r="O28" s="67"/>
      <c r="P28" s="68"/>
      <c r="Q28" s="69"/>
      <c r="R28" s="70"/>
      <c r="S28" s="70"/>
      <c r="T28" s="70"/>
      <c r="U28" s="69"/>
      <c r="V28" s="70"/>
      <c r="W28" s="69"/>
      <c r="X28" s="62"/>
      <c r="Y28" s="67"/>
      <c r="Z28" s="69"/>
      <c r="AA28" s="19"/>
      <c r="AB28" s="24"/>
    </row>
    <row r="29" spans="2:28" ht="15.75" customHeight="1">
      <c r="B29" s="63" t="s">
        <v>32</v>
      </c>
      <c r="C29" s="21"/>
      <c r="D29" s="21"/>
      <c r="F29" s="64">
        <f>Input!$BO$11</f>
        <v>0</v>
      </c>
      <c r="G29" s="64">
        <f>Input!$BP$11</f>
        <v>0</v>
      </c>
      <c r="H29" s="64">
        <f>Input!$BQ$11</f>
        <v>0</v>
      </c>
      <c r="I29" s="64">
        <f>Input!$BR$11</f>
        <v>0</v>
      </c>
      <c r="J29" s="64">
        <f>Input!$BS$11</f>
        <v>0</v>
      </c>
      <c r="K29" s="64">
        <f>Input!$BT$11</f>
        <v>0</v>
      </c>
      <c r="L29" s="65">
        <f t="shared" si="2"/>
        <v>0</v>
      </c>
      <c r="N29" s="66"/>
      <c r="O29" s="67"/>
      <c r="P29" s="68"/>
      <c r="Q29" s="69"/>
      <c r="R29" s="70"/>
      <c r="S29" s="70"/>
      <c r="T29" s="70"/>
      <c r="U29" s="69"/>
      <c r="V29" s="70"/>
      <c r="W29" s="69"/>
      <c r="X29" s="62"/>
      <c r="Y29" s="67"/>
      <c r="Z29" s="69"/>
      <c r="AA29" s="19"/>
      <c r="AB29" s="24"/>
    </row>
    <row r="30" spans="2:28" ht="15.75" customHeight="1">
      <c r="B30" s="63" t="s">
        <v>33</v>
      </c>
      <c r="C30" s="21"/>
      <c r="D30" s="21"/>
      <c r="F30" s="64">
        <f>Input!$BU$11</f>
        <v>0</v>
      </c>
      <c r="G30" s="64">
        <f>Input!$BV$11</f>
        <v>0</v>
      </c>
      <c r="H30" s="64">
        <f>Input!$BW$11</f>
        <v>0</v>
      </c>
      <c r="I30" s="64">
        <f>Input!$BX$11</f>
        <v>0</v>
      </c>
      <c r="J30" s="64">
        <f>Input!$BY$11</f>
        <v>0</v>
      </c>
      <c r="K30" s="64">
        <f>Input!$BZ$11</f>
        <v>0</v>
      </c>
      <c r="L30" s="65">
        <f t="shared" si="2"/>
        <v>0</v>
      </c>
      <c r="N30" s="66"/>
      <c r="O30" s="67"/>
      <c r="P30" s="68"/>
      <c r="Q30" s="69"/>
      <c r="R30" s="70"/>
      <c r="S30" s="70"/>
      <c r="T30" s="70"/>
      <c r="U30" s="69"/>
      <c r="V30" s="70"/>
      <c r="W30" s="69"/>
      <c r="X30" s="62"/>
      <c r="Y30" s="67"/>
      <c r="Z30" s="69"/>
      <c r="AA30" s="19"/>
      <c r="AB30" s="24"/>
    </row>
    <row r="31" spans="2:28" ht="15.75" customHeight="1">
      <c r="B31" s="63" t="s">
        <v>34</v>
      </c>
      <c r="C31" s="21"/>
      <c r="D31" s="21"/>
      <c r="F31" s="64">
        <f>Input!$CA$11</f>
        <v>0</v>
      </c>
      <c r="G31" s="64">
        <f>Input!$CB$11</f>
        <v>0</v>
      </c>
      <c r="H31" s="64">
        <f>Input!$CC$11</f>
        <v>0</v>
      </c>
      <c r="I31" s="64">
        <f>Input!$CD$11</f>
        <v>0</v>
      </c>
      <c r="J31" s="64">
        <f>Input!$CE$11</f>
        <v>0</v>
      </c>
      <c r="K31" s="64">
        <f>Input!$CF$11</f>
        <v>0</v>
      </c>
      <c r="L31" s="65">
        <f t="shared" si="2"/>
        <v>0</v>
      </c>
      <c r="N31" s="66"/>
      <c r="O31" s="67"/>
      <c r="P31" s="68"/>
      <c r="Q31" s="69"/>
      <c r="R31" s="70"/>
      <c r="S31" s="70"/>
      <c r="T31" s="70"/>
      <c r="U31" s="69"/>
      <c r="V31" s="70"/>
      <c r="W31" s="69"/>
      <c r="X31" s="62"/>
      <c r="Y31" s="67"/>
      <c r="Z31" s="69"/>
      <c r="AA31" s="19"/>
      <c r="AB31" s="24"/>
    </row>
    <row r="32" spans="2:28" ht="15.75" customHeight="1">
      <c r="B32" s="63" t="s">
        <v>35</v>
      </c>
      <c r="C32" s="21"/>
      <c r="D32" s="21"/>
      <c r="F32" s="64">
        <f>Input!$CG$11</f>
        <v>0</v>
      </c>
      <c r="G32" s="64">
        <f>Input!$CH$11</f>
        <v>0</v>
      </c>
      <c r="H32" s="64">
        <f>Input!$CI$11</f>
        <v>0</v>
      </c>
      <c r="I32" s="64">
        <f>Input!$CJ$11</f>
        <v>0</v>
      </c>
      <c r="J32" s="64">
        <f>Input!$CK$11</f>
        <v>0</v>
      </c>
      <c r="K32" s="64">
        <f>Input!$CL$11</f>
        <v>0</v>
      </c>
      <c r="L32" s="65">
        <f t="shared" si="2"/>
        <v>0</v>
      </c>
      <c r="N32" s="66"/>
      <c r="O32" s="67"/>
      <c r="P32" s="68"/>
      <c r="Q32" s="69"/>
      <c r="R32" s="70"/>
      <c r="S32" s="70"/>
      <c r="T32" s="70"/>
      <c r="U32" s="69"/>
      <c r="V32" s="70"/>
      <c r="W32" s="69"/>
      <c r="X32" s="62"/>
      <c r="Y32" s="67"/>
      <c r="Z32" s="69"/>
      <c r="AA32" s="19"/>
      <c r="AB32" s="24"/>
    </row>
    <row r="33" spans="1:28" ht="15.75" customHeight="1">
      <c r="B33" s="55" t="s">
        <v>36</v>
      </c>
      <c r="C33" s="21"/>
      <c r="D33" s="21"/>
      <c r="F33" s="64">
        <f>Input!$CM$11</f>
        <v>0</v>
      </c>
      <c r="G33" s="64">
        <f>Input!$CN$11</f>
        <v>0</v>
      </c>
      <c r="H33" s="64">
        <f>Input!$CO$11</f>
        <v>0</v>
      </c>
      <c r="I33" s="64">
        <f>Input!$CP$11</f>
        <v>0</v>
      </c>
      <c r="J33" s="64">
        <f>Input!$CQ$11</f>
        <v>0</v>
      </c>
      <c r="K33" s="64">
        <f>Input!$CR$11</f>
        <v>0</v>
      </c>
      <c r="L33" s="65">
        <f t="shared" si="2"/>
        <v>0</v>
      </c>
      <c r="N33" s="66"/>
      <c r="O33" s="67"/>
      <c r="P33" s="68"/>
      <c r="Q33" s="69"/>
      <c r="R33" s="70"/>
      <c r="S33" s="70"/>
      <c r="T33" s="70"/>
      <c r="U33" s="69"/>
      <c r="V33" s="70"/>
      <c r="W33" s="69"/>
      <c r="X33" s="62"/>
      <c r="Y33" s="67"/>
      <c r="Z33" s="69"/>
      <c r="AA33" s="19"/>
      <c r="AB33" s="24"/>
    </row>
    <row r="34" spans="1:28" ht="15.75" customHeight="1">
      <c r="B34" s="55" t="s">
        <v>37</v>
      </c>
      <c r="C34" s="21"/>
      <c r="D34" s="21"/>
      <c r="F34" s="64">
        <f>Input!$CS$11</f>
        <v>0</v>
      </c>
      <c r="G34" s="64">
        <f>Input!$CT$11</f>
        <v>0</v>
      </c>
      <c r="H34" s="64">
        <f>Input!$CU$11</f>
        <v>0</v>
      </c>
      <c r="I34" s="64">
        <f>Input!$CV$11</f>
        <v>0</v>
      </c>
      <c r="J34" s="64">
        <f>Input!$CW$11</f>
        <v>0</v>
      </c>
      <c r="K34" s="64">
        <f>Input!$CX$11</f>
        <v>0</v>
      </c>
      <c r="L34" s="65">
        <f t="shared" si="2"/>
        <v>0</v>
      </c>
      <c r="N34" s="66"/>
      <c r="O34" s="67"/>
      <c r="P34" s="68"/>
      <c r="Q34" s="69"/>
      <c r="R34" s="70"/>
      <c r="S34" s="70"/>
      <c r="T34" s="70"/>
      <c r="U34" s="69"/>
      <c r="V34" s="70"/>
      <c r="W34" s="69"/>
      <c r="X34" s="62"/>
      <c r="Y34" s="67"/>
      <c r="Z34" s="69"/>
      <c r="AA34" s="19"/>
      <c r="AB34" s="24"/>
    </row>
    <row r="35" spans="1:28" s="79" customFormat="1" ht="15.75" customHeight="1">
      <c r="A35" s="76"/>
      <c r="B35" s="77" t="s">
        <v>38</v>
      </c>
      <c r="C35" s="78"/>
      <c r="D35" s="78"/>
      <c r="E35" s="20"/>
      <c r="F35" s="64">
        <f>Input!$CY$11</f>
        <v>0</v>
      </c>
      <c r="G35" s="64">
        <f>Input!$CZ$11</f>
        <v>0</v>
      </c>
      <c r="H35" s="64">
        <f>Input!$DA$11</f>
        <v>0</v>
      </c>
      <c r="I35" s="64">
        <f>Input!$DB$11</f>
        <v>0</v>
      </c>
      <c r="J35" s="64">
        <f>Input!$DC$11</f>
        <v>0</v>
      </c>
      <c r="K35" s="64">
        <f>Input!$DD$11</f>
        <v>0</v>
      </c>
      <c r="L35" s="65">
        <f t="shared" si="2"/>
        <v>0</v>
      </c>
      <c r="N35" s="66"/>
      <c r="O35" s="67"/>
      <c r="P35" s="80"/>
      <c r="Q35" s="81"/>
      <c r="R35" s="70"/>
      <c r="S35" s="70"/>
      <c r="T35" s="70"/>
      <c r="U35" s="81"/>
      <c r="V35" s="70"/>
      <c r="W35" s="81"/>
      <c r="X35" s="62"/>
      <c r="Y35" s="67"/>
      <c r="Z35" s="81"/>
      <c r="AA35" s="82"/>
      <c r="AB35" s="83"/>
    </row>
    <row r="36" spans="1:28" s="79" customFormat="1" ht="15.75" customHeight="1">
      <c r="A36" s="76"/>
      <c r="B36" s="77" t="s">
        <v>39</v>
      </c>
      <c r="C36" s="78"/>
      <c r="D36" s="78"/>
      <c r="E36" s="20"/>
      <c r="F36" s="64">
        <f>Input!$DE$11</f>
        <v>0</v>
      </c>
      <c r="G36" s="64">
        <f>Input!$DF$11</f>
        <v>0</v>
      </c>
      <c r="H36" s="64">
        <f>Input!$DG$11</f>
        <v>0</v>
      </c>
      <c r="I36" s="64">
        <f>Input!$DH$11</f>
        <v>0</v>
      </c>
      <c r="J36" s="64">
        <f>Input!$DI$11</f>
        <v>0</v>
      </c>
      <c r="K36" s="64">
        <f>Input!$DJ$11</f>
        <v>0</v>
      </c>
      <c r="L36" s="65">
        <f t="shared" si="2"/>
        <v>0</v>
      </c>
      <c r="N36" s="66"/>
      <c r="O36" s="67"/>
      <c r="P36" s="80"/>
      <c r="Q36" s="81"/>
      <c r="R36" s="70"/>
      <c r="S36" s="70"/>
      <c r="T36" s="70"/>
      <c r="U36" s="81"/>
      <c r="V36" s="70"/>
      <c r="W36" s="81"/>
      <c r="X36" s="62"/>
      <c r="Y36" s="67"/>
      <c r="Z36" s="81"/>
      <c r="AA36" s="82"/>
      <c r="AB36" s="83"/>
    </row>
    <row r="37" spans="1:28" s="79" customFormat="1" ht="15.75" customHeight="1">
      <c r="A37" s="76"/>
      <c r="B37" s="77" t="s">
        <v>40</v>
      </c>
      <c r="C37" s="78"/>
      <c r="D37" s="78"/>
      <c r="E37" s="20"/>
      <c r="F37" s="64">
        <f>Input!$DK$11</f>
        <v>0</v>
      </c>
      <c r="G37" s="64">
        <f>Input!$DL$11</f>
        <v>0</v>
      </c>
      <c r="H37" s="64">
        <f>Input!$DM$11</f>
        <v>0</v>
      </c>
      <c r="I37" s="64">
        <f>Input!$DN$11</f>
        <v>0</v>
      </c>
      <c r="J37" s="64">
        <f>Input!$DO$11</f>
        <v>0</v>
      </c>
      <c r="K37" s="64">
        <f>Input!$DP$11</f>
        <v>0</v>
      </c>
      <c r="L37" s="65">
        <f t="shared" si="2"/>
        <v>0</v>
      </c>
      <c r="N37" s="66"/>
      <c r="O37" s="67"/>
      <c r="P37" s="80"/>
      <c r="Q37" s="81"/>
      <c r="R37" s="70"/>
      <c r="S37" s="70"/>
      <c r="T37" s="70"/>
      <c r="U37" s="81"/>
      <c r="V37" s="70"/>
      <c r="W37" s="81"/>
      <c r="X37" s="62"/>
      <c r="Y37" s="67"/>
      <c r="Z37" s="81"/>
      <c r="AA37" s="82"/>
      <c r="AB37" s="83"/>
    </row>
    <row r="38" spans="1:28" s="79" customFormat="1" ht="15.75" customHeight="1">
      <c r="A38" s="76"/>
      <c r="B38" s="77" t="s">
        <v>41</v>
      </c>
      <c r="C38" s="78"/>
      <c r="D38" s="78"/>
      <c r="E38" s="20"/>
      <c r="F38" s="64">
        <f>Input!$DQ$11</f>
        <v>0</v>
      </c>
      <c r="G38" s="64">
        <f>Input!$DR$11</f>
        <v>0</v>
      </c>
      <c r="H38" s="64">
        <f>Input!$DS$11</f>
        <v>0</v>
      </c>
      <c r="I38" s="64">
        <f>Input!$DT$11</f>
        <v>0</v>
      </c>
      <c r="J38" s="64">
        <f>Input!$DU$11</f>
        <v>0</v>
      </c>
      <c r="K38" s="64">
        <f>Input!$DV$11</f>
        <v>0</v>
      </c>
      <c r="L38" s="65">
        <f t="shared" si="2"/>
        <v>0</v>
      </c>
      <c r="N38" s="66"/>
      <c r="O38" s="67"/>
      <c r="P38" s="80"/>
      <c r="Q38" s="81"/>
      <c r="R38" s="70"/>
      <c r="S38" s="70"/>
      <c r="T38" s="70"/>
      <c r="U38" s="81"/>
      <c r="V38" s="70"/>
      <c r="W38" s="81"/>
      <c r="X38" s="62"/>
      <c r="Y38" s="67"/>
      <c r="Z38" s="81"/>
      <c r="AA38" s="82"/>
      <c r="AB38" s="83"/>
    </row>
    <row r="39" spans="1:28" s="79" customFormat="1" ht="15.75" customHeight="1">
      <c r="A39" s="76"/>
      <c r="B39" s="77" t="s">
        <v>42</v>
      </c>
      <c r="C39" s="78"/>
      <c r="D39" s="78"/>
      <c r="E39" s="20"/>
      <c r="F39" s="64">
        <f>Input!$DW$11</f>
        <v>0</v>
      </c>
      <c r="G39" s="64">
        <f>Input!$DX$11</f>
        <v>0</v>
      </c>
      <c r="H39" s="64">
        <f>Input!$DY$11</f>
        <v>0</v>
      </c>
      <c r="I39" s="64">
        <f>Input!$DZ$11</f>
        <v>0</v>
      </c>
      <c r="J39" s="64">
        <f>Input!$EA$11</f>
        <v>0</v>
      </c>
      <c r="K39" s="64">
        <f>Input!$EB$11</f>
        <v>0</v>
      </c>
      <c r="L39" s="65">
        <f t="shared" si="2"/>
        <v>0</v>
      </c>
      <c r="N39" s="66"/>
      <c r="O39" s="67"/>
      <c r="P39" s="80"/>
      <c r="Q39" s="81"/>
      <c r="R39" s="70"/>
      <c r="S39" s="70"/>
      <c r="T39" s="70"/>
      <c r="U39" s="81"/>
      <c r="V39" s="70"/>
      <c r="W39" s="81"/>
      <c r="X39" s="62"/>
      <c r="Y39" s="67"/>
      <c r="Z39" s="81"/>
      <c r="AA39" s="82"/>
      <c r="AB39" s="83"/>
    </row>
    <row r="40" spans="1:28" ht="15.75" customHeight="1">
      <c r="A40" s="76"/>
      <c r="B40" s="55" t="s">
        <v>43</v>
      </c>
      <c r="C40" s="21"/>
      <c r="D40" s="21"/>
      <c r="E40" s="21"/>
      <c r="F40" s="84">
        <f>Input!$EC$11</f>
        <v>0</v>
      </c>
      <c r="G40" s="84">
        <f>Input!$ED$11</f>
        <v>0</v>
      </c>
      <c r="H40" s="84">
        <f>Input!$EE$11</f>
        <v>0</v>
      </c>
      <c r="I40" s="84">
        <f>Input!$EF$11</f>
        <v>0</v>
      </c>
      <c r="J40" s="84">
        <f>Input!$EG$11</f>
        <v>0</v>
      </c>
      <c r="K40" s="84">
        <f>Input!$EH$11</f>
        <v>0</v>
      </c>
      <c r="L40" s="65">
        <f t="shared" si="2"/>
        <v>0</v>
      </c>
      <c r="N40" s="66"/>
      <c r="O40" s="317" t="s">
        <v>633</v>
      </c>
      <c r="P40" s="41" t="s">
        <v>634</v>
      </c>
      <c r="Q40" s="85"/>
      <c r="R40" s="70"/>
      <c r="S40" s="70"/>
      <c r="T40" s="70"/>
      <c r="U40" s="69"/>
      <c r="V40" s="70"/>
      <c r="W40" s="69"/>
      <c r="X40" s="62"/>
      <c r="Y40" s="67"/>
      <c r="Z40" s="69"/>
      <c r="AA40" s="19"/>
      <c r="AB40" s="24">
        <f>SUM(C40:L40)</f>
        <v>0</v>
      </c>
    </row>
    <row r="41" spans="1:28" ht="15.75" customHeight="1">
      <c r="A41" s="76"/>
      <c r="B41" s="43" t="s">
        <v>44</v>
      </c>
      <c r="C41" s="44"/>
      <c r="D41" s="44"/>
      <c r="E41" s="44"/>
      <c r="F41" s="86">
        <f t="shared" ref="F41:L41" si="3">SUM(F20:F40)</f>
        <v>128839602</v>
      </c>
      <c r="G41" s="86">
        <f t="shared" si="3"/>
        <v>904248</v>
      </c>
      <c r="H41" s="86">
        <f t="shared" si="3"/>
        <v>770439</v>
      </c>
      <c r="I41" s="86">
        <f t="shared" si="3"/>
        <v>7832111</v>
      </c>
      <c r="J41" s="86">
        <f t="shared" si="3"/>
        <v>3665187</v>
      </c>
      <c r="K41" s="86">
        <f t="shared" si="3"/>
        <v>14813417</v>
      </c>
      <c r="L41" s="87">
        <f t="shared" si="3"/>
        <v>156825004</v>
      </c>
      <c r="N41" s="88"/>
      <c r="O41" s="308" t="s">
        <v>628</v>
      </c>
      <c r="P41" s="309" t="s">
        <v>17</v>
      </c>
      <c r="Q41" s="89"/>
      <c r="R41" s="89"/>
      <c r="S41" s="50">
        <f>L41-INT(L41)</f>
        <v>0</v>
      </c>
      <c r="T41" s="61"/>
      <c r="U41" s="90"/>
      <c r="V41" s="61"/>
      <c r="W41" s="61"/>
      <c r="X41" s="85"/>
      <c r="Y41" s="60"/>
      <c r="Z41" s="91"/>
      <c r="AA41" s="19"/>
      <c r="AB41" s="44">
        <f>SUM(AB20:AB40)</f>
        <v>129109216</v>
      </c>
    </row>
    <row r="42" spans="1:28" ht="15.75" customHeight="1">
      <c r="A42" s="76"/>
      <c r="C42" s="38"/>
      <c r="D42" s="38"/>
      <c r="F42" s="38"/>
      <c r="G42" s="310" t="s">
        <v>629</v>
      </c>
      <c r="H42" s="311">
        <f>H41+G41</f>
        <v>1674687</v>
      </c>
      <c r="I42" s="53"/>
      <c r="J42" s="310" t="s">
        <v>630</v>
      </c>
      <c r="K42" s="311">
        <f>K41+J41</f>
        <v>18478604</v>
      </c>
      <c r="L42" s="310" t="s">
        <v>631</v>
      </c>
      <c r="M42" s="312"/>
      <c r="N42" s="313">
        <f>K42+F41</f>
        <v>147318206</v>
      </c>
      <c r="O42" s="314">
        <f>ROUND((N42/P42)*100,2)</f>
        <v>81.099999999999994</v>
      </c>
      <c r="P42" s="93">
        <f>Input!$GR$11</f>
        <v>181651995</v>
      </c>
      <c r="Q42" s="92"/>
      <c r="R42" s="92"/>
      <c r="S42" s="92"/>
      <c r="T42" s="94"/>
      <c r="U42" s="95"/>
      <c r="V42" s="96"/>
      <c r="W42" s="92"/>
      <c r="X42" s="92"/>
      <c r="Y42" s="92"/>
      <c r="Z42" s="92" t="str">
        <f>IF(Z41&lt;&gt;0,"Out of Balance","")</f>
        <v/>
      </c>
    </row>
    <row r="43" spans="1:28" ht="15.75" customHeight="1">
      <c r="A43" s="76"/>
      <c r="B43" s="14" t="s">
        <v>45</v>
      </c>
      <c r="C43" s="53"/>
      <c r="D43" s="53"/>
      <c r="E43" s="53"/>
      <c r="F43" s="53"/>
      <c r="G43" s="315"/>
      <c r="H43" s="315"/>
      <c r="I43" s="315"/>
      <c r="J43" s="315"/>
      <c r="K43" s="315"/>
      <c r="L43" s="315"/>
      <c r="O43" s="316" t="s">
        <v>632</v>
      </c>
      <c r="Q43" s="92"/>
      <c r="R43" s="92"/>
      <c r="S43" s="92"/>
      <c r="T43" s="94"/>
      <c r="U43" s="95"/>
      <c r="V43" s="96"/>
      <c r="W43" s="92"/>
      <c r="X43" s="92"/>
      <c r="Y43" s="92"/>
      <c r="Z43" s="92"/>
    </row>
    <row r="44" spans="1:28" ht="15.75" customHeight="1">
      <c r="A44" s="76"/>
      <c r="B44" s="55" t="s">
        <v>544</v>
      </c>
      <c r="C44" s="21"/>
      <c r="D44" s="21"/>
      <c r="F44" s="64">
        <f>Input!$EI$11</f>
        <v>8597797</v>
      </c>
      <c r="G44" s="64">
        <f>Input!$EJ$11</f>
        <v>0</v>
      </c>
      <c r="H44" s="64">
        <f>Input!$EK$11</f>
        <v>6194</v>
      </c>
      <c r="I44" s="64">
        <f>Input!$EL$11</f>
        <v>0</v>
      </c>
      <c r="J44" s="64">
        <f>Input!$EM$11</f>
        <v>326773</v>
      </c>
      <c r="K44" s="64">
        <f>Input!$EN$11</f>
        <v>583641</v>
      </c>
      <c r="L44" s="57">
        <f>SUM(F44:K44)</f>
        <v>9514405</v>
      </c>
      <c r="N44" s="9"/>
      <c r="O44" s="318">
        <f>ROUND(N42/O46,0)</f>
        <v>449772</v>
      </c>
      <c r="Q44" s="93"/>
      <c r="R44" s="93"/>
      <c r="S44" s="93"/>
      <c r="T44" s="94"/>
      <c r="U44" s="95"/>
      <c r="V44" s="99"/>
      <c r="W44" s="93"/>
      <c r="X44" s="101"/>
      <c r="Y44" s="92"/>
      <c r="Z44" s="100"/>
      <c r="AB44" s="24">
        <f>SUM(C44:L44)</f>
        <v>19028810</v>
      </c>
    </row>
    <row r="45" spans="1:28" ht="15.75" customHeight="1">
      <c r="A45" s="76"/>
      <c r="B45" s="55" t="s">
        <v>46</v>
      </c>
      <c r="C45" s="21"/>
      <c r="D45" s="21"/>
      <c r="F45" s="64">
        <f>Input!$EO$11</f>
        <v>10417568</v>
      </c>
      <c r="G45" s="64">
        <f>Input!$EP$11</f>
        <v>0</v>
      </c>
      <c r="H45" s="64">
        <f>Input!$EQ$11</f>
        <v>14033</v>
      </c>
      <c r="I45" s="64">
        <f>Input!$ER$11</f>
        <v>0</v>
      </c>
      <c r="J45" s="64">
        <f>Input!$ES$11</f>
        <v>77508</v>
      </c>
      <c r="K45" s="64">
        <f>Input!$ET$11</f>
        <v>415488</v>
      </c>
      <c r="L45" s="65">
        <f t="shared" ref="L45:L53" si="4">SUM(F45:K45)</f>
        <v>10924597</v>
      </c>
      <c r="N45" s="97"/>
      <c r="O45" s="319" t="s">
        <v>635</v>
      </c>
      <c r="P45" s="98"/>
      <c r="Q45" s="93"/>
      <c r="R45" s="93"/>
      <c r="S45" s="93"/>
      <c r="T45" s="94"/>
      <c r="U45" s="95"/>
      <c r="V45" s="99"/>
      <c r="W45" s="93"/>
      <c r="X45" s="101"/>
      <c r="Y45" s="92"/>
      <c r="Z45" s="100"/>
      <c r="AB45" s="24"/>
    </row>
    <row r="46" spans="1:28" ht="15.75" customHeight="1">
      <c r="A46" s="76"/>
      <c r="B46" s="55" t="s">
        <v>545</v>
      </c>
      <c r="C46" s="21"/>
      <c r="D46" s="21"/>
      <c r="F46" s="64">
        <f>Input!$EU$11</f>
        <v>2398159</v>
      </c>
      <c r="G46" s="64">
        <f>Input!$EV$11</f>
        <v>0</v>
      </c>
      <c r="H46" s="64">
        <f>Input!$EW$11</f>
        <v>0</v>
      </c>
      <c r="I46" s="64">
        <f>Input!$EX$11</f>
        <v>0</v>
      </c>
      <c r="J46" s="64">
        <f>Input!$EY$11</f>
        <v>518794</v>
      </c>
      <c r="K46" s="64">
        <f>Input!$EZ$11</f>
        <v>1030055</v>
      </c>
      <c r="L46" s="65">
        <f t="shared" si="4"/>
        <v>3947008</v>
      </c>
      <c r="N46" s="97"/>
      <c r="O46" s="320">
        <f>FTSE!$O$10</f>
        <v>327.54000000000002</v>
      </c>
      <c r="P46" s="98"/>
      <c r="Q46" s="93"/>
      <c r="R46" s="93"/>
      <c r="S46" s="93"/>
      <c r="T46" s="94"/>
      <c r="U46" s="95"/>
      <c r="V46" s="99"/>
      <c r="W46" s="93"/>
      <c r="X46" s="101"/>
      <c r="Y46" s="92"/>
      <c r="Z46" s="100"/>
      <c r="AB46" s="24"/>
    </row>
    <row r="47" spans="1:28" ht="15.75" customHeight="1">
      <c r="A47" s="76"/>
      <c r="B47" s="63" t="s">
        <v>546</v>
      </c>
      <c r="C47" s="21"/>
      <c r="D47" s="21"/>
      <c r="F47" s="64">
        <f>Input!$FA$11</f>
        <v>5352931</v>
      </c>
      <c r="G47" s="64">
        <f>Input!$FB$11</f>
        <v>0</v>
      </c>
      <c r="H47" s="64">
        <f>Input!$FC$11</f>
        <v>0</v>
      </c>
      <c r="I47" s="64">
        <f>Input!$FD$11</f>
        <v>0</v>
      </c>
      <c r="J47" s="64">
        <f>Input!$FE$11</f>
        <v>254205</v>
      </c>
      <c r="K47" s="64">
        <f>Input!$FF$11</f>
        <v>258248</v>
      </c>
      <c r="L47" s="65">
        <f t="shared" si="4"/>
        <v>5865384</v>
      </c>
      <c r="N47" s="97"/>
      <c r="O47" s="321" t="s">
        <v>636</v>
      </c>
      <c r="P47" s="98"/>
      <c r="Q47" s="93"/>
      <c r="R47" s="93"/>
      <c r="S47" s="93"/>
      <c r="T47" s="94"/>
      <c r="U47" s="95"/>
      <c r="V47" s="99"/>
      <c r="W47" s="93"/>
      <c r="X47" s="101"/>
      <c r="Y47" s="92"/>
      <c r="Z47" s="100"/>
      <c r="AB47" s="24"/>
    </row>
    <row r="48" spans="1:28" ht="15.75" customHeight="1">
      <c r="A48" s="76"/>
      <c r="B48" s="55" t="s">
        <v>547</v>
      </c>
      <c r="C48" s="21"/>
      <c r="D48" s="21"/>
      <c r="F48" s="64">
        <f>Input!$FG$11</f>
        <v>325035</v>
      </c>
      <c r="G48" s="64">
        <f>Input!$FH$11</f>
        <v>0</v>
      </c>
      <c r="H48" s="64">
        <f>Input!$FI$11</f>
        <v>0</v>
      </c>
      <c r="I48" s="64">
        <f>Input!$FJ$11</f>
        <v>0</v>
      </c>
      <c r="J48" s="64">
        <f>Input!$FK$11</f>
        <v>286186</v>
      </c>
      <c r="K48" s="64">
        <f>Input!$FL$11</f>
        <v>415022</v>
      </c>
      <c r="L48" s="65">
        <f t="shared" si="4"/>
        <v>1026243</v>
      </c>
      <c r="N48" s="97"/>
      <c r="P48" s="98"/>
      <c r="Q48" s="93"/>
      <c r="R48" s="93"/>
      <c r="S48" s="93"/>
      <c r="T48" s="94"/>
      <c r="U48" s="95"/>
      <c r="V48" s="99"/>
      <c r="W48" s="93"/>
      <c r="X48" s="101"/>
      <c r="Y48" s="92"/>
      <c r="Z48" s="100"/>
      <c r="AB48" s="24"/>
    </row>
    <row r="49" spans="1:28" s="79" customFormat="1" ht="15.75" customHeight="1">
      <c r="A49" s="76"/>
      <c r="B49" s="228" t="s">
        <v>548</v>
      </c>
      <c r="C49" s="78"/>
      <c r="D49" s="78"/>
      <c r="E49" s="20"/>
      <c r="F49" s="64">
        <f>Input!$FM$11</f>
        <v>0</v>
      </c>
      <c r="G49" s="64">
        <f>Input!$FN$11</f>
        <v>0</v>
      </c>
      <c r="H49" s="64">
        <f>Input!$FO$11</f>
        <v>0</v>
      </c>
      <c r="I49" s="64">
        <f>Input!$FP$11</f>
        <v>0</v>
      </c>
      <c r="J49" s="64">
        <f>Input!$FQ$11</f>
        <v>0</v>
      </c>
      <c r="K49" s="64">
        <f>Input!$FR$11</f>
        <v>0</v>
      </c>
      <c r="L49" s="65">
        <f t="shared" si="4"/>
        <v>0</v>
      </c>
      <c r="N49" s="102"/>
      <c r="P49" s="103"/>
      <c r="Q49" s="104"/>
      <c r="R49" s="104"/>
      <c r="S49" s="104"/>
      <c r="T49" s="105"/>
      <c r="U49" s="106"/>
      <c r="V49" s="107"/>
      <c r="W49" s="104"/>
      <c r="X49" s="108"/>
      <c r="Y49" s="109"/>
      <c r="Z49" s="110"/>
      <c r="AB49" s="83"/>
    </row>
    <row r="50" spans="1:28" s="79" customFormat="1" ht="15.75" customHeight="1">
      <c r="A50" s="76"/>
      <c r="B50" s="228" t="s">
        <v>549</v>
      </c>
      <c r="C50" s="78"/>
      <c r="D50" s="78"/>
      <c r="E50" s="20"/>
      <c r="F50" s="64">
        <f>Input!$FS$11</f>
        <v>0</v>
      </c>
      <c r="G50" s="64">
        <f>Input!$FT$11</f>
        <v>0</v>
      </c>
      <c r="H50" s="64">
        <f>Input!$FU$11</f>
        <v>0</v>
      </c>
      <c r="I50" s="64">
        <f>Input!$FV$11</f>
        <v>0</v>
      </c>
      <c r="J50" s="64">
        <f>Input!$FW$11</f>
        <v>0</v>
      </c>
      <c r="K50" s="64">
        <f>Input!$FX$11</f>
        <v>0</v>
      </c>
      <c r="L50" s="65">
        <f t="shared" si="4"/>
        <v>0</v>
      </c>
      <c r="N50" s="102"/>
      <c r="P50" s="103"/>
      <c r="Q50" s="104"/>
      <c r="R50" s="104"/>
      <c r="S50" s="104"/>
      <c r="T50" s="105"/>
      <c r="U50" s="106"/>
      <c r="V50" s="107"/>
      <c r="W50" s="104"/>
      <c r="X50" s="108"/>
      <c r="Y50" s="109"/>
      <c r="Z50" s="110"/>
      <c r="AB50" s="83"/>
    </row>
    <row r="51" spans="1:28" s="79" customFormat="1" ht="15.75" customHeight="1">
      <c r="A51" s="76"/>
      <c r="B51" s="228" t="s">
        <v>550</v>
      </c>
      <c r="C51" s="78"/>
      <c r="D51" s="78"/>
      <c r="E51" s="20"/>
      <c r="F51" s="64">
        <f>Input!$FY$11</f>
        <v>0</v>
      </c>
      <c r="G51" s="64">
        <f>Input!$FZ$11</f>
        <v>0</v>
      </c>
      <c r="H51" s="64">
        <f>Input!$GA$11</f>
        <v>0</v>
      </c>
      <c r="I51" s="64">
        <f>Input!$GB$11</f>
        <v>0</v>
      </c>
      <c r="J51" s="64">
        <f>Input!$GC$11</f>
        <v>0</v>
      </c>
      <c r="K51" s="64">
        <f>Input!$GD$11</f>
        <v>0</v>
      </c>
      <c r="L51" s="65">
        <f t="shared" si="4"/>
        <v>0</v>
      </c>
      <c r="N51" s="102"/>
      <c r="P51" s="103"/>
      <c r="Q51" s="104"/>
      <c r="R51" s="104"/>
      <c r="S51" s="104"/>
      <c r="T51" s="105"/>
      <c r="U51" s="106"/>
      <c r="V51" s="107"/>
      <c r="W51" s="104"/>
      <c r="X51" s="108"/>
      <c r="Y51" s="109"/>
      <c r="Z51" s="110"/>
      <c r="AB51" s="83"/>
    </row>
    <row r="52" spans="1:28" s="79" customFormat="1" ht="15.75" customHeight="1">
      <c r="A52" s="76"/>
      <c r="B52" s="228" t="s">
        <v>551</v>
      </c>
      <c r="C52" s="78"/>
      <c r="D52" s="78"/>
      <c r="E52" s="20"/>
      <c r="F52" s="64">
        <f>Input!$GE$11</f>
        <v>0</v>
      </c>
      <c r="G52" s="64">
        <f>Input!$GF$11</f>
        <v>0</v>
      </c>
      <c r="H52" s="64">
        <f>Input!$GG$11</f>
        <v>0</v>
      </c>
      <c r="I52" s="64">
        <f>Input!$GH$11</f>
        <v>0</v>
      </c>
      <c r="J52" s="64">
        <f>Input!$GI$11</f>
        <v>0</v>
      </c>
      <c r="K52" s="64">
        <f>Input!$GJ$11</f>
        <v>0</v>
      </c>
      <c r="L52" s="65">
        <f t="shared" si="4"/>
        <v>0</v>
      </c>
      <c r="N52" s="102"/>
      <c r="P52" s="103"/>
      <c r="Q52" s="104"/>
      <c r="R52" s="104"/>
      <c r="S52" s="104"/>
      <c r="T52" s="105"/>
      <c r="U52" s="106"/>
      <c r="V52" s="107"/>
      <c r="W52" s="104"/>
      <c r="X52" s="108"/>
      <c r="Y52" s="109"/>
      <c r="Z52" s="110"/>
      <c r="AB52" s="83"/>
    </row>
    <row r="53" spans="1:28" s="79" customFormat="1" ht="15.75" customHeight="1">
      <c r="A53" s="76"/>
      <c r="B53" s="228" t="s">
        <v>552</v>
      </c>
      <c r="C53" s="78"/>
      <c r="D53" s="78"/>
      <c r="E53" s="20"/>
      <c r="F53" s="64">
        <f>Input!$GK$11</f>
        <v>0</v>
      </c>
      <c r="G53" s="64">
        <f>Input!$GL$11</f>
        <v>0</v>
      </c>
      <c r="H53" s="64">
        <f>Input!$GM$11</f>
        <v>0</v>
      </c>
      <c r="I53" s="64">
        <f>Input!$GN$11</f>
        <v>0</v>
      </c>
      <c r="J53" s="64">
        <f>Input!$GO$11</f>
        <v>0</v>
      </c>
      <c r="K53" s="64">
        <f>Input!$GP$11</f>
        <v>0</v>
      </c>
      <c r="L53" s="65">
        <f t="shared" si="4"/>
        <v>0</v>
      </c>
      <c r="N53" s="102"/>
      <c r="P53" s="103"/>
      <c r="Q53" s="104"/>
      <c r="R53" s="104"/>
      <c r="S53" s="104"/>
      <c r="T53" s="105"/>
      <c r="U53" s="106"/>
      <c r="V53" s="107"/>
      <c r="W53" s="104"/>
      <c r="X53" s="108"/>
      <c r="Y53" s="109"/>
      <c r="Z53" s="110"/>
      <c r="AB53" s="83"/>
    </row>
    <row r="54" spans="1:28" ht="15.75" customHeight="1">
      <c r="A54" s="76"/>
      <c r="B54" s="43" t="s">
        <v>47</v>
      </c>
      <c r="C54" s="44"/>
      <c r="D54" s="44"/>
      <c r="E54" s="44"/>
      <c r="F54" s="86">
        <f>SUM(F44:F53)</f>
        <v>27091490</v>
      </c>
      <c r="G54" s="86">
        <f t="shared" ref="G54:L54" si="5">SUM(G44:G53)</f>
        <v>0</v>
      </c>
      <c r="H54" s="86">
        <f t="shared" si="5"/>
        <v>20227</v>
      </c>
      <c r="I54" s="86">
        <f t="shared" si="5"/>
        <v>0</v>
      </c>
      <c r="J54" s="86">
        <f t="shared" si="5"/>
        <v>1463466</v>
      </c>
      <c r="K54" s="86">
        <f t="shared" si="5"/>
        <v>2702454</v>
      </c>
      <c r="L54" s="86">
        <f t="shared" si="5"/>
        <v>31277637</v>
      </c>
      <c r="N54" s="97"/>
      <c r="P54" s="98"/>
      <c r="Q54" s="98"/>
      <c r="R54" s="98"/>
      <c r="S54" s="50">
        <f>L54-INT(L54)</f>
        <v>0</v>
      </c>
      <c r="T54" s="94"/>
      <c r="U54" s="95"/>
      <c r="V54" s="99"/>
      <c r="W54" s="99"/>
      <c r="X54" s="99"/>
      <c r="Y54" s="95"/>
      <c r="Z54" s="95"/>
      <c r="AB54" s="44">
        <f>SUM(AB44:AB48)</f>
        <v>19028810</v>
      </c>
    </row>
    <row r="55" spans="1:28" ht="15.75" customHeight="1">
      <c r="A55" s="76"/>
      <c r="C55" s="38"/>
      <c r="D55" s="38"/>
      <c r="E55" s="38"/>
      <c r="F55" s="38"/>
      <c r="G55" s="38"/>
      <c r="H55" s="38"/>
      <c r="I55" s="38"/>
      <c r="J55" s="38"/>
      <c r="K55" s="38"/>
      <c r="L55" s="38"/>
      <c r="N55" s="97"/>
      <c r="P55" s="98"/>
      <c r="Q55" s="98"/>
      <c r="R55" s="98"/>
      <c r="S55" s="98"/>
      <c r="T55" s="94"/>
      <c r="U55" s="95"/>
      <c r="V55" s="99"/>
      <c r="W55" s="99"/>
      <c r="X55" s="99"/>
      <c r="Y55" s="95"/>
      <c r="Z55" s="95"/>
    </row>
    <row r="56" spans="1:28" ht="15.75" customHeight="1">
      <c r="A56" s="76"/>
      <c r="L56" s="6" t="s">
        <v>48</v>
      </c>
      <c r="N56" s="111"/>
      <c r="Q56" s="112"/>
      <c r="R56" s="112"/>
      <c r="S56" s="112"/>
      <c r="W56" s="112"/>
      <c r="X56" s="112"/>
      <c r="Y56" s="112"/>
      <c r="Z56" s="112"/>
    </row>
    <row r="57" spans="1:28" ht="15.75" customHeight="1">
      <c r="A57" s="76"/>
      <c r="N57" s="113"/>
    </row>
    <row r="58" spans="1:28" s="112" customFormat="1" ht="15.75" customHeight="1">
      <c r="A58" s="76"/>
      <c r="N58" s="113"/>
      <c r="O58" s="9"/>
      <c r="P58" s="9"/>
      <c r="Q58" s="9"/>
      <c r="R58" s="9"/>
      <c r="S58" s="9"/>
      <c r="T58" s="9"/>
      <c r="U58" s="9"/>
      <c r="V58" s="9"/>
      <c r="W58" s="9"/>
      <c r="X58" s="9"/>
      <c r="Y58" s="9"/>
      <c r="Z58" s="9"/>
    </row>
    <row r="59" spans="1:28" s="112" customFormat="1" ht="15.75" customHeight="1">
      <c r="A59" s="76"/>
      <c r="N59" s="113"/>
      <c r="O59" s="9"/>
      <c r="P59" s="9"/>
      <c r="Q59" s="9"/>
      <c r="R59" s="9"/>
      <c r="S59" s="9"/>
      <c r="T59" s="9"/>
      <c r="U59" s="9"/>
      <c r="V59" s="9"/>
      <c r="W59" s="9"/>
      <c r="X59" s="9"/>
      <c r="Y59" s="9"/>
      <c r="Z59" s="9"/>
    </row>
    <row r="60" spans="1:28" s="112" customFormat="1" ht="15.75" customHeight="1">
      <c r="A60" s="76"/>
      <c r="N60" s="113"/>
      <c r="O60" s="9"/>
      <c r="P60" s="9"/>
      <c r="Q60" s="9"/>
      <c r="R60" s="9"/>
      <c r="S60" s="9"/>
      <c r="T60" s="9"/>
      <c r="U60" s="9"/>
      <c r="V60" s="9"/>
      <c r="W60" s="9"/>
      <c r="X60" s="9"/>
      <c r="Y60" s="9"/>
      <c r="Z60" s="9"/>
    </row>
    <row r="61" spans="1:28" s="79" customFormat="1" ht="15.75" customHeight="1">
      <c r="A61" s="76"/>
      <c r="B61" s="20"/>
      <c r="C61" s="20"/>
      <c r="D61" s="20"/>
      <c r="E61" s="20"/>
      <c r="F61" s="114">
        <f t="shared" ref="F61:L61" si="6">F54+F41</f>
        <v>155931092</v>
      </c>
      <c r="G61" s="114">
        <f t="shared" si="6"/>
        <v>904248</v>
      </c>
      <c r="H61" s="114">
        <f t="shared" si="6"/>
        <v>790666</v>
      </c>
      <c r="I61" s="114">
        <f t="shared" si="6"/>
        <v>7832111</v>
      </c>
      <c r="J61" s="114">
        <f t="shared" si="6"/>
        <v>5128653</v>
      </c>
      <c r="K61" s="114">
        <f t="shared" si="6"/>
        <v>17515871</v>
      </c>
      <c r="L61" s="114">
        <f t="shared" si="6"/>
        <v>188102641</v>
      </c>
      <c r="N61" s="20"/>
    </row>
    <row r="62" spans="1:28" s="79" customFormat="1" ht="15.75" customHeight="1">
      <c r="A62" s="76"/>
      <c r="B62" s="20"/>
      <c r="C62" s="20"/>
      <c r="D62" s="20"/>
      <c r="E62" s="20"/>
      <c r="F62" s="20"/>
      <c r="G62" s="20"/>
      <c r="H62" s="20"/>
      <c r="I62" s="20"/>
      <c r="J62" s="20"/>
      <c r="K62" s="20"/>
      <c r="L62" s="114">
        <f>SUM(K8:K9)+SUM(K12:K16)</f>
        <v>156825004</v>
      </c>
      <c r="N62" s="20"/>
    </row>
    <row r="63" spans="1:28" s="79" customFormat="1" ht="15.75" customHeight="1">
      <c r="A63" s="76"/>
      <c r="B63" s="20"/>
      <c r="C63" s="20"/>
      <c r="D63" s="20"/>
      <c r="E63" s="20"/>
      <c r="F63" s="20"/>
      <c r="G63" s="20"/>
      <c r="H63" s="20"/>
      <c r="I63" s="20"/>
      <c r="J63" s="20"/>
      <c r="K63" s="20"/>
      <c r="L63" s="114">
        <f>SUM(L61:L62)</f>
        <v>344927645</v>
      </c>
      <c r="N63" s="20"/>
    </row>
    <row r="65" spans="12:12" ht="15.75" customHeight="1">
      <c r="L65" s="3" t="str">
        <f>IF($L$63+L64&lt;&gt;Input!$D$11,"Error","Balanced")</f>
        <v>Balanced</v>
      </c>
    </row>
  </sheetData>
  <mergeCells count="3">
    <mergeCell ref="B6:L6"/>
    <mergeCell ref="H10:J10"/>
    <mergeCell ref="F18:J18"/>
  </mergeCells>
  <conditionalFormatting sqref="O25:O26">
    <cfRule type="expression" dxfId="26" priority="3">
      <formula>$O$26&lt;&gt;0</formula>
    </cfRule>
  </conditionalFormatting>
  <conditionalFormatting sqref="H10:J10">
    <cfRule type="expression" dxfId="25" priority="1">
      <formula>$O$10&lt;&gt;0</formula>
    </cfRule>
  </conditionalFormatting>
  <conditionalFormatting sqref="F18:J18">
    <cfRule type="expression" dxfId="24" priority="5">
      <formula>OR($S$17&lt;&gt;0,$S$41&lt;&gt;0,$S$54&lt;&gt;0)</formula>
    </cfRule>
  </conditionalFormatting>
  <hyperlinks>
    <hyperlink ref="N1" location="Index!A1" display="Return to Index"/>
  </hyperlinks>
  <printOptions horizontalCentered="1"/>
  <pageMargins left="0.25" right="0.25" top="0.25" bottom="0.25" header="0.5" footer="0.5"/>
  <pageSetup scale="60" pageOrder="overThenDown" orientation="landscape" r:id="rId1"/>
  <headerFooter alignWithMargins="0"/>
  <colBreaks count="1" manualBreakCount="1">
    <brk id="12" max="80" man="1"/>
  </col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pageSetUpPr fitToPage="1"/>
  </sheetPr>
  <dimension ref="A1:AB65"/>
  <sheetViews>
    <sheetView showGridLines="0" zoomScale="75" zoomScaleNormal="75" workbookViewId="0">
      <pane xSplit="4" ySplit="3" topLeftCell="J8" activePane="bottomRight" state="frozen"/>
      <selection pane="topRight" activeCell="E1" sqref="E1"/>
      <selection pane="bottomLeft" activeCell="A4" sqref="A4"/>
      <selection pane="bottomRight" activeCell="P43" sqref="P43"/>
    </sheetView>
  </sheetViews>
  <sheetFormatPr defaultRowHeight="15.75" customHeight="1"/>
  <cols>
    <col min="1" max="1" width="4.7109375" style="1" customWidth="1"/>
    <col min="2" max="2" width="60.140625" style="6" customWidth="1"/>
    <col min="3" max="4" width="3.42578125" style="6" customWidth="1"/>
    <col min="5" max="5" width="10.85546875" style="6" customWidth="1"/>
    <col min="6" max="7" width="16" style="6" customWidth="1"/>
    <col min="8" max="8" width="17.42578125" style="6" customWidth="1"/>
    <col min="9" max="9" width="15.5703125" style="6" customWidth="1"/>
    <col min="10" max="10" width="16" style="6" customWidth="1"/>
    <col min="11" max="11" width="20.28515625" style="6" bestFit="1" customWidth="1"/>
    <col min="12" max="12" width="18.7109375" style="6" customWidth="1"/>
    <col min="13" max="13" width="2.28515625" style="9" customWidth="1"/>
    <col min="14" max="14" width="18.5703125" style="6" customWidth="1"/>
    <col min="15" max="15" width="19.42578125" style="9" customWidth="1"/>
    <col min="16" max="16" width="20.85546875" style="9" customWidth="1"/>
    <col min="17" max="17" width="1.140625" style="9" customWidth="1"/>
    <col min="18" max="19" width="14.42578125" style="9" customWidth="1"/>
    <col min="20" max="20" width="12.7109375" style="9" customWidth="1"/>
    <col min="21" max="21" width="10.7109375" style="9" customWidth="1"/>
    <col min="22" max="22" width="16.85546875" style="9" customWidth="1"/>
    <col min="23" max="23" width="1.85546875" style="9" customWidth="1"/>
    <col min="24" max="24" width="26.42578125" style="9" customWidth="1"/>
    <col min="25" max="25" width="17" style="9" customWidth="1"/>
    <col min="26" max="26" width="16.7109375" style="9" customWidth="1"/>
    <col min="27" max="27" width="18.85546875" style="9" customWidth="1"/>
    <col min="28" max="28" width="22.28515625" style="9" customWidth="1"/>
    <col min="29" max="16384" width="9.140625" style="9"/>
  </cols>
  <sheetData>
    <row r="1" spans="2:28" s="1" customFormat="1" ht="18" customHeight="1" thickBot="1">
      <c r="B1" s="2" t="s">
        <v>494</v>
      </c>
      <c r="C1" s="3"/>
      <c r="D1" s="3"/>
      <c r="E1" s="3"/>
      <c r="F1" s="3"/>
      <c r="G1" s="3"/>
      <c r="H1" s="3"/>
      <c r="I1" s="4"/>
      <c r="J1" s="3"/>
      <c r="K1" s="3"/>
      <c r="L1" s="3"/>
      <c r="M1" s="3"/>
      <c r="N1" s="337" t="s">
        <v>579</v>
      </c>
      <c r="AA1" s="3">
        <v>12</v>
      </c>
      <c r="AB1" s="3">
        <v>13</v>
      </c>
    </row>
    <row r="2" spans="2:28" ht="15.75" customHeight="1">
      <c r="B2" s="2" t="str">
        <f>Input!$B$5</f>
        <v>For the Year Ended August 31, 2010</v>
      </c>
      <c r="C2" s="5"/>
      <c r="D2" s="5"/>
      <c r="E2" s="5"/>
      <c r="G2" s="5"/>
      <c r="H2" s="5"/>
      <c r="I2" s="7"/>
      <c r="J2" s="5"/>
      <c r="K2" s="5"/>
      <c r="L2" s="8"/>
      <c r="N2" s="8"/>
      <c r="O2" s="10"/>
    </row>
    <row r="3" spans="2:28" ht="15.75" customHeight="1">
      <c r="B3" s="2" t="str">
        <f>Input!$B$6</f>
        <v>Source: FY 2010 Research Expenditure Survey</v>
      </c>
      <c r="C3" s="5"/>
      <c r="D3" s="5"/>
      <c r="E3" s="5"/>
      <c r="F3" s="5"/>
      <c r="G3" s="5"/>
      <c r="H3" s="5"/>
      <c r="I3" s="7"/>
      <c r="J3" s="5"/>
      <c r="K3" s="5"/>
      <c r="L3" s="8"/>
      <c r="N3" s="8"/>
    </row>
    <row r="4" spans="2:28" ht="15.75" customHeight="1">
      <c r="B4" s="11"/>
      <c r="C4" s="5"/>
      <c r="D4" s="5"/>
      <c r="E4" s="5"/>
      <c r="F4" s="5"/>
      <c r="G4" s="5"/>
      <c r="H4" s="5"/>
      <c r="I4" s="7"/>
      <c r="J4" s="5"/>
      <c r="K4" s="5"/>
      <c r="L4" s="8"/>
      <c r="N4" s="10" t="s">
        <v>0</v>
      </c>
      <c r="P4" s="12"/>
    </row>
    <row r="5" spans="2:28" ht="15.75" customHeight="1">
      <c r="L5" s="3"/>
      <c r="N5" s="3"/>
    </row>
    <row r="6" spans="2:28" ht="15.75" customHeight="1">
      <c r="B6" s="453" t="str">
        <f>Input!$B$7</f>
        <v>FY 2010</v>
      </c>
      <c r="C6" s="454"/>
      <c r="D6" s="454"/>
      <c r="E6" s="454"/>
      <c r="F6" s="454"/>
      <c r="G6" s="454"/>
      <c r="H6" s="454"/>
      <c r="I6" s="454"/>
      <c r="J6" s="454"/>
      <c r="K6" s="454"/>
      <c r="L6" s="454"/>
      <c r="N6" s="13"/>
    </row>
    <row r="7" spans="2:28" ht="28.5" customHeight="1">
      <c r="B7" s="14" t="s">
        <v>2</v>
      </c>
      <c r="C7" s="15"/>
      <c r="D7" s="15"/>
      <c r="E7" s="15"/>
      <c r="F7" s="15"/>
      <c r="G7" s="15"/>
      <c r="H7" s="15"/>
      <c r="I7" s="15"/>
      <c r="J7" s="15"/>
      <c r="K7" s="16" t="s">
        <v>3</v>
      </c>
      <c r="L7" s="16" t="s">
        <v>4</v>
      </c>
      <c r="N7" s="17"/>
      <c r="O7" s="18"/>
      <c r="P7" s="19"/>
      <c r="Q7" s="19"/>
      <c r="R7" s="19"/>
      <c r="S7" s="19"/>
      <c r="T7" s="19"/>
    </row>
    <row r="8" spans="2:28" ht="15.75" customHeight="1">
      <c r="B8" s="20" t="s">
        <v>5</v>
      </c>
      <c r="C8" s="21"/>
      <c r="D8" s="21"/>
      <c r="E8" s="21"/>
      <c r="F8" s="21"/>
      <c r="G8" s="21"/>
      <c r="H8" s="21"/>
      <c r="I8" s="21"/>
      <c r="J8" s="21"/>
      <c r="K8" s="22">
        <f>L8</f>
        <v>194367928</v>
      </c>
      <c r="L8" s="23">
        <f>Input!$H$12</f>
        <v>194367928</v>
      </c>
      <c r="N8" s="115"/>
      <c r="O8" s="116"/>
      <c r="P8" s="19"/>
      <c r="Q8" s="19"/>
      <c r="R8" s="19"/>
      <c r="S8" s="19"/>
      <c r="T8" s="19"/>
      <c r="AB8" s="24">
        <f>SUM(C8:L8)</f>
        <v>388735856</v>
      </c>
    </row>
    <row r="9" spans="2:28" ht="15.75" customHeight="1">
      <c r="B9" s="20" t="s">
        <v>7</v>
      </c>
      <c r="C9" s="21"/>
      <c r="D9" s="21"/>
      <c r="E9" s="21"/>
      <c r="F9" s="21"/>
      <c r="G9" s="21"/>
      <c r="H9" s="21"/>
      <c r="I9" s="21"/>
      <c r="J9" s="21"/>
      <c r="K9" s="25">
        <f>Input!$F$12</f>
        <v>0</v>
      </c>
      <c r="L9" s="26"/>
      <c r="N9" s="115"/>
      <c r="O9" s="28"/>
      <c r="P9" s="19"/>
      <c r="Q9" s="19"/>
      <c r="R9" s="19"/>
      <c r="S9" s="19"/>
      <c r="T9" s="19"/>
      <c r="AB9" s="24">
        <f>SUM(C9:L9)</f>
        <v>0</v>
      </c>
    </row>
    <row r="10" spans="2:28" ht="15.75" customHeight="1">
      <c r="B10" s="27" t="s">
        <v>8</v>
      </c>
      <c r="C10" s="28"/>
      <c r="D10" s="21"/>
      <c r="E10" s="21"/>
      <c r="F10" s="9"/>
      <c r="G10" s="30"/>
      <c r="H10" s="455" t="str">
        <f>IF(O10&lt;&gt;0,"Out of Balance with SRECNA","")</f>
        <v/>
      </c>
      <c r="I10" s="455"/>
      <c r="J10" s="456"/>
      <c r="K10" s="31">
        <f>SUM(K8:K9)</f>
        <v>194367928</v>
      </c>
      <c r="L10" s="32"/>
      <c r="N10" s="117"/>
      <c r="O10" s="118"/>
      <c r="P10" s="19"/>
      <c r="Q10" s="19"/>
      <c r="R10" s="19"/>
      <c r="S10" s="19"/>
      <c r="T10" s="19"/>
      <c r="AB10" s="24"/>
    </row>
    <row r="11" spans="2:28" ht="15.75" customHeight="1">
      <c r="B11" s="20"/>
      <c r="C11" s="21"/>
      <c r="D11" s="21"/>
      <c r="E11" s="21"/>
      <c r="F11" s="9"/>
      <c r="G11" s="9"/>
      <c r="H11" s="9"/>
      <c r="I11" s="9"/>
      <c r="J11" s="9"/>
      <c r="K11" s="33"/>
      <c r="L11" s="26"/>
      <c r="N11" s="17"/>
      <c r="O11" s="95"/>
      <c r="P11" s="34"/>
      <c r="Q11" s="34"/>
      <c r="R11" s="34"/>
      <c r="S11" s="34"/>
      <c r="T11" s="35"/>
      <c r="AB11" s="24">
        <f t="shared" ref="AB11:AB12" si="0">SUM(C10:L10)</f>
        <v>194367928</v>
      </c>
    </row>
    <row r="12" spans="2:28" ht="15.75" customHeight="1">
      <c r="B12" s="20" t="s">
        <v>9</v>
      </c>
      <c r="C12" s="21"/>
      <c r="D12" s="21"/>
      <c r="E12" s="21"/>
      <c r="F12" s="21"/>
      <c r="G12" s="21"/>
      <c r="H12" s="21"/>
      <c r="I12" s="21"/>
      <c r="J12" s="21"/>
      <c r="K12" s="36">
        <f>Input!$G$12</f>
        <v>0</v>
      </c>
      <c r="L12" s="26"/>
      <c r="N12" s="37"/>
      <c r="O12" s="19"/>
      <c r="P12" s="19"/>
      <c r="Q12" s="19"/>
      <c r="R12" s="19"/>
      <c r="S12" s="19"/>
      <c r="T12" s="19"/>
      <c r="AB12" s="24">
        <f t="shared" si="0"/>
        <v>0</v>
      </c>
    </row>
    <row r="13" spans="2:28" ht="15.75" customHeight="1">
      <c r="B13" s="20" t="s">
        <v>10</v>
      </c>
      <c r="C13" s="21"/>
      <c r="D13" s="21"/>
      <c r="E13" s="21"/>
      <c r="F13" s="21"/>
      <c r="G13" s="21"/>
      <c r="H13" s="21"/>
      <c r="I13" s="21"/>
      <c r="J13" s="21"/>
      <c r="K13" s="33">
        <f>L13</f>
        <v>42189454</v>
      </c>
      <c r="L13" s="36">
        <f>Input!$I$12</f>
        <v>42189454</v>
      </c>
      <c r="N13" s="37"/>
      <c r="O13" s="119"/>
      <c r="AB13" s="24">
        <f>SUM(C13:L13)</f>
        <v>84378908</v>
      </c>
    </row>
    <row r="14" spans="2:28" ht="15.75" customHeight="1">
      <c r="B14" s="20" t="s">
        <v>11</v>
      </c>
      <c r="C14" s="21"/>
      <c r="D14" s="21"/>
      <c r="E14" s="21"/>
      <c r="F14" s="21"/>
      <c r="G14" s="21"/>
      <c r="H14" s="21"/>
      <c r="I14" s="21"/>
      <c r="J14" s="21"/>
      <c r="K14" s="33">
        <f>L14</f>
        <v>4215170</v>
      </c>
      <c r="L14" s="36">
        <f>Input!$J$12</f>
        <v>4215170</v>
      </c>
      <c r="N14" s="17"/>
      <c r="O14" s="28"/>
      <c r="P14" s="19"/>
      <c r="Q14" s="19"/>
      <c r="R14" s="19"/>
      <c r="S14" s="19"/>
      <c r="T14" s="39"/>
      <c r="U14" s="19"/>
      <c r="V14" s="19"/>
      <c r="W14" s="19"/>
      <c r="X14" s="19"/>
      <c r="Y14" s="19"/>
      <c r="Z14" s="19"/>
      <c r="AA14" s="19"/>
      <c r="AB14" s="24">
        <f>SUM(C14:L14)</f>
        <v>8430340</v>
      </c>
    </row>
    <row r="15" spans="2:28" ht="15.75" customHeight="1">
      <c r="B15" s="20" t="s">
        <v>12</v>
      </c>
      <c r="C15" s="21"/>
      <c r="D15" s="21"/>
      <c r="E15" s="21"/>
      <c r="F15" s="21"/>
      <c r="G15" s="21"/>
      <c r="H15" s="21"/>
      <c r="I15" s="21"/>
      <c r="J15" s="21"/>
      <c r="K15" s="40">
        <f>L15</f>
        <v>0</v>
      </c>
      <c r="L15" s="36">
        <f>Input!$K$12</f>
        <v>0</v>
      </c>
      <c r="N15" s="19"/>
      <c r="O15" s="19"/>
      <c r="P15" s="19"/>
      <c r="Q15" s="19"/>
      <c r="R15" s="19"/>
      <c r="S15" s="19"/>
      <c r="T15" s="19"/>
      <c r="U15" s="19"/>
      <c r="V15" s="19"/>
      <c r="W15" s="41"/>
      <c r="X15" s="19"/>
      <c r="Y15" s="19"/>
      <c r="Z15" s="19"/>
      <c r="AA15" s="19"/>
      <c r="AB15" s="24">
        <f>SUM(C15:L15)</f>
        <v>0</v>
      </c>
    </row>
    <row r="16" spans="2:28" ht="15.75" customHeight="1">
      <c r="B16" s="20" t="s">
        <v>13</v>
      </c>
      <c r="C16" s="21"/>
      <c r="D16" s="21"/>
      <c r="E16" s="21"/>
      <c r="F16" s="21"/>
      <c r="G16" s="21"/>
      <c r="H16" s="21"/>
      <c r="I16" s="21"/>
      <c r="J16" s="21"/>
      <c r="K16" s="40">
        <f>L16</f>
        <v>0</v>
      </c>
      <c r="L16" s="36">
        <f>Input!$L$12</f>
        <v>0</v>
      </c>
      <c r="N16" s="28"/>
      <c r="O16" s="42"/>
      <c r="P16" s="19"/>
      <c r="Q16" s="19"/>
      <c r="R16" s="19"/>
      <c r="S16" s="19"/>
      <c r="T16" s="19"/>
      <c r="U16" s="19"/>
      <c r="V16" s="19"/>
      <c r="W16" s="19"/>
      <c r="X16" s="19"/>
      <c r="Y16" s="19"/>
      <c r="Z16" s="19"/>
      <c r="AA16" s="19"/>
      <c r="AB16" s="24">
        <f>SUM(C16:L16)</f>
        <v>0</v>
      </c>
    </row>
    <row r="17" spans="2:28" ht="15.75" customHeight="1">
      <c r="B17" s="43" t="s">
        <v>14</v>
      </c>
      <c r="C17" s="44"/>
      <c r="D17" s="44"/>
      <c r="E17" s="44"/>
      <c r="F17" s="44"/>
      <c r="G17" s="44"/>
      <c r="H17" s="44"/>
      <c r="I17" s="44"/>
      <c r="J17" s="44"/>
      <c r="K17" s="45">
        <f>SUM(K10:K16)</f>
        <v>240772552</v>
      </c>
      <c r="L17" s="46">
        <f>SUM(L8:L16)</f>
        <v>240772552</v>
      </c>
      <c r="N17" s="47"/>
      <c r="O17" s="48"/>
      <c r="P17" s="48"/>
      <c r="Q17" s="48"/>
      <c r="R17" s="49"/>
      <c r="S17" s="50">
        <f>L17-INT(L17)</f>
        <v>0</v>
      </c>
      <c r="T17" s="49">
        <v>0</v>
      </c>
      <c r="U17" s="48">
        <v>0</v>
      </c>
      <c r="V17" s="48">
        <v>0</v>
      </c>
      <c r="W17" s="48"/>
      <c r="X17" s="48"/>
      <c r="Y17" s="51"/>
      <c r="Z17" s="41"/>
      <c r="AA17" s="19"/>
      <c r="AB17" s="44" t="e">
        <f>#REF!+#REF!+#REF!+#REF!</f>
        <v>#REF!</v>
      </c>
    </row>
    <row r="18" spans="2:28" ht="15.75" customHeight="1">
      <c r="C18" s="38"/>
      <c r="D18" s="38"/>
      <c r="E18" s="38"/>
      <c r="F18" s="457" t="str">
        <f>IF(OR(S17&lt;&gt;0,S41&lt;&gt;0,S54&lt;&gt;0),"Do not Enter Cents - Whole Dollars Only","")</f>
        <v/>
      </c>
      <c r="G18" s="457"/>
      <c r="H18" s="457"/>
      <c r="I18" s="457"/>
      <c r="J18" s="457"/>
      <c r="K18" s="38"/>
      <c r="L18" s="38"/>
      <c r="N18" s="47"/>
      <c r="O18" s="48"/>
      <c r="P18" s="48"/>
      <c r="Q18" s="48"/>
      <c r="R18" s="49"/>
      <c r="S18" s="52"/>
      <c r="T18" s="49"/>
      <c r="U18" s="48"/>
      <c r="V18" s="48"/>
      <c r="W18" s="48"/>
      <c r="X18" s="48"/>
      <c r="Y18" s="51"/>
      <c r="Z18" s="41"/>
      <c r="AA18" s="19"/>
    </row>
    <row r="19" spans="2:28" ht="33" customHeight="1">
      <c r="B19" s="14" t="s">
        <v>15</v>
      </c>
      <c r="C19" s="53"/>
      <c r="D19" s="53"/>
      <c r="E19" s="53"/>
      <c r="F19" s="54" t="s">
        <v>16</v>
      </c>
      <c r="G19" s="54" t="s">
        <v>17</v>
      </c>
      <c r="H19" s="54" t="s">
        <v>18</v>
      </c>
      <c r="I19" s="54" t="s">
        <v>19</v>
      </c>
      <c r="J19" s="54" t="s">
        <v>20</v>
      </c>
      <c r="K19" s="54" t="s">
        <v>21</v>
      </c>
      <c r="L19" s="54" t="s">
        <v>22</v>
      </c>
      <c r="N19" s="47"/>
      <c r="O19" s="48"/>
      <c r="P19" s="48"/>
      <c r="Q19" s="48"/>
      <c r="R19" s="49"/>
      <c r="S19" s="52"/>
      <c r="T19" s="49"/>
      <c r="U19" s="48"/>
      <c r="V19" s="48"/>
      <c r="W19" s="48"/>
      <c r="X19" s="48"/>
      <c r="Y19" s="51"/>
      <c r="Z19" s="41"/>
      <c r="AA19" s="19"/>
    </row>
    <row r="20" spans="2:28" ht="15.75" customHeight="1">
      <c r="B20" s="55" t="s">
        <v>23</v>
      </c>
      <c r="C20" s="21"/>
      <c r="D20" s="21"/>
      <c r="F20" s="56">
        <f>Input!$M$12</f>
        <v>0</v>
      </c>
      <c r="G20" s="56">
        <f>Input!$N$12</f>
        <v>0</v>
      </c>
      <c r="H20" s="56">
        <f>Input!$O$12</f>
        <v>0</v>
      </c>
      <c r="I20" s="56">
        <f>Input!$P$12</f>
        <v>0</v>
      </c>
      <c r="J20" s="56">
        <f>Input!$Q$12</f>
        <v>0</v>
      </c>
      <c r="K20" s="56">
        <f>Input!$R$12</f>
        <v>0</v>
      </c>
      <c r="L20" s="57">
        <f>SUM(F20:K20)</f>
        <v>0</v>
      </c>
      <c r="N20" s="58"/>
      <c r="O20" s="59"/>
      <c r="P20" s="60"/>
      <c r="Q20" s="61"/>
      <c r="R20" s="58"/>
      <c r="S20" s="58"/>
      <c r="T20" s="58"/>
      <c r="U20" s="61"/>
      <c r="V20" s="58"/>
      <c r="W20" s="61"/>
      <c r="X20" s="62"/>
      <c r="Y20" s="59"/>
      <c r="Z20" s="61"/>
      <c r="AA20" s="19"/>
      <c r="AB20" s="24">
        <f t="shared" ref="AB20:AB25" si="1">SUM(C20:L20)</f>
        <v>0</v>
      </c>
    </row>
    <row r="21" spans="2:28" ht="15.75" customHeight="1">
      <c r="B21" s="63" t="s">
        <v>24</v>
      </c>
      <c r="C21" s="21"/>
      <c r="D21" s="21"/>
      <c r="F21" s="64">
        <f>Input!$S$12</f>
        <v>35368893</v>
      </c>
      <c r="G21" s="64">
        <f>Input!$T$12</f>
        <v>1162935</v>
      </c>
      <c r="H21" s="64">
        <f>Input!$U$12</f>
        <v>388260</v>
      </c>
      <c r="I21" s="64">
        <f>Input!$V$12</f>
        <v>1126511</v>
      </c>
      <c r="J21" s="64">
        <f>Input!$W$12</f>
        <v>399375</v>
      </c>
      <c r="K21" s="64">
        <f>Input!$X$12</f>
        <v>2807980</v>
      </c>
      <c r="L21" s="65">
        <f t="shared" ref="L21:L40" si="2">SUM(F21:K21)</f>
        <v>41253954</v>
      </c>
      <c r="N21" s="66"/>
      <c r="O21" s="67"/>
      <c r="P21" s="68"/>
      <c r="Q21" s="69"/>
      <c r="R21" s="70"/>
      <c r="S21" s="70"/>
      <c r="T21" s="70"/>
      <c r="U21" s="69"/>
      <c r="V21" s="71"/>
      <c r="W21" s="61"/>
      <c r="X21" s="62"/>
      <c r="Y21" s="67"/>
      <c r="Z21" s="69"/>
      <c r="AA21" s="19"/>
      <c r="AB21" s="24">
        <f t="shared" si="1"/>
        <v>82507908</v>
      </c>
    </row>
    <row r="22" spans="2:28" ht="15.75" customHeight="1">
      <c r="B22" s="55" t="s">
        <v>25</v>
      </c>
      <c r="C22" s="21"/>
      <c r="D22" s="21"/>
      <c r="F22" s="64">
        <f>Input!$Y$12</f>
        <v>0</v>
      </c>
      <c r="G22" s="64">
        <f>Input!$Z$12</f>
        <v>0</v>
      </c>
      <c r="H22" s="64">
        <f>Input!$AA$12</f>
        <v>0</v>
      </c>
      <c r="I22" s="64">
        <f>Input!$AB$12</f>
        <v>0</v>
      </c>
      <c r="J22" s="64">
        <f>Input!$AC$12</f>
        <v>0</v>
      </c>
      <c r="K22" s="64">
        <f>Input!$AD$12</f>
        <v>0</v>
      </c>
      <c r="L22" s="65">
        <f t="shared" si="2"/>
        <v>0</v>
      </c>
      <c r="N22" s="66"/>
      <c r="O22" s="67"/>
      <c r="P22" s="72"/>
      <c r="Q22" s="69"/>
      <c r="R22" s="70"/>
      <c r="S22" s="70"/>
      <c r="T22" s="70"/>
      <c r="U22" s="69"/>
      <c r="V22" s="70"/>
      <c r="W22" s="69"/>
      <c r="X22" s="62"/>
      <c r="Y22" s="67"/>
      <c r="Z22" s="69"/>
      <c r="AA22" s="19"/>
      <c r="AB22" s="24">
        <f t="shared" si="1"/>
        <v>0</v>
      </c>
    </row>
    <row r="23" spans="2:28" ht="15.75" customHeight="1">
      <c r="B23" s="55" t="s">
        <v>26</v>
      </c>
      <c r="C23" s="21"/>
      <c r="D23" s="21"/>
      <c r="F23" s="64">
        <f>Input!$AE$12</f>
        <v>0</v>
      </c>
      <c r="G23" s="64">
        <f>Input!$AF$12</f>
        <v>0</v>
      </c>
      <c r="H23" s="64">
        <f>Input!$AG$12</f>
        <v>0</v>
      </c>
      <c r="I23" s="64">
        <f>Input!$AH$12</f>
        <v>0</v>
      </c>
      <c r="J23" s="64">
        <f>Input!$AI$12</f>
        <v>0</v>
      </c>
      <c r="K23" s="64">
        <f>Input!$AJ$12</f>
        <v>0</v>
      </c>
      <c r="L23" s="65">
        <f t="shared" si="2"/>
        <v>0</v>
      </c>
      <c r="N23" s="66"/>
      <c r="O23" s="67"/>
      <c r="P23" s="68"/>
      <c r="Q23" s="69"/>
      <c r="R23" s="70"/>
      <c r="S23" s="70"/>
      <c r="T23" s="70"/>
      <c r="U23" s="69"/>
      <c r="V23" s="70"/>
      <c r="W23" s="69"/>
      <c r="X23" s="62"/>
      <c r="Y23" s="67"/>
      <c r="Z23" s="69"/>
      <c r="AA23" s="19"/>
      <c r="AB23" s="24">
        <f t="shared" si="1"/>
        <v>0</v>
      </c>
    </row>
    <row r="24" spans="2:28" ht="15.75" customHeight="1">
      <c r="B24" s="55" t="s">
        <v>27</v>
      </c>
      <c r="C24" s="21"/>
      <c r="D24" s="21"/>
      <c r="F24" s="64">
        <f>Input!$AK$12</f>
        <v>0</v>
      </c>
      <c r="G24" s="64">
        <f>Input!$AL$12</f>
        <v>0</v>
      </c>
      <c r="H24" s="64">
        <f>Input!$AM$12</f>
        <v>0</v>
      </c>
      <c r="I24" s="64">
        <f>Input!$AN$12</f>
        <v>0</v>
      </c>
      <c r="J24" s="64">
        <f>Input!$AO$12</f>
        <v>0</v>
      </c>
      <c r="K24" s="64">
        <f>Input!$AP$12</f>
        <v>0</v>
      </c>
      <c r="L24" s="65">
        <f t="shared" si="2"/>
        <v>0</v>
      </c>
      <c r="N24" s="66"/>
      <c r="O24" s="67"/>
      <c r="P24" s="68"/>
      <c r="Q24" s="69"/>
      <c r="R24" s="70"/>
      <c r="S24" s="70"/>
      <c r="T24" s="70"/>
      <c r="U24" s="69"/>
      <c r="V24" s="70"/>
      <c r="W24" s="69"/>
      <c r="X24" s="62"/>
      <c r="Y24" s="67"/>
      <c r="Z24" s="69"/>
      <c r="AA24" s="19"/>
      <c r="AB24" s="24">
        <f t="shared" si="1"/>
        <v>0</v>
      </c>
    </row>
    <row r="25" spans="2:28" ht="15.75" customHeight="1">
      <c r="B25" s="55" t="s">
        <v>28</v>
      </c>
      <c r="C25" s="21"/>
      <c r="D25" s="21"/>
      <c r="F25" s="64">
        <f>Input!$AQ$12</f>
        <v>0</v>
      </c>
      <c r="G25" s="64">
        <f>Input!$AR$12</f>
        <v>0</v>
      </c>
      <c r="H25" s="64">
        <f>Input!$AS$12</f>
        <v>0</v>
      </c>
      <c r="I25" s="64">
        <f>Input!$AT$12</f>
        <v>0</v>
      </c>
      <c r="J25" s="64">
        <f>Input!$AU$12</f>
        <v>0</v>
      </c>
      <c r="K25" s="64">
        <f>Input!$AV$12</f>
        <v>0</v>
      </c>
      <c r="L25" s="65">
        <f t="shared" si="2"/>
        <v>0</v>
      </c>
      <c r="N25" s="66"/>
      <c r="O25" s="73" t="s">
        <v>6</v>
      </c>
      <c r="P25" s="68"/>
      <c r="Q25" s="69"/>
      <c r="R25" s="70"/>
      <c r="S25" s="70"/>
      <c r="T25" s="70"/>
      <c r="U25" s="69"/>
      <c r="V25" s="70"/>
      <c r="W25" s="69"/>
      <c r="X25" s="62"/>
      <c r="Y25" s="67"/>
      <c r="Z25" s="69"/>
      <c r="AA25" s="19"/>
      <c r="AB25" s="24">
        <f t="shared" si="1"/>
        <v>0</v>
      </c>
    </row>
    <row r="26" spans="2:28" ht="15.75" customHeight="1">
      <c r="B26" s="55" t="s">
        <v>29</v>
      </c>
      <c r="C26" s="21"/>
      <c r="D26" s="21"/>
      <c r="F26" s="64">
        <f>Input!$AW$12</f>
        <v>114954760</v>
      </c>
      <c r="G26" s="64">
        <f>Input!$AX$12</f>
        <v>16759332</v>
      </c>
      <c r="H26" s="64">
        <f>Input!$AY$12</f>
        <v>25206484</v>
      </c>
      <c r="I26" s="64">
        <f>Input!$AZ$12</f>
        <v>10452891</v>
      </c>
      <c r="J26" s="64">
        <f>Input!$BA$12</f>
        <v>8712860</v>
      </c>
      <c r="K26" s="64">
        <f>Input!$BB$12</f>
        <v>23432271</v>
      </c>
      <c r="L26" s="65">
        <f t="shared" si="2"/>
        <v>199518598</v>
      </c>
      <c r="N26" s="74" t="str">
        <f>IF(O26&lt;&gt;0,"Out of Balance","Balanced")</f>
        <v>Balanced</v>
      </c>
      <c r="O26" s="75">
        <f>L17-L41</f>
        <v>0</v>
      </c>
      <c r="Q26" s="69"/>
      <c r="R26" s="70"/>
      <c r="S26" s="70"/>
      <c r="T26" s="70"/>
      <c r="U26" s="69"/>
      <c r="V26" s="70"/>
      <c r="W26" s="69"/>
      <c r="X26" s="62"/>
      <c r="Y26" s="67"/>
      <c r="Z26" s="69"/>
      <c r="AA26" s="19"/>
      <c r="AB26" s="24"/>
    </row>
    <row r="27" spans="2:28" ht="15.75" customHeight="1">
      <c r="B27" s="55" t="s">
        <v>30</v>
      </c>
      <c r="C27" s="21"/>
      <c r="D27" s="21"/>
      <c r="F27" s="64">
        <f>Input!$BC$12</f>
        <v>0</v>
      </c>
      <c r="G27" s="64">
        <f>Input!$BD$12</f>
        <v>0</v>
      </c>
      <c r="H27" s="64">
        <f>Input!$BE$12</f>
        <v>0</v>
      </c>
      <c r="I27" s="64">
        <f>Input!$BF$12</f>
        <v>0</v>
      </c>
      <c r="J27" s="64">
        <f>Input!$BG$12</f>
        <v>0</v>
      </c>
      <c r="K27" s="64">
        <f>Input!$BH$12</f>
        <v>0</v>
      </c>
      <c r="L27" s="65">
        <f t="shared" si="2"/>
        <v>0</v>
      </c>
      <c r="N27" s="66"/>
      <c r="O27" s="67"/>
      <c r="P27" s="68"/>
      <c r="Q27" s="69"/>
      <c r="R27" s="70"/>
      <c r="S27" s="70"/>
      <c r="T27" s="70"/>
      <c r="U27" s="69"/>
      <c r="V27" s="70"/>
      <c r="W27" s="69"/>
      <c r="X27" s="62"/>
      <c r="Y27" s="67"/>
      <c r="Z27" s="69"/>
      <c r="AA27" s="19"/>
      <c r="AB27" s="24"/>
    </row>
    <row r="28" spans="2:28" ht="15.75" customHeight="1">
      <c r="B28" s="63" t="s">
        <v>31</v>
      </c>
      <c r="C28" s="21"/>
      <c r="D28" s="21"/>
      <c r="F28" s="64">
        <f>Input!$BI$12</f>
        <v>0</v>
      </c>
      <c r="G28" s="64">
        <f>Input!$BJ$12</f>
        <v>0</v>
      </c>
      <c r="H28" s="64">
        <f>Input!$BK$12</f>
        <v>0</v>
      </c>
      <c r="I28" s="64">
        <f>Input!$BL$12</f>
        <v>0</v>
      </c>
      <c r="J28" s="64">
        <f>Input!$BM$12</f>
        <v>0</v>
      </c>
      <c r="K28" s="64">
        <f>Input!$BN$12</f>
        <v>0</v>
      </c>
      <c r="L28" s="65">
        <f t="shared" si="2"/>
        <v>0</v>
      </c>
      <c r="N28" s="66"/>
      <c r="O28" s="67"/>
      <c r="P28" s="68"/>
      <c r="Q28" s="69"/>
      <c r="R28" s="70"/>
      <c r="S28" s="70"/>
      <c r="T28" s="70"/>
      <c r="U28" s="69"/>
      <c r="V28" s="70"/>
      <c r="W28" s="69"/>
      <c r="X28" s="62"/>
      <c r="Y28" s="67"/>
      <c r="Z28" s="69"/>
      <c r="AA28" s="19"/>
      <c r="AB28" s="24"/>
    </row>
    <row r="29" spans="2:28" ht="15.75" customHeight="1">
      <c r="B29" s="63" t="s">
        <v>32</v>
      </c>
      <c r="C29" s="21"/>
      <c r="D29" s="21"/>
      <c r="F29" s="64">
        <f>Input!$BO$12</f>
        <v>0</v>
      </c>
      <c r="G29" s="64">
        <f>Input!$BP$12</f>
        <v>0</v>
      </c>
      <c r="H29" s="64">
        <f>Input!$BQ$12</f>
        <v>0</v>
      </c>
      <c r="I29" s="64">
        <f>Input!$BR$12</f>
        <v>0</v>
      </c>
      <c r="J29" s="64">
        <f>Input!$BS$12</f>
        <v>0</v>
      </c>
      <c r="K29" s="64">
        <f>Input!$BT$12</f>
        <v>0</v>
      </c>
      <c r="L29" s="65">
        <f t="shared" si="2"/>
        <v>0</v>
      </c>
      <c r="N29" s="66"/>
      <c r="O29" s="67"/>
      <c r="P29" s="68"/>
      <c r="Q29" s="69"/>
      <c r="R29" s="70"/>
      <c r="S29" s="70"/>
      <c r="T29" s="70"/>
      <c r="U29" s="69"/>
      <c r="V29" s="70"/>
      <c r="W29" s="69"/>
      <c r="X29" s="62"/>
      <c r="Y29" s="67"/>
      <c r="Z29" s="69"/>
      <c r="AA29" s="19"/>
      <c r="AB29" s="24"/>
    </row>
    <row r="30" spans="2:28" ht="15.75" customHeight="1">
      <c r="B30" s="63" t="s">
        <v>33</v>
      </c>
      <c r="C30" s="21"/>
      <c r="D30" s="21"/>
      <c r="F30" s="64">
        <f>Input!$BU$12</f>
        <v>0</v>
      </c>
      <c r="G30" s="64">
        <f>Input!$BV$12</f>
        <v>0</v>
      </c>
      <c r="H30" s="64">
        <f>Input!$BW$12</f>
        <v>0</v>
      </c>
      <c r="I30" s="64">
        <f>Input!$BX$12</f>
        <v>0</v>
      </c>
      <c r="J30" s="64">
        <f>Input!$BY$12</f>
        <v>0</v>
      </c>
      <c r="K30" s="64">
        <f>Input!$BZ$12</f>
        <v>0</v>
      </c>
      <c r="L30" s="65">
        <f t="shared" si="2"/>
        <v>0</v>
      </c>
      <c r="N30" s="66"/>
      <c r="O30" s="67"/>
      <c r="P30" s="68"/>
      <c r="Q30" s="69"/>
      <c r="R30" s="70"/>
      <c r="S30" s="70"/>
      <c r="T30" s="70"/>
      <c r="U30" s="69"/>
      <c r="V30" s="70"/>
      <c r="W30" s="69"/>
      <c r="X30" s="62"/>
      <c r="Y30" s="67"/>
      <c r="Z30" s="69"/>
      <c r="AA30" s="19"/>
      <c r="AB30" s="24"/>
    </row>
    <row r="31" spans="2:28" ht="15.75" customHeight="1">
      <c r="B31" s="63" t="s">
        <v>34</v>
      </c>
      <c r="C31" s="21"/>
      <c r="D31" s="21"/>
      <c r="F31" s="64">
        <f>Input!$CA$12</f>
        <v>0</v>
      </c>
      <c r="G31" s="64">
        <f>Input!$CB$12</f>
        <v>0</v>
      </c>
      <c r="H31" s="64">
        <f>Input!$CC$12</f>
        <v>0</v>
      </c>
      <c r="I31" s="64">
        <f>Input!$CD$12</f>
        <v>0</v>
      </c>
      <c r="J31" s="64">
        <f>Input!$CE$12</f>
        <v>0</v>
      </c>
      <c r="K31" s="64">
        <f>Input!$CF$12</f>
        <v>0</v>
      </c>
      <c r="L31" s="65">
        <f t="shared" si="2"/>
        <v>0</v>
      </c>
      <c r="N31" s="66"/>
      <c r="O31" s="67"/>
      <c r="P31" s="68"/>
      <c r="Q31" s="69"/>
      <c r="R31" s="70"/>
      <c r="S31" s="70"/>
      <c r="T31" s="70"/>
      <c r="U31" s="69"/>
      <c r="V31" s="70"/>
      <c r="W31" s="69"/>
      <c r="X31" s="62"/>
      <c r="Y31" s="67"/>
      <c r="Z31" s="69"/>
      <c r="AA31" s="19"/>
      <c r="AB31" s="24"/>
    </row>
    <row r="32" spans="2:28" ht="15.75" customHeight="1">
      <c r="B32" s="63" t="s">
        <v>35</v>
      </c>
      <c r="C32" s="21"/>
      <c r="D32" s="21"/>
      <c r="F32" s="64">
        <f>Input!$CG$12</f>
        <v>0</v>
      </c>
      <c r="G32" s="64">
        <f>Input!$CH$12</f>
        <v>0</v>
      </c>
      <c r="H32" s="64">
        <f>Input!$CI$12</f>
        <v>0</v>
      </c>
      <c r="I32" s="64">
        <f>Input!$CJ$12</f>
        <v>0</v>
      </c>
      <c r="J32" s="64">
        <f>Input!$CK$12</f>
        <v>0</v>
      </c>
      <c r="K32" s="64">
        <f>Input!$CL$12</f>
        <v>0</v>
      </c>
      <c r="L32" s="65">
        <f t="shared" si="2"/>
        <v>0</v>
      </c>
      <c r="N32" s="66"/>
      <c r="O32" s="67"/>
      <c r="P32" s="68"/>
      <c r="Q32" s="69"/>
      <c r="R32" s="70"/>
      <c r="S32" s="70"/>
      <c r="T32" s="70"/>
      <c r="U32" s="69"/>
      <c r="V32" s="70"/>
      <c r="W32" s="69"/>
      <c r="X32" s="62"/>
      <c r="Y32" s="67"/>
      <c r="Z32" s="69"/>
      <c r="AA32" s="19"/>
      <c r="AB32" s="24"/>
    </row>
    <row r="33" spans="1:28" ht="15.75" customHeight="1">
      <c r="B33" s="55" t="s">
        <v>36</v>
      </c>
      <c r="C33" s="21"/>
      <c r="D33" s="21"/>
      <c r="F33" s="64">
        <f>Input!$CM$12</f>
        <v>0</v>
      </c>
      <c r="G33" s="64">
        <f>Input!$CN$12</f>
        <v>0</v>
      </c>
      <c r="H33" s="64">
        <f>Input!$CO$12</f>
        <v>0</v>
      </c>
      <c r="I33" s="64">
        <f>Input!$CP$12</f>
        <v>0</v>
      </c>
      <c r="J33" s="64">
        <f>Input!$CQ$12</f>
        <v>0</v>
      </c>
      <c r="K33" s="64">
        <f>Input!$CR$12</f>
        <v>0</v>
      </c>
      <c r="L33" s="65">
        <f t="shared" si="2"/>
        <v>0</v>
      </c>
      <c r="N33" s="66"/>
      <c r="O33" s="67"/>
      <c r="P33" s="68"/>
      <c r="Q33" s="69"/>
      <c r="R33" s="70"/>
      <c r="S33" s="70"/>
      <c r="T33" s="70"/>
      <c r="U33" s="69"/>
      <c r="V33" s="70"/>
      <c r="W33" s="69"/>
      <c r="X33" s="62"/>
      <c r="Y33" s="67"/>
      <c r="Z33" s="69"/>
      <c r="AA33" s="19"/>
      <c r="AB33" s="24"/>
    </row>
    <row r="34" spans="1:28" ht="15.75" customHeight="1">
      <c r="B34" s="55" t="s">
        <v>37</v>
      </c>
      <c r="C34" s="21"/>
      <c r="D34" s="21"/>
      <c r="F34" s="64">
        <f>Input!$CS$12</f>
        <v>0</v>
      </c>
      <c r="G34" s="64">
        <f>Input!$CT$12</f>
        <v>0</v>
      </c>
      <c r="H34" s="64">
        <f>Input!$CU$12</f>
        <v>0</v>
      </c>
      <c r="I34" s="64">
        <f>Input!$CV$12</f>
        <v>0</v>
      </c>
      <c r="J34" s="64">
        <f>Input!$CW$12</f>
        <v>0</v>
      </c>
      <c r="K34" s="64">
        <f>Input!$CX$12</f>
        <v>0</v>
      </c>
      <c r="L34" s="65">
        <f t="shared" si="2"/>
        <v>0</v>
      </c>
      <c r="N34" s="66"/>
      <c r="O34" s="67"/>
      <c r="P34" s="68"/>
      <c r="Q34" s="69"/>
      <c r="R34" s="70"/>
      <c r="S34" s="70"/>
      <c r="T34" s="70"/>
      <c r="U34" s="69"/>
      <c r="V34" s="70"/>
      <c r="W34" s="69"/>
      <c r="X34" s="62"/>
      <c r="Y34" s="67"/>
      <c r="Z34" s="69"/>
      <c r="AA34" s="19"/>
      <c r="AB34" s="24"/>
    </row>
    <row r="35" spans="1:28" s="79" customFormat="1" ht="15.75" customHeight="1">
      <c r="A35" s="76"/>
      <c r="B35" s="77" t="s">
        <v>38</v>
      </c>
      <c r="C35" s="78"/>
      <c r="D35" s="78"/>
      <c r="E35" s="20"/>
      <c r="F35" s="64">
        <f>Input!$CY$12</f>
        <v>0</v>
      </c>
      <c r="G35" s="64">
        <f>Input!$CZ$12</f>
        <v>0</v>
      </c>
      <c r="H35" s="64">
        <f>Input!$DA$12</f>
        <v>0</v>
      </c>
      <c r="I35" s="64">
        <f>Input!$DB$12</f>
        <v>0</v>
      </c>
      <c r="J35" s="64">
        <f>Input!$DC$12</f>
        <v>0</v>
      </c>
      <c r="K35" s="64">
        <f>Input!$DD$12</f>
        <v>0</v>
      </c>
      <c r="L35" s="65">
        <f t="shared" si="2"/>
        <v>0</v>
      </c>
      <c r="N35" s="66"/>
      <c r="O35" s="67"/>
      <c r="P35" s="80"/>
      <c r="Q35" s="81"/>
      <c r="R35" s="70"/>
      <c r="S35" s="70"/>
      <c r="T35" s="70"/>
      <c r="U35" s="81"/>
      <c r="V35" s="70"/>
      <c r="W35" s="81"/>
      <c r="X35" s="62"/>
      <c r="Y35" s="67"/>
      <c r="Z35" s="81"/>
      <c r="AA35" s="82"/>
      <c r="AB35" s="83"/>
    </row>
    <row r="36" spans="1:28" s="79" customFormat="1" ht="15.75" customHeight="1">
      <c r="A36" s="76"/>
      <c r="B36" s="77" t="s">
        <v>39</v>
      </c>
      <c r="C36" s="78"/>
      <c r="D36" s="78"/>
      <c r="E36" s="20"/>
      <c r="F36" s="64">
        <f>Input!$DE$12</f>
        <v>0</v>
      </c>
      <c r="G36" s="64">
        <f>Input!$DF$12</f>
        <v>0</v>
      </c>
      <c r="H36" s="64">
        <f>Input!$DG$12</f>
        <v>0</v>
      </c>
      <c r="I36" s="64">
        <f>Input!$DH$12</f>
        <v>0</v>
      </c>
      <c r="J36" s="64">
        <f>Input!$DI$12</f>
        <v>0</v>
      </c>
      <c r="K36" s="64">
        <f>Input!$DJ$12</f>
        <v>0</v>
      </c>
      <c r="L36" s="65">
        <f t="shared" si="2"/>
        <v>0</v>
      </c>
      <c r="N36" s="66"/>
      <c r="O36" s="67"/>
      <c r="P36" s="80"/>
      <c r="Q36" s="81"/>
      <c r="R36" s="70"/>
      <c r="S36" s="70"/>
      <c r="T36" s="70"/>
      <c r="U36" s="81"/>
      <c r="V36" s="70"/>
      <c r="W36" s="81"/>
      <c r="X36" s="62"/>
      <c r="Y36" s="67"/>
      <c r="Z36" s="81"/>
      <c r="AA36" s="82"/>
      <c r="AB36" s="83"/>
    </row>
    <row r="37" spans="1:28" s="79" customFormat="1" ht="15.75" customHeight="1">
      <c r="A37" s="76"/>
      <c r="B37" s="77" t="s">
        <v>40</v>
      </c>
      <c r="C37" s="78"/>
      <c r="D37" s="78"/>
      <c r="E37" s="20"/>
      <c r="F37" s="64">
        <f>Input!$DK$12</f>
        <v>0</v>
      </c>
      <c r="G37" s="64">
        <f>Input!$DL$12</f>
        <v>0</v>
      </c>
      <c r="H37" s="64">
        <f>Input!$DM$12</f>
        <v>0</v>
      </c>
      <c r="I37" s="64">
        <f>Input!$DN$12</f>
        <v>0</v>
      </c>
      <c r="J37" s="64">
        <f>Input!$DO$12</f>
        <v>0</v>
      </c>
      <c r="K37" s="64">
        <f>Input!$DP$12</f>
        <v>0</v>
      </c>
      <c r="L37" s="65">
        <f t="shared" si="2"/>
        <v>0</v>
      </c>
      <c r="N37" s="66"/>
      <c r="O37" s="67"/>
      <c r="P37" s="80"/>
      <c r="Q37" s="81"/>
      <c r="R37" s="70"/>
      <c r="S37" s="70"/>
      <c r="T37" s="70"/>
      <c r="U37" s="81"/>
      <c r="V37" s="70"/>
      <c r="W37" s="81"/>
      <c r="X37" s="62"/>
      <c r="Y37" s="67"/>
      <c r="Z37" s="81"/>
      <c r="AA37" s="82"/>
      <c r="AB37" s="83"/>
    </row>
    <row r="38" spans="1:28" s="79" customFormat="1" ht="15.75" customHeight="1">
      <c r="A38" s="76"/>
      <c r="B38" s="77" t="s">
        <v>41</v>
      </c>
      <c r="C38" s="78"/>
      <c r="D38" s="78"/>
      <c r="E38" s="20"/>
      <c r="F38" s="64">
        <f>Input!$DQ$12</f>
        <v>0</v>
      </c>
      <c r="G38" s="64">
        <f>Input!$DR$12</f>
        <v>0</v>
      </c>
      <c r="H38" s="64">
        <f>Input!$DS$12</f>
        <v>0</v>
      </c>
      <c r="I38" s="64">
        <f>Input!$DT$12</f>
        <v>0</v>
      </c>
      <c r="J38" s="64">
        <f>Input!$DU$12</f>
        <v>0</v>
      </c>
      <c r="K38" s="64">
        <f>Input!$DV$12</f>
        <v>0</v>
      </c>
      <c r="L38" s="65">
        <f t="shared" si="2"/>
        <v>0</v>
      </c>
      <c r="N38" s="66"/>
      <c r="O38" s="67"/>
      <c r="P38" s="80"/>
      <c r="Q38" s="81"/>
      <c r="R38" s="70"/>
      <c r="S38" s="70"/>
      <c r="T38" s="70"/>
      <c r="U38" s="81"/>
      <c r="V38" s="70"/>
      <c r="W38" s="81"/>
      <c r="X38" s="62"/>
      <c r="Y38" s="67"/>
      <c r="Z38" s="81"/>
      <c r="AA38" s="82"/>
      <c r="AB38" s="83"/>
    </row>
    <row r="39" spans="1:28" s="79" customFormat="1" ht="15.75" customHeight="1">
      <c r="A39" s="76"/>
      <c r="B39" s="77" t="s">
        <v>42</v>
      </c>
      <c r="C39" s="78"/>
      <c r="D39" s="78"/>
      <c r="E39" s="20"/>
      <c r="F39" s="64">
        <f>Input!$DW$12</f>
        <v>0</v>
      </c>
      <c r="G39" s="64">
        <f>Input!$DX$12</f>
        <v>0</v>
      </c>
      <c r="H39" s="64">
        <f>Input!$DY$12</f>
        <v>0</v>
      </c>
      <c r="I39" s="64">
        <f>Input!$DZ$12</f>
        <v>0</v>
      </c>
      <c r="J39" s="64">
        <f>Input!$EA$12</f>
        <v>0</v>
      </c>
      <c r="K39" s="64">
        <f>Input!$EB$12</f>
        <v>0</v>
      </c>
      <c r="L39" s="65">
        <f t="shared" si="2"/>
        <v>0</v>
      </c>
      <c r="N39" s="66"/>
      <c r="O39" s="67"/>
      <c r="P39" s="80"/>
      <c r="Q39" s="81"/>
      <c r="R39" s="70"/>
      <c r="S39" s="70"/>
      <c r="T39" s="70"/>
      <c r="U39" s="81"/>
      <c r="V39" s="70"/>
      <c r="W39" s="81"/>
      <c r="X39" s="62"/>
      <c r="Y39" s="67"/>
      <c r="Z39" s="81"/>
      <c r="AA39" s="82"/>
      <c r="AB39" s="83"/>
    </row>
    <row r="40" spans="1:28" ht="15.75" customHeight="1">
      <c r="A40" s="76"/>
      <c r="B40" s="55" t="s">
        <v>43</v>
      </c>
      <c r="C40" s="21"/>
      <c r="D40" s="21"/>
      <c r="E40" s="21"/>
      <c r="F40" s="84">
        <f>Input!$EC$12</f>
        <v>0</v>
      </c>
      <c r="G40" s="84">
        <f>Input!$ED$12</f>
        <v>0</v>
      </c>
      <c r="H40" s="84">
        <f>Input!$EE$12</f>
        <v>0</v>
      </c>
      <c r="I40" s="84">
        <f>Input!$EF$12</f>
        <v>0</v>
      </c>
      <c r="J40" s="84">
        <f>Input!$EG$12</f>
        <v>0</v>
      </c>
      <c r="K40" s="84">
        <f>Input!$EH$12</f>
        <v>0</v>
      </c>
      <c r="L40" s="65">
        <f t="shared" si="2"/>
        <v>0</v>
      </c>
      <c r="N40" s="66"/>
      <c r="O40" s="317" t="s">
        <v>633</v>
      </c>
      <c r="P40" s="41" t="s">
        <v>634</v>
      </c>
      <c r="Q40" s="85"/>
      <c r="R40" s="70"/>
      <c r="S40" s="70"/>
      <c r="T40" s="70"/>
      <c r="U40" s="69"/>
      <c r="V40" s="70"/>
      <c r="W40" s="69"/>
      <c r="X40" s="62"/>
      <c r="Y40" s="67"/>
      <c r="Z40" s="69"/>
      <c r="AA40" s="19"/>
      <c r="AB40" s="24">
        <f>SUM(C40:L40)</f>
        <v>0</v>
      </c>
    </row>
    <row r="41" spans="1:28" ht="15.75" customHeight="1">
      <c r="A41" s="76"/>
      <c r="B41" s="43" t="s">
        <v>44</v>
      </c>
      <c r="C41" s="44"/>
      <c r="D41" s="44"/>
      <c r="E41" s="44"/>
      <c r="F41" s="86">
        <f t="shared" ref="F41:L41" si="3">SUM(F20:F40)</f>
        <v>150323653</v>
      </c>
      <c r="G41" s="86">
        <f t="shared" si="3"/>
        <v>17922267</v>
      </c>
      <c r="H41" s="86">
        <f t="shared" si="3"/>
        <v>25594744</v>
      </c>
      <c r="I41" s="86">
        <f t="shared" si="3"/>
        <v>11579402</v>
      </c>
      <c r="J41" s="86">
        <f t="shared" si="3"/>
        <v>9112235</v>
      </c>
      <c r="K41" s="86">
        <f t="shared" si="3"/>
        <v>26240251</v>
      </c>
      <c r="L41" s="87">
        <f t="shared" si="3"/>
        <v>240772552</v>
      </c>
      <c r="N41" s="88"/>
      <c r="O41" s="308" t="s">
        <v>628</v>
      </c>
      <c r="P41" s="309" t="s">
        <v>17</v>
      </c>
      <c r="Q41" s="89"/>
      <c r="R41" s="89"/>
      <c r="S41" s="50">
        <f>L41-INT(L41)</f>
        <v>0</v>
      </c>
      <c r="T41" s="61"/>
      <c r="U41" s="90"/>
      <c r="V41" s="61"/>
      <c r="W41" s="61"/>
      <c r="X41" s="85"/>
      <c r="Y41" s="60"/>
      <c r="Z41" s="91"/>
      <c r="AA41" s="19"/>
      <c r="AB41" s="44">
        <f>SUM(AB20:AB40)</f>
        <v>82507908</v>
      </c>
    </row>
    <row r="42" spans="1:28" ht="15.75" customHeight="1">
      <c r="A42" s="76"/>
      <c r="C42" s="38"/>
      <c r="D42" s="38"/>
      <c r="F42" s="38"/>
      <c r="G42" s="310" t="s">
        <v>629</v>
      </c>
      <c r="H42" s="311">
        <f>H41+G41</f>
        <v>43517011</v>
      </c>
      <c r="I42" s="53"/>
      <c r="J42" s="310" t="s">
        <v>630</v>
      </c>
      <c r="K42" s="311">
        <f>K41+J41</f>
        <v>35352486</v>
      </c>
      <c r="L42" s="310" t="s">
        <v>631</v>
      </c>
      <c r="M42" s="312"/>
      <c r="N42" s="313">
        <f>K42+F41</f>
        <v>185676139</v>
      </c>
      <c r="O42" s="314">
        <f>ROUND((N42/P42)*100,2)</f>
        <v>158.08000000000001</v>
      </c>
      <c r="P42" s="93">
        <f>Input!$GR$12</f>
        <v>117456319</v>
      </c>
      <c r="Q42" s="92"/>
      <c r="R42" s="92"/>
      <c r="S42" s="92"/>
      <c r="T42" s="94"/>
      <c r="U42" s="95"/>
      <c r="V42" s="96"/>
      <c r="W42" s="92"/>
      <c r="X42" s="92"/>
      <c r="Y42" s="92"/>
      <c r="Z42" s="92" t="str">
        <f>IF(Z41&lt;&gt;0,"Out of Balance","")</f>
        <v/>
      </c>
    </row>
    <row r="43" spans="1:28" ht="15.75" customHeight="1">
      <c r="A43" s="76"/>
      <c r="B43" s="14" t="s">
        <v>45</v>
      </c>
      <c r="C43" s="53"/>
      <c r="D43" s="53"/>
      <c r="E43" s="53"/>
      <c r="F43" s="53"/>
      <c r="G43" s="315"/>
      <c r="H43" s="315"/>
      <c r="I43" s="315"/>
      <c r="J43" s="315"/>
      <c r="K43" s="315"/>
      <c r="L43" s="315"/>
      <c r="O43" s="316" t="s">
        <v>632</v>
      </c>
      <c r="Q43" s="92"/>
      <c r="R43" s="92"/>
      <c r="S43" s="92"/>
      <c r="T43" s="94"/>
      <c r="U43" s="95"/>
      <c r="V43" s="96"/>
      <c r="W43" s="92"/>
      <c r="X43" s="92"/>
      <c r="Y43" s="92"/>
      <c r="Z43" s="92"/>
    </row>
    <row r="44" spans="1:28" ht="15.75" customHeight="1">
      <c r="A44" s="76"/>
      <c r="B44" s="55" t="s">
        <v>544</v>
      </c>
      <c r="C44" s="21"/>
      <c r="D44" s="21"/>
      <c r="F44" s="64">
        <f>Input!$EI$12</f>
        <v>608411</v>
      </c>
      <c r="G44" s="64">
        <f>Input!$EJ$12</f>
        <v>0</v>
      </c>
      <c r="H44" s="64">
        <f>Input!$EK$12</f>
        <v>0</v>
      </c>
      <c r="I44" s="64">
        <f>Input!$EL$12</f>
        <v>0</v>
      </c>
      <c r="J44" s="64">
        <f>Input!$EM$12</f>
        <v>0</v>
      </c>
      <c r="K44" s="64">
        <f>Input!$EN$12</f>
        <v>24062</v>
      </c>
      <c r="L44" s="57">
        <f>SUM(F44:K44)</f>
        <v>632473</v>
      </c>
      <c r="N44" s="9"/>
      <c r="O44" s="318">
        <f>ROUND(N42/O46,0)</f>
        <v>676687</v>
      </c>
      <c r="Q44" s="93"/>
      <c r="R44" s="93"/>
      <c r="S44" s="93"/>
      <c r="T44" s="94"/>
      <c r="U44" s="95"/>
      <c r="V44" s="99"/>
      <c r="W44" s="93"/>
      <c r="X44" s="101"/>
      <c r="Y44" s="92"/>
      <c r="Z44" s="100"/>
      <c r="AB44" s="24">
        <f>SUM(C44:L44)</f>
        <v>1264946</v>
      </c>
    </row>
    <row r="45" spans="1:28" ht="15.75" customHeight="1">
      <c r="A45" s="76"/>
      <c r="B45" s="55" t="s">
        <v>46</v>
      </c>
      <c r="C45" s="21"/>
      <c r="D45" s="21"/>
      <c r="F45" s="64">
        <f>Input!$EO$12</f>
        <v>6646285</v>
      </c>
      <c r="G45" s="64">
        <f>Input!$EP$12</f>
        <v>0</v>
      </c>
      <c r="H45" s="64">
        <f>Input!$EQ$12</f>
        <v>369604</v>
      </c>
      <c r="I45" s="64">
        <f>Input!$ER$12</f>
        <v>0</v>
      </c>
      <c r="J45" s="64">
        <f>Input!$ES$12</f>
        <v>3338</v>
      </c>
      <c r="K45" s="64">
        <f>Input!$ET$12</f>
        <v>559101</v>
      </c>
      <c r="L45" s="65">
        <f t="shared" ref="L45:L53" si="4">SUM(F45:K45)</f>
        <v>7578328</v>
      </c>
      <c r="N45" s="97"/>
      <c r="O45" s="319" t="s">
        <v>635</v>
      </c>
      <c r="P45" s="98"/>
      <c r="Q45" s="93"/>
      <c r="R45" s="93"/>
      <c r="S45" s="93"/>
      <c r="T45" s="94"/>
      <c r="U45" s="95"/>
      <c r="V45" s="99"/>
      <c r="W45" s="93"/>
      <c r="X45" s="101"/>
      <c r="Y45" s="92"/>
      <c r="Z45" s="100"/>
      <c r="AB45" s="24"/>
    </row>
    <row r="46" spans="1:28" ht="15.75" customHeight="1">
      <c r="A46" s="76"/>
      <c r="B46" s="55" t="s">
        <v>545</v>
      </c>
      <c r="C46" s="21"/>
      <c r="D46" s="21"/>
      <c r="F46" s="64">
        <f>Input!$EU$12</f>
        <v>13576432</v>
      </c>
      <c r="G46" s="64">
        <f>Input!$EV$12</f>
        <v>1259657</v>
      </c>
      <c r="H46" s="64">
        <f>Input!$EW$12</f>
        <v>0</v>
      </c>
      <c r="I46" s="64">
        <f>Input!$EX$12</f>
        <v>74990</v>
      </c>
      <c r="J46" s="64">
        <f>Input!$EY$12</f>
        <v>153349</v>
      </c>
      <c r="K46" s="64">
        <f>Input!$EZ$12</f>
        <v>2782673</v>
      </c>
      <c r="L46" s="65">
        <f t="shared" si="4"/>
        <v>17847101</v>
      </c>
      <c r="N46" s="97"/>
      <c r="O46" s="320">
        <f>FTSE!$O$15</f>
        <v>274.39</v>
      </c>
      <c r="P46" s="98"/>
      <c r="Q46" s="93"/>
      <c r="R46" s="93"/>
      <c r="S46" s="93"/>
      <c r="T46" s="94"/>
      <c r="U46" s="95"/>
      <c r="V46" s="99"/>
      <c r="W46" s="93"/>
      <c r="X46" s="101"/>
      <c r="Y46" s="92"/>
      <c r="Z46" s="100"/>
      <c r="AB46" s="24"/>
    </row>
    <row r="47" spans="1:28" ht="15.75" customHeight="1">
      <c r="A47" s="76"/>
      <c r="B47" s="63" t="s">
        <v>546</v>
      </c>
      <c r="C47" s="21"/>
      <c r="D47" s="21"/>
      <c r="F47" s="64">
        <f>Input!$FA$12</f>
        <v>8274088</v>
      </c>
      <c r="G47" s="64">
        <f>Input!$FB$12</f>
        <v>1849578</v>
      </c>
      <c r="H47" s="64">
        <f>Input!$FC$12</f>
        <v>4850362</v>
      </c>
      <c r="I47" s="64">
        <f>Input!$FD$12</f>
        <v>15262</v>
      </c>
      <c r="J47" s="64">
        <f>Input!$FE$12</f>
        <v>186302</v>
      </c>
      <c r="K47" s="64">
        <f>Input!$FF$12</f>
        <v>1617912</v>
      </c>
      <c r="L47" s="65">
        <f t="shared" si="4"/>
        <v>16793504</v>
      </c>
      <c r="N47" s="97"/>
      <c r="O47" s="321" t="s">
        <v>636</v>
      </c>
      <c r="P47" s="98"/>
      <c r="Q47" s="93"/>
      <c r="R47" s="93"/>
      <c r="S47" s="93"/>
      <c r="T47" s="94"/>
      <c r="U47" s="95"/>
      <c r="V47" s="99"/>
      <c r="W47" s="93"/>
      <c r="X47" s="101"/>
      <c r="Y47" s="92"/>
      <c r="Z47" s="100"/>
      <c r="AB47" s="24"/>
    </row>
    <row r="48" spans="1:28" ht="15.75" customHeight="1">
      <c r="A48" s="76"/>
      <c r="B48" s="55" t="s">
        <v>547</v>
      </c>
      <c r="C48" s="21"/>
      <c r="D48" s="21"/>
      <c r="F48" s="64">
        <f>Input!$FG$12</f>
        <v>2759354</v>
      </c>
      <c r="G48" s="64">
        <f>Input!$FH$12</f>
        <v>6408</v>
      </c>
      <c r="H48" s="64">
        <f>Input!$FI$12</f>
        <v>29881</v>
      </c>
      <c r="I48" s="64">
        <f>Input!$FJ$12</f>
        <v>0</v>
      </c>
      <c r="J48" s="64">
        <f>Input!$FK$12</f>
        <v>273037</v>
      </c>
      <c r="K48" s="64">
        <f>Input!$FL$12</f>
        <v>55167</v>
      </c>
      <c r="L48" s="65">
        <f t="shared" si="4"/>
        <v>3123847</v>
      </c>
      <c r="N48" s="97"/>
      <c r="P48" s="98"/>
      <c r="Q48" s="93"/>
      <c r="R48" s="93"/>
      <c r="S48" s="93"/>
      <c r="T48" s="94"/>
      <c r="U48" s="95"/>
      <c r="V48" s="99"/>
      <c r="W48" s="93"/>
      <c r="X48" s="101"/>
      <c r="Y48" s="92"/>
      <c r="Z48" s="100"/>
      <c r="AB48" s="24"/>
    </row>
    <row r="49" spans="1:28" s="79" customFormat="1" ht="15.75" customHeight="1">
      <c r="A49" s="76"/>
      <c r="B49" s="228" t="s">
        <v>548</v>
      </c>
      <c r="C49" s="78"/>
      <c r="D49" s="78"/>
      <c r="E49" s="20"/>
      <c r="F49" s="64">
        <f>Input!$FM$12</f>
        <v>0</v>
      </c>
      <c r="G49" s="64">
        <f>Input!$FN$12</f>
        <v>0</v>
      </c>
      <c r="H49" s="64">
        <f>Input!$FO$12</f>
        <v>0</v>
      </c>
      <c r="I49" s="64">
        <f>Input!$FP$12</f>
        <v>0</v>
      </c>
      <c r="J49" s="64">
        <f>Input!$FQ$12</f>
        <v>0</v>
      </c>
      <c r="K49" s="64">
        <f>Input!$FR$12</f>
        <v>0</v>
      </c>
      <c r="L49" s="65">
        <f t="shared" si="4"/>
        <v>0</v>
      </c>
      <c r="N49" s="102"/>
      <c r="P49" s="103"/>
      <c r="Q49" s="104"/>
      <c r="R49" s="104"/>
      <c r="S49" s="104"/>
      <c r="T49" s="105"/>
      <c r="U49" s="106"/>
      <c r="V49" s="107"/>
      <c r="W49" s="104"/>
      <c r="X49" s="108"/>
      <c r="Y49" s="109"/>
      <c r="Z49" s="110"/>
      <c r="AB49" s="83"/>
    </row>
    <row r="50" spans="1:28" s="79" customFormat="1" ht="15.75" customHeight="1">
      <c r="A50" s="76"/>
      <c r="B50" s="228" t="s">
        <v>549</v>
      </c>
      <c r="C50" s="78"/>
      <c r="D50" s="78"/>
      <c r="E50" s="20"/>
      <c r="F50" s="64">
        <f>Input!$FS$12</f>
        <v>0</v>
      </c>
      <c r="G50" s="64">
        <f>Input!$FT$12</f>
        <v>0</v>
      </c>
      <c r="H50" s="64">
        <f>Input!$FU$12</f>
        <v>0</v>
      </c>
      <c r="I50" s="64">
        <f>Input!$FV$12</f>
        <v>0</v>
      </c>
      <c r="J50" s="64">
        <f>Input!$FW$12</f>
        <v>0</v>
      </c>
      <c r="K50" s="64">
        <f>Input!$FX$12</f>
        <v>0</v>
      </c>
      <c r="L50" s="65">
        <f t="shared" si="4"/>
        <v>0</v>
      </c>
      <c r="N50" s="102"/>
      <c r="P50" s="103"/>
      <c r="Q50" s="104"/>
      <c r="R50" s="104"/>
      <c r="S50" s="104"/>
      <c r="T50" s="105"/>
      <c r="U50" s="106"/>
      <c r="V50" s="107"/>
      <c r="W50" s="104"/>
      <c r="X50" s="108"/>
      <c r="Y50" s="109"/>
      <c r="Z50" s="110"/>
      <c r="AB50" s="83"/>
    </row>
    <row r="51" spans="1:28" s="79" customFormat="1" ht="15.75" customHeight="1">
      <c r="A51" s="76"/>
      <c r="B51" s="228" t="s">
        <v>550</v>
      </c>
      <c r="C51" s="78"/>
      <c r="D51" s="78"/>
      <c r="E51" s="20"/>
      <c r="F51" s="64">
        <f>Input!$FY$12</f>
        <v>0</v>
      </c>
      <c r="G51" s="64">
        <f>Input!$FZ$12</f>
        <v>0</v>
      </c>
      <c r="H51" s="64">
        <f>Input!$GA$12</f>
        <v>0</v>
      </c>
      <c r="I51" s="64">
        <f>Input!$GB$12</f>
        <v>0</v>
      </c>
      <c r="J51" s="64">
        <f>Input!$GC$12</f>
        <v>0</v>
      </c>
      <c r="K51" s="64">
        <f>Input!$GD$12</f>
        <v>0</v>
      </c>
      <c r="L51" s="65">
        <f t="shared" si="4"/>
        <v>0</v>
      </c>
      <c r="N51" s="102"/>
      <c r="P51" s="103"/>
      <c r="Q51" s="104"/>
      <c r="R51" s="104"/>
      <c r="S51" s="104"/>
      <c r="T51" s="105"/>
      <c r="U51" s="106"/>
      <c r="V51" s="107"/>
      <c r="W51" s="104"/>
      <c r="X51" s="108"/>
      <c r="Y51" s="109"/>
      <c r="Z51" s="110"/>
      <c r="AB51" s="83"/>
    </row>
    <row r="52" spans="1:28" s="79" customFormat="1" ht="15.75" customHeight="1">
      <c r="A52" s="76"/>
      <c r="B52" s="228" t="s">
        <v>551</v>
      </c>
      <c r="C52" s="78"/>
      <c r="D52" s="78"/>
      <c r="E52" s="20"/>
      <c r="F52" s="64">
        <f>Input!$GE$12</f>
        <v>0</v>
      </c>
      <c r="G52" s="64">
        <f>Input!$GF$12</f>
        <v>0</v>
      </c>
      <c r="H52" s="64">
        <f>Input!$GG$12</f>
        <v>0</v>
      </c>
      <c r="I52" s="64">
        <f>Input!$GH$12</f>
        <v>0</v>
      </c>
      <c r="J52" s="64">
        <f>Input!$GI$12</f>
        <v>0</v>
      </c>
      <c r="K52" s="64">
        <f>Input!$GJ$12</f>
        <v>0</v>
      </c>
      <c r="L52" s="65">
        <f t="shared" si="4"/>
        <v>0</v>
      </c>
      <c r="N52" s="102"/>
      <c r="P52" s="103"/>
      <c r="Q52" s="104"/>
      <c r="R52" s="104"/>
      <c r="S52" s="104"/>
      <c r="T52" s="105"/>
      <c r="U52" s="106"/>
      <c r="V52" s="107"/>
      <c r="W52" s="104"/>
      <c r="X52" s="108"/>
      <c r="Y52" s="109"/>
      <c r="Z52" s="110"/>
      <c r="AB52" s="83"/>
    </row>
    <row r="53" spans="1:28" s="79" customFormat="1" ht="15.75" customHeight="1">
      <c r="A53" s="76"/>
      <c r="B53" s="228" t="s">
        <v>552</v>
      </c>
      <c r="C53" s="78"/>
      <c r="D53" s="78"/>
      <c r="E53" s="20"/>
      <c r="F53" s="64">
        <f>Input!$GK$12</f>
        <v>0</v>
      </c>
      <c r="G53" s="64">
        <f>Input!$GL$12</f>
        <v>0</v>
      </c>
      <c r="H53" s="64">
        <f>Input!$GM$12</f>
        <v>0</v>
      </c>
      <c r="I53" s="64">
        <f>Input!$GN$12</f>
        <v>0</v>
      </c>
      <c r="J53" s="64">
        <f>Input!$GO$12</f>
        <v>0</v>
      </c>
      <c r="K53" s="64">
        <f>Input!$GP$12</f>
        <v>0</v>
      </c>
      <c r="L53" s="65">
        <f t="shared" si="4"/>
        <v>0</v>
      </c>
      <c r="N53" s="102"/>
      <c r="P53" s="103"/>
      <c r="Q53" s="104"/>
      <c r="R53" s="104"/>
      <c r="S53" s="104"/>
      <c r="T53" s="105"/>
      <c r="U53" s="106"/>
      <c r="V53" s="107"/>
      <c r="W53" s="104"/>
      <c r="X53" s="108"/>
      <c r="Y53" s="109"/>
      <c r="Z53" s="110"/>
      <c r="AB53" s="83"/>
    </row>
    <row r="54" spans="1:28" ht="15.75" customHeight="1">
      <c r="A54" s="76"/>
      <c r="B54" s="43" t="s">
        <v>47</v>
      </c>
      <c r="C54" s="44"/>
      <c r="D54" s="44"/>
      <c r="E54" s="44"/>
      <c r="F54" s="86">
        <f>SUM(F44:F53)</f>
        <v>31864570</v>
      </c>
      <c r="G54" s="86">
        <f t="shared" ref="G54:L54" si="5">SUM(G44:G53)</f>
        <v>3115643</v>
      </c>
      <c r="H54" s="86">
        <f t="shared" si="5"/>
        <v>5249847</v>
      </c>
      <c r="I54" s="86">
        <f t="shared" si="5"/>
        <v>90252</v>
      </c>
      <c r="J54" s="86">
        <f t="shared" si="5"/>
        <v>616026</v>
      </c>
      <c r="K54" s="86">
        <f t="shared" si="5"/>
        <v>5038915</v>
      </c>
      <c r="L54" s="86">
        <f t="shared" si="5"/>
        <v>45975253</v>
      </c>
      <c r="N54" s="97"/>
      <c r="P54" s="98"/>
      <c r="Q54" s="98"/>
      <c r="R54" s="98"/>
      <c r="S54" s="50">
        <f>L54-INT(L54)</f>
        <v>0</v>
      </c>
      <c r="T54" s="94"/>
      <c r="U54" s="95"/>
      <c r="V54" s="99"/>
      <c r="W54" s="99"/>
      <c r="X54" s="99"/>
      <c r="Y54" s="95"/>
      <c r="Z54" s="95"/>
      <c r="AB54" s="44">
        <f>SUM(AB44:AB48)</f>
        <v>1264946</v>
      </c>
    </row>
    <row r="55" spans="1:28" ht="15.75" customHeight="1">
      <c r="A55" s="76"/>
      <c r="C55" s="38"/>
      <c r="D55" s="38"/>
      <c r="E55" s="38"/>
      <c r="F55" s="38"/>
      <c r="G55" s="38"/>
      <c r="H55" s="38"/>
      <c r="I55" s="38"/>
      <c r="J55" s="38"/>
      <c r="K55" s="38"/>
      <c r="L55" s="38"/>
      <c r="N55" s="97"/>
      <c r="P55" s="98"/>
      <c r="Q55" s="98"/>
      <c r="R55" s="98"/>
      <c r="S55" s="98"/>
      <c r="T55" s="94"/>
      <c r="U55" s="95"/>
      <c r="V55" s="99"/>
      <c r="W55" s="99"/>
      <c r="X55" s="99"/>
      <c r="Y55" s="95"/>
      <c r="Z55" s="95"/>
    </row>
    <row r="56" spans="1:28" ht="15.75" customHeight="1">
      <c r="A56" s="76"/>
      <c r="L56" s="6" t="s">
        <v>48</v>
      </c>
      <c r="N56" s="111"/>
      <c r="Q56" s="112"/>
      <c r="R56" s="112"/>
      <c r="S56" s="112"/>
      <c r="W56" s="112"/>
      <c r="X56" s="112"/>
      <c r="Y56" s="112"/>
      <c r="Z56" s="112"/>
    </row>
    <row r="57" spans="1:28" ht="15.75" customHeight="1">
      <c r="A57" s="76"/>
      <c r="N57" s="113"/>
    </row>
    <row r="58" spans="1:28" s="112" customFormat="1" ht="15.75" customHeight="1">
      <c r="A58" s="76"/>
      <c r="N58" s="113"/>
      <c r="O58" s="9"/>
      <c r="P58" s="9"/>
      <c r="Q58" s="9"/>
      <c r="R58" s="9"/>
      <c r="S58" s="9"/>
      <c r="T58" s="9"/>
      <c r="U58" s="9"/>
      <c r="V58" s="9"/>
      <c r="W58" s="9"/>
      <c r="X58" s="9"/>
      <c r="Y58" s="9"/>
      <c r="Z58" s="9"/>
    </row>
    <row r="59" spans="1:28" s="112" customFormat="1" ht="15.75" customHeight="1">
      <c r="A59" s="76"/>
      <c r="N59" s="113"/>
      <c r="O59" s="9"/>
      <c r="P59" s="9"/>
      <c r="Q59" s="9"/>
      <c r="R59" s="9"/>
      <c r="S59" s="9"/>
      <c r="T59" s="9"/>
      <c r="U59" s="9"/>
      <c r="V59" s="9"/>
      <c r="W59" s="9"/>
      <c r="X59" s="9"/>
      <c r="Y59" s="9"/>
      <c r="Z59" s="9"/>
    </row>
    <row r="60" spans="1:28" s="112" customFormat="1" ht="15.75" customHeight="1">
      <c r="A60" s="76"/>
      <c r="N60" s="113"/>
      <c r="O60" s="9"/>
      <c r="P60" s="9"/>
      <c r="Q60" s="9"/>
      <c r="R60" s="9"/>
      <c r="S60" s="9"/>
      <c r="T60" s="9"/>
      <c r="U60" s="9"/>
      <c r="V60" s="9"/>
      <c r="W60" s="9"/>
      <c r="X60" s="9"/>
      <c r="Y60" s="9"/>
      <c r="Z60" s="9"/>
    </row>
    <row r="61" spans="1:28" s="79" customFormat="1" ht="15.75" customHeight="1">
      <c r="A61" s="76"/>
      <c r="B61" s="20"/>
      <c r="C61" s="20"/>
      <c r="D61" s="20"/>
      <c r="E61" s="20"/>
      <c r="F61" s="114">
        <f t="shared" ref="F61:L61" si="6">F54+F41</f>
        <v>182188223</v>
      </c>
      <c r="G61" s="114">
        <f t="shared" si="6"/>
        <v>21037910</v>
      </c>
      <c r="H61" s="114">
        <f t="shared" si="6"/>
        <v>30844591</v>
      </c>
      <c r="I61" s="114">
        <f t="shared" si="6"/>
        <v>11669654</v>
      </c>
      <c r="J61" s="114">
        <f t="shared" si="6"/>
        <v>9728261</v>
      </c>
      <c r="K61" s="114">
        <f t="shared" si="6"/>
        <v>31279166</v>
      </c>
      <c r="L61" s="114">
        <f t="shared" si="6"/>
        <v>286747805</v>
      </c>
      <c r="N61" s="20"/>
    </row>
    <row r="62" spans="1:28" s="79" customFormat="1" ht="15.75" customHeight="1">
      <c r="A62" s="76"/>
      <c r="B62" s="20"/>
      <c r="C62" s="20"/>
      <c r="D62" s="20"/>
      <c r="E62" s="20"/>
      <c r="F62" s="20"/>
      <c r="G62" s="20"/>
      <c r="H62" s="20"/>
      <c r="I62" s="20"/>
      <c r="J62" s="20"/>
      <c r="K62" s="20"/>
      <c r="L62" s="114">
        <f>SUM(K8:K9)+SUM(K12:K16)</f>
        <v>240772552</v>
      </c>
      <c r="N62" s="20"/>
    </row>
    <row r="63" spans="1:28" s="79" customFormat="1" ht="15.75" customHeight="1">
      <c r="A63" s="76"/>
      <c r="B63" s="20"/>
      <c r="C63" s="20"/>
      <c r="D63" s="20"/>
      <c r="E63" s="20"/>
      <c r="F63" s="20"/>
      <c r="G63" s="20"/>
      <c r="H63" s="20"/>
      <c r="I63" s="20"/>
      <c r="J63" s="20"/>
      <c r="K63" s="20"/>
      <c r="L63" s="114">
        <f>SUM(L61:L62)</f>
        <v>527520357</v>
      </c>
      <c r="N63" s="20"/>
    </row>
    <row r="65" spans="12:12" ht="15.75" customHeight="1">
      <c r="L65" s="3" t="str">
        <f>IF($L$63+L64&lt;&gt;Input!$D$12,"Error","Balanced")</f>
        <v>Balanced</v>
      </c>
    </row>
  </sheetData>
  <mergeCells count="3">
    <mergeCell ref="B6:L6"/>
    <mergeCell ref="H10:J10"/>
    <mergeCell ref="F18:J18"/>
  </mergeCells>
  <conditionalFormatting sqref="O25:O26">
    <cfRule type="expression" dxfId="23" priority="3">
      <formula>$O$26&lt;&gt;0</formula>
    </cfRule>
  </conditionalFormatting>
  <conditionalFormatting sqref="H10:J10">
    <cfRule type="expression" dxfId="22" priority="1">
      <formula>$O$10&lt;&gt;0</formula>
    </cfRule>
  </conditionalFormatting>
  <conditionalFormatting sqref="F18:J18">
    <cfRule type="expression" dxfId="21" priority="5">
      <formula>OR($S$17&lt;&gt;0,$S$41&lt;&gt;0,$S$54&lt;&gt;0)</formula>
    </cfRule>
  </conditionalFormatting>
  <hyperlinks>
    <hyperlink ref="N1" location="Index!A1" display="Return to Index"/>
  </hyperlinks>
  <printOptions horizontalCentered="1"/>
  <pageMargins left="0.25" right="0.25" top="0.25" bottom="0.25" header="0.5" footer="0.5"/>
  <pageSetup scale="60" pageOrder="overThenDown" orientation="landscape" r:id="rId1"/>
  <headerFooter alignWithMargins="0"/>
  <colBreaks count="1" manualBreakCount="1">
    <brk id="12" max="80" man="1"/>
  </col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pageSetUpPr fitToPage="1"/>
  </sheetPr>
  <dimension ref="A1:AB65"/>
  <sheetViews>
    <sheetView showGridLines="0" zoomScale="75" zoomScaleNormal="75" workbookViewId="0">
      <pane xSplit="4" ySplit="3" topLeftCell="K8" activePane="bottomRight" state="frozen"/>
      <selection pane="topRight" activeCell="E1" sqref="E1"/>
      <selection pane="bottomLeft" activeCell="A4" sqref="A4"/>
      <selection pane="bottomRight" activeCell="P43" sqref="P43"/>
    </sheetView>
  </sheetViews>
  <sheetFormatPr defaultRowHeight="15.75" customHeight="1"/>
  <cols>
    <col min="1" max="1" width="4.7109375" style="1" customWidth="1"/>
    <col min="2" max="2" width="60.140625" style="6" customWidth="1"/>
    <col min="3" max="4" width="3.42578125" style="6" customWidth="1"/>
    <col min="5" max="5" width="10.85546875" style="6" customWidth="1"/>
    <col min="6" max="7" width="16" style="6" customWidth="1"/>
    <col min="8" max="8" width="17.42578125" style="6" customWidth="1"/>
    <col min="9" max="9" width="15.5703125" style="6" customWidth="1"/>
    <col min="10" max="10" width="16" style="6" customWidth="1"/>
    <col min="11" max="11" width="20.28515625" style="6" bestFit="1" customWidth="1"/>
    <col min="12" max="12" width="19.28515625" style="6" customWidth="1"/>
    <col min="13" max="13" width="2.28515625" style="9" customWidth="1"/>
    <col min="14" max="14" width="18.28515625" style="6" customWidth="1"/>
    <col min="15" max="15" width="20.85546875" style="9" customWidth="1"/>
    <col min="16" max="16" width="19.28515625" style="9" customWidth="1"/>
    <col min="17" max="17" width="1.140625" style="9" customWidth="1"/>
    <col min="18" max="19" width="14.42578125" style="9" customWidth="1"/>
    <col min="20" max="20" width="12.7109375" style="9" customWidth="1"/>
    <col min="21" max="21" width="10.7109375" style="9" customWidth="1"/>
    <col min="22" max="22" width="16.85546875" style="9" customWidth="1"/>
    <col min="23" max="23" width="1.85546875" style="9" customWidth="1"/>
    <col min="24" max="24" width="26.42578125" style="9" customWidth="1"/>
    <col min="25" max="25" width="17" style="9" customWidth="1"/>
    <col min="26" max="26" width="16.7109375" style="9" customWidth="1"/>
    <col min="27" max="27" width="18.85546875" style="9" customWidth="1"/>
    <col min="28" max="28" width="22.28515625" style="9" customWidth="1"/>
    <col min="29" max="16384" width="9.140625" style="9"/>
  </cols>
  <sheetData>
    <row r="1" spans="2:28" s="1" customFormat="1" ht="18" customHeight="1" thickBot="1">
      <c r="B1" s="2" t="s">
        <v>498</v>
      </c>
      <c r="C1" s="3"/>
      <c r="D1" s="3"/>
      <c r="E1" s="3"/>
      <c r="F1" s="3"/>
      <c r="G1" s="3"/>
      <c r="H1" s="3"/>
      <c r="I1" s="4"/>
      <c r="J1" s="3"/>
      <c r="K1" s="3"/>
      <c r="L1" s="3"/>
      <c r="M1" s="3"/>
      <c r="N1" s="337" t="s">
        <v>579</v>
      </c>
      <c r="AA1" s="3">
        <v>12</v>
      </c>
      <c r="AB1" s="3">
        <v>13</v>
      </c>
    </row>
    <row r="2" spans="2:28" ht="15.75" customHeight="1">
      <c r="B2" s="2" t="str">
        <f>Input!$B$5</f>
        <v>For the Year Ended August 31, 2010</v>
      </c>
      <c r="C2" s="5"/>
      <c r="D2" s="5"/>
      <c r="E2" s="5"/>
      <c r="G2" s="5"/>
      <c r="H2" s="5"/>
      <c r="I2" s="7"/>
      <c r="J2" s="5"/>
      <c r="K2" s="5"/>
      <c r="L2" s="8"/>
      <c r="N2" s="8"/>
      <c r="O2" s="10"/>
    </row>
    <row r="3" spans="2:28" ht="15.75" customHeight="1">
      <c r="B3" s="2" t="str">
        <f>Input!$B$6</f>
        <v>Source: FY 2010 Research Expenditure Survey</v>
      </c>
      <c r="C3" s="5"/>
      <c r="D3" s="5"/>
      <c r="E3" s="5"/>
      <c r="F3" s="5"/>
      <c r="G3" s="5"/>
      <c r="H3" s="5"/>
      <c r="I3" s="7"/>
      <c r="J3" s="5"/>
      <c r="K3" s="5"/>
      <c r="L3" s="8"/>
      <c r="N3" s="8"/>
    </row>
    <row r="4" spans="2:28" ht="15.75" customHeight="1">
      <c r="B4" s="11"/>
      <c r="C4" s="5"/>
      <c r="D4" s="5"/>
      <c r="E4" s="5"/>
      <c r="F4" s="5"/>
      <c r="G4" s="5"/>
      <c r="H4" s="5"/>
      <c r="I4" s="7"/>
      <c r="J4" s="5"/>
      <c r="K4" s="5"/>
      <c r="L4" s="8"/>
      <c r="N4" s="10" t="s">
        <v>0</v>
      </c>
      <c r="P4" s="12"/>
    </row>
    <row r="5" spans="2:28" ht="15.75" customHeight="1">
      <c r="L5" s="3"/>
      <c r="N5" s="3"/>
    </row>
    <row r="6" spans="2:28" ht="15.75" customHeight="1">
      <c r="B6" s="453" t="str">
        <f>Input!$B$7</f>
        <v>FY 2010</v>
      </c>
      <c r="C6" s="454"/>
      <c r="D6" s="454"/>
      <c r="E6" s="454"/>
      <c r="F6" s="454"/>
      <c r="G6" s="454"/>
      <c r="H6" s="454"/>
      <c r="I6" s="454"/>
      <c r="J6" s="454"/>
      <c r="K6" s="454"/>
      <c r="L6" s="454"/>
      <c r="N6" s="13"/>
    </row>
    <row r="7" spans="2:28" ht="28.5" customHeight="1">
      <c r="B7" s="14" t="s">
        <v>2</v>
      </c>
      <c r="C7" s="15"/>
      <c r="D7" s="15"/>
      <c r="E7" s="15"/>
      <c r="F7" s="15"/>
      <c r="G7" s="15"/>
      <c r="H7" s="15"/>
      <c r="I7" s="15"/>
      <c r="J7" s="15"/>
      <c r="K7" s="16" t="s">
        <v>3</v>
      </c>
      <c r="L7" s="16" t="s">
        <v>4</v>
      </c>
      <c r="N7" s="17"/>
      <c r="O7" s="18"/>
      <c r="P7" s="19"/>
      <c r="Q7" s="19"/>
      <c r="R7" s="19"/>
      <c r="S7" s="19"/>
      <c r="T7" s="19"/>
    </row>
    <row r="8" spans="2:28" ht="15.75" customHeight="1">
      <c r="B8" s="20" t="s">
        <v>5</v>
      </c>
      <c r="C8" s="21"/>
      <c r="D8" s="21"/>
      <c r="E8" s="21"/>
      <c r="F8" s="21"/>
      <c r="G8" s="21"/>
      <c r="H8" s="21"/>
      <c r="I8" s="21"/>
      <c r="J8" s="21"/>
      <c r="K8" s="22">
        <f>L8</f>
        <v>145165310</v>
      </c>
      <c r="L8" s="23">
        <f>Input!$H$13</f>
        <v>145165310</v>
      </c>
      <c r="N8" s="115"/>
      <c r="O8" s="116"/>
      <c r="P8" s="19"/>
      <c r="Q8" s="19"/>
      <c r="R8" s="19"/>
      <c r="S8" s="19"/>
      <c r="T8" s="19"/>
      <c r="AB8" s="24">
        <f>SUM(C8:L8)</f>
        <v>290330620</v>
      </c>
    </row>
    <row r="9" spans="2:28" ht="15.75" customHeight="1">
      <c r="B9" s="20" t="s">
        <v>7</v>
      </c>
      <c r="C9" s="21"/>
      <c r="D9" s="21"/>
      <c r="E9" s="21"/>
      <c r="F9" s="21"/>
      <c r="G9" s="21"/>
      <c r="H9" s="21"/>
      <c r="I9" s="21"/>
      <c r="J9" s="21"/>
      <c r="K9" s="25">
        <f>Input!$F$13</f>
        <v>0</v>
      </c>
      <c r="L9" s="26"/>
      <c r="N9" s="115"/>
      <c r="O9" s="28"/>
      <c r="P9" s="19"/>
      <c r="Q9" s="19"/>
      <c r="R9" s="19"/>
      <c r="S9" s="19"/>
      <c r="T9" s="19"/>
      <c r="AB9" s="24">
        <f>SUM(C9:L9)</f>
        <v>0</v>
      </c>
    </row>
    <row r="10" spans="2:28" ht="15.75" customHeight="1">
      <c r="B10" s="27" t="s">
        <v>8</v>
      </c>
      <c r="C10" s="28"/>
      <c r="D10" s="21"/>
      <c r="E10" s="21"/>
      <c r="F10" s="9"/>
      <c r="G10" s="30"/>
      <c r="H10" s="455" t="str">
        <f>IF(O10&lt;&gt;0,"Out of Balance with SRECNA","")</f>
        <v/>
      </c>
      <c r="I10" s="455"/>
      <c r="J10" s="456"/>
      <c r="K10" s="31">
        <f>SUM(K8:K9)</f>
        <v>145165310</v>
      </c>
      <c r="L10" s="32"/>
      <c r="N10" s="117"/>
      <c r="O10" s="118"/>
      <c r="P10" s="19"/>
      <c r="Q10" s="19"/>
      <c r="R10" s="19"/>
      <c r="S10" s="19"/>
      <c r="T10" s="19"/>
      <c r="AB10" s="24"/>
    </row>
    <row r="11" spans="2:28" ht="15.75" customHeight="1">
      <c r="B11" s="20"/>
      <c r="C11" s="21"/>
      <c r="D11" s="21"/>
      <c r="E11" s="21"/>
      <c r="F11" s="9"/>
      <c r="G11" s="9"/>
      <c r="H11" s="9"/>
      <c r="I11" s="9"/>
      <c r="J11" s="9"/>
      <c r="K11" s="33"/>
      <c r="L11" s="26"/>
      <c r="N11" s="17"/>
      <c r="O11" s="95"/>
      <c r="P11" s="34"/>
      <c r="Q11" s="34"/>
      <c r="R11" s="34"/>
      <c r="S11" s="34"/>
      <c r="T11" s="35"/>
      <c r="AB11" s="24">
        <f t="shared" ref="AB11:AB12" si="0">SUM(C10:L10)</f>
        <v>145165310</v>
      </c>
    </row>
    <row r="12" spans="2:28" ht="15.75" customHeight="1">
      <c r="B12" s="20" t="s">
        <v>9</v>
      </c>
      <c r="C12" s="21"/>
      <c r="D12" s="21"/>
      <c r="E12" s="21"/>
      <c r="F12" s="21"/>
      <c r="G12" s="21"/>
      <c r="H12" s="21"/>
      <c r="I12" s="21"/>
      <c r="J12" s="21"/>
      <c r="K12" s="36">
        <f>Input!$G$13</f>
        <v>0</v>
      </c>
      <c r="L12" s="26"/>
      <c r="N12" s="37"/>
      <c r="O12" s="19"/>
      <c r="P12" s="19"/>
      <c r="Q12" s="19"/>
      <c r="R12" s="19"/>
      <c r="S12" s="19"/>
      <c r="T12" s="19"/>
      <c r="AB12" s="24">
        <f t="shared" si="0"/>
        <v>0</v>
      </c>
    </row>
    <row r="13" spans="2:28" ht="15.75" customHeight="1">
      <c r="B13" s="20" t="s">
        <v>10</v>
      </c>
      <c r="C13" s="21"/>
      <c r="D13" s="21"/>
      <c r="E13" s="21"/>
      <c r="F13" s="21"/>
      <c r="G13" s="21"/>
      <c r="H13" s="21"/>
      <c r="I13" s="21"/>
      <c r="J13" s="21"/>
      <c r="K13" s="33">
        <f>L13</f>
        <v>33528292</v>
      </c>
      <c r="L13" s="36">
        <f>Input!$I$13</f>
        <v>33528292</v>
      </c>
      <c r="N13" s="37"/>
      <c r="O13" s="119"/>
      <c r="AB13" s="24">
        <f>SUM(C13:L13)</f>
        <v>67056584</v>
      </c>
    </row>
    <row r="14" spans="2:28" ht="15.75" customHeight="1">
      <c r="B14" s="20" t="s">
        <v>11</v>
      </c>
      <c r="C14" s="21"/>
      <c r="D14" s="21"/>
      <c r="E14" s="21"/>
      <c r="F14" s="21"/>
      <c r="G14" s="21"/>
      <c r="H14" s="21"/>
      <c r="I14" s="21"/>
      <c r="J14" s="21"/>
      <c r="K14" s="33">
        <f>L14</f>
        <v>6535416</v>
      </c>
      <c r="L14" s="36">
        <f>Input!$J$13</f>
        <v>6535416</v>
      </c>
      <c r="N14" s="17"/>
      <c r="O14" s="28"/>
      <c r="P14" s="19"/>
      <c r="Q14" s="19"/>
      <c r="R14" s="19"/>
      <c r="S14" s="19"/>
      <c r="T14" s="39"/>
      <c r="U14" s="19"/>
      <c r="V14" s="19"/>
      <c r="W14" s="19"/>
      <c r="X14" s="19"/>
      <c r="Y14" s="19"/>
      <c r="Z14" s="19"/>
      <c r="AA14" s="19"/>
      <c r="AB14" s="24">
        <f>SUM(C14:L14)</f>
        <v>13070832</v>
      </c>
    </row>
    <row r="15" spans="2:28" ht="15.75" customHeight="1">
      <c r="B15" s="20" t="s">
        <v>12</v>
      </c>
      <c r="C15" s="21"/>
      <c r="D15" s="21"/>
      <c r="E15" s="21"/>
      <c r="F15" s="21"/>
      <c r="G15" s="21"/>
      <c r="H15" s="21"/>
      <c r="I15" s="21"/>
      <c r="J15" s="21"/>
      <c r="K15" s="40">
        <f>L15</f>
        <v>0</v>
      </c>
      <c r="L15" s="36">
        <f>Input!$K$13</f>
        <v>0</v>
      </c>
      <c r="N15" s="19"/>
      <c r="O15" s="19"/>
      <c r="P15" s="19"/>
      <c r="Q15" s="19"/>
      <c r="R15" s="19"/>
      <c r="S15" s="19"/>
      <c r="T15" s="19"/>
      <c r="U15" s="19"/>
      <c r="V15" s="19"/>
      <c r="W15" s="41"/>
      <c r="X15" s="19"/>
      <c r="Y15" s="19"/>
      <c r="Z15" s="19"/>
      <c r="AA15" s="19"/>
      <c r="AB15" s="24">
        <f>SUM(C15:L15)</f>
        <v>0</v>
      </c>
    </row>
    <row r="16" spans="2:28" ht="15.75" customHeight="1">
      <c r="B16" s="20" t="s">
        <v>13</v>
      </c>
      <c r="C16" s="21"/>
      <c r="D16" s="21"/>
      <c r="E16" s="21"/>
      <c r="F16" s="21"/>
      <c r="G16" s="21"/>
      <c r="H16" s="21"/>
      <c r="I16" s="21"/>
      <c r="J16" s="21"/>
      <c r="K16" s="40">
        <f>L16</f>
        <v>0</v>
      </c>
      <c r="L16" s="36">
        <f>Input!$L$13</f>
        <v>0</v>
      </c>
      <c r="N16" s="28"/>
      <c r="O16" s="42"/>
      <c r="P16" s="19"/>
      <c r="Q16" s="19"/>
      <c r="R16" s="19"/>
      <c r="S16" s="19"/>
      <c r="T16" s="19"/>
      <c r="U16" s="19"/>
      <c r="V16" s="19"/>
      <c r="W16" s="19"/>
      <c r="X16" s="19"/>
      <c r="Y16" s="19"/>
      <c r="Z16" s="19"/>
      <c r="AA16" s="19"/>
      <c r="AB16" s="24">
        <f>SUM(C16:L16)</f>
        <v>0</v>
      </c>
    </row>
    <row r="17" spans="2:28" ht="15.75" customHeight="1">
      <c r="B17" s="43" t="s">
        <v>14</v>
      </c>
      <c r="C17" s="44"/>
      <c r="D17" s="44"/>
      <c r="E17" s="44"/>
      <c r="F17" s="44"/>
      <c r="G17" s="44"/>
      <c r="H17" s="44"/>
      <c r="I17" s="44"/>
      <c r="J17" s="44"/>
      <c r="K17" s="45">
        <f>SUM(K10:K16)</f>
        <v>185229018</v>
      </c>
      <c r="L17" s="46">
        <f>SUM(L8:L16)</f>
        <v>185229018</v>
      </c>
      <c r="N17" s="47"/>
      <c r="O17" s="48"/>
      <c r="P17" s="48"/>
      <c r="Q17" s="48"/>
      <c r="R17" s="49"/>
      <c r="S17" s="50">
        <f>L17-INT(L17)</f>
        <v>0</v>
      </c>
      <c r="T17" s="49">
        <v>0</v>
      </c>
      <c r="U17" s="48">
        <v>0</v>
      </c>
      <c r="V17" s="48">
        <v>0</v>
      </c>
      <c r="W17" s="48"/>
      <c r="X17" s="48"/>
      <c r="Y17" s="51"/>
      <c r="Z17" s="41"/>
      <c r="AA17" s="19"/>
      <c r="AB17" s="44" t="e">
        <f>#REF!+#REF!+#REF!+#REF!</f>
        <v>#REF!</v>
      </c>
    </row>
    <row r="18" spans="2:28" ht="15.75" customHeight="1">
      <c r="C18" s="38"/>
      <c r="D18" s="38"/>
      <c r="E18" s="38"/>
      <c r="F18" s="457" t="str">
        <f>IF(OR(S17&lt;&gt;0,S41&lt;&gt;0,S54&lt;&gt;0),"Do not Enter Cents - Whole Dollars Only","")</f>
        <v/>
      </c>
      <c r="G18" s="457"/>
      <c r="H18" s="457"/>
      <c r="I18" s="457"/>
      <c r="J18" s="457"/>
      <c r="K18" s="38"/>
      <c r="L18" s="38"/>
      <c r="N18" s="47"/>
      <c r="O18" s="48"/>
      <c r="P18" s="48"/>
      <c r="Q18" s="48"/>
      <c r="R18" s="49"/>
      <c r="S18" s="52"/>
      <c r="T18" s="49"/>
      <c r="U18" s="48"/>
      <c r="V18" s="48"/>
      <c r="W18" s="48"/>
      <c r="X18" s="48"/>
      <c r="Y18" s="51"/>
      <c r="Z18" s="41"/>
      <c r="AA18" s="19"/>
    </row>
    <row r="19" spans="2:28" ht="33" customHeight="1">
      <c r="B19" s="14" t="s">
        <v>15</v>
      </c>
      <c r="C19" s="53"/>
      <c r="D19" s="53"/>
      <c r="E19" s="53"/>
      <c r="F19" s="54" t="s">
        <v>16</v>
      </c>
      <c r="G19" s="54" t="s">
        <v>17</v>
      </c>
      <c r="H19" s="54" t="s">
        <v>18</v>
      </c>
      <c r="I19" s="54" t="s">
        <v>19</v>
      </c>
      <c r="J19" s="54" t="s">
        <v>20</v>
      </c>
      <c r="K19" s="54" t="s">
        <v>21</v>
      </c>
      <c r="L19" s="54" t="s">
        <v>22</v>
      </c>
      <c r="N19" s="47"/>
      <c r="O19" s="48"/>
      <c r="P19" s="48"/>
      <c r="Q19" s="48"/>
      <c r="R19" s="49"/>
      <c r="S19" s="52"/>
      <c r="T19" s="49"/>
      <c r="U19" s="48"/>
      <c r="V19" s="48"/>
      <c r="W19" s="48"/>
      <c r="X19" s="48"/>
      <c r="Y19" s="51"/>
      <c r="Z19" s="41"/>
      <c r="AA19" s="19"/>
    </row>
    <row r="20" spans="2:28" ht="15.75" customHeight="1">
      <c r="B20" s="55" t="s">
        <v>23</v>
      </c>
      <c r="C20" s="21"/>
      <c r="D20" s="21"/>
      <c r="F20" s="56">
        <f>Input!$M$13</f>
        <v>0</v>
      </c>
      <c r="G20" s="56">
        <f>Input!$N$13</f>
        <v>0</v>
      </c>
      <c r="H20" s="56">
        <f>Input!$O$13</f>
        <v>0</v>
      </c>
      <c r="I20" s="56">
        <f>Input!$P$13</f>
        <v>0</v>
      </c>
      <c r="J20" s="56">
        <f>Input!$Q$13</f>
        <v>0</v>
      </c>
      <c r="K20" s="56">
        <f>Input!$R$13</f>
        <v>0</v>
      </c>
      <c r="L20" s="57">
        <f>SUM(F20:K20)</f>
        <v>0</v>
      </c>
      <c r="N20" s="58"/>
      <c r="O20" s="59"/>
      <c r="P20" s="60"/>
      <c r="Q20" s="61"/>
      <c r="R20" s="58"/>
      <c r="S20" s="58"/>
      <c r="T20" s="58"/>
      <c r="U20" s="61"/>
      <c r="V20" s="58"/>
      <c r="W20" s="61"/>
      <c r="X20" s="62"/>
      <c r="Y20" s="59"/>
      <c r="Z20" s="61"/>
      <c r="AA20" s="19"/>
      <c r="AB20" s="24">
        <f t="shared" ref="AB20:AB25" si="1">SUM(C20:L20)</f>
        <v>0</v>
      </c>
    </row>
    <row r="21" spans="2:28" ht="15.75" customHeight="1">
      <c r="B21" s="63" t="s">
        <v>24</v>
      </c>
      <c r="C21" s="21"/>
      <c r="D21" s="21"/>
      <c r="F21" s="64">
        <f>Input!$S$13</f>
        <v>0</v>
      </c>
      <c r="G21" s="64">
        <f>Input!$T$13</f>
        <v>0</v>
      </c>
      <c r="H21" s="64">
        <f>Input!$U$13</f>
        <v>0</v>
      </c>
      <c r="I21" s="64">
        <f>Input!$V$13</f>
        <v>0</v>
      </c>
      <c r="J21" s="64">
        <f>Input!$W$13</f>
        <v>0</v>
      </c>
      <c r="K21" s="64">
        <f>Input!$X$13</f>
        <v>0</v>
      </c>
      <c r="L21" s="65">
        <f t="shared" ref="L21:L40" si="2">SUM(F21:K21)</f>
        <v>0</v>
      </c>
      <c r="N21" s="66"/>
      <c r="O21" s="67"/>
      <c r="P21" s="68"/>
      <c r="Q21" s="69"/>
      <c r="R21" s="70"/>
      <c r="S21" s="70"/>
      <c r="T21" s="70"/>
      <c r="U21" s="69"/>
      <c r="V21" s="71"/>
      <c r="W21" s="61"/>
      <c r="X21" s="62"/>
      <c r="Y21" s="67"/>
      <c r="Z21" s="69"/>
      <c r="AA21" s="19"/>
      <c r="AB21" s="24">
        <f t="shared" si="1"/>
        <v>0</v>
      </c>
    </row>
    <row r="22" spans="2:28" ht="15.75" customHeight="1">
      <c r="B22" s="55" t="s">
        <v>25</v>
      </c>
      <c r="C22" s="21"/>
      <c r="D22" s="21"/>
      <c r="F22" s="64">
        <f>Input!$Y$13</f>
        <v>0</v>
      </c>
      <c r="G22" s="64">
        <f>Input!$Z$13</f>
        <v>0</v>
      </c>
      <c r="H22" s="64">
        <f>Input!$AA$13</f>
        <v>0</v>
      </c>
      <c r="I22" s="64">
        <f>Input!$AB$13</f>
        <v>0</v>
      </c>
      <c r="J22" s="64">
        <f>Input!$AC$13</f>
        <v>0</v>
      </c>
      <c r="K22" s="64">
        <f>Input!$AD$13</f>
        <v>0</v>
      </c>
      <c r="L22" s="65">
        <f t="shared" si="2"/>
        <v>0</v>
      </c>
      <c r="N22" s="66"/>
      <c r="O22" s="67"/>
      <c r="P22" s="72"/>
      <c r="Q22" s="69"/>
      <c r="R22" s="70"/>
      <c r="S22" s="70"/>
      <c r="T22" s="70"/>
      <c r="U22" s="69"/>
      <c r="V22" s="70"/>
      <c r="W22" s="69"/>
      <c r="X22" s="62"/>
      <c r="Y22" s="67"/>
      <c r="Z22" s="69"/>
      <c r="AA22" s="19"/>
      <c r="AB22" s="24">
        <f t="shared" si="1"/>
        <v>0</v>
      </c>
    </row>
    <row r="23" spans="2:28" ht="15.75" customHeight="1">
      <c r="B23" s="55" t="s">
        <v>26</v>
      </c>
      <c r="C23" s="21"/>
      <c r="D23" s="21"/>
      <c r="F23" s="64">
        <f>Input!$AE$13</f>
        <v>0</v>
      </c>
      <c r="G23" s="64">
        <f>Input!$AF$13</f>
        <v>0</v>
      </c>
      <c r="H23" s="64">
        <f>Input!$AG$13</f>
        <v>0</v>
      </c>
      <c r="I23" s="64">
        <f>Input!$AH$13</f>
        <v>0</v>
      </c>
      <c r="J23" s="64">
        <f>Input!$AI$13</f>
        <v>0</v>
      </c>
      <c r="K23" s="64">
        <f>Input!$AJ$13</f>
        <v>0</v>
      </c>
      <c r="L23" s="65">
        <f t="shared" si="2"/>
        <v>0</v>
      </c>
      <c r="N23" s="66"/>
      <c r="O23" s="67"/>
      <c r="P23" s="68"/>
      <c r="Q23" s="69"/>
      <c r="R23" s="70"/>
      <c r="S23" s="70"/>
      <c r="T23" s="70"/>
      <c r="U23" s="69"/>
      <c r="V23" s="70"/>
      <c r="W23" s="69"/>
      <c r="X23" s="62"/>
      <c r="Y23" s="67"/>
      <c r="Z23" s="69"/>
      <c r="AA23" s="19"/>
      <c r="AB23" s="24">
        <f t="shared" si="1"/>
        <v>0</v>
      </c>
    </row>
    <row r="24" spans="2:28" ht="15.75" customHeight="1">
      <c r="B24" s="55" t="s">
        <v>27</v>
      </c>
      <c r="C24" s="21"/>
      <c r="D24" s="21"/>
      <c r="F24" s="64">
        <f>Input!$AK$13</f>
        <v>0</v>
      </c>
      <c r="G24" s="64">
        <f>Input!$AL$13</f>
        <v>0</v>
      </c>
      <c r="H24" s="64">
        <f>Input!$AM$13</f>
        <v>0</v>
      </c>
      <c r="I24" s="64">
        <f>Input!$AN$13</f>
        <v>0</v>
      </c>
      <c r="J24" s="64">
        <f>Input!$AO$13</f>
        <v>0</v>
      </c>
      <c r="K24" s="64">
        <f>Input!$AP$13</f>
        <v>0</v>
      </c>
      <c r="L24" s="65">
        <f t="shared" si="2"/>
        <v>0</v>
      </c>
      <c r="N24" s="66"/>
      <c r="O24" s="67"/>
      <c r="P24" s="68"/>
      <c r="Q24" s="69"/>
      <c r="R24" s="70"/>
      <c r="S24" s="70"/>
      <c r="T24" s="70"/>
      <c r="U24" s="69"/>
      <c r="V24" s="70"/>
      <c r="W24" s="69"/>
      <c r="X24" s="62"/>
      <c r="Y24" s="67"/>
      <c r="Z24" s="69"/>
      <c r="AA24" s="19"/>
      <c r="AB24" s="24">
        <f t="shared" si="1"/>
        <v>0</v>
      </c>
    </row>
    <row r="25" spans="2:28" ht="15.75" customHeight="1">
      <c r="B25" s="55" t="s">
        <v>28</v>
      </c>
      <c r="C25" s="21"/>
      <c r="D25" s="21"/>
      <c r="F25" s="64">
        <f>Input!$AQ$13</f>
        <v>0</v>
      </c>
      <c r="G25" s="64">
        <f>Input!$AR$13</f>
        <v>0</v>
      </c>
      <c r="H25" s="64">
        <f>Input!$AS$13</f>
        <v>0</v>
      </c>
      <c r="I25" s="64">
        <f>Input!$AT$13</f>
        <v>0</v>
      </c>
      <c r="J25" s="64">
        <f>Input!$AU$13</f>
        <v>0</v>
      </c>
      <c r="K25" s="64">
        <f>Input!$AV$13</f>
        <v>0</v>
      </c>
      <c r="L25" s="65">
        <f t="shared" si="2"/>
        <v>0</v>
      </c>
      <c r="N25" s="66"/>
      <c r="O25" s="73" t="s">
        <v>6</v>
      </c>
      <c r="P25" s="68"/>
      <c r="Q25" s="69"/>
      <c r="R25" s="70"/>
      <c r="S25" s="70"/>
      <c r="T25" s="70"/>
      <c r="U25" s="69"/>
      <c r="V25" s="70"/>
      <c r="W25" s="69"/>
      <c r="X25" s="62"/>
      <c r="Y25" s="67"/>
      <c r="Z25" s="69"/>
      <c r="AA25" s="19"/>
      <c r="AB25" s="24">
        <f t="shared" si="1"/>
        <v>0</v>
      </c>
    </row>
    <row r="26" spans="2:28" ht="15.75" customHeight="1">
      <c r="B26" s="55" t="s">
        <v>29</v>
      </c>
      <c r="C26" s="21"/>
      <c r="D26" s="21"/>
      <c r="F26" s="64">
        <f>Input!$AW$13</f>
        <v>121723410</v>
      </c>
      <c r="G26" s="64">
        <f>Input!$AX$13</f>
        <v>6240743</v>
      </c>
      <c r="H26" s="64">
        <f>Input!$AY$13</f>
        <v>708627</v>
      </c>
      <c r="I26" s="64">
        <f>Input!$AZ$13</f>
        <v>20876076</v>
      </c>
      <c r="J26" s="64">
        <f>Input!$BA$13</f>
        <v>22353048</v>
      </c>
      <c r="K26" s="64">
        <f>Input!$BB$13</f>
        <v>13327114</v>
      </c>
      <c r="L26" s="65">
        <f t="shared" si="2"/>
        <v>185229018</v>
      </c>
      <c r="N26" s="74" t="str">
        <f>IF(O26&lt;&gt;0,"Out of Balance","Balanced")</f>
        <v>Balanced</v>
      </c>
      <c r="O26" s="75">
        <f>L17-L41</f>
        <v>0</v>
      </c>
      <c r="Q26" s="69"/>
      <c r="R26" s="70"/>
      <c r="S26" s="70"/>
      <c r="T26" s="70"/>
      <c r="U26" s="69"/>
      <c r="V26" s="70"/>
      <c r="W26" s="69"/>
      <c r="X26" s="62"/>
      <c r="Y26" s="67"/>
      <c r="Z26" s="69"/>
      <c r="AA26" s="19"/>
      <c r="AB26" s="24"/>
    </row>
    <row r="27" spans="2:28" ht="15.75" customHeight="1">
      <c r="B27" s="55" t="s">
        <v>30</v>
      </c>
      <c r="C27" s="21"/>
      <c r="D27" s="21"/>
      <c r="F27" s="64">
        <f>Input!$BC$13</f>
        <v>0</v>
      </c>
      <c r="G27" s="64">
        <f>Input!$BD$13</f>
        <v>0</v>
      </c>
      <c r="H27" s="64">
        <f>Input!$BE$13</f>
        <v>0</v>
      </c>
      <c r="I27" s="64">
        <f>Input!$BF$13</f>
        <v>0</v>
      </c>
      <c r="J27" s="64">
        <f>Input!$BG$13</f>
        <v>0</v>
      </c>
      <c r="K27" s="64">
        <f>Input!$BH$13</f>
        <v>0</v>
      </c>
      <c r="L27" s="65">
        <f t="shared" si="2"/>
        <v>0</v>
      </c>
      <c r="N27" s="66"/>
      <c r="O27" s="67"/>
      <c r="P27" s="68"/>
      <c r="Q27" s="69"/>
      <c r="R27" s="70"/>
      <c r="S27" s="70"/>
      <c r="T27" s="70"/>
      <c r="U27" s="69"/>
      <c r="V27" s="70"/>
      <c r="W27" s="69"/>
      <c r="X27" s="62"/>
      <c r="Y27" s="67"/>
      <c r="Z27" s="69"/>
      <c r="AA27" s="19"/>
      <c r="AB27" s="24"/>
    </row>
    <row r="28" spans="2:28" ht="15.75" customHeight="1">
      <c r="B28" s="63" t="s">
        <v>31</v>
      </c>
      <c r="C28" s="21"/>
      <c r="D28" s="21"/>
      <c r="F28" s="64">
        <f>Input!$BI$13</f>
        <v>0</v>
      </c>
      <c r="G28" s="64">
        <f>Input!$BJ$13</f>
        <v>0</v>
      </c>
      <c r="H28" s="64">
        <f>Input!$BK$13</f>
        <v>0</v>
      </c>
      <c r="I28" s="64">
        <f>Input!$BL$13</f>
        <v>0</v>
      </c>
      <c r="J28" s="64">
        <f>Input!$BM$13</f>
        <v>0</v>
      </c>
      <c r="K28" s="64">
        <f>Input!$BN$13</f>
        <v>0</v>
      </c>
      <c r="L28" s="65">
        <f t="shared" si="2"/>
        <v>0</v>
      </c>
      <c r="N28" s="66"/>
      <c r="O28" s="67"/>
      <c r="P28" s="68"/>
      <c r="Q28" s="69"/>
      <c r="R28" s="70"/>
      <c r="S28" s="70"/>
      <c r="T28" s="70"/>
      <c r="U28" s="69"/>
      <c r="V28" s="70"/>
      <c r="W28" s="69"/>
      <c r="X28" s="62"/>
      <c r="Y28" s="67"/>
      <c r="Z28" s="69"/>
      <c r="AA28" s="19"/>
      <c r="AB28" s="24"/>
    </row>
    <row r="29" spans="2:28" ht="15.75" customHeight="1">
      <c r="B29" s="63" t="s">
        <v>32</v>
      </c>
      <c r="C29" s="21"/>
      <c r="D29" s="21"/>
      <c r="F29" s="64">
        <f>Input!$BO$13</f>
        <v>0</v>
      </c>
      <c r="G29" s="64">
        <f>Input!$BP$13</f>
        <v>0</v>
      </c>
      <c r="H29" s="64">
        <f>Input!$BQ$13</f>
        <v>0</v>
      </c>
      <c r="I29" s="64">
        <f>Input!$BR$13</f>
        <v>0</v>
      </c>
      <c r="J29" s="64">
        <f>Input!$BS$13</f>
        <v>0</v>
      </c>
      <c r="K29" s="64">
        <f>Input!$BT$13</f>
        <v>0</v>
      </c>
      <c r="L29" s="65">
        <f t="shared" si="2"/>
        <v>0</v>
      </c>
      <c r="N29" s="66"/>
      <c r="O29" s="67"/>
      <c r="P29" s="68"/>
      <c r="Q29" s="69"/>
      <c r="R29" s="70"/>
      <c r="S29" s="70"/>
      <c r="T29" s="70"/>
      <c r="U29" s="69"/>
      <c r="V29" s="70"/>
      <c r="W29" s="69"/>
      <c r="X29" s="62"/>
      <c r="Y29" s="67"/>
      <c r="Z29" s="69"/>
      <c r="AA29" s="19"/>
      <c r="AB29" s="24"/>
    </row>
    <row r="30" spans="2:28" ht="15.75" customHeight="1">
      <c r="B30" s="63" t="s">
        <v>33</v>
      </c>
      <c r="C30" s="21"/>
      <c r="D30" s="21"/>
      <c r="F30" s="64">
        <f>Input!$BU$13</f>
        <v>0</v>
      </c>
      <c r="G30" s="64">
        <f>Input!$BV$13</f>
        <v>0</v>
      </c>
      <c r="H30" s="64">
        <f>Input!$BW$13</f>
        <v>0</v>
      </c>
      <c r="I30" s="64">
        <f>Input!$BX$13</f>
        <v>0</v>
      </c>
      <c r="J30" s="64">
        <f>Input!$BY$13</f>
        <v>0</v>
      </c>
      <c r="K30" s="64">
        <f>Input!$BZ$13</f>
        <v>0</v>
      </c>
      <c r="L30" s="65">
        <f t="shared" si="2"/>
        <v>0</v>
      </c>
      <c r="N30" s="66"/>
      <c r="O30" s="67"/>
      <c r="P30" s="68"/>
      <c r="Q30" s="69"/>
      <c r="R30" s="70"/>
      <c r="S30" s="70"/>
      <c r="T30" s="70"/>
      <c r="U30" s="69"/>
      <c r="V30" s="70"/>
      <c r="W30" s="69"/>
      <c r="X30" s="62"/>
      <c r="Y30" s="67"/>
      <c r="Z30" s="69"/>
      <c r="AA30" s="19"/>
      <c r="AB30" s="24"/>
    </row>
    <row r="31" spans="2:28" ht="15.75" customHeight="1">
      <c r="B31" s="63" t="s">
        <v>34</v>
      </c>
      <c r="C31" s="21"/>
      <c r="D31" s="21"/>
      <c r="F31" s="64">
        <f>Input!$CA$13</f>
        <v>0</v>
      </c>
      <c r="G31" s="64">
        <f>Input!$CB$13</f>
        <v>0</v>
      </c>
      <c r="H31" s="64">
        <f>Input!$CC$13</f>
        <v>0</v>
      </c>
      <c r="I31" s="64">
        <f>Input!$CD$13</f>
        <v>0</v>
      </c>
      <c r="J31" s="64">
        <f>Input!$CE$13</f>
        <v>0</v>
      </c>
      <c r="K31" s="64">
        <f>Input!$CF$13</f>
        <v>0</v>
      </c>
      <c r="L31" s="65">
        <f t="shared" si="2"/>
        <v>0</v>
      </c>
      <c r="N31" s="66"/>
      <c r="O31" s="67"/>
      <c r="P31" s="68"/>
      <c r="Q31" s="69"/>
      <c r="R31" s="70"/>
      <c r="S31" s="70"/>
      <c r="T31" s="70"/>
      <c r="U31" s="69"/>
      <c r="V31" s="70"/>
      <c r="W31" s="69"/>
      <c r="X31" s="62"/>
      <c r="Y31" s="67"/>
      <c r="Z31" s="69"/>
      <c r="AA31" s="19"/>
      <c r="AB31" s="24"/>
    </row>
    <row r="32" spans="2:28" ht="15.75" customHeight="1">
      <c r="B32" s="63" t="s">
        <v>35</v>
      </c>
      <c r="C32" s="21"/>
      <c r="D32" s="21"/>
      <c r="F32" s="64">
        <f>Input!$CG$13</f>
        <v>0</v>
      </c>
      <c r="G32" s="64">
        <f>Input!$CH$13</f>
        <v>0</v>
      </c>
      <c r="H32" s="64">
        <f>Input!$CI$13</f>
        <v>0</v>
      </c>
      <c r="I32" s="64">
        <f>Input!$CJ$13</f>
        <v>0</v>
      </c>
      <c r="J32" s="64">
        <f>Input!$CK$13</f>
        <v>0</v>
      </c>
      <c r="K32" s="64">
        <f>Input!$CL$13</f>
        <v>0</v>
      </c>
      <c r="L32" s="65">
        <f t="shared" si="2"/>
        <v>0</v>
      </c>
      <c r="N32" s="66"/>
      <c r="O32" s="67"/>
      <c r="P32" s="68"/>
      <c r="Q32" s="69"/>
      <c r="R32" s="70"/>
      <c r="S32" s="70"/>
      <c r="T32" s="70"/>
      <c r="U32" s="69"/>
      <c r="V32" s="70"/>
      <c r="W32" s="69"/>
      <c r="X32" s="62"/>
      <c r="Y32" s="67"/>
      <c r="Z32" s="69"/>
      <c r="AA32" s="19"/>
      <c r="AB32" s="24"/>
    </row>
    <row r="33" spans="1:28" ht="15.75" customHeight="1">
      <c r="B33" s="55" t="s">
        <v>36</v>
      </c>
      <c r="C33" s="21"/>
      <c r="D33" s="21"/>
      <c r="F33" s="64">
        <f>Input!$CM$13</f>
        <v>0</v>
      </c>
      <c r="G33" s="64">
        <f>Input!$CN$13</f>
        <v>0</v>
      </c>
      <c r="H33" s="64">
        <f>Input!$CO$13</f>
        <v>0</v>
      </c>
      <c r="I33" s="64">
        <f>Input!$CP$13</f>
        <v>0</v>
      </c>
      <c r="J33" s="64">
        <f>Input!$CQ$13</f>
        <v>0</v>
      </c>
      <c r="K33" s="64">
        <f>Input!$CR$13</f>
        <v>0</v>
      </c>
      <c r="L33" s="65">
        <f t="shared" si="2"/>
        <v>0</v>
      </c>
      <c r="N33" s="66"/>
      <c r="O33" s="67"/>
      <c r="P33" s="68"/>
      <c r="Q33" s="69"/>
      <c r="R33" s="70"/>
      <c r="S33" s="70"/>
      <c r="T33" s="70"/>
      <c r="U33" s="69"/>
      <c r="V33" s="70"/>
      <c r="W33" s="69"/>
      <c r="X33" s="62"/>
      <c r="Y33" s="67"/>
      <c r="Z33" s="69"/>
      <c r="AA33" s="19"/>
      <c r="AB33" s="24"/>
    </row>
    <row r="34" spans="1:28" ht="15.75" customHeight="1">
      <c r="B34" s="55" t="s">
        <v>37</v>
      </c>
      <c r="C34" s="21"/>
      <c r="D34" s="21"/>
      <c r="F34" s="64">
        <f>Input!$CS$13</f>
        <v>0</v>
      </c>
      <c r="G34" s="64">
        <f>Input!$CT$13</f>
        <v>0</v>
      </c>
      <c r="H34" s="64">
        <f>Input!$CU$13</f>
        <v>0</v>
      </c>
      <c r="I34" s="64">
        <f>Input!$CV$13</f>
        <v>0</v>
      </c>
      <c r="J34" s="64">
        <f>Input!$CW$13</f>
        <v>0</v>
      </c>
      <c r="K34" s="64">
        <f>Input!$CX$13</f>
        <v>0</v>
      </c>
      <c r="L34" s="65">
        <f t="shared" si="2"/>
        <v>0</v>
      </c>
      <c r="N34" s="66"/>
      <c r="O34" s="67"/>
      <c r="P34" s="68"/>
      <c r="Q34" s="69"/>
      <c r="R34" s="70"/>
      <c r="S34" s="70"/>
      <c r="T34" s="70"/>
      <c r="U34" s="69"/>
      <c r="V34" s="70"/>
      <c r="W34" s="69"/>
      <c r="X34" s="62"/>
      <c r="Y34" s="67"/>
      <c r="Z34" s="69"/>
      <c r="AA34" s="19"/>
      <c r="AB34" s="24"/>
    </row>
    <row r="35" spans="1:28" s="79" customFormat="1" ht="15.75" customHeight="1">
      <c r="A35" s="76"/>
      <c r="B35" s="77" t="s">
        <v>38</v>
      </c>
      <c r="C35" s="78"/>
      <c r="D35" s="78"/>
      <c r="E35" s="20"/>
      <c r="F35" s="64">
        <f>Input!$CY$13</f>
        <v>0</v>
      </c>
      <c r="G35" s="64">
        <f>Input!$CZ$13</f>
        <v>0</v>
      </c>
      <c r="H35" s="64">
        <f>Input!$DA$13</f>
        <v>0</v>
      </c>
      <c r="I35" s="64">
        <f>Input!$DB$13</f>
        <v>0</v>
      </c>
      <c r="J35" s="64">
        <f>Input!$DC$13</f>
        <v>0</v>
      </c>
      <c r="K35" s="64">
        <f>Input!$DD$13</f>
        <v>0</v>
      </c>
      <c r="L35" s="65">
        <f t="shared" si="2"/>
        <v>0</v>
      </c>
      <c r="N35" s="66"/>
      <c r="O35" s="67"/>
      <c r="P35" s="80"/>
      <c r="Q35" s="81"/>
      <c r="R35" s="70"/>
      <c r="S35" s="70"/>
      <c r="T35" s="70"/>
      <c r="U35" s="81"/>
      <c r="V35" s="70"/>
      <c r="W35" s="81"/>
      <c r="X35" s="62"/>
      <c r="Y35" s="67"/>
      <c r="Z35" s="81"/>
      <c r="AA35" s="82"/>
      <c r="AB35" s="83"/>
    </row>
    <row r="36" spans="1:28" s="79" customFormat="1" ht="15.75" customHeight="1">
      <c r="A36" s="76"/>
      <c r="B36" s="77" t="s">
        <v>39</v>
      </c>
      <c r="C36" s="78"/>
      <c r="D36" s="78"/>
      <c r="E36" s="20"/>
      <c r="F36" s="64">
        <f>Input!$DE$13</f>
        <v>0</v>
      </c>
      <c r="G36" s="64">
        <f>Input!$DF$13</f>
        <v>0</v>
      </c>
      <c r="H36" s="64">
        <f>Input!$DG$13</f>
        <v>0</v>
      </c>
      <c r="I36" s="64">
        <f>Input!$DH$13</f>
        <v>0</v>
      </c>
      <c r="J36" s="64">
        <f>Input!$DI$13</f>
        <v>0</v>
      </c>
      <c r="K36" s="64">
        <f>Input!$DJ$13</f>
        <v>0</v>
      </c>
      <c r="L36" s="65">
        <f t="shared" si="2"/>
        <v>0</v>
      </c>
      <c r="N36" s="66"/>
      <c r="O36" s="67"/>
      <c r="P36" s="80"/>
      <c r="Q36" s="81"/>
      <c r="R36" s="70"/>
      <c r="S36" s="70"/>
      <c r="T36" s="70"/>
      <c r="U36" s="81"/>
      <c r="V36" s="70"/>
      <c r="W36" s="81"/>
      <c r="X36" s="62"/>
      <c r="Y36" s="67"/>
      <c r="Z36" s="81"/>
      <c r="AA36" s="82"/>
      <c r="AB36" s="83"/>
    </row>
    <row r="37" spans="1:28" s="79" customFormat="1" ht="15.75" customHeight="1">
      <c r="A37" s="76"/>
      <c r="B37" s="77" t="s">
        <v>40</v>
      </c>
      <c r="C37" s="78"/>
      <c r="D37" s="78"/>
      <c r="E37" s="20"/>
      <c r="F37" s="64">
        <f>Input!$DK$13</f>
        <v>0</v>
      </c>
      <c r="G37" s="64">
        <f>Input!$DL$13</f>
        <v>0</v>
      </c>
      <c r="H37" s="64">
        <f>Input!$DM$13</f>
        <v>0</v>
      </c>
      <c r="I37" s="64">
        <f>Input!$DN$13</f>
        <v>0</v>
      </c>
      <c r="J37" s="64">
        <f>Input!$DO$13</f>
        <v>0</v>
      </c>
      <c r="K37" s="64">
        <f>Input!$DP$13</f>
        <v>0</v>
      </c>
      <c r="L37" s="65">
        <f t="shared" si="2"/>
        <v>0</v>
      </c>
      <c r="N37" s="66"/>
      <c r="O37" s="67"/>
      <c r="P37" s="80"/>
      <c r="Q37" s="81"/>
      <c r="R37" s="70"/>
      <c r="S37" s="70"/>
      <c r="T37" s="70"/>
      <c r="U37" s="81"/>
      <c r="V37" s="70"/>
      <c r="W37" s="81"/>
      <c r="X37" s="62"/>
      <c r="Y37" s="67"/>
      <c r="Z37" s="81"/>
      <c r="AA37" s="82"/>
      <c r="AB37" s="83"/>
    </row>
    <row r="38" spans="1:28" s="79" customFormat="1" ht="15.75" customHeight="1">
      <c r="A38" s="76"/>
      <c r="B38" s="77" t="s">
        <v>41</v>
      </c>
      <c r="C38" s="78"/>
      <c r="D38" s="78"/>
      <c r="E38" s="20"/>
      <c r="F38" s="64">
        <f>Input!$DQ$13</f>
        <v>0</v>
      </c>
      <c r="G38" s="64">
        <f>Input!$DR$13</f>
        <v>0</v>
      </c>
      <c r="H38" s="64">
        <f>Input!$DS$13</f>
        <v>0</v>
      </c>
      <c r="I38" s="64">
        <f>Input!$DT$13</f>
        <v>0</v>
      </c>
      <c r="J38" s="64">
        <f>Input!$DU$13</f>
        <v>0</v>
      </c>
      <c r="K38" s="64">
        <f>Input!$DV$13</f>
        <v>0</v>
      </c>
      <c r="L38" s="65">
        <f t="shared" si="2"/>
        <v>0</v>
      </c>
      <c r="N38" s="66"/>
      <c r="O38" s="67"/>
      <c r="P38" s="80"/>
      <c r="Q38" s="81"/>
      <c r="R38" s="70"/>
      <c r="S38" s="70"/>
      <c r="T38" s="70"/>
      <c r="U38" s="81"/>
      <c r="V38" s="70"/>
      <c r="W38" s="81"/>
      <c r="X38" s="62"/>
      <c r="Y38" s="67"/>
      <c r="Z38" s="81"/>
      <c r="AA38" s="82"/>
      <c r="AB38" s="83"/>
    </row>
    <row r="39" spans="1:28" s="79" customFormat="1" ht="15.75" customHeight="1">
      <c r="A39" s="76"/>
      <c r="B39" s="77" t="s">
        <v>42</v>
      </c>
      <c r="C39" s="78"/>
      <c r="D39" s="78"/>
      <c r="E39" s="20"/>
      <c r="F39" s="64">
        <f>Input!$DW$13</f>
        <v>0</v>
      </c>
      <c r="G39" s="64">
        <f>Input!$DX$13</f>
        <v>0</v>
      </c>
      <c r="H39" s="64">
        <f>Input!$DY$13</f>
        <v>0</v>
      </c>
      <c r="I39" s="64">
        <f>Input!$DZ$13</f>
        <v>0</v>
      </c>
      <c r="J39" s="64">
        <f>Input!$EA$13</f>
        <v>0</v>
      </c>
      <c r="K39" s="64">
        <f>Input!$EB$13</f>
        <v>0</v>
      </c>
      <c r="L39" s="65">
        <f t="shared" si="2"/>
        <v>0</v>
      </c>
      <c r="N39" s="66"/>
      <c r="O39" s="67"/>
      <c r="P39" s="80"/>
      <c r="Q39" s="81"/>
      <c r="R39" s="70"/>
      <c r="S39" s="70"/>
      <c r="T39" s="70"/>
      <c r="U39" s="81"/>
      <c r="V39" s="70"/>
      <c r="W39" s="81"/>
      <c r="X39" s="62"/>
      <c r="Y39" s="67"/>
      <c r="Z39" s="81"/>
      <c r="AA39" s="82"/>
      <c r="AB39" s="83"/>
    </row>
    <row r="40" spans="1:28" ht="15.75" customHeight="1">
      <c r="A40" s="76"/>
      <c r="B40" s="55" t="s">
        <v>43</v>
      </c>
      <c r="C40" s="21"/>
      <c r="D40" s="21"/>
      <c r="E40" s="21"/>
      <c r="F40" s="84">
        <f>Input!$EC$13</f>
        <v>0</v>
      </c>
      <c r="G40" s="84">
        <f>Input!$ED$13</f>
        <v>0</v>
      </c>
      <c r="H40" s="84">
        <f>Input!$EE$13</f>
        <v>0</v>
      </c>
      <c r="I40" s="84">
        <f>Input!$EF$13</f>
        <v>0</v>
      </c>
      <c r="J40" s="84">
        <f>Input!$EG$13</f>
        <v>0</v>
      </c>
      <c r="K40" s="84">
        <f>Input!$EH$13</f>
        <v>0</v>
      </c>
      <c r="L40" s="65">
        <f t="shared" si="2"/>
        <v>0</v>
      </c>
      <c r="N40" s="66"/>
      <c r="O40" s="317" t="s">
        <v>633</v>
      </c>
      <c r="P40" s="41" t="s">
        <v>634</v>
      </c>
      <c r="Q40" s="85"/>
      <c r="R40" s="70"/>
      <c r="S40" s="70"/>
      <c r="T40" s="70"/>
      <c r="U40" s="69"/>
      <c r="V40" s="70"/>
      <c r="W40" s="69"/>
      <c r="X40" s="62"/>
      <c r="Y40" s="67"/>
      <c r="Z40" s="69"/>
      <c r="AA40" s="19"/>
      <c r="AB40" s="24">
        <f>SUM(C40:L40)</f>
        <v>0</v>
      </c>
    </row>
    <row r="41" spans="1:28" ht="15.75" customHeight="1">
      <c r="A41" s="76"/>
      <c r="B41" s="43" t="s">
        <v>44</v>
      </c>
      <c r="C41" s="44"/>
      <c r="D41" s="44"/>
      <c r="E41" s="44"/>
      <c r="F41" s="86">
        <f t="shared" ref="F41:L41" si="3">SUM(F20:F40)</f>
        <v>121723410</v>
      </c>
      <c r="G41" s="86">
        <f t="shared" si="3"/>
        <v>6240743</v>
      </c>
      <c r="H41" s="86">
        <f t="shared" si="3"/>
        <v>708627</v>
      </c>
      <c r="I41" s="86">
        <f t="shared" si="3"/>
        <v>20876076</v>
      </c>
      <c r="J41" s="86">
        <f t="shared" si="3"/>
        <v>22353048</v>
      </c>
      <c r="K41" s="86">
        <f t="shared" si="3"/>
        <v>13327114</v>
      </c>
      <c r="L41" s="87">
        <f t="shared" si="3"/>
        <v>185229018</v>
      </c>
      <c r="N41" s="88"/>
      <c r="O41" s="308" t="s">
        <v>628</v>
      </c>
      <c r="P41" s="309" t="s">
        <v>17</v>
      </c>
      <c r="Q41" s="89"/>
      <c r="R41" s="89"/>
      <c r="S41" s="50">
        <f>L41-INT(L41)</f>
        <v>0</v>
      </c>
      <c r="T41" s="61"/>
      <c r="U41" s="90"/>
      <c r="V41" s="61"/>
      <c r="W41" s="61"/>
      <c r="X41" s="85"/>
      <c r="Y41" s="60"/>
      <c r="Z41" s="91"/>
      <c r="AA41" s="19"/>
      <c r="AB41" s="44">
        <f>SUM(AB20:AB40)</f>
        <v>0</v>
      </c>
    </row>
    <row r="42" spans="1:28" ht="15.75" customHeight="1">
      <c r="A42" s="76"/>
      <c r="C42" s="38"/>
      <c r="D42" s="38"/>
      <c r="F42" s="38"/>
      <c r="G42" s="310" t="s">
        <v>629</v>
      </c>
      <c r="H42" s="311">
        <f>H41+G41</f>
        <v>6949370</v>
      </c>
      <c r="I42" s="53"/>
      <c r="J42" s="310" t="s">
        <v>630</v>
      </c>
      <c r="K42" s="311">
        <f>K41+J41</f>
        <v>35680162</v>
      </c>
      <c r="L42" s="310" t="s">
        <v>631</v>
      </c>
      <c r="M42" s="312"/>
      <c r="N42" s="313">
        <f>K42+F41</f>
        <v>157403572</v>
      </c>
      <c r="O42" s="314">
        <f>ROUND((N42/P42)*100,2)</f>
        <v>235.5</v>
      </c>
      <c r="P42" s="93">
        <f>Input!$GR$13</f>
        <v>66838749</v>
      </c>
      <c r="Q42" s="92"/>
      <c r="R42" s="92"/>
      <c r="S42" s="92"/>
      <c r="T42" s="94"/>
      <c r="U42" s="95"/>
      <c r="V42" s="96"/>
      <c r="W42" s="92"/>
      <c r="X42" s="92"/>
      <c r="Y42" s="92"/>
      <c r="Z42" s="92" t="str">
        <f>IF(Z41&lt;&gt;0,"Out of Balance","")</f>
        <v/>
      </c>
    </row>
    <row r="43" spans="1:28" ht="15.75" customHeight="1">
      <c r="A43" s="76"/>
      <c r="B43" s="14" t="s">
        <v>45</v>
      </c>
      <c r="C43" s="53"/>
      <c r="D43" s="53"/>
      <c r="E43" s="53"/>
      <c r="F43" s="53"/>
      <c r="G43" s="315"/>
      <c r="H43" s="315"/>
      <c r="I43" s="315"/>
      <c r="J43" s="315"/>
      <c r="K43" s="315"/>
      <c r="L43" s="315"/>
      <c r="O43" s="316" t="s">
        <v>632</v>
      </c>
      <c r="Q43" s="92"/>
      <c r="R43" s="92"/>
      <c r="S43" s="92"/>
      <c r="T43" s="94"/>
      <c r="U43" s="95"/>
      <c r="V43" s="96"/>
      <c r="W43" s="92"/>
      <c r="X43" s="92"/>
      <c r="Y43" s="92"/>
      <c r="Z43" s="92"/>
    </row>
    <row r="44" spans="1:28" ht="15.75" customHeight="1">
      <c r="A44" s="76"/>
      <c r="B44" s="55" t="s">
        <v>544</v>
      </c>
      <c r="C44" s="21"/>
      <c r="D44" s="21"/>
      <c r="F44" s="64">
        <f>Input!$EI$13</f>
        <v>20440616</v>
      </c>
      <c r="G44" s="64">
        <f>Input!$EJ$13</f>
        <v>74736</v>
      </c>
      <c r="H44" s="64">
        <f>Input!$EK$13</f>
        <v>388019</v>
      </c>
      <c r="I44" s="64">
        <f>Input!$EL$13</f>
        <v>57450</v>
      </c>
      <c r="J44" s="64">
        <f>Input!$EM$13</f>
        <v>2063641</v>
      </c>
      <c r="K44" s="64">
        <f>Input!$EN$13</f>
        <v>2454936</v>
      </c>
      <c r="L44" s="57">
        <f>SUM(F44:K44)</f>
        <v>25479398</v>
      </c>
      <c r="N44" s="9"/>
      <c r="O44" s="318">
        <f>ROUND(N42/O46,0)</f>
        <v>476980521</v>
      </c>
      <c r="Q44" s="93"/>
      <c r="R44" s="93"/>
      <c r="S44" s="93"/>
      <c r="T44" s="94"/>
      <c r="U44" s="95"/>
      <c r="V44" s="99"/>
      <c r="W44" s="93"/>
      <c r="X44" s="101"/>
      <c r="Y44" s="92"/>
      <c r="Z44" s="100"/>
      <c r="AB44" s="24">
        <f>SUM(C44:L44)</f>
        <v>50958796</v>
      </c>
    </row>
    <row r="45" spans="1:28" ht="15.75" customHeight="1">
      <c r="A45" s="76"/>
      <c r="B45" s="55" t="s">
        <v>46</v>
      </c>
      <c r="C45" s="21"/>
      <c r="D45" s="21"/>
      <c r="F45" s="64">
        <f>Input!$EO$13</f>
        <v>22013135</v>
      </c>
      <c r="G45" s="64">
        <f>Input!$EP$13</f>
        <v>85619</v>
      </c>
      <c r="H45" s="64">
        <f>Input!$EQ$13</f>
        <v>14784</v>
      </c>
      <c r="I45" s="64">
        <f>Input!$ER$13</f>
        <v>9086254</v>
      </c>
      <c r="J45" s="64">
        <f>Input!$ES$13</f>
        <v>8881781</v>
      </c>
      <c r="K45" s="64">
        <f>Input!$ET$13</f>
        <v>1932546</v>
      </c>
      <c r="L45" s="65">
        <f t="shared" ref="L45:L53" si="4">SUM(F45:K45)</f>
        <v>42014119</v>
      </c>
      <c r="N45" s="97"/>
      <c r="O45" s="319" t="s">
        <v>635</v>
      </c>
      <c r="P45" s="98"/>
      <c r="Q45" s="93"/>
      <c r="R45" s="93"/>
      <c r="S45" s="93"/>
      <c r="T45" s="94"/>
      <c r="U45" s="95"/>
      <c r="V45" s="99"/>
      <c r="W45" s="93"/>
      <c r="X45" s="101"/>
      <c r="Y45" s="92"/>
      <c r="Z45" s="100"/>
      <c r="AB45" s="24"/>
    </row>
    <row r="46" spans="1:28" ht="15.75" customHeight="1">
      <c r="A46" s="76"/>
      <c r="B46" s="55" t="s">
        <v>545</v>
      </c>
      <c r="C46" s="21"/>
      <c r="D46" s="21"/>
      <c r="F46" s="64">
        <f>Input!$EU$13</f>
        <v>12310269</v>
      </c>
      <c r="G46" s="64">
        <f>Input!$EV$13</f>
        <v>22949</v>
      </c>
      <c r="H46" s="64">
        <f>Input!$EW$13</f>
        <v>0</v>
      </c>
      <c r="I46" s="64">
        <f>Input!$EX$13</f>
        <v>55092</v>
      </c>
      <c r="J46" s="64">
        <f>Input!$EY$13</f>
        <v>728720</v>
      </c>
      <c r="K46" s="64">
        <f>Input!$EZ$13</f>
        <v>1694519</v>
      </c>
      <c r="L46" s="65">
        <f t="shared" si="4"/>
        <v>14811549</v>
      </c>
      <c r="N46" s="97"/>
      <c r="O46" s="320">
        <f>FTSE!$O$24</f>
        <v>0.33</v>
      </c>
      <c r="P46" s="98"/>
      <c r="Q46" s="93"/>
      <c r="R46" s="93"/>
      <c r="S46" s="93"/>
      <c r="T46" s="94"/>
      <c r="U46" s="95"/>
      <c r="V46" s="99"/>
      <c r="W46" s="93"/>
      <c r="X46" s="101"/>
      <c r="Y46" s="92"/>
      <c r="Z46" s="100"/>
      <c r="AB46" s="24"/>
    </row>
    <row r="47" spans="1:28" ht="15.75" customHeight="1">
      <c r="A47" s="76"/>
      <c r="B47" s="63" t="s">
        <v>546</v>
      </c>
      <c r="C47" s="21"/>
      <c r="D47" s="21"/>
      <c r="F47" s="64">
        <f>Input!$FA$13</f>
        <v>13948080</v>
      </c>
      <c r="G47" s="64">
        <f>Input!$FB$13</f>
        <v>10443</v>
      </c>
      <c r="H47" s="64">
        <f>Input!$FC$13</f>
        <v>132833</v>
      </c>
      <c r="I47" s="64">
        <f>Input!$FD$13</f>
        <v>8402333</v>
      </c>
      <c r="J47" s="64">
        <f>Input!$FE$13</f>
        <v>995968</v>
      </c>
      <c r="K47" s="64">
        <f>Input!$FF$13</f>
        <v>1909613</v>
      </c>
      <c r="L47" s="65">
        <f t="shared" si="4"/>
        <v>25399270</v>
      </c>
      <c r="N47" s="97"/>
      <c r="O47" s="321" t="s">
        <v>636</v>
      </c>
      <c r="P47" s="98"/>
      <c r="Q47" s="93"/>
      <c r="R47" s="93"/>
      <c r="S47" s="93"/>
      <c r="T47" s="94"/>
      <c r="U47" s="95"/>
      <c r="V47" s="99"/>
      <c r="W47" s="93"/>
      <c r="X47" s="101"/>
      <c r="Y47" s="92"/>
      <c r="Z47" s="100"/>
      <c r="AB47" s="24"/>
    </row>
    <row r="48" spans="1:28" ht="15.75" customHeight="1">
      <c r="A48" s="76"/>
      <c r="B48" s="55" t="s">
        <v>547</v>
      </c>
      <c r="C48" s="21"/>
      <c r="D48" s="21"/>
      <c r="F48" s="64">
        <f>Input!$FG$13</f>
        <v>20708771</v>
      </c>
      <c r="G48" s="64">
        <f>Input!$FH$13</f>
        <v>0</v>
      </c>
      <c r="H48" s="64">
        <f>Input!$FI$13</f>
        <v>388019</v>
      </c>
      <c r="I48" s="64">
        <f>Input!$FJ$13</f>
        <v>0</v>
      </c>
      <c r="J48" s="64">
        <f>Input!$FK$13</f>
        <v>1286588</v>
      </c>
      <c r="K48" s="64">
        <f>Input!$FL$13</f>
        <v>174526</v>
      </c>
      <c r="L48" s="65">
        <f t="shared" si="4"/>
        <v>22557904</v>
      </c>
      <c r="N48" s="97"/>
      <c r="P48" s="98"/>
      <c r="Q48" s="93"/>
      <c r="R48" s="93"/>
      <c r="S48" s="93"/>
      <c r="T48" s="94"/>
      <c r="U48" s="95"/>
      <c r="V48" s="99"/>
      <c r="W48" s="93"/>
      <c r="X48" s="101"/>
      <c r="Y48" s="92"/>
      <c r="Z48" s="100"/>
      <c r="AB48" s="24"/>
    </row>
    <row r="49" spans="1:28" s="79" customFormat="1" ht="15.75" customHeight="1">
      <c r="A49" s="76"/>
      <c r="B49" s="228" t="s">
        <v>548</v>
      </c>
      <c r="C49" s="78"/>
      <c r="D49" s="78"/>
      <c r="E49" s="20"/>
      <c r="F49" s="64">
        <f>Input!$FM$13</f>
        <v>0</v>
      </c>
      <c r="G49" s="64">
        <f>Input!$FN$13</f>
        <v>0</v>
      </c>
      <c r="H49" s="64">
        <f>Input!$FO$13</f>
        <v>0</v>
      </c>
      <c r="I49" s="64">
        <f>Input!$FP$13</f>
        <v>0</v>
      </c>
      <c r="J49" s="64">
        <f>Input!$FQ$13</f>
        <v>0</v>
      </c>
      <c r="K49" s="64">
        <f>Input!$FR$13</f>
        <v>0</v>
      </c>
      <c r="L49" s="65">
        <f t="shared" si="4"/>
        <v>0</v>
      </c>
      <c r="N49" s="102"/>
      <c r="P49" s="103"/>
      <c r="Q49" s="104"/>
      <c r="R49" s="104"/>
      <c r="S49" s="104"/>
      <c r="T49" s="105"/>
      <c r="U49" s="106"/>
      <c r="V49" s="107"/>
      <c r="W49" s="104"/>
      <c r="X49" s="108"/>
      <c r="Y49" s="109"/>
      <c r="Z49" s="110"/>
      <c r="AB49" s="83"/>
    </row>
    <row r="50" spans="1:28" s="79" customFormat="1" ht="15.75" customHeight="1">
      <c r="A50" s="76"/>
      <c r="B50" s="228" t="s">
        <v>549</v>
      </c>
      <c r="C50" s="78"/>
      <c r="D50" s="78"/>
      <c r="E50" s="20"/>
      <c r="F50" s="64">
        <f>Input!$FS$13</f>
        <v>0</v>
      </c>
      <c r="G50" s="64">
        <f>Input!$FT$13</f>
        <v>0</v>
      </c>
      <c r="H50" s="64">
        <f>Input!$FU$13</f>
        <v>0</v>
      </c>
      <c r="I50" s="64">
        <f>Input!$FV$13</f>
        <v>0</v>
      </c>
      <c r="J50" s="64">
        <f>Input!$FW$13</f>
        <v>0</v>
      </c>
      <c r="K50" s="64">
        <f>Input!$FX$13</f>
        <v>0</v>
      </c>
      <c r="L50" s="65">
        <f t="shared" si="4"/>
        <v>0</v>
      </c>
      <c r="N50" s="102"/>
      <c r="P50" s="103"/>
      <c r="Q50" s="104"/>
      <c r="R50" s="104"/>
      <c r="S50" s="104"/>
      <c r="T50" s="105"/>
      <c r="U50" s="106"/>
      <c r="V50" s="107"/>
      <c r="W50" s="104"/>
      <c r="X50" s="108"/>
      <c r="Y50" s="109"/>
      <c r="Z50" s="110"/>
      <c r="AB50" s="83"/>
    </row>
    <row r="51" spans="1:28" s="79" customFormat="1" ht="15.75" customHeight="1">
      <c r="A51" s="76"/>
      <c r="B51" s="228" t="s">
        <v>550</v>
      </c>
      <c r="C51" s="78"/>
      <c r="D51" s="78"/>
      <c r="E51" s="20"/>
      <c r="F51" s="64">
        <f>Input!$FY$13</f>
        <v>0</v>
      </c>
      <c r="G51" s="64">
        <f>Input!$FZ$13</f>
        <v>0</v>
      </c>
      <c r="H51" s="64">
        <f>Input!$GA$13</f>
        <v>0</v>
      </c>
      <c r="I51" s="64">
        <f>Input!$GB$13</f>
        <v>0</v>
      </c>
      <c r="J51" s="64">
        <f>Input!$GC$13</f>
        <v>0</v>
      </c>
      <c r="K51" s="64">
        <f>Input!$GD$13</f>
        <v>0</v>
      </c>
      <c r="L51" s="65">
        <f t="shared" si="4"/>
        <v>0</v>
      </c>
      <c r="N51" s="102"/>
      <c r="P51" s="103"/>
      <c r="Q51" s="104"/>
      <c r="R51" s="104"/>
      <c r="S51" s="104"/>
      <c r="T51" s="105"/>
      <c r="U51" s="106"/>
      <c r="V51" s="107"/>
      <c r="W51" s="104"/>
      <c r="X51" s="108"/>
      <c r="Y51" s="109"/>
      <c r="Z51" s="110"/>
      <c r="AB51" s="83"/>
    </row>
    <row r="52" spans="1:28" s="79" customFormat="1" ht="15.75" customHeight="1">
      <c r="A52" s="76"/>
      <c r="B52" s="228" t="s">
        <v>551</v>
      </c>
      <c r="C52" s="78"/>
      <c r="D52" s="78"/>
      <c r="E52" s="20"/>
      <c r="F52" s="64">
        <f>Input!$GE$13</f>
        <v>0</v>
      </c>
      <c r="G52" s="64">
        <f>Input!$GF$13</f>
        <v>0</v>
      </c>
      <c r="H52" s="64">
        <f>Input!$GG$13</f>
        <v>0</v>
      </c>
      <c r="I52" s="64">
        <f>Input!$GH$13</f>
        <v>0</v>
      </c>
      <c r="J52" s="64">
        <f>Input!$GI$13</f>
        <v>0</v>
      </c>
      <c r="K52" s="64">
        <f>Input!$GJ$13</f>
        <v>0</v>
      </c>
      <c r="L52" s="65">
        <f t="shared" si="4"/>
        <v>0</v>
      </c>
      <c r="N52" s="102"/>
      <c r="P52" s="103"/>
      <c r="Q52" s="104"/>
      <c r="R52" s="104"/>
      <c r="S52" s="104"/>
      <c r="T52" s="105"/>
      <c r="U52" s="106"/>
      <c r="V52" s="107"/>
      <c r="W52" s="104"/>
      <c r="X52" s="108"/>
      <c r="Y52" s="109"/>
      <c r="Z52" s="110"/>
      <c r="AB52" s="83"/>
    </row>
    <row r="53" spans="1:28" s="79" customFormat="1" ht="15.75" customHeight="1">
      <c r="A53" s="76"/>
      <c r="B53" s="228" t="s">
        <v>552</v>
      </c>
      <c r="C53" s="78"/>
      <c r="D53" s="78"/>
      <c r="E53" s="20"/>
      <c r="F53" s="64">
        <f>Input!$GK$13</f>
        <v>0</v>
      </c>
      <c r="G53" s="64">
        <f>Input!$GL$13</f>
        <v>0</v>
      </c>
      <c r="H53" s="64">
        <f>Input!$GM$13</f>
        <v>0</v>
      </c>
      <c r="I53" s="64">
        <f>Input!$GN$13</f>
        <v>0</v>
      </c>
      <c r="J53" s="64">
        <f>Input!$GO$13</f>
        <v>0</v>
      </c>
      <c r="K53" s="64">
        <f>Input!$GP$13</f>
        <v>0</v>
      </c>
      <c r="L53" s="65">
        <f t="shared" si="4"/>
        <v>0</v>
      </c>
      <c r="N53" s="102"/>
      <c r="P53" s="103"/>
      <c r="Q53" s="104"/>
      <c r="R53" s="104"/>
      <c r="S53" s="104"/>
      <c r="T53" s="105"/>
      <c r="U53" s="106"/>
      <c r="V53" s="107"/>
      <c r="W53" s="104"/>
      <c r="X53" s="108"/>
      <c r="Y53" s="109"/>
      <c r="Z53" s="110"/>
      <c r="AB53" s="83"/>
    </row>
    <row r="54" spans="1:28" ht="15.75" customHeight="1">
      <c r="A54" s="76"/>
      <c r="B54" s="43" t="s">
        <v>47</v>
      </c>
      <c r="C54" s="44"/>
      <c r="D54" s="44"/>
      <c r="E54" s="44"/>
      <c r="F54" s="86">
        <f>SUM(F44:F53)</f>
        <v>89420871</v>
      </c>
      <c r="G54" s="86">
        <f t="shared" ref="G54:L54" si="5">SUM(G44:G53)</f>
        <v>193747</v>
      </c>
      <c r="H54" s="86">
        <f t="shared" si="5"/>
        <v>923655</v>
      </c>
      <c r="I54" s="86">
        <f t="shared" si="5"/>
        <v>17601129</v>
      </c>
      <c r="J54" s="86">
        <f t="shared" si="5"/>
        <v>13956698</v>
      </c>
      <c r="K54" s="86">
        <f t="shared" si="5"/>
        <v>8166140</v>
      </c>
      <c r="L54" s="86">
        <f t="shared" si="5"/>
        <v>130262240</v>
      </c>
      <c r="N54" s="97"/>
      <c r="P54" s="98"/>
      <c r="Q54" s="98"/>
      <c r="R54" s="98"/>
      <c r="S54" s="50">
        <f>L54-INT(L54)</f>
        <v>0</v>
      </c>
      <c r="T54" s="94"/>
      <c r="U54" s="95"/>
      <c r="V54" s="99"/>
      <c r="W54" s="99"/>
      <c r="X54" s="99"/>
      <c r="Y54" s="95"/>
      <c r="Z54" s="95"/>
      <c r="AB54" s="44">
        <f>SUM(AB44:AB48)</f>
        <v>50958796</v>
      </c>
    </row>
    <row r="55" spans="1:28" ht="15.75" customHeight="1">
      <c r="A55" s="76"/>
      <c r="C55" s="38"/>
      <c r="D55" s="38"/>
      <c r="E55" s="38"/>
      <c r="F55" s="38"/>
      <c r="G55" s="38"/>
      <c r="H55" s="38"/>
      <c r="I55" s="38"/>
      <c r="J55" s="38"/>
      <c r="K55" s="38"/>
      <c r="L55" s="38"/>
      <c r="N55" s="97"/>
      <c r="P55" s="98"/>
      <c r="Q55" s="98"/>
      <c r="R55" s="98"/>
      <c r="S55" s="98"/>
      <c r="T55" s="94"/>
      <c r="U55" s="95"/>
      <c r="V55" s="99"/>
      <c r="W55" s="99"/>
      <c r="X55" s="99"/>
      <c r="Y55" s="95"/>
      <c r="Z55" s="95"/>
    </row>
    <row r="56" spans="1:28" ht="15.75" customHeight="1">
      <c r="A56" s="76"/>
      <c r="L56" s="6" t="s">
        <v>48</v>
      </c>
      <c r="N56" s="111"/>
      <c r="Q56" s="112"/>
      <c r="R56" s="112"/>
      <c r="S56" s="112"/>
      <c r="W56" s="112"/>
      <c r="X56" s="112"/>
      <c r="Y56" s="112"/>
      <c r="Z56" s="112"/>
    </row>
    <row r="57" spans="1:28" ht="15.75" customHeight="1">
      <c r="A57" s="76"/>
      <c r="N57" s="113"/>
    </row>
    <row r="58" spans="1:28" s="112" customFormat="1" ht="15.75" customHeight="1">
      <c r="A58" s="76"/>
      <c r="N58" s="113"/>
      <c r="O58" s="9"/>
      <c r="P58" s="9"/>
      <c r="Q58" s="9"/>
      <c r="R58" s="9"/>
      <c r="S58" s="9"/>
      <c r="T58" s="9"/>
      <c r="U58" s="9"/>
      <c r="V58" s="9"/>
      <c r="W58" s="9"/>
      <c r="X58" s="9"/>
      <c r="Y58" s="9"/>
      <c r="Z58" s="9"/>
    </row>
    <row r="59" spans="1:28" s="112" customFormat="1" ht="15.75" customHeight="1">
      <c r="A59" s="76"/>
      <c r="N59" s="113"/>
      <c r="O59" s="9"/>
      <c r="P59" s="9"/>
      <c r="Q59" s="9"/>
      <c r="R59" s="9"/>
      <c r="S59" s="9"/>
      <c r="T59" s="9"/>
      <c r="U59" s="9"/>
      <c r="V59" s="9"/>
      <c r="W59" s="9"/>
      <c r="X59" s="9"/>
      <c r="Y59" s="9"/>
      <c r="Z59" s="9"/>
    </row>
    <row r="60" spans="1:28" s="112" customFormat="1" ht="15.75" customHeight="1">
      <c r="A60" s="76"/>
      <c r="N60" s="113"/>
      <c r="O60" s="9"/>
      <c r="P60" s="9"/>
      <c r="Q60" s="9"/>
      <c r="R60" s="9"/>
      <c r="S60" s="9"/>
      <c r="T60" s="9"/>
      <c r="U60" s="9"/>
      <c r="V60" s="9"/>
      <c r="W60" s="9"/>
      <c r="X60" s="9"/>
      <c r="Y60" s="9"/>
      <c r="Z60" s="9"/>
    </row>
    <row r="61" spans="1:28" s="79" customFormat="1" ht="15.75" customHeight="1">
      <c r="A61" s="76"/>
      <c r="B61" s="20"/>
      <c r="C61" s="20"/>
      <c r="D61" s="20"/>
      <c r="E61" s="20"/>
      <c r="F61" s="114">
        <f t="shared" ref="F61:L61" si="6">F54+F41</f>
        <v>211144281</v>
      </c>
      <c r="G61" s="114">
        <f t="shared" si="6"/>
        <v>6434490</v>
      </c>
      <c r="H61" s="114">
        <f t="shared" si="6"/>
        <v>1632282</v>
      </c>
      <c r="I61" s="114">
        <f t="shared" si="6"/>
        <v>38477205</v>
      </c>
      <c r="J61" s="114">
        <f t="shared" si="6"/>
        <v>36309746</v>
      </c>
      <c r="K61" s="114">
        <f t="shared" si="6"/>
        <v>21493254</v>
      </c>
      <c r="L61" s="114">
        <f t="shared" si="6"/>
        <v>315491258</v>
      </c>
      <c r="N61" s="20"/>
    </row>
    <row r="62" spans="1:28" s="79" customFormat="1" ht="15.75" customHeight="1">
      <c r="A62" s="76"/>
      <c r="B62" s="20"/>
      <c r="C62" s="20"/>
      <c r="D62" s="20"/>
      <c r="E62" s="20"/>
      <c r="F62" s="20"/>
      <c r="G62" s="20"/>
      <c r="H62" s="20"/>
      <c r="I62" s="20"/>
      <c r="J62" s="20"/>
      <c r="K62" s="20"/>
      <c r="L62" s="114">
        <f>SUM(K8:K9)+SUM(K12:K16)</f>
        <v>185229018</v>
      </c>
      <c r="N62" s="20"/>
    </row>
    <row r="63" spans="1:28" s="79" customFormat="1" ht="15.75" customHeight="1">
      <c r="A63" s="76"/>
      <c r="B63" s="20"/>
      <c r="C63" s="20"/>
      <c r="D63" s="20"/>
      <c r="E63" s="20"/>
      <c r="F63" s="20"/>
      <c r="G63" s="20"/>
      <c r="H63" s="20"/>
      <c r="I63" s="20"/>
      <c r="J63" s="20"/>
      <c r="K63" s="20"/>
      <c r="L63" s="114">
        <f>SUM(L61:L62)</f>
        <v>500720276</v>
      </c>
      <c r="N63" s="20"/>
    </row>
    <row r="65" spans="12:12" ht="15.75" customHeight="1">
      <c r="L65" s="3" t="str">
        <f>IF($L$63+L64&lt;&gt;Input!$D$13,"Error","Balanced")</f>
        <v>Balanced</v>
      </c>
    </row>
  </sheetData>
  <mergeCells count="3">
    <mergeCell ref="B6:L6"/>
    <mergeCell ref="H10:J10"/>
    <mergeCell ref="F18:J18"/>
  </mergeCells>
  <conditionalFormatting sqref="O25:O26">
    <cfRule type="expression" dxfId="20" priority="3">
      <formula>$O$26&lt;&gt;0</formula>
    </cfRule>
  </conditionalFormatting>
  <conditionalFormatting sqref="H10:J10">
    <cfRule type="expression" dxfId="19" priority="1">
      <formula>$O$10&lt;&gt;0</formula>
    </cfRule>
  </conditionalFormatting>
  <conditionalFormatting sqref="F18:J18">
    <cfRule type="expression" dxfId="18" priority="5">
      <formula>OR($S$17&lt;&gt;0,$S$41&lt;&gt;0,$S$54&lt;&gt;0)</formula>
    </cfRule>
  </conditionalFormatting>
  <hyperlinks>
    <hyperlink ref="N1" location="Index!A1" display="Return to Index"/>
  </hyperlinks>
  <printOptions horizontalCentered="1"/>
  <pageMargins left="0.25" right="0.25" top="0.25" bottom="0.25" header="0.5" footer="0.5"/>
  <pageSetup scale="60" pageOrder="overThenDown" orientation="landscape" r:id="rId1"/>
  <headerFooter alignWithMargins="0"/>
  <colBreaks count="1" manualBreakCount="1">
    <brk id="12" max="80" man="1"/>
  </col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pageSetUpPr fitToPage="1"/>
  </sheetPr>
  <dimension ref="A1:AB65"/>
  <sheetViews>
    <sheetView showGridLines="0" zoomScale="75" zoomScaleNormal="75" workbookViewId="0">
      <pane xSplit="4" ySplit="3" topLeftCell="K8" activePane="bottomRight" state="frozen"/>
      <selection pane="topRight" activeCell="E1" sqref="E1"/>
      <selection pane="bottomLeft" activeCell="A4" sqref="A4"/>
      <selection pane="bottomRight" activeCell="P43" sqref="P43"/>
    </sheetView>
  </sheetViews>
  <sheetFormatPr defaultRowHeight="15.75" customHeight="1"/>
  <cols>
    <col min="1" max="1" width="4.7109375" style="1" customWidth="1"/>
    <col min="2" max="2" width="60.140625" style="6" customWidth="1"/>
    <col min="3" max="4" width="3.42578125" style="6" customWidth="1"/>
    <col min="5" max="5" width="10.85546875" style="6" customWidth="1"/>
    <col min="6" max="7" width="16" style="6" customWidth="1"/>
    <col min="8" max="8" width="17.42578125" style="6" customWidth="1"/>
    <col min="9" max="9" width="15.5703125" style="6" customWidth="1"/>
    <col min="10" max="10" width="16" style="6" customWidth="1"/>
    <col min="11" max="11" width="20.28515625" style="6" bestFit="1" customWidth="1"/>
    <col min="12" max="12" width="18.28515625" style="6" customWidth="1"/>
    <col min="13" max="13" width="2.28515625" style="9" customWidth="1"/>
    <col min="14" max="14" width="17.7109375" style="6" customWidth="1"/>
    <col min="15" max="15" width="21" style="9" customWidth="1"/>
    <col min="16" max="16" width="20.42578125" style="9" customWidth="1"/>
    <col min="17" max="17" width="1.140625" style="9" customWidth="1"/>
    <col min="18" max="19" width="14.42578125" style="9" customWidth="1"/>
    <col min="20" max="20" width="12.7109375" style="9" customWidth="1"/>
    <col min="21" max="21" width="10.7109375" style="9" customWidth="1"/>
    <col min="22" max="22" width="16.85546875" style="9" customWidth="1"/>
    <col min="23" max="23" width="1.85546875" style="9" customWidth="1"/>
    <col min="24" max="24" width="26.42578125" style="9" customWidth="1"/>
    <col min="25" max="25" width="17" style="9" customWidth="1"/>
    <col min="26" max="26" width="16.7109375" style="9" customWidth="1"/>
    <col min="27" max="27" width="18.85546875" style="9" customWidth="1"/>
    <col min="28" max="28" width="22.28515625" style="9" customWidth="1"/>
    <col min="29" max="16384" width="9.140625" style="9"/>
  </cols>
  <sheetData>
    <row r="1" spans="2:28" s="1" customFormat="1" ht="18" customHeight="1" thickBot="1">
      <c r="B1" s="2" t="s">
        <v>502</v>
      </c>
      <c r="C1" s="3"/>
      <c r="D1" s="3"/>
      <c r="E1" s="3"/>
      <c r="F1" s="3"/>
      <c r="G1" s="3"/>
      <c r="H1" s="3"/>
      <c r="I1" s="4"/>
      <c r="J1" s="3"/>
      <c r="K1" s="3"/>
      <c r="L1" s="3"/>
      <c r="M1" s="3"/>
      <c r="N1" s="337" t="s">
        <v>579</v>
      </c>
      <c r="AA1" s="3">
        <v>12</v>
      </c>
      <c r="AB1" s="3">
        <v>13</v>
      </c>
    </row>
    <row r="2" spans="2:28" ht="15.75" customHeight="1">
      <c r="B2" s="2" t="str">
        <f>Input!$B$5</f>
        <v>For the Year Ended August 31, 2010</v>
      </c>
      <c r="C2" s="5"/>
      <c r="D2" s="5"/>
      <c r="E2" s="5"/>
      <c r="G2" s="5"/>
      <c r="H2" s="5"/>
      <c r="I2" s="7"/>
      <c r="J2" s="5"/>
      <c r="K2" s="5"/>
      <c r="L2" s="8"/>
      <c r="N2" s="8"/>
      <c r="O2" s="10"/>
    </row>
    <row r="3" spans="2:28" ht="15.75" customHeight="1">
      <c r="B3" s="2" t="str">
        <f>Input!$B$6</f>
        <v>Source: FY 2010 Research Expenditure Survey</v>
      </c>
      <c r="C3" s="5"/>
      <c r="D3" s="5"/>
      <c r="E3" s="5"/>
      <c r="F3" s="5"/>
      <c r="G3" s="5"/>
      <c r="H3" s="5"/>
      <c r="I3" s="7"/>
      <c r="J3" s="5"/>
      <c r="K3" s="5"/>
      <c r="L3" s="8"/>
      <c r="N3" s="8"/>
    </row>
    <row r="4" spans="2:28" ht="15.75" customHeight="1">
      <c r="B4" s="11"/>
      <c r="C4" s="5"/>
      <c r="D4" s="5"/>
      <c r="E4" s="5"/>
      <c r="F4" s="5"/>
      <c r="G4" s="5"/>
      <c r="H4" s="5"/>
      <c r="I4" s="7"/>
      <c r="J4" s="5"/>
      <c r="K4" s="5"/>
      <c r="L4" s="8"/>
      <c r="N4" s="10" t="s">
        <v>0</v>
      </c>
      <c r="P4" s="12"/>
    </row>
    <row r="5" spans="2:28" ht="15.75" customHeight="1">
      <c r="L5" s="3"/>
      <c r="N5" s="3"/>
    </row>
    <row r="6" spans="2:28" ht="15.75" customHeight="1">
      <c r="B6" s="453" t="str">
        <f>Input!$B$7</f>
        <v>FY 2010</v>
      </c>
      <c r="C6" s="454"/>
      <c r="D6" s="454"/>
      <c r="E6" s="454"/>
      <c r="F6" s="454"/>
      <c r="G6" s="454"/>
      <c r="H6" s="454"/>
      <c r="I6" s="454"/>
      <c r="J6" s="454"/>
      <c r="K6" s="454"/>
      <c r="L6" s="454"/>
      <c r="N6" s="13"/>
    </row>
    <row r="7" spans="2:28" ht="28.5" customHeight="1">
      <c r="B7" s="14" t="s">
        <v>2</v>
      </c>
      <c r="C7" s="15"/>
      <c r="D7" s="15"/>
      <c r="E7" s="15"/>
      <c r="F7" s="15"/>
      <c r="G7" s="15"/>
      <c r="H7" s="15"/>
      <c r="I7" s="15"/>
      <c r="J7" s="15"/>
      <c r="K7" s="16" t="s">
        <v>3</v>
      </c>
      <c r="L7" s="16" t="s">
        <v>4</v>
      </c>
      <c r="N7" s="17"/>
      <c r="O7" s="18"/>
      <c r="P7" s="19"/>
      <c r="Q7" s="19"/>
      <c r="R7" s="19"/>
      <c r="S7" s="19"/>
      <c r="T7" s="19"/>
    </row>
    <row r="8" spans="2:28" ht="15.75" customHeight="1">
      <c r="B8" s="20" t="s">
        <v>5</v>
      </c>
      <c r="C8" s="21"/>
      <c r="D8" s="21"/>
      <c r="E8" s="21"/>
      <c r="F8" s="21"/>
      <c r="G8" s="21"/>
      <c r="H8" s="21"/>
      <c r="I8" s="21"/>
      <c r="J8" s="21"/>
      <c r="K8" s="22">
        <f>L8</f>
        <v>463104671</v>
      </c>
      <c r="L8" s="23">
        <f>Input!$H$14</f>
        <v>463104671</v>
      </c>
      <c r="N8" s="115"/>
      <c r="O8" s="116"/>
      <c r="P8" s="19"/>
      <c r="Q8" s="19"/>
      <c r="R8" s="19"/>
      <c r="S8" s="19"/>
      <c r="T8" s="19"/>
      <c r="AB8" s="24">
        <f>SUM(C8:L8)</f>
        <v>926209342</v>
      </c>
    </row>
    <row r="9" spans="2:28" ht="15.75" customHeight="1">
      <c r="B9" s="20" t="s">
        <v>7</v>
      </c>
      <c r="C9" s="21"/>
      <c r="D9" s="21"/>
      <c r="E9" s="21"/>
      <c r="F9" s="21"/>
      <c r="G9" s="21"/>
      <c r="H9" s="21"/>
      <c r="I9" s="21"/>
      <c r="J9" s="21"/>
      <c r="K9" s="25">
        <f>Input!$F$14</f>
        <v>0</v>
      </c>
      <c r="L9" s="26"/>
      <c r="N9" s="115"/>
      <c r="O9" s="28"/>
      <c r="P9" s="19"/>
      <c r="Q9" s="19"/>
      <c r="R9" s="19"/>
      <c r="S9" s="19"/>
      <c r="T9" s="19"/>
      <c r="AB9" s="24">
        <f>SUM(C9:L9)</f>
        <v>0</v>
      </c>
    </row>
    <row r="10" spans="2:28" ht="15.75" customHeight="1">
      <c r="B10" s="27" t="s">
        <v>8</v>
      </c>
      <c r="C10" s="28"/>
      <c r="D10" s="21"/>
      <c r="E10" s="21"/>
      <c r="F10" s="9"/>
      <c r="G10" s="30"/>
      <c r="H10" s="455" t="str">
        <f>IF(O10&lt;&gt;0,"Out of Balance with SRECNA","")</f>
        <v/>
      </c>
      <c r="I10" s="455"/>
      <c r="J10" s="456"/>
      <c r="K10" s="31">
        <f>SUM(K8:K9)</f>
        <v>463104671</v>
      </c>
      <c r="L10" s="32"/>
      <c r="N10" s="117"/>
      <c r="O10" s="118"/>
      <c r="P10" s="19"/>
      <c r="Q10" s="19"/>
      <c r="R10" s="19"/>
      <c r="S10" s="19"/>
      <c r="T10" s="19"/>
      <c r="AB10" s="24"/>
    </row>
    <row r="11" spans="2:28" ht="15.75" customHeight="1">
      <c r="B11" s="20"/>
      <c r="C11" s="21"/>
      <c r="D11" s="21"/>
      <c r="E11" s="21"/>
      <c r="F11" s="9"/>
      <c r="G11" s="9"/>
      <c r="H11" s="9"/>
      <c r="I11" s="9"/>
      <c r="J11" s="9"/>
      <c r="K11" s="33"/>
      <c r="L11" s="26"/>
      <c r="N11" s="17"/>
      <c r="O11" s="95"/>
      <c r="P11" s="34"/>
      <c r="Q11" s="34"/>
      <c r="R11" s="34"/>
      <c r="S11" s="34"/>
      <c r="T11" s="35"/>
      <c r="AB11" s="24">
        <f t="shared" ref="AB11:AB12" si="0">SUM(C10:L10)</f>
        <v>463104671</v>
      </c>
    </row>
    <row r="12" spans="2:28" ht="15.75" customHeight="1">
      <c r="B12" s="20" t="s">
        <v>9</v>
      </c>
      <c r="C12" s="21"/>
      <c r="D12" s="21"/>
      <c r="E12" s="21"/>
      <c r="F12" s="21"/>
      <c r="G12" s="21"/>
      <c r="H12" s="21"/>
      <c r="I12" s="21"/>
      <c r="J12" s="21"/>
      <c r="K12" s="36">
        <f>Input!$G$14</f>
        <v>0</v>
      </c>
      <c r="L12" s="26"/>
      <c r="N12" s="37"/>
      <c r="O12" s="19"/>
      <c r="P12" s="19"/>
      <c r="Q12" s="19"/>
      <c r="R12" s="19"/>
      <c r="S12" s="19"/>
      <c r="T12" s="19"/>
      <c r="AB12" s="24">
        <f t="shared" si="0"/>
        <v>0</v>
      </c>
    </row>
    <row r="13" spans="2:28" ht="15.75" customHeight="1">
      <c r="B13" s="20" t="s">
        <v>10</v>
      </c>
      <c r="C13" s="21"/>
      <c r="D13" s="21"/>
      <c r="E13" s="21"/>
      <c r="F13" s="21"/>
      <c r="G13" s="21"/>
      <c r="H13" s="21"/>
      <c r="I13" s="21"/>
      <c r="J13" s="21"/>
      <c r="K13" s="33">
        <f>L13</f>
        <v>75631023</v>
      </c>
      <c r="L13" s="36">
        <f>Input!$I$14</f>
        <v>75631023</v>
      </c>
      <c r="N13" s="37"/>
      <c r="O13" s="119"/>
      <c r="AB13" s="24">
        <f>SUM(C13:L13)</f>
        <v>151262046</v>
      </c>
    </row>
    <row r="14" spans="2:28" ht="15.75" customHeight="1">
      <c r="B14" s="20" t="s">
        <v>11</v>
      </c>
      <c r="C14" s="21"/>
      <c r="D14" s="21"/>
      <c r="E14" s="21"/>
      <c r="F14" s="21"/>
      <c r="G14" s="21"/>
      <c r="H14" s="21"/>
      <c r="I14" s="21"/>
      <c r="J14" s="21"/>
      <c r="K14" s="33">
        <f>L14</f>
        <v>8299050</v>
      </c>
      <c r="L14" s="36">
        <f>Input!$J$14</f>
        <v>8299050</v>
      </c>
      <c r="N14" s="17"/>
      <c r="O14" s="28"/>
      <c r="P14" s="19"/>
      <c r="Q14" s="19"/>
      <c r="R14" s="19"/>
      <c r="S14" s="19"/>
      <c r="T14" s="39"/>
      <c r="U14" s="19"/>
      <c r="V14" s="19"/>
      <c r="W14" s="19"/>
      <c r="X14" s="19"/>
      <c r="Y14" s="19"/>
      <c r="Z14" s="19"/>
      <c r="AA14" s="19"/>
      <c r="AB14" s="24">
        <f>SUM(C14:L14)</f>
        <v>16598100</v>
      </c>
    </row>
    <row r="15" spans="2:28" ht="15.75" customHeight="1">
      <c r="B15" s="20" t="s">
        <v>12</v>
      </c>
      <c r="C15" s="21"/>
      <c r="D15" s="21"/>
      <c r="E15" s="21"/>
      <c r="F15" s="21"/>
      <c r="G15" s="21"/>
      <c r="H15" s="21"/>
      <c r="I15" s="21"/>
      <c r="J15" s="21"/>
      <c r="K15" s="40">
        <f>L15</f>
        <v>0</v>
      </c>
      <c r="L15" s="36">
        <f>Input!$K$14</f>
        <v>0</v>
      </c>
      <c r="N15" s="19"/>
      <c r="O15" s="19"/>
      <c r="P15" s="19"/>
      <c r="Q15" s="19"/>
      <c r="R15" s="19"/>
      <c r="S15" s="19"/>
      <c r="T15" s="19"/>
      <c r="U15" s="19"/>
      <c r="V15" s="19"/>
      <c r="W15" s="41"/>
      <c r="X15" s="19"/>
      <c r="Y15" s="19"/>
      <c r="Z15" s="19"/>
      <c r="AA15" s="19"/>
      <c r="AB15" s="24">
        <f>SUM(C15:L15)</f>
        <v>0</v>
      </c>
    </row>
    <row r="16" spans="2:28" ht="15.75" customHeight="1">
      <c r="B16" s="20" t="s">
        <v>13</v>
      </c>
      <c r="C16" s="21"/>
      <c r="D16" s="21"/>
      <c r="E16" s="21"/>
      <c r="F16" s="21"/>
      <c r="G16" s="21"/>
      <c r="H16" s="21"/>
      <c r="I16" s="21"/>
      <c r="J16" s="21"/>
      <c r="K16" s="40">
        <f>L16</f>
        <v>0</v>
      </c>
      <c r="L16" s="36">
        <f>Input!$L$14</f>
        <v>0</v>
      </c>
      <c r="N16" s="28"/>
      <c r="O16" s="42"/>
      <c r="P16" s="19"/>
      <c r="Q16" s="19"/>
      <c r="R16" s="19"/>
      <c r="S16" s="19"/>
      <c r="T16" s="19"/>
      <c r="U16" s="19"/>
      <c r="V16" s="19"/>
      <c r="W16" s="19"/>
      <c r="X16" s="19"/>
      <c r="Y16" s="19"/>
      <c r="Z16" s="19"/>
      <c r="AA16" s="19"/>
      <c r="AB16" s="24">
        <f>SUM(C16:L16)</f>
        <v>0</v>
      </c>
    </row>
    <row r="17" spans="2:28" ht="15.75" customHeight="1">
      <c r="B17" s="43" t="s">
        <v>14</v>
      </c>
      <c r="C17" s="44"/>
      <c r="D17" s="44"/>
      <c r="E17" s="44"/>
      <c r="F17" s="44"/>
      <c r="G17" s="44"/>
      <c r="H17" s="44"/>
      <c r="I17" s="44"/>
      <c r="J17" s="44"/>
      <c r="K17" s="45">
        <f>SUM(K10:K16)</f>
        <v>547034744</v>
      </c>
      <c r="L17" s="46">
        <f>SUM(L8:L16)</f>
        <v>547034744</v>
      </c>
      <c r="N17" s="47"/>
      <c r="O17" s="48"/>
      <c r="P17" s="48"/>
      <c r="Q17" s="48"/>
      <c r="R17" s="49"/>
      <c r="S17" s="50">
        <f>L17-INT(L17)</f>
        <v>0</v>
      </c>
      <c r="T17" s="49">
        <v>0</v>
      </c>
      <c r="U17" s="48">
        <v>0</v>
      </c>
      <c r="V17" s="48">
        <v>0</v>
      </c>
      <c r="W17" s="48"/>
      <c r="X17" s="48"/>
      <c r="Y17" s="51"/>
      <c r="Z17" s="41"/>
      <c r="AA17" s="19"/>
      <c r="AB17" s="44" t="e">
        <f>#REF!+#REF!+#REF!+#REF!</f>
        <v>#REF!</v>
      </c>
    </row>
    <row r="18" spans="2:28" ht="15.75" customHeight="1">
      <c r="C18" s="38"/>
      <c r="D18" s="38"/>
      <c r="E18" s="38"/>
      <c r="F18" s="457" t="str">
        <f>IF(OR(S17&lt;&gt;0,S41&lt;&gt;0,S54&lt;&gt;0),"Do not Enter Cents - Whole Dollars Only","")</f>
        <v/>
      </c>
      <c r="G18" s="457"/>
      <c r="H18" s="457"/>
      <c r="I18" s="457"/>
      <c r="J18" s="457"/>
      <c r="K18" s="38"/>
      <c r="L18" s="38"/>
      <c r="N18" s="47"/>
      <c r="O18" s="48"/>
      <c r="P18" s="48"/>
      <c r="Q18" s="48"/>
      <c r="R18" s="49"/>
      <c r="S18" s="52"/>
      <c r="T18" s="49"/>
      <c r="U18" s="48"/>
      <c r="V18" s="48"/>
      <c r="W18" s="48"/>
      <c r="X18" s="48"/>
      <c r="Y18" s="51"/>
      <c r="Z18" s="41"/>
      <c r="AA18" s="19"/>
    </row>
    <row r="19" spans="2:28" ht="33" customHeight="1">
      <c r="B19" s="14" t="s">
        <v>15</v>
      </c>
      <c r="C19" s="53"/>
      <c r="D19" s="53"/>
      <c r="E19" s="53"/>
      <c r="F19" s="54" t="s">
        <v>16</v>
      </c>
      <c r="G19" s="54" t="s">
        <v>17</v>
      </c>
      <c r="H19" s="54" t="s">
        <v>18</v>
      </c>
      <c r="I19" s="54" t="s">
        <v>19</v>
      </c>
      <c r="J19" s="54" t="s">
        <v>20</v>
      </c>
      <c r="K19" s="54" t="s">
        <v>21</v>
      </c>
      <c r="L19" s="54" t="s">
        <v>22</v>
      </c>
      <c r="N19" s="47"/>
      <c r="O19" s="48"/>
      <c r="P19" s="48"/>
      <c r="Q19" s="48"/>
      <c r="R19" s="49"/>
      <c r="S19" s="52"/>
      <c r="T19" s="49"/>
      <c r="U19" s="48"/>
      <c r="V19" s="48"/>
      <c r="W19" s="48"/>
      <c r="X19" s="48"/>
      <c r="Y19" s="51"/>
      <c r="Z19" s="41"/>
      <c r="AA19" s="19"/>
    </row>
    <row r="20" spans="2:28" ht="15.75" customHeight="1">
      <c r="B20" s="55" t="s">
        <v>23</v>
      </c>
      <c r="C20" s="21"/>
      <c r="D20" s="21"/>
      <c r="F20" s="56">
        <f>Input!$M$14</f>
        <v>0</v>
      </c>
      <c r="G20" s="56">
        <f>Input!$N$14</f>
        <v>0</v>
      </c>
      <c r="H20" s="56">
        <f>Input!$O$14</f>
        <v>0</v>
      </c>
      <c r="I20" s="56">
        <f>Input!$P$14</f>
        <v>0</v>
      </c>
      <c r="J20" s="56">
        <f>Input!$Q$14</f>
        <v>0</v>
      </c>
      <c r="K20" s="56">
        <f>Input!$R$14</f>
        <v>0</v>
      </c>
      <c r="L20" s="57">
        <f>SUM(F20:K20)</f>
        <v>0</v>
      </c>
      <c r="N20" s="58"/>
      <c r="O20" s="59"/>
      <c r="P20" s="60"/>
      <c r="Q20" s="61"/>
      <c r="R20" s="58"/>
      <c r="S20" s="58"/>
      <c r="T20" s="58"/>
      <c r="U20" s="61"/>
      <c r="V20" s="58"/>
      <c r="W20" s="61"/>
      <c r="X20" s="62"/>
      <c r="Y20" s="59"/>
      <c r="Z20" s="61"/>
      <c r="AA20" s="19"/>
      <c r="AB20" s="24">
        <f t="shared" ref="AB20:AB25" si="1">SUM(C20:L20)</f>
        <v>0</v>
      </c>
    </row>
    <row r="21" spans="2:28" ht="15.75" customHeight="1">
      <c r="B21" s="63" t="s">
        <v>24</v>
      </c>
      <c r="C21" s="21"/>
      <c r="D21" s="21"/>
      <c r="F21" s="64">
        <f>Input!$S$14</f>
        <v>65655783</v>
      </c>
      <c r="G21" s="64">
        <f>Input!$T$14</f>
        <v>65613402</v>
      </c>
      <c r="H21" s="64">
        <f>Input!$U$14</f>
        <v>217616</v>
      </c>
      <c r="I21" s="64">
        <f>Input!$V$14</f>
        <v>7409082</v>
      </c>
      <c r="J21" s="64">
        <f>Input!$W$14</f>
        <v>4646129</v>
      </c>
      <c r="K21" s="64">
        <f>Input!$X$14</f>
        <v>20725473</v>
      </c>
      <c r="L21" s="65">
        <f t="shared" ref="L21:L40" si="2">SUM(F21:K21)</f>
        <v>164267485</v>
      </c>
      <c r="N21" s="66"/>
      <c r="O21" s="67"/>
      <c r="P21" s="68"/>
      <c r="Q21" s="69"/>
      <c r="R21" s="70"/>
      <c r="S21" s="70"/>
      <c r="T21" s="70"/>
      <c r="U21" s="69"/>
      <c r="V21" s="71"/>
      <c r="W21" s="61"/>
      <c r="X21" s="62"/>
      <c r="Y21" s="67"/>
      <c r="Z21" s="69"/>
      <c r="AA21" s="19"/>
      <c r="AB21" s="24">
        <f t="shared" si="1"/>
        <v>328534970</v>
      </c>
    </row>
    <row r="22" spans="2:28" ht="15.75" customHeight="1">
      <c r="B22" s="55" t="s">
        <v>25</v>
      </c>
      <c r="C22" s="21"/>
      <c r="D22" s="21"/>
      <c r="F22" s="64">
        <f>Input!$Y$14</f>
        <v>0</v>
      </c>
      <c r="G22" s="64">
        <f>Input!$Z$14</f>
        <v>0</v>
      </c>
      <c r="H22" s="64">
        <f>Input!$AA$14</f>
        <v>0</v>
      </c>
      <c r="I22" s="64">
        <f>Input!$AB$14</f>
        <v>0</v>
      </c>
      <c r="J22" s="64">
        <f>Input!$AC$14</f>
        <v>0</v>
      </c>
      <c r="K22" s="64">
        <f>Input!$AD$14</f>
        <v>0</v>
      </c>
      <c r="L22" s="65">
        <f t="shared" si="2"/>
        <v>0</v>
      </c>
      <c r="N22" s="66"/>
      <c r="O22" s="67"/>
      <c r="P22" s="72"/>
      <c r="Q22" s="69"/>
      <c r="R22" s="70"/>
      <c r="S22" s="70"/>
      <c r="T22" s="70"/>
      <c r="U22" s="69"/>
      <c r="V22" s="70"/>
      <c r="W22" s="69"/>
      <c r="X22" s="62"/>
      <c r="Y22" s="67"/>
      <c r="Z22" s="69"/>
      <c r="AA22" s="19"/>
      <c r="AB22" s="24">
        <f t="shared" si="1"/>
        <v>0</v>
      </c>
    </row>
    <row r="23" spans="2:28" ht="15.75" customHeight="1">
      <c r="B23" s="55" t="s">
        <v>26</v>
      </c>
      <c r="C23" s="21"/>
      <c r="D23" s="21"/>
      <c r="F23" s="64">
        <f>Input!$AE$14</f>
        <v>0</v>
      </c>
      <c r="G23" s="64">
        <f>Input!$AF$14</f>
        <v>0</v>
      </c>
      <c r="H23" s="64">
        <f>Input!$AG$14</f>
        <v>0</v>
      </c>
      <c r="I23" s="64">
        <f>Input!$AH$14</f>
        <v>0</v>
      </c>
      <c r="J23" s="64">
        <f>Input!$AI$14</f>
        <v>0</v>
      </c>
      <c r="K23" s="64">
        <f>Input!$AJ$14</f>
        <v>0</v>
      </c>
      <c r="L23" s="65">
        <f t="shared" si="2"/>
        <v>0</v>
      </c>
      <c r="N23" s="66"/>
      <c r="O23" s="67"/>
      <c r="P23" s="68"/>
      <c r="Q23" s="69"/>
      <c r="R23" s="70"/>
      <c r="S23" s="70"/>
      <c r="T23" s="70"/>
      <c r="U23" s="69"/>
      <c r="V23" s="70"/>
      <c r="W23" s="69"/>
      <c r="X23" s="62"/>
      <c r="Y23" s="67"/>
      <c r="Z23" s="69"/>
      <c r="AA23" s="19"/>
      <c r="AB23" s="24">
        <f t="shared" si="1"/>
        <v>0</v>
      </c>
    </row>
    <row r="24" spans="2:28" ht="15.75" customHeight="1">
      <c r="B24" s="55" t="s">
        <v>27</v>
      </c>
      <c r="C24" s="21"/>
      <c r="D24" s="21"/>
      <c r="F24" s="64">
        <f>Input!$AK$14</f>
        <v>0</v>
      </c>
      <c r="G24" s="64">
        <f>Input!$AL$14</f>
        <v>0</v>
      </c>
      <c r="H24" s="64">
        <f>Input!$AM$14</f>
        <v>0</v>
      </c>
      <c r="I24" s="64">
        <f>Input!$AN$14</f>
        <v>0</v>
      </c>
      <c r="J24" s="64">
        <f>Input!$AO$14</f>
        <v>0</v>
      </c>
      <c r="K24" s="64">
        <f>Input!$AP$14</f>
        <v>0</v>
      </c>
      <c r="L24" s="65">
        <f t="shared" si="2"/>
        <v>0</v>
      </c>
      <c r="N24" s="66"/>
      <c r="O24" s="67"/>
      <c r="P24" s="68"/>
      <c r="Q24" s="69"/>
      <c r="R24" s="70"/>
      <c r="S24" s="70"/>
      <c r="T24" s="70"/>
      <c r="U24" s="69"/>
      <c r="V24" s="70"/>
      <c r="W24" s="69"/>
      <c r="X24" s="62"/>
      <c r="Y24" s="67"/>
      <c r="Z24" s="69"/>
      <c r="AA24" s="19"/>
      <c r="AB24" s="24">
        <f t="shared" si="1"/>
        <v>0</v>
      </c>
    </row>
    <row r="25" spans="2:28" ht="15.75" customHeight="1">
      <c r="B25" s="55" t="s">
        <v>28</v>
      </c>
      <c r="C25" s="21"/>
      <c r="D25" s="21"/>
      <c r="F25" s="64">
        <f>Input!$AQ$14</f>
        <v>5614173</v>
      </c>
      <c r="G25" s="64">
        <f>Input!$AR$14</f>
        <v>13409038</v>
      </c>
      <c r="H25" s="64">
        <f>Input!$AS$14</f>
        <v>0</v>
      </c>
      <c r="I25" s="64">
        <f>Input!$AT$14</f>
        <v>355017</v>
      </c>
      <c r="J25" s="64">
        <f>Input!$AU$14</f>
        <v>59418</v>
      </c>
      <c r="K25" s="64">
        <f>Input!$AV$14</f>
        <v>396902</v>
      </c>
      <c r="L25" s="65">
        <f t="shared" si="2"/>
        <v>19834548</v>
      </c>
      <c r="N25" s="66"/>
      <c r="O25" s="73" t="s">
        <v>6</v>
      </c>
      <c r="P25" s="68"/>
      <c r="Q25" s="69"/>
      <c r="R25" s="70"/>
      <c r="S25" s="70"/>
      <c r="T25" s="70"/>
      <c r="U25" s="69"/>
      <c r="V25" s="70"/>
      <c r="W25" s="69"/>
      <c r="X25" s="62"/>
      <c r="Y25" s="67"/>
      <c r="Z25" s="69"/>
      <c r="AA25" s="19"/>
      <c r="AB25" s="24">
        <f t="shared" si="1"/>
        <v>39669096</v>
      </c>
    </row>
    <row r="26" spans="2:28" ht="15.75" customHeight="1">
      <c r="B26" s="55" t="s">
        <v>29</v>
      </c>
      <c r="C26" s="21"/>
      <c r="D26" s="21"/>
      <c r="F26" s="64">
        <f>Input!$AW$14</f>
        <v>114729585</v>
      </c>
      <c r="G26" s="64">
        <f>Input!$AX$14</f>
        <v>86116417</v>
      </c>
      <c r="H26" s="64">
        <f>Input!$AY$14</f>
        <v>62296</v>
      </c>
      <c r="I26" s="64">
        <f>Input!$AZ$14</f>
        <v>18723770</v>
      </c>
      <c r="J26" s="64">
        <f>Input!$BA$14</f>
        <v>44912739</v>
      </c>
      <c r="K26" s="64">
        <f>Input!$BB$14</f>
        <v>58303336</v>
      </c>
      <c r="L26" s="65">
        <f t="shared" si="2"/>
        <v>322848143</v>
      </c>
      <c r="N26" s="74" t="str">
        <f>IF(O26&lt;&gt;0,"Out of Balance","Balanced")</f>
        <v>Balanced</v>
      </c>
      <c r="O26" s="75">
        <f>L17-L41</f>
        <v>0</v>
      </c>
      <c r="Q26" s="69"/>
      <c r="R26" s="70"/>
      <c r="S26" s="70"/>
      <c r="T26" s="70"/>
      <c r="U26" s="69"/>
      <c r="V26" s="70"/>
      <c r="W26" s="69"/>
      <c r="X26" s="62"/>
      <c r="Y26" s="67"/>
      <c r="Z26" s="69"/>
      <c r="AA26" s="19"/>
      <c r="AB26" s="24"/>
    </row>
    <row r="27" spans="2:28" ht="15.75" customHeight="1">
      <c r="B27" s="55" t="s">
        <v>30</v>
      </c>
      <c r="C27" s="21"/>
      <c r="D27" s="21"/>
      <c r="F27" s="64">
        <f>Input!$BC$14</f>
        <v>7389134</v>
      </c>
      <c r="G27" s="64">
        <f>Input!$BD$14</f>
        <v>3855001</v>
      </c>
      <c r="H27" s="64">
        <f>Input!$BE$14</f>
        <v>64055</v>
      </c>
      <c r="I27" s="64">
        <f>Input!$BF$14</f>
        <v>871307</v>
      </c>
      <c r="J27" s="64">
        <f>Input!$BG$14</f>
        <v>752820</v>
      </c>
      <c r="K27" s="64">
        <f>Input!$BH$14</f>
        <v>97414</v>
      </c>
      <c r="L27" s="65">
        <f t="shared" si="2"/>
        <v>13029731</v>
      </c>
      <c r="N27" s="66"/>
      <c r="O27" s="67"/>
      <c r="P27" s="68"/>
      <c r="Q27" s="69"/>
      <c r="R27" s="70"/>
      <c r="S27" s="70"/>
      <c r="T27" s="70"/>
      <c r="U27" s="69"/>
      <c r="V27" s="70"/>
      <c r="W27" s="69"/>
      <c r="X27" s="62"/>
      <c r="Y27" s="67"/>
      <c r="Z27" s="69"/>
      <c r="AA27" s="19"/>
      <c r="AB27" s="24"/>
    </row>
    <row r="28" spans="2:28" ht="15.75" customHeight="1">
      <c r="B28" s="63" t="s">
        <v>31</v>
      </c>
      <c r="C28" s="21"/>
      <c r="D28" s="21"/>
      <c r="F28" s="64">
        <f>Input!$BI$14</f>
        <v>6777540</v>
      </c>
      <c r="G28" s="64">
        <f>Input!$BJ$14</f>
        <v>5125903</v>
      </c>
      <c r="H28" s="64">
        <f>Input!$BK$14</f>
        <v>0</v>
      </c>
      <c r="I28" s="64">
        <f>Input!$BL$14</f>
        <v>2875185</v>
      </c>
      <c r="J28" s="64">
        <f>Input!$BM$14</f>
        <v>341015</v>
      </c>
      <c r="K28" s="64">
        <f>Input!$BN$14</f>
        <v>1299904</v>
      </c>
      <c r="L28" s="65">
        <f t="shared" si="2"/>
        <v>16419547</v>
      </c>
      <c r="N28" s="66"/>
      <c r="O28" s="67"/>
      <c r="P28" s="68"/>
      <c r="Q28" s="69"/>
      <c r="R28" s="70"/>
      <c r="S28" s="70"/>
      <c r="T28" s="70"/>
      <c r="U28" s="69"/>
      <c r="V28" s="70"/>
      <c r="W28" s="69"/>
      <c r="X28" s="62"/>
      <c r="Y28" s="67"/>
      <c r="Z28" s="69"/>
      <c r="AA28" s="19"/>
      <c r="AB28" s="24"/>
    </row>
    <row r="29" spans="2:28" ht="15.75" customHeight="1">
      <c r="B29" s="63" t="s">
        <v>32</v>
      </c>
      <c r="C29" s="21"/>
      <c r="D29" s="21"/>
      <c r="F29" s="64">
        <f>Input!$BO$14</f>
        <v>6498232</v>
      </c>
      <c r="G29" s="64">
        <f>Input!$BP$14</f>
        <v>2342001</v>
      </c>
      <c r="H29" s="64">
        <f>Input!$BQ$14</f>
        <v>0</v>
      </c>
      <c r="I29" s="64">
        <f>Input!$BR$14</f>
        <v>961879</v>
      </c>
      <c r="J29" s="64">
        <f>Input!$BS$14</f>
        <v>0</v>
      </c>
      <c r="K29" s="64">
        <f>Input!$BT$14</f>
        <v>833178</v>
      </c>
      <c r="L29" s="65">
        <f t="shared" si="2"/>
        <v>10635290</v>
      </c>
      <c r="N29" s="66"/>
      <c r="O29" s="67"/>
      <c r="P29" s="68"/>
      <c r="Q29" s="69"/>
      <c r="R29" s="70"/>
      <c r="S29" s="70"/>
      <c r="T29" s="70"/>
      <c r="U29" s="69"/>
      <c r="V29" s="70"/>
      <c r="W29" s="69"/>
      <c r="X29" s="62"/>
      <c r="Y29" s="67"/>
      <c r="Z29" s="69"/>
      <c r="AA29" s="19"/>
      <c r="AB29" s="24"/>
    </row>
    <row r="30" spans="2:28" ht="15.75" customHeight="1">
      <c r="B30" s="63" t="s">
        <v>33</v>
      </c>
      <c r="C30" s="21"/>
      <c r="D30" s="21"/>
      <c r="F30" s="64">
        <f>Input!$BU$14</f>
        <v>0</v>
      </c>
      <c r="G30" s="64">
        <f>Input!$BV$14</f>
        <v>0</v>
      </c>
      <c r="H30" s="64">
        <f>Input!$BW$14</f>
        <v>0</v>
      </c>
      <c r="I30" s="64">
        <f>Input!$BX$14</f>
        <v>0</v>
      </c>
      <c r="J30" s="64">
        <f>Input!$BY$14</f>
        <v>0</v>
      </c>
      <c r="K30" s="64">
        <f>Input!$BZ$14</f>
        <v>0</v>
      </c>
      <c r="L30" s="65">
        <f t="shared" si="2"/>
        <v>0</v>
      </c>
      <c r="N30" s="66"/>
      <c r="O30" s="67"/>
      <c r="P30" s="68"/>
      <c r="Q30" s="69"/>
      <c r="R30" s="70"/>
      <c r="S30" s="70"/>
      <c r="T30" s="70"/>
      <c r="U30" s="69"/>
      <c r="V30" s="70"/>
      <c r="W30" s="69"/>
      <c r="X30" s="62"/>
      <c r="Y30" s="67"/>
      <c r="Z30" s="69"/>
      <c r="AA30" s="19"/>
      <c r="AB30" s="24"/>
    </row>
    <row r="31" spans="2:28" ht="15.75" customHeight="1">
      <c r="B31" s="63" t="s">
        <v>34</v>
      </c>
      <c r="C31" s="21"/>
      <c r="D31" s="21"/>
      <c r="F31" s="64">
        <f>Input!$CA$14</f>
        <v>0</v>
      </c>
      <c r="G31" s="64">
        <f>Input!$CB$14</f>
        <v>0</v>
      </c>
      <c r="H31" s="64">
        <f>Input!$CC$14</f>
        <v>0</v>
      </c>
      <c r="I31" s="64">
        <f>Input!$CD$14</f>
        <v>0</v>
      </c>
      <c r="J31" s="64">
        <f>Input!$CE$14</f>
        <v>0</v>
      </c>
      <c r="K31" s="64">
        <f>Input!$CF$14</f>
        <v>0</v>
      </c>
      <c r="L31" s="65">
        <f t="shared" si="2"/>
        <v>0</v>
      </c>
      <c r="N31" s="66"/>
      <c r="O31" s="67"/>
      <c r="P31" s="68"/>
      <c r="Q31" s="69"/>
      <c r="R31" s="70"/>
      <c r="S31" s="70"/>
      <c r="T31" s="70"/>
      <c r="U31" s="69"/>
      <c r="V31" s="70"/>
      <c r="W31" s="69"/>
      <c r="X31" s="62"/>
      <c r="Y31" s="67"/>
      <c r="Z31" s="69"/>
      <c r="AA31" s="19"/>
      <c r="AB31" s="24"/>
    </row>
    <row r="32" spans="2:28" ht="15.75" customHeight="1">
      <c r="B32" s="63" t="s">
        <v>35</v>
      </c>
      <c r="C32" s="21"/>
      <c r="D32" s="21"/>
      <c r="F32" s="64">
        <f>Input!$CG$14</f>
        <v>0</v>
      </c>
      <c r="G32" s="64">
        <f>Input!$CH$14</f>
        <v>0</v>
      </c>
      <c r="H32" s="64">
        <f>Input!$CI$14</f>
        <v>0</v>
      </c>
      <c r="I32" s="64">
        <f>Input!$CJ$14</f>
        <v>0</v>
      </c>
      <c r="J32" s="64">
        <f>Input!$CK$14</f>
        <v>0</v>
      </c>
      <c r="K32" s="64">
        <f>Input!$CL$14</f>
        <v>0</v>
      </c>
      <c r="L32" s="65">
        <f t="shared" si="2"/>
        <v>0</v>
      </c>
      <c r="N32" s="66"/>
      <c r="O32" s="67"/>
      <c r="P32" s="68"/>
      <c r="Q32" s="69"/>
      <c r="R32" s="70"/>
      <c r="S32" s="70"/>
      <c r="T32" s="70"/>
      <c r="U32" s="69"/>
      <c r="V32" s="70"/>
      <c r="W32" s="69"/>
      <c r="X32" s="62"/>
      <c r="Y32" s="67"/>
      <c r="Z32" s="69"/>
      <c r="AA32" s="19"/>
      <c r="AB32" s="24"/>
    </row>
    <row r="33" spans="1:28" ht="15.75" customHeight="1">
      <c r="B33" s="55" t="s">
        <v>36</v>
      </c>
      <c r="C33" s="21"/>
      <c r="D33" s="21"/>
      <c r="F33" s="64">
        <f>Input!$CM$14</f>
        <v>0</v>
      </c>
      <c r="G33" s="64">
        <f>Input!$CN$14</f>
        <v>0</v>
      </c>
      <c r="H33" s="64">
        <f>Input!$CO$14</f>
        <v>0</v>
      </c>
      <c r="I33" s="64">
        <f>Input!$CP$14</f>
        <v>0</v>
      </c>
      <c r="J33" s="64">
        <f>Input!$CQ$14</f>
        <v>0</v>
      </c>
      <c r="K33" s="64">
        <f>Input!$CR$14</f>
        <v>0</v>
      </c>
      <c r="L33" s="65">
        <f t="shared" si="2"/>
        <v>0</v>
      </c>
      <c r="N33" s="66"/>
      <c r="O33" s="67"/>
      <c r="P33" s="68"/>
      <c r="Q33" s="69"/>
      <c r="R33" s="70"/>
      <c r="S33" s="70"/>
      <c r="T33" s="70"/>
      <c r="U33" s="69"/>
      <c r="V33" s="70"/>
      <c r="W33" s="69"/>
      <c r="X33" s="62"/>
      <c r="Y33" s="67"/>
      <c r="Z33" s="69"/>
      <c r="AA33" s="19"/>
      <c r="AB33" s="24"/>
    </row>
    <row r="34" spans="1:28" ht="15.75" customHeight="1">
      <c r="B34" s="55" t="s">
        <v>37</v>
      </c>
      <c r="C34" s="21"/>
      <c r="D34" s="21"/>
      <c r="F34" s="64">
        <f>Input!$CS$14</f>
        <v>0</v>
      </c>
      <c r="G34" s="64">
        <f>Input!$CT$14</f>
        <v>0</v>
      </c>
      <c r="H34" s="64">
        <f>Input!$CU$14</f>
        <v>0</v>
      </c>
      <c r="I34" s="64">
        <f>Input!$CV$14</f>
        <v>0</v>
      </c>
      <c r="J34" s="64">
        <f>Input!$CW$14</f>
        <v>0</v>
      </c>
      <c r="K34" s="64">
        <f>Input!$CX$14</f>
        <v>0</v>
      </c>
      <c r="L34" s="65">
        <f t="shared" si="2"/>
        <v>0</v>
      </c>
      <c r="N34" s="66"/>
      <c r="O34" s="67"/>
      <c r="P34" s="68"/>
      <c r="Q34" s="69"/>
      <c r="R34" s="70"/>
      <c r="S34" s="70"/>
      <c r="T34" s="70"/>
      <c r="U34" s="69"/>
      <c r="V34" s="70"/>
      <c r="W34" s="69"/>
      <c r="X34" s="62"/>
      <c r="Y34" s="67"/>
      <c r="Z34" s="69"/>
      <c r="AA34" s="19"/>
      <c r="AB34" s="24"/>
    </row>
    <row r="35" spans="1:28" s="79" customFormat="1" ht="15.75" customHeight="1">
      <c r="A35" s="76"/>
      <c r="B35" s="77" t="s">
        <v>38</v>
      </c>
      <c r="C35" s="78"/>
      <c r="D35" s="78"/>
      <c r="E35" s="20"/>
      <c r="F35" s="64">
        <f>Input!$CY$14</f>
        <v>0</v>
      </c>
      <c r="G35" s="64">
        <f>Input!$CZ$14</f>
        <v>0</v>
      </c>
      <c r="H35" s="64">
        <f>Input!$DA$14</f>
        <v>0</v>
      </c>
      <c r="I35" s="64">
        <f>Input!$DB$14</f>
        <v>0</v>
      </c>
      <c r="J35" s="64">
        <f>Input!$DC$14</f>
        <v>0</v>
      </c>
      <c r="K35" s="64">
        <f>Input!$DD$14</f>
        <v>0</v>
      </c>
      <c r="L35" s="65">
        <f t="shared" si="2"/>
        <v>0</v>
      </c>
      <c r="N35" s="66"/>
      <c r="O35" s="67"/>
      <c r="P35" s="80"/>
      <c r="Q35" s="81"/>
      <c r="R35" s="70"/>
      <c r="S35" s="70"/>
      <c r="T35" s="70"/>
      <c r="U35" s="81"/>
      <c r="V35" s="70"/>
      <c r="W35" s="81"/>
      <c r="X35" s="62"/>
      <c r="Y35" s="67"/>
      <c r="Z35" s="81"/>
      <c r="AA35" s="82"/>
      <c r="AB35" s="83"/>
    </row>
    <row r="36" spans="1:28" s="79" customFormat="1" ht="15.75" customHeight="1">
      <c r="A36" s="76"/>
      <c r="B36" s="77" t="s">
        <v>39</v>
      </c>
      <c r="C36" s="78"/>
      <c r="D36" s="78"/>
      <c r="E36" s="20"/>
      <c r="F36" s="64">
        <f>Input!$DE$14</f>
        <v>0</v>
      </c>
      <c r="G36" s="64">
        <f>Input!$DF$14</f>
        <v>0</v>
      </c>
      <c r="H36" s="64">
        <f>Input!$DG$14</f>
        <v>0</v>
      </c>
      <c r="I36" s="64">
        <f>Input!$DH$14</f>
        <v>0</v>
      </c>
      <c r="J36" s="64">
        <f>Input!$DI$14</f>
        <v>0</v>
      </c>
      <c r="K36" s="64">
        <f>Input!$DJ$14</f>
        <v>0</v>
      </c>
      <c r="L36" s="65">
        <f t="shared" si="2"/>
        <v>0</v>
      </c>
      <c r="N36" s="66"/>
      <c r="O36" s="67"/>
      <c r="P36" s="80"/>
      <c r="Q36" s="81"/>
      <c r="R36" s="70"/>
      <c r="S36" s="70"/>
      <c r="T36" s="70"/>
      <c r="U36" s="81"/>
      <c r="V36" s="70"/>
      <c r="W36" s="81"/>
      <c r="X36" s="62"/>
      <c r="Y36" s="67"/>
      <c r="Z36" s="81"/>
      <c r="AA36" s="82"/>
      <c r="AB36" s="83"/>
    </row>
    <row r="37" spans="1:28" s="79" customFormat="1" ht="15.75" customHeight="1">
      <c r="A37" s="76"/>
      <c r="B37" s="77" t="s">
        <v>40</v>
      </c>
      <c r="C37" s="78"/>
      <c r="D37" s="78"/>
      <c r="E37" s="20"/>
      <c r="F37" s="64">
        <f>Input!$DK$14</f>
        <v>0</v>
      </c>
      <c r="G37" s="64">
        <f>Input!$DL$14</f>
        <v>0</v>
      </c>
      <c r="H37" s="64">
        <f>Input!$DM$14</f>
        <v>0</v>
      </c>
      <c r="I37" s="64">
        <f>Input!$DN$14</f>
        <v>0</v>
      </c>
      <c r="J37" s="64">
        <f>Input!$DO$14</f>
        <v>0</v>
      </c>
      <c r="K37" s="64">
        <f>Input!$DP$14</f>
        <v>0</v>
      </c>
      <c r="L37" s="65">
        <f t="shared" si="2"/>
        <v>0</v>
      </c>
      <c r="N37" s="66"/>
      <c r="O37" s="67"/>
      <c r="P37" s="80"/>
      <c r="Q37" s="81"/>
      <c r="R37" s="70"/>
      <c r="S37" s="70"/>
      <c r="T37" s="70"/>
      <c r="U37" s="81"/>
      <c r="V37" s="70"/>
      <c r="W37" s="81"/>
      <c r="X37" s="62"/>
      <c r="Y37" s="67"/>
      <c r="Z37" s="81"/>
      <c r="AA37" s="82"/>
      <c r="AB37" s="83"/>
    </row>
    <row r="38" spans="1:28" s="79" customFormat="1" ht="15.75" customHeight="1">
      <c r="A38" s="76"/>
      <c r="B38" s="77" t="s">
        <v>41</v>
      </c>
      <c r="C38" s="78"/>
      <c r="D38" s="78"/>
      <c r="E38" s="20"/>
      <c r="F38" s="64">
        <f>Input!$DQ$14</f>
        <v>0</v>
      </c>
      <c r="G38" s="64">
        <f>Input!$DR$14</f>
        <v>0</v>
      </c>
      <c r="H38" s="64">
        <f>Input!$DS$14</f>
        <v>0</v>
      </c>
      <c r="I38" s="64">
        <f>Input!$DT$14</f>
        <v>0</v>
      </c>
      <c r="J38" s="64">
        <f>Input!$DU$14</f>
        <v>0</v>
      </c>
      <c r="K38" s="64">
        <f>Input!$DV$14</f>
        <v>0</v>
      </c>
      <c r="L38" s="65">
        <f t="shared" si="2"/>
        <v>0</v>
      </c>
      <c r="N38" s="66"/>
      <c r="O38" s="67"/>
      <c r="P38" s="80"/>
      <c r="Q38" s="81"/>
      <c r="R38" s="70"/>
      <c r="S38" s="70"/>
      <c r="T38" s="70"/>
      <c r="U38" s="81"/>
      <c r="V38" s="70"/>
      <c r="W38" s="81"/>
      <c r="X38" s="62"/>
      <c r="Y38" s="67"/>
      <c r="Z38" s="81"/>
      <c r="AA38" s="82"/>
      <c r="AB38" s="83"/>
    </row>
    <row r="39" spans="1:28" s="79" customFormat="1" ht="15.75" customHeight="1">
      <c r="A39" s="76"/>
      <c r="B39" s="77" t="s">
        <v>42</v>
      </c>
      <c r="C39" s="78"/>
      <c r="D39" s="78"/>
      <c r="E39" s="20"/>
      <c r="F39" s="64">
        <f>Input!$DW$14</f>
        <v>0</v>
      </c>
      <c r="G39" s="64">
        <f>Input!$DX$14</f>
        <v>0</v>
      </c>
      <c r="H39" s="64">
        <f>Input!$DY$14</f>
        <v>0</v>
      </c>
      <c r="I39" s="64">
        <f>Input!$DZ$14</f>
        <v>0</v>
      </c>
      <c r="J39" s="64">
        <f>Input!$EA$14</f>
        <v>0</v>
      </c>
      <c r="K39" s="64">
        <f>Input!$EB$14</f>
        <v>0</v>
      </c>
      <c r="L39" s="65">
        <f t="shared" si="2"/>
        <v>0</v>
      </c>
      <c r="N39" s="66"/>
      <c r="O39" s="67"/>
      <c r="P39" s="80"/>
      <c r="Q39" s="81"/>
      <c r="R39" s="70"/>
      <c r="S39" s="70"/>
      <c r="T39" s="70"/>
      <c r="U39" s="81"/>
      <c r="V39" s="70"/>
      <c r="W39" s="81"/>
      <c r="X39" s="62"/>
      <c r="Y39" s="67"/>
      <c r="Z39" s="81"/>
      <c r="AA39" s="82"/>
      <c r="AB39" s="83"/>
    </row>
    <row r="40" spans="1:28" ht="15.75" customHeight="1">
      <c r="A40" s="76"/>
      <c r="B40" s="55" t="s">
        <v>43</v>
      </c>
      <c r="C40" s="21"/>
      <c r="D40" s="21"/>
      <c r="E40" s="21"/>
      <c r="F40" s="84">
        <f>Input!$EC$14</f>
        <v>0</v>
      </c>
      <c r="G40" s="84">
        <f>Input!$ED$14</f>
        <v>0</v>
      </c>
      <c r="H40" s="84">
        <f>Input!$EE$14</f>
        <v>0</v>
      </c>
      <c r="I40" s="84">
        <f>Input!$EF$14</f>
        <v>0</v>
      </c>
      <c r="J40" s="84">
        <f>Input!$EG$14</f>
        <v>0</v>
      </c>
      <c r="K40" s="84">
        <f>Input!$EH$14</f>
        <v>0</v>
      </c>
      <c r="L40" s="65">
        <f t="shared" si="2"/>
        <v>0</v>
      </c>
      <c r="N40" s="66"/>
      <c r="O40" s="317" t="s">
        <v>633</v>
      </c>
      <c r="P40" s="41" t="s">
        <v>634</v>
      </c>
      <c r="Q40" s="85"/>
      <c r="R40" s="70"/>
      <c r="S40" s="70"/>
      <c r="T40" s="70"/>
      <c r="U40" s="69"/>
      <c r="V40" s="70"/>
      <c r="W40" s="69"/>
      <c r="X40" s="62"/>
      <c r="Y40" s="67"/>
      <c r="Z40" s="69"/>
      <c r="AA40" s="19"/>
      <c r="AB40" s="24">
        <f>SUM(C40:L40)</f>
        <v>0</v>
      </c>
    </row>
    <row r="41" spans="1:28" ht="15.75" customHeight="1">
      <c r="A41" s="76"/>
      <c r="B41" s="43" t="s">
        <v>44</v>
      </c>
      <c r="C41" s="44"/>
      <c r="D41" s="44"/>
      <c r="E41" s="44"/>
      <c r="F41" s="86">
        <f t="shared" ref="F41:L41" si="3">SUM(F20:F40)</f>
        <v>206664447</v>
      </c>
      <c r="G41" s="86">
        <f t="shared" si="3"/>
        <v>176461762</v>
      </c>
      <c r="H41" s="86">
        <f t="shared" si="3"/>
        <v>343967</v>
      </c>
      <c r="I41" s="86">
        <f t="shared" si="3"/>
        <v>31196240</v>
      </c>
      <c r="J41" s="86">
        <f t="shared" si="3"/>
        <v>50712121</v>
      </c>
      <c r="K41" s="86">
        <f t="shared" si="3"/>
        <v>81656207</v>
      </c>
      <c r="L41" s="87">
        <f t="shared" si="3"/>
        <v>547034744</v>
      </c>
      <c r="N41" s="88"/>
      <c r="O41" s="308" t="s">
        <v>628</v>
      </c>
      <c r="P41" s="309" t="s">
        <v>17</v>
      </c>
      <c r="Q41" s="89"/>
      <c r="R41" s="89"/>
      <c r="S41" s="50">
        <f>L41-INT(L41)</f>
        <v>0</v>
      </c>
      <c r="T41" s="61"/>
      <c r="U41" s="90"/>
      <c r="V41" s="61"/>
      <c r="W41" s="61"/>
      <c r="X41" s="85"/>
      <c r="Y41" s="60"/>
      <c r="Z41" s="91"/>
      <c r="AA41" s="19"/>
      <c r="AB41" s="44">
        <f>SUM(AB20:AB40)</f>
        <v>368204066</v>
      </c>
    </row>
    <row r="42" spans="1:28" ht="15.75" customHeight="1">
      <c r="A42" s="76"/>
      <c r="C42" s="38"/>
      <c r="D42" s="38"/>
      <c r="F42" s="38"/>
      <c r="G42" s="310" t="s">
        <v>629</v>
      </c>
      <c r="H42" s="311">
        <f>H41+G41</f>
        <v>176805729</v>
      </c>
      <c r="I42" s="53"/>
      <c r="J42" s="310" t="s">
        <v>630</v>
      </c>
      <c r="K42" s="311">
        <f>K41+J41</f>
        <v>132368328</v>
      </c>
      <c r="L42" s="310" t="s">
        <v>631</v>
      </c>
      <c r="M42" s="312"/>
      <c r="N42" s="313">
        <f>K42+F41</f>
        <v>339032775</v>
      </c>
      <c r="O42" s="314">
        <f>ROUND((N42/P42)*100,2)</f>
        <v>769.99</v>
      </c>
      <c r="P42" s="93">
        <f>Input!$GR$14</f>
        <v>44031032</v>
      </c>
      <c r="Q42" s="92"/>
      <c r="R42" s="92"/>
      <c r="S42" s="92"/>
      <c r="T42" s="94"/>
      <c r="U42" s="95"/>
      <c r="V42" s="96"/>
      <c r="W42" s="92"/>
      <c r="X42" s="92"/>
      <c r="Y42" s="92"/>
      <c r="Z42" s="92" t="str">
        <f>IF(Z41&lt;&gt;0,"Out of Balance","")</f>
        <v/>
      </c>
    </row>
    <row r="43" spans="1:28" ht="15.75" customHeight="1">
      <c r="A43" s="76"/>
      <c r="B43" s="14" t="s">
        <v>45</v>
      </c>
      <c r="C43" s="53"/>
      <c r="D43" s="53"/>
      <c r="E43" s="53"/>
      <c r="F43" s="53"/>
      <c r="G43" s="315"/>
      <c r="H43" s="315"/>
      <c r="I43" s="315"/>
      <c r="J43" s="315"/>
      <c r="K43" s="315"/>
      <c r="L43" s="315"/>
      <c r="O43" s="316" t="s">
        <v>632</v>
      </c>
      <c r="Q43" s="92"/>
      <c r="R43" s="92"/>
      <c r="S43" s="92"/>
      <c r="T43" s="94"/>
      <c r="U43" s="95"/>
      <c r="V43" s="96"/>
      <c r="W43" s="92"/>
      <c r="X43" s="92"/>
      <c r="Y43" s="92"/>
      <c r="Z43" s="92"/>
    </row>
    <row r="44" spans="1:28" ht="15.75" customHeight="1">
      <c r="A44" s="76"/>
      <c r="B44" s="55" t="s">
        <v>544</v>
      </c>
      <c r="C44" s="21"/>
      <c r="D44" s="21"/>
      <c r="F44" s="64">
        <f>Input!$EI$14</f>
        <v>0</v>
      </c>
      <c r="G44" s="64">
        <f>Input!$EJ$14</f>
        <v>0</v>
      </c>
      <c r="H44" s="64">
        <f>Input!$EK$14</f>
        <v>0</v>
      </c>
      <c r="I44" s="64">
        <f>Input!$EL$14</f>
        <v>0</v>
      </c>
      <c r="J44" s="64">
        <f>Input!$EM$14</f>
        <v>0</v>
      </c>
      <c r="K44" s="64">
        <f>Input!$EN$14</f>
        <v>0</v>
      </c>
      <c r="L44" s="57">
        <f>SUM(F44:K44)</f>
        <v>0</v>
      </c>
      <c r="N44" s="9"/>
      <c r="O44" s="318">
        <f>ROUND(N42/O46,0)</f>
        <v>832595</v>
      </c>
      <c r="Q44" s="93"/>
      <c r="R44" s="93"/>
      <c r="S44" s="93"/>
      <c r="T44" s="94"/>
      <c r="U44" s="95"/>
      <c r="V44" s="99"/>
      <c r="W44" s="93"/>
      <c r="X44" s="101"/>
      <c r="Y44" s="92"/>
      <c r="Z44" s="100"/>
      <c r="AB44" s="24">
        <f>SUM(C44:L44)</f>
        <v>0</v>
      </c>
    </row>
    <row r="45" spans="1:28" ht="15.75" customHeight="1">
      <c r="A45" s="76"/>
      <c r="B45" s="55" t="s">
        <v>46</v>
      </c>
      <c r="C45" s="21"/>
      <c r="D45" s="21"/>
      <c r="F45" s="64">
        <f>Input!$EO$14</f>
        <v>206664447</v>
      </c>
      <c r="G45" s="64">
        <f>Input!$EP$14</f>
        <v>176461762</v>
      </c>
      <c r="H45" s="64">
        <f>Input!$EQ$14</f>
        <v>343967</v>
      </c>
      <c r="I45" s="64">
        <f>Input!$ER$14</f>
        <v>31196240</v>
      </c>
      <c r="J45" s="64">
        <f>Input!$ES$14</f>
        <v>50712121</v>
      </c>
      <c r="K45" s="64">
        <f>Input!$ET$14</f>
        <v>81656207</v>
      </c>
      <c r="L45" s="65">
        <f t="shared" ref="L45:L53" si="4">SUM(F45:K45)</f>
        <v>547034744</v>
      </c>
      <c r="N45" s="97"/>
      <c r="O45" s="319" t="s">
        <v>635</v>
      </c>
      <c r="P45" s="98"/>
      <c r="Q45" s="93"/>
      <c r="R45" s="93"/>
      <c r="S45" s="93"/>
      <c r="T45" s="94"/>
      <c r="U45" s="95"/>
      <c r="V45" s="99"/>
      <c r="W45" s="93"/>
      <c r="X45" s="101"/>
      <c r="Y45" s="92"/>
      <c r="Z45" s="100"/>
      <c r="AB45" s="24"/>
    </row>
    <row r="46" spans="1:28" ht="15.75" customHeight="1">
      <c r="A46" s="76"/>
      <c r="B46" s="55" t="s">
        <v>545</v>
      </c>
      <c r="C46" s="21"/>
      <c r="D46" s="21"/>
      <c r="F46" s="64">
        <f>Input!$EU$14</f>
        <v>0</v>
      </c>
      <c r="G46" s="64">
        <f>Input!$EV$14</f>
        <v>0</v>
      </c>
      <c r="H46" s="64">
        <f>Input!$EW$14</f>
        <v>0</v>
      </c>
      <c r="I46" s="64">
        <f>Input!$EX$14</f>
        <v>0</v>
      </c>
      <c r="J46" s="64">
        <f>Input!$EY$14</f>
        <v>0</v>
      </c>
      <c r="K46" s="64">
        <f>Input!$EZ$14</f>
        <v>0</v>
      </c>
      <c r="L46" s="65">
        <f t="shared" si="4"/>
        <v>0</v>
      </c>
      <c r="N46" s="97"/>
      <c r="O46" s="320">
        <f>FTSE!$O$31</f>
        <v>407.2</v>
      </c>
      <c r="P46" s="98"/>
      <c r="Q46" s="93"/>
      <c r="R46" s="93"/>
      <c r="S46" s="93"/>
      <c r="T46" s="94"/>
      <c r="U46" s="95"/>
      <c r="V46" s="99"/>
      <c r="W46" s="93"/>
      <c r="X46" s="101"/>
      <c r="Y46" s="92"/>
      <c r="Z46" s="100"/>
      <c r="AB46" s="24"/>
    </row>
    <row r="47" spans="1:28" ht="15.75" customHeight="1">
      <c r="A47" s="76"/>
      <c r="B47" s="63" t="s">
        <v>546</v>
      </c>
      <c r="C47" s="21"/>
      <c r="D47" s="21"/>
      <c r="F47" s="64">
        <f>Input!$FA$14</f>
        <v>0</v>
      </c>
      <c r="G47" s="64">
        <f>Input!$FB$14</f>
        <v>0</v>
      </c>
      <c r="H47" s="64">
        <f>Input!$FC$14</f>
        <v>0</v>
      </c>
      <c r="I47" s="64">
        <f>Input!$FD$14</f>
        <v>0</v>
      </c>
      <c r="J47" s="64">
        <f>Input!$FE$14</f>
        <v>0</v>
      </c>
      <c r="K47" s="64">
        <f>Input!$FF$14</f>
        <v>0</v>
      </c>
      <c r="L47" s="65">
        <f t="shared" si="4"/>
        <v>0</v>
      </c>
      <c r="N47" s="97"/>
      <c r="O47" s="321" t="s">
        <v>636</v>
      </c>
      <c r="P47" s="98"/>
      <c r="Q47" s="93"/>
      <c r="R47" s="93"/>
      <c r="S47" s="93"/>
      <c r="T47" s="94"/>
      <c r="U47" s="95"/>
      <c r="V47" s="99"/>
      <c r="W47" s="93"/>
      <c r="X47" s="101"/>
      <c r="Y47" s="92"/>
      <c r="Z47" s="100"/>
      <c r="AB47" s="24"/>
    </row>
    <row r="48" spans="1:28" ht="15.75" customHeight="1">
      <c r="A48" s="76"/>
      <c r="B48" s="55" t="s">
        <v>547</v>
      </c>
      <c r="C48" s="21"/>
      <c r="D48" s="21"/>
      <c r="F48" s="64">
        <f>Input!$FG$14</f>
        <v>0</v>
      </c>
      <c r="G48" s="64">
        <f>Input!$FH$14</f>
        <v>0</v>
      </c>
      <c r="H48" s="64">
        <f>Input!$FI$14</f>
        <v>0</v>
      </c>
      <c r="I48" s="64">
        <f>Input!$FJ$14</f>
        <v>0</v>
      </c>
      <c r="J48" s="64">
        <f>Input!$FK$14</f>
        <v>0</v>
      </c>
      <c r="K48" s="64">
        <f>Input!$FL$14</f>
        <v>0</v>
      </c>
      <c r="L48" s="65">
        <f t="shared" si="4"/>
        <v>0</v>
      </c>
      <c r="N48" s="97"/>
      <c r="P48" s="98"/>
      <c r="Q48" s="93"/>
      <c r="R48" s="93"/>
      <c r="S48" s="93"/>
      <c r="T48" s="94"/>
      <c r="U48" s="95"/>
      <c r="V48" s="99"/>
      <c r="W48" s="93"/>
      <c r="X48" s="101"/>
      <c r="Y48" s="92"/>
      <c r="Z48" s="100"/>
      <c r="AB48" s="24"/>
    </row>
    <row r="49" spans="1:28" s="79" customFormat="1" ht="15.75" customHeight="1">
      <c r="A49" s="76"/>
      <c r="B49" s="228" t="s">
        <v>548</v>
      </c>
      <c r="C49" s="78"/>
      <c r="D49" s="78"/>
      <c r="E49" s="20"/>
      <c r="F49" s="64">
        <f>Input!$FM$14</f>
        <v>0</v>
      </c>
      <c r="G49" s="64">
        <f>Input!$FN$14</f>
        <v>0</v>
      </c>
      <c r="H49" s="64">
        <f>Input!$FO$14</f>
        <v>0</v>
      </c>
      <c r="I49" s="64">
        <f>Input!$FP$14</f>
        <v>0</v>
      </c>
      <c r="J49" s="64">
        <f>Input!$FQ$14</f>
        <v>0</v>
      </c>
      <c r="K49" s="64">
        <f>Input!$FR$14</f>
        <v>0</v>
      </c>
      <c r="L49" s="65">
        <f t="shared" si="4"/>
        <v>0</v>
      </c>
      <c r="N49" s="102"/>
      <c r="P49" s="103"/>
      <c r="Q49" s="104"/>
      <c r="R49" s="104"/>
      <c r="S49" s="104"/>
      <c r="T49" s="105"/>
      <c r="U49" s="106"/>
      <c r="V49" s="107"/>
      <c r="W49" s="104"/>
      <c r="X49" s="108"/>
      <c r="Y49" s="109"/>
      <c r="Z49" s="110"/>
      <c r="AB49" s="83"/>
    </row>
    <row r="50" spans="1:28" s="79" customFormat="1" ht="15.75" customHeight="1">
      <c r="A50" s="76"/>
      <c r="B50" s="228" t="s">
        <v>549</v>
      </c>
      <c r="C50" s="78"/>
      <c r="D50" s="78"/>
      <c r="E50" s="20"/>
      <c r="F50" s="64">
        <f>Input!$FS$14</f>
        <v>0</v>
      </c>
      <c r="G50" s="64">
        <f>Input!$FT$14</f>
        <v>0</v>
      </c>
      <c r="H50" s="64">
        <f>Input!$FU$14</f>
        <v>0</v>
      </c>
      <c r="I50" s="64">
        <f>Input!$FV$14</f>
        <v>0</v>
      </c>
      <c r="J50" s="64">
        <f>Input!$FW$14</f>
        <v>0</v>
      </c>
      <c r="K50" s="64">
        <f>Input!$FX$14</f>
        <v>0</v>
      </c>
      <c r="L50" s="65">
        <f t="shared" si="4"/>
        <v>0</v>
      </c>
      <c r="N50" s="102"/>
      <c r="P50" s="103"/>
      <c r="Q50" s="104"/>
      <c r="R50" s="104"/>
      <c r="S50" s="104"/>
      <c r="T50" s="105"/>
      <c r="U50" s="106"/>
      <c r="V50" s="107"/>
      <c r="W50" s="104"/>
      <c r="X50" s="108"/>
      <c r="Y50" s="109"/>
      <c r="Z50" s="110"/>
      <c r="AB50" s="83"/>
    </row>
    <row r="51" spans="1:28" s="79" customFormat="1" ht="15.75" customHeight="1">
      <c r="A51" s="76"/>
      <c r="B51" s="228" t="s">
        <v>550</v>
      </c>
      <c r="C51" s="78"/>
      <c r="D51" s="78"/>
      <c r="E51" s="20"/>
      <c r="F51" s="64">
        <f>Input!$FY$14</f>
        <v>0</v>
      </c>
      <c r="G51" s="64">
        <f>Input!$FZ$14</f>
        <v>0</v>
      </c>
      <c r="H51" s="64">
        <f>Input!$GA$14</f>
        <v>0</v>
      </c>
      <c r="I51" s="64">
        <f>Input!$GB$14</f>
        <v>0</v>
      </c>
      <c r="J51" s="64">
        <f>Input!$GC$14</f>
        <v>0</v>
      </c>
      <c r="K51" s="64">
        <f>Input!$GD$14</f>
        <v>0</v>
      </c>
      <c r="L51" s="65">
        <f t="shared" si="4"/>
        <v>0</v>
      </c>
      <c r="N51" s="102"/>
      <c r="P51" s="103"/>
      <c r="Q51" s="104"/>
      <c r="R51" s="104"/>
      <c r="S51" s="104"/>
      <c r="T51" s="105"/>
      <c r="U51" s="106"/>
      <c r="V51" s="107"/>
      <c r="W51" s="104"/>
      <c r="X51" s="108"/>
      <c r="Y51" s="109"/>
      <c r="Z51" s="110"/>
      <c r="AB51" s="83"/>
    </row>
    <row r="52" spans="1:28" s="79" customFormat="1" ht="15.75" customHeight="1">
      <c r="A52" s="76"/>
      <c r="B52" s="228" t="s">
        <v>551</v>
      </c>
      <c r="C52" s="78"/>
      <c r="D52" s="78"/>
      <c r="E52" s="20"/>
      <c r="F52" s="64">
        <f>Input!$GE$14</f>
        <v>0</v>
      </c>
      <c r="G52" s="64">
        <f>Input!$GF$14</f>
        <v>0</v>
      </c>
      <c r="H52" s="64">
        <f>Input!$GG$14</f>
        <v>0</v>
      </c>
      <c r="I52" s="64">
        <f>Input!$GH$14</f>
        <v>0</v>
      </c>
      <c r="J52" s="64">
        <f>Input!$GI$14</f>
        <v>0</v>
      </c>
      <c r="K52" s="64">
        <f>Input!$GJ$14</f>
        <v>0</v>
      </c>
      <c r="L52" s="65">
        <f t="shared" si="4"/>
        <v>0</v>
      </c>
      <c r="N52" s="102"/>
      <c r="P52" s="103"/>
      <c r="Q52" s="104"/>
      <c r="R52" s="104"/>
      <c r="S52" s="104"/>
      <c r="T52" s="105"/>
      <c r="U52" s="106"/>
      <c r="V52" s="107"/>
      <c r="W52" s="104"/>
      <c r="X52" s="108"/>
      <c r="Y52" s="109"/>
      <c r="Z52" s="110"/>
      <c r="AB52" s="83"/>
    </row>
    <row r="53" spans="1:28" s="79" customFormat="1" ht="15.75" customHeight="1">
      <c r="A53" s="76"/>
      <c r="B53" s="228" t="s">
        <v>552</v>
      </c>
      <c r="C53" s="78"/>
      <c r="D53" s="78"/>
      <c r="E53" s="20"/>
      <c r="F53" s="64">
        <f>Input!$GK$14</f>
        <v>0</v>
      </c>
      <c r="G53" s="64">
        <f>Input!$GL$14</f>
        <v>0</v>
      </c>
      <c r="H53" s="64">
        <f>Input!$GM$14</f>
        <v>0</v>
      </c>
      <c r="I53" s="64">
        <f>Input!$GN$14</f>
        <v>0</v>
      </c>
      <c r="J53" s="64">
        <f>Input!$GO$14</f>
        <v>0</v>
      </c>
      <c r="K53" s="64">
        <f>Input!$GP$14</f>
        <v>0</v>
      </c>
      <c r="L53" s="65">
        <f t="shared" si="4"/>
        <v>0</v>
      </c>
      <c r="N53" s="102"/>
      <c r="P53" s="103"/>
      <c r="Q53" s="104"/>
      <c r="R53" s="104"/>
      <c r="S53" s="104"/>
      <c r="T53" s="105"/>
      <c r="U53" s="106"/>
      <c r="V53" s="107"/>
      <c r="W53" s="104"/>
      <c r="X53" s="108"/>
      <c r="Y53" s="109"/>
      <c r="Z53" s="110"/>
      <c r="AB53" s="83"/>
    </row>
    <row r="54" spans="1:28" ht="15.75" customHeight="1">
      <c r="A54" s="76"/>
      <c r="B54" s="43" t="s">
        <v>47</v>
      </c>
      <c r="C54" s="44"/>
      <c r="D54" s="44"/>
      <c r="E54" s="44"/>
      <c r="F54" s="86">
        <f>SUM(F44:F53)</f>
        <v>206664447</v>
      </c>
      <c r="G54" s="86">
        <f t="shared" ref="G54:L54" si="5">SUM(G44:G53)</f>
        <v>176461762</v>
      </c>
      <c r="H54" s="86">
        <f t="shared" si="5"/>
        <v>343967</v>
      </c>
      <c r="I54" s="86">
        <f t="shared" si="5"/>
        <v>31196240</v>
      </c>
      <c r="J54" s="86">
        <f t="shared" si="5"/>
        <v>50712121</v>
      </c>
      <c r="K54" s="86">
        <f t="shared" si="5"/>
        <v>81656207</v>
      </c>
      <c r="L54" s="86">
        <f t="shared" si="5"/>
        <v>547034744</v>
      </c>
      <c r="N54" s="97"/>
      <c r="P54" s="98"/>
      <c r="Q54" s="98"/>
      <c r="R54" s="98"/>
      <c r="S54" s="50">
        <f>L54-INT(L54)</f>
        <v>0</v>
      </c>
      <c r="T54" s="94"/>
      <c r="U54" s="95"/>
      <c r="V54" s="99"/>
      <c r="W54" s="99"/>
      <c r="X54" s="99"/>
      <c r="Y54" s="95"/>
      <c r="Z54" s="95"/>
      <c r="AB54" s="44">
        <f>SUM(AB44:AB48)</f>
        <v>0</v>
      </c>
    </row>
    <row r="55" spans="1:28" ht="15.75" customHeight="1">
      <c r="A55" s="76"/>
      <c r="C55" s="38"/>
      <c r="D55" s="38"/>
      <c r="E55" s="38"/>
      <c r="F55" s="38"/>
      <c r="G55" s="38"/>
      <c r="H55" s="38"/>
      <c r="I55" s="38"/>
      <c r="J55" s="38"/>
      <c r="K55" s="38"/>
      <c r="L55" s="38"/>
      <c r="N55" s="97"/>
      <c r="P55" s="98"/>
      <c r="Q55" s="98"/>
      <c r="R55" s="98"/>
      <c r="S55" s="98"/>
      <c r="T55" s="94"/>
      <c r="U55" s="95"/>
      <c r="V55" s="99"/>
      <c r="W55" s="99"/>
      <c r="X55" s="99"/>
      <c r="Y55" s="95"/>
      <c r="Z55" s="95"/>
    </row>
    <row r="56" spans="1:28" ht="15.75" customHeight="1">
      <c r="A56" s="76"/>
      <c r="L56" s="6" t="s">
        <v>48</v>
      </c>
      <c r="N56" s="111"/>
      <c r="Q56" s="112"/>
      <c r="R56" s="112"/>
      <c r="S56" s="112"/>
      <c r="W56" s="112"/>
      <c r="X56" s="112"/>
      <c r="Y56" s="112"/>
      <c r="Z56" s="112"/>
    </row>
    <row r="57" spans="1:28" ht="15.75" customHeight="1">
      <c r="A57" s="76"/>
      <c r="N57" s="113"/>
    </row>
    <row r="58" spans="1:28" s="112" customFormat="1" ht="15.75" customHeight="1">
      <c r="A58" s="76"/>
      <c r="N58" s="113"/>
      <c r="O58" s="9"/>
      <c r="P58" s="9"/>
      <c r="Q58" s="9"/>
      <c r="R58" s="9"/>
      <c r="S58" s="9"/>
      <c r="T58" s="9"/>
      <c r="U58" s="9"/>
      <c r="V58" s="9"/>
      <c r="W58" s="9"/>
      <c r="X58" s="9"/>
      <c r="Y58" s="9"/>
      <c r="Z58" s="9"/>
    </row>
    <row r="59" spans="1:28" s="112" customFormat="1" ht="15.75" customHeight="1">
      <c r="A59" s="76"/>
      <c r="N59" s="113"/>
      <c r="O59" s="9"/>
      <c r="P59" s="9"/>
      <c r="Q59" s="9"/>
      <c r="R59" s="9"/>
      <c r="S59" s="9"/>
      <c r="T59" s="9"/>
      <c r="U59" s="9"/>
      <c r="V59" s="9"/>
      <c r="W59" s="9"/>
      <c r="X59" s="9"/>
      <c r="Y59" s="9"/>
      <c r="Z59" s="9"/>
    </row>
    <row r="60" spans="1:28" s="112" customFormat="1" ht="15.75" customHeight="1">
      <c r="A60" s="76"/>
      <c r="N60" s="113"/>
      <c r="O60" s="9"/>
      <c r="P60" s="9"/>
      <c r="Q60" s="9"/>
      <c r="R60" s="9"/>
      <c r="S60" s="9"/>
      <c r="T60" s="9"/>
      <c r="U60" s="9"/>
      <c r="V60" s="9"/>
      <c r="W60" s="9"/>
      <c r="X60" s="9"/>
      <c r="Y60" s="9"/>
      <c r="Z60" s="9"/>
    </row>
    <row r="61" spans="1:28" s="79" customFormat="1" ht="15.75" customHeight="1">
      <c r="A61" s="76"/>
      <c r="B61" s="20"/>
      <c r="C61" s="20"/>
      <c r="D61" s="20"/>
      <c r="E61" s="20"/>
      <c r="F61" s="114">
        <f t="shared" ref="F61:L61" si="6">F54+F41</f>
        <v>413328894</v>
      </c>
      <c r="G61" s="114">
        <f t="shared" si="6"/>
        <v>352923524</v>
      </c>
      <c r="H61" s="114">
        <f t="shared" si="6"/>
        <v>687934</v>
      </c>
      <c r="I61" s="114">
        <f t="shared" si="6"/>
        <v>62392480</v>
      </c>
      <c r="J61" s="114">
        <f t="shared" si="6"/>
        <v>101424242</v>
      </c>
      <c r="K61" s="114">
        <f t="shared" si="6"/>
        <v>163312414</v>
      </c>
      <c r="L61" s="114">
        <f t="shared" si="6"/>
        <v>1094069488</v>
      </c>
      <c r="N61" s="20"/>
    </row>
    <row r="62" spans="1:28" s="79" customFormat="1" ht="15.75" customHeight="1">
      <c r="A62" s="76"/>
      <c r="B62" s="20"/>
      <c r="C62" s="20"/>
      <c r="D62" s="20"/>
      <c r="E62" s="20"/>
      <c r="F62" s="20"/>
      <c r="G62" s="20"/>
      <c r="H62" s="20"/>
      <c r="I62" s="20"/>
      <c r="J62" s="20"/>
      <c r="K62" s="20"/>
      <c r="L62" s="114">
        <f>SUM(K8:K9)+SUM(K12:K16)</f>
        <v>547034744</v>
      </c>
      <c r="N62" s="20"/>
    </row>
    <row r="63" spans="1:28" s="79" customFormat="1" ht="15.75" customHeight="1">
      <c r="A63" s="76"/>
      <c r="B63" s="20"/>
      <c r="C63" s="20"/>
      <c r="D63" s="20"/>
      <c r="E63" s="20"/>
      <c r="F63" s="20"/>
      <c r="G63" s="20"/>
      <c r="H63" s="20"/>
      <c r="I63" s="20"/>
      <c r="J63" s="20"/>
      <c r="K63" s="20"/>
      <c r="L63" s="114">
        <f>SUM(L61:L62)</f>
        <v>1641104232</v>
      </c>
      <c r="N63" s="20"/>
    </row>
    <row r="65" spans="12:12" ht="15.75" customHeight="1">
      <c r="L65" s="3" t="str">
        <f>IF($L$63+L64&lt;&gt;Input!$D$14,"Error","Balanced")</f>
        <v>Balanced</v>
      </c>
    </row>
  </sheetData>
  <mergeCells count="3">
    <mergeCell ref="B6:L6"/>
    <mergeCell ref="H10:J10"/>
    <mergeCell ref="F18:J18"/>
  </mergeCells>
  <conditionalFormatting sqref="O25:O26">
    <cfRule type="expression" dxfId="17" priority="3">
      <formula>$O$26&lt;&gt;0</formula>
    </cfRule>
  </conditionalFormatting>
  <conditionalFormatting sqref="H10:J10">
    <cfRule type="expression" dxfId="16" priority="1">
      <formula>$O$10&lt;&gt;0</formula>
    </cfRule>
  </conditionalFormatting>
  <conditionalFormatting sqref="F18:J18">
    <cfRule type="expression" dxfId="15" priority="5">
      <formula>OR($S$17&lt;&gt;0,$S$41&lt;&gt;0,$S$54&lt;&gt;0)</formula>
    </cfRule>
  </conditionalFormatting>
  <hyperlinks>
    <hyperlink ref="N1" location="Index!A1" display="Return to Index"/>
  </hyperlinks>
  <printOptions horizontalCentered="1"/>
  <pageMargins left="0.25" right="0.25" top="0.25" bottom="0.25" header="0.5" footer="0.5"/>
  <pageSetup scale="60" pageOrder="overThenDown" orientation="landscape" r:id="rId1"/>
  <headerFooter alignWithMargins="0"/>
  <colBreaks count="1" manualBreakCount="1">
    <brk id="12" max="80" man="1"/>
  </colBreaks>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pageSetUpPr fitToPage="1"/>
  </sheetPr>
  <dimension ref="A1:AB65"/>
  <sheetViews>
    <sheetView showGridLines="0" zoomScale="75" zoomScaleNormal="75" workbookViewId="0">
      <pane xSplit="4" ySplit="3" topLeftCell="K17" activePane="bottomRight" state="frozen"/>
      <selection pane="topRight" activeCell="E1" sqref="E1"/>
      <selection pane="bottomLeft" activeCell="A4" sqref="A4"/>
      <selection pane="bottomRight" activeCell="O45" sqref="O45"/>
    </sheetView>
  </sheetViews>
  <sheetFormatPr defaultRowHeight="15.75" customHeight="1"/>
  <cols>
    <col min="1" max="1" width="4.7109375" style="1" customWidth="1"/>
    <col min="2" max="2" width="60.140625" style="6" customWidth="1"/>
    <col min="3" max="4" width="3.42578125" style="6" customWidth="1"/>
    <col min="5" max="5" width="10.85546875" style="6" customWidth="1"/>
    <col min="6" max="7" width="16" style="6" customWidth="1"/>
    <col min="8" max="8" width="17.42578125" style="6" customWidth="1"/>
    <col min="9" max="9" width="15.5703125" style="6" customWidth="1"/>
    <col min="10" max="10" width="16" style="6" customWidth="1"/>
    <col min="11" max="11" width="20.28515625" style="6" bestFit="1" customWidth="1"/>
    <col min="12" max="12" width="16.42578125" style="6" customWidth="1"/>
    <col min="13" max="13" width="2.28515625" style="9" customWidth="1"/>
    <col min="14" max="14" width="16.85546875" style="6" customWidth="1"/>
    <col min="15" max="15" width="20.85546875" style="9" customWidth="1"/>
    <col min="16" max="16" width="20.42578125" style="9" customWidth="1"/>
    <col min="17" max="17" width="1.140625" style="9" customWidth="1"/>
    <col min="18" max="19" width="14.42578125" style="9" customWidth="1"/>
    <col min="20" max="20" width="12.7109375" style="9" customWidth="1"/>
    <col min="21" max="21" width="10.7109375" style="9" customWidth="1"/>
    <col min="22" max="22" width="16.85546875" style="9" customWidth="1"/>
    <col min="23" max="23" width="1.85546875" style="9" customWidth="1"/>
    <col min="24" max="24" width="26.42578125" style="9" customWidth="1"/>
    <col min="25" max="25" width="17" style="9" customWidth="1"/>
    <col min="26" max="26" width="16.7109375" style="9" customWidth="1"/>
    <col min="27" max="27" width="18.85546875" style="9" customWidth="1"/>
    <col min="28" max="28" width="22.28515625" style="9" customWidth="1"/>
    <col min="29" max="16384" width="9.140625" style="9"/>
  </cols>
  <sheetData>
    <row r="1" spans="2:28" s="1" customFormat="1" ht="18" customHeight="1" thickBot="1">
      <c r="B1" s="2" t="s">
        <v>506</v>
      </c>
      <c r="C1" s="3"/>
      <c r="D1" s="3"/>
      <c r="E1" s="3"/>
      <c r="F1" s="3"/>
      <c r="G1" s="3"/>
      <c r="H1" s="3"/>
      <c r="I1" s="4"/>
      <c r="J1" s="3"/>
      <c r="K1" s="3"/>
      <c r="L1" s="3"/>
      <c r="M1" s="3"/>
      <c r="N1" s="337" t="s">
        <v>579</v>
      </c>
      <c r="AA1" s="3">
        <v>12</v>
      </c>
      <c r="AB1" s="3">
        <v>13</v>
      </c>
    </row>
    <row r="2" spans="2:28" ht="15.75" customHeight="1">
      <c r="B2" s="2" t="str">
        <f>Input!$B$5</f>
        <v>For the Year Ended August 31, 2010</v>
      </c>
      <c r="C2" s="5"/>
      <c r="D2" s="5"/>
      <c r="E2" s="5"/>
      <c r="G2" s="5"/>
      <c r="H2" s="5"/>
      <c r="I2" s="7"/>
      <c r="J2" s="5"/>
      <c r="K2" s="5"/>
      <c r="L2" s="8"/>
      <c r="N2" s="8"/>
      <c r="O2" s="10"/>
    </row>
    <row r="3" spans="2:28" ht="15.75" customHeight="1">
      <c r="B3" s="2" t="str">
        <f>Input!$B$6</f>
        <v>Source: FY 2010 Research Expenditure Survey</v>
      </c>
      <c r="C3" s="5"/>
      <c r="D3" s="5"/>
      <c r="E3" s="5"/>
      <c r="F3" s="5"/>
      <c r="G3" s="5"/>
      <c r="H3" s="5"/>
      <c r="I3" s="7"/>
      <c r="J3" s="5"/>
      <c r="K3" s="5"/>
      <c r="L3" s="8"/>
      <c r="N3" s="8"/>
    </row>
    <row r="4" spans="2:28" ht="15.75" customHeight="1">
      <c r="B4" s="11"/>
      <c r="C4" s="5"/>
      <c r="D4" s="5"/>
      <c r="E4" s="5"/>
      <c r="F4" s="5"/>
      <c r="G4" s="5"/>
      <c r="H4" s="5"/>
      <c r="I4" s="7"/>
      <c r="J4" s="5"/>
      <c r="K4" s="5"/>
      <c r="L4" s="8"/>
      <c r="N4" s="10" t="s">
        <v>0</v>
      </c>
      <c r="P4" s="12"/>
    </row>
    <row r="5" spans="2:28" ht="15.75" customHeight="1">
      <c r="L5" s="3"/>
      <c r="N5" s="3"/>
    </row>
    <row r="6" spans="2:28" ht="15.75" customHeight="1">
      <c r="B6" s="453" t="str">
        <f>Input!$B$7</f>
        <v>FY 2010</v>
      </c>
      <c r="C6" s="454"/>
      <c r="D6" s="454"/>
      <c r="E6" s="454"/>
      <c r="F6" s="454"/>
      <c r="G6" s="454"/>
      <c r="H6" s="454"/>
      <c r="I6" s="454"/>
      <c r="J6" s="454"/>
      <c r="K6" s="454"/>
      <c r="L6" s="454"/>
      <c r="N6" s="13"/>
    </row>
    <row r="7" spans="2:28" ht="28.5" customHeight="1">
      <c r="B7" s="14" t="s">
        <v>2</v>
      </c>
      <c r="C7" s="15"/>
      <c r="D7" s="15"/>
      <c r="E7" s="15"/>
      <c r="F7" s="15"/>
      <c r="G7" s="15"/>
      <c r="H7" s="15"/>
      <c r="I7" s="15"/>
      <c r="J7" s="15"/>
      <c r="K7" s="16" t="s">
        <v>3</v>
      </c>
      <c r="L7" s="16" t="s">
        <v>4</v>
      </c>
      <c r="N7" s="17"/>
      <c r="O7" s="18"/>
      <c r="P7" s="19"/>
      <c r="Q7" s="19"/>
      <c r="R7" s="19"/>
      <c r="S7" s="19"/>
      <c r="T7" s="19"/>
    </row>
    <row r="8" spans="2:28" ht="15.75" customHeight="1">
      <c r="B8" s="20" t="s">
        <v>5</v>
      </c>
      <c r="C8" s="21"/>
      <c r="D8" s="21"/>
      <c r="E8" s="21"/>
      <c r="F8" s="21"/>
      <c r="G8" s="21"/>
      <c r="H8" s="21"/>
      <c r="I8" s="21"/>
      <c r="J8" s="21"/>
      <c r="K8" s="22">
        <f>L8</f>
        <v>12168890</v>
      </c>
      <c r="L8" s="23">
        <f>Input!$H$15</f>
        <v>12168890</v>
      </c>
      <c r="N8" s="115"/>
      <c r="O8" s="116"/>
      <c r="P8" s="19"/>
      <c r="Q8" s="19"/>
      <c r="R8" s="19"/>
      <c r="S8" s="19"/>
      <c r="T8" s="19"/>
      <c r="AB8" s="24">
        <f>SUM(C8:L8)</f>
        <v>24337780</v>
      </c>
    </row>
    <row r="9" spans="2:28" ht="15.75" customHeight="1">
      <c r="B9" s="20" t="s">
        <v>7</v>
      </c>
      <c r="C9" s="21"/>
      <c r="D9" s="21"/>
      <c r="E9" s="21"/>
      <c r="F9" s="21"/>
      <c r="G9" s="21"/>
      <c r="H9" s="21"/>
      <c r="I9" s="21"/>
      <c r="J9" s="21"/>
      <c r="K9" s="25">
        <f>Input!$F$15</f>
        <v>0</v>
      </c>
      <c r="L9" s="26"/>
      <c r="N9" s="115"/>
      <c r="O9" s="28"/>
      <c r="P9" s="19"/>
      <c r="Q9" s="19"/>
      <c r="R9" s="19"/>
      <c r="S9" s="19"/>
      <c r="T9" s="19"/>
      <c r="AB9" s="24">
        <f>SUM(C9:L9)</f>
        <v>0</v>
      </c>
    </row>
    <row r="10" spans="2:28" ht="15.75" customHeight="1">
      <c r="B10" s="27" t="s">
        <v>8</v>
      </c>
      <c r="C10" s="28"/>
      <c r="D10" s="21"/>
      <c r="E10" s="21"/>
      <c r="F10" s="9"/>
      <c r="G10" s="30"/>
      <c r="H10" s="455" t="str">
        <f>IF(O10&lt;&gt;0,"Out of Balance with SRECNA","")</f>
        <v/>
      </c>
      <c r="I10" s="455"/>
      <c r="J10" s="456"/>
      <c r="K10" s="31">
        <f>SUM(K8:K9)</f>
        <v>12168890</v>
      </c>
      <c r="L10" s="32"/>
      <c r="N10" s="117"/>
      <c r="O10" s="118"/>
      <c r="P10" s="19"/>
      <c r="Q10" s="19"/>
      <c r="R10" s="19"/>
      <c r="S10" s="19"/>
      <c r="T10" s="19"/>
      <c r="AB10" s="24"/>
    </row>
    <row r="11" spans="2:28" ht="15.75" customHeight="1">
      <c r="B11" s="20"/>
      <c r="C11" s="21"/>
      <c r="D11" s="21"/>
      <c r="E11" s="21"/>
      <c r="F11" s="9"/>
      <c r="G11" s="9"/>
      <c r="H11" s="9"/>
      <c r="I11" s="9"/>
      <c r="J11" s="9"/>
      <c r="K11" s="33"/>
      <c r="L11" s="26"/>
      <c r="N11" s="17"/>
      <c r="O11" s="95"/>
      <c r="P11" s="34"/>
      <c r="Q11" s="34"/>
      <c r="R11" s="34"/>
      <c r="S11" s="34"/>
      <c r="T11" s="35"/>
      <c r="AB11" s="24">
        <f t="shared" ref="AB11:AB12" si="0">SUM(C10:L10)</f>
        <v>12168890</v>
      </c>
    </row>
    <row r="12" spans="2:28" ht="15.75" customHeight="1">
      <c r="B12" s="20" t="s">
        <v>9</v>
      </c>
      <c r="C12" s="21"/>
      <c r="D12" s="21"/>
      <c r="E12" s="21"/>
      <c r="F12" s="21"/>
      <c r="G12" s="21"/>
      <c r="H12" s="21"/>
      <c r="I12" s="21"/>
      <c r="J12" s="21"/>
      <c r="K12" s="36">
        <f>Input!$G$15</f>
        <v>0</v>
      </c>
      <c r="L12" s="26"/>
      <c r="N12" s="37"/>
      <c r="O12" s="19"/>
      <c r="P12" s="19"/>
      <c r="Q12" s="19"/>
      <c r="R12" s="19"/>
      <c r="S12" s="19"/>
      <c r="T12" s="19"/>
      <c r="AB12" s="24">
        <f t="shared" si="0"/>
        <v>0</v>
      </c>
    </row>
    <row r="13" spans="2:28" ht="15.75" customHeight="1">
      <c r="B13" s="20" t="s">
        <v>10</v>
      </c>
      <c r="C13" s="21"/>
      <c r="D13" s="21"/>
      <c r="E13" s="21"/>
      <c r="F13" s="21"/>
      <c r="G13" s="21"/>
      <c r="H13" s="21"/>
      <c r="I13" s="21"/>
      <c r="J13" s="21"/>
      <c r="K13" s="33">
        <f>L13</f>
        <v>1844206</v>
      </c>
      <c r="L13" s="36">
        <f>Input!$I$15</f>
        <v>1844206</v>
      </c>
      <c r="N13" s="37"/>
      <c r="O13" s="119"/>
      <c r="AB13" s="24">
        <f>SUM(C13:L13)</f>
        <v>3688412</v>
      </c>
    </row>
    <row r="14" spans="2:28" ht="15.75" customHeight="1">
      <c r="B14" s="20" t="s">
        <v>11</v>
      </c>
      <c r="C14" s="21"/>
      <c r="D14" s="21"/>
      <c r="E14" s="21"/>
      <c r="F14" s="21"/>
      <c r="G14" s="21"/>
      <c r="H14" s="21"/>
      <c r="I14" s="21"/>
      <c r="J14" s="21"/>
      <c r="K14" s="33">
        <f>L14</f>
        <v>365036</v>
      </c>
      <c r="L14" s="36">
        <f>Input!$J$15</f>
        <v>365036</v>
      </c>
      <c r="N14" s="17"/>
      <c r="O14" s="28"/>
      <c r="P14" s="19"/>
      <c r="Q14" s="19"/>
      <c r="R14" s="19"/>
      <c r="S14" s="19"/>
      <c r="T14" s="39"/>
      <c r="U14" s="19"/>
      <c r="V14" s="19"/>
      <c r="W14" s="19"/>
      <c r="X14" s="19"/>
      <c r="Y14" s="19"/>
      <c r="Z14" s="19"/>
      <c r="AA14" s="19"/>
      <c r="AB14" s="24">
        <f>SUM(C14:L14)</f>
        <v>730072</v>
      </c>
    </row>
    <row r="15" spans="2:28" ht="15.75" customHeight="1">
      <c r="B15" s="20" t="s">
        <v>12</v>
      </c>
      <c r="C15" s="21"/>
      <c r="D15" s="21"/>
      <c r="E15" s="21"/>
      <c r="F15" s="21"/>
      <c r="G15" s="21"/>
      <c r="H15" s="21"/>
      <c r="I15" s="21"/>
      <c r="J15" s="21"/>
      <c r="K15" s="40">
        <f>L15</f>
        <v>0</v>
      </c>
      <c r="L15" s="36">
        <f>Input!$K$15</f>
        <v>0</v>
      </c>
      <c r="N15" s="19"/>
      <c r="O15" s="19"/>
      <c r="P15" s="19"/>
      <c r="Q15" s="19"/>
      <c r="R15" s="19"/>
      <c r="S15" s="19"/>
      <c r="T15" s="19"/>
      <c r="U15" s="19"/>
      <c r="V15" s="19"/>
      <c r="W15" s="41"/>
      <c r="X15" s="19"/>
      <c r="Y15" s="19"/>
      <c r="Z15" s="19"/>
      <c r="AA15" s="19"/>
      <c r="AB15" s="24">
        <f>SUM(C15:L15)</f>
        <v>0</v>
      </c>
    </row>
    <row r="16" spans="2:28" ht="15.75" customHeight="1">
      <c r="B16" s="20" t="s">
        <v>13</v>
      </c>
      <c r="C16" s="21"/>
      <c r="D16" s="21"/>
      <c r="E16" s="21"/>
      <c r="F16" s="21"/>
      <c r="G16" s="21"/>
      <c r="H16" s="21"/>
      <c r="I16" s="21"/>
      <c r="J16" s="21"/>
      <c r="K16" s="40">
        <f>L16</f>
        <v>0</v>
      </c>
      <c r="L16" s="36">
        <f>Input!$L$15</f>
        <v>0</v>
      </c>
      <c r="N16" s="28"/>
      <c r="O16" s="42"/>
      <c r="P16" s="19"/>
      <c r="Q16" s="19"/>
      <c r="R16" s="19"/>
      <c r="S16" s="19"/>
      <c r="T16" s="19"/>
      <c r="U16" s="19"/>
      <c r="V16" s="19"/>
      <c r="W16" s="19"/>
      <c r="X16" s="19"/>
      <c r="Y16" s="19"/>
      <c r="Z16" s="19"/>
      <c r="AA16" s="19"/>
      <c r="AB16" s="24">
        <f>SUM(C16:L16)</f>
        <v>0</v>
      </c>
    </row>
    <row r="17" spans="2:28" ht="15.75" customHeight="1">
      <c r="B17" s="43" t="s">
        <v>14</v>
      </c>
      <c r="C17" s="44"/>
      <c r="D17" s="44"/>
      <c r="E17" s="44"/>
      <c r="F17" s="44"/>
      <c r="G17" s="44"/>
      <c r="H17" s="44"/>
      <c r="I17" s="44"/>
      <c r="J17" s="44"/>
      <c r="K17" s="45">
        <f>SUM(K10:K16)</f>
        <v>14378132</v>
      </c>
      <c r="L17" s="46">
        <f>SUM(L8:L16)</f>
        <v>14378132</v>
      </c>
      <c r="N17" s="47"/>
      <c r="O17" s="48"/>
      <c r="P17" s="48"/>
      <c r="Q17" s="48"/>
      <c r="R17" s="49"/>
      <c r="S17" s="50">
        <f>L17-INT(L17)</f>
        <v>0</v>
      </c>
      <c r="T17" s="49">
        <v>0</v>
      </c>
      <c r="U17" s="48">
        <v>0</v>
      </c>
      <c r="V17" s="48">
        <v>0</v>
      </c>
      <c r="W17" s="48"/>
      <c r="X17" s="48"/>
      <c r="Y17" s="51"/>
      <c r="Z17" s="41"/>
      <c r="AA17" s="19"/>
      <c r="AB17" s="44" t="e">
        <f>#REF!+#REF!+#REF!+#REF!</f>
        <v>#REF!</v>
      </c>
    </row>
    <row r="18" spans="2:28" ht="15.75" customHeight="1">
      <c r="C18" s="38"/>
      <c r="D18" s="38"/>
      <c r="E18" s="38"/>
      <c r="F18" s="457" t="str">
        <f>IF(OR(S17&lt;&gt;0,S41&lt;&gt;0,S54&lt;&gt;0),"Do not Enter Cents - Whole Dollars Only","")</f>
        <v/>
      </c>
      <c r="G18" s="457"/>
      <c r="H18" s="457"/>
      <c r="I18" s="457"/>
      <c r="J18" s="457"/>
      <c r="K18" s="38"/>
      <c r="L18" s="38"/>
      <c r="N18" s="47"/>
      <c r="O18" s="48"/>
      <c r="P18" s="48"/>
      <c r="Q18" s="48"/>
      <c r="R18" s="49"/>
      <c r="S18" s="52"/>
      <c r="T18" s="49"/>
      <c r="U18" s="48"/>
      <c r="V18" s="48"/>
      <c r="W18" s="48"/>
      <c r="X18" s="48"/>
      <c r="Y18" s="51"/>
      <c r="Z18" s="41"/>
      <c r="AA18" s="19"/>
    </row>
    <row r="19" spans="2:28" ht="33" customHeight="1">
      <c r="B19" s="14" t="s">
        <v>15</v>
      </c>
      <c r="C19" s="53"/>
      <c r="D19" s="53"/>
      <c r="E19" s="53"/>
      <c r="F19" s="54" t="s">
        <v>16</v>
      </c>
      <c r="G19" s="54" t="s">
        <v>17</v>
      </c>
      <c r="H19" s="54" t="s">
        <v>18</v>
      </c>
      <c r="I19" s="54" t="s">
        <v>19</v>
      </c>
      <c r="J19" s="54" t="s">
        <v>20</v>
      </c>
      <c r="K19" s="54" t="s">
        <v>21</v>
      </c>
      <c r="L19" s="54" t="s">
        <v>22</v>
      </c>
      <c r="N19" s="47"/>
      <c r="O19" s="48"/>
      <c r="P19" s="48"/>
      <c r="Q19" s="48"/>
      <c r="R19" s="49"/>
      <c r="S19" s="52"/>
      <c r="T19" s="49"/>
      <c r="U19" s="48"/>
      <c r="V19" s="48"/>
      <c r="W19" s="48"/>
      <c r="X19" s="48"/>
      <c r="Y19" s="51"/>
      <c r="Z19" s="41"/>
      <c r="AA19" s="19"/>
    </row>
    <row r="20" spans="2:28" ht="15.75" customHeight="1">
      <c r="B20" s="55" t="s">
        <v>23</v>
      </c>
      <c r="C20" s="21"/>
      <c r="D20" s="21"/>
      <c r="F20" s="56">
        <f>Input!$M$15</f>
        <v>1299948</v>
      </c>
      <c r="G20" s="56">
        <f>Input!$N$15</f>
        <v>0</v>
      </c>
      <c r="H20" s="56">
        <f>Input!$O$15</f>
        <v>0</v>
      </c>
      <c r="I20" s="56">
        <f>Input!$P$15</f>
        <v>0</v>
      </c>
      <c r="J20" s="56">
        <f>Input!$Q$15</f>
        <v>0</v>
      </c>
      <c r="K20" s="56">
        <f>Input!$R$15</f>
        <v>0</v>
      </c>
      <c r="L20" s="57">
        <f>SUM(F20:K20)</f>
        <v>1299948</v>
      </c>
      <c r="N20" s="58"/>
      <c r="O20" s="59"/>
      <c r="P20" s="60"/>
      <c r="Q20" s="61"/>
      <c r="R20" s="58"/>
      <c r="S20" s="58"/>
      <c r="T20" s="58"/>
      <c r="U20" s="61"/>
      <c r="V20" s="58"/>
      <c r="W20" s="61"/>
      <c r="X20" s="62"/>
      <c r="Y20" s="59"/>
      <c r="Z20" s="61"/>
      <c r="AA20" s="19"/>
      <c r="AB20" s="24">
        <f t="shared" ref="AB20:AB25" si="1">SUM(C20:L20)</f>
        <v>2599896</v>
      </c>
    </row>
    <row r="21" spans="2:28" ht="15.75" customHeight="1">
      <c r="B21" s="63" t="s">
        <v>24</v>
      </c>
      <c r="C21" s="21"/>
      <c r="D21" s="21"/>
      <c r="F21" s="64">
        <f>Input!$S$15</f>
        <v>0</v>
      </c>
      <c r="G21" s="64">
        <f>Input!$T$15</f>
        <v>0</v>
      </c>
      <c r="H21" s="64">
        <f>Input!$U$15</f>
        <v>0</v>
      </c>
      <c r="I21" s="64">
        <f>Input!$V$15</f>
        <v>0</v>
      </c>
      <c r="J21" s="64">
        <f>Input!$W$15</f>
        <v>0</v>
      </c>
      <c r="K21" s="64">
        <f>Input!$X$15</f>
        <v>0</v>
      </c>
      <c r="L21" s="65">
        <f t="shared" ref="L21:L40" si="2">SUM(F21:K21)</f>
        <v>0</v>
      </c>
      <c r="N21" s="66"/>
      <c r="O21" s="67"/>
      <c r="P21" s="68"/>
      <c r="Q21" s="69"/>
      <c r="R21" s="70"/>
      <c r="S21" s="70"/>
      <c r="T21" s="70"/>
      <c r="U21" s="69"/>
      <c r="V21" s="71"/>
      <c r="W21" s="61"/>
      <c r="X21" s="62"/>
      <c r="Y21" s="67"/>
      <c r="Z21" s="69"/>
      <c r="AA21" s="19"/>
      <c r="AB21" s="24">
        <f t="shared" si="1"/>
        <v>0</v>
      </c>
    </row>
    <row r="22" spans="2:28" ht="15.75" customHeight="1">
      <c r="B22" s="55" t="s">
        <v>25</v>
      </c>
      <c r="C22" s="21"/>
      <c r="D22" s="21"/>
      <c r="F22" s="64">
        <f>Input!$Y$15</f>
        <v>0</v>
      </c>
      <c r="G22" s="64">
        <f>Input!$Z$15</f>
        <v>0</v>
      </c>
      <c r="H22" s="64">
        <f>Input!$AA$15</f>
        <v>0</v>
      </c>
      <c r="I22" s="64">
        <f>Input!$AB$15</f>
        <v>0</v>
      </c>
      <c r="J22" s="64">
        <f>Input!$AC$15</f>
        <v>0</v>
      </c>
      <c r="K22" s="64">
        <f>Input!$AD$15</f>
        <v>0</v>
      </c>
      <c r="L22" s="65">
        <f t="shared" si="2"/>
        <v>0</v>
      </c>
      <c r="N22" s="66"/>
      <c r="O22" s="67"/>
      <c r="P22" s="72"/>
      <c r="Q22" s="69"/>
      <c r="R22" s="70"/>
      <c r="S22" s="70"/>
      <c r="T22" s="70"/>
      <c r="U22" s="69"/>
      <c r="V22" s="70"/>
      <c r="W22" s="69"/>
      <c r="X22" s="62"/>
      <c r="Y22" s="67"/>
      <c r="Z22" s="69"/>
      <c r="AA22" s="19"/>
      <c r="AB22" s="24">
        <f t="shared" si="1"/>
        <v>0</v>
      </c>
    </row>
    <row r="23" spans="2:28" ht="15.75" customHeight="1">
      <c r="B23" s="55" t="s">
        <v>26</v>
      </c>
      <c r="C23" s="21"/>
      <c r="D23" s="21"/>
      <c r="F23" s="64">
        <f>Input!$AE$15</f>
        <v>0</v>
      </c>
      <c r="G23" s="64">
        <f>Input!$AF$15</f>
        <v>0</v>
      </c>
      <c r="H23" s="64">
        <f>Input!$AG$15</f>
        <v>0</v>
      </c>
      <c r="I23" s="64">
        <f>Input!$AH$15</f>
        <v>0</v>
      </c>
      <c r="J23" s="64">
        <f>Input!$AI$15</f>
        <v>0</v>
      </c>
      <c r="K23" s="64">
        <f>Input!$AJ$15</f>
        <v>0</v>
      </c>
      <c r="L23" s="65">
        <f t="shared" si="2"/>
        <v>0</v>
      </c>
      <c r="N23" s="66"/>
      <c r="O23" s="67"/>
      <c r="P23" s="68"/>
      <c r="Q23" s="69"/>
      <c r="R23" s="70"/>
      <c r="S23" s="70"/>
      <c r="T23" s="70"/>
      <c r="U23" s="69"/>
      <c r="V23" s="70"/>
      <c r="W23" s="69"/>
      <c r="X23" s="62"/>
      <c r="Y23" s="67"/>
      <c r="Z23" s="69"/>
      <c r="AA23" s="19"/>
      <c r="AB23" s="24">
        <f t="shared" si="1"/>
        <v>0</v>
      </c>
    </row>
    <row r="24" spans="2:28" ht="15.75" customHeight="1">
      <c r="B24" s="55" t="s">
        <v>27</v>
      </c>
      <c r="C24" s="21"/>
      <c r="D24" s="21"/>
      <c r="F24" s="64">
        <f>Input!$AK$15</f>
        <v>0</v>
      </c>
      <c r="G24" s="64">
        <f>Input!$AL$15</f>
        <v>0</v>
      </c>
      <c r="H24" s="64">
        <f>Input!$AM$15</f>
        <v>0</v>
      </c>
      <c r="I24" s="64">
        <f>Input!$AN$15</f>
        <v>0</v>
      </c>
      <c r="J24" s="64">
        <f>Input!$AO$15</f>
        <v>0</v>
      </c>
      <c r="K24" s="64">
        <f>Input!$AP$15</f>
        <v>0</v>
      </c>
      <c r="L24" s="65">
        <f t="shared" si="2"/>
        <v>0</v>
      </c>
      <c r="N24" s="66"/>
      <c r="O24" s="67"/>
      <c r="P24" s="68"/>
      <c r="Q24" s="69"/>
      <c r="R24" s="70"/>
      <c r="S24" s="70"/>
      <c r="T24" s="70"/>
      <c r="U24" s="69"/>
      <c r="V24" s="70"/>
      <c r="W24" s="69"/>
      <c r="X24" s="62"/>
      <c r="Y24" s="67"/>
      <c r="Z24" s="69"/>
      <c r="AA24" s="19"/>
      <c r="AB24" s="24">
        <f t="shared" si="1"/>
        <v>0</v>
      </c>
    </row>
    <row r="25" spans="2:28" ht="15.75" customHeight="1">
      <c r="B25" s="55" t="s">
        <v>28</v>
      </c>
      <c r="C25" s="21"/>
      <c r="D25" s="21"/>
      <c r="F25" s="64">
        <f>Input!$AQ$15</f>
        <v>0</v>
      </c>
      <c r="G25" s="64">
        <f>Input!$AR$15</f>
        <v>0</v>
      </c>
      <c r="H25" s="64">
        <f>Input!$AS$15</f>
        <v>0</v>
      </c>
      <c r="I25" s="64">
        <f>Input!$AT$15</f>
        <v>0</v>
      </c>
      <c r="J25" s="64">
        <f>Input!$AU$15</f>
        <v>0</v>
      </c>
      <c r="K25" s="64">
        <f>Input!$AV$15</f>
        <v>0</v>
      </c>
      <c r="L25" s="65">
        <f t="shared" si="2"/>
        <v>0</v>
      </c>
      <c r="N25" s="66"/>
      <c r="O25" s="73" t="s">
        <v>6</v>
      </c>
      <c r="P25" s="68"/>
      <c r="Q25" s="69"/>
      <c r="R25" s="70"/>
      <c r="S25" s="70"/>
      <c r="T25" s="70"/>
      <c r="U25" s="69"/>
      <c r="V25" s="70"/>
      <c r="W25" s="69"/>
      <c r="X25" s="62"/>
      <c r="Y25" s="67"/>
      <c r="Z25" s="69"/>
      <c r="AA25" s="19"/>
      <c r="AB25" s="24">
        <f t="shared" si="1"/>
        <v>0</v>
      </c>
    </row>
    <row r="26" spans="2:28" ht="15.75" customHeight="1">
      <c r="B26" s="55" t="s">
        <v>29</v>
      </c>
      <c r="C26" s="21"/>
      <c r="D26" s="21"/>
      <c r="F26" s="64">
        <f>Input!$AW$15</f>
        <v>5950376</v>
      </c>
      <c r="G26" s="64">
        <f>Input!$AX$15</f>
        <v>2339810</v>
      </c>
      <c r="H26" s="64">
        <f>Input!$AY$15</f>
        <v>0</v>
      </c>
      <c r="I26" s="64">
        <f>Input!$AZ$15</f>
        <v>3239671</v>
      </c>
      <c r="J26" s="64">
        <f>Input!$BA$15</f>
        <v>505126</v>
      </c>
      <c r="K26" s="64">
        <f>Input!$BB$15</f>
        <v>1043201</v>
      </c>
      <c r="L26" s="65">
        <f t="shared" si="2"/>
        <v>13078184</v>
      </c>
      <c r="N26" s="74" t="str">
        <f>IF(O26&lt;&gt;0,"Out of Balance","Balanced")</f>
        <v>Balanced</v>
      </c>
      <c r="O26" s="75">
        <f>L17-L41</f>
        <v>0</v>
      </c>
      <c r="Q26" s="69"/>
      <c r="R26" s="70"/>
      <c r="S26" s="70"/>
      <c r="T26" s="70"/>
      <c r="U26" s="69"/>
      <c r="V26" s="70"/>
      <c r="W26" s="69"/>
      <c r="X26" s="62"/>
      <c r="Y26" s="67"/>
      <c r="Z26" s="69"/>
      <c r="AA26" s="19"/>
      <c r="AB26" s="24"/>
    </row>
    <row r="27" spans="2:28" ht="15.75" customHeight="1">
      <c r="B27" s="55" t="s">
        <v>30</v>
      </c>
      <c r="C27" s="21"/>
      <c r="D27" s="21"/>
      <c r="F27" s="64">
        <f>Input!$BC$15</f>
        <v>0</v>
      </c>
      <c r="G27" s="64">
        <f>Input!$BD$15</f>
        <v>0</v>
      </c>
      <c r="H27" s="64">
        <f>Input!$BE$15</f>
        <v>0</v>
      </c>
      <c r="I27" s="64">
        <f>Input!$BF$15</f>
        <v>0</v>
      </c>
      <c r="J27" s="64">
        <f>Input!$BG$15</f>
        <v>0</v>
      </c>
      <c r="K27" s="64">
        <f>Input!$BH$15</f>
        <v>0</v>
      </c>
      <c r="L27" s="65">
        <f t="shared" si="2"/>
        <v>0</v>
      </c>
      <c r="N27" s="66"/>
      <c r="O27" s="67"/>
      <c r="P27" s="68"/>
      <c r="Q27" s="69"/>
      <c r="R27" s="70"/>
      <c r="S27" s="70"/>
      <c r="T27" s="70"/>
      <c r="U27" s="69"/>
      <c r="V27" s="70"/>
      <c r="W27" s="69"/>
      <c r="X27" s="62"/>
      <c r="Y27" s="67"/>
      <c r="Z27" s="69"/>
      <c r="AA27" s="19"/>
      <c r="AB27" s="24"/>
    </row>
    <row r="28" spans="2:28" ht="15.75" customHeight="1">
      <c r="B28" s="63" t="s">
        <v>31</v>
      </c>
      <c r="C28" s="21"/>
      <c r="D28" s="21"/>
      <c r="F28" s="64">
        <f>Input!$BI$15</f>
        <v>0</v>
      </c>
      <c r="G28" s="64">
        <f>Input!$BJ$15</f>
        <v>0</v>
      </c>
      <c r="H28" s="64">
        <f>Input!$BK$15</f>
        <v>0</v>
      </c>
      <c r="I28" s="64">
        <f>Input!$BL$15</f>
        <v>0</v>
      </c>
      <c r="J28" s="64">
        <f>Input!$BM$15</f>
        <v>0</v>
      </c>
      <c r="K28" s="64">
        <f>Input!$BN$15</f>
        <v>0</v>
      </c>
      <c r="L28" s="65">
        <f t="shared" si="2"/>
        <v>0</v>
      </c>
      <c r="N28" s="66"/>
      <c r="O28" s="67"/>
      <c r="P28" s="68"/>
      <c r="Q28" s="69"/>
      <c r="R28" s="70"/>
      <c r="S28" s="70"/>
      <c r="T28" s="70"/>
      <c r="U28" s="69"/>
      <c r="V28" s="70"/>
      <c r="W28" s="69"/>
      <c r="X28" s="62"/>
      <c r="Y28" s="67"/>
      <c r="Z28" s="69"/>
      <c r="AA28" s="19"/>
      <c r="AB28" s="24"/>
    </row>
    <row r="29" spans="2:28" ht="15.75" customHeight="1">
      <c r="B29" s="63" t="s">
        <v>32</v>
      </c>
      <c r="C29" s="21"/>
      <c r="D29" s="21"/>
      <c r="F29" s="64">
        <f>Input!$BO$15</f>
        <v>0</v>
      </c>
      <c r="G29" s="64">
        <f>Input!$BP$15</f>
        <v>0</v>
      </c>
      <c r="H29" s="64">
        <f>Input!$BQ$15</f>
        <v>0</v>
      </c>
      <c r="I29" s="64">
        <f>Input!$BR$15</f>
        <v>0</v>
      </c>
      <c r="J29" s="64">
        <f>Input!$BS$15</f>
        <v>0</v>
      </c>
      <c r="K29" s="64">
        <f>Input!$BT$15</f>
        <v>0</v>
      </c>
      <c r="L29" s="65">
        <f t="shared" si="2"/>
        <v>0</v>
      </c>
      <c r="N29" s="66"/>
      <c r="O29" s="67"/>
      <c r="P29" s="68"/>
      <c r="Q29" s="69"/>
      <c r="R29" s="70"/>
      <c r="S29" s="70"/>
      <c r="T29" s="70"/>
      <c r="U29" s="69"/>
      <c r="V29" s="70"/>
      <c r="W29" s="69"/>
      <c r="X29" s="62"/>
      <c r="Y29" s="67"/>
      <c r="Z29" s="69"/>
      <c r="AA29" s="19"/>
      <c r="AB29" s="24"/>
    </row>
    <row r="30" spans="2:28" ht="15.75" customHeight="1">
      <c r="B30" s="63" t="s">
        <v>33</v>
      </c>
      <c r="C30" s="21"/>
      <c r="D30" s="21"/>
      <c r="F30" s="64">
        <f>Input!$BU$15</f>
        <v>0</v>
      </c>
      <c r="G30" s="64">
        <f>Input!$BV$15</f>
        <v>0</v>
      </c>
      <c r="H30" s="64">
        <f>Input!$BW$15</f>
        <v>0</v>
      </c>
      <c r="I30" s="64">
        <f>Input!$BX$15</f>
        <v>0</v>
      </c>
      <c r="J30" s="64">
        <f>Input!$BY$15</f>
        <v>0</v>
      </c>
      <c r="K30" s="64">
        <f>Input!$BZ$15</f>
        <v>0</v>
      </c>
      <c r="L30" s="65">
        <f t="shared" si="2"/>
        <v>0</v>
      </c>
      <c r="N30" s="66"/>
      <c r="O30" s="67"/>
      <c r="P30" s="68"/>
      <c r="Q30" s="69"/>
      <c r="R30" s="70"/>
      <c r="S30" s="70"/>
      <c r="T30" s="70"/>
      <c r="U30" s="69"/>
      <c r="V30" s="70"/>
      <c r="W30" s="69"/>
      <c r="X30" s="62"/>
      <c r="Y30" s="67"/>
      <c r="Z30" s="69"/>
      <c r="AA30" s="19"/>
      <c r="AB30" s="24"/>
    </row>
    <row r="31" spans="2:28" ht="15.75" customHeight="1">
      <c r="B31" s="63" t="s">
        <v>34</v>
      </c>
      <c r="C31" s="21"/>
      <c r="D31" s="21"/>
      <c r="F31" s="64">
        <f>Input!$CA$15</f>
        <v>0</v>
      </c>
      <c r="G31" s="64">
        <f>Input!$CB$15</f>
        <v>0</v>
      </c>
      <c r="H31" s="64">
        <f>Input!$CC$15</f>
        <v>0</v>
      </c>
      <c r="I31" s="64">
        <f>Input!$CD$15</f>
        <v>0</v>
      </c>
      <c r="J31" s="64">
        <f>Input!$CE$15</f>
        <v>0</v>
      </c>
      <c r="K31" s="64">
        <f>Input!$CF$15</f>
        <v>0</v>
      </c>
      <c r="L31" s="65">
        <f t="shared" si="2"/>
        <v>0</v>
      </c>
      <c r="N31" s="66"/>
      <c r="O31" s="67"/>
      <c r="P31" s="68"/>
      <c r="Q31" s="69"/>
      <c r="R31" s="70"/>
      <c r="S31" s="70"/>
      <c r="T31" s="70"/>
      <c r="U31" s="69"/>
      <c r="V31" s="70"/>
      <c r="W31" s="69"/>
      <c r="X31" s="62"/>
      <c r="Y31" s="67"/>
      <c r="Z31" s="69"/>
      <c r="AA31" s="19"/>
      <c r="AB31" s="24"/>
    </row>
    <row r="32" spans="2:28" ht="15.75" customHeight="1">
      <c r="B32" s="63" t="s">
        <v>35</v>
      </c>
      <c r="C32" s="21"/>
      <c r="D32" s="21"/>
      <c r="F32" s="64">
        <f>Input!$CG$15</f>
        <v>0</v>
      </c>
      <c r="G32" s="64">
        <f>Input!$CH$15</f>
        <v>0</v>
      </c>
      <c r="H32" s="64">
        <f>Input!$CI$15</f>
        <v>0</v>
      </c>
      <c r="I32" s="64">
        <f>Input!$CJ$15</f>
        <v>0</v>
      </c>
      <c r="J32" s="64">
        <f>Input!$CK$15</f>
        <v>0</v>
      </c>
      <c r="K32" s="64">
        <f>Input!$CL$15</f>
        <v>0</v>
      </c>
      <c r="L32" s="65">
        <f t="shared" si="2"/>
        <v>0</v>
      </c>
      <c r="N32" s="66"/>
      <c r="O32" s="67"/>
      <c r="P32" s="68"/>
      <c r="Q32" s="69"/>
      <c r="R32" s="70"/>
      <c r="S32" s="70"/>
      <c r="T32" s="70"/>
      <c r="U32" s="69"/>
      <c r="V32" s="70"/>
      <c r="W32" s="69"/>
      <c r="X32" s="62"/>
      <c r="Y32" s="67"/>
      <c r="Z32" s="69"/>
      <c r="AA32" s="19"/>
      <c r="AB32" s="24"/>
    </row>
    <row r="33" spans="1:28" ht="15.75" customHeight="1">
      <c r="B33" s="55" t="s">
        <v>36</v>
      </c>
      <c r="C33" s="21"/>
      <c r="D33" s="21"/>
      <c r="F33" s="64">
        <f>Input!$CM$15</f>
        <v>0</v>
      </c>
      <c r="G33" s="64">
        <f>Input!$CN$15</f>
        <v>0</v>
      </c>
      <c r="H33" s="64">
        <f>Input!$CO$15</f>
        <v>0</v>
      </c>
      <c r="I33" s="64">
        <f>Input!$CP$15</f>
        <v>0</v>
      </c>
      <c r="J33" s="64">
        <f>Input!$CQ$15</f>
        <v>0</v>
      </c>
      <c r="K33" s="64">
        <f>Input!$CR$15</f>
        <v>0</v>
      </c>
      <c r="L33" s="65">
        <f t="shared" si="2"/>
        <v>0</v>
      </c>
      <c r="N33" s="66"/>
      <c r="O33" s="67"/>
      <c r="P33" s="68"/>
      <c r="Q33" s="69"/>
      <c r="R33" s="70"/>
      <c r="S33" s="70"/>
      <c r="T33" s="70"/>
      <c r="U33" s="69"/>
      <c r="V33" s="70"/>
      <c r="W33" s="69"/>
      <c r="X33" s="62"/>
      <c r="Y33" s="67"/>
      <c r="Z33" s="69"/>
      <c r="AA33" s="19"/>
      <c r="AB33" s="24"/>
    </row>
    <row r="34" spans="1:28" ht="15.75" customHeight="1">
      <c r="B34" s="55" t="s">
        <v>37</v>
      </c>
      <c r="C34" s="21"/>
      <c r="D34" s="21"/>
      <c r="F34" s="64">
        <f>Input!$CS$15</f>
        <v>0</v>
      </c>
      <c r="G34" s="64">
        <f>Input!$CT$15</f>
        <v>0</v>
      </c>
      <c r="H34" s="64">
        <f>Input!$CU$15</f>
        <v>0</v>
      </c>
      <c r="I34" s="64">
        <f>Input!$CV$15</f>
        <v>0</v>
      </c>
      <c r="J34" s="64">
        <f>Input!$CW$15</f>
        <v>0</v>
      </c>
      <c r="K34" s="64">
        <f>Input!$CX$15</f>
        <v>0</v>
      </c>
      <c r="L34" s="65">
        <f t="shared" si="2"/>
        <v>0</v>
      </c>
      <c r="N34" s="66"/>
      <c r="O34" s="67"/>
      <c r="P34" s="68"/>
      <c r="Q34" s="69"/>
      <c r="R34" s="70"/>
      <c r="S34" s="70"/>
      <c r="T34" s="70"/>
      <c r="U34" s="69"/>
      <c r="V34" s="70"/>
      <c r="W34" s="69"/>
      <c r="X34" s="62"/>
      <c r="Y34" s="67"/>
      <c r="Z34" s="69"/>
      <c r="AA34" s="19"/>
      <c r="AB34" s="24"/>
    </row>
    <row r="35" spans="1:28" s="79" customFormat="1" ht="15.75" customHeight="1">
      <c r="A35" s="76"/>
      <c r="B35" s="77" t="s">
        <v>38</v>
      </c>
      <c r="C35" s="78"/>
      <c r="D35" s="78"/>
      <c r="E35" s="20"/>
      <c r="F35" s="64">
        <f>Input!$CY$15</f>
        <v>0</v>
      </c>
      <c r="G35" s="64">
        <f>Input!$CZ$15</f>
        <v>0</v>
      </c>
      <c r="H35" s="64">
        <f>Input!$DA$15</f>
        <v>0</v>
      </c>
      <c r="I35" s="64">
        <f>Input!$DB$15</f>
        <v>0</v>
      </c>
      <c r="J35" s="64">
        <f>Input!$DC$15</f>
        <v>0</v>
      </c>
      <c r="K35" s="64">
        <f>Input!$DD$15</f>
        <v>0</v>
      </c>
      <c r="L35" s="65">
        <f t="shared" si="2"/>
        <v>0</v>
      </c>
      <c r="N35" s="66"/>
      <c r="O35" s="67"/>
      <c r="P35" s="80"/>
      <c r="Q35" s="81"/>
      <c r="R35" s="70"/>
      <c r="S35" s="70"/>
      <c r="T35" s="70"/>
      <c r="U35" s="81"/>
      <c r="V35" s="70"/>
      <c r="W35" s="81"/>
      <c r="X35" s="62"/>
      <c r="Y35" s="67"/>
      <c r="Z35" s="81"/>
      <c r="AA35" s="82"/>
      <c r="AB35" s="83"/>
    </row>
    <row r="36" spans="1:28" s="79" customFormat="1" ht="15.75" customHeight="1">
      <c r="A36" s="76"/>
      <c r="B36" s="77" t="s">
        <v>39</v>
      </c>
      <c r="C36" s="78"/>
      <c r="D36" s="78"/>
      <c r="E36" s="20"/>
      <c r="F36" s="64">
        <f>Input!$DE$15</f>
        <v>0</v>
      </c>
      <c r="G36" s="64">
        <f>Input!$DF$15</f>
        <v>0</v>
      </c>
      <c r="H36" s="64">
        <f>Input!$DG$15</f>
        <v>0</v>
      </c>
      <c r="I36" s="64">
        <f>Input!$DH$15</f>
        <v>0</v>
      </c>
      <c r="J36" s="64">
        <f>Input!$DI$15</f>
        <v>0</v>
      </c>
      <c r="K36" s="64">
        <f>Input!$DJ$15</f>
        <v>0</v>
      </c>
      <c r="L36" s="65">
        <f t="shared" si="2"/>
        <v>0</v>
      </c>
      <c r="N36" s="66"/>
      <c r="O36" s="67"/>
      <c r="P36" s="80"/>
      <c r="Q36" s="81"/>
      <c r="R36" s="70"/>
      <c r="S36" s="70"/>
      <c r="T36" s="70"/>
      <c r="U36" s="81"/>
      <c r="V36" s="70"/>
      <c r="W36" s="81"/>
      <c r="X36" s="62"/>
      <c r="Y36" s="67"/>
      <c r="Z36" s="81"/>
      <c r="AA36" s="82"/>
      <c r="AB36" s="83"/>
    </row>
    <row r="37" spans="1:28" s="79" customFormat="1" ht="15.75" customHeight="1">
      <c r="A37" s="76"/>
      <c r="B37" s="77" t="s">
        <v>40</v>
      </c>
      <c r="C37" s="78"/>
      <c r="D37" s="78"/>
      <c r="E37" s="20"/>
      <c r="F37" s="64">
        <f>Input!$DK$15</f>
        <v>0</v>
      </c>
      <c r="G37" s="64">
        <f>Input!$DL$15</f>
        <v>0</v>
      </c>
      <c r="H37" s="64">
        <f>Input!$DM$15</f>
        <v>0</v>
      </c>
      <c r="I37" s="64">
        <f>Input!$DN$15</f>
        <v>0</v>
      </c>
      <c r="J37" s="64">
        <f>Input!$DO$15</f>
        <v>0</v>
      </c>
      <c r="K37" s="64">
        <f>Input!$DP$15</f>
        <v>0</v>
      </c>
      <c r="L37" s="65">
        <f t="shared" si="2"/>
        <v>0</v>
      </c>
      <c r="N37" s="66"/>
      <c r="O37" s="67"/>
      <c r="P37" s="80"/>
      <c r="Q37" s="81"/>
      <c r="R37" s="70"/>
      <c r="S37" s="70"/>
      <c r="T37" s="70"/>
      <c r="U37" s="81"/>
      <c r="V37" s="70"/>
      <c r="W37" s="81"/>
      <c r="X37" s="62"/>
      <c r="Y37" s="67"/>
      <c r="Z37" s="81"/>
      <c r="AA37" s="82"/>
      <c r="AB37" s="83"/>
    </row>
    <row r="38" spans="1:28" s="79" customFormat="1" ht="15.75" customHeight="1">
      <c r="A38" s="76"/>
      <c r="B38" s="77" t="s">
        <v>41</v>
      </c>
      <c r="C38" s="78"/>
      <c r="D38" s="78"/>
      <c r="E38" s="20"/>
      <c r="F38" s="64">
        <f>Input!$DQ$15</f>
        <v>0</v>
      </c>
      <c r="G38" s="64">
        <f>Input!$DR$15</f>
        <v>0</v>
      </c>
      <c r="H38" s="64">
        <f>Input!$DS$15</f>
        <v>0</v>
      </c>
      <c r="I38" s="64">
        <f>Input!$DT$15</f>
        <v>0</v>
      </c>
      <c r="J38" s="64">
        <f>Input!$DU$15</f>
        <v>0</v>
      </c>
      <c r="K38" s="64">
        <f>Input!$DV$15</f>
        <v>0</v>
      </c>
      <c r="L38" s="65">
        <f t="shared" si="2"/>
        <v>0</v>
      </c>
      <c r="N38" s="66"/>
      <c r="O38" s="67"/>
      <c r="P38" s="80"/>
      <c r="Q38" s="81"/>
      <c r="R38" s="70"/>
      <c r="S38" s="70"/>
      <c r="T38" s="70"/>
      <c r="U38" s="81"/>
      <c r="V38" s="70"/>
      <c r="W38" s="81"/>
      <c r="X38" s="62"/>
      <c r="Y38" s="67"/>
      <c r="Z38" s="81"/>
      <c r="AA38" s="82"/>
      <c r="AB38" s="83"/>
    </row>
    <row r="39" spans="1:28" s="79" customFormat="1" ht="15.75" customHeight="1">
      <c r="A39" s="76"/>
      <c r="B39" s="77" t="s">
        <v>42</v>
      </c>
      <c r="C39" s="78"/>
      <c r="D39" s="78"/>
      <c r="E39" s="20"/>
      <c r="F39" s="64">
        <f>Input!$DW$15</f>
        <v>0</v>
      </c>
      <c r="G39" s="64">
        <f>Input!$DX$15</f>
        <v>0</v>
      </c>
      <c r="H39" s="64">
        <f>Input!$DY$15</f>
        <v>0</v>
      </c>
      <c r="I39" s="64">
        <f>Input!$DZ$15</f>
        <v>0</v>
      </c>
      <c r="J39" s="64">
        <f>Input!$EA$15</f>
        <v>0</v>
      </c>
      <c r="K39" s="64">
        <f>Input!$EB$15</f>
        <v>0</v>
      </c>
      <c r="L39" s="65">
        <f t="shared" si="2"/>
        <v>0</v>
      </c>
      <c r="N39" s="66"/>
      <c r="O39" s="67"/>
      <c r="P39" s="80"/>
      <c r="Q39" s="81"/>
      <c r="R39" s="70"/>
      <c r="S39" s="70"/>
      <c r="T39" s="70"/>
      <c r="U39" s="81"/>
      <c r="V39" s="70"/>
      <c r="W39" s="81"/>
      <c r="X39" s="62"/>
      <c r="Y39" s="67"/>
      <c r="Z39" s="81"/>
      <c r="AA39" s="82"/>
      <c r="AB39" s="83"/>
    </row>
    <row r="40" spans="1:28" ht="15.75" customHeight="1">
      <c r="A40" s="76"/>
      <c r="B40" s="55" t="s">
        <v>43</v>
      </c>
      <c r="C40" s="21"/>
      <c r="D40" s="21"/>
      <c r="E40" s="21"/>
      <c r="F40" s="84">
        <f>Input!$EC$15</f>
        <v>0</v>
      </c>
      <c r="G40" s="84">
        <f>Input!$ED$15</f>
        <v>0</v>
      </c>
      <c r="H40" s="84">
        <f>Input!$EE$15</f>
        <v>0</v>
      </c>
      <c r="I40" s="84">
        <f>Input!$EF$15</f>
        <v>0</v>
      </c>
      <c r="J40" s="84">
        <f>Input!$EG$15</f>
        <v>0</v>
      </c>
      <c r="K40" s="84">
        <f>Input!$EH$15</f>
        <v>0</v>
      </c>
      <c r="L40" s="65">
        <f t="shared" si="2"/>
        <v>0</v>
      </c>
      <c r="N40" s="66"/>
      <c r="O40" s="317" t="s">
        <v>633</v>
      </c>
      <c r="P40" s="41" t="s">
        <v>634</v>
      </c>
      <c r="Q40" s="85"/>
      <c r="R40" s="70"/>
      <c r="S40" s="70"/>
      <c r="T40" s="70"/>
      <c r="U40" s="69"/>
      <c r="V40" s="70"/>
      <c r="W40" s="69"/>
      <c r="X40" s="62"/>
      <c r="Y40" s="67"/>
      <c r="Z40" s="69"/>
      <c r="AA40" s="19"/>
      <c r="AB40" s="24">
        <f>SUM(C40:L40)</f>
        <v>0</v>
      </c>
    </row>
    <row r="41" spans="1:28" ht="15.75" customHeight="1">
      <c r="A41" s="76"/>
      <c r="B41" s="43" t="s">
        <v>44</v>
      </c>
      <c r="C41" s="44"/>
      <c r="D41" s="44"/>
      <c r="E41" s="44"/>
      <c r="F41" s="86">
        <f t="shared" ref="F41:L41" si="3">SUM(F20:F40)</f>
        <v>7250324</v>
      </c>
      <c r="G41" s="86">
        <f t="shared" si="3"/>
        <v>2339810</v>
      </c>
      <c r="H41" s="86">
        <f t="shared" si="3"/>
        <v>0</v>
      </c>
      <c r="I41" s="86">
        <f t="shared" si="3"/>
        <v>3239671</v>
      </c>
      <c r="J41" s="86">
        <f t="shared" si="3"/>
        <v>505126</v>
      </c>
      <c r="K41" s="86">
        <f t="shared" si="3"/>
        <v>1043201</v>
      </c>
      <c r="L41" s="87">
        <f t="shared" si="3"/>
        <v>14378132</v>
      </c>
      <c r="N41" s="88"/>
      <c r="O41" s="308" t="s">
        <v>628</v>
      </c>
      <c r="P41" s="309" t="s">
        <v>17</v>
      </c>
      <c r="Q41" s="89"/>
      <c r="R41" s="89"/>
      <c r="S41" s="50">
        <f>L41-INT(L41)</f>
        <v>0</v>
      </c>
      <c r="T41" s="61"/>
      <c r="U41" s="90"/>
      <c r="V41" s="61"/>
      <c r="W41" s="61"/>
      <c r="X41" s="85"/>
      <c r="Y41" s="60"/>
      <c r="Z41" s="91"/>
      <c r="AA41" s="19"/>
      <c r="AB41" s="44">
        <f>SUM(AB20:AB40)</f>
        <v>2599896</v>
      </c>
    </row>
    <row r="42" spans="1:28" ht="15.75" customHeight="1">
      <c r="A42" s="76"/>
      <c r="C42" s="38"/>
      <c r="D42" s="38"/>
      <c r="F42" s="38"/>
      <c r="G42" s="310" t="s">
        <v>629</v>
      </c>
      <c r="H42" s="311">
        <f>H41+G41</f>
        <v>2339810</v>
      </c>
      <c r="I42" s="53"/>
      <c r="J42" s="310" t="s">
        <v>630</v>
      </c>
      <c r="K42" s="311">
        <f>K41+J41</f>
        <v>1548327</v>
      </c>
      <c r="L42" s="310" t="s">
        <v>631</v>
      </c>
      <c r="M42" s="312"/>
      <c r="N42" s="313">
        <f>K42+F41</f>
        <v>8798651</v>
      </c>
      <c r="O42" s="314">
        <f>ROUND((N42/P42)*100,2)</f>
        <v>4.54</v>
      </c>
      <c r="P42" s="93">
        <f>Input!$GR$15</f>
        <v>193696298</v>
      </c>
      <c r="Q42" s="92"/>
      <c r="R42" s="92"/>
      <c r="S42" s="92"/>
      <c r="T42" s="94"/>
      <c r="U42" s="95"/>
      <c r="V42" s="96"/>
      <c r="W42" s="92"/>
      <c r="X42" s="92"/>
      <c r="Y42" s="92"/>
      <c r="Z42" s="92" t="str">
        <f>IF(Z41&lt;&gt;0,"Out of Balance","")</f>
        <v/>
      </c>
    </row>
    <row r="43" spans="1:28" ht="15.75" customHeight="1">
      <c r="A43" s="76"/>
      <c r="B43" s="14" t="s">
        <v>45</v>
      </c>
      <c r="C43" s="53"/>
      <c r="D43" s="53"/>
      <c r="E43" s="53"/>
      <c r="F43" s="53"/>
      <c r="G43" s="315"/>
      <c r="H43" s="315"/>
      <c r="I43" s="315"/>
      <c r="J43" s="315"/>
      <c r="K43" s="315"/>
      <c r="L43" s="315"/>
      <c r="O43" s="316" t="s">
        <v>632</v>
      </c>
      <c r="Q43" s="92"/>
      <c r="R43" s="92"/>
      <c r="S43" s="92"/>
      <c r="T43" s="94"/>
      <c r="U43" s="95"/>
      <c r="V43" s="96"/>
      <c r="W43" s="92"/>
      <c r="X43" s="92"/>
      <c r="Y43" s="92"/>
      <c r="Z43" s="92"/>
    </row>
    <row r="44" spans="1:28" ht="15.75" customHeight="1">
      <c r="A44" s="76"/>
      <c r="B44" s="55" t="s">
        <v>544</v>
      </c>
      <c r="C44" s="21"/>
      <c r="D44" s="21"/>
      <c r="F44" s="64">
        <f>Input!$EI$15</f>
        <v>0</v>
      </c>
      <c r="G44" s="64">
        <f>Input!$EJ$15</f>
        <v>0</v>
      </c>
      <c r="H44" s="64">
        <f>Input!$EK$15</f>
        <v>0</v>
      </c>
      <c r="I44" s="64">
        <f>Input!$EL$15</f>
        <v>0</v>
      </c>
      <c r="J44" s="64">
        <f>Input!$EM$15</f>
        <v>0</v>
      </c>
      <c r="K44" s="64">
        <f>Input!$EN$15</f>
        <v>2406</v>
      </c>
      <c r="L44" s="57">
        <f>SUM(F44:K44)</f>
        <v>2406</v>
      </c>
      <c r="N44" s="9"/>
      <c r="O44" s="318" t="s">
        <v>702</v>
      </c>
      <c r="Q44" s="93"/>
      <c r="R44" s="93"/>
      <c r="S44" s="93"/>
      <c r="T44" s="94"/>
      <c r="U44" s="95"/>
      <c r="V44" s="99"/>
      <c r="W44" s="93"/>
      <c r="X44" s="101"/>
      <c r="Y44" s="92"/>
      <c r="Z44" s="100"/>
      <c r="AB44" s="24">
        <f>SUM(C44:L44)</f>
        <v>4812</v>
      </c>
    </row>
    <row r="45" spans="1:28" ht="15.75" customHeight="1">
      <c r="A45" s="76"/>
      <c r="B45" s="55" t="s">
        <v>46</v>
      </c>
      <c r="C45" s="21"/>
      <c r="D45" s="21"/>
      <c r="F45" s="64">
        <f>Input!$EO$15</f>
        <v>22813</v>
      </c>
      <c r="G45" s="64">
        <f>Input!$EP$15</f>
        <v>0</v>
      </c>
      <c r="H45" s="64">
        <f>Input!$EQ$15</f>
        <v>0</v>
      </c>
      <c r="I45" s="64">
        <f>Input!$ER$15</f>
        <v>0</v>
      </c>
      <c r="J45" s="64">
        <f>Input!$ES$15</f>
        <v>0</v>
      </c>
      <c r="K45" s="64">
        <f>Input!$ET$15</f>
        <v>9737</v>
      </c>
      <c r="L45" s="65">
        <f t="shared" ref="L45:L53" si="4">SUM(F45:K45)</f>
        <v>32550</v>
      </c>
      <c r="N45" s="97"/>
      <c r="O45" s="319" t="s">
        <v>635</v>
      </c>
      <c r="P45" s="98"/>
      <c r="Q45" s="93"/>
      <c r="R45" s="93"/>
      <c r="S45" s="93"/>
      <c r="T45" s="94"/>
      <c r="U45" s="95"/>
      <c r="V45" s="99"/>
      <c r="W45" s="93"/>
      <c r="X45" s="101"/>
      <c r="Y45" s="92"/>
      <c r="Z45" s="100"/>
      <c r="AB45" s="24"/>
    </row>
    <row r="46" spans="1:28" ht="15.75" customHeight="1">
      <c r="A46" s="76"/>
      <c r="B46" s="55" t="s">
        <v>545</v>
      </c>
      <c r="C46" s="21"/>
      <c r="D46" s="21"/>
      <c r="F46" s="64">
        <f>Input!$EU$15</f>
        <v>554099</v>
      </c>
      <c r="G46" s="64">
        <f>Input!$EV$15</f>
        <v>0</v>
      </c>
      <c r="H46" s="64">
        <f>Input!$EW$15</f>
        <v>0</v>
      </c>
      <c r="I46" s="64">
        <f>Input!$EX$15</f>
        <v>0</v>
      </c>
      <c r="J46" s="64">
        <f>Input!$EY$15</f>
        <v>0</v>
      </c>
      <c r="K46" s="64">
        <f>Input!$EZ$15</f>
        <v>0</v>
      </c>
      <c r="L46" s="65">
        <f t="shared" si="4"/>
        <v>554099</v>
      </c>
      <c r="N46" s="97"/>
      <c r="O46" s="320" t="str">
        <f>FTSE!$O$32</f>
        <v>N/A</v>
      </c>
      <c r="P46" s="98"/>
      <c r="Q46" s="93"/>
      <c r="R46" s="93"/>
      <c r="S46" s="93"/>
      <c r="T46" s="94"/>
      <c r="U46" s="95"/>
      <c r="V46" s="99"/>
      <c r="W46" s="93"/>
      <c r="X46" s="101"/>
      <c r="Y46" s="92"/>
      <c r="Z46" s="100"/>
      <c r="AB46" s="24"/>
    </row>
    <row r="47" spans="1:28" ht="15.75" customHeight="1">
      <c r="A47" s="76"/>
      <c r="B47" s="63" t="s">
        <v>546</v>
      </c>
      <c r="C47" s="21"/>
      <c r="D47" s="21"/>
      <c r="F47" s="64">
        <f>Input!$FA$15</f>
        <v>0</v>
      </c>
      <c r="G47" s="64">
        <f>Input!$FB$15</f>
        <v>0</v>
      </c>
      <c r="H47" s="64">
        <f>Input!$FC$15</f>
        <v>0</v>
      </c>
      <c r="I47" s="64">
        <f>Input!$FD$15</f>
        <v>0</v>
      </c>
      <c r="J47" s="64">
        <f>Input!$FE$15</f>
        <v>0</v>
      </c>
      <c r="K47" s="64">
        <f>Input!$FF$15</f>
        <v>0</v>
      </c>
      <c r="L47" s="65">
        <f t="shared" si="4"/>
        <v>0</v>
      </c>
      <c r="N47" s="97"/>
      <c r="O47" s="321" t="s">
        <v>636</v>
      </c>
      <c r="P47" s="98"/>
      <c r="Q47" s="93"/>
      <c r="R47" s="93"/>
      <c r="S47" s="93"/>
      <c r="T47" s="94"/>
      <c r="U47" s="95"/>
      <c r="V47" s="99"/>
      <c r="W47" s="93"/>
      <c r="X47" s="101"/>
      <c r="Y47" s="92"/>
      <c r="Z47" s="100"/>
      <c r="AB47" s="24"/>
    </row>
    <row r="48" spans="1:28" ht="15.75" customHeight="1">
      <c r="A48" s="76"/>
      <c r="B48" s="55" t="s">
        <v>547</v>
      </c>
      <c r="C48" s="21"/>
      <c r="D48" s="21"/>
      <c r="F48" s="64">
        <f>Input!$FG$15</f>
        <v>0</v>
      </c>
      <c r="G48" s="64">
        <f>Input!$FH$15</f>
        <v>0</v>
      </c>
      <c r="H48" s="64">
        <f>Input!$FI$15</f>
        <v>0</v>
      </c>
      <c r="I48" s="64">
        <f>Input!$FJ$15</f>
        <v>0</v>
      </c>
      <c r="J48" s="64">
        <f>Input!$FK$15</f>
        <v>0</v>
      </c>
      <c r="K48" s="64">
        <f>Input!$FL$15</f>
        <v>0</v>
      </c>
      <c r="L48" s="65">
        <f t="shared" si="4"/>
        <v>0</v>
      </c>
      <c r="N48" s="97"/>
      <c r="P48" s="98"/>
      <c r="Q48" s="93"/>
      <c r="R48" s="93"/>
      <c r="S48" s="93"/>
      <c r="T48" s="94"/>
      <c r="U48" s="95"/>
      <c r="V48" s="99"/>
      <c r="W48" s="93"/>
      <c r="X48" s="101"/>
      <c r="Y48" s="92"/>
      <c r="Z48" s="100"/>
      <c r="AB48" s="24"/>
    </row>
    <row r="49" spans="1:28" s="79" customFormat="1" ht="15.75" customHeight="1">
      <c r="A49" s="76"/>
      <c r="B49" s="228" t="s">
        <v>548</v>
      </c>
      <c r="C49" s="78"/>
      <c r="D49" s="78"/>
      <c r="E49" s="20"/>
      <c r="F49" s="64">
        <f>Input!$FM$15</f>
        <v>0</v>
      </c>
      <c r="G49" s="64">
        <f>Input!$FN$15</f>
        <v>0</v>
      </c>
      <c r="H49" s="64">
        <f>Input!$FO$15</f>
        <v>0</v>
      </c>
      <c r="I49" s="64">
        <f>Input!$FP$15</f>
        <v>0</v>
      </c>
      <c r="J49" s="64">
        <f>Input!$FQ$15</f>
        <v>0</v>
      </c>
      <c r="K49" s="64">
        <f>Input!$FR$15</f>
        <v>0</v>
      </c>
      <c r="L49" s="65">
        <f t="shared" si="4"/>
        <v>0</v>
      </c>
      <c r="N49" s="102"/>
      <c r="P49" s="103"/>
      <c r="Q49" s="104"/>
      <c r="R49" s="104"/>
      <c r="S49" s="104"/>
      <c r="T49" s="105"/>
      <c r="U49" s="106"/>
      <c r="V49" s="107"/>
      <c r="W49" s="104"/>
      <c r="X49" s="108"/>
      <c r="Y49" s="109"/>
      <c r="Z49" s="110"/>
      <c r="AB49" s="83"/>
    </row>
    <row r="50" spans="1:28" s="79" customFormat="1" ht="15.75" customHeight="1">
      <c r="A50" s="76"/>
      <c r="B50" s="228" t="s">
        <v>549</v>
      </c>
      <c r="C50" s="78"/>
      <c r="D50" s="78"/>
      <c r="E50" s="20"/>
      <c r="F50" s="64">
        <f>Input!$FS$15</f>
        <v>0</v>
      </c>
      <c r="G50" s="64">
        <f>Input!$FT$15</f>
        <v>0</v>
      </c>
      <c r="H50" s="64">
        <f>Input!$FU$15</f>
        <v>0</v>
      </c>
      <c r="I50" s="64">
        <f>Input!$FV$15</f>
        <v>0</v>
      </c>
      <c r="J50" s="64">
        <f>Input!$FW$15</f>
        <v>0</v>
      </c>
      <c r="K50" s="64">
        <f>Input!$FX$15</f>
        <v>0</v>
      </c>
      <c r="L50" s="65">
        <f t="shared" si="4"/>
        <v>0</v>
      </c>
      <c r="N50" s="102"/>
      <c r="P50" s="103"/>
      <c r="Q50" s="104"/>
      <c r="R50" s="104"/>
      <c r="S50" s="104"/>
      <c r="T50" s="105"/>
      <c r="U50" s="106"/>
      <c r="V50" s="107"/>
      <c r="W50" s="104"/>
      <c r="X50" s="108"/>
      <c r="Y50" s="109"/>
      <c r="Z50" s="110"/>
      <c r="AB50" s="83"/>
    </row>
    <row r="51" spans="1:28" s="79" customFormat="1" ht="15.75" customHeight="1">
      <c r="A51" s="76"/>
      <c r="B51" s="228" t="s">
        <v>550</v>
      </c>
      <c r="C51" s="78"/>
      <c r="D51" s="78"/>
      <c r="E51" s="20"/>
      <c r="F51" s="64">
        <f>Input!$FY$15</f>
        <v>0</v>
      </c>
      <c r="G51" s="64">
        <f>Input!$FZ$15</f>
        <v>0</v>
      </c>
      <c r="H51" s="64">
        <f>Input!$GA$15</f>
        <v>0</v>
      </c>
      <c r="I51" s="64">
        <f>Input!$GB$15</f>
        <v>0</v>
      </c>
      <c r="J51" s="64">
        <f>Input!$GC$15</f>
        <v>0</v>
      </c>
      <c r="K51" s="64">
        <f>Input!$GD$15</f>
        <v>0</v>
      </c>
      <c r="L51" s="65">
        <f t="shared" si="4"/>
        <v>0</v>
      </c>
      <c r="N51" s="102"/>
      <c r="P51" s="103"/>
      <c r="Q51" s="104"/>
      <c r="R51" s="104"/>
      <c r="S51" s="104"/>
      <c r="T51" s="105"/>
      <c r="U51" s="106"/>
      <c r="V51" s="107"/>
      <c r="W51" s="104"/>
      <c r="X51" s="108"/>
      <c r="Y51" s="109"/>
      <c r="Z51" s="110"/>
      <c r="AB51" s="83"/>
    </row>
    <row r="52" spans="1:28" s="79" customFormat="1" ht="15.75" customHeight="1">
      <c r="A52" s="76"/>
      <c r="B52" s="228" t="s">
        <v>551</v>
      </c>
      <c r="C52" s="78"/>
      <c r="D52" s="78"/>
      <c r="E52" s="20"/>
      <c r="F52" s="64">
        <f>Input!$GE$15</f>
        <v>0</v>
      </c>
      <c r="G52" s="64">
        <f>Input!$GF$15</f>
        <v>0</v>
      </c>
      <c r="H52" s="64">
        <f>Input!$GG$15</f>
        <v>0</v>
      </c>
      <c r="I52" s="64">
        <f>Input!$GH$15</f>
        <v>0</v>
      </c>
      <c r="J52" s="64">
        <f>Input!$GI$15</f>
        <v>0</v>
      </c>
      <c r="K52" s="64">
        <f>Input!$GJ$15</f>
        <v>0</v>
      </c>
      <c r="L52" s="65">
        <f t="shared" si="4"/>
        <v>0</v>
      </c>
      <c r="N52" s="102"/>
      <c r="P52" s="103"/>
      <c r="Q52" s="104"/>
      <c r="R52" s="104"/>
      <c r="S52" s="104"/>
      <c r="T52" s="105"/>
      <c r="U52" s="106"/>
      <c r="V52" s="107"/>
      <c r="W52" s="104"/>
      <c r="X52" s="108"/>
      <c r="Y52" s="109"/>
      <c r="Z52" s="110"/>
      <c r="AB52" s="83"/>
    </row>
    <row r="53" spans="1:28" s="79" customFormat="1" ht="15.75" customHeight="1">
      <c r="A53" s="76"/>
      <c r="B53" s="228" t="s">
        <v>552</v>
      </c>
      <c r="C53" s="78"/>
      <c r="D53" s="78"/>
      <c r="E53" s="20"/>
      <c r="F53" s="64">
        <f>Input!$GK$15</f>
        <v>0</v>
      </c>
      <c r="G53" s="64">
        <f>Input!$GL$15</f>
        <v>0</v>
      </c>
      <c r="H53" s="64">
        <f>Input!$GM$15</f>
        <v>0</v>
      </c>
      <c r="I53" s="64">
        <f>Input!$GN$15</f>
        <v>0</v>
      </c>
      <c r="J53" s="64">
        <f>Input!$GO$15</f>
        <v>0</v>
      </c>
      <c r="K53" s="64">
        <f>Input!$GP$15</f>
        <v>0</v>
      </c>
      <c r="L53" s="65">
        <f t="shared" si="4"/>
        <v>0</v>
      </c>
      <c r="N53" s="102"/>
      <c r="P53" s="103"/>
      <c r="Q53" s="104"/>
      <c r="R53" s="104"/>
      <c r="S53" s="104"/>
      <c r="T53" s="105"/>
      <c r="U53" s="106"/>
      <c r="V53" s="107"/>
      <c r="W53" s="104"/>
      <c r="X53" s="108"/>
      <c r="Y53" s="109"/>
      <c r="Z53" s="110"/>
      <c r="AB53" s="83"/>
    </row>
    <row r="54" spans="1:28" ht="15.75" customHeight="1">
      <c r="A54" s="76"/>
      <c r="B54" s="43" t="s">
        <v>47</v>
      </c>
      <c r="C54" s="44"/>
      <c r="D54" s="44"/>
      <c r="E54" s="44"/>
      <c r="F54" s="86">
        <f>SUM(F44:F53)</f>
        <v>576912</v>
      </c>
      <c r="G54" s="86">
        <f t="shared" ref="G54:L54" si="5">SUM(G44:G53)</f>
        <v>0</v>
      </c>
      <c r="H54" s="86">
        <f t="shared" si="5"/>
        <v>0</v>
      </c>
      <c r="I54" s="86">
        <f t="shared" si="5"/>
        <v>0</v>
      </c>
      <c r="J54" s="86">
        <f t="shared" si="5"/>
        <v>0</v>
      </c>
      <c r="K54" s="86">
        <f t="shared" si="5"/>
        <v>12143</v>
      </c>
      <c r="L54" s="86">
        <f t="shared" si="5"/>
        <v>589055</v>
      </c>
      <c r="N54" s="97"/>
      <c r="P54" s="98"/>
      <c r="Q54" s="98"/>
      <c r="R54" s="98"/>
      <c r="S54" s="50">
        <f>L54-INT(L54)</f>
        <v>0</v>
      </c>
      <c r="T54" s="94"/>
      <c r="U54" s="95"/>
      <c r="V54" s="99"/>
      <c r="W54" s="99"/>
      <c r="X54" s="99"/>
      <c r="Y54" s="95"/>
      <c r="Z54" s="95"/>
      <c r="AB54" s="44">
        <f>SUM(AB44:AB48)</f>
        <v>4812</v>
      </c>
    </row>
    <row r="55" spans="1:28" ht="15.75" customHeight="1">
      <c r="A55" s="76"/>
      <c r="C55" s="38"/>
      <c r="D55" s="38"/>
      <c r="E55" s="38"/>
      <c r="F55" s="38"/>
      <c r="G55" s="38"/>
      <c r="H55" s="38"/>
      <c r="I55" s="38"/>
      <c r="J55" s="38"/>
      <c r="K55" s="38"/>
      <c r="L55" s="38"/>
      <c r="N55" s="97"/>
      <c r="P55" s="98"/>
      <c r="Q55" s="98"/>
      <c r="R55" s="98"/>
      <c r="S55" s="98"/>
      <c r="T55" s="94"/>
      <c r="U55" s="95"/>
      <c r="V55" s="99"/>
      <c r="W55" s="99"/>
      <c r="X55" s="99"/>
      <c r="Y55" s="95"/>
      <c r="Z55" s="95"/>
    </row>
    <row r="56" spans="1:28" ht="15.75" customHeight="1">
      <c r="A56" s="76"/>
      <c r="L56" s="6" t="s">
        <v>48</v>
      </c>
      <c r="N56" s="111"/>
      <c r="Q56" s="112"/>
      <c r="R56" s="112"/>
      <c r="S56" s="112"/>
      <c r="W56" s="112"/>
      <c r="X56" s="112"/>
      <c r="Y56" s="112"/>
      <c r="Z56" s="112"/>
    </row>
    <row r="57" spans="1:28" ht="15.75" customHeight="1">
      <c r="A57" s="76"/>
      <c r="N57" s="113"/>
    </row>
    <row r="58" spans="1:28" s="112" customFormat="1" ht="15.75" customHeight="1">
      <c r="A58" s="76"/>
      <c r="N58" s="113"/>
      <c r="O58" s="9"/>
      <c r="P58" s="9"/>
      <c r="Q58" s="9"/>
      <c r="R58" s="9"/>
      <c r="S58" s="9"/>
      <c r="T58" s="9"/>
      <c r="U58" s="9"/>
      <c r="V58" s="9"/>
      <c r="W58" s="9"/>
      <c r="X58" s="9"/>
      <c r="Y58" s="9"/>
      <c r="Z58" s="9"/>
    </row>
    <row r="59" spans="1:28" s="112" customFormat="1" ht="15.75" customHeight="1">
      <c r="A59" s="76"/>
      <c r="N59" s="113"/>
      <c r="O59" s="9"/>
      <c r="P59" s="9"/>
      <c r="Q59" s="9"/>
      <c r="R59" s="9"/>
      <c r="S59" s="9"/>
      <c r="T59" s="9"/>
      <c r="U59" s="9"/>
      <c r="V59" s="9"/>
      <c r="W59" s="9"/>
      <c r="X59" s="9"/>
      <c r="Y59" s="9"/>
      <c r="Z59" s="9"/>
    </row>
    <row r="60" spans="1:28" s="112" customFormat="1" ht="15.75" customHeight="1">
      <c r="A60" s="76"/>
      <c r="N60" s="113"/>
      <c r="O60" s="9"/>
      <c r="P60" s="9"/>
      <c r="Q60" s="9"/>
      <c r="R60" s="9"/>
      <c r="S60" s="9"/>
      <c r="T60" s="9"/>
      <c r="U60" s="9"/>
      <c r="V60" s="9"/>
      <c r="W60" s="9"/>
      <c r="X60" s="9"/>
      <c r="Y60" s="9"/>
      <c r="Z60" s="9"/>
    </row>
    <row r="61" spans="1:28" s="79" customFormat="1" ht="15.75" customHeight="1">
      <c r="A61" s="76"/>
      <c r="B61" s="20"/>
      <c r="C61" s="20"/>
      <c r="D61" s="20"/>
      <c r="E61" s="20"/>
      <c r="F61" s="114">
        <f t="shared" ref="F61:L61" si="6">F54+F41</f>
        <v>7827236</v>
      </c>
      <c r="G61" s="114">
        <f t="shared" si="6"/>
        <v>2339810</v>
      </c>
      <c r="H61" s="114">
        <f t="shared" si="6"/>
        <v>0</v>
      </c>
      <c r="I61" s="114">
        <f t="shared" si="6"/>
        <v>3239671</v>
      </c>
      <c r="J61" s="114">
        <f t="shared" si="6"/>
        <v>505126</v>
      </c>
      <c r="K61" s="114">
        <f t="shared" si="6"/>
        <v>1055344</v>
      </c>
      <c r="L61" s="114">
        <f t="shared" si="6"/>
        <v>14967187</v>
      </c>
      <c r="N61" s="20"/>
    </row>
    <row r="62" spans="1:28" s="79" customFormat="1" ht="15.75" customHeight="1">
      <c r="A62" s="76"/>
      <c r="B62" s="20"/>
      <c r="C62" s="20"/>
      <c r="D62" s="20"/>
      <c r="E62" s="20"/>
      <c r="F62" s="20"/>
      <c r="G62" s="20"/>
      <c r="H62" s="20"/>
      <c r="I62" s="20"/>
      <c r="J62" s="20"/>
      <c r="K62" s="20"/>
      <c r="L62" s="114">
        <f>SUM(K8:K9)+SUM(K12:K16)</f>
        <v>14378132</v>
      </c>
      <c r="N62" s="20"/>
    </row>
    <row r="63" spans="1:28" s="79" customFormat="1" ht="15.75" customHeight="1">
      <c r="A63" s="76"/>
      <c r="B63" s="20"/>
      <c r="C63" s="20"/>
      <c r="D63" s="20"/>
      <c r="E63" s="20"/>
      <c r="F63" s="20"/>
      <c r="G63" s="20"/>
      <c r="H63" s="20"/>
      <c r="I63" s="20"/>
      <c r="J63" s="20"/>
      <c r="K63" s="20"/>
      <c r="L63" s="114">
        <f>SUM(L61:L62)</f>
        <v>29345319</v>
      </c>
      <c r="N63" s="20"/>
    </row>
    <row r="65" spans="12:12" ht="15.75" customHeight="1">
      <c r="L65" s="3" t="str">
        <f>IF($L$63+L64&lt;&gt;Input!$D$15,"Error","Balanced")</f>
        <v>Balanced</v>
      </c>
    </row>
  </sheetData>
  <mergeCells count="3">
    <mergeCell ref="B6:L6"/>
    <mergeCell ref="H10:J10"/>
    <mergeCell ref="F18:J18"/>
  </mergeCells>
  <conditionalFormatting sqref="O25:O26">
    <cfRule type="expression" dxfId="14" priority="3">
      <formula>$O$26&lt;&gt;0</formula>
    </cfRule>
  </conditionalFormatting>
  <conditionalFormatting sqref="H10:J10">
    <cfRule type="expression" dxfId="13" priority="1">
      <formula>$O$10&lt;&gt;0</formula>
    </cfRule>
  </conditionalFormatting>
  <conditionalFormatting sqref="F18:J18">
    <cfRule type="expression" dxfId="12" priority="5">
      <formula>OR($S$17&lt;&gt;0,$S$41&lt;&gt;0,$S$54&lt;&gt;0)</formula>
    </cfRule>
  </conditionalFormatting>
  <hyperlinks>
    <hyperlink ref="N1" location="Index!A1" display="Return to Index"/>
  </hyperlinks>
  <printOptions horizontalCentered="1"/>
  <pageMargins left="0.25" right="0.25" top="0.25" bottom="0.25" header="0.5" footer="0.5"/>
  <pageSetup scale="60" pageOrder="overThenDown" orientation="landscape" r:id="rId1"/>
  <headerFooter alignWithMargins="0"/>
  <colBreaks count="1" manualBreakCount="1">
    <brk id="12" max="80" man="1"/>
  </colBreaks>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pageSetUpPr fitToPage="1"/>
  </sheetPr>
  <dimension ref="A1:AB65"/>
  <sheetViews>
    <sheetView showGridLines="0" zoomScale="75" zoomScaleNormal="75" workbookViewId="0">
      <pane xSplit="4" ySplit="3" topLeftCell="J8" activePane="bottomRight" state="frozen"/>
      <selection pane="topRight" activeCell="E1" sqref="E1"/>
      <selection pane="bottomLeft" activeCell="A4" sqref="A4"/>
      <selection pane="bottomRight" activeCell="P43" sqref="P43"/>
    </sheetView>
  </sheetViews>
  <sheetFormatPr defaultRowHeight="15.75" customHeight="1"/>
  <cols>
    <col min="1" max="1" width="4.7109375" style="1" customWidth="1"/>
    <col min="2" max="2" width="60.140625" style="6" customWidth="1"/>
    <col min="3" max="4" width="3.42578125" style="6" customWidth="1"/>
    <col min="5" max="5" width="10.85546875" style="6" customWidth="1"/>
    <col min="6" max="7" width="16" style="6" customWidth="1"/>
    <col min="8" max="8" width="17.42578125" style="6" customWidth="1"/>
    <col min="9" max="9" width="15.5703125" style="6" customWidth="1"/>
    <col min="10" max="10" width="16" style="6" customWidth="1"/>
    <col min="11" max="11" width="20.28515625" style="6" bestFit="1" customWidth="1"/>
    <col min="12" max="12" width="16.42578125" style="6" customWidth="1"/>
    <col min="13" max="13" width="2.28515625" style="9" customWidth="1"/>
    <col min="14" max="14" width="14.42578125" style="6" customWidth="1"/>
    <col min="15" max="15" width="20.85546875" style="9" customWidth="1"/>
    <col min="16" max="16" width="21.140625" style="9" customWidth="1"/>
    <col min="17" max="17" width="1.140625" style="9" customWidth="1"/>
    <col min="18" max="19" width="14.42578125" style="9" customWidth="1"/>
    <col min="20" max="20" width="12.7109375" style="9" customWidth="1"/>
    <col min="21" max="21" width="10.7109375" style="9" customWidth="1"/>
    <col min="22" max="22" width="16.85546875" style="9" customWidth="1"/>
    <col min="23" max="23" width="1.85546875" style="9" customWidth="1"/>
    <col min="24" max="24" width="26.42578125" style="9" customWidth="1"/>
    <col min="25" max="25" width="17" style="9" customWidth="1"/>
    <col min="26" max="26" width="16.7109375" style="9" customWidth="1"/>
    <col min="27" max="27" width="18.85546875" style="9" customWidth="1"/>
    <col min="28" max="28" width="22.28515625" style="9" customWidth="1"/>
    <col min="29" max="16384" width="9.140625" style="9"/>
  </cols>
  <sheetData>
    <row r="1" spans="2:28" s="1" customFormat="1" ht="18" customHeight="1" thickBot="1">
      <c r="B1" s="2" t="s">
        <v>510</v>
      </c>
      <c r="C1" s="3"/>
      <c r="D1" s="3"/>
      <c r="E1" s="3"/>
      <c r="F1" s="3"/>
      <c r="G1" s="3"/>
      <c r="H1" s="3"/>
      <c r="I1" s="4"/>
      <c r="J1" s="3"/>
      <c r="K1" s="3"/>
      <c r="L1" s="3"/>
      <c r="M1" s="3"/>
      <c r="N1" s="337" t="s">
        <v>579</v>
      </c>
      <c r="AA1" s="3">
        <v>12</v>
      </c>
      <c r="AB1" s="3">
        <v>13</v>
      </c>
    </row>
    <row r="2" spans="2:28" ht="15.75" customHeight="1">
      <c r="B2" s="2" t="str">
        <f>Input!$B$5</f>
        <v>For the Year Ended August 31, 2010</v>
      </c>
      <c r="C2" s="5"/>
      <c r="D2" s="5"/>
      <c r="E2" s="5"/>
      <c r="G2" s="5"/>
      <c r="H2" s="5"/>
      <c r="I2" s="7"/>
      <c r="J2" s="5"/>
      <c r="K2" s="5"/>
      <c r="L2" s="8"/>
      <c r="N2" s="8"/>
      <c r="O2" s="10"/>
    </row>
    <row r="3" spans="2:28" ht="15.75" customHeight="1">
      <c r="B3" s="2" t="str">
        <f>Input!$B$6</f>
        <v>Source: FY 2010 Research Expenditure Survey</v>
      </c>
      <c r="C3" s="5"/>
      <c r="D3" s="5"/>
      <c r="E3" s="5"/>
      <c r="F3" s="5"/>
      <c r="G3" s="5"/>
      <c r="H3" s="5"/>
      <c r="I3" s="7"/>
      <c r="J3" s="5"/>
      <c r="K3" s="5"/>
      <c r="L3" s="8"/>
      <c r="N3" s="8"/>
    </row>
    <row r="4" spans="2:28" ht="15.75" customHeight="1">
      <c r="B4" s="11"/>
      <c r="C4" s="5"/>
      <c r="D4" s="5"/>
      <c r="E4" s="5"/>
      <c r="F4" s="5"/>
      <c r="G4" s="5"/>
      <c r="H4" s="5"/>
      <c r="I4" s="7"/>
      <c r="J4" s="5"/>
      <c r="K4" s="5"/>
      <c r="L4" s="8"/>
      <c r="N4" s="10" t="s">
        <v>0</v>
      </c>
      <c r="P4" s="12"/>
    </row>
    <row r="5" spans="2:28" ht="15.75" customHeight="1">
      <c r="L5" s="3"/>
      <c r="N5" s="3"/>
    </row>
    <row r="6" spans="2:28" ht="15.75" customHeight="1">
      <c r="B6" s="453" t="str">
        <f>Input!$B$7</f>
        <v>FY 2010</v>
      </c>
      <c r="C6" s="454"/>
      <c r="D6" s="454"/>
      <c r="E6" s="454"/>
      <c r="F6" s="454"/>
      <c r="G6" s="454"/>
      <c r="H6" s="454"/>
      <c r="I6" s="454"/>
      <c r="J6" s="454"/>
      <c r="K6" s="454"/>
      <c r="L6" s="454"/>
      <c r="N6" s="13"/>
    </row>
    <row r="7" spans="2:28" ht="28.5" customHeight="1">
      <c r="B7" s="14" t="s">
        <v>2</v>
      </c>
      <c r="C7" s="15"/>
      <c r="D7" s="15"/>
      <c r="E7" s="15"/>
      <c r="F7" s="15"/>
      <c r="G7" s="15"/>
      <c r="H7" s="15"/>
      <c r="I7" s="15"/>
      <c r="J7" s="15"/>
      <c r="K7" s="16" t="s">
        <v>3</v>
      </c>
      <c r="L7" s="16" t="s">
        <v>4</v>
      </c>
      <c r="N7" s="17"/>
      <c r="O7" s="18"/>
      <c r="P7" s="19"/>
      <c r="Q7" s="19"/>
      <c r="R7" s="19"/>
      <c r="S7" s="19"/>
      <c r="T7" s="19"/>
    </row>
    <row r="8" spans="2:28" ht="15.75" customHeight="1">
      <c r="B8" s="20" t="s">
        <v>5</v>
      </c>
      <c r="C8" s="21"/>
      <c r="D8" s="21"/>
      <c r="E8" s="21"/>
      <c r="F8" s="21"/>
      <c r="G8" s="21"/>
      <c r="H8" s="21"/>
      <c r="I8" s="21"/>
      <c r="J8" s="21"/>
      <c r="K8" s="22">
        <f>L8</f>
        <v>38231891</v>
      </c>
      <c r="L8" s="23">
        <f>Input!$H$16</f>
        <v>38231891</v>
      </c>
      <c r="N8" s="115"/>
      <c r="O8" s="116"/>
      <c r="P8" s="19"/>
      <c r="Q8" s="19"/>
      <c r="R8" s="19"/>
      <c r="S8" s="19"/>
      <c r="T8" s="19"/>
      <c r="AB8" s="24">
        <f>SUM(C8:L8)</f>
        <v>76463782</v>
      </c>
    </row>
    <row r="9" spans="2:28" ht="15.75" customHeight="1">
      <c r="B9" s="20" t="s">
        <v>7</v>
      </c>
      <c r="C9" s="21"/>
      <c r="D9" s="21"/>
      <c r="E9" s="21"/>
      <c r="F9" s="21"/>
      <c r="G9" s="21"/>
      <c r="H9" s="21"/>
      <c r="I9" s="21"/>
      <c r="J9" s="21"/>
      <c r="K9" s="25">
        <f>Input!$F$16</f>
        <v>1645160</v>
      </c>
      <c r="L9" s="26"/>
      <c r="N9" s="115"/>
      <c r="O9" s="28"/>
      <c r="P9" s="19"/>
      <c r="Q9" s="19"/>
      <c r="R9" s="19"/>
      <c r="S9" s="19"/>
      <c r="T9" s="19"/>
      <c r="AB9" s="24">
        <f>SUM(C9:L9)</f>
        <v>1645160</v>
      </c>
    </row>
    <row r="10" spans="2:28" ht="15.75" customHeight="1">
      <c r="B10" s="27" t="s">
        <v>8</v>
      </c>
      <c r="C10" s="28"/>
      <c r="D10" s="21"/>
      <c r="E10" s="21"/>
      <c r="F10" s="9"/>
      <c r="G10" s="30"/>
      <c r="H10" s="455" t="str">
        <f>IF(O10&lt;&gt;0,"Out of Balance with SRECNA","")</f>
        <v/>
      </c>
      <c r="I10" s="455"/>
      <c r="J10" s="456"/>
      <c r="K10" s="31">
        <f>SUM(K8:K9)</f>
        <v>39877051</v>
      </c>
      <c r="L10" s="32"/>
      <c r="N10" s="117"/>
      <c r="O10" s="118"/>
      <c r="P10" s="19"/>
      <c r="Q10" s="19"/>
      <c r="R10" s="19"/>
      <c r="S10" s="19"/>
      <c r="T10" s="19"/>
      <c r="AB10" s="24"/>
    </row>
    <row r="11" spans="2:28" ht="15.75" customHeight="1">
      <c r="B11" s="20"/>
      <c r="C11" s="21"/>
      <c r="D11" s="21"/>
      <c r="E11" s="21"/>
      <c r="F11" s="9"/>
      <c r="G11" s="9"/>
      <c r="H11" s="9"/>
      <c r="I11" s="9"/>
      <c r="J11" s="9"/>
      <c r="K11" s="33"/>
      <c r="L11" s="26"/>
      <c r="N11" s="17"/>
      <c r="O11" s="95"/>
      <c r="P11" s="34"/>
      <c r="Q11" s="34"/>
      <c r="R11" s="34"/>
      <c r="S11" s="34"/>
      <c r="T11" s="35"/>
      <c r="AB11" s="24">
        <f t="shared" ref="AB11:AB12" si="0">SUM(C10:L10)</f>
        <v>39877051</v>
      </c>
    </row>
    <row r="12" spans="2:28" ht="15.75" customHeight="1">
      <c r="B12" s="20" t="s">
        <v>9</v>
      </c>
      <c r="C12" s="21"/>
      <c r="D12" s="21"/>
      <c r="E12" s="21"/>
      <c r="F12" s="21"/>
      <c r="G12" s="21"/>
      <c r="H12" s="21"/>
      <c r="I12" s="21"/>
      <c r="J12" s="21"/>
      <c r="K12" s="36">
        <f>Input!$G$16</f>
        <v>0</v>
      </c>
      <c r="L12" s="26"/>
      <c r="N12" s="37"/>
      <c r="O12" s="19"/>
      <c r="P12" s="19"/>
      <c r="Q12" s="19"/>
      <c r="R12" s="19"/>
      <c r="S12" s="19"/>
      <c r="T12" s="19"/>
      <c r="AB12" s="24">
        <f t="shared" si="0"/>
        <v>0</v>
      </c>
    </row>
    <row r="13" spans="2:28" ht="15.75" customHeight="1">
      <c r="B13" s="20" t="s">
        <v>10</v>
      </c>
      <c r="C13" s="21"/>
      <c r="D13" s="21"/>
      <c r="E13" s="21"/>
      <c r="F13" s="21"/>
      <c r="G13" s="21"/>
      <c r="H13" s="21"/>
      <c r="I13" s="21"/>
      <c r="J13" s="21"/>
      <c r="K13" s="33">
        <f>L13</f>
        <v>678676</v>
      </c>
      <c r="L13" s="36">
        <f>Input!$I$16</f>
        <v>678676</v>
      </c>
      <c r="N13" s="37"/>
      <c r="O13" s="119"/>
      <c r="AB13" s="24">
        <f>SUM(C13:L13)</f>
        <v>1357352</v>
      </c>
    </row>
    <row r="14" spans="2:28" ht="15.75" customHeight="1">
      <c r="B14" s="20" t="s">
        <v>11</v>
      </c>
      <c r="C14" s="21"/>
      <c r="D14" s="21"/>
      <c r="E14" s="21"/>
      <c r="F14" s="21"/>
      <c r="G14" s="21"/>
      <c r="H14" s="21"/>
      <c r="I14" s="21"/>
      <c r="J14" s="21"/>
      <c r="K14" s="33">
        <f>L14</f>
        <v>1386271</v>
      </c>
      <c r="L14" s="36">
        <f>Input!$J$16</f>
        <v>1386271</v>
      </c>
      <c r="N14" s="17"/>
      <c r="O14" s="28"/>
      <c r="P14" s="19"/>
      <c r="Q14" s="19"/>
      <c r="R14" s="19"/>
      <c r="S14" s="19"/>
      <c r="T14" s="39"/>
      <c r="U14" s="19"/>
      <c r="V14" s="19"/>
      <c r="W14" s="19"/>
      <c r="X14" s="19"/>
      <c r="Y14" s="19"/>
      <c r="Z14" s="19"/>
      <c r="AA14" s="19"/>
      <c r="AB14" s="24">
        <f>SUM(C14:L14)</f>
        <v>2772542</v>
      </c>
    </row>
    <row r="15" spans="2:28" ht="15.75" customHeight="1">
      <c r="B15" s="20" t="s">
        <v>12</v>
      </c>
      <c r="C15" s="21"/>
      <c r="D15" s="21"/>
      <c r="E15" s="21"/>
      <c r="F15" s="21"/>
      <c r="G15" s="21"/>
      <c r="H15" s="21"/>
      <c r="I15" s="21"/>
      <c r="J15" s="21"/>
      <c r="K15" s="40">
        <f>L15</f>
        <v>37511984</v>
      </c>
      <c r="L15" s="36">
        <f>Input!$K$16</f>
        <v>37511984</v>
      </c>
      <c r="N15" s="19"/>
      <c r="O15" s="19"/>
      <c r="P15" s="19"/>
      <c r="Q15" s="19"/>
      <c r="R15" s="19"/>
      <c r="S15" s="19"/>
      <c r="T15" s="19"/>
      <c r="U15" s="19"/>
      <c r="V15" s="19"/>
      <c r="W15" s="41"/>
      <c r="X15" s="19"/>
      <c r="Y15" s="19"/>
      <c r="Z15" s="19"/>
      <c r="AA15" s="19"/>
      <c r="AB15" s="24">
        <f>SUM(C15:L15)</f>
        <v>75023968</v>
      </c>
    </row>
    <row r="16" spans="2:28" ht="15.75" customHeight="1">
      <c r="B16" s="20" t="s">
        <v>13</v>
      </c>
      <c r="C16" s="21"/>
      <c r="D16" s="21"/>
      <c r="E16" s="21"/>
      <c r="F16" s="21"/>
      <c r="G16" s="21"/>
      <c r="H16" s="21"/>
      <c r="I16" s="21"/>
      <c r="J16" s="21"/>
      <c r="K16" s="40">
        <f>L16</f>
        <v>362059</v>
      </c>
      <c r="L16" s="36">
        <f>Input!$L$16</f>
        <v>362059</v>
      </c>
      <c r="N16" s="28"/>
      <c r="O16" s="42"/>
      <c r="P16" s="19"/>
      <c r="Q16" s="19"/>
      <c r="R16" s="19"/>
      <c r="S16" s="19"/>
      <c r="T16" s="19"/>
      <c r="U16" s="19"/>
      <c r="V16" s="19"/>
      <c r="W16" s="19"/>
      <c r="X16" s="19"/>
      <c r="Y16" s="19"/>
      <c r="Z16" s="19"/>
      <c r="AA16" s="19"/>
      <c r="AB16" s="24">
        <f>SUM(C16:L16)</f>
        <v>724118</v>
      </c>
    </row>
    <row r="17" spans="2:28" ht="15.75" customHeight="1">
      <c r="B17" s="43" t="s">
        <v>14</v>
      </c>
      <c r="C17" s="44"/>
      <c r="D17" s="44"/>
      <c r="E17" s="44"/>
      <c r="F17" s="44"/>
      <c r="G17" s="44"/>
      <c r="H17" s="44"/>
      <c r="I17" s="44"/>
      <c r="J17" s="44"/>
      <c r="K17" s="45">
        <f>SUM(K10:K16)</f>
        <v>79816041</v>
      </c>
      <c r="L17" s="46">
        <f>SUM(L8:L16)</f>
        <v>78170881</v>
      </c>
      <c r="N17" s="47"/>
      <c r="O17" s="48"/>
      <c r="P17" s="48"/>
      <c r="Q17" s="48"/>
      <c r="R17" s="49"/>
      <c r="S17" s="50">
        <f>L17-INT(L17)</f>
        <v>0</v>
      </c>
      <c r="T17" s="49">
        <v>0</v>
      </c>
      <c r="U17" s="48">
        <v>0</v>
      </c>
      <c r="V17" s="48">
        <v>0</v>
      </c>
      <c r="W17" s="48"/>
      <c r="X17" s="48"/>
      <c r="Y17" s="51"/>
      <c r="Z17" s="41"/>
      <c r="AA17" s="19"/>
      <c r="AB17" s="44" t="e">
        <f>#REF!+#REF!+#REF!+#REF!</f>
        <v>#REF!</v>
      </c>
    </row>
    <row r="18" spans="2:28" ht="15.75" customHeight="1">
      <c r="C18" s="38"/>
      <c r="D18" s="38"/>
      <c r="E18" s="38"/>
      <c r="F18" s="457" t="str">
        <f>IF(OR(S17&lt;&gt;0,S41&lt;&gt;0,S54&lt;&gt;0),"Do not Enter Cents - Whole Dollars Only","")</f>
        <v/>
      </c>
      <c r="G18" s="457"/>
      <c r="H18" s="457"/>
      <c r="I18" s="457"/>
      <c r="J18" s="457"/>
      <c r="K18" s="38"/>
      <c r="L18" s="38"/>
      <c r="N18" s="47"/>
      <c r="O18" s="48"/>
      <c r="P18" s="48"/>
      <c r="Q18" s="48"/>
      <c r="R18" s="49"/>
      <c r="S18" s="52"/>
      <c r="T18" s="49"/>
      <c r="U18" s="48"/>
      <c r="V18" s="48"/>
      <c r="W18" s="48"/>
      <c r="X18" s="48"/>
      <c r="Y18" s="51"/>
      <c r="Z18" s="41"/>
      <c r="AA18" s="19"/>
    </row>
    <row r="19" spans="2:28" ht="33" customHeight="1">
      <c r="B19" s="14" t="s">
        <v>15</v>
      </c>
      <c r="C19" s="53"/>
      <c r="D19" s="53"/>
      <c r="E19" s="53"/>
      <c r="F19" s="54" t="s">
        <v>16</v>
      </c>
      <c r="G19" s="54" t="s">
        <v>17</v>
      </c>
      <c r="H19" s="54" t="s">
        <v>18</v>
      </c>
      <c r="I19" s="54" t="s">
        <v>19</v>
      </c>
      <c r="J19" s="54" t="s">
        <v>20</v>
      </c>
      <c r="K19" s="54" t="s">
        <v>21</v>
      </c>
      <c r="L19" s="54" t="s">
        <v>22</v>
      </c>
      <c r="N19" s="47"/>
      <c r="O19" s="48"/>
      <c r="P19" s="48"/>
      <c r="Q19" s="48"/>
      <c r="R19" s="49"/>
      <c r="S19" s="52"/>
      <c r="T19" s="49"/>
      <c r="U19" s="48"/>
      <c r="V19" s="48"/>
      <c r="W19" s="48"/>
      <c r="X19" s="48"/>
      <c r="Y19" s="51"/>
      <c r="Z19" s="41"/>
      <c r="AA19" s="19"/>
    </row>
    <row r="20" spans="2:28" ht="15.75" customHeight="1">
      <c r="B20" s="55" t="s">
        <v>23</v>
      </c>
      <c r="C20" s="21"/>
      <c r="D20" s="21"/>
      <c r="F20" s="56">
        <f>Input!$M$16</f>
        <v>179076</v>
      </c>
      <c r="G20" s="56">
        <f>Input!$N$16</f>
        <v>0</v>
      </c>
      <c r="H20" s="56">
        <f>Input!$O$16</f>
        <v>0</v>
      </c>
      <c r="I20" s="56">
        <f>Input!$P$16</f>
        <v>97183</v>
      </c>
      <c r="J20" s="56">
        <f>Input!$Q$16</f>
        <v>0</v>
      </c>
      <c r="K20" s="56">
        <f>Input!$R$16</f>
        <v>0</v>
      </c>
      <c r="L20" s="57">
        <f>SUM(F20:K20)</f>
        <v>276259</v>
      </c>
      <c r="N20" s="58"/>
      <c r="O20" s="59"/>
      <c r="P20" s="60"/>
      <c r="Q20" s="61"/>
      <c r="R20" s="58"/>
      <c r="S20" s="58"/>
      <c r="T20" s="58"/>
      <c r="U20" s="61"/>
      <c r="V20" s="58"/>
      <c r="W20" s="61"/>
      <c r="X20" s="62"/>
      <c r="Y20" s="59"/>
      <c r="Z20" s="61"/>
      <c r="AA20" s="19"/>
      <c r="AB20" s="24">
        <f t="shared" ref="AB20:AB25" si="1">SUM(C20:L20)</f>
        <v>552518</v>
      </c>
    </row>
    <row r="21" spans="2:28" ht="15.75" customHeight="1">
      <c r="B21" s="63" t="s">
        <v>24</v>
      </c>
      <c r="C21" s="21"/>
      <c r="D21" s="21"/>
      <c r="F21" s="64">
        <f>Input!$S$16</f>
        <v>225501</v>
      </c>
      <c r="G21" s="64">
        <f>Input!$T$16</f>
        <v>0</v>
      </c>
      <c r="H21" s="64">
        <f>Input!$U$16</f>
        <v>0</v>
      </c>
      <c r="I21" s="64">
        <f>Input!$V$16</f>
        <v>12760</v>
      </c>
      <c r="J21" s="64">
        <f>Input!$W$16</f>
        <v>0</v>
      </c>
      <c r="K21" s="64">
        <f>Input!$X$16</f>
        <v>0</v>
      </c>
      <c r="L21" s="65">
        <f t="shared" ref="L21:L40" si="2">SUM(F21:K21)</f>
        <v>238261</v>
      </c>
      <c r="N21" s="66"/>
      <c r="O21" s="67"/>
      <c r="P21" s="68"/>
      <c r="Q21" s="69"/>
      <c r="R21" s="70"/>
      <c r="S21" s="70"/>
      <c r="T21" s="70"/>
      <c r="U21" s="69"/>
      <c r="V21" s="71"/>
      <c r="W21" s="61"/>
      <c r="X21" s="62"/>
      <c r="Y21" s="67"/>
      <c r="Z21" s="69"/>
      <c r="AA21" s="19"/>
      <c r="AB21" s="24">
        <f t="shared" si="1"/>
        <v>476522</v>
      </c>
    </row>
    <row r="22" spans="2:28" ht="15.75" customHeight="1">
      <c r="B22" s="55" t="s">
        <v>25</v>
      </c>
      <c r="C22" s="21"/>
      <c r="D22" s="21"/>
      <c r="F22" s="64">
        <f>Input!$Y$16</f>
        <v>0</v>
      </c>
      <c r="G22" s="64">
        <f>Input!$Z$16</f>
        <v>0</v>
      </c>
      <c r="H22" s="64">
        <f>Input!$AA$16</f>
        <v>0</v>
      </c>
      <c r="I22" s="64">
        <f>Input!$AB$16</f>
        <v>1530</v>
      </c>
      <c r="J22" s="64">
        <f>Input!$AC$16</f>
        <v>0</v>
      </c>
      <c r="K22" s="64">
        <f>Input!$AD$16</f>
        <v>0</v>
      </c>
      <c r="L22" s="65">
        <f t="shared" si="2"/>
        <v>1530</v>
      </c>
      <c r="N22" s="66"/>
      <c r="O22" s="67"/>
      <c r="P22" s="72"/>
      <c r="Q22" s="69"/>
      <c r="R22" s="70"/>
      <c r="S22" s="70"/>
      <c r="T22" s="70"/>
      <c r="U22" s="69"/>
      <c r="V22" s="70"/>
      <c r="W22" s="69"/>
      <c r="X22" s="62"/>
      <c r="Y22" s="67"/>
      <c r="Z22" s="69"/>
      <c r="AA22" s="19"/>
      <c r="AB22" s="24">
        <f t="shared" si="1"/>
        <v>3060</v>
      </c>
    </row>
    <row r="23" spans="2:28" ht="15.75" customHeight="1">
      <c r="B23" s="55" t="s">
        <v>26</v>
      </c>
      <c r="C23" s="21"/>
      <c r="D23" s="21"/>
      <c r="F23" s="64">
        <f>Input!$AE$16</f>
        <v>214490</v>
      </c>
      <c r="G23" s="64">
        <f>Input!$AF$16</f>
        <v>0</v>
      </c>
      <c r="H23" s="64">
        <f>Input!$AG$16</f>
        <v>0</v>
      </c>
      <c r="I23" s="64">
        <f>Input!$AH$16</f>
        <v>2616</v>
      </c>
      <c r="J23" s="64">
        <f>Input!$AI$16</f>
        <v>0</v>
      </c>
      <c r="K23" s="64">
        <f>Input!$AJ$16</f>
        <v>0</v>
      </c>
      <c r="L23" s="65">
        <f t="shared" si="2"/>
        <v>217106</v>
      </c>
      <c r="N23" s="66"/>
      <c r="O23" s="67"/>
      <c r="P23" s="68"/>
      <c r="Q23" s="69"/>
      <c r="R23" s="70"/>
      <c r="S23" s="70"/>
      <c r="T23" s="70"/>
      <c r="U23" s="69"/>
      <c r="V23" s="70"/>
      <c r="W23" s="69"/>
      <c r="X23" s="62"/>
      <c r="Y23" s="67"/>
      <c r="Z23" s="69"/>
      <c r="AA23" s="19"/>
      <c r="AB23" s="24">
        <f t="shared" si="1"/>
        <v>434212</v>
      </c>
    </row>
    <row r="24" spans="2:28" ht="15.75" customHeight="1">
      <c r="B24" s="55" t="s">
        <v>27</v>
      </c>
      <c r="C24" s="21"/>
      <c r="D24" s="21"/>
      <c r="F24" s="64">
        <f>Input!$AK$16</f>
        <v>0</v>
      </c>
      <c r="G24" s="64">
        <f>Input!$AL$16</f>
        <v>0</v>
      </c>
      <c r="H24" s="64">
        <f>Input!$AM$16</f>
        <v>0</v>
      </c>
      <c r="I24" s="64">
        <f>Input!$AN$16</f>
        <v>0</v>
      </c>
      <c r="J24" s="64">
        <f>Input!$AO$16</f>
        <v>0</v>
      </c>
      <c r="K24" s="64">
        <f>Input!$AP$16</f>
        <v>0</v>
      </c>
      <c r="L24" s="65">
        <f t="shared" si="2"/>
        <v>0</v>
      </c>
      <c r="N24" s="66"/>
      <c r="O24" s="67"/>
      <c r="P24" s="68"/>
      <c r="Q24" s="69"/>
      <c r="R24" s="70"/>
      <c r="S24" s="70"/>
      <c r="T24" s="70"/>
      <c r="U24" s="69"/>
      <c r="V24" s="70"/>
      <c r="W24" s="69"/>
      <c r="X24" s="62"/>
      <c r="Y24" s="67"/>
      <c r="Z24" s="69"/>
      <c r="AA24" s="19"/>
      <c r="AB24" s="24">
        <f t="shared" si="1"/>
        <v>0</v>
      </c>
    </row>
    <row r="25" spans="2:28" ht="15.75" customHeight="1">
      <c r="B25" s="55" t="s">
        <v>28</v>
      </c>
      <c r="C25" s="21"/>
      <c r="D25" s="21"/>
      <c r="F25" s="64">
        <f>Input!$AQ$16</f>
        <v>0</v>
      </c>
      <c r="G25" s="64">
        <f>Input!$AR$16</f>
        <v>0</v>
      </c>
      <c r="H25" s="64">
        <f>Input!$AS$16</f>
        <v>0</v>
      </c>
      <c r="I25" s="64">
        <f>Input!$AT$16</f>
        <v>0</v>
      </c>
      <c r="J25" s="64">
        <f>Input!$AU$16</f>
        <v>0</v>
      </c>
      <c r="K25" s="64">
        <f>Input!$AV$16</f>
        <v>0</v>
      </c>
      <c r="L25" s="65">
        <f t="shared" si="2"/>
        <v>0</v>
      </c>
      <c r="N25" s="66"/>
      <c r="O25" s="73" t="s">
        <v>6</v>
      </c>
      <c r="P25" s="68"/>
      <c r="Q25" s="69"/>
      <c r="R25" s="70"/>
      <c r="S25" s="70"/>
      <c r="T25" s="70"/>
      <c r="U25" s="69"/>
      <c r="V25" s="70"/>
      <c r="W25" s="69"/>
      <c r="X25" s="62"/>
      <c r="Y25" s="67"/>
      <c r="Z25" s="69"/>
      <c r="AA25" s="19"/>
      <c r="AB25" s="24">
        <f t="shared" si="1"/>
        <v>0</v>
      </c>
    </row>
    <row r="26" spans="2:28" ht="15.75" customHeight="1">
      <c r="B26" s="55" t="s">
        <v>29</v>
      </c>
      <c r="C26" s="21"/>
      <c r="D26" s="21"/>
      <c r="F26" s="64">
        <f>Input!$AW$16</f>
        <v>31734365</v>
      </c>
      <c r="G26" s="64">
        <f>Input!$AX$16</f>
        <v>9283802</v>
      </c>
      <c r="H26" s="64">
        <f>Input!$AY$16</f>
        <v>2064486</v>
      </c>
      <c r="I26" s="64">
        <f>Input!$AZ$16</f>
        <v>27089336</v>
      </c>
      <c r="J26" s="64">
        <f>Input!$BA$16</f>
        <v>1231008</v>
      </c>
      <c r="K26" s="64">
        <f>Input!$BB$16</f>
        <v>4876916</v>
      </c>
      <c r="L26" s="65">
        <f t="shared" si="2"/>
        <v>76279913</v>
      </c>
      <c r="N26" s="74" t="str">
        <f>IF(O26&lt;&gt;0,"Out of Balance","Balanced")</f>
        <v>Balanced</v>
      </c>
      <c r="O26" s="75">
        <f>L17-L41</f>
        <v>0</v>
      </c>
      <c r="Q26" s="69"/>
      <c r="R26" s="70"/>
      <c r="S26" s="70"/>
      <c r="T26" s="70"/>
      <c r="U26" s="69"/>
      <c r="V26" s="70"/>
      <c r="W26" s="69"/>
      <c r="X26" s="62"/>
      <c r="Y26" s="67"/>
      <c r="Z26" s="69"/>
      <c r="AA26" s="19"/>
      <c r="AB26" s="24"/>
    </row>
    <row r="27" spans="2:28" ht="15.75" customHeight="1">
      <c r="B27" s="55" t="s">
        <v>30</v>
      </c>
      <c r="C27" s="21"/>
      <c r="D27" s="21"/>
      <c r="F27" s="64">
        <f>Input!$BC$16</f>
        <v>12184</v>
      </c>
      <c r="G27" s="64">
        <f>Input!$BD$16</f>
        <v>0</v>
      </c>
      <c r="H27" s="64">
        <f>Input!$BE$16</f>
        <v>0</v>
      </c>
      <c r="I27" s="64">
        <f>Input!$BF$16</f>
        <v>0</v>
      </c>
      <c r="J27" s="64">
        <f>Input!$BG$16</f>
        <v>0</v>
      </c>
      <c r="K27" s="64">
        <f>Input!$BH$16</f>
        <v>0</v>
      </c>
      <c r="L27" s="65">
        <f t="shared" si="2"/>
        <v>12184</v>
      </c>
      <c r="N27" s="66"/>
      <c r="O27" s="67"/>
      <c r="P27" s="68"/>
      <c r="Q27" s="69"/>
      <c r="R27" s="70"/>
      <c r="S27" s="70"/>
      <c r="T27" s="70"/>
      <c r="U27" s="69"/>
      <c r="V27" s="70"/>
      <c r="W27" s="69"/>
      <c r="X27" s="62"/>
      <c r="Y27" s="67"/>
      <c r="Z27" s="69"/>
      <c r="AA27" s="19"/>
      <c r="AB27" s="24"/>
    </row>
    <row r="28" spans="2:28" ht="15.75" customHeight="1">
      <c r="B28" s="63" t="s">
        <v>31</v>
      </c>
      <c r="C28" s="21"/>
      <c r="D28" s="21"/>
      <c r="F28" s="64">
        <f>Input!$BI$16</f>
        <v>216476</v>
      </c>
      <c r="G28" s="64">
        <f>Input!$BJ$16</f>
        <v>0</v>
      </c>
      <c r="H28" s="64">
        <f>Input!$BK$16</f>
        <v>0</v>
      </c>
      <c r="I28" s="64">
        <f>Input!$BL$16</f>
        <v>0</v>
      </c>
      <c r="J28" s="64">
        <f>Input!$BM$16</f>
        <v>0</v>
      </c>
      <c r="K28" s="64">
        <f>Input!$BN$16</f>
        <v>0</v>
      </c>
      <c r="L28" s="65">
        <f t="shared" si="2"/>
        <v>216476</v>
      </c>
      <c r="N28" s="66"/>
      <c r="O28" s="67"/>
      <c r="P28" s="68"/>
      <c r="Q28" s="69"/>
      <c r="R28" s="70"/>
      <c r="S28" s="70"/>
      <c r="T28" s="70"/>
      <c r="U28" s="69"/>
      <c r="V28" s="70"/>
      <c r="W28" s="69"/>
      <c r="X28" s="62"/>
      <c r="Y28" s="67"/>
      <c r="Z28" s="69"/>
      <c r="AA28" s="19"/>
      <c r="AB28" s="24"/>
    </row>
    <row r="29" spans="2:28" ht="15.75" customHeight="1">
      <c r="B29" s="63" t="s">
        <v>32</v>
      </c>
      <c r="C29" s="21"/>
      <c r="D29" s="21"/>
      <c r="F29" s="64">
        <f>Input!$BO$16</f>
        <v>929152</v>
      </c>
      <c r="G29" s="64">
        <f>Input!$BP$16</f>
        <v>0</v>
      </c>
      <c r="H29" s="64">
        <f>Input!$BQ$16</f>
        <v>0</v>
      </c>
      <c r="I29" s="64">
        <f>Input!$BR$16</f>
        <v>0</v>
      </c>
      <c r="J29" s="64">
        <f>Input!$BS$16</f>
        <v>0</v>
      </c>
      <c r="K29" s="64">
        <f>Input!$BT$16</f>
        <v>0</v>
      </c>
      <c r="L29" s="65">
        <f t="shared" si="2"/>
        <v>929152</v>
      </c>
      <c r="N29" s="66"/>
      <c r="O29" s="67"/>
      <c r="P29" s="68"/>
      <c r="Q29" s="69"/>
      <c r="R29" s="70"/>
      <c r="S29" s="70"/>
      <c r="T29" s="70"/>
      <c r="U29" s="69"/>
      <c r="V29" s="70"/>
      <c r="W29" s="69"/>
      <c r="X29" s="62"/>
      <c r="Y29" s="67"/>
      <c r="Z29" s="69"/>
      <c r="AA29" s="19"/>
      <c r="AB29" s="24"/>
    </row>
    <row r="30" spans="2:28" ht="15.75" customHeight="1">
      <c r="B30" s="63" t="s">
        <v>33</v>
      </c>
      <c r="C30" s="21"/>
      <c r="D30" s="21"/>
      <c r="F30" s="64">
        <f>Input!$BU$16</f>
        <v>0</v>
      </c>
      <c r="G30" s="64">
        <f>Input!$BV$16</f>
        <v>0</v>
      </c>
      <c r="H30" s="64">
        <f>Input!$BW$16</f>
        <v>0</v>
      </c>
      <c r="I30" s="64">
        <f>Input!$BX$16</f>
        <v>0</v>
      </c>
      <c r="J30" s="64">
        <f>Input!$BY$16</f>
        <v>0</v>
      </c>
      <c r="K30" s="64">
        <f>Input!$BZ$16</f>
        <v>0</v>
      </c>
      <c r="L30" s="65">
        <f t="shared" si="2"/>
        <v>0</v>
      </c>
      <c r="N30" s="66"/>
      <c r="O30" s="67"/>
      <c r="P30" s="68"/>
      <c r="Q30" s="69"/>
      <c r="R30" s="70"/>
      <c r="S30" s="70"/>
      <c r="T30" s="70"/>
      <c r="U30" s="69"/>
      <c r="V30" s="70"/>
      <c r="W30" s="69"/>
      <c r="X30" s="62"/>
      <c r="Y30" s="67"/>
      <c r="Z30" s="69"/>
      <c r="AA30" s="19"/>
      <c r="AB30" s="24"/>
    </row>
    <row r="31" spans="2:28" ht="15.75" customHeight="1">
      <c r="B31" s="63" t="s">
        <v>34</v>
      </c>
      <c r="C31" s="21"/>
      <c r="D31" s="21"/>
      <c r="F31" s="64">
        <f>Input!$CA$16</f>
        <v>0</v>
      </c>
      <c r="G31" s="64">
        <f>Input!$CB$16</f>
        <v>0</v>
      </c>
      <c r="H31" s="64">
        <f>Input!$CC$16</f>
        <v>0</v>
      </c>
      <c r="I31" s="64">
        <f>Input!$CD$16</f>
        <v>0</v>
      </c>
      <c r="J31" s="64">
        <f>Input!$CE$16</f>
        <v>0</v>
      </c>
      <c r="K31" s="64">
        <f>Input!$CF$16</f>
        <v>0</v>
      </c>
      <c r="L31" s="65">
        <f t="shared" si="2"/>
        <v>0</v>
      </c>
      <c r="N31" s="66"/>
      <c r="O31" s="67"/>
      <c r="P31" s="68"/>
      <c r="Q31" s="69"/>
      <c r="R31" s="70"/>
      <c r="S31" s="70"/>
      <c r="T31" s="70"/>
      <c r="U31" s="69"/>
      <c r="V31" s="70"/>
      <c r="W31" s="69"/>
      <c r="X31" s="62"/>
      <c r="Y31" s="67"/>
      <c r="Z31" s="69"/>
      <c r="AA31" s="19"/>
      <c r="AB31" s="24"/>
    </row>
    <row r="32" spans="2:28" ht="15.75" customHeight="1">
      <c r="B32" s="63" t="s">
        <v>35</v>
      </c>
      <c r="C32" s="21"/>
      <c r="D32" s="21"/>
      <c r="F32" s="64">
        <f>Input!$CG$16</f>
        <v>0</v>
      </c>
      <c r="G32" s="64">
        <f>Input!$CH$16</f>
        <v>0</v>
      </c>
      <c r="H32" s="64">
        <f>Input!$CI$16</f>
        <v>0</v>
      </c>
      <c r="I32" s="64">
        <f>Input!$CJ$16</f>
        <v>0</v>
      </c>
      <c r="J32" s="64">
        <f>Input!$CK$16</f>
        <v>0</v>
      </c>
      <c r="K32" s="64">
        <f>Input!$CL$16</f>
        <v>0</v>
      </c>
      <c r="L32" s="65">
        <f t="shared" si="2"/>
        <v>0</v>
      </c>
      <c r="N32" s="66"/>
      <c r="O32" s="67"/>
      <c r="P32" s="68"/>
      <c r="Q32" s="69"/>
      <c r="R32" s="70"/>
      <c r="S32" s="70"/>
      <c r="T32" s="70"/>
      <c r="U32" s="69"/>
      <c r="V32" s="70"/>
      <c r="W32" s="69"/>
      <c r="X32" s="62"/>
      <c r="Y32" s="67"/>
      <c r="Z32" s="69"/>
      <c r="AA32" s="19"/>
      <c r="AB32" s="24"/>
    </row>
    <row r="33" spans="1:28" ht="15.75" customHeight="1">
      <c r="B33" s="55" t="s">
        <v>36</v>
      </c>
      <c r="C33" s="21"/>
      <c r="D33" s="21"/>
      <c r="F33" s="64">
        <f>Input!$CM$16</f>
        <v>0</v>
      </c>
      <c r="G33" s="64">
        <f>Input!$CN$16</f>
        <v>0</v>
      </c>
      <c r="H33" s="64">
        <f>Input!$CO$16</f>
        <v>0</v>
      </c>
      <c r="I33" s="64">
        <f>Input!$CP$16</f>
        <v>0</v>
      </c>
      <c r="J33" s="64">
        <f>Input!$CQ$16</f>
        <v>0</v>
      </c>
      <c r="K33" s="64">
        <f>Input!$CR$16</f>
        <v>0</v>
      </c>
      <c r="L33" s="65">
        <f t="shared" si="2"/>
        <v>0</v>
      </c>
      <c r="N33" s="66"/>
      <c r="O33" s="67"/>
      <c r="P33" s="68"/>
      <c r="Q33" s="69"/>
      <c r="R33" s="70"/>
      <c r="S33" s="70"/>
      <c r="T33" s="70"/>
      <c r="U33" s="69"/>
      <c r="V33" s="70"/>
      <c r="W33" s="69"/>
      <c r="X33" s="62"/>
      <c r="Y33" s="67"/>
      <c r="Z33" s="69"/>
      <c r="AA33" s="19"/>
      <c r="AB33" s="24"/>
    </row>
    <row r="34" spans="1:28" ht="15.75" customHeight="1">
      <c r="B34" s="55" t="s">
        <v>37</v>
      </c>
      <c r="C34" s="21"/>
      <c r="D34" s="21"/>
      <c r="F34" s="64">
        <f>Input!$CS$16</f>
        <v>0</v>
      </c>
      <c r="G34" s="64">
        <f>Input!$CT$16</f>
        <v>0</v>
      </c>
      <c r="H34" s="64">
        <f>Input!$CU$16</f>
        <v>0</v>
      </c>
      <c r="I34" s="64">
        <f>Input!$CV$16</f>
        <v>0</v>
      </c>
      <c r="J34" s="64">
        <f>Input!$CW$16</f>
        <v>0</v>
      </c>
      <c r="K34" s="64">
        <f>Input!$CX$16</f>
        <v>0</v>
      </c>
      <c r="L34" s="65">
        <f t="shared" si="2"/>
        <v>0</v>
      </c>
      <c r="N34" s="66"/>
      <c r="O34" s="67"/>
      <c r="P34" s="68"/>
      <c r="Q34" s="69"/>
      <c r="R34" s="70"/>
      <c r="S34" s="70"/>
      <c r="T34" s="70"/>
      <c r="U34" s="69"/>
      <c r="V34" s="70"/>
      <c r="W34" s="69"/>
      <c r="X34" s="62"/>
      <c r="Y34" s="67"/>
      <c r="Z34" s="69"/>
      <c r="AA34" s="19"/>
      <c r="AB34" s="24"/>
    </row>
    <row r="35" spans="1:28" s="79" customFormat="1" ht="15.75" customHeight="1">
      <c r="A35" s="76"/>
      <c r="B35" s="77" t="s">
        <v>38</v>
      </c>
      <c r="C35" s="78"/>
      <c r="D35" s="78"/>
      <c r="E35" s="20"/>
      <c r="F35" s="64">
        <f>Input!$CY$16</f>
        <v>0</v>
      </c>
      <c r="G35" s="64">
        <f>Input!$CZ$16</f>
        <v>0</v>
      </c>
      <c r="H35" s="64">
        <f>Input!$DA$16</f>
        <v>0</v>
      </c>
      <c r="I35" s="64">
        <f>Input!$DB$16</f>
        <v>0</v>
      </c>
      <c r="J35" s="64">
        <f>Input!$DC$16</f>
        <v>0</v>
      </c>
      <c r="K35" s="64">
        <f>Input!$DD$16</f>
        <v>0</v>
      </c>
      <c r="L35" s="65">
        <f t="shared" si="2"/>
        <v>0</v>
      </c>
      <c r="N35" s="66"/>
      <c r="O35" s="67"/>
      <c r="P35" s="80"/>
      <c r="Q35" s="81"/>
      <c r="R35" s="70"/>
      <c r="S35" s="70"/>
      <c r="T35" s="70"/>
      <c r="U35" s="81"/>
      <c r="V35" s="70"/>
      <c r="W35" s="81"/>
      <c r="X35" s="62"/>
      <c r="Y35" s="67"/>
      <c r="Z35" s="81"/>
      <c r="AA35" s="82"/>
      <c r="AB35" s="83"/>
    </row>
    <row r="36" spans="1:28" s="79" customFormat="1" ht="15.75" customHeight="1">
      <c r="A36" s="76"/>
      <c r="B36" s="77" t="s">
        <v>39</v>
      </c>
      <c r="C36" s="78"/>
      <c r="D36" s="78"/>
      <c r="E36" s="20"/>
      <c r="F36" s="64">
        <f>Input!$DE$16</f>
        <v>0</v>
      </c>
      <c r="G36" s="64">
        <f>Input!$DF$16</f>
        <v>0</v>
      </c>
      <c r="H36" s="64">
        <f>Input!$DG$16</f>
        <v>0</v>
      </c>
      <c r="I36" s="64">
        <f>Input!$DH$16</f>
        <v>0</v>
      </c>
      <c r="J36" s="64">
        <f>Input!$DI$16</f>
        <v>0</v>
      </c>
      <c r="K36" s="64">
        <f>Input!$DJ$16</f>
        <v>0</v>
      </c>
      <c r="L36" s="65">
        <f t="shared" si="2"/>
        <v>0</v>
      </c>
      <c r="N36" s="66"/>
      <c r="O36" s="67"/>
      <c r="P36" s="80"/>
      <c r="Q36" s="81"/>
      <c r="R36" s="70"/>
      <c r="S36" s="70"/>
      <c r="T36" s="70"/>
      <c r="U36" s="81"/>
      <c r="V36" s="70"/>
      <c r="W36" s="81"/>
      <c r="X36" s="62"/>
      <c r="Y36" s="67"/>
      <c r="Z36" s="81"/>
      <c r="AA36" s="82"/>
      <c r="AB36" s="83"/>
    </row>
    <row r="37" spans="1:28" s="79" customFormat="1" ht="15.75" customHeight="1">
      <c r="A37" s="76"/>
      <c r="B37" s="77" t="s">
        <v>40</v>
      </c>
      <c r="C37" s="78"/>
      <c r="D37" s="78"/>
      <c r="E37" s="20"/>
      <c r="F37" s="64">
        <f>Input!$DK$16</f>
        <v>0</v>
      </c>
      <c r="G37" s="64">
        <f>Input!$DL$16</f>
        <v>0</v>
      </c>
      <c r="H37" s="64">
        <f>Input!$DM$16</f>
        <v>0</v>
      </c>
      <c r="I37" s="64">
        <f>Input!$DN$16</f>
        <v>0</v>
      </c>
      <c r="J37" s="64">
        <f>Input!$DO$16</f>
        <v>0</v>
      </c>
      <c r="K37" s="64">
        <f>Input!$DP$16</f>
        <v>0</v>
      </c>
      <c r="L37" s="65">
        <f t="shared" si="2"/>
        <v>0</v>
      </c>
      <c r="N37" s="66"/>
      <c r="O37" s="67"/>
      <c r="P37" s="80"/>
      <c r="Q37" s="81"/>
      <c r="R37" s="70"/>
      <c r="S37" s="70"/>
      <c r="T37" s="70"/>
      <c r="U37" s="81"/>
      <c r="V37" s="70"/>
      <c r="W37" s="81"/>
      <c r="X37" s="62"/>
      <c r="Y37" s="67"/>
      <c r="Z37" s="81"/>
      <c r="AA37" s="82"/>
      <c r="AB37" s="83"/>
    </row>
    <row r="38" spans="1:28" s="79" customFormat="1" ht="15.75" customHeight="1">
      <c r="A38" s="76"/>
      <c r="B38" s="77" t="s">
        <v>41</v>
      </c>
      <c r="C38" s="78"/>
      <c r="D38" s="78"/>
      <c r="E38" s="20"/>
      <c r="F38" s="64">
        <f>Input!$DQ$16</f>
        <v>0</v>
      </c>
      <c r="G38" s="64">
        <f>Input!$DR$16</f>
        <v>0</v>
      </c>
      <c r="H38" s="64">
        <f>Input!$DS$16</f>
        <v>0</v>
      </c>
      <c r="I38" s="64">
        <f>Input!$DT$16</f>
        <v>0</v>
      </c>
      <c r="J38" s="64">
        <f>Input!$DU$16</f>
        <v>0</v>
      </c>
      <c r="K38" s="64">
        <f>Input!$DV$16</f>
        <v>0</v>
      </c>
      <c r="L38" s="65">
        <f t="shared" si="2"/>
        <v>0</v>
      </c>
      <c r="N38" s="66"/>
      <c r="O38" s="67"/>
      <c r="P38" s="80"/>
      <c r="Q38" s="81"/>
      <c r="R38" s="70"/>
      <c r="S38" s="70"/>
      <c r="T38" s="70"/>
      <c r="U38" s="81"/>
      <c r="V38" s="70"/>
      <c r="W38" s="81"/>
      <c r="X38" s="62"/>
      <c r="Y38" s="67"/>
      <c r="Z38" s="81"/>
      <c r="AA38" s="82"/>
      <c r="AB38" s="83"/>
    </row>
    <row r="39" spans="1:28" s="79" customFormat="1" ht="15.75" customHeight="1">
      <c r="A39" s="76"/>
      <c r="B39" s="77" t="s">
        <v>42</v>
      </c>
      <c r="C39" s="78"/>
      <c r="D39" s="78"/>
      <c r="E39" s="20"/>
      <c r="F39" s="64">
        <f>Input!$DW$16</f>
        <v>0</v>
      </c>
      <c r="G39" s="64">
        <f>Input!$DX$16</f>
        <v>0</v>
      </c>
      <c r="H39" s="64">
        <f>Input!$DY$16</f>
        <v>0</v>
      </c>
      <c r="I39" s="64">
        <f>Input!$DZ$16</f>
        <v>0</v>
      </c>
      <c r="J39" s="64">
        <f>Input!$EA$16</f>
        <v>0</v>
      </c>
      <c r="K39" s="64">
        <f>Input!$EB$16</f>
        <v>0</v>
      </c>
      <c r="L39" s="65">
        <f t="shared" si="2"/>
        <v>0</v>
      </c>
      <c r="N39" s="66"/>
      <c r="O39" s="67"/>
      <c r="P39" s="80"/>
      <c r="Q39" s="81"/>
      <c r="R39" s="70"/>
      <c r="S39" s="70"/>
      <c r="T39" s="70"/>
      <c r="U39" s="81"/>
      <c r="V39" s="70"/>
      <c r="W39" s="81"/>
      <c r="X39" s="62"/>
      <c r="Y39" s="67"/>
      <c r="Z39" s="81"/>
      <c r="AA39" s="82"/>
      <c r="AB39" s="83"/>
    </row>
    <row r="40" spans="1:28" ht="15.75" customHeight="1">
      <c r="A40" s="76"/>
      <c r="B40" s="55" t="s">
        <v>43</v>
      </c>
      <c r="C40" s="21"/>
      <c r="D40" s="21"/>
      <c r="E40" s="21"/>
      <c r="F40" s="84">
        <f>Input!$EC$16</f>
        <v>0</v>
      </c>
      <c r="G40" s="84">
        <f>Input!$ED$16</f>
        <v>0</v>
      </c>
      <c r="H40" s="84">
        <f>Input!$EE$16</f>
        <v>0</v>
      </c>
      <c r="I40" s="84">
        <f>Input!$EF$16</f>
        <v>0</v>
      </c>
      <c r="J40" s="84">
        <f>Input!$EG$16</f>
        <v>0</v>
      </c>
      <c r="K40" s="84">
        <f>Input!$EH$16</f>
        <v>0</v>
      </c>
      <c r="L40" s="65">
        <f t="shared" si="2"/>
        <v>0</v>
      </c>
      <c r="N40" s="66"/>
      <c r="O40" s="317" t="s">
        <v>633</v>
      </c>
      <c r="P40" s="41" t="s">
        <v>634</v>
      </c>
      <c r="Q40" s="85"/>
      <c r="R40" s="70"/>
      <c r="S40" s="70"/>
      <c r="T40" s="70"/>
      <c r="U40" s="69"/>
      <c r="V40" s="70"/>
      <c r="W40" s="69"/>
      <c r="X40" s="62"/>
      <c r="Y40" s="67"/>
      <c r="Z40" s="69"/>
      <c r="AA40" s="19"/>
      <c r="AB40" s="24">
        <f>SUM(C40:L40)</f>
        <v>0</v>
      </c>
    </row>
    <row r="41" spans="1:28" ht="15.75" customHeight="1">
      <c r="A41" s="76"/>
      <c r="B41" s="43" t="s">
        <v>44</v>
      </c>
      <c r="C41" s="44"/>
      <c r="D41" s="44"/>
      <c r="E41" s="44"/>
      <c r="F41" s="86">
        <f t="shared" ref="F41:L41" si="3">SUM(F20:F40)</f>
        <v>33511244</v>
      </c>
      <c r="G41" s="86">
        <f t="shared" si="3"/>
        <v>9283802</v>
      </c>
      <c r="H41" s="86">
        <f t="shared" si="3"/>
        <v>2064486</v>
      </c>
      <c r="I41" s="86">
        <f t="shared" si="3"/>
        <v>27203425</v>
      </c>
      <c r="J41" s="86">
        <f t="shared" si="3"/>
        <v>1231008</v>
      </c>
      <c r="K41" s="86">
        <f t="shared" si="3"/>
        <v>4876916</v>
      </c>
      <c r="L41" s="87">
        <f t="shared" si="3"/>
        <v>78170881</v>
      </c>
      <c r="N41" s="88"/>
      <c r="O41" s="308" t="s">
        <v>628</v>
      </c>
      <c r="P41" s="309" t="s">
        <v>17</v>
      </c>
      <c r="Q41" s="89"/>
      <c r="R41" s="89"/>
      <c r="S41" s="50">
        <f>L41-INT(L41)</f>
        <v>0</v>
      </c>
      <c r="T41" s="61"/>
      <c r="U41" s="90"/>
      <c r="V41" s="61"/>
      <c r="W41" s="61"/>
      <c r="X41" s="85"/>
      <c r="Y41" s="60"/>
      <c r="Z41" s="91"/>
      <c r="AA41" s="19"/>
      <c r="AB41" s="44">
        <f>SUM(AB20:AB40)</f>
        <v>1466312</v>
      </c>
    </row>
    <row r="42" spans="1:28" ht="15.75" customHeight="1">
      <c r="A42" s="76"/>
      <c r="C42" s="38"/>
      <c r="D42" s="38"/>
      <c r="F42" s="38"/>
      <c r="G42" s="310" t="s">
        <v>629</v>
      </c>
      <c r="H42" s="311">
        <f>H41+G41</f>
        <v>11348288</v>
      </c>
      <c r="I42" s="53"/>
      <c r="J42" s="310" t="s">
        <v>630</v>
      </c>
      <c r="K42" s="311">
        <f>K41+J41</f>
        <v>6107924</v>
      </c>
      <c r="L42" s="310" t="s">
        <v>631</v>
      </c>
      <c r="M42" s="312"/>
      <c r="N42" s="313">
        <f>K42+F41</f>
        <v>39619168</v>
      </c>
      <c r="O42" s="314">
        <f>ROUND((N42/P42)*100,2)</f>
        <v>21.39</v>
      </c>
      <c r="P42" s="93">
        <f>Input!$GR$16</f>
        <v>185190976</v>
      </c>
      <c r="Q42" s="92"/>
      <c r="R42" s="92"/>
      <c r="S42" s="92"/>
      <c r="T42" s="94"/>
      <c r="U42" s="95"/>
      <c r="V42" s="96"/>
      <c r="W42" s="92"/>
      <c r="X42" s="92"/>
      <c r="Y42" s="92"/>
      <c r="Z42" s="92" t="str">
        <f>IF(Z41&lt;&gt;0,"Out of Balance","")</f>
        <v/>
      </c>
    </row>
    <row r="43" spans="1:28" ht="15.75" customHeight="1">
      <c r="A43" s="76"/>
      <c r="B43" s="14" t="s">
        <v>45</v>
      </c>
      <c r="C43" s="53"/>
      <c r="D43" s="53"/>
      <c r="E43" s="53"/>
      <c r="F43" s="53"/>
      <c r="G43" s="315"/>
      <c r="H43" s="315"/>
      <c r="I43" s="315"/>
      <c r="J43" s="315"/>
      <c r="K43" s="315"/>
      <c r="L43" s="315"/>
      <c r="O43" s="316" t="s">
        <v>632</v>
      </c>
      <c r="Q43" s="92"/>
      <c r="R43" s="92"/>
      <c r="S43" s="92"/>
      <c r="T43" s="94"/>
      <c r="U43" s="95"/>
      <c r="V43" s="96"/>
      <c r="W43" s="92"/>
      <c r="X43" s="92"/>
      <c r="Y43" s="92"/>
      <c r="Z43" s="92"/>
    </row>
    <row r="44" spans="1:28" ht="15.75" customHeight="1">
      <c r="A44" s="76"/>
      <c r="B44" s="55" t="s">
        <v>544</v>
      </c>
      <c r="C44" s="21"/>
      <c r="D44" s="21"/>
      <c r="F44" s="64">
        <f>Input!$EI$16</f>
        <v>944421</v>
      </c>
      <c r="G44" s="64">
        <f>Input!$EJ$16</f>
        <v>0</v>
      </c>
      <c r="H44" s="64">
        <f>Input!$EK$16</f>
        <v>25994</v>
      </c>
      <c r="I44" s="64">
        <f>Input!$EL$16</f>
        <v>5799</v>
      </c>
      <c r="J44" s="64">
        <f>Input!$EM$16</f>
        <v>150562</v>
      </c>
      <c r="K44" s="64">
        <f>Input!$EN$16</f>
        <v>86453</v>
      </c>
      <c r="L44" s="57">
        <f>SUM(F44:K44)</f>
        <v>1213229</v>
      </c>
      <c r="N44" s="9"/>
      <c r="O44" s="318">
        <f>ROUND(N42/O46,0)</f>
        <v>1760852</v>
      </c>
      <c r="Q44" s="93"/>
      <c r="R44" s="93"/>
      <c r="S44" s="93"/>
      <c r="T44" s="94"/>
      <c r="U44" s="95"/>
      <c r="V44" s="99"/>
      <c r="W44" s="93"/>
      <c r="X44" s="101"/>
      <c r="Y44" s="92"/>
      <c r="Z44" s="100"/>
      <c r="AB44" s="24">
        <f>SUM(C44:L44)</f>
        <v>2426458</v>
      </c>
    </row>
    <row r="45" spans="1:28" ht="15.75" customHeight="1">
      <c r="A45" s="76"/>
      <c r="B45" s="55" t="s">
        <v>46</v>
      </c>
      <c r="C45" s="21"/>
      <c r="D45" s="21"/>
      <c r="F45" s="64">
        <f>Input!$EO$16</f>
        <v>2921403</v>
      </c>
      <c r="G45" s="64">
        <f>Input!$EP$16</f>
        <v>0</v>
      </c>
      <c r="H45" s="64">
        <f>Input!$EQ$16</f>
        <v>396344</v>
      </c>
      <c r="I45" s="64">
        <f>Input!$ER$16</f>
        <v>20627</v>
      </c>
      <c r="J45" s="64">
        <f>Input!$ES$16</f>
        <v>805636</v>
      </c>
      <c r="K45" s="64">
        <f>Input!$ET$16</f>
        <v>654872</v>
      </c>
      <c r="L45" s="65">
        <f t="shared" ref="L45:L53" si="4">SUM(F45:K45)</f>
        <v>4798882</v>
      </c>
      <c r="N45" s="97"/>
      <c r="O45" s="319" t="s">
        <v>635</v>
      </c>
      <c r="P45" s="98"/>
      <c r="Q45" s="93"/>
      <c r="R45" s="93"/>
      <c r="S45" s="93"/>
      <c r="T45" s="94"/>
      <c r="U45" s="95"/>
      <c r="V45" s="99"/>
      <c r="W45" s="93"/>
      <c r="X45" s="101"/>
      <c r="Y45" s="92"/>
      <c r="Z45" s="100"/>
      <c r="AB45" s="24"/>
    </row>
    <row r="46" spans="1:28" ht="15.75" customHeight="1">
      <c r="A46" s="76"/>
      <c r="B46" s="55" t="s">
        <v>545</v>
      </c>
      <c r="C46" s="21"/>
      <c r="D46" s="21"/>
      <c r="F46" s="64">
        <f>Input!$EU$16</f>
        <v>2250872</v>
      </c>
      <c r="G46" s="64">
        <f>Input!$EV$16</f>
        <v>0</v>
      </c>
      <c r="H46" s="64">
        <f>Input!$EW$16</f>
        <v>0</v>
      </c>
      <c r="I46" s="64">
        <f>Input!$EX$16</f>
        <v>66907</v>
      </c>
      <c r="J46" s="64">
        <f>Input!$EY$16</f>
        <v>244146</v>
      </c>
      <c r="K46" s="64">
        <f>Input!$EZ$16</f>
        <v>830311</v>
      </c>
      <c r="L46" s="65">
        <f t="shared" si="4"/>
        <v>3392236</v>
      </c>
      <c r="N46" s="97"/>
      <c r="O46" s="320">
        <f>FTSE!$O$33</f>
        <v>22.5</v>
      </c>
      <c r="P46" s="98"/>
      <c r="Q46" s="93"/>
      <c r="R46" s="93"/>
      <c r="S46" s="93"/>
      <c r="T46" s="94"/>
      <c r="U46" s="95"/>
      <c r="V46" s="99"/>
      <c r="W46" s="93"/>
      <c r="X46" s="101"/>
      <c r="Y46" s="92"/>
      <c r="Z46" s="100"/>
      <c r="AB46" s="24"/>
    </row>
    <row r="47" spans="1:28" ht="15.75" customHeight="1">
      <c r="A47" s="76"/>
      <c r="B47" s="63" t="s">
        <v>546</v>
      </c>
      <c r="C47" s="21"/>
      <c r="D47" s="21"/>
      <c r="F47" s="64">
        <f>Input!$FA$16</f>
        <v>1195464</v>
      </c>
      <c r="G47" s="64">
        <f>Input!$FB$16</f>
        <v>0</v>
      </c>
      <c r="H47" s="64">
        <f>Input!$FC$16</f>
        <v>268125</v>
      </c>
      <c r="I47" s="64">
        <f>Input!$FD$16</f>
        <v>22000</v>
      </c>
      <c r="J47" s="64">
        <f>Input!$FE$16</f>
        <v>3894</v>
      </c>
      <c r="K47" s="64">
        <f>Input!$FF$16</f>
        <v>609324</v>
      </c>
      <c r="L47" s="65">
        <f t="shared" si="4"/>
        <v>2098807</v>
      </c>
      <c r="N47" s="97"/>
      <c r="O47" s="321" t="s">
        <v>636</v>
      </c>
      <c r="P47" s="98"/>
      <c r="Q47" s="93"/>
      <c r="R47" s="93"/>
      <c r="S47" s="93"/>
      <c r="T47" s="94"/>
      <c r="U47" s="95"/>
      <c r="V47" s="99"/>
      <c r="W47" s="93"/>
      <c r="X47" s="101"/>
      <c r="Y47" s="92"/>
      <c r="Z47" s="100"/>
      <c r="AB47" s="24"/>
    </row>
    <row r="48" spans="1:28" ht="15.75" customHeight="1">
      <c r="A48" s="76"/>
      <c r="B48" s="55" t="s">
        <v>547</v>
      </c>
      <c r="C48" s="21"/>
      <c r="D48" s="21"/>
      <c r="F48" s="64">
        <f>Input!$FG$16</f>
        <v>3443521</v>
      </c>
      <c r="G48" s="64">
        <f>Input!$FH$16</f>
        <v>0</v>
      </c>
      <c r="H48" s="64">
        <f>Input!$FI$16</f>
        <v>0</v>
      </c>
      <c r="I48" s="64">
        <f>Input!$FJ$16</f>
        <v>0</v>
      </c>
      <c r="J48" s="64">
        <f>Input!$FK$16</f>
        <v>0</v>
      </c>
      <c r="K48" s="64">
        <f>Input!$FL$16</f>
        <v>138198</v>
      </c>
      <c r="L48" s="65">
        <f t="shared" si="4"/>
        <v>3581719</v>
      </c>
      <c r="N48" s="97"/>
      <c r="P48" s="98"/>
      <c r="Q48" s="93"/>
      <c r="R48" s="93"/>
      <c r="S48" s="93"/>
      <c r="T48" s="94"/>
      <c r="U48" s="95"/>
      <c r="V48" s="99"/>
      <c r="W48" s="93"/>
      <c r="X48" s="101"/>
      <c r="Y48" s="92"/>
      <c r="Z48" s="100"/>
      <c r="AB48" s="24"/>
    </row>
    <row r="49" spans="1:28" s="79" customFormat="1" ht="15.75" customHeight="1">
      <c r="A49" s="76"/>
      <c r="B49" s="228" t="s">
        <v>548</v>
      </c>
      <c r="C49" s="78"/>
      <c r="D49" s="78"/>
      <c r="E49" s="20"/>
      <c r="F49" s="64">
        <f>Input!$FM$16</f>
        <v>0</v>
      </c>
      <c r="G49" s="64">
        <f>Input!$FN$16</f>
        <v>0</v>
      </c>
      <c r="H49" s="64">
        <f>Input!$FO$16</f>
        <v>0</v>
      </c>
      <c r="I49" s="64">
        <f>Input!$FP$16</f>
        <v>0</v>
      </c>
      <c r="J49" s="64">
        <f>Input!$FQ$16</f>
        <v>0</v>
      </c>
      <c r="K49" s="64">
        <f>Input!$FR$16</f>
        <v>0</v>
      </c>
      <c r="L49" s="65">
        <f t="shared" si="4"/>
        <v>0</v>
      </c>
      <c r="N49" s="102"/>
      <c r="P49" s="103"/>
      <c r="Q49" s="104"/>
      <c r="R49" s="104"/>
      <c r="S49" s="104"/>
      <c r="T49" s="105"/>
      <c r="U49" s="106"/>
      <c r="V49" s="107"/>
      <c r="W49" s="104"/>
      <c r="X49" s="108"/>
      <c r="Y49" s="109"/>
      <c r="Z49" s="110"/>
      <c r="AB49" s="83"/>
    </row>
    <row r="50" spans="1:28" s="79" customFormat="1" ht="15.75" customHeight="1">
      <c r="A50" s="76"/>
      <c r="B50" s="228" t="s">
        <v>549</v>
      </c>
      <c r="C50" s="78"/>
      <c r="D50" s="78"/>
      <c r="E50" s="20"/>
      <c r="F50" s="64">
        <f>Input!$FS$16</f>
        <v>0</v>
      </c>
      <c r="G50" s="64">
        <f>Input!$FT$16</f>
        <v>0</v>
      </c>
      <c r="H50" s="64">
        <f>Input!$FU$16</f>
        <v>0</v>
      </c>
      <c r="I50" s="64">
        <f>Input!$FV$16</f>
        <v>0</v>
      </c>
      <c r="J50" s="64">
        <f>Input!$FW$16</f>
        <v>0</v>
      </c>
      <c r="K50" s="64">
        <f>Input!$FX$16</f>
        <v>0</v>
      </c>
      <c r="L50" s="65">
        <f t="shared" si="4"/>
        <v>0</v>
      </c>
      <c r="N50" s="102"/>
      <c r="P50" s="103"/>
      <c r="Q50" s="104"/>
      <c r="R50" s="104"/>
      <c r="S50" s="104"/>
      <c r="T50" s="105"/>
      <c r="U50" s="106"/>
      <c r="V50" s="107"/>
      <c r="W50" s="104"/>
      <c r="X50" s="108"/>
      <c r="Y50" s="109"/>
      <c r="Z50" s="110"/>
      <c r="AB50" s="83"/>
    </row>
    <row r="51" spans="1:28" s="79" customFormat="1" ht="15.75" customHeight="1">
      <c r="A51" s="76"/>
      <c r="B51" s="228" t="s">
        <v>550</v>
      </c>
      <c r="C51" s="78"/>
      <c r="D51" s="78"/>
      <c r="E51" s="20"/>
      <c r="F51" s="64">
        <f>Input!$FY$16</f>
        <v>0</v>
      </c>
      <c r="G51" s="64">
        <f>Input!$FZ$16</f>
        <v>0</v>
      </c>
      <c r="H51" s="64">
        <f>Input!$GA$16</f>
        <v>0</v>
      </c>
      <c r="I51" s="64">
        <f>Input!$GB$16</f>
        <v>0</v>
      </c>
      <c r="J51" s="64">
        <f>Input!$GC$16</f>
        <v>0</v>
      </c>
      <c r="K51" s="64">
        <f>Input!$GD$16</f>
        <v>0</v>
      </c>
      <c r="L51" s="65">
        <f t="shared" si="4"/>
        <v>0</v>
      </c>
      <c r="N51" s="102"/>
      <c r="P51" s="103"/>
      <c r="Q51" s="104"/>
      <c r="R51" s="104"/>
      <c r="S51" s="104"/>
      <c r="T51" s="105"/>
      <c r="U51" s="106"/>
      <c r="V51" s="107"/>
      <c r="W51" s="104"/>
      <c r="X51" s="108"/>
      <c r="Y51" s="109"/>
      <c r="Z51" s="110"/>
      <c r="AB51" s="83"/>
    </row>
    <row r="52" spans="1:28" s="79" customFormat="1" ht="15.75" customHeight="1">
      <c r="A52" s="76"/>
      <c r="B52" s="228" t="s">
        <v>551</v>
      </c>
      <c r="C52" s="78"/>
      <c r="D52" s="78"/>
      <c r="E52" s="20"/>
      <c r="F52" s="64">
        <f>Input!$GE$16</f>
        <v>0</v>
      </c>
      <c r="G52" s="64">
        <f>Input!$GF$16</f>
        <v>0</v>
      </c>
      <c r="H52" s="64">
        <f>Input!$GG$16</f>
        <v>0</v>
      </c>
      <c r="I52" s="64">
        <f>Input!$GH$16</f>
        <v>0</v>
      </c>
      <c r="J52" s="64">
        <f>Input!$GI$16</f>
        <v>0</v>
      </c>
      <c r="K52" s="64">
        <f>Input!$GJ$16</f>
        <v>0</v>
      </c>
      <c r="L52" s="65">
        <f t="shared" si="4"/>
        <v>0</v>
      </c>
      <c r="N52" s="102"/>
      <c r="P52" s="103"/>
      <c r="Q52" s="104"/>
      <c r="R52" s="104"/>
      <c r="S52" s="104"/>
      <c r="T52" s="105"/>
      <c r="U52" s="106"/>
      <c r="V52" s="107"/>
      <c r="W52" s="104"/>
      <c r="X52" s="108"/>
      <c r="Y52" s="109"/>
      <c r="Z52" s="110"/>
      <c r="AB52" s="83"/>
    </row>
    <row r="53" spans="1:28" s="79" customFormat="1" ht="15.75" customHeight="1">
      <c r="A53" s="76"/>
      <c r="B53" s="228" t="s">
        <v>552</v>
      </c>
      <c r="C53" s="78"/>
      <c r="D53" s="78"/>
      <c r="E53" s="20"/>
      <c r="F53" s="64">
        <f>Input!$GK$16</f>
        <v>0</v>
      </c>
      <c r="G53" s="64">
        <f>Input!$GL$16</f>
        <v>0</v>
      </c>
      <c r="H53" s="64">
        <f>Input!$GM$16</f>
        <v>0</v>
      </c>
      <c r="I53" s="64">
        <f>Input!$GN$16</f>
        <v>0</v>
      </c>
      <c r="J53" s="64">
        <f>Input!$GO$16</f>
        <v>0</v>
      </c>
      <c r="K53" s="64">
        <f>Input!$GP$16</f>
        <v>0</v>
      </c>
      <c r="L53" s="65">
        <f t="shared" si="4"/>
        <v>0</v>
      </c>
      <c r="N53" s="102"/>
      <c r="P53" s="103"/>
      <c r="Q53" s="104"/>
      <c r="R53" s="104"/>
      <c r="S53" s="104"/>
      <c r="T53" s="105"/>
      <c r="U53" s="106"/>
      <c r="V53" s="107"/>
      <c r="W53" s="104"/>
      <c r="X53" s="108"/>
      <c r="Y53" s="109"/>
      <c r="Z53" s="110"/>
      <c r="AB53" s="83"/>
    </row>
    <row r="54" spans="1:28" ht="15.75" customHeight="1">
      <c r="A54" s="76"/>
      <c r="B54" s="43" t="s">
        <v>47</v>
      </c>
      <c r="C54" s="44"/>
      <c r="D54" s="44"/>
      <c r="E54" s="44"/>
      <c r="F54" s="86">
        <f>SUM(F44:F53)</f>
        <v>10755681</v>
      </c>
      <c r="G54" s="86">
        <f t="shared" ref="G54:L54" si="5">SUM(G44:G53)</f>
        <v>0</v>
      </c>
      <c r="H54" s="86">
        <f t="shared" si="5"/>
        <v>690463</v>
      </c>
      <c r="I54" s="86">
        <f t="shared" si="5"/>
        <v>115333</v>
      </c>
      <c r="J54" s="86">
        <f t="shared" si="5"/>
        <v>1204238</v>
      </c>
      <c r="K54" s="86">
        <f t="shared" si="5"/>
        <v>2319158</v>
      </c>
      <c r="L54" s="86">
        <f t="shared" si="5"/>
        <v>15084873</v>
      </c>
      <c r="N54" s="97"/>
      <c r="P54" s="98"/>
      <c r="Q54" s="98"/>
      <c r="R54" s="98"/>
      <c r="S54" s="50">
        <f>L54-INT(L54)</f>
        <v>0</v>
      </c>
      <c r="T54" s="94"/>
      <c r="U54" s="95"/>
      <c r="V54" s="99"/>
      <c r="W54" s="99"/>
      <c r="X54" s="99"/>
      <c r="Y54" s="95"/>
      <c r="Z54" s="95"/>
      <c r="AB54" s="44">
        <f>SUM(AB44:AB48)</f>
        <v>2426458</v>
      </c>
    </row>
    <row r="55" spans="1:28" ht="15.75" customHeight="1">
      <c r="A55" s="76"/>
      <c r="C55" s="38"/>
      <c r="D55" s="38"/>
      <c r="E55" s="38"/>
      <c r="F55" s="38"/>
      <c r="G55" s="38"/>
      <c r="H55" s="38"/>
      <c r="I55" s="38"/>
      <c r="J55" s="38"/>
      <c r="K55" s="38"/>
      <c r="L55" s="38"/>
      <c r="N55" s="97"/>
      <c r="P55" s="98"/>
      <c r="Q55" s="98"/>
      <c r="R55" s="98"/>
      <c r="S55" s="98"/>
      <c r="T55" s="94"/>
      <c r="U55" s="95"/>
      <c r="V55" s="99"/>
      <c r="W55" s="99"/>
      <c r="X55" s="99"/>
      <c r="Y55" s="95"/>
      <c r="Z55" s="95"/>
    </row>
    <row r="56" spans="1:28" ht="15.75" customHeight="1">
      <c r="A56" s="76"/>
      <c r="L56" s="6" t="s">
        <v>48</v>
      </c>
      <c r="N56" s="111"/>
      <c r="Q56" s="112"/>
      <c r="R56" s="112"/>
      <c r="S56" s="112"/>
      <c r="W56" s="112"/>
      <c r="X56" s="112"/>
      <c r="Y56" s="112"/>
      <c r="Z56" s="112"/>
    </row>
    <row r="57" spans="1:28" ht="15.75" customHeight="1">
      <c r="A57" s="76"/>
      <c r="N57" s="113"/>
    </row>
    <row r="58" spans="1:28" s="112" customFormat="1" ht="15.75" customHeight="1">
      <c r="A58" s="76"/>
      <c r="N58" s="113"/>
      <c r="O58" s="9"/>
      <c r="P58" s="9"/>
      <c r="Q58" s="9"/>
      <c r="R58" s="9"/>
      <c r="S58" s="9"/>
      <c r="T58" s="9"/>
      <c r="U58" s="9"/>
      <c r="V58" s="9"/>
      <c r="W58" s="9"/>
      <c r="X58" s="9"/>
      <c r="Y58" s="9"/>
      <c r="Z58" s="9"/>
    </row>
    <row r="59" spans="1:28" s="112" customFormat="1" ht="15.75" customHeight="1">
      <c r="A59" s="76"/>
      <c r="N59" s="113"/>
      <c r="O59" s="9"/>
      <c r="P59" s="9"/>
      <c r="Q59" s="9"/>
      <c r="R59" s="9"/>
      <c r="S59" s="9"/>
      <c r="T59" s="9"/>
      <c r="U59" s="9"/>
      <c r="V59" s="9"/>
      <c r="W59" s="9"/>
      <c r="X59" s="9"/>
      <c r="Y59" s="9"/>
      <c r="Z59" s="9"/>
    </row>
    <row r="60" spans="1:28" s="112" customFormat="1" ht="15.75" customHeight="1">
      <c r="A60" s="76"/>
      <c r="N60" s="113"/>
      <c r="O60" s="9"/>
      <c r="P60" s="9"/>
      <c r="Q60" s="9"/>
      <c r="R60" s="9"/>
      <c r="S60" s="9"/>
      <c r="T60" s="9"/>
      <c r="U60" s="9"/>
      <c r="V60" s="9"/>
      <c r="W60" s="9"/>
      <c r="X60" s="9"/>
      <c r="Y60" s="9"/>
      <c r="Z60" s="9"/>
    </row>
    <row r="61" spans="1:28" s="79" customFormat="1" ht="15.75" customHeight="1">
      <c r="A61" s="76"/>
      <c r="B61" s="20"/>
      <c r="C61" s="20"/>
      <c r="D61" s="20"/>
      <c r="E61" s="20"/>
      <c r="F61" s="114">
        <f t="shared" ref="F61:L61" si="6">F54+F41</f>
        <v>44266925</v>
      </c>
      <c r="G61" s="114">
        <f t="shared" si="6"/>
        <v>9283802</v>
      </c>
      <c r="H61" s="114">
        <f t="shared" si="6"/>
        <v>2754949</v>
      </c>
      <c r="I61" s="114">
        <f t="shared" si="6"/>
        <v>27318758</v>
      </c>
      <c r="J61" s="114">
        <f t="shared" si="6"/>
        <v>2435246</v>
      </c>
      <c r="K61" s="114">
        <f t="shared" si="6"/>
        <v>7196074</v>
      </c>
      <c r="L61" s="114">
        <f t="shared" si="6"/>
        <v>93255754</v>
      </c>
      <c r="N61" s="20"/>
    </row>
    <row r="62" spans="1:28" s="79" customFormat="1" ht="15.75" customHeight="1">
      <c r="A62" s="76"/>
      <c r="B62" s="20"/>
      <c r="C62" s="20"/>
      <c r="D62" s="20"/>
      <c r="E62" s="20"/>
      <c r="F62" s="20"/>
      <c r="G62" s="20"/>
      <c r="H62" s="20"/>
      <c r="I62" s="20"/>
      <c r="J62" s="20"/>
      <c r="K62" s="20"/>
      <c r="L62" s="114">
        <f>SUM(K8:K9)+SUM(K12:K16)</f>
        <v>79816041</v>
      </c>
      <c r="N62" s="20"/>
    </row>
    <row r="63" spans="1:28" s="79" customFormat="1" ht="15.75" customHeight="1">
      <c r="A63" s="76"/>
      <c r="B63" s="20"/>
      <c r="C63" s="20"/>
      <c r="D63" s="20"/>
      <c r="E63" s="20"/>
      <c r="F63" s="20"/>
      <c r="G63" s="20"/>
      <c r="H63" s="20"/>
      <c r="I63" s="20"/>
      <c r="J63" s="20"/>
      <c r="K63" s="20"/>
      <c r="L63" s="114">
        <f>SUM(L61:L62)</f>
        <v>173071795</v>
      </c>
      <c r="N63" s="20"/>
    </row>
    <row r="65" spans="12:12" ht="15.75" customHeight="1">
      <c r="L65" s="3" t="str">
        <f>IF($L$63+L64&lt;&gt;Input!$D$16,"Error","Balanced")</f>
        <v>Balanced</v>
      </c>
    </row>
  </sheetData>
  <mergeCells count="3">
    <mergeCell ref="B6:L6"/>
    <mergeCell ref="H10:J10"/>
    <mergeCell ref="F18:J18"/>
  </mergeCells>
  <conditionalFormatting sqref="O25:O26">
    <cfRule type="expression" dxfId="11" priority="3">
      <formula>$O$26&lt;&gt;0</formula>
    </cfRule>
  </conditionalFormatting>
  <conditionalFormatting sqref="H10:J10">
    <cfRule type="expression" dxfId="10" priority="1">
      <formula>$O$10&lt;&gt;0</formula>
    </cfRule>
  </conditionalFormatting>
  <conditionalFormatting sqref="F18:J18">
    <cfRule type="expression" dxfId="9" priority="5">
      <formula>OR($S$17&lt;&gt;0,$S$41&lt;&gt;0,$S$54&lt;&gt;0)</formula>
    </cfRule>
  </conditionalFormatting>
  <hyperlinks>
    <hyperlink ref="N1" location="Index!A1" display="Return to Index"/>
  </hyperlinks>
  <printOptions horizontalCentered="1"/>
  <pageMargins left="0.25" right="0.25" top="0.25" bottom="0.25" header="0.5" footer="0.5"/>
  <pageSetup scale="60" pageOrder="overThenDown" orientation="landscape" r:id="rId1"/>
  <headerFooter alignWithMargins="0"/>
  <colBreaks count="1" manualBreakCount="1">
    <brk id="12" max="80" man="1"/>
  </colBreaks>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pageSetUpPr fitToPage="1"/>
  </sheetPr>
  <dimension ref="A1:AB65"/>
  <sheetViews>
    <sheetView showGridLines="0" zoomScale="75" zoomScaleNormal="75" workbookViewId="0">
      <pane xSplit="4" ySplit="3" topLeftCell="J8" activePane="bottomRight" state="frozen"/>
      <selection pane="topRight" activeCell="E1" sqref="E1"/>
      <selection pane="bottomLeft" activeCell="A4" sqref="A4"/>
      <selection pane="bottomRight" activeCell="P43" sqref="P43"/>
    </sheetView>
  </sheetViews>
  <sheetFormatPr defaultRowHeight="15.75" customHeight="1"/>
  <cols>
    <col min="1" max="1" width="4.7109375" style="1" customWidth="1"/>
    <col min="2" max="2" width="60.140625" style="6" customWidth="1"/>
    <col min="3" max="4" width="3.42578125" style="6" customWidth="1"/>
    <col min="5" max="5" width="10.85546875" style="6" customWidth="1"/>
    <col min="6" max="7" width="16" style="6" customWidth="1"/>
    <col min="8" max="8" width="17.42578125" style="6" customWidth="1"/>
    <col min="9" max="9" width="15.5703125" style="6" customWidth="1"/>
    <col min="10" max="10" width="16" style="6" customWidth="1"/>
    <col min="11" max="11" width="20.28515625" style="6" bestFit="1" customWidth="1"/>
    <col min="12" max="12" width="16.42578125" style="6" customWidth="1"/>
    <col min="13" max="13" width="2.28515625" style="9" customWidth="1"/>
    <col min="14" max="14" width="17.28515625" style="6" customWidth="1"/>
    <col min="15" max="16" width="20.42578125" style="9" customWidth="1"/>
    <col min="17" max="17" width="1.140625" style="9" customWidth="1"/>
    <col min="18" max="19" width="14.42578125" style="9" customWidth="1"/>
    <col min="20" max="20" width="12.7109375" style="9" customWidth="1"/>
    <col min="21" max="21" width="10.7109375" style="9" customWidth="1"/>
    <col min="22" max="22" width="16.85546875" style="9" customWidth="1"/>
    <col min="23" max="23" width="1.85546875" style="9" customWidth="1"/>
    <col min="24" max="24" width="26.42578125" style="9" customWidth="1"/>
    <col min="25" max="25" width="17" style="9" customWidth="1"/>
    <col min="26" max="26" width="16.7109375" style="9" customWidth="1"/>
    <col min="27" max="27" width="18.85546875" style="9" customWidth="1"/>
    <col min="28" max="28" width="22.28515625" style="9" customWidth="1"/>
    <col min="29" max="16384" width="9.140625" style="9"/>
  </cols>
  <sheetData>
    <row r="1" spans="2:28" s="1" customFormat="1" ht="18" customHeight="1" thickBot="1">
      <c r="B1" s="2" t="s">
        <v>514</v>
      </c>
      <c r="C1" s="3"/>
      <c r="D1" s="3"/>
      <c r="E1" s="3"/>
      <c r="F1" s="3"/>
      <c r="G1" s="3"/>
      <c r="H1" s="3"/>
      <c r="I1" s="4"/>
      <c r="J1" s="3"/>
      <c r="K1" s="3"/>
      <c r="L1" s="3"/>
      <c r="M1" s="3"/>
      <c r="N1" s="337" t="s">
        <v>579</v>
      </c>
      <c r="AA1" s="3">
        <v>12</v>
      </c>
      <c r="AB1" s="3">
        <v>13</v>
      </c>
    </row>
    <row r="2" spans="2:28" ht="15.75" customHeight="1">
      <c r="B2" s="2" t="str">
        <f>Input!$B$5</f>
        <v>For the Year Ended August 31, 2010</v>
      </c>
      <c r="C2" s="5"/>
      <c r="D2" s="5"/>
      <c r="E2" s="5"/>
      <c r="G2" s="5"/>
      <c r="H2" s="5"/>
      <c r="I2" s="7"/>
      <c r="J2" s="5"/>
      <c r="K2" s="5"/>
      <c r="L2" s="8"/>
      <c r="N2" s="8"/>
      <c r="O2" s="10"/>
    </row>
    <row r="3" spans="2:28" ht="15.75" customHeight="1">
      <c r="B3" s="2" t="str">
        <f>Input!$B$6</f>
        <v>Source: FY 2010 Research Expenditure Survey</v>
      </c>
      <c r="C3" s="5"/>
      <c r="D3" s="5"/>
      <c r="E3" s="5"/>
      <c r="F3" s="5"/>
      <c r="G3" s="5"/>
      <c r="H3" s="5"/>
      <c r="I3" s="7"/>
      <c r="J3" s="5"/>
      <c r="K3" s="5"/>
      <c r="L3" s="8"/>
      <c r="N3" s="8"/>
    </row>
    <row r="4" spans="2:28" ht="15.75" customHeight="1">
      <c r="B4" s="11"/>
      <c r="C4" s="5"/>
      <c r="D4" s="5"/>
      <c r="E4" s="5"/>
      <c r="F4" s="5"/>
      <c r="G4" s="5"/>
      <c r="H4" s="5"/>
      <c r="I4" s="7"/>
      <c r="J4" s="5"/>
      <c r="K4" s="5"/>
      <c r="L4" s="8"/>
      <c r="N4" s="10" t="s">
        <v>0</v>
      </c>
      <c r="P4" s="12"/>
    </row>
    <row r="5" spans="2:28" ht="15.75" customHeight="1">
      <c r="L5" s="3"/>
      <c r="N5" s="3"/>
    </row>
    <row r="6" spans="2:28" ht="15.75" customHeight="1">
      <c r="B6" s="453" t="str">
        <f>Input!$B$7</f>
        <v>FY 2010</v>
      </c>
      <c r="C6" s="454"/>
      <c r="D6" s="454"/>
      <c r="E6" s="454"/>
      <c r="F6" s="454"/>
      <c r="G6" s="454"/>
      <c r="H6" s="454"/>
      <c r="I6" s="454"/>
      <c r="J6" s="454"/>
      <c r="K6" s="454"/>
      <c r="L6" s="454"/>
      <c r="N6" s="13"/>
    </row>
    <row r="7" spans="2:28" ht="28.5" customHeight="1">
      <c r="B7" s="14" t="s">
        <v>2</v>
      </c>
      <c r="C7" s="15"/>
      <c r="D7" s="15"/>
      <c r="E7" s="15"/>
      <c r="F7" s="15"/>
      <c r="G7" s="15"/>
      <c r="H7" s="15"/>
      <c r="I7" s="15"/>
      <c r="J7" s="15"/>
      <c r="K7" s="16" t="s">
        <v>3</v>
      </c>
      <c r="L7" s="16" t="s">
        <v>4</v>
      </c>
      <c r="N7" s="17"/>
      <c r="O7" s="18"/>
      <c r="P7" s="19"/>
      <c r="Q7" s="19"/>
      <c r="R7" s="19"/>
      <c r="S7" s="19"/>
      <c r="T7" s="19"/>
    </row>
    <row r="8" spans="2:28" ht="15.75" customHeight="1">
      <c r="B8" s="20" t="s">
        <v>5</v>
      </c>
      <c r="C8" s="21"/>
      <c r="D8" s="21"/>
      <c r="E8" s="21"/>
      <c r="F8" s="21"/>
      <c r="G8" s="21"/>
      <c r="H8" s="21"/>
      <c r="I8" s="21"/>
      <c r="J8" s="21"/>
      <c r="K8" s="22">
        <f>L8</f>
        <v>33368122</v>
      </c>
      <c r="L8" s="23">
        <f>Input!$H$17</f>
        <v>33368122</v>
      </c>
      <c r="N8" s="115"/>
      <c r="O8" s="116"/>
      <c r="P8" s="19"/>
      <c r="Q8" s="19"/>
      <c r="R8" s="19"/>
      <c r="S8" s="19"/>
      <c r="T8" s="19"/>
      <c r="AB8" s="24">
        <f>SUM(C8:L8)</f>
        <v>66736244</v>
      </c>
    </row>
    <row r="9" spans="2:28" ht="15.75" customHeight="1">
      <c r="B9" s="20" t="s">
        <v>7</v>
      </c>
      <c r="C9" s="21"/>
      <c r="D9" s="21"/>
      <c r="E9" s="21"/>
      <c r="F9" s="21"/>
      <c r="G9" s="21"/>
      <c r="H9" s="21"/>
      <c r="I9" s="21"/>
      <c r="J9" s="21"/>
      <c r="K9" s="25">
        <f>Input!$F$17</f>
        <v>0</v>
      </c>
      <c r="L9" s="26"/>
      <c r="N9" s="115"/>
      <c r="O9" s="28"/>
      <c r="P9" s="19"/>
      <c r="Q9" s="19"/>
      <c r="R9" s="19"/>
      <c r="S9" s="19"/>
      <c r="T9" s="19"/>
      <c r="AB9" s="24">
        <f>SUM(C9:L9)</f>
        <v>0</v>
      </c>
    </row>
    <row r="10" spans="2:28" ht="15.75" customHeight="1">
      <c r="B10" s="27" t="s">
        <v>8</v>
      </c>
      <c r="C10" s="28"/>
      <c r="D10" s="21"/>
      <c r="E10" s="21"/>
      <c r="F10" s="9"/>
      <c r="G10" s="30"/>
      <c r="H10" s="455" t="str">
        <f>IF(O10&lt;&gt;0,"Out of Balance with SRECNA","")</f>
        <v/>
      </c>
      <c r="I10" s="455"/>
      <c r="J10" s="456"/>
      <c r="K10" s="31">
        <f>SUM(K8:K9)</f>
        <v>33368122</v>
      </c>
      <c r="L10" s="32"/>
      <c r="N10" s="117"/>
      <c r="O10" s="118"/>
      <c r="P10" s="19"/>
      <c r="Q10" s="19"/>
      <c r="R10" s="19"/>
      <c r="S10" s="19"/>
      <c r="T10" s="19"/>
      <c r="AB10" s="24"/>
    </row>
    <row r="11" spans="2:28" ht="15.75" customHeight="1">
      <c r="B11" s="20"/>
      <c r="C11" s="21"/>
      <c r="D11" s="21"/>
      <c r="E11" s="21"/>
      <c r="F11" s="9"/>
      <c r="G11" s="9"/>
      <c r="H11" s="9"/>
      <c r="I11" s="9"/>
      <c r="J11" s="9"/>
      <c r="K11" s="33"/>
      <c r="L11" s="26"/>
      <c r="N11" s="17"/>
      <c r="O11" s="95"/>
      <c r="P11" s="34"/>
      <c r="Q11" s="34"/>
      <c r="R11" s="34"/>
      <c r="S11" s="34"/>
      <c r="T11" s="35"/>
      <c r="AB11" s="24">
        <f t="shared" ref="AB11:AB12" si="0">SUM(C10:L10)</f>
        <v>33368122</v>
      </c>
    </row>
    <row r="12" spans="2:28" ht="15.75" customHeight="1">
      <c r="B12" s="20" t="s">
        <v>9</v>
      </c>
      <c r="C12" s="21"/>
      <c r="D12" s="21"/>
      <c r="E12" s="21"/>
      <c r="F12" s="21"/>
      <c r="G12" s="21"/>
      <c r="H12" s="21"/>
      <c r="I12" s="21"/>
      <c r="J12" s="21"/>
      <c r="K12" s="36">
        <f>Input!$G$17</f>
        <v>0</v>
      </c>
      <c r="L12" s="26"/>
      <c r="N12" s="37"/>
      <c r="O12" s="19"/>
      <c r="P12" s="19"/>
      <c r="Q12" s="19"/>
      <c r="R12" s="19"/>
      <c r="S12" s="19"/>
      <c r="T12" s="19"/>
      <c r="AB12" s="24">
        <f t="shared" si="0"/>
        <v>0</v>
      </c>
    </row>
    <row r="13" spans="2:28" ht="15.75" customHeight="1">
      <c r="B13" s="20" t="s">
        <v>10</v>
      </c>
      <c r="C13" s="21"/>
      <c r="D13" s="21"/>
      <c r="E13" s="21"/>
      <c r="F13" s="21"/>
      <c r="G13" s="21"/>
      <c r="H13" s="21"/>
      <c r="I13" s="21"/>
      <c r="J13" s="21"/>
      <c r="K13" s="33">
        <f>L13</f>
        <v>5567035</v>
      </c>
      <c r="L13" s="36">
        <f>Input!$I$17</f>
        <v>5567035</v>
      </c>
      <c r="N13" s="37"/>
      <c r="O13" s="119"/>
      <c r="AB13" s="24">
        <f>SUM(C13:L13)</f>
        <v>11134070</v>
      </c>
    </row>
    <row r="14" spans="2:28" ht="15.75" customHeight="1">
      <c r="B14" s="20" t="s">
        <v>11</v>
      </c>
      <c r="C14" s="21"/>
      <c r="D14" s="21"/>
      <c r="E14" s="21"/>
      <c r="F14" s="21"/>
      <c r="G14" s="21"/>
      <c r="H14" s="21"/>
      <c r="I14" s="21"/>
      <c r="J14" s="21"/>
      <c r="K14" s="33">
        <f>L14</f>
        <v>919722</v>
      </c>
      <c r="L14" s="36">
        <f>Input!$J$17</f>
        <v>919722</v>
      </c>
      <c r="N14" s="17"/>
      <c r="O14" s="28"/>
      <c r="P14" s="19"/>
      <c r="Q14" s="19"/>
      <c r="R14" s="19"/>
      <c r="S14" s="19"/>
      <c r="T14" s="39"/>
      <c r="U14" s="19"/>
      <c r="V14" s="19"/>
      <c r="W14" s="19"/>
      <c r="X14" s="19"/>
      <c r="Y14" s="19"/>
      <c r="Z14" s="19"/>
      <c r="AA14" s="19"/>
      <c r="AB14" s="24">
        <f>SUM(C14:L14)</f>
        <v>1839444</v>
      </c>
    </row>
    <row r="15" spans="2:28" ht="15.75" customHeight="1">
      <c r="B15" s="20" t="s">
        <v>12</v>
      </c>
      <c r="C15" s="21"/>
      <c r="D15" s="21"/>
      <c r="E15" s="21"/>
      <c r="F15" s="21"/>
      <c r="G15" s="21"/>
      <c r="H15" s="21"/>
      <c r="I15" s="21"/>
      <c r="J15" s="21"/>
      <c r="K15" s="40">
        <f>L15</f>
        <v>0</v>
      </c>
      <c r="L15" s="36">
        <f>Input!$K$17</f>
        <v>0</v>
      </c>
      <c r="N15" s="19"/>
      <c r="O15" s="19"/>
      <c r="P15" s="19"/>
      <c r="Q15" s="19"/>
      <c r="R15" s="19"/>
      <c r="S15" s="19"/>
      <c r="T15" s="19"/>
      <c r="U15" s="19"/>
      <c r="V15" s="19"/>
      <c r="W15" s="41"/>
      <c r="X15" s="19"/>
      <c r="Y15" s="19"/>
      <c r="Z15" s="19"/>
      <c r="AA15" s="19"/>
      <c r="AB15" s="24">
        <f>SUM(C15:L15)</f>
        <v>0</v>
      </c>
    </row>
    <row r="16" spans="2:28" ht="15.75" customHeight="1">
      <c r="B16" s="20" t="s">
        <v>13</v>
      </c>
      <c r="C16" s="21"/>
      <c r="D16" s="21"/>
      <c r="E16" s="21"/>
      <c r="F16" s="21"/>
      <c r="G16" s="21"/>
      <c r="H16" s="21"/>
      <c r="I16" s="21"/>
      <c r="J16" s="21"/>
      <c r="K16" s="40">
        <f>L16</f>
        <v>0</v>
      </c>
      <c r="L16" s="36">
        <f>Input!$L$17</f>
        <v>0</v>
      </c>
      <c r="N16" s="28"/>
      <c r="O16" s="42"/>
      <c r="P16" s="19"/>
      <c r="Q16" s="19"/>
      <c r="R16" s="19"/>
      <c r="S16" s="19"/>
      <c r="T16" s="19"/>
      <c r="U16" s="19"/>
      <c r="V16" s="19"/>
      <c r="W16" s="19"/>
      <c r="X16" s="19"/>
      <c r="Y16" s="19"/>
      <c r="Z16" s="19"/>
      <c r="AA16" s="19"/>
      <c r="AB16" s="24">
        <f>SUM(C16:L16)</f>
        <v>0</v>
      </c>
    </row>
    <row r="17" spans="2:28" ht="15.75" customHeight="1">
      <c r="B17" s="43" t="s">
        <v>14</v>
      </c>
      <c r="C17" s="44"/>
      <c r="D17" s="44"/>
      <c r="E17" s="44"/>
      <c r="F17" s="44"/>
      <c r="G17" s="44"/>
      <c r="H17" s="44"/>
      <c r="I17" s="44"/>
      <c r="J17" s="44"/>
      <c r="K17" s="45">
        <f>SUM(K10:K16)</f>
        <v>39854879</v>
      </c>
      <c r="L17" s="46">
        <f>SUM(L8:L16)</f>
        <v>39854879</v>
      </c>
      <c r="N17" s="47"/>
      <c r="O17" s="48"/>
      <c r="P17" s="48"/>
      <c r="Q17" s="48"/>
      <c r="R17" s="49"/>
      <c r="S17" s="50">
        <f>L17-INT(L17)</f>
        <v>0</v>
      </c>
      <c r="T17" s="49">
        <v>0</v>
      </c>
      <c r="U17" s="48">
        <v>0</v>
      </c>
      <c r="V17" s="48">
        <v>0</v>
      </c>
      <c r="W17" s="48"/>
      <c r="X17" s="48"/>
      <c r="Y17" s="51"/>
      <c r="Z17" s="41"/>
      <c r="AA17" s="19"/>
      <c r="AB17" s="44" t="e">
        <f>#REF!+#REF!+#REF!+#REF!</f>
        <v>#REF!</v>
      </c>
    </row>
    <row r="18" spans="2:28" ht="15.75" customHeight="1">
      <c r="C18" s="38"/>
      <c r="D18" s="38"/>
      <c r="E18" s="38"/>
      <c r="F18" s="457" t="str">
        <f>IF(OR(S17&lt;&gt;0,S41&lt;&gt;0,S54&lt;&gt;0),"Do not Enter Cents - Whole Dollars Only","")</f>
        <v/>
      </c>
      <c r="G18" s="457"/>
      <c r="H18" s="457"/>
      <c r="I18" s="457"/>
      <c r="J18" s="457"/>
      <c r="K18" s="38"/>
      <c r="L18" s="38"/>
      <c r="N18" s="47"/>
      <c r="O18" s="48"/>
      <c r="P18" s="48"/>
      <c r="Q18" s="48"/>
      <c r="R18" s="49"/>
      <c r="S18" s="52"/>
      <c r="T18" s="49"/>
      <c r="U18" s="48"/>
      <c r="V18" s="48"/>
      <c r="W18" s="48"/>
      <c r="X18" s="48"/>
      <c r="Y18" s="51"/>
      <c r="Z18" s="41"/>
      <c r="AA18" s="19"/>
    </row>
    <row r="19" spans="2:28" ht="33" customHeight="1">
      <c r="B19" s="14" t="s">
        <v>15</v>
      </c>
      <c r="C19" s="53"/>
      <c r="D19" s="53"/>
      <c r="E19" s="53"/>
      <c r="F19" s="54" t="s">
        <v>16</v>
      </c>
      <c r="G19" s="54" t="s">
        <v>17</v>
      </c>
      <c r="H19" s="54" t="s">
        <v>18</v>
      </c>
      <c r="I19" s="54" t="s">
        <v>19</v>
      </c>
      <c r="J19" s="54" t="s">
        <v>20</v>
      </c>
      <c r="K19" s="54" t="s">
        <v>21</v>
      </c>
      <c r="L19" s="54" t="s">
        <v>22</v>
      </c>
      <c r="N19" s="47"/>
      <c r="O19" s="48"/>
      <c r="P19" s="48"/>
      <c r="Q19" s="48"/>
      <c r="R19" s="49"/>
      <c r="S19" s="52"/>
      <c r="T19" s="49"/>
      <c r="U19" s="48"/>
      <c r="V19" s="48"/>
      <c r="W19" s="48"/>
      <c r="X19" s="48"/>
      <c r="Y19" s="51"/>
      <c r="Z19" s="41"/>
      <c r="AA19" s="19"/>
    </row>
    <row r="20" spans="2:28" ht="15.75" customHeight="1">
      <c r="B20" s="55" t="s">
        <v>23</v>
      </c>
      <c r="C20" s="21"/>
      <c r="D20" s="21"/>
      <c r="F20" s="56">
        <f>Input!$M$17</f>
        <v>0</v>
      </c>
      <c r="G20" s="56">
        <f>Input!$N$17</f>
        <v>0</v>
      </c>
      <c r="H20" s="56">
        <f>Input!$O$17</f>
        <v>0</v>
      </c>
      <c r="I20" s="56">
        <f>Input!$P$17</f>
        <v>0</v>
      </c>
      <c r="J20" s="56">
        <f>Input!$Q$17</f>
        <v>0</v>
      </c>
      <c r="K20" s="56">
        <f>Input!$R$17</f>
        <v>0</v>
      </c>
      <c r="L20" s="57">
        <f>SUM(F20:K20)</f>
        <v>0</v>
      </c>
      <c r="N20" s="58"/>
      <c r="O20" s="59"/>
      <c r="P20" s="60"/>
      <c r="Q20" s="61"/>
      <c r="R20" s="58"/>
      <c r="S20" s="58"/>
      <c r="T20" s="58"/>
      <c r="U20" s="61"/>
      <c r="V20" s="58"/>
      <c r="W20" s="61"/>
      <c r="X20" s="62"/>
      <c r="Y20" s="59"/>
      <c r="Z20" s="61"/>
      <c r="AA20" s="19"/>
      <c r="AB20" s="24">
        <f t="shared" ref="AB20:AB25" si="1">SUM(C20:L20)</f>
        <v>0</v>
      </c>
    </row>
    <row r="21" spans="2:28" ht="15.75" customHeight="1">
      <c r="B21" s="63" t="s">
        <v>24</v>
      </c>
      <c r="C21" s="21"/>
      <c r="D21" s="21"/>
      <c r="F21" s="64">
        <f>Input!$S$17</f>
        <v>22251110</v>
      </c>
      <c r="G21" s="64">
        <f>Input!$T$17</f>
        <v>0</v>
      </c>
      <c r="H21" s="64">
        <f>Input!$U$17</f>
        <v>947302</v>
      </c>
      <c r="I21" s="64">
        <f>Input!$V$17</f>
        <v>6448897</v>
      </c>
      <c r="J21" s="64">
        <f>Input!$W$17</f>
        <v>1778661</v>
      </c>
      <c r="K21" s="64">
        <f>Input!$X$17</f>
        <v>886844</v>
      </c>
      <c r="L21" s="65">
        <f t="shared" ref="L21:L40" si="2">SUM(F21:K21)</f>
        <v>32312814</v>
      </c>
      <c r="N21" s="66"/>
      <c r="O21" s="67"/>
      <c r="P21" s="68"/>
      <c r="Q21" s="69"/>
      <c r="R21" s="70"/>
      <c r="S21" s="70"/>
      <c r="T21" s="70"/>
      <c r="U21" s="69"/>
      <c r="V21" s="71"/>
      <c r="W21" s="61"/>
      <c r="X21" s="62"/>
      <c r="Y21" s="67"/>
      <c r="Z21" s="69"/>
      <c r="AA21" s="19"/>
      <c r="AB21" s="24">
        <f t="shared" si="1"/>
        <v>64625628</v>
      </c>
    </row>
    <row r="22" spans="2:28" ht="15.75" customHeight="1">
      <c r="B22" s="55" t="s">
        <v>25</v>
      </c>
      <c r="C22" s="21"/>
      <c r="D22" s="21"/>
      <c r="F22" s="64">
        <f>Input!$Y$17</f>
        <v>0</v>
      </c>
      <c r="G22" s="64">
        <f>Input!$Z$17</f>
        <v>0</v>
      </c>
      <c r="H22" s="64">
        <f>Input!$AA$17</f>
        <v>0</v>
      </c>
      <c r="I22" s="64">
        <f>Input!$AB$17</f>
        <v>0</v>
      </c>
      <c r="J22" s="64">
        <f>Input!$AC$17</f>
        <v>0</v>
      </c>
      <c r="K22" s="64">
        <f>Input!$AD$17</f>
        <v>0</v>
      </c>
      <c r="L22" s="65">
        <f t="shared" si="2"/>
        <v>0</v>
      </c>
      <c r="N22" s="66"/>
      <c r="O22" s="67"/>
      <c r="P22" s="72"/>
      <c r="Q22" s="69"/>
      <c r="R22" s="70"/>
      <c r="S22" s="70"/>
      <c r="T22" s="70"/>
      <c r="U22" s="69"/>
      <c r="V22" s="70"/>
      <c r="W22" s="69"/>
      <c r="X22" s="62"/>
      <c r="Y22" s="67"/>
      <c r="Z22" s="69"/>
      <c r="AA22" s="19"/>
      <c r="AB22" s="24">
        <f t="shared" si="1"/>
        <v>0</v>
      </c>
    </row>
    <row r="23" spans="2:28" ht="15.75" customHeight="1">
      <c r="B23" s="55" t="s">
        <v>26</v>
      </c>
      <c r="C23" s="21"/>
      <c r="D23" s="21"/>
      <c r="F23" s="64">
        <f>Input!$AE$17</f>
        <v>0</v>
      </c>
      <c r="G23" s="64">
        <f>Input!$AF$17</f>
        <v>0</v>
      </c>
      <c r="H23" s="64">
        <f>Input!$AG$17</f>
        <v>0</v>
      </c>
      <c r="I23" s="64">
        <f>Input!$AH$17</f>
        <v>0</v>
      </c>
      <c r="J23" s="64">
        <f>Input!$AI$17</f>
        <v>0</v>
      </c>
      <c r="K23" s="64">
        <f>Input!$AJ$17</f>
        <v>0</v>
      </c>
      <c r="L23" s="65">
        <f t="shared" si="2"/>
        <v>0</v>
      </c>
      <c r="N23" s="66"/>
      <c r="O23" s="67"/>
      <c r="P23" s="68"/>
      <c r="Q23" s="69"/>
      <c r="R23" s="70"/>
      <c r="S23" s="70"/>
      <c r="T23" s="70"/>
      <c r="U23" s="69"/>
      <c r="V23" s="70"/>
      <c r="W23" s="69"/>
      <c r="X23" s="62"/>
      <c r="Y23" s="67"/>
      <c r="Z23" s="69"/>
      <c r="AA23" s="19"/>
      <c r="AB23" s="24">
        <f t="shared" si="1"/>
        <v>0</v>
      </c>
    </row>
    <row r="24" spans="2:28" ht="15.75" customHeight="1">
      <c r="B24" s="55" t="s">
        <v>27</v>
      </c>
      <c r="C24" s="21"/>
      <c r="D24" s="21"/>
      <c r="F24" s="64">
        <f>Input!$AK$17</f>
        <v>0</v>
      </c>
      <c r="G24" s="64">
        <f>Input!$AL$17</f>
        <v>0</v>
      </c>
      <c r="H24" s="64">
        <f>Input!$AM$17</f>
        <v>0</v>
      </c>
      <c r="I24" s="64">
        <f>Input!$AN$17</f>
        <v>0</v>
      </c>
      <c r="J24" s="64">
        <f>Input!$AO$17</f>
        <v>0</v>
      </c>
      <c r="K24" s="64">
        <f>Input!$AP$17</f>
        <v>0</v>
      </c>
      <c r="L24" s="65">
        <f t="shared" si="2"/>
        <v>0</v>
      </c>
      <c r="N24" s="66"/>
      <c r="O24" s="67"/>
      <c r="P24" s="68"/>
      <c r="Q24" s="69"/>
      <c r="R24" s="70"/>
      <c r="S24" s="70"/>
      <c r="T24" s="70"/>
      <c r="U24" s="69"/>
      <c r="V24" s="70"/>
      <c r="W24" s="69"/>
      <c r="X24" s="62"/>
      <c r="Y24" s="67"/>
      <c r="Z24" s="69"/>
      <c r="AA24" s="19"/>
      <c r="AB24" s="24">
        <f t="shared" si="1"/>
        <v>0</v>
      </c>
    </row>
    <row r="25" spans="2:28" ht="15.75" customHeight="1">
      <c r="B25" s="55" t="s">
        <v>28</v>
      </c>
      <c r="C25" s="21"/>
      <c r="D25" s="21"/>
      <c r="F25" s="64">
        <f>Input!$AQ$17</f>
        <v>0</v>
      </c>
      <c r="G25" s="64">
        <f>Input!$AR$17</f>
        <v>0</v>
      </c>
      <c r="H25" s="64">
        <f>Input!$AS$17</f>
        <v>0</v>
      </c>
      <c r="I25" s="64">
        <f>Input!$AT$17</f>
        <v>0</v>
      </c>
      <c r="J25" s="64">
        <f>Input!$AU$17</f>
        <v>0</v>
      </c>
      <c r="K25" s="64">
        <f>Input!$AV$17</f>
        <v>0</v>
      </c>
      <c r="L25" s="65">
        <f t="shared" si="2"/>
        <v>0</v>
      </c>
      <c r="N25" s="66"/>
      <c r="O25" s="73" t="s">
        <v>6</v>
      </c>
      <c r="P25" s="68"/>
      <c r="Q25" s="69"/>
      <c r="R25" s="70"/>
      <c r="S25" s="70"/>
      <c r="T25" s="70"/>
      <c r="U25" s="69"/>
      <c r="V25" s="70"/>
      <c r="W25" s="69"/>
      <c r="X25" s="62"/>
      <c r="Y25" s="67"/>
      <c r="Z25" s="69"/>
      <c r="AA25" s="19"/>
      <c r="AB25" s="24">
        <f t="shared" si="1"/>
        <v>0</v>
      </c>
    </row>
    <row r="26" spans="2:28" ht="15.75" customHeight="1">
      <c r="B26" s="55" t="s">
        <v>29</v>
      </c>
      <c r="C26" s="21"/>
      <c r="D26" s="21"/>
      <c r="F26" s="64">
        <f>Input!$AW$17</f>
        <v>3684760</v>
      </c>
      <c r="G26" s="64">
        <f>Input!$AX$17</f>
        <v>0</v>
      </c>
      <c r="H26" s="64">
        <f>Input!$AY$17</f>
        <v>369598</v>
      </c>
      <c r="I26" s="64">
        <f>Input!$AZ$17</f>
        <v>2422543</v>
      </c>
      <c r="J26" s="64">
        <f>Input!$BA$17</f>
        <v>154249</v>
      </c>
      <c r="K26" s="64">
        <f>Input!$BB$17</f>
        <v>910915</v>
      </c>
      <c r="L26" s="65">
        <f t="shared" si="2"/>
        <v>7542065</v>
      </c>
      <c r="N26" s="74" t="str">
        <f>IF(O26&lt;&gt;0,"Out of Balance","Balanced")</f>
        <v>Balanced</v>
      </c>
      <c r="O26" s="75">
        <f>L17-L41</f>
        <v>0</v>
      </c>
      <c r="Q26" s="69"/>
      <c r="R26" s="70"/>
      <c r="S26" s="70"/>
      <c r="T26" s="70"/>
      <c r="U26" s="69"/>
      <c r="V26" s="70"/>
      <c r="W26" s="69"/>
      <c r="X26" s="62"/>
      <c r="Y26" s="67"/>
      <c r="Z26" s="69"/>
      <c r="AA26" s="19"/>
      <c r="AB26" s="24"/>
    </row>
    <row r="27" spans="2:28" ht="15.75" customHeight="1">
      <c r="B27" s="55" t="s">
        <v>30</v>
      </c>
      <c r="C27" s="21"/>
      <c r="D27" s="21"/>
      <c r="F27" s="64">
        <f>Input!$BC$17</f>
        <v>0</v>
      </c>
      <c r="G27" s="64">
        <f>Input!$BD$17</f>
        <v>0</v>
      </c>
      <c r="H27" s="64">
        <f>Input!$BE$17</f>
        <v>0</v>
      </c>
      <c r="I27" s="64">
        <f>Input!$BF$17</f>
        <v>0</v>
      </c>
      <c r="J27" s="64">
        <f>Input!$BG$17</f>
        <v>0</v>
      </c>
      <c r="K27" s="64">
        <f>Input!$BH$17</f>
        <v>0</v>
      </c>
      <c r="L27" s="65">
        <f t="shared" si="2"/>
        <v>0</v>
      </c>
      <c r="N27" s="66"/>
      <c r="O27" s="67"/>
      <c r="P27" s="68"/>
      <c r="Q27" s="69"/>
      <c r="R27" s="70"/>
      <c r="S27" s="70"/>
      <c r="T27" s="70"/>
      <c r="U27" s="69"/>
      <c r="V27" s="70"/>
      <c r="W27" s="69"/>
      <c r="X27" s="62"/>
      <c r="Y27" s="67"/>
      <c r="Z27" s="69"/>
      <c r="AA27" s="19"/>
      <c r="AB27" s="24"/>
    </row>
    <row r="28" spans="2:28" ht="15.75" customHeight="1">
      <c r="B28" s="63" t="s">
        <v>31</v>
      </c>
      <c r="C28" s="21"/>
      <c r="D28" s="21"/>
      <c r="F28" s="64">
        <f>Input!$BI$17</f>
        <v>0</v>
      </c>
      <c r="G28" s="64">
        <f>Input!$BJ$17</f>
        <v>0</v>
      </c>
      <c r="H28" s="64">
        <f>Input!$BK$17</f>
        <v>0</v>
      </c>
      <c r="I28" s="64">
        <f>Input!$BL$17</f>
        <v>0</v>
      </c>
      <c r="J28" s="64">
        <f>Input!$BM$17</f>
        <v>0</v>
      </c>
      <c r="K28" s="64">
        <f>Input!$BN$17</f>
        <v>0</v>
      </c>
      <c r="L28" s="65">
        <f t="shared" si="2"/>
        <v>0</v>
      </c>
      <c r="N28" s="66"/>
      <c r="O28" s="67"/>
      <c r="P28" s="68"/>
      <c r="Q28" s="69"/>
      <c r="R28" s="70"/>
      <c r="S28" s="70"/>
      <c r="T28" s="70"/>
      <c r="U28" s="69"/>
      <c r="V28" s="70"/>
      <c r="W28" s="69"/>
      <c r="X28" s="62"/>
      <c r="Y28" s="67"/>
      <c r="Z28" s="69"/>
      <c r="AA28" s="19"/>
      <c r="AB28" s="24"/>
    </row>
    <row r="29" spans="2:28" ht="15.75" customHeight="1">
      <c r="B29" s="63" t="s">
        <v>32</v>
      </c>
      <c r="C29" s="21"/>
      <c r="D29" s="21"/>
      <c r="F29" s="64">
        <f>Input!$BO$17</f>
        <v>0</v>
      </c>
      <c r="G29" s="64">
        <f>Input!$BP$17</f>
        <v>0</v>
      </c>
      <c r="H29" s="64">
        <f>Input!$BQ$17</f>
        <v>0</v>
      </c>
      <c r="I29" s="64">
        <f>Input!$BR$17</f>
        <v>0</v>
      </c>
      <c r="J29" s="64">
        <f>Input!$BS$17</f>
        <v>0</v>
      </c>
      <c r="K29" s="64">
        <f>Input!$BT$17</f>
        <v>0</v>
      </c>
      <c r="L29" s="65">
        <f t="shared" si="2"/>
        <v>0</v>
      </c>
      <c r="N29" s="66"/>
      <c r="O29" s="67"/>
      <c r="P29" s="68"/>
      <c r="Q29" s="69"/>
      <c r="R29" s="70"/>
      <c r="S29" s="70"/>
      <c r="T29" s="70"/>
      <c r="U29" s="69"/>
      <c r="V29" s="70"/>
      <c r="W29" s="69"/>
      <c r="X29" s="62"/>
      <c r="Y29" s="67"/>
      <c r="Z29" s="69"/>
      <c r="AA29" s="19"/>
      <c r="AB29" s="24"/>
    </row>
    <row r="30" spans="2:28" ht="15.75" customHeight="1">
      <c r="B30" s="63" t="s">
        <v>33</v>
      </c>
      <c r="C30" s="21"/>
      <c r="D30" s="21"/>
      <c r="F30" s="64">
        <f>Input!$BU$17</f>
        <v>0</v>
      </c>
      <c r="G30" s="64">
        <f>Input!$BV$17</f>
        <v>0</v>
      </c>
      <c r="H30" s="64">
        <f>Input!$BW$17</f>
        <v>0</v>
      </c>
      <c r="I30" s="64">
        <f>Input!$BX$17</f>
        <v>0</v>
      </c>
      <c r="J30" s="64">
        <f>Input!$BY$17</f>
        <v>0</v>
      </c>
      <c r="K30" s="64">
        <f>Input!$BZ$17</f>
        <v>0</v>
      </c>
      <c r="L30" s="65">
        <f t="shared" si="2"/>
        <v>0</v>
      </c>
      <c r="N30" s="66"/>
      <c r="O30" s="67"/>
      <c r="P30" s="68"/>
      <c r="Q30" s="69"/>
      <c r="R30" s="70"/>
      <c r="S30" s="70"/>
      <c r="T30" s="70"/>
      <c r="U30" s="69"/>
      <c r="V30" s="70"/>
      <c r="W30" s="69"/>
      <c r="X30" s="62"/>
      <c r="Y30" s="67"/>
      <c r="Z30" s="69"/>
      <c r="AA30" s="19"/>
      <c r="AB30" s="24"/>
    </row>
    <row r="31" spans="2:28" ht="15.75" customHeight="1">
      <c r="B31" s="63" t="s">
        <v>34</v>
      </c>
      <c r="C31" s="21"/>
      <c r="D31" s="21"/>
      <c r="F31" s="64">
        <f>Input!$CA$17</f>
        <v>0</v>
      </c>
      <c r="G31" s="64">
        <f>Input!$CB$17</f>
        <v>0</v>
      </c>
      <c r="H31" s="64">
        <f>Input!$CC$17</f>
        <v>0</v>
      </c>
      <c r="I31" s="64">
        <f>Input!$CD$17</f>
        <v>0</v>
      </c>
      <c r="J31" s="64">
        <f>Input!$CE$17</f>
        <v>0</v>
      </c>
      <c r="K31" s="64">
        <f>Input!$CF$17</f>
        <v>0</v>
      </c>
      <c r="L31" s="65">
        <f t="shared" si="2"/>
        <v>0</v>
      </c>
      <c r="N31" s="66"/>
      <c r="O31" s="67"/>
      <c r="P31" s="68"/>
      <c r="Q31" s="69"/>
      <c r="R31" s="70"/>
      <c r="S31" s="70"/>
      <c r="T31" s="70"/>
      <c r="U31" s="69"/>
      <c r="V31" s="70"/>
      <c r="W31" s="69"/>
      <c r="X31" s="62"/>
      <c r="Y31" s="67"/>
      <c r="Z31" s="69"/>
      <c r="AA31" s="19"/>
      <c r="AB31" s="24"/>
    </row>
    <row r="32" spans="2:28" ht="15.75" customHeight="1">
      <c r="B32" s="63" t="s">
        <v>35</v>
      </c>
      <c r="C32" s="21"/>
      <c r="D32" s="21"/>
      <c r="F32" s="64">
        <f>Input!$CG$17</f>
        <v>0</v>
      </c>
      <c r="G32" s="64">
        <f>Input!$CH$17</f>
        <v>0</v>
      </c>
      <c r="H32" s="64">
        <f>Input!$CI$17</f>
        <v>0</v>
      </c>
      <c r="I32" s="64">
        <f>Input!$CJ$17</f>
        <v>0</v>
      </c>
      <c r="J32" s="64">
        <f>Input!$CK$17</f>
        <v>0</v>
      </c>
      <c r="K32" s="64">
        <f>Input!$CL$17</f>
        <v>0</v>
      </c>
      <c r="L32" s="65">
        <f t="shared" si="2"/>
        <v>0</v>
      </c>
      <c r="N32" s="66"/>
      <c r="O32" s="67"/>
      <c r="P32" s="68"/>
      <c r="Q32" s="69"/>
      <c r="R32" s="70"/>
      <c r="S32" s="70"/>
      <c r="T32" s="70"/>
      <c r="U32" s="69"/>
      <c r="V32" s="70"/>
      <c r="W32" s="69"/>
      <c r="X32" s="62"/>
      <c r="Y32" s="67"/>
      <c r="Z32" s="69"/>
      <c r="AA32" s="19"/>
      <c r="AB32" s="24"/>
    </row>
    <row r="33" spans="1:28" ht="15.75" customHeight="1">
      <c r="B33" s="55" t="s">
        <v>36</v>
      </c>
      <c r="C33" s="21"/>
      <c r="D33" s="21"/>
      <c r="F33" s="64">
        <f>Input!$CM$17</f>
        <v>0</v>
      </c>
      <c r="G33" s="64">
        <f>Input!$CN$17</f>
        <v>0</v>
      </c>
      <c r="H33" s="64">
        <f>Input!$CO$17</f>
        <v>0</v>
      </c>
      <c r="I33" s="64">
        <f>Input!$CP$17</f>
        <v>0</v>
      </c>
      <c r="J33" s="64">
        <f>Input!$CQ$17</f>
        <v>0</v>
      </c>
      <c r="K33" s="64">
        <f>Input!$CR$17</f>
        <v>0</v>
      </c>
      <c r="L33" s="65">
        <f t="shared" si="2"/>
        <v>0</v>
      </c>
      <c r="N33" s="66"/>
      <c r="O33" s="67"/>
      <c r="P33" s="68"/>
      <c r="Q33" s="69"/>
      <c r="R33" s="70"/>
      <c r="S33" s="70"/>
      <c r="T33" s="70"/>
      <c r="U33" s="69"/>
      <c r="V33" s="70"/>
      <c r="W33" s="69"/>
      <c r="X33" s="62"/>
      <c r="Y33" s="67"/>
      <c r="Z33" s="69"/>
      <c r="AA33" s="19"/>
      <c r="AB33" s="24"/>
    </row>
    <row r="34" spans="1:28" ht="15.75" customHeight="1">
      <c r="B34" s="55" t="s">
        <v>37</v>
      </c>
      <c r="C34" s="21"/>
      <c r="D34" s="21"/>
      <c r="F34" s="64">
        <f>Input!$CS$17</f>
        <v>0</v>
      </c>
      <c r="G34" s="64">
        <f>Input!$CT$17</f>
        <v>0</v>
      </c>
      <c r="H34" s="64">
        <f>Input!$CU$17</f>
        <v>0</v>
      </c>
      <c r="I34" s="64">
        <f>Input!$CV$17</f>
        <v>0</v>
      </c>
      <c r="J34" s="64">
        <f>Input!$CW$17</f>
        <v>0</v>
      </c>
      <c r="K34" s="64">
        <f>Input!$CX$17</f>
        <v>0</v>
      </c>
      <c r="L34" s="65">
        <f t="shared" si="2"/>
        <v>0</v>
      </c>
      <c r="N34" s="66"/>
      <c r="O34" s="67"/>
      <c r="P34" s="68"/>
      <c r="Q34" s="69"/>
      <c r="R34" s="70"/>
      <c r="S34" s="70"/>
      <c r="T34" s="70"/>
      <c r="U34" s="69"/>
      <c r="V34" s="70"/>
      <c r="W34" s="69"/>
      <c r="X34" s="62"/>
      <c r="Y34" s="67"/>
      <c r="Z34" s="69"/>
      <c r="AA34" s="19"/>
      <c r="AB34" s="24"/>
    </row>
    <row r="35" spans="1:28" s="79" customFormat="1" ht="15.75" customHeight="1">
      <c r="A35" s="76"/>
      <c r="B35" s="77" t="s">
        <v>38</v>
      </c>
      <c r="C35" s="78"/>
      <c r="D35" s="78"/>
      <c r="E35" s="20"/>
      <c r="F35" s="64">
        <f>Input!$CY$17</f>
        <v>0</v>
      </c>
      <c r="G35" s="64">
        <f>Input!$CZ$17</f>
        <v>0</v>
      </c>
      <c r="H35" s="64">
        <f>Input!$DA$17</f>
        <v>0</v>
      </c>
      <c r="I35" s="64">
        <f>Input!$DB$17</f>
        <v>0</v>
      </c>
      <c r="J35" s="64">
        <f>Input!$DC$17</f>
        <v>0</v>
      </c>
      <c r="K35" s="64">
        <f>Input!$DD$17</f>
        <v>0</v>
      </c>
      <c r="L35" s="65">
        <f t="shared" si="2"/>
        <v>0</v>
      </c>
      <c r="N35" s="66"/>
      <c r="O35" s="67"/>
      <c r="P35" s="80"/>
      <c r="Q35" s="81"/>
      <c r="R35" s="70"/>
      <c r="S35" s="70"/>
      <c r="T35" s="70"/>
      <c r="U35" s="81"/>
      <c r="V35" s="70"/>
      <c r="W35" s="81"/>
      <c r="X35" s="62"/>
      <c r="Y35" s="67"/>
      <c r="Z35" s="81"/>
      <c r="AA35" s="82"/>
      <c r="AB35" s="83"/>
    </row>
    <row r="36" spans="1:28" s="79" customFormat="1" ht="15.75" customHeight="1">
      <c r="A36" s="76"/>
      <c r="B36" s="77" t="s">
        <v>39</v>
      </c>
      <c r="C36" s="78"/>
      <c r="D36" s="78"/>
      <c r="E36" s="20"/>
      <c r="F36" s="64">
        <f>Input!$DE$17</f>
        <v>0</v>
      </c>
      <c r="G36" s="64">
        <f>Input!$DF$17</f>
        <v>0</v>
      </c>
      <c r="H36" s="64">
        <f>Input!$DG$17</f>
        <v>0</v>
      </c>
      <c r="I36" s="64">
        <f>Input!$DH$17</f>
        <v>0</v>
      </c>
      <c r="J36" s="64">
        <f>Input!$DI$17</f>
        <v>0</v>
      </c>
      <c r="K36" s="64">
        <f>Input!$DJ$17</f>
        <v>0</v>
      </c>
      <c r="L36" s="65">
        <f t="shared" si="2"/>
        <v>0</v>
      </c>
      <c r="N36" s="66"/>
      <c r="O36" s="67"/>
      <c r="P36" s="80"/>
      <c r="Q36" s="81"/>
      <c r="R36" s="70"/>
      <c r="S36" s="70"/>
      <c r="T36" s="70"/>
      <c r="U36" s="81"/>
      <c r="V36" s="70"/>
      <c r="W36" s="81"/>
      <c r="X36" s="62"/>
      <c r="Y36" s="67"/>
      <c r="Z36" s="81"/>
      <c r="AA36" s="82"/>
      <c r="AB36" s="83"/>
    </row>
    <row r="37" spans="1:28" s="79" customFormat="1" ht="15.75" customHeight="1">
      <c r="A37" s="76"/>
      <c r="B37" s="77" t="s">
        <v>40</v>
      </c>
      <c r="C37" s="78"/>
      <c r="D37" s="78"/>
      <c r="E37" s="20"/>
      <c r="F37" s="64">
        <f>Input!$DK$17</f>
        <v>0</v>
      </c>
      <c r="G37" s="64">
        <f>Input!$DL$17</f>
        <v>0</v>
      </c>
      <c r="H37" s="64">
        <f>Input!$DM$17</f>
        <v>0</v>
      </c>
      <c r="I37" s="64">
        <f>Input!$DN$17</f>
        <v>0</v>
      </c>
      <c r="J37" s="64">
        <f>Input!$DO$17</f>
        <v>0</v>
      </c>
      <c r="K37" s="64">
        <f>Input!$DP$17</f>
        <v>0</v>
      </c>
      <c r="L37" s="65">
        <f t="shared" si="2"/>
        <v>0</v>
      </c>
      <c r="N37" s="66"/>
      <c r="O37" s="67"/>
      <c r="P37" s="80"/>
      <c r="Q37" s="81"/>
      <c r="R37" s="70"/>
      <c r="S37" s="70"/>
      <c r="T37" s="70"/>
      <c r="U37" s="81"/>
      <c r="V37" s="70"/>
      <c r="W37" s="81"/>
      <c r="X37" s="62"/>
      <c r="Y37" s="67"/>
      <c r="Z37" s="81"/>
      <c r="AA37" s="82"/>
      <c r="AB37" s="83"/>
    </row>
    <row r="38" spans="1:28" s="79" customFormat="1" ht="15.75" customHeight="1">
      <c r="A38" s="76"/>
      <c r="B38" s="77" t="s">
        <v>41</v>
      </c>
      <c r="C38" s="78"/>
      <c r="D38" s="78"/>
      <c r="E38" s="20"/>
      <c r="F38" s="64">
        <f>Input!$DQ$17</f>
        <v>0</v>
      </c>
      <c r="G38" s="64">
        <f>Input!$DR$17</f>
        <v>0</v>
      </c>
      <c r="H38" s="64">
        <f>Input!$DS$17</f>
        <v>0</v>
      </c>
      <c r="I38" s="64">
        <f>Input!$DT$17</f>
        <v>0</v>
      </c>
      <c r="J38" s="64">
        <f>Input!$DU$17</f>
        <v>0</v>
      </c>
      <c r="K38" s="64">
        <f>Input!$DV$17</f>
        <v>0</v>
      </c>
      <c r="L38" s="65">
        <f t="shared" si="2"/>
        <v>0</v>
      </c>
      <c r="N38" s="66"/>
      <c r="O38" s="67"/>
      <c r="P38" s="80"/>
      <c r="Q38" s="81"/>
      <c r="R38" s="70"/>
      <c r="S38" s="70"/>
      <c r="T38" s="70"/>
      <c r="U38" s="81"/>
      <c r="V38" s="70"/>
      <c r="W38" s="81"/>
      <c r="X38" s="62"/>
      <c r="Y38" s="67"/>
      <c r="Z38" s="81"/>
      <c r="AA38" s="82"/>
      <c r="AB38" s="83"/>
    </row>
    <row r="39" spans="1:28" s="79" customFormat="1" ht="15.75" customHeight="1">
      <c r="A39" s="76"/>
      <c r="B39" s="77" t="s">
        <v>42</v>
      </c>
      <c r="C39" s="78"/>
      <c r="D39" s="78"/>
      <c r="E39" s="20"/>
      <c r="F39" s="64">
        <f>Input!$DW$17</f>
        <v>0</v>
      </c>
      <c r="G39" s="64">
        <f>Input!$DX$17</f>
        <v>0</v>
      </c>
      <c r="H39" s="64">
        <f>Input!$DY$17</f>
        <v>0</v>
      </c>
      <c r="I39" s="64">
        <f>Input!$DZ$17</f>
        <v>0</v>
      </c>
      <c r="J39" s="64">
        <f>Input!$EA$17</f>
        <v>0</v>
      </c>
      <c r="K39" s="64">
        <f>Input!$EB$17</f>
        <v>0</v>
      </c>
      <c r="L39" s="65">
        <f t="shared" si="2"/>
        <v>0</v>
      </c>
      <c r="N39" s="66"/>
      <c r="O39" s="67"/>
      <c r="P39" s="80"/>
      <c r="Q39" s="81"/>
      <c r="R39" s="70"/>
      <c r="S39" s="70"/>
      <c r="T39" s="70"/>
      <c r="U39" s="81"/>
      <c r="V39" s="70"/>
      <c r="W39" s="81"/>
      <c r="X39" s="62"/>
      <c r="Y39" s="67"/>
      <c r="Z39" s="81"/>
      <c r="AA39" s="82"/>
      <c r="AB39" s="83"/>
    </row>
    <row r="40" spans="1:28" ht="15.75" customHeight="1">
      <c r="A40" s="76"/>
      <c r="B40" s="55" t="s">
        <v>43</v>
      </c>
      <c r="C40" s="21"/>
      <c r="D40" s="21"/>
      <c r="E40" s="21"/>
      <c r="F40" s="84">
        <f>Input!$EC$17</f>
        <v>0</v>
      </c>
      <c r="G40" s="84">
        <f>Input!$ED$17</f>
        <v>0</v>
      </c>
      <c r="H40" s="84">
        <f>Input!$EE$17</f>
        <v>0</v>
      </c>
      <c r="I40" s="84">
        <f>Input!$EF$17</f>
        <v>0</v>
      </c>
      <c r="J40" s="84">
        <f>Input!$EG$17</f>
        <v>0</v>
      </c>
      <c r="K40" s="84">
        <f>Input!$EH$17</f>
        <v>0</v>
      </c>
      <c r="L40" s="65">
        <f t="shared" si="2"/>
        <v>0</v>
      </c>
      <c r="N40" s="66"/>
      <c r="O40" s="317" t="s">
        <v>633</v>
      </c>
      <c r="P40" s="41" t="s">
        <v>634</v>
      </c>
      <c r="Q40" s="85"/>
      <c r="R40" s="70"/>
      <c r="S40" s="70"/>
      <c r="T40" s="70"/>
      <c r="U40" s="69"/>
      <c r="V40" s="70"/>
      <c r="W40" s="69"/>
      <c r="X40" s="62"/>
      <c r="Y40" s="67"/>
      <c r="Z40" s="69"/>
      <c r="AA40" s="19"/>
      <c r="AB40" s="24">
        <f>SUM(C40:L40)</f>
        <v>0</v>
      </c>
    </row>
    <row r="41" spans="1:28" ht="15.75" customHeight="1">
      <c r="A41" s="76"/>
      <c r="B41" s="43" t="s">
        <v>44</v>
      </c>
      <c r="C41" s="44"/>
      <c r="D41" s="44"/>
      <c r="E41" s="44"/>
      <c r="F41" s="86">
        <f t="shared" ref="F41:L41" si="3">SUM(F20:F40)</f>
        <v>25935870</v>
      </c>
      <c r="G41" s="86">
        <f t="shared" si="3"/>
        <v>0</v>
      </c>
      <c r="H41" s="86">
        <f t="shared" si="3"/>
        <v>1316900</v>
      </c>
      <c r="I41" s="86">
        <f t="shared" si="3"/>
        <v>8871440</v>
      </c>
      <c r="J41" s="86">
        <f t="shared" si="3"/>
        <v>1932910</v>
      </c>
      <c r="K41" s="86">
        <f t="shared" si="3"/>
        <v>1797759</v>
      </c>
      <c r="L41" s="87">
        <f t="shared" si="3"/>
        <v>39854879</v>
      </c>
      <c r="N41" s="88"/>
      <c r="O41" s="308" t="s">
        <v>628</v>
      </c>
      <c r="P41" s="309" t="s">
        <v>17</v>
      </c>
      <c r="Q41" s="89"/>
      <c r="R41" s="89"/>
      <c r="S41" s="50">
        <f>L41-INT(L41)</f>
        <v>0</v>
      </c>
      <c r="T41" s="61"/>
      <c r="U41" s="90"/>
      <c r="V41" s="61"/>
      <c r="W41" s="61"/>
      <c r="X41" s="85"/>
      <c r="Y41" s="60"/>
      <c r="Z41" s="91"/>
      <c r="AA41" s="19"/>
      <c r="AB41" s="44">
        <f>SUM(AB20:AB40)</f>
        <v>64625628</v>
      </c>
    </row>
    <row r="42" spans="1:28" ht="15.75" customHeight="1">
      <c r="A42" s="76"/>
      <c r="C42" s="38"/>
      <c r="D42" s="38"/>
      <c r="F42" s="38"/>
      <c r="G42" s="310" t="s">
        <v>629</v>
      </c>
      <c r="H42" s="311">
        <f>H41+G41</f>
        <v>1316900</v>
      </c>
      <c r="I42" s="53"/>
      <c r="J42" s="310" t="s">
        <v>630</v>
      </c>
      <c r="K42" s="311">
        <f>K41+J41</f>
        <v>3730669</v>
      </c>
      <c r="L42" s="310" t="s">
        <v>631</v>
      </c>
      <c r="M42" s="312"/>
      <c r="N42" s="313">
        <f>K42+F41</f>
        <v>29666539</v>
      </c>
      <c r="O42" s="314">
        <f>ROUND((N42/P42)*100,2)</f>
        <v>16.47</v>
      </c>
      <c r="P42" s="93">
        <f>Input!$GR$17</f>
        <v>180110173</v>
      </c>
      <c r="Q42" s="92"/>
      <c r="R42" s="92"/>
      <c r="S42" s="92"/>
      <c r="T42" s="94"/>
      <c r="U42" s="95"/>
      <c r="V42" s="96"/>
      <c r="W42" s="92"/>
      <c r="X42" s="92"/>
      <c r="Y42" s="92"/>
      <c r="Z42" s="92" t="str">
        <f>IF(Z41&lt;&gt;0,"Out of Balance","")</f>
        <v/>
      </c>
    </row>
    <row r="43" spans="1:28" ht="15.75" customHeight="1">
      <c r="A43" s="76"/>
      <c r="B43" s="14" t="s">
        <v>45</v>
      </c>
      <c r="C43" s="53"/>
      <c r="D43" s="53"/>
      <c r="E43" s="53"/>
      <c r="F43" s="53"/>
      <c r="G43" s="315"/>
      <c r="H43" s="315"/>
      <c r="I43" s="315"/>
      <c r="J43" s="315"/>
      <c r="K43" s="315"/>
      <c r="L43" s="315"/>
      <c r="O43" s="316" t="s">
        <v>632</v>
      </c>
      <c r="Q43" s="92"/>
      <c r="R43" s="92"/>
      <c r="S43" s="92"/>
      <c r="T43" s="94"/>
      <c r="U43" s="95"/>
      <c r="V43" s="96"/>
      <c r="W43" s="92"/>
      <c r="X43" s="92"/>
      <c r="Y43" s="92"/>
      <c r="Z43" s="92"/>
    </row>
    <row r="44" spans="1:28" ht="15.75" customHeight="1">
      <c r="A44" s="76"/>
      <c r="B44" s="55" t="s">
        <v>544</v>
      </c>
      <c r="C44" s="21"/>
      <c r="D44" s="21"/>
      <c r="F44" s="64">
        <f>Input!$EI$17</f>
        <v>6872512</v>
      </c>
      <c r="G44" s="64">
        <f>Input!$EJ$17</f>
        <v>0</v>
      </c>
      <c r="H44" s="64">
        <f>Input!$EK$17</f>
        <v>371839</v>
      </c>
      <c r="I44" s="64">
        <f>Input!$EL$17</f>
        <v>173495</v>
      </c>
      <c r="J44" s="64">
        <f>Input!$EM$17</f>
        <v>65065</v>
      </c>
      <c r="K44" s="64">
        <f>Input!$EN$17</f>
        <v>235472</v>
      </c>
      <c r="L44" s="57">
        <f>SUM(F44:K44)</f>
        <v>7718383</v>
      </c>
      <c r="N44" s="9"/>
      <c r="O44" s="318">
        <f>ROUND(N42/O46,0)</f>
        <v>725343</v>
      </c>
      <c r="Q44" s="93"/>
      <c r="R44" s="93"/>
      <c r="S44" s="93"/>
      <c r="T44" s="94"/>
      <c r="U44" s="95"/>
      <c r="V44" s="99"/>
      <c r="W44" s="93"/>
      <c r="X44" s="101"/>
      <c r="Y44" s="92"/>
      <c r="Z44" s="100"/>
      <c r="AB44" s="24">
        <f>SUM(C44:L44)</f>
        <v>15436766</v>
      </c>
    </row>
    <row r="45" spans="1:28" ht="15.75" customHeight="1">
      <c r="A45" s="76"/>
      <c r="B45" s="55" t="s">
        <v>46</v>
      </c>
      <c r="C45" s="21"/>
      <c r="D45" s="21"/>
      <c r="F45" s="64">
        <f>Input!$EO$17</f>
        <v>2968045</v>
      </c>
      <c r="G45" s="64">
        <f>Input!$EP$17</f>
        <v>0</v>
      </c>
      <c r="H45" s="64">
        <f>Input!$EQ$17</f>
        <v>121598</v>
      </c>
      <c r="I45" s="64">
        <f>Input!$ER$17</f>
        <v>136838</v>
      </c>
      <c r="J45" s="64">
        <f>Input!$ES$17</f>
        <v>8066</v>
      </c>
      <c r="K45" s="64">
        <f>Input!$ET$17</f>
        <v>171566</v>
      </c>
      <c r="L45" s="65">
        <f t="shared" ref="L45:L53" si="4">SUM(F45:K45)</f>
        <v>3406113</v>
      </c>
      <c r="N45" s="97"/>
      <c r="O45" s="319" t="s">
        <v>635</v>
      </c>
      <c r="P45" s="98"/>
      <c r="Q45" s="93"/>
      <c r="R45" s="93"/>
      <c r="S45" s="93"/>
      <c r="T45" s="94"/>
      <c r="U45" s="95"/>
      <c r="V45" s="99"/>
      <c r="W45" s="93"/>
      <c r="X45" s="101"/>
      <c r="Y45" s="92"/>
      <c r="Z45" s="100"/>
      <c r="AB45" s="24"/>
    </row>
    <row r="46" spans="1:28" ht="15.75" customHeight="1">
      <c r="A46" s="76"/>
      <c r="B46" s="55" t="s">
        <v>545</v>
      </c>
      <c r="C46" s="21"/>
      <c r="D46" s="21"/>
      <c r="F46" s="64">
        <f>Input!$EU$17</f>
        <v>3940808</v>
      </c>
      <c r="G46" s="64">
        <f>Input!$EV$17</f>
        <v>0</v>
      </c>
      <c r="H46" s="64">
        <f>Input!$EW$17</f>
        <v>0</v>
      </c>
      <c r="I46" s="64">
        <f>Input!$EX$17</f>
        <v>98518</v>
      </c>
      <c r="J46" s="64">
        <f>Input!$EY$17</f>
        <v>3725</v>
      </c>
      <c r="K46" s="64">
        <f>Input!$EZ$17</f>
        <v>201704</v>
      </c>
      <c r="L46" s="65">
        <f t="shared" si="4"/>
        <v>4244755</v>
      </c>
      <c r="N46" s="97"/>
      <c r="O46" s="320">
        <f>FTSE!$O$42</f>
        <v>40.9</v>
      </c>
      <c r="P46" s="98"/>
      <c r="Q46" s="93"/>
      <c r="R46" s="93"/>
      <c r="S46" s="93"/>
      <c r="T46" s="94"/>
      <c r="U46" s="95"/>
      <c r="V46" s="99"/>
      <c r="W46" s="93"/>
      <c r="X46" s="101"/>
      <c r="Y46" s="92"/>
      <c r="Z46" s="100"/>
      <c r="AB46" s="24"/>
    </row>
    <row r="47" spans="1:28" ht="15.75" customHeight="1">
      <c r="A47" s="76"/>
      <c r="B47" s="63" t="s">
        <v>546</v>
      </c>
      <c r="C47" s="21"/>
      <c r="D47" s="21"/>
      <c r="F47" s="64">
        <f>Input!$FA$17</f>
        <v>114194</v>
      </c>
      <c r="G47" s="64">
        <f>Input!$FB$17</f>
        <v>0</v>
      </c>
      <c r="H47" s="64">
        <f>Input!$FC$17</f>
        <v>0</v>
      </c>
      <c r="I47" s="64">
        <f>Input!$FD$17</f>
        <v>14976</v>
      </c>
      <c r="J47" s="64">
        <f>Input!$FE$17</f>
        <v>80</v>
      </c>
      <c r="K47" s="64">
        <f>Input!$FF$17</f>
        <v>0</v>
      </c>
      <c r="L47" s="65">
        <f t="shared" si="4"/>
        <v>129250</v>
      </c>
      <c r="N47" s="97"/>
      <c r="O47" s="321" t="s">
        <v>636</v>
      </c>
      <c r="P47" s="98"/>
      <c r="Q47" s="93"/>
      <c r="R47" s="93"/>
      <c r="S47" s="93"/>
      <c r="T47" s="94"/>
      <c r="U47" s="95"/>
      <c r="V47" s="99"/>
      <c r="W47" s="93"/>
      <c r="X47" s="101"/>
      <c r="Y47" s="92"/>
      <c r="Z47" s="100"/>
      <c r="AB47" s="24"/>
    </row>
    <row r="48" spans="1:28" ht="15.75" customHeight="1">
      <c r="A48" s="76"/>
      <c r="B48" s="55" t="s">
        <v>547</v>
      </c>
      <c r="C48" s="21"/>
      <c r="D48" s="21"/>
      <c r="F48" s="64">
        <f>Input!$FG$17</f>
        <v>1260051</v>
      </c>
      <c r="G48" s="64">
        <f>Input!$FH$17</f>
        <v>0</v>
      </c>
      <c r="H48" s="64">
        <f>Input!$FI$17</f>
        <v>0</v>
      </c>
      <c r="I48" s="64">
        <f>Input!$FJ$17</f>
        <v>19766</v>
      </c>
      <c r="J48" s="64">
        <f>Input!$FK$17</f>
        <v>5612</v>
      </c>
      <c r="K48" s="64">
        <f>Input!$FL$17</f>
        <v>415483</v>
      </c>
      <c r="L48" s="65">
        <f t="shared" si="4"/>
        <v>1700912</v>
      </c>
      <c r="N48" s="97"/>
      <c r="P48" s="98"/>
      <c r="Q48" s="93"/>
      <c r="R48" s="93"/>
      <c r="S48" s="93"/>
      <c r="T48" s="94"/>
      <c r="U48" s="95"/>
      <c r="V48" s="99"/>
      <c r="W48" s="93"/>
      <c r="X48" s="101"/>
      <c r="Y48" s="92"/>
      <c r="Z48" s="100"/>
      <c r="AB48" s="24"/>
    </row>
    <row r="49" spans="1:28" s="79" customFormat="1" ht="15.75" customHeight="1">
      <c r="A49" s="76"/>
      <c r="B49" s="228" t="s">
        <v>548</v>
      </c>
      <c r="C49" s="78"/>
      <c r="D49" s="78"/>
      <c r="E49" s="20"/>
      <c r="F49" s="64">
        <f>Input!$FM$17</f>
        <v>0</v>
      </c>
      <c r="G49" s="64">
        <f>Input!$FN$17</f>
        <v>0</v>
      </c>
      <c r="H49" s="64">
        <f>Input!$FO$17</f>
        <v>0</v>
      </c>
      <c r="I49" s="64">
        <f>Input!$FP$17</f>
        <v>0</v>
      </c>
      <c r="J49" s="64">
        <f>Input!$FQ$17</f>
        <v>0</v>
      </c>
      <c r="K49" s="64">
        <f>Input!$FR$17</f>
        <v>0</v>
      </c>
      <c r="L49" s="65">
        <f t="shared" si="4"/>
        <v>0</v>
      </c>
      <c r="N49" s="102"/>
      <c r="P49" s="103"/>
      <c r="Q49" s="104"/>
      <c r="R49" s="104"/>
      <c r="S49" s="104"/>
      <c r="T49" s="105"/>
      <c r="U49" s="106"/>
      <c r="V49" s="107"/>
      <c r="W49" s="104"/>
      <c r="X49" s="108"/>
      <c r="Y49" s="109"/>
      <c r="Z49" s="110"/>
      <c r="AB49" s="83"/>
    </row>
    <row r="50" spans="1:28" s="79" customFormat="1" ht="15.75" customHeight="1">
      <c r="A50" s="76"/>
      <c r="B50" s="228" t="s">
        <v>549</v>
      </c>
      <c r="C50" s="78"/>
      <c r="D50" s="78"/>
      <c r="E50" s="20"/>
      <c r="F50" s="64">
        <f>Input!$FS$17</f>
        <v>0</v>
      </c>
      <c r="G50" s="64">
        <f>Input!$FT$17</f>
        <v>0</v>
      </c>
      <c r="H50" s="64">
        <f>Input!$FU$17</f>
        <v>0</v>
      </c>
      <c r="I50" s="64">
        <f>Input!$FV$17</f>
        <v>0</v>
      </c>
      <c r="J50" s="64">
        <f>Input!$FW$17</f>
        <v>0</v>
      </c>
      <c r="K50" s="64">
        <f>Input!$FX$17</f>
        <v>0</v>
      </c>
      <c r="L50" s="65">
        <f t="shared" si="4"/>
        <v>0</v>
      </c>
      <c r="N50" s="102"/>
      <c r="P50" s="103"/>
      <c r="Q50" s="104"/>
      <c r="R50" s="104"/>
      <c r="S50" s="104"/>
      <c r="T50" s="105"/>
      <c r="U50" s="106"/>
      <c r="V50" s="107"/>
      <c r="W50" s="104"/>
      <c r="X50" s="108"/>
      <c r="Y50" s="109"/>
      <c r="Z50" s="110"/>
      <c r="AB50" s="83"/>
    </row>
    <row r="51" spans="1:28" s="79" customFormat="1" ht="15.75" customHeight="1">
      <c r="A51" s="76"/>
      <c r="B51" s="228" t="s">
        <v>550</v>
      </c>
      <c r="C51" s="78"/>
      <c r="D51" s="78"/>
      <c r="E51" s="20"/>
      <c r="F51" s="64">
        <f>Input!$FY$17</f>
        <v>0</v>
      </c>
      <c r="G51" s="64">
        <f>Input!$FZ$17</f>
        <v>0</v>
      </c>
      <c r="H51" s="64">
        <f>Input!$GA$17</f>
        <v>0</v>
      </c>
      <c r="I51" s="64">
        <f>Input!$GB$17</f>
        <v>0</v>
      </c>
      <c r="J51" s="64">
        <f>Input!$GC$17</f>
        <v>0</v>
      </c>
      <c r="K51" s="64">
        <f>Input!$GD$17</f>
        <v>0</v>
      </c>
      <c r="L51" s="65">
        <f t="shared" si="4"/>
        <v>0</v>
      </c>
      <c r="N51" s="102"/>
      <c r="P51" s="103"/>
      <c r="Q51" s="104"/>
      <c r="R51" s="104"/>
      <c r="S51" s="104"/>
      <c r="T51" s="105"/>
      <c r="U51" s="106"/>
      <c r="V51" s="107"/>
      <c r="W51" s="104"/>
      <c r="X51" s="108"/>
      <c r="Y51" s="109"/>
      <c r="Z51" s="110"/>
      <c r="AB51" s="83"/>
    </row>
    <row r="52" spans="1:28" s="79" customFormat="1" ht="15.75" customHeight="1">
      <c r="A52" s="76"/>
      <c r="B52" s="228" t="s">
        <v>551</v>
      </c>
      <c r="C52" s="78"/>
      <c r="D52" s="78"/>
      <c r="E52" s="20"/>
      <c r="F52" s="64">
        <f>Input!$GE$17</f>
        <v>0</v>
      </c>
      <c r="G52" s="64">
        <f>Input!$GF$17</f>
        <v>0</v>
      </c>
      <c r="H52" s="64">
        <f>Input!$GG$17</f>
        <v>0</v>
      </c>
      <c r="I52" s="64">
        <f>Input!$GH$17</f>
        <v>0</v>
      </c>
      <c r="J52" s="64">
        <f>Input!$GI$17</f>
        <v>0</v>
      </c>
      <c r="K52" s="64">
        <f>Input!$GJ$17</f>
        <v>0</v>
      </c>
      <c r="L52" s="65">
        <f t="shared" si="4"/>
        <v>0</v>
      </c>
      <c r="N52" s="102"/>
      <c r="P52" s="103"/>
      <c r="Q52" s="104"/>
      <c r="R52" s="104"/>
      <c r="S52" s="104"/>
      <c r="T52" s="105"/>
      <c r="U52" s="106"/>
      <c r="V52" s="107"/>
      <c r="W52" s="104"/>
      <c r="X52" s="108"/>
      <c r="Y52" s="109"/>
      <c r="Z52" s="110"/>
      <c r="AB52" s="83"/>
    </row>
    <row r="53" spans="1:28" s="79" customFormat="1" ht="15.75" customHeight="1">
      <c r="A53" s="76"/>
      <c r="B53" s="228" t="s">
        <v>552</v>
      </c>
      <c r="C53" s="78"/>
      <c r="D53" s="78"/>
      <c r="E53" s="20"/>
      <c r="F53" s="64">
        <f>Input!$GK$17</f>
        <v>0</v>
      </c>
      <c r="G53" s="64">
        <f>Input!$GL$17</f>
        <v>0</v>
      </c>
      <c r="H53" s="64">
        <f>Input!$GM$17</f>
        <v>0</v>
      </c>
      <c r="I53" s="64">
        <f>Input!$GN$17</f>
        <v>0</v>
      </c>
      <c r="J53" s="64">
        <f>Input!$GO$17</f>
        <v>0</v>
      </c>
      <c r="K53" s="64">
        <f>Input!$GP$17</f>
        <v>0</v>
      </c>
      <c r="L53" s="65">
        <f t="shared" si="4"/>
        <v>0</v>
      </c>
      <c r="N53" s="102"/>
      <c r="P53" s="103"/>
      <c r="Q53" s="104"/>
      <c r="R53" s="104"/>
      <c r="S53" s="104"/>
      <c r="T53" s="105"/>
      <c r="U53" s="106"/>
      <c r="V53" s="107"/>
      <c r="W53" s="104"/>
      <c r="X53" s="108"/>
      <c r="Y53" s="109"/>
      <c r="Z53" s="110"/>
      <c r="AB53" s="83"/>
    </row>
    <row r="54" spans="1:28" ht="15.75" customHeight="1">
      <c r="A54" s="76"/>
      <c r="B54" s="43" t="s">
        <v>47</v>
      </c>
      <c r="C54" s="44"/>
      <c r="D54" s="44"/>
      <c r="E54" s="44"/>
      <c r="F54" s="86">
        <f>SUM(F44:F53)</f>
        <v>15155610</v>
      </c>
      <c r="G54" s="86">
        <f t="shared" ref="G54:L54" si="5">SUM(G44:G53)</f>
        <v>0</v>
      </c>
      <c r="H54" s="86">
        <f t="shared" si="5"/>
        <v>493437</v>
      </c>
      <c r="I54" s="86">
        <f t="shared" si="5"/>
        <v>443593</v>
      </c>
      <c r="J54" s="86">
        <f t="shared" si="5"/>
        <v>82548</v>
      </c>
      <c r="K54" s="86">
        <f t="shared" si="5"/>
        <v>1024225</v>
      </c>
      <c r="L54" s="86">
        <f t="shared" si="5"/>
        <v>17199413</v>
      </c>
      <c r="N54" s="97"/>
      <c r="P54" s="98"/>
      <c r="Q54" s="98"/>
      <c r="R54" s="98"/>
      <c r="S54" s="50">
        <f>L54-INT(L54)</f>
        <v>0</v>
      </c>
      <c r="T54" s="94"/>
      <c r="U54" s="95"/>
      <c r="V54" s="99"/>
      <c r="W54" s="99"/>
      <c r="X54" s="99"/>
      <c r="Y54" s="95"/>
      <c r="Z54" s="95"/>
      <c r="AB54" s="44">
        <f>SUM(AB44:AB48)</f>
        <v>15436766</v>
      </c>
    </row>
    <row r="55" spans="1:28" ht="15.75" customHeight="1">
      <c r="A55" s="76"/>
      <c r="C55" s="38"/>
      <c r="D55" s="38"/>
      <c r="E55" s="38"/>
      <c r="F55" s="38"/>
      <c r="G55" s="38"/>
      <c r="H55" s="38"/>
      <c r="I55" s="38"/>
      <c r="J55" s="38"/>
      <c r="K55" s="38"/>
      <c r="L55" s="38"/>
      <c r="N55" s="97"/>
      <c r="P55" s="98"/>
      <c r="Q55" s="98"/>
      <c r="R55" s="98"/>
      <c r="S55" s="98"/>
      <c r="T55" s="94"/>
      <c r="U55" s="95"/>
      <c r="V55" s="99"/>
      <c r="W55" s="99"/>
      <c r="X55" s="99"/>
      <c r="Y55" s="95"/>
      <c r="Z55" s="95"/>
    </row>
    <row r="56" spans="1:28" ht="15.75" customHeight="1">
      <c r="A56" s="76"/>
      <c r="L56" s="6" t="s">
        <v>48</v>
      </c>
      <c r="N56" s="111"/>
      <c r="Q56" s="112"/>
      <c r="R56" s="112"/>
      <c r="S56" s="112"/>
      <c r="W56" s="112"/>
      <c r="X56" s="112"/>
      <c r="Y56" s="112"/>
      <c r="Z56" s="112"/>
    </row>
    <row r="57" spans="1:28" ht="15.75" customHeight="1">
      <c r="A57" s="76"/>
      <c r="N57" s="113"/>
    </row>
    <row r="58" spans="1:28" s="112" customFormat="1" ht="15.75" customHeight="1">
      <c r="A58" s="76"/>
      <c r="N58" s="113"/>
      <c r="O58" s="9"/>
      <c r="P58" s="9"/>
      <c r="Q58" s="9"/>
      <c r="R58" s="9"/>
      <c r="S58" s="9"/>
      <c r="T58" s="9"/>
      <c r="U58" s="9"/>
      <c r="V58" s="9"/>
      <c r="W58" s="9"/>
      <c r="X58" s="9"/>
      <c r="Y58" s="9"/>
      <c r="Z58" s="9"/>
    </row>
    <row r="59" spans="1:28" s="112" customFormat="1" ht="15.75" customHeight="1">
      <c r="A59" s="76"/>
      <c r="N59" s="113"/>
      <c r="O59" s="9"/>
      <c r="P59" s="9"/>
      <c r="Q59" s="9"/>
      <c r="R59" s="9"/>
      <c r="S59" s="9"/>
      <c r="T59" s="9"/>
      <c r="U59" s="9"/>
      <c r="V59" s="9"/>
      <c r="W59" s="9"/>
      <c r="X59" s="9"/>
      <c r="Y59" s="9"/>
      <c r="Z59" s="9"/>
    </row>
    <row r="60" spans="1:28" s="112" customFormat="1" ht="15.75" customHeight="1">
      <c r="A60" s="76"/>
      <c r="N60" s="113"/>
      <c r="O60" s="9"/>
      <c r="P60" s="9"/>
      <c r="Q60" s="9"/>
      <c r="R60" s="9"/>
      <c r="S60" s="9"/>
      <c r="T60" s="9"/>
      <c r="U60" s="9"/>
      <c r="V60" s="9"/>
      <c r="W60" s="9"/>
      <c r="X60" s="9"/>
      <c r="Y60" s="9"/>
      <c r="Z60" s="9"/>
    </row>
    <row r="61" spans="1:28" s="79" customFormat="1" ht="15.75" customHeight="1">
      <c r="A61" s="76"/>
      <c r="B61" s="20"/>
      <c r="C61" s="20"/>
      <c r="D61" s="20"/>
      <c r="E61" s="20"/>
      <c r="F61" s="114">
        <f t="shared" ref="F61:L61" si="6">F54+F41</f>
        <v>41091480</v>
      </c>
      <c r="G61" s="114">
        <f t="shared" si="6"/>
        <v>0</v>
      </c>
      <c r="H61" s="114">
        <f t="shared" si="6"/>
        <v>1810337</v>
      </c>
      <c r="I61" s="114">
        <f t="shared" si="6"/>
        <v>9315033</v>
      </c>
      <c r="J61" s="114">
        <f t="shared" si="6"/>
        <v>2015458</v>
      </c>
      <c r="K61" s="114">
        <f t="shared" si="6"/>
        <v>2821984</v>
      </c>
      <c r="L61" s="114">
        <f t="shared" si="6"/>
        <v>57054292</v>
      </c>
      <c r="N61" s="20"/>
    </row>
    <row r="62" spans="1:28" s="79" customFormat="1" ht="15.75" customHeight="1">
      <c r="A62" s="76"/>
      <c r="B62" s="20"/>
      <c r="C62" s="20"/>
      <c r="D62" s="20"/>
      <c r="E62" s="20"/>
      <c r="F62" s="20"/>
      <c r="G62" s="20"/>
      <c r="H62" s="20"/>
      <c r="I62" s="20"/>
      <c r="J62" s="20"/>
      <c r="K62" s="20"/>
      <c r="L62" s="114">
        <f>SUM(K8:K9)+SUM(K12:K16)</f>
        <v>39854879</v>
      </c>
      <c r="N62" s="20"/>
    </row>
    <row r="63" spans="1:28" s="79" customFormat="1" ht="15.75" customHeight="1">
      <c r="A63" s="76"/>
      <c r="B63" s="20"/>
      <c r="C63" s="20"/>
      <c r="D63" s="20"/>
      <c r="E63" s="20"/>
      <c r="F63" s="20"/>
      <c r="G63" s="20"/>
      <c r="H63" s="20"/>
      <c r="I63" s="20"/>
      <c r="J63" s="20"/>
      <c r="K63" s="20"/>
      <c r="L63" s="114">
        <f>SUM(L61:L62)</f>
        <v>96909171</v>
      </c>
      <c r="N63" s="20"/>
    </row>
    <row r="65" spans="12:12" ht="15.75" customHeight="1">
      <c r="L65" s="3" t="str">
        <f>IF($L$63+L64&lt;&gt;Input!$D$17,"Error","Balanced")</f>
        <v>Balanced</v>
      </c>
    </row>
  </sheetData>
  <mergeCells count="3">
    <mergeCell ref="B6:L6"/>
    <mergeCell ref="H10:J10"/>
    <mergeCell ref="F18:J18"/>
  </mergeCells>
  <conditionalFormatting sqref="O25:O26">
    <cfRule type="expression" dxfId="8" priority="3">
      <formula>$O$26&lt;&gt;0</formula>
    </cfRule>
  </conditionalFormatting>
  <conditionalFormatting sqref="H10:J10">
    <cfRule type="expression" dxfId="7" priority="1">
      <formula>$O$10&lt;&gt;0</formula>
    </cfRule>
  </conditionalFormatting>
  <conditionalFormatting sqref="F18:J18">
    <cfRule type="expression" dxfId="6" priority="5">
      <formula>OR($S$17&lt;&gt;0,$S$41&lt;&gt;0,$S$54&lt;&gt;0)</formula>
    </cfRule>
  </conditionalFormatting>
  <hyperlinks>
    <hyperlink ref="N1" location="Index!A1" display="Return to Index"/>
  </hyperlinks>
  <printOptions horizontalCentered="1"/>
  <pageMargins left="0.25" right="0.25" top="0.25" bottom="0.25" header="0.5" footer="0.5"/>
  <pageSetup scale="60" pageOrder="overThenDown" orientation="landscape" r:id="rId1"/>
  <headerFooter alignWithMargins="0"/>
  <colBreaks count="1" manualBreakCount="1">
    <brk id="12" max="80" man="1"/>
  </colBreaks>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00"/>
    <pageSetUpPr fitToPage="1"/>
  </sheetPr>
  <dimension ref="A1:AB65"/>
  <sheetViews>
    <sheetView showGridLines="0" zoomScale="75" zoomScaleNormal="75" workbookViewId="0">
      <pane xSplit="4" ySplit="3" topLeftCell="J8" activePane="bottomRight" state="frozen"/>
      <selection pane="topRight" activeCell="E1" sqref="E1"/>
      <selection pane="bottomLeft" activeCell="A4" sqref="A4"/>
      <selection pane="bottomRight" activeCell="P43" sqref="P43"/>
    </sheetView>
  </sheetViews>
  <sheetFormatPr defaultRowHeight="15.75" customHeight="1"/>
  <cols>
    <col min="1" max="1" width="4.7109375" style="1" customWidth="1"/>
    <col min="2" max="2" width="60.140625" style="6" customWidth="1"/>
    <col min="3" max="4" width="3.42578125" style="6" customWidth="1"/>
    <col min="5" max="5" width="10.85546875" style="6" customWidth="1"/>
    <col min="6" max="7" width="16" style="6" customWidth="1"/>
    <col min="8" max="8" width="17.42578125" style="6" customWidth="1"/>
    <col min="9" max="9" width="15.5703125" style="6" customWidth="1"/>
    <col min="10" max="10" width="16" style="6" customWidth="1"/>
    <col min="11" max="11" width="20.28515625" style="6" bestFit="1" customWidth="1"/>
    <col min="12" max="12" width="16.42578125" style="6" customWidth="1"/>
    <col min="13" max="13" width="2.28515625" style="9" customWidth="1"/>
    <col min="14" max="14" width="14.42578125" style="6" customWidth="1"/>
    <col min="15" max="15" width="21" style="9" customWidth="1"/>
    <col min="16" max="16" width="22.5703125" style="9" customWidth="1"/>
    <col min="17" max="17" width="1.140625" style="9" customWidth="1"/>
    <col min="18" max="19" width="14.42578125" style="9" customWidth="1"/>
    <col min="20" max="20" width="12.7109375" style="9" customWidth="1"/>
    <col min="21" max="21" width="10.7109375" style="9" customWidth="1"/>
    <col min="22" max="22" width="16.85546875" style="9" customWidth="1"/>
    <col min="23" max="23" width="1.85546875" style="9" customWidth="1"/>
    <col min="24" max="24" width="26.42578125" style="9" customWidth="1"/>
    <col min="25" max="25" width="17" style="9" customWidth="1"/>
    <col min="26" max="26" width="16.7109375" style="9" customWidth="1"/>
    <col min="27" max="27" width="18.85546875" style="9" customWidth="1"/>
    <col min="28" max="28" width="22.28515625" style="9" customWidth="1"/>
    <col min="29" max="16384" width="9.140625" style="9"/>
  </cols>
  <sheetData>
    <row r="1" spans="2:28" s="1" customFormat="1" ht="18" customHeight="1" thickBot="1">
      <c r="B1" s="2" t="s">
        <v>518</v>
      </c>
      <c r="C1" s="3"/>
      <c r="D1" s="3"/>
      <c r="E1" s="3"/>
      <c r="F1" s="3"/>
      <c r="G1" s="3"/>
      <c r="H1" s="3"/>
      <c r="I1" s="4"/>
      <c r="J1" s="3"/>
      <c r="K1" s="3"/>
      <c r="L1" s="3"/>
      <c r="M1" s="3"/>
      <c r="N1" s="337" t="s">
        <v>579</v>
      </c>
      <c r="AA1" s="3">
        <v>12</v>
      </c>
      <c r="AB1" s="3">
        <v>13</v>
      </c>
    </row>
    <row r="2" spans="2:28" ht="15.75" customHeight="1">
      <c r="B2" s="2" t="str">
        <f>Input!$B$5</f>
        <v>For the Year Ended August 31, 2010</v>
      </c>
      <c r="C2" s="5"/>
      <c r="D2" s="5"/>
      <c r="E2" s="5"/>
      <c r="G2" s="5"/>
      <c r="H2" s="5"/>
      <c r="I2" s="7"/>
      <c r="J2" s="5"/>
      <c r="K2" s="5"/>
      <c r="L2" s="8"/>
      <c r="N2" s="8"/>
      <c r="O2" s="10"/>
    </row>
    <row r="3" spans="2:28" ht="15.75" customHeight="1">
      <c r="B3" s="2" t="str">
        <f>Input!$B$6</f>
        <v>Source: FY 2010 Research Expenditure Survey</v>
      </c>
      <c r="C3" s="5"/>
      <c r="D3" s="5"/>
      <c r="E3" s="5"/>
      <c r="F3" s="5"/>
      <c r="G3" s="5"/>
      <c r="H3" s="5"/>
      <c r="I3" s="7"/>
      <c r="J3" s="5"/>
      <c r="K3" s="5"/>
      <c r="L3" s="8"/>
      <c r="N3" s="8"/>
    </row>
    <row r="4" spans="2:28" ht="15.75" customHeight="1">
      <c r="B4" s="11"/>
      <c r="C4" s="5"/>
      <c r="D4" s="5"/>
      <c r="E4" s="5"/>
      <c r="F4" s="5"/>
      <c r="G4" s="5"/>
      <c r="H4" s="5"/>
      <c r="I4" s="7"/>
      <c r="J4" s="5"/>
      <c r="K4" s="5"/>
      <c r="L4" s="8"/>
      <c r="N4" s="10" t="s">
        <v>0</v>
      </c>
      <c r="P4" s="12"/>
    </row>
    <row r="5" spans="2:28" ht="15.75" customHeight="1">
      <c r="L5" s="3"/>
      <c r="N5" s="3"/>
    </row>
    <row r="6" spans="2:28" ht="15.75" customHeight="1">
      <c r="B6" s="453" t="str">
        <f>Input!$B$7</f>
        <v>FY 2010</v>
      </c>
      <c r="C6" s="454"/>
      <c r="D6" s="454"/>
      <c r="E6" s="454"/>
      <c r="F6" s="454"/>
      <c r="G6" s="454"/>
      <c r="H6" s="454"/>
      <c r="I6" s="454"/>
      <c r="J6" s="454"/>
      <c r="K6" s="454"/>
      <c r="L6" s="454"/>
      <c r="N6" s="13"/>
    </row>
    <row r="7" spans="2:28" ht="28.5" customHeight="1">
      <c r="B7" s="14" t="s">
        <v>2</v>
      </c>
      <c r="C7" s="15"/>
      <c r="D7" s="15"/>
      <c r="E7" s="15"/>
      <c r="F7" s="15"/>
      <c r="G7" s="15"/>
      <c r="H7" s="15"/>
      <c r="I7" s="15"/>
      <c r="J7" s="15"/>
      <c r="K7" s="16" t="s">
        <v>3</v>
      </c>
      <c r="L7" s="16" t="s">
        <v>4</v>
      </c>
      <c r="N7" s="17"/>
      <c r="O7" s="18"/>
      <c r="P7" s="19"/>
      <c r="Q7" s="19"/>
      <c r="R7" s="19"/>
      <c r="S7" s="19"/>
      <c r="T7" s="19"/>
    </row>
    <row r="8" spans="2:28" ht="15.75" customHeight="1">
      <c r="B8" s="20" t="s">
        <v>5</v>
      </c>
      <c r="C8" s="21"/>
      <c r="D8" s="21"/>
      <c r="E8" s="21"/>
      <c r="F8" s="21"/>
      <c r="G8" s="21"/>
      <c r="H8" s="21"/>
      <c r="I8" s="21"/>
      <c r="J8" s="21"/>
      <c r="K8" s="22">
        <f>L8</f>
        <v>41854717</v>
      </c>
      <c r="L8" s="23">
        <f>Input!$H$18</f>
        <v>41854717</v>
      </c>
      <c r="N8" s="115"/>
      <c r="O8" s="116"/>
      <c r="P8" s="19"/>
      <c r="Q8" s="19"/>
      <c r="R8" s="19"/>
      <c r="S8" s="19"/>
      <c r="T8" s="19"/>
      <c r="AB8" s="24">
        <f>SUM(C8:L8)</f>
        <v>83709434</v>
      </c>
    </row>
    <row r="9" spans="2:28" ht="15.75" customHeight="1">
      <c r="B9" s="20" t="s">
        <v>7</v>
      </c>
      <c r="C9" s="21"/>
      <c r="D9" s="21"/>
      <c r="E9" s="21"/>
      <c r="F9" s="21"/>
      <c r="G9" s="21"/>
      <c r="H9" s="21"/>
      <c r="I9" s="21"/>
      <c r="J9" s="21"/>
      <c r="K9" s="25">
        <f>Input!$F$18</f>
        <v>0</v>
      </c>
      <c r="L9" s="26"/>
      <c r="N9" s="115"/>
      <c r="O9" s="28"/>
      <c r="P9" s="19"/>
      <c r="Q9" s="19"/>
      <c r="R9" s="19"/>
      <c r="S9" s="19"/>
      <c r="T9" s="19"/>
      <c r="AB9" s="24">
        <f>SUM(C9:L9)</f>
        <v>0</v>
      </c>
    </row>
    <row r="10" spans="2:28" ht="15.75" customHeight="1">
      <c r="B10" s="27" t="s">
        <v>8</v>
      </c>
      <c r="C10" s="28"/>
      <c r="D10" s="21"/>
      <c r="E10" s="21"/>
      <c r="F10" s="9"/>
      <c r="G10" s="30"/>
      <c r="H10" s="455" t="str">
        <f>IF(O10&lt;&gt;0,"Out of Balance with SRECNA","")</f>
        <v/>
      </c>
      <c r="I10" s="455"/>
      <c r="J10" s="456"/>
      <c r="K10" s="31">
        <f>SUM(K8:K9)</f>
        <v>41854717</v>
      </c>
      <c r="L10" s="32"/>
      <c r="N10" s="117"/>
      <c r="O10" s="118"/>
      <c r="P10" s="19"/>
      <c r="Q10" s="19"/>
      <c r="R10" s="19"/>
      <c r="S10" s="19"/>
      <c r="T10" s="19"/>
      <c r="AB10" s="24"/>
    </row>
    <row r="11" spans="2:28" ht="15.75" customHeight="1">
      <c r="B11" s="20"/>
      <c r="C11" s="21"/>
      <c r="D11" s="21"/>
      <c r="E11" s="21"/>
      <c r="F11" s="9"/>
      <c r="G11" s="9"/>
      <c r="H11" s="9"/>
      <c r="I11" s="9"/>
      <c r="J11" s="9"/>
      <c r="K11" s="33"/>
      <c r="L11" s="26"/>
      <c r="N11" s="17"/>
      <c r="O11" s="95"/>
      <c r="P11" s="34"/>
      <c r="Q11" s="34"/>
      <c r="R11" s="34"/>
      <c r="S11" s="34"/>
      <c r="T11" s="35"/>
      <c r="AB11" s="24">
        <f t="shared" ref="AB11:AB12" si="0">SUM(C10:L10)</f>
        <v>41854717</v>
      </c>
    </row>
    <row r="12" spans="2:28" ht="15.75" customHeight="1">
      <c r="B12" s="20" t="s">
        <v>9</v>
      </c>
      <c r="C12" s="21"/>
      <c r="D12" s="21"/>
      <c r="E12" s="21"/>
      <c r="F12" s="21"/>
      <c r="G12" s="21"/>
      <c r="H12" s="21"/>
      <c r="I12" s="21"/>
      <c r="J12" s="21"/>
      <c r="K12" s="36">
        <f>Input!$G$18</f>
        <v>99282</v>
      </c>
      <c r="L12" s="26"/>
      <c r="N12" s="37"/>
      <c r="O12" s="19"/>
      <c r="P12" s="19"/>
      <c r="Q12" s="19"/>
      <c r="R12" s="19"/>
      <c r="S12" s="19"/>
      <c r="T12" s="19"/>
      <c r="AB12" s="24">
        <f t="shared" si="0"/>
        <v>0</v>
      </c>
    </row>
    <row r="13" spans="2:28" ht="15.75" customHeight="1">
      <c r="B13" s="20" t="s">
        <v>10</v>
      </c>
      <c r="C13" s="21"/>
      <c r="D13" s="21"/>
      <c r="E13" s="21"/>
      <c r="F13" s="21"/>
      <c r="G13" s="21"/>
      <c r="H13" s="21"/>
      <c r="I13" s="21"/>
      <c r="J13" s="21"/>
      <c r="K13" s="33">
        <f>L13</f>
        <v>3872809</v>
      </c>
      <c r="L13" s="36">
        <f>Input!$I$18</f>
        <v>3872809</v>
      </c>
      <c r="N13" s="37"/>
      <c r="O13" s="119"/>
      <c r="AB13" s="24">
        <f>SUM(C13:L13)</f>
        <v>7745618</v>
      </c>
    </row>
    <row r="14" spans="2:28" ht="15.75" customHeight="1">
      <c r="B14" s="20" t="s">
        <v>11</v>
      </c>
      <c r="C14" s="21"/>
      <c r="D14" s="21"/>
      <c r="E14" s="21"/>
      <c r="F14" s="21"/>
      <c r="G14" s="21"/>
      <c r="H14" s="21"/>
      <c r="I14" s="21"/>
      <c r="J14" s="21"/>
      <c r="K14" s="33">
        <f>L14</f>
        <v>5160934</v>
      </c>
      <c r="L14" s="36">
        <f>Input!$J$18</f>
        <v>5160934</v>
      </c>
      <c r="N14" s="17"/>
      <c r="O14" s="28"/>
      <c r="P14" s="19"/>
      <c r="Q14" s="19"/>
      <c r="R14" s="19"/>
      <c r="S14" s="19"/>
      <c r="T14" s="39"/>
      <c r="U14" s="19"/>
      <c r="V14" s="19"/>
      <c r="W14" s="19"/>
      <c r="X14" s="19"/>
      <c r="Y14" s="19"/>
      <c r="Z14" s="19"/>
      <c r="AA14" s="19"/>
      <c r="AB14" s="24">
        <f>SUM(C14:L14)</f>
        <v>10321868</v>
      </c>
    </row>
    <row r="15" spans="2:28" ht="15.75" customHeight="1">
      <c r="B15" s="20" t="s">
        <v>12</v>
      </c>
      <c r="C15" s="21"/>
      <c r="D15" s="21"/>
      <c r="E15" s="21"/>
      <c r="F15" s="21"/>
      <c r="G15" s="21"/>
      <c r="H15" s="21"/>
      <c r="I15" s="21"/>
      <c r="J15" s="21"/>
      <c r="K15" s="40">
        <f>L15</f>
        <v>0</v>
      </c>
      <c r="L15" s="36">
        <f>Input!$K$18</f>
        <v>0</v>
      </c>
      <c r="N15" s="19"/>
      <c r="O15" s="19"/>
      <c r="P15" s="19"/>
      <c r="Q15" s="19"/>
      <c r="R15" s="19"/>
      <c r="S15" s="19"/>
      <c r="T15" s="19"/>
      <c r="U15" s="19"/>
      <c r="V15" s="19"/>
      <c r="W15" s="41"/>
      <c r="X15" s="19"/>
      <c r="Y15" s="19"/>
      <c r="Z15" s="19"/>
      <c r="AA15" s="19"/>
      <c r="AB15" s="24">
        <f>SUM(C15:L15)</f>
        <v>0</v>
      </c>
    </row>
    <row r="16" spans="2:28" ht="15.75" customHeight="1">
      <c r="B16" s="20" t="s">
        <v>13</v>
      </c>
      <c r="C16" s="21"/>
      <c r="D16" s="21"/>
      <c r="E16" s="21"/>
      <c r="F16" s="21"/>
      <c r="G16" s="21"/>
      <c r="H16" s="21"/>
      <c r="I16" s="21"/>
      <c r="J16" s="21"/>
      <c r="K16" s="40">
        <f>L16</f>
        <v>0</v>
      </c>
      <c r="L16" s="36">
        <f>Input!$L$18</f>
        <v>0</v>
      </c>
      <c r="N16" s="28"/>
      <c r="O16" s="42"/>
      <c r="P16" s="19"/>
      <c r="Q16" s="19"/>
      <c r="R16" s="19"/>
      <c r="S16" s="19"/>
      <c r="T16" s="19"/>
      <c r="U16" s="19"/>
      <c r="V16" s="19"/>
      <c r="W16" s="19"/>
      <c r="X16" s="19"/>
      <c r="Y16" s="19"/>
      <c r="Z16" s="19"/>
      <c r="AA16" s="19"/>
      <c r="AB16" s="24">
        <f>SUM(C16:L16)</f>
        <v>0</v>
      </c>
    </row>
    <row r="17" spans="2:28" ht="15.75" customHeight="1">
      <c r="B17" s="43" t="s">
        <v>14</v>
      </c>
      <c r="C17" s="44"/>
      <c r="D17" s="44"/>
      <c r="E17" s="44"/>
      <c r="F17" s="44"/>
      <c r="G17" s="44"/>
      <c r="H17" s="44"/>
      <c r="I17" s="44"/>
      <c r="J17" s="44"/>
      <c r="K17" s="45">
        <f>SUM(K10:K16)</f>
        <v>50987742</v>
      </c>
      <c r="L17" s="46">
        <f>SUM(L8:L16)</f>
        <v>50888460</v>
      </c>
      <c r="N17" s="47"/>
      <c r="O17" s="48"/>
      <c r="P17" s="48"/>
      <c r="Q17" s="48"/>
      <c r="R17" s="49"/>
      <c r="S17" s="50">
        <f>L17-INT(L17)</f>
        <v>0</v>
      </c>
      <c r="T17" s="49">
        <v>0</v>
      </c>
      <c r="U17" s="48">
        <v>0</v>
      </c>
      <c r="V17" s="48">
        <v>0</v>
      </c>
      <c r="W17" s="48"/>
      <c r="X17" s="48"/>
      <c r="Y17" s="51"/>
      <c r="Z17" s="41"/>
      <c r="AA17" s="19"/>
      <c r="AB17" s="44" t="e">
        <f>#REF!+#REF!+#REF!+#REF!</f>
        <v>#REF!</v>
      </c>
    </row>
    <row r="18" spans="2:28" ht="15.75" customHeight="1">
      <c r="C18" s="38"/>
      <c r="D18" s="38"/>
      <c r="E18" s="38"/>
      <c r="F18" s="457" t="str">
        <f>IF(OR(S17&lt;&gt;0,S41&lt;&gt;0,S54&lt;&gt;0),"Do not Enter Cents - Whole Dollars Only","")</f>
        <v/>
      </c>
      <c r="G18" s="457"/>
      <c r="H18" s="457"/>
      <c r="I18" s="457"/>
      <c r="J18" s="457"/>
      <c r="K18" s="38"/>
      <c r="L18" s="38"/>
      <c r="N18" s="47"/>
      <c r="O18" s="48"/>
      <c r="P18" s="48"/>
      <c r="Q18" s="48"/>
      <c r="R18" s="49"/>
      <c r="S18" s="52"/>
      <c r="T18" s="49"/>
      <c r="U18" s="48"/>
      <c r="V18" s="48"/>
      <c r="W18" s="48"/>
      <c r="X18" s="48"/>
      <c r="Y18" s="51"/>
      <c r="Z18" s="41"/>
      <c r="AA18" s="19"/>
    </row>
    <row r="19" spans="2:28" ht="33" customHeight="1">
      <c r="B19" s="14" t="s">
        <v>15</v>
      </c>
      <c r="C19" s="53"/>
      <c r="D19" s="53"/>
      <c r="E19" s="53"/>
      <c r="F19" s="54" t="s">
        <v>16</v>
      </c>
      <c r="G19" s="54" t="s">
        <v>17</v>
      </c>
      <c r="H19" s="54" t="s">
        <v>18</v>
      </c>
      <c r="I19" s="54" t="s">
        <v>19</v>
      </c>
      <c r="J19" s="54" t="s">
        <v>20</v>
      </c>
      <c r="K19" s="54" t="s">
        <v>21</v>
      </c>
      <c r="L19" s="54" t="s">
        <v>22</v>
      </c>
      <c r="N19" s="47"/>
      <c r="O19" s="48"/>
      <c r="P19" s="48"/>
      <c r="Q19" s="48"/>
      <c r="R19" s="49"/>
      <c r="S19" s="52"/>
      <c r="T19" s="49"/>
      <c r="U19" s="48"/>
      <c r="V19" s="48"/>
      <c r="W19" s="48"/>
      <c r="X19" s="48"/>
      <c r="Y19" s="51"/>
      <c r="Z19" s="41"/>
      <c r="AA19" s="19"/>
    </row>
    <row r="20" spans="2:28" ht="15.75" customHeight="1">
      <c r="B20" s="55" t="s">
        <v>23</v>
      </c>
      <c r="C20" s="21"/>
      <c r="D20" s="21"/>
      <c r="F20" s="56">
        <f>Input!$M$18</f>
        <v>0</v>
      </c>
      <c r="G20" s="56">
        <f>Input!$N$18</f>
        <v>0</v>
      </c>
      <c r="H20" s="56">
        <f>Input!$O$18</f>
        <v>0</v>
      </c>
      <c r="I20" s="56">
        <f>Input!$P$18</f>
        <v>0</v>
      </c>
      <c r="J20" s="56">
        <f>Input!$Q$18</f>
        <v>0</v>
      </c>
      <c r="K20" s="56">
        <f>Input!$R$18</f>
        <v>0</v>
      </c>
      <c r="L20" s="57">
        <f>SUM(F20:K20)</f>
        <v>0</v>
      </c>
      <c r="N20" s="58"/>
      <c r="O20" s="59"/>
      <c r="P20" s="60"/>
      <c r="Q20" s="61"/>
      <c r="R20" s="58"/>
      <c r="S20" s="58"/>
      <c r="T20" s="58"/>
      <c r="U20" s="61"/>
      <c r="V20" s="58"/>
      <c r="W20" s="61"/>
      <c r="X20" s="62"/>
      <c r="Y20" s="59"/>
      <c r="Z20" s="61"/>
      <c r="AA20" s="19"/>
      <c r="AB20" s="24">
        <f t="shared" ref="AB20:AB25" si="1">SUM(C20:L20)</f>
        <v>0</v>
      </c>
    </row>
    <row r="21" spans="2:28" ht="15.75" customHeight="1">
      <c r="B21" s="63" t="s">
        <v>24</v>
      </c>
      <c r="C21" s="21"/>
      <c r="D21" s="21"/>
      <c r="F21" s="64">
        <f>Input!$S$18</f>
        <v>8162590</v>
      </c>
      <c r="G21" s="64">
        <f>Input!$T$18</f>
        <v>7878037</v>
      </c>
      <c r="H21" s="64">
        <f>Input!$U$18</f>
        <v>135985</v>
      </c>
      <c r="I21" s="64">
        <f>Input!$V$18</f>
        <v>1848257</v>
      </c>
      <c r="J21" s="64">
        <f>Input!$W$18</f>
        <v>387508</v>
      </c>
      <c r="K21" s="64">
        <f>Input!$X$18</f>
        <v>961705</v>
      </c>
      <c r="L21" s="65">
        <f t="shared" ref="L21:L40" si="2">SUM(F21:K21)</f>
        <v>19374082</v>
      </c>
      <c r="N21" s="66"/>
      <c r="O21" s="67"/>
      <c r="P21" s="68"/>
      <c r="Q21" s="69"/>
      <c r="R21" s="70"/>
      <c r="S21" s="70"/>
      <c r="T21" s="70"/>
      <c r="U21" s="69"/>
      <c r="V21" s="71"/>
      <c r="W21" s="61"/>
      <c r="X21" s="62"/>
      <c r="Y21" s="67"/>
      <c r="Z21" s="69"/>
      <c r="AA21" s="19"/>
      <c r="AB21" s="24">
        <f t="shared" si="1"/>
        <v>38748164</v>
      </c>
    </row>
    <row r="22" spans="2:28" ht="15.75" customHeight="1">
      <c r="B22" s="55" t="s">
        <v>25</v>
      </c>
      <c r="C22" s="21"/>
      <c r="D22" s="21"/>
      <c r="F22" s="64">
        <f>Input!$Y$18</f>
        <v>0</v>
      </c>
      <c r="G22" s="64">
        <f>Input!$Z$18</f>
        <v>0</v>
      </c>
      <c r="H22" s="64">
        <f>Input!$AA$18</f>
        <v>0</v>
      </c>
      <c r="I22" s="64">
        <f>Input!$AB$18</f>
        <v>0</v>
      </c>
      <c r="J22" s="64">
        <f>Input!$AC$18</f>
        <v>0</v>
      </c>
      <c r="K22" s="64">
        <f>Input!$AD$18</f>
        <v>0</v>
      </c>
      <c r="L22" s="65">
        <f t="shared" si="2"/>
        <v>0</v>
      </c>
      <c r="N22" s="66"/>
      <c r="O22" s="67"/>
      <c r="P22" s="72"/>
      <c r="Q22" s="69"/>
      <c r="R22" s="70"/>
      <c r="S22" s="70"/>
      <c r="T22" s="70"/>
      <c r="U22" s="69"/>
      <c r="V22" s="70"/>
      <c r="W22" s="69"/>
      <c r="X22" s="62"/>
      <c r="Y22" s="67"/>
      <c r="Z22" s="69"/>
      <c r="AA22" s="19"/>
      <c r="AB22" s="24">
        <f t="shared" si="1"/>
        <v>0</v>
      </c>
    </row>
    <row r="23" spans="2:28" ht="15.75" customHeight="1">
      <c r="B23" s="55" t="s">
        <v>26</v>
      </c>
      <c r="C23" s="21"/>
      <c r="D23" s="21"/>
      <c r="F23" s="64">
        <f>Input!$AE$18</f>
        <v>0</v>
      </c>
      <c r="G23" s="64">
        <f>Input!$AF$18</f>
        <v>0</v>
      </c>
      <c r="H23" s="64">
        <f>Input!$AG$18</f>
        <v>0</v>
      </c>
      <c r="I23" s="64">
        <f>Input!$AH$18</f>
        <v>0</v>
      </c>
      <c r="J23" s="64">
        <f>Input!$AI$18</f>
        <v>0</v>
      </c>
      <c r="K23" s="64">
        <f>Input!$AJ$18</f>
        <v>0</v>
      </c>
      <c r="L23" s="65">
        <f t="shared" si="2"/>
        <v>0</v>
      </c>
      <c r="N23" s="66"/>
      <c r="O23" s="67"/>
      <c r="P23" s="68"/>
      <c r="Q23" s="69"/>
      <c r="R23" s="70"/>
      <c r="S23" s="70"/>
      <c r="T23" s="70"/>
      <c r="U23" s="69"/>
      <c r="V23" s="70"/>
      <c r="W23" s="69"/>
      <c r="X23" s="62"/>
      <c r="Y23" s="67"/>
      <c r="Z23" s="69"/>
      <c r="AA23" s="19"/>
      <c r="AB23" s="24">
        <f t="shared" si="1"/>
        <v>0</v>
      </c>
    </row>
    <row r="24" spans="2:28" ht="15.75" customHeight="1">
      <c r="B24" s="55" t="s">
        <v>27</v>
      </c>
      <c r="C24" s="21"/>
      <c r="D24" s="21"/>
      <c r="F24" s="64">
        <f>Input!$AK$18</f>
        <v>0</v>
      </c>
      <c r="G24" s="64">
        <f>Input!$AL$18</f>
        <v>0</v>
      </c>
      <c r="H24" s="64">
        <f>Input!$AM$18</f>
        <v>0</v>
      </c>
      <c r="I24" s="64">
        <f>Input!$AN$18</f>
        <v>0</v>
      </c>
      <c r="J24" s="64">
        <f>Input!$AO$18</f>
        <v>0</v>
      </c>
      <c r="K24" s="64">
        <f>Input!$AP$18</f>
        <v>0</v>
      </c>
      <c r="L24" s="65">
        <f t="shared" si="2"/>
        <v>0</v>
      </c>
      <c r="N24" s="66"/>
      <c r="O24" s="67"/>
      <c r="P24" s="68"/>
      <c r="Q24" s="69"/>
      <c r="R24" s="70"/>
      <c r="S24" s="70"/>
      <c r="T24" s="70"/>
      <c r="U24" s="69"/>
      <c r="V24" s="70"/>
      <c r="W24" s="69"/>
      <c r="X24" s="62"/>
      <c r="Y24" s="67"/>
      <c r="Z24" s="69"/>
      <c r="AA24" s="19"/>
      <c r="AB24" s="24">
        <f t="shared" si="1"/>
        <v>0</v>
      </c>
    </row>
    <row r="25" spans="2:28" ht="15.75" customHeight="1">
      <c r="B25" s="55" t="s">
        <v>28</v>
      </c>
      <c r="C25" s="21"/>
      <c r="D25" s="21"/>
      <c r="F25" s="64">
        <f>Input!$AQ$18</f>
        <v>0</v>
      </c>
      <c r="G25" s="64">
        <f>Input!$AR$18</f>
        <v>0</v>
      </c>
      <c r="H25" s="64">
        <f>Input!$AS$18</f>
        <v>0</v>
      </c>
      <c r="I25" s="64">
        <f>Input!$AT$18</f>
        <v>0</v>
      </c>
      <c r="J25" s="64">
        <f>Input!$AU$18</f>
        <v>0</v>
      </c>
      <c r="K25" s="64">
        <f>Input!$AV$18</f>
        <v>0</v>
      </c>
      <c r="L25" s="65">
        <f t="shared" si="2"/>
        <v>0</v>
      </c>
      <c r="N25" s="66"/>
      <c r="O25" s="73" t="s">
        <v>6</v>
      </c>
      <c r="P25" s="68"/>
      <c r="Q25" s="69"/>
      <c r="R25" s="70"/>
      <c r="S25" s="70"/>
      <c r="T25" s="70"/>
      <c r="U25" s="69"/>
      <c r="V25" s="70"/>
      <c r="W25" s="69"/>
      <c r="X25" s="62"/>
      <c r="Y25" s="67"/>
      <c r="Z25" s="69"/>
      <c r="AA25" s="19"/>
      <c r="AB25" s="24">
        <f t="shared" si="1"/>
        <v>0</v>
      </c>
    </row>
    <row r="26" spans="2:28" ht="15.75" customHeight="1">
      <c r="B26" s="55" t="s">
        <v>29</v>
      </c>
      <c r="C26" s="21"/>
      <c r="D26" s="21"/>
      <c r="F26" s="64">
        <f>Input!$AW$18</f>
        <v>4787656</v>
      </c>
      <c r="G26" s="64">
        <f>Input!$AX$18</f>
        <v>17890230</v>
      </c>
      <c r="H26" s="64">
        <f>Input!$AY$18</f>
        <v>3303777</v>
      </c>
      <c r="I26" s="64">
        <f>Input!$AZ$18</f>
        <v>2927155</v>
      </c>
      <c r="J26" s="64">
        <f>Input!$BA$18</f>
        <v>647358</v>
      </c>
      <c r="K26" s="64">
        <f>Input!$BB$18</f>
        <v>1958202</v>
      </c>
      <c r="L26" s="65">
        <f t="shared" si="2"/>
        <v>31514378</v>
      </c>
      <c r="N26" s="74" t="str">
        <f>IF(O26&lt;&gt;0,"Out of Balance","Balanced")</f>
        <v>Balanced</v>
      </c>
      <c r="O26" s="75">
        <f>L17-L41</f>
        <v>0</v>
      </c>
      <c r="Q26" s="69"/>
      <c r="R26" s="70"/>
      <c r="S26" s="70"/>
      <c r="T26" s="70"/>
      <c r="U26" s="69"/>
      <c r="V26" s="70"/>
      <c r="W26" s="69"/>
      <c r="X26" s="62"/>
      <c r="Y26" s="67"/>
      <c r="Z26" s="69"/>
      <c r="AA26" s="19"/>
      <c r="AB26" s="24"/>
    </row>
    <row r="27" spans="2:28" ht="15.75" customHeight="1">
      <c r="B27" s="55" t="s">
        <v>30</v>
      </c>
      <c r="C27" s="21"/>
      <c r="D27" s="21"/>
      <c r="F27" s="64">
        <f>Input!$BC$18</f>
        <v>0</v>
      </c>
      <c r="G27" s="64">
        <f>Input!$BD$18</f>
        <v>0</v>
      </c>
      <c r="H27" s="64">
        <f>Input!$BE$18</f>
        <v>0</v>
      </c>
      <c r="I27" s="64">
        <f>Input!$BF$18</f>
        <v>0</v>
      </c>
      <c r="J27" s="64">
        <f>Input!$BG$18</f>
        <v>0</v>
      </c>
      <c r="K27" s="64">
        <f>Input!$BH$18</f>
        <v>0</v>
      </c>
      <c r="L27" s="65">
        <f t="shared" si="2"/>
        <v>0</v>
      </c>
      <c r="N27" s="66"/>
      <c r="O27" s="67"/>
      <c r="P27" s="68"/>
      <c r="Q27" s="69"/>
      <c r="R27" s="70"/>
      <c r="S27" s="70"/>
      <c r="T27" s="70"/>
      <c r="U27" s="69"/>
      <c r="V27" s="70"/>
      <c r="W27" s="69"/>
      <c r="X27" s="62"/>
      <c r="Y27" s="67"/>
      <c r="Z27" s="69"/>
      <c r="AA27" s="19"/>
      <c r="AB27" s="24"/>
    </row>
    <row r="28" spans="2:28" ht="15.75" customHeight="1">
      <c r="B28" s="63" t="s">
        <v>31</v>
      </c>
      <c r="C28" s="21"/>
      <c r="D28" s="21"/>
      <c r="F28" s="64">
        <f>Input!$BI$18</f>
        <v>0</v>
      </c>
      <c r="G28" s="64">
        <f>Input!$BJ$18</f>
        <v>0</v>
      </c>
      <c r="H28" s="64">
        <f>Input!$BK$18</f>
        <v>0</v>
      </c>
      <c r="I28" s="64">
        <f>Input!$BL$18</f>
        <v>0</v>
      </c>
      <c r="J28" s="64">
        <f>Input!$BM$18</f>
        <v>0</v>
      </c>
      <c r="K28" s="64">
        <f>Input!$BN$18</f>
        <v>0</v>
      </c>
      <c r="L28" s="65">
        <f t="shared" si="2"/>
        <v>0</v>
      </c>
      <c r="N28" s="66"/>
      <c r="O28" s="67"/>
      <c r="P28" s="68"/>
      <c r="Q28" s="69"/>
      <c r="R28" s="70"/>
      <c r="S28" s="70"/>
      <c r="T28" s="70"/>
      <c r="U28" s="69"/>
      <c r="V28" s="70"/>
      <c r="W28" s="69"/>
      <c r="X28" s="62"/>
      <c r="Y28" s="67"/>
      <c r="Z28" s="69"/>
      <c r="AA28" s="19"/>
      <c r="AB28" s="24"/>
    </row>
    <row r="29" spans="2:28" ht="15.75" customHeight="1">
      <c r="B29" s="63" t="s">
        <v>32</v>
      </c>
      <c r="C29" s="21"/>
      <c r="D29" s="21"/>
      <c r="F29" s="64">
        <f>Input!$BO$18</f>
        <v>0</v>
      </c>
      <c r="G29" s="64">
        <f>Input!$BP$18</f>
        <v>0</v>
      </c>
      <c r="H29" s="64">
        <f>Input!$BQ$18</f>
        <v>0</v>
      </c>
      <c r="I29" s="64">
        <f>Input!$BR$18</f>
        <v>0</v>
      </c>
      <c r="J29" s="64">
        <f>Input!$BS$18</f>
        <v>0</v>
      </c>
      <c r="K29" s="64">
        <f>Input!$BT$18</f>
        <v>0</v>
      </c>
      <c r="L29" s="65">
        <f t="shared" si="2"/>
        <v>0</v>
      </c>
      <c r="N29" s="66"/>
      <c r="O29" s="67"/>
      <c r="P29" s="68"/>
      <c r="Q29" s="69"/>
      <c r="R29" s="70"/>
      <c r="S29" s="70"/>
      <c r="T29" s="70"/>
      <c r="U29" s="69"/>
      <c r="V29" s="70"/>
      <c r="W29" s="69"/>
      <c r="X29" s="62"/>
      <c r="Y29" s="67"/>
      <c r="Z29" s="69"/>
      <c r="AA29" s="19"/>
      <c r="AB29" s="24"/>
    </row>
    <row r="30" spans="2:28" ht="15.75" customHeight="1">
      <c r="B30" s="63" t="s">
        <v>33</v>
      </c>
      <c r="C30" s="21"/>
      <c r="D30" s="21"/>
      <c r="F30" s="64">
        <f>Input!$BU$18</f>
        <v>0</v>
      </c>
      <c r="G30" s="64">
        <f>Input!$BV$18</f>
        <v>0</v>
      </c>
      <c r="H30" s="64">
        <f>Input!$BW$18</f>
        <v>0</v>
      </c>
      <c r="I30" s="64">
        <f>Input!$BX$18</f>
        <v>0</v>
      </c>
      <c r="J30" s="64">
        <f>Input!$BY$18</f>
        <v>0</v>
      </c>
      <c r="K30" s="64">
        <f>Input!$BZ$18</f>
        <v>0</v>
      </c>
      <c r="L30" s="65">
        <f t="shared" si="2"/>
        <v>0</v>
      </c>
      <c r="N30" s="66"/>
      <c r="O30" s="67"/>
      <c r="P30" s="68"/>
      <c r="Q30" s="69"/>
      <c r="R30" s="70"/>
      <c r="S30" s="70"/>
      <c r="T30" s="70"/>
      <c r="U30" s="69"/>
      <c r="V30" s="70"/>
      <c r="W30" s="69"/>
      <c r="X30" s="62"/>
      <c r="Y30" s="67"/>
      <c r="Z30" s="69"/>
      <c r="AA30" s="19"/>
      <c r="AB30" s="24"/>
    </row>
    <row r="31" spans="2:28" ht="15.75" customHeight="1">
      <c r="B31" s="63" t="s">
        <v>34</v>
      </c>
      <c r="C31" s="21"/>
      <c r="D31" s="21"/>
      <c r="F31" s="64">
        <f>Input!$CA$18</f>
        <v>0</v>
      </c>
      <c r="G31" s="64">
        <f>Input!$CB$18</f>
        <v>0</v>
      </c>
      <c r="H31" s="64">
        <f>Input!$CC$18</f>
        <v>0</v>
      </c>
      <c r="I31" s="64">
        <f>Input!$CD$18</f>
        <v>0</v>
      </c>
      <c r="J31" s="64">
        <f>Input!$CE$18</f>
        <v>0</v>
      </c>
      <c r="K31" s="64">
        <f>Input!$CF$18</f>
        <v>0</v>
      </c>
      <c r="L31" s="65">
        <f t="shared" si="2"/>
        <v>0</v>
      </c>
      <c r="N31" s="66"/>
      <c r="O31" s="67"/>
      <c r="P31" s="68"/>
      <c r="Q31" s="69"/>
      <c r="R31" s="70"/>
      <c r="S31" s="70"/>
      <c r="T31" s="70"/>
      <c r="U31" s="69"/>
      <c r="V31" s="70"/>
      <c r="W31" s="69"/>
      <c r="X31" s="62"/>
      <c r="Y31" s="67"/>
      <c r="Z31" s="69"/>
      <c r="AA31" s="19"/>
      <c r="AB31" s="24"/>
    </row>
    <row r="32" spans="2:28" ht="15.75" customHeight="1">
      <c r="B32" s="63" t="s">
        <v>35</v>
      </c>
      <c r="C32" s="21"/>
      <c r="D32" s="21"/>
      <c r="F32" s="64">
        <f>Input!$CG$18</f>
        <v>0</v>
      </c>
      <c r="G32" s="64">
        <f>Input!$CH$18</f>
        <v>0</v>
      </c>
      <c r="H32" s="64">
        <f>Input!$CI$18</f>
        <v>0</v>
      </c>
      <c r="I32" s="64">
        <f>Input!$CJ$18</f>
        <v>0</v>
      </c>
      <c r="J32" s="64">
        <f>Input!$CK$18</f>
        <v>0</v>
      </c>
      <c r="K32" s="64">
        <f>Input!$CL$18</f>
        <v>0</v>
      </c>
      <c r="L32" s="65">
        <f t="shared" si="2"/>
        <v>0</v>
      </c>
      <c r="N32" s="66"/>
      <c r="O32" s="67"/>
      <c r="P32" s="68"/>
      <c r="Q32" s="69"/>
      <c r="R32" s="70"/>
      <c r="S32" s="70"/>
      <c r="T32" s="70"/>
      <c r="U32" s="69"/>
      <c r="V32" s="70"/>
      <c r="W32" s="69"/>
      <c r="X32" s="62"/>
      <c r="Y32" s="67"/>
      <c r="Z32" s="69"/>
      <c r="AA32" s="19"/>
      <c r="AB32" s="24"/>
    </row>
    <row r="33" spans="1:28" ht="15.75" customHeight="1">
      <c r="B33" s="55" t="s">
        <v>36</v>
      </c>
      <c r="C33" s="21"/>
      <c r="D33" s="21"/>
      <c r="F33" s="64">
        <f>Input!$CM$18</f>
        <v>0</v>
      </c>
      <c r="G33" s="64">
        <f>Input!$CN$18</f>
        <v>0</v>
      </c>
      <c r="H33" s="64">
        <f>Input!$CO$18</f>
        <v>0</v>
      </c>
      <c r="I33" s="64">
        <f>Input!$CP$18</f>
        <v>0</v>
      </c>
      <c r="J33" s="64">
        <f>Input!$CQ$18</f>
        <v>0</v>
      </c>
      <c r="K33" s="64">
        <f>Input!$CR$18</f>
        <v>0</v>
      </c>
      <c r="L33" s="65">
        <f t="shared" si="2"/>
        <v>0</v>
      </c>
      <c r="N33" s="66"/>
      <c r="O33" s="67"/>
      <c r="P33" s="68"/>
      <c r="Q33" s="69"/>
      <c r="R33" s="70"/>
      <c r="S33" s="70"/>
      <c r="T33" s="70"/>
      <c r="U33" s="69"/>
      <c r="V33" s="70"/>
      <c r="W33" s="69"/>
      <c r="X33" s="62"/>
      <c r="Y33" s="67"/>
      <c r="Z33" s="69"/>
      <c r="AA33" s="19"/>
      <c r="AB33" s="24"/>
    </row>
    <row r="34" spans="1:28" ht="15.75" customHeight="1">
      <c r="B34" s="55" t="s">
        <v>37</v>
      </c>
      <c r="C34" s="21"/>
      <c r="D34" s="21"/>
      <c r="F34" s="64">
        <f>Input!$CS$18</f>
        <v>0</v>
      </c>
      <c r="G34" s="64">
        <f>Input!$CT$18</f>
        <v>0</v>
      </c>
      <c r="H34" s="64">
        <f>Input!$CU$18</f>
        <v>0</v>
      </c>
      <c r="I34" s="64">
        <f>Input!$CV$18</f>
        <v>0</v>
      </c>
      <c r="J34" s="64">
        <f>Input!$CW$18</f>
        <v>0</v>
      </c>
      <c r="K34" s="64">
        <f>Input!$CX$18</f>
        <v>0</v>
      </c>
      <c r="L34" s="65">
        <f t="shared" si="2"/>
        <v>0</v>
      </c>
      <c r="N34" s="66"/>
      <c r="O34" s="67"/>
      <c r="P34" s="68"/>
      <c r="Q34" s="69"/>
      <c r="R34" s="70"/>
      <c r="S34" s="70"/>
      <c r="T34" s="70"/>
      <c r="U34" s="69"/>
      <c r="V34" s="70"/>
      <c r="W34" s="69"/>
      <c r="X34" s="62"/>
      <c r="Y34" s="67"/>
      <c r="Z34" s="69"/>
      <c r="AA34" s="19"/>
      <c r="AB34" s="24"/>
    </row>
    <row r="35" spans="1:28" s="79" customFormat="1" ht="15.75" customHeight="1">
      <c r="A35" s="76"/>
      <c r="B35" s="77" t="s">
        <v>38</v>
      </c>
      <c r="C35" s="78"/>
      <c r="D35" s="78"/>
      <c r="E35" s="20"/>
      <c r="F35" s="64">
        <f>Input!$CY$18</f>
        <v>0</v>
      </c>
      <c r="G35" s="64">
        <f>Input!$CZ$18</f>
        <v>0</v>
      </c>
      <c r="H35" s="64">
        <f>Input!$DA$18</f>
        <v>0</v>
      </c>
      <c r="I35" s="64">
        <f>Input!$DB$18</f>
        <v>0</v>
      </c>
      <c r="J35" s="64">
        <f>Input!$DC$18</f>
        <v>0</v>
      </c>
      <c r="K35" s="64">
        <f>Input!$DD$18</f>
        <v>0</v>
      </c>
      <c r="L35" s="65">
        <f t="shared" si="2"/>
        <v>0</v>
      </c>
      <c r="N35" s="66"/>
      <c r="O35" s="67"/>
      <c r="P35" s="80"/>
      <c r="Q35" s="81"/>
      <c r="R35" s="70"/>
      <c r="S35" s="70"/>
      <c r="T35" s="70"/>
      <c r="U35" s="81"/>
      <c r="V35" s="70"/>
      <c r="W35" s="81"/>
      <c r="X35" s="62"/>
      <c r="Y35" s="67"/>
      <c r="Z35" s="81"/>
      <c r="AA35" s="82"/>
      <c r="AB35" s="83"/>
    </row>
    <row r="36" spans="1:28" s="79" customFormat="1" ht="15.75" customHeight="1">
      <c r="A36" s="76"/>
      <c r="B36" s="77" t="s">
        <v>39</v>
      </c>
      <c r="C36" s="78"/>
      <c r="D36" s="78"/>
      <c r="E36" s="20"/>
      <c r="F36" s="64">
        <f>Input!$DE$18</f>
        <v>0</v>
      </c>
      <c r="G36" s="64">
        <f>Input!$DF$18</f>
        <v>0</v>
      </c>
      <c r="H36" s="64">
        <f>Input!$DG$18</f>
        <v>0</v>
      </c>
      <c r="I36" s="64">
        <f>Input!$DH$18</f>
        <v>0</v>
      </c>
      <c r="J36" s="64">
        <f>Input!$DI$18</f>
        <v>0</v>
      </c>
      <c r="K36" s="64">
        <f>Input!$DJ$18</f>
        <v>0</v>
      </c>
      <c r="L36" s="65">
        <f t="shared" si="2"/>
        <v>0</v>
      </c>
      <c r="N36" s="66"/>
      <c r="O36" s="67"/>
      <c r="P36" s="80"/>
      <c r="Q36" s="81"/>
      <c r="R36" s="70"/>
      <c r="S36" s="70"/>
      <c r="T36" s="70"/>
      <c r="U36" s="81"/>
      <c r="V36" s="70"/>
      <c r="W36" s="81"/>
      <c r="X36" s="62"/>
      <c r="Y36" s="67"/>
      <c r="Z36" s="81"/>
      <c r="AA36" s="82"/>
      <c r="AB36" s="83"/>
    </row>
    <row r="37" spans="1:28" s="79" customFormat="1" ht="15.75" customHeight="1">
      <c r="A37" s="76"/>
      <c r="B37" s="77" t="s">
        <v>40</v>
      </c>
      <c r="C37" s="78"/>
      <c r="D37" s="78"/>
      <c r="E37" s="20"/>
      <c r="F37" s="64">
        <f>Input!$DK$18</f>
        <v>0</v>
      </c>
      <c r="G37" s="64">
        <f>Input!$DL$18</f>
        <v>0</v>
      </c>
      <c r="H37" s="64">
        <f>Input!$DM$18</f>
        <v>0</v>
      </c>
      <c r="I37" s="64">
        <f>Input!$DN$18</f>
        <v>0</v>
      </c>
      <c r="J37" s="64">
        <f>Input!$DO$18</f>
        <v>0</v>
      </c>
      <c r="K37" s="64">
        <f>Input!$DP$18</f>
        <v>0</v>
      </c>
      <c r="L37" s="65">
        <f t="shared" si="2"/>
        <v>0</v>
      </c>
      <c r="N37" s="66"/>
      <c r="O37" s="67"/>
      <c r="P37" s="80"/>
      <c r="Q37" s="81"/>
      <c r="R37" s="70"/>
      <c r="S37" s="70"/>
      <c r="T37" s="70"/>
      <c r="U37" s="81"/>
      <c r="V37" s="70"/>
      <c r="W37" s="81"/>
      <c r="X37" s="62"/>
      <c r="Y37" s="67"/>
      <c r="Z37" s="81"/>
      <c r="AA37" s="82"/>
      <c r="AB37" s="83"/>
    </row>
    <row r="38" spans="1:28" s="79" customFormat="1" ht="15.75" customHeight="1">
      <c r="A38" s="76"/>
      <c r="B38" s="77" t="s">
        <v>41</v>
      </c>
      <c r="C38" s="78"/>
      <c r="D38" s="78"/>
      <c r="E38" s="20"/>
      <c r="F38" s="64">
        <f>Input!$DQ$18</f>
        <v>0</v>
      </c>
      <c r="G38" s="64">
        <f>Input!$DR$18</f>
        <v>0</v>
      </c>
      <c r="H38" s="64">
        <f>Input!$DS$18</f>
        <v>0</v>
      </c>
      <c r="I38" s="64">
        <f>Input!$DT$18</f>
        <v>0</v>
      </c>
      <c r="J38" s="64">
        <f>Input!$DU$18</f>
        <v>0</v>
      </c>
      <c r="K38" s="64">
        <f>Input!$DV$18</f>
        <v>0</v>
      </c>
      <c r="L38" s="65">
        <f t="shared" si="2"/>
        <v>0</v>
      </c>
      <c r="N38" s="66"/>
      <c r="O38" s="67"/>
      <c r="P38" s="80"/>
      <c r="Q38" s="81"/>
      <c r="R38" s="70"/>
      <c r="S38" s="70"/>
      <c r="T38" s="70"/>
      <c r="U38" s="81"/>
      <c r="V38" s="70"/>
      <c r="W38" s="81"/>
      <c r="X38" s="62"/>
      <c r="Y38" s="67"/>
      <c r="Z38" s="81"/>
      <c r="AA38" s="82"/>
      <c r="AB38" s="83"/>
    </row>
    <row r="39" spans="1:28" s="79" customFormat="1" ht="15.75" customHeight="1">
      <c r="A39" s="76"/>
      <c r="B39" s="77" t="s">
        <v>42</v>
      </c>
      <c r="C39" s="78"/>
      <c r="D39" s="78"/>
      <c r="E39" s="20"/>
      <c r="F39" s="64">
        <f>Input!$DW$18</f>
        <v>0</v>
      </c>
      <c r="G39" s="64">
        <f>Input!$DX$18</f>
        <v>0</v>
      </c>
      <c r="H39" s="64">
        <f>Input!$DY$18</f>
        <v>0</v>
      </c>
      <c r="I39" s="64">
        <f>Input!$DZ$18</f>
        <v>0</v>
      </c>
      <c r="J39" s="64">
        <f>Input!$EA$18</f>
        <v>0</v>
      </c>
      <c r="K39" s="64">
        <f>Input!$EB$18</f>
        <v>0</v>
      </c>
      <c r="L39" s="65">
        <f t="shared" si="2"/>
        <v>0</v>
      </c>
      <c r="N39" s="66"/>
      <c r="O39" s="67"/>
      <c r="P39" s="80"/>
      <c r="Q39" s="81"/>
      <c r="R39" s="70"/>
      <c r="S39" s="70"/>
      <c r="T39" s="70"/>
      <c r="U39" s="81"/>
      <c r="V39" s="70"/>
      <c r="W39" s="81"/>
      <c r="X39" s="62"/>
      <c r="Y39" s="67"/>
      <c r="Z39" s="81"/>
      <c r="AA39" s="82"/>
      <c r="AB39" s="83"/>
    </row>
    <row r="40" spans="1:28" ht="15.75" customHeight="1">
      <c r="A40" s="76"/>
      <c r="B40" s="55" t="s">
        <v>43</v>
      </c>
      <c r="C40" s="21"/>
      <c r="D40" s="21"/>
      <c r="E40" s="21"/>
      <c r="F40" s="84">
        <f>Input!$EC$18</f>
        <v>0</v>
      </c>
      <c r="G40" s="84">
        <f>Input!$ED$18</f>
        <v>0</v>
      </c>
      <c r="H40" s="84">
        <f>Input!$EE$18</f>
        <v>0</v>
      </c>
      <c r="I40" s="84">
        <f>Input!$EF$18</f>
        <v>0</v>
      </c>
      <c r="J40" s="84">
        <f>Input!$EG$18</f>
        <v>0</v>
      </c>
      <c r="K40" s="84">
        <f>Input!$EH$18</f>
        <v>0</v>
      </c>
      <c r="L40" s="65">
        <f t="shared" si="2"/>
        <v>0</v>
      </c>
      <c r="N40" s="66"/>
      <c r="O40" s="317" t="s">
        <v>633</v>
      </c>
      <c r="P40" s="41" t="s">
        <v>634</v>
      </c>
      <c r="Q40" s="85"/>
      <c r="R40" s="70"/>
      <c r="S40" s="70"/>
      <c r="T40" s="70"/>
      <c r="U40" s="69"/>
      <c r="V40" s="70"/>
      <c r="W40" s="69"/>
      <c r="X40" s="62"/>
      <c r="Y40" s="67"/>
      <c r="Z40" s="69"/>
      <c r="AA40" s="19"/>
      <c r="AB40" s="24">
        <f>SUM(C40:L40)</f>
        <v>0</v>
      </c>
    </row>
    <row r="41" spans="1:28" ht="15.75" customHeight="1">
      <c r="A41" s="76"/>
      <c r="B41" s="43" t="s">
        <v>44</v>
      </c>
      <c r="C41" s="44"/>
      <c r="D41" s="44"/>
      <c r="E41" s="44"/>
      <c r="F41" s="86">
        <f t="shared" ref="F41:L41" si="3">SUM(F20:F40)</f>
        <v>12950246</v>
      </c>
      <c r="G41" s="86">
        <f t="shared" si="3"/>
        <v>25768267</v>
      </c>
      <c r="H41" s="86">
        <f t="shared" si="3"/>
        <v>3439762</v>
      </c>
      <c r="I41" s="86">
        <f t="shared" si="3"/>
        <v>4775412</v>
      </c>
      <c r="J41" s="86">
        <f t="shared" si="3"/>
        <v>1034866</v>
      </c>
      <c r="K41" s="86">
        <f t="shared" si="3"/>
        <v>2919907</v>
      </c>
      <c r="L41" s="87">
        <f t="shared" si="3"/>
        <v>50888460</v>
      </c>
      <c r="N41" s="88"/>
      <c r="O41" s="308" t="s">
        <v>628</v>
      </c>
      <c r="P41" s="309" t="s">
        <v>17</v>
      </c>
      <c r="Q41" s="89"/>
      <c r="R41" s="89"/>
      <c r="S41" s="50">
        <f>L41-INT(L41)</f>
        <v>0</v>
      </c>
      <c r="T41" s="61"/>
      <c r="U41" s="90"/>
      <c r="V41" s="61"/>
      <c r="W41" s="61"/>
      <c r="X41" s="85"/>
      <c r="Y41" s="60"/>
      <c r="Z41" s="91"/>
      <c r="AA41" s="19"/>
      <c r="AB41" s="44">
        <f>SUM(AB20:AB40)</f>
        <v>38748164</v>
      </c>
    </row>
    <row r="42" spans="1:28" ht="15.75" customHeight="1">
      <c r="A42" s="76"/>
      <c r="C42" s="38"/>
      <c r="D42" s="38"/>
      <c r="F42" s="38"/>
      <c r="G42" s="310" t="s">
        <v>629</v>
      </c>
      <c r="H42" s="311">
        <f>H41+G41</f>
        <v>29208029</v>
      </c>
      <c r="I42" s="53"/>
      <c r="J42" s="310" t="s">
        <v>630</v>
      </c>
      <c r="K42" s="311">
        <f>K41+J41</f>
        <v>3954773</v>
      </c>
      <c r="L42" s="310" t="s">
        <v>631</v>
      </c>
      <c r="M42" s="312"/>
      <c r="N42" s="313">
        <f>K42+F41</f>
        <v>16905019</v>
      </c>
      <c r="O42" s="314">
        <f>ROUND((N42/P42)*100,2)</f>
        <v>3.96</v>
      </c>
      <c r="P42" s="93">
        <f>Input!$GR$18</f>
        <v>427245097</v>
      </c>
      <c r="Q42" s="92"/>
      <c r="R42" s="92"/>
      <c r="S42" s="92"/>
      <c r="T42" s="94"/>
      <c r="U42" s="95"/>
      <c r="V42" s="96"/>
      <c r="W42" s="92"/>
      <c r="X42" s="92"/>
      <c r="Y42" s="92"/>
      <c r="Z42" s="92" t="str">
        <f>IF(Z41&lt;&gt;0,"Out of Balance","")</f>
        <v/>
      </c>
    </row>
    <row r="43" spans="1:28" ht="15.75" customHeight="1">
      <c r="A43" s="76"/>
      <c r="B43" s="14" t="s">
        <v>45</v>
      </c>
      <c r="C43" s="53"/>
      <c r="D43" s="53"/>
      <c r="E43" s="53"/>
      <c r="F43" s="53"/>
      <c r="G43" s="315"/>
      <c r="H43" s="315"/>
      <c r="I43" s="315"/>
      <c r="J43" s="315"/>
      <c r="K43" s="315"/>
      <c r="L43" s="315"/>
      <c r="O43" s="316" t="s">
        <v>632</v>
      </c>
      <c r="Q43" s="92"/>
      <c r="R43" s="92"/>
      <c r="S43" s="92"/>
      <c r="T43" s="94"/>
      <c r="U43" s="95"/>
      <c r="V43" s="96"/>
      <c r="W43" s="92"/>
      <c r="X43" s="92"/>
      <c r="Y43" s="92"/>
      <c r="Z43" s="92"/>
    </row>
    <row r="44" spans="1:28" ht="15.75" customHeight="1">
      <c r="A44" s="76"/>
      <c r="B44" s="55" t="s">
        <v>544</v>
      </c>
      <c r="C44" s="21"/>
      <c r="D44" s="21"/>
      <c r="F44" s="64">
        <f>Input!$EI$18</f>
        <v>991806</v>
      </c>
      <c r="G44" s="64">
        <f>Input!$EJ$18</f>
        <v>1712024</v>
      </c>
      <c r="H44" s="64">
        <f>Input!$EK$18</f>
        <v>397120</v>
      </c>
      <c r="I44" s="64">
        <f>Input!$EL$18</f>
        <v>988967</v>
      </c>
      <c r="J44" s="64">
        <f>Input!$EM$18</f>
        <v>205164</v>
      </c>
      <c r="K44" s="64">
        <f>Input!$EN$18</f>
        <v>493076</v>
      </c>
      <c r="L44" s="57">
        <f>SUM(F44:K44)</f>
        <v>4788157</v>
      </c>
      <c r="N44" s="9"/>
      <c r="O44" s="318">
        <f>ROUND(N42/O46,0)</f>
        <v>211313</v>
      </c>
      <c r="Q44" s="93"/>
      <c r="R44" s="93"/>
      <c r="S44" s="93"/>
      <c r="T44" s="94"/>
      <c r="U44" s="95"/>
      <c r="V44" s="99"/>
      <c r="W44" s="93"/>
      <c r="X44" s="101"/>
      <c r="Y44" s="92"/>
      <c r="Z44" s="100"/>
      <c r="AB44" s="24">
        <f>SUM(C44:L44)</f>
        <v>9576314</v>
      </c>
    </row>
    <row r="45" spans="1:28" ht="15.75" customHeight="1">
      <c r="A45" s="76"/>
      <c r="B45" s="55" t="s">
        <v>46</v>
      </c>
      <c r="C45" s="21"/>
      <c r="D45" s="21"/>
      <c r="F45" s="64">
        <f>Input!$EO$18</f>
        <v>4634425</v>
      </c>
      <c r="G45" s="64">
        <f>Input!$EP$18</f>
        <v>9548039</v>
      </c>
      <c r="H45" s="64">
        <f>Input!$EQ$18</f>
        <v>693015</v>
      </c>
      <c r="I45" s="64">
        <f>Input!$ER$18</f>
        <v>1552901</v>
      </c>
      <c r="J45" s="64">
        <f>Input!$ES$18</f>
        <v>461864</v>
      </c>
      <c r="K45" s="64">
        <f>Input!$ET$18</f>
        <v>573290</v>
      </c>
      <c r="L45" s="65">
        <f t="shared" ref="L45:L53" si="4">SUM(F45:K45)</f>
        <v>17463534</v>
      </c>
      <c r="N45" s="97"/>
      <c r="O45" s="319" t="s">
        <v>635</v>
      </c>
      <c r="P45" s="98"/>
      <c r="Q45" s="93"/>
      <c r="R45" s="93"/>
      <c r="S45" s="93"/>
      <c r="T45" s="94"/>
      <c r="U45" s="95"/>
      <c r="V45" s="99"/>
      <c r="W45" s="93"/>
      <c r="X45" s="101"/>
      <c r="Y45" s="92"/>
      <c r="Z45" s="100"/>
      <c r="AB45" s="24"/>
    </row>
    <row r="46" spans="1:28" ht="15.75" customHeight="1">
      <c r="A46" s="76"/>
      <c r="B46" s="55" t="s">
        <v>545</v>
      </c>
      <c r="C46" s="21"/>
      <c r="D46" s="21"/>
      <c r="F46" s="64">
        <f>Input!$EU$18</f>
        <v>2395297</v>
      </c>
      <c r="G46" s="64">
        <f>Input!$EV$18</f>
        <v>5474769</v>
      </c>
      <c r="H46" s="64">
        <f>Input!$EW$18</f>
        <v>335809</v>
      </c>
      <c r="I46" s="64">
        <f>Input!$EX$18</f>
        <v>1837397</v>
      </c>
      <c r="J46" s="64">
        <f>Input!$EY$18</f>
        <v>428055</v>
      </c>
      <c r="K46" s="64">
        <f>Input!$EZ$18</f>
        <v>270066</v>
      </c>
      <c r="L46" s="65">
        <f t="shared" si="4"/>
        <v>10741393</v>
      </c>
      <c r="N46" s="97"/>
      <c r="O46" s="320">
        <f>FTSE!$O$47</f>
        <v>80</v>
      </c>
      <c r="P46" s="98"/>
      <c r="Q46" s="93"/>
      <c r="R46" s="93"/>
      <c r="S46" s="93"/>
      <c r="T46" s="94"/>
      <c r="U46" s="95"/>
      <c r="V46" s="99"/>
      <c r="W46" s="93"/>
      <c r="X46" s="101"/>
      <c r="Y46" s="92"/>
      <c r="Z46" s="100"/>
      <c r="AB46" s="24"/>
    </row>
    <row r="47" spans="1:28" ht="15.75" customHeight="1">
      <c r="A47" s="76"/>
      <c r="B47" s="63" t="s">
        <v>546</v>
      </c>
      <c r="C47" s="21"/>
      <c r="D47" s="21"/>
      <c r="F47" s="64">
        <f>Input!$FA$18</f>
        <v>509291</v>
      </c>
      <c r="G47" s="64">
        <f>Input!$FB$18</f>
        <v>963902</v>
      </c>
      <c r="H47" s="64">
        <f>Input!$FC$18</f>
        <v>619634</v>
      </c>
      <c r="I47" s="64">
        <f>Input!$FD$18</f>
        <v>590036</v>
      </c>
      <c r="J47" s="64">
        <f>Input!$FE$18</f>
        <v>192568</v>
      </c>
      <c r="K47" s="64">
        <f>Input!$FF$18</f>
        <v>174701</v>
      </c>
      <c r="L47" s="65">
        <f t="shared" si="4"/>
        <v>3050132</v>
      </c>
      <c r="N47" s="97"/>
      <c r="O47" s="321" t="s">
        <v>636</v>
      </c>
      <c r="P47" s="98"/>
      <c r="Q47" s="93"/>
      <c r="R47" s="93"/>
      <c r="S47" s="93"/>
      <c r="T47" s="94"/>
      <c r="U47" s="95"/>
      <c r="V47" s="99"/>
      <c r="W47" s="93"/>
      <c r="X47" s="101"/>
      <c r="Y47" s="92"/>
      <c r="Z47" s="100"/>
      <c r="AB47" s="24"/>
    </row>
    <row r="48" spans="1:28" ht="15.75" customHeight="1">
      <c r="A48" s="76"/>
      <c r="B48" s="55" t="s">
        <v>547</v>
      </c>
      <c r="C48" s="21"/>
      <c r="D48" s="21"/>
      <c r="F48" s="64">
        <f>Input!$FG$18</f>
        <v>1141029</v>
      </c>
      <c r="G48" s="64">
        <f>Input!$FH$18</f>
        <v>2252485</v>
      </c>
      <c r="H48" s="64">
        <f>Input!$FI$18</f>
        <v>387998</v>
      </c>
      <c r="I48" s="64">
        <f>Input!$FJ$18</f>
        <v>830984</v>
      </c>
      <c r="J48" s="64">
        <f>Input!$FK$18</f>
        <v>200533</v>
      </c>
      <c r="K48" s="64">
        <f>Input!$FL$18</f>
        <v>168435</v>
      </c>
      <c r="L48" s="65">
        <f t="shared" si="4"/>
        <v>4981464</v>
      </c>
      <c r="N48" s="97"/>
      <c r="P48" s="98"/>
      <c r="Q48" s="93"/>
      <c r="R48" s="93"/>
      <c r="S48" s="93"/>
      <c r="T48" s="94"/>
      <c r="U48" s="95"/>
      <c r="V48" s="99"/>
      <c r="W48" s="93"/>
      <c r="X48" s="101"/>
      <c r="Y48" s="92"/>
      <c r="Z48" s="100"/>
      <c r="AB48" s="24"/>
    </row>
    <row r="49" spans="1:28" s="79" customFormat="1" ht="15.75" customHeight="1">
      <c r="A49" s="76"/>
      <c r="B49" s="55" t="s">
        <v>548</v>
      </c>
      <c r="C49" s="78"/>
      <c r="D49" s="78"/>
      <c r="E49" s="20"/>
      <c r="F49" s="64">
        <f>Input!$FM$18</f>
        <v>0</v>
      </c>
      <c r="G49" s="64">
        <f>Input!$FN$18</f>
        <v>0</v>
      </c>
      <c r="H49" s="64">
        <f>Input!$FO$18</f>
        <v>0</v>
      </c>
      <c r="I49" s="64">
        <f>Input!$FP$18</f>
        <v>0</v>
      </c>
      <c r="J49" s="64">
        <f>Input!$FQ$18</f>
        <v>0</v>
      </c>
      <c r="K49" s="64">
        <f>Input!$FR$18</f>
        <v>0</v>
      </c>
      <c r="L49" s="65">
        <f t="shared" si="4"/>
        <v>0</v>
      </c>
      <c r="N49" s="102"/>
      <c r="P49" s="103"/>
      <c r="Q49" s="104"/>
      <c r="R49" s="104"/>
      <c r="S49" s="104"/>
      <c r="T49" s="105"/>
      <c r="U49" s="106"/>
      <c r="V49" s="107"/>
      <c r="W49" s="104"/>
      <c r="X49" s="108"/>
      <c r="Y49" s="109"/>
      <c r="Z49" s="110"/>
      <c r="AB49" s="83"/>
    </row>
    <row r="50" spans="1:28" s="79" customFormat="1" ht="15.75" customHeight="1">
      <c r="A50" s="76"/>
      <c r="B50" s="55" t="s">
        <v>549</v>
      </c>
      <c r="C50" s="78"/>
      <c r="D50" s="78"/>
      <c r="E50" s="20"/>
      <c r="F50" s="64">
        <f>Input!$FS$18</f>
        <v>0</v>
      </c>
      <c r="G50" s="64">
        <f>Input!$FT$18</f>
        <v>0</v>
      </c>
      <c r="H50" s="64">
        <f>Input!$FU$18</f>
        <v>0</v>
      </c>
      <c r="I50" s="64">
        <f>Input!$FV$18</f>
        <v>0</v>
      </c>
      <c r="J50" s="64">
        <f>Input!$FW$18</f>
        <v>0</v>
      </c>
      <c r="K50" s="64">
        <f>Input!$FX$18</f>
        <v>0</v>
      </c>
      <c r="L50" s="65">
        <f t="shared" si="4"/>
        <v>0</v>
      </c>
      <c r="N50" s="102"/>
      <c r="P50" s="103"/>
      <c r="Q50" s="104"/>
      <c r="R50" s="104"/>
      <c r="S50" s="104"/>
      <c r="T50" s="105"/>
      <c r="U50" s="106"/>
      <c r="V50" s="107"/>
      <c r="W50" s="104"/>
      <c r="X50" s="108"/>
      <c r="Y50" s="109"/>
      <c r="Z50" s="110"/>
      <c r="AB50" s="83"/>
    </row>
    <row r="51" spans="1:28" s="79" customFormat="1" ht="15.75" customHeight="1">
      <c r="A51" s="76"/>
      <c r="B51" s="55" t="s">
        <v>550</v>
      </c>
      <c r="C51" s="78"/>
      <c r="D51" s="78"/>
      <c r="E51" s="20"/>
      <c r="F51" s="64">
        <f>Input!$FY$18</f>
        <v>0</v>
      </c>
      <c r="G51" s="64">
        <f>Input!$FZ$18</f>
        <v>0</v>
      </c>
      <c r="H51" s="64">
        <f>Input!$GA$18</f>
        <v>0</v>
      </c>
      <c r="I51" s="64">
        <f>Input!$GB$18</f>
        <v>0</v>
      </c>
      <c r="J51" s="64">
        <f>Input!$GC$18</f>
        <v>0</v>
      </c>
      <c r="K51" s="64">
        <f>Input!$GD$18</f>
        <v>0</v>
      </c>
      <c r="L51" s="65">
        <f t="shared" si="4"/>
        <v>0</v>
      </c>
      <c r="N51" s="102"/>
      <c r="P51" s="103"/>
      <c r="Q51" s="104"/>
      <c r="R51" s="104"/>
      <c r="S51" s="104"/>
      <c r="T51" s="105"/>
      <c r="U51" s="106"/>
      <c r="V51" s="107"/>
      <c r="W51" s="104"/>
      <c r="X51" s="108"/>
      <c r="Y51" s="109"/>
      <c r="Z51" s="110"/>
      <c r="AB51" s="83"/>
    </row>
    <row r="52" spans="1:28" s="79" customFormat="1" ht="15.75" customHeight="1">
      <c r="A52" s="76"/>
      <c r="B52" s="55" t="s">
        <v>551</v>
      </c>
      <c r="C52" s="78"/>
      <c r="D52" s="78"/>
      <c r="E52" s="20"/>
      <c r="F52" s="64">
        <f>Input!$GE$18</f>
        <v>0</v>
      </c>
      <c r="G52" s="64">
        <f>Input!$GF$18</f>
        <v>0</v>
      </c>
      <c r="H52" s="64">
        <f>Input!$GG$18</f>
        <v>0</v>
      </c>
      <c r="I52" s="64">
        <f>Input!$GH$18</f>
        <v>0</v>
      </c>
      <c r="J52" s="64">
        <f>Input!$GI$18</f>
        <v>0</v>
      </c>
      <c r="K52" s="64">
        <f>Input!$GJ$18</f>
        <v>0</v>
      </c>
      <c r="L52" s="65">
        <f t="shared" si="4"/>
        <v>0</v>
      </c>
      <c r="N52" s="102"/>
      <c r="P52" s="103"/>
      <c r="Q52" s="104"/>
      <c r="R52" s="104"/>
      <c r="S52" s="104"/>
      <c r="T52" s="105"/>
      <c r="U52" s="106"/>
      <c r="V52" s="107"/>
      <c r="W52" s="104"/>
      <c r="X52" s="108"/>
      <c r="Y52" s="109"/>
      <c r="Z52" s="110"/>
      <c r="AB52" s="83"/>
    </row>
    <row r="53" spans="1:28" s="79" customFormat="1" ht="15.75" customHeight="1">
      <c r="A53" s="76"/>
      <c r="B53" s="55" t="s">
        <v>552</v>
      </c>
      <c r="C53" s="78"/>
      <c r="D53" s="78"/>
      <c r="E53" s="20"/>
      <c r="F53" s="64">
        <f>Input!$GK$18</f>
        <v>0</v>
      </c>
      <c r="G53" s="64">
        <f>Input!$GL$18</f>
        <v>0</v>
      </c>
      <c r="H53" s="64">
        <f>Input!$GM$18</f>
        <v>0</v>
      </c>
      <c r="I53" s="64">
        <f>Input!$GN$18</f>
        <v>0</v>
      </c>
      <c r="J53" s="64">
        <f>Input!$GO$18</f>
        <v>0</v>
      </c>
      <c r="K53" s="64">
        <f>Input!$GP$18</f>
        <v>0</v>
      </c>
      <c r="L53" s="65">
        <f t="shared" si="4"/>
        <v>0</v>
      </c>
      <c r="N53" s="102"/>
      <c r="P53" s="103"/>
      <c r="Q53" s="104"/>
      <c r="R53" s="104"/>
      <c r="S53" s="104"/>
      <c r="T53" s="105"/>
      <c r="U53" s="106"/>
      <c r="V53" s="107"/>
      <c r="W53" s="104"/>
      <c r="X53" s="108"/>
      <c r="Y53" s="109"/>
      <c r="Z53" s="110"/>
      <c r="AB53" s="83"/>
    </row>
    <row r="54" spans="1:28" ht="15.75" customHeight="1">
      <c r="A54" s="76"/>
      <c r="B54" s="43" t="s">
        <v>47</v>
      </c>
      <c r="C54" s="44"/>
      <c r="D54" s="44"/>
      <c r="E54" s="44"/>
      <c r="F54" s="86">
        <f>SUM(F44:F53)</f>
        <v>9671848</v>
      </c>
      <c r="G54" s="86">
        <f t="shared" ref="G54:L54" si="5">SUM(G44:G53)</f>
        <v>19951219</v>
      </c>
      <c r="H54" s="86">
        <f t="shared" si="5"/>
        <v>2433576</v>
      </c>
      <c r="I54" s="86">
        <f t="shared" si="5"/>
        <v>5800285</v>
      </c>
      <c r="J54" s="86">
        <f t="shared" si="5"/>
        <v>1488184</v>
      </c>
      <c r="K54" s="86">
        <f t="shared" si="5"/>
        <v>1679568</v>
      </c>
      <c r="L54" s="86">
        <f t="shared" si="5"/>
        <v>41024680</v>
      </c>
      <c r="N54" s="97"/>
      <c r="P54" s="98"/>
      <c r="Q54" s="98"/>
      <c r="R54" s="98"/>
      <c r="S54" s="50">
        <f>L54-INT(L54)</f>
        <v>0</v>
      </c>
      <c r="T54" s="94"/>
      <c r="U54" s="95"/>
      <c r="V54" s="99"/>
      <c r="W54" s="99"/>
      <c r="X54" s="99"/>
      <c r="Y54" s="95"/>
      <c r="Z54" s="95"/>
      <c r="AB54" s="44">
        <f>SUM(AB44:AB48)</f>
        <v>9576314</v>
      </c>
    </row>
    <row r="55" spans="1:28" ht="15.75" customHeight="1">
      <c r="A55" s="76"/>
      <c r="C55" s="38"/>
      <c r="D55" s="38"/>
      <c r="E55" s="38"/>
      <c r="F55" s="38"/>
      <c r="G55" s="38"/>
      <c r="H55" s="38"/>
      <c r="I55" s="38"/>
      <c r="J55" s="38"/>
      <c r="K55" s="38"/>
      <c r="L55" s="38"/>
      <c r="N55" s="97"/>
      <c r="P55" s="98"/>
      <c r="Q55" s="98"/>
      <c r="R55" s="98"/>
      <c r="S55" s="98"/>
      <c r="T55" s="94"/>
      <c r="U55" s="95"/>
      <c r="V55" s="99"/>
      <c r="W55" s="99"/>
      <c r="X55" s="99"/>
      <c r="Y55" s="95"/>
      <c r="Z55" s="95"/>
    </row>
    <row r="56" spans="1:28" ht="15.75" customHeight="1">
      <c r="A56" s="76"/>
      <c r="L56" s="6" t="s">
        <v>48</v>
      </c>
      <c r="N56" s="111"/>
      <c r="Q56" s="112"/>
      <c r="R56" s="112"/>
      <c r="S56" s="112"/>
      <c r="W56" s="112"/>
      <c r="X56" s="112"/>
      <c r="Y56" s="112"/>
      <c r="Z56" s="112"/>
    </row>
    <row r="57" spans="1:28" ht="15.75" customHeight="1">
      <c r="A57" s="76"/>
      <c r="N57" s="113"/>
    </row>
    <row r="58" spans="1:28" s="112" customFormat="1" ht="15.75" customHeight="1">
      <c r="A58" s="76"/>
      <c r="N58" s="113"/>
      <c r="O58" s="9"/>
      <c r="P58" s="9"/>
      <c r="Q58" s="9"/>
      <c r="R58" s="9"/>
      <c r="S58" s="9"/>
      <c r="T58" s="9"/>
      <c r="U58" s="9"/>
      <c r="V58" s="9"/>
      <c r="W58" s="9"/>
      <c r="X58" s="9"/>
      <c r="Y58" s="9"/>
      <c r="Z58" s="9"/>
    </row>
    <row r="59" spans="1:28" s="112" customFormat="1" ht="15.75" customHeight="1">
      <c r="A59" s="76"/>
      <c r="N59" s="113"/>
      <c r="O59" s="9"/>
      <c r="P59" s="9"/>
      <c r="Q59" s="9"/>
      <c r="R59" s="9"/>
      <c r="S59" s="9"/>
      <c r="T59" s="9"/>
      <c r="U59" s="9"/>
      <c r="V59" s="9"/>
      <c r="W59" s="9"/>
      <c r="X59" s="9"/>
      <c r="Y59" s="9"/>
      <c r="Z59" s="9"/>
    </row>
    <row r="60" spans="1:28" s="112" customFormat="1" ht="15.75" customHeight="1">
      <c r="A60" s="76"/>
      <c r="N60" s="113"/>
      <c r="O60" s="9"/>
      <c r="P60" s="9"/>
      <c r="Q60" s="9"/>
      <c r="R60" s="9"/>
      <c r="S60" s="9"/>
      <c r="T60" s="9"/>
      <c r="U60" s="9"/>
      <c r="V60" s="9"/>
      <c r="W60" s="9"/>
      <c r="X60" s="9"/>
      <c r="Y60" s="9"/>
      <c r="Z60" s="9"/>
    </row>
    <row r="61" spans="1:28" s="79" customFormat="1" ht="15.75" customHeight="1">
      <c r="A61" s="76"/>
      <c r="B61" s="20"/>
      <c r="C61" s="20"/>
      <c r="D61" s="20"/>
      <c r="E61" s="20"/>
      <c r="F61" s="114">
        <f t="shared" ref="F61:L61" si="6">F54+F41</f>
        <v>22622094</v>
      </c>
      <c r="G61" s="114">
        <f t="shared" si="6"/>
        <v>45719486</v>
      </c>
      <c r="H61" s="114">
        <f t="shared" si="6"/>
        <v>5873338</v>
      </c>
      <c r="I61" s="114">
        <f t="shared" si="6"/>
        <v>10575697</v>
      </c>
      <c r="J61" s="114">
        <f t="shared" si="6"/>
        <v>2523050</v>
      </c>
      <c r="K61" s="114">
        <f t="shared" si="6"/>
        <v>4599475</v>
      </c>
      <c r="L61" s="114">
        <f t="shared" si="6"/>
        <v>91913140</v>
      </c>
      <c r="N61" s="20"/>
    </row>
    <row r="62" spans="1:28" s="79" customFormat="1" ht="15.75" customHeight="1">
      <c r="A62" s="76"/>
      <c r="B62" s="20"/>
      <c r="C62" s="20"/>
      <c r="D62" s="20"/>
      <c r="E62" s="20"/>
      <c r="F62" s="20"/>
      <c r="G62" s="20"/>
      <c r="H62" s="20"/>
      <c r="I62" s="20"/>
      <c r="J62" s="20"/>
      <c r="K62" s="20"/>
      <c r="L62" s="114">
        <f>SUM(K8:K9)+SUM(K12:K16)</f>
        <v>50987742</v>
      </c>
      <c r="N62" s="20"/>
    </row>
    <row r="63" spans="1:28" s="79" customFormat="1" ht="15.75" customHeight="1">
      <c r="A63" s="76"/>
      <c r="B63" s="20"/>
      <c r="C63" s="20"/>
      <c r="D63" s="20"/>
      <c r="E63" s="20"/>
      <c r="F63" s="20"/>
      <c r="G63" s="20"/>
      <c r="H63" s="20"/>
      <c r="I63" s="20"/>
      <c r="J63" s="20"/>
      <c r="K63" s="20"/>
      <c r="L63" s="114">
        <f>SUM(L61:L62)</f>
        <v>142900882</v>
      </c>
      <c r="N63" s="20"/>
    </row>
    <row r="65" spans="12:12" ht="15.75" customHeight="1">
      <c r="L65" s="3" t="str">
        <f>IF($L$63+L64&lt;&gt;Input!$D$18,"Error","Balanced")</f>
        <v>Balanced</v>
      </c>
    </row>
  </sheetData>
  <mergeCells count="3">
    <mergeCell ref="B6:L6"/>
    <mergeCell ref="H10:J10"/>
    <mergeCell ref="F18:J18"/>
  </mergeCells>
  <conditionalFormatting sqref="O25:O26">
    <cfRule type="expression" dxfId="5" priority="3">
      <formula>$O$26&lt;&gt;0</formula>
    </cfRule>
  </conditionalFormatting>
  <conditionalFormatting sqref="H10:J10">
    <cfRule type="expression" dxfId="4" priority="1">
      <formula>$O$10&lt;&gt;0</formula>
    </cfRule>
  </conditionalFormatting>
  <conditionalFormatting sqref="F18:J18">
    <cfRule type="expression" dxfId="3" priority="5">
      <formula>OR($S$17&lt;&gt;0,$S$41&lt;&gt;0,$S$54&lt;&gt;0)</formula>
    </cfRule>
  </conditionalFormatting>
  <hyperlinks>
    <hyperlink ref="N1" location="Index!A1" display="Return to Index"/>
  </hyperlinks>
  <printOptions horizontalCentered="1"/>
  <pageMargins left="0.25" right="0.25" top="0.25" bottom="0.25" header="0.5" footer="0.5"/>
  <pageSetup scale="60" pageOrder="overThenDown" orientation="landscape" r:id="rId1"/>
  <headerFooter alignWithMargins="0"/>
  <colBreaks count="1" manualBreakCount="1">
    <brk id="12" max="80" man="1"/>
  </colBreaks>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GR19"/>
  <sheetViews>
    <sheetView showGridLines="0" workbookViewId="0">
      <pane xSplit="3" ySplit="9" topLeftCell="GH11" activePane="bottomRight" state="frozen"/>
      <selection activeCell="L68" sqref="L68"/>
      <selection pane="topRight" activeCell="L68" sqref="L68"/>
      <selection pane="bottomLeft" activeCell="L68" sqref="L68"/>
      <selection pane="bottomRight" activeCell="GR18" sqref="GR18"/>
    </sheetView>
  </sheetViews>
  <sheetFormatPr defaultRowHeight="12.75"/>
  <cols>
    <col min="1" max="1" width="5.28515625" style="122" customWidth="1"/>
    <col min="2" max="2" width="37.28515625" style="133" customWidth="1"/>
    <col min="3" max="3" width="11.42578125" style="122" customWidth="1"/>
    <col min="4" max="4" width="13.28515625" style="122" customWidth="1"/>
    <col min="5" max="5" width="9.140625" style="121"/>
    <col min="6" max="6" width="9.140625" style="122"/>
    <col min="7" max="7" width="9.5703125" style="122" customWidth="1"/>
    <col min="8" max="199" width="9.140625" style="122"/>
    <col min="200" max="200" width="12.5703125" style="122" customWidth="1"/>
    <col min="201" max="16384" width="9.140625" style="122"/>
  </cols>
  <sheetData>
    <row r="1" spans="1:200" ht="15.75" thickBot="1">
      <c r="A1" s="120">
        <v>380</v>
      </c>
      <c r="B1" s="458" t="s">
        <v>485</v>
      </c>
      <c r="C1" s="459"/>
      <c r="H1" s="137" t="s">
        <v>543</v>
      </c>
      <c r="J1" s="337" t="s">
        <v>579</v>
      </c>
      <c r="GP1" s="337" t="s">
        <v>579</v>
      </c>
    </row>
    <row r="2" spans="1:200" ht="15">
      <c r="A2" s="134"/>
      <c r="B2" s="135"/>
      <c r="C2" s="135"/>
    </row>
    <row r="3" spans="1:200" ht="15">
      <c r="A3" s="134"/>
      <c r="B3" s="136" t="s">
        <v>266</v>
      </c>
      <c r="C3" s="135"/>
      <c r="EI3" s="226"/>
    </row>
    <row r="4" spans="1:200" ht="15">
      <c r="A4" s="134"/>
      <c r="B4" s="204"/>
      <c r="C4" s="205"/>
      <c r="D4" s="206"/>
      <c r="EI4" s="226"/>
    </row>
    <row r="5" spans="1:200" ht="15.75">
      <c r="A5" s="123"/>
      <c r="B5" s="207" t="s">
        <v>265</v>
      </c>
      <c r="C5" s="125"/>
      <c r="D5" s="208"/>
      <c r="EI5" s="226"/>
    </row>
    <row r="6" spans="1:200" ht="15.75">
      <c r="A6" s="123"/>
      <c r="B6" s="207" t="s">
        <v>530</v>
      </c>
      <c r="C6" s="125"/>
      <c r="D6" s="208"/>
      <c r="EI6" s="226"/>
    </row>
    <row r="7" spans="1:200" s="129" customFormat="1" ht="15">
      <c r="A7" s="124"/>
      <c r="B7" s="209" t="s">
        <v>1</v>
      </c>
      <c r="C7" s="210"/>
      <c r="D7" s="211"/>
      <c r="E7" s="130"/>
      <c r="EI7" s="227"/>
      <c r="GR7" s="243"/>
    </row>
    <row r="8" spans="1:200" customFormat="1">
      <c r="A8" s="137"/>
      <c r="B8" s="137"/>
      <c r="D8" t="s">
        <v>553</v>
      </c>
      <c r="E8" s="212"/>
      <c r="F8" s="212"/>
      <c r="G8" s="212"/>
      <c r="H8" s="212"/>
      <c r="I8" s="212"/>
      <c r="J8" s="212"/>
      <c r="K8" s="212"/>
      <c r="M8" s="460" t="s">
        <v>23</v>
      </c>
      <c r="N8" s="461"/>
      <c r="O8" s="461"/>
      <c r="P8" s="461"/>
      <c r="Q8" s="461"/>
      <c r="R8" s="462"/>
      <c r="S8" s="460" t="s">
        <v>24</v>
      </c>
      <c r="T8" s="461"/>
      <c r="U8" s="461"/>
      <c r="V8" s="461"/>
      <c r="W8" s="461"/>
      <c r="X8" s="462"/>
      <c r="Y8" s="460" t="s">
        <v>25</v>
      </c>
      <c r="Z8" s="461"/>
      <c r="AA8" s="461"/>
      <c r="AB8" s="461"/>
      <c r="AC8" s="461"/>
      <c r="AD8" s="462"/>
      <c r="AE8" s="460" t="s">
        <v>26</v>
      </c>
      <c r="AF8" s="461"/>
      <c r="AG8" s="461"/>
      <c r="AH8" s="461"/>
      <c r="AI8" s="461"/>
      <c r="AJ8" s="462"/>
      <c r="AK8" s="460" t="s">
        <v>27</v>
      </c>
      <c r="AL8" s="461"/>
      <c r="AM8" s="461"/>
      <c r="AN8" s="461"/>
      <c r="AO8" s="461"/>
      <c r="AP8" s="462"/>
      <c r="AQ8" s="460" t="s">
        <v>28</v>
      </c>
      <c r="AR8" s="461"/>
      <c r="AS8" s="461"/>
      <c r="AT8" s="461"/>
      <c r="AU8" s="461"/>
      <c r="AV8" s="462"/>
      <c r="AW8" s="460" t="s">
        <v>29</v>
      </c>
      <c r="AX8" s="461"/>
      <c r="AY8" s="461"/>
      <c r="AZ8" s="461"/>
      <c r="BA8" s="461"/>
      <c r="BB8" s="462"/>
      <c r="BC8" s="460" t="s">
        <v>30</v>
      </c>
      <c r="BD8" s="461"/>
      <c r="BE8" s="461"/>
      <c r="BF8" s="461"/>
      <c r="BG8" s="461"/>
      <c r="BH8" s="462"/>
      <c r="BI8" s="460" t="s">
        <v>31</v>
      </c>
      <c r="BJ8" s="461"/>
      <c r="BK8" s="461"/>
      <c r="BL8" s="461"/>
      <c r="BM8" s="461"/>
      <c r="BN8" s="462"/>
      <c r="BO8" s="460" t="s">
        <v>32</v>
      </c>
      <c r="BP8" s="461"/>
      <c r="BQ8" s="461"/>
      <c r="BR8" s="461"/>
      <c r="BS8" s="461"/>
      <c r="BT8" s="462"/>
      <c r="BU8" s="460" t="s">
        <v>33</v>
      </c>
      <c r="BV8" s="461"/>
      <c r="BW8" s="461"/>
      <c r="BX8" s="461"/>
      <c r="BY8" s="461"/>
      <c r="BZ8" s="462"/>
      <c r="CA8" s="460" t="s">
        <v>34</v>
      </c>
      <c r="CB8" s="461"/>
      <c r="CC8" s="461"/>
      <c r="CD8" s="461"/>
      <c r="CE8" s="461"/>
      <c r="CF8" s="462"/>
      <c r="CG8" s="460" t="s">
        <v>35</v>
      </c>
      <c r="CH8" s="461"/>
      <c r="CI8" s="461"/>
      <c r="CJ8" s="461"/>
      <c r="CK8" s="461"/>
      <c r="CL8" s="462"/>
      <c r="CM8" s="460" t="s">
        <v>36</v>
      </c>
      <c r="CN8" s="461"/>
      <c r="CO8" s="461"/>
      <c r="CP8" s="461"/>
      <c r="CQ8" s="461"/>
      <c r="CR8" s="462"/>
      <c r="CS8" s="460" t="s">
        <v>37</v>
      </c>
      <c r="CT8" s="461"/>
      <c r="CU8" s="461"/>
      <c r="CV8" s="461"/>
      <c r="CW8" s="461"/>
      <c r="CX8" s="462"/>
      <c r="CY8" s="460" t="s">
        <v>38</v>
      </c>
      <c r="CZ8" s="461"/>
      <c r="DA8" s="461"/>
      <c r="DB8" s="461"/>
      <c r="DC8" s="461"/>
      <c r="DD8" s="462"/>
      <c r="DE8" s="460" t="s">
        <v>39</v>
      </c>
      <c r="DF8" s="461"/>
      <c r="DG8" s="461"/>
      <c r="DH8" s="461"/>
      <c r="DI8" s="461"/>
      <c r="DJ8" s="462"/>
      <c r="DK8" s="460" t="s">
        <v>40</v>
      </c>
      <c r="DL8" s="461"/>
      <c r="DM8" s="461"/>
      <c r="DN8" s="461"/>
      <c r="DO8" s="461"/>
      <c r="DP8" s="462"/>
      <c r="DQ8" s="460" t="s">
        <v>41</v>
      </c>
      <c r="DR8" s="461"/>
      <c r="DS8" s="461"/>
      <c r="DT8" s="461"/>
      <c r="DU8" s="461"/>
      <c r="DV8" s="462"/>
      <c r="DW8" s="460" t="s">
        <v>42</v>
      </c>
      <c r="DX8" s="461"/>
      <c r="DY8" s="461"/>
      <c r="DZ8" s="461"/>
      <c r="EA8" s="461"/>
      <c r="EB8" s="462"/>
      <c r="EC8" s="460" t="s">
        <v>43</v>
      </c>
      <c r="ED8" s="461"/>
      <c r="EE8" s="461"/>
      <c r="EF8" s="461"/>
      <c r="EG8" s="461"/>
      <c r="EH8" s="462"/>
      <c r="EI8" s="460" t="s">
        <v>544</v>
      </c>
      <c r="EJ8" s="461"/>
      <c r="EK8" s="461"/>
      <c r="EL8" s="461"/>
      <c r="EM8" s="461"/>
      <c r="EN8" s="462"/>
      <c r="EO8" s="460" t="s">
        <v>46</v>
      </c>
      <c r="EP8" s="461"/>
      <c r="EQ8" s="461"/>
      <c r="ER8" s="461"/>
      <c r="ES8" s="461"/>
      <c r="ET8" s="462"/>
      <c r="EU8" s="460" t="s">
        <v>545</v>
      </c>
      <c r="EV8" s="461"/>
      <c r="EW8" s="461"/>
      <c r="EX8" s="461"/>
      <c r="EY8" s="461"/>
      <c r="EZ8" s="462"/>
      <c r="FA8" s="460" t="s">
        <v>546</v>
      </c>
      <c r="FB8" s="461"/>
      <c r="FC8" s="461"/>
      <c r="FD8" s="461"/>
      <c r="FE8" s="461"/>
      <c r="FF8" s="462"/>
      <c r="FG8" s="460" t="s">
        <v>547</v>
      </c>
      <c r="FH8" s="461"/>
      <c r="FI8" s="461"/>
      <c r="FJ8" s="461"/>
      <c r="FK8" s="461"/>
      <c r="FL8" s="462"/>
      <c r="FM8" s="460" t="s">
        <v>548</v>
      </c>
      <c r="FN8" s="461"/>
      <c r="FO8" s="461"/>
      <c r="FP8" s="461"/>
      <c r="FQ8" s="461"/>
      <c r="FR8" s="462"/>
      <c r="FS8" s="460" t="s">
        <v>549</v>
      </c>
      <c r="FT8" s="461"/>
      <c r="FU8" s="461"/>
      <c r="FV8" s="461"/>
      <c r="FW8" s="461"/>
      <c r="FX8" s="462"/>
      <c r="FY8" s="460" t="s">
        <v>550</v>
      </c>
      <c r="FZ8" s="461"/>
      <c r="GA8" s="461"/>
      <c r="GB8" s="461"/>
      <c r="GC8" s="461"/>
      <c r="GD8" s="462"/>
      <c r="GE8" s="460" t="s">
        <v>551</v>
      </c>
      <c r="GF8" s="461"/>
      <c r="GG8" s="461"/>
      <c r="GH8" s="461"/>
      <c r="GI8" s="461"/>
      <c r="GJ8" s="462"/>
      <c r="GK8" s="460" t="s">
        <v>552</v>
      </c>
      <c r="GL8" s="461"/>
      <c r="GM8" s="461"/>
      <c r="GN8" s="461"/>
      <c r="GO8" s="461"/>
      <c r="GP8" s="462"/>
      <c r="GR8" s="269" t="s">
        <v>637</v>
      </c>
    </row>
    <row r="9" spans="1:200" s="137" customFormat="1">
      <c r="C9" s="1"/>
      <c r="D9" s="1" t="s">
        <v>267</v>
      </c>
      <c r="E9" s="138" t="s">
        <v>268</v>
      </c>
      <c r="F9" s="138" t="s">
        <v>269</v>
      </c>
      <c r="G9" s="139" t="s">
        <v>156</v>
      </c>
      <c r="H9" s="139" t="s">
        <v>270</v>
      </c>
      <c r="I9" s="139" t="s">
        <v>178</v>
      </c>
      <c r="J9" s="139" t="s">
        <v>179</v>
      </c>
      <c r="K9" s="139" t="s">
        <v>271</v>
      </c>
      <c r="L9" s="1" t="s">
        <v>272</v>
      </c>
      <c r="M9" s="1" t="s">
        <v>51</v>
      </c>
      <c r="N9" s="1" t="s">
        <v>72</v>
      </c>
      <c r="O9" s="1" t="s">
        <v>93</v>
      </c>
      <c r="P9" s="1" t="s">
        <v>114</v>
      </c>
      <c r="Q9" s="1" t="s">
        <v>135</v>
      </c>
      <c r="R9" s="1" t="s">
        <v>157</v>
      </c>
      <c r="S9" s="1" t="s">
        <v>273</v>
      </c>
      <c r="T9" s="1" t="s">
        <v>274</v>
      </c>
      <c r="U9" s="1" t="s">
        <v>275</v>
      </c>
      <c r="V9" s="1" t="s">
        <v>276</v>
      </c>
      <c r="W9" s="1" t="s">
        <v>277</v>
      </c>
      <c r="X9" s="1" t="s">
        <v>278</v>
      </c>
      <c r="Y9" s="1" t="s">
        <v>279</v>
      </c>
      <c r="Z9" s="1" t="s">
        <v>280</v>
      </c>
      <c r="AA9" s="1" t="s">
        <v>281</v>
      </c>
      <c r="AB9" s="1" t="s">
        <v>282</v>
      </c>
      <c r="AC9" s="1" t="s">
        <v>283</v>
      </c>
      <c r="AD9" s="1" t="s">
        <v>284</v>
      </c>
      <c r="AE9" s="1" t="s">
        <v>52</v>
      </c>
      <c r="AF9" s="1" t="s">
        <v>73</v>
      </c>
      <c r="AG9" s="1" t="s">
        <v>94</v>
      </c>
      <c r="AH9" s="1" t="s">
        <v>115</v>
      </c>
      <c r="AI9" s="1" t="s">
        <v>136</v>
      </c>
      <c r="AJ9" s="1" t="s">
        <v>158</v>
      </c>
      <c r="AK9" s="1" t="s">
        <v>53</v>
      </c>
      <c r="AL9" s="1" t="s">
        <v>74</v>
      </c>
      <c r="AM9" s="1" t="s">
        <v>95</v>
      </c>
      <c r="AN9" s="1" t="s">
        <v>116</v>
      </c>
      <c r="AO9" s="1" t="s">
        <v>137</v>
      </c>
      <c r="AP9" s="1" t="s">
        <v>159</v>
      </c>
      <c r="AQ9" s="1" t="s">
        <v>54</v>
      </c>
      <c r="AR9" s="1" t="s">
        <v>75</v>
      </c>
      <c r="AS9" s="1" t="s">
        <v>96</v>
      </c>
      <c r="AT9" s="1" t="s">
        <v>117</v>
      </c>
      <c r="AU9" s="1" t="s">
        <v>138</v>
      </c>
      <c r="AV9" s="1" t="s">
        <v>160</v>
      </c>
      <c r="AW9" s="1" t="s">
        <v>285</v>
      </c>
      <c r="AX9" s="1" t="s">
        <v>286</v>
      </c>
      <c r="AY9" s="1" t="s">
        <v>287</v>
      </c>
      <c r="AZ9" s="1" t="s">
        <v>288</v>
      </c>
      <c r="BA9" s="1" t="s">
        <v>289</v>
      </c>
      <c r="BB9" s="1" t="s">
        <v>290</v>
      </c>
      <c r="BC9" s="1" t="s">
        <v>291</v>
      </c>
      <c r="BD9" s="1" t="s">
        <v>292</v>
      </c>
      <c r="BE9" s="1" t="s">
        <v>293</v>
      </c>
      <c r="BF9" s="1" t="s">
        <v>294</v>
      </c>
      <c r="BG9" s="1" t="s">
        <v>295</v>
      </c>
      <c r="BH9" s="1" t="s">
        <v>296</v>
      </c>
      <c r="BI9" s="1" t="s">
        <v>297</v>
      </c>
      <c r="BJ9" s="1" t="s">
        <v>298</v>
      </c>
      <c r="BK9" s="1" t="s">
        <v>299</v>
      </c>
      <c r="BL9" s="1" t="s">
        <v>300</v>
      </c>
      <c r="BM9" s="1" t="s">
        <v>301</v>
      </c>
      <c r="BN9" s="1" t="s">
        <v>302</v>
      </c>
      <c r="BO9" s="1" t="s">
        <v>303</v>
      </c>
      <c r="BP9" s="1" t="s">
        <v>304</v>
      </c>
      <c r="BQ9" s="1" t="s">
        <v>305</v>
      </c>
      <c r="BR9" s="1" t="s">
        <v>306</v>
      </c>
      <c r="BS9" s="1" t="s">
        <v>307</v>
      </c>
      <c r="BT9" s="1" t="s">
        <v>308</v>
      </c>
      <c r="BU9" s="1" t="s">
        <v>309</v>
      </c>
      <c r="BV9" s="1" t="s">
        <v>310</v>
      </c>
      <c r="BW9" s="1" t="s">
        <v>311</v>
      </c>
      <c r="BX9" s="1" t="s">
        <v>312</v>
      </c>
      <c r="BY9" s="1" t="s">
        <v>313</v>
      </c>
      <c r="BZ9" s="1" t="s">
        <v>314</v>
      </c>
      <c r="CA9" s="1" t="s">
        <v>55</v>
      </c>
      <c r="CB9" s="1" t="s">
        <v>76</v>
      </c>
      <c r="CC9" s="1" t="s">
        <v>97</v>
      </c>
      <c r="CD9" s="1" t="s">
        <v>118</v>
      </c>
      <c r="CE9" s="1" t="s">
        <v>139</v>
      </c>
      <c r="CF9" s="1" t="s">
        <v>161</v>
      </c>
      <c r="CG9" s="1" t="s">
        <v>315</v>
      </c>
      <c r="CH9" s="1" t="s">
        <v>316</v>
      </c>
      <c r="CI9" s="1" t="s">
        <v>317</v>
      </c>
      <c r="CJ9" s="1" t="s">
        <v>318</v>
      </c>
      <c r="CK9" s="1" t="s">
        <v>319</v>
      </c>
      <c r="CL9" s="1" t="s">
        <v>320</v>
      </c>
      <c r="CM9" s="1" t="s">
        <v>321</v>
      </c>
      <c r="CN9" s="1" t="s">
        <v>322</v>
      </c>
      <c r="CO9" s="1" t="s">
        <v>323</v>
      </c>
      <c r="CP9" s="1" t="s">
        <v>324</v>
      </c>
      <c r="CQ9" s="1" t="s">
        <v>325</v>
      </c>
      <c r="CR9" s="1" t="s">
        <v>326</v>
      </c>
      <c r="CS9" s="1" t="s">
        <v>56</v>
      </c>
      <c r="CT9" s="1" t="s">
        <v>77</v>
      </c>
      <c r="CU9" s="1" t="s">
        <v>98</v>
      </c>
      <c r="CV9" s="1" t="s">
        <v>119</v>
      </c>
      <c r="CW9" s="1" t="s">
        <v>140</v>
      </c>
      <c r="CX9" s="1" t="s">
        <v>162</v>
      </c>
      <c r="CY9" s="1" t="s">
        <v>57</v>
      </c>
      <c r="CZ9" s="1" t="s">
        <v>78</v>
      </c>
      <c r="DA9" s="1" t="s">
        <v>99</v>
      </c>
      <c r="DB9" s="1" t="s">
        <v>120</v>
      </c>
      <c r="DC9" s="1" t="s">
        <v>141</v>
      </c>
      <c r="DD9" s="1" t="s">
        <v>163</v>
      </c>
      <c r="DE9" s="1" t="s">
        <v>58</v>
      </c>
      <c r="DF9" s="1" t="s">
        <v>79</v>
      </c>
      <c r="DG9" s="1" t="s">
        <v>100</v>
      </c>
      <c r="DH9" s="1" t="s">
        <v>121</v>
      </c>
      <c r="DI9" s="1" t="s">
        <v>142</v>
      </c>
      <c r="DJ9" s="1" t="s">
        <v>164</v>
      </c>
      <c r="DK9" s="1" t="s">
        <v>59</v>
      </c>
      <c r="DL9" s="1" t="s">
        <v>80</v>
      </c>
      <c r="DM9" s="1" t="s">
        <v>101</v>
      </c>
      <c r="DN9" s="1" t="s">
        <v>122</v>
      </c>
      <c r="DO9" s="1" t="s">
        <v>143</v>
      </c>
      <c r="DP9" s="1" t="s">
        <v>165</v>
      </c>
      <c r="DQ9" s="1" t="s">
        <v>60</v>
      </c>
      <c r="DR9" s="1" t="s">
        <v>81</v>
      </c>
      <c r="DS9" s="1" t="s">
        <v>102</v>
      </c>
      <c r="DT9" s="1" t="s">
        <v>123</v>
      </c>
      <c r="DU9" s="1" t="s">
        <v>144</v>
      </c>
      <c r="DV9" s="1" t="s">
        <v>166</v>
      </c>
      <c r="DW9" s="1" t="s">
        <v>61</v>
      </c>
      <c r="DX9" s="1" t="s">
        <v>82</v>
      </c>
      <c r="DY9" s="1" t="s">
        <v>103</v>
      </c>
      <c r="DZ9" s="1" t="s">
        <v>124</v>
      </c>
      <c r="EA9" s="1" t="s">
        <v>145</v>
      </c>
      <c r="EB9" s="1" t="s">
        <v>167</v>
      </c>
      <c r="EC9" s="1" t="s">
        <v>327</v>
      </c>
      <c r="ED9" s="1" t="s">
        <v>328</v>
      </c>
      <c r="EE9" s="1" t="s">
        <v>329</v>
      </c>
      <c r="EF9" s="1" t="s">
        <v>330</v>
      </c>
      <c r="EG9" s="1" t="s">
        <v>331</v>
      </c>
      <c r="EH9" s="1" t="s">
        <v>332</v>
      </c>
      <c r="EI9" s="1" t="s">
        <v>62</v>
      </c>
      <c r="EJ9" s="1" t="s">
        <v>83</v>
      </c>
      <c r="EK9" s="1" t="s">
        <v>104</v>
      </c>
      <c r="EL9" s="1" t="s">
        <v>125</v>
      </c>
      <c r="EM9" s="1" t="s">
        <v>146</v>
      </c>
      <c r="EN9" s="1" t="s">
        <v>168</v>
      </c>
      <c r="EO9" s="1" t="s">
        <v>63</v>
      </c>
      <c r="EP9" s="1" t="s">
        <v>84</v>
      </c>
      <c r="EQ9" s="1" t="s">
        <v>105</v>
      </c>
      <c r="ER9" s="1" t="s">
        <v>126</v>
      </c>
      <c r="ES9" s="1" t="s">
        <v>147</v>
      </c>
      <c r="ET9" s="1" t="s">
        <v>169</v>
      </c>
      <c r="EU9" s="1" t="s">
        <v>64</v>
      </c>
      <c r="EV9" s="1" t="s">
        <v>85</v>
      </c>
      <c r="EW9" s="1" t="s">
        <v>106</v>
      </c>
      <c r="EX9" s="1" t="s">
        <v>127</v>
      </c>
      <c r="EY9" s="1" t="s">
        <v>148</v>
      </c>
      <c r="EZ9" s="1" t="s">
        <v>170</v>
      </c>
      <c r="FA9" s="1" t="s">
        <v>65</v>
      </c>
      <c r="FB9" s="1" t="s">
        <v>86</v>
      </c>
      <c r="FC9" s="1" t="s">
        <v>107</v>
      </c>
      <c r="FD9" s="1" t="s">
        <v>128</v>
      </c>
      <c r="FE9" s="1" t="s">
        <v>149</v>
      </c>
      <c r="FF9" s="1" t="s">
        <v>171</v>
      </c>
      <c r="FG9" s="1" t="s">
        <v>66</v>
      </c>
      <c r="FH9" s="1" t="s">
        <v>87</v>
      </c>
      <c r="FI9" s="1" t="s">
        <v>108</v>
      </c>
      <c r="FJ9" s="1" t="s">
        <v>129</v>
      </c>
      <c r="FK9" s="1" t="s">
        <v>150</v>
      </c>
      <c r="FL9" s="1" t="s">
        <v>172</v>
      </c>
      <c r="FM9" s="1" t="s">
        <v>67</v>
      </c>
      <c r="FN9" s="1" t="s">
        <v>88</v>
      </c>
      <c r="FO9" s="1" t="s">
        <v>109</v>
      </c>
      <c r="FP9" s="1" t="s">
        <v>130</v>
      </c>
      <c r="FQ9" s="1" t="s">
        <v>151</v>
      </c>
      <c r="FR9" s="1" t="s">
        <v>173</v>
      </c>
      <c r="FS9" s="1" t="s">
        <v>68</v>
      </c>
      <c r="FT9" s="1" t="s">
        <v>89</v>
      </c>
      <c r="FU9" s="1" t="s">
        <v>110</v>
      </c>
      <c r="FV9" s="1" t="s">
        <v>131</v>
      </c>
      <c r="FW9" s="1" t="s">
        <v>152</v>
      </c>
      <c r="FX9" s="1" t="s">
        <v>174</v>
      </c>
      <c r="FY9" s="1" t="s">
        <v>69</v>
      </c>
      <c r="FZ9" s="1" t="s">
        <v>90</v>
      </c>
      <c r="GA9" s="1" t="s">
        <v>111</v>
      </c>
      <c r="GB9" s="1" t="s">
        <v>132</v>
      </c>
      <c r="GC9" s="1" t="s">
        <v>153</v>
      </c>
      <c r="GD9" s="1" t="s">
        <v>175</v>
      </c>
      <c r="GE9" s="1" t="s">
        <v>70</v>
      </c>
      <c r="GF9" s="1" t="s">
        <v>91</v>
      </c>
      <c r="GG9" s="1" t="s">
        <v>112</v>
      </c>
      <c r="GH9" s="1" t="s">
        <v>133</v>
      </c>
      <c r="GI9" s="1" t="s">
        <v>154</v>
      </c>
      <c r="GJ9" s="1" t="s">
        <v>176</v>
      </c>
      <c r="GK9" s="1" t="s">
        <v>71</v>
      </c>
      <c r="GL9" s="1" t="s">
        <v>92</v>
      </c>
      <c r="GM9" s="1" t="s">
        <v>113</v>
      </c>
      <c r="GN9" s="1" t="s">
        <v>134</v>
      </c>
      <c r="GO9" s="1" t="s">
        <v>155</v>
      </c>
      <c r="GP9" s="1" t="s">
        <v>177</v>
      </c>
      <c r="GR9" s="322" t="s">
        <v>638</v>
      </c>
    </row>
    <row r="10" spans="1:200" s="129" customFormat="1" ht="45.75" thickBot="1">
      <c r="A10" s="168">
        <v>390</v>
      </c>
      <c r="B10" s="127" t="s">
        <v>487</v>
      </c>
      <c r="C10" s="168" t="s">
        <v>488</v>
      </c>
      <c r="D10" s="129">
        <f>934852678-E10</f>
        <v>934852648</v>
      </c>
      <c r="E10" s="130">
        <v>30</v>
      </c>
      <c r="F10" s="129">
        <v>0</v>
      </c>
      <c r="G10" s="129">
        <v>806596</v>
      </c>
      <c r="H10" s="129">
        <v>308606969</v>
      </c>
      <c r="I10" s="129">
        <v>75968647</v>
      </c>
      <c r="J10" s="129">
        <v>10739320</v>
      </c>
      <c r="K10" s="129">
        <v>0</v>
      </c>
      <c r="L10" s="129">
        <v>0</v>
      </c>
      <c r="M10" s="129">
        <v>0</v>
      </c>
      <c r="N10" s="129">
        <v>0</v>
      </c>
      <c r="O10" s="129">
        <v>0</v>
      </c>
      <c r="P10" s="129">
        <v>0</v>
      </c>
      <c r="Q10" s="129">
        <v>0</v>
      </c>
      <c r="R10" s="129">
        <v>0</v>
      </c>
      <c r="S10" s="129">
        <v>106280934</v>
      </c>
      <c r="T10" s="129">
        <v>18291963</v>
      </c>
      <c r="U10" s="129">
        <v>1441732</v>
      </c>
      <c r="V10" s="129">
        <v>4367700</v>
      </c>
      <c r="W10" s="129">
        <v>2442520</v>
      </c>
      <c r="X10" s="129">
        <v>32004547</v>
      </c>
      <c r="Y10" s="129">
        <v>0</v>
      </c>
      <c r="Z10" s="129">
        <v>0</v>
      </c>
      <c r="AA10" s="129">
        <v>0</v>
      </c>
      <c r="AB10" s="129">
        <v>0</v>
      </c>
      <c r="AC10" s="129">
        <v>0</v>
      </c>
      <c r="AD10" s="129">
        <v>0</v>
      </c>
      <c r="AE10" s="129">
        <v>0</v>
      </c>
      <c r="AF10" s="129">
        <v>0</v>
      </c>
      <c r="AG10" s="129">
        <v>0</v>
      </c>
      <c r="AH10" s="129">
        <v>0</v>
      </c>
      <c r="AI10" s="129">
        <v>0</v>
      </c>
      <c r="AJ10" s="129">
        <v>0</v>
      </c>
      <c r="AK10" s="129">
        <v>0</v>
      </c>
      <c r="AL10" s="129">
        <v>0</v>
      </c>
      <c r="AM10" s="129">
        <v>0</v>
      </c>
      <c r="AN10" s="129">
        <v>0</v>
      </c>
      <c r="AO10" s="129">
        <v>0</v>
      </c>
      <c r="AP10" s="129">
        <v>0</v>
      </c>
      <c r="AQ10" s="129">
        <v>0</v>
      </c>
      <c r="AR10" s="129">
        <v>0</v>
      </c>
      <c r="AS10" s="129">
        <v>0</v>
      </c>
      <c r="AT10" s="129">
        <v>0</v>
      </c>
      <c r="AU10" s="129">
        <v>0</v>
      </c>
      <c r="AV10" s="129">
        <v>0</v>
      </c>
      <c r="AW10" s="129">
        <v>125591611</v>
      </c>
      <c r="AX10" s="129">
        <v>24005050</v>
      </c>
      <c r="AY10" s="129">
        <v>2302310</v>
      </c>
      <c r="AZ10" s="129">
        <v>12131179</v>
      </c>
      <c r="BA10" s="129">
        <v>17165769</v>
      </c>
      <c r="BB10" s="129">
        <v>39115472</v>
      </c>
      <c r="BC10" s="129">
        <v>0</v>
      </c>
      <c r="BD10" s="129">
        <v>0</v>
      </c>
      <c r="BE10" s="129">
        <v>0</v>
      </c>
      <c r="BF10" s="129">
        <v>0</v>
      </c>
      <c r="BG10" s="129">
        <v>0</v>
      </c>
      <c r="BH10" s="129">
        <v>0</v>
      </c>
      <c r="BI10" s="129">
        <v>0</v>
      </c>
      <c r="BJ10" s="129">
        <v>0</v>
      </c>
      <c r="BK10" s="129">
        <v>0</v>
      </c>
      <c r="BL10" s="129">
        <v>0</v>
      </c>
      <c r="BM10" s="129">
        <v>0</v>
      </c>
      <c r="BN10" s="129">
        <v>0</v>
      </c>
      <c r="BO10" s="129">
        <v>0</v>
      </c>
      <c r="BP10" s="129">
        <v>0</v>
      </c>
      <c r="BQ10" s="129">
        <v>0</v>
      </c>
      <c r="BR10" s="129">
        <v>0</v>
      </c>
      <c r="BS10" s="129">
        <v>0</v>
      </c>
      <c r="BT10" s="129">
        <v>0</v>
      </c>
      <c r="BU10" s="129">
        <v>154440</v>
      </c>
      <c r="BV10" s="129">
        <v>3548064</v>
      </c>
      <c r="BW10" s="129">
        <v>228017</v>
      </c>
      <c r="BX10" s="129">
        <v>2230145</v>
      </c>
      <c r="BY10" s="129">
        <v>7569</v>
      </c>
      <c r="BZ10" s="129">
        <v>4005914</v>
      </c>
      <c r="CA10" s="129">
        <v>0</v>
      </c>
      <c r="CB10" s="129">
        <v>0</v>
      </c>
      <c r="CC10" s="129">
        <v>0</v>
      </c>
      <c r="CD10" s="129">
        <v>0</v>
      </c>
      <c r="CE10" s="129">
        <v>0</v>
      </c>
      <c r="CF10" s="129">
        <v>0</v>
      </c>
      <c r="CG10" s="129">
        <v>0</v>
      </c>
      <c r="CH10" s="129">
        <v>0</v>
      </c>
      <c r="CI10" s="129">
        <v>0</v>
      </c>
      <c r="CJ10" s="129">
        <v>0</v>
      </c>
      <c r="CK10" s="129">
        <v>0</v>
      </c>
      <c r="CL10" s="129">
        <v>0</v>
      </c>
      <c r="CM10" s="129">
        <v>0</v>
      </c>
      <c r="CN10" s="129">
        <v>0</v>
      </c>
      <c r="CO10" s="129">
        <v>0</v>
      </c>
      <c r="CP10" s="129">
        <v>0</v>
      </c>
      <c r="CQ10" s="129">
        <v>0</v>
      </c>
      <c r="CR10" s="129">
        <v>0</v>
      </c>
      <c r="CS10" s="129">
        <v>0</v>
      </c>
      <c r="CT10" s="129">
        <v>0</v>
      </c>
      <c r="CU10" s="129">
        <v>0</v>
      </c>
      <c r="CV10" s="129">
        <v>0</v>
      </c>
      <c r="CW10" s="129">
        <v>0</v>
      </c>
      <c r="CX10" s="129">
        <v>0</v>
      </c>
      <c r="CY10" s="129">
        <v>0</v>
      </c>
      <c r="CZ10" s="129">
        <v>0</v>
      </c>
      <c r="DA10" s="129">
        <v>0</v>
      </c>
      <c r="DB10" s="129">
        <v>0</v>
      </c>
      <c r="DC10" s="129">
        <v>0</v>
      </c>
      <c r="DD10" s="129">
        <v>0</v>
      </c>
      <c r="DE10" s="129">
        <v>0</v>
      </c>
      <c r="DF10" s="129">
        <v>0</v>
      </c>
      <c r="DG10" s="129">
        <v>0</v>
      </c>
      <c r="DH10" s="129">
        <v>0</v>
      </c>
      <c r="DI10" s="129">
        <v>0</v>
      </c>
      <c r="DJ10" s="129">
        <v>0</v>
      </c>
      <c r="DK10" s="129">
        <v>0</v>
      </c>
      <c r="DL10" s="129">
        <v>0</v>
      </c>
      <c r="DM10" s="129">
        <v>0</v>
      </c>
      <c r="DN10" s="129">
        <v>0</v>
      </c>
      <c r="DO10" s="129">
        <v>0</v>
      </c>
      <c r="DP10" s="129">
        <v>0</v>
      </c>
      <c r="DQ10" s="129">
        <v>0</v>
      </c>
      <c r="DR10" s="129">
        <v>0</v>
      </c>
      <c r="DS10" s="129">
        <v>0</v>
      </c>
      <c r="DT10" s="129">
        <v>0</v>
      </c>
      <c r="DU10" s="129">
        <v>0</v>
      </c>
      <c r="DV10" s="129">
        <v>0</v>
      </c>
      <c r="DW10" s="129">
        <v>0</v>
      </c>
      <c r="DX10" s="129">
        <v>0</v>
      </c>
      <c r="DY10" s="129">
        <v>0</v>
      </c>
      <c r="DZ10" s="129">
        <v>0</v>
      </c>
      <c r="EA10" s="129">
        <v>0</v>
      </c>
      <c r="EB10" s="129">
        <v>0</v>
      </c>
      <c r="EC10" s="129">
        <v>0</v>
      </c>
      <c r="ED10" s="129">
        <v>0</v>
      </c>
      <c r="EE10" s="129">
        <v>0</v>
      </c>
      <c r="EF10" s="129">
        <v>0</v>
      </c>
      <c r="EG10" s="129">
        <v>0</v>
      </c>
      <c r="EH10" s="129">
        <v>0</v>
      </c>
      <c r="EI10" s="129">
        <v>6384572</v>
      </c>
      <c r="EJ10" s="129">
        <v>68577</v>
      </c>
      <c r="EK10" s="129">
        <v>1252750</v>
      </c>
      <c r="EL10" s="129">
        <v>186711</v>
      </c>
      <c r="EM10" s="129">
        <v>300461</v>
      </c>
      <c r="EN10" s="129">
        <v>1990416</v>
      </c>
      <c r="EO10" s="129">
        <v>39702425</v>
      </c>
      <c r="EP10" s="129">
        <v>1273457</v>
      </c>
      <c r="EQ10" s="129">
        <v>1469560</v>
      </c>
      <c r="ER10" s="129">
        <v>2082484</v>
      </c>
      <c r="ES10" s="129">
        <v>6297255</v>
      </c>
      <c r="ET10" s="129">
        <v>10060710</v>
      </c>
      <c r="EU10" s="129">
        <v>21268029</v>
      </c>
      <c r="EV10" s="129">
        <v>915079</v>
      </c>
      <c r="EW10" s="129">
        <v>74519</v>
      </c>
      <c r="EX10" s="129">
        <v>912012</v>
      </c>
      <c r="EY10" s="129">
        <v>538872</v>
      </c>
      <c r="EZ10" s="129">
        <v>7957458</v>
      </c>
      <c r="FA10" s="129">
        <v>10822319</v>
      </c>
      <c r="FB10" s="129">
        <v>846276</v>
      </c>
      <c r="FC10" s="129">
        <v>17821</v>
      </c>
      <c r="FD10" s="129">
        <v>677136</v>
      </c>
      <c r="FE10" s="129">
        <v>471342</v>
      </c>
      <c r="FF10" s="129">
        <v>3122225</v>
      </c>
      <c r="FG10" s="129">
        <v>20270635</v>
      </c>
      <c r="FH10" s="129">
        <v>320640</v>
      </c>
      <c r="FI10" s="129">
        <v>0</v>
      </c>
      <c r="FJ10" s="129">
        <v>80797</v>
      </c>
      <c r="FK10" s="129">
        <v>824241</v>
      </c>
      <c r="FL10" s="129">
        <v>3227401</v>
      </c>
      <c r="FM10" s="129">
        <v>0</v>
      </c>
      <c r="FN10" s="129">
        <v>0</v>
      </c>
      <c r="FO10" s="129">
        <v>0</v>
      </c>
      <c r="FP10" s="129">
        <v>0</v>
      </c>
      <c r="FQ10" s="129">
        <v>0</v>
      </c>
      <c r="FR10" s="129">
        <v>0</v>
      </c>
      <c r="FS10" s="129">
        <v>0</v>
      </c>
      <c r="FT10" s="129">
        <v>0</v>
      </c>
      <c r="FU10" s="129">
        <v>0</v>
      </c>
      <c r="FV10" s="129">
        <v>0</v>
      </c>
      <c r="FW10" s="129">
        <v>0</v>
      </c>
      <c r="FX10" s="129">
        <v>0</v>
      </c>
      <c r="FY10" s="129">
        <v>0</v>
      </c>
      <c r="FZ10" s="129">
        <v>0</v>
      </c>
      <c r="GA10" s="129">
        <v>0</v>
      </c>
      <c r="GB10" s="129">
        <v>0</v>
      </c>
      <c r="GC10" s="129">
        <v>0</v>
      </c>
      <c r="GD10" s="129">
        <v>0</v>
      </c>
      <c r="GE10" s="78">
        <v>0</v>
      </c>
      <c r="GF10" s="78">
        <v>0</v>
      </c>
      <c r="GG10" s="78">
        <v>0</v>
      </c>
      <c r="GH10" s="78">
        <v>0</v>
      </c>
      <c r="GI10" s="78">
        <v>0</v>
      </c>
      <c r="GJ10" s="78">
        <v>0</v>
      </c>
      <c r="GK10" s="78">
        <v>0</v>
      </c>
      <c r="GL10" s="78">
        <v>0</v>
      </c>
      <c r="GM10" s="78">
        <v>0</v>
      </c>
      <c r="GN10" s="78">
        <v>0</v>
      </c>
      <c r="GO10" s="78">
        <v>0</v>
      </c>
      <c r="GP10" s="78">
        <v>0</v>
      </c>
      <c r="GR10" s="243">
        <v>175412063</v>
      </c>
    </row>
    <row r="11" spans="1:200" s="129" customFormat="1" ht="30.75" thickBot="1">
      <c r="A11" s="168">
        <v>400</v>
      </c>
      <c r="B11" s="127" t="s">
        <v>491</v>
      </c>
      <c r="C11" s="168" t="s">
        <v>492</v>
      </c>
      <c r="D11" s="129">
        <v>344927645</v>
      </c>
      <c r="E11" s="130">
        <v>104952</v>
      </c>
      <c r="F11" s="129">
        <v>0</v>
      </c>
      <c r="G11" s="129">
        <v>0</v>
      </c>
      <c r="H11" s="129">
        <v>116760151</v>
      </c>
      <c r="I11" s="129">
        <v>35455128</v>
      </c>
      <c r="J11" s="129">
        <v>4609725</v>
      </c>
      <c r="K11" s="129">
        <v>0</v>
      </c>
      <c r="L11" s="129">
        <v>0</v>
      </c>
      <c r="M11" s="129">
        <v>0</v>
      </c>
      <c r="N11" s="129">
        <v>0</v>
      </c>
      <c r="O11" s="129">
        <v>0</v>
      </c>
      <c r="P11" s="129">
        <v>0</v>
      </c>
      <c r="Q11" s="129">
        <v>0</v>
      </c>
      <c r="R11" s="129">
        <v>0</v>
      </c>
      <c r="S11" s="129">
        <v>51523589</v>
      </c>
      <c r="T11" s="129">
        <v>318588</v>
      </c>
      <c r="U11" s="129">
        <v>90752</v>
      </c>
      <c r="V11" s="129">
        <v>4497868</v>
      </c>
      <c r="W11" s="129">
        <v>1321290</v>
      </c>
      <c r="X11" s="129">
        <v>5361267</v>
      </c>
      <c r="Y11" s="129">
        <v>0</v>
      </c>
      <c r="Z11" s="129">
        <v>0</v>
      </c>
      <c r="AA11" s="129">
        <v>0</v>
      </c>
      <c r="AB11" s="129">
        <v>0</v>
      </c>
      <c r="AC11" s="129">
        <v>0</v>
      </c>
      <c r="AD11" s="129">
        <v>0</v>
      </c>
      <c r="AE11" s="129">
        <v>886702</v>
      </c>
      <c r="AF11" s="129">
        <v>398247</v>
      </c>
      <c r="AG11" s="129">
        <v>0</v>
      </c>
      <c r="AH11" s="129">
        <v>99878</v>
      </c>
      <c r="AI11" s="129">
        <v>54945</v>
      </c>
      <c r="AJ11" s="129">
        <v>1482</v>
      </c>
      <c r="AK11" s="129">
        <v>0</v>
      </c>
      <c r="AL11" s="129">
        <v>0</v>
      </c>
      <c r="AM11" s="129">
        <v>0</v>
      </c>
      <c r="AN11" s="129">
        <v>0</v>
      </c>
      <c r="AO11" s="129">
        <v>0</v>
      </c>
      <c r="AP11" s="129">
        <v>0</v>
      </c>
      <c r="AQ11" s="129">
        <v>0</v>
      </c>
      <c r="AR11" s="129">
        <v>0</v>
      </c>
      <c r="AS11" s="129">
        <v>0</v>
      </c>
      <c r="AT11" s="129">
        <v>0</v>
      </c>
      <c r="AU11" s="129">
        <v>0</v>
      </c>
      <c r="AV11" s="129">
        <v>0</v>
      </c>
      <c r="AW11" s="129">
        <v>76429311</v>
      </c>
      <c r="AX11" s="129">
        <v>187413</v>
      </c>
      <c r="AY11" s="129">
        <v>679687</v>
      </c>
      <c r="AZ11" s="129">
        <v>3234365</v>
      </c>
      <c r="BA11" s="129">
        <v>2288952</v>
      </c>
      <c r="BB11" s="129">
        <v>9450668</v>
      </c>
      <c r="BC11" s="129">
        <v>0</v>
      </c>
      <c r="BD11" s="129">
        <v>0</v>
      </c>
      <c r="BE11" s="129">
        <v>0</v>
      </c>
      <c r="BF11" s="129">
        <v>0</v>
      </c>
      <c r="BG11" s="129">
        <v>0</v>
      </c>
      <c r="BH11" s="129">
        <v>0</v>
      </c>
      <c r="BI11" s="129">
        <v>0</v>
      </c>
      <c r="BJ11" s="129">
        <v>0</v>
      </c>
      <c r="BK11" s="129">
        <v>0</v>
      </c>
      <c r="BL11" s="129">
        <v>0</v>
      </c>
      <c r="BM11" s="129">
        <v>0</v>
      </c>
      <c r="BN11" s="129">
        <v>0</v>
      </c>
      <c r="BO11" s="129">
        <v>0</v>
      </c>
      <c r="BP11" s="129">
        <v>0</v>
      </c>
      <c r="BQ11" s="129">
        <v>0</v>
      </c>
      <c r="BR11" s="129">
        <v>0</v>
      </c>
      <c r="BS11" s="129">
        <v>0</v>
      </c>
      <c r="BT11" s="129">
        <v>0</v>
      </c>
      <c r="BU11" s="129">
        <v>0</v>
      </c>
      <c r="BV11" s="129">
        <v>0</v>
      </c>
      <c r="BW11" s="129">
        <v>0</v>
      </c>
      <c r="BX11" s="129">
        <v>0</v>
      </c>
      <c r="BY11" s="129">
        <v>0</v>
      </c>
      <c r="BZ11" s="129">
        <v>0</v>
      </c>
      <c r="CA11" s="129">
        <v>0</v>
      </c>
      <c r="CB11" s="129">
        <v>0</v>
      </c>
      <c r="CC11" s="129">
        <v>0</v>
      </c>
      <c r="CD11" s="129">
        <v>0</v>
      </c>
      <c r="CE11" s="129">
        <v>0</v>
      </c>
      <c r="CF11" s="129">
        <v>0</v>
      </c>
      <c r="CG11" s="129">
        <v>0</v>
      </c>
      <c r="CH11" s="129">
        <v>0</v>
      </c>
      <c r="CI11" s="129">
        <v>0</v>
      </c>
      <c r="CJ11" s="129">
        <v>0</v>
      </c>
      <c r="CK11" s="129">
        <v>0</v>
      </c>
      <c r="CL11" s="129">
        <v>0</v>
      </c>
      <c r="CM11" s="129">
        <v>0</v>
      </c>
      <c r="CN11" s="129">
        <v>0</v>
      </c>
      <c r="CO11" s="129">
        <v>0</v>
      </c>
      <c r="CP11" s="129">
        <v>0</v>
      </c>
      <c r="CQ11" s="129">
        <v>0</v>
      </c>
      <c r="CR11" s="129">
        <v>0</v>
      </c>
      <c r="CS11" s="129">
        <v>0</v>
      </c>
      <c r="CT11" s="129">
        <v>0</v>
      </c>
      <c r="CU11" s="129">
        <v>0</v>
      </c>
      <c r="CV11" s="129">
        <v>0</v>
      </c>
      <c r="CW11" s="129">
        <v>0</v>
      </c>
      <c r="CX11" s="129">
        <v>0</v>
      </c>
      <c r="CY11" s="129">
        <v>0</v>
      </c>
      <c r="CZ11" s="129">
        <v>0</v>
      </c>
      <c r="DA11" s="129">
        <v>0</v>
      </c>
      <c r="DB11" s="129">
        <v>0</v>
      </c>
      <c r="DC11" s="129">
        <v>0</v>
      </c>
      <c r="DD11" s="129">
        <v>0</v>
      </c>
      <c r="DE11" s="129">
        <v>0</v>
      </c>
      <c r="DF11" s="129">
        <v>0</v>
      </c>
      <c r="DG11" s="129">
        <v>0</v>
      </c>
      <c r="DH11" s="129">
        <v>0</v>
      </c>
      <c r="DI11" s="129">
        <v>0</v>
      </c>
      <c r="DJ11" s="129">
        <v>0</v>
      </c>
      <c r="DK11" s="129">
        <v>0</v>
      </c>
      <c r="DL11" s="129">
        <v>0</v>
      </c>
      <c r="DM11" s="129">
        <v>0</v>
      </c>
      <c r="DN11" s="129">
        <v>0</v>
      </c>
      <c r="DO11" s="129">
        <v>0</v>
      </c>
      <c r="DP11" s="129">
        <v>0</v>
      </c>
      <c r="DQ11" s="129">
        <v>0</v>
      </c>
      <c r="DR11" s="129">
        <v>0</v>
      </c>
      <c r="DS11" s="129">
        <v>0</v>
      </c>
      <c r="DT11" s="129">
        <v>0</v>
      </c>
      <c r="DU11" s="129">
        <v>0</v>
      </c>
      <c r="DV11" s="129">
        <v>0</v>
      </c>
      <c r="DW11" s="129">
        <v>0</v>
      </c>
      <c r="DX11" s="129">
        <v>0</v>
      </c>
      <c r="DY11" s="129">
        <v>0</v>
      </c>
      <c r="DZ11" s="129">
        <v>0</v>
      </c>
      <c r="EA11" s="129">
        <v>0</v>
      </c>
      <c r="EB11" s="129">
        <v>0</v>
      </c>
      <c r="EC11" s="129">
        <v>0</v>
      </c>
      <c r="ED11" s="129">
        <v>0</v>
      </c>
      <c r="EE11" s="129">
        <v>0</v>
      </c>
      <c r="EF11" s="129">
        <v>0</v>
      </c>
      <c r="EG11" s="129">
        <v>0</v>
      </c>
      <c r="EH11" s="129">
        <v>0</v>
      </c>
      <c r="EI11" s="129">
        <v>8597797</v>
      </c>
      <c r="EJ11" s="129">
        <v>0</v>
      </c>
      <c r="EK11" s="129">
        <v>6194</v>
      </c>
      <c r="EL11" s="129">
        <v>0</v>
      </c>
      <c r="EM11" s="129">
        <v>326773</v>
      </c>
      <c r="EN11" s="129">
        <v>583641</v>
      </c>
      <c r="EO11" s="129">
        <v>10417568</v>
      </c>
      <c r="EP11" s="129">
        <v>0</v>
      </c>
      <c r="EQ11" s="129">
        <v>14033</v>
      </c>
      <c r="ER11" s="129">
        <v>0</v>
      </c>
      <c r="ES11" s="129">
        <v>77508</v>
      </c>
      <c r="ET11" s="129">
        <v>415488</v>
      </c>
      <c r="EU11" s="129">
        <v>2398159</v>
      </c>
      <c r="EV11" s="129">
        <v>0</v>
      </c>
      <c r="EW11" s="129">
        <v>0</v>
      </c>
      <c r="EX11" s="129">
        <v>0</v>
      </c>
      <c r="EY11" s="129">
        <v>518794</v>
      </c>
      <c r="EZ11" s="129">
        <v>1030055</v>
      </c>
      <c r="FA11" s="129">
        <v>5352931</v>
      </c>
      <c r="FB11" s="129">
        <v>0</v>
      </c>
      <c r="FC11" s="129">
        <v>0</v>
      </c>
      <c r="FD11" s="129">
        <v>0</v>
      </c>
      <c r="FE11" s="129">
        <v>254205</v>
      </c>
      <c r="FF11" s="129">
        <v>258248</v>
      </c>
      <c r="FG11" s="129">
        <v>325035</v>
      </c>
      <c r="FH11" s="129">
        <v>0</v>
      </c>
      <c r="FI11" s="129">
        <v>0</v>
      </c>
      <c r="FJ11" s="129">
        <v>0</v>
      </c>
      <c r="FK11" s="129">
        <v>286186</v>
      </c>
      <c r="FL11" s="129">
        <v>415022</v>
      </c>
      <c r="FM11" s="129">
        <v>0</v>
      </c>
      <c r="FN11" s="129">
        <v>0</v>
      </c>
      <c r="FO11" s="129">
        <v>0</v>
      </c>
      <c r="FP11" s="129">
        <v>0</v>
      </c>
      <c r="FQ11" s="129">
        <v>0</v>
      </c>
      <c r="FR11" s="129">
        <v>0</v>
      </c>
      <c r="FS11" s="129">
        <v>0</v>
      </c>
      <c r="FT11" s="129">
        <v>0</v>
      </c>
      <c r="FU11" s="129">
        <v>0</v>
      </c>
      <c r="FV11" s="129">
        <v>0</v>
      </c>
      <c r="FW11" s="129">
        <v>0</v>
      </c>
      <c r="FX11" s="129">
        <v>0</v>
      </c>
      <c r="FY11" s="129">
        <v>0</v>
      </c>
      <c r="FZ11" s="129">
        <v>0</v>
      </c>
      <c r="GA11" s="129">
        <v>0</v>
      </c>
      <c r="GB11" s="129">
        <v>0</v>
      </c>
      <c r="GC11" s="129">
        <v>0</v>
      </c>
      <c r="GD11" s="129">
        <v>0</v>
      </c>
      <c r="GE11" s="78">
        <v>0</v>
      </c>
      <c r="GF11" s="78">
        <v>0</v>
      </c>
      <c r="GG11" s="78">
        <v>0</v>
      </c>
      <c r="GH11" s="78">
        <v>0</v>
      </c>
      <c r="GI11" s="78">
        <v>0</v>
      </c>
      <c r="GJ11" s="78">
        <v>0</v>
      </c>
      <c r="GK11" s="78">
        <v>0</v>
      </c>
      <c r="GL11" s="78">
        <v>0</v>
      </c>
      <c r="GM11" s="78">
        <v>0</v>
      </c>
      <c r="GN11" s="78">
        <v>0</v>
      </c>
      <c r="GO11" s="78">
        <v>0</v>
      </c>
      <c r="GP11" s="78">
        <v>0</v>
      </c>
      <c r="GR11" s="243">
        <v>181651995</v>
      </c>
    </row>
    <row r="12" spans="1:200" s="129" customFormat="1" ht="30.75" thickBot="1">
      <c r="A12" s="168">
        <v>410</v>
      </c>
      <c r="B12" s="127" t="s">
        <v>494</v>
      </c>
      <c r="C12" s="168" t="s">
        <v>495</v>
      </c>
      <c r="D12" s="129">
        <v>527520357</v>
      </c>
      <c r="E12" s="229" t="s">
        <v>497</v>
      </c>
      <c r="F12" s="129">
        <v>0</v>
      </c>
      <c r="G12" s="129">
        <v>0</v>
      </c>
      <c r="H12" s="129">
        <v>194367928</v>
      </c>
      <c r="I12" s="129">
        <v>42189454</v>
      </c>
      <c r="J12" s="129">
        <v>4215170</v>
      </c>
      <c r="K12" s="129">
        <v>0</v>
      </c>
      <c r="L12" s="129">
        <v>0</v>
      </c>
      <c r="M12" s="129">
        <v>0</v>
      </c>
      <c r="N12" s="129">
        <v>0</v>
      </c>
      <c r="O12" s="129">
        <v>0</v>
      </c>
      <c r="P12" s="129">
        <v>0</v>
      </c>
      <c r="Q12" s="129">
        <v>0</v>
      </c>
      <c r="R12" s="129">
        <v>0</v>
      </c>
      <c r="S12" s="129">
        <v>35368893</v>
      </c>
      <c r="T12" s="129">
        <v>1162935</v>
      </c>
      <c r="U12" s="129">
        <v>388260</v>
      </c>
      <c r="V12" s="129">
        <v>1126511</v>
      </c>
      <c r="W12" s="129">
        <v>399375</v>
      </c>
      <c r="X12" s="129">
        <v>2807980</v>
      </c>
      <c r="Y12" s="129">
        <v>0</v>
      </c>
      <c r="Z12" s="129">
        <v>0</v>
      </c>
      <c r="AA12" s="129">
        <v>0</v>
      </c>
      <c r="AB12" s="129">
        <v>0</v>
      </c>
      <c r="AC12" s="129">
        <v>0</v>
      </c>
      <c r="AD12" s="129">
        <v>0</v>
      </c>
      <c r="AE12" s="129">
        <v>0</v>
      </c>
      <c r="AF12" s="129">
        <v>0</v>
      </c>
      <c r="AG12" s="129">
        <v>0</v>
      </c>
      <c r="AH12" s="129">
        <v>0</v>
      </c>
      <c r="AI12" s="129">
        <v>0</v>
      </c>
      <c r="AJ12" s="129">
        <v>0</v>
      </c>
      <c r="AK12" s="129">
        <v>0</v>
      </c>
      <c r="AL12" s="129">
        <v>0</v>
      </c>
      <c r="AM12" s="129">
        <v>0</v>
      </c>
      <c r="AN12" s="129">
        <v>0</v>
      </c>
      <c r="AO12" s="129">
        <v>0</v>
      </c>
      <c r="AP12" s="129">
        <v>0</v>
      </c>
      <c r="AQ12" s="129">
        <v>0</v>
      </c>
      <c r="AR12" s="129">
        <v>0</v>
      </c>
      <c r="AS12" s="129">
        <v>0</v>
      </c>
      <c r="AT12" s="129">
        <v>0</v>
      </c>
      <c r="AU12" s="129">
        <v>0</v>
      </c>
      <c r="AV12" s="129">
        <v>0</v>
      </c>
      <c r="AW12" s="129">
        <v>114954760</v>
      </c>
      <c r="AX12" s="129">
        <v>16759332</v>
      </c>
      <c r="AY12" s="129">
        <v>25206484</v>
      </c>
      <c r="AZ12" s="129">
        <v>10452891</v>
      </c>
      <c r="BA12" s="129">
        <v>8712860</v>
      </c>
      <c r="BB12" s="129">
        <v>23432271</v>
      </c>
      <c r="BC12" s="129">
        <v>0</v>
      </c>
      <c r="BD12" s="129">
        <v>0</v>
      </c>
      <c r="BE12" s="129">
        <v>0</v>
      </c>
      <c r="BF12" s="129">
        <v>0</v>
      </c>
      <c r="BG12" s="129">
        <v>0</v>
      </c>
      <c r="BH12" s="129">
        <v>0</v>
      </c>
      <c r="BI12" s="129">
        <v>0</v>
      </c>
      <c r="BJ12" s="129">
        <v>0</v>
      </c>
      <c r="BK12" s="129">
        <v>0</v>
      </c>
      <c r="BL12" s="129">
        <v>0</v>
      </c>
      <c r="BM12" s="129">
        <v>0</v>
      </c>
      <c r="BN12" s="129">
        <v>0</v>
      </c>
      <c r="BO12" s="129">
        <v>0</v>
      </c>
      <c r="BP12" s="129">
        <v>0</v>
      </c>
      <c r="BQ12" s="129">
        <v>0</v>
      </c>
      <c r="BR12" s="129">
        <v>0</v>
      </c>
      <c r="BS12" s="129">
        <v>0</v>
      </c>
      <c r="BT12" s="129">
        <v>0</v>
      </c>
      <c r="BU12" s="129">
        <v>0</v>
      </c>
      <c r="BV12" s="129">
        <v>0</v>
      </c>
      <c r="BW12" s="129">
        <v>0</v>
      </c>
      <c r="BX12" s="129">
        <v>0</v>
      </c>
      <c r="BY12" s="129">
        <v>0</v>
      </c>
      <c r="BZ12" s="129">
        <v>0</v>
      </c>
      <c r="CA12" s="129">
        <v>0</v>
      </c>
      <c r="CB12" s="129">
        <v>0</v>
      </c>
      <c r="CC12" s="129">
        <v>0</v>
      </c>
      <c r="CD12" s="129">
        <v>0</v>
      </c>
      <c r="CE12" s="129">
        <v>0</v>
      </c>
      <c r="CF12" s="129">
        <v>0</v>
      </c>
      <c r="CG12" s="129">
        <v>0</v>
      </c>
      <c r="CH12" s="129">
        <v>0</v>
      </c>
      <c r="CI12" s="129">
        <v>0</v>
      </c>
      <c r="CJ12" s="129">
        <v>0</v>
      </c>
      <c r="CK12" s="129">
        <v>0</v>
      </c>
      <c r="CL12" s="129">
        <v>0</v>
      </c>
      <c r="CM12" s="129">
        <v>0</v>
      </c>
      <c r="CN12" s="129">
        <v>0</v>
      </c>
      <c r="CO12" s="129">
        <v>0</v>
      </c>
      <c r="CP12" s="129">
        <v>0</v>
      </c>
      <c r="CQ12" s="129">
        <v>0</v>
      </c>
      <c r="CR12" s="129">
        <v>0</v>
      </c>
      <c r="CS12" s="129">
        <v>0</v>
      </c>
      <c r="CT12" s="129">
        <v>0</v>
      </c>
      <c r="CU12" s="129">
        <v>0</v>
      </c>
      <c r="CV12" s="129">
        <v>0</v>
      </c>
      <c r="CW12" s="129">
        <v>0</v>
      </c>
      <c r="CX12" s="129">
        <v>0</v>
      </c>
      <c r="CY12" s="129">
        <v>0</v>
      </c>
      <c r="CZ12" s="129">
        <v>0</v>
      </c>
      <c r="DA12" s="129">
        <v>0</v>
      </c>
      <c r="DB12" s="129">
        <v>0</v>
      </c>
      <c r="DC12" s="129">
        <v>0</v>
      </c>
      <c r="DD12" s="129">
        <v>0</v>
      </c>
      <c r="DE12" s="129">
        <v>0</v>
      </c>
      <c r="DF12" s="129">
        <v>0</v>
      </c>
      <c r="DG12" s="129">
        <v>0</v>
      </c>
      <c r="DH12" s="129">
        <v>0</v>
      </c>
      <c r="DI12" s="129">
        <v>0</v>
      </c>
      <c r="DJ12" s="129">
        <v>0</v>
      </c>
      <c r="DK12" s="129">
        <v>0</v>
      </c>
      <c r="DL12" s="129">
        <v>0</v>
      </c>
      <c r="DM12" s="129">
        <v>0</v>
      </c>
      <c r="DN12" s="129">
        <v>0</v>
      </c>
      <c r="DO12" s="129">
        <v>0</v>
      </c>
      <c r="DP12" s="129">
        <v>0</v>
      </c>
      <c r="DQ12" s="129">
        <v>0</v>
      </c>
      <c r="DR12" s="129">
        <v>0</v>
      </c>
      <c r="DS12" s="129">
        <v>0</v>
      </c>
      <c r="DT12" s="129">
        <v>0</v>
      </c>
      <c r="DU12" s="129">
        <v>0</v>
      </c>
      <c r="DV12" s="129">
        <v>0</v>
      </c>
      <c r="DW12" s="129">
        <v>0</v>
      </c>
      <c r="DX12" s="129">
        <v>0</v>
      </c>
      <c r="DY12" s="129">
        <v>0</v>
      </c>
      <c r="DZ12" s="129">
        <v>0</v>
      </c>
      <c r="EA12" s="129">
        <v>0</v>
      </c>
      <c r="EB12" s="129">
        <v>0</v>
      </c>
      <c r="EC12" s="129">
        <v>0</v>
      </c>
      <c r="ED12" s="129">
        <v>0</v>
      </c>
      <c r="EE12" s="129">
        <v>0</v>
      </c>
      <c r="EF12" s="129">
        <v>0</v>
      </c>
      <c r="EG12" s="129">
        <v>0</v>
      </c>
      <c r="EH12" s="129">
        <v>0</v>
      </c>
      <c r="EI12" s="129">
        <v>608411</v>
      </c>
      <c r="EJ12" s="129">
        <v>0</v>
      </c>
      <c r="EK12" s="129">
        <v>0</v>
      </c>
      <c r="EL12" s="129">
        <v>0</v>
      </c>
      <c r="EM12" s="129">
        <v>0</v>
      </c>
      <c r="EN12" s="129">
        <v>24062</v>
      </c>
      <c r="EO12" s="129">
        <v>6646285</v>
      </c>
      <c r="EP12" s="129">
        <v>0</v>
      </c>
      <c r="EQ12" s="129">
        <v>369604</v>
      </c>
      <c r="ER12" s="129">
        <v>0</v>
      </c>
      <c r="ES12" s="129">
        <v>3338</v>
      </c>
      <c r="ET12" s="129">
        <v>559101</v>
      </c>
      <c r="EU12" s="129">
        <v>13576432</v>
      </c>
      <c r="EV12" s="129">
        <v>1259657</v>
      </c>
      <c r="EW12" s="129">
        <v>0</v>
      </c>
      <c r="EX12" s="129">
        <v>74990</v>
      </c>
      <c r="EY12" s="129">
        <v>153349</v>
      </c>
      <c r="EZ12" s="129">
        <v>2782673</v>
      </c>
      <c r="FA12" s="129">
        <v>8274088</v>
      </c>
      <c r="FB12" s="129">
        <v>1849578</v>
      </c>
      <c r="FC12" s="129">
        <v>4850362</v>
      </c>
      <c r="FD12" s="129">
        <v>15262</v>
      </c>
      <c r="FE12" s="129">
        <v>186302</v>
      </c>
      <c r="FF12" s="129">
        <v>1617912</v>
      </c>
      <c r="FG12" s="129">
        <v>2759354</v>
      </c>
      <c r="FH12" s="129">
        <v>6408</v>
      </c>
      <c r="FI12" s="129">
        <v>29881</v>
      </c>
      <c r="FJ12" s="129">
        <v>0</v>
      </c>
      <c r="FK12" s="129">
        <v>273037</v>
      </c>
      <c r="FL12" s="129">
        <v>55167</v>
      </c>
      <c r="FM12" s="129">
        <v>0</v>
      </c>
      <c r="FN12" s="129">
        <v>0</v>
      </c>
      <c r="FO12" s="129">
        <v>0</v>
      </c>
      <c r="FP12" s="129">
        <v>0</v>
      </c>
      <c r="FQ12" s="129">
        <v>0</v>
      </c>
      <c r="FR12" s="129">
        <v>0</v>
      </c>
      <c r="FS12" s="129">
        <v>0</v>
      </c>
      <c r="FT12" s="129">
        <v>0</v>
      </c>
      <c r="FU12" s="129">
        <v>0</v>
      </c>
      <c r="FV12" s="129">
        <v>0</v>
      </c>
      <c r="FW12" s="129">
        <v>0</v>
      </c>
      <c r="FX12" s="129">
        <v>0</v>
      </c>
      <c r="FY12" s="129">
        <v>0</v>
      </c>
      <c r="FZ12" s="129">
        <v>0</v>
      </c>
      <c r="GA12" s="129">
        <v>0</v>
      </c>
      <c r="GB12" s="129">
        <v>0</v>
      </c>
      <c r="GC12" s="129">
        <v>0</v>
      </c>
      <c r="GD12" s="129">
        <v>0</v>
      </c>
      <c r="GE12" s="78">
        <v>0</v>
      </c>
      <c r="GF12" s="78">
        <v>0</v>
      </c>
      <c r="GG12" s="78">
        <v>0</v>
      </c>
      <c r="GH12" s="78">
        <v>0</v>
      </c>
      <c r="GI12" s="78">
        <v>0</v>
      </c>
      <c r="GJ12" s="78">
        <v>0</v>
      </c>
      <c r="GK12" s="78">
        <v>0</v>
      </c>
      <c r="GL12" s="78">
        <v>0</v>
      </c>
      <c r="GM12" s="78">
        <v>0</v>
      </c>
      <c r="GN12" s="78">
        <v>0</v>
      </c>
      <c r="GO12" s="78">
        <v>0</v>
      </c>
      <c r="GP12" s="78">
        <v>0</v>
      </c>
      <c r="GR12" s="243">
        <v>117456319</v>
      </c>
    </row>
    <row r="13" spans="1:200" ht="30.75" thickBot="1">
      <c r="A13" s="168">
        <v>420</v>
      </c>
      <c r="B13" s="127" t="s">
        <v>498</v>
      </c>
      <c r="C13" s="168" t="s">
        <v>499</v>
      </c>
      <c r="D13" s="129">
        <v>500720276</v>
      </c>
      <c r="E13" s="229" t="s">
        <v>501</v>
      </c>
      <c r="F13" s="129">
        <v>0</v>
      </c>
      <c r="G13" s="129">
        <v>0</v>
      </c>
      <c r="H13" s="129">
        <v>145165310</v>
      </c>
      <c r="I13" s="129">
        <v>33528292</v>
      </c>
      <c r="J13" s="129">
        <v>6535416</v>
      </c>
      <c r="K13" s="129">
        <v>0</v>
      </c>
      <c r="L13" s="129">
        <v>0</v>
      </c>
      <c r="M13" s="129">
        <v>0</v>
      </c>
      <c r="N13" s="129">
        <v>0</v>
      </c>
      <c r="O13" s="129">
        <v>0</v>
      </c>
      <c r="P13" s="129">
        <v>0</v>
      </c>
      <c r="Q13" s="129">
        <v>0</v>
      </c>
      <c r="R13" s="129">
        <v>0</v>
      </c>
      <c r="S13" s="129">
        <v>0</v>
      </c>
      <c r="T13" s="129">
        <v>0</v>
      </c>
      <c r="U13" s="129">
        <v>0</v>
      </c>
      <c r="V13" s="129">
        <v>0</v>
      </c>
      <c r="W13" s="129">
        <v>0</v>
      </c>
      <c r="X13" s="129">
        <v>0</v>
      </c>
      <c r="Y13" s="129">
        <v>0</v>
      </c>
      <c r="Z13" s="129">
        <v>0</v>
      </c>
      <c r="AA13" s="129">
        <v>0</v>
      </c>
      <c r="AB13" s="129">
        <v>0</v>
      </c>
      <c r="AC13" s="129">
        <v>0</v>
      </c>
      <c r="AD13" s="129">
        <v>0</v>
      </c>
      <c r="AE13" s="129">
        <v>0</v>
      </c>
      <c r="AF13" s="129">
        <v>0</v>
      </c>
      <c r="AG13" s="129">
        <v>0</v>
      </c>
      <c r="AH13" s="129">
        <v>0</v>
      </c>
      <c r="AI13" s="129">
        <v>0</v>
      </c>
      <c r="AJ13" s="129">
        <v>0</v>
      </c>
      <c r="AK13" s="129">
        <v>0</v>
      </c>
      <c r="AL13" s="129">
        <v>0</v>
      </c>
      <c r="AM13" s="129">
        <v>0</v>
      </c>
      <c r="AN13" s="129">
        <v>0</v>
      </c>
      <c r="AO13" s="129">
        <v>0</v>
      </c>
      <c r="AP13" s="129">
        <v>0</v>
      </c>
      <c r="AQ13" s="129">
        <v>0</v>
      </c>
      <c r="AR13" s="129">
        <v>0</v>
      </c>
      <c r="AS13" s="129">
        <v>0</v>
      </c>
      <c r="AT13" s="129">
        <v>0</v>
      </c>
      <c r="AU13" s="129">
        <v>0</v>
      </c>
      <c r="AV13" s="129">
        <v>0</v>
      </c>
      <c r="AW13" s="129">
        <v>121723410</v>
      </c>
      <c r="AX13" s="129">
        <v>6240743</v>
      </c>
      <c r="AY13" s="129">
        <v>708627</v>
      </c>
      <c r="AZ13" s="129">
        <v>20876076</v>
      </c>
      <c r="BA13" s="129">
        <v>22353048</v>
      </c>
      <c r="BB13" s="129">
        <v>13327114</v>
      </c>
      <c r="BC13" s="129">
        <v>0</v>
      </c>
      <c r="BD13" s="129">
        <v>0</v>
      </c>
      <c r="BE13" s="129">
        <v>0</v>
      </c>
      <c r="BF13" s="129">
        <v>0</v>
      </c>
      <c r="BG13" s="129">
        <v>0</v>
      </c>
      <c r="BH13" s="129">
        <v>0</v>
      </c>
      <c r="BI13" s="129">
        <v>0</v>
      </c>
      <c r="BJ13" s="129">
        <v>0</v>
      </c>
      <c r="BK13" s="129">
        <v>0</v>
      </c>
      <c r="BL13" s="129">
        <v>0</v>
      </c>
      <c r="BM13" s="129">
        <v>0</v>
      </c>
      <c r="BN13" s="129">
        <v>0</v>
      </c>
      <c r="BO13" s="129">
        <v>0</v>
      </c>
      <c r="BP13" s="129">
        <v>0</v>
      </c>
      <c r="BQ13" s="129">
        <v>0</v>
      </c>
      <c r="BR13" s="129">
        <v>0</v>
      </c>
      <c r="BS13" s="129">
        <v>0</v>
      </c>
      <c r="BT13" s="129">
        <v>0</v>
      </c>
      <c r="BU13" s="129">
        <v>0</v>
      </c>
      <c r="BV13" s="129">
        <v>0</v>
      </c>
      <c r="BW13" s="129">
        <v>0</v>
      </c>
      <c r="BX13" s="129">
        <v>0</v>
      </c>
      <c r="BY13" s="129">
        <v>0</v>
      </c>
      <c r="BZ13" s="129">
        <v>0</v>
      </c>
      <c r="CA13" s="129">
        <v>0</v>
      </c>
      <c r="CB13" s="129">
        <v>0</v>
      </c>
      <c r="CC13" s="129">
        <v>0</v>
      </c>
      <c r="CD13" s="129">
        <v>0</v>
      </c>
      <c r="CE13" s="129">
        <v>0</v>
      </c>
      <c r="CF13" s="129">
        <v>0</v>
      </c>
      <c r="CG13" s="129">
        <v>0</v>
      </c>
      <c r="CH13" s="129">
        <v>0</v>
      </c>
      <c r="CI13" s="129">
        <v>0</v>
      </c>
      <c r="CJ13" s="129">
        <v>0</v>
      </c>
      <c r="CK13" s="129">
        <v>0</v>
      </c>
      <c r="CL13" s="129">
        <v>0</v>
      </c>
      <c r="CM13" s="129">
        <v>0</v>
      </c>
      <c r="CN13" s="129">
        <v>0</v>
      </c>
      <c r="CO13" s="129">
        <v>0</v>
      </c>
      <c r="CP13" s="129">
        <v>0</v>
      </c>
      <c r="CQ13" s="129">
        <v>0</v>
      </c>
      <c r="CR13" s="129">
        <v>0</v>
      </c>
      <c r="CS13" s="129">
        <v>0</v>
      </c>
      <c r="CT13" s="129">
        <v>0</v>
      </c>
      <c r="CU13" s="129">
        <v>0</v>
      </c>
      <c r="CV13" s="129">
        <v>0</v>
      </c>
      <c r="CW13" s="129">
        <v>0</v>
      </c>
      <c r="CX13" s="129">
        <v>0</v>
      </c>
      <c r="CY13" s="129">
        <v>0</v>
      </c>
      <c r="CZ13" s="129">
        <v>0</v>
      </c>
      <c r="DA13" s="129">
        <v>0</v>
      </c>
      <c r="DB13" s="129">
        <v>0</v>
      </c>
      <c r="DC13" s="129">
        <v>0</v>
      </c>
      <c r="DD13" s="129">
        <v>0</v>
      </c>
      <c r="DE13" s="129">
        <v>0</v>
      </c>
      <c r="DF13" s="129">
        <v>0</v>
      </c>
      <c r="DG13" s="129">
        <v>0</v>
      </c>
      <c r="DH13" s="129">
        <v>0</v>
      </c>
      <c r="DI13" s="129">
        <v>0</v>
      </c>
      <c r="DJ13" s="129">
        <v>0</v>
      </c>
      <c r="DK13" s="129">
        <v>0</v>
      </c>
      <c r="DL13" s="129">
        <v>0</v>
      </c>
      <c r="DM13" s="129">
        <v>0</v>
      </c>
      <c r="DN13" s="129">
        <v>0</v>
      </c>
      <c r="DO13" s="129">
        <v>0</v>
      </c>
      <c r="DP13" s="129">
        <v>0</v>
      </c>
      <c r="DQ13" s="129">
        <v>0</v>
      </c>
      <c r="DR13" s="129">
        <v>0</v>
      </c>
      <c r="DS13" s="129">
        <v>0</v>
      </c>
      <c r="DT13" s="129">
        <v>0</v>
      </c>
      <c r="DU13" s="129">
        <v>0</v>
      </c>
      <c r="DV13" s="129">
        <v>0</v>
      </c>
      <c r="DW13" s="129">
        <v>0</v>
      </c>
      <c r="DX13" s="129">
        <v>0</v>
      </c>
      <c r="DY13" s="129">
        <v>0</v>
      </c>
      <c r="DZ13" s="129">
        <v>0</v>
      </c>
      <c r="EA13" s="129">
        <v>0</v>
      </c>
      <c r="EB13" s="129">
        <v>0</v>
      </c>
      <c r="EC13" s="129">
        <v>0</v>
      </c>
      <c r="ED13" s="129">
        <v>0</v>
      </c>
      <c r="EE13" s="129">
        <v>0</v>
      </c>
      <c r="EF13" s="129">
        <v>0</v>
      </c>
      <c r="EG13" s="129">
        <v>0</v>
      </c>
      <c r="EH13" s="129">
        <v>0</v>
      </c>
      <c r="EI13" s="129">
        <v>20440616</v>
      </c>
      <c r="EJ13" s="129">
        <v>74736</v>
      </c>
      <c r="EK13" s="129">
        <v>388019</v>
      </c>
      <c r="EL13" s="129">
        <v>57450</v>
      </c>
      <c r="EM13" s="129">
        <v>2063641</v>
      </c>
      <c r="EN13" s="129">
        <v>2454936</v>
      </c>
      <c r="EO13" s="129">
        <v>22013135</v>
      </c>
      <c r="EP13" s="129">
        <v>85619</v>
      </c>
      <c r="EQ13" s="129">
        <v>14784</v>
      </c>
      <c r="ER13" s="129">
        <v>9086254</v>
      </c>
      <c r="ES13" s="129">
        <v>8881781</v>
      </c>
      <c r="ET13" s="129">
        <v>1932546</v>
      </c>
      <c r="EU13" s="129">
        <v>12310269</v>
      </c>
      <c r="EV13" s="129">
        <v>22949</v>
      </c>
      <c r="EW13" s="129">
        <v>0</v>
      </c>
      <c r="EX13" s="129">
        <v>55092</v>
      </c>
      <c r="EY13" s="129">
        <v>728720</v>
      </c>
      <c r="EZ13" s="129">
        <v>1694519</v>
      </c>
      <c r="FA13" s="129">
        <v>13948080</v>
      </c>
      <c r="FB13" s="129">
        <v>10443</v>
      </c>
      <c r="FC13" s="129">
        <v>132833</v>
      </c>
      <c r="FD13" s="129">
        <v>8402333</v>
      </c>
      <c r="FE13" s="129">
        <v>995968</v>
      </c>
      <c r="FF13" s="129">
        <v>1909613</v>
      </c>
      <c r="FG13" s="129">
        <v>20708771</v>
      </c>
      <c r="FH13" s="129">
        <v>0</v>
      </c>
      <c r="FI13" s="129">
        <v>388019</v>
      </c>
      <c r="FJ13" s="129">
        <v>0</v>
      </c>
      <c r="FK13" s="129">
        <v>1286588</v>
      </c>
      <c r="FL13" s="129">
        <v>174526</v>
      </c>
      <c r="FM13" s="129">
        <v>0</v>
      </c>
      <c r="FN13" s="129">
        <v>0</v>
      </c>
      <c r="FO13" s="129">
        <v>0</v>
      </c>
      <c r="FP13" s="129">
        <v>0</v>
      </c>
      <c r="FQ13" s="129">
        <v>0</v>
      </c>
      <c r="FR13" s="129">
        <v>0</v>
      </c>
      <c r="FS13" s="129">
        <v>0</v>
      </c>
      <c r="FT13" s="129">
        <v>0</v>
      </c>
      <c r="FU13" s="129">
        <v>0</v>
      </c>
      <c r="FV13" s="129">
        <v>0</v>
      </c>
      <c r="FW13" s="129">
        <v>0</v>
      </c>
      <c r="FX13" s="129">
        <v>0</v>
      </c>
      <c r="FY13" s="129">
        <v>0</v>
      </c>
      <c r="FZ13" s="129">
        <v>0</v>
      </c>
      <c r="GA13" s="129">
        <v>0</v>
      </c>
      <c r="GB13" s="129">
        <v>0</v>
      </c>
      <c r="GC13" s="129">
        <v>0</v>
      </c>
      <c r="GD13" s="129">
        <v>0</v>
      </c>
      <c r="GE13" s="78">
        <v>0</v>
      </c>
      <c r="GF13" s="78">
        <v>0</v>
      </c>
      <c r="GG13" s="78">
        <v>0</v>
      </c>
      <c r="GH13" s="78">
        <v>0</v>
      </c>
      <c r="GI13" s="78">
        <v>0</v>
      </c>
      <c r="GJ13" s="78">
        <v>0</v>
      </c>
      <c r="GK13" s="78">
        <v>0</v>
      </c>
      <c r="GL13" s="78">
        <v>0</v>
      </c>
      <c r="GM13" s="78">
        <v>0</v>
      </c>
      <c r="GN13" s="78">
        <v>0</v>
      </c>
      <c r="GO13" s="78">
        <v>0</v>
      </c>
      <c r="GP13" s="78">
        <v>0</v>
      </c>
      <c r="GR13" s="122">
        <v>66838749</v>
      </c>
    </row>
    <row r="14" spans="1:200" s="129" customFormat="1" ht="30.75" thickBot="1">
      <c r="A14" s="168">
        <v>430</v>
      </c>
      <c r="B14" s="127" t="s">
        <v>502</v>
      </c>
      <c r="C14" s="168" t="s">
        <v>503</v>
      </c>
      <c r="D14" s="129">
        <v>1641104232</v>
      </c>
      <c r="E14" s="130" t="s">
        <v>505</v>
      </c>
      <c r="F14" s="129">
        <v>0</v>
      </c>
      <c r="G14" s="129">
        <v>0</v>
      </c>
      <c r="H14" s="129">
        <v>463104671</v>
      </c>
      <c r="I14" s="129">
        <v>75631023</v>
      </c>
      <c r="J14" s="129">
        <v>8299050</v>
      </c>
      <c r="K14" s="129">
        <v>0</v>
      </c>
      <c r="L14" s="129">
        <v>0</v>
      </c>
      <c r="M14" s="129">
        <v>0</v>
      </c>
      <c r="N14" s="129">
        <v>0</v>
      </c>
      <c r="O14" s="129">
        <v>0</v>
      </c>
      <c r="P14" s="129">
        <v>0</v>
      </c>
      <c r="Q14" s="129">
        <v>0</v>
      </c>
      <c r="R14" s="129">
        <v>0</v>
      </c>
      <c r="S14" s="129">
        <v>65655783</v>
      </c>
      <c r="T14" s="129">
        <v>65613402</v>
      </c>
      <c r="U14" s="129">
        <v>217616</v>
      </c>
      <c r="V14" s="129">
        <v>7409082</v>
      </c>
      <c r="W14" s="129">
        <v>4646129</v>
      </c>
      <c r="X14" s="129">
        <v>20725473</v>
      </c>
      <c r="Y14" s="129">
        <v>0</v>
      </c>
      <c r="Z14" s="129">
        <v>0</v>
      </c>
      <c r="AA14" s="129">
        <v>0</v>
      </c>
      <c r="AB14" s="129">
        <v>0</v>
      </c>
      <c r="AC14" s="129">
        <v>0</v>
      </c>
      <c r="AD14" s="129">
        <v>0</v>
      </c>
      <c r="AE14" s="129">
        <v>0</v>
      </c>
      <c r="AF14" s="129">
        <v>0</v>
      </c>
      <c r="AG14" s="129">
        <v>0</v>
      </c>
      <c r="AH14" s="129">
        <v>0</v>
      </c>
      <c r="AI14" s="129">
        <v>0</v>
      </c>
      <c r="AJ14" s="129">
        <v>0</v>
      </c>
      <c r="AK14" s="129">
        <v>0</v>
      </c>
      <c r="AL14" s="129">
        <v>0</v>
      </c>
      <c r="AM14" s="129">
        <v>0</v>
      </c>
      <c r="AN14" s="129">
        <v>0</v>
      </c>
      <c r="AO14" s="129">
        <v>0</v>
      </c>
      <c r="AP14" s="129">
        <v>0</v>
      </c>
      <c r="AQ14" s="129">
        <v>5614173</v>
      </c>
      <c r="AR14" s="129">
        <v>13409038</v>
      </c>
      <c r="AS14" s="129">
        <v>0</v>
      </c>
      <c r="AT14" s="129">
        <v>355017</v>
      </c>
      <c r="AU14" s="129">
        <v>59418</v>
      </c>
      <c r="AV14" s="129">
        <v>396902</v>
      </c>
      <c r="AW14" s="129">
        <v>114729585</v>
      </c>
      <c r="AX14" s="129">
        <v>86116417</v>
      </c>
      <c r="AY14" s="129">
        <v>62296</v>
      </c>
      <c r="AZ14" s="129">
        <v>18723770</v>
      </c>
      <c r="BA14" s="129">
        <v>44912739</v>
      </c>
      <c r="BB14" s="129">
        <v>58303336</v>
      </c>
      <c r="BC14" s="129">
        <v>7389134</v>
      </c>
      <c r="BD14" s="129">
        <v>3855001</v>
      </c>
      <c r="BE14" s="129">
        <v>64055</v>
      </c>
      <c r="BF14" s="129">
        <v>871307</v>
      </c>
      <c r="BG14" s="129">
        <v>752820</v>
      </c>
      <c r="BH14" s="129">
        <v>97414</v>
      </c>
      <c r="BI14" s="129">
        <v>6777540</v>
      </c>
      <c r="BJ14" s="129">
        <v>5125903</v>
      </c>
      <c r="BK14" s="129">
        <v>0</v>
      </c>
      <c r="BL14" s="129">
        <v>2875185</v>
      </c>
      <c r="BM14" s="129">
        <v>341015</v>
      </c>
      <c r="BN14" s="129">
        <v>1299904</v>
      </c>
      <c r="BO14" s="129">
        <v>6498232</v>
      </c>
      <c r="BP14" s="129">
        <v>2342001</v>
      </c>
      <c r="BQ14" s="129">
        <v>0</v>
      </c>
      <c r="BR14" s="129">
        <v>961879</v>
      </c>
      <c r="BS14" s="129">
        <v>0</v>
      </c>
      <c r="BT14" s="129">
        <v>833178</v>
      </c>
      <c r="BU14" s="129">
        <v>0</v>
      </c>
      <c r="BV14" s="129">
        <v>0</v>
      </c>
      <c r="BW14" s="129">
        <v>0</v>
      </c>
      <c r="BX14" s="129">
        <v>0</v>
      </c>
      <c r="BY14" s="129">
        <v>0</v>
      </c>
      <c r="BZ14" s="129">
        <v>0</v>
      </c>
      <c r="CA14" s="129">
        <v>0</v>
      </c>
      <c r="CB14" s="129">
        <v>0</v>
      </c>
      <c r="CC14" s="129">
        <v>0</v>
      </c>
      <c r="CD14" s="129">
        <v>0</v>
      </c>
      <c r="CE14" s="129">
        <v>0</v>
      </c>
      <c r="CF14" s="129">
        <v>0</v>
      </c>
      <c r="CG14" s="129">
        <v>0</v>
      </c>
      <c r="CH14" s="129">
        <v>0</v>
      </c>
      <c r="CI14" s="129">
        <v>0</v>
      </c>
      <c r="CJ14" s="129">
        <v>0</v>
      </c>
      <c r="CK14" s="129">
        <v>0</v>
      </c>
      <c r="CL14" s="129">
        <v>0</v>
      </c>
      <c r="CM14" s="129">
        <v>0</v>
      </c>
      <c r="CN14" s="129">
        <v>0</v>
      </c>
      <c r="CO14" s="129">
        <v>0</v>
      </c>
      <c r="CP14" s="129">
        <v>0</v>
      </c>
      <c r="CQ14" s="129">
        <v>0</v>
      </c>
      <c r="CR14" s="129">
        <v>0</v>
      </c>
      <c r="CS14" s="129">
        <v>0</v>
      </c>
      <c r="CT14" s="129">
        <v>0</v>
      </c>
      <c r="CU14" s="129">
        <v>0</v>
      </c>
      <c r="CV14" s="129">
        <v>0</v>
      </c>
      <c r="CW14" s="129">
        <v>0</v>
      </c>
      <c r="CX14" s="129">
        <v>0</v>
      </c>
      <c r="CY14" s="129">
        <v>0</v>
      </c>
      <c r="CZ14" s="129">
        <v>0</v>
      </c>
      <c r="DA14" s="129">
        <v>0</v>
      </c>
      <c r="DB14" s="129">
        <v>0</v>
      </c>
      <c r="DC14" s="129">
        <v>0</v>
      </c>
      <c r="DD14" s="129">
        <v>0</v>
      </c>
      <c r="DE14" s="129">
        <v>0</v>
      </c>
      <c r="DF14" s="129">
        <v>0</v>
      </c>
      <c r="DG14" s="129">
        <v>0</v>
      </c>
      <c r="DH14" s="129">
        <v>0</v>
      </c>
      <c r="DI14" s="129">
        <v>0</v>
      </c>
      <c r="DJ14" s="129">
        <v>0</v>
      </c>
      <c r="DK14" s="129">
        <v>0</v>
      </c>
      <c r="DL14" s="129">
        <v>0</v>
      </c>
      <c r="DM14" s="129">
        <v>0</v>
      </c>
      <c r="DN14" s="129">
        <v>0</v>
      </c>
      <c r="DO14" s="129">
        <v>0</v>
      </c>
      <c r="DP14" s="129">
        <v>0</v>
      </c>
      <c r="DQ14" s="129">
        <v>0</v>
      </c>
      <c r="DR14" s="129">
        <v>0</v>
      </c>
      <c r="DS14" s="129">
        <v>0</v>
      </c>
      <c r="DT14" s="129">
        <v>0</v>
      </c>
      <c r="DU14" s="129">
        <v>0</v>
      </c>
      <c r="DV14" s="129">
        <v>0</v>
      </c>
      <c r="DW14" s="129">
        <v>0</v>
      </c>
      <c r="DX14" s="129">
        <v>0</v>
      </c>
      <c r="DY14" s="129">
        <v>0</v>
      </c>
      <c r="DZ14" s="129">
        <v>0</v>
      </c>
      <c r="EA14" s="129">
        <v>0</v>
      </c>
      <c r="EB14" s="129">
        <v>0</v>
      </c>
      <c r="EC14" s="129">
        <v>0</v>
      </c>
      <c r="ED14" s="129">
        <v>0</v>
      </c>
      <c r="EE14" s="129">
        <v>0</v>
      </c>
      <c r="EF14" s="129">
        <v>0</v>
      </c>
      <c r="EG14" s="129">
        <v>0</v>
      </c>
      <c r="EH14" s="129">
        <v>0</v>
      </c>
      <c r="EI14" s="129">
        <v>0</v>
      </c>
      <c r="EJ14" s="129">
        <v>0</v>
      </c>
      <c r="EK14" s="129">
        <v>0</v>
      </c>
      <c r="EL14" s="129">
        <v>0</v>
      </c>
      <c r="EM14" s="129">
        <v>0</v>
      </c>
      <c r="EN14" s="129">
        <v>0</v>
      </c>
      <c r="EO14" s="129">
        <v>206664447</v>
      </c>
      <c r="EP14" s="129">
        <v>176461762</v>
      </c>
      <c r="EQ14" s="129">
        <v>343967</v>
      </c>
      <c r="ER14" s="129">
        <v>31196240</v>
      </c>
      <c r="ES14" s="129">
        <v>50712121</v>
      </c>
      <c r="ET14" s="129">
        <v>81656207</v>
      </c>
      <c r="EU14" s="129">
        <v>0</v>
      </c>
      <c r="EV14" s="129">
        <v>0</v>
      </c>
      <c r="EW14" s="129">
        <v>0</v>
      </c>
      <c r="EX14" s="129">
        <v>0</v>
      </c>
      <c r="EY14" s="129">
        <v>0</v>
      </c>
      <c r="EZ14" s="129">
        <v>0</v>
      </c>
      <c r="FA14" s="129">
        <v>0</v>
      </c>
      <c r="FB14" s="129">
        <v>0</v>
      </c>
      <c r="FC14" s="129">
        <v>0</v>
      </c>
      <c r="FD14" s="129">
        <v>0</v>
      </c>
      <c r="FE14" s="129">
        <v>0</v>
      </c>
      <c r="FF14" s="129">
        <v>0</v>
      </c>
      <c r="FG14" s="129">
        <v>0</v>
      </c>
      <c r="FH14" s="129">
        <v>0</v>
      </c>
      <c r="FI14" s="129">
        <v>0</v>
      </c>
      <c r="FJ14" s="129">
        <v>0</v>
      </c>
      <c r="FK14" s="129">
        <v>0</v>
      </c>
      <c r="FL14" s="129">
        <v>0</v>
      </c>
      <c r="FM14" s="129">
        <v>0</v>
      </c>
      <c r="FN14" s="129">
        <v>0</v>
      </c>
      <c r="FO14" s="129">
        <v>0</v>
      </c>
      <c r="FP14" s="129">
        <v>0</v>
      </c>
      <c r="FQ14" s="129">
        <v>0</v>
      </c>
      <c r="FR14" s="129">
        <v>0</v>
      </c>
      <c r="FS14" s="129">
        <v>0</v>
      </c>
      <c r="FT14" s="129">
        <v>0</v>
      </c>
      <c r="FU14" s="129">
        <v>0</v>
      </c>
      <c r="FV14" s="129">
        <v>0</v>
      </c>
      <c r="FW14" s="129">
        <v>0</v>
      </c>
      <c r="FX14" s="129">
        <v>0</v>
      </c>
      <c r="FY14" s="129">
        <v>0</v>
      </c>
      <c r="FZ14" s="129">
        <v>0</v>
      </c>
      <c r="GA14" s="129">
        <v>0</v>
      </c>
      <c r="GB14" s="129">
        <v>0</v>
      </c>
      <c r="GC14" s="129">
        <v>0</v>
      </c>
      <c r="GD14" s="129">
        <v>0</v>
      </c>
      <c r="GE14" s="78">
        <v>0</v>
      </c>
      <c r="GF14" s="78">
        <v>0</v>
      </c>
      <c r="GG14" s="78">
        <v>0</v>
      </c>
      <c r="GH14" s="78">
        <v>0</v>
      </c>
      <c r="GI14" s="78">
        <v>0</v>
      </c>
      <c r="GJ14" s="78">
        <v>0</v>
      </c>
      <c r="GK14" s="78">
        <v>0</v>
      </c>
      <c r="GL14" s="78">
        <v>0</v>
      </c>
      <c r="GM14" s="78">
        <v>0</v>
      </c>
      <c r="GN14" s="78">
        <v>0</v>
      </c>
      <c r="GO14" s="78">
        <v>0</v>
      </c>
      <c r="GP14" s="78">
        <v>0</v>
      </c>
      <c r="GR14" s="243">
        <v>44031032</v>
      </c>
    </row>
    <row r="15" spans="1:200" ht="30.75" thickBot="1">
      <c r="A15" s="168">
        <v>440</v>
      </c>
      <c r="B15" s="127" t="s">
        <v>506</v>
      </c>
      <c r="C15" s="168" t="s">
        <v>507</v>
      </c>
      <c r="D15" s="129">
        <v>29345319</v>
      </c>
      <c r="E15" s="130" t="s">
        <v>509</v>
      </c>
      <c r="F15" s="129">
        <v>0</v>
      </c>
      <c r="G15" s="129">
        <v>0</v>
      </c>
      <c r="H15" s="129">
        <v>12168890</v>
      </c>
      <c r="I15" s="129">
        <v>1844206</v>
      </c>
      <c r="J15" s="129">
        <v>365036</v>
      </c>
      <c r="K15" s="129">
        <v>0</v>
      </c>
      <c r="L15" s="129">
        <v>0</v>
      </c>
      <c r="M15" s="129">
        <v>1299948</v>
      </c>
      <c r="N15" s="129">
        <v>0</v>
      </c>
      <c r="O15" s="129">
        <v>0</v>
      </c>
      <c r="P15" s="129">
        <v>0</v>
      </c>
      <c r="Q15" s="129">
        <v>0</v>
      </c>
      <c r="R15" s="129">
        <v>0</v>
      </c>
      <c r="S15" s="129">
        <v>0</v>
      </c>
      <c r="T15" s="129">
        <v>0</v>
      </c>
      <c r="U15" s="129">
        <v>0</v>
      </c>
      <c r="V15" s="129">
        <v>0</v>
      </c>
      <c r="W15" s="129">
        <v>0</v>
      </c>
      <c r="X15" s="129">
        <v>0</v>
      </c>
      <c r="Y15" s="129">
        <v>0</v>
      </c>
      <c r="Z15" s="129">
        <v>0</v>
      </c>
      <c r="AA15" s="129">
        <v>0</v>
      </c>
      <c r="AB15" s="129">
        <v>0</v>
      </c>
      <c r="AC15" s="129">
        <v>0</v>
      </c>
      <c r="AD15" s="129">
        <v>0</v>
      </c>
      <c r="AE15" s="129">
        <v>0</v>
      </c>
      <c r="AF15" s="129">
        <v>0</v>
      </c>
      <c r="AG15" s="129">
        <v>0</v>
      </c>
      <c r="AH15" s="129">
        <v>0</v>
      </c>
      <c r="AI15" s="129">
        <v>0</v>
      </c>
      <c r="AJ15" s="129">
        <v>0</v>
      </c>
      <c r="AK15" s="129">
        <v>0</v>
      </c>
      <c r="AL15" s="129">
        <v>0</v>
      </c>
      <c r="AM15" s="129">
        <v>0</v>
      </c>
      <c r="AN15" s="129">
        <v>0</v>
      </c>
      <c r="AO15" s="129">
        <v>0</v>
      </c>
      <c r="AP15" s="129">
        <v>0</v>
      </c>
      <c r="AQ15" s="129">
        <v>0</v>
      </c>
      <c r="AR15" s="129">
        <v>0</v>
      </c>
      <c r="AS15" s="129">
        <v>0</v>
      </c>
      <c r="AT15" s="129">
        <v>0</v>
      </c>
      <c r="AU15" s="129">
        <v>0</v>
      </c>
      <c r="AV15" s="129">
        <v>0</v>
      </c>
      <c r="AW15" s="129">
        <v>5950376</v>
      </c>
      <c r="AX15" s="129">
        <v>2339810</v>
      </c>
      <c r="AY15" s="129">
        <v>0</v>
      </c>
      <c r="AZ15" s="129">
        <v>3239671</v>
      </c>
      <c r="BA15" s="129">
        <v>505126</v>
      </c>
      <c r="BB15" s="129">
        <v>1043201</v>
      </c>
      <c r="BC15" s="129">
        <v>0</v>
      </c>
      <c r="BD15" s="129">
        <v>0</v>
      </c>
      <c r="BE15" s="129">
        <v>0</v>
      </c>
      <c r="BF15" s="129">
        <v>0</v>
      </c>
      <c r="BG15" s="129">
        <v>0</v>
      </c>
      <c r="BH15" s="129">
        <v>0</v>
      </c>
      <c r="BI15" s="129">
        <v>0</v>
      </c>
      <c r="BJ15" s="129">
        <v>0</v>
      </c>
      <c r="BK15" s="129">
        <v>0</v>
      </c>
      <c r="BL15" s="129">
        <v>0</v>
      </c>
      <c r="BM15" s="129">
        <v>0</v>
      </c>
      <c r="BN15" s="129">
        <v>0</v>
      </c>
      <c r="BO15" s="129">
        <v>0</v>
      </c>
      <c r="BP15" s="129">
        <v>0</v>
      </c>
      <c r="BQ15" s="129">
        <v>0</v>
      </c>
      <c r="BR15" s="129">
        <v>0</v>
      </c>
      <c r="BS15" s="129">
        <v>0</v>
      </c>
      <c r="BT15" s="129">
        <v>0</v>
      </c>
      <c r="BU15" s="129">
        <v>0</v>
      </c>
      <c r="BV15" s="129">
        <v>0</v>
      </c>
      <c r="BW15" s="129">
        <v>0</v>
      </c>
      <c r="BX15" s="129">
        <v>0</v>
      </c>
      <c r="BY15" s="129">
        <v>0</v>
      </c>
      <c r="BZ15" s="129">
        <v>0</v>
      </c>
      <c r="CA15" s="129">
        <v>0</v>
      </c>
      <c r="CB15" s="129">
        <v>0</v>
      </c>
      <c r="CC15" s="129">
        <v>0</v>
      </c>
      <c r="CD15" s="129">
        <v>0</v>
      </c>
      <c r="CE15" s="129">
        <v>0</v>
      </c>
      <c r="CF15" s="129">
        <v>0</v>
      </c>
      <c r="CG15" s="129">
        <v>0</v>
      </c>
      <c r="CH15" s="129">
        <v>0</v>
      </c>
      <c r="CI15" s="129">
        <v>0</v>
      </c>
      <c r="CJ15" s="129">
        <v>0</v>
      </c>
      <c r="CK15" s="129">
        <v>0</v>
      </c>
      <c r="CL15" s="129">
        <v>0</v>
      </c>
      <c r="CM15" s="129">
        <v>0</v>
      </c>
      <c r="CN15" s="129">
        <v>0</v>
      </c>
      <c r="CO15" s="129">
        <v>0</v>
      </c>
      <c r="CP15" s="129">
        <v>0</v>
      </c>
      <c r="CQ15" s="129">
        <v>0</v>
      </c>
      <c r="CR15" s="129">
        <v>0</v>
      </c>
      <c r="CS15" s="129">
        <v>0</v>
      </c>
      <c r="CT15" s="129">
        <v>0</v>
      </c>
      <c r="CU15" s="129">
        <v>0</v>
      </c>
      <c r="CV15" s="129">
        <v>0</v>
      </c>
      <c r="CW15" s="129">
        <v>0</v>
      </c>
      <c r="CX15" s="129">
        <v>0</v>
      </c>
      <c r="CY15" s="129">
        <v>0</v>
      </c>
      <c r="CZ15" s="129">
        <v>0</v>
      </c>
      <c r="DA15" s="129">
        <v>0</v>
      </c>
      <c r="DB15" s="129">
        <v>0</v>
      </c>
      <c r="DC15" s="129">
        <v>0</v>
      </c>
      <c r="DD15" s="129">
        <v>0</v>
      </c>
      <c r="DE15" s="129">
        <v>0</v>
      </c>
      <c r="DF15" s="129">
        <v>0</v>
      </c>
      <c r="DG15" s="129">
        <v>0</v>
      </c>
      <c r="DH15" s="129">
        <v>0</v>
      </c>
      <c r="DI15" s="129">
        <v>0</v>
      </c>
      <c r="DJ15" s="129">
        <v>0</v>
      </c>
      <c r="DK15" s="129">
        <v>0</v>
      </c>
      <c r="DL15" s="129">
        <v>0</v>
      </c>
      <c r="DM15" s="129">
        <v>0</v>
      </c>
      <c r="DN15" s="129">
        <v>0</v>
      </c>
      <c r="DO15" s="129">
        <v>0</v>
      </c>
      <c r="DP15" s="129">
        <v>0</v>
      </c>
      <c r="DQ15" s="129">
        <v>0</v>
      </c>
      <c r="DR15" s="129">
        <v>0</v>
      </c>
      <c r="DS15" s="129">
        <v>0</v>
      </c>
      <c r="DT15" s="129">
        <v>0</v>
      </c>
      <c r="DU15" s="129">
        <v>0</v>
      </c>
      <c r="DV15" s="129">
        <v>0</v>
      </c>
      <c r="DW15" s="129">
        <v>0</v>
      </c>
      <c r="DX15" s="129">
        <v>0</v>
      </c>
      <c r="DY15" s="129">
        <v>0</v>
      </c>
      <c r="DZ15" s="129">
        <v>0</v>
      </c>
      <c r="EA15" s="129">
        <v>0</v>
      </c>
      <c r="EB15" s="129">
        <v>0</v>
      </c>
      <c r="EC15" s="129">
        <v>0</v>
      </c>
      <c r="ED15" s="129">
        <v>0</v>
      </c>
      <c r="EE15" s="129">
        <v>0</v>
      </c>
      <c r="EF15" s="129">
        <v>0</v>
      </c>
      <c r="EG15" s="129">
        <v>0</v>
      </c>
      <c r="EH15" s="129">
        <v>0</v>
      </c>
      <c r="EI15" s="129">
        <v>0</v>
      </c>
      <c r="EJ15" s="129">
        <v>0</v>
      </c>
      <c r="EK15" s="129">
        <v>0</v>
      </c>
      <c r="EL15" s="129">
        <v>0</v>
      </c>
      <c r="EM15" s="129">
        <v>0</v>
      </c>
      <c r="EN15" s="129">
        <v>2406</v>
      </c>
      <c r="EO15" s="129">
        <v>22813</v>
      </c>
      <c r="EP15" s="129">
        <v>0</v>
      </c>
      <c r="EQ15" s="129">
        <v>0</v>
      </c>
      <c r="ER15" s="129">
        <v>0</v>
      </c>
      <c r="ES15" s="129">
        <v>0</v>
      </c>
      <c r="ET15" s="129">
        <v>9737</v>
      </c>
      <c r="EU15" s="129">
        <v>554099</v>
      </c>
      <c r="EV15" s="129">
        <v>0</v>
      </c>
      <c r="EW15" s="129">
        <v>0</v>
      </c>
      <c r="EX15" s="129">
        <v>0</v>
      </c>
      <c r="EY15" s="129">
        <v>0</v>
      </c>
      <c r="EZ15" s="129">
        <v>0</v>
      </c>
      <c r="FA15" s="129">
        <v>0</v>
      </c>
      <c r="FB15" s="129">
        <v>0</v>
      </c>
      <c r="FC15" s="129">
        <v>0</v>
      </c>
      <c r="FD15" s="129">
        <v>0</v>
      </c>
      <c r="FE15" s="129">
        <v>0</v>
      </c>
      <c r="FF15" s="129">
        <v>0</v>
      </c>
      <c r="FG15" s="129">
        <v>0</v>
      </c>
      <c r="FH15" s="129">
        <v>0</v>
      </c>
      <c r="FI15" s="129">
        <v>0</v>
      </c>
      <c r="FJ15" s="129">
        <v>0</v>
      </c>
      <c r="FK15" s="129">
        <v>0</v>
      </c>
      <c r="FL15" s="129">
        <v>0</v>
      </c>
      <c r="FM15" s="129">
        <v>0</v>
      </c>
      <c r="FN15" s="129">
        <v>0</v>
      </c>
      <c r="FO15" s="129">
        <v>0</v>
      </c>
      <c r="FP15" s="129">
        <v>0</v>
      </c>
      <c r="FQ15" s="129">
        <v>0</v>
      </c>
      <c r="FR15" s="129">
        <v>0</v>
      </c>
      <c r="FS15" s="129">
        <v>0</v>
      </c>
      <c r="FT15" s="129">
        <v>0</v>
      </c>
      <c r="FU15" s="129">
        <v>0</v>
      </c>
      <c r="FV15" s="129">
        <v>0</v>
      </c>
      <c r="FW15" s="129">
        <v>0</v>
      </c>
      <c r="FX15" s="129">
        <v>0</v>
      </c>
      <c r="FY15" s="129">
        <v>0</v>
      </c>
      <c r="FZ15" s="129">
        <v>0</v>
      </c>
      <c r="GA15" s="129">
        <v>0</v>
      </c>
      <c r="GB15" s="129">
        <v>0</v>
      </c>
      <c r="GC15" s="129">
        <v>0</v>
      </c>
      <c r="GD15" s="129">
        <v>0</v>
      </c>
      <c r="GE15" s="78">
        <v>0</v>
      </c>
      <c r="GF15" s="78">
        <v>0</v>
      </c>
      <c r="GG15" s="78">
        <v>0</v>
      </c>
      <c r="GH15" s="78">
        <v>0</v>
      </c>
      <c r="GI15" s="78">
        <v>0</v>
      </c>
      <c r="GJ15" s="78">
        <v>0</v>
      </c>
      <c r="GK15" s="78">
        <v>0</v>
      </c>
      <c r="GL15" s="78">
        <v>0</v>
      </c>
      <c r="GM15" s="78">
        <v>0</v>
      </c>
      <c r="GN15" s="78">
        <v>0</v>
      </c>
      <c r="GO15" s="78">
        <v>0</v>
      </c>
      <c r="GP15" s="78">
        <v>0</v>
      </c>
      <c r="GR15" s="122">
        <v>193696298</v>
      </c>
    </row>
    <row r="16" spans="1:200" ht="30.75" thickBot="1">
      <c r="A16" s="168">
        <v>450</v>
      </c>
      <c r="B16" s="127" t="s">
        <v>510</v>
      </c>
      <c r="C16" s="168" t="s">
        <v>511</v>
      </c>
      <c r="D16" s="129">
        <v>173071795</v>
      </c>
      <c r="E16" s="130" t="s">
        <v>513</v>
      </c>
      <c r="F16" s="129">
        <v>1645160</v>
      </c>
      <c r="G16" s="129">
        <v>0</v>
      </c>
      <c r="H16" s="129">
        <v>38231891</v>
      </c>
      <c r="I16" s="129">
        <v>678676</v>
      </c>
      <c r="J16" s="129">
        <v>1386271</v>
      </c>
      <c r="K16" s="129">
        <v>37511984</v>
      </c>
      <c r="L16" s="129">
        <v>362059</v>
      </c>
      <c r="M16" s="129">
        <v>179076</v>
      </c>
      <c r="N16" s="129">
        <v>0</v>
      </c>
      <c r="O16" s="129">
        <v>0</v>
      </c>
      <c r="P16" s="129">
        <v>97183</v>
      </c>
      <c r="Q16" s="129">
        <v>0</v>
      </c>
      <c r="R16" s="129">
        <v>0</v>
      </c>
      <c r="S16" s="129">
        <v>225501</v>
      </c>
      <c r="T16" s="129">
        <v>0</v>
      </c>
      <c r="U16" s="129">
        <v>0</v>
      </c>
      <c r="V16" s="129">
        <v>12760</v>
      </c>
      <c r="W16" s="129">
        <v>0</v>
      </c>
      <c r="X16" s="129">
        <v>0</v>
      </c>
      <c r="Y16" s="129">
        <v>0</v>
      </c>
      <c r="Z16" s="129">
        <v>0</v>
      </c>
      <c r="AA16" s="129">
        <v>0</v>
      </c>
      <c r="AB16" s="129">
        <v>1530</v>
      </c>
      <c r="AC16" s="129">
        <v>0</v>
      </c>
      <c r="AD16" s="129">
        <v>0</v>
      </c>
      <c r="AE16" s="129">
        <v>214490</v>
      </c>
      <c r="AF16" s="129">
        <v>0</v>
      </c>
      <c r="AG16" s="129">
        <v>0</v>
      </c>
      <c r="AH16" s="129">
        <v>2616</v>
      </c>
      <c r="AI16" s="129">
        <v>0</v>
      </c>
      <c r="AJ16" s="129">
        <v>0</v>
      </c>
      <c r="AK16" s="129">
        <v>0</v>
      </c>
      <c r="AL16" s="129">
        <v>0</v>
      </c>
      <c r="AM16" s="129">
        <v>0</v>
      </c>
      <c r="AN16" s="129">
        <v>0</v>
      </c>
      <c r="AO16" s="129">
        <v>0</v>
      </c>
      <c r="AP16" s="129">
        <v>0</v>
      </c>
      <c r="AQ16" s="129">
        <v>0</v>
      </c>
      <c r="AR16" s="129">
        <v>0</v>
      </c>
      <c r="AS16" s="129">
        <v>0</v>
      </c>
      <c r="AT16" s="129">
        <v>0</v>
      </c>
      <c r="AU16" s="129">
        <v>0</v>
      </c>
      <c r="AV16" s="129">
        <v>0</v>
      </c>
      <c r="AW16" s="129">
        <v>31734365</v>
      </c>
      <c r="AX16" s="129">
        <v>9283802</v>
      </c>
      <c r="AY16" s="129">
        <v>2064486</v>
      </c>
      <c r="AZ16" s="129">
        <v>27089336</v>
      </c>
      <c r="BA16" s="129">
        <v>1231008</v>
      </c>
      <c r="BB16" s="129">
        <v>4876916</v>
      </c>
      <c r="BC16" s="129">
        <v>12184</v>
      </c>
      <c r="BD16" s="129">
        <v>0</v>
      </c>
      <c r="BE16" s="129">
        <v>0</v>
      </c>
      <c r="BF16" s="129">
        <v>0</v>
      </c>
      <c r="BG16" s="129">
        <v>0</v>
      </c>
      <c r="BH16" s="129">
        <v>0</v>
      </c>
      <c r="BI16" s="129">
        <v>216476</v>
      </c>
      <c r="BJ16" s="129">
        <v>0</v>
      </c>
      <c r="BK16" s="129">
        <v>0</v>
      </c>
      <c r="BL16" s="129">
        <v>0</v>
      </c>
      <c r="BM16" s="129">
        <v>0</v>
      </c>
      <c r="BN16" s="129">
        <v>0</v>
      </c>
      <c r="BO16" s="129">
        <v>929152</v>
      </c>
      <c r="BP16" s="129">
        <v>0</v>
      </c>
      <c r="BQ16" s="129">
        <v>0</v>
      </c>
      <c r="BR16" s="129">
        <v>0</v>
      </c>
      <c r="BS16" s="129">
        <v>0</v>
      </c>
      <c r="BT16" s="129">
        <v>0</v>
      </c>
      <c r="BU16" s="129">
        <v>0</v>
      </c>
      <c r="BV16" s="129">
        <v>0</v>
      </c>
      <c r="BW16" s="129">
        <v>0</v>
      </c>
      <c r="BX16" s="129">
        <v>0</v>
      </c>
      <c r="BY16" s="129">
        <v>0</v>
      </c>
      <c r="BZ16" s="129">
        <v>0</v>
      </c>
      <c r="CA16" s="129">
        <v>0</v>
      </c>
      <c r="CB16" s="129">
        <v>0</v>
      </c>
      <c r="CC16" s="129">
        <v>0</v>
      </c>
      <c r="CD16" s="129">
        <v>0</v>
      </c>
      <c r="CE16" s="129">
        <v>0</v>
      </c>
      <c r="CF16" s="129">
        <v>0</v>
      </c>
      <c r="CG16" s="129">
        <v>0</v>
      </c>
      <c r="CH16" s="129">
        <v>0</v>
      </c>
      <c r="CI16" s="129">
        <v>0</v>
      </c>
      <c r="CJ16" s="129">
        <v>0</v>
      </c>
      <c r="CK16" s="129">
        <v>0</v>
      </c>
      <c r="CL16" s="129">
        <v>0</v>
      </c>
      <c r="CM16" s="129">
        <v>0</v>
      </c>
      <c r="CN16" s="129">
        <v>0</v>
      </c>
      <c r="CO16" s="129">
        <v>0</v>
      </c>
      <c r="CP16" s="129">
        <v>0</v>
      </c>
      <c r="CQ16" s="129">
        <v>0</v>
      </c>
      <c r="CR16" s="129">
        <v>0</v>
      </c>
      <c r="CS16" s="129">
        <v>0</v>
      </c>
      <c r="CT16" s="129">
        <v>0</v>
      </c>
      <c r="CU16" s="129">
        <v>0</v>
      </c>
      <c r="CV16" s="129">
        <v>0</v>
      </c>
      <c r="CW16" s="129">
        <v>0</v>
      </c>
      <c r="CX16" s="129">
        <v>0</v>
      </c>
      <c r="CY16" s="129">
        <v>0</v>
      </c>
      <c r="CZ16" s="129">
        <v>0</v>
      </c>
      <c r="DA16" s="129">
        <v>0</v>
      </c>
      <c r="DB16" s="129">
        <v>0</v>
      </c>
      <c r="DC16" s="129">
        <v>0</v>
      </c>
      <c r="DD16" s="129">
        <v>0</v>
      </c>
      <c r="DE16" s="129">
        <v>0</v>
      </c>
      <c r="DF16" s="129">
        <v>0</v>
      </c>
      <c r="DG16" s="129">
        <v>0</v>
      </c>
      <c r="DH16" s="129">
        <v>0</v>
      </c>
      <c r="DI16" s="129">
        <v>0</v>
      </c>
      <c r="DJ16" s="129">
        <v>0</v>
      </c>
      <c r="DK16" s="129">
        <v>0</v>
      </c>
      <c r="DL16" s="129">
        <v>0</v>
      </c>
      <c r="DM16" s="129">
        <v>0</v>
      </c>
      <c r="DN16" s="129">
        <v>0</v>
      </c>
      <c r="DO16" s="129">
        <v>0</v>
      </c>
      <c r="DP16" s="129">
        <v>0</v>
      </c>
      <c r="DQ16" s="129">
        <v>0</v>
      </c>
      <c r="DR16" s="129">
        <v>0</v>
      </c>
      <c r="DS16" s="129">
        <v>0</v>
      </c>
      <c r="DT16" s="129">
        <v>0</v>
      </c>
      <c r="DU16" s="129">
        <v>0</v>
      </c>
      <c r="DV16" s="129">
        <v>0</v>
      </c>
      <c r="DW16" s="129">
        <v>0</v>
      </c>
      <c r="DX16" s="129">
        <v>0</v>
      </c>
      <c r="DY16" s="129">
        <v>0</v>
      </c>
      <c r="DZ16" s="129">
        <v>0</v>
      </c>
      <c r="EA16" s="129">
        <v>0</v>
      </c>
      <c r="EB16" s="129">
        <v>0</v>
      </c>
      <c r="EC16" s="129">
        <v>0</v>
      </c>
      <c r="ED16" s="129">
        <v>0</v>
      </c>
      <c r="EE16" s="129">
        <v>0</v>
      </c>
      <c r="EF16" s="129">
        <v>0</v>
      </c>
      <c r="EG16" s="129">
        <v>0</v>
      </c>
      <c r="EH16" s="129">
        <v>0</v>
      </c>
      <c r="EI16" s="129">
        <v>944421</v>
      </c>
      <c r="EJ16" s="129">
        <v>0</v>
      </c>
      <c r="EK16" s="129">
        <v>25994</v>
      </c>
      <c r="EL16" s="129">
        <v>5799</v>
      </c>
      <c r="EM16" s="129">
        <v>150562</v>
      </c>
      <c r="EN16" s="129">
        <v>86453</v>
      </c>
      <c r="EO16" s="129">
        <v>2921403</v>
      </c>
      <c r="EP16" s="129">
        <v>0</v>
      </c>
      <c r="EQ16" s="129">
        <v>396344</v>
      </c>
      <c r="ER16" s="129">
        <v>20627</v>
      </c>
      <c r="ES16" s="129">
        <v>805636</v>
      </c>
      <c r="ET16" s="129">
        <v>654872</v>
      </c>
      <c r="EU16" s="129">
        <v>2250872</v>
      </c>
      <c r="EV16" s="129">
        <v>0</v>
      </c>
      <c r="EW16" s="129">
        <v>0</v>
      </c>
      <c r="EX16" s="129">
        <v>66907</v>
      </c>
      <c r="EY16" s="129">
        <v>244146</v>
      </c>
      <c r="EZ16" s="129">
        <v>830311</v>
      </c>
      <c r="FA16" s="129">
        <v>1195464</v>
      </c>
      <c r="FB16" s="129">
        <v>0</v>
      </c>
      <c r="FC16" s="129">
        <v>268125</v>
      </c>
      <c r="FD16" s="129">
        <v>22000</v>
      </c>
      <c r="FE16" s="129">
        <v>3894</v>
      </c>
      <c r="FF16" s="129">
        <v>609324</v>
      </c>
      <c r="FG16" s="129">
        <v>3443521</v>
      </c>
      <c r="FH16" s="129">
        <v>0</v>
      </c>
      <c r="FI16" s="129">
        <v>0</v>
      </c>
      <c r="FJ16" s="129">
        <v>0</v>
      </c>
      <c r="FK16" s="129">
        <v>0</v>
      </c>
      <c r="FL16" s="129">
        <v>138198</v>
      </c>
      <c r="FM16" s="129">
        <v>0</v>
      </c>
      <c r="FN16" s="129">
        <v>0</v>
      </c>
      <c r="FO16" s="129">
        <v>0</v>
      </c>
      <c r="FP16" s="129">
        <v>0</v>
      </c>
      <c r="FQ16" s="129">
        <v>0</v>
      </c>
      <c r="FR16" s="129">
        <v>0</v>
      </c>
      <c r="FS16" s="129">
        <v>0</v>
      </c>
      <c r="FT16" s="129">
        <v>0</v>
      </c>
      <c r="FU16" s="129">
        <v>0</v>
      </c>
      <c r="FV16" s="129">
        <v>0</v>
      </c>
      <c r="FW16" s="129">
        <v>0</v>
      </c>
      <c r="FX16" s="129">
        <v>0</v>
      </c>
      <c r="FY16" s="129">
        <v>0</v>
      </c>
      <c r="FZ16" s="129">
        <v>0</v>
      </c>
      <c r="GA16" s="129">
        <v>0</v>
      </c>
      <c r="GB16" s="129">
        <v>0</v>
      </c>
      <c r="GC16" s="129">
        <v>0</v>
      </c>
      <c r="GD16" s="129">
        <v>0</v>
      </c>
      <c r="GE16" s="78">
        <v>0</v>
      </c>
      <c r="GF16" s="78">
        <v>0</v>
      </c>
      <c r="GG16" s="78">
        <v>0</v>
      </c>
      <c r="GH16" s="78">
        <v>0</v>
      </c>
      <c r="GI16" s="78">
        <v>0</v>
      </c>
      <c r="GJ16" s="78">
        <v>0</v>
      </c>
      <c r="GK16" s="78">
        <v>0</v>
      </c>
      <c r="GL16" s="78">
        <v>0</v>
      </c>
      <c r="GM16" s="78">
        <v>0</v>
      </c>
      <c r="GN16" s="78">
        <v>0</v>
      </c>
      <c r="GO16" s="78">
        <v>0</v>
      </c>
      <c r="GP16" s="78">
        <v>0</v>
      </c>
      <c r="GR16" s="122">
        <v>185190976</v>
      </c>
    </row>
    <row r="17" spans="1:200" ht="30.75" thickBot="1">
      <c r="A17" s="168">
        <v>460</v>
      </c>
      <c r="B17" s="127" t="s">
        <v>514</v>
      </c>
      <c r="C17" s="168" t="s">
        <v>515</v>
      </c>
      <c r="D17" s="129">
        <v>96909171</v>
      </c>
      <c r="E17" s="130" t="s">
        <v>517</v>
      </c>
      <c r="F17" s="129">
        <v>0</v>
      </c>
      <c r="G17" s="129">
        <v>0</v>
      </c>
      <c r="H17" s="129">
        <v>33368122</v>
      </c>
      <c r="I17" s="129">
        <v>5567035</v>
      </c>
      <c r="J17" s="129">
        <v>919722</v>
      </c>
      <c r="K17" s="129">
        <v>0</v>
      </c>
      <c r="L17" s="129">
        <v>0</v>
      </c>
      <c r="M17" s="129">
        <v>0</v>
      </c>
      <c r="N17" s="129">
        <v>0</v>
      </c>
      <c r="O17" s="129">
        <v>0</v>
      </c>
      <c r="P17" s="129">
        <v>0</v>
      </c>
      <c r="Q17" s="129">
        <v>0</v>
      </c>
      <c r="R17" s="129">
        <v>0</v>
      </c>
      <c r="S17" s="129">
        <v>22251110</v>
      </c>
      <c r="T17" s="129">
        <v>0</v>
      </c>
      <c r="U17" s="129">
        <v>947302</v>
      </c>
      <c r="V17" s="129">
        <v>6448897</v>
      </c>
      <c r="W17" s="129">
        <v>1778661</v>
      </c>
      <c r="X17" s="129">
        <v>886844</v>
      </c>
      <c r="Y17" s="129">
        <v>0</v>
      </c>
      <c r="Z17" s="129">
        <v>0</v>
      </c>
      <c r="AA17" s="129">
        <v>0</v>
      </c>
      <c r="AB17" s="129">
        <v>0</v>
      </c>
      <c r="AC17" s="129">
        <v>0</v>
      </c>
      <c r="AD17" s="129">
        <v>0</v>
      </c>
      <c r="AE17" s="129">
        <v>0</v>
      </c>
      <c r="AF17" s="129">
        <v>0</v>
      </c>
      <c r="AG17" s="129">
        <v>0</v>
      </c>
      <c r="AH17" s="129">
        <v>0</v>
      </c>
      <c r="AI17" s="129">
        <v>0</v>
      </c>
      <c r="AJ17" s="129">
        <v>0</v>
      </c>
      <c r="AK17" s="129">
        <v>0</v>
      </c>
      <c r="AL17" s="129">
        <v>0</v>
      </c>
      <c r="AM17" s="129">
        <v>0</v>
      </c>
      <c r="AN17" s="129">
        <v>0</v>
      </c>
      <c r="AO17" s="129">
        <v>0</v>
      </c>
      <c r="AP17" s="129">
        <v>0</v>
      </c>
      <c r="AQ17" s="129">
        <v>0</v>
      </c>
      <c r="AR17" s="129">
        <v>0</v>
      </c>
      <c r="AS17" s="129">
        <v>0</v>
      </c>
      <c r="AT17" s="129">
        <v>0</v>
      </c>
      <c r="AU17" s="129">
        <v>0</v>
      </c>
      <c r="AV17" s="129">
        <v>0</v>
      </c>
      <c r="AW17" s="129">
        <v>3684760</v>
      </c>
      <c r="AX17" s="129">
        <v>0</v>
      </c>
      <c r="AY17" s="129">
        <v>369598</v>
      </c>
      <c r="AZ17" s="129">
        <v>2422543</v>
      </c>
      <c r="BA17" s="129">
        <v>154249</v>
      </c>
      <c r="BB17" s="129">
        <v>910915</v>
      </c>
      <c r="BC17" s="129">
        <v>0</v>
      </c>
      <c r="BD17" s="129">
        <v>0</v>
      </c>
      <c r="BE17" s="129">
        <v>0</v>
      </c>
      <c r="BF17" s="129">
        <v>0</v>
      </c>
      <c r="BG17" s="129">
        <v>0</v>
      </c>
      <c r="BH17" s="129">
        <v>0</v>
      </c>
      <c r="BI17" s="129">
        <v>0</v>
      </c>
      <c r="BJ17" s="129">
        <v>0</v>
      </c>
      <c r="BK17" s="129">
        <v>0</v>
      </c>
      <c r="BL17" s="129">
        <v>0</v>
      </c>
      <c r="BM17" s="129">
        <v>0</v>
      </c>
      <c r="BN17" s="129">
        <v>0</v>
      </c>
      <c r="BO17" s="129">
        <v>0</v>
      </c>
      <c r="BP17" s="129">
        <v>0</v>
      </c>
      <c r="BQ17" s="129">
        <v>0</v>
      </c>
      <c r="BR17" s="129">
        <v>0</v>
      </c>
      <c r="BS17" s="129">
        <v>0</v>
      </c>
      <c r="BT17" s="129">
        <v>0</v>
      </c>
      <c r="BU17" s="129">
        <v>0</v>
      </c>
      <c r="BV17" s="129">
        <v>0</v>
      </c>
      <c r="BW17" s="129">
        <v>0</v>
      </c>
      <c r="BX17" s="129">
        <v>0</v>
      </c>
      <c r="BY17" s="129">
        <v>0</v>
      </c>
      <c r="BZ17" s="129">
        <v>0</v>
      </c>
      <c r="CA17" s="129">
        <v>0</v>
      </c>
      <c r="CB17" s="129">
        <v>0</v>
      </c>
      <c r="CC17" s="129">
        <v>0</v>
      </c>
      <c r="CD17" s="129">
        <v>0</v>
      </c>
      <c r="CE17" s="129">
        <v>0</v>
      </c>
      <c r="CF17" s="129">
        <v>0</v>
      </c>
      <c r="CG17" s="129">
        <v>0</v>
      </c>
      <c r="CH17" s="129">
        <v>0</v>
      </c>
      <c r="CI17" s="129">
        <v>0</v>
      </c>
      <c r="CJ17" s="129">
        <v>0</v>
      </c>
      <c r="CK17" s="129">
        <v>0</v>
      </c>
      <c r="CL17" s="129">
        <v>0</v>
      </c>
      <c r="CM17" s="129">
        <v>0</v>
      </c>
      <c r="CN17" s="129">
        <v>0</v>
      </c>
      <c r="CO17" s="129">
        <v>0</v>
      </c>
      <c r="CP17" s="129">
        <v>0</v>
      </c>
      <c r="CQ17" s="129">
        <v>0</v>
      </c>
      <c r="CR17" s="129">
        <v>0</v>
      </c>
      <c r="CS17" s="129">
        <v>0</v>
      </c>
      <c r="CT17" s="129">
        <v>0</v>
      </c>
      <c r="CU17" s="129">
        <v>0</v>
      </c>
      <c r="CV17" s="129">
        <v>0</v>
      </c>
      <c r="CW17" s="129">
        <v>0</v>
      </c>
      <c r="CX17" s="129">
        <v>0</v>
      </c>
      <c r="CY17" s="129">
        <v>0</v>
      </c>
      <c r="CZ17" s="129">
        <v>0</v>
      </c>
      <c r="DA17" s="129">
        <v>0</v>
      </c>
      <c r="DB17" s="129">
        <v>0</v>
      </c>
      <c r="DC17" s="129">
        <v>0</v>
      </c>
      <c r="DD17" s="129">
        <v>0</v>
      </c>
      <c r="DE17" s="129">
        <v>0</v>
      </c>
      <c r="DF17" s="129">
        <v>0</v>
      </c>
      <c r="DG17" s="129">
        <v>0</v>
      </c>
      <c r="DH17" s="129">
        <v>0</v>
      </c>
      <c r="DI17" s="129">
        <v>0</v>
      </c>
      <c r="DJ17" s="129">
        <v>0</v>
      </c>
      <c r="DK17" s="129">
        <v>0</v>
      </c>
      <c r="DL17" s="129">
        <v>0</v>
      </c>
      <c r="DM17" s="129">
        <v>0</v>
      </c>
      <c r="DN17" s="129">
        <v>0</v>
      </c>
      <c r="DO17" s="129">
        <v>0</v>
      </c>
      <c r="DP17" s="129">
        <v>0</v>
      </c>
      <c r="DQ17" s="129">
        <v>0</v>
      </c>
      <c r="DR17" s="129">
        <v>0</v>
      </c>
      <c r="DS17" s="129">
        <v>0</v>
      </c>
      <c r="DT17" s="129">
        <v>0</v>
      </c>
      <c r="DU17" s="129">
        <v>0</v>
      </c>
      <c r="DV17" s="129">
        <v>0</v>
      </c>
      <c r="DW17" s="129">
        <v>0</v>
      </c>
      <c r="DX17" s="129">
        <v>0</v>
      </c>
      <c r="DY17" s="129">
        <v>0</v>
      </c>
      <c r="DZ17" s="129">
        <v>0</v>
      </c>
      <c r="EA17" s="129">
        <v>0</v>
      </c>
      <c r="EB17" s="129">
        <v>0</v>
      </c>
      <c r="EC17" s="129">
        <v>0</v>
      </c>
      <c r="ED17" s="129">
        <v>0</v>
      </c>
      <c r="EE17" s="129">
        <v>0</v>
      </c>
      <c r="EF17" s="129">
        <v>0</v>
      </c>
      <c r="EG17" s="129">
        <v>0</v>
      </c>
      <c r="EH17" s="129">
        <v>0</v>
      </c>
      <c r="EI17" s="129">
        <v>6872512</v>
      </c>
      <c r="EJ17" s="129">
        <v>0</v>
      </c>
      <c r="EK17" s="129">
        <v>371839</v>
      </c>
      <c r="EL17" s="129">
        <v>173495</v>
      </c>
      <c r="EM17" s="129">
        <v>65065</v>
      </c>
      <c r="EN17" s="129">
        <v>235472</v>
      </c>
      <c r="EO17" s="129">
        <v>2968045</v>
      </c>
      <c r="EP17" s="129">
        <v>0</v>
      </c>
      <c r="EQ17" s="129">
        <v>121598</v>
      </c>
      <c r="ER17" s="129">
        <v>136838</v>
      </c>
      <c r="ES17" s="129">
        <v>8066</v>
      </c>
      <c r="ET17" s="129">
        <v>171566</v>
      </c>
      <c r="EU17" s="129">
        <v>3940808</v>
      </c>
      <c r="EV17" s="129">
        <v>0</v>
      </c>
      <c r="EW17" s="129">
        <v>0</v>
      </c>
      <c r="EX17" s="129">
        <v>98518</v>
      </c>
      <c r="EY17" s="129">
        <v>3725</v>
      </c>
      <c r="EZ17" s="129">
        <v>201704</v>
      </c>
      <c r="FA17" s="129">
        <v>114194</v>
      </c>
      <c r="FB17" s="129">
        <v>0</v>
      </c>
      <c r="FC17" s="129">
        <v>0</v>
      </c>
      <c r="FD17" s="129">
        <v>14976</v>
      </c>
      <c r="FE17" s="129">
        <v>80</v>
      </c>
      <c r="FF17" s="129">
        <v>0</v>
      </c>
      <c r="FG17" s="129">
        <v>1260051</v>
      </c>
      <c r="FH17" s="129">
        <v>0</v>
      </c>
      <c r="FI17" s="129">
        <v>0</v>
      </c>
      <c r="FJ17" s="129">
        <v>19766</v>
      </c>
      <c r="FK17" s="129">
        <v>5612</v>
      </c>
      <c r="FL17" s="129">
        <v>415483</v>
      </c>
      <c r="FM17" s="129">
        <v>0</v>
      </c>
      <c r="FN17" s="129">
        <v>0</v>
      </c>
      <c r="FO17" s="129">
        <v>0</v>
      </c>
      <c r="FP17" s="129">
        <v>0</v>
      </c>
      <c r="FQ17" s="129">
        <v>0</v>
      </c>
      <c r="FR17" s="129">
        <v>0</v>
      </c>
      <c r="FS17" s="129">
        <v>0</v>
      </c>
      <c r="FT17" s="129">
        <v>0</v>
      </c>
      <c r="FU17" s="129">
        <v>0</v>
      </c>
      <c r="FV17" s="129">
        <v>0</v>
      </c>
      <c r="FW17" s="129">
        <v>0</v>
      </c>
      <c r="FX17" s="129">
        <v>0</v>
      </c>
      <c r="FY17" s="129">
        <v>0</v>
      </c>
      <c r="FZ17" s="129">
        <v>0</v>
      </c>
      <c r="GA17" s="129">
        <v>0</v>
      </c>
      <c r="GB17" s="129">
        <v>0</v>
      </c>
      <c r="GC17" s="129">
        <v>0</v>
      </c>
      <c r="GD17" s="129">
        <v>0</v>
      </c>
      <c r="GE17" s="78">
        <v>0</v>
      </c>
      <c r="GF17" s="78">
        <v>0</v>
      </c>
      <c r="GG17" s="78">
        <v>0</v>
      </c>
      <c r="GH17" s="78">
        <v>0</v>
      </c>
      <c r="GI17" s="78">
        <v>0</v>
      </c>
      <c r="GJ17" s="78">
        <v>0</v>
      </c>
      <c r="GK17" s="78">
        <v>0</v>
      </c>
      <c r="GL17" s="78">
        <v>0</v>
      </c>
      <c r="GM17" s="78">
        <v>0</v>
      </c>
      <c r="GN17" s="78">
        <v>0</v>
      </c>
      <c r="GO17" s="78">
        <v>0</v>
      </c>
      <c r="GP17" s="78">
        <v>0</v>
      </c>
      <c r="GR17" s="122">
        <v>180110173</v>
      </c>
    </row>
    <row r="18" spans="1:200" ht="30.75" thickBot="1">
      <c r="A18" s="168">
        <v>470</v>
      </c>
      <c r="B18" s="127" t="s">
        <v>518</v>
      </c>
      <c r="C18" s="168" t="s">
        <v>519</v>
      </c>
      <c r="D18" s="129">
        <v>142900882</v>
      </c>
      <c r="E18" s="130" t="s">
        <v>521</v>
      </c>
      <c r="F18" s="129">
        <v>0</v>
      </c>
      <c r="G18" s="129">
        <v>99282</v>
      </c>
      <c r="H18" s="129">
        <v>41854717</v>
      </c>
      <c r="I18" s="129">
        <v>3872809</v>
      </c>
      <c r="J18" s="129">
        <v>5160934</v>
      </c>
      <c r="K18" s="129">
        <v>0</v>
      </c>
      <c r="L18" s="129">
        <v>0</v>
      </c>
      <c r="M18" s="129">
        <v>0</v>
      </c>
      <c r="N18" s="129">
        <v>0</v>
      </c>
      <c r="O18" s="129">
        <v>0</v>
      </c>
      <c r="P18" s="129">
        <v>0</v>
      </c>
      <c r="Q18" s="129">
        <v>0</v>
      </c>
      <c r="R18" s="129">
        <v>0</v>
      </c>
      <c r="S18" s="129">
        <v>8162590</v>
      </c>
      <c r="T18" s="129">
        <v>7878037</v>
      </c>
      <c r="U18" s="129">
        <v>135985</v>
      </c>
      <c r="V18" s="129">
        <v>1848257</v>
      </c>
      <c r="W18" s="129">
        <v>387508</v>
      </c>
      <c r="X18" s="129">
        <v>961705</v>
      </c>
      <c r="Y18" s="129">
        <v>0</v>
      </c>
      <c r="Z18" s="129">
        <v>0</v>
      </c>
      <c r="AA18" s="129">
        <v>0</v>
      </c>
      <c r="AB18" s="129">
        <v>0</v>
      </c>
      <c r="AC18" s="129">
        <v>0</v>
      </c>
      <c r="AD18" s="129">
        <v>0</v>
      </c>
      <c r="AE18" s="129">
        <v>0</v>
      </c>
      <c r="AF18" s="129">
        <v>0</v>
      </c>
      <c r="AG18" s="129">
        <v>0</v>
      </c>
      <c r="AH18" s="129">
        <v>0</v>
      </c>
      <c r="AI18" s="129">
        <v>0</v>
      </c>
      <c r="AJ18" s="129">
        <v>0</v>
      </c>
      <c r="AK18" s="129">
        <v>0</v>
      </c>
      <c r="AL18" s="129">
        <v>0</v>
      </c>
      <c r="AM18" s="129">
        <v>0</v>
      </c>
      <c r="AN18" s="129">
        <v>0</v>
      </c>
      <c r="AO18" s="129">
        <v>0</v>
      </c>
      <c r="AP18" s="129">
        <v>0</v>
      </c>
      <c r="AQ18" s="129">
        <v>0</v>
      </c>
      <c r="AR18" s="129">
        <v>0</v>
      </c>
      <c r="AS18" s="129">
        <v>0</v>
      </c>
      <c r="AT18" s="129">
        <v>0</v>
      </c>
      <c r="AU18" s="129">
        <v>0</v>
      </c>
      <c r="AV18" s="129">
        <v>0</v>
      </c>
      <c r="AW18" s="129">
        <v>4787656</v>
      </c>
      <c r="AX18" s="129">
        <v>17890230</v>
      </c>
      <c r="AY18" s="129">
        <v>3303777</v>
      </c>
      <c r="AZ18" s="129">
        <v>2927155</v>
      </c>
      <c r="BA18" s="129">
        <v>647358</v>
      </c>
      <c r="BB18" s="129">
        <v>1958202</v>
      </c>
      <c r="BC18" s="129">
        <v>0</v>
      </c>
      <c r="BD18" s="129">
        <v>0</v>
      </c>
      <c r="BE18" s="129">
        <v>0</v>
      </c>
      <c r="BF18" s="129">
        <v>0</v>
      </c>
      <c r="BG18" s="129">
        <v>0</v>
      </c>
      <c r="BH18" s="129">
        <v>0</v>
      </c>
      <c r="BI18" s="129">
        <v>0</v>
      </c>
      <c r="BJ18" s="129">
        <v>0</v>
      </c>
      <c r="BK18" s="129">
        <v>0</v>
      </c>
      <c r="BL18" s="129">
        <v>0</v>
      </c>
      <c r="BM18" s="129">
        <v>0</v>
      </c>
      <c r="BN18" s="129">
        <v>0</v>
      </c>
      <c r="BO18" s="129">
        <v>0</v>
      </c>
      <c r="BP18" s="129">
        <v>0</v>
      </c>
      <c r="BQ18" s="129">
        <v>0</v>
      </c>
      <c r="BR18" s="129">
        <v>0</v>
      </c>
      <c r="BS18" s="129">
        <v>0</v>
      </c>
      <c r="BT18" s="129">
        <v>0</v>
      </c>
      <c r="BU18" s="129">
        <v>0</v>
      </c>
      <c r="BV18" s="129">
        <v>0</v>
      </c>
      <c r="BW18" s="129">
        <v>0</v>
      </c>
      <c r="BX18" s="129">
        <v>0</v>
      </c>
      <c r="BY18" s="129">
        <v>0</v>
      </c>
      <c r="BZ18" s="129">
        <v>0</v>
      </c>
      <c r="CA18" s="129">
        <v>0</v>
      </c>
      <c r="CB18" s="129">
        <v>0</v>
      </c>
      <c r="CC18" s="129">
        <v>0</v>
      </c>
      <c r="CD18" s="129">
        <v>0</v>
      </c>
      <c r="CE18" s="129">
        <v>0</v>
      </c>
      <c r="CF18" s="129">
        <v>0</v>
      </c>
      <c r="CG18" s="129">
        <v>0</v>
      </c>
      <c r="CH18" s="129">
        <v>0</v>
      </c>
      <c r="CI18" s="129">
        <v>0</v>
      </c>
      <c r="CJ18" s="129">
        <v>0</v>
      </c>
      <c r="CK18" s="129">
        <v>0</v>
      </c>
      <c r="CL18" s="129">
        <v>0</v>
      </c>
      <c r="CM18" s="129">
        <v>0</v>
      </c>
      <c r="CN18" s="129">
        <v>0</v>
      </c>
      <c r="CO18" s="129">
        <v>0</v>
      </c>
      <c r="CP18" s="129">
        <v>0</v>
      </c>
      <c r="CQ18" s="129">
        <v>0</v>
      </c>
      <c r="CR18" s="129">
        <v>0</v>
      </c>
      <c r="CS18" s="129">
        <v>0</v>
      </c>
      <c r="CT18" s="129">
        <v>0</v>
      </c>
      <c r="CU18" s="129">
        <v>0</v>
      </c>
      <c r="CV18" s="129">
        <v>0</v>
      </c>
      <c r="CW18" s="129">
        <v>0</v>
      </c>
      <c r="CX18" s="129">
        <v>0</v>
      </c>
      <c r="CY18" s="129">
        <v>0</v>
      </c>
      <c r="CZ18" s="129">
        <v>0</v>
      </c>
      <c r="DA18" s="129">
        <v>0</v>
      </c>
      <c r="DB18" s="129">
        <v>0</v>
      </c>
      <c r="DC18" s="129">
        <v>0</v>
      </c>
      <c r="DD18" s="129">
        <v>0</v>
      </c>
      <c r="DE18" s="129">
        <v>0</v>
      </c>
      <c r="DF18" s="129">
        <v>0</v>
      </c>
      <c r="DG18" s="129">
        <v>0</v>
      </c>
      <c r="DH18" s="129">
        <v>0</v>
      </c>
      <c r="DI18" s="129">
        <v>0</v>
      </c>
      <c r="DJ18" s="129">
        <v>0</v>
      </c>
      <c r="DK18" s="129">
        <v>0</v>
      </c>
      <c r="DL18" s="129">
        <v>0</v>
      </c>
      <c r="DM18" s="129">
        <v>0</v>
      </c>
      <c r="DN18" s="129">
        <v>0</v>
      </c>
      <c r="DO18" s="129">
        <v>0</v>
      </c>
      <c r="DP18" s="129">
        <v>0</v>
      </c>
      <c r="DQ18" s="129">
        <v>0</v>
      </c>
      <c r="DR18" s="129">
        <v>0</v>
      </c>
      <c r="DS18" s="129">
        <v>0</v>
      </c>
      <c r="DT18" s="129">
        <v>0</v>
      </c>
      <c r="DU18" s="129">
        <v>0</v>
      </c>
      <c r="DV18" s="129">
        <v>0</v>
      </c>
      <c r="DW18" s="129">
        <v>0</v>
      </c>
      <c r="DX18" s="129">
        <v>0</v>
      </c>
      <c r="DY18" s="129">
        <v>0</v>
      </c>
      <c r="DZ18" s="129">
        <v>0</v>
      </c>
      <c r="EA18" s="129">
        <v>0</v>
      </c>
      <c r="EB18" s="129">
        <v>0</v>
      </c>
      <c r="EC18" s="129">
        <v>0</v>
      </c>
      <c r="ED18" s="129">
        <v>0</v>
      </c>
      <c r="EE18" s="129">
        <v>0</v>
      </c>
      <c r="EF18" s="129">
        <v>0</v>
      </c>
      <c r="EG18" s="129">
        <v>0</v>
      </c>
      <c r="EH18" s="129">
        <v>0</v>
      </c>
      <c r="EI18" s="129">
        <v>991806</v>
      </c>
      <c r="EJ18" s="129">
        <v>1712024</v>
      </c>
      <c r="EK18" s="129">
        <v>397120</v>
      </c>
      <c r="EL18" s="129">
        <v>988967</v>
      </c>
      <c r="EM18" s="129">
        <v>205164</v>
      </c>
      <c r="EN18" s="129">
        <v>493076</v>
      </c>
      <c r="EO18" s="129">
        <v>4634425</v>
      </c>
      <c r="EP18" s="129">
        <v>9548039</v>
      </c>
      <c r="EQ18" s="129">
        <v>693015</v>
      </c>
      <c r="ER18" s="129">
        <v>1552901</v>
      </c>
      <c r="ES18" s="129">
        <v>461864</v>
      </c>
      <c r="ET18" s="129">
        <v>573290</v>
      </c>
      <c r="EU18" s="129">
        <v>2395297</v>
      </c>
      <c r="EV18" s="129">
        <v>5474769</v>
      </c>
      <c r="EW18" s="129">
        <v>335809</v>
      </c>
      <c r="EX18" s="129">
        <v>1837397</v>
      </c>
      <c r="EY18" s="129">
        <v>428055</v>
      </c>
      <c r="EZ18" s="129">
        <v>270066</v>
      </c>
      <c r="FA18" s="129">
        <v>509291</v>
      </c>
      <c r="FB18" s="129">
        <v>963902</v>
      </c>
      <c r="FC18" s="129">
        <v>619634</v>
      </c>
      <c r="FD18" s="129">
        <v>590036</v>
      </c>
      <c r="FE18" s="129">
        <v>192568</v>
      </c>
      <c r="FF18" s="129">
        <v>174701</v>
      </c>
      <c r="FG18" s="129">
        <v>1141029</v>
      </c>
      <c r="FH18" s="129">
        <v>2252485</v>
      </c>
      <c r="FI18" s="129">
        <v>387998</v>
      </c>
      <c r="FJ18" s="129">
        <v>830984</v>
      </c>
      <c r="FK18" s="129">
        <v>200533</v>
      </c>
      <c r="FL18" s="129">
        <v>168435</v>
      </c>
      <c r="FM18" s="129">
        <v>0</v>
      </c>
      <c r="FN18" s="129">
        <v>0</v>
      </c>
      <c r="FO18" s="129">
        <v>0</v>
      </c>
      <c r="FP18" s="129">
        <v>0</v>
      </c>
      <c r="FQ18" s="129">
        <v>0</v>
      </c>
      <c r="FR18" s="129">
        <v>0</v>
      </c>
      <c r="FS18" s="129">
        <v>0</v>
      </c>
      <c r="FT18" s="129">
        <v>0</v>
      </c>
      <c r="FU18" s="129">
        <v>0</v>
      </c>
      <c r="FV18" s="129">
        <v>0</v>
      </c>
      <c r="FW18" s="129">
        <v>0</v>
      </c>
      <c r="FX18" s="129">
        <v>0</v>
      </c>
      <c r="FY18" s="129">
        <v>0</v>
      </c>
      <c r="FZ18" s="129">
        <v>0</v>
      </c>
      <c r="GA18" s="129">
        <v>0</v>
      </c>
      <c r="GB18" s="129">
        <v>0</v>
      </c>
      <c r="GC18" s="129">
        <v>0</v>
      </c>
      <c r="GD18" s="129">
        <v>0</v>
      </c>
      <c r="GE18" s="78">
        <v>0</v>
      </c>
      <c r="GF18" s="78">
        <v>0</v>
      </c>
      <c r="GG18" s="78">
        <v>0</v>
      </c>
      <c r="GH18" s="78">
        <v>0</v>
      </c>
      <c r="GI18" s="78">
        <v>0</v>
      </c>
      <c r="GJ18" s="78">
        <v>0</v>
      </c>
      <c r="GK18" s="78">
        <v>0</v>
      </c>
      <c r="GL18" s="78">
        <v>0</v>
      </c>
      <c r="GM18" s="78">
        <v>0</v>
      </c>
      <c r="GN18" s="78">
        <v>0</v>
      </c>
      <c r="GO18" s="78">
        <v>0</v>
      </c>
      <c r="GP18" s="78">
        <v>0</v>
      </c>
      <c r="GR18" s="122">
        <v>427245097</v>
      </c>
    </row>
    <row r="19" spans="1:200" ht="15.75" thickBot="1">
      <c r="A19" s="126">
        <f>COUNT(A10:A18)</f>
        <v>9</v>
      </c>
      <c r="B19" s="127"/>
      <c r="C19" s="128"/>
      <c r="D19" s="122">
        <f>SUM(D10:D18)</f>
        <v>4391352325</v>
      </c>
      <c r="GR19" s="122">
        <f>SUM(GR10:GR18)</f>
        <v>1571632702</v>
      </c>
    </row>
  </sheetData>
  <mergeCells count="32">
    <mergeCell ref="FM8:FR8"/>
    <mergeCell ref="FS8:FX8"/>
    <mergeCell ref="FY8:GD8"/>
    <mergeCell ref="GE8:GJ8"/>
    <mergeCell ref="GK8:GP8"/>
    <mergeCell ref="FG8:FL8"/>
    <mergeCell ref="CS8:CX8"/>
    <mergeCell ref="CY8:DD8"/>
    <mergeCell ref="DE8:DJ8"/>
    <mergeCell ref="DK8:DP8"/>
    <mergeCell ref="DQ8:DV8"/>
    <mergeCell ref="DW8:EB8"/>
    <mergeCell ref="EC8:EH8"/>
    <mergeCell ref="EI8:EN8"/>
    <mergeCell ref="EO8:ET8"/>
    <mergeCell ref="EU8:EZ8"/>
    <mergeCell ref="FA8:FF8"/>
    <mergeCell ref="B1:C1"/>
    <mergeCell ref="CM8:CR8"/>
    <mergeCell ref="M8:R8"/>
    <mergeCell ref="S8:X8"/>
    <mergeCell ref="Y8:AD8"/>
    <mergeCell ref="AE8:AJ8"/>
    <mergeCell ref="AK8:AP8"/>
    <mergeCell ref="AQ8:AV8"/>
    <mergeCell ref="AW8:BB8"/>
    <mergeCell ref="BC8:BH8"/>
    <mergeCell ref="BI8:BN8"/>
    <mergeCell ref="BO8:BT8"/>
    <mergeCell ref="BU8:BZ8"/>
    <mergeCell ref="CA8:CF8"/>
    <mergeCell ref="CG8:CL8"/>
  </mergeCells>
  <hyperlinks>
    <hyperlink ref="J1" location="Index!A1" display="Return to Index"/>
    <hyperlink ref="GP1" location="Index!A1" display="Return to Index"/>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K101"/>
  <sheetViews>
    <sheetView showGridLines="0" zoomScale="80" zoomScaleNormal="80" workbookViewId="0">
      <selection activeCell="I1" sqref="I1"/>
    </sheetView>
  </sheetViews>
  <sheetFormatPr defaultRowHeight="12.75"/>
  <cols>
    <col min="1" max="1" width="0.140625" style="122" customWidth="1"/>
    <col min="2" max="2" width="67" style="133" customWidth="1"/>
    <col min="3" max="3" width="9.85546875" style="142" customWidth="1"/>
    <col min="4" max="4" width="11.42578125" customWidth="1"/>
    <col min="5" max="5" width="10.140625" customWidth="1"/>
    <col min="6" max="6" width="39.5703125" style="122" customWidth="1"/>
    <col min="7" max="7" width="15" style="122" customWidth="1"/>
    <col min="8" max="8" width="17.42578125" style="122" customWidth="1"/>
    <col min="9" max="9" width="17.28515625" style="122" customWidth="1"/>
    <col min="10" max="10" width="2.28515625" style="122" customWidth="1"/>
    <col min="11" max="11" width="9.85546875" style="122" customWidth="1"/>
    <col min="12" max="12" width="12" style="122" customWidth="1"/>
    <col min="13" max="253" width="9.85546875" style="122" customWidth="1"/>
    <col min="254" max="16384" width="9.140625" style="122"/>
  </cols>
  <sheetData>
    <row r="1" spans="2:10" ht="16.5" thickBot="1">
      <c r="D1" s="140"/>
      <c r="E1" s="140"/>
      <c r="F1" s="141" t="s">
        <v>333</v>
      </c>
      <c r="I1" s="337" t="s">
        <v>579</v>
      </c>
    </row>
    <row r="2" spans="2:10" ht="15.75">
      <c r="D2" s="140"/>
      <c r="E2" s="140"/>
      <c r="F2" s="141" t="s">
        <v>334</v>
      </c>
    </row>
    <row r="3" spans="2:10" ht="15.75">
      <c r="D3" s="140"/>
      <c r="E3" s="140"/>
      <c r="F3" s="141" t="s">
        <v>1</v>
      </c>
    </row>
    <row r="4" spans="2:10" ht="15.75">
      <c r="D4" s="140"/>
      <c r="E4" s="140"/>
      <c r="F4" s="141" t="s">
        <v>335</v>
      </c>
    </row>
    <row r="5" spans="2:10" ht="13.5" thickBot="1">
      <c r="B5" s="143" t="s">
        <v>336</v>
      </c>
    </row>
    <row r="6" spans="2:10" ht="21.75" customHeight="1">
      <c r="B6" s="463" t="s">
        <v>337</v>
      </c>
      <c r="C6" s="148"/>
      <c r="D6" s="144"/>
      <c r="E6" s="144"/>
      <c r="F6" s="145" t="s">
        <v>338</v>
      </c>
      <c r="G6" s="465" t="s">
        <v>339</v>
      </c>
      <c r="H6" s="465" t="s">
        <v>340</v>
      </c>
      <c r="I6" s="146" t="s">
        <v>341</v>
      </c>
      <c r="J6" s="147"/>
    </row>
    <row r="7" spans="2:10" ht="42" customHeight="1" thickBot="1">
      <c r="B7" s="464"/>
      <c r="C7" s="149" t="s">
        <v>344</v>
      </c>
      <c r="D7" s="149" t="s">
        <v>522</v>
      </c>
      <c r="E7" s="149" t="s">
        <v>523</v>
      </c>
      <c r="F7" s="150" t="s">
        <v>342</v>
      </c>
      <c r="G7" s="466"/>
      <c r="H7" s="466"/>
      <c r="I7" s="151" t="s">
        <v>343</v>
      </c>
      <c r="J7" s="152"/>
    </row>
    <row r="8" spans="2:10" ht="16.5" customHeight="1" thickBot="1">
      <c r="B8" s="153"/>
      <c r="D8" s="154"/>
      <c r="E8" s="154"/>
      <c r="F8" s="155"/>
      <c r="G8" s="156" t="s">
        <v>1</v>
      </c>
      <c r="H8" s="156" t="s">
        <v>1</v>
      </c>
      <c r="I8" s="156" t="s">
        <v>1</v>
      </c>
      <c r="J8" s="157"/>
    </row>
    <row r="9" spans="2:10" ht="15.75" customHeight="1" thickBot="1">
      <c r="B9" s="132" t="s">
        <v>50</v>
      </c>
      <c r="D9" s="158"/>
      <c r="E9" s="158">
        <v>30</v>
      </c>
      <c r="F9" s="159" t="s">
        <v>345</v>
      </c>
      <c r="G9" s="160"/>
      <c r="H9" s="160"/>
      <c r="I9" s="160"/>
      <c r="J9" s="161"/>
    </row>
    <row r="10" spans="2:10" ht="15.75" customHeight="1">
      <c r="B10" s="162"/>
      <c r="D10" s="163"/>
      <c r="E10" s="163"/>
      <c r="F10" s="164"/>
      <c r="G10" s="164"/>
      <c r="H10" s="164"/>
      <c r="I10" s="164"/>
      <c r="J10" s="125"/>
    </row>
    <row r="11" spans="2:10" ht="15.75" customHeight="1" thickBot="1">
      <c r="B11" s="165" t="s">
        <v>346</v>
      </c>
      <c r="D11" s="166" t="s">
        <v>347</v>
      </c>
      <c r="E11" s="166" t="s">
        <v>524</v>
      </c>
      <c r="F11" s="167" t="s">
        <v>348</v>
      </c>
      <c r="G11" s="127"/>
      <c r="H11" s="127"/>
      <c r="I11" s="162"/>
      <c r="J11" s="125"/>
    </row>
    <row r="12" spans="2:10" ht="15.75" customHeight="1" thickBot="1">
      <c r="B12" s="127" t="s">
        <v>49</v>
      </c>
      <c r="C12" s="142" t="s">
        <v>350</v>
      </c>
      <c r="D12" s="168" t="s">
        <v>180</v>
      </c>
      <c r="E12" s="168">
        <v>40</v>
      </c>
      <c r="F12" s="126" t="s">
        <v>349</v>
      </c>
      <c r="G12" s="169"/>
      <c r="H12" s="169">
        <v>3452814</v>
      </c>
      <c r="I12" s="170"/>
      <c r="J12" s="171"/>
    </row>
    <row r="13" spans="2:10" ht="15.75" customHeight="1" thickBot="1">
      <c r="B13" s="127" t="s">
        <v>181</v>
      </c>
      <c r="C13" s="142" t="s">
        <v>352</v>
      </c>
      <c r="D13" s="168" t="s">
        <v>182</v>
      </c>
      <c r="E13" s="168">
        <v>50</v>
      </c>
      <c r="F13" s="126" t="s">
        <v>351</v>
      </c>
      <c r="G13" s="169">
        <v>27534452</v>
      </c>
      <c r="H13" s="169"/>
      <c r="I13" s="170"/>
      <c r="J13" s="171"/>
    </row>
    <row r="14" spans="2:10" ht="15.75" customHeight="1" thickBot="1">
      <c r="B14" s="127" t="s">
        <v>183</v>
      </c>
      <c r="C14" s="142" t="s">
        <v>354</v>
      </c>
      <c r="D14" s="168" t="s">
        <v>184</v>
      </c>
      <c r="E14" s="168">
        <v>60</v>
      </c>
      <c r="F14" s="126" t="s">
        <v>353</v>
      </c>
      <c r="G14" s="169"/>
      <c r="H14" s="169">
        <v>5627594</v>
      </c>
      <c r="I14" s="170"/>
      <c r="J14" s="171"/>
    </row>
    <row r="15" spans="2:10" ht="15.75" customHeight="1" thickBot="1">
      <c r="B15" s="127" t="s">
        <v>185</v>
      </c>
      <c r="C15" s="142" t="s">
        <v>356</v>
      </c>
      <c r="D15" s="168" t="s">
        <v>186</v>
      </c>
      <c r="E15" s="168">
        <v>70</v>
      </c>
      <c r="F15" s="126" t="s">
        <v>355</v>
      </c>
      <c r="G15" s="169"/>
      <c r="H15" s="169">
        <v>4263330</v>
      </c>
      <c r="I15" s="170"/>
      <c r="J15" s="171"/>
    </row>
    <row r="16" spans="2:10" ht="15.75" customHeight="1" thickBot="1">
      <c r="B16" s="127" t="s">
        <v>187</v>
      </c>
      <c r="C16" s="142" t="s">
        <v>358</v>
      </c>
      <c r="D16" s="168" t="s">
        <v>188</v>
      </c>
      <c r="E16" s="168">
        <v>80</v>
      </c>
      <c r="F16" s="126" t="s">
        <v>357</v>
      </c>
      <c r="G16" s="169"/>
      <c r="H16" s="169">
        <v>740210</v>
      </c>
      <c r="I16" s="169">
        <v>13176800</v>
      </c>
      <c r="J16" s="172"/>
    </row>
    <row r="17" spans="2:10" ht="15.75" customHeight="1" thickBot="1">
      <c r="B17" s="127" t="s">
        <v>189</v>
      </c>
      <c r="C17" s="142" t="s">
        <v>360</v>
      </c>
      <c r="D17" s="168" t="s">
        <v>190</v>
      </c>
      <c r="E17" s="168">
        <v>90</v>
      </c>
      <c r="F17" s="126" t="s">
        <v>359</v>
      </c>
      <c r="G17" s="169"/>
      <c r="H17" s="169">
        <v>668711</v>
      </c>
      <c r="I17" s="169">
        <v>4284677</v>
      </c>
      <c r="J17" s="172"/>
    </row>
    <row r="18" spans="2:10" ht="15.75" customHeight="1" thickBot="1">
      <c r="B18" s="127" t="s">
        <v>191</v>
      </c>
      <c r="C18" s="142" t="s">
        <v>362</v>
      </c>
      <c r="D18" s="168" t="s">
        <v>192</v>
      </c>
      <c r="E18" s="168">
        <v>100</v>
      </c>
      <c r="F18" s="126" t="s">
        <v>361</v>
      </c>
      <c r="G18" s="169"/>
      <c r="H18" s="169">
        <v>250623</v>
      </c>
      <c r="I18" s="173"/>
      <c r="J18" s="174"/>
    </row>
    <row r="19" spans="2:10" ht="15.75" customHeight="1" thickBot="1">
      <c r="B19" s="127" t="s">
        <v>193</v>
      </c>
      <c r="C19" s="142" t="s">
        <v>364</v>
      </c>
      <c r="D19" s="168" t="s">
        <v>194</v>
      </c>
      <c r="E19" s="168">
        <v>110</v>
      </c>
      <c r="F19" s="126" t="s">
        <v>363</v>
      </c>
      <c r="G19" s="169"/>
      <c r="H19" s="169">
        <v>3402524</v>
      </c>
      <c r="I19" s="173"/>
      <c r="J19" s="174"/>
    </row>
    <row r="20" spans="2:10" ht="15.75" customHeight="1" thickBot="1">
      <c r="B20" s="127" t="s">
        <v>195</v>
      </c>
      <c r="C20" s="142" t="s">
        <v>366</v>
      </c>
      <c r="D20" s="168" t="s">
        <v>196</v>
      </c>
      <c r="E20" s="168">
        <v>120</v>
      </c>
      <c r="F20" s="126" t="s">
        <v>365</v>
      </c>
      <c r="G20" s="169"/>
      <c r="H20" s="169">
        <v>228118</v>
      </c>
      <c r="I20" s="173"/>
      <c r="J20" s="174"/>
    </row>
    <row r="21" spans="2:10" ht="15.75" customHeight="1" thickBot="1">
      <c r="B21" s="175" t="s">
        <v>367</v>
      </c>
      <c r="D21" s="166" t="s">
        <v>368</v>
      </c>
      <c r="E21" s="166" t="s">
        <v>525</v>
      </c>
      <c r="F21" s="167" t="s">
        <v>369</v>
      </c>
      <c r="G21" s="176"/>
      <c r="H21" s="169"/>
      <c r="I21" s="177"/>
      <c r="J21" s="174"/>
    </row>
    <row r="22" spans="2:10" ht="15.75" customHeight="1" thickBot="1">
      <c r="B22" s="127" t="s">
        <v>197</v>
      </c>
      <c r="C22" s="142" t="s">
        <v>371</v>
      </c>
      <c r="D22" s="168" t="s">
        <v>198</v>
      </c>
      <c r="E22" s="168">
        <v>130</v>
      </c>
      <c r="F22" s="126" t="s">
        <v>370</v>
      </c>
      <c r="G22" s="169">
        <v>28068280</v>
      </c>
      <c r="H22" s="169"/>
      <c r="I22" s="173"/>
      <c r="J22" s="174"/>
    </row>
    <row r="23" spans="2:10" ht="15.75" customHeight="1" thickBot="1">
      <c r="B23" s="127" t="s">
        <v>199</v>
      </c>
      <c r="C23" s="142" t="s">
        <v>373</v>
      </c>
      <c r="D23" s="168" t="s">
        <v>200</v>
      </c>
      <c r="E23" s="168">
        <v>140</v>
      </c>
      <c r="F23" s="126" t="s">
        <v>372</v>
      </c>
      <c r="G23" s="169"/>
      <c r="H23" s="169">
        <v>407402</v>
      </c>
      <c r="I23" s="173"/>
      <c r="J23" s="174"/>
    </row>
    <row r="24" spans="2:10" ht="15.75" customHeight="1" thickBot="1">
      <c r="B24" s="127" t="s">
        <v>201</v>
      </c>
      <c r="C24" s="142" t="s">
        <v>375</v>
      </c>
      <c r="D24" s="168" t="s">
        <v>202</v>
      </c>
      <c r="E24" s="168">
        <v>150</v>
      </c>
      <c r="F24" s="126" t="s">
        <v>374</v>
      </c>
      <c r="G24" s="169"/>
      <c r="H24" s="169"/>
      <c r="I24" s="173"/>
      <c r="J24" s="174"/>
    </row>
    <row r="25" spans="2:10" ht="15.75" customHeight="1" thickBot="1">
      <c r="B25" s="127" t="s">
        <v>203</v>
      </c>
      <c r="C25" s="142" t="s">
        <v>377</v>
      </c>
      <c r="D25" s="168" t="s">
        <v>204</v>
      </c>
      <c r="E25" s="168">
        <v>160</v>
      </c>
      <c r="F25" s="126" t="s">
        <v>376</v>
      </c>
      <c r="G25" s="169"/>
      <c r="H25" s="169">
        <v>1115775</v>
      </c>
      <c r="I25" s="173"/>
      <c r="J25" s="174"/>
    </row>
    <row r="26" spans="2:10" ht="15.75" customHeight="1" thickBot="1">
      <c r="B26" s="127" t="s">
        <v>205</v>
      </c>
      <c r="C26" s="142" t="s">
        <v>379</v>
      </c>
      <c r="D26" s="168" t="s">
        <v>206</v>
      </c>
      <c r="E26" s="168">
        <v>170</v>
      </c>
      <c r="F26" s="126" t="s">
        <v>378</v>
      </c>
      <c r="G26" s="169"/>
      <c r="H26" s="169">
        <v>1495540</v>
      </c>
      <c r="I26" s="169">
        <v>8471116</v>
      </c>
      <c r="J26" s="172"/>
    </row>
    <row r="27" spans="2:10" ht="15.75" customHeight="1" thickBot="1">
      <c r="B27" s="127" t="s">
        <v>207</v>
      </c>
      <c r="C27" s="142" t="s">
        <v>381</v>
      </c>
      <c r="D27" s="168" t="s">
        <v>208</v>
      </c>
      <c r="E27" s="168">
        <v>180</v>
      </c>
      <c r="F27" s="126" t="s">
        <v>380</v>
      </c>
      <c r="G27" s="169"/>
      <c r="H27" s="169">
        <v>1267265</v>
      </c>
      <c r="I27" s="169">
        <v>5167540</v>
      </c>
      <c r="J27" s="172"/>
    </row>
    <row r="28" spans="2:10" ht="15.75" customHeight="1" thickBot="1">
      <c r="B28" s="127" t="s">
        <v>209</v>
      </c>
      <c r="C28" s="142" t="s">
        <v>383</v>
      </c>
      <c r="D28" s="168" t="s">
        <v>210</v>
      </c>
      <c r="E28" s="168">
        <v>190</v>
      </c>
      <c r="F28" s="126" t="s">
        <v>382</v>
      </c>
      <c r="G28" s="169"/>
      <c r="H28" s="169">
        <v>34904</v>
      </c>
      <c r="I28" s="169">
        <v>3202241</v>
      </c>
      <c r="J28" s="172"/>
    </row>
    <row r="29" spans="2:10" ht="15.75" customHeight="1" thickBot="1">
      <c r="B29" s="127" t="s">
        <v>211</v>
      </c>
      <c r="C29" s="142" t="s">
        <v>385</v>
      </c>
      <c r="D29" s="168" t="s">
        <v>212</v>
      </c>
      <c r="E29" s="168">
        <v>200</v>
      </c>
      <c r="F29" s="126" t="s">
        <v>384</v>
      </c>
      <c r="G29" s="169"/>
      <c r="H29" s="169">
        <v>527219</v>
      </c>
      <c r="I29" s="169">
        <v>4886159</v>
      </c>
      <c r="J29" s="172"/>
    </row>
    <row r="30" spans="2:10" ht="15.75" customHeight="1" thickBot="1">
      <c r="B30" s="127" t="s">
        <v>213</v>
      </c>
      <c r="C30" s="142" t="s">
        <v>387</v>
      </c>
      <c r="D30" s="168" t="s">
        <v>214</v>
      </c>
      <c r="E30" s="168">
        <v>210</v>
      </c>
      <c r="F30" s="126" t="s">
        <v>386</v>
      </c>
      <c r="G30" s="169"/>
      <c r="H30" s="169">
        <v>218046</v>
      </c>
      <c r="I30" s="169">
        <v>5684047</v>
      </c>
      <c r="J30" s="172"/>
    </row>
    <row r="31" spans="2:10" ht="15.75" customHeight="1" thickBot="1">
      <c r="B31" s="127" t="s">
        <v>215</v>
      </c>
      <c r="C31" s="142" t="s">
        <v>389</v>
      </c>
      <c r="D31" s="168" t="s">
        <v>216</v>
      </c>
      <c r="E31" s="168">
        <v>220</v>
      </c>
      <c r="F31" s="126" t="s">
        <v>388</v>
      </c>
      <c r="G31" s="169"/>
      <c r="H31" s="169"/>
      <c r="I31" s="169">
        <v>1684587</v>
      </c>
      <c r="J31" s="172"/>
    </row>
    <row r="32" spans="2:10" ht="15.75" customHeight="1" thickBot="1">
      <c r="B32" s="131" t="s">
        <v>217</v>
      </c>
      <c r="C32" s="142" t="s">
        <v>391</v>
      </c>
      <c r="D32" s="168" t="s">
        <v>218</v>
      </c>
      <c r="E32" s="168">
        <v>223</v>
      </c>
      <c r="F32" s="126" t="s">
        <v>390</v>
      </c>
      <c r="G32" s="169"/>
      <c r="H32" s="169"/>
      <c r="I32" s="178"/>
      <c r="J32" s="172"/>
    </row>
    <row r="33" spans="2:10" ht="15.75" customHeight="1" thickBot="1">
      <c r="B33" s="131" t="s">
        <v>219</v>
      </c>
      <c r="C33" s="142" t="s">
        <v>393</v>
      </c>
      <c r="D33" s="168" t="s">
        <v>220</v>
      </c>
      <c r="E33" s="168">
        <v>226</v>
      </c>
      <c r="F33" s="126" t="s">
        <v>392</v>
      </c>
      <c r="G33" s="169"/>
      <c r="H33" s="169"/>
      <c r="I33" s="178"/>
      <c r="J33" s="172"/>
    </row>
    <row r="34" spans="2:10" ht="15.75" customHeight="1" thickBot="1">
      <c r="B34" s="131" t="s">
        <v>394</v>
      </c>
      <c r="C34" s="180" t="s">
        <v>397</v>
      </c>
      <c r="D34" s="179" t="s">
        <v>395</v>
      </c>
      <c r="E34" s="179">
        <v>600</v>
      </c>
      <c r="F34" s="126" t="s">
        <v>396</v>
      </c>
      <c r="G34" s="169"/>
      <c r="H34" s="169"/>
      <c r="I34" s="178"/>
      <c r="J34" s="172"/>
    </row>
    <row r="35" spans="2:10" ht="15.75" customHeight="1" thickBot="1">
      <c r="B35" s="131" t="s">
        <v>398</v>
      </c>
      <c r="C35" s="180" t="s">
        <v>401</v>
      </c>
      <c r="D35" s="179" t="s">
        <v>399</v>
      </c>
      <c r="E35" s="179">
        <v>605</v>
      </c>
      <c r="F35" s="126" t="s">
        <v>400</v>
      </c>
      <c r="G35" s="169"/>
      <c r="H35" s="169"/>
      <c r="I35" s="178"/>
      <c r="J35" s="172"/>
    </row>
    <row r="36" spans="2:10" ht="15.75" customHeight="1" thickBot="1">
      <c r="B36" s="131" t="s">
        <v>402</v>
      </c>
      <c r="C36" s="180" t="s">
        <v>405</v>
      </c>
      <c r="D36" s="179" t="s">
        <v>403</v>
      </c>
      <c r="E36" s="179">
        <v>610</v>
      </c>
      <c r="F36" s="126" t="s">
        <v>404</v>
      </c>
      <c r="G36" s="169"/>
      <c r="H36" s="169"/>
      <c r="I36" s="178"/>
      <c r="J36" s="172"/>
    </row>
    <row r="37" spans="2:10" ht="15.75" customHeight="1" thickBot="1">
      <c r="B37" s="131" t="s">
        <v>406</v>
      </c>
      <c r="C37" s="180" t="s">
        <v>409</v>
      </c>
      <c r="D37" s="179" t="s">
        <v>407</v>
      </c>
      <c r="E37" s="179">
        <v>615</v>
      </c>
      <c r="F37" s="126" t="s">
        <v>408</v>
      </c>
      <c r="G37" s="169"/>
      <c r="H37" s="169"/>
      <c r="I37" s="178"/>
      <c r="J37" s="172"/>
    </row>
    <row r="38" spans="2:10" ht="15.75" customHeight="1" thickBot="1">
      <c r="B38" s="131" t="s">
        <v>410</v>
      </c>
      <c r="C38" s="180" t="s">
        <v>413</v>
      </c>
      <c r="D38" s="179" t="s">
        <v>411</v>
      </c>
      <c r="E38" s="179">
        <v>620</v>
      </c>
      <c r="F38" s="126" t="s">
        <v>412</v>
      </c>
      <c r="G38" s="169"/>
      <c r="H38" s="169"/>
      <c r="I38" s="178"/>
      <c r="J38" s="172"/>
    </row>
    <row r="39" spans="2:10" ht="15.75" customHeight="1" thickBot="1">
      <c r="B39" s="131" t="s">
        <v>414</v>
      </c>
      <c r="C39" s="180" t="s">
        <v>417</v>
      </c>
      <c r="D39" s="179" t="s">
        <v>415</v>
      </c>
      <c r="E39" s="179">
        <v>625</v>
      </c>
      <c r="F39" s="126" t="s">
        <v>416</v>
      </c>
      <c r="G39" s="169"/>
      <c r="H39" s="169"/>
      <c r="I39" s="178"/>
      <c r="J39" s="172"/>
    </row>
    <row r="40" spans="2:10" ht="15.75" customHeight="1" thickBot="1">
      <c r="B40" s="131" t="s">
        <v>418</v>
      </c>
      <c r="C40" s="180" t="s">
        <v>421</v>
      </c>
      <c r="D40" s="179" t="s">
        <v>419</v>
      </c>
      <c r="E40" s="179">
        <v>630</v>
      </c>
      <c r="F40" s="126" t="s">
        <v>420</v>
      </c>
      <c r="G40" s="169"/>
      <c r="H40" s="169"/>
      <c r="I40" s="178"/>
      <c r="J40" s="172"/>
    </row>
    <row r="41" spans="2:10" ht="15.75" customHeight="1" thickBot="1">
      <c r="B41" s="131" t="s">
        <v>422</v>
      </c>
      <c r="C41" s="180" t="s">
        <v>425</v>
      </c>
      <c r="D41" s="179" t="s">
        <v>423</v>
      </c>
      <c r="E41" s="179">
        <v>635</v>
      </c>
      <c r="F41" s="126" t="s">
        <v>424</v>
      </c>
      <c r="G41" s="169"/>
      <c r="H41" s="169"/>
      <c r="I41" s="178"/>
      <c r="J41" s="172"/>
    </row>
    <row r="42" spans="2:10" ht="15.75" customHeight="1" thickBot="1">
      <c r="B42" s="165" t="s">
        <v>426</v>
      </c>
      <c r="D42" s="166" t="s">
        <v>347</v>
      </c>
      <c r="E42" s="166" t="s">
        <v>526</v>
      </c>
      <c r="F42" s="167" t="s">
        <v>427</v>
      </c>
      <c r="G42" s="169"/>
      <c r="H42" s="169"/>
      <c r="I42" s="181"/>
      <c r="J42" s="174"/>
    </row>
    <row r="43" spans="2:10" ht="15.75" customHeight="1" thickBot="1">
      <c r="B43" s="127" t="s">
        <v>221</v>
      </c>
      <c r="C43" s="142" t="s">
        <v>429</v>
      </c>
      <c r="D43" s="168" t="s">
        <v>222</v>
      </c>
      <c r="E43" s="168">
        <v>230</v>
      </c>
      <c r="F43" s="126" t="s">
        <v>428</v>
      </c>
      <c r="G43" s="169">
        <v>4535210</v>
      </c>
      <c r="H43" s="169">
        <v>6380651</v>
      </c>
      <c r="I43" s="169">
        <v>36091538</v>
      </c>
      <c r="J43" s="172"/>
    </row>
    <row r="44" spans="2:10" ht="15.75" customHeight="1" thickBot="1">
      <c r="B44" s="127" t="s">
        <v>223</v>
      </c>
      <c r="C44" s="142" t="s">
        <v>431</v>
      </c>
      <c r="D44" s="168" t="s">
        <v>224</v>
      </c>
      <c r="E44" s="168">
        <v>240</v>
      </c>
      <c r="F44" s="126" t="s">
        <v>430</v>
      </c>
      <c r="G44" s="169"/>
      <c r="H44" s="169">
        <v>74975</v>
      </c>
      <c r="I44" s="169">
        <v>5355874</v>
      </c>
      <c r="J44" s="172"/>
    </row>
    <row r="45" spans="2:10" ht="15.75" customHeight="1" thickBot="1">
      <c r="B45" s="127" t="s">
        <v>432</v>
      </c>
      <c r="C45" s="142" t="s">
        <v>434</v>
      </c>
      <c r="D45" s="168" t="s">
        <v>225</v>
      </c>
      <c r="E45" s="168">
        <v>250</v>
      </c>
      <c r="F45" s="126" t="s">
        <v>433</v>
      </c>
      <c r="G45" s="169"/>
      <c r="H45" s="169">
        <v>56984</v>
      </c>
      <c r="I45" s="169">
        <v>9548995</v>
      </c>
      <c r="J45" s="172"/>
    </row>
    <row r="46" spans="2:10" ht="15.75" customHeight="1" thickBot="1">
      <c r="B46" s="127" t="s">
        <v>435</v>
      </c>
      <c r="C46" s="142" t="s">
        <v>437</v>
      </c>
      <c r="D46" s="168" t="s">
        <v>226</v>
      </c>
      <c r="E46" s="168">
        <v>260</v>
      </c>
      <c r="F46" s="126" t="s">
        <v>436</v>
      </c>
      <c r="G46" s="169"/>
      <c r="H46" s="169"/>
      <c r="I46" s="169">
        <v>2335692</v>
      </c>
      <c r="J46" s="172"/>
    </row>
    <row r="47" spans="2:10" ht="15.75" customHeight="1" thickBot="1">
      <c r="B47" s="165" t="s">
        <v>438</v>
      </c>
      <c r="D47" s="166" t="s">
        <v>439</v>
      </c>
      <c r="E47" s="166" t="s">
        <v>527</v>
      </c>
      <c r="F47" s="167" t="s">
        <v>440</v>
      </c>
      <c r="G47" s="169"/>
      <c r="H47" s="169"/>
      <c r="I47" s="173"/>
      <c r="J47" s="174"/>
    </row>
    <row r="48" spans="2:10" ht="15.75" customHeight="1" thickBot="1">
      <c r="B48" s="127" t="s">
        <v>227</v>
      </c>
      <c r="C48" s="142" t="s">
        <v>442</v>
      </c>
      <c r="D48" s="168" t="s">
        <v>228</v>
      </c>
      <c r="E48" s="168">
        <v>270</v>
      </c>
      <c r="F48" s="126" t="s">
        <v>441</v>
      </c>
      <c r="G48" s="169"/>
      <c r="H48" s="169">
        <v>437890</v>
      </c>
      <c r="I48" s="169">
        <v>8028333</v>
      </c>
      <c r="J48" s="172"/>
    </row>
    <row r="49" spans="2:10" ht="15.75" customHeight="1" thickBot="1">
      <c r="B49" s="127" t="s">
        <v>229</v>
      </c>
      <c r="C49" s="142" t="s">
        <v>444</v>
      </c>
      <c r="D49" s="168" t="s">
        <v>230</v>
      </c>
      <c r="E49" s="168">
        <v>280</v>
      </c>
      <c r="F49" s="126" t="s">
        <v>443</v>
      </c>
      <c r="G49" s="169"/>
      <c r="H49" s="169">
        <v>381074</v>
      </c>
      <c r="I49" s="169">
        <v>10184001</v>
      </c>
      <c r="J49" s="172"/>
    </row>
    <row r="50" spans="2:10" ht="15.75" customHeight="1" thickBot="1">
      <c r="B50" s="127" t="s">
        <v>231</v>
      </c>
      <c r="C50" s="142" t="s">
        <v>446</v>
      </c>
      <c r="D50" s="168" t="s">
        <v>232</v>
      </c>
      <c r="E50" s="168">
        <v>290</v>
      </c>
      <c r="F50" s="126" t="s">
        <v>445</v>
      </c>
      <c r="G50" s="169"/>
      <c r="H50" s="169">
        <v>1352702</v>
      </c>
      <c r="I50" s="169">
        <v>20258248</v>
      </c>
      <c r="J50" s="172"/>
    </row>
    <row r="51" spans="2:10" ht="15.75" customHeight="1" thickBot="1">
      <c r="B51" s="127" t="s">
        <v>233</v>
      </c>
      <c r="C51" s="142" t="s">
        <v>448</v>
      </c>
      <c r="D51" s="168" t="s">
        <v>234</v>
      </c>
      <c r="E51" s="168">
        <v>300</v>
      </c>
      <c r="F51" s="126" t="s">
        <v>447</v>
      </c>
      <c r="G51" s="169"/>
      <c r="H51" s="169">
        <v>290581</v>
      </c>
      <c r="I51" s="169">
        <f>2090896+388203</f>
        <v>2479099</v>
      </c>
      <c r="J51" s="172"/>
    </row>
    <row r="52" spans="2:10" ht="15.75" customHeight="1" thickBot="1">
      <c r="B52" s="165" t="s">
        <v>449</v>
      </c>
      <c r="D52" s="166" t="s">
        <v>450</v>
      </c>
      <c r="E52" s="166" t="s">
        <v>528</v>
      </c>
      <c r="F52" s="167" t="s">
        <v>451</v>
      </c>
      <c r="G52" s="169"/>
      <c r="H52" s="169"/>
      <c r="I52" s="173"/>
      <c r="J52" s="174"/>
    </row>
    <row r="53" spans="2:10" ht="15.75" customHeight="1" thickBot="1">
      <c r="B53" s="127" t="s">
        <v>235</v>
      </c>
      <c r="C53" s="142" t="s">
        <v>453</v>
      </c>
      <c r="D53" s="168" t="s">
        <v>236</v>
      </c>
      <c r="E53" s="168">
        <v>310</v>
      </c>
      <c r="F53" s="126" t="s">
        <v>452</v>
      </c>
      <c r="G53" s="169">
        <v>2965865</v>
      </c>
      <c r="H53" s="169">
        <v>4868296</v>
      </c>
      <c r="I53" s="169">
        <v>27446656</v>
      </c>
      <c r="J53" s="172"/>
    </row>
    <row r="54" spans="2:10" ht="15.75" customHeight="1" thickBot="1">
      <c r="B54" s="127" t="s">
        <v>237</v>
      </c>
      <c r="C54" s="142" t="s">
        <v>455</v>
      </c>
      <c r="D54" s="168" t="s">
        <v>238</v>
      </c>
      <c r="E54" s="168">
        <v>320</v>
      </c>
      <c r="F54" s="126" t="s">
        <v>454</v>
      </c>
      <c r="G54" s="169"/>
      <c r="H54" s="169">
        <v>41632</v>
      </c>
      <c r="I54" s="169">
        <v>3667497</v>
      </c>
      <c r="J54" s="172"/>
    </row>
    <row r="55" spans="2:10" ht="15.75" customHeight="1" thickBot="1">
      <c r="B55" s="175" t="s">
        <v>456</v>
      </c>
      <c r="D55" s="166" t="s">
        <v>457</v>
      </c>
      <c r="E55" s="166" t="s">
        <v>529</v>
      </c>
      <c r="F55" s="167" t="s">
        <v>458</v>
      </c>
      <c r="G55" s="176"/>
      <c r="H55" s="169"/>
      <c r="I55" s="173"/>
      <c r="J55" s="174"/>
    </row>
    <row r="56" spans="2:10" ht="15.75" customHeight="1" thickBot="1">
      <c r="B56" s="127" t="s">
        <v>239</v>
      </c>
      <c r="C56" s="142" t="s">
        <v>460</v>
      </c>
      <c r="D56" s="168" t="s">
        <v>240</v>
      </c>
      <c r="E56" s="168">
        <v>330</v>
      </c>
      <c r="F56" s="126" t="s">
        <v>459</v>
      </c>
      <c r="G56" s="169"/>
      <c r="H56" s="169">
        <v>1602313</v>
      </c>
      <c r="I56" s="169">
        <v>27122687</v>
      </c>
      <c r="J56" s="172"/>
    </row>
    <row r="57" spans="2:10" ht="15.75" customHeight="1" thickBot="1">
      <c r="B57" s="131" t="s">
        <v>241</v>
      </c>
      <c r="C57" s="142" t="s">
        <v>462</v>
      </c>
      <c r="D57" s="168" t="s">
        <v>242</v>
      </c>
      <c r="E57" s="168">
        <v>333</v>
      </c>
      <c r="F57" s="126" t="s">
        <v>461</v>
      </c>
      <c r="G57" s="169"/>
      <c r="H57" s="169"/>
      <c r="I57" s="169"/>
      <c r="J57" s="172"/>
    </row>
    <row r="58" spans="2:10" ht="15.75" customHeight="1" thickBot="1">
      <c r="B58" s="127" t="s">
        <v>243</v>
      </c>
      <c r="C58" s="142" t="s">
        <v>464</v>
      </c>
      <c r="D58" s="168" t="s">
        <v>244</v>
      </c>
      <c r="E58" s="168">
        <v>340</v>
      </c>
      <c r="F58" s="126" t="s">
        <v>463</v>
      </c>
      <c r="G58" s="169"/>
      <c r="H58" s="169">
        <v>8286</v>
      </c>
      <c r="I58" s="169">
        <v>3810377</v>
      </c>
      <c r="J58" s="172"/>
    </row>
    <row r="59" spans="2:10" ht="15.75" customHeight="1" thickBot="1">
      <c r="B59" s="127" t="s">
        <v>245</v>
      </c>
      <c r="C59" s="142" t="s">
        <v>466</v>
      </c>
      <c r="D59" s="168" t="s">
        <v>246</v>
      </c>
      <c r="E59" s="168">
        <v>350</v>
      </c>
      <c r="F59" s="126" t="s">
        <v>465</v>
      </c>
      <c r="G59" s="169"/>
      <c r="H59" s="169">
        <v>634501</v>
      </c>
      <c r="I59" s="169">
        <v>6907643</v>
      </c>
      <c r="J59" s="172"/>
    </row>
    <row r="60" spans="2:10" ht="15.75" customHeight="1" thickBot="1">
      <c r="B60" s="127" t="s">
        <v>247</v>
      </c>
      <c r="C60" s="142" t="s">
        <v>468</v>
      </c>
      <c r="D60" s="168" t="s">
        <v>248</v>
      </c>
      <c r="E60" s="168">
        <v>360</v>
      </c>
      <c r="F60" s="126" t="s">
        <v>467</v>
      </c>
      <c r="G60" s="169"/>
      <c r="H60" s="169">
        <v>430341</v>
      </c>
      <c r="I60" s="169">
        <v>11283387</v>
      </c>
      <c r="J60" s="172"/>
    </row>
    <row r="61" spans="2:10" ht="15.75" customHeight="1" thickBot="1">
      <c r="B61" s="127" t="s">
        <v>249</v>
      </c>
      <c r="C61" s="142" t="s">
        <v>470</v>
      </c>
      <c r="D61" s="168" t="s">
        <v>250</v>
      </c>
      <c r="E61" s="168">
        <v>370</v>
      </c>
      <c r="F61" s="126" t="s">
        <v>469</v>
      </c>
      <c r="G61" s="169"/>
      <c r="H61" s="169">
        <v>171113</v>
      </c>
      <c r="I61" s="169">
        <v>8615167</v>
      </c>
      <c r="J61" s="172"/>
    </row>
    <row r="62" spans="2:10" ht="15.75" customHeight="1" thickBot="1">
      <c r="B62" s="127" t="s">
        <v>251</v>
      </c>
      <c r="C62" s="182" t="s">
        <v>472</v>
      </c>
      <c r="D62" s="168" t="s">
        <v>252</v>
      </c>
      <c r="E62" s="168">
        <v>490</v>
      </c>
      <c r="F62" s="126" t="s">
        <v>471</v>
      </c>
      <c r="G62" s="169"/>
      <c r="H62" s="169"/>
      <c r="I62" s="169">
        <v>1825332</v>
      </c>
      <c r="J62" s="172"/>
    </row>
    <row r="63" spans="2:10" ht="15.75" customHeight="1" thickBot="1">
      <c r="B63" s="127" t="s">
        <v>253</v>
      </c>
      <c r="C63" s="182" t="s">
        <v>474</v>
      </c>
      <c r="D63" s="168" t="s">
        <v>254</v>
      </c>
      <c r="E63" s="168">
        <v>500</v>
      </c>
      <c r="F63" s="126" t="s">
        <v>473</v>
      </c>
      <c r="G63" s="169"/>
      <c r="H63" s="169"/>
      <c r="I63" s="169">
        <v>1140745</v>
      </c>
      <c r="J63" s="172"/>
    </row>
    <row r="64" spans="2:10" ht="15.75" customHeight="1" thickBot="1">
      <c r="B64" s="127" t="s">
        <v>255</v>
      </c>
      <c r="C64" s="182" t="s">
        <v>476</v>
      </c>
      <c r="D64" s="168" t="s">
        <v>256</v>
      </c>
      <c r="E64" s="168">
        <v>510</v>
      </c>
      <c r="F64" s="126" t="s">
        <v>475</v>
      </c>
      <c r="G64" s="169"/>
      <c r="H64" s="169"/>
      <c r="I64" s="169">
        <v>1217124</v>
      </c>
      <c r="J64" s="172"/>
    </row>
    <row r="65" spans="2:11" ht="15.75" customHeight="1" thickBot="1">
      <c r="B65" s="127" t="s">
        <v>257</v>
      </c>
      <c r="C65" s="182" t="s">
        <v>478</v>
      </c>
      <c r="D65" s="168" t="s">
        <v>258</v>
      </c>
      <c r="E65" s="168">
        <v>520</v>
      </c>
      <c r="F65" s="126" t="s">
        <v>477</v>
      </c>
      <c r="G65" s="169"/>
      <c r="H65" s="169"/>
      <c r="I65" s="467">
        <v>5775000</v>
      </c>
      <c r="J65" s="183"/>
    </row>
    <row r="66" spans="2:11" ht="15.75" customHeight="1" thickBot="1">
      <c r="B66" s="127" t="s">
        <v>259</v>
      </c>
      <c r="C66" s="182" t="s">
        <v>480</v>
      </c>
      <c r="D66" s="168" t="s">
        <v>260</v>
      </c>
      <c r="E66" s="168">
        <v>530</v>
      </c>
      <c r="F66" s="126" t="s">
        <v>479</v>
      </c>
      <c r="G66" s="169"/>
      <c r="H66" s="169"/>
      <c r="I66" s="468"/>
      <c r="J66" s="183"/>
    </row>
    <row r="67" spans="2:11" ht="15.75" customHeight="1" thickBot="1">
      <c r="B67" s="127" t="s">
        <v>261</v>
      </c>
      <c r="C67" s="182" t="s">
        <v>482</v>
      </c>
      <c r="D67" s="168" t="s">
        <v>262</v>
      </c>
      <c r="E67" s="168">
        <v>540</v>
      </c>
      <c r="F67" s="126" t="s">
        <v>481</v>
      </c>
      <c r="G67" s="169"/>
      <c r="H67" s="169"/>
      <c r="I67" s="468"/>
      <c r="J67" s="183"/>
    </row>
    <row r="68" spans="2:11" ht="15.75" customHeight="1" thickBot="1">
      <c r="B68" s="127" t="s">
        <v>263</v>
      </c>
      <c r="C68" s="182" t="s">
        <v>484</v>
      </c>
      <c r="D68" s="168" t="s">
        <v>264</v>
      </c>
      <c r="E68" s="168">
        <v>550</v>
      </c>
      <c r="F68" s="126" t="s">
        <v>483</v>
      </c>
      <c r="G68" s="169"/>
      <c r="H68" s="169"/>
      <c r="I68" s="469"/>
      <c r="J68" s="183"/>
    </row>
    <row r="69" spans="2:11" ht="15.75" thickBot="1">
      <c r="B69" s="127"/>
      <c r="D69" s="168"/>
      <c r="E69" s="168"/>
      <c r="F69" s="126"/>
      <c r="G69" s="169"/>
      <c r="H69" s="169"/>
      <c r="I69" s="170"/>
      <c r="J69" s="171"/>
    </row>
    <row r="70" spans="2:11" ht="15.75" thickBot="1">
      <c r="B70" s="127"/>
      <c r="D70" s="168"/>
      <c r="E70" s="168"/>
      <c r="F70" s="126"/>
      <c r="G70" s="169"/>
      <c r="H70" s="169"/>
      <c r="I70" s="184">
        <f>SUM(I62:I69)</f>
        <v>9958201</v>
      </c>
      <c r="J70" s="185"/>
    </row>
    <row r="71" spans="2:11" ht="15.75" customHeight="1" thickBot="1">
      <c r="B71" s="127"/>
      <c r="D71" s="168"/>
      <c r="E71" s="168"/>
      <c r="F71" s="126"/>
      <c r="G71" s="169"/>
      <c r="H71" s="169"/>
      <c r="I71" s="186"/>
      <c r="J71" s="187"/>
    </row>
    <row r="72" spans="2:11" ht="15.75" customHeight="1" thickBot="1">
      <c r="B72" s="127"/>
      <c r="D72" s="168"/>
      <c r="E72" s="168"/>
      <c r="F72" s="126"/>
      <c r="G72" s="169"/>
      <c r="H72" s="169"/>
      <c r="I72" s="188">
        <f>SUM(I10:I71)</f>
        <v>249608763</v>
      </c>
      <c r="J72" s="185"/>
    </row>
    <row r="73" spans="2:11" ht="15.75" customHeight="1" thickBot="1">
      <c r="B73" s="132" t="s">
        <v>485</v>
      </c>
      <c r="D73" s="189"/>
      <c r="E73" s="189">
        <v>380</v>
      </c>
      <c r="F73" s="120" t="s">
        <v>486</v>
      </c>
      <c r="G73" s="190"/>
      <c r="H73" s="190"/>
      <c r="I73" s="190"/>
      <c r="J73" s="191"/>
    </row>
    <row r="74" spans="2:11" ht="15.75" customHeight="1" thickBot="1">
      <c r="B74" s="127"/>
      <c r="D74" s="168"/>
      <c r="E74" s="168"/>
      <c r="F74" s="126"/>
      <c r="G74" s="169"/>
      <c r="H74" s="169"/>
      <c r="I74" s="170"/>
      <c r="J74" s="171"/>
    </row>
    <row r="75" spans="2:11" ht="18.75" customHeight="1" thickBot="1">
      <c r="B75" s="127" t="s">
        <v>487</v>
      </c>
      <c r="C75" s="182" t="s">
        <v>490</v>
      </c>
      <c r="D75" s="168" t="s">
        <v>488</v>
      </c>
      <c r="E75" s="168">
        <v>390</v>
      </c>
      <c r="F75" s="126" t="s">
        <v>489</v>
      </c>
      <c r="G75" s="169"/>
      <c r="H75" s="169"/>
      <c r="I75" s="170"/>
      <c r="J75" s="171"/>
      <c r="K75" s="192"/>
    </row>
    <row r="76" spans="2:11" ht="20.25" customHeight="1" thickBot="1">
      <c r="B76" s="127" t="s">
        <v>491</v>
      </c>
      <c r="C76" s="193">
        <v>104952</v>
      </c>
      <c r="D76" s="168" t="s">
        <v>492</v>
      </c>
      <c r="E76" s="168">
        <v>400</v>
      </c>
      <c r="F76" s="126" t="s">
        <v>493</v>
      </c>
      <c r="G76" s="169"/>
      <c r="H76" s="169"/>
      <c r="I76" s="170"/>
      <c r="J76" s="171"/>
      <c r="K76" s="194"/>
    </row>
    <row r="77" spans="2:11" ht="17.25" customHeight="1" thickBot="1">
      <c r="B77" s="127" t="s">
        <v>494</v>
      </c>
      <c r="C77" s="182" t="s">
        <v>497</v>
      </c>
      <c r="D77" s="168" t="s">
        <v>495</v>
      </c>
      <c r="E77" s="168">
        <v>410</v>
      </c>
      <c r="F77" s="126" t="s">
        <v>496</v>
      </c>
      <c r="G77" s="169"/>
      <c r="H77" s="169"/>
      <c r="I77" s="170"/>
      <c r="J77" s="171"/>
      <c r="K77" s="192"/>
    </row>
    <row r="78" spans="2:11" ht="19.5" customHeight="1" thickBot="1">
      <c r="B78" s="127" t="s">
        <v>498</v>
      </c>
      <c r="C78" s="182" t="s">
        <v>501</v>
      </c>
      <c r="D78" s="168" t="s">
        <v>499</v>
      </c>
      <c r="E78" s="168">
        <v>420</v>
      </c>
      <c r="F78" s="126" t="s">
        <v>500</v>
      </c>
      <c r="G78" s="169"/>
      <c r="H78" s="169"/>
      <c r="I78" s="170"/>
      <c r="J78" s="171"/>
      <c r="K78" s="192"/>
    </row>
    <row r="79" spans="2:11" ht="15.75" customHeight="1" thickBot="1">
      <c r="B79" s="127" t="s">
        <v>502</v>
      </c>
      <c r="C79" s="182" t="s">
        <v>505</v>
      </c>
      <c r="D79" s="168" t="s">
        <v>503</v>
      </c>
      <c r="E79" s="168">
        <v>430</v>
      </c>
      <c r="F79" s="126" t="s">
        <v>504</v>
      </c>
      <c r="G79" s="169"/>
      <c r="H79" s="169"/>
      <c r="I79" s="170"/>
      <c r="J79" s="171"/>
      <c r="K79" s="192"/>
    </row>
    <row r="80" spans="2:11" ht="15.75" customHeight="1" thickBot="1">
      <c r="B80" s="127" t="s">
        <v>506</v>
      </c>
      <c r="C80" s="182" t="s">
        <v>509</v>
      </c>
      <c r="D80" s="168" t="s">
        <v>507</v>
      </c>
      <c r="E80" s="168">
        <v>440</v>
      </c>
      <c r="F80" s="126" t="s">
        <v>508</v>
      </c>
      <c r="G80" s="169"/>
      <c r="H80" s="169"/>
      <c r="I80" s="170"/>
      <c r="J80" s="171"/>
      <c r="K80" s="192"/>
    </row>
    <row r="81" spans="2:11" ht="15.75" customHeight="1" thickBot="1">
      <c r="B81" s="127" t="s">
        <v>510</v>
      </c>
      <c r="C81" s="182" t="s">
        <v>513</v>
      </c>
      <c r="D81" s="168" t="s">
        <v>511</v>
      </c>
      <c r="E81" s="168">
        <v>450</v>
      </c>
      <c r="F81" s="126" t="s">
        <v>512</v>
      </c>
      <c r="G81" s="169"/>
      <c r="H81" s="169"/>
      <c r="I81" s="195"/>
      <c r="J81" s="171"/>
      <c r="K81" s="192"/>
    </row>
    <row r="82" spans="2:11" ht="21.75" customHeight="1" thickBot="1">
      <c r="B82" s="127" t="s">
        <v>514</v>
      </c>
      <c r="C82" s="182" t="s">
        <v>517</v>
      </c>
      <c r="D82" s="168" t="s">
        <v>515</v>
      </c>
      <c r="E82" s="168">
        <v>460</v>
      </c>
      <c r="F82" s="126" t="s">
        <v>516</v>
      </c>
      <c r="G82" s="169"/>
      <c r="H82" s="169"/>
      <c r="I82" s="186">
        <v>7994676</v>
      </c>
      <c r="J82" s="187"/>
      <c r="K82" s="192"/>
    </row>
    <row r="83" spans="2:11" ht="15.75" customHeight="1" thickBot="1">
      <c r="B83" s="127" t="s">
        <v>518</v>
      </c>
      <c r="C83" s="182" t="s">
        <v>521</v>
      </c>
      <c r="D83" s="168" t="s">
        <v>519</v>
      </c>
      <c r="E83" s="168">
        <v>470</v>
      </c>
      <c r="F83" s="126" t="s">
        <v>520</v>
      </c>
      <c r="G83" s="169"/>
      <c r="H83" s="169"/>
      <c r="I83" s="186">
        <v>14854762</v>
      </c>
      <c r="J83" s="187"/>
      <c r="K83" s="192"/>
    </row>
    <row r="84" spans="2:11" ht="15.75" customHeight="1" thickBot="1">
      <c r="B84" s="127"/>
      <c r="D84" s="168"/>
      <c r="E84" s="168"/>
      <c r="F84" s="126"/>
      <c r="G84" s="169"/>
      <c r="H84" s="169"/>
      <c r="I84" s="196"/>
      <c r="J84" s="197"/>
    </row>
    <row r="85" spans="2:11" ht="15.75" customHeight="1" thickBot="1">
      <c r="B85" s="127"/>
      <c r="D85" s="168"/>
      <c r="E85" s="168"/>
      <c r="F85" s="126"/>
      <c r="G85" s="169"/>
      <c r="H85" s="169"/>
      <c r="I85" s="188">
        <f>SUM(I74:I83)</f>
        <v>22849438</v>
      </c>
      <c r="J85" s="185"/>
    </row>
    <row r="86" spans="2:11" ht="15.75" customHeight="1" thickBot="1">
      <c r="B86" s="127"/>
      <c r="D86" s="168"/>
      <c r="E86" s="168"/>
      <c r="F86" s="126"/>
      <c r="G86" s="169"/>
      <c r="H86" s="169"/>
      <c r="I86" s="198"/>
      <c r="J86" s="171"/>
    </row>
    <row r="87" spans="2:11">
      <c r="I87" s="199"/>
      <c r="J87" s="199"/>
    </row>
    <row r="88" spans="2:11" ht="13.5" thickBot="1">
      <c r="F88" s="79" t="s">
        <v>22</v>
      </c>
      <c r="G88" s="200">
        <f>SUM(G10:G87)</f>
        <v>63103807</v>
      </c>
      <c r="H88" s="200">
        <f>SUM(H10:H87)</f>
        <v>40431414</v>
      </c>
      <c r="I88" s="200">
        <f>I70+I85+I72</f>
        <v>282416402</v>
      </c>
      <c r="J88" s="187"/>
    </row>
    <row r="89" spans="2:11" ht="13.5" thickTop="1"/>
    <row r="91" spans="2:11">
      <c r="G91" s="199">
        <v>63103807</v>
      </c>
      <c r="H91" s="199">
        <v>40431414</v>
      </c>
      <c r="I91" s="199">
        <v>262500000</v>
      </c>
      <c r="J91" s="199"/>
    </row>
    <row r="92" spans="2:11">
      <c r="G92" s="199">
        <f>G88-G91</f>
        <v>0</v>
      </c>
      <c r="H92" s="199">
        <f>H88-H91</f>
        <v>0</v>
      </c>
      <c r="I92" s="199">
        <f>I88-I91</f>
        <v>19916402</v>
      </c>
      <c r="J92" s="199"/>
    </row>
    <row r="95" spans="2:11">
      <c r="F95" s="201"/>
      <c r="G95" s="202"/>
    </row>
    <row r="96" spans="2:11">
      <c r="F96" s="201"/>
      <c r="G96" s="202"/>
    </row>
    <row r="97" spans="6:7">
      <c r="F97" s="201"/>
      <c r="G97" s="202"/>
    </row>
    <row r="98" spans="6:7">
      <c r="F98" s="201"/>
      <c r="G98" s="202"/>
    </row>
    <row r="99" spans="6:7">
      <c r="F99" s="201"/>
      <c r="G99" s="202"/>
    </row>
    <row r="100" spans="6:7">
      <c r="F100" s="201"/>
      <c r="G100" s="202"/>
    </row>
    <row r="101" spans="6:7">
      <c r="F101" s="201"/>
      <c r="G101" s="203"/>
    </row>
  </sheetData>
  <mergeCells count="4">
    <mergeCell ref="B6:B7"/>
    <mergeCell ref="G6:G7"/>
    <mergeCell ref="H6:H7"/>
    <mergeCell ref="I65:I68"/>
  </mergeCells>
  <hyperlinks>
    <hyperlink ref="I1" location="Index!A1" display="Return to Index"/>
  </hyperlinks>
  <pageMargins left="0.2" right="0.2" top="0.5" bottom="0.5" header="0.3" footer="0.3"/>
  <pageSetup scale="89" orientation="landscape" horizontalDpi="1200" verticalDpi="1200" r:id="rId1"/>
  <rowBreaks count="1" manualBreakCount="1">
    <brk id="41" max="16383" man="1"/>
  </rowBreak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2"/>
  <sheetViews>
    <sheetView showGridLines="0" zoomScale="90" zoomScaleNormal="90" workbookViewId="0">
      <pane xSplit="2" ySplit="4" topLeftCell="J36" activePane="bottomRight" state="frozen"/>
      <selection pane="topRight" activeCell="C1" sqref="C1"/>
      <selection pane="bottomLeft" activeCell="A5" sqref="A5"/>
      <selection pane="bottomRight" activeCell="O61" sqref="O61"/>
    </sheetView>
  </sheetViews>
  <sheetFormatPr defaultColWidth="12.5703125" defaultRowHeight="12.75"/>
  <cols>
    <col min="1" max="1" width="12.5703125" style="271"/>
    <col min="2" max="2" width="56.28515625" style="307" customWidth="1"/>
    <col min="3" max="5" width="9.140625" style="291" customWidth="1"/>
    <col min="6" max="6" width="10.7109375" style="291" customWidth="1"/>
    <col min="7" max="8" width="12.7109375" style="291" customWidth="1"/>
    <col min="9" max="9" width="3.85546875" style="307" customWidth="1"/>
    <col min="10" max="10" width="12.5703125" style="290"/>
    <col min="11" max="11" width="12.140625" style="290" customWidth="1"/>
    <col min="12" max="12" width="10.42578125" style="296" customWidth="1"/>
    <col min="13" max="14" width="12.5703125" style="307" customWidth="1"/>
    <col min="15" max="15" width="12.5703125" style="429"/>
    <col min="16" max="255" width="12.5703125" style="307" customWidth="1"/>
    <col min="256" max="257" width="12.5703125" style="307"/>
    <col min="258" max="258" width="37.28515625" style="307" customWidth="1"/>
    <col min="259" max="261" width="9.140625" style="307" customWidth="1"/>
    <col min="262" max="262" width="10.7109375" style="307" customWidth="1"/>
    <col min="263" max="264" width="12.7109375" style="307" customWidth="1"/>
    <col min="265" max="511" width="12.5703125" style="307" customWidth="1"/>
    <col min="512" max="513" width="12.5703125" style="307"/>
    <col min="514" max="514" width="37.28515625" style="307" customWidth="1"/>
    <col min="515" max="517" width="9.140625" style="307" customWidth="1"/>
    <col min="518" max="518" width="10.7109375" style="307" customWidth="1"/>
    <col min="519" max="520" width="12.7109375" style="307" customWidth="1"/>
    <col min="521" max="767" width="12.5703125" style="307" customWidth="1"/>
    <col min="768" max="769" width="12.5703125" style="307"/>
    <col min="770" max="770" width="37.28515625" style="307" customWidth="1"/>
    <col min="771" max="773" width="9.140625" style="307" customWidth="1"/>
    <col min="774" max="774" width="10.7109375" style="307" customWidth="1"/>
    <col min="775" max="776" width="12.7109375" style="307" customWidth="1"/>
    <col min="777" max="1023" width="12.5703125" style="307" customWidth="1"/>
    <col min="1024" max="1025" width="12.5703125" style="307"/>
    <col min="1026" max="1026" width="37.28515625" style="307" customWidth="1"/>
    <col min="1027" max="1029" width="9.140625" style="307" customWidth="1"/>
    <col min="1030" max="1030" width="10.7109375" style="307" customWidth="1"/>
    <col min="1031" max="1032" width="12.7109375" style="307" customWidth="1"/>
    <col min="1033" max="1279" width="12.5703125" style="307" customWidth="1"/>
    <col min="1280" max="1281" width="12.5703125" style="307"/>
    <col min="1282" max="1282" width="37.28515625" style="307" customWidth="1"/>
    <col min="1283" max="1285" width="9.140625" style="307" customWidth="1"/>
    <col min="1286" max="1286" width="10.7109375" style="307" customWidth="1"/>
    <col min="1287" max="1288" width="12.7109375" style="307" customWidth="1"/>
    <col min="1289" max="1535" width="12.5703125" style="307" customWidth="1"/>
    <col min="1536" max="1537" width="12.5703125" style="307"/>
    <col min="1538" max="1538" width="37.28515625" style="307" customWidth="1"/>
    <col min="1539" max="1541" width="9.140625" style="307" customWidth="1"/>
    <col min="1542" max="1542" width="10.7109375" style="307" customWidth="1"/>
    <col min="1543" max="1544" width="12.7109375" style="307" customWidth="1"/>
    <col min="1545" max="1791" width="12.5703125" style="307" customWidth="1"/>
    <col min="1792" max="1793" width="12.5703125" style="307"/>
    <col min="1794" max="1794" width="37.28515625" style="307" customWidth="1"/>
    <col min="1795" max="1797" width="9.140625" style="307" customWidth="1"/>
    <col min="1798" max="1798" width="10.7109375" style="307" customWidth="1"/>
    <col min="1799" max="1800" width="12.7109375" style="307" customWidth="1"/>
    <col min="1801" max="2047" width="12.5703125" style="307" customWidth="1"/>
    <col min="2048" max="2049" width="12.5703125" style="307"/>
    <col min="2050" max="2050" width="37.28515625" style="307" customWidth="1"/>
    <col min="2051" max="2053" width="9.140625" style="307" customWidth="1"/>
    <col min="2054" max="2054" width="10.7109375" style="307" customWidth="1"/>
    <col min="2055" max="2056" width="12.7109375" style="307" customWidth="1"/>
    <col min="2057" max="2303" width="12.5703125" style="307" customWidth="1"/>
    <col min="2304" max="2305" width="12.5703125" style="307"/>
    <col min="2306" max="2306" width="37.28515625" style="307" customWidth="1"/>
    <col min="2307" max="2309" width="9.140625" style="307" customWidth="1"/>
    <col min="2310" max="2310" width="10.7109375" style="307" customWidth="1"/>
    <col min="2311" max="2312" width="12.7109375" style="307" customWidth="1"/>
    <col min="2313" max="2559" width="12.5703125" style="307" customWidth="1"/>
    <col min="2560" max="2561" width="12.5703125" style="307"/>
    <col min="2562" max="2562" width="37.28515625" style="307" customWidth="1"/>
    <col min="2563" max="2565" width="9.140625" style="307" customWidth="1"/>
    <col min="2566" max="2566" width="10.7109375" style="307" customWidth="1"/>
    <col min="2567" max="2568" width="12.7109375" style="307" customWidth="1"/>
    <col min="2569" max="2815" width="12.5703125" style="307" customWidth="1"/>
    <col min="2816" max="2817" width="12.5703125" style="307"/>
    <col min="2818" max="2818" width="37.28515625" style="307" customWidth="1"/>
    <col min="2819" max="2821" width="9.140625" style="307" customWidth="1"/>
    <col min="2822" max="2822" width="10.7109375" style="307" customWidth="1"/>
    <col min="2823" max="2824" width="12.7109375" style="307" customWidth="1"/>
    <col min="2825" max="3071" width="12.5703125" style="307" customWidth="1"/>
    <col min="3072" max="3073" width="12.5703125" style="307"/>
    <col min="3074" max="3074" width="37.28515625" style="307" customWidth="1"/>
    <col min="3075" max="3077" width="9.140625" style="307" customWidth="1"/>
    <col min="3078" max="3078" width="10.7109375" style="307" customWidth="1"/>
    <col min="3079" max="3080" width="12.7109375" style="307" customWidth="1"/>
    <col min="3081" max="3327" width="12.5703125" style="307" customWidth="1"/>
    <col min="3328" max="3329" width="12.5703125" style="307"/>
    <col min="3330" max="3330" width="37.28515625" style="307" customWidth="1"/>
    <col min="3331" max="3333" width="9.140625" style="307" customWidth="1"/>
    <col min="3334" max="3334" width="10.7109375" style="307" customWidth="1"/>
    <col min="3335" max="3336" width="12.7109375" style="307" customWidth="1"/>
    <col min="3337" max="3583" width="12.5703125" style="307" customWidth="1"/>
    <col min="3584" max="3585" width="12.5703125" style="307"/>
    <col min="3586" max="3586" width="37.28515625" style="307" customWidth="1"/>
    <col min="3587" max="3589" width="9.140625" style="307" customWidth="1"/>
    <col min="3590" max="3590" width="10.7109375" style="307" customWidth="1"/>
    <col min="3591" max="3592" width="12.7109375" style="307" customWidth="1"/>
    <col min="3593" max="3839" width="12.5703125" style="307" customWidth="1"/>
    <col min="3840" max="3841" width="12.5703125" style="307"/>
    <col min="3842" max="3842" width="37.28515625" style="307" customWidth="1"/>
    <col min="3843" max="3845" width="9.140625" style="307" customWidth="1"/>
    <col min="3846" max="3846" width="10.7109375" style="307" customWidth="1"/>
    <col min="3847" max="3848" width="12.7109375" style="307" customWidth="1"/>
    <col min="3849" max="4095" width="12.5703125" style="307" customWidth="1"/>
    <col min="4096" max="4097" width="12.5703125" style="307"/>
    <col min="4098" max="4098" width="37.28515625" style="307" customWidth="1"/>
    <col min="4099" max="4101" width="9.140625" style="307" customWidth="1"/>
    <col min="4102" max="4102" width="10.7109375" style="307" customWidth="1"/>
    <col min="4103" max="4104" width="12.7109375" style="307" customWidth="1"/>
    <col min="4105" max="4351" width="12.5703125" style="307" customWidth="1"/>
    <col min="4352" max="4353" width="12.5703125" style="307"/>
    <col min="4354" max="4354" width="37.28515625" style="307" customWidth="1"/>
    <col min="4355" max="4357" width="9.140625" style="307" customWidth="1"/>
    <col min="4358" max="4358" width="10.7109375" style="307" customWidth="1"/>
    <col min="4359" max="4360" width="12.7109375" style="307" customWidth="1"/>
    <col min="4361" max="4607" width="12.5703125" style="307" customWidth="1"/>
    <col min="4608" max="4609" width="12.5703125" style="307"/>
    <col min="4610" max="4610" width="37.28515625" style="307" customWidth="1"/>
    <col min="4611" max="4613" width="9.140625" style="307" customWidth="1"/>
    <col min="4614" max="4614" width="10.7109375" style="307" customWidth="1"/>
    <col min="4615" max="4616" width="12.7109375" style="307" customWidth="1"/>
    <col min="4617" max="4863" width="12.5703125" style="307" customWidth="1"/>
    <col min="4864" max="4865" width="12.5703125" style="307"/>
    <col min="4866" max="4866" width="37.28515625" style="307" customWidth="1"/>
    <col min="4867" max="4869" width="9.140625" style="307" customWidth="1"/>
    <col min="4870" max="4870" width="10.7109375" style="307" customWidth="1"/>
    <col min="4871" max="4872" width="12.7109375" style="307" customWidth="1"/>
    <col min="4873" max="5119" width="12.5703125" style="307" customWidth="1"/>
    <col min="5120" max="5121" width="12.5703125" style="307"/>
    <col min="5122" max="5122" width="37.28515625" style="307" customWidth="1"/>
    <col min="5123" max="5125" width="9.140625" style="307" customWidth="1"/>
    <col min="5126" max="5126" width="10.7109375" style="307" customWidth="1"/>
    <col min="5127" max="5128" width="12.7109375" style="307" customWidth="1"/>
    <col min="5129" max="5375" width="12.5703125" style="307" customWidth="1"/>
    <col min="5376" max="5377" width="12.5703125" style="307"/>
    <col min="5378" max="5378" width="37.28515625" style="307" customWidth="1"/>
    <col min="5379" max="5381" width="9.140625" style="307" customWidth="1"/>
    <col min="5382" max="5382" width="10.7109375" style="307" customWidth="1"/>
    <col min="5383" max="5384" width="12.7109375" style="307" customWidth="1"/>
    <col min="5385" max="5631" width="12.5703125" style="307" customWidth="1"/>
    <col min="5632" max="5633" width="12.5703125" style="307"/>
    <col min="5634" max="5634" width="37.28515625" style="307" customWidth="1"/>
    <col min="5635" max="5637" width="9.140625" style="307" customWidth="1"/>
    <col min="5638" max="5638" width="10.7109375" style="307" customWidth="1"/>
    <col min="5639" max="5640" width="12.7109375" style="307" customWidth="1"/>
    <col min="5641" max="5887" width="12.5703125" style="307" customWidth="1"/>
    <col min="5888" max="5889" width="12.5703125" style="307"/>
    <col min="5890" max="5890" width="37.28515625" style="307" customWidth="1"/>
    <col min="5891" max="5893" width="9.140625" style="307" customWidth="1"/>
    <col min="5894" max="5894" width="10.7109375" style="307" customWidth="1"/>
    <col min="5895" max="5896" width="12.7109375" style="307" customWidth="1"/>
    <col min="5897" max="6143" width="12.5703125" style="307" customWidth="1"/>
    <col min="6144" max="6145" width="12.5703125" style="307"/>
    <col min="6146" max="6146" width="37.28515625" style="307" customWidth="1"/>
    <col min="6147" max="6149" width="9.140625" style="307" customWidth="1"/>
    <col min="6150" max="6150" width="10.7109375" style="307" customWidth="1"/>
    <col min="6151" max="6152" width="12.7109375" style="307" customWidth="1"/>
    <col min="6153" max="6399" width="12.5703125" style="307" customWidth="1"/>
    <col min="6400" max="6401" width="12.5703125" style="307"/>
    <col min="6402" max="6402" width="37.28515625" style="307" customWidth="1"/>
    <col min="6403" max="6405" width="9.140625" style="307" customWidth="1"/>
    <col min="6406" max="6406" width="10.7109375" style="307" customWidth="1"/>
    <col min="6407" max="6408" width="12.7109375" style="307" customWidth="1"/>
    <col min="6409" max="6655" width="12.5703125" style="307" customWidth="1"/>
    <col min="6656" max="6657" width="12.5703125" style="307"/>
    <col min="6658" max="6658" width="37.28515625" style="307" customWidth="1"/>
    <col min="6659" max="6661" width="9.140625" style="307" customWidth="1"/>
    <col min="6662" max="6662" width="10.7109375" style="307" customWidth="1"/>
    <col min="6663" max="6664" width="12.7109375" style="307" customWidth="1"/>
    <col min="6665" max="6911" width="12.5703125" style="307" customWidth="1"/>
    <col min="6912" max="6913" width="12.5703125" style="307"/>
    <col min="6914" max="6914" width="37.28515625" style="307" customWidth="1"/>
    <col min="6915" max="6917" width="9.140625" style="307" customWidth="1"/>
    <col min="6918" max="6918" width="10.7109375" style="307" customWidth="1"/>
    <col min="6919" max="6920" width="12.7109375" style="307" customWidth="1"/>
    <col min="6921" max="7167" width="12.5703125" style="307" customWidth="1"/>
    <col min="7168" max="7169" width="12.5703125" style="307"/>
    <col min="7170" max="7170" width="37.28515625" style="307" customWidth="1"/>
    <col min="7171" max="7173" width="9.140625" style="307" customWidth="1"/>
    <col min="7174" max="7174" width="10.7109375" style="307" customWidth="1"/>
    <col min="7175" max="7176" width="12.7109375" style="307" customWidth="1"/>
    <col min="7177" max="7423" width="12.5703125" style="307" customWidth="1"/>
    <col min="7424" max="7425" width="12.5703125" style="307"/>
    <col min="7426" max="7426" width="37.28515625" style="307" customWidth="1"/>
    <col min="7427" max="7429" width="9.140625" style="307" customWidth="1"/>
    <col min="7430" max="7430" width="10.7109375" style="307" customWidth="1"/>
    <col min="7431" max="7432" width="12.7109375" style="307" customWidth="1"/>
    <col min="7433" max="7679" width="12.5703125" style="307" customWidth="1"/>
    <col min="7680" max="7681" width="12.5703125" style="307"/>
    <col min="7682" max="7682" width="37.28515625" style="307" customWidth="1"/>
    <col min="7683" max="7685" width="9.140625" style="307" customWidth="1"/>
    <col min="7686" max="7686" width="10.7109375" style="307" customWidth="1"/>
    <col min="7687" max="7688" width="12.7109375" style="307" customWidth="1"/>
    <col min="7689" max="7935" width="12.5703125" style="307" customWidth="1"/>
    <col min="7936" max="7937" width="12.5703125" style="307"/>
    <col min="7938" max="7938" width="37.28515625" style="307" customWidth="1"/>
    <col min="7939" max="7941" width="9.140625" style="307" customWidth="1"/>
    <col min="7942" max="7942" width="10.7109375" style="307" customWidth="1"/>
    <col min="7943" max="7944" width="12.7109375" style="307" customWidth="1"/>
    <col min="7945" max="8191" width="12.5703125" style="307" customWidth="1"/>
    <col min="8192" max="8193" width="12.5703125" style="307"/>
    <col min="8194" max="8194" width="37.28515625" style="307" customWidth="1"/>
    <col min="8195" max="8197" width="9.140625" style="307" customWidth="1"/>
    <col min="8198" max="8198" width="10.7109375" style="307" customWidth="1"/>
    <col min="8199" max="8200" width="12.7109375" style="307" customWidth="1"/>
    <col min="8201" max="8447" width="12.5703125" style="307" customWidth="1"/>
    <col min="8448" max="8449" width="12.5703125" style="307"/>
    <col min="8450" max="8450" width="37.28515625" style="307" customWidth="1"/>
    <col min="8451" max="8453" width="9.140625" style="307" customWidth="1"/>
    <col min="8454" max="8454" width="10.7109375" style="307" customWidth="1"/>
    <col min="8455" max="8456" width="12.7109375" style="307" customWidth="1"/>
    <col min="8457" max="8703" width="12.5703125" style="307" customWidth="1"/>
    <col min="8704" max="8705" width="12.5703125" style="307"/>
    <col min="8706" max="8706" width="37.28515625" style="307" customWidth="1"/>
    <col min="8707" max="8709" width="9.140625" style="307" customWidth="1"/>
    <col min="8710" max="8710" width="10.7109375" style="307" customWidth="1"/>
    <col min="8711" max="8712" width="12.7109375" style="307" customWidth="1"/>
    <col min="8713" max="8959" width="12.5703125" style="307" customWidth="1"/>
    <col min="8960" max="8961" width="12.5703125" style="307"/>
    <col min="8962" max="8962" width="37.28515625" style="307" customWidth="1"/>
    <col min="8963" max="8965" width="9.140625" style="307" customWidth="1"/>
    <col min="8966" max="8966" width="10.7109375" style="307" customWidth="1"/>
    <col min="8967" max="8968" width="12.7109375" style="307" customWidth="1"/>
    <col min="8969" max="9215" width="12.5703125" style="307" customWidth="1"/>
    <col min="9216" max="9217" width="12.5703125" style="307"/>
    <col min="9218" max="9218" width="37.28515625" style="307" customWidth="1"/>
    <col min="9219" max="9221" width="9.140625" style="307" customWidth="1"/>
    <col min="9222" max="9222" width="10.7109375" style="307" customWidth="1"/>
    <col min="9223" max="9224" width="12.7109375" style="307" customWidth="1"/>
    <col min="9225" max="9471" width="12.5703125" style="307" customWidth="1"/>
    <col min="9472" max="9473" width="12.5703125" style="307"/>
    <col min="9474" max="9474" width="37.28515625" style="307" customWidth="1"/>
    <col min="9475" max="9477" width="9.140625" style="307" customWidth="1"/>
    <col min="9478" max="9478" width="10.7109375" style="307" customWidth="1"/>
    <col min="9479" max="9480" width="12.7109375" style="307" customWidth="1"/>
    <col min="9481" max="9727" width="12.5703125" style="307" customWidth="1"/>
    <col min="9728" max="9729" width="12.5703125" style="307"/>
    <col min="9730" max="9730" width="37.28515625" style="307" customWidth="1"/>
    <col min="9731" max="9733" width="9.140625" style="307" customWidth="1"/>
    <col min="9734" max="9734" width="10.7109375" style="307" customWidth="1"/>
    <col min="9735" max="9736" width="12.7109375" style="307" customWidth="1"/>
    <col min="9737" max="9983" width="12.5703125" style="307" customWidth="1"/>
    <col min="9984" max="9985" width="12.5703125" style="307"/>
    <col min="9986" max="9986" width="37.28515625" style="307" customWidth="1"/>
    <col min="9987" max="9989" width="9.140625" style="307" customWidth="1"/>
    <col min="9990" max="9990" width="10.7109375" style="307" customWidth="1"/>
    <col min="9991" max="9992" width="12.7109375" style="307" customWidth="1"/>
    <col min="9993" max="10239" width="12.5703125" style="307" customWidth="1"/>
    <col min="10240" max="10241" width="12.5703125" style="307"/>
    <col min="10242" max="10242" width="37.28515625" style="307" customWidth="1"/>
    <col min="10243" max="10245" width="9.140625" style="307" customWidth="1"/>
    <col min="10246" max="10246" width="10.7109375" style="307" customWidth="1"/>
    <col min="10247" max="10248" width="12.7109375" style="307" customWidth="1"/>
    <col min="10249" max="10495" width="12.5703125" style="307" customWidth="1"/>
    <col min="10496" max="10497" width="12.5703125" style="307"/>
    <col min="10498" max="10498" width="37.28515625" style="307" customWidth="1"/>
    <col min="10499" max="10501" width="9.140625" style="307" customWidth="1"/>
    <col min="10502" max="10502" width="10.7109375" style="307" customWidth="1"/>
    <col min="10503" max="10504" width="12.7109375" style="307" customWidth="1"/>
    <col min="10505" max="10751" width="12.5703125" style="307" customWidth="1"/>
    <col min="10752" max="10753" width="12.5703125" style="307"/>
    <col min="10754" max="10754" width="37.28515625" style="307" customWidth="1"/>
    <col min="10755" max="10757" width="9.140625" style="307" customWidth="1"/>
    <col min="10758" max="10758" width="10.7109375" style="307" customWidth="1"/>
    <col min="10759" max="10760" width="12.7109375" style="307" customWidth="1"/>
    <col min="10761" max="11007" width="12.5703125" style="307" customWidth="1"/>
    <col min="11008" max="11009" width="12.5703125" style="307"/>
    <col min="11010" max="11010" width="37.28515625" style="307" customWidth="1"/>
    <col min="11011" max="11013" width="9.140625" style="307" customWidth="1"/>
    <col min="11014" max="11014" width="10.7109375" style="307" customWidth="1"/>
    <col min="11015" max="11016" width="12.7109375" style="307" customWidth="1"/>
    <col min="11017" max="11263" width="12.5703125" style="307" customWidth="1"/>
    <col min="11264" max="11265" width="12.5703125" style="307"/>
    <col min="11266" max="11266" width="37.28515625" style="307" customWidth="1"/>
    <col min="11267" max="11269" width="9.140625" style="307" customWidth="1"/>
    <col min="11270" max="11270" width="10.7109375" style="307" customWidth="1"/>
    <col min="11271" max="11272" width="12.7109375" style="307" customWidth="1"/>
    <col min="11273" max="11519" width="12.5703125" style="307" customWidth="1"/>
    <col min="11520" max="11521" width="12.5703125" style="307"/>
    <col min="11522" max="11522" width="37.28515625" style="307" customWidth="1"/>
    <col min="11523" max="11525" width="9.140625" style="307" customWidth="1"/>
    <col min="11526" max="11526" width="10.7109375" style="307" customWidth="1"/>
    <col min="11527" max="11528" width="12.7109375" style="307" customWidth="1"/>
    <col min="11529" max="11775" width="12.5703125" style="307" customWidth="1"/>
    <col min="11776" max="11777" width="12.5703125" style="307"/>
    <col min="11778" max="11778" width="37.28515625" style="307" customWidth="1"/>
    <col min="11779" max="11781" width="9.140625" style="307" customWidth="1"/>
    <col min="11782" max="11782" width="10.7109375" style="307" customWidth="1"/>
    <col min="11783" max="11784" width="12.7109375" style="307" customWidth="1"/>
    <col min="11785" max="12031" width="12.5703125" style="307" customWidth="1"/>
    <col min="12032" max="12033" width="12.5703125" style="307"/>
    <col min="12034" max="12034" width="37.28515625" style="307" customWidth="1"/>
    <col min="12035" max="12037" width="9.140625" style="307" customWidth="1"/>
    <col min="12038" max="12038" width="10.7109375" style="307" customWidth="1"/>
    <col min="12039" max="12040" width="12.7109375" style="307" customWidth="1"/>
    <col min="12041" max="12287" width="12.5703125" style="307" customWidth="1"/>
    <col min="12288" max="12289" width="12.5703125" style="307"/>
    <col min="12290" max="12290" width="37.28515625" style="307" customWidth="1"/>
    <col min="12291" max="12293" width="9.140625" style="307" customWidth="1"/>
    <col min="12294" max="12294" width="10.7109375" style="307" customWidth="1"/>
    <col min="12295" max="12296" width="12.7109375" style="307" customWidth="1"/>
    <col min="12297" max="12543" width="12.5703125" style="307" customWidth="1"/>
    <col min="12544" max="12545" width="12.5703125" style="307"/>
    <col min="12546" max="12546" width="37.28515625" style="307" customWidth="1"/>
    <col min="12547" max="12549" width="9.140625" style="307" customWidth="1"/>
    <col min="12550" max="12550" width="10.7109375" style="307" customWidth="1"/>
    <col min="12551" max="12552" width="12.7109375" style="307" customWidth="1"/>
    <col min="12553" max="12799" width="12.5703125" style="307" customWidth="1"/>
    <col min="12800" max="12801" width="12.5703125" style="307"/>
    <col min="12802" max="12802" width="37.28515625" style="307" customWidth="1"/>
    <col min="12803" max="12805" width="9.140625" style="307" customWidth="1"/>
    <col min="12806" max="12806" width="10.7109375" style="307" customWidth="1"/>
    <col min="12807" max="12808" width="12.7109375" style="307" customWidth="1"/>
    <col min="12809" max="13055" width="12.5703125" style="307" customWidth="1"/>
    <col min="13056" max="13057" width="12.5703125" style="307"/>
    <col min="13058" max="13058" width="37.28515625" style="307" customWidth="1"/>
    <col min="13059" max="13061" width="9.140625" style="307" customWidth="1"/>
    <col min="13062" max="13062" width="10.7109375" style="307" customWidth="1"/>
    <col min="13063" max="13064" width="12.7109375" style="307" customWidth="1"/>
    <col min="13065" max="13311" width="12.5703125" style="307" customWidth="1"/>
    <col min="13312" max="13313" width="12.5703125" style="307"/>
    <col min="13314" max="13314" width="37.28515625" style="307" customWidth="1"/>
    <col min="13315" max="13317" width="9.140625" style="307" customWidth="1"/>
    <col min="13318" max="13318" width="10.7109375" style="307" customWidth="1"/>
    <col min="13319" max="13320" width="12.7109375" style="307" customWidth="1"/>
    <col min="13321" max="13567" width="12.5703125" style="307" customWidth="1"/>
    <col min="13568" max="13569" width="12.5703125" style="307"/>
    <col min="13570" max="13570" width="37.28515625" style="307" customWidth="1"/>
    <col min="13571" max="13573" width="9.140625" style="307" customWidth="1"/>
    <col min="13574" max="13574" width="10.7109375" style="307" customWidth="1"/>
    <col min="13575" max="13576" width="12.7109375" style="307" customWidth="1"/>
    <col min="13577" max="13823" width="12.5703125" style="307" customWidth="1"/>
    <col min="13824" max="13825" width="12.5703125" style="307"/>
    <col min="13826" max="13826" width="37.28515625" style="307" customWidth="1"/>
    <col min="13827" max="13829" width="9.140625" style="307" customWidth="1"/>
    <col min="13830" max="13830" width="10.7109375" style="307" customWidth="1"/>
    <col min="13831" max="13832" width="12.7109375" style="307" customWidth="1"/>
    <col min="13833" max="14079" width="12.5703125" style="307" customWidth="1"/>
    <col min="14080" max="14081" width="12.5703125" style="307"/>
    <col min="14082" max="14082" width="37.28515625" style="307" customWidth="1"/>
    <col min="14083" max="14085" width="9.140625" style="307" customWidth="1"/>
    <col min="14086" max="14086" width="10.7109375" style="307" customWidth="1"/>
    <col min="14087" max="14088" width="12.7109375" style="307" customWidth="1"/>
    <col min="14089" max="14335" width="12.5703125" style="307" customWidth="1"/>
    <col min="14336" max="14337" width="12.5703125" style="307"/>
    <col min="14338" max="14338" width="37.28515625" style="307" customWidth="1"/>
    <col min="14339" max="14341" width="9.140625" style="307" customWidth="1"/>
    <col min="14342" max="14342" width="10.7109375" style="307" customWidth="1"/>
    <col min="14343" max="14344" width="12.7109375" style="307" customWidth="1"/>
    <col min="14345" max="14591" width="12.5703125" style="307" customWidth="1"/>
    <col min="14592" max="14593" width="12.5703125" style="307"/>
    <col min="14594" max="14594" width="37.28515625" style="307" customWidth="1"/>
    <col min="14595" max="14597" width="9.140625" style="307" customWidth="1"/>
    <col min="14598" max="14598" width="10.7109375" style="307" customWidth="1"/>
    <col min="14599" max="14600" width="12.7109375" style="307" customWidth="1"/>
    <col min="14601" max="14847" width="12.5703125" style="307" customWidth="1"/>
    <col min="14848" max="14849" width="12.5703125" style="307"/>
    <col min="14850" max="14850" width="37.28515625" style="307" customWidth="1"/>
    <col min="14851" max="14853" width="9.140625" style="307" customWidth="1"/>
    <col min="14854" max="14854" width="10.7109375" style="307" customWidth="1"/>
    <col min="14855" max="14856" width="12.7109375" style="307" customWidth="1"/>
    <col min="14857" max="15103" width="12.5703125" style="307" customWidth="1"/>
    <col min="15104" max="15105" width="12.5703125" style="307"/>
    <col min="15106" max="15106" width="37.28515625" style="307" customWidth="1"/>
    <col min="15107" max="15109" width="9.140625" style="307" customWidth="1"/>
    <col min="15110" max="15110" width="10.7109375" style="307" customWidth="1"/>
    <col min="15111" max="15112" width="12.7109375" style="307" customWidth="1"/>
    <col min="15113" max="15359" width="12.5703125" style="307" customWidth="1"/>
    <col min="15360" max="15361" width="12.5703125" style="307"/>
    <col min="15362" max="15362" width="37.28515625" style="307" customWidth="1"/>
    <col min="15363" max="15365" width="9.140625" style="307" customWidth="1"/>
    <col min="15366" max="15366" width="10.7109375" style="307" customWidth="1"/>
    <col min="15367" max="15368" width="12.7109375" style="307" customWidth="1"/>
    <col min="15369" max="15615" width="12.5703125" style="307" customWidth="1"/>
    <col min="15616" max="15617" width="12.5703125" style="307"/>
    <col min="15618" max="15618" width="37.28515625" style="307" customWidth="1"/>
    <col min="15619" max="15621" width="9.140625" style="307" customWidth="1"/>
    <col min="15622" max="15622" width="10.7109375" style="307" customWidth="1"/>
    <col min="15623" max="15624" width="12.7109375" style="307" customWidth="1"/>
    <col min="15625" max="15871" width="12.5703125" style="307" customWidth="1"/>
    <col min="15872" max="15873" width="12.5703125" style="307"/>
    <col min="15874" max="15874" width="37.28515625" style="307" customWidth="1"/>
    <col min="15875" max="15877" width="9.140625" style="307" customWidth="1"/>
    <col min="15878" max="15878" width="10.7109375" style="307" customWidth="1"/>
    <col min="15879" max="15880" width="12.7109375" style="307" customWidth="1"/>
    <col min="15881" max="16127" width="12.5703125" style="307" customWidth="1"/>
    <col min="16128" max="16129" width="12.5703125" style="307"/>
    <col min="16130" max="16130" width="37.28515625" style="307" customWidth="1"/>
    <col min="16131" max="16133" width="9.140625" style="307" customWidth="1"/>
    <col min="16134" max="16134" width="10.7109375" style="307" customWidth="1"/>
    <col min="16135" max="16136" width="12.7109375" style="307" customWidth="1"/>
    <col min="16137" max="16383" width="12.5703125" style="307" customWidth="1"/>
    <col min="16384" max="16384" width="12.5703125" style="307"/>
  </cols>
  <sheetData>
    <row r="1" spans="1:16" s="272" customFormat="1" ht="15">
      <c r="A1" s="271"/>
      <c r="B1" s="470" t="s">
        <v>578</v>
      </c>
      <c r="C1" s="470"/>
      <c r="D1" s="470"/>
      <c r="E1" s="470"/>
      <c r="F1" s="470"/>
      <c r="G1" s="470"/>
      <c r="H1" s="470"/>
      <c r="J1" s="273" t="s">
        <v>579</v>
      </c>
      <c r="L1" s="274"/>
      <c r="M1" s="275"/>
      <c r="N1" s="275"/>
      <c r="O1" s="425" t="s">
        <v>580</v>
      </c>
      <c r="P1" s="275"/>
    </row>
    <row r="2" spans="1:16" s="272" customFormat="1" ht="15">
      <c r="A2" s="271"/>
      <c r="B2" s="470" t="s">
        <v>581</v>
      </c>
      <c r="C2" s="470"/>
      <c r="D2" s="470"/>
      <c r="E2" s="470"/>
      <c r="F2" s="470"/>
      <c r="G2" s="470"/>
      <c r="H2" s="470"/>
      <c r="K2" s="276" t="s">
        <v>582</v>
      </c>
      <c r="L2" s="277"/>
      <c r="M2" s="433" t="s">
        <v>703</v>
      </c>
      <c r="N2" s="278"/>
      <c r="O2" s="426"/>
      <c r="P2" s="279"/>
    </row>
    <row r="3" spans="1:16" s="271" customFormat="1">
      <c r="A3" s="79" t="s">
        <v>583</v>
      </c>
      <c r="D3" s="280" t="s">
        <v>584</v>
      </c>
      <c r="K3" s="276" t="s">
        <v>585</v>
      </c>
      <c r="L3" s="277"/>
      <c r="M3" s="281" t="s">
        <v>586</v>
      </c>
      <c r="N3" s="281"/>
      <c r="O3" s="427"/>
      <c r="P3" s="281"/>
    </row>
    <row r="4" spans="1:16" s="271" customFormat="1" ht="51.75" customHeight="1">
      <c r="C4" s="282" t="s">
        <v>587</v>
      </c>
      <c r="D4" s="283" t="s">
        <v>588</v>
      </c>
      <c r="E4" s="283" t="s">
        <v>589</v>
      </c>
      <c r="F4" s="283" t="s">
        <v>590</v>
      </c>
      <c r="G4" s="282" t="s">
        <v>591</v>
      </c>
      <c r="H4" s="282" t="s">
        <v>592</v>
      </c>
      <c r="J4" s="284" t="s">
        <v>593</v>
      </c>
      <c r="K4" s="284" t="s">
        <v>593</v>
      </c>
      <c r="L4" s="285" t="s">
        <v>344</v>
      </c>
      <c r="M4" s="286" t="s">
        <v>594</v>
      </c>
      <c r="N4" s="287"/>
      <c r="O4" s="428" t="s">
        <v>595</v>
      </c>
      <c r="P4" s="288"/>
    </row>
    <row r="5" spans="1:16" s="271" customFormat="1">
      <c r="L5" s="280"/>
      <c r="O5" s="429"/>
    </row>
    <row r="6" spans="1:16" s="290" customFormat="1">
      <c r="A6" s="280">
        <v>100</v>
      </c>
      <c r="B6" s="289" t="s">
        <v>487</v>
      </c>
      <c r="H6" s="291"/>
      <c r="J6" s="292"/>
      <c r="L6" s="293" t="s">
        <v>490</v>
      </c>
      <c r="M6" s="294">
        <v>1805.8199999999977</v>
      </c>
      <c r="O6" s="430">
        <v>360.84</v>
      </c>
    </row>
    <row r="7" spans="1:16" s="290" customFormat="1">
      <c r="A7" s="280">
        <v>110</v>
      </c>
      <c r="B7" s="295" t="s">
        <v>596</v>
      </c>
      <c r="C7" s="291">
        <v>0</v>
      </c>
      <c r="D7" s="291">
        <v>6195</v>
      </c>
      <c r="E7" s="291">
        <v>13359</v>
      </c>
      <c r="F7" s="291">
        <v>19554</v>
      </c>
      <c r="G7" s="291">
        <v>0</v>
      </c>
      <c r="H7" s="291">
        <f>SUM((C7/30)+(D7/24)+(E7/18)+G7)</f>
        <v>1000.2916666666666</v>
      </c>
      <c r="J7" s="292">
        <f>ROUND(H7,2)</f>
        <v>1000.29</v>
      </c>
      <c r="L7" s="296"/>
    </row>
    <row r="8" spans="1:16" s="290" customFormat="1">
      <c r="A8" s="280">
        <v>120</v>
      </c>
      <c r="B8" s="295" t="s">
        <v>597</v>
      </c>
      <c r="C8" s="291">
        <v>2676</v>
      </c>
      <c r="D8" s="291">
        <v>8328</v>
      </c>
      <c r="E8" s="291">
        <v>0</v>
      </c>
      <c r="F8" s="291">
        <v>11004</v>
      </c>
      <c r="G8" s="291">
        <v>0</v>
      </c>
      <c r="H8" s="291">
        <f>SUM((C8/30)+(D8/24)+(E8/18)+G8)</f>
        <v>436.2</v>
      </c>
      <c r="J8" s="292">
        <f>ROUND(H8,2)</f>
        <v>436.2</v>
      </c>
      <c r="L8" s="296"/>
    </row>
    <row r="9" spans="1:16" s="290" customFormat="1">
      <c r="A9" s="280">
        <v>130</v>
      </c>
      <c r="B9" s="295" t="s">
        <v>598</v>
      </c>
      <c r="C9" s="291">
        <v>0</v>
      </c>
      <c r="D9" s="291">
        <v>0</v>
      </c>
      <c r="E9" s="291">
        <v>0</v>
      </c>
      <c r="F9" s="291">
        <v>0</v>
      </c>
      <c r="G9" s="291">
        <v>896</v>
      </c>
      <c r="H9" s="291">
        <f>SUM((C9/30)+(D9/24)+(E9/18)+G9)</f>
        <v>896</v>
      </c>
      <c r="J9" s="292">
        <f>ROUND(H9,2)</f>
        <v>896</v>
      </c>
      <c r="K9" s="292">
        <f>SUM(J7:J9)</f>
        <v>2332.4899999999998</v>
      </c>
      <c r="L9" s="297"/>
    </row>
    <row r="10" spans="1:16" s="290" customFormat="1">
      <c r="A10" s="280">
        <v>200</v>
      </c>
      <c r="B10" s="289" t="s">
        <v>491</v>
      </c>
      <c r="H10" s="291"/>
      <c r="J10" s="292"/>
      <c r="L10" s="293" t="s">
        <v>599</v>
      </c>
      <c r="M10" s="298">
        <v>1157.02</v>
      </c>
      <c r="O10" s="290">
        <v>327.54000000000002</v>
      </c>
    </row>
    <row r="11" spans="1:16" s="290" customFormat="1">
      <c r="A11" s="280">
        <v>210</v>
      </c>
      <c r="B11" s="295" t="s">
        <v>596</v>
      </c>
      <c r="C11" s="291">
        <v>0</v>
      </c>
      <c r="D11" s="291">
        <v>1319</v>
      </c>
      <c r="E11" s="291">
        <v>5435</v>
      </c>
      <c r="F11" s="291">
        <v>6754</v>
      </c>
      <c r="G11" s="291">
        <v>0</v>
      </c>
      <c r="H11" s="291">
        <f>SUM((C11/30)+(D11/24)+(E11/18)+G11)</f>
        <v>356.90277777777777</v>
      </c>
      <c r="J11" s="292">
        <f>ROUND(H11,2)</f>
        <v>356.9</v>
      </c>
      <c r="L11" s="296"/>
    </row>
    <row r="12" spans="1:16" s="290" customFormat="1">
      <c r="A12" s="280">
        <v>220</v>
      </c>
      <c r="B12" s="295" t="s">
        <v>600</v>
      </c>
      <c r="C12" s="291">
        <v>0</v>
      </c>
      <c r="D12" s="291">
        <v>0</v>
      </c>
      <c r="E12" s="291">
        <v>0</v>
      </c>
      <c r="F12" s="291">
        <v>0</v>
      </c>
      <c r="G12" s="291">
        <v>920</v>
      </c>
      <c r="H12" s="291">
        <f>SUM((C12/30)+(D12/24)+(E12/18)+G12)</f>
        <v>920</v>
      </c>
      <c r="J12" s="292">
        <f>ROUND(H12,2)</f>
        <v>920</v>
      </c>
      <c r="L12" s="296"/>
      <c r="O12" s="429"/>
    </row>
    <row r="13" spans="1:16" s="290" customFormat="1">
      <c r="A13" s="280">
        <v>230</v>
      </c>
      <c r="B13" s="295" t="s">
        <v>597</v>
      </c>
      <c r="C13" s="291">
        <v>4333</v>
      </c>
      <c r="D13" s="291">
        <v>8993</v>
      </c>
      <c r="E13" s="291">
        <v>4019</v>
      </c>
      <c r="F13" s="291">
        <v>17345</v>
      </c>
      <c r="G13" s="291">
        <v>0</v>
      </c>
      <c r="H13" s="291">
        <f>SUM((C13/30)+(D13/24)+(E13/18)+G13)</f>
        <v>742.41944444444448</v>
      </c>
      <c r="J13" s="292">
        <f>ROUND(H13,2)</f>
        <v>742.42</v>
      </c>
      <c r="L13" s="296"/>
      <c r="O13" s="429"/>
    </row>
    <row r="14" spans="1:16" s="290" customFormat="1">
      <c r="A14" s="280">
        <v>240</v>
      </c>
      <c r="B14" s="295" t="s">
        <v>601</v>
      </c>
      <c r="C14" s="291">
        <v>14524</v>
      </c>
      <c r="D14" s="291">
        <v>4045</v>
      </c>
      <c r="E14" s="291">
        <v>706</v>
      </c>
      <c r="F14" s="291">
        <v>19275</v>
      </c>
      <c r="G14" s="291">
        <v>0</v>
      </c>
      <c r="H14" s="291">
        <f>SUM((C14/30)+(D14/24)+(E14/18)+G14)</f>
        <v>691.89722222222213</v>
      </c>
      <c r="J14" s="292">
        <f>ROUND(H14,2)</f>
        <v>691.9</v>
      </c>
      <c r="K14" s="292">
        <f>SUM(J11:J14)</f>
        <v>2711.2200000000003</v>
      </c>
      <c r="L14" s="297"/>
      <c r="O14" s="429"/>
    </row>
    <row r="15" spans="1:16" s="290" customFormat="1">
      <c r="A15" s="280">
        <v>300</v>
      </c>
      <c r="B15" s="289" t="s">
        <v>494</v>
      </c>
      <c r="H15" s="291"/>
      <c r="J15" s="292"/>
      <c r="L15" s="293" t="s">
        <v>497</v>
      </c>
      <c r="M15" s="298">
        <v>1371.0100000000007</v>
      </c>
      <c r="O15" s="429">
        <v>274.39</v>
      </c>
    </row>
    <row r="16" spans="1:16" s="290" customFormat="1" ht="15">
      <c r="A16" s="280">
        <v>310</v>
      </c>
      <c r="B16" s="295" t="s">
        <v>602</v>
      </c>
      <c r="C16" s="291">
        <v>2533</v>
      </c>
      <c r="D16" s="291">
        <v>0</v>
      </c>
      <c r="E16" s="291">
        <v>0</v>
      </c>
      <c r="F16" s="291">
        <v>2533</v>
      </c>
      <c r="G16" s="291">
        <v>72</v>
      </c>
      <c r="H16" s="291">
        <f t="shared" ref="H16:H23" si="0">SUM((C16/30)+(D16/24)+(E16/18)+G16)</f>
        <v>156.43333333333334</v>
      </c>
      <c r="J16" s="292">
        <f t="shared" ref="J16:J23" si="1">ROUND(H16,2)</f>
        <v>156.43</v>
      </c>
      <c r="L16" s="296"/>
      <c r="O16" s="431"/>
    </row>
    <row r="17" spans="1:18" s="290" customFormat="1">
      <c r="A17" s="280">
        <v>320</v>
      </c>
      <c r="B17" s="295" t="s">
        <v>603</v>
      </c>
      <c r="C17" s="291">
        <v>0</v>
      </c>
      <c r="D17" s="291">
        <v>0</v>
      </c>
      <c r="E17" s="291">
        <v>0</v>
      </c>
      <c r="F17" s="291">
        <v>0</v>
      </c>
      <c r="G17" s="291">
        <v>329</v>
      </c>
      <c r="H17" s="291">
        <f t="shared" si="0"/>
        <v>329</v>
      </c>
      <c r="J17" s="292">
        <f t="shared" si="1"/>
        <v>329</v>
      </c>
      <c r="L17" s="296"/>
      <c r="O17" s="429"/>
      <c r="Q17" s="299" t="s">
        <v>490</v>
      </c>
      <c r="R17" s="294">
        <v>1805.8199999999977</v>
      </c>
    </row>
    <row r="18" spans="1:18" s="290" customFormat="1">
      <c r="A18" s="280">
        <v>330</v>
      </c>
      <c r="B18" s="295" t="s">
        <v>596</v>
      </c>
      <c r="C18" s="291">
        <v>0</v>
      </c>
      <c r="D18" s="291">
        <v>1917</v>
      </c>
      <c r="E18" s="291">
        <v>11634</v>
      </c>
      <c r="F18" s="291">
        <v>13551</v>
      </c>
      <c r="G18" s="291">
        <v>0</v>
      </c>
      <c r="H18" s="291">
        <f t="shared" si="0"/>
        <v>726.20833333333337</v>
      </c>
      <c r="J18" s="292">
        <f t="shared" si="1"/>
        <v>726.21</v>
      </c>
      <c r="L18" s="296"/>
      <c r="O18" s="432"/>
      <c r="Q18" s="300" t="s">
        <v>501</v>
      </c>
      <c r="R18" s="298">
        <v>1508.9999999999995</v>
      </c>
    </row>
    <row r="19" spans="1:18" s="290" customFormat="1">
      <c r="A19" s="280">
        <v>340</v>
      </c>
      <c r="B19" s="295" t="s">
        <v>600</v>
      </c>
      <c r="C19" s="291">
        <v>0</v>
      </c>
      <c r="D19" s="291">
        <v>0</v>
      </c>
      <c r="E19" s="291">
        <v>0</v>
      </c>
      <c r="F19" s="291">
        <v>0</v>
      </c>
      <c r="G19" s="291">
        <v>942</v>
      </c>
      <c r="H19" s="291">
        <f t="shared" si="0"/>
        <v>942</v>
      </c>
      <c r="J19" s="292">
        <f t="shared" si="1"/>
        <v>942</v>
      </c>
      <c r="L19" s="296"/>
      <c r="O19" s="432"/>
      <c r="Q19" s="300" t="s">
        <v>513</v>
      </c>
      <c r="R19" s="298">
        <v>373.40999999999985</v>
      </c>
    </row>
    <row r="20" spans="1:18" s="290" customFormat="1">
      <c r="A20" s="280">
        <v>350</v>
      </c>
      <c r="B20" s="271" t="s">
        <v>604</v>
      </c>
      <c r="C20" s="291">
        <v>0</v>
      </c>
      <c r="D20" s="291">
        <v>507</v>
      </c>
      <c r="E20" s="291">
        <v>0</v>
      </c>
      <c r="F20" s="291">
        <v>507</v>
      </c>
      <c r="G20" s="291">
        <v>0</v>
      </c>
      <c r="H20" s="291">
        <f t="shared" si="0"/>
        <v>21.125</v>
      </c>
      <c r="J20" s="292">
        <f t="shared" si="1"/>
        <v>21.13</v>
      </c>
      <c r="L20" s="296"/>
      <c r="O20" s="429"/>
      <c r="Q20" s="300" t="s">
        <v>517</v>
      </c>
      <c r="R20" s="298">
        <v>436.13000000000005</v>
      </c>
    </row>
    <row r="21" spans="1:18" s="290" customFormat="1">
      <c r="A21" s="280">
        <v>360</v>
      </c>
      <c r="B21" s="295" t="s">
        <v>605</v>
      </c>
      <c r="C21" s="291">
        <v>0</v>
      </c>
      <c r="D21" s="291">
        <v>1035</v>
      </c>
      <c r="E21" s="291">
        <v>429</v>
      </c>
      <c r="F21" s="291">
        <v>1464</v>
      </c>
      <c r="G21" s="291">
        <v>0</v>
      </c>
      <c r="H21" s="291">
        <f t="shared" si="0"/>
        <v>66.958333333333329</v>
      </c>
      <c r="J21" s="292">
        <f t="shared" si="1"/>
        <v>66.959999999999994</v>
      </c>
      <c r="L21" s="296"/>
      <c r="O21" s="429"/>
      <c r="Q21" s="300" t="s">
        <v>509</v>
      </c>
      <c r="R21" s="298">
        <v>80.25</v>
      </c>
    </row>
    <row r="22" spans="1:18" s="290" customFormat="1">
      <c r="A22" s="280">
        <v>370</v>
      </c>
      <c r="B22" s="295" t="s">
        <v>601</v>
      </c>
      <c r="C22" s="291">
        <v>15265</v>
      </c>
      <c r="D22" s="291">
        <v>5571</v>
      </c>
      <c r="E22" s="291">
        <v>1228</v>
      </c>
      <c r="F22" s="291">
        <v>22064</v>
      </c>
      <c r="G22" s="291">
        <v>0</v>
      </c>
      <c r="H22" s="291">
        <f t="shared" si="0"/>
        <v>809.18055555555543</v>
      </c>
      <c r="J22" s="292">
        <f t="shared" si="1"/>
        <v>809.18</v>
      </c>
      <c r="L22" s="296"/>
      <c r="O22" s="429"/>
      <c r="Q22" s="300" t="s">
        <v>521</v>
      </c>
      <c r="R22" s="298">
        <v>887.24000000000024</v>
      </c>
    </row>
    <row r="23" spans="1:18" s="290" customFormat="1">
      <c r="A23" s="280">
        <v>380</v>
      </c>
      <c r="B23" s="295" t="s">
        <v>606</v>
      </c>
      <c r="C23" s="291">
        <v>16</v>
      </c>
      <c r="D23" s="291">
        <v>14165</v>
      </c>
      <c r="E23" s="291">
        <v>4520</v>
      </c>
      <c r="F23" s="291">
        <v>18701</v>
      </c>
      <c r="G23" s="291">
        <v>0</v>
      </c>
      <c r="H23" s="291">
        <f t="shared" si="0"/>
        <v>841.85277777777776</v>
      </c>
      <c r="J23" s="292">
        <f t="shared" si="1"/>
        <v>841.85</v>
      </c>
      <c r="K23" s="292">
        <f>SUM(J16:J23)</f>
        <v>3892.76</v>
      </c>
      <c r="L23" s="297"/>
      <c r="O23" s="429"/>
      <c r="Q23" s="300" t="s">
        <v>497</v>
      </c>
      <c r="R23" s="298">
        <v>1371.0100000000007</v>
      </c>
    </row>
    <row r="24" spans="1:18" s="290" customFormat="1">
      <c r="A24" s="280">
        <v>400</v>
      </c>
      <c r="B24" s="289" t="s">
        <v>498</v>
      </c>
      <c r="H24" s="291"/>
      <c r="J24" s="292"/>
      <c r="L24" s="293" t="s">
        <v>501</v>
      </c>
      <c r="M24" s="298">
        <v>1508.9999999999995</v>
      </c>
      <c r="O24" s="429">
        <v>0.33</v>
      </c>
      <c r="Q24" s="300" t="s">
        <v>505</v>
      </c>
      <c r="R24" s="298">
        <v>1554.5899999999997</v>
      </c>
    </row>
    <row r="25" spans="1:18" s="290" customFormat="1">
      <c r="A25" s="280">
        <v>410</v>
      </c>
      <c r="B25" s="295" t="s">
        <v>603</v>
      </c>
      <c r="C25" s="291">
        <v>0</v>
      </c>
      <c r="D25" s="291">
        <v>0</v>
      </c>
      <c r="E25" s="291">
        <v>0</v>
      </c>
      <c r="F25" s="291">
        <v>0</v>
      </c>
      <c r="G25" s="291">
        <v>399</v>
      </c>
      <c r="H25" s="291">
        <f t="shared" ref="H25:H31" si="2">SUM((C25/30)+(D25/24)+(E25/18)+G25)</f>
        <v>399</v>
      </c>
      <c r="J25" s="292">
        <f t="shared" ref="J25:J31" si="3">ROUND(H25,2)</f>
        <v>399</v>
      </c>
      <c r="L25" s="296"/>
      <c r="O25" s="429"/>
      <c r="Q25" s="300" t="s">
        <v>599</v>
      </c>
      <c r="R25" s="298">
        <v>1157.02</v>
      </c>
    </row>
    <row r="26" spans="1:18" s="290" customFormat="1">
      <c r="A26" s="280">
        <v>420</v>
      </c>
      <c r="B26" s="295" t="s">
        <v>607</v>
      </c>
      <c r="C26" s="291">
        <v>0</v>
      </c>
      <c r="D26" s="291">
        <v>0</v>
      </c>
      <c r="E26" s="291">
        <v>0</v>
      </c>
      <c r="F26" s="291">
        <v>0</v>
      </c>
      <c r="G26" s="291">
        <v>92</v>
      </c>
      <c r="H26" s="291">
        <f t="shared" si="2"/>
        <v>92</v>
      </c>
      <c r="J26" s="292">
        <f t="shared" si="3"/>
        <v>92</v>
      </c>
      <c r="L26" s="296"/>
      <c r="O26" s="429"/>
      <c r="R26" s="298">
        <v>9174.4699999999975</v>
      </c>
    </row>
    <row r="27" spans="1:18" s="290" customFormat="1">
      <c r="A27" s="280">
        <v>430</v>
      </c>
      <c r="B27" s="295" t="s">
        <v>596</v>
      </c>
      <c r="C27" s="291">
        <v>0</v>
      </c>
      <c r="D27" s="291">
        <v>2181</v>
      </c>
      <c r="E27" s="291">
        <v>6077</v>
      </c>
      <c r="F27" s="291">
        <v>8258</v>
      </c>
      <c r="G27" s="291">
        <v>0</v>
      </c>
      <c r="H27" s="291">
        <f t="shared" si="2"/>
        <v>428.48611111111109</v>
      </c>
      <c r="J27" s="292">
        <f t="shared" si="3"/>
        <v>428.49</v>
      </c>
      <c r="L27" s="296"/>
      <c r="O27" s="429"/>
    </row>
    <row r="28" spans="1:18" s="290" customFormat="1">
      <c r="A28" s="280">
        <v>440</v>
      </c>
      <c r="B28" s="295" t="s">
        <v>600</v>
      </c>
      <c r="C28" s="291">
        <v>0</v>
      </c>
      <c r="D28" s="291">
        <v>0</v>
      </c>
      <c r="E28" s="291">
        <v>0</v>
      </c>
      <c r="F28" s="291">
        <v>0</v>
      </c>
      <c r="G28" s="291">
        <v>900</v>
      </c>
      <c r="H28" s="291">
        <f t="shared" si="2"/>
        <v>900</v>
      </c>
      <c r="J28" s="292">
        <f t="shared" si="3"/>
        <v>900</v>
      </c>
      <c r="L28" s="296"/>
      <c r="O28" s="429"/>
    </row>
    <row r="29" spans="1:18" s="290" customFormat="1">
      <c r="A29" s="280">
        <v>450</v>
      </c>
      <c r="B29" s="295" t="s">
        <v>597</v>
      </c>
      <c r="C29" s="291">
        <v>9532</v>
      </c>
      <c r="D29" s="291">
        <v>8286</v>
      </c>
      <c r="E29" s="291">
        <v>4088</v>
      </c>
      <c r="F29" s="291">
        <v>21906</v>
      </c>
      <c r="G29" s="291">
        <v>0</v>
      </c>
      <c r="H29" s="291">
        <f t="shared" si="2"/>
        <v>890.09444444444443</v>
      </c>
      <c r="J29" s="292">
        <f t="shared" si="3"/>
        <v>890.09</v>
      </c>
      <c r="L29" s="296"/>
      <c r="O29" s="429"/>
    </row>
    <row r="30" spans="1:18" s="290" customFormat="1">
      <c r="A30" s="280">
        <v>460</v>
      </c>
      <c r="B30" s="295" t="s">
        <v>601</v>
      </c>
      <c r="C30" s="291">
        <v>14593</v>
      </c>
      <c r="D30" s="291">
        <v>3772</v>
      </c>
      <c r="E30" s="291">
        <v>333</v>
      </c>
      <c r="F30" s="291">
        <v>18698</v>
      </c>
      <c r="G30" s="291">
        <v>0</v>
      </c>
      <c r="H30" s="291">
        <f t="shared" si="2"/>
        <v>662.1</v>
      </c>
      <c r="J30" s="292">
        <f t="shared" si="3"/>
        <v>662.1</v>
      </c>
      <c r="K30" s="292">
        <f>SUM(J25:J30)</f>
        <v>3371.68</v>
      </c>
      <c r="L30" s="297"/>
      <c r="O30" s="429"/>
    </row>
    <row r="31" spans="1:18" s="290" customFormat="1">
      <c r="A31" s="280">
        <v>500</v>
      </c>
      <c r="B31" s="301" t="s">
        <v>502</v>
      </c>
      <c r="C31" s="291">
        <v>8285</v>
      </c>
      <c r="D31" s="291">
        <v>0</v>
      </c>
      <c r="E31" s="291">
        <v>0</v>
      </c>
      <c r="F31" s="291">
        <v>8285</v>
      </c>
      <c r="G31" s="291">
        <v>0</v>
      </c>
      <c r="H31" s="291">
        <f t="shared" si="2"/>
        <v>276.16666666666669</v>
      </c>
      <c r="J31" s="292">
        <f t="shared" si="3"/>
        <v>276.17</v>
      </c>
      <c r="K31" s="292">
        <f>J31</f>
        <v>276.17</v>
      </c>
      <c r="L31" s="293" t="s">
        <v>505</v>
      </c>
      <c r="M31" s="298">
        <v>1554.5899999999997</v>
      </c>
      <c r="O31" s="429">
        <v>407.2</v>
      </c>
    </row>
    <row r="32" spans="1:18" s="290" customFormat="1">
      <c r="A32" s="280"/>
      <c r="B32" s="192" t="s">
        <v>506</v>
      </c>
      <c r="C32" s="291"/>
      <c r="D32" s="291"/>
      <c r="E32" s="291"/>
      <c r="F32" s="291"/>
      <c r="G32" s="291"/>
      <c r="H32" s="291"/>
      <c r="J32" s="292"/>
      <c r="K32" s="292"/>
      <c r="L32" s="293" t="s">
        <v>509</v>
      </c>
      <c r="M32" s="298">
        <v>80.25</v>
      </c>
      <c r="O32" s="429" t="s">
        <v>702</v>
      </c>
    </row>
    <row r="33" spans="1:15" s="290" customFormat="1">
      <c r="A33" s="280">
        <v>700</v>
      </c>
      <c r="B33" s="289" t="s">
        <v>510</v>
      </c>
      <c r="H33" s="291"/>
      <c r="J33" s="292"/>
      <c r="L33" s="293" t="s">
        <v>513</v>
      </c>
      <c r="M33" s="298">
        <v>373.40999999999985</v>
      </c>
      <c r="O33" s="434">
        <v>22.5</v>
      </c>
    </row>
    <row r="34" spans="1:15" s="290" customFormat="1">
      <c r="A34" s="280">
        <v>710</v>
      </c>
      <c r="B34" s="295" t="s">
        <v>608</v>
      </c>
      <c r="C34" s="291">
        <v>0</v>
      </c>
      <c r="D34" s="291">
        <v>152</v>
      </c>
      <c r="E34" s="291">
        <v>219</v>
      </c>
      <c r="F34" s="291">
        <v>371</v>
      </c>
      <c r="G34" s="291">
        <v>87</v>
      </c>
      <c r="H34" s="291">
        <f t="shared" ref="H34:H41" si="4">SUM((C34/30)+(D34/24)+(E34/18)+G34)</f>
        <v>105.5</v>
      </c>
      <c r="J34" s="302">
        <f t="shared" ref="J34:J41" si="5">ROUND(H34,2)</f>
        <v>105.5</v>
      </c>
      <c r="L34" s="296"/>
      <c r="O34" s="429"/>
    </row>
    <row r="35" spans="1:15" s="290" customFormat="1">
      <c r="A35" s="280">
        <v>720</v>
      </c>
      <c r="B35" s="295" t="s">
        <v>609</v>
      </c>
      <c r="C35" s="291">
        <v>1973</v>
      </c>
      <c r="D35" s="291">
        <v>0</v>
      </c>
      <c r="E35" s="291">
        <v>0</v>
      </c>
      <c r="F35" s="291">
        <v>1973</v>
      </c>
      <c r="G35" s="291">
        <v>0</v>
      </c>
      <c r="H35" s="291">
        <f t="shared" si="4"/>
        <v>65.766666666666666</v>
      </c>
      <c r="J35" s="302">
        <f t="shared" si="5"/>
        <v>65.77</v>
      </c>
      <c r="L35" s="296"/>
      <c r="O35" s="429"/>
    </row>
    <row r="36" spans="1:15" s="290" customFormat="1">
      <c r="A36" s="280">
        <v>730</v>
      </c>
      <c r="B36" s="295" t="s">
        <v>610</v>
      </c>
      <c r="C36" s="291">
        <v>0</v>
      </c>
      <c r="D36" s="291">
        <v>0</v>
      </c>
      <c r="E36" s="291">
        <v>0</v>
      </c>
      <c r="F36" s="291">
        <v>0</v>
      </c>
      <c r="G36" s="291">
        <v>390</v>
      </c>
      <c r="H36" s="291">
        <f t="shared" si="4"/>
        <v>390</v>
      </c>
      <c r="J36" s="302">
        <f t="shared" si="5"/>
        <v>390</v>
      </c>
      <c r="L36" s="296"/>
      <c r="O36" s="429"/>
    </row>
    <row r="37" spans="1:15" s="290" customFormat="1">
      <c r="A37" s="280">
        <v>740</v>
      </c>
      <c r="B37" s="295" t="s">
        <v>611</v>
      </c>
      <c r="C37" s="291">
        <v>0</v>
      </c>
      <c r="D37" s="291">
        <v>0</v>
      </c>
      <c r="E37" s="291">
        <v>0</v>
      </c>
      <c r="F37" s="291">
        <v>0</v>
      </c>
      <c r="G37" s="291">
        <v>481</v>
      </c>
      <c r="H37" s="291">
        <f t="shared" si="4"/>
        <v>481</v>
      </c>
      <c r="J37" s="302">
        <f t="shared" si="5"/>
        <v>481</v>
      </c>
      <c r="L37" s="296"/>
      <c r="O37" s="429"/>
    </row>
    <row r="38" spans="1:15" s="290" customFormat="1">
      <c r="A38" s="280">
        <v>750</v>
      </c>
      <c r="B38" s="295" t="s">
        <v>612</v>
      </c>
      <c r="C38" s="291">
        <v>3769</v>
      </c>
      <c r="D38" s="291">
        <v>0</v>
      </c>
      <c r="E38" s="291">
        <v>0</v>
      </c>
      <c r="F38" s="291">
        <v>3769</v>
      </c>
      <c r="G38" s="291">
        <v>0</v>
      </c>
      <c r="H38" s="291">
        <f t="shared" si="4"/>
        <v>125.63333333333334</v>
      </c>
      <c r="J38" s="302">
        <f t="shared" si="5"/>
        <v>125.63</v>
      </c>
      <c r="L38" s="296"/>
      <c r="O38" s="429"/>
    </row>
    <row r="39" spans="1:15" s="290" customFormat="1">
      <c r="A39" s="280">
        <v>760</v>
      </c>
      <c r="B39" s="295" t="s">
        <v>613</v>
      </c>
      <c r="C39" s="291">
        <v>0</v>
      </c>
      <c r="D39" s="291">
        <v>11592</v>
      </c>
      <c r="E39" s="291">
        <v>0</v>
      </c>
      <c r="F39" s="291">
        <v>11592</v>
      </c>
      <c r="G39" s="291">
        <v>0</v>
      </c>
      <c r="H39" s="291">
        <f t="shared" si="4"/>
        <v>483</v>
      </c>
      <c r="J39" s="302">
        <f t="shared" si="5"/>
        <v>483</v>
      </c>
      <c r="L39" s="296"/>
      <c r="O39" s="429"/>
    </row>
    <row r="40" spans="1:15" s="290" customFormat="1">
      <c r="A40" s="280">
        <v>770</v>
      </c>
      <c r="B40" s="295" t="s">
        <v>614</v>
      </c>
      <c r="C40" s="291">
        <v>0</v>
      </c>
      <c r="D40" s="291">
        <v>91</v>
      </c>
      <c r="E40" s="291">
        <v>2172</v>
      </c>
      <c r="F40" s="291">
        <v>2263</v>
      </c>
      <c r="G40" s="291">
        <v>0</v>
      </c>
      <c r="H40" s="291">
        <f t="shared" si="4"/>
        <v>124.45833333333334</v>
      </c>
      <c r="J40" s="302">
        <f t="shared" si="5"/>
        <v>124.46</v>
      </c>
      <c r="L40" s="296"/>
      <c r="O40" s="429"/>
    </row>
    <row r="41" spans="1:15" s="290" customFormat="1">
      <c r="A41" s="280">
        <v>780</v>
      </c>
      <c r="B41" s="295" t="s">
        <v>615</v>
      </c>
      <c r="C41" s="291">
        <v>0</v>
      </c>
      <c r="D41" s="291">
        <v>4703</v>
      </c>
      <c r="E41" s="291">
        <v>373</v>
      </c>
      <c r="F41" s="291">
        <v>5076</v>
      </c>
      <c r="G41" s="291">
        <v>0</v>
      </c>
      <c r="H41" s="291">
        <f t="shared" si="4"/>
        <v>216.68055555555557</v>
      </c>
      <c r="J41" s="302">
        <f t="shared" si="5"/>
        <v>216.68</v>
      </c>
      <c r="K41" s="292">
        <f>SUM(J34:J41)</f>
        <v>1992.0400000000002</v>
      </c>
      <c r="L41" s="297"/>
      <c r="O41" s="429"/>
    </row>
    <row r="42" spans="1:15" s="290" customFormat="1">
      <c r="A42" s="280">
        <v>800</v>
      </c>
      <c r="B42" s="289" t="s">
        <v>514</v>
      </c>
      <c r="C42" s="303"/>
      <c r="D42" s="303"/>
      <c r="E42" s="303"/>
      <c r="F42" s="303"/>
      <c r="H42" s="291"/>
      <c r="J42" s="292"/>
      <c r="L42" s="293" t="s">
        <v>517</v>
      </c>
      <c r="M42" s="298">
        <v>436.13000000000005</v>
      </c>
      <c r="O42" s="434">
        <v>40.9</v>
      </c>
    </row>
    <row r="43" spans="1:15" s="290" customFormat="1">
      <c r="A43" s="280">
        <v>810</v>
      </c>
      <c r="B43" s="295" t="s">
        <v>596</v>
      </c>
      <c r="C43" s="291">
        <v>0</v>
      </c>
      <c r="D43" s="291">
        <v>6445</v>
      </c>
      <c r="E43" s="291">
        <v>2686</v>
      </c>
      <c r="F43" s="291">
        <v>9131</v>
      </c>
      <c r="G43" s="291">
        <v>0</v>
      </c>
      <c r="H43" s="291">
        <f>SUM((C43/30)+(D43/24)+(E43/18)+G43)</f>
        <v>417.76388888888891</v>
      </c>
      <c r="J43" s="292">
        <f>ROUND(H43,2)</f>
        <v>417.76</v>
      </c>
      <c r="L43" s="296"/>
      <c r="O43" s="429"/>
    </row>
    <row r="44" spans="1:15" s="290" customFormat="1">
      <c r="A44" s="280">
        <v>820</v>
      </c>
      <c r="B44" s="295" t="s">
        <v>606</v>
      </c>
      <c r="C44" s="291">
        <v>0</v>
      </c>
      <c r="D44" s="291">
        <v>4468</v>
      </c>
      <c r="E44" s="291">
        <v>950</v>
      </c>
      <c r="F44" s="291">
        <v>5418</v>
      </c>
      <c r="G44" s="291">
        <v>0</v>
      </c>
      <c r="H44" s="291">
        <f>SUM((C44/30)+(D44/24)+(E44/18)+G44)</f>
        <v>238.94444444444443</v>
      </c>
      <c r="J44" s="292">
        <f>ROUND(H44,2)</f>
        <v>238.94</v>
      </c>
      <c r="L44" s="296"/>
      <c r="O44" s="429"/>
    </row>
    <row r="45" spans="1:15" s="290" customFormat="1">
      <c r="A45" s="280">
        <v>830</v>
      </c>
      <c r="B45" s="295" t="s">
        <v>616</v>
      </c>
      <c r="C45" s="291">
        <v>0</v>
      </c>
      <c r="D45" s="291">
        <v>0</v>
      </c>
      <c r="E45" s="291">
        <v>0</v>
      </c>
      <c r="F45" s="291">
        <v>0</v>
      </c>
      <c r="G45" s="291">
        <v>685</v>
      </c>
      <c r="H45" s="291">
        <f>SUM((C45/30)+(D45/24)+(E45/18)+G45)</f>
        <v>685</v>
      </c>
      <c r="J45" s="292">
        <f>ROUND(H45,2)</f>
        <v>685</v>
      </c>
      <c r="L45" s="296"/>
      <c r="O45" s="429"/>
    </row>
    <row r="46" spans="1:15" s="290" customFormat="1">
      <c r="A46" s="280">
        <v>840</v>
      </c>
      <c r="B46" s="295" t="s">
        <v>617</v>
      </c>
      <c r="C46" s="291">
        <v>0</v>
      </c>
      <c r="D46" s="291">
        <v>6138</v>
      </c>
      <c r="E46" s="291">
        <v>0</v>
      </c>
      <c r="F46" s="291">
        <v>6138</v>
      </c>
      <c r="G46" s="291">
        <v>0</v>
      </c>
      <c r="H46" s="291">
        <f>SUM((C46/30)+(D46/24)+(E46/18)+G46)</f>
        <v>255.75</v>
      </c>
      <c r="J46" s="292">
        <f>ROUND(H46,2)</f>
        <v>255.75</v>
      </c>
      <c r="K46" s="292">
        <f>SUM(J43:J46)</f>
        <v>1597.45</v>
      </c>
      <c r="L46" s="297"/>
      <c r="O46" s="429"/>
    </row>
    <row r="47" spans="1:15" s="290" customFormat="1">
      <c r="A47" s="280">
        <v>900</v>
      </c>
      <c r="B47" s="289" t="s">
        <v>518</v>
      </c>
      <c r="C47" s="304"/>
      <c r="D47" s="304"/>
      <c r="E47" s="304"/>
      <c r="F47" s="304"/>
      <c r="L47" s="293" t="s">
        <v>521</v>
      </c>
      <c r="M47" s="298">
        <v>887.24000000000024</v>
      </c>
      <c r="O47" s="434">
        <v>80</v>
      </c>
    </row>
    <row r="48" spans="1:15" s="290" customFormat="1">
      <c r="A48" s="280">
        <v>910</v>
      </c>
      <c r="B48" s="295" t="s">
        <v>596</v>
      </c>
      <c r="C48" s="291">
        <v>0</v>
      </c>
      <c r="D48" s="291">
        <v>598</v>
      </c>
      <c r="E48" s="291">
        <v>1872</v>
      </c>
      <c r="F48" s="291">
        <v>2470</v>
      </c>
      <c r="G48" s="291">
        <v>0</v>
      </c>
      <c r="H48" s="291">
        <f t="shared" ref="H48:H53" si="6">SUM((C48/30)+(D48/24)+(E48/18)+G48)</f>
        <v>128.91666666666666</v>
      </c>
      <c r="J48" s="292">
        <f t="shared" ref="J48:J53" si="7">ROUND(H48,2)</f>
        <v>128.91999999999999</v>
      </c>
      <c r="L48" s="296"/>
      <c r="O48" s="429"/>
    </row>
    <row r="49" spans="1:15" s="290" customFormat="1">
      <c r="A49" s="280">
        <v>920</v>
      </c>
      <c r="B49" s="295" t="s">
        <v>618</v>
      </c>
      <c r="C49" s="291">
        <v>5369</v>
      </c>
      <c r="D49" s="291">
        <v>18223</v>
      </c>
      <c r="E49" s="291">
        <v>7158</v>
      </c>
      <c r="F49" s="291">
        <v>30750</v>
      </c>
      <c r="G49" s="291">
        <v>0</v>
      </c>
      <c r="H49" s="291">
        <f t="shared" si="6"/>
        <v>1335.925</v>
      </c>
      <c r="J49" s="292">
        <f t="shared" si="7"/>
        <v>1335.93</v>
      </c>
      <c r="L49" s="296"/>
      <c r="O49" s="429"/>
    </row>
    <row r="50" spans="1:15" s="290" customFormat="1">
      <c r="A50" s="280">
        <v>930</v>
      </c>
      <c r="B50" s="295" t="s">
        <v>619</v>
      </c>
      <c r="C50" s="291">
        <v>0</v>
      </c>
      <c r="D50" s="291">
        <v>0</v>
      </c>
      <c r="E50" s="291">
        <v>0</v>
      </c>
      <c r="F50" s="291">
        <v>0</v>
      </c>
      <c r="G50" s="291">
        <v>581</v>
      </c>
      <c r="H50" s="291">
        <f t="shared" si="6"/>
        <v>581</v>
      </c>
      <c r="J50" s="292">
        <f t="shared" si="7"/>
        <v>581</v>
      </c>
      <c r="L50" s="296"/>
      <c r="O50" s="429"/>
    </row>
    <row r="51" spans="1:15" s="290" customFormat="1">
      <c r="A51" s="280">
        <v>935</v>
      </c>
      <c r="B51" s="295" t="s">
        <v>620</v>
      </c>
      <c r="C51" s="291">
        <v>0</v>
      </c>
      <c r="D51" s="291">
        <v>0</v>
      </c>
      <c r="E51" s="291">
        <v>0</v>
      </c>
      <c r="F51" s="291">
        <v>0</v>
      </c>
      <c r="G51" s="291">
        <v>40</v>
      </c>
      <c r="H51" s="291">
        <f t="shared" si="6"/>
        <v>40</v>
      </c>
      <c r="J51" s="292">
        <f t="shared" si="7"/>
        <v>40</v>
      </c>
      <c r="L51" s="296"/>
      <c r="O51" s="429"/>
    </row>
    <row r="52" spans="1:15" s="290" customFormat="1">
      <c r="A52" s="280">
        <v>940</v>
      </c>
      <c r="B52" s="295" t="s">
        <v>601</v>
      </c>
      <c r="C52" s="291">
        <v>22012</v>
      </c>
      <c r="D52" s="291">
        <v>8949</v>
      </c>
      <c r="E52" s="291">
        <v>1069</v>
      </c>
      <c r="F52" s="291">
        <v>32030</v>
      </c>
      <c r="G52" s="291">
        <v>0</v>
      </c>
      <c r="H52" s="291">
        <f t="shared" si="6"/>
        <v>1165.9972222222223</v>
      </c>
      <c r="J52" s="292">
        <f t="shared" si="7"/>
        <v>1166</v>
      </c>
      <c r="L52" s="296"/>
      <c r="O52" s="429"/>
    </row>
    <row r="53" spans="1:15" s="290" customFormat="1">
      <c r="A53" s="280">
        <v>950</v>
      </c>
      <c r="B53" s="295" t="s">
        <v>621</v>
      </c>
      <c r="C53" s="291">
        <v>0</v>
      </c>
      <c r="D53" s="291">
        <v>20072</v>
      </c>
      <c r="E53" s="291">
        <v>0</v>
      </c>
      <c r="F53" s="291">
        <v>20072</v>
      </c>
      <c r="G53" s="291">
        <v>0</v>
      </c>
      <c r="H53" s="291">
        <f t="shared" si="6"/>
        <v>836.33333333333337</v>
      </c>
      <c r="J53" s="292">
        <f t="shared" si="7"/>
        <v>836.33</v>
      </c>
      <c r="K53" s="292">
        <f>SUM(J48:J53)</f>
        <v>4088.1800000000003</v>
      </c>
      <c r="L53" s="297"/>
      <c r="O53" s="429"/>
    </row>
    <row r="54" spans="1:15" s="290" customFormat="1">
      <c r="A54" s="271"/>
      <c r="B54" s="271" t="s">
        <v>622</v>
      </c>
      <c r="C54" s="303"/>
      <c r="D54" s="303"/>
      <c r="E54" s="303"/>
      <c r="F54" s="303"/>
      <c r="H54" s="303"/>
      <c r="L54" s="296"/>
      <c r="O54" s="429"/>
    </row>
    <row r="55" spans="1:15" s="290" customFormat="1">
      <c r="A55" s="271"/>
      <c r="B55" s="271" t="s">
        <v>623</v>
      </c>
      <c r="C55" s="303">
        <f t="shared" ref="C55:H55" si="8">SUM(C7:C54)</f>
        <v>104880</v>
      </c>
      <c r="D55" s="303">
        <f t="shared" si="8"/>
        <v>147745</v>
      </c>
      <c r="E55" s="303">
        <f t="shared" si="8"/>
        <v>68327</v>
      </c>
      <c r="F55" s="303">
        <f t="shared" si="8"/>
        <v>320952</v>
      </c>
      <c r="G55" s="303">
        <f t="shared" si="8"/>
        <v>6814</v>
      </c>
      <c r="H55" s="303">
        <f t="shared" si="8"/>
        <v>20261.986111111106</v>
      </c>
      <c r="J55" s="305">
        <f>SUM(J7:J54)</f>
        <v>20261.990000000002</v>
      </c>
      <c r="K55" s="306">
        <f>SUM(K7:K54)</f>
        <v>20261.990000000005</v>
      </c>
      <c r="L55" s="293" t="s">
        <v>624</v>
      </c>
      <c r="M55" s="306">
        <f>SUM(M6:M54)</f>
        <v>9174.4699999999975</v>
      </c>
      <c r="O55" s="306">
        <f>SUM(O6:O54)</f>
        <v>1513.7</v>
      </c>
    </row>
    <row r="56" spans="1:15" s="290" customFormat="1">
      <c r="A56" s="271"/>
      <c r="B56" s="271"/>
      <c r="C56" s="303"/>
      <c r="D56" s="303"/>
      <c r="E56" s="303"/>
      <c r="F56" s="303"/>
      <c r="G56" s="303"/>
      <c r="H56" s="303"/>
      <c r="L56" s="296"/>
      <c r="O56" s="429"/>
    </row>
    <row r="57" spans="1:15" s="271" customFormat="1" ht="15" customHeight="1">
      <c r="B57" s="471" t="s">
        <v>625</v>
      </c>
      <c r="C57" s="471"/>
      <c r="D57" s="471"/>
      <c r="E57" s="471"/>
      <c r="F57" s="471"/>
      <c r="G57" s="471"/>
      <c r="H57" s="471"/>
      <c r="L57" s="296"/>
      <c r="O57" s="429"/>
    </row>
    <row r="58" spans="1:15" s="271" customFormat="1" ht="41.25" customHeight="1">
      <c r="B58" s="472" t="s">
        <v>626</v>
      </c>
      <c r="C58" s="473"/>
      <c r="D58" s="473"/>
      <c r="E58" s="473"/>
      <c r="F58" s="473"/>
      <c r="G58" s="473"/>
      <c r="H58" s="473"/>
      <c r="J58" s="271">
        <v>20261.990000000002</v>
      </c>
      <c r="L58" s="296"/>
      <c r="O58" s="429">
        <v>1513.7</v>
      </c>
    </row>
    <row r="59" spans="1:15" s="271" customFormat="1" ht="29.25" customHeight="1">
      <c r="B59" s="474" t="s">
        <v>627</v>
      </c>
      <c r="C59" s="475"/>
      <c r="D59" s="475"/>
      <c r="E59" s="475"/>
      <c r="F59" s="475"/>
      <c r="G59" s="475"/>
      <c r="H59" s="475"/>
      <c r="L59" s="296"/>
      <c r="O59" s="429" t="s">
        <v>704</v>
      </c>
    </row>
    <row r="60" spans="1:15">
      <c r="L60" s="280"/>
      <c r="O60" s="429" t="s">
        <v>705</v>
      </c>
    </row>
    <row r="61" spans="1:15">
      <c r="L61" s="280"/>
    </row>
    <row r="62" spans="1:15">
      <c r="L62" s="280"/>
    </row>
  </sheetData>
  <mergeCells count="5">
    <mergeCell ref="B1:H1"/>
    <mergeCell ref="B2:H2"/>
    <mergeCell ref="B57:H57"/>
    <mergeCell ref="B58:H58"/>
    <mergeCell ref="B59:H59"/>
  </mergeCells>
  <hyperlinks>
    <hyperlink ref="J1" location="Index!A1" display="Return to Index"/>
  </hyperlinks>
  <printOptions horizontalCentered="1"/>
  <pageMargins left="0.5" right="0.5" top="0.5" bottom="0.5" header="0.5" footer="0.25"/>
  <pageSetup scale="87" orientation="portrait" horizontalDpi="300" verticalDpi="300" r:id="rId1"/>
  <headerFooter alignWithMargins="0">
    <oddFooter>&amp;L&amp;9JMcIver--THECB  11/15/10&amp;R&amp;9HRSCHLevFYStateFunded.xls</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00"/>
    <pageSetUpPr fitToPage="1"/>
  </sheetPr>
  <dimension ref="A1:AB64"/>
  <sheetViews>
    <sheetView showGridLines="0" zoomScale="75" zoomScaleNormal="75" workbookViewId="0">
      <pane xSplit="4" ySplit="3" topLeftCell="K23" activePane="bottomRight" state="frozen"/>
      <selection pane="topRight" activeCell="E1" sqref="E1"/>
      <selection pane="bottomLeft" activeCell="A4" sqref="A4"/>
      <selection pane="bottomRight" activeCell="N1" sqref="N1"/>
    </sheetView>
  </sheetViews>
  <sheetFormatPr defaultRowHeight="15.75" customHeight="1"/>
  <cols>
    <col min="1" max="1" width="4.7109375" style="1" customWidth="1"/>
    <col min="2" max="2" width="60.140625" style="6" customWidth="1"/>
    <col min="3" max="4" width="3.42578125" style="6" customWidth="1"/>
    <col min="5" max="5" width="10.85546875" style="6" customWidth="1"/>
    <col min="6" max="7" width="16" style="6" customWidth="1"/>
    <col min="8" max="8" width="17.42578125" style="6" customWidth="1"/>
    <col min="9" max="9" width="15.5703125" style="6" customWidth="1"/>
    <col min="10" max="10" width="16" style="6" customWidth="1"/>
    <col min="11" max="11" width="20.28515625" style="6" bestFit="1" customWidth="1"/>
    <col min="12" max="12" width="16.42578125" style="6" customWidth="1"/>
    <col min="13" max="13" width="2.28515625" style="9" customWidth="1"/>
    <col min="14" max="14" width="17.140625" style="6" customWidth="1"/>
    <col min="15" max="15" width="20.5703125" style="9" customWidth="1"/>
    <col min="16" max="16" width="22.5703125" style="9" customWidth="1"/>
    <col min="17" max="17" width="1.140625" style="9" customWidth="1"/>
    <col min="18" max="19" width="14.42578125" style="9" customWidth="1"/>
    <col min="20" max="20" width="12.7109375" style="9" customWidth="1"/>
    <col min="21" max="21" width="10.7109375" style="9" customWidth="1"/>
    <col min="22" max="22" width="16.85546875" style="9" customWidth="1"/>
    <col min="23" max="23" width="1.85546875" style="9" customWidth="1"/>
    <col min="24" max="24" width="26.42578125" style="9" customWidth="1"/>
    <col min="25" max="25" width="17" style="9" customWidth="1"/>
    <col min="26" max="26" width="16.7109375" style="9" customWidth="1"/>
    <col min="27" max="27" width="18.85546875" style="9" customWidth="1"/>
    <col min="28" max="28" width="22.28515625" style="9" customWidth="1"/>
    <col min="29" max="16384" width="9.140625" style="9"/>
  </cols>
  <sheetData>
    <row r="1" spans="2:28" s="1" customFormat="1" ht="18" customHeight="1" thickBot="1">
      <c r="B1" s="2" t="s">
        <v>541</v>
      </c>
      <c r="C1" s="3"/>
      <c r="D1" s="3"/>
      <c r="E1" s="3"/>
      <c r="F1" s="3"/>
      <c r="G1" s="3"/>
      <c r="H1" s="3"/>
      <c r="I1" s="4"/>
      <c r="J1" s="3"/>
      <c r="K1" s="3"/>
      <c r="L1" s="3"/>
      <c r="M1" s="3"/>
      <c r="N1" s="337" t="s">
        <v>579</v>
      </c>
      <c r="AA1" s="3">
        <v>12</v>
      </c>
      <c r="AB1" s="3">
        <v>13</v>
      </c>
    </row>
    <row r="2" spans="2:28" ht="15.75" customHeight="1">
      <c r="B2" s="2" t="str">
        <f>Input!$B$5</f>
        <v>For the Year Ended August 31, 2010</v>
      </c>
      <c r="C2" s="5"/>
      <c r="D2" s="5"/>
      <c r="E2" s="5"/>
      <c r="G2" s="5"/>
      <c r="H2" s="5"/>
      <c r="I2" s="7"/>
      <c r="J2" s="5"/>
      <c r="K2" s="5"/>
      <c r="L2" s="8"/>
      <c r="N2" s="8"/>
      <c r="O2" s="10"/>
    </row>
    <row r="3" spans="2:28" ht="15.75" customHeight="1">
      <c r="B3" s="2" t="str">
        <f>Input!$B$6</f>
        <v>Source: FY 2010 Research Expenditure Survey</v>
      </c>
      <c r="C3" s="5"/>
      <c r="D3" s="5"/>
      <c r="E3" s="5"/>
      <c r="F3" s="5"/>
      <c r="G3" s="5"/>
      <c r="H3" s="5"/>
      <c r="I3" s="7"/>
      <c r="J3" s="5"/>
      <c r="K3" s="5"/>
      <c r="L3" s="8"/>
      <c r="N3" s="8"/>
    </row>
    <row r="4" spans="2:28" ht="15.75" customHeight="1">
      <c r="B4" s="11"/>
      <c r="C4" s="5"/>
      <c r="D4" s="5"/>
      <c r="E4" s="5"/>
      <c r="F4" s="5"/>
      <c r="G4" s="5"/>
      <c r="H4" s="5"/>
      <c r="I4" s="7"/>
      <c r="J4" s="5"/>
      <c r="K4" s="5"/>
      <c r="L4" s="8"/>
      <c r="N4" s="10" t="s">
        <v>0</v>
      </c>
      <c r="P4" s="12"/>
    </row>
    <row r="5" spans="2:28" ht="15.75" customHeight="1">
      <c r="L5" s="3"/>
      <c r="N5" s="3"/>
    </row>
    <row r="6" spans="2:28" ht="15.75" customHeight="1">
      <c r="B6" s="453" t="str">
        <f>Input!$B$7</f>
        <v>FY 2010</v>
      </c>
      <c r="C6" s="454"/>
      <c r="D6" s="454"/>
      <c r="E6" s="454"/>
      <c r="F6" s="454"/>
      <c r="G6" s="454"/>
      <c r="H6" s="454"/>
      <c r="I6" s="454"/>
      <c r="J6" s="454"/>
      <c r="K6" s="454"/>
      <c r="L6" s="454"/>
      <c r="N6" s="13"/>
    </row>
    <row r="7" spans="2:28" ht="28.5" customHeight="1">
      <c r="B7" s="14" t="s">
        <v>2</v>
      </c>
      <c r="C7" s="15"/>
      <c r="D7" s="15"/>
      <c r="E7" s="15"/>
      <c r="F7" s="15"/>
      <c r="G7" s="15"/>
      <c r="H7" s="15"/>
      <c r="I7" s="15"/>
      <c r="J7" s="15"/>
      <c r="K7" s="16" t="s">
        <v>3</v>
      </c>
      <c r="L7" s="16" t="s">
        <v>4</v>
      </c>
      <c r="N7" s="17"/>
      <c r="O7" s="18"/>
      <c r="P7" s="19"/>
      <c r="Q7" s="19"/>
      <c r="R7" s="19"/>
      <c r="S7" s="19"/>
      <c r="T7" s="19"/>
    </row>
    <row r="8" spans="2:28" ht="15.75" customHeight="1">
      <c r="B8" s="20" t="s">
        <v>5</v>
      </c>
      <c r="C8" s="21"/>
      <c r="D8" s="21"/>
      <c r="E8" s="21"/>
      <c r="F8" s="21"/>
      <c r="G8" s="21"/>
      <c r="H8" s="21"/>
      <c r="I8" s="21"/>
      <c r="J8" s="21"/>
      <c r="K8" s="22"/>
      <c r="L8" s="23"/>
      <c r="N8" s="115"/>
      <c r="O8" s="116"/>
      <c r="P8" s="19"/>
      <c r="Q8" s="19"/>
      <c r="R8" s="19"/>
      <c r="S8" s="19"/>
      <c r="T8" s="19"/>
      <c r="AB8" s="24">
        <f>SUM(C8:L8)</f>
        <v>0</v>
      </c>
    </row>
    <row r="9" spans="2:28" ht="15.75" customHeight="1">
      <c r="B9" s="20" t="s">
        <v>7</v>
      </c>
      <c r="C9" s="21"/>
      <c r="D9" s="21"/>
      <c r="E9" s="21"/>
      <c r="F9" s="21"/>
      <c r="G9" s="21"/>
      <c r="H9" s="21"/>
      <c r="I9" s="21"/>
      <c r="J9" s="21"/>
      <c r="K9" s="25"/>
      <c r="L9" s="26"/>
      <c r="N9" s="115"/>
      <c r="O9" s="28"/>
      <c r="P9" s="19"/>
      <c r="Q9" s="19"/>
      <c r="R9" s="19"/>
      <c r="S9" s="19"/>
      <c r="T9" s="19"/>
      <c r="AB9" s="24">
        <f>SUM(C9:L9)</f>
        <v>0</v>
      </c>
    </row>
    <row r="10" spans="2:28" ht="15.75" customHeight="1">
      <c r="B10" s="27" t="s">
        <v>8</v>
      </c>
      <c r="C10" s="28"/>
      <c r="D10" s="21"/>
      <c r="E10" s="21"/>
      <c r="F10" s="9"/>
      <c r="G10" s="213"/>
      <c r="H10" s="455" t="str">
        <f>IF(O10&lt;&gt;0,"Out of Balance with SRECNA","")</f>
        <v/>
      </c>
      <c r="I10" s="455"/>
      <c r="J10" s="456"/>
      <c r="K10" s="31"/>
      <c r="L10" s="32"/>
      <c r="N10" s="117"/>
      <c r="O10" s="118"/>
      <c r="P10" s="19"/>
      <c r="Q10" s="19"/>
      <c r="R10" s="19"/>
      <c r="S10" s="19"/>
      <c r="T10" s="19"/>
      <c r="AB10" s="24"/>
    </row>
    <row r="11" spans="2:28" ht="15.75" customHeight="1">
      <c r="B11" s="20"/>
      <c r="C11" s="21"/>
      <c r="D11" s="21"/>
      <c r="E11" s="21"/>
      <c r="F11" s="9"/>
      <c r="G11" s="9"/>
      <c r="H11" s="9"/>
      <c r="I11" s="9"/>
      <c r="J11" s="9"/>
      <c r="K11" s="33"/>
      <c r="L11" s="26"/>
      <c r="N11" s="17"/>
      <c r="O11" s="95"/>
      <c r="P11" s="34"/>
      <c r="Q11" s="34"/>
      <c r="R11" s="34"/>
      <c r="S11" s="34"/>
      <c r="T11" s="35"/>
      <c r="AB11" s="24">
        <f t="shared" ref="AB11:AB12" si="0">SUM(C10:L10)</f>
        <v>0</v>
      </c>
    </row>
    <row r="12" spans="2:28" ht="15.75" customHeight="1">
      <c r="B12" s="20" t="s">
        <v>9</v>
      </c>
      <c r="C12" s="21"/>
      <c r="D12" s="21"/>
      <c r="E12" s="21"/>
      <c r="F12" s="21"/>
      <c r="G12" s="21"/>
      <c r="H12" s="21"/>
      <c r="I12" s="21"/>
      <c r="J12" s="21"/>
      <c r="K12" s="36"/>
      <c r="L12" s="26"/>
      <c r="N12" s="37"/>
      <c r="O12" s="19"/>
      <c r="P12" s="19"/>
      <c r="Q12" s="19"/>
      <c r="R12" s="19"/>
      <c r="S12" s="19"/>
      <c r="T12" s="19"/>
      <c r="AB12" s="24">
        <f t="shared" si="0"/>
        <v>0</v>
      </c>
    </row>
    <row r="13" spans="2:28" ht="15.75" customHeight="1">
      <c r="B13" s="20" t="s">
        <v>10</v>
      </c>
      <c r="C13" s="21"/>
      <c r="D13" s="21"/>
      <c r="E13" s="21"/>
      <c r="F13" s="21"/>
      <c r="G13" s="21"/>
      <c r="H13" s="21"/>
      <c r="I13" s="21"/>
      <c r="J13" s="21"/>
      <c r="K13" s="33"/>
      <c r="L13" s="36"/>
      <c r="N13" s="37"/>
      <c r="O13" s="119"/>
      <c r="AB13" s="24">
        <f>SUM(C13:L13)</f>
        <v>0</v>
      </c>
    </row>
    <row r="14" spans="2:28" ht="15.75" customHeight="1">
      <c r="B14" s="20" t="s">
        <v>11</v>
      </c>
      <c r="C14" s="21"/>
      <c r="D14" s="21"/>
      <c r="E14" s="21"/>
      <c r="F14" s="21"/>
      <c r="G14" s="21"/>
      <c r="H14" s="21"/>
      <c r="I14" s="21"/>
      <c r="J14" s="21"/>
      <c r="K14" s="33"/>
      <c r="L14" s="36"/>
      <c r="N14" s="17"/>
      <c r="O14" s="28"/>
      <c r="P14" s="19"/>
      <c r="Q14" s="19"/>
      <c r="R14" s="19"/>
      <c r="S14" s="19"/>
      <c r="T14" s="39"/>
      <c r="U14" s="19"/>
      <c r="V14" s="19"/>
      <c r="W14" s="19"/>
      <c r="X14" s="19"/>
      <c r="Y14" s="19"/>
      <c r="Z14" s="19"/>
      <c r="AA14" s="19"/>
      <c r="AB14" s="24">
        <f>SUM(C14:L14)</f>
        <v>0</v>
      </c>
    </row>
    <row r="15" spans="2:28" ht="15.75" customHeight="1">
      <c r="B15" s="20" t="s">
        <v>12</v>
      </c>
      <c r="C15" s="21"/>
      <c r="D15" s="21"/>
      <c r="E15" s="21"/>
      <c r="F15" s="21"/>
      <c r="G15" s="21"/>
      <c r="H15" s="21"/>
      <c r="I15" s="21"/>
      <c r="J15" s="21"/>
      <c r="K15" s="40"/>
      <c r="L15" s="36"/>
      <c r="N15" s="19"/>
      <c r="O15" s="19"/>
      <c r="P15" s="19"/>
      <c r="Q15" s="19"/>
      <c r="R15" s="19"/>
      <c r="S15" s="19"/>
      <c r="T15" s="19"/>
      <c r="U15" s="19"/>
      <c r="V15" s="19"/>
      <c r="W15" s="41"/>
      <c r="X15" s="19"/>
      <c r="Y15" s="19"/>
      <c r="Z15" s="19"/>
      <c r="AA15" s="19"/>
      <c r="AB15" s="24">
        <f>SUM(C15:L15)</f>
        <v>0</v>
      </c>
    </row>
    <row r="16" spans="2:28" ht="15.75" customHeight="1">
      <c r="B16" s="20" t="s">
        <v>13</v>
      </c>
      <c r="C16" s="21"/>
      <c r="D16" s="21"/>
      <c r="E16" s="21"/>
      <c r="F16" s="21"/>
      <c r="G16" s="21"/>
      <c r="H16" s="21"/>
      <c r="I16" s="21"/>
      <c r="J16" s="21"/>
      <c r="K16" s="40"/>
      <c r="L16" s="36"/>
      <c r="N16" s="28"/>
      <c r="O16" s="42"/>
      <c r="P16" s="19"/>
      <c r="Q16" s="19"/>
      <c r="R16" s="19"/>
      <c r="S16" s="19"/>
      <c r="T16" s="19"/>
      <c r="U16" s="19"/>
      <c r="V16" s="19"/>
      <c r="W16" s="19"/>
      <c r="X16" s="19"/>
      <c r="Y16" s="19"/>
      <c r="Z16" s="19"/>
      <c r="AA16" s="19"/>
      <c r="AB16" s="24">
        <f>SUM(C16:L16)</f>
        <v>0</v>
      </c>
    </row>
    <row r="17" spans="2:28" ht="15.75" customHeight="1">
      <c r="B17" s="43" t="s">
        <v>14</v>
      </c>
      <c r="C17" s="44"/>
      <c r="D17" s="44"/>
      <c r="E17" s="44"/>
      <c r="F17" s="44"/>
      <c r="G17" s="44"/>
      <c r="H17" s="44"/>
      <c r="I17" s="44"/>
      <c r="J17" s="44"/>
      <c r="K17" s="45"/>
      <c r="L17" s="46"/>
      <c r="N17" s="47"/>
      <c r="O17" s="48"/>
      <c r="P17" s="48"/>
      <c r="Q17" s="48"/>
      <c r="R17" s="49"/>
      <c r="S17" s="50">
        <f>L17-INT(L17)</f>
        <v>0</v>
      </c>
      <c r="T17" s="49">
        <v>0</v>
      </c>
      <c r="U17" s="48">
        <v>0</v>
      </c>
      <c r="V17" s="48">
        <v>0</v>
      </c>
      <c r="W17" s="48"/>
      <c r="X17" s="48"/>
      <c r="Y17" s="51"/>
      <c r="Z17" s="41"/>
      <c r="AA17" s="19"/>
      <c r="AB17" s="44" t="e">
        <f>#REF!+#REF!+#REF!+#REF!</f>
        <v>#REF!</v>
      </c>
    </row>
    <row r="18" spans="2:28" ht="15.75" customHeight="1">
      <c r="C18" s="38"/>
      <c r="D18" s="38"/>
      <c r="E18" s="38"/>
      <c r="F18" s="457" t="str">
        <f>IF(OR(S17&lt;&gt;0,S41&lt;&gt;0,S54&lt;&gt;0),"Do not Enter Cents - Whole Dollars Only","")</f>
        <v/>
      </c>
      <c r="G18" s="457"/>
      <c r="H18" s="457"/>
      <c r="I18" s="457"/>
      <c r="J18" s="457"/>
      <c r="K18" s="38"/>
      <c r="L18" s="38"/>
      <c r="N18" s="47"/>
      <c r="O18" s="48"/>
      <c r="P18" s="48"/>
      <c r="Q18" s="48"/>
      <c r="R18" s="49"/>
      <c r="S18" s="52"/>
      <c r="T18" s="49"/>
      <c r="U18" s="48"/>
      <c r="V18" s="48"/>
      <c r="W18" s="48"/>
      <c r="X18" s="48"/>
      <c r="Y18" s="51"/>
      <c r="Z18" s="41"/>
      <c r="AA18" s="19"/>
    </row>
    <row r="19" spans="2:28" ht="33" customHeight="1">
      <c r="B19" s="14" t="s">
        <v>15</v>
      </c>
      <c r="C19" s="53"/>
      <c r="D19" s="53"/>
      <c r="E19" s="53"/>
      <c r="F19" s="54" t="s">
        <v>16</v>
      </c>
      <c r="G19" s="54" t="s">
        <v>17</v>
      </c>
      <c r="H19" s="54" t="s">
        <v>18</v>
      </c>
      <c r="I19" s="54" t="s">
        <v>19</v>
      </c>
      <c r="J19" s="54" t="s">
        <v>20</v>
      </c>
      <c r="K19" s="54" t="s">
        <v>21</v>
      </c>
      <c r="L19" s="54" t="s">
        <v>22</v>
      </c>
      <c r="N19" s="47"/>
      <c r="O19" s="48"/>
      <c r="P19" s="48"/>
      <c r="Q19" s="48"/>
      <c r="R19" s="49"/>
      <c r="S19" s="52"/>
      <c r="T19" s="49"/>
      <c r="U19" s="48"/>
      <c r="V19" s="48"/>
      <c r="W19" s="48"/>
      <c r="X19" s="48"/>
      <c r="Y19" s="51"/>
      <c r="Z19" s="41"/>
      <c r="AA19" s="19"/>
    </row>
    <row r="20" spans="2:28" ht="15.75" customHeight="1">
      <c r="B20" s="55" t="s">
        <v>23</v>
      </c>
      <c r="C20" s="21"/>
      <c r="D20" s="21"/>
      <c r="F20" s="56"/>
      <c r="G20" s="56"/>
      <c r="H20" s="56"/>
      <c r="I20" s="56"/>
      <c r="J20" s="56"/>
      <c r="K20" s="56"/>
      <c r="L20" s="57"/>
      <c r="N20" s="58"/>
      <c r="O20" s="59"/>
      <c r="P20" s="60"/>
      <c r="Q20" s="61"/>
      <c r="R20" s="58"/>
      <c r="S20" s="58"/>
      <c r="T20" s="58"/>
      <c r="U20" s="61"/>
      <c r="V20" s="58"/>
      <c r="W20" s="61"/>
      <c r="X20" s="62"/>
      <c r="Y20" s="59"/>
      <c r="Z20" s="61"/>
      <c r="AA20" s="19"/>
      <c r="AB20" s="24">
        <f t="shared" ref="AB20:AB25" si="1">SUM(C20:L20)</f>
        <v>0</v>
      </c>
    </row>
    <row r="21" spans="2:28" ht="15.75" customHeight="1">
      <c r="B21" s="63" t="s">
        <v>24</v>
      </c>
      <c r="C21" s="21"/>
      <c r="D21" s="21"/>
      <c r="F21" s="64"/>
      <c r="G21" s="64"/>
      <c r="H21" s="64"/>
      <c r="I21" s="64"/>
      <c r="J21" s="64"/>
      <c r="K21" s="64"/>
      <c r="L21" s="65"/>
      <c r="N21" s="66"/>
      <c r="O21" s="67"/>
      <c r="P21" s="68"/>
      <c r="Q21" s="69"/>
      <c r="R21" s="70"/>
      <c r="S21" s="70"/>
      <c r="T21" s="70"/>
      <c r="U21" s="69"/>
      <c r="V21" s="71"/>
      <c r="W21" s="61"/>
      <c r="X21" s="62"/>
      <c r="Y21" s="67"/>
      <c r="Z21" s="69"/>
      <c r="AA21" s="19"/>
      <c r="AB21" s="24">
        <f t="shared" si="1"/>
        <v>0</v>
      </c>
    </row>
    <row r="22" spans="2:28" ht="15.75" customHeight="1">
      <c r="B22" s="55" t="s">
        <v>25</v>
      </c>
      <c r="C22" s="21"/>
      <c r="D22" s="21"/>
      <c r="F22" s="64"/>
      <c r="G22" s="64"/>
      <c r="H22" s="64"/>
      <c r="I22" s="64"/>
      <c r="J22" s="64"/>
      <c r="K22" s="64"/>
      <c r="L22" s="65"/>
      <c r="N22" s="66"/>
      <c r="O22" s="67"/>
      <c r="P22" s="72"/>
      <c r="Q22" s="69"/>
      <c r="R22" s="70"/>
      <c r="S22" s="70"/>
      <c r="T22" s="70"/>
      <c r="U22" s="69"/>
      <c r="V22" s="70"/>
      <c r="W22" s="69"/>
      <c r="X22" s="62"/>
      <c r="Y22" s="67"/>
      <c r="Z22" s="69"/>
      <c r="AA22" s="19"/>
      <c r="AB22" s="24">
        <f t="shared" si="1"/>
        <v>0</v>
      </c>
    </row>
    <row r="23" spans="2:28" ht="15.75" customHeight="1">
      <c r="B23" s="55" t="s">
        <v>26</v>
      </c>
      <c r="C23" s="21"/>
      <c r="D23" s="21"/>
      <c r="F23" s="64"/>
      <c r="G23" s="64"/>
      <c r="H23" s="64"/>
      <c r="I23" s="64"/>
      <c r="J23" s="64"/>
      <c r="K23" s="64"/>
      <c r="L23" s="65"/>
      <c r="N23" s="66"/>
      <c r="O23" s="67"/>
      <c r="P23" s="68"/>
      <c r="Q23" s="69"/>
      <c r="R23" s="70"/>
      <c r="S23" s="70"/>
      <c r="T23" s="70"/>
      <c r="U23" s="69"/>
      <c r="V23" s="70"/>
      <c r="W23" s="69"/>
      <c r="X23" s="62"/>
      <c r="Y23" s="67"/>
      <c r="Z23" s="69"/>
      <c r="AA23" s="19"/>
      <c r="AB23" s="24">
        <f t="shared" si="1"/>
        <v>0</v>
      </c>
    </row>
    <row r="24" spans="2:28" ht="15.75" customHeight="1">
      <c r="B24" s="55" t="s">
        <v>27</v>
      </c>
      <c r="C24" s="21"/>
      <c r="D24" s="21"/>
      <c r="F24" s="64"/>
      <c r="G24" s="64"/>
      <c r="H24" s="64"/>
      <c r="I24" s="64"/>
      <c r="J24" s="64"/>
      <c r="K24" s="64"/>
      <c r="L24" s="65"/>
      <c r="N24" s="66"/>
      <c r="O24" s="67"/>
      <c r="P24" s="68"/>
      <c r="Q24" s="69"/>
      <c r="R24" s="70"/>
      <c r="S24" s="70"/>
      <c r="T24" s="70"/>
      <c r="U24" s="69"/>
      <c r="V24" s="70"/>
      <c r="W24" s="69"/>
      <c r="X24" s="62"/>
      <c r="Y24" s="67"/>
      <c r="Z24" s="69"/>
      <c r="AA24" s="19"/>
      <c r="AB24" s="24">
        <f t="shared" si="1"/>
        <v>0</v>
      </c>
    </row>
    <row r="25" spans="2:28" ht="15.75" customHeight="1">
      <c r="B25" s="55" t="s">
        <v>28</v>
      </c>
      <c r="C25" s="21"/>
      <c r="D25" s="21"/>
      <c r="F25" s="64"/>
      <c r="G25" s="64"/>
      <c r="H25" s="64"/>
      <c r="I25" s="64"/>
      <c r="J25" s="64"/>
      <c r="K25" s="64"/>
      <c r="L25" s="65"/>
      <c r="N25" s="66"/>
      <c r="O25" s="73" t="s">
        <v>6</v>
      </c>
      <c r="P25" s="68"/>
      <c r="Q25" s="69"/>
      <c r="R25" s="70"/>
      <c r="S25" s="70"/>
      <c r="T25" s="70"/>
      <c r="U25" s="69"/>
      <c r="V25" s="70"/>
      <c r="W25" s="69"/>
      <c r="X25" s="62"/>
      <c r="Y25" s="67"/>
      <c r="Z25" s="69"/>
      <c r="AA25" s="19"/>
      <c r="AB25" s="24">
        <f t="shared" si="1"/>
        <v>0</v>
      </c>
    </row>
    <row r="26" spans="2:28" ht="15.75" customHeight="1">
      <c r="B26" s="55" t="s">
        <v>29</v>
      </c>
      <c r="C26" s="21"/>
      <c r="D26" s="21"/>
      <c r="F26" s="64"/>
      <c r="G26" s="64"/>
      <c r="H26" s="64"/>
      <c r="I26" s="64"/>
      <c r="J26" s="64"/>
      <c r="K26" s="64"/>
      <c r="L26" s="65"/>
      <c r="N26" s="74" t="str">
        <f>IF(O26&lt;&gt;0,"Out of Balance","Balanced")</f>
        <v>Balanced</v>
      </c>
      <c r="O26" s="75">
        <f>L17-L41</f>
        <v>0</v>
      </c>
      <c r="Q26" s="69"/>
      <c r="R26" s="70"/>
      <c r="S26" s="70"/>
      <c r="T26" s="70"/>
      <c r="U26" s="69"/>
      <c r="V26" s="70"/>
      <c r="W26" s="69"/>
      <c r="X26" s="62"/>
      <c r="Y26" s="67"/>
      <c r="Z26" s="69"/>
      <c r="AA26" s="19"/>
      <c r="AB26" s="24"/>
    </row>
    <row r="27" spans="2:28" ht="15.75" customHeight="1">
      <c r="B27" s="55" t="s">
        <v>30</v>
      </c>
      <c r="C27" s="21"/>
      <c r="D27" s="21"/>
      <c r="F27" s="64"/>
      <c r="G27" s="64"/>
      <c r="H27" s="64"/>
      <c r="I27" s="64"/>
      <c r="J27" s="64"/>
      <c r="K27" s="64"/>
      <c r="L27" s="65"/>
      <c r="N27" s="66"/>
      <c r="O27" s="67"/>
      <c r="P27" s="68"/>
      <c r="Q27" s="69"/>
      <c r="R27" s="70"/>
      <c r="S27" s="70"/>
      <c r="T27" s="70"/>
      <c r="U27" s="69"/>
      <c r="V27" s="70"/>
      <c r="W27" s="69"/>
      <c r="X27" s="62"/>
      <c r="Y27" s="67"/>
      <c r="Z27" s="69"/>
      <c r="AA27" s="19"/>
      <c r="AB27" s="24"/>
    </row>
    <row r="28" spans="2:28" ht="15.75" customHeight="1">
      <c r="B28" s="63" t="s">
        <v>31</v>
      </c>
      <c r="C28" s="21"/>
      <c r="D28" s="21"/>
      <c r="F28" s="64"/>
      <c r="G28" s="64"/>
      <c r="H28" s="64"/>
      <c r="I28" s="64"/>
      <c r="J28" s="64"/>
      <c r="K28" s="64"/>
      <c r="L28" s="65"/>
      <c r="N28" s="66"/>
      <c r="O28" s="67"/>
      <c r="P28" s="68"/>
      <c r="Q28" s="69"/>
      <c r="R28" s="70"/>
      <c r="S28" s="70"/>
      <c r="T28" s="70"/>
      <c r="U28" s="69"/>
      <c r="V28" s="70"/>
      <c r="W28" s="69"/>
      <c r="X28" s="62"/>
      <c r="Y28" s="67"/>
      <c r="Z28" s="69"/>
      <c r="AA28" s="19"/>
      <c r="AB28" s="24"/>
    </row>
    <row r="29" spans="2:28" ht="15.75" customHeight="1">
      <c r="B29" s="63" t="s">
        <v>32</v>
      </c>
      <c r="C29" s="21"/>
      <c r="D29" s="21"/>
      <c r="F29" s="64"/>
      <c r="G29" s="64"/>
      <c r="H29" s="64"/>
      <c r="I29" s="64"/>
      <c r="J29" s="64"/>
      <c r="K29" s="64"/>
      <c r="L29" s="65"/>
      <c r="N29" s="66"/>
      <c r="O29" s="67"/>
      <c r="P29" s="68"/>
      <c r="Q29" s="69"/>
      <c r="R29" s="70"/>
      <c r="S29" s="70"/>
      <c r="T29" s="70"/>
      <c r="U29" s="69"/>
      <c r="V29" s="70"/>
      <c r="W29" s="69"/>
      <c r="X29" s="62"/>
      <c r="Y29" s="67"/>
      <c r="Z29" s="69"/>
      <c r="AA29" s="19"/>
      <c r="AB29" s="24"/>
    </row>
    <row r="30" spans="2:28" ht="15.75" customHeight="1">
      <c r="B30" s="63" t="s">
        <v>33</v>
      </c>
      <c r="C30" s="21"/>
      <c r="D30" s="21"/>
      <c r="F30" s="64"/>
      <c r="G30" s="64"/>
      <c r="H30" s="64"/>
      <c r="I30" s="64"/>
      <c r="J30" s="64"/>
      <c r="K30" s="64"/>
      <c r="L30" s="65"/>
      <c r="N30" s="66"/>
      <c r="O30" s="67"/>
      <c r="P30" s="68"/>
      <c r="Q30" s="69"/>
      <c r="R30" s="70"/>
      <c r="S30" s="70"/>
      <c r="T30" s="70"/>
      <c r="U30" s="69"/>
      <c r="V30" s="70"/>
      <c r="W30" s="69"/>
      <c r="X30" s="62"/>
      <c r="Y30" s="67"/>
      <c r="Z30" s="69"/>
      <c r="AA30" s="19"/>
      <c r="AB30" s="24"/>
    </row>
    <row r="31" spans="2:28" ht="15.75" customHeight="1">
      <c r="B31" s="63" t="s">
        <v>34</v>
      </c>
      <c r="C31" s="21"/>
      <c r="D31" s="21"/>
      <c r="F31" s="64"/>
      <c r="G31" s="64"/>
      <c r="H31" s="64"/>
      <c r="I31" s="64"/>
      <c r="J31" s="64"/>
      <c r="K31" s="64"/>
      <c r="L31" s="65"/>
      <c r="N31" s="66"/>
      <c r="O31" s="67"/>
      <c r="P31" s="68"/>
      <c r="Q31" s="69"/>
      <c r="R31" s="70"/>
      <c r="S31" s="70"/>
      <c r="T31" s="70"/>
      <c r="U31" s="69"/>
      <c r="V31" s="70"/>
      <c r="W31" s="69"/>
      <c r="X31" s="62"/>
      <c r="Y31" s="67"/>
      <c r="Z31" s="69"/>
      <c r="AA31" s="19"/>
      <c r="AB31" s="24"/>
    </row>
    <row r="32" spans="2:28" ht="15.75" customHeight="1">
      <c r="B32" s="63" t="s">
        <v>35</v>
      </c>
      <c r="C32" s="21"/>
      <c r="D32" s="21"/>
      <c r="F32" s="64"/>
      <c r="G32" s="64"/>
      <c r="H32" s="64"/>
      <c r="I32" s="64"/>
      <c r="J32" s="64"/>
      <c r="K32" s="64"/>
      <c r="L32" s="65"/>
      <c r="N32" s="66"/>
      <c r="O32" s="67"/>
      <c r="P32" s="68"/>
      <c r="Q32" s="69"/>
      <c r="R32" s="70"/>
      <c r="S32" s="70"/>
      <c r="T32" s="70"/>
      <c r="U32" s="69"/>
      <c r="V32" s="70"/>
      <c r="W32" s="69"/>
      <c r="X32" s="62"/>
      <c r="Y32" s="67"/>
      <c r="Z32" s="69"/>
      <c r="AA32" s="19"/>
      <c r="AB32" s="24"/>
    </row>
    <row r="33" spans="1:28" ht="15.75" customHeight="1">
      <c r="B33" s="55" t="s">
        <v>36</v>
      </c>
      <c r="C33" s="21"/>
      <c r="D33" s="21"/>
      <c r="F33" s="64"/>
      <c r="G33" s="64"/>
      <c r="H33" s="64"/>
      <c r="I33" s="64"/>
      <c r="J33" s="64"/>
      <c r="K33" s="64"/>
      <c r="L33" s="65"/>
      <c r="N33" s="66"/>
      <c r="O33" s="67"/>
      <c r="P33" s="68"/>
      <c r="Q33" s="69"/>
      <c r="R33" s="70"/>
      <c r="S33" s="70"/>
      <c r="T33" s="70"/>
      <c r="U33" s="69"/>
      <c r="V33" s="70"/>
      <c r="W33" s="69"/>
      <c r="X33" s="62"/>
      <c r="Y33" s="67"/>
      <c r="Z33" s="69"/>
      <c r="AA33" s="19"/>
      <c r="AB33" s="24"/>
    </row>
    <row r="34" spans="1:28" ht="15.75" customHeight="1">
      <c r="B34" s="55" t="s">
        <v>37</v>
      </c>
      <c r="C34" s="21"/>
      <c r="D34" s="21"/>
      <c r="F34" s="64"/>
      <c r="G34" s="64"/>
      <c r="H34" s="64"/>
      <c r="I34" s="64"/>
      <c r="J34" s="64"/>
      <c r="K34" s="64"/>
      <c r="L34" s="65"/>
      <c r="N34" s="66"/>
      <c r="O34" s="67"/>
      <c r="P34" s="68"/>
      <c r="Q34" s="69"/>
      <c r="R34" s="70"/>
      <c r="S34" s="70"/>
      <c r="T34" s="70"/>
      <c r="U34" s="69"/>
      <c r="V34" s="70"/>
      <c r="W34" s="69"/>
      <c r="X34" s="62"/>
      <c r="Y34" s="67"/>
      <c r="Z34" s="69"/>
      <c r="AA34" s="19"/>
      <c r="AB34" s="24"/>
    </row>
    <row r="35" spans="1:28" s="79" customFormat="1" ht="15.75" customHeight="1">
      <c r="A35" s="76"/>
      <c r="B35" s="77" t="s">
        <v>38</v>
      </c>
      <c r="C35" s="78"/>
      <c r="D35" s="78"/>
      <c r="E35" s="20"/>
      <c r="F35" s="64"/>
      <c r="G35" s="64"/>
      <c r="H35" s="64"/>
      <c r="I35" s="64"/>
      <c r="J35" s="64"/>
      <c r="K35" s="64"/>
      <c r="L35" s="65"/>
      <c r="N35" s="66"/>
      <c r="O35" s="67"/>
      <c r="P35" s="80"/>
      <c r="Q35" s="81"/>
      <c r="R35" s="70"/>
      <c r="S35" s="70"/>
      <c r="T35" s="70"/>
      <c r="U35" s="81"/>
      <c r="V35" s="70"/>
      <c r="W35" s="81"/>
      <c r="X35" s="62"/>
      <c r="Y35" s="67"/>
      <c r="Z35" s="81"/>
      <c r="AA35" s="82"/>
      <c r="AB35" s="83"/>
    </row>
    <row r="36" spans="1:28" s="79" customFormat="1" ht="15.75" customHeight="1">
      <c r="A36" s="76"/>
      <c r="B36" s="77" t="s">
        <v>39</v>
      </c>
      <c r="C36" s="78"/>
      <c r="D36" s="78"/>
      <c r="E36" s="20"/>
      <c r="F36" s="64"/>
      <c r="G36" s="64"/>
      <c r="H36" s="64"/>
      <c r="I36" s="64"/>
      <c r="J36" s="64"/>
      <c r="K36" s="64"/>
      <c r="L36" s="65"/>
      <c r="N36" s="66"/>
      <c r="O36" s="67"/>
      <c r="P36" s="80"/>
      <c r="Q36" s="81"/>
      <c r="R36" s="70"/>
      <c r="S36" s="70"/>
      <c r="T36" s="70"/>
      <c r="U36" s="81"/>
      <c r="V36" s="70"/>
      <c r="W36" s="81"/>
      <c r="X36" s="62"/>
      <c r="Y36" s="67"/>
      <c r="Z36" s="81"/>
      <c r="AA36" s="82"/>
      <c r="AB36" s="83"/>
    </row>
    <row r="37" spans="1:28" s="79" customFormat="1" ht="15.75" customHeight="1">
      <c r="A37" s="76"/>
      <c r="B37" s="77" t="s">
        <v>40</v>
      </c>
      <c r="C37" s="78"/>
      <c r="D37" s="78"/>
      <c r="E37" s="20"/>
      <c r="F37" s="64"/>
      <c r="G37" s="64"/>
      <c r="H37" s="64"/>
      <c r="I37" s="64"/>
      <c r="J37" s="64"/>
      <c r="K37" s="64"/>
      <c r="L37" s="65"/>
      <c r="N37" s="66"/>
      <c r="O37" s="67"/>
      <c r="P37" s="80"/>
      <c r="Q37" s="81"/>
      <c r="R37" s="70"/>
      <c r="S37" s="70"/>
      <c r="T37" s="70"/>
      <c r="U37" s="81"/>
      <c r="V37" s="70"/>
      <c r="W37" s="81"/>
      <c r="X37" s="62"/>
      <c r="Y37" s="67"/>
      <c r="Z37" s="81"/>
      <c r="AA37" s="82"/>
      <c r="AB37" s="83"/>
    </row>
    <row r="38" spans="1:28" s="79" customFormat="1" ht="15.75" customHeight="1">
      <c r="A38" s="76"/>
      <c r="B38" s="77" t="s">
        <v>41</v>
      </c>
      <c r="C38" s="78"/>
      <c r="D38" s="78"/>
      <c r="E38" s="20"/>
      <c r="F38" s="64"/>
      <c r="G38" s="64"/>
      <c r="H38" s="64"/>
      <c r="I38" s="64"/>
      <c r="J38" s="64"/>
      <c r="K38" s="64"/>
      <c r="L38" s="65"/>
      <c r="N38" s="66"/>
      <c r="O38" s="67"/>
      <c r="P38" s="80"/>
      <c r="Q38" s="81"/>
      <c r="R38" s="70"/>
      <c r="S38" s="70"/>
      <c r="T38" s="70"/>
      <c r="U38" s="81"/>
      <c r="V38" s="70"/>
      <c r="W38" s="81"/>
      <c r="X38" s="62"/>
      <c r="Y38" s="67"/>
      <c r="Z38" s="81"/>
      <c r="AA38" s="82"/>
      <c r="AB38" s="83"/>
    </row>
    <row r="39" spans="1:28" s="79" customFormat="1" ht="15.75" customHeight="1">
      <c r="A39" s="76"/>
      <c r="B39" s="77" t="s">
        <v>42</v>
      </c>
      <c r="C39" s="78"/>
      <c r="D39" s="78"/>
      <c r="E39" s="20"/>
      <c r="F39" s="64"/>
      <c r="G39" s="64"/>
      <c r="H39" s="64"/>
      <c r="I39" s="64"/>
      <c r="J39" s="64"/>
      <c r="K39" s="64"/>
      <c r="L39" s="65"/>
      <c r="N39" s="66"/>
      <c r="O39" s="67"/>
      <c r="P39" s="80"/>
      <c r="Q39" s="81"/>
      <c r="R39" s="70"/>
      <c r="S39" s="70"/>
      <c r="T39" s="70"/>
      <c r="U39" s="81"/>
      <c r="V39" s="70"/>
      <c r="W39" s="81"/>
      <c r="X39" s="62"/>
      <c r="Y39" s="67"/>
      <c r="Z39" s="81"/>
      <c r="AA39" s="82"/>
      <c r="AB39" s="83"/>
    </row>
    <row r="40" spans="1:28" ht="15.75" customHeight="1">
      <c r="A40" s="76"/>
      <c r="B40" s="55" t="s">
        <v>43</v>
      </c>
      <c r="C40" s="21"/>
      <c r="D40" s="21"/>
      <c r="E40" s="21"/>
      <c r="F40" s="84"/>
      <c r="G40" s="84"/>
      <c r="H40" s="84"/>
      <c r="I40" s="84"/>
      <c r="J40" s="84"/>
      <c r="K40" s="84"/>
      <c r="L40" s="65"/>
      <c r="N40" s="66"/>
      <c r="O40" s="317" t="s">
        <v>633</v>
      </c>
      <c r="P40" s="41" t="s">
        <v>634</v>
      </c>
      <c r="Q40" s="85"/>
      <c r="R40" s="70"/>
      <c r="S40" s="70"/>
      <c r="T40" s="70"/>
      <c r="U40" s="69"/>
      <c r="V40" s="70"/>
      <c r="W40" s="69"/>
      <c r="X40" s="62"/>
      <c r="Y40" s="67"/>
      <c r="Z40" s="69"/>
      <c r="AA40" s="19"/>
      <c r="AB40" s="24">
        <f>SUM(C40:L40)</f>
        <v>0</v>
      </c>
    </row>
    <row r="41" spans="1:28" ht="15.75" customHeight="1">
      <c r="A41" s="76"/>
      <c r="B41" s="43" t="s">
        <v>44</v>
      </c>
      <c r="C41" s="44"/>
      <c r="D41" s="44"/>
      <c r="E41" s="44"/>
      <c r="F41" s="86"/>
      <c r="G41" s="86"/>
      <c r="H41" s="86"/>
      <c r="I41" s="86"/>
      <c r="J41" s="86"/>
      <c r="K41" s="86"/>
      <c r="L41" s="87"/>
      <c r="N41" s="88"/>
      <c r="O41" s="308" t="s">
        <v>628</v>
      </c>
      <c r="P41" s="309" t="s">
        <v>17</v>
      </c>
      <c r="Q41" s="89"/>
      <c r="R41" s="89"/>
      <c r="S41" s="50">
        <f>L41-INT(L41)</f>
        <v>0</v>
      </c>
      <c r="T41" s="61"/>
      <c r="U41" s="90"/>
      <c r="V41" s="61"/>
      <c r="W41" s="61"/>
      <c r="X41" s="85"/>
      <c r="Y41" s="60"/>
      <c r="Z41" s="91"/>
      <c r="AA41" s="19"/>
      <c r="AB41" s="44">
        <f>SUM(AB20:AB40)</f>
        <v>0</v>
      </c>
    </row>
    <row r="42" spans="1:28" ht="15.75" customHeight="1">
      <c r="A42" s="76"/>
      <c r="C42" s="38"/>
      <c r="D42" s="38"/>
      <c r="F42" s="38"/>
      <c r="G42" s="310" t="s">
        <v>629</v>
      </c>
      <c r="H42" s="311"/>
      <c r="I42" s="53"/>
      <c r="J42" s="310" t="s">
        <v>630</v>
      </c>
      <c r="K42" s="311"/>
      <c r="L42" s="310" t="s">
        <v>631</v>
      </c>
      <c r="M42" s="312"/>
      <c r="N42" s="313"/>
      <c r="O42" s="314"/>
      <c r="P42" s="93"/>
      <c r="Q42" s="92"/>
      <c r="R42" s="92"/>
      <c r="S42" s="92"/>
      <c r="T42" s="94"/>
      <c r="U42" s="95"/>
      <c r="V42" s="96"/>
      <c r="W42" s="92"/>
      <c r="X42" s="92"/>
      <c r="Y42" s="92"/>
      <c r="Z42" s="92" t="str">
        <f>IF(Z41&lt;&gt;0,"Out of Balance","")</f>
        <v/>
      </c>
    </row>
    <row r="43" spans="1:28" ht="15.75" customHeight="1">
      <c r="A43" s="76"/>
      <c r="B43" s="14" t="s">
        <v>45</v>
      </c>
      <c r="C43" s="53"/>
      <c r="D43" s="53"/>
      <c r="E43" s="53"/>
      <c r="F43" s="53"/>
      <c r="G43" s="315"/>
      <c r="H43" s="315"/>
      <c r="I43" s="315"/>
      <c r="J43" s="315"/>
      <c r="K43" s="315"/>
      <c r="L43" s="315"/>
      <c r="O43" s="316" t="s">
        <v>632</v>
      </c>
      <c r="Q43" s="92"/>
      <c r="R43" s="92"/>
      <c r="S43" s="92"/>
      <c r="T43" s="94"/>
      <c r="U43" s="95"/>
      <c r="V43" s="96"/>
      <c r="W43" s="92"/>
      <c r="X43" s="92"/>
      <c r="Y43" s="92"/>
      <c r="Z43" s="92"/>
    </row>
    <row r="44" spans="1:28" ht="15.75" customHeight="1">
      <c r="A44" s="76"/>
      <c r="B44" s="55" t="s">
        <v>544</v>
      </c>
      <c r="C44" s="21"/>
      <c r="D44" s="21"/>
      <c r="F44" s="64"/>
      <c r="G44" s="64"/>
      <c r="H44" s="64"/>
      <c r="I44" s="64"/>
      <c r="J44" s="64"/>
      <c r="K44" s="64"/>
      <c r="L44" s="57"/>
      <c r="N44" s="9"/>
      <c r="O44" s="318"/>
      <c r="Q44" s="93"/>
      <c r="R44" s="93"/>
      <c r="S44" s="93"/>
      <c r="T44" s="94"/>
      <c r="U44" s="95"/>
      <c r="V44" s="99"/>
      <c r="W44" s="93"/>
      <c r="X44" s="101"/>
      <c r="Y44" s="92"/>
      <c r="Z44" s="100"/>
      <c r="AB44" s="24">
        <f>SUM(C44:L44)</f>
        <v>0</v>
      </c>
    </row>
    <row r="45" spans="1:28" ht="15.75" customHeight="1">
      <c r="A45" s="76"/>
      <c r="B45" s="55" t="s">
        <v>46</v>
      </c>
      <c r="C45" s="21"/>
      <c r="D45" s="21"/>
      <c r="F45" s="64"/>
      <c r="G45" s="64"/>
      <c r="H45" s="64"/>
      <c r="I45" s="64"/>
      <c r="J45" s="64"/>
      <c r="K45" s="64"/>
      <c r="L45" s="65"/>
      <c r="N45" s="97"/>
      <c r="O45" s="319" t="s">
        <v>635</v>
      </c>
      <c r="P45" s="98"/>
      <c r="Q45" s="93"/>
      <c r="R45" s="93"/>
      <c r="S45" s="93"/>
      <c r="T45" s="94"/>
      <c r="U45" s="95"/>
      <c r="V45" s="99"/>
      <c r="W45" s="93"/>
      <c r="X45" s="101"/>
      <c r="Y45" s="92"/>
      <c r="Z45" s="100"/>
      <c r="AB45" s="24"/>
    </row>
    <row r="46" spans="1:28" ht="15.75" customHeight="1">
      <c r="A46" s="76"/>
      <c r="B46" s="55" t="s">
        <v>545</v>
      </c>
      <c r="C46" s="21"/>
      <c r="D46" s="21"/>
      <c r="F46" s="64"/>
      <c r="G46" s="64"/>
      <c r="H46" s="64"/>
      <c r="I46" s="64"/>
      <c r="J46" s="64"/>
      <c r="K46" s="64"/>
      <c r="L46" s="65"/>
      <c r="N46" s="97"/>
      <c r="O46" s="320"/>
      <c r="P46" s="98"/>
      <c r="Q46" s="93"/>
      <c r="R46" s="93"/>
      <c r="S46" s="93"/>
      <c r="T46" s="94"/>
      <c r="U46" s="95"/>
      <c r="V46" s="99"/>
      <c r="W46" s="93"/>
      <c r="X46" s="101"/>
      <c r="Y46" s="92"/>
      <c r="Z46" s="100"/>
      <c r="AB46" s="24"/>
    </row>
    <row r="47" spans="1:28" ht="15.75" customHeight="1">
      <c r="A47" s="76"/>
      <c r="B47" s="63" t="s">
        <v>546</v>
      </c>
      <c r="C47" s="21"/>
      <c r="D47" s="21"/>
      <c r="F47" s="64"/>
      <c r="G47" s="64"/>
      <c r="H47" s="64"/>
      <c r="I47" s="64"/>
      <c r="J47" s="64"/>
      <c r="K47" s="64"/>
      <c r="L47" s="65"/>
      <c r="N47" s="97"/>
      <c r="O47" s="321" t="s">
        <v>636</v>
      </c>
      <c r="P47" s="98"/>
      <c r="Q47" s="93"/>
      <c r="R47" s="93"/>
      <c r="S47" s="93"/>
      <c r="T47" s="94"/>
      <c r="U47" s="95"/>
      <c r="V47" s="99"/>
      <c r="W47" s="93"/>
      <c r="X47" s="101"/>
      <c r="Y47" s="92"/>
      <c r="Z47" s="100"/>
      <c r="AB47" s="24"/>
    </row>
    <row r="48" spans="1:28" ht="15.75" customHeight="1">
      <c r="A48" s="76"/>
      <c r="B48" s="55" t="s">
        <v>547</v>
      </c>
      <c r="C48" s="21"/>
      <c r="D48" s="21"/>
      <c r="F48" s="64"/>
      <c r="G48" s="64"/>
      <c r="H48" s="64"/>
      <c r="I48" s="64"/>
      <c r="J48" s="64"/>
      <c r="K48" s="64"/>
      <c r="L48" s="65"/>
      <c r="N48" s="97"/>
      <c r="P48" s="98"/>
      <c r="Q48" s="93"/>
      <c r="R48" s="93"/>
      <c r="S48" s="93"/>
      <c r="T48" s="94"/>
      <c r="U48" s="95"/>
      <c r="V48" s="99"/>
      <c r="W48" s="93"/>
      <c r="X48" s="101"/>
      <c r="Y48" s="92"/>
      <c r="Z48" s="100"/>
      <c r="AB48" s="24"/>
    </row>
    <row r="49" spans="1:28" ht="15.75" customHeight="1">
      <c r="A49" s="76"/>
      <c r="B49" s="228" t="s">
        <v>548</v>
      </c>
      <c r="C49" s="21"/>
      <c r="D49" s="21"/>
      <c r="F49" s="64"/>
      <c r="G49" s="64"/>
      <c r="H49" s="64"/>
      <c r="I49" s="64"/>
      <c r="J49" s="64"/>
      <c r="K49" s="64"/>
      <c r="L49" s="65"/>
      <c r="N49" s="97"/>
      <c r="P49" s="98"/>
      <c r="Q49" s="93"/>
      <c r="R49" s="93"/>
      <c r="S49" s="93"/>
      <c r="T49" s="94"/>
      <c r="U49" s="95"/>
      <c r="V49" s="99"/>
      <c r="W49" s="93"/>
      <c r="X49" s="101"/>
      <c r="Y49" s="92"/>
      <c r="Z49" s="100"/>
      <c r="AB49" s="24"/>
    </row>
    <row r="50" spans="1:28" ht="15.75" customHeight="1">
      <c r="A50" s="76"/>
      <c r="B50" s="228" t="s">
        <v>549</v>
      </c>
      <c r="C50" s="21"/>
      <c r="D50" s="21"/>
      <c r="F50" s="64"/>
      <c r="G50" s="64"/>
      <c r="H50" s="64"/>
      <c r="I50" s="64"/>
      <c r="J50" s="64"/>
      <c r="K50" s="64"/>
      <c r="L50" s="65"/>
      <c r="N50" s="97"/>
      <c r="P50" s="98"/>
      <c r="Q50" s="93"/>
      <c r="R50" s="93"/>
      <c r="S50" s="93"/>
      <c r="T50" s="94"/>
      <c r="U50" s="95"/>
      <c r="V50" s="99"/>
      <c r="W50" s="93"/>
      <c r="X50" s="101"/>
      <c r="Y50" s="92"/>
      <c r="Z50" s="100"/>
      <c r="AB50" s="24"/>
    </row>
    <row r="51" spans="1:28" ht="15.75" customHeight="1">
      <c r="A51" s="76"/>
      <c r="B51" s="228" t="s">
        <v>550</v>
      </c>
      <c r="C51" s="21"/>
      <c r="D51" s="21"/>
      <c r="E51" s="21"/>
      <c r="F51" s="64"/>
      <c r="G51" s="64"/>
      <c r="H51" s="64"/>
      <c r="I51" s="64"/>
      <c r="J51" s="64"/>
      <c r="K51" s="64"/>
      <c r="L51" s="65"/>
      <c r="N51" s="97"/>
      <c r="P51" s="98"/>
      <c r="Q51" s="93"/>
      <c r="R51" s="93"/>
      <c r="S51" s="93"/>
      <c r="T51" s="94"/>
      <c r="U51" s="95"/>
      <c r="V51" s="99"/>
      <c r="W51" s="93"/>
      <c r="X51" s="101"/>
      <c r="Y51" s="92"/>
      <c r="Z51" s="100"/>
      <c r="AB51" s="24"/>
    </row>
    <row r="52" spans="1:28" s="79" customFormat="1" ht="15.75" customHeight="1">
      <c r="A52" s="76"/>
      <c r="B52" s="228" t="s">
        <v>551</v>
      </c>
      <c r="C52" s="78"/>
      <c r="D52" s="78"/>
      <c r="E52" s="20"/>
      <c r="F52" s="64"/>
      <c r="G52" s="64"/>
      <c r="H52" s="64"/>
      <c r="I52" s="64"/>
      <c r="J52" s="64"/>
      <c r="K52" s="64"/>
      <c r="L52" s="65"/>
      <c r="N52" s="102"/>
      <c r="P52" s="103"/>
      <c r="Q52" s="104"/>
      <c r="R52" s="104"/>
      <c r="S52" s="104"/>
      <c r="T52" s="105"/>
      <c r="U52" s="106"/>
      <c r="V52" s="107"/>
      <c r="W52" s="104"/>
      <c r="X52" s="108"/>
      <c r="Y52" s="109"/>
      <c r="Z52" s="110"/>
      <c r="AB52" s="83"/>
    </row>
    <row r="53" spans="1:28" s="79" customFormat="1" ht="15.75" customHeight="1">
      <c r="A53" s="76"/>
      <c r="B53" s="228" t="s">
        <v>552</v>
      </c>
      <c r="C53" s="78"/>
      <c r="D53" s="78"/>
      <c r="E53" s="20"/>
      <c r="F53" s="64"/>
      <c r="G53" s="64"/>
      <c r="H53" s="64"/>
      <c r="I53" s="64"/>
      <c r="J53" s="64"/>
      <c r="K53" s="64"/>
      <c r="L53" s="65"/>
      <c r="N53" s="102"/>
      <c r="P53" s="103"/>
      <c r="Q53" s="104"/>
      <c r="R53" s="104"/>
      <c r="S53" s="104"/>
      <c r="T53" s="105"/>
      <c r="U53" s="106"/>
      <c r="V53" s="107"/>
      <c r="W53" s="104"/>
      <c r="X53" s="108"/>
      <c r="Y53" s="109"/>
      <c r="Z53" s="110"/>
      <c r="AB53" s="83"/>
    </row>
    <row r="54" spans="1:28" ht="15.75" customHeight="1">
      <c r="A54" s="76"/>
      <c r="B54" s="43" t="s">
        <v>47</v>
      </c>
      <c r="C54" s="44"/>
      <c r="D54" s="44"/>
      <c r="E54" s="44"/>
      <c r="F54" s="86"/>
      <c r="G54" s="86"/>
      <c r="H54" s="86"/>
      <c r="I54" s="86"/>
      <c r="J54" s="86"/>
      <c r="K54" s="86"/>
      <c r="L54" s="86"/>
      <c r="N54" s="97"/>
      <c r="P54" s="98"/>
      <c r="Q54" s="98"/>
      <c r="R54" s="98"/>
      <c r="S54" s="50">
        <f>L54-INT(L54)</f>
        <v>0</v>
      </c>
      <c r="T54" s="94"/>
      <c r="U54" s="95"/>
      <c r="V54" s="99"/>
      <c r="W54" s="99"/>
      <c r="X54" s="99"/>
      <c r="Y54" s="95"/>
      <c r="Z54" s="95"/>
      <c r="AB54" s="44">
        <f>SUM(AB44:AB51)</f>
        <v>0</v>
      </c>
    </row>
    <row r="55" spans="1:28" ht="15.75" customHeight="1">
      <c r="A55" s="76"/>
      <c r="C55" s="38"/>
      <c r="D55" s="38"/>
      <c r="E55" s="38"/>
      <c r="F55" s="38"/>
      <c r="G55" s="38"/>
      <c r="H55" s="38"/>
      <c r="I55" s="38"/>
      <c r="J55" s="38"/>
      <c r="K55" s="38"/>
      <c r="L55" s="38"/>
      <c r="N55" s="97"/>
      <c r="P55" s="98"/>
      <c r="Q55" s="98"/>
      <c r="R55" s="98"/>
      <c r="S55" s="98"/>
      <c r="T55" s="94"/>
      <c r="U55" s="95"/>
      <c r="V55" s="99"/>
      <c r="W55" s="99"/>
      <c r="X55" s="99"/>
      <c r="Y55" s="95"/>
      <c r="Z55" s="95"/>
    </row>
    <row r="56" spans="1:28" ht="15.75" customHeight="1">
      <c r="A56" s="76"/>
      <c r="L56" s="6" t="s">
        <v>48</v>
      </c>
      <c r="N56" s="111"/>
      <c r="Q56" s="112"/>
      <c r="R56" s="112"/>
      <c r="S56" s="112"/>
      <c r="W56" s="112"/>
      <c r="X56" s="112"/>
      <c r="Y56" s="112"/>
      <c r="Z56" s="112"/>
    </row>
    <row r="57" spans="1:28" ht="15.75" customHeight="1">
      <c r="A57" s="76"/>
      <c r="N57" s="113"/>
    </row>
    <row r="58" spans="1:28" s="112" customFormat="1" ht="15.75" customHeight="1">
      <c r="A58" s="76"/>
      <c r="N58" s="113"/>
      <c r="O58" s="9"/>
      <c r="P58" s="9"/>
      <c r="Q58" s="9"/>
      <c r="R58" s="9"/>
      <c r="S58" s="9"/>
      <c r="T58" s="9"/>
      <c r="U58" s="9"/>
      <c r="V58" s="9"/>
      <c r="W58" s="9"/>
      <c r="X58" s="9"/>
      <c r="Y58" s="9"/>
      <c r="Z58" s="9"/>
    </row>
    <row r="59" spans="1:28" s="112" customFormat="1" ht="15.75" customHeight="1">
      <c r="A59" s="76"/>
      <c r="N59" s="113"/>
      <c r="O59" s="9"/>
      <c r="P59" s="9"/>
      <c r="Q59" s="9"/>
      <c r="R59" s="9"/>
      <c r="S59" s="9"/>
      <c r="T59" s="9"/>
      <c r="U59" s="9"/>
      <c r="V59" s="9"/>
      <c r="W59" s="9"/>
      <c r="X59" s="9"/>
      <c r="Y59" s="9"/>
      <c r="Z59" s="9"/>
    </row>
    <row r="60" spans="1:28" s="112" customFormat="1" ht="15.75" customHeight="1">
      <c r="A60" s="76"/>
      <c r="N60" s="113"/>
      <c r="O60" s="9"/>
      <c r="P60" s="9"/>
      <c r="Q60" s="9"/>
      <c r="R60" s="9"/>
      <c r="S60" s="9"/>
      <c r="T60" s="9"/>
      <c r="U60" s="9"/>
      <c r="V60" s="9"/>
      <c r="W60" s="9"/>
      <c r="X60" s="9"/>
      <c r="Y60" s="9"/>
      <c r="Z60" s="9"/>
    </row>
    <row r="61" spans="1:28" s="79" customFormat="1" ht="15.75" customHeight="1">
      <c r="A61" s="76"/>
      <c r="B61" s="20"/>
      <c r="C61" s="20"/>
      <c r="D61" s="20"/>
      <c r="E61" s="20"/>
      <c r="F61" s="114"/>
      <c r="G61" s="114"/>
      <c r="H61" s="114"/>
      <c r="I61" s="114"/>
      <c r="J61" s="114"/>
      <c r="K61" s="114"/>
      <c r="L61" s="114"/>
      <c r="N61" s="20"/>
    </row>
    <row r="62" spans="1:28" s="79" customFormat="1" ht="15.75" customHeight="1">
      <c r="A62" s="76"/>
      <c r="B62" s="20"/>
      <c r="C62" s="20"/>
      <c r="D62" s="20"/>
      <c r="E62" s="20"/>
      <c r="F62" s="20"/>
      <c r="G62" s="20"/>
      <c r="H62" s="20"/>
      <c r="I62" s="20"/>
      <c r="J62" s="20"/>
      <c r="K62" s="20"/>
      <c r="L62" s="114"/>
      <c r="N62" s="20"/>
    </row>
    <row r="63" spans="1:28" s="79" customFormat="1" ht="15.75" customHeight="1">
      <c r="A63" s="76"/>
      <c r="B63" s="20"/>
      <c r="C63" s="20"/>
      <c r="D63" s="20"/>
      <c r="E63" s="20"/>
      <c r="F63" s="20"/>
      <c r="G63" s="20"/>
      <c r="H63" s="20"/>
      <c r="I63" s="20"/>
      <c r="J63" s="20"/>
      <c r="K63" s="20"/>
      <c r="L63" s="114"/>
      <c r="N63" s="20"/>
    </row>
    <row r="64" spans="1:28" ht="15.75" customHeight="1">
      <c r="L64" s="3"/>
    </row>
  </sheetData>
  <mergeCells count="3">
    <mergeCell ref="B6:L6"/>
    <mergeCell ref="H10:J10"/>
    <mergeCell ref="F18:J18"/>
  </mergeCells>
  <conditionalFormatting sqref="O25:O26">
    <cfRule type="expression" dxfId="2" priority="3">
      <formula>$O$26&lt;&gt;0</formula>
    </cfRule>
  </conditionalFormatting>
  <conditionalFormatting sqref="H10:J10">
    <cfRule type="expression" dxfId="1" priority="1">
      <formula>$O$10&lt;&gt;0</formula>
    </cfRule>
  </conditionalFormatting>
  <conditionalFormatting sqref="F18:J18">
    <cfRule type="expression" dxfId="0" priority="5">
      <formula>OR($S$17&lt;&gt;0,$S$41&lt;&gt;0,$S$54&lt;&gt;0)</formula>
    </cfRule>
  </conditionalFormatting>
  <hyperlinks>
    <hyperlink ref="N1" location="Index!A1" display="Return to Index"/>
  </hyperlinks>
  <printOptions horizontalCentered="1"/>
  <pageMargins left="0.25" right="0.25" top="0.25" bottom="0.25" header="0.5" footer="0.5"/>
  <pageSetup scale="60" pageOrder="overThenDown" orientation="landscape" r:id="rId1"/>
  <headerFooter alignWithMargins="0"/>
  <colBreaks count="1" manualBreakCount="1">
    <brk id="12" max="80" man="1"/>
  </col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14</vt:i4>
      </vt:variant>
    </vt:vector>
  </HeadingPairs>
  <TitlesOfParts>
    <vt:vector size="33" baseType="lpstr">
      <vt:lpstr>Index</vt:lpstr>
      <vt:lpstr>Almanac</vt:lpstr>
      <vt:lpstr>HRI_IE_Research</vt:lpstr>
      <vt:lpstr>Accountability</vt:lpstr>
      <vt:lpstr>List</vt:lpstr>
      <vt:lpstr>Summary</vt:lpstr>
      <vt:lpstr>SWM</vt:lpstr>
      <vt:lpstr>MBG</vt:lpstr>
      <vt:lpstr>HSH</vt:lpstr>
      <vt:lpstr>HSSA</vt:lpstr>
      <vt:lpstr>MDA</vt:lpstr>
      <vt:lpstr>THC</vt:lpstr>
      <vt:lpstr>TAMHSC</vt:lpstr>
      <vt:lpstr>UNTHSC</vt:lpstr>
      <vt:lpstr>TTUHSC</vt:lpstr>
      <vt:lpstr>Input</vt:lpstr>
      <vt:lpstr>Names</vt:lpstr>
      <vt:lpstr>FTSE</vt:lpstr>
      <vt:lpstr>Summary (2)</vt:lpstr>
      <vt:lpstr>AMTLU</vt:lpstr>
      <vt:lpstr>FTSELU</vt:lpstr>
      <vt:lpstr>HRI_IE_Research!Print_Area</vt:lpstr>
      <vt:lpstr>HSH!Print_Area</vt:lpstr>
      <vt:lpstr>HSSA!Print_Area</vt:lpstr>
      <vt:lpstr>MBG!Print_Area</vt:lpstr>
      <vt:lpstr>MDA!Print_Area</vt:lpstr>
      <vt:lpstr>Summary!Print_Area</vt:lpstr>
      <vt:lpstr>'Summary (2)'!Print_Area</vt:lpstr>
      <vt:lpstr>SWM!Print_Area</vt:lpstr>
      <vt:lpstr>TAMHSC!Print_Area</vt:lpstr>
      <vt:lpstr>THC!Print_Area</vt:lpstr>
      <vt:lpstr>TTUHSC!Print_Area</vt:lpstr>
      <vt:lpstr>UNTHSC!Print_Area</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cp:lastModifiedBy>
  <dcterms:created xsi:type="dcterms:W3CDTF">2011-01-28T15:10:48Z</dcterms:created>
  <dcterms:modified xsi:type="dcterms:W3CDTF">2013-01-04T14:07:46Z</dcterms:modified>
</cp:coreProperties>
</file>